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rutkovskaya\аа\Кворк\сметы\"/>
    </mc:Choice>
  </mc:AlternateContent>
  <xr:revisionPtr revIDLastSave="0" documentId="13_ncr:1_{671EC686-0F2C-4AAA-B7A8-B011AD1C5107}" xr6:coauthVersionLast="47" xr6:coauthVersionMax="47" xr10:uidLastSave="{00000000-0000-0000-0000-000000000000}"/>
  <bookViews>
    <workbookView xWindow="-120" yWindow="-120" windowWidth="29040" windowHeight="15720" tabRatio="733" xr2:uid="{00000000-000D-0000-FFFF-FFFF00000000}"/>
  </bookViews>
  <sheets>
    <sheet name="Обложка" sheetId="9" r:id="rId1"/>
    <sheet name="Учет" sheetId="1" r:id="rId2"/>
    <sheet name="Остатки" sheetId="7" r:id="rId3"/>
    <sheet name="Движение ДС" sheetId="6" r:id="rId4"/>
    <sheet name="Итоги по всем объектам" sheetId="2" r:id="rId5"/>
    <sheet name="Итог по объекту" sheetId="3" r:id="rId6"/>
    <sheet name="Итоги по получателю" sheetId="5" r:id="rId7"/>
    <sheet name="ЗП" sheetId="8" r:id="rId8"/>
    <sheet name="ЗП подробно" sheetId="10" r:id="rId9"/>
    <sheet name="Справочники" sheetId="4" r:id="rId10"/>
  </sheets>
  <definedNames>
    <definedName name="_xlnm._FilterDatabase" localSheetId="8" hidden="1">'ЗП подробно'!$A$1:$I$1</definedName>
    <definedName name="_xlnm._FilterDatabase" localSheetId="2" hidden="1">Остатки!$A$1:$K$3374</definedName>
    <definedName name="_xlnm._FilterDatabase" localSheetId="1" hidden="1">Учет!$A$1:$P$567</definedName>
    <definedName name="_xlnm.Print_Titles" localSheetId="2">Остатки!$1:$1</definedName>
    <definedName name="_xlnm.Print_Titles" localSheetId="1">Учет!$1:$1</definedName>
    <definedName name="_xlnm.Print_Area" localSheetId="1">Учет!$A$1:$P$3504</definedName>
  </definedNames>
  <calcPr calcId="191029"/>
  <pivotCaches>
    <pivotCache cacheId="11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7" i="9" l="1"/>
  <c r="M7" i="9"/>
  <c r="M5" i="9"/>
  <c r="Q351" i="1" l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4" i="1"/>
  <c r="Q3" i="1"/>
  <c r="Q5" i="1"/>
  <c r="L3507" i="7" l="1"/>
  <c r="L3506" i="7"/>
  <c r="L3505" i="7"/>
  <c r="F3507" i="7"/>
  <c r="E3507" i="7"/>
  <c r="D3507" i="7"/>
  <c r="C3507" i="7"/>
  <c r="B3507" i="7"/>
  <c r="A3507" i="7"/>
  <c r="F3506" i="7"/>
  <c r="E3506" i="7"/>
  <c r="D3506" i="7"/>
  <c r="C3506" i="7"/>
  <c r="B3506" i="7"/>
  <c r="A3506" i="7"/>
  <c r="F3505" i="7"/>
  <c r="E3505" i="7"/>
  <c r="D3505" i="7"/>
  <c r="C3505" i="7"/>
  <c r="B3505" i="7"/>
  <c r="A3505" i="7"/>
  <c r="F3504" i="7"/>
  <c r="E3504" i="7"/>
  <c r="D3504" i="7"/>
  <c r="C3504" i="7"/>
  <c r="B3504" i="7"/>
  <c r="A3504" i="7"/>
  <c r="F3503" i="7"/>
  <c r="E3503" i="7"/>
  <c r="D3503" i="7"/>
  <c r="C3503" i="7"/>
  <c r="B3503" i="7"/>
  <c r="A3503" i="7"/>
  <c r="F3502" i="7"/>
  <c r="E3502" i="7"/>
  <c r="D3502" i="7"/>
  <c r="C3502" i="7"/>
  <c r="B3502" i="7"/>
  <c r="A3502" i="7"/>
  <c r="F3501" i="7"/>
  <c r="E3501" i="7"/>
  <c r="D3501" i="7"/>
  <c r="C3501" i="7"/>
  <c r="B3501" i="7"/>
  <c r="A3501" i="7"/>
  <c r="F3500" i="7"/>
  <c r="E3500" i="7"/>
  <c r="D3500" i="7"/>
  <c r="C3500" i="7"/>
  <c r="B3500" i="7"/>
  <c r="A3500" i="7"/>
  <c r="F3499" i="7"/>
  <c r="E3499" i="7"/>
  <c r="D3499" i="7"/>
  <c r="C3499" i="7"/>
  <c r="B3499" i="7"/>
  <c r="A3499" i="7"/>
  <c r="F3498" i="7"/>
  <c r="E3498" i="7"/>
  <c r="D3498" i="7"/>
  <c r="C3498" i="7"/>
  <c r="B3498" i="7"/>
  <c r="A3498" i="7"/>
  <c r="F3497" i="7"/>
  <c r="E3497" i="7"/>
  <c r="D3497" i="7"/>
  <c r="C3497" i="7"/>
  <c r="B3497" i="7"/>
  <c r="A3497" i="7"/>
  <c r="F3496" i="7"/>
  <c r="E3496" i="7"/>
  <c r="D3496" i="7"/>
  <c r="C3496" i="7"/>
  <c r="B3496" i="7"/>
  <c r="A3496" i="7"/>
  <c r="F3495" i="7"/>
  <c r="E3495" i="7"/>
  <c r="D3495" i="7"/>
  <c r="C3495" i="7"/>
  <c r="B3495" i="7"/>
  <c r="A3495" i="7"/>
  <c r="F3494" i="7"/>
  <c r="E3494" i="7"/>
  <c r="D3494" i="7"/>
  <c r="C3494" i="7"/>
  <c r="B3494" i="7"/>
  <c r="A3494" i="7"/>
  <c r="F3493" i="7"/>
  <c r="E3493" i="7"/>
  <c r="D3493" i="7"/>
  <c r="C3493" i="7"/>
  <c r="B3493" i="7"/>
  <c r="A3493" i="7"/>
  <c r="F3492" i="7"/>
  <c r="E3492" i="7"/>
  <c r="D3492" i="7"/>
  <c r="C3492" i="7"/>
  <c r="B3492" i="7"/>
  <c r="A3492" i="7"/>
  <c r="F3491" i="7"/>
  <c r="E3491" i="7"/>
  <c r="D3491" i="7"/>
  <c r="C3491" i="7"/>
  <c r="B3491" i="7"/>
  <c r="A3491" i="7"/>
  <c r="F3490" i="7"/>
  <c r="E3490" i="7"/>
  <c r="D3490" i="7"/>
  <c r="C3490" i="7"/>
  <c r="B3490" i="7"/>
  <c r="A3490" i="7"/>
  <c r="F3489" i="7"/>
  <c r="E3489" i="7"/>
  <c r="D3489" i="7"/>
  <c r="C3489" i="7"/>
  <c r="B3489" i="7"/>
  <c r="A3489" i="7"/>
  <c r="F3488" i="7"/>
  <c r="E3488" i="7"/>
  <c r="D3488" i="7"/>
  <c r="C3488" i="7"/>
  <c r="B3488" i="7"/>
  <c r="A3488" i="7"/>
  <c r="F3487" i="7"/>
  <c r="E3487" i="7"/>
  <c r="D3487" i="7"/>
  <c r="C3487" i="7"/>
  <c r="B3487" i="7"/>
  <c r="A3487" i="7"/>
  <c r="F3486" i="7"/>
  <c r="E3486" i="7"/>
  <c r="D3486" i="7"/>
  <c r="C3486" i="7"/>
  <c r="B3486" i="7"/>
  <c r="A3486" i="7"/>
  <c r="F3485" i="7"/>
  <c r="E3485" i="7"/>
  <c r="D3485" i="7"/>
  <c r="C3485" i="7"/>
  <c r="B3485" i="7"/>
  <c r="A3485" i="7"/>
  <c r="F3484" i="7"/>
  <c r="E3484" i="7"/>
  <c r="D3484" i="7"/>
  <c r="C3484" i="7"/>
  <c r="B3484" i="7"/>
  <c r="A3484" i="7"/>
  <c r="F3483" i="7"/>
  <c r="E3483" i="7"/>
  <c r="D3483" i="7"/>
  <c r="C3483" i="7"/>
  <c r="B3483" i="7"/>
  <c r="A3483" i="7"/>
  <c r="F3482" i="7"/>
  <c r="E3482" i="7"/>
  <c r="D3482" i="7"/>
  <c r="C3482" i="7"/>
  <c r="B3482" i="7"/>
  <c r="A3482" i="7"/>
  <c r="F3481" i="7"/>
  <c r="E3481" i="7"/>
  <c r="D3481" i="7"/>
  <c r="C3481" i="7"/>
  <c r="B3481" i="7"/>
  <c r="A3481" i="7"/>
  <c r="F3480" i="7"/>
  <c r="E3480" i="7"/>
  <c r="D3480" i="7"/>
  <c r="C3480" i="7"/>
  <c r="B3480" i="7"/>
  <c r="A3480" i="7"/>
  <c r="F3479" i="7"/>
  <c r="E3479" i="7"/>
  <c r="D3479" i="7"/>
  <c r="C3479" i="7"/>
  <c r="B3479" i="7"/>
  <c r="A3479" i="7"/>
  <c r="F3478" i="7"/>
  <c r="E3478" i="7"/>
  <c r="D3478" i="7"/>
  <c r="C3478" i="7"/>
  <c r="B3478" i="7"/>
  <c r="A3478" i="7"/>
  <c r="F3477" i="7"/>
  <c r="E3477" i="7"/>
  <c r="D3477" i="7"/>
  <c r="C3477" i="7"/>
  <c r="B3477" i="7"/>
  <c r="A3477" i="7"/>
  <c r="F3476" i="7"/>
  <c r="E3476" i="7"/>
  <c r="D3476" i="7"/>
  <c r="C3476" i="7"/>
  <c r="B3476" i="7"/>
  <c r="A3476" i="7"/>
  <c r="F3475" i="7"/>
  <c r="E3475" i="7"/>
  <c r="D3475" i="7"/>
  <c r="C3475" i="7"/>
  <c r="B3475" i="7"/>
  <c r="A3475" i="7"/>
  <c r="F3474" i="7"/>
  <c r="E3474" i="7"/>
  <c r="D3474" i="7"/>
  <c r="C3474" i="7"/>
  <c r="B3474" i="7"/>
  <c r="A3474" i="7"/>
  <c r="F3473" i="7"/>
  <c r="E3473" i="7"/>
  <c r="D3473" i="7"/>
  <c r="C3473" i="7"/>
  <c r="B3473" i="7"/>
  <c r="A3473" i="7"/>
  <c r="F3472" i="7"/>
  <c r="E3472" i="7"/>
  <c r="D3472" i="7"/>
  <c r="C3472" i="7"/>
  <c r="B3472" i="7"/>
  <c r="A3472" i="7"/>
  <c r="F3471" i="7"/>
  <c r="E3471" i="7"/>
  <c r="D3471" i="7"/>
  <c r="C3471" i="7"/>
  <c r="B3471" i="7"/>
  <c r="A3471" i="7"/>
  <c r="F3470" i="7"/>
  <c r="E3470" i="7"/>
  <c r="D3470" i="7"/>
  <c r="C3470" i="7"/>
  <c r="B3470" i="7"/>
  <c r="A3470" i="7"/>
  <c r="F3469" i="7"/>
  <c r="E3469" i="7"/>
  <c r="D3469" i="7"/>
  <c r="C3469" i="7"/>
  <c r="B3469" i="7"/>
  <c r="A3469" i="7"/>
  <c r="F3468" i="7"/>
  <c r="E3468" i="7"/>
  <c r="D3468" i="7"/>
  <c r="C3468" i="7"/>
  <c r="B3468" i="7"/>
  <c r="A3468" i="7"/>
  <c r="F3467" i="7"/>
  <c r="E3467" i="7"/>
  <c r="D3467" i="7"/>
  <c r="C3467" i="7"/>
  <c r="B3467" i="7"/>
  <c r="A3467" i="7"/>
  <c r="F3466" i="7"/>
  <c r="E3466" i="7"/>
  <c r="D3466" i="7"/>
  <c r="C3466" i="7"/>
  <c r="B3466" i="7"/>
  <c r="A3466" i="7"/>
  <c r="F3465" i="7"/>
  <c r="E3465" i="7"/>
  <c r="D3465" i="7"/>
  <c r="C3465" i="7"/>
  <c r="B3465" i="7"/>
  <c r="A3465" i="7"/>
  <c r="F3464" i="7"/>
  <c r="E3464" i="7"/>
  <c r="D3464" i="7"/>
  <c r="C3464" i="7"/>
  <c r="B3464" i="7"/>
  <c r="A3464" i="7"/>
  <c r="F3463" i="7"/>
  <c r="E3463" i="7"/>
  <c r="D3463" i="7"/>
  <c r="C3463" i="7"/>
  <c r="B3463" i="7"/>
  <c r="A3463" i="7"/>
  <c r="F3462" i="7"/>
  <c r="E3462" i="7"/>
  <c r="D3462" i="7"/>
  <c r="C3462" i="7"/>
  <c r="B3462" i="7"/>
  <c r="A3462" i="7"/>
  <c r="F3461" i="7"/>
  <c r="E3461" i="7"/>
  <c r="D3461" i="7"/>
  <c r="C3461" i="7"/>
  <c r="B3461" i="7"/>
  <c r="A3461" i="7"/>
  <c r="F3460" i="7"/>
  <c r="E3460" i="7"/>
  <c r="D3460" i="7"/>
  <c r="C3460" i="7"/>
  <c r="B3460" i="7"/>
  <c r="A3460" i="7"/>
  <c r="F3459" i="7"/>
  <c r="E3459" i="7"/>
  <c r="D3459" i="7"/>
  <c r="C3459" i="7"/>
  <c r="B3459" i="7"/>
  <c r="A3459" i="7"/>
  <c r="F3458" i="7"/>
  <c r="E3458" i="7"/>
  <c r="D3458" i="7"/>
  <c r="C3458" i="7"/>
  <c r="B3458" i="7"/>
  <c r="A3458" i="7"/>
  <c r="F3457" i="7"/>
  <c r="E3457" i="7"/>
  <c r="D3457" i="7"/>
  <c r="C3457" i="7"/>
  <c r="B3457" i="7"/>
  <c r="A3457" i="7"/>
  <c r="F3456" i="7"/>
  <c r="E3456" i="7"/>
  <c r="D3456" i="7"/>
  <c r="C3456" i="7"/>
  <c r="B3456" i="7"/>
  <c r="A3456" i="7"/>
  <c r="F3455" i="7"/>
  <c r="E3455" i="7"/>
  <c r="D3455" i="7"/>
  <c r="C3455" i="7"/>
  <c r="B3455" i="7"/>
  <c r="A3455" i="7"/>
  <c r="F3454" i="7"/>
  <c r="E3454" i="7"/>
  <c r="D3454" i="7"/>
  <c r="C3454" i="7"/>
  <c r="B3454" i="7"/>
  <c r="A3454" i="7"/>
  <c r="F3453" i="7"/>
  <c r="E3453" i="7"/>
  <c r="D3453" i="7"/>
  <c r="C3453" i="7"/>
  <c r="B3453" i="7"/>
  <c r="A3453" i="7"/>
  <c r="F3452" i="7"/>
  <c r="E3452" i="7"/>
  <c r="D3452" i="7"/>
  <c r="C3452" i="7"/>
  <c r="B3452" i="7"/>
  <c r="A3452" i="7"/>
  <c r="F3451" i="7"/>
  <c r="E3451" i="7"/>
  <c r="D3451" i="7"/>
  <c r="C3451" i="7"/>
  <c r="B3451" i="7"/>
  <c r="A3451" i="7"/>
  <c r="F3450" i="7"/>
  <c r="E3450" i="7"/>
  <c r="D3450" i="7"/>
  <c r="C3450" i="7"/>
  <c r="B3450" i="7"/>
  <c r="A3450" i="7"/>
  <c r="F3449" i="7"/>
  <c r="E3449" i="7"/>
  <c r="D3449" i="7"/>
  <c r="C3449" i="7"/>
  <c r="B3449" i="7"/>
  <c r="A3449" i="7"/>
  <c r="F3448" i="7"/>
  <c r="E3448" i="7"/>
  <c r="D3448" i="7"/>
  <c r="C3448" i="7"/>
  <c r="B3448" i="7"/>
  <c r="A3448" i="7"/>
  <c r="F3447" i="7"/>
  <c r="E3447" i="7"/>
  <c r="D3447" i="7"/>
  <c r="C3447" i="7"/>
  <c r="B3447" i="7"/>
  <c r="A3447" i="7"/>
  <c r="F3446" i="7"/>
  <c r="E3446" i="7"/>
  <c r="D3446" i="7"/>
  <c r="C3446" i="7"/>
  <c r="B3446" i="7"/>
  <c r="A3446" i="7"/>
  <c r="F3445" i="7"/>
  <c r="E3445" i="7"/>
  <c r="D3445" i="7"/>
  <c r="C3445" i="7"/>
  <c r="B3445" i="7"/>
  <c r="A3445" i="7"/>
  <c r="F3444" i="7"/>
  <c r="E3444" i="7"/>
  <c r="D3444" i="7"/>
  <c r="C3444" i="7"/>
  <c r="B3444" i="7"/>
  <c r="A3444" i="7"/>
  <c r="F3443" i="7"/>
  <c r="E3443" i="7"/>
  <c r="D3443" i="7"/>
  <c r="C3443" i="7"/>
  <c r="B3443" i="7"/>
  <c r="A3443" i="7"/>
  <c r="F3442" i="7"/>
  <c r="E3442" i="7"/>
  <c r="D3442" i="7"/>
  <c r="C3442" i="7"/>
  <c r="B3442" i="7"/>
  <c r="A3442" i="7"/>
  <c r="F3441" i="7"/>
  <c r="E3441" i="7"/>
  <c r="D3441" i="7"/>
  <c r="C3441" i="7"/>
  <c r="B3441" i="7"/>
  <c r="A3441" i="7"/>
  <c r="F3440" i="7"/>
  <c r="E3440" i="7"/>
  <c r="D3440" i="7"/>
  <c r="C3440" i="7"/>
  <c r="B3440" i="7"/>
  <c r="A3440" i="7"/>
  <c r="F3439" i="7"/>
  <c r="E3439" i="7"/>
  <c r="D3439" i="7"/>
  <c r="C3439" i="7"/>
  <c r="B3439" i="7"/>
  <c r="A3439" i="7"/>
  <c r="F3438" i="7"/>
  <c r="E3438" i="7"/>
  <c r="D3438" i="7"/>
  <c r="C3438" i="7"/>
  <c r="B3438" i="7"/>
  <c r="A3438" i="7"/>
  <c r="F3437" i="7"/>
  <c r="E3437" i="7"/>
  <c r="D3437" i="7"/>
  <c r="C3437" i="7"/>
  <c r="B3437" i="7"/>
  <c r="A3437" i="7"/>
  <c r="F3436" i="7"/>
  <c r="E3436" i="7"/>
  <c r="D3436" i="7"/>
  <c r="C3436" i="7"/>
  <c r="B3436" i="7"/>
  <c r="A3436" i="7"/>
  <c r="F3435" i="7"/>
  <c r="E3435" i="7"/>
  <c r="D3435" i="7"/>
  <c r="C3435" i="7"/>
  <c r="B3435" i="7"/>
  <c r="A3435" i="7"/>
  <c r="F3434" i="7"/>
  <c r="E3434" i="7"/>
  <c r="D3434" i="7"/>
  <c r="C3434" i="7"/>
  <c r="B3434" i="7"/>
  <c r="A3434" i="7"/>
  <c r="F3433" i="7"/>
  <c r="E3433" i="7"/>
  <c r="D3433" i="7"/>
  <c r="C3433" i="7"/>
  <c r="B3433" i="7"/>
  <c r="A3433" i="7"/>
  <c r="F3432" i="7"/>
  <c r="E3432" i="7"/>
  <c r="D3432" i="7"/>
  <c r="C3432" i="7"/>
  <c r="B3432" i="7"/>
  <c r="A3432" i="7"/>
  <c r="F3431" i="7"/>
  <c r="E3431" i="7"/>
  <c r="D3431" i="7"/>
  <c r="C3431" i="7"/>
  <c r="B3431" i="7"/>
  <c r="A3431" i="7"/>
  <c r="F3430" i="7"/>
  <c r="E3430" i="7"/>
  <c r="D3430" i="7"/>
  <c r="C3430" i="7"/>
  <c r="B3430" i="7"/>
  <c r="A3430" i="7"/>
  <c r="F3429" i="7"/>
  <c r="E3429" i="7"/>
  <c r="D3429" i="7"/>
  <c r="C3429" i="7"/>
  <c r="B3429" i="7"/>
  <c r="A3429" i="7"/>
  <c r="F3428" i="7"/>
  <c r="E3428" i="7"/>
  <c r="D3428" i="7"/>
  <c r="C3428" i="7"/>
  <c r="B3428" i="7"/>
  <c r="A3428" i="7"/>
  <c r="F3427" i="7"/>
  <c r="E3427" i="7"/>
  <c r="D3427" i="7"/>
  <c r="C3427" i="7"/>
  <c r="B3427" i="7"/>
  <c r="A3427" i="7"/>
  <c r="F3426" i="7"/>
  <c r="E3426" i="7"/>
  <c r="D3426" i="7"/>
  <c r="C3426" i="7"/>
  <c r="B3426" i="7"/>
  <c r="A3426" i="7"/>
  <c r="F3425" i="7"/>
  <c r="E3425" i="7"/>
  <c r="D3425" i="7"/>
  <c r="C3425" i="7"/>
  <c r="B3425" i="7"/>
  <c r="A3425" i="7"/>
  <c r="F3424" i="7"/>
  <c r="E3424" i="7"/>
  <c r="D3424" i="7"/>
  <c r="C3424" i="7"/>
  <c r="B3424" i="7"/>
  <c r="A3424" i="7"/>
  <c r="F3423" i="7"/>
  <c r="E3423" i="7"/>
  <c r="D3423" i="7"/>
  <c r="C3423" i="7"/>
  <c r="B3423" i="7"/>
  <c r="A3423" i="7"/>
  <c r="F3422" i="7"/>
  <c r="E3422" i="7"/>
  <c r="D3422" i="7"/>
  <c r="C3422" i="7"/>
  <c r="B3422" i="7"/>
  <c r="A3422" i="7"/>
  <c r="F3421" i="7"/>
  <c r="E3421" i="7"/>
  <c r="D3421" i="7"/>
  <c r="C3421" i="7"/>
  <c r="B3421" i="7"/>
  <c r="A3421" i="7"/>
  <c r="F3420" i="7"/>
  <c r="E3420" i="7"/>
  <c r="D3420" i="7"/>
  <c r="C3420" i="7"/>
  <c r="B3420" i="7"/>
  <c r="A3420" i="7"/>
  <c r="F3419" i="7"/>
  <c r="E3419" i="7"/>
  <c r="D3419" i="7"/>
  <c r="C3419" i="7"/>
  <c r="B3419" i="7"/>
  <c r="A3419" i="7"/>
  <c r="F3418" i="7"/>
  <c r="E3418" i="7"/>
  <c r="D3418" i="7"/>
  <c r="C3418" i="7"/>
  <c r="B3418" i="7"/>
  <c r="A3418" i="7"/>
  <c r="F3417" i="7"/>
  <c r="E3417" i="7"/>
  <c r="D3417" i="7"/>
  <c r="C3417" i="7"/>
  <c r="B3417" i="7"/>
  <c r="A3417" i="7"/>
  <c r="F3416" i="7"/>
  <c r="E3416" i="7"/>
  <c r="D3416" i="7"/>
  <c r="C3416" i="7"/>
  <c r="B3416" i="7"/>
  <c r="A3416" i="7"/>
  <c r="F3415" i="7"/>
  <c r="E3415" i="7"/>
  <c r="D3415" i="7"/>
  <c r="C3415" i="7"/>
  <c r="B3415" i="7"/>
  <c r="A3415" i="7"/>
  <c r="F3414" i="7"/>
  <c r="E3414" i="7"/>
  <c r="D3414" i="7"/>
  <c r="C3414" i="7"/>
  <c r="B3414" i="7"/>
  <c r="A3414" i="7"/>
  <c r="F3413" i="7"/>
  <c r="E3413" i="7"/>
  <c r="D3413" i="7"/>
  <c r="C3413" i="7"/>
  <c r="B3413" i="7"/>
  <c r="A3413" i="7"/>
  <c r="F3412" i="7"/>
  <c r="E3412" i="7"/>
  <c r="D3412" i="7"/>
  <c r="C3412" i="7"/>
  <c r="B3412" i="7"/>
  <c r="A3412" i="7"/>
  <c r="F3411" i="7"/>
  <c r="E3411" i="7"/>
  <c r="D3411" i="7"/>
  <c r="C3411" i="7"/>
  <c r="B3411" i="7"/>
  <c r="A3411" i="7"/>
  <c r="F3410" i="7"/>
  <c r="E3410" i="7"/>
  <c r="D3410" i="7"/>
  <c r="C3410" i="7"/>
  <c r="B3410" i="7"/>
  <c r="A3410" i="7"/>
  <c r="F3409" i="7"/>
  <c r="E3409" i="7"/>
  <c r="D3409" i="7"/>
  <c r="C3409" i="7"/>
  <c r="B3409" i="7"/>
  <c r="A3409" i="7"/>
  <c r="F3408" i="7"/>
  <c r="E3408" i="7"/>
  <c r="D3408" i="7"/>
  <c r="C3408" i="7"/>
  <c r="B3408" i="7"/>
  <c r="A3408" i="7"/>
  <c r="F3407" i="7"/>
  <c r="E3407" i="7"/>
  <c r="D3407" i="7"/>
  <c r="C3407" i="7"/>
  <c r="B3407" i="7"/>
  <c r="A3407" i="7"/>
  <c r="F3406" i="7"/>
  <c r="E3406" i="7"/>
  <c r="D3406" i="7"/>
  <c r="C3406" i="7"/>
  <c r="B3406" i="7"/>
  <c r="A3406" i="7"/>
  <c r="F3405" i="7"/>
  <c r="E3405" i="7"/>
  <c r="D3405" i="7"/>
  <c r="C3405" i="7"/>
  <c r="B3405" i="7"/>
  <c r="A3405" i="7"/>
  <c r="F3404" i="7"/>
  <c r="E3404" i="7"/>
  <c r="D3404" i="7"/>
  <c r="C3404" i="7"/>
  <c r="B3404" i="7"/>
  <c r="A3404" i="7"/>
  <c r="F3403" i="7"/>
  <c r="E3403" i="7"/>
  <c r="D3403" i="7"/>
  <c r="C3403" i="7"/>
  <c r="B3403" i="7"/>
  <c r="A3403" i="7"/>
  <c r="F3402" i="7"/>
  <c r="E3402" i="7"/>
  <c r="D3402" i="7"/>
  <c r="C3402" i="7"/>
  <c r="B3402" i="7"/>
  <c r="A3402" i="7"/>
  <c r="F3401" i="7"/>
  <c r="E3401" i="7"/>
  <c r="D3401" i="7"/>
  <c r="C3401" i="7"/>
  <c r="B3401" i="7"/>
  <c r="A3401" i="7"/>
  <c r="F3400" i="7"/>
  <c r="E3400" i="7"/>
  <c r="D3400" i="7"/>
  <c r="C3400" i="7"/>
  <c r="B3400" i="7"/>
  <c r="A3400" i="7"/>
  <c r="F3399" i="7"/>
  <c r="E3399" i="7"/>
  <c r="D3399" i="7"/>
  <c r="C3399" i="7"/>
  <c r="B3399" i="7"/>
  <c r="A3399" i="7"/>
  <c r="F3398" i="7"/>
  <c r="E3398" i="7"/>
  <c r="D3398" i="7"/>
  <c r="C3398" i="7"/>
  <c r="B3398" i="7"/>
  <c r="A3398" i="7"/>
  <c r="F3397" i="7"/>
  <c r="E3397" i="7"/>
  <c r="D3397" i="7"/>
  <c r="C3397" i="7"/>
  <c r="B3397" i="7"/>
  <c r="A3397" i="7"/>
  <c r="F3396" i="7"/>
  <c r="E3396" i="7"/>
  <c r="D3396" i="7"/>
  <c r="C3396" i="7"/>
  <c r="B3396" i="7"/>
  <c r="A3396" i="7"/>
  <c r="F3395" i="7"/>
  <c r="E3395" i="7"/>
  <c r="D3395" i="7"/>
  <c r="C3395" i="7"/>
  <c r="B3395" i="7"/>
  <c r="A3395" i="7"/>
  <c r="F3394" i="7"/>
  <c r="E3394" i="7"/>
  <c r="D3394" i="7"/>
  <c r="C3394" i="7"/>
  <c r="B3394" i="7"/>
  <c r="A3394" i="7"/>
  <c r="F3393" i="7"/>
  <c r="E3393" i="7"/>
  <c r="D3393" i="7"/>
  <c r="C3393" i="7"/>
  <c r="B3393" i="7"/>
  <c r="A3393" i="7"/>
  <c r="F3392" i="7"/>
  <c r="E3392" i="7"/>
  <c r="D3392" i="7"/>
  <c r="C3392" i="7"/>
  <c r="B3392" i="7"/>
  <c r="A3392" i="7"/>
  <c r="F3391" i="7"/>
  <c r="E3391" i="7"/>
  <c r="D3391" i="7"/>
  <c r="C3391" i="7"/>
  <c r="B3391" i="7"/>
  <c r="A3391" i="7"/>
  <c r="F3390" i="7"/>
  <c r="E3390" i="7"/>
  <c r="D3390" i="7"/>
  <c r="C3390" i="7"/>
  <c r="B3390" i="7"/>
  <c r="A3390" i="7"/>
  <c r="F3389" i="7"/>
  <c r="E3389" i="7"/>
  <c r="D3389" i="7"/>
  <c r="C3389" i="7"/>
  <c r="B3389" i="7"/>
  <c r="A3389" i="7"/>
  <c r="F3388" i="7"/>
  <c r="E3388" i="7"/>
  <c r="D3388" i="7"/>
  <c r="C3388" i="7"/>
  <c r="B3388" i="7"/>
  <c r="A3388" i="7"/>
  <c r="F3387" i="7"/>
  <c r="E3387" i="7"/>
  <c r="D3387" i="7"/>
  <c r="C3387" i="7"/>
  <c r="B3387" i="7"/>
  <c r="A3387" i="7"/>
  <c r="F3386" i="7"/>
  <c r="E3386" i="7"/>
  <c r="D3386" i="7"/>
  <c r="C3386" i="7"/>
  <c r="B3386" i="7"/>
  <c r="A3386" i="7"/>
  <c r="F3385" i="7"/>
  <c r="E3385" i="7"/>
  <c r="D3385" i="7"/>
  <c r="C3385" i="7"/>
  <c r="B3385" i="7"/>
  <c r="A3385" i="7"/>
  <c r="F3384" i="7"/>
  <c r="E3384" i="7"/>
  <c r="D3384" i="7"/>
  <c r="C3384" i="7"/>
  <c r="B3384" i="7"/>
  <c r="A3384" i="7"/>
  <c r="F3383" i="7"/>
  <c r="E3383" i="7"/>
  <c r="D3383" i="7"/>
  <c r="C3383" i="7"/>
  <c r="B3383" i="7"/>
  <c r="A3383" i="7"/>
  <c r="F3382" i="7"/>
  <c r="E3382" i="7"/>
  <c r="D3382" i="7"/>
  <c r="C3382" i="7"/>
  <c r="B3382" i="7"/>
  <c r="A3382" i="7"/>
  <c r="F3381" i="7"/>
  <c r="E3381" i="7"/>
  <c r="D3381" i="7"/>
  <c r="C3381" i="7"/>
  <c r="B3381" i="7"/>
  <c r="A3381" i="7"/>
  <c r="F3380" i="7"/>
  <c r="E3380" i="7"/>
  <c r="D3380" i="7"/>
  <c r="C3380" i="7"/>
  <c r="B3380" i="7"/>
  <c r="A3380" i="7"/>
  <c r="F3379" i="7"/>
  <c r="E3379" i="7"/>
  <c r="D3379" i="7"/>
  <c r="C3379" i="7"/>
  <c r="B3379" i="7"/>
  <c r="A3379" i="7"/>
  <c r="F3378" i="7"/>
  <c r="E3378" i="7"/>
  <c r="D3378" i="7"/>
  <c r="C3378" i="7"/>
  <c r="B3378" i="7"/>
  <c r="A3378" i="7"/>
  <c r="F3377" i="7"/>
  <c r="E3377" i="7"/>
  <c r="D3377" i="7"/>
  <c r="C3377" i="7"/>
  <c r="B3377" i="7"/>
  <c r="A3377" i="7"/>
  <c r="F3376" i="7"/>
  <c r="E3376" i="7"/>
  <c r="D3376" i="7"/>
  <c r="C3376" i="7"/>
  <c r="B3376" i="7"/>
  <c r="A3376" i="7"/>
  <c r="F3375" i="7"/>
  <c r="E3375" i="7"/>
  <c r="D3375" i="7"/>
  <c r="C3375" i="7"/>
  <c r="B3375" i="7"/>
  <c r="A3375" i="7"/>
  <c r="F3374" i="7"/>
  <c r="E3374" i="7"/>
  <c r="D3374" i="7"/>
  <c r="C3374" i="7"/>
  <c r="B3374" i="7"/>
  <c r="A3374" i="7"/>
  <c r="F3373" i="7"/>
  <c r="E3373" i="7"/>
  <c r="D3373" i="7"/>
  <c r="C3373" i="7"/>
  <c r="B3373" i="7"/>
  <c r="A3373" i="7"/>
  <c r="F3372" i="7"/>
  <c r="E3372" i="7"/>
  <c r="D3372" i="7"/>
  <c r="C3372" i="7"/>
  <c r="B3372" i="7"/>
  <c r="A3372" i="7"/>
  <c r="F3371" i="7"/>
  <c r="E3371" i="7"/>
  <c r="D3371" i="7"/>
  <c r="C3371" i="7"/>
  <c r="B3371" i="7"/>
  <c r="A3371" i="7"/>
  <c r="F3370" i="7"/>
  <c r="E3370" i="7"/>
  <c r="D3370" i="7"/>
  <c r="C3370" i="7"/>
  <c r="B3370" i="7"/>
  <c r="A3370" i="7"/>
  <c r="F3369" i="7"/>
  <c r="E3369" i="7"/>
  <c r="D3369" i="7"/>
  <c r="C3369" i="7"/>
  <c r="B3369" i="7"/>
  <c r="A3369" i="7"/>
  <c r="F3368" i="7"/>
  <c r="E3368" i="7"/>
  <c r="D3368" i="7"/>
  <c r="C3368" i="7"/>
  <c r="B3368" i="7"/>
  <c r="A3368" i="7"/>
  <c r="F3367" i="7"/>
  <c r="E3367" i="7"/>
  <c r="D3367" i="7"/>
  <c r="C3367" i="7"/>
  <c r="B3367" i="7"/>
  <c r="A3367" i="7"/>
  <c r="F3366" i="7"/>
  <c r="E3366" i="7"/>
  <c r="D3366" i="7"/>
  <c r="C3366" i="7"/>
  <c r="B3366" i="7"/>
  <c r="A3366" i="7"/>
  <c r="F3365" i="7"/>
  <c r="E3365" i="7"/>
  <c r="D3365" i="7"/>
  <c r="C3365" i="7"/>
  <c r="B3365" i="7"/>
  <c r="A3365" i="7"/>
  <c r="F3364" i="7"/>
  <c r="E3364" i="7"/>
  <c r="D3364" i="7"/>
  <c r="C3364" i="7"/>
  <c r="B3364" i="7"/>
  <c r="A3364" i="7"/>
  <c r="F3363" i="7"/>
  <c r="E3363" i="7"/>
  <c r="D3363" i="7"/>
  <c r="C3363" i="7"/>
  <c r="B3363" i="7"/>
  <c r="A3363" i="7"/>
  <c r="F3362" i="7"/>
  <c r="E3362" i="7"/>
  <c r="D3362" i="7"/>
  <c r="C3362" i="7"/>
  <c r="B3362" i="7"/>
  <c r="A3362" i="7"/>
  <c r="F3361" i="7"/>
  <c r="E3361" i="7"/>
  <c r="D3361" i="7"/>
  <c r="C3361" i="7"/>
  <c r="B3361" i="7"/>
  <c r="A3361" i="7"/>
  <c r="F3360" i="7"/>
  <c r="E3360" i="7"/>
  <c r="D3360" i="7"/>
  <c r="C3360" i="7"/>
  <c r="B3360" i="7"/>
  <c r="A3360" i="7"/>
  <c r="F3359" i="7"/>
  <c r="E3359" i="7"/>
  <c r="D3359" i="7"/>
  <c r="C3359" i="7"/>
  <c r="B3359" i="7"/>
  <c r="A3359" i="7"/>
  <c r="F3358" i="7"/>
  <c r="E3358" i="7"/>
  <c r="D3358" i="7"/>
  <c r="C3358" i="7"/>
  <c r="B3358" i="7"/>
  <c r="A3358" i="7"/>
  <c r="F3357" i="7"/>
  <c r="E3357" i="7"/>
  <c r="D3357" i="7"/>
  <c r="C3357" i="7"/>
  <c r="B3357" i="7"/>
  <c r="A3357" i="7"/>
  <c r="F3356" i="7"/>
  <c r="E3356" i="7"/>
  <c r="D3356" i="7"/>
  <c r="C3356" i="7"/>
  <c r="B3356" i="7"/>
  <c r="A3356" i="7"/>
  <c r="F3355" i="7"/>
  <c r="E3355" i="7"/>
  <c r="D3355" i="7"/>
  <c r="C3355" i="7"/>
  <c r="B3355" i="7"/>
  <c r="A3355" i="7"/>
  <c r="F3354" i="7"/>
  <c r="E3354" i="7"/>
  <c r="D3354" i="7"/>
  <c r="C3354" i="7"/>
  <c r="B3354" i="7"/>
  <c r="A3354" i="7"/>
  <c r="F3353" i="7"/>
  <c r="E3353" i="7"/>
  <c r="D3353" i="7"/>
  <c r="C3353" i="7"/>
  <c r="B3353" i="7"/>
  <c r="A3353" i="7"/>
  <c r="F3352" i="7"/>
  <c r="E3352" i="7"/>
  <c r="D3352" i="7"/>
  <c r="C3352" i="7"/>
  <c r="B3352" i="7"/>
  <c r="A3352" i="7"/>
  <c r="F3351" i="7"/>
  <c r="E3351" i="7"/>
  <c r="D3351" i="7"/>
  <c r="C3351" i="7"/>
  <c r="B3351" i="7"/>
  <c r="A3351" i="7"/>
  <c r="F3350" i="7"/>
  <c r="E3350" i="7"/>
  <c r="D3350" i="7"/>
  <c r="C3350" i="7"/>
  <c r="B3350" i="7"/>
  <c r="A3350" i="7"/>
  <c r="F3349" i="7"/>
  <c r="E3349" i="7"/>
  <c r="D3349" i="7"/>
  <c r="C3349" i="7"/>
  <c r="B3349" i="7"/>
  <c r="A3349" i="7"/>
  <c r="F3348" i="7"/>
  <c r="E3348" i="7"/>
  <c r="D3348" i="7"/>
  <c r="C3348" i="7"/>
  <c r="B3348" i="7"/>
  <c r="A3348" i="7"/>
  <c r="F3347" i="7"/>
  <c r="E3347" i="7"/>
  <c r="D3347" i="7"/>
  <c r="C3347" i="7"/>
  <c r="B3347" i="7"/>
  <c r="A3347" i="7"/>
  <c r="F3346" i="7"/>
  <c r="E3346" i="7"/>
  <c r="D3346" i="7"/>
  <c r="C3346" i="7"/>
  <c r="B3346" i="7"/>
  <c r="A3346" i="7"/>
  <c r="F3345" i="7"/>
  <c r="E3345" i="7"/>
  <c r="D3345" i="7"/>
  <c r="C3345" i="7"/>
  <c r="B3345" i="7"/>
  <c r="A3345" i="7"/>
  <c r="F3344" i="7"/>
  <c r="E3344" i="7"/>
  <c r="D3344" i="7"/>
  <c r="C3344" i="7"/>
  <c r="B3344" i="7"/>
  <c r="A3344" i="7"/>
  <c r="F3343" i="7"/>
  <c r="E3343" i="7"/>
  <c r="D3343" i="7"/>
  <c r="C3343" i="7"/>
  <c r="B3343" i="7"/>
  <c r="A3343" i="7"/>
  <c r="F3342" i="7"/>
  <c r="E3342" i="7"/>
  <c r="D3342" i="7"/>
  <c r="C3342" i="7"/>
  <c r="B3342" i="7"/>
  <c r="A3342" i="7"/>
  <c r="F3341" i="7"/>
  <c r="E3341" i="7"/>
  <c r="D3341" i="7"/>
  <c r="C3341" i="7"/>
  <c r="B3341" i="7"/>
  <c r="A3341" i="7"/>
  <c r="F3340" i="7"/>
  <c r="E3340" i="7"/>
  <c r="D3340" i="7"/>
  <c r="C3340" i="7"/>
  <c r="B3340" i="7"/>
  <c r="A3340" i="7"/>
  <c r="F3339" i="7"/>
  <c r="E3339" i="7"/>
  <c r="D3339" i="7"/>
  <c r="C3339" i="7"/>
  <c r="B3339" i="7"/>
  <c r="A3339" i="7"/>
  <c r="F3338" i="7"/>
  <c r="E3338" i="7"/>
  <c r="D3338" i="7"/>
  <c r="C3338" i="7"/>
  <c r="B3338" i="7"/>
  <c r="A3338" i="7"/>
  <c r="F3337" i="7"/>
  <c r="E3337" i="7"/>
  <c r="D3337" i="7"/>
  <c r="C3337" i="7"/>
  <c r="B3337" i="7"/>
  <c r="A3337" i="7"/>
  <c r="F3336" i="7"/>
  <c r="E3336" i="7"/>
  <c r="D3336" i="7"/>
  <c r="C3336" i="7"/>
  <c r="B3336" i="7"/>
  <c r="A3336" i="7"/>
  <c r="F3335" i="7"/>
  <c r="E3335" i="7"/>
  <c r="D3335" i="7"/>
  <c r="C3335" i="7"/>
  <c r="B3335" i="7"/>
  <c r="A3335" i="7"/>
  <c r="F3334" i="7"/>
  <c r="E3334" i="7"/>
  <c r="D3334" i="7"/>
  <c r="C3334" i="7"/>
  <c r="B3334" i="7"/>
  <c r="A3334" i="7"/>
  <c r="F3333" i="7"/>
  <c r="E3333" i="7"/>
  <c r="D3333" i="7"/>
  <c r="C3333" i="7"/>
  <c r="B3333" i="7"/>
  <c r="A3333" i="7"/>
  <c r="F3332" i="7"/>
  <c r="E3332" i="7"/>
  <c r="D3332" i="7"/>
  <c r="C3332" i="7"/>
  <c r="B3332" i="7"/>
  <c r="A3332" i="7"/>
  <c r="F3331" i="7"/>
  <c r="E3331" i="7"/>
  <c r="D3331" i="7"/>
  <c r="C3331" i="7"/>
  <c r="B3331" i="7"/>
  <c r="A3331" i="7"/>
  <c r="F3330" i="7"/>
  <c r="E3330" i="7"/>
  <c r="D3330" i="7"/>
  <c r="C3330" i="7"/>
  <c r="B3330" i="7"/>
  <c r="A3330" i="7"/>
  <c r="F3329" i="7"/>
  <c r="E3329" i="7"/>
  <c r="D3329" i="7"/>
  <c r="C3329" i="7"/>
  <c r="B3329" i="7"/>
  <c r="A3329" i="7"/>
  <c r="F3328" i="7"/>
  <c r="E3328" i="7"/>
  <c r="D3328" i="7"/>
  <c r="C3328" i="7"/>
  <c r="B3328" i="7"/>
  <c r="A3328" i="7"/>
  <c r="F3327" i="7"/>
  <c r="E3327" i="7"/>
  <c r="D3327" i="7"/>
  <c r="C3327" i="7"/>
  <c r="B3327" i="7"/>
  <c r="A3327" i="7"/>
  <c r="F3326" i="7"/>
  <c r="E3326" i="7"/>
  <c r="D3326" i="7"/>
  <c r="C3326" i="7"/>
  <c r="B3326" i="7"/>
  <c r="A3326" i="7"/>
  <c r="F3325" i="7"/>
  <c r="E3325" i="7"/>
  <c r="D3325" i="7"/>
  <c r="C3325" i="7"/>
  <c r="B3325" i="7"/>
  <c r="A3325" i="7"/>
  <c r="F3324" i="7"/>
  <c r="E3324" i="7"/>
  <c r="D3324" i="7"/>
  <c r="C3324" i="7"/>
  <c r="B3324" i="7"/>
  <c r="A3324" i="7"/>
  <c r="F3323" i="7"/>
  <c r="E3323" i="7"/>
  <c r="D3323" i="7"/>
  <c r="C3323" i="7"/>
  <c r="B3323" i="7"/>
  <c r="A3323" i="7"/>
  <c r="F3322" i="7"/>
  <c r="E3322" i="7"/>
  <c r="D3322" i="7"/>
  <c r="C3322" i="7"/>
  <c r="B3322" i="7"/>
  <c r="A3322" i="7"/>
  <c r="F3321" i="7"/>
  <c r="E3321" i="7"/>
  <c r="D3321" i="7"/>
  <c r="C3321" i="7"/>
  <c r="B3321" i="7"/>
  <c r="A3321" i="7"/>
  <c r="F3320" i="7"/>
  <c r="E3320" i="7"/>
  <c r="D3320" i="7"/>
  <c r="C3320" i="7"/>
  <c r="B3320" i="7"/>
  <c r="A3320" i="7"/>
  <c r="F3319" i="7"/>
  <c r="E3319" i="7"/>
  <c r="D3319" i="7"/>
  <c r="C3319" i="7"/>
  <c r="B3319" i="7"/>
  <c r="A3319" i="7"/>
  <c r="F3318" i="7"/>
  <c r="E3318" i="7"/>
  <c r="D3318" i="7"/>
  <c r="C3318" i="7"/>
  <c r="B3318" i="7"/>
  <c r="A3318" i="7"/>
  <c r="F3317" i="7"/>
  <c r="E3317" i="7"/>
  <c r="D3317" i="7"/>
  <c r="C3317" i="7"/>
  <c r="B3317" i="7"/>
  <c r="A3317" i="7"/>
  <c r="F3316" i="7"/>
  <c r="E3316" i="7"/>
  <c r="D3316" i="7"/>
  <c r="C3316" i="7"/>
  <c r="B3316" i="7"/>
  <c r="A3316" i="7"/>
  <c r="F3315" i="7"/>
  <c r="E3315" i="7"/>
  <c r="D3315" i="7"/>
  <c r="C3315" i="7"/>
  <c r="B3315" i="7"/>
  <c r="A3315" i="7"/>
  <c r="F3314" i="7"/>
  <c r="E3314" i="7"/>
  <c r="D3314" i="7"/>
  <c r="C3314" i="7"/>
  <c r="B3314" i="7"/>
  <c r="A3314" i="7"/>
  <c r="F3313" i="7"/>
  <c r="E3313" i="7"/>
  <c r="D3313" i="7"/>
  <c r="C3313" i="7"/>
  <c r="B3313" i="7"/>
  <c r="A3313" i="7"/>
  <c r="F3312" i="7"/>
  <c r="E3312" i="7"/>
  <c r="D3312" i="7"/>
  <c r="C3312" i="7"/>
  <c r="B3312" i="7"/>
  <c r="A3312" i="7"/>
  <c r="F3311" i="7"/>
  <c r="E3311" i="7"/>
  <c r="D3311" i="7"/>
  <c r="C3311" i="7"/>
  <c r="B3311" i="7"/>
  <c r="A3311" i="7"/>
  <c r="F3310" i="7"/>
  <c r="E3310" i="7"/>
  <c r="D3310" i="7"/>
  <c r="C3310" i="7"/>
  <c r="B3310" i="7"/>
  <c r="A3310" i="7"/>
  <c r="F3309" i="7"/>
  <c r="E3309" i="7"/>
  <c r="D3309" i="7"/>
  <c r="C3309" i="7"/>
  <c r="B3309" i="7"/>
  <c r="A3309" i="7"/>
  <c r="F3308" i="7"/>
  <c r="E3308" i="7"/>
  <c r="D3308" i="7"/>
  <c r="C3308" i="7"/>
  <c r="B3308" i="7"/>
  <c r="A3308" i="7"/>
  <c r="F3307" i="7"/>
  <c r="E3307" i="7"/>
  <c r="D3307" i="7"/>
  <c r="C3307" i="7"/>
  <c r="B3307" i="7"/>
  <c r="A3307" i="7"/>
  <c r="F3306" i="7"/>
  <c r="E3306" i="7"/>
  <c r="D3306" i="7"/>
  <c r="C3306" i="7"/>
  <c r="B3306" i="7"/>
  <c r="A3306" i="7"/>
  <c r="F3305" i="7"/>
  <c r="E3305" i="7"/>
  <c r="D3305" i="7"/>
  <c r="C3305" i="7"/>
  <c r="B3305" i="7"/>
  <c r="A3305" i="7"/>
  <c r="F3304" i="7"/>
  <c r="E3304" i="7"/>
  <c r="D3304" i="7"/>
  <c r="C3304" i="7"/>
  <c r="B3304" i="7"/>
  <c r="A3304" i="7"/>
  <c r="F3303" i="7"/>
  <c r="E3303" i="7"/>
  <c r="D3303" i="7"/>
  <c r="C3303" i="7"/>
  <c r="B3303" i="7"/>
  <c r="A3303" i="7"/>
  <c r="F3302" i="7"/>
  <c r="E3302" i="7"/>
  <c r="D3302" i="7"/>
  <c r="C3302" i="7"/>
  <c r="B3302" i="7"/>
  <c r="A3302" i="7"/>
  <c r="F3301" i="7"/>
  <c r="E3301" i="7"/>
  <c r="D3301" i="7"/>
  <c r="C3301" i="7"/>
  <c r="B3301" i="7"/>
  <c r="A3301" i="7"/>
  <c r="F3300" i="7"/>
  <c r="E3300" i="7"/>
  <c r="D3300" i="7"/>
  <c r="C3300" i="7"/>
  <c r="B3300" i="7"/>
  <c r="A3300" i="7"/>
  <c r="F3299" i="7"/>
  <c r="E3299" i="7"/>
  <c r="D3299" i="7"/>
  <c r="C3299" i="7"/>
  <c r="B3299" i="7"/>
  <c r="A3299" i="7"/>
  <c r="F3298" i="7"/>
  <c r="E3298" i="7"/>
  <c r="D3298" i="7"/>
  <c r="C3298" i="7"/>
  <c r="B3298" i="7"/>
  <c r="A3298" i="7"/>
  <c r="F3297" i="7"/>
  <c r="E3297" i="7"/>
  <c r="D3297" i="7"/>
  <c r="C3297" i="7"/>
  <c r="B3297" i="7"/>
  <c r="A3297" i="7"/>
  <c r="F3296" i="7"/>
  <c r="E3296" i="7"/>
  <c r="D3296" i="7"/>
  <c r="C3296" i="7"/>
  <c r="B3296" i="7"/>
  <c r="A3296" i="7"/>
  <c r="F3295" i="7"/>
  <c r="E3295" i="7"/>
  <c r="D3295" i="7"/>
  <c r="C3295" i="7"/>
  <c r="B3295" i="7"/>
  <c r="A3295" i="7"/>
  <c r="F3294" i="7"/>
  <c r="E3294" i="7"/>
  <c r="D3294" i="7"/>
  <c r="C3294" i="7"/>
  <c r="B3294" i="7"/>
  <c r="A3294" i="7"/>
  <c r="F3293" i="7"/>
  <c r="E3293" i="7"/>
  <c r="D3293" i="7"/>
  <c r="C3293" i="7"/>
  <c r="B3293" i="7"/>
  <c r="A3293" i="7"/>
  <c r="F3292" i="7"/>
  <c r="E3292" i="7"/>
  <c r="D3292" i="7"/>
  <c r="C3292" i="7"/>
  <c r="B3292" i="7"/>
  <c r="A3292" i="7"/>
  <c r="F3291" i="7"/>
  <c r="E3291" i="7"/>
  <c r="D3291" i="7"/>
  <c r="C3291" i="7"/>
  <c r="B3291" i="7"/>
  <c r="A3291" i="7"/>
  <c r="F3290" i="7"/>
  <c r="E3290" i="7"/>
  <c r="D3290" i="7"/>
  <c r="C3290" i="7"/>
  <c r="B3290" i="7"/>
  <c r="A3290" i="7"/>
  <c r="F3289" i="7"/>
  <c r="E3289" i="7"/>
  <c r="D3289" i="7"/>
  <c r="C3289" i="7"/>
  <c r="B3289" i="7"/>
  <c r="A3289" i="7"/>
  <c r="F3288" i="7"/>
  <c r="E3288" i="7"/>
  <c r="D3288" i="7"/>
  <c r="C3288" i="7"/>
  <c r="B3288" i="7"/>
  <c r="A3288" i="7"/>
  <c r="F3287" i="7"/>
  <c r="E3287" i="7"/>
  <c r="D3287" i="7"/>
  <c r="C3287" i="7"/>
  <c r="B3287" i="7"/>
  <c r="A3287" i="7"/>
  <c r="F3286" i="7"/>
  <c r="E3286" i="7"/>
  <c r="D3286" i="7"/>
  <c r="C3286" i="7"/>
  <c r="B3286" i="7"/>
  <c r="A3286" i="7"/>
  <c r="F3285" i="7"/>
  <c r="E3285" i="7"/>
  <c r="D3285" i="7"/>
  <c r="C3285" i="7"/>
  <c r="B3285" i="7"/>
  <c r="A3285" i="7"/>
  <c r="F3284" i="7"/>
  <c r="E3284" i="7"/>
  <c r="D3284" i="7"/>
  <c r="C3284" i="7"/>
  <c r="B3284" i="7"/>
  <c r="A3284" i="7"/>
  <c r="F3283" i="7"/>
  <c r="E3283" i="7"/>
  <c r="D3283" i="7"/>
  <c r="C3283" i="7"/>
  <c r="B3283" i="7"/>
  <c r="A3283" i="7"/>
  <c r="F3282" i="7"/>
  <c r="E3282" i="7"/>
  <c r="D3282" i="7"/>
  <c r="C3282" i="7"/>
  <c r="B3282" i="7"/>
  <c r="A3282" i="7"/>
  <c r="F3281" i="7"/>
  <c r="E3281" i="7"/>
  <c r="D3281" i="7"/>
  <c r="C3281" i="7"/>
  <c r="B3281" i="7"/>
  <c r="A3281" i="7"/>
  <c r="F3280" i="7"/>
  <c r="E3280" i="7"/>
  <c r="D3280" i="7"/>
  <c r="C3280" i="7"/>
  <c r="B3280" i="7"/>
  <c r="A3280" i="7"/>
  <c r="F3279" i="7"/>
  <c r="E3279" i="7"/>
  <c r="D3279" i="7"/>
  <c r="C3279" i="7"/>
  <c r="B3279" i="7"/>
  <c r="A3279" i="7"/>
  <c r="F3278" i="7"/>
  <c r="E3278" i="7"/>
  <c r="D3278" i="7"/>
  <c r="C3278" i="7"/>
  <c r="B3278" i="7"/>
  <c r="A3278" i="7"/>
  <c r="F3277" i="7"/>
  <c r="E3277" i="7"/>
  <c r="D3277" i="7"/>
  <c r="C3277" i="7"/>
  <c r="B3277" i="7"/>
  <c r="A3277" i="7"/>
  <c r="F3276" i="7"/>
  <c r="E3276" i="7"/>
  <c r="D3276" i="7"/>
  <c r="C3276" i="7"/>
  <c r="B3276" i="7"/>
  <c r="A3276" i="7"/>
  <c r="F3275" i="7"/>
  <c r="E3275" i="7"/>
  <c r="D3275" i="7"/>
  <c r="C3275" i="7"/>
  <c r="B3275" i="7"/>
  <c r="A3275" i="7"/>
  <c r="F3274" i="7"/>
  <c r="E3274" i="7"/>
  <c r="D3274" i="7"/>
  <c r="C3274" i="7"/>
  <c r="B3274" i="7"/>
  <c r="A3274" i="7"/>
  <c r="F3273" i="7"/>
  <c r="E3273" i="7"/>
  <c r="D3273" i="7"/>
  <c r="C3273" i="7"/>
  <c r="B3273" i="7"/>
  <c r="A3273" i="7"/>
  <c r="F3272" i="7"/>
  <c r="E3272" i="7"/>
  <c r="D3272" i="7"/>
  <c r="C3272" i="7"/>
  <c r="B3272" i="7"/>
  <c r="A3272" i="7"/>
  <c r="F3271" i="7"/>
  <c r="E3271" i="7"/>
  <c r="D3271" i="7"/>
  <c r="C3271" i="7"/>
  <c r="B3271" i="7"/>
  <c r="A3271" i="7"/>
  <c r="F3270" i="7"/>
  <c r="E3270" i="7"/>
  <c r="D3270" i="7"/>
  <c r="C3270" i="7"/>
  <c r="B3270" i="7"/>
  <c r="A3270" i="7"/>
  <c r="F3269" i="7"/>
  <c r="E3269" i="7"/>
  <c r="D3269" i="7"/>
  <c r="C3269" i="7"/>
  <c r="B3269" i="7"/>
  <c r="A3269" i="7"/>
  <c r="F3268" i="7"/>
  <c r="E3268" i="7"/>
  <c r="D3268" i="7"/>
  <c r="C3268" i="7"/>
  <c r="B3268" i="7"/>
  <c r="A3268" i="7"/>
  <c r="F3267" i="7"/>
  <c r="E3267" i="7"/>
  <c r="D3267" i="7"/>
  <c r="C3267" i="7"/>
  <c r="B3267" i="7"/>
  <c r="A3267" i="7"/>
  <c r="F3266" i="7"/>
  <c r="E3266" i="7"/>
  <c r="D3266" i="7"/>
  <c r="C3266" i="7"/>
  <c r="B3266" i="7"/>
  <c r="A3266" i="7"/>
  <c r="F3265" i="7"/>
  <c r="E3265" i="7"/>
  <c r="D3265" i="7"/>
  <c r="C3265" i="7"/>
  <c r="B3265" i="7"/>
  <c r="A3265" i="7"/>
  <c r="F3264" i="7"/>
  <c r="E3264" i="7"/>
  <c r="D3264" i="7"/>
  <c r="C3264" i="7"/>
  <c r="B3264" i="7"/>
  <c r="A3264" i="7"/>
  <c r="F3263" i="7"/>
  <c r="E3263" i="7"/>
  <c r="D3263" i="7"/>
  <c r="C3263" i="7"/>
  <c r="B3263" i="7"/>
  <c r="A3263" i="7"/>
  <c r="F3262" i="7"/>
  <c r="E3262" i="7"/>
  <c r="D3262" i="7"/>
  <c r="C3262" i="7"/>
  <c r="B3262" i="7"/>
  <c r="A3262" i="7"/>
  <c r="F3261" i="7"/>
  <c r="E3261" i="7"/>
  <c r="D3261" i="7"/>
  <c r="C3261" i="7"/>
  <c r="B3261" i="7"/>
  <c r="A3261" i="7"/>
  <c r="F3260" i="7"/>
  <c r="E3260" i="7"/>
  <c r="D3260" i="7"/>
  <c r="C3260" i="7"/>
  <c r="B3260" i="7"/>
  <c r="A3260" i="7"/>
  <c r="F3259" i="7"/>
  <c r="E3259" i="7"/>
  <c r="D3259" i="7"/>
  <c r="C3259" i="7"/>
  <c r="B3259" i="7"/>
  <c r="A3259" i="7"/>
  <c r="F3258" i="7"/>
  <c r="E3258" i="7"/>
  <c r="D3258" i="7"/>
  <c r="C3258" i="7"/>
  <c r="B3258" i="7"/>
  <c r="A3258" i="7"/>
  <c r="F3257" i="7"/>
  <c r="E3257" i="7"/>
  <c r="D3257" i="7"/>
  <c r="C3257" i="7"/>
  <c r="B3257" i="7"/>
  <c r="A3257" i="7"/>
  <c r="F3256" i="7"/>
  <c r="E3256" i="7"/>
  <c r="D3256" i="7"/>
  <c r="C3256" i="7"/>
  <c r="B3256" i="7"/>
  <c r="A3256" i="7"/>
  <c r="F3255" i="7"/>
  <c r="E3255" i="7"/>
  <c r="D3255" i="7"/>
  <c r="C3255" i="7"/>
  <c r="B3255" i="7"/>
  <c r="A3255" i="7"/>
  <c r="F3254" i="7"/>
  <c r="E3254" i="7"/>
  <c r="D3254" i="7"/>
  <c r="C3254" i="7"/>
  <c r="B3254" i="7"/>
  <c r="A3254" i="7"/>
  <c r="F3253" i="7"/>
  <c r="E3253" i="7"/>
  <c r="D3253" i="7"/>
  <c r="C3253" i="7"/>
  <c r="B3253" i="7"/>
  <c r="A3253" i="7"/>
  <c r="F3252" i="7"/>
  <c r="E3252" i="7"/>
  <c r="D3252" i="7"/>
  <c r="C3252" i="7"/>
  <c r="B3252" i="7"/>
  <c r="A3252" i="7"/>
  <c r="F3251" i="7"/>
  <c r="E3251" i="7"/>
  <c r="D3251" i="7"/>
  <c r="C3251" i="7"/>
  <c r="B3251" i="7"/>
  <c r="A3251" i="7"/>
  <c r="F3250" i="7"/>
  <c r="E3250" i="7"/>
  <c r="D3250" i="7"/>
  <c r="C3250" i="7"/>
  <c r="B3250" i="7"/>
  <c r="A3250" i="7"/>
  <c r="F3249" i="7"/>
  <c r="E3249" i="7"/>
  <c r="D3249" i="7"/>
  <c r="C3249" i="7"/>
  <c r="B3249" i="7"/>
  <c r="A3249" i="7"/>
  <c r="F3248" i="7"/>
  <c r="E3248" i="7"/>
  <c r="D3248" i="7"/>
  <c r="C3248" i="7"/>
  <c r="B3248" i="7"/>
  <c r="A3248" i="7"/>
  <c r="F3247" i="7"/>
  <c r="E3247" i="7"/>
  <c r="D3247" i="7"/>
  <c r="C3247" i="7"/>
  <c r="B3247" i="7"/>
  <c r="A3247" i="7"/>
  <c r="F3246" i="7"/>
  <c r="E3246" i="7"/>
  <c r="D3246" i="7"/>
  <c r="C3246" i="7"/>
  <c r="B3246" i="7"/>
  <c r="A3246" i="7"/>
  <c r="F3245" i="7"/>
  <c r="E3245" i="7"/>
  <c r="D3245" i="7"/>
  <c r="C3245" i="7"/>
  <c r="B3245" i="7"/>
  <c r="A3245" i="7"/>
  <c r="F3244" i="7"/>
  <c r="E3244" i="7"/>
  <c r="D3244" i="7"/>
  <c r="C3244" i="7"/>
  <c r="B3244" i="7"/>
  <c r="A3244" i="7"/>
  <c r="F3243" i="7"/>
  <c r="E3243" i="7"/>
  <c r="D3243" i="7"/>
  <c r="C3243" i="7"/>
  <c r="B3243" i="7"/>
  <c r="A3243" i="7"/>
  <c r="F3242" i="7"/>
  <c r="E3242" i="7"/>
  <c r="D3242" i="7"/>
  <c r="C3242" i="7"/>
  <c r="B3242" i="7"/>
  <c r="A3242" i="7"/>
  <c r="F3241" i="7"/>
  <c r="E3241" i="7"/>
  <c r="D3241" i="7"/>
  <c r="C3241" i="7"/>
  <c r="B3241" i="7"/>
  <c r="A3241" i="7"/>
  <c r="F3240" i="7"/>
  <c r="E3240" i="7"/>
  <c r="D3240" i="7"/>
  <c r="C3240" i="7"/>
  <c r="B3240" i="7"/>
  <c r="A3240" i="7"/>
  <c r="F3239" i="7"/>
  <c r="E3239" i="7"/>
  <c r="D3239" i="7"/>
  <c r="C3239" i="7"/>
  <c r="B3239" i="7"/>
  <c r="A3239" i="7"/>
  <c r="F3238" i="7"/>
  <c r="E3238" i="7"/>
  <c r="D3238" i="7"/>
  <c r="C3238" i="7"/>
  <c r="B3238" i="7"/>
  <c r="A3238" i="7"/>
  <c r="F3237" i="7"/>
  <c r="E3237" i="7"/>
  <c r="D3237" i="7"/>
  <c r="C3237" i="7"/>
  <c r="B3237" i="7"/>
  <c r="A3237" i="7"/>
  <c r="F3236" i="7"/>
  <c r="E3236" i="7"/>
  <c r="D3236" i="7"/>
  <c r="C3236" i="7"/>
  <c r="B3236" i="7"/>
  <c r="A3236" i="7"/>
  <c r="F3235" i="7"/>
  <c r="E3235" i="7"/>
  <c r="D3235" i="7"/>
  <c r="C3235" i="7"/>
  <c r="B3235" i="7"/>
  <c r="A3235" i="7"/>
  <c r="F3234" i="7"/>
  <c r="E3234" i="7"/>
  <c r="D3234" i="7"/>
  <c r="C3234" i="7"/>
  <c r="B3234" i="7"/>
  <c r="A3234" i="7"/>
  <c r="F3233" i="7"/>
  <c r="E3233" i="7"/>
  <c r="D3233" i="7"/>
  <c r="C3233" i="7"/>
  <c r="B3233" i="7"/>
  <c r="A3233" i="7"/>
  <c r="F3232" i="7"/>
  <c r="E3232" i="7"/>
  <c r="D3232" i="7"/>
  <c r="C3232" i="7"/>
  <c r="B3232" i="7"/>
  <c r="A3232" i="7"/>
  <c r="F3231" i="7"/>
  <c r="E3231" i="7"/>
  <c r="D3231" i="7"/>
  <c r="C3231" i="7"/>
  <c r="B3231" i="7"/>
  <c r="A3231" i="7"/>
  <c r="F3230" i="7"/>
  <c r="E3230" i="7"/>
  <c r="D3230" i="7"/>
  <c r="C3230" i="7"/>
  <c r="B3230" i="7"/>
  <c r="A3230" i="7"/>
  <c r="F3229" i="7"/>
  <c r="E3229" i="7"/>
  <c r="D3229" i="7"/>
  <c r="C3229" i="7"/>
  <c r="B3229" i="7"/>
  <c r="A3229" i="7"/>
  <c r="F3228" i="7"/>
  <c r="E3228" i="7"/>
  <c r="D3228" i="7"/>
  <c r="C3228" i="7"/>
  <c r="B3228" i="7"/>
  <c r="A3228" i="7"/>
  <c r="F3227" i="7"/>
  <c r="E3227" i="7"/>
  <c r="D3227" i="7"/>
  <c r="C3227" i="7"/>
  <c r="B3227" i="7"/>
  <c r="A3227" i="7"/>
  <c r="F3226" i="7"/>
  <c r="E3226" i="7"/>
  <c r="D3226" i="7"/>
  <c r="C3226" i="7"/>
  <c r="B3226" i="7"/>
  <c r="A3226" i="7"/>
  <c r="F3225" i="7"/>
  <c r="E3225" i="7"/>
  <c r="D3225" i="7"/>
  <c r="C3225" i="7"/>
  <c r="B3225" i="7"/>
  <c r="A3225" i="7"/>
  <c r="F3224" i="7"/>
  <c r="E3224" i="7"/>
  <c r="D3224" i="7"/>
  <c r="C3224" i="7"/>
  <c r="B3224" i="7"/>
  <c r="A3224" i="7"/>
  <c r="F3223" i="7"/>
  <c r="E3223" i="7"/>
  <c r="D3223" i="7"/>
  <c r="C3223" i="7"/>
  <c r="B3223" i="7"/>
  <c r="A3223" i="7"/>
  <c r="F3222" i="7"/>
  <c r="E3222" i="7"/>
  <c r="D3222" i="7"/>
  <c r="C3222" i="7"/>
  <c r="B3222" i="7"/>
  <c r="A3222" i="7"/>
  <c r="F3221" i="7"/>
  <c r="E3221" i="7"/>
  <c r="D3221" i="7"/>
  <c r="C3221" i="7"/>
  <c r="B3221" i="7"/>
  <c r="A3221" i="7"/>
  <c r="F3220" i="7"/>
  <c r="E3220" i="7"/>
  <c r="D3220" i="7"/>
  <c r="C3220" i="7"/>
  <c r="B3220" i="7"/>
  <c r="A3220" i="7"/>
  <c r="F3219" i="7"/>
  <c r="E3219" i="7"/>
  <c r="D3219" i="7"/>
  <c r="C3219" i="7"/>
  <c r="B3219" i="7"/>
  <c r="A3219" i="7"/>
  <c r="F3218" i="7"/>
  <c r="E3218" i="7"/>
  <c r="D3218" i="7"/>
  <c r="C3218" i="7"/>
  <c r="B3218" i="7"/>
  <c r="A3218" i="7"/>
  <c r="F3217" i="7"/>
  <c r="E3217" i="7"/>
  <c r="D3217" i="7"/>
  <c r="C3217" i="7"/>
  <c r="B3217" i="7"/>
  <c r="A3217" i="7"/>
  <c r="F3216" i="7"/>
  <c r="E3216" i="7"/>
  <c r="D3216" i="7"/>
  <c r="C3216" i="7"/>
  <c r="B3216" i="7"/>
  <c r="A3216" i="7"/>
  <c r="F3215" i="7"/>
  <c r="E3215" i="7"/>
  <c r="D3215" i="7"/>
  <c r="C3215" i="7"/>
  <c r="B3215" i="7"/>
  <c r="A3215" i="7"/>
  <c r="F3214" i="7"/>
  <c r="E3214" i="7"/>
  <c r="D3214" i="7"/>
  <c r="C3214" i="7"/>
  <c r="B3214" i="7"/>
  <c r="A3214" i="7"/>
  <c r="F3213" i="7"/>
  <c r="E3213" i="7"/>
  <c r="D3213" i="7"/>
  <c r="C3213" i="7"/>
  <c r="B3213" i="7"/>
  <c r="A3213" i="7"/>
  <c r="F3212" i="7"/>
  <c r="E3212" i="7"/>
  <c r="D3212" i="7"/>
  <c r="C3212" i="7"/>
  <c r="B3212" i="7"/>
  <c r="A3212" i="7"/>
  <c r="F3211" i="7"/>
  <c r="E3211" i="7"/>
  <c r="D3211" i="7"/>
  <c r="C3211" i="7"/>
  <c r="B3211" i="7"/>
  <c r="A3211" i="7"/>
  <c r="F3210" i="7"/>
  <c r="E3210" i="7"/>
  <c r="D3210" i="7"/>
  <c r="C3210" i="7"/>
  <c r="B3210" i="7"/>
  <c r="A3210" i="7"/>
  <c r="F3209" i="7"/>
  <c r="E3209" i="7"/>
  <c r="D3209" i="7"/>
  <c r="C3209" i="7"/>
  <c r="B3209" i="7"/>
  <c r="A3209" i="7"/>
  <c r="F3208" i="7"/>
  <c r="E3208" i="7"/>
  <c r="D3208" i="7"/>
  <c r="C3208" i="7"/>
  <c r="B3208" i="7"/>
  <c r="A3208" i="7"/>
  <c r="F3207" i="7"/>
  <c r="E3207" i="7"/>
  <c r="D3207" i="7"/>
  <c r="C3207" i="7"/>
  <c r="B3207" i="7"/>
  <c r="A3207" i="7"/>
  <c r="F3206" i="7"/>
  <c r="E3206" i="7"/>
  <c r="D3206" i="7"/>
  <c r="C3206" i="7"/>
  <c r="B3206" i="7"/>
  <c r="A3206" i="7"/>
  <c r="F3205" i="7"/>
  <c r="E3205" i="7"/>
  <c r="D3205" i="7"/>
  <c r="C3205" i="7"/>
  <c r="B3205" i="7"/>
  <c r="A3205" i="7"/>
  <c r="F3204" i="7"/>
  <c r="E3204" i="7"/>
  <c r="D3204" i="7"/>
  <c r="C3204" i="7"/>
  <c r="B3204" i="7"/>
  <c r="A3204" i="7"/>
  <c r="F3203" i="7"/>
  <c r="E3203" i="7"/>
  <c r="D3203" i="7"/>
  <c r="C3203" i="7"/>
  <c r="B3203" i="7"/>
  <c r="A3203" i="7"/>
  <c r="F3202" i="7"/>
  <c r="E3202" i="7"/>
  <c r="D3202" i="7"/>
  <c r="C3202" i="7"/>
  <c r="B3202" i="7"/>
  <c r="A3202" i="7"/>
  <c r="F3201" i="7"/>
  <c r="E3201" i="7"/>
  <c r="D3201" i="7"/>
  <c r="C3201" i="7"/>
  <c r="B3201" i="7"/>
  <c r="A3201" i="7"/>
  <c r="F3200" i="7"/>
  <c r="E3200" i="7"/>
  <c r="D3200" i="7"/>
  <c r="C3200" i="7"/>
  <c r="B3200" i="7"/>
  <c r="A3200" i="7"/>
  <c r="F3199" i="7"/>
  <c r="E3199" i="7"/>
  <c r="D3199" i="7"/>
  <c r="C3199" i="7"/>
  <c r="B3199" i="7"/>
  <c r="A3199" i="7"/>
  <c r="F3198" i="7"/>
  <c r="E3198" i="7"/>
  <c r="D3198" i="7"/>
  <c r="C3198" i="7"/>
  <c r="B3198" i="7"/>
  <c r="A3198" i="7"/>
  <c r="F3197" i="7"/>
  <c r="E3197" i="7"/>
  <c r="D3197" i="7"/>
  <c r="C3197" i="7"/>
  <c r="B3197" i="7"/>
  <c r="A3197" i="7"/>
  <c r="F3196" i="7"/>
  <c r="E3196" i="7"/>
  <c r="D3196" i="7"/>
  <c r="C3196" i="7"/>
  <c r="B3196" i="7"/>
  <c r="A3196" i="7"/>
  <c r="F3195" i="7"/>
  <c r="E3195" i="7"/>
  <c r="D3195" i="7"/>
  <c r="C3195" i="7"/>
  <c r="B3195" i="7"/>
  <c r="A3195" i="7"/>
  <c r="F3194" i="7"/>
  <c r="E3194" i="7"/>
  <c r="D3194" i="7"/>
  <c r="C3194" i="7"/>
  <c r="B3194" i="7"/>
  <c r="A3194" i="7"/>
  <c r="F3193" i="7"/>
  <c r="E3193" i="7"/>
  <c r="D3193" i="7"/>
  <c r="C3193" i="7"/>
  <c r="B3193" i="7"/>
  <c r="A3193" i="7"/>
  <c r="F3192" i="7"/>
  <c r="E3192" i="7"/>
  <c r="D3192" i="7"/>
  <c r="C3192" i="7"/>
  <c r="B3192" i="7"/>
  <c r="A3192" i="7"/>
  <c r="F3191" i="7"/>
  <c r="E3191" i="7"/>
  <c r="D3191" i="7"/>
  <c r="C3191" i="7"/>
  <c r="B3191" i="7"/>
  <c r="A3191" i="7"/>
  <c r="F3190" i="7"/>
  <c r="E3190" i="7"/>
  <c r="D3190" i="7"/>
  <c r="C3190" i="7"/>
  <c r="B3190" i="7"/>
  <c r="A3190" i="7"/>
  <c r="F3189" i="7"/>
  <c r="E3189" i="7"/>
  <c r="D3189" i="7"/>
  <c r="C3189" i="7"/>
  <c r="B3189" i="7"/>
  <c r="A3189" i="7"/>
  <c r="F3188" i="7"/>
  <c r="E3188" i="7"/>
  <c r="D3188" i="7"/>
  <c r="C3188" i="7"/>
  <c r="B3188" i="7"/>
  <c r="A3188" i="7"/>
  <c r="F3187" i="7"/>
  <c r="E3187" i="7"/>
  <c r="D3187" i="7"/>
  <c r="C3187" i="7"/>
  <c r="B3187" i="7"/>
  <c r="A3187" i="7"/>
  <c r="F3186" i="7"/>
  <c r="E3186" i="7"/>
  <c r="D3186" i="7"/>
  <c r="C3186" i="7"/>
  <c r="B3186" i="7"/>
  <c r="A3186" i="7"/>
  <c r="F3185" i="7"/>
  <c r="E3185" i="7"/>
  <c r="D3185" i="7"/>
  <c r="C3185" i="7"/>
  <c r="B3185" i="7"/>
  <c r="A3185" i="7"/>
  <c r="F3184" i="7"/>
  <c r="E3184" i="7"/>
  <c r="D3184" i="7"/>
  <c r="C3184" i="7"/>
  <c r="B3184" i="7"/>
  <c r="A3184" i="7"/>
  <c r="F3183" i="7"/>
  <c r="E3183" i="7"/>
  <c r="D3183" i="7"/>
  <c r="C3183" i="7"/>
  <c r="B3183" i="7"/>
  <c r="A3183" i="7"/>
  <c r="F3182" i="7"/>
  <c r="E3182" i="7"/>
  <c r="D3182" i="7"/>
  <c r="C3182" i="7"/>
  <c r="B3182" i="7"/>
  <c r="A3182" i="7"/>
  <c r="F3181" i="7"/>
  <c r="E3181" i="7"/>
  <c r="D3181" i="7"/>
  <c r="C3181" i="7"/>
  <c r="B3181" i="7"/>
  <c r="A3181" i="7"/>
  <c r="F3180" i="7"/>
  <c r="E3180" i="7"/>
  <c r="D3180" i="7"/>
  <c r="C3180" i="7"/>
  <c r="B3180" i="7"/>
  <c r="A3180" i="7"/>
  <c r="F3179" i="7"/>
  <c r="E3179" i="7"/>
  <c r="D3179" i="7"/>
  <c r="C3179" i="7"/>
  <c r="B3179" i="7"/>
  <c r="A3179" i="7"/>
  <c r="F3178" i="7"/>
  <c r="E3178" i="7"/>
  <c r="D3178" i="7"/>
  <c r="C3178" i="7"/>
  <c r="B3178" i="7"/>
  <c r="A3178" i="7"/>
  <c r="F3177" i="7"/>
  <c r="E3177" i="7"/>
  <c r="D3177" i="7"/>
  <c r="C3177" i="7"/>
  <c r="B3177" i="7"/>
  <c r="A3177" i="7"/>
  <c r="F3176" i="7"/>
  <c r="E3176" i="7"/>
  <c r="D3176" i="7"/>
  <c r="C3176" i="7"/>
  <c r="B3176" i="7"/>
  <c r="A3176" i="7"/>
  <c r="F3175" i="7"/>
  <c r="E3175" i="7"/>
  <c r="D3175" i="7"/>
  <c r="C3175" i="7"/>
  <c r="B3175" i="7"/>
  <c r="A3175" i="7"/>
  <c r="F3174" i="7"/>
  <c r="E3174" i="7"/>
  <c r="D3174" i="7"/>
  <c r="C3174" i="7"/>
  <c r="B3174" i="7"/>
  <c r="A3174" i="7"/>
  <c r="F3173" i="7"/>
  <c r="E3173" i="7"/>
  <c r="D3173" i="7"/>
  <c r="C3173" i="7"/>
  <c r="B3173" i="7"/>
  <c r="A3173" i="7"/>
  <c r="F3172" i="7"/>
  <c r="E3172" i="7"/>
  <c r="D3172" i="7"/>
  <c r="C3172" i="7"/>
  <c r="B3172" i="7"/>
  <c r="A3172" i="7"/>
  <c r="F3171" i="7"/>
  <c r="E3171" i="7"/>
  <c r="D3171" i="7"/>
  <c r="C3171" i="7"/>
  <c r="B3171" i="7"/>
  <c r="A3171" i="7"/>
  <c r="F3170" i="7"/>
  <c r="E3170" i="7"/>
  <c r="D3170" i="7"/>
  <c r="C3170" i="7"/>
  <c r="B3170" i="7"/>
  <c r="A3170" i="7"/>
  <c r="F3169" i="7"/>
  <c r="E3169" i="7"/>
  <c r="D3169" i="7"/>
  <c r="C3169" i="7"/>
  <c r="B3169" i="7"/>
  <c r="A3169" i="7"/>
  <c r="F3168" i="7"/>
  <c r="E3168" i="7"/>
  <c r="D3168" i="7"/>
  <c r="C3168" i="7"/>
  <c r="B3168" i="7"/>
  <c r="A3168" i="7"/>
  <c r="F3167" i="7"/>
  <c r="E3167" i="7"/>
  <c r="D3167" i="7"/>
  <c r="C3167" i="7"/>
  <c r="B3167" i="7"/>
  <c r="A3167" i="7"/>
  <c r="F3166" i="7"/>
  <c r="E3166" i="7"/>
  <c r="D3166" i="7"/>
  <c r="C3166" i="7"/>
  <c r="B3166" i="7"/>
  <c r="A3166" i="7"/>
  <c r="F3165" i="7"/>
  <c r="E3165" i="7"/>
  <c r="D3165" i="7"/>
  <c r="C3165" i="7"/>
  <c r="B3165" i="7"/>
  <c r="A3165" i="7"/>
  <c r="F3164" i="7"/>
  <c r="E3164" i="7"/>
  <c r="D3164" i="7"/>
  <c r="C3164" i="7"/>
  <c r="B3164" i="7"/>
  <c r="A3164" i="7"/>
  <c r="F3163" i="7"/>
  <c r="E3163" i="7"/>
  <c r="D3163" i="7"/>
  <c r="C3163" i="7"/>
  <c r="B3163" i="7"/>
  <c r="A3163" i="7"/>
  <c r="F3162" i="7"/>
  <c r="E3162" i="7"/>
  <c r="D3162" i="7"/>
  <c r="C3162" i="7"/>
  <c r="B3162" i="7"/>
  <c r="A3162" i="7"/>
  <c r="F3161" i="7"/>
  <c r="E3161" i="7"/>
  <c r="D3161" i="7"/>
  <c r="C3161" i="7"/>
  <c r="B3161" i="7"/>
  <c r="A3161" i="7"/>
  <c r="F3160" i="7"/>
  <c r="E3160" i="7"/>
  <c r="D3160" i="7"/>
  <c r="C3160" i="7"/>
  <c r="B3160" i="7"/>
  <c r="A3160" i="7"/>
  <c r="F3159" i="7"/>
  <c r="E3159" i="7"/>
  <c r="D3159" i="7"/>
  <c r="C3159" i="7"/>
  <c r="B3159" i="7"/>
  <c r="A3159" i="7"/>
  <c r="F3158" i="7"/>
  <c r="E3158" i="7"/>
  <c r="D3158" i="7"/>
  <c r="C3158" i="7"/>
  <c r="B3158" i="7"/>
  <c r="A3158" i="7"/>
  <c r="F3157" i="7"/>
  <c r="E3157" i="7"/>
  <c r="D3157" i="7"/>
  <c r="C3157" i="7"/>
  <c r="B3157" i="7"/>
  <c r="A3157" i="7"/>
  <c r="F3156" i="7"/>
  <c r="E3156" i="7"/>
  <c r="D3156" i="7"/>
  <c r="C3156" i="7"/>
  <c r="B3156" i="7"/>
  <c r="A3156" i="7"/>
  <c r="F3155" i="7"/>
  <c r="E3155" i="7"/>
  <c r="D3155" i="7"/>
  <c r="C3155" i="7"/>
  <c r="B3155" i="7"/>
  <c r="A3155" i="7"/>
  <c r="F3154" i="7"/>
  <c r="E3154" i="7"/>
  <c r="D3154" i="7"/>
  <c r="C3154" i="7"/>
  <c r="B3154" i="7"/>
  <c r="A3154" i="7"/>
  <c r="F3153" i="7"/>
  <c r="E3153" i="7"/>
  <c r="D3153" i="7"/>
  <c r="C3153" i="7"/>
  <c r="B3153" i="7"/>
  <c r="A3153" i="7"/>
  <c r="F3152" i="7"/>
  <c r="E3152" i="7"/>
  <c r="D3152" i="7"/>
  <c r="C3152" i="7"/>
  <c r="B3152" i="7"/>
  <c r="A3152" i="7"/>
  <c r="F3151" i="7"/>
  <c r="E3151" i="7"/>
  <c r="D3151" i="7"/>
  <c r="C3151" i="7"/>
  <c r="B3151" i="7"/>
  <c r="A3151" i="7"/>
  <c r="F3150" i="7"/>
  <c r="E3150" i="7"/>
  <c r="D3150" i="7"/>
  <c r="C3150" i="7"/>
  <c r="B3150" i="7"/>
  <c r="A3150" i="7"/>
  <c r="F3149" i="7"/>
  <c r="E3149" i="7"/>
  <c r="D3149" i="7"/>
  <c r="C3149" i="7"/>
  <c r="B3149" i="7"/>
  <c r="A3149" i="7"/>
  <c r="F3148" i="7"/>
  <c r="E3148" i="7"/>
  <c r="D3148" i="7"/>
  <c r="C3148" i="7"/>
  <c r="B3148" i="7"/>
  <c r="A3148" i="7"/>
  <c r="F3147" i="7"/>
  <c r="E3147" i="7"/>
  <c r="D3147" i="7"/>
  <c r="C3147" i="7"/>
  <c r="B3147" i="7"/>
  <c r="A3147" i="7"/>
  <c r="F3146" i="7"/>
  <c r="E3146" i="7"/>
  <c r="D3146" i="7"/>
  <c r="C3146" i="7"/>
  <c r="B3146" i="7"/>
  <c r="A3146" i="7"/>
  <c r="F3145" i="7"/>
  <c r="E3145" i="7"/>
  <c r="D3145" i="7"/>
  <c r="C3145" i="7"/>
  <c r="B3145" i="7"/>
  <c r="A3145" i="7"/>
  <c r="F3144" i="7"/>
  <c r="E3144" i="7"/>
  <c r="D3144" i="7"/>
  <c r="C3144" i="7"/>
  <c r="B3144" i="7"/>
  <c r="A3144" i="7"/>
  <c r="F3143" i="7"/>
  <c r="E3143" i="7"/>
  <c r="D3143" i="7"/>
  <c r="C3143" i="7"/>
  <c r="B3143" i="7"/>
  <c r="A3143" i="7"/>
  <c r="F3142" i="7"/>
  <c r="E3142" i="7"/>
  <c r="D3142" i="7"/>
  <c r="C3142" i="7"/>
  <c r="B3142" i="7"/>
  <c r="A3142" i="7"/>
  <c r="F3141" i="7"/>
  <c r="E3141" i="7"/>
  <c r="D3141" i="7"/>
  <c r="C3141" i="7"/>
  <c r="B3141" i="7"/>
  <c r="A3141" i="7"/>
  <c r="F3140" i="7"/>
  <c r="E3140" i="7"/>
  <c r="D3140" i="7"/>
  <c r="C3140" i="7"/>
  <c r="B3140" i="7"/>
  <c r="A3140" i="7"/>
  <c r="F3139" i="7"/>
  <c r="E3139" i="7"/>
  <c r="D3139" i="7"/>
  <c r="C3139" i="7"/>
  <c r="B3139" i="7"/>
  <c r="A3139" i="7"/>
  <c r="F3138" i="7"/>
  <c r="E3138" i="7"/>
  <c r="D3138" i="7"/>
  <c r="C3138" i="7"/>
  <c r="B3138" i="7"/>
  <c r="A3138" i="7"/>
  <c r="F3137" i="7"/>
  <c r="E3137" i="7"/>
  <c r="D3137" i="7"/>
  <c r="C3137" i="7"/>
  <c r="B3137" i="7"/>
  <c r="A3137" i="7"/>
  <c r="F3136" i="7"/>
  <c r="E3136" i="7"/>
  <c r="D3136" i="7"/>
  <c r="C3136" i="7"/>
  <c r="B3136" i="7"/>
  <c r="A3136" i="7"/>
  <c r="F3135" i="7"/>
  <c r="E3135" i="7"/>
  <c r="D3135" i="7"/>
  <c r="C3135" i="7"/>
  <c r="B3135" i="7"/>
  <c r="A3135" i="7"/>
  <c r="F3134" i="7"/>
  <c r="E3134" i="7"/>
  <c r="D3134" i="7"/>
  <c r="C3134" i="7"/>
  <c r="B3134" i="7"/>
  <c r="A3134" i="7"/>
  <c r="F3133" i="7"/>
  <c r="E3133" i="7"/>
  <c r="D3133" i="7"/>
  <c r="C3133" i="7"/>
  <c r="B3133" i="7"/>
  <c r="A3133" i="7"/>
  <c r="F3132" i="7"/>
  <c r="E3132" i="7"/>
  <c r="D3132" i="7"/>
  <c r="C3132" i="7"/>
  <c r="B3132" i="7"/>
  <c r="A3132" i="7"/>
  <c r="F3131" i="7"/>
  <c r="E3131" i="7"/>
  <c r="D3131" i="7"/>
  <c r="C3131" i="7"/>
  <c r="B3131" i="7"/>
  <c r="A3131" i="7"/>
  <c r="F3130" i="7"/>
  <c r="E3130" i="7"/>
  <c r="D3130" i="7"/>
  <c r="C3130" i="7"/>
  <c r="B3130" i="7"/>
  <c r="A3130" i="7"/>
  <c r="F3129" i="7"/>
  <c r="E3129" i="7"/>
  <c r="D3129" i="7"/>
  <c r="C3129" i="7"/>
  <c r="B3129" i="7"/>
  <c r="A3129" i="7"/>
  <c r="F3128" i="7"/>
  <c r="E3128" i="7"/>
  <c r="D3128" i="7"/>
  <c r="C3128" i="7"/>
  <c r="B3128" i="7"/>
  <c r="A3128" i="7"/>
  <c r="F3127" i="7"/>
  <c r="E3127" i="7"/>
  <c r="D3127" i="7"/>
  <c r="C3127" i="7"/>
  <c r="B3127" i="7"/>
  <c r="A3127" i="7"/>
  <c r="F3126" i="7"/>
  <c r="E3126" i="7"/>
  <c r="D3126" i="7"/>
  <c r="C3126" i="7"/>
  <c r="B3126" i="7"/>
  <c r="A3126" i="7"/>
  <c r="F3125" i="7"/>
  <c r="E3125" i="7"/>
  <c r="D3125" i="7"/>
  <c r="C3125" i="7"/>
  <c r="B3125" i="7"/>
  <c r="A3125" i="7"/>
  <c r="F3124" i="7"/>
  <c r="E3124" i="7"/>
  <c r="D3124" i="7"/>
  <c r="C3124" i="7"/>
  <c r="B3124" i="7"/>
  <c r="A3124" i="7"/>
  <c r="F3123" i="7"/>
  <c r="E3123" i="7"/>
  <c r="D3123" i="7"/>
  <c r="C3123" i="7"/>
  <c r="B3123" i="7"/>
  <c r="A3123" i="7"/>
  <c r="F3122" i="7"/>
  <c r="E3122" i="7"/>
  <c r="D3122" i="7"/>
  <c r="C3122" i="7"/>
  <c r="B3122" i="7"/>
  <c r="A3122" i="7"/>
  <c r="F3121" i="7"/>
  <c r="E3121" i="7"/>
  <c r="D3121" i="7"/>
  <c r="C3121" i="7"/>
  <c r="B3121" i="7"/>
  <c r="A3121" i="7"/>
  <c r="F3120" i="7"/>
  <c r="E3120" i="7"/>
  <c r="D3120" i="7"/>
  <c r="C3120" i="7"/>
  <c r="B3120" i="7"/>
  <c r="A3120" i="7"/>
  <c r="F3119" i="7"/>
  <c r="E3119" i="7"/>
  <c r="D3119" i="7"/>
  <c r="C3119" i="7"/>
  <c r="B3119" i="7"/>
  <c r="A3119" i="7"/>
  <c r="F3118" i="7"/>
  <c r="E3118" i="7"/>
  <c r="D3118" i="7"/>
  <c r="C3118" i="7"/>
  <c r="B3118" i="7"/>
  <c r="A3118" i="7"/>
  <c r="F3117" i="7"/>
  <c r="E3117" i="7"/>
  <c r="D3117" i="7"/>
  <c r="C3117" i="7"/>
  <c r="B3117" i="7"/>
  <c r="A3117" i="7"/>
  <c r="F3116" i="7"/>
  <c r="E3116" i="7"/>
  <c r="D3116" i="7"/>
  <c r="C3116" i="7"/>
  <c r="B3116" i="7"/>
  <c r="A3116" i="7"/>
  <c r="F3115" i="7"/>
  <c r="E3115" i="7"/>
  <c r="D3115" i="7"/>
  <c r="C3115" i="7"/>
  <c r="B3115" i="7"/>
  <c r="A3115" i="7"/>
  <c r="F3114" i="7"/>
  <c r="E3114" i="7"/>
  <c r="D3114" i="7"/>
  <c r="C3114" i="7"/>
  <c r="B3114" i="7"/>
  <c r="A3114" i="7"/>
  <c r="F3113" i="7"/>
  <c r="E3113" i="7"/>
  <c r="D3113" i="7"/>
  <c r="C3113" i="7"/>
  <c r="B3113" i="7"/>
  <c r="A3113" i="7"/>
  <c r="F3112" i="7"/>
  <c r="E3112" i="7"/>
  <c r="D3112" i="7"/>
  <c r="C3112" i="7"/>
  <c r="B3112" i="7"/>
  <c r="A3112" i="7"/>
  <c r="F3111" i="7"/>
  <c r="E3111" i="7"/>
  <c r="D3111" i="7"/>
  <c r="C3111" i="7"/>
  <c r="B3111" i="7"/>
  <c r="A3111" i="7"/>
  <c r="F3110" i="7"/>
  <c r="E3110" i="7"/>
  <c r="D3110" i="7"/>
  <c r="C3110" i="7"/>
  <c r="B3110" i="7"/>
  <c r="A3110" i="7"/>
  <c r="F3109" i="7"/>
  <c r="E3109" i="7"/>
  <c r="D3109" i="7"/>
  <c r="C3109" i="7"/>
  <c r="B3109" i="7"/>
  <c r="A3109" i="7"/>
  <c r="F3108" i="7"/>
  <c r="E3108" i="7"/>
  <c r="D3108" i="7"/>
  <c r="C3108" i="7"/>
  <c r="B3108" i="7"/>
  <c r="A3108" i="7"/>
  <c r="F3107" i="7"/>
  <c r="E3107" i="7"/>
  <c r="D3107" i="7"/>
  <c r="C3107" i="7"/>
  <c r="B3107" i="7"/>
  <c r="A3107" i="7"/>
  <c r="F3106" i="7"/>
  <c r="E3106" i="7"/>
  <c r="D3106" i="7"/>
  <c r="C3106" i="7"/>
  <c r="B3106" i="7"/>
  <c r="A3106" i="7"/>
  <c r="F3105" i="7"/>
  <c r="E3105" i="7"/>
  <c r="D3105" i="7"/>
  <c r="C3105" i="7"/>
  <c r="B3105" i="7"/>
  <c r="A3105" i="7"/>
  <c r="F3104" i="7"/>
  <c r="E3104" i="7"/>
  <c r="D3104" i="7"/>
  <c r="C3104" i="7"/>
  <c r="B3104" i="7"/>
  <c r="A3104" i="7"/>
  <c r="F3103" i="7"/>
  <c r="E3103" i="7"/>
  <c r="D3103" i="7"/>
  <c r="C3103" i="7"/>
  <c r="B3103" i="7"/>
  <c r="A3103" i="7"/>
  <c r="F3102" i="7"/>
  <c r="E3102" i="7"/>
  <c r="D3102" i="7"/>
  <c r="C3102" i="7"/>
  <c r="B3102" i="7"/>
  <c r="A3102" i="7"/>
  <c r="F3101" i="7"/>
  <c r="E3101" i="7"/>
  <c r="D3101" i="7"/>
  <c r="C3101" i="7"/>
  <c r="B3101" i="7"/>
  <c r="A3101" i="7"/>
  <c r="F3100" i="7"/>
  <c r="E3100" i="7"/>
  <c r="D3100" i="7"/>
  <c r="C3100" i="7"/>
  <c r="B3100" i="7"/>
  <c r="A3100" i="7"/>
  <c r="F3099" i="7"/>
  <c r="E3099" i="7"/>
  <c r="D3099" i="7"/>
  <c r="C3099" i="7"/>
  <c r="B3099" i="7"/>
  <c r="A3099" i="7"/>
  <c r="F3098" i="7"/>
  <c r="E3098" i="7"/>
  <c r="D3098" i="7"/>
  <c r="C3098" i="7"/>
  <c r="B3098" i="7"/>
  <c r="A3098" i="7"/>
  <c r="F3097" i="7"/>
  <c r="E3097" i="7"/>
  <c r="D3097" i="7"/>
  <c r="C3097" i="7"/>
  <c r="B3097" i="7"/>
  <c r="A3097" i="7"/>
  <c r="F3096" i="7"/>
  <c r="E3096" i="7"/>
  <c r="D3096" i="7"/>
  <c r="C3096" i="7"/>
  <c r="B3096" i="7"/>
  <c r="A3096" i="7"/>
  <c r="F3095" i="7"/>
  <c r="E3095" i="7"/>
  <c r="D3095" i="7"/>
  <c r="C3095" i="7"/>
  <c r="B3095" i="7"/>
  <c r="A3095" i="7"/>
  <c r="F3094" i="7"/>
  <c r="E3094" i="7"/>
  <c r="D3094" i="7"/>
  <c r="C3094" i="7"/>
  <c r="B3094" i="7"/>
  <c r="A3094" i="7"/>
  <c r="F3093" i="7"/>
  <c r="E3093" i="7"/>
  <c r="D3093" i="7"/>
  <c r="C3093" i="7"/>
  <c r="B3093" i="7"/>
  <c r="A3093" i="7"/>
  <c r="F3092" i="7"/>
  <c r="E3092" i="7"/>
  <c r="D3092" i="7"/>
  <c r="C3092" i="7"/>
  <c r="B3092" i="7"/>
  <c r="A3092" i="7"/>
  <c r="F3091" i="7"/>
  <c r="E3091" i="7"/>
  <c r="D3091" i="7"/>
  <c r="C3091" i="7"/>
  <c r="B3091" i="7"/>
  <c r="A3091" i="7"/>
  <c r="F3090" i="7"/>
  <c r="E3090" i="7"/>
  <c r="D3090" i="7"/>
  <c r="C3090" i="7"/>
  <c r="B3090" i="7"/>
  <c r="A3090" i="7"/>
  <c r="F3089" i="7"/>
  <c r="E3089" i="7"/>
  <c r="D3089" i="7"/>
  <c r="C3089" i="7"/>
  <c r="B3089" i="7"/>
  <c r="A3089" i="7"/>
  <c r="F3088" i="7"/>
  <c r="E3088" i="7"/>
  <c r="D3088" i="7"/>
  <c r="C3088" i="7"/>
  <c r="B3088" i="7"/>
  <c r="A3088" i="7"/>
  <c r="F3087" i="7"/>
  <c r="E3087" i="7"/>
  <c r="D3087" i="7"/>
  <c r="C3087" i="7"/>
  <c r="B3087" i="7"/>
  <c r="A3087" i="7"/>
  <c r="F3086" i="7"/>
  <c r="E3086" i="7"/>
  <c r="D3086" i="7"/>
  <c r="C3086" i="7"/>
  <c r="B3086" i="7"/>
  <c r="A3086" i="7"/>
  <c r="F3085" i="7"/>
  <c r="E3085" i="7"/>
  <c r="D3085" i="7"/>
  <c r="C3085" i="7"/>
  <c r="B3085" i="7"/>
  <c r="A3085" i="7"/>
  <c r="F3084" i="7"/>
  <c r="E3084" i="7"/>
  <c r="D3084" i="7"/>
  <c r="C3084" i="7"/>
  <c r="B3084" i="7"/>
  <c r="A3084" i="7"/>
  <c r="F3083" i="7"/>
  <c r="E3083" i="7"/>
  <c r="D3083" i="7"/>
  <c r="C3083" i="7"/>
  <c r="B3083" i="7"/>
  <c r="A3083" i="7"/>
  <c r="F3082" i="7"/>
  <c r="E3082" i="7"/>
  <c r="D3082" i="7"/>
  <c r="C3082" i="7"/>
  <c r="B3082" i="7"/>
  <c r="A3082" i="7"/>
  <c r="F3081" i="7"/>
  <c r="E3081" i="7"/>
  <c r="D3081" i="7"/>
  <c r="C3081" i="7"/>
  <c r="B3081" i="7"/>
  <c r="A3081" i="7"/>
  <c r="F3080" i="7"/>
  <c r="E3080" i="7"/>
  <c r="D3080" i="7"/>
  <c r="C3080" i="7"/>
  <c r="B3080" i="7"/>
  <c r="A3080" i="7"/>
  <c r="F3079" i="7"/>
  <c r="E3079" i="7"/>
  <c r="D3079" i="7"/>
  <c r="C3079" i="7"/>
  <c r="B3079" i="7"/>
  <c r="A3079" i="7"/>
  <c r="F3078" i="7"/>
  <c r="E3078" i="7"/>
  <c r="D3078" i="7"/>
  <c r="C3078" i="7"/>
  <c r="B3078" i="7"/>
  <c r="A3078" i="7"/>
  <c r="F3077" i="7"/>
  <c r="E3077" i="7"/>
  <c r="D3077" i="7"/>
  <c r="C3077" i="7"/>
  <c r="B3077" i="7"/>
  <c r="A3077" i="7"/>
  <c r="F3076" i="7"/>
  <c r="E3076" i="7"/>
  <c r="D3076" i="7"/>
  <c r="C3076" i="7"/>
  <c r="B3076" i="7"/>
  <c r="A3076" i="7"/>
  <c r="F3075" i="7"/>
  <c r="E3075" i="7"/>
  <c r="D3075" i="7"/>
  <c r="C3075" i="7"/>
  <c r="B3075" i="7"/>
  <c r="A3075" i="7"/>
  <c r="F3074" i="7"/>
  <c r="E3074" i="7"/>
  <c r="D3074" i="7"/>
  <c r="C3074" i="7"/>
  <c r="B3074" i="7"/>
  <c r="A3074" i="7"/>
  <c r="F3073" i="7"/>
  <c r="E3073" i="7"/>
  <c r="D3073" i="7"/>
  <c r="C3073" i="7"/>
  <c r="B3073" i="7"/>
  <c r="A3073" i="7"/>
  <c r="F3072" i="7"/>
  <c r="E3072" i="7"/>
  <c r="D3072" i="7"/>
  <c r="C3072" i="7"/>
  <c r="B3072" i="7"/>
  <c r="A3072" i="7"/>
  <c r="F3071" i="7"/>
  <c r="E3071" i="7"/>
  <c r="D3071" i="7"/>
  <c r="C3071" i="7"/>
  <c r="B3071" i="7"/>
  <c r="A3071" i="7"/>
  <c r="F3070" i="7"/>
  <c r="E3070" i="7"/>
  <c r="D3070" i="7"/>
  <c r="C3070" i="7"/>
  <c r="B3070" i="7"/>
  <c r="A3070" i="7"/>
  <c r="F3069" i="7"/>
  <c r="E3069" i="7"/>
  <c r="D3069" i="7"/>
  <c r="C3069" i="7"/>
  <c r="B3069" i="7"/>
  <c r="A3069" i="7"/>
  <c r="F3068" i="7"/>
  <c r="E3068" i="7"/>
  <c r="D3068" i="7"/>
  <c r="C3068" i="7"/>
  <c r="B3068" i="7"/>
  <c r="A3068" i="7"/>
  <c r="F3067" i="7"/>
  <c r="E3067" i="7"/>
  <c r="D3067" i="7"/>
  <c r="C3067" i="7"/>
  <c r="B3067" i="7"/>
  <c r="A3067" i="7"/>
  <c r="F3066" i="7"/>
  <c r="E3066" i="7"/>
  <c r="D3066" i="7"/>
  <c r="C3066" i="7"/>
  <c r="B3066" i="7"/>
  <c r="A3066" i="7"/>
  <c r="F3065" i="7"/>
  <c r="E3065" i="7"/>
  <c r="D3065" i="7"/>
  <c r="C3065" i="7"/>
  <c r="B3065" i="7"/>
  <c r="A3065" i="7"/>
  <c r="F3064" i="7"/>
  <c r="E3064" i="7"/>
  <c r="D3064" i="7"/>
  <c r="C3064" i="7"/>
  <c r="B3064" i="7"/>
  <c r="A3064" i="7"/>
  <c r="F3063" i="7"/>
  <c r="E3063" i="7"/>
  <c r="D3063" i="7"/>
  <c r="C3063" i="7"/>
  <c r="B3063" i="7"/>
  <c r="A3063" i="7"/>
  <c r="F3062" i="7"/>
  <c r="E3062" i="7"/>
  <c r="D3062" i="7"/>
  <c r="C3062" i="7"/>
  <c r="B3062" i="7"/>
  <c r="A3062" i="7"/>
  <c r="F3061" i="7"/>
  <c r="E3061" i="7"/>
  <c r="D3061" i="7"/>
  <c r="C3061" i="7"/>
  <c r="B3061" i="7"/>
  <c r="A3061" i="7"/>
  <c r="F3060" i="7"/>
  <c r="E3060" i="7"/>
  <c r="D3060" i="7"/>
  <c r="C3060" i="7"/>
  <c r="B3060" i="7"/>
  <c r="A3060" i="7"/>
  <c r="F3059" i="7"/>
  <c r="E3059" i="7"/>
  <c r="D3059" i="7"/>
  <c r="C3059" i="7"/>
  <c r="B3059" i="7"/>
  <c r="A3059" i="7"/>
  <c r="F3058" i="7"/>
  <c r="E3058" i="7"/>
  <c r="D3058" i="7"/>
  <c r="C3058" i="7"/>
  <c r="B3058" i="7"/>
  <c r="A3058" i="7"/>
  <c r="F3057" i="7"/>
  <c r="E3057" i="7"/>
  <c r="D3057" i="7"/>
  <c r="C3057" i="7"/>
  <c r="B3057" i="7"/>
  <c r="A3057" i="7"/>
  <c r="F3056" i="7"/>
  <c r="E3056" i="7"/>
  <c r="D3056" i="7"/>
  <c r="C3056" i="7"/>
  <c r="B3056" i="7"/>
  <c r="A3056" i="7"/>
  <c r="F3055" i="7"/>
  <c r="E3055" i="7"/>
  <c r="D3055" i="7"/>
  <c r="C3055" i="7"/>
  <c r="B3055" i="7"/>
  <c r="A3055" i="7"/>
  <c r="F3054" i="7"/>
  <c r="E3054" i="7"/>
  <c r="D3054" i="7"/>
  <c r="C3054" i="7"/>
  <c r="B3054" i="7"/>
  <c r="A3054" i="7"/>
  <c r="F3053" i="7"/>
  <c r="E3053" i="7"/>
  <c r="D3053" i="7"/>
  <c r="C3053" i="7"/>
  <c r="B3053" i="7"/>
  <c r="A3053" i="7"/>
  <c r="F3052" i="7"/>
  <c r="E3052" i="7"/>
  <c r="D3052" i="7"/>
  <c r="C3052" i="7"/>
  <c r="B3052" i="7"/>
  <c r="A3052" i="7"/>
  <c r="F3051" i="7"/>
  <c r="E3051" i="7"/>
  <c r="D3051" i="7"/>
  <c r="C3051" i="7"/>
  <c r="B3051" i="7"/>
  <c r="A3051" i="7"/>
  <c r="F3050" i="7"/>
  <c r="E3050" i="7"/>
  <c r="D3050" i="7"/>
  <c r="C3050" i="7"/>
  <c r="B3050" i="7"/>
  <c r="A3050" i="7"/>
  <c r="F3049" i="7"/>
  <c r="E3049" i="7"/>
  <c r="D3049" i="7"/>
  <c r="C3049" i="7"/>
  <c r="B3049" i="7"/>
  <c r="A3049" i="7"/>
  <c r="F3048" i="7"/>
  <c r="E3048" i="7"/>
  <c r="D3048" i="7"/>
  <c r="C3048" i="7"/>
  <c r="B3048" i="7"/>
  <c r="A3048" i="7"/>
  <c r="F3047" i="7"/>
  <c r="E3047" i="7"/>
  <c r="D3047" i="7"/>
  <c r="C3047" i="7"/>
  <c r="B3047" i="7"/>
  <c r="A3047" i="7"/>
  <c r="F3046" i="7"/>
  <c r="E3046" i="7"/>
  <c r="D3046" i="7"/>
  <c r="C3046" i="7"/>
  <c r="B3046" i="7"/>
  <c r="A3046" i="7"/>
  <c r="F3045" i="7"/>
  <c r="E3045" i="7"/>
  <c r="D3045" i="7"/>
  <c r="C3045" i="7"/>
  <c r="B3045" i="7"/>
  <c r="A3045" i="7"/>
  <c r="F3044" i="7"/>
  <c r="E3044" i="7"/>
  <c r="D3044" i="7"/>
  <c r="C3044" i="7"/>
  <c r="B3044" i="7"/>
  <c r="A3044" i="7"/>
  <c r="F3043" i="7"/>
  <c r="E3043" i="7"/>
  <c r="D3043" i="7"/>
  <c r="C3043" i="7"/>
  <c r="B3043" i="7"/>
  <c r="A3043" i="7"/>
  <c r="F3042" i="7"/>
  <c r="E3042" i="7"/>
  <c r="D3042" i="7"/>
  <c r="C3042" i="7"/>
  <c r="B3042" i="7"/>
  <c r="A3042" i="7"/>
  <c r="F3041" i="7"/>
  <c r="E3041" i="7"/>
  <c r="D3041" i="7"/>
  <c r="C3041" i="7"/>
  <c r="B3041" i="7"/>
  <c r="A3041" i="7"/>
  <c r="F3040" i="7"/>
  <c r="E3040" i="7"/>
  <c r="D3040" i="7"/>
  <c r="C3040" i="7"/>
  <c r="B3040" i="7"/>
  <c r="A3040" i="7"/>
  <c r="F3039" i="7"/>
  <c r="E3039" i="7"/>
  <c r="D3039" i="7"/>
  <c r="C3039" i="7"/>
  <c r="B3039" i="7"/>
  <c r="A3039" i="7"/>
  <c r="F3038" i="7"/>
  <c r="E3038" i="7"/>
  <c r="D3038" i="7"/>
  <c r="C3038" i="7"/>
  <c r="B3038" i="7"/>
  <c r="A3038" i="7"/>
  <c r="F3037" i="7"/>
  <c r="E3037" i="7"/>
  <c r="D3037" i="7"/>
  <c r="C3037" i="7"/>
  <c r="B3037" i="7"/>
  <c r="A3037" i="7"/>
  <c r="F3036" i="7"/>
  <c r="E3036" i="7"/>
  <c r="D3036" i="7"/>
  <c r="C3036" i="7"/>
  <c r="B3036" i="7"/>
  <c r="A3036" i="7"/>
  <c r="F3035" i="7"/>
  <c r="E3035" i="7"/>
  <c r="D3035" i="7"/>
  <c r="C3035" i="7"/>
  <c r="B3035" i="7"/>
  <c r="A3035" i="7"/>
  <c r="F3034" i="7"/>
  <c r="E3034" i="7"/>
  <c r="D3034" i="7"/>
  <c r="C3034" i="7"/>
  <c r="B3034" i="7"/>
  <c r="A3034" i="7"/>
  <c r="F3033" i="7"/>
  <c r="E3033" i="7"/>
  <c r="D3033" i="7"/>
  <c r="C3033" i="7"/>
  <c r="B3033" i="7"/>
  <c r="A3033" i="7"/>
  <c r="F3032" i="7"/>
  <c r="E3032" i="7"/>
  <c r="D3032" i="7"/>
  <c r="C3032" i="7"/>
  <c r="B3032" i="7"/>
  <c r="A3032" i="7"/>
  <c r="F3031" i="7"/>
  <c r="E3031" i="7"/>
  <c r="D3031" i="7"/>
  <c r="C3031" i="7"/>
  <c r="B3031" i="7"/>
  <c r="A3031" i="7"/>
  <c r="F3030" i="7"/>
  <c r="E3030" i="7"/>
  <c r="D3030" i="7"/>
  <c r="C3030" i="7"/>
  <c r="B3030" i="7"/>
  <c r="A3030" i="7"/>
  <c r="F3029" i="7"/>
  <c r="E3029" i="7"/>
  <c r="D3029" i="7"/>
  <c r="C3029" i="7"/>
  <c r="B3029" i="7"/>
  <c r="A3029" i="7"/>
  <c r="F3028" i="7"/>
  <c r="E3028" i="7"/>
  <c r="D3028" i="7"/>
  <c r="C3028" i="7"/>
  <c r="B3028" i="7"/>
  <c r="A3028" i="7"/>
  <c r="F3027" i="7"/>
  <c r="E3027" i="7"/>
  <c r="D3027" i="7"/>
  <c r="C3027" i="7"/>
  <c r="B3027" i="7"/>
  <c r="A3027" i="7"/>
  <c r="F3026" i="7"/>
  <c r="E3026" i="7"/>
  <c r="D3026" i="7"/>
  <c r="C3026" i="7"/>
  <c r="B3026" i="7"/>
  <c r="A3026" i="7"/>
  <c r="F3025" i="7"/>
  <c r="E3025" i="7"/>
  <c r="D3025" i="7"/>
  <c r="C3025" i="7"/>
  <c r="B3025" i="7"/>
  <c r="A3025" i="7"/>
  <c r="F3024" i="7"/>
  <c r="E3024" i="7"/>
  <c r="D3024" i="7"/>
  <c r="C3024" i="7"/>
  <c r="B3024" i="7"/>
  <c r="A3024" i="7"/>
  <c r="F3023" i="7"/>
  <c r="E3023" i="7"/>
  <c r="D3023" i="7"/>
  <c r="C3023" i="7"/>
  <c r="B3023" i="7"/>
  <c r="A3023" i="7"/>
  <c r="F3022" i="7"/>
  <c r="E3022" i="7"/>
  <c r="D3022" i="7"/>
  <c r="C3022" i="7"/>
  <c r="B3022" i="7"/>
  <c r="A3022" i="7"/>
  <c r="F3021" i="7"/>
  <c r="E3021" i="7"/>
  <c r="D3021" i="7"/>
  <c r="C3021" i="7"/>
  <c r="B3021" i="7"/>
  <c r="A3021" i="7"/>
  <c r="F3020" i="7"/>
  <c r="E3020" i="7"/>
  <c r="D3020" i="7"/>
  <c r="C3020" i="7"/>
  <c r="B3020" i="7"/>
  <c r="A3020" i="7"/>
  <c r="F3019" i="7"/>
  <c r="E3019" i="7"/>
  <c r="D3019" i="7"/>
  <c r="C3019" i="7"/>
  <c r="B3019" i="7"/>
  <c r="A3019" i="7"/>
  <c r="F3018" i="7"/>
  <c r="E3018" i="7"/>
  <c r="D3018" i="7"/>
  <c r="C3018" i="7"/>
  <c r="B3018" i="7"/>
  <c r="A3018" i="7"/>
  <c r="F3017" i="7"/>
  <c r="E3017" i="7"/>
  <c r="D3017" i="7"/>
  <c r="C3017" i="7"/>
  <c r="B3017" i="7"/>
  <c r="A3017" i="7"/>
  <c r="F3016" i="7"/>
  <c r="E3016" i="7"/>
  <c r="D3016" i="7"/>
  <c r="C3016" i="7"/>
  <c r="B3016" i="7"/>
  <c r="A3016" i="7"/>
  <c r="F3015" i="7"/>
  <c r="E3015" i="7"/>
  <c r="D3015" i="7"/>
  <c r="C3015" i="7"/>
  <c r="B3015" i="7"/>
  <c r="A3015" i="7"/>
  <c r="F3014" i="7"/>
  <c r="E3014" i="7"/>
  <c r="D3014" i="7"/>
  <c r="C3014" i="7"/>
  <c r="B3014" i="7"/>
  <c r="A3014" i="7"/>
  <c r="F3013" i="7"/>
  <c r="E3013" i="7"/>
  <c r="D3013" i="7"/>
  <c r="C3013" i="7"/>
  <c r="B3013" i="7"/>
  <c r="A3013" i="7"/>
  <c r="F3012" i="7"/>
  <c r="E3012" i="7"/>
  <c r="D3012" i="7"/>
  <c r="C3012" i="7"/>
  <c r="B3012" i="7"/>
  <c r="A3012" i="7"/>
  <c r="F3011" i="7"/>
  <c r="E3011" i="7"/>
  <c r="D3011" i="7"/>
  <c r="C3011" i="7"/>
  <c r="B3011" i="7"/>
  <c r="A3011" i="7"/>
  <c r="F3010" i="7"/>
  <c r="E3010" i="7"/>
  <c r="D3010" i="7"/>
  <c r="C3010" i="7"/>
  <c r="B3010" i="7"/>
  <c r="A3010" i="7"/>
  <c r="F3009" i="7"/>
  <c r="E3009" i="7"/>
  <c r="D3009" i="7"/>
  <c r="C3009" i="7"/>
  <c r="B3009" i="7"/>
  <c r="A3009" i="7"/>
  <c r="F3008" i="7"/>
  <c r="E3008" i="7"/>
  <c r="D3008" i="7"/>
  <c r="C3008" i="7"/>
  <c r="B3008" i="7"/>
  <c r="A3008" i="7"/>
  <c r="F3007" i="7"/>
  <c r="E3007" i="7"/>
  <c r="D3007" i="7"/>
  <c r="C3007" i="7"/>
  <c r="B3007" i="7"/>
  <c r="A3007" i="7"/>
  <c r="F3006" i="7"/>
  <c r="E3006" i="7"/>
  <c r="D3006" i="7"/>
  <c r="C3006" i="7"/>
  <c r="B3006" i="7"/>
  <c r="A3006" i="7"/>
  <c r="F3005" i="7"/>
  <c r="E3005" i="7"/>
  <c r="D3005" i="7"/>
  <c r="C3005" i="7"/>
  <c r="B3005" i="7"/>
  <c r="A3005" i="7"/>
  <c r="F3004" i="7"/>
  <c r="E3004" i="7"/>
  <c r="D3004" i="7"/>
  <c r="C3004" i="7"/>
  <c r="B3004" i="7"/>
  <c r="A3004" i="7"/>
  <c r="F3003" i="7"/>
  <c r="E3003" i="7"/>
  <c r="D3003" i="7"/>
  <c r="C3003" i="7"/>
  <c r="B3003" i="7"/>
  <c r="A3003" i="7"/>
  <c r="F3002" i="7"/>
  <c r="E3002" i="7"/>
  <c r="D3002" i="7"/>
  <c r="C3002" i="7"/>
  <c r="B3002" i="7"/>
  <c r="A3002" i="7"/>
  <c r="F3001" i="7"/>
  <c r="E3001" i="7"/>
  <c r="D3001" i="7"/>
  <c r="C3001" i="7"/>
  <c r="B3001" i="7"/>
  <c r="A3001" i="7"/>
  <c r="F3000" i="7"/>
  <c r="E3000" i="7"/>
  <c r="D3000" i="7"/>
  <c r="C3000" i="7"/>
  <c r="B3000" i="7"/>
  <c r="A3000" i="7"/>
  <c r="F2999" i="7"/>
  <c r="E2999" i="7"/>
  <c r="D2999" i="7"/>
  <c r="C2999" i="7"/>
  <c r="B2999" i="7"/>
  <c r="A2999" i="7"/>
  <c r="F2998" i="7"/>
  <c r="E2998" i="7"/>
  <c r="D2998" i="7"/>
  <c r="C2998" i="7"/>
  <c r="B2998" i="7"/>
  <c r="A2998" i="7"/>
  <c r="F2997" i="7"/>
  <c r="E2997" i="7"/>
  <c r="D2997" i="7"/>
  <c r="C2997" i="7"/>
  <c r="B2997" i="7"/>
  <c r="A2997" i="7"/>
  <c r="F2996" i="7"/>
  <c r="E2996" i="7"/>
  <c r="D2996" i="7"/>
  <c r="C2996" i="7"/>
  <c r="B2996" i="7"/>
  <c r="A2996" i="7"/>
  <c r="F2995" i="7"/>
  <c r="E2995" i="7"/>
  <c r="D2995" i="7"/>
  <c r="C2995" i="7"/>
  <c r="B2995" i="7"/>
  <c r="A2995" i="7"/>
  <c r="F2994" i="7"/>
  <c r="E2994" i="7"/>
  <c r="D2994" i="7"/>
  <c r="C2994" i="7"/>
  <c r="B2994" i="7"/>
  <c r="A2994" i="7"/>
  <c r="F2993" i="7"/>
  <c r="E2993" i="7"/>
  <c r="D2993" i="7"/>
  <c r="C2993" i="7"/>
  <c r="B2993" i="7"/>
  <c r="A2993" i="7"/>
  <c r="F2992" i="7"/>
  <c r="E2992" i="7"/>
  <c r="D2992" i="7"/>
  <c r="C2992" i="7"/>
  <c r="B2992" i="7"/>
  <c r="A2992" i="7"/>
  <c r="F2991" i="7"/>
  <c r="E2991" i="7"/>
  <c r="D2991" i="7"/>
  <c r="C2991" i="7"/>
  <c r="B2991" i="7"/>
  <c r="A2991" i="7"/>
  <c r="F2990" i="7"/>
  <c r="E2990" i="7"/>
  <c r="D2990" i="7"/>
  <c r="C2990" i="7"/>
  <c r="B2990" i="7"/>
  <c r="A2990" i="7"/>
  <c r="F2989" i="7"/>
  <c r="E2989" i="7"/>
  <c r="D2989" i="7"/>
  <c r="C2989" i="7"/>
  <c r="B2989" i="7"/>
  <c r="A2989" i="7"/>
  <c r="F2988" i="7"/>
  <c r="E2988" i="7"/>
  <c r="D2988" i="7"/>
  <c r="C2988" i="7"/>
  <c r="B2988" i="7"/>
  <c r="A2988" i="7"/>
  <c r="F2987" i="7"/>
  <c r="E2987" i="7"/>
  <c r="D2987" i="7"/>
  <c r="C2987" i="7"/>
  <c r="B2987" i="7"/>
  <c r="A2987" i="7"/>
  <c r="F2986" i="7"/>
  <c r="E2986" i="7"/>
  <c r="D2986" i="7"/>
  <c r="C2986" i="7"/>
  <c r="B2986" i="7"/>
  <c r="A2986" i="7"/>
  <c r="F2985" i="7"/>
  <c r="E2985" i="7"/>
  <c r="D2985" i="7"/>
  <c r="C2985" i="7"/>
  <c r="B2985" i="7"/>
  <c r="A2985" i="7"/>
  <c r="F2984" i="7"/>
  <c r="E2984" i="7"/>
  <c r="D2984" i="7"/>
  <c r="C2984" i="7"/>
  <c r="B2984" i="7"/>
  <c r="A2984" i="7"/>
  <c r="F2983" i="7"/>
  <c r="E2983" i="7"/>
  <c r="D2983" i="7"/>
  <c r="C2983" i="7"/>
  <c r="B2983" i="7"/>
  <c r="A2983" i="7"/>
  <c r="F2982" i="7"/>
  <c r="E2982" i="7"/>
  <c r="D2982" i="7"/>
  <c r="C2982" i="7"/>
  <c r="B2982" i="7"/>
  <c r="A2982" i="7"/>
  <c r="F2981" i="7"/>
  <c r="E2981" i="7"/>
  <c r="D2981" i="7"/>
  <c r="C2981" i="7"/>
  <c r="B2981" i="7"/>
  <c r="A2981" i="7"/>
  <c r="F2980" i="7"/>
  <c r="E2980" i="7"/>
  <c r="D2980" i="7"/>
  <c r="C2980" i="7"/>
  <c r="B2980" i="7"/>
  <c r="A2980" i="7"/>
  <c r="F2979" i="7"/>
  <c r="E2979" i="7"/>
  <c r="D2979" i="7"/>
  <c r="C2979" i="7"/>
  <c r="B2979" i="7"/>
  <c r="A2979" i="7"/>
  <c r="F2978" i="7"/>
  <c r="E2978" i="7"/>
  <c r="D2978" i="7"/>
  <c r="C2978" i="7"/>
  <c r="B2978" i="7"/>
  <c r="A2978" i="7"/>
  <c r="F2977" i="7"/>
  <c r="E2977" i="7"/>
  <c r="D2977" i="7"/>
  <c r="C2977" i="7"/>
  <c r="B2977" i="7"/>
  <c r="A2977" i="7"/>
  <c r="F2976" i="7"/>
  <c r="E2976" i="7"/>
  <c r="D2976" i="7"/>
  <c r="C2976" i="7"/>
  <c r="B2976" i="7"/>
  <c r="A2976" i="7"/>
  <c r="F2975" i="7"/>
  <c r="E2975" i="7"/>
  <c r="D2975" i="7"/>
  <c r="C2975" i="7"/>
  <c r="B2975" i="7"/>
  <c r="A2975" i="7"/>
  <c r="F2974" i="7"/>
  <c r="E2974" i="7"/>
  <c r="D2974" i="7"/>
  <c r="C2974" i="7"/>
  <c r="B2974" i="7"/>
  <c r="A2974" i="7"/>
  <c r="F2973" i="7"/>
  <c r="E2973" i="7"/>
  <c r="D2973" i="7"/>
  <c r="C2973" i="7"/>
  <c r="B2973" i="7"/>
  <c r="A2973" i="7"/>
  <c r="F2972" i="7"/>
  <c r="E2972" i="7"/>
  <c r="D2972" i="7"/>
  <c r="C2972" i="7"/>
  <c r="B2972" i="7"/>
  <c r="A2972" i="7"/>
  <c r="F2971" i="7"/>
  <c r="E2971" i="7"/>
  <c r="D2971" i="7"/>
  <c r="C2971" i="7"/>
  <c r="B2971" i="7"/>
  <c r="A2971" i="7"/>
  <c r="F2970" i="7"/>
  <c r="E2970" i="7"/>
  <c r="D2970" i="7"/>
  <c r="C2970" i="7"/>
  <c r="B2970" i="7"/>
  <c r="A2970" i="7"/>
  <c r="F2969" i="7"/>
  <c r="E2969" i="7"/>
  <c r="D2969" i="7"/>
  <c r="C2969" i="7"/>
  <c r="B2969" i="7"/>
  <c r="A2969" i="7"/>
  <c r="F2968" i="7"/>
  <c r="E2968" i="7"/>
  <c r="D2968" i="7"/>
  <c r="C2968" i="7"/>
  <c r="B2968" i="7"/>
  <c r="A2968" i="7"/>
  <c r="F2967" i="7"/>
  <c r="E2967" i="7"/>
  <c r="D2967" i="7"/>
  <c r="C2967" i="7"/>
  <c r="B2967" i="7"/>
  <c r="A2967" i="7"/>
  <c r="F2966" i="7"/>
  <c r="E2966" i="7"/>
  <c r="D2966" i="7"/>
  <c r="C2966" i="7"/>
  <c r="B2966" i="7"/>
  <c r="A2966" i="7"/>
  <c r="F2965" i="7"/>
  <c r="E2965" i="7"/>
  <c r="D2965" i="7"/>
  <c r="C2965" i="7"/>
  <c r="B2965" i="7"/>
  <c r="A2965" i="7"/>
  <c r="F2964" i="7"/>
  <c r="E2964" i="7"/>
  <c r="D2964" i="7"/>
  <c r="C2964" i="7"/>
  <c r="B2964" i="7"/>
  <c r="A2964" i="7"/>
  <c r="F2963" i="7"/>
  <c r="E2963" i="7"/>
  <c r="D2963" i="7"/>
  <c r="C2963" i="7"/>
  <c r="B2963" i="7"/>
  <c r="A2963" i="7"/>
  <c r="F2962" i="7"/>
  <c r="E2962" i="7"/>
  <c r="D2962" i="7"/>
  <c r="C2962" i="7"/>
  <c r="B2962" i="7"/>
  <c r="A2962" i="7"/>
  <c r="F2961" i="7"/>
  <c r="E2961" i="7"/>
  <c r="D2961" i="7"/>
  <c r="C2961" i="7"/>
  <c r="B2961" i="7"/>
  <c r="A2961" i="7"/>
  <c r="F2960" i="7"/>
  <c r="E2960" i="7"/>
  <c r="D2960" i="7"/>
  <c r="C2960" i="7"/>
  <c r="B2960" i="7"/>
  <c r="A2960" i="7"/>
  <c r="F2959" i="7"/>
  <c r="E2959" i="7"/>
  <c r="D2959" i="7"/>
  <c r="C2959" i="7"/>
  <c r="B2959" i="7"/>
  <c r="A2959" i="7"/>
  <c r="F2958" i="7"/>
  <c r="E2958" i="7"/>
  <c r="D2958" i="7"/>
  <c r="C2958" i="7"/>
  <c r="B2958" i="7"/>
  <c r="A2958" i="7"/>
  <c r="F2957" i="7"/>
  <c r="E2957" i="7"/>
  <c r="D2957" i="7"/>
  <c r="C2957" i="7"/>
  <c r="B2957" i="7"/>
  <c r="A2957" i="7"/>
  <c r="F2956" i="7"/>
  <c r="E2956" i="7"/>
  <c r="D2956" i="7"/>
  <c r="C2956" i="7"/>
  <c r="B2956" i="7"/>
  <c r="A2956" i="7"/>
  <c r="F2955" i="7"/>
  <c r="E2955" i="7"/>
  <c r="D2955" i="7"/>
  <c r="C2955" i="7"/>
  <c r="B2955" i="7"/>
  <c r="A2955" i="7"/>
  <c r="F2954" i="7"/>
  <c r="E2954" i="7"/>
  <c r="D2954" i="7"/>
  <c r="C2954" i="7"/>
  <c r="B2954" i="7"/>
  <c r="A2954" i="7"/>
  <c r="F2953" i="7"/>
  <c r="E2953" i="7"/>
  <c r="D2953" i="7"/>
  <c r="C2953" i="7"/>
  <c r="B2953" i="7"/>
  <c r="A2953" i="7"/>
  <c r="F2952" i="7"/>
  <c r="E2952" i="7"/>
  <c r="D2952" i="7"/>
  <c r="C2952" i="7"/>
  <c r="B2952" i="7"/>
  <c r="A2952" i="7"/>
  <c r="F2951" i="7"/>
  <c r="E2951" i="7"/>
  <c r="D2951" i="7"/>
  <c r="C2951" i="7"/>
  <c r="B2951" i="7"/>
  <c r="A2951" i="7"/>
  <c r="F2950" i="7"/>
  <c r="E2950" i="7"/>
  <c r="D2950" i="7"/>
  <c r="C2950" i="7"/>
  <c r="B2950" i="7"/>
  <c r="A2950" i="7"/>
  <c r="F2949" i="7"/>
  <c r="E2949" i="7"/>
  <c r="D2949" i="7"/>
  <c r="C2949" i="7"/>
  <c r="B2949" i="7"/>
  <c r="A2949" i="7"/>
  <c r="F2948" i="7"/>
  <c r="E2948" i="7"/>
  <c r="D2948" i="7"/>
  <c r="C2948" i="7"/>
  <c r="B2948" i="7"/>
  <c r="A2948" i="7"/>
  <c r="F2947" i="7"/>
  <c r="E2947" i="7"/>
  <c r="D2947" i="7"/>
  <c r="C2947" i="7"/>
  <c r="B2947" i="7"/>
  <c r="A2947" i="7"/>
  <c r="F2946" i="7"/>
  <c r="E2946" i="7"/>
  <c r="D2946" i="7"/>
  <c r="C2946" i="7"/>
  <c r="B2946" i="7"/>
  <c r="A2946" i="7"/>
  <c r="F2945" i="7"/>
  <c r="E2945" i="7"/>
  <c r="D2945" i="7"/>
  <c r="C2945" i="7"/>
  <c r="B2945" i="7"/>
  <c r="A2945" i="7"/>
  <c r="F2944" i="7"/>
  <c r="E2944" i="7"/>
  <c r="D2944" i="7"/>
  <c r="C2944" i="7"/>
  <c r="B2944" i="7"/>
  <c r="A2944" i="7"/>
  <c r="F2943" i="7"/>
  <c r="E2943" i="7"/>
  <c r="D2943" i="7"/>
  <c r="C2943" i="7"/>
  <c r="B2943" i="7"/>
  <c r="A2943" i="7"/>
  <c r="F2942" i="7"/>
  <c r="E2942" i="7"/>
  <c r="D2942" i="7"/>
  <c r="C2942" i="7"/>
  <c r="B2942" i="7"/>
  <c r="A2942" i="7"/>
  <c r="F2941" i="7"/>
  <c r="E2941" i="7"/>
  <c r="D2941" i="7"/>
  <c r="C2941" i="7"/>
  <c r="B2941" i="7"/>
  <c r="A2941" i="7"/>
  <c r="F2940" i="7"/>
  <c r="E2940" i="7"/>
  <c r="D2940" i="7"/>
  <c r="C2940" i="7"/>
  <c r="B2940" i="7"/>
  <c r="A2940" i="7"/>
  <c r="F2939" i="7"/>
  <c r="E2939" i="7"/>
  <c r="D2939" i="7"/>
  <c r="C2939" i="7"/>
  <c r="B2939" i="7"/>
  <c r="A2939" i="7"/>
  <c r="F2938" i="7"/>
  <c r="E2938" i="7"/>
  <c r="D2938" i="7"/>
  <c r="C2938" i="7"/>
  <c r="B2938" i="7"/>
  <c r="A2938" i="7"/>
  <c r="F2937" i="7"/>
  <c r="E2937" i="7"/>
  <c r="D2937" i="7"/>
  <c r="C2937" i="7"/>
  <c r="B2937" i="7"/>
  <c r="A2937" i="7"/>
  <c r="F2936" i="7"/>
  <c r="E2936" i="7"/>
  <c r="D2936" i="7"/>
  <c r="C2936" i="7"/>
  <c r="B2936" i="7"/>
  <c r="A2936" i="7"/>
  <c r="F2935" i="7"/>
  <c r="E2935" i="7"/>
  <c r="D2935" i="7"/>
  <c r="C2935" i="7"/>
  <c r="B2935" i="7"/>
  <c r="A2935" i="7"/>
  <c r="F2934" i="7"/>
  <c r="E2934" i="7"/>
  <c r="D2934" i="7"/>
  <c r="C2934" i="7"/>
  <c r="B2934" i="7"/>
  <c r="A2934" i="7"/>
  <c r="F2933" i="7"/>
  <c r="E2933" i="7"/>
  <c r="D2933" i="7"/>
  <c r="C2933" i="7"/>
  <c r="B2933" i="7"/>
  <c r="A2933" i="7"/>
  <c r="F2932" i="7"/>
  <c r="E2932" i="7"/>
  <c r="D2932" i="7"/>
  <c r="C2932" i="7"/>
  <c r="B2932" i="7"/>
  <c r="A2932" i="7"/>
  <c r="F2931" i="7"/>
  <c r="E2931" i="7"/>
  <c r="D2931" i="7"/>
  <c r="C2931" i="7"/>
  <c r="B2931" i="7"/>
  <c r="A2931" i="7"/>
  <c r="F2930" i="7"/>
  <c r="E2930" i="7"/>
  <c r="D2930" i="7"/>
  <c r="C2930" i="7"/>
  <c r="B2930" i="7"/>
  <c r="A2930" i="7"/>
  <c r="F2929" i="7"/>
  <c r="E2929" i="7"/>
  <c r="D2929" i="7"/>
  <c r="C2929" i="7"/>
  <c r="B2929" i="7"/>
  <c r="A2929" i="7"/>
  <c r="F2928" i="7"/>
  <c r="E2928" i="7"/>
  <c r="D2928" i="7"/>
  <c r="C2928" i="7"/>
  <c r="B2928" i="7"/>
  <c r="A2928" i="7"/>
  <c r="F2927" i="7"/>
  <c r="E2927" i="7"/>
  <c r="D2927" i="7"/>
  <c r="C2927" i="7"/>
  <c r="B2927" i="7"/>
  <c r="A2927" i="7"/>
  <c r="F2926" i="7"/>
  <c r="E2926" i="7"/>
  <c r="D2926" i="7"/>
  <c r="C2926" i="7"/>
  <c r="B2926" i="7"/>
  <c r="A2926" i="7"/>
  <c r="F2925" i="7"/>
  <c r="E2925" i="7"/>
  <c r="D2925" i="7"/>
  <c r="C2925" i="7"/>
  <c r="B2925" i="7"/>
  <c r="A2925" i="7"/>
  <c r="F2924" i="7"/>
  <c r="E2924" i="7"/>
  <c r="D2924" i="7"/>
  <c r="C2924" i="7"/>
  <c r="B2924" i="7"/>
  <c r="A2924" i="7"/>
  <c r="F2923" i="7"/>
  <c r="E2923" i="7"/>
  <c r="D2923" i="7"/>
  <c r="C2923" i="7"/>
  <c r="B2923" i="7"/>
  <c r="A2923" i="7"/>
  <c r="F2922" i="7"/>
  <c r="E2922" i="7"/>
  <c r="D2922" i="7"/>
  <c r="C2922" i="7"/>
  <c r="B2922" i="7"/>
  <c r="A2922" i="7"/>
  <c r="F2921" i="7"/>
  <c r="E2921" i="7"/>
  <c r="D2921" i="7"/>
  <c r="C2921" i="7"/>
  <c r="B2921" i="7"/>
  <c r="A2921" i="7"/>
  <c r="F2920" i="7"/>
  <c r="E2920" i="7"/>
  <c r="D2920" i="7"/>
  <c r="C2920" i="7"/>
  <c r="B2920" i="7"/>
  <c r="A2920" i="7"/>
  <c r="F2919" i="7"/>
  <c r="E2919" i="7"/>
  <c r="D2919" i="7"/>
  <c r="C2919" i="7"/>
  <c r="B2919" i="7"/>
  <c r="A2919" i="7"/>
  <c r="F2918" i="7"/>
  <c r="E2918" i="7"/>
  <c r="D2918" i="7"/>
  <c r="C2918" i="7"/>
  <c r="B2918" i="7"/>
  <c r="A2918" i="7"/>
  <c r="F2917" i="7"/>
  <c r="E2917" i="7"/>
  <c r="D2917" i="7"/>
  <c r="C2917" i="7"/>
  <c r="B2917" i="7"/>
  <c r="A2917" i="7"/>
  <c r="F2916" i="7"/>
  <c r="E2916" i="7"/>
  <c r="D2916" i="7"/>
  <c r="C2916" i="7"/>
  <c r="B2916" i="7"/>
  <c r="A2916" i="7"/>
  <c r="F2915" i="7"/>
  <c r="E2915" i="7"/>
  <c r="D2915" i="7"/>
  <c r="C2915" i="7"/>
  <c r="B2915" i="7"/>
  <c r="A2915" i="7"/>
  <c r="F2914" i="7"/>
  <c r="E2914" i="7"/>
  <c r="D2914" i="7"/>
  <c r="C2914" i="7"/>
  <c r="B2914" i="7"/>
  <c r="A2914" i="7"/>
  <c r="F2913" i="7"/>
  <c r="E2913" i="7"/>
  <c r="D2913" i="7"/>
  <c r="C2913" i="7"/>
  <c r="B2913" i="7"/>
  <c r="A2913" i="7"/>
  <c r="F2912" i="7"/>
  <c r="E2912" i="7"/>
  <c r="D2912" i="7"/>
  <c r="C2912" i="7"/>
  <c r="B2912" i="7"/>
  <c r="A2912" i="7"/>
  <c r="F2911" i="7"/>
  <c r="E2911" i="7"/>
  <c r="D2911" i="7"/>
  <c r="C2911" i="7"/>
  <c r="B2911" i="7"/>
  <c r="A2911" i="7"/>
  <c r="F2910" i="7"/>
  <c r="E2910" i="7"/>
  <c r="D2910" i="7"/>
  <c r="C2910" i="7"/>
  <c r="B2910" i="7"/>
  <c r="A2910" i="7"/>
  <c r="F2909" i="7"/>
  <c r="E2909" i="7"/>
  <c r="D2909" i="7"/>
  <c r="C2909" i="7"/>
  <c r="B2909" i="7"/>
  <c r="A2909" i="7"/>
  <c r="F2908" i="7"/>
  <c r="E2908" i="7"/>
  <c r="D2908" i="7"/>
  <c r="C2908" i="7"/>
  <c r="B2908" i="7"/>
  <c r="A2908" i="7"/>
  <c r="F2907" i="7"/>
  <c r="E2907" i="7"/>
  <c r="D2907" i="7"/>
  <c r="C2907" i="7"/>
  <c r="B2907" i="7"/>
  <c r="A2907" i="7"/>
  <c r="F2906" i="7"/>
  <c r="E2906" i="7"/>
  <c r="D2906" i="7"/>
  <c r="C2906" i="7"/>
  <c r="B2906" i="7"/>
  <c r="A2906" i="7"/>
  <c r="F2905" i="7"/>
  <c r="E2905" i="7"/>
  <c r="D2905" i="7"/>
  <c r="C2905" i="7"/>
  <c r="B2905" i="7"/>
  <c r="A2905" i="7"/>
  <c r="F2904" i="7"/>
  <c r="E2904" i="7"/>
  <c r="D2904" i="7"/>
  <c r="C2904" i="7"/>
  <c r="B2904" i="7"/>
  <c r="A2904" i="7"/>
  <c r="F2903" i="7"/>
  <c r="E2903" i="7"/>
  <c r="D2903" i="7"/>
  <c r="C2903" i="7"/>
  <c r="B2903" i="7"/>
  <c r="A2903" i="7"/>
  <c r="F2902" i="7"/>
  <c r="E2902" i="7"/>
  <c r="D2902" i="7"/>
  <c r="C2902" i="7"/>
  <c r="B2902" i="7"/>
  <c r="A2902" i="7"/>
  <c r="F2901" i="7"/>
  <c r="E2901" i="7"/>
  <c r="D2901" i="7"/>
  <c r="C2901" i="7"/>
  <c r="B2901" i="7"/>
  <c r="A2901" i="7"/>
  <c r="F2900" i="7"/>
  <c r="E2900" i="7"/>
  <c r="D2900" i="7"/>
  <c r="C2900" i="7"/>
  <c r="B2900" i="7"/>
  <c r="A2900" i="7"/>
  <c r="F2899" i="7"/>
  <c r="E2899" i="7"/>
  <c r="D2899" i="7"/>
  <c r="C2899" i="7"/>
  <c r="B2899" i="7"/>
  <c r="A2899" i="7"/>
  <c r="F2898" i="7"/>
  <c r="E2898" i="7"/>
  <c r="D2898" i="7"/>
  <c r="C2898" i="7"/>
  <c r="B2898" i="7"/>
  <c r="A2898" i="7"/>
  <c r="F2897" i="7"/>
  <c r="E2897" i="7"/>
  <c r="D2897" i="7"/>
  <c r="C2897" i="7"/>
  <c r="B2897" i="7"/>
  <c r="A2897" i="7"/>
  <c r="F2896" i="7"/>
  <c r="E2896" i="7"/>
  <c r="D2896" i="7"/>
  <c r="C2896" i="7"/>
  <c r="B2896" i="7"/>
  <c r="A2896" i="7"/>
  <c r="F2895" i="7"/>
  <c r="E2895" i="7"/>
  <c r="D2895" i="7"/>
  <c r="C2895" i="7"/>
  <c r="B2895" i="7"/>
  <c r="A2895" i="7"/>
  <c r="F2894" i="7"/>
  <c r="E2894" i="7"/>
  <c r="D2894" i="7"/>
  <c r="C2894" i="7"/>
  <c r="B2894" i="7"/>
  <c r="A2894" i="7"/>
  <c r="F2893" i="7"/>
  <c r="E2893" i="7"/>
  <c r="D2893" i="7"/>
  <c r="C2893" i="7"/>
  <c r="B2893" i="7"/>
  <c r="A2893" i="7"/>
  <c r="F2892" i="7"/>
  <c r="E2892" i="7"/>
  <c r="D2892" i="7"/>
  <c r="C2892" i="7"/>
  <c r="B2892" i="7"/>
  <c r="A2892" i="7"/>
  <c r="F2891" i="7"/>
  <c r="E2891" i="7"/>
  <c r="D2891" i="7"/>
  <c r="C2891" i="7"/>
  <c r="B2891" i="7"/>
  <c r="A2891" i="7"/>
  <c r="F2890" i="7"/>
  <c r="E2890" i="7"/>
  <c r="D2890" i="7"/>
  <c r="C2890" i="7"/>
  <c r="B2890" i="7"/>
  <c r="A2890" i="7"/>
  <c r="F2889" i="7"/>
  <c r="E2889" i="7"/>
  <c r="D2889" i="7"/>
  <c r="C2889" i="7"/>
  <c r="B2889" i="7"/>
  <c r="A2889" i="7"/>
  <c r="F2888" i="7"/>
  <c r="E2888" i="7"/>
  <c r="D2888" i="7"/>
  <c r="C2888" i="7"/>
  <c r="B2888" i="7"/>
  <c r="A2888" i="7"/>
  <c r="F2887" i="7"/>
  <c r="E2887" i="7"/>
  <c r="D2887" i="7"/>
  <c r="C2887" i="7"/>
  <c r="B2887" i="7"/>
  <c r="A2887" i="7"/>
  <c r="F2886" i="7"/>
  <c r="E2886" i="7"/>
  <c r="D2886" i="7"/>
  <c r="C2886" i="7"/>
  <c r="B2886" i="7"/>
  <c r="A2886" i="7"/>
  <c r="F2885" i="7"/>
  <c r="E2885" i="7"/>
  <c r="D2885" i="7"/>
  <c r="C2885" i="7"/>
  <c r="B2885" i="7"/>
  <c r="A2885" i="7"/>
  <c r="F2884" i="7"/>
  <c r="E2884" i="7"/>
  <c r="D2884" i="7"/>
  <c r="C2884" i="7"/>
  <c r="B2884" i="7"/>
  <c r="A2884" i="7"/>
  <c r="F2883" i="7"/>
  <c r="E2883" i="7"/>
  <c r="D2883" i="7"/>
  <c r="C2883" i="7"/>
  <c r="B2883" i="7"/>
  <c r="A2883" i="7"/>
  <c r="F2882" i="7"/>
  <c r="E2882" i="7"/>
  <c r="D2882" i="7"/>
  <c r="C2882" i="7"/>
  <c r="B2882" i="7"/>
  <c r="A2882" i="7"/>
  <c r="F2881" i="7"/>
  <c r="E2881" i="7"/>
  <c r="D2881" i="7"/>
  <c r="C2881" i="7"/>
  <c r="B2881" i="7"/>
  <c r="A2881" i="7"/>
  <c r="F2880" i="7"/>
  <c r="E2880" i="7"/>
  <c r="D2880" i="7"/>
  <c r="C2880" i="7"/>
  <c r="B2880" i="7"/>
  <c r="A2880" i="7"/>
  <c r="F2879" i="7"/>
  <c r="E2879" i="7"/>
  <c r="D2879" i="7"/>
  <c r="C2879" i="7"/>
  <c r="B2879" i="7"/>
  <c r="A2879" i="7"/>
  <c r="F2878" i="7"/>
  <c r="E2878" i="7"/>
  <c r="D2878" i="7"/>
  <c r="C2878" i="7"/>
  <c r="B2878" i="7"/>
  <c r="A2878" i="7"/>
  <c r="F2877" i="7"/>
  <c r="E2877" i="7"/>
  <c r="D2877" i="7"/>
  <c r="C2877" i="7"/>
  <c r="B2877" i="7"/>
  <c r="A2877" i="7"/>
  <c r="F2876" i="7"/>
  <c r="E2876" i="7"/>
  <c r="D2876" i="7"/>
  <c r="C2876" i="7"/>
  <c r="B2876" i="7"/>
  <c r="A2876" i="7"/>
  <c r="F2875" i="7"/>
  <c r="E2875" i="7"/>
  <c r="D2875" i="7"/>
  <c r="C2875" i="7"/>
  <c r="B2875" i="7"/>
  <c r="A2875" i="7"/>
  <c r="F2874" i="7"/>
  <c r="E2874" i="7"/>
  <c r="D2874" i="7"/>
  <c r="C2874" i="7"/>
  <c r="B2874" i="7"/>
  <c r="A2874" i="7"/>
  <c r="F2873" i="7"/>
  <c r="E2873" i="7"/>
  <c r="D2873" i="7"/>
  <c r="C2873" i="7"/>
  <c r="B2873" i="7"/>
  <c r="A2873" i="7"/>
  <c r="F2872" i="7"/>
  <c r="E2872" i="7"/>
  <c r="D2872" i="7"/>
  <c r="C2872" i="7"/>
  <c r="B2872" i="7"/>
  <c r="A2872" i="7"/>
  <c r="F2871" i="7"/>
  <c r="E2871" i="7"/>
  <c r="D2871" i="7"/>
  <c r="C2871" i="7"/>
  <c r="B2871" i="7"/>
  <c r="A2871" i="7"/>
  <c r="F2870" i="7"/>
  <c r="E2870" i="7"/>
  <c r="D2870" i="7"/>
  <c r="C2870" i="7"/>
  <c r="B2870" i="7"/>
  <c r="A2870" i="7"/>
  <c r="F2869" i="7"/>
  <c r="E2869" i="7"/>
  <c r="D2869" i="7"/>
  <c r="C2869" i="7"/>
  <c r="B2869" i="7"/>
  <c r="A2869" i="7"/>
  <c r="F2868" i="7"/>
  <c r="E2868" i="7"/>
  <c r="D2868" i="7"/>
  <c r="C2868" i="7"/>
  <c r="B2868" i="7"/>
  <c r="A2868" i="7"/>
  <c r="F2867" i="7"/>
  <c r="E2867" i="7"/>
  <c r="D2867" i="7"/>
  <c r="C2867" i="7"/>
  <c r="B2867" i="7"/>
  <c r="A2867" i="7"/>
  <c r="F2866" i="7"/>
  <c r="E2866" i="7"/>
  <c r="D2866" i="7"/>
  <c r="C2866" i="7"/>
  <c r="B2866" i="7"/>
  <c r="A2866" i="7"/>
  <c r="F2865" i="7"/>
  <c r="E2865" i="7"/>
  <c r="D2865" i="7"/>
  <c r="C2865" i="7"/>
  <c r="B2865" i="7"/>
  <c r="A2865" i="7"/>
  <c r="F2864" i="7"/>
  <c r="E2864" i="7"/>
  <c r="D2864" i="7"/>
  <c r="C2864" i="7"/>
  <c r="B2864" i="7"/>
  <c r="A2864" i="7"/>
  <c r="F2863" i="7"/>
  <c r="E2863" i="7"/>
  <c r="D2863" i="7"/>
  <c r="C2863" i="7"/>
  <c r="B2863" i="7"/>
  <c r="A2863" i="7"/>
  <c r="F2862" i="7"/>
  <c r="E2862" i="7"/>
  <c r="D2862" i="7"/>
  <c r="C2862" i="7"/>
  <c r="B2862" i="7"/>
  <c r="A2862" i="7"/>
  <c r="F2861" i="7"/>
  <c r="E2861" i="7"/>
  <c r="D2861" i="7"/>
  <c r="C2861" i="7"/>
  <c r="B2861" i="7"/>
  <c r="A2861" i="7"/>
  <c r="F2860" i="7"/>
  <c r="E2860" i="7"/>
  <c r="D2860" i="7"/>
  <c r="C2860" i="7"/>
  <c r="B2860" i="7"/>
  <c r="A2860" i="7"/>
  <c r="F2859" i="7"/>
  <c r="E2859" i="7"/>
  <c r="D2859" i="7"/>
  <c r="C2859" i="7"/>
  <c r="B2859" i="7"/>
  <c r="A2859" i="7"/>
  <c r="F2858" i="7"/>
  <c r="E2858" i="7"/>
  <c r="D2858" i="7"/>
  <c r="C2858" i="7"/>
  <c r="B2858" i="7"/>
  <c r="A2858" i="7"/>
  <c r="F2857" i="7"/>
  <c r="E2857" i="7"/>
  <c r="D2857" i="7"/>
  <c r="C2857" i="7"/>
  <c r="B2857" i="7"/>
  <c r="A2857" i="7"/>
  <c r="F2856" i="7"/>
  <c r="E2856" i="7"/>
  <c r="D2856" i="7"/>
  <c r="C2856" i="7"/>
  <c r="B2856" i="7"/>
  <c r="A2856" i="7"/>
  <c r="F2855" i="7"/>
  <c r="E2855" i="7"/>
  <c r="D2855" i="7"/>
  <c r="C2855" i="7"/>
  <c r="B2855" i="7"/>
  <c r="A2855" i="7"/>
  <c r="F2854" i="7"/>
  <c r="E2854" i="7"/>
  <c r="D2854" i="7"/>
  <c r="C2854" i="7"/>
  <c r="B2854" i="7"/>
  <c r="A2854" i="7"/>
  <c r="F2853" i="7"/>
  <c r="E2853" i="7"/>
  <c r="D2853" i="7"/>
  <c r="C2853" i="7"/>
  <c r="B2853" i="7"/>
  <c r="A2853" i="7"/>
  <c r="F2852" i="7"/>
  <c r="E2852" i="7"/>
  <c r="D2852" i="7"/>
  <c r="C2852" i="7"/>
  <c r="B2852" i="7"/>
  <c r="A2852" i="7"/>
  <c r="F2851" i="7"/>
  <c r="E2851" i="7"/>
  <c r="D2851" i="7"/>
  <c r="C2851" i="7"/>
  <c r="B2851" i="7"/>
  <c r="A2851" i="7"/>
  <c r="F2850" i="7"/>
  <c r="E2850" i="7"/>
  <c r="D2850" i="7"/>
  <c r="C2850" i="7"/>
  <c r="B2850" i="7"/>
  <c r="A2850" i="7"/>
  <c r="F2849" i="7"/>
  <c r="E2849" i="7"/>
  <c r="D2849" i="7"/>
  <c r="C2849" i="7"/>
  <c r="B2849" i="7"/>
  <c r="A2849" i="7"/>
  <c r="F2848" i="7"/>
  <c r="E2848" i="7"/>
  <c r="D2848" i="7"/>
  <c r="C2848" i="7"/>
  <c r="B2848" i="7"/>
  <c r="A2848" i="7"/>
  <c r="F2847" i="7"/>
  <c r="E2847" i="7"/>
  <c r="D2847" i="7"/>
  <c r="C2847" i="7"/>
  <c r="B2847" i="7"/>
  <c r="A2847" i="7"/>
  <c r="F2846" i="7"/>
  <c r="E2846" i="7"/>
  <c r="D2846" i="7"/>
  <c r="C2846" i="7"/>
  <c r="B2846" i="7"/>
  <c r="A2846" i="7"/>
  <c r="F2845" i="7"/>
  <c r="E2845" i="7"/>
  <c r="D2845" i="7"/>
  <c r="C2845" i="7"/>
  <c r="B2845" i="7"/>
  <c r="A2845" i="7"/>
  <c r="F2844" i="7"/>
  <c r="E2844" i="7"/>
  <c r="D2844" i="7"/>
  <c r="C2844" i="7"/>
  <c r="B2844" i="7"/>
  <c r="A2844" i="7"/>
  <c r="F2843" i="7"/>
  <c r="E2843" i="7"/>
  <c r="D2843" i="7"/>
  <c r="C2843" i="7"/>
  <c r="B2843" i="7"/>
  <c r="A2843" i="7"/>
  <c r="F2842" i="7"/>
  <c r="E2842" i="7"/>
  <c r="D2842" i="7"/>
  <c r="C2842" i="7"/>
  <c r="B2842" i="7"/>
  <c r="A2842" i="7"/>
  <c r="F2841" i="7"/>
  <c r="E2841" i="7"/>
  <c r="D2841" i="7"/>
  <c r="C2841" i="7"/>
  <c r="B2841" i="7"/>
  <c r="A2841" i="7"/>
  <c r="F2840" i="7"/>
  <c r="E2840" i="7"/>
  <c r="D2840" i="7"/>
  <c r="C2840" i="7"/>
  <c r="B2840" i="7"/>
  <c r="A2840" i="7"/>
  <c r="F2839" i="7"/>
  <c r="E2839" i="7"/>
  <c r="D2839" i="7"/>
  <c r="C2839" i="7"/>
  <c r="B2839" i="7"/>
  <c r="A2839" i="7"/>
  <c r="F2838" i="7"/>
  <c r="E2838" i="7"/>
  <c r="D2838" i="7"/>
  <c r="C2838" i="7"/>
  <c r="B2838" i="7"/>
  <c r="A2838" i="7"/>
  <c r="F2837" i="7"/>
  <c r="E2837" i="7"/>
  <c r="D2837" i="7"/>
  <c r="C2837" i="7"/>
  <c r="B2837" i="7"/>
  <c r="A2837" i="7"/>
  <c r="F2836" i="7"/>
  <c r="E2836" i="7"/>
  <c r="D2836" i="7"/>
  <c r="C2836" i="7"/>
  <c r="B2836" i="7"/>
  <c r="A2836" i="7"/>
  <c r="F2835" i="7"/>
  <c r="E2835" i="7"/>
  <c r="D2835" i="7"/>
  <c r="C2835" i="7"/>
  <c r="B2835" i="7"/>
  <c r="A2835" i="7"/>
  <c r="F2834" i="7"/>
  <c r="E2834" i="7"/>
  <c r="D2834" i="7"/>
  <c r="C2834" i="7"/>
  <c r="B2834" i="7"/>
  <c r="A2834" i="7"/>
  <c r="F2833" i="7"/>
  <c r="E2833" i="7"/>
  <c r="D2833" i="7"/>
  <c r="C2833" i="7"/>
  <c r="B2833" i="7"/>
  <c r="A2833" i="7"/>
  <c r="F2832" i="7"/>
  <c r="E2832" i="7"/>
  <c r="D2832" i="7"/>
  <c r="C2832" i="7"/>
  <c r="B2832" i="7"/>
  <c r="A2832" i="7"/>
  <c r="F2831" i="7"/>
  <c r="E2831" i="7"/>
  <c r="D2831" i="7"/>
  <c r="C2831" i="7"/>
  <c r="B2831" i="7"/>
  <c r="A2831" i="7"/>
  <c r="F2830" i="7"/>
  <c r="E2830" i="7"/>
  <c r="D2830" i="7"/>
  <c r="C2830" i="7"/>
  <c r="B2830" i="7"/>
  <c r="A2830" i="7"/>
  <c r="F2829" i="7"/>
  <c r="E2829" i="7"/>
  <c r="D2829" i="7"/>
  <c r="C2829" i="7"/>
  <c r="B2829" i="7"/>
  <c r="A2829" i="7"/>
  <c r="F2828" i="7"/>
  <c r="E2828" i="7"/>
  <c r="D2828" i="7"/>
  <c r="C2828" i="7"/>
  <c r="B2828" i="7"/>
  <c r="A2828" i="7"/>
  <c r="F2827" i="7"/>
  <c r="E2827" i="7"/>
  <c r="D2827" i="7"/>
  <c r="C2827" i="7"/>
  <c r="B2827" i="7"/>
  <c r="A2827" i="7"/>
  <c r="F2826" i="7"/>
  <c r="E2826" i="7"/>
  <c r="D2826" i="7"/>
  <c r="C2826" i="7"/>
  <c r="B2826" i="7"/>
  <c r="A2826" i="7"/>
  <c r="F2825" i="7"/>
  <c r="E2825" i="7"/>
  <c r="D2825" i="7"/>
  <c r="C2825" i="7"/>
  <c r="B2825" i="7"/>
  <c r="A2825" i="7"/>
  <c r="F2824" i="7"/>
  <c r="E2824" i="7"/>
  <c r="D2824" i="7"/>
  <c r="C2824" i="7"/>
  <c r="B2824" i="7"/>
  <c r="A2824" i="7"/>
  <c r="F2823" i="7"/>
  <c r="E2823" i="7"/>
  <c r="D2823" i="7"/>
  <c r="C2823" i="7"/>
  <c r="B2823" i="7"/>
  <c r="A2823" i="7"/>
  <c r="F2822" i="7"/>
  <c r="E2822" i="7"/>
  <c r="D2822" i="7"/>
  <c r="C2822" i="7"/>
  <c r="B2822" i="7"/>
  <c r="A2822" i="7"/>
  <c r="F2821" i="7"/>
  <c r="E2821" i="7"/>
  <c r="D2821" i="7"/>
  <c r="C2821" i="7"/>
  <c r="B2821" i="7"/>
  <c r="A2821" i="7"/>
  <c r="F2820" i="7"/>
  <c r="E2820" i="7"/>
  <c r="D2820" i="7"/>
  <c r="C2820" i="7"/>
  <c r="B2820" i="7"/>
  <c r="A2820" i="7"/>
  <c r="F2819" i="7"/>
  <c r="E2819" i="7"/>
  <c r="D2819" i="7"/>
  <c r="C2819" i="7"/>
  <c r="B2819" i="7"/>
  <c r="A2819" i="7"/>
  <c r="F2818" i="7"/>
  <c r="E2818" i="7"/>
  <c r="D2818" i="7"/>
  <c r="C2818" i="7"/>
  <c r="B2818" i="7"/>
  <c r="A2818" i="7"/>
  <c r="F2817" i="7"/>
  <c r="E2817" i="7"/>
  <c r="D2817" i="7"/>
  <c r="C2817" i="7"/>
  <c r="B2817" i="7"/>
  <c r="A2817" i="7"/>
  <c r="F2816" i="7"/>
  <c r="E2816" i="7"/>
  <c r="D2816" i="7"/>
  <c r="C2816" i="7"/>
  <c r="B2816" i="7"/>
  <c r="A2816" i="7"/>
  <c r="F2815" i="7"/>
  <c r="E2815" i="7"/>
  <c r="D2815" i="7"/>
  <c r="C2815" i="7"/>
  <c r="B2815" i="7"/>
  <c r="A2815" i="7"/>
  <c r="F2814" i="7"/>
  <c r="E2814" i="7"/>
  <c r="D2814" i="7"/>
  <c r="C2814" i="7"/>
  <c r="B2814" i="7"/>
  <c r="A2814" i="7"/>
  <c r="F2813" i="7"/>
  <c r="E2813" i="7"/>
  <c r="D2813" i="7"/>
  <c r="C2813" i="7"/>
  <c r="B2813" i="7"/>
  <c r="A2813" i="7"/>
  <c r="F2812" i="7"/>
  <c r="E2812" i="7"/>
  <c r="D2812" i="7"/>
  <c r="C2812" i="7"/>
  <c r="B2812" i="7"/>
  <c r="A2812" i="7"/>
  <c r="F2811" i="7"/>
  <c r="E2811" i="7"/>
  <c r="D2811" i="7"/>
  <c r="C2811" i="7"/>
  <c r="B2811" i="7"/>
  <c r="A2811" i="7"/>
  <c r="F2810" i="7"/>
  <c r="E2810" i="7"/>
  <c r="D2810" i="7"/>
  <c r="C2810" i="7"/>
  <c r="B2810" i="7"/>
  <c r="A2810" i="7"/>
  <c r="F2809" i="7"/>
  <c r="E2809" i="7"/>
  <c r="D2809" i="7"/>
  <c r="C2809" i="7"/>
  <c r="B2809" i="7"/>
  <c r="A2809" i="7"/>
  <c r="F2808" i="7"/>
  <c r="E2808" i="7"/>
  <c r="D2808" i="7"/>
  <c r="C2808" i="7"/>
  <c r="B2808" i="7"/>
  <c r="A2808" i="7"/>
  <c r="F2807" i="7"/>
  <c r="E2807" i="7"/>
  <c r="D2807" i="7"/>
  <c r="C2807" i="7"/>
  <c r="B2807" i="7"/>
  <c r="A2807" i="7"/>
  <c r="F2806" i="7"/>
  <c r="E2806" i="7"/>
  <c r="D2806" i="7"/>
  <c r="C2806" i="7"/>
  <c r="B2806" i="7"/>
  <c r="A2806" i="7"/>
  <c r="F2805" i="7"/>
  <c r="E2805" i="7"/>
  <c r="D2805" i="7"/>
  <c r="C2805" i="7"/>
  <c r="B2805" i="7"/>
  <c r="A2805" i="7"/>
  <c r="F2804" i="7"/>
  <c r="E2804" i="7"/>
  <c r="D2804" i="7"/>
  <c r="C2804" i="7"/>
  <c r="B2804" i="7"/>
  <c r="A2804" i="7"/>
  <c r="F2803" i="7"/>
  <c r="E2803" i="7"/>
  <c r="D2803" i="7"/>
  <c r="C2803" i="7"/>
  <c r="B2803" i="7"/>
  <c r="A2803" i="7"/>
  <c r="F2802" i="7"/>
  <c r="E2802" i="7"/>
  <c r="D2802" i="7"/>
  <c r="C2802" i="7"/>
  <c r="B2802" i="7"/>
  <c r="A2802" i="7"/>
  <c r="F2801" i="7"/>
  <c r="E2801" i="7"/>
  <c r="D2801" i="7"/>
  <c r="C2801" i="7"/>
  <c r="B2801" i="7"/>
  <c r="A2801" i="7"/>
  <c r="F2800" i="7"/>
  <c r="E2800" i="7"/>
  <c r="D2800" i="7"/>
  <c r="C2800" i="7"/>
  <c r="B2800" i="7"/>
  <c r="A2800" i="7"/>
  <c r="F2799" i="7"/>
  <c r="E2799" i="7"/>
  <c r="D2799" i="7"/>
  <c r="C2799" i="7"/>
  <c r="B2799" i="7"/>
  <c r="A2799" i="7"/>
  <c r="F2798" i="7"/>
  <c r="E2798" i="7"/>
  <c r="D2798" i="7"/>
  <c r="C2798" i="7"/>
  <c r="B2798" i="7"/>
  <c r="A2798" i="7"/>
  <c r="F2797" i="7"/>
  <c r="E2797" i="7"/>
  <c r="D2797" i="7"/>
  <c r="C2797" i="7"/>
  <c r="B2797" i="7"/>
  <c r="A2797" i="7"/>
  <c r="F2796" i="7"/>
  <c r="E2796" i="7"/>
  <c r="D2796" i="7"/>
  <c r="C2796" i="7"/>
  <c r="B2796" i="7"/>
  <c r="A2796" i="7"/>
  <c r="F2795" i="7"/>
  <c r="E2795" i="7"/>
  <c r="D2795" i="7"/>
  <c r="C2795" i="7"/>
  <c r="B2795" i="7"/>
  <c r="A2795" i="7"/>
  <c r="F2794" i="7"/>
  <c r="E2794" i="7"/>
  <c r="D2794" i="7"/>
  <c r="C2794" i="7"/>
  <c r="B2794" i="7"/>
  <c r="A2794" i="7"/>
  <c r="F2793" i="7"/>
  <c r="E2793" i="7"/>
  <c r="D2793" i="7"/>
  <c r="C2793" i="7"/>
  <c r="B2793" i="7"/>
  <c r="A2793" i="7"/>
  <c r="F2792" i="7"/>
  <c r="E2792" i="7"/>
  <c r="D2792" i="7"/>
  <c r="C2792" i="7"/>
  <c r="B2792" i="7"/>
  <c r="A2792" i="7"/>
  <c r="F2791" i="7"/>
  <c r="E2791" i="7"/>
  <c r="D2791" i="7"/>
  <c r="C2791" i="7"/>
  <c r="B2791" i="7"/>
  <c r="A2791" i="7"/>
  <c r="F2790" i="7"/>
  <c r="E2790" i="7"/>
  <c r="D2790" i="7"/>
  <c r="C2790" i="7"/>
  <c r="B2790" i="7"/>
  <c r="A2790" i="7"/>
  <c r="F2789" i="7"/>
  <c r="E2789" i="7"/>
  <c r="D2789" i="7"/>
  <c r="C2789" i="7"/>
  <c r="B2789" i="7"/>
  <c r="A2789" i="7"/>
  <c r="F2788" i="7"/>
  <c r="E2788" i="7"/>
  <c r="D2788" i="7"/>
  <c r="C2788" i="7"/>
  <c r="B2788" i="7"/>
  <c r="A2788" i="7"/>
  <c r="F2787" i="7"/>
  <c r="E2787" i="7"/>
  <c r="D2787" i="7"/>
  <c r="C2787" i="7"/>
  <c r="B2787" i="7"/>
  <c r="A2787" i="7"/>
  <c r="F2786" i="7"/>
  <c r="E2786" i="7"/>
  <c r="D2786" i="7"/>
  <c r="C2786" i="7"/>
  <c r="B2786" i="7"/>
  <c r="A2786" i="7"/>
  <c r="F2785" i="7"/>
  <c r="E2785" i="7"/>
  <c r="D2785" i="7"/>
  <c r="C2785" i="7"/>
  <c r="B2785" i="7"/>
  <c r="A2785" i="7"/>
  <c r="F2784" i="7"/>
  <c r="E2784" i="7"/>
  <c r="D2784" i="7"/>
  <c r="C2784" i="7"/>
  <c r="B2784" i="7"/>
  <c r="A2784" i="7"/>
  <c r="F2783" i="7"/>
  <c r="E2783" i="7"/>
  <c r="D2783" i="7"/>
  <c r="C2783" i="7"/>
  <c r="B2783" i="7"/>
  <c r="A2783" i="7"/>
  <c r="F2782" i="7"/>
  <c r="E2782" i="7"/>
  <c r="D2782" i="7"/>
  <c r="C2782" i="7"/>
  <c r="B2782" i="7"/>
  <c r="A2782" i="7"/>
  <c r="F2781" i="7"/>
  <c r="E2781" i="7"/>
  <c r="D2781" i="7"/>
  <c r="C2781" i="7"/>
  <c r="B2781" i="7"/>
  <c r="A2781" i="7"/>
  <c r="F2780" i="7"/>
  <c r="E2780" i="7"/>
  <c r="D2780" i="7"/>
  <c r="C2780" i="7"/>
  <c r="B2780" i="7"/>
  <c r="A2780" i="7"/>
  <c r="F2779" i="7"/>
  <c r="E2779" i="7"/>
  <c r="D2779" i="7"/>
  <c r="C2779" i="7"/>
  <c r="B2779" i="7"/>
  <c r="A2779" i="7"/>
  <c r="F2778" i="7"/>
  <c r="E2778" i="7"/>
  <c r="D2778" i="7"/>
  <c r="C2778" i="7"/>
  <c r="B2778" i="7"/>
  <c r="A2778" i="7"/>
  <c r="F2777" i="7"/>
  <c r="E2777" i="7"/>
  <c r="D2777" i="7"/>
  <c r="C2777" i="7"/>
  <c r="B2777" i="7"/>
  <c r="A2777" i="7"/>
  <c r="F2776" i="7"/>
  <c r="E2776" i="7"/>
  <c r="D2776" i="7"/>
  <c r="C2776" i="7"/>
  <c r="B2776" i="7"/>
  <c r="A2776" i="7"/>
  <c r="F2775" i="7"/>
  <c r="E2775" i="7"/>
  <c r="D2775" i="7"/>
  <c r="C2775" i="7"/>
  <c r="B2775" i="7"/>
  <c r="A2775" i="7"/>
  <c r="F2774" i="7"/>
  <c r="E2774" i="7"/>
  <c r="D2774" i="7"/>
  <c r="C2774" i="7"/>
  <c r="B2774" i="7"/>
  <c r="A2774" i="7"/>
  <c r="F2773" i="7"/>
  <c r="E2773" i="7"/>
  <c r="D2773" i="7"/>
  <c r="C2773" i="7"/>
  <c r="B2773" i="7"/>
  <c r="A2773" i="7"/>
  <c r="F2772" i="7"/>
  <c r="E2772" i="7"/>
  <c r="D2772" i="7"/>
  <c r="C2772" i="7"/>
  <c r="B2772" i="7"/>
  <c r="A2772" i="7"/>
  <c r="F2771" i="7"/>
  <c r="E2771" i="7"/>
  <c r="D2771" i="7"/>
  <c r="C2771" i="7"/>
  <c r="B2771" i="7"/>
  <c r="A2771" i="7"/>
  <c r="F2770" i="7"/>
  <c r="E2770" i="7"/>
  <c r="D2770" i="7"/>
  <c r="C2770" i="7"/>
  <c r="B2770" i="7"/>
  <c r="A2770" i="7"/>
  <c r="F2769" i="7"/>
  <c r="E2769" i="7"/>
  <c r="D2769" i="7"/>
  <c r="C2769" i="7"/>
  <c r="B2769" i="7"/>
  <c r="A2769" i="7"/>
  <c r="F2768" i="7"/>
  <c r="E2768" i="7"/>
  <c r="D2768" i="7"/>
  <c r="C2768" i="7"/>
  <c r="B2768" i="7"/>
  <c r="A2768" i="7"/>
  <c r="F2767" i="7"/>
  <c r="E2767" i="7"/>
  <c r="D2767" i="7"/>
  <c r="C2767" i="7"/>
  <c r="B2767" i="7"/>
  <c r="A2767" i="7"/>
  <c r="F2766" i="7"/>
  <c r="E2766" i="7"/>
  <c r="D2766" i="7"/>
  <c r="C2766" i="7"/>
  <c r="B2766" i="7"/>
  <c r="A2766" i="7"/>
  <c r="F2765" i="7"/>
  <c r="E2765" i="7"/>
  <c r="D2765" i="7"/>
  <c r="C2765" i="7"/>
  <c r="B2765" i="7"/>
  <c r="A2765" i="7"/>
  <c r="F2764" i="7"/>
  <c r="E2764" i="7"/>
  <c r="D2764" i="7"/>
  <c r="C2764" i="7"/>
  <c r="B2764" i="7"/>
  <c r="A2764" i="7"/>
  <c r="F2763" i="7"/>
  <c r="E2763" i="7"/>
  <c r="D2763" i="7"/>
  <c r="C2763" i="7"/>
  <c r="B2763" i="7"/>
  <c r="A2763" i="7"/>
  <c r="F2762" i="7"/>
  <c r="E2762" i="7"/>
  <c r="D2762" i="7"/>
  <c r="C2762" i="7"/>
  <c r="B2762" i="7"/>
  <c r="A2762" i="7"/>
  <c r="F2761" i="7"/>
  <c r="E2761" i="7"/>
  <c r="D2761" i="7"/>
  <c r="C2761" i="7"/>
  <c r="B2761" i="7"/>
  <c r="A2761" i="7"/>
  <c r="F2760" i="7"/>
  <c r="E2760" i="7"/>
  <c r="D2760" i="7"/>
  <c r="C2760" i="7"/>
  <c r="B2760" i="7"/>
  <c r="A2760" i="7"/>
  <c r="F2759" i="7"/>
  <c r="E2759" i="7"/>
  <c r="D2759" i="7"/>
  <c r="C2759" i="7"/>
  <c r="B2759" i="7"/>
  <c r="A2759" i="7"/>
  <c r="F2758" i="7"/>
  <c r="E2758" i="7"/>
  <c r="D2758" i="7"/>
  <c r="C2758" i="7"/>
  <c r="B2758" i="7"/>
  <c r="A2758" i="7"/>
  <c r="F2757" i="7"/>
  <c r="E2757" i="7"/>
  <c r="D2757" i="7"/>
  <c r="C2757" i="7"/>
  <c r="B2757" i="7"/>
  <c r="A2757" i="7"/>
  <c r="F2756" i="7"/>
  <c r="E2756" i="7"/>
  <c r="D2756" i="7"/>
  <c r="C2756" i="7"/>
  <c r="B2756" i="7"/>
  <c r="A2756" i="7"/>
  <c r="F2755" i="7"/>
  <c r="E2755" i="7"/>
  <c r="D2755" i="7"/>
  <c r="C2755" i="7"/>
  <c r="B2755" i="7"/>
  <c r="A2755" i="7"/>
  <c r="F2754" i="7"/>
  <c r="E2754" i="7"/>
  <c r="D2754" i="7"/>
  <c r="C2754" i="7"/>
  <c r="B2754" i="7"/>
  <c r="A2754" i="7"/>
  <c r="F2753" i="7"/>
  <c r="E2753" i="7"/>
  <c r="D2753" i="7"/>
  <c r="C2753" i="7"/>
  <c r="B2753" i="7"/>
  <c r="A2753" i="7"/>
  <c r="F2752" i="7"/>
  <c r="E2752" i="7"/>
  <c r="D2752" i="7"/>
  <c r="C2752" i="7"/>
  <c r="B2752" i="7"/>
  <c r="A2752" i="7"/>
  <c r="F2751" i="7"/>
  <c r="E2751" i="7"/>
  <c r="D2751" i="7"/>
  <c r="C2751" i="7"/>
  <c r="B2751" i="7"/>
  <c r="A2751" i="7"/>
  <c r="F2750" i="7"/>
  <c r="E2750" i="7"/>
  <c r="D2750" i="7"/>
  <c r="C2750" i="7"/>
  <c r="B2750" i="7"/>
  <c r="A2750" i="7"/>
  <c r="F2749" i="7"/>
  <c r="E2749" i="7"/>
  <c r="D2749" i="7"/>
  <c r="C2749" i="7"/>
  <c r="B2749" i="7"/>
  <c r="A2749" i="7"/>
  <c r="F2748" i="7"/>
  <c r="E2748" i="7"/>
  <c r="D2748" i="7"/>
  <c r="C2748" i="7"/>
  <c r="B2748" i="7"/>
  <c r="A2748" i="7"/>
  <c r="F2747" i="7"/>
  <c r="E2747" i="7"/>
  <c r="D2747" i="7"/>
  <c r="C2747" i="7"/>
  <c r="B2747" i="7"/>
  <c r="A2747" i="7"/>
  <c r="F2746" i="7"/>
  <c r="E2746" i="7"/>
  <c r="D2746" i="7"/>
  <c r="C2746" i="7"/>
  <c r="B2746" i="7"/>
  <c r="A2746" i="7"/>
  <c r="F2745" i="7"/>
  <c r="E2745" i="7"/>
  <c r="D2745" i="7"/>
  <c r="C2745" i="7"/>
  <c r="B2745" i="7"/>
  <c r="A2745" i="7"/>
  <c r="F2744" i="7"/>
  <c r="E2744" i="7"/>
  <c r="D2744" i="7"/>
  <c r="C2744" i="7"/>
  <c r="B2744" i="7"/>
  <c r="A2744" i="7"/>
  <c r="F2743" i="7"/>
  <c r="E2743" i="7"/>
  <c r="D2743" i="7"/>
  <c r="C2743" i="7"/>
  <c r="B2743" i="7"/>
  <c r="A2743" i="7"/>
  <c r="F2742" i="7"/>
  <c r="E2742" i="7"/>
  <c r="D2742" i="7"/>
  <c r="C2742" i="7"/>
  <c r="B2742" i="7"/>
  <c r="A2742" i="7"/>
  <c r="F2741" i="7"/>
  <c r="E2741" i="7"/>
  <c r="D2741" i="7"/>
  <c r="C2741" i="7"/>
  <c r="B2741" i="7"/>
  <c r="A2741" i="7"/>
  <c r="F2740" i="7"/>
  <c r="E2740" i="7"/>
  <c r="D2740" i="7"/>
  <c r="C2740" i="7"/>
  <c r="B2740" i="7"/>
  <c r="A2740" i="7"/>
  <c r="F2739" i="7"/>
  <c r="E2739" i="7"/>
  <c r="D2739" i="7"/>
  <c r="C2739" i="7"/>
  <c r="B2739" i="7"/>
  <c r="A2739" i="7"/>
  <c r="F2738" i="7"/>
  <c r="E2738" i="7"/>
  <c r="D2738" i="7"/>
  <c r="C2738" i="7"/>
  <c r="B2738" i="7"/>
  <c r="A2738" i="7"/>
  <c r="F2737" i="7"/>
  <c r="E2737" i="7"/>
  <c r="D2737" i="7"/>
  <c r="C2737" i="7"/>
  <c r="B2737" i="7"/>
  <c r="A2737" i="7"/>
  <c r="F2736" i="7"/>
  <c r="E2736" i="7"/>
  <c r="D2736" i="7"/>
  <c r="C2736" i="7"/>
  <c r="B2736" i="7"/>
  <c r="A2736" i="7"/>
  <c r="F2735" i="7"/>
  <c r="E2735" i="7"/>
  <c r="D2735" i="7"/>
  <c r="C2735" i="7"/>
  <c r="B2735" i="7"/>
  <c r="A2735" i="7"/>
  <c r="F2734" i="7"/>
  <c r="E2734" i="7"/>
  <c r="D2734" i="7"/>
  <c r="C2734" i="7"/>
  <c r="B2734" i="7"/>
  <c r="A2734" i="7"/>
  <c r="F2733" i="7"/>
  <c r="E2733" i="7"/>
  <c r="D2733" i="7"/>
  <c r="C2733" i="7"/>
  <c r="B2733" i="7"/>
  <c r="A2733" i="7"/>
  <c r="F2732" i="7"/>
  <c r="E2732" i="7"/>
  <c r="D2732" i="7"/>
  <c r="C2732" i="7"/>
  <c r="B2732" i="7"/>
  <c r="A2732" i="7"/>
  <c r="F2731" i="7"/>
  <c r="E2731" i="7"/>
  <c r="D2731" i="7"/>
  <c r="C2731" i="7"/>
  <c r="B2731" i="7"/>
  <c r="A2731" i="7"/>
  <c r="F2730" i="7"/>
  <c r="E2730" i="7"/>
  <c r="D2730" i="7"/>
  <c r="C2730" i="7"/>
  <c r="B2730" i="7"/>
  <c r="A2730" i="7"/>
  <c r="F2729" i="7"/>
  <c r="E2729" i="7"/>
  <c r="D2729" i="7"/>
  <c r="C2729" i="7"/>
  <c r="B2729" i="7"/>
  <c r="A2729" i="7"/>
  <c r="F2728" i="7"/>
  <c r="E2728" i="7"/>
  <c r="D2728" i="7"/>
  <c r="C2728" i="7"/>
  <c r="B2728" i="7"/>
  <c r="A2728" i="7"/>
  <c r="F2727" i="7"/>
  <c r="E2727" i="7"/>
  <c r="D2727" i="7"/>
  <c r="C2727" i="7"/>
  <c r="B2727" i="7"/>
  <c r="A2727" i="7"/>
  <c r="F2726" i="7"/>
  <c r="E2726" i="7"/>
  <c r="D2726" i="7"/>
  <c r="C2726" i="7"/>
  <c r="B2726" i="7"/>
  <c r="A2726" i="7"/>
  <c r="F2725" i="7"/>
  <c r="E2725" i="7"/>
  <c r="D2725" i="7"/>
  <c r="C2725" i="7"/>
  <c r="B2725" i="7"/>
  <c r="A2725" i="7"/>
  <c r="F2724" i="7"/>
  <c r="E2724" i="7"/>
  <c r="D2724" i="7"/>
  <c r="C2724" i="7"/>
  <c r="B2724" i="7"/>
  <c r="A2724" i="7"/>
  <c r="F2723" i="7"/>
  <c r="E2723" i="7"/>
  <c r="D2723" i="7"/>
  <c r="C2723" i="7"/>
  <c r="B2723" i="7"/>
  <c r="A2723" i="7"/>
  <c r="F2722" i="7"/>
  <c r="E2722" i="7"/>
  <c r="D2722" i="7"/>
  <c r="C2722" i="7"/>
  <c r="B2722" i="7"/>
  <c r="A2722" i="7"/>
  <c r="F2721" i="7"/>
  <c r="E2721" i="7"/>
  <c r="D2721" i="7"/>
  <c r="C2721" i="7"/>
  <c r="B2721" i="7"/>
  <c r="A2721" i="7"/>
  <c r="F2720" i="7"/>
  <c r="E2720" i="7"/>
  <c r="D2720" i="7"/>
  <c r="C2720" i="7"/>
  <c r="B2720" i="7"/>
  <c r="A2720" i="7"/>
  <c r="F2719" i="7"/>
  <c r="E2719" i="7"/>
  <c r="D2719" i="7"/>
  <c r="C2719" i="7"/>
  <c r="B2719" i="7"/>
  <c r="A2719" i="7"/>
  <c r="F2718" i="7"/>
  <c r="E2718" i="7"/>
  <c r="D2718" i="7"/>
  <c r="C2718" i="7"/>
  <c r="B2718" i="7"/>
  <c r="A2718" i="7"/>
  <c r="F2717" i="7"/>
  <c r="E2717" i="7"/>
  <c r="D2717" i="7"/>
  <c r="C2717" i="7"/>
  <c r="B2717" i="7"/>
  <c r="A2717" i="7"/>
  <c r="F2716" i="7"/>
  <c r="E2716" i="7"/>
  <c r="D2716" i="7"/>
  <c r="C2716" i="7"/>
  <c r="B2716" i="7"/>
  <c r="A2716" i="7"/>
  <c r="F2715" i="7"/>
  <c r="E2715" i="7"/>
  <c r="D2715" i="7"/>
  <c r="C2715" i="7"/>
  <c r="B2715" i="7"/>
  <c r="A2715" i="7"/>
  <c r="F2714" i="7"/>
  <c r="E2714" i="7"/>
  <c r="D2714" i="7"/>
  <c r="C2714" i="7"/>
  <c r="B2714" i="7"/>
  <c r="A2714" i="7"/>
  <c r="F2713" i="7"/>
  <c r="E2713" i="7"/>
  <c r="D2713" i="7"/>
  <c r="C2713" i="7"/>
  <c r="B2713" i="7"/>
  <c r="A2713" i="7"/>
  <c r="F2712" i="7"/>
  <c r="E2712" i="7"/>
  <c r="D2712" i="7"/>
  <c r="C2712" i="7"/>
  <c r="B2712" i="7"/>
  <c r="A2712" i="7"/>
  <c r="F2711" i="7"/>
  <c r="E2711" i="7"/>
  <c r="D2711" i="7"/>
  <c r="C2711" i="7"/>
  <c r="B2711" i="7"/>
  <c r="A2711" i="7"/>
  <c r="F2710" i="7"/>
  <c r="E2710" i="7"/>
  <c r="D2710" i="7"/>
  <c r="C2710" i="7"/>
  <c r="B2710" i="7"/>
  <c r="A2710" i="7"/>
  <c r="F2709" i="7"/>
  <c r="E2709" i="7"/>
  <c r="D2709" i="7"/>
  <c r="C2709" i="7"/>
  <c r="B2709" i="7"/>
  <c r="A2709" i="7"/>
  <c r="F2708" i="7"/>
  <c r="E2708" i="7"/>
  <c r="D2708" i="7"/>
  <c r="C2708" i="7"/>
  <c r="B2708" i="7"/>
  <c r="A2708" i="7"/>
  <c r="F2707" i="7"/>
  <c r="E2707" i="7"/>
  <c r="D2707" i="7"/>
  <c r="C2707" i="7"/>
  <c r="B2707" i="7"/>
  <c r="A2707" i="7"/>
  <c r="F2706" i="7"/>
  <c r="E2706" i="7"/>
  <c r="D2706" i="7"/>
  <c r="C2706" i="7"/>
  <c r="B2706" i="7"/>
  <c r="A2706" i="7"/>
  <c r="F2705" i="7"/>
  <c r="E2705" i="7"/>
  <c r="D2705" i="7"/>
  <c r="C2705" i="7"/>
  <c r="B2705" i="7"/>
  <c r="A2705" i="7"/>
  <c r="F2704" i="7"/>
  <c r="E2704" i="7"/>
  <c r="D2704" i="7"/>
  <c r="C2704" i="7"/>
  <c r="B2704" i="7"/>
  <c r="A2704" i="7"/>
  <c r="F2703" i="7"/>
  <c r="E2703" i="7"/>
  <c r="D2703" i="7"/>
  <c r="C2703" i="7"/>
  <c r="B2703" i="7"/>
  <c r="A2703" i="7"/>
  <c r="F2702" i="7"/>
  <c r="E2702" i="7"/>
  <c r="D2702" i="7"/>
  <c r="C2702" i="7"/>
  <c r="B2702" i="7"/>
  <c r="A2702" i="7"/>
  <c r="F2701" i="7"/>
  <c r="E2701" i="7"/>
  <c r="D2701" i="7"/>
  <c r="C2701" i="7"/>
  <c r="B2701" i="7"/>
  <c r="A2701" i="7"/>
  <c r="F2700" i="7"/>
  <c r="E2700" i="7"/>
  <c r="D2700" i="7"/>
  <c r="C2700" i="7"/>
  <c r="B2700" i="7"/>
  <c r="A2700" i="7"/>
  <c r="F2699" i="7"/>
  <c r="E2699" i="7"/>
  <c r="D2699" i="7"/>
  <c r="C2699" i="7"/>
  <c r="B2699" i="7"/>
  <c r="A2699" i="7"/>
  <c r="F2698" i="7"/>
  <c r="E2698" i="7"/>
  <c r="D2698" i="7"/>
  <c r="C2698" i="7"/>
  <c r="B2698" i="7"/>
  <c r="A2698" i="7"/>
  <c r="F2697" i="7"/>
  <c r="E2697" i="7"/>
  <c r="D2697" i="7"/>
  <c r="C2697" i="7"/>
  <c r="B2697" i="7"/>
  <c r="A2697" i="7"/>
  <c r="F2696" i="7"/>
  <c r="E2696" i="7"/>
  <c r="D2696" i="7"/>
  <c r="C2696" i="7"/>
  <c r="B2696" i="7"/>
  <c r="A2696" i="7"/>
  <c r="F2695" i="7"/>
  <c r="E2695" i="7"/>
  <c r="D2695" i="7"/>
  <c r="C2695" i="7"/>
  <c r="B2695" i="7"/>
  <c r="A2695" i="7"/>
  <c r="F2694" i="7"/>
  <c r="E2694" i="7"/>
  <c r="D2694" i="7"/>
  <c r="C2694" i="7"/>
  <c r="B2694" i="7"/>
  <c r="A2694" i="7"/>
  <c r="F2693" i="7"/>
  <c r="E2693" i="7"/>
  <c r="D2693" i="7"/>
  <c r="C2693" i="7"/>
  <c r="B2693" i="7"/>
  <c r="A2693" i="7"/>
  <c r="F2692" i="7"/>
  <c r="E2692" i="7"/>
  <c r="D2692" i="7"/>
  <c r="C2692" i="7"/>
  <c r="B2692" i="7"/>
  <c r="A2692" i="7"/>
  <c r="F2691" i="7"/>
  <c r="E2691" i="7"/>
  <c r="D2691" i="7"/>
  <c r="C2691" i="7"/>
  <c r="B2691" i="7"/>
  <c r="A2691" i="7"/>
  <c r="F2690" i="7"/>
  <c r="E2690" i="7"/>
  <c r="D2690" i="7"/>
  <c r="C2690" i="7"/>
  <c r="B2690" i="7"/>
  <c r="A2690" i="7"/>
  <c r="F2689" i="7"/>
  <c r="E2689" i="7"/>
  <c r="D2689" i="7"/>
  <c r="C2689" i="7"/>
  <c r="B2689" i="7"/>
  <c r="A2689" i="7"/>
  <c r="F2688" i="7"/>
  <c r="E2688" i="7"/>
  <c r="D2688" i="7"/>
  <c r="C2688" i="7"/>
  <c r="B2688" i="7"/>
  <c r="A2688" i="7"/>
  <c r="F2687" i="7"/>
  <c r="E2687" i="7"/>
  <c r="D2687" i="7"/>
  <c r="C2687" i="7"/>
  <c r="B2687" i="7"/>
  <c r="A2687" i="7"/>
  <c r="F2686" i="7"/>
  <c r="E2686" i="7"/>
  <c r="D2686" i="7"/>
  <c r="C2686" i="7"/>
  <c r="B2686" i="7"/>
  <c r="A2686" i="7"/>
  <c r="F2685" i="7"/>
  <c r="E2685" i="7"/>
  <c r="D2685" i="7"/>
  <c r="C2685" i="7"/>
  <c r="B2685" i="7"/>
  <c r="A2685" i="7"/>
  <c r="F2684" i="7"/>
  <c r="E2684" i="7"/>
  <c r="D2684" i="7"/>
  <c r="C2684" i="7"/>
  <c r="B2684" i="7"/>
  <c r="A2684" i="7"/>
  <c r="F2683" i="7"/>
  <c r="E2683" i="7"/>
  <c r="D2683" i="7"/>
  <c r="C2683" i="7"/>
  <c r="B2683" i="7"/>
  <c r="A2683" i="7"/>
  <c r="F2682" i="7"/>
  <c r="E2682" i="7"/>
  <c r="D2682" i="7"/>
  <c r="C2682" i="7"/>
  <c r="B2682" i="7"/>
  <c r="A2682" i="7"/>
  <c r="F2681" i="7"/>
  <c r="E2681" i="7"/>
  <c r="D2681" i="7"/>
  <c r="C2681" i="7"/>
  <c r="B2681" i="7"/>
  <c r="A2681" i="7"/>
  <c r="F2680" i="7"/>
  <c r="E2680" i="7"/>
  <c r="D2680" i="7"/>
  <c r="C2680" i="7"/>
  <c r="B2680" i="7"/>
  <c r="A2680" i="7"/>
  <c r="F2679" i="7"/>
  <c r="E2679" i="7"/>
  <c r="D2679" i="7"/>
  <c r="C2679" i="7"/>
  <c r="B2679" i="7"/>
  <c r="A2679" i="7"/>
  <c r="F2678" i="7"/>
  <c r="E2678" i="7"/>
  <c r="D2678" i="7"/>
  <c r="C2678" i="7"/>
  <c r="B2678" i="7"/>
  <c r="A2678" i="7"/>
  <c r="F2677" i="7"/>
  <c r="E2677" i="7"/>
  <c r="D2677" i="7"/>
  <c r="C2677" i="7"/>
  <c r="B2677" i="7"/>
  <c r="A2677" i="7"/>
  <c r="F2676" i="7"/>
  <c r="E2676" i="7"/>
  <c r="D2676" i="7"/>
  <c r="C2676" i="7"/>
  <c r="B2676" i="7"/>
  <c r="A2676" i="7"/>
  <c r="F2675" i="7"/>
  <c r="E2675" i="7"/>
  <c r="D2675" i="7"/>
  <c r="C2675" i="7"/>
  <c r="B2675" i="7"/>
  <c r="A2675" i="7"/>
  <c r="F2674" i="7"/>
  <c r="E2674" i="7"/>
  <c r="D2674" i="7"/>
  <c r="C2674" i="7"/>
  <c r="B2674" i="7"/>
  <c r="A2674" i="7"/>
  <c r="F2673" i="7"/>
  <c r="E2673" i="7"/>
  <c r="D2673" i="7"/>
  <c r="C2673" i="7"/>
  <c r="B2673" i="7"/>
  <c r="A2673" i="7"/>
  <c r="F2672" i="7"/>
  <c r="E2672" i="7"/>
  <c r="D2672" i="7"/>
  <c r="C2672" i="7"/>
  <c r="B2672" i="7"/>
  <c r="A2672" i="7"/>
  <c r="F2671" i="7"/>
  <c r="E2671" i="7"/>
  <c r="D2671" i="7"/>
  <c r="C2671" i="7"/>
  <c r="B2671" i="7"/>
  <c r="A2671" i="7"/>
  <c r="F2670" i="7"/>
  <c r="E2670" i="7"/>
  <c r="D2670" i="7"/>
  <c r="C2670" i="7"/>
  <c r="B2670" i="7"/>
  <c r="A2670" i="7"/>
  <c r="F2669" i="7"/>
  <c r="E2669" i="7"/>
  <c r="D2669" i="7"/>
  <c r="C2669" i="7"/>
  <c r="B2669" i="7"/>
  <c r="A2669" i="7"/>
  <c r="F2668" i="7"/>
  <c r="E2668" i="7"/>
  <c r="D2668" i="7"/>
  <c r="C2668" i="7"/>
  <c r="B2668" i="7"/>
  <c r="A2668" i="7"/>
  <c r="F2667" i="7"/>
  <c r="E2667" i="7"/>
  <c r="D2667" i="7"/>
  <c r="C2667" i="7"/>
  <c r="B2667" i="7"/>
  <c r="A2667" i="7"/>
  <c r="F2666" i="7"/>
  <c r="E2666" i="7"/>
  <c r="D2666" i="7"/>
  <c r="C2666" i="7"/>
  <c r="B2666" i="7"/>
  <c r="A2666" i="7"/>
  <c r="F2665" i="7"/>
  <c r="E2665" i="7"/>
  <c r="D2665" i="7"/>
  <c r="C2665" i="7"/>
  <c r="B2665" i="7"/>
  <c r="A2665" i="7"/>
  <c r="F2664" i="7"/>
  <c r="E2664" i="7"/>
  <c r="D2664" i="7"/>
  <c r="C2664" i="7"/>
  <c r="B2664" i="7"/>
  <c r="A2664" i="7"/>
  <c r="F2663" i="7"/>
  <c r="E2663" i="7"/>
  <c r="D2663" i="7"/>
  <c r="C2663" i="7"/>
  <c r="B2663" i="7"/>
  <c r="A2663" i="7"/>
  <c r="F2662" i="7"/>
  <c r="E2662" i="7"/>
  <c r="D2662" i="7"/>
  <c r="C2662" i="7"/>
  <c r="B2662" i="7"/>
  <c r="A2662" i="7"/>
  <c r="F2661" i="7"/>
  <c r="E2661" i="7"/>
  <c r="D2661" i="7"/>
  <c r="C2661" i="7"/>
  <c r="B2661" i="7"/>
  <c r="A2661" i="7"/>
  <c r="F2660" i="7"/>
  <c r="E2660" i="7"/>
  <c r="D2660" i="7"/>
  <c r="C2660" i="7"/>
  <c r="B2660" i="7"/>
  <c r="A2660" i="7"/>
  <c r="F2659" i="7"/>
  <c r="E2659" i="7"/>
  <c r="D2659" i="7"/>
  <c r="C2659" i="7"/>
  <c r="B2659" i="7"/>
  <c r="A2659" i="7"/>
  <c r="F2658" i="7"/>
  <c r="E2658" i="7"/>
  <c r="D2658" i="7"/>
  <c r="C2658" i="7"/>
  <c r="B2658" i="7"/>
  <c r="A2658" i="7"/>
  <c r="F2657" i="7"/>
  <c r="E2657" i="7"/>
  <c r="D2657" i="7"/>
  <c r="C2657" i="7"/>
  <c r="B2657" i="7"/>
  <c r="A2657" i="7"/>
  <c r="F2656" i="7"/>
  <c r="E2656" i="7"/>
  <c r="D2656" i="7"/>
  <c r="C2656" i="7"/>
  <c r="B2656" i="7"/>
  <c r="A2656" i="7"/>
  <c r="F2655" i="7"/>
  <c r="E2655" i="7"/>
  <c r="D2655" i="7"/>
  <c r="C2655" i="7"/>
  <c r="B2655" i="7"/>
  <c r="A2655" i="7"/>
  <c r="F2654" i="7"/>
  <c r="E2654" i="7"/>
  <c r="D2654" i="7"/>
  <c r="C2654" i="7"/>
  <c r="B2654" i="7"/>
  <c r="A2654" i="7"/>
  <c r="F2653" i="7"/>
  <c r="E2653" i="7"/>
  <c r="D2653" i="7"/>
  <c r="C2653" i="7"/>
  <c r="B2653" i="7"/>
  <c r="A2653" i="7"/>
  <c r="F2652" i="7"/>
  <c r="E2652" i="7"/>
  <c r="D2652" i="7"/>
  <c r="C2652" i="7"/>
  <c r="B2652" i="7"/>
  <c r="A2652" i="7"/>
  <c r="F2651" i="7"/>
  <c r="E2651" i="7"/>
  <c r="D2651" i="7"/>
  <c r="C2651" i="7"/>
  <c r="B2651" i="7"/>
  <c r="A2651" i="7"/>
  <c r="F2650" i="7"/>
  <c r="E2650" i="7"/>
  <c r="D2650" i="7"/>
  <c r="C2650" i="7"/>
  <c r="B2650" i="7"/>
  <c r="A2650" i="7"/>
  <c r="F2649" i="7"/>
  <c r="E2649" i="7"/>
  <c r="D2649" i="7"/>
  <c r="C2649" i="7"/>
  <c r="B2649" i="7"/>
  <c r="A2649" i="7"/>
  <c r="F2648" i="7"/>
  <c r="E2648" i="7"/>
  <c r="D2648" i="7"/>
  <c r="C2648" i="7"/>
  <c r="B2648" i="7"/>
  <c r="A2648" i="7"/>
  <c r="F2647" i="7"/>
  <c r="E2647" i="7"/>
  <c r="D2647" i="7"/>
  <c r="C2647" i="7"/>
  <c r="B2647" i="7"/>
  <c r="A2647" i="7"/>
  <c r="F2646" i="7"/>
  <c r="E2646" i="7"/>
  <c r="D2646" i="7"/>
  <c r="C2646" i="7"/>
  <c r="B2646" i="7"/>
  <c r="A2646" i="7"/>
  <c r="F2645" i="7"/>
  <c r="E2645" i="7"/>
  <c r="D2645" i="7"/>
  <c r="C2645" i="7"/>
  <c r="B2645" i="7"/>
  <c r="A2645" i="7"/>
  <c r="F2644" i="7"/>
  <c r="E2644" i="7"/>
  <c r="D2644" i="7"/>
  <c r="C2644" i="7"/>
  <c r="B2644" i="7"/>
  <c r="A2644" i="7"/>
  <c r="F2643" i="7"/>
  <c r="E2643" i="7"/>
  <c r="D2643" i="7"/>
  <c r="C2643" i="7"/>
  <c r="B2643" i="7"/>
  <c r="A2643" i="7"/>
  <c r="F2642" i="7"/>
  <c r="E2642" i="7"/>
  <c r="D2642" i="7"/>
  <c r="C2642" i="7"/>
  <c r="B2642" i="7"/>
  <c r="A2642" i="7"/>
  <c r="F2641" i="7"/>
  <c r="E2641" i="7"/>
  <c r="D2641" i="7"/>
  <c r="C2641" i="7"/>
  <c r="B2641" i="7"/>
  <c r="A2641" i="7"/>
  <c r="F2640" i="7"/>
  <c r="E2640" i="7"/>
  <c r="D2640" i="7"/>
  <c r="C2640" i="7"/>
  <c r="B2640" i="7"/>
  <c r="A2640" i="7"/>
  <c r="F2639" i="7"/>
  <c r="E2639" i="7"/>
  <c r="D2639" i="7"/>
  <c r="C2639" i="7"/>
  <c r="B2639" i="7"/>
  <c r="A2639" i="7"/>
  <c r="F2638" i="7"/>
  <c r="E2638" i="7"/>
  <c r="D2638" i="7"/>
  <c r="C2638" i="7"/>
  <c r="B2638" i="7"/>
  <c r="A2638" i="7"/>
  <c r="F2637" i="7"/>
  <c r="E2637" i="7"/>
  <c r="D2637" i="7"/>
  <c r="C2637" i="7"/>
  <c r="B2637" i="7"/>
  <c r="A2637" i="7"/>
  <c r="F2636" i="7"/>
  <c r="E2636" i="7"/>
  <c r="D2636" i="7"/>
  <c r="C2636" i="7"/>
  <c r="B2636" i="7"/>
  <c r="A2636" i="7"/>
  <c r="F2635" i="7"/>
  <c r="E2635" i="7"/>
  <c r="D2635" i="7"/>
  <c r="C2635" i="7"/>
  <c r="B2635" i="7"/>
  <c r="A2635" i="7"/>
  <c r="F2634" i="7"/>
  <c r="E2634" i="7"/>
  <c r="D2634" i="7"/>
  <c r="C2634" i="7"/>
  <c r="B2634" i="7"/>
  <c r="A2634" i="7"/>
  <c r="F2633" i="7"/>
  <c r="E2633" i="7"/>
  <c r="D2633" i="7"/>
  <c r="C2633" i="7"/>
  <c r="B2633" i="7"/>
  <c r="A2633" i="7"/>
  <c r="F2632" i="7"/>
  <c r="E2632" i="7"/>
  <c r="D2632" i="7"/>
  <c r="C2632" i="7"/>
  <c r="B2632" i="7"/>
  <c r="A2632" i="7"/>
  <c r="F2631" i="7"/>
  <c r="E2631" i="7"/>
  <c r="D2631" i="7"/>
  <c r="C2631" i="7"/>
  <c r="B2631" i="7"/>
  <c r="A2631" i="7"/>
  <c r="F2630" i="7"/>
  <c r="E2630" i="7"/>
  <c r="D2630" i="7"/>
  <c r="C2630" i="7"/>
  <c r="B2630" i="7"/>
  <c r="A2630" i="7"/>
  <c r="F2629" i="7"/>
  <c r="E2629" i="7"/>
  <c r="D2629" i="7"/>
  <c r="C2629" i="7"/>
  <c r="B2629" i="7"/>
  <c r="A2629" i="7"/>
  <c r="F2628" i="7"/>
  <c r="E2628" i="7"/>
  <c r="D2628" i="7"/>
  <c r="C2628" i="7"/>
  <c r="B2628" i="7"/>
  <c r="A2628" i="7"/>
  <c r="F2627" i="7"/>
  <c r="E2627" i="7"/>
  <c r="D2627" i="7"/>
  <c r="C2627" i="7"/>
  <c r="B2627" i="7"/>
  <c r="A2627" i="7"/>
  <c r="F2626" i="7"/>
  <c r="E2626" i="7"/>
  <c r="D2626" i="7"/>
  <c r="C2626" i="7"/>
  <c r="B2626" i="7"/>
  <c r="A2626" i="7"/>
  <c r="F2625" i="7"/>
  <c r="E2625" i="7"/>
  <c r="D2625" i="7"/>
  <c r="C2625" i="7"/>
  <c r="B2625" i="7"/>
  <c r="A2625" i="7"/>
  <c r="F2624" i="7"/>
  <c r="E2624" i="7"/>
  <c r="D2624" i="7"/>
  <c r="C2624" i="7"/>
  <c r="B2624" i="7"/>
  <c r="A2624" i="7"/>
  <c r="F2623" i="7"/>
  <c r="E2623" i="7"/>
  <c r="D2623" i="7"/>
  <c r="C2623" i="7"/>
  <c r="B2623" i="7"/>
  <c r="A2623" i="7"/>
  <c r="F2622" i="7"/>
  <c r="E2622" i="7"/>
  <c r="D2622" i="7"/>
  <c r="C2622" i="7"/>
  <c r="B2622" i="7"/>
  <c r="A2622" i="7"/>
  <c r="F2621" i="7"/>
  <c r="E2621" i="7"/>
  <c r="D2621" i="7"/>
  <c r="C2621" i="7"/>
  <c r="B2621" i="7"/>
  <c r="A2621" i="7"/>
  <c r="F2620" i="7"/>
  <c r="E2620" i="7"/>
  <c r="D2620" i="7"/>
  <c r="C2620" i="7"/>
  <c r="B2620" i="7"/>
  <c r="A2620" i="7"/>
  <c r="F2619" i="7"/>
  <c r="E2619" i="7"/>
  <c r="D2619" i="7"/>
  <c r="C2619" i="7"/>
  <c r="B2619" i="7"/>
  <c r="A2619" i="7"/>
  <c r="F2618" i="7"/>
  <c r="E2618" i="7"/>
  <c r="D2618" i="7"/>
  <c r="C2618" i="7"/>
  <c r="B2618" i="7"/>
  <c r="A2618" i="7"/>
  <c r="F2617" i="7"/>
  <c r="E2617" i="7"/>
  <c r="D2617" i="7"/>
  <c r="C2617" i="7"/>
  <c r="B2617" i="7"/>
  <c r="A2617" i="7"/>
  <c r="F2616" i="7"/>
  <c r="E2616" i="7"/>
  <c r="D2616" i="7"/>
  <c r="C2616" i="7"/>
  <c r="B2616" i="7"/>
  <c r="A2616" i="7"/>
  <c r="F2615" i="7"/>
  <c r="E2615" i="7"/>
  <c r="D2615" i="7"/>
  <c r="C2615" i="7"/>
  <c r="B2615" i="7"/>
  <c r="A2615" i="7"/>
  <c r="F2614" i="7"/>
  <c r="E2614" i="7"/>
  <c r="D2614" i="7"/>
  <c r="C2614" i="7"/>
  <c r="B2614" i="7"/>
  <c r="A2614" i="7"/>
  <c r="F2613" i="7"/>
  <c r="E2613" i="7"/>
  <c r="D2613" i="7"/>
  <c r="C2613" i="7"/>
  <c r="B2613" i="7"/>
  <c r="A2613" i="7"/>
  <c r="F2612" i="7"/>
  <c r="E2612" i="7"/>
  <c r="D2612" i="7"/>
  <c r="C2612" i="7"/>
  <c r="B2612" i="7"/>
  <c r="A2612" i="7"/>
  <c r="F2611" i="7"/>
  <c r="E2611" i="7"/>
  <c r="D2611" i="7"/>
  <c r="C2611" i="7"/>
  <c r="B2611" i="7"/>
  <c r="A2611" i="7"/>
  <c r="F2610" i="7"/>
  <c r="E2610" i="7"/>
  <c r="D2610" i="7"/>
  <c r="C2610" i="7"/>
  <c r="B2610" i="7"/>
  <c r="A2610" i="7"/>
  <c r="F2609" i="7"/>
  <c r="E2609" i="7"/>
  <c r="D2609" i="7"/>
  <c r="C2609" i="7"/>
  <c r="B2609" i="7"/>
  <c r="A2609" i="7"/>
  <c r="F2608" i="7"/>
  <c r="E2608" i="7"/>
  <c r="D2608" i="7"/>
  <c r="C2608" i="7"/>
  <c r="B2608" i="7"/>
  <c r="A2608" i="7"/>
  <c r="F2607" i="7"/>
  <c r="E2607" i="7"/>
  <c r="D2607" i="7"/>
  <c r="C2607" i="7"/>
  <c r="B2607" i="7"/>
  <c r="A2607" i="7"/>
  <c r="F2606" i="7"/>
  <c r="E2606" i="7"/>
  <c r="D2606" i="7"/>
  <c r="C2606" i="7"/>
  <c r="B2606" i="7"/>
  <c r="A2606" i="7"/>
  <c r="F2605" i="7"/>
  <c r="E2605" i="7"/>
  <c r="D2605" i="7"/>
  <c r="C2605" i="7"/>
  <c r="B2605" i="7"/>
  <c r="A2605" i="7"/>
  <c r="F2604" i="7"/>
  <c r="E2604" i="7"/>
  <c r="D2604" i="7"/>
  <c r="C2604" i="7"/>
  <c r="B2604" i="7"/>
  <c r="A2604" i="7"/>
  <c r="F2603" i="7"/>
  <c r="E2603" i="7"/>
  <c r="D2603" i="7"/>
  <c r="C2603" i="7"/>
  <c r="B2603" i="7"/>
  <c r="A2603" i="7"/>
  <c r="F2602" i="7"/>
  <c r="E2602" i="7"/>
  <c r="D2602" i="7"/>
  <c r="C2602" i="7"/>
  <c r="B2602" i="7"/>
  <c r="A2602" i="7"/>
  <c r="F2601" i="7"/>
  <c r="E2601" i="7"/>
  <c r="D2601" i="7"/>
  <c r="C2601" i="7"/>
  <c r="B2601" i="7"/>
  <c r="A2601" i="7"/>
  <c r="F2600" i="7"/>
  <c r="E2600" i="7"/>
  <c r="D2600" i="7"/>
  <c r="C2600" i="7"/>
  <c r="B2600" i="7"/>
  <c r="A2600" i="7"/>
  <c r="F2599" i="7"/>
  <c r="E2599" i="7"/>
  <c r="D2599" i="7"/>
  <c r="C2599" i="7"/>
  <c r="B2599" i="7"/>
  <c r="A2599" i="7"/>
  <c r="F2598" i="7"/>
  <c r="E2598" i="7"/>
  <c r="D2598" i="7"/>
  <c r="C2598" i="7"/>
  <c r="B2598" i="7"/>
  <c r="A2598" i="7"/>
  <c r="F2597" i="7"/>
  <c r="E2597" i="7"/>
  <c r="D2597" i="7"/>
  <c r="C2597" i="7"/>
  <c r="B2597" i="7"/>
  <c r="A2597" i="7"/>
  <c r="F2596" i="7"/>
  <c r="E2596" i="7"/>
  <c r="D2596" i="7"/>
  <c r="C2596" i="7"/>
  <c r="B2596" i="7"/>
  <c r="A2596" i="7"/>
  <c r="F2595" i="7"/>
  <c r="E2595" i="7"/>
  <c r="D2595" i="7"/>
  <c r="C2595" i="7"/>
  <c r="B2595" i="7"/>
  <c r="A2595" i="7"/>
  <c r="F2594" i="7"/>
  <c r="E2594" i="7"/>
  <c r="D2594" i="7"/>
  <c r="C2594" i="7"/>
  <c r="B2594" i="7"/>
  <c r="A2594" i="7"/>
  <c r="F2593" i="7"/>
  <c r="E2593" i="7"/>
  <c r="D2593" i="7"/>
  <c r="C2593" i="7"/>
  <c r="B2593" i="7"/>
  <c r="A2593" i="7"/>
  <c r="F2592" i="7"/>
  <c r="E2592" i="7"/>
  <c r="D2592" i="7"/>
  <c r="C2592" i="7"/>
  <c r="B2592" i="7"/>
  <c r="A2592" i="7"/>
  <c r="F2591" i="7"/>
  <c r="E2591" i="7"/>
  <c r="D2591" i="7"/>
  <c r="C2591" i="7"/>
  <c r="B2591" i="7"/>
  <c r="A2591" i="7"/>
  <c r="F2590" i="7"/>
  <c r="E2590" i="7"/>
  <c r="D2590" i="7"/>
  <c r="C2590" i="7"/>
  <c r="B2590" i="7"/>
  <c r="A2590" i="7"/>
  <c r="F2589" i="7"/>
  <c r="E2589" i="7"/>
  <c r="D2589" i="7"/>
  <c r="C2589" i="7"/>
  <c r="B2589" i="7"/>
  <c r="A2589" i="7"/>
  <c r="F2588" i="7"/>
  <c r="E2588" i="7"/>
  <c r="D2588" i="7"/>
  <c r="C2588" i="7"/>
  <c r="B2588" i="7"/>
  <c r="A2588" i="7"/>
  <c r="F2587" i="7"/>
  <c r="E2587" i="7"/>
  <c r="D2587" i="7"/>
  <c r="C2587" i="7"/>
  <c r="B2587" i="7"/>
  <c r="A2587" i="7"/>
  <c r="F2586" i="7"/>
  <c r="E2586" i="7"/>
  <c r="D2586" i="7"/>
  <c r="C2586" i="7"/>
  <c r="B2586" i="7"/>
  <c r="A2586" i="7"/>
  <c r="F2585" i="7"/>
  <c r="E2585" i="7"/>
  <c r="D2585" i="7"/>
  <c r="C2585" i="7"/>
  <c r="B2585" i="7"/>
  <c r="A2585" i="7"/>
  <c r="F2584" i="7"/>
  <c r="E2584" i="7"/>
  <c r="D2584" i="7"/>
  <c r="C2584" i="7"/>
  <c r="B2584" i="7"/>
  <c r="A2584" i="7"/>
  <c r="F2583" i="7"/>
  <c r="E2583" i="7"/>
  <c r="D2583" i="7"/>
  <c r="C2583" i="7"/>
  <c r="B2583" i="7"/>
  <c r="A2583" i="7"/>
  <c r="F2582" i="7"/>
  <c r="E2582" i="7"/>
  <c r="D2582" i="7"/>
  <c r="C2582" i="7"/>
  <c r="B2582" i="7"/>
  <c r="A2582" i="7"/>
  <c r="F2581" i="7"/>
  <c r="E2581" i="7"/>
  <c r="D2581" i="7"/>
  <c r="C2581" i="7"/>
  <c r="B2581" i="7"/>
  <c r="A2581" i="7"/>
  <c r="F2580" i="7"/>
  <c r="E2580" i="7"/>
  <c r="D2580" i="7"/>
  <c r="C2580" i="7"/>
  <c r="B2580" i="7"/>
  <c r="A2580" i="7"/>
  <c r="F2579" i="7"/>
  <c r="E2579" i="7"/>
  <c r="D2579" i="7"/>
  <c r="C2579" i="7"/>
  <c r="B2579" i="7"/>
  <c r="A2579" i="7"/>
  <c r="F2578" i="7"/>
  <c r="E2578" i="7"/>
  <c r="D2578" i="7"/>
  <c r="C2578" i="7"/>
  <c r="B2578" i="7"/>
  <c r="A2578" i="7"/>
  <c r="F2577" i="7"/>
  <c r="E2577" i="7"/>
  <c r="D2577" i="7"/>
  <c r="C2577" i="7"/>
  <c r="B2577" i="7"/>
  <c r="A2577" i="7"/>
  <c r="F2576" i="7"/>
  <c r="E2576" i="7"/>
  <c r="D2576" i="7"/>
  <c r="C2576" i="7"/>
  <c r="B2576" i="7"/>
  <c r="A2576" i="7"/>
  <c r="F2575" i="7"/>
  <c r="E2575" i="7"/>
  <c r="D2575" i="7"/>
  <c r="C2575" i="7"/>
  <c r="B2575" i="7"/>
  <c r="A2575" i="7"/>
  <c r="F2574" i="7"/>
  <c r="E2574" i="7"/>
  <c r="D2574" i="7"/>
  <c r="C2574" i="7"/>
  <c r="B2574" i="7"/>
  <c r="A2574" i="7"/>
  <c r="F2573" i="7"/>
  <c r="E2573" i="7"/>
  <c r="D2573" i="7"/>
  <c r="C2573" i="7"/>
  <c r="B2573" i="7"/>
  <c r="A2573" i="7"/>
  <c r="F2572" i="7"/>
  <c r="E2572" i="7"/>
  <c r="D2572" i="7"/>
  <c r="C2572" i="7"/>
  <c r="B2572" i="7"/>
  <c r="A2572" i="7"/>
  <c r="F2571" i="7"/>
  <c r="E2571" i="7"/>
  <c r="D2571" i="7"/>
  <c r="C2571" i="7"/>
  <c r="B2571" i="7"/>
  <c r="A2571" i="7"/>
  <c r="F2570" i="7"/>
  <c r="E2570" i="7"/>
  <c r="D2570" i="7"/>
  <c r="C2570" i="7"/>
  <c r="B2570" i="7"/>
  <c r="A2570" i="7"/>
  <c r="F2569" i="7"/>
  <c r="E2569" i="7"/>
  <c r="D2569" i="7"/>
  <c r="C2569" i="7"/>
  <c r="B2569" i="7"/>
  <c r="A2569" i="7"/>
  <c r="F2568" i="7"/>
  <c r="E2568" i="7"/>
  <c r="D2568" i="7"/>
  <c r="C2568" i="7"/>
  <c r="B2568" i="7"/>
  <c r="A2568" i="7"/>
  <c r="F2567" i="7"/>
  <c r="E2567" i="7"/>
  <c r="D2567" i="7"/>
  <c r="C2567" i="7"/>
  <c r="B2567" i="7"/>
  <c r="A2567" i="7"/>
  <c r="F2566" i="7"/>
  <c r="E2566" i="7"/>
  <c r="D2566" i="7"/>
  <c r="C2566" i="7"/>
  <c r="B2566" i="7"/>
  <c r="A2566" i="7"/>
  <c r="F2565" i="7"/>
  <c r="E2565" i="7"/>
  <c r="D2565" i="7"/>
  <c r="C2565" i="7"/>
  <c r="B2565" i="7"/>
  <c r="A2565" i="7"/>
  <c r="F2564" i="7"/>
  <c r="E2564" i="7"/>
  <c r="D2564" i="7"/>
  <c r="C2564" i="7"/>
  <c r="B2564" i="7"/>
  <c r="A2564" i="7"/>
  <c r="F2563" i="7"/>
  <c r="E2563" i="7"/>
  <c r="D2563" i="7"/>
  <c r="C2563" i="7"/>
  <c r="B2563" i="7"/>
  <c r="A2563" i="7"/>
  <c r="F2562" i="7"/>
  <c r="E2562" i="7"/>
  <c r="D2562" i="7"/>
  <c r="C2562" i="7"/>
  <c r="B2562" i="7"/>
  <c r="A2562" i="7"/>
  <c r="F2561" i="7"/>
  <c r="E2561" i="7"/>
  <c r="D2561" i="7"/>
  <c r="C2561" i="7"/>
  <c r="B2561" i="7"/>
  <c r="A2561" i="7"/>
  <c r="F2560" i="7"/>
  <c r="E2560" i="7"/>
  <c r="D2560" i="7"/>
  <c r="C2560" i="7"/>
  <c r="B2560" i="7"/>
  <c r="A2560" i="7"/>
  <c r="F2559" i="7"/>
  <c r="E2559" i="7"/>
  <c r="D2559" i="7"/>
  <c r="C2559" i="7"/>
  <c r="B2559" i="7"/>
  <c r="A2559" i="7"/>
  <c r="F2558" i="7"/>
  <c r="E2558" i="7"/>
  <c r="D2558" i="7"/>
  <c r="C2558" i="7"/>
  <c r="B2558" i="7"/>
  <c r="A2558" i="7"/>
  <c r="F2557" i="7"/>
  <c r="E2557" i="7"/>
  <c r="D2557" i="7"/>
  <c r="C2557" i="7"/>
  <c r="B2557" i="7"/>
  <c r="A2557" i="7"/>
  <c r="F2556" i="7"/>
  <c r="E2556" i="7"/>
  <c r="D2556" i="7"/>
  <c r="C2556" i="7"/>
  <c r="B2556" i="7"/>
  <c r="A2556" i="7"/>
  <c r="F2555" i="7"/>
  <c r="E2555" i="7"/>
  <c r="D2555" i="7"/>
  <c r="C2555" i="7"/>
  <c r="B2555" i="7"/>
  <c r="A2555" i="7"/>
  <c r="F2554" i="7"/>
  <c r="E2554" i="7"/>
  <c r="D2554" i="7"/>
  <c r="C2554" i="7"/>
  <c r="B2554" i="7"/>
  <c r="A2554" i="7"/>
  <c r="F2553" i="7"/>
  <c r="E2553" i="7"/>
  <c r="D2553" i="7"/>
  <c r="C2553" i="7"/>
  <c r="B2553" i="7"/>
  <c r="A2553" i="7"/>
  <c r="F2552" i="7"/>
  <c r="E2552" i="7"/>
  <c r="D2552" i="7"/>
  <c r="C2552" i="7"/>
  <c r="B2552" i="7"/>
  <c r="A2552" i="7"/>
  <c r="F2551" i="7"/>
  <c r="E2551" i="7"/>
  <c r="D2551" i="7"/>
  <c r="C2551" i="7"/>
  <c r="B2551" i="7"/>
  <c r="A2551" i="7"/>
  <c r="F2550" i="7"/>
  <c r="E2550" i="7"/>
  <c r="D2550" i="7"/>
  <c r="C2550" i="7"/>
  <c r="B2550" i="7"/>
  <c r="A2550" i="7"/>
  <c r="F2549" i="7"/>
  <c r="E2549" i="7"/>
  <c r="D2549" i="7"/>
  <c r="C2549" i="7"/>
  <c r="B2549" i="7"/>
  <c r="A2549" i="7"/>
  <c r="F2548" i="7"/>
  <c r="E2548" i="7"/>
  <c r="D2548" i="7"/>
  <c r="C2548" i="7"/>
  <c r="B2548" i="7"/>
  <c r="A2548" i="7"/>
  <c r="F2547" i="7"/>
  <c r="E2547" i="7"/>
  <c r="D2547" i="7"/>
  <c r="C2547" i="7"/>
  <c r="B2547" i="7"/>
  <c r="A2547" i="7"/>
  <c r="F2546" i="7"/>
  <c r="E2546" i="7"/>
  <c r="D2546" i="7"/>
  <c r="C2546" i="7"/>
  <c r="B2546" i="7"/>
  <c r="A2546" i="7"/>
  <c r="F2545" i="7"/>
  <c r="E2545" i="7"/>
  <c r="D2545" i="7"/>
  <c r="C2545" i="7"/>
  <c r="B2545" i="7"/>
  <c r="A2545" i="7"/>
  <c r="F2544" i="7"/>
  <c r="E2544" i="7"/>
  <c r="D2544" i="7"/>
  <c r="C2544" i="7"/>
  <c r="B2544" i="7"/>
  <c r="A2544" i="7"/>
  <c r="F2543" i="7"/>
  <c r="E2543" i="7"/>
  <c r="D2543" i="7"/>
  <c r="C2543" i="7"/>
  <c r="B2543" i="7"/>
  <c r="A2543" i="7"/>
  <c r="F2542" i="7"/>
  <c r="E2542" i="7"/>
  <c r="D2542" i="7"/>
  <c r="C2542" i="7"/>
  <c r="B2542" i="7"/>
  <c r="A2542" i="7"/>
  <c r="F2541" i="7"/>
  <c r="E2541" i="7"/>
  <c r="D2541" i="7"/>
  <c r="C2541" i="7"/>
  <c r="B2541" i="7"/>
  <c r="A2541" i="7"/>
  <c r="F2540" i="7"/>
  <c r="E2540" i="7"/>
  <c r="D2540" i="7"/>
  <c r="C2540" i="7"/>
  <c r="B2540" i="7"/>
  <c r="A2540" i="7"/>
  <c r="F2539" i="7"/>
  <c r="E2539" i="7"/>
  <c r="D2539" i="7"/>
  <c r="C2539" i="7"/>
  <c r="B2539" i="7"/>
  <c r="A2539" i="7"/>
  <c r="F2538" i="7"/>
  <c r="E2538" i="7"/>
  <c r="D2538" i="7"/>
  <c r="C2538" i="7"/>
  <c r="B2538" i="7"/>
  <c r="A2538" i="7"/>
  <c r="F2537" i="7"/>
  <c r="E2537" i="7"/>
  <c r="D2537" i="7"/>
  <c r="C2537" i="7"/>
  <c r="B2537" i="7"/>
  <c r="A2537" i="7"/>
  <c r="F2536" i="7"/>
  <c r="E2536" i="7"/>
  <c r="D2536" i="7"/>
  <c r="C2536" i="7"/>
  <c r="B2536" i="7"/>
  <c r="A2536" i="7"/>
  <c r="F2535" i="7"/>
  <c r="E2535" i="7"/>
  <c r="D2535" i="7"/>
  <c r="C2535" i="7"/>
  <c r="B2535" i="7"/>
  <c r="A2535" i="7"/>
  <c r="F2534" i="7"/>
  <c r="E2534" i="7"/>
  <c r="D2534" i="7"/>
  <c r="C2534" i="7"/>
  <c r="B2534" i="7"/>
  <c r="A2534" i="7"/>
  <c r="F2533" i="7"/>
  <c r="E2533" i="7"/>
  <c r="D2533" i="7"/>
  <c r="C2533" i="7"/>
  <c r="B2533" i="7"/>
  <c r="A2533" i="7"/>
  <c r="F2532" i="7"/>
  <c r="E2532" i="7"/>
  <c r="D2532" i="7"/>
  <c r="C2532" i="7"/>
  <c r="B2532" i="7"/>
  <c r="A2532" i="7"/>
  <c r="F2531" i="7"/>
  <c r="E2531" i="7"/>
  <c r="D2531" i="7"/>
  <c r="C2531" i="7"/>
  <c r="B2531" i="7"/>
  <c r="A2531" i="7"/>
  <c r="F2530" i="7"/>
  <c r="E2530" i="7"/>
  <c r="D2530" i="7"/>
  <c r="C2530" i="7"/>
  <c r="B2530" i="7"/>
  <c r="A2530" i="7"/>
  <c r="F2529" i="7"/>
  <c r="E2529" i="7"/>
  <c r="D2529" i="7"/>
  <c r="C2529" i="7"/>
  <c r="B2529" i="7"/>
  <c r="A2529" i="7"/>
  <c r="F2528" i="7"/>
  <c r="E2528" i="7"/>
  <c r="D2528" i="7"/>
  <c r="C2528" i="7"/>
  <c r="B2528" i="7"/>
  <c r="A2528" i="7"/>
  <c r="F2527" i="7"/>
  <c r="E2527" i="7"/>
  <c r="D2527" i="7"/>
  <c r="C2527" i="7"/>
  <c r="B2527" i="7"/>
  <c r="A2527" i="7"/>
  <c r="F2526" i="7"/>
  <c r="E2526" i="7"/>
  <c r="D2526" i="7"/>
  <c r="C2526" i="7"/>
  <c r="B2526" i="7"/>
  <c r="A2526" i="7"/>
  <c r="F2525" i="7"/>
  <c r="E2525" i="7"/>
  <c r="D2525" i="7"/>
  <c r="C2525" i="7"/>
  <c r="B2525" i="7"/>
  <c r="A2525" i="7"/>
  <c r="F2524" i="7"/>
  <c r="E2524" i="7"/>
  <c r="D2524" i="7"/>
  <c r="C2524" i="7"/>
  <c r="B2524" i="7"/>
  <c r="A2524" i="7"/>
  <c r="F2523" i="7"/>
  <c r="E2523" i="7"/>
  <c r="D2523" i="7"/>
  <c r="C2523" i="7"/>
  <c r="B2523" i="7"/>
  <c r="A2523" i="7"/>
  <c r="F2522" i="7"/>
  <c r="E2522" i="7"/>
  <c r="D2522" i="7"/>
  <c r="C2522" i="7"/>
  <c r="B2522" i="7"/>
  <c r="A2522" i="7"/>
  <c r="F2521" i="7"/>
  <c r="E2521" i="7"/>
  <c r="D2521" i="7"/>
  <c r="C2521" i="7"/>
  <c r="B2521" i="7"/>
  <c r="A2521" i="7"/>
  <c r="F2520" i="7"/>
  <c r="E2520" i="7"/>
  <c r="D2520" i="7"/>
  <c r="C2520" i="7"/>
  <c r="B2520" i="7"/>
  <c r="A2520" i="7"/>
  <c r="F2519" i="7"/>
  <c r="E2519" i="7"/>
  <c r="D2519" i="7"/>
  <c r="C2519" i="7"/>
  <c r="B2519" i="7"/>
  <c r="A2519" i="7"/>
  <c r="F2518" i="7"/>
  <c r="E2518" i="7"/>
  <c r="D2518" i="7"/>
  <c r="C2518" i="7"/>
  <c r="B2518" i="7"/>
  <c r="A2518" i="7"/>
  <c r="F2517" i="7"/>
  <c r="E2517" i="7"/>
  <c r="D2517" i="7"/>
  <c r="C2517" i="7"/>
  <c r="B2517" i="7"/>
  <c r="A2517" i="7"/>
  <c r="F2516" i="7"/>
  <c r="E2516" i="7"/>
  <c r="D2516" i="7"/>
  <c r="C2516" i="7"/>
  <c r="B2516" i="7"/>
  <c r="A2516" i="7"/>
  <c r="F2515" i="7"/>
  <c r="E2515" i="7"/>
  <c r="D2515" i="7"/>
  <c r="C2515" i="7"/>
  <c r="B2515" i="7"/>
  <c r="A2515" i="7"/>
  <c r="F2514" i="7"/>
  <c r="E2514" i="7"/>
  <c r="D2514" i="7"/>
  <c r="C2514" i="7"/>
  <c r="B2514" i="7"/>
  <c r="A2514" i="7"/>
  <c r="F2513" i="7"/>
  <c r="E2513" i="7"/>
  <c r="D2513" i="7"/>
  <c r="C2513" i="7"/>
  <c r="B2513" i="7"/>
  <c r="A2513" i="7"/>
  <c r="F2512" i="7"/>
  <c r="E2512" i="7"/>
  <c r="D2512" i="7"/>
  <c r="C2512" i="7"/>
  <c r="B2512" i="7"/>
  <c r="A2512" i="7"/>
  <c r="F2511" i="7"/>
  <c r="E2511" i="7"/>
  <c r="D2511" i="7"/>
  <c r="C2511" i="7"/>
  <c r="B2511" i="7"/>
  <c r="A2511" i="7"/>
  <c r="F2510" i="7"/>
  <c r="E2510" i="7"/>
  <c r="D2510" i="7"/>
  <c r="C2510" i="7"/>
  <c r="B2510" i="7"/>
  <c r="A2510" i="7"/>
  <c r="F2509" i="7"/>
  <c r="E2509" i="7"/>
  <c r="D2509" i="7"/>
  <c r="C2509" i="7"/>
  <c r="B2509" i="7"/>
  <c r="A2509" i="7"/>
  <c r="F2508" i="7"/>
  <c r="E2508" i="7"/>
  <c r="D2508" i="7"/>
  <c r="C2508" i="7"/>
  <c r="B2508" i="7"/>
  <c r="A2508" i="7"/>
  <c r="F2507" i="7"/>
  <c r="E2507" i="7"/>
  <c r="D2507" i="7"/>
  <c r="C2507" i="7"/>
  <c r="B2507" i="7"/>
  <c r="A2507" i="7"/>
  <c r="F2506" i="7"/>
  <c r="E2506" i="7"/>
  <c r="D2506" i="7"/>
  <c r="C2506" i="7"/>
  <c r="B2506" i="7"/>
  <c r="A2506" i="7"/>
  <c r="F2505" i="7"/>
  <c r="E2505" i="7"/>
  <c r="D2505" i="7"/>
  <c r="C2505" i="7"/>
  <c r="B2505" i="7"/>
  <c r="A2505" i="7"/>
  <c r="F2504" i="7"/>
  <c r="E2504" i="7"/>
  <c r="D2504" i="7"/>
  <c r="C2504" i="7"/>
  <c r="B2504" i="7"/>
  <c r="A2504" i="7"/>
  <c r="F2503" i="7"/>
  <c r="E2503" i="7"/>
  <c r="D2503" i="7"/>
  <c r="C2503" i="7"/>
  <c r="B2503" i="7"/>
  <c r="A2503" i="7"/>
  <c r="F2502" i="7"/>
  <c r="E2502" i="7"/>
  <c r="D2502" i="7"/>
  <c r="C2502" i="7"/>
  <c r="B2502" i="7"/>
  <c r="A2502" i="7"/>
  <c r="F2501" i="7"/>
  <c r="E2501" i="7"/>
  <c r="D2501" i="7"/>
  <c r="C2501" i="7"/>
  <c r="B2501" i="7"/>
  <c r="A2501" i="7"/>
  <c r="F2500" i="7"/>
  <c r="E2500" i="7"/>
  <c r="D2500" i="7"/>
  <c r="C2500" i="7"/>
  <c r="B2500" i="7"/>
  <c r="A2500" i="7"/>
  <c r="F2499" i="7"/>
  <c r="E2499" i="7"/>
  <c r="D2499" i="7"/>
  <c r="C2499" i="7"/>
  <c r="B2499" i="7"/>
  <c r="A2499" i="7"/>
  <c r="F2498" i="7"/>
  <c r="E2498" i="7"/>
  <c r="D2498" i="7"/>
  <c r="C2498" i="7"/>
  <c r="B2498" i="7"/>
  <c r="A2498" i="7"/>
  <c r="F2497" i="7"/>
  <c r="E2497" i="7"/>
  <c r="D2497" i="7"/>
  <c r="C2497" i="7"/>
  <c r="B2497" i="7"/>
  <c r="A2497" i="7"/>
  <c r="F2496" i="7"/>
  <c r="E2496" i="7"/>
  <c r="D2496" i="7"/>
  <c r="C2496" i="7"/>
  <c r="B2496" i="7"/>
  <c r="A2496" i="7"/>
  <c r="F2495" i="7"/>
  <c r="E2495" i="7"/>
  <c r="D2495" i="7"/>
  <c r="C2495" i="7"/>
  <c r="B2495" i="7"/>
  <c r="A2495" i="7"/>
  <c r="F2494" i="7"/>
  <c r="E2494" i="7"/>
  <c r="D2494" i="7"/>
  <c r="C2494" i="7"/>
  <c r="B2494" i="7"/>
  <c r="A2494" i="7"/>
  <c r="F2493" i="7"/>
  <c r="E2493" i="7"/>
  <c r="D2493" i="7"/>
  <c r="C2493" i="7"/>
  <c r="B2493" i="7"/>
  <c r="A2493" i="7"/>
  <c r="F2492" i="7"/>
  <c r="E2492" i="7"/>
  <c r="D2492" i="7"/>
  <c r="C2492" i="7"/>
  <c r="B2492" i="7"/>
  <c r="A2492" i="7"/>
  <c r="F2491" i="7"/>
  <c r="E2491" i="7"/>
  <c r="D2491" i="7"/>
  <c r="C2491" i="7"/>
  <c r="B2491" i="7"/>
  <c r="A2491" i="7"/>
  <c r="F2490" i="7"/>
  <c r="E2490" i="7"/>
  <c r="D2490" i="7"/>
  <c r="C2490" i="7"/>
  <c r="B2490" i="7"/>
  <c r="A2490" i="7"/>
  <c r="F2489" i="7"/>
  <c r="E2489" i="7"/>
  <c r="D2489" i="7"/>
  <c r="C2489" i="7"/>
  <c r="B2489" i="7"/>
  <c r="A2489" i="7"/>
  <c r="F2488" i="7"/>
  <c r="E2488" i="7"/>
  <c r="D2488" i="7"/>
  <c r="C2488" i="7"/>
  <c r="B2488" i="7"/>
  <c r="A2488" i="7"/>
  <c r="F2487" i="7"/>
  <c r="E2487" i="7"/>
  <c r="D2487" i="7"/>
  <c r="C2487" i="7"/>
  <c r="B2487" i="7"/>
  <c r="A2487" i="7"/>
  <c r="F2486" i="7"/>
  <c r="E2486" i="7"/>
  <c r="D2486" i="7"/>
  <c r="C2486" i="7"/>
  <c r="B2486" i="7"/>
  <c r="A2486" i="7"/>
  <c r="F2485" i="7"/>
  <c r="E2485" i="7"/>
  <c r="D2485" i="7"/>
  <c r="C2485" i="7"/>
  <c r="B2485" i="7"/>
  <c r="A2485" i="7"/>
  <c r="F2484" i="7"/>
  <c r="E2484" i="7"/>
  <c r="D2484" i="7"/>
  <c r="C2484" i="7"/>
  <c r="B2484" i="7"/>
  <c r="A2484" i="7"/>
  <c r="F2483" i="7"/>
  <c r="E2483" i="7"/>
  <c r="D2483" i="7"/>
  <c r="C2483" i="7"/>
  <c r="B2483" i="7"/>
  <c r="A2483" i="7"/>
  <c r="F2482" i="7"/>
  <c r="E2482" i="7"/>
  <c r="D2482" i="7"/>
  <c r="C2482" i="7"/>
  <c r="B2482" i="7"/>
  <c r="A2482" i="7"/>
  <c r="F2481" i="7"/>
  <c r="E2481" i="7"/>
  <c r="D2481" i="7"/>
  <c r="C2481" i="7"/>
  <c r="B2481" i="7"/>
  <c r="A2481" i="7"/>
  <c r="F2480" i="7"/>
  <c r="E2480" i="7"/>
  <c r="D2480" i="7"/>
  <c r="C2480" i="7"/>
  <c r="B2480" i="7"/>
  <c r="A2480" i="7"/>
  <c r="F2479" i="7"/>
  <c r="E2479" i="7"/>
  <c r="D2479" i="7"/>
  <c r="C2479" i="7"/>
  <c r="B2479" i="7"/>
  <c r="A2479" i="7"/>
  <c r="F2478" i="7"/>
  <c r="E2478" i="7"/>
  <c r="D2478" i="7"/>
  <c r="C2478" i="7"/>
  <c r="B2478" i="7"/>
  <c r="A2478" i="7"/>
  <c r="F2477" i="7"/>
  <c r="E2477" i="7"/>
  <c r="D2477" i="7"/>
  <c r="C2477" i="7"/>
  <c r="B2477" i="7"/>
  <c r="A2477" i="7"/>
  <c r="F2476" i="7"/>
  <c r="E2476" i="7"/>
  <c r="D2476" i="7"/>
  <c r="C2476" i="7"/>
  <c r="B2476" i="7"/>
  <c r="A2476" i="7"/>
  <c r="F2475" i="7"/>
  <c r="E2475" i="7"/>
  <c r="D2475" i="7"/>
  <c r="C2475" i="7"/>
  <c r="B2475" i="7"/>
  <c r="A2475" i="7"/>
  <c r="F2474" i="7"/>
  <c r="E2474" i="7"/>
  <c r="D2474" i="7"/>
  <c r="C2474" i="7"/>
  <c r="B2474" i="7"/>
  <c r="A2474" i="7"/>
  <c r="F2473" i="7"/>
  <c r="E2473" i="7"/>
  <c r="D2473" i="7"/>
  <c r="C2473" i="7"/>
  <c r="B2473" i="7"/>
  <c r="A2473" i="7"/>
  <c r="F2472" i="7"/>
  <c r="E2472" i="7"/>
  <c r="D2472" i="7"/>
  <c r="C2472" i="7"/>
  <c r="B2472" i="7"/>
  <c r="A2472" i="7"/>
  <c r="F2471" i="7"/>
  <c r="E2471" i="7"/>
  <c r="D2471" i="7"/>
  <c r="C2471" i="7"/>
  <c r="B2471" i="7"/>
  <c r="A2471" i="7"/>
  <c r="F2470" i="7"/>
  <c r="E2470" i="7"/>
  <c r="D2470" i="7"/>
  <c r="C2470" i="7"/>
  <c r="B2470" i="7"/>
  <c r="A2470" i="7"/>
  <c r="F2469" i="7"/>
  <c r="E2469" i="7"/>
  <c r="D2469" i="7"/>
  <c r="C2469" i="7"/>
  <c r="B2469" i="7"/>
  <c r="A2469" i="7"/>
  <c r="F2468" i="7"/>
  <c r="E2468" i="7"/>
  <c r="D2468" i="7"/>
  <c r="C2468" i="7"/>
  <c r="B2468" i="7"/>
  <c r="A2468" i="7"/>
  <c r="F2467" i="7"/>
  <c r="E2467" i="7"/>
  <c r="D2467" i="7"/>
  <c r="C2467" i="7"/>
  <c r="B2467" i="7"/>
  <c r="A2467" i="7"/>
  <c r="F2466" i="7"/>
  <c r="E2466" i="7"/>
  <c r="D2466" i="7"/>
  <c r="C2466" i="7"/>
  <c r="B2466" i="7"/>
  <c r="A2466" i="7"/>
  <c r="F2465" i="7"/>
  <c r="E2465" i="7"/>
  <c r="D2465" i="7"/>
  <c r="C2465" i="7"/>
  <c r="B2465" i="7"/>
  <c r="A2465" i="7"/>
  <c r="F2464" i="7"/>
  <c r="E2464" i="7"/>
  <c r="D2464" i="7"/>
  <c r="C2464" i="7"/>
  <c r="B2464" i="7"/>
  <c r="A2464" i="7"/>
  <c r="F2463" i="7"/>
  <c r="E2463" i="7"/>
  <c r="D2463" i="7"/>
  <c r="C2463" i="7"/>
  <c r="B2463" i="7"/>
  <c r="A2463" i="7"/>
  <c r="F2462" i="7"/>
  <c r="E2462" i="7"/>
  <c r="D2462" i="7"/>
  <c r="C2462" i="7"/>
  <c r="B2462" i="7"/>
  <c r="A2462" i="7"/>
  <c r="F2461" i="7"/>
  <c r="E2461" i="7"/>
  <c r="D2461" i="7"/>
  <c r="C2461" i="7"/>
  <c r="B2461" i="7"/>
  <c r="A2461" i="7"/>
  <c r="F2460" i="7"/>
  <c r="E2460" i="7"/>
  <c r="D2460" i="7"/>
  <c r="C2460" i="7"/>
  <c r="B2460" i="7"/>
  <c r="A2460" i="7"/>
  <c r="F2459" i="7"/>
  <c r="E2459" i="7"/>
  <c r="D2459" i="7"/>
  <c r="C2459" i="7"/>
  <c r="B2459" i="7"/>
  <c r="A2459" i="7"/>
  <c r="F2458" i="7"/>
  <c r="E2458" i="7"/>
  <c r="D2458" i="7"/>
  <c r="C2458" i="7"/>
  <c r="B2458" i="7"/>
  <c r="A2458" i="7"/>
  <c r="F2457" i="7"/>
  <c r="E2457" i="7"/>
  <c r="D2457" i="7"/>
  <c r="C2457" i="7"/>
  <c r="B2457" i="7"/>
  <c r="A2457" i="7"/>
  <c r="F2456" i="7"/>
  <c r="E2456" i="7"/>
  <c r="D2456" i="7"/>
  <c r="C2456" i="7"/>
  <c r="B2456" i="7"/>
  <c r="A2456" i="7"/>
  <c r="F2455" i="7"/>
  <c r="E2455" i="7"/>
  <c r="D2455" i="7"/>
  <c r="C2455" i="7"/>
  <c r="B2455" i="7"/>
  <c r="A2455" i="7"/>
  <c r="F2454" i="7"/>
  <c r="E2454" i="7"/>
  <c r="D2454" i="7"/>
  <c r="C2454" i="7"/>
  <c r="B2454" i="7"/>
  <c r="A2454" i="7"/>
  <c r="F2453" i="7"/>
  <c r="E2453" i="7"/>
  <c r="D2453" i="7"/>
  <c r="C2453" i="7"/>
  <c r="B2453" i="7"/>
  <c r="A2453" i="7"/>
  <c r="F2452" i="7"/>
  <c r="E2452" i="7"/>
  <c r="D2452" i="7"/>
  <c r="C2452" i="7"/>
  <c r="B2452" i="7"/>
  <c r="A2452" i="7"/>
  <c r="F2451" i="7"/>
  <c r="E2451" i="7"/>
  <c r="D2451" i="7"/>
  <c r="C2451" i="7"/>
  <c r="B2451" i="7"/>
  <c r="A2451" i="7"/>
  <c r="F2450" i="7"/>
  <c r="E2450" i="7"/>
  <c r="D2450" i="7"/>
  <c r="C2450" i="7"/>
  <c r="B2450" i="7"/>
  <c r="A2450" i="7"/>
  <c r="F2449" i="7"/>
  <c r="E2449" i="7"/>
  <c r="D2449" i="7"/>
  <c r="C2449" i="7"/>
  <c r="B2449" i="7"/>
  <c r="A2449" i="7"/>
  <c r="F2448" i="7"/>
  <c r="E2448" i="7"/>
  <c r="D2448" i="7"/>
  <c r="C2448" i="7"/>
  <c r="B2448" i="7"/>
  <c r="A2448" i="7"/>
  <c r="F2447" i="7"/>
  <c r="E2447" i="7"/>
  <c r="D2447" i="7"/>
  <c r="C2447" i="7"/>
  <c r="B2447" i="7"/>
  <c r="A2447" i="7"/>
  <c r="F2446" i="7"/>
  <c r="E2446" i="7"/>
  <c r="D2446" i="7"/>
  <c r="C2446" i="7"/>
  <c r="B2446" i="7"/>
  <c r="A2446" i="7"/>
  <c r="F2445" i="7"/>
  <c r="E2445" i="7"/>
  <c r="D2445" i="7"/>
  <c r="C2445" i="7"/>
  <c r="B2445" i="7"/>
  <c r="A2445" i="7"/>
  <c r="F2444" i="7"/>
  <c r="E2444" i="7"/>
  <c r="D2444" i="7"/>
  <c r="C2444" i="7"/>
  <c r="B2444" i="7"/>
  <c r="A2444" i="7"/>
  <c r="F2443" i="7"/>
  <c r="E2443" i="7"/>
  <c r="D2443" i="7"/>
  <c r="C2443" i="7"/>
  <c r="B2443" i="7"/>
  <c r="A2443" i="7"/>
  <c r="F2442" i="7"/>
  <c r="E2442" i="7"/>
  <c r="D2442" i="7"/>
  <c r="C2442" i="7"/>
  <c r="B2442" i="7"/>
  <c r="A2442" i="7"/>
  <c r="F2441" i="7"/>
  <c r="E2441" i="7"/>
  <c r="D2441" i="7"/>
  <c r="C2441" i="7"/>
  <c r="B2441" i="7"/>
  <c r="A2441" i="7"/>
  <c r="F2440" i="7"/>
  <c r="E2440" i="7"/>
  <c r="D2440" i="7"/>
  <c r="C2440" i="7"/>
  <c r="B2440" i="7"/>
  <c r="A2440" i="7"/>
  <c r="F2439" i="7"/>
  <c r="E2439" i="7"/>
  <c r="D2439" i="7"/>
  <c r="C2439" i="7"/>
  <c r="B2439" i="7"/>
  <c r="A2439" i="7"/>
  <c r="F2438" i="7"/>
  <c r="E2438" i="7"/>
  <c r="D2438" i="7"/>
  <c r="C2438" i="7"/>
  <c r="B2438" i="7"/>
  <c r="A2438" i="7"/>
  <c r="F2437" i="7"/>
  <c r="E2437" i="7"/>
  <c r="D2437" i="7"/>
  <c r="C2437" i="7"/>
  <c r="B2437" i="7"/>
  <c r="A2437" i="7"/>
  <c r="F2436" i="7"/>
  <c r="E2436" i="7"/>
  <c r="D2436" i="7"/>
  <c r="C2436" i="7"/>
  <c r="B2436" i="7"/>
  <c r="A2436" i="7"/>
  <c r="F2435" i="7"/>
  <c r="E2435" i="7"/>
  <c r="D2435" i="7"/>
  <c r="C2435" i="7"/>
  <c r="B2435" i="7"/>
  <c r="A2435" i="7"/>
  <c r="F2434" i="7"/>
  <c r="E2434" i="7"/>
  <c r="D2434" i="7"/>
  <c r="C2434" i="7"/>
  <c r="B2434" i="7"/>
  <c r="A2434" i="7"/>
  <c r="F2433" i="7"/>
  <c r="E2433" i="7"/>
  <c r="D2433" i="7"/>
  <c r="C2433" i="7"/>
  <c r="B2433" i="7"/>
  <c r="A2433" i="7"/>
  <c r="F2432" i="7"/>
  <c r="E2432" i="7"/>
  <c r="D2432" i="7"/>
  <c r="C2432" i="7"/>
  <c r="B2432" i="7"/>
  <c r="A2432" i="7"/>
  <c r="F2431" i="7"/>
  <c r="E2431" i="7"/>
  <c r="D2431" i="7"/>
  <c r="C2431" i="7"/>
  <c r="B2431" i="7"/>
  <c r="A2431" i="7"/>
  <c r="F2430" i="7"/>
  <c r="E2430" i="7"/>
  <c r="D2430" i="7"/>
  <c r="C2430" i="7"/>
  <c r="B2430" i="7"/>
  <c r="A2430" i="7"/>
  <c r="F2429" i="7"/>
  <c r="E2429" i="7"/>
  <c r="D2429" i="7"/>
  <c r="C2429" i="7"/>
  <c r="B2429" i="7"/>
  <c r="A2429" i="7"/>
  <c r="F2428" i="7"/>
  <c r="E2428" i="7"/>
  <c r="D2428" i="7"/>
  <c r="C2428" i="7"/>
  <c r="B2428" i="7"/>
  <c r="A2428" i="7"/>
  <c r="F2427" i="7"/>
  <c r="E2427" i="7"/>
  <c r="D2427" i="7"/>
  <c r="C2427" i="7"/>
  <c r="B2427" i="7"/>
  <c r="A2427" i="7"/>
  <c r="F2426" i="7"/>
  <c r="E2426" i="7"/>
  <c r="D2426" i="7"/>
  <c r="C2426" i="7"/>
  <c r="B2426" i="7"/>
  <c r="A2426" i="7"/>
  <c r="F2425" i="7"/>
  <c r="E2425" i="7"/>
  <c r="D2425" i="7"/>
  <c r="C2425" i="7"/>
  <c r="B2425" i="7"/>
  <c r="A2425" i="7"/>
  <c r="F2424" i="7"/>
  <c r="E2424" i="7"/>
  <c r="D2424" i="7"/>
  <c r="C2424" i="7"/>
  <c r="B2424" i="7"/>
  <c r="A2424" i="7"/>
  <c r="F2423" i="7"/>
  <c r="E2423" i="7"/>
  <c r="D2423" i="7"/>
  <c r="C2423" i="7"/>
  <c r="B2423" i="7"/>
  <c r="A2423" i="7"/>
  <c r="F2422" i="7"/>
  <c r="E2422" i="7"/>
  <c r="D2422" i="7"/>
  <c r="C2422" i="7"/>
  <c r="B2422" i="7"/>
  <c r="A2422" i="7"/>
  <c r="F2421" i="7"/>
  <c r="E2421" i="7"/>
  <c r="D2421" i="7"/>
  <c r="C2421" i="7"/>
  <c r="B2421" i="7"/>
  <c r="A2421" i="7"/>
  <c r="F2420" i="7"/>
  <c r="E2420" i="7"/>
  <c r="D2420" i="7"/>
  <c r="C2420" i="7"/>
  <c r="B2420" i="7"/>
  <c r="A2420" i="7"/>
  <c r="F2419" i="7"/>
  <c r="E2419" i="7"/>
  <c r="D2419" i="7"/>
  <c r="C2419" i="7"/>
  <c r="B2419" i="7"/>
  <c r="A2419" i="7"/>
  <c r="F2418" i="7"/>
  <c r="E2418" i="7"/>
  <c r="D2418" i="7"/>
  <c r="C2418" i="7"/>
  <c r="B2418" i="7"/>
  <c r="A2418" i="7"/>
  <c r="F2417" i="7"/>
  <c r="E2417" i="7"/>
  <c r="D2417" i="7"/>
  <c r="C2417" i="7"/>
  <c r="B2417" i="7"/>
  <c r="A2417" i="7"/>
  <c r="F2416" i="7"/>
  <c r="E2416" i="7"/>
  <c r="D2416" i="7"/>
  <c r="C2416" i="7"/>
  <c r="B2416" i="7"/>
  <c r="A2416" i="7"/>
  <c r="F2415" i="7"/>
  <c r="E2415" i="7"/>
  <c r="D2415" i="7"/>
  <c r="C2415" i="7"/>
  <c r="B2415" i="7"/>
  <c r="A2415" i="7"/>
  <c r="F2414" i="7"/>
  <c r="E2414" i="7"/>
  <c r="D2414" i="7"/>
  <c r="C2414" i="7"/>
  <c r="B2414" i="7"/>
  <c r="A2414" i="7"/>
  <c r="F2413" i="7"/>
  <c r="E2413" i="7"/>
  <c r="D2413" i="7"/>
  <c r="C2413" i="7"/>
  <c r="B2413" i="7"/>
  <c r="A2413" i="7"/>
  <c r="F2412" i="7"/>
  <c r="E2412" i="7"/>
  <c r="D2412" i="7"/>
  <c r="C2412" i="7"/>
  <c r="B2412" i="7"/>
  <c r="A2412" i="7"/>
  <c r="F2411" i="7"/>
  <c r="E2411" i="7"/>
  <c r="D2411" i="7"/>
  <c r="C2411" i="7"/>
  <c r="B2411" i="7"/>
  <c r="A2411" i="7"/>
  <c r="F2410" i="7"/>
  <c r="E2410" i="7"/>
  <c r="D2410" i="7"/>
  <c r="C2410" i="7"/>
  <c r="B2410" i="7"/>
  <c r="A2410" i="7"/>
  <c r="F2409" i="7"/>
  <c r="E2409" i="7"/>
  <c r="D2409" i="7"/>
  <c r="C2409" i="7"/>
  <c r="B2409" i="7"/>
  <c r="A2409" i="7"/>
  <c r="F2408" i="7"/>
  <c r="E2408" i="7"/>
  <c r="D2408" i="7"/>
  <c r="C2408" i="7"/>
  <c r="B2408" i="7"/>
  <c r="A2408" i="7"/>
  <c r="F2407" i="7"/>
  <c r="E2407" i="7"/>
  <c r="D2407" i="7"/>
  <c r="C2407" i="7"/>
  <c r="B2407" i="7"/>
  <c r="A2407" i="7"/>
  <c r="F2406" i="7"/>
  <c r="E2406" i="7"/>
  <c r="D2406" i="7"/>
  <c r="C2406" i="7"/>
  <c r="B2406" i="7"/>
  <c r="A2406" i="7"/>
  <c r="F2405" i="7"/>
  <c r="E2405" i="7"/>
  <c r="D2405" i="7"/>
  <c r="C2405" i="7"/>
  <c r="B2405" i="7"/>
  <c r="A2405" i="7"/>
  <c r="F2404" i="7"/>
  <c r="E2404" i="7"/>
  <c r="D2404" i="7"/>
  <c r="C2404" i="7"/>
  <c r="B2404" i="7"/>
  <c r="A2404" i="7"/>
  <c r="F2403" i="7"/>
  <c r="E2403" i="7"/>
  <c r="D2403" i="7"/>
  <c r="C2403" i="7"/>
  <c r="B2403" i="7"/>
  <c r="A2403" i="7"/>
  <c r="F2402" i="7"/>
  <c r="E2402" i="7"/>
  <c r="D2402" i="7"/>
  <c r="C2402" i="7"/>
  <c r="B2402" i="7"/>
  <c r="A2402" i="7"/>
  <c r="F2401" i="7"/>
  <c r="E2401" i="7"/>
  <c r="D2401" i="7"/>
  <c r="C2401" i="7"/>
  <c r="B2401" i="7"/>
  <c r="A2401" i="7"/>
  <c r="F2400" i="7"/>
  <c r="E2400" i="7"/>
  <c r="D2400" i="7"/>
  <c r="C2400" i="7"/>
  <c r="B2400" i="7"/>
  <c r="A2400" i="7"/>
  <c r="F2399" i="7"/>
  <c r="E2399" i="7"/>
  <c r="D2399" i="7"/>
  <c r="C2399" i="7"/>
  <c r="B2399" i="7"/>
  <c r="A2399" i="7"/>
  <c r="F2398" i="7"/>
  <c r="E2398" i="7"/>
  <c r="D2398" i="7"/>
  <c r="C2398" i="7"/>
  <c r="B2398" i="7"/>
  <c r="A2398" i="7"/>
  <c r="F2397" i="7"/>
  <c r="E2397" i="7"/>
  <c r="D2397" i="7"/>
  <c r="C2397" i="7"/>
  <c r="B2397" i="7"/>
  <c r="A2397" i="7"/>
  <c r="F2396" i="7"/>
  <c r="E2396" i="7"/>
  <c r="D2396" i="7"/>
  <c r="C2396" i="7"/>
  <c r="B2396" i="7"/>
  <c r="A2396" i="7"/>
  <c r="F2395" i="7"/>
  <c r="E2395" i="7"/>
  <c r="D2395" i="7"/>
  <c r="C2395" i="7"/>
  <c r="B2395" i="7"/>
  <c r="A2395" i="7"/>
  <c r="F2394" i="7"/>
  <c r="E2394" i="7"/>
  <c r="D2394" i="7"/>
  <c r="C2394" i="7"/>
  <c r="B2394" i="7"/>
  <c r="A2394" i="7"/>
  <c r="F2393" i="7"/>
  <c r="E2393" i="7"/>
  <c r="D2393" i="7"/>
  <c r="C2393" i="7"/>
  <c r="B2393" i="7"/>
  <c r="A2393" i="7"/>
  <c r="F2392" i="7"/>
  <c r="E2392" i="7"/>
  <c r="D2392" i="7"/>
  <c r="C2392" i="7"/>
  <c r="B2392" i="7"/>
  <c r="A2392" i="7"/>
  <c r="F2391" i="7"/>
  <c r="E2391" i="7"/>
  <c r="D2391" i="7"/>
  <c r="C2391" i="7"/>
  <c r="B2391" i="7"/>
  <c r="A2391" i="7"/>
  <c r="F2390" i="7"/>
  <c r="E2390" i="7"/>
  <c r="D2390" i="7"/>
  <c r="C2390" i="7"/>
  <c r="B2390" i="7"/>
  <c r="A2390" i="7"/>
  <c r="F2389" i="7"/>
  <c r="E2389" i="7"/>
  <c r="D2389" i="7"/>
  <c r="C2389" i="7"/>
  <c r="B2389" i="7"/>
  <c r="A2389" i="7"/>
  <c r="F2388" i="7"/>
  <c r="E2388" i="7"/>
  <c r="D2388" i="7"/>
  <c r="C2388" i="7"/>
  <c r="B2388" i="7"/>
  <c r="A2388" i="7"/>
  <c r="F2387" i="7"/>
  <c r="E2387" i="7"/>
  <c r="D2387" i="7"/>
  <c r="C2387" i="7"/>
  <c r="B2387" i="7"/>
  <c r="A2387" i="7"/>
  <c r="F2386" i="7"/>
  <c r="E2386" i="7"/>
  <c r="D2386" i="7"/>
  <c r="C2386" i="7"/>
  <c r="B2386" i="7"/>
  <c r="A2386" i="7"/>
  <c r="F2385" i="7"/>
  <c r="E2385" i="7"/>
  <c r="D2385" i="7"/>
  <c r="C2385" i="7"/>
  <c r="B2385" i="7"/>
  <c r="A2385" i="7"/>
  <c r="F2384" i="7"/>
  <c r="E2384" i="7"/>
  <c r="D2384" i="7"/>
  <c r="C2384" i="7"/>
  <c r="B2384" i="7"/>
  <c r="A2384" i="7"/>
  <c r="F2383" i="7"/>
  <c r="E2383" i="7"/>
  <c r="D2383" i="7"/>
  <c r="C2383" i="7"/>
  <c r="B2383" i="7"/>
  <c r="A2383" i="7"/>
  <c r="F2382" i="7"/>
  <c r="E2382" i="7"/>
  <c r="D2382" i="7"/>
  <c r="C2382" i="7"/>
  <c r="B2382" i="7"/>
  <c r="A2382" i="7"/>
  <c r="F2381" i="7"/>
  <c r="E2381" i="7"/>
  <c r="D2381" i="7"/>
  <c r="C2381" i="7"/>
  <c r="B2381" i="7"/>
  <c r="A2381" i="7"/>
  <c r="F2380" i="7"/>
  <c r="E2380" i="7"/>
  <c r="D2380" i="7"/>
  <c r="C2380" i="7"/>
  <c r="B2380" i="7"/>
  <c r="A2380" i="7"/>
  <c r="F2379" i="7"/>
  <c r="E2379" i="7"/>
  <c r="D2379" i="7"/>
  <c r="C2379" i="7"/>
  <c r="B2379" i="7"/>
  <c r="A2379" i="7"/>
  <c r="F2378" i="7"/>
  <c r="E2378" i="7"/>
  <c r="D2378" i="7"/>
  <c r="C2378" i="7"/>
  <c r="B2378" i="7"/>
  <c r="A2378" i="7"/>
  <c r="F2377" i="7"/>
  <c r="E2377" i="7"/>
  <c r="D2377" i="7"/>
  <c r="C2377" i="7"/>
  <c r="B2377" i="7"/>
  <c r="A2377" i="7"/>
  <c r="F2376" i="7"/>
  <c r="E2376" i="7"/>
  <c r="D2376" i="7"/>
  <c r="C2376" i="7"/>
  <c r="B2376" i="7"/>
  <c r="A2376" i="7"/>
  <c r="F2375" i="7"/>
  <c r="E2375" i="7"/>
  <c r="D2375" i="7"/>
  <c r="C2375" i="7"/>
  <c r="B2375" i="7"/>
  <c r="A2375" i="7"/>
  <c r="F2374" i="7"/>
  <c r="E2374" i="7"/>
  <c r="D2374" i="7"/>
  <c r="C2374" i="7"/>
  <c r="B2374" i="7"/>
  <c r="A2374" i="7"/>
  <c r="F2373" i="7"/>
  <c r="E2373" i="7"/>
  <c r="D2373" i="7"/>
  <c r="C2373" i="7"/>
  <c r="B2373" i="7"/>
  <c r="A2373" i="7"/>
  <c r="F2372" i="7"/>
  <c r="E2372" i="7"/>
  <c r="D2372" i="7"/>
  <c r="C2372" i="7"/>
  <c r="B2372" i="7"/>
  <c r="A2372" i="7"/>
  <c r="F2371" i="7"/>
  <c r="E2371" i="7"/>
  <c r="D2371" i="7"/>
  <c r="C2371" i="7"/>
  <c r="B2371" i="7"/>
  <c r="A2371" i="7"/>
  <c r="F2370" i="7"/>
  <c r="E2370" i="7"/>
  <c r="D2370" i="7"/>
  <c r="C2370" i="7"/>
  <c r="B2370" i="7"/>
  <c r="A2370" i="7"/>
  <c r="F2369" i="7"/>
  <c r="E2369" i="7"/>
  <c r="D2369" i="7"/>
  <c r="C2369" i="7"/>
  <c r="B2369" i="7"/>
  <c r="A2369" i="7"/>
  <c r="F2368" i="7"/>
  <c r="E2368" i="7"/>
  <c r="D2368" i="7"/>
  <c r="C2368" i="7"/>
  <c r="B2368" i="7"/>
  <c r="A2368" i="7"/>
  <c r="F2367" i="7"/>
  <c r="E2367" i="7"/>
  <c r="D2367" i="7"/>
  <c r="C2367" i="7"/>
  <c r="B2367" i="7"/>
  <c r="A2367" i="7"/>
  <c r="F2366" i="7"/>
  <c r="E2366" i="7"/>
  <c r="D2366" i="7"/>
  <c r="C2366" i="7"/>
  <c r="B2366" i="7"/>
  <c r="A2366" i="7"/>
  <c r="F2365" i="7"/>
  <c r="E2365" i="7"/>
  <c r="D2365" i="7"/>
  <c r="C2365" i="7"/>
  <c r="B2365" i="7"/>
  <c r="A2365" i="7"/>
  <c r="F2364" i="7"/>
  <c r="E2364" i="7"/>
  <c r="D2364" i="7"/>
  <c r="C2364" i="7"/>
  <c r="B2364" i="7"/>
  <c r="A2364" i="7"/>
  <c r="F2363" i="7"/>
  <c r="E2363" i="7"/>
  <c r="D2363" i="7"/>
  <c r="C2363" i="7"/>
  <c r="B2363" i="7"/>
  <c r="A2363" i="7"/>
  <c r="F2362" i="7"/>
  <c r="E2362" i="7"/>
  <c r="D2362" i="7"/>
  <c r="C2362" i="7"/>
  <c r="B2362" i="7"/>
  <c r="A2362" i="7"/>
  <c r="F2361" i="7"/>
  <c r="E2361" i="7"/>
  <c r="D2361" i="7"/>
  <c r="C2361" i="7"/>
  <c r="B2361" i="7"/>
  <c r="A2361" i="7"/>
  <c r="F2360" i="7"/>
  <c r="E2360" i="7"/>
  <c r="D2360" i="7"/>
  <c r="C2360" i="7"/>
  <c r="B2360" i="7"/>
  <c r="A2360" i="7"/>
  <c r="F2359" i="7"/>
  <c r="E2359" i="7"/>
  <c r="D2359" i="7"/>
  <c r="C2359" i="7"/>
  <c r="B2359" i="7"/>
  <c r="A2359" i="7"/>
  <c r="F2358" i="7"/>
  <c r="E2358" i="7"/>
  <c r="D2358" i="7"/>
  <c r="C2358" i="7"/>
  <c r="B2358" i="7"/>
  <c r="A2358" i="7"/>
  <c r="F2357" i="7"/>
  <c r="E2357" i="7"/>
  <c r="D2357" i="7"/>
  <c r="C2357" i="7"/>
  <c r="B2357" i="7"/>
  <c r="A2357" i="7"/>
  <c r="F2356" i="7"/>
  <c r="E2356" i="7"/>
  <c r="D2356" i="7"/>
  <c r="C2356" i="7"/>
  <c r="B2356" i="7"/>
  <c r="A2356" i="7"/>
  <c r="F2355" i="7"/>
  <c r="E2355" i="7"/>
  <c r="D2355" i="7"/>
  <c r="C2355" i="7"/>
  <c r="B2355" i="7"/>
  <c r="A2355" i="7"/>
  <c r="F2354" i="7"/>
  <c r="E2354" i="7"/>
  <c r="D2354" i="7"/>
  <c r="C2354" i="7"/>
  <c r="B2354" i="7"/>
  <c r="A2354" i="7"/>
  <c r="F2353" i="7"/>
  <c r="E2353" i="7"/>
  <c r="D2353" i="7"/>
  <c r="C2353" i="7"/>
  <c r="B2353" i="7"/>
  <c r="A2353" i="7"/>
  <c r="F2352" i="7"/>
  <c r="E2352" i="7"/>
  <c r="D2352" i="7"/>
  <c r="C2352" i="7"/>
  <c r="B2352" i="7"/>
  <c r="A2352" i="7"/>
  <c r="F2351" i="7"/>
  <c r="E2351" i="7"/>
  <c r="D2351" i="7"/>
  <c r="C2351" i="7"/>
  <c r="B2351" i="7"/>
  <c r="A2351" i="7"/>
  <c r="F2350" i="7"/>
  <c r="E2350" i="7"/>
  <c r="D2350" i="7"/>
  <c r="C2350" i="7"/>
  <c r="B2350" i="7"/>
  <c r="A2350" i="7"/>
  <c r="F2349" i="7"/>
  <c r="E2349" i="7"/>
  <c r="D2349" i="7"/>
  <c r="C2349" i="7"/>
  <c r="B2349" i="7"/>
  <c r="A2349" i="7"/>
  <c r="F2348" i="7"/>
  <c r="E2348" i="7"/>
  <c r="D2348" i="7"/>
  <c r="C2348" i="7"/>
  <c r="B2348" i="7"/>
  <c r="A2348" i="7"/>
  <c r="F2347" i="7"/>
  <c r="E2347" i="7"/>
  <c r="D2347" i="7"/>
  <c r="C2347" i="7"/>
  <c r="B2347" i="7"/>
  <c r="A2347" i="7"/>
  <c r="F2346" i="7"/>
  <c r="E2346" i="7"/>
  <c r="D2346" i="7"/>
  <c r="C2346" i="7"/>
  <c r="B2346" i="7"/>
  <c r="A2346" i="7"/>
  <c r="F2345" i="7"/>
  <c r="E2345" i="7"/>
  <c r="D2345" i="7"/>
  <c r="C2345" i="7"/>
  <c r="B2345" i="7"/>
  <c r="A2345" i="7"/>
  <c r="F2344" i="7"/>
  <c r="E2344" i="7"/>
  <c r="D2344" i="7"/>
  <c r="C2344" i="7"/>
  <c r="B2344" i="7"/>
  <c r="A2344" i="7"/>
  <c r="F2343" i="7"/>
  <c r="E2343" i="7"/>
  <c r="D2343" i="7"/>
  <c r="C2343" i="7"/>
  <c r="B2343" i="7"/>
  <c r="A2343" i="7"/>
  <c r="F2342" i="7"/>
  <c r="E2342" i="7"/>
  <c r="D2342" i="7"/>
  <c r="C2342" i="7"/>
  <c r="B2342" i="7"/>
  <c r="A2342" i="7"/>
  <c r="F2341" i="7"/>
  <c r="E2341" i="7"/>
  <c r="D2341" i="7"/>
  <c r="C2341" i="7"/>
  <c r="B2341" i="7"/>
  <c r="A2341" i="7"/>
  <c r="F2340" i="7"/>
  <c r="E2340" i="7"/>
  <c r="D2340" i="7"/>
  <c r="C2340" i="7"/>
  <c r="B2340" i="7"/>
  <c r="A2340" i="7"/>
  <c r="F2339" i="7"/>
  <c r="E2339" i="7"/>
  <c r="D2339" i="7"/>
  <c r="C2339" i="7"/>
  <c r="B2339" i="7"/>
  <c r="A2339" i="7"/>
  <c r="F2338" i="7"/>
  <c r="E2338" i="7"/>
  <c r="D2338" i="7"/>
  <c r="C2338" i="7"/>
  <c r="B2338" i="7"/>
  <c r="A2338" i="7"/>
  <c r="F2337" i="7"/>
  <c r="E2337" i="7"/>
  <c r="D2337" i="7"/>
  <c r="C2337" i="7"/>
  <c r="B2337" i="7"/>
  <c r="A2337" i="7"/>
  <c r="F2336" i="7"/>
  <c r="E2336" i="7"/>
  <c r="D2336" i="7"/>
  <c r="C2336" i="7"/>
  <c r="B2336" i="7"/>
  <c r="A2336" i="7"/>
  <c r="F2335" i="7"/>
  <c r="E2335" i="7"/>
  <c r="D2335" i="7"/>
  <c r="C2335" i="7"/>
  <c r="B2335" i="7"/>
  <c r="A2335" i="7"/>
  <c r="F2334" i="7"/>
  <c r="E2334" i="7"/>
  <c r="D2334" i="7"/>
  <c r="C2334" i="7"/>
  <c r="B2334" i="7"/>
  <c r="A2334" i="7"/>
  <c r="F2333" i="7"/>
  <c r="E2333" i="7"/>
  <c r="D2333" i="7"/>
  <c r="C2333" i="7"/>
  <c r="B2333" i="7"/>
  <c r="A2333" i="7"/>
  <c r="F2332" i="7"/>
  <c r="E2332" i="7"/>
  <c r="D2332" i="7"/>
  <c r="C2332" i="7"/>
  <c r="B2332" i="7"/>
  <c r="A2332" i="7"/>
  <c r="F2331" i="7"/>
  <c r="E2331" i="7"/>
  <c r="D2331" i="7"/>
  <c r="C2331" i="7"/>
  <c r="B2331" i="7"/>
  <c r="A2331" i="7"/>
  <c r="F2330" i="7"/>
  <c r="E2330" i="7"/>
  <c r="D2330" i="7"/>
  <c r="C2330" i="7"/>
  <c r="B2330" i="7"/>
  <c r="A2330" i="7"/>
  <c r="F2329" i="7"/>
  <c r="E2329" i="7"/>
  <c r="D2329" i="7"/>
  <c r="C2329" i="7"/>
  <c r="B2329" i="7"/>
  <c r="A2329" i="7"/>
  <c r="F2328" i="7"/>
  <c r="E2328" i="7"/>
  <c r="D2328" i="7"/>
  <c r="C2328" i="7"/>
  <c r="B2328" i="7"/>
  <c r="A2328" i="7"/>
  <c r="F2327" i="7"/>
  <c r="E2327" i="7"/>
  <c r="D2327" i="7"/>
  <c r="C2327" i="7"/>
  <c r="B2327" i="7"/>
  <c r="A2327" i="7"/>
  <c r="F2326" i="7"/>
  <c r="E2326" i="7"/>
  <c r="D2326" i="7"/>
  <c r="C2326" i="7"/>
  <c r="B2326" i="7"/>
  <c r="A2326" i="7"/>
  <c r="F2325" i="7"/>
  <c r="E2325" i="7"/>
  <c r="D2325" i="7"/>
  <c r="C2325" i="7"/>
  <c r="B2325" i="7"/>
  <c r="A2325" i="7"/>
  <c r="F2324" i="7"/>
  <c r="E2324" i="7"/>
  <c r="D2324" i="7"/>
  <c r="C2324" i="7"/>
  <c r="B2324" i="7"/>
  <c r="A2324" i="7"/>
  <c r="F2323" i="7"/>
  <c r="E2323" i="7"/>
  <c r="D2323" i="7"/>
  <c r="C2323" i="7"/>
  <c r="B2323" i="7"/>
  <c r="A2323" i="7"/>
  <c r="F2322" i="7"/>
  <c r="E2322" i="7"/>
  <c r="D2322" i="7"/>
  <c r="C2322" i="7"/>
  <c r="B2322" i="7"/>
  <c r="A2322" i="7"/>
  <c r="F2321" i="7"/>
  <c r="E2321" i="7"/>
  <c r="D2321" i="7"/>
  <c r="C2321" i="7"/>
  <c r="B2321" i="7"/>
  <c r="A2321" i="7"/>
  <c r="F2320" i="7"/>
  <c r="E2320" i="7"/>
  <c r="D2320" i="7"/>
  <c r="C2320" i="7"/>
  <c r="B2320" i="7"/>
  <c r="A2320" i="7"/>
  <c r="F2319" i="7"/>
  <c r="E2319" i="7"/>
  <c r="D2319" i="7"/>
  <c r="C2319" i="7"/>
  <c r="B2319" i="7"/>
  <c r="A2319" i="7"/>
  <c r="F2318" i="7"/>
  <c r="E2318" i="7"/>
  <c r="D2318" i="7"/>
  <c r="C2318" i="7"/>
  <c r="B2318" i="7"/>
  <c r="A2318" i="7"/>
  <c r="F2317" i="7"/>
  <c r="E2317" i="7"/>
  <c r="D2317" i="7"/>
  <c r="C2317" i="7"/>
  <c r="B2317" i="7"/>
  <c r="A2317" i="7"/>
  <c r="F2316" i="7"/>
  <c r="E2316" i="7"/>
  <c r="D2316" i="7"/>
  <c r="C2316" i="7"/>
  <c r="B2316" i="7"/>
  <c r="A2316" i="7"/>
  <c r="F2315" i="7"/>
  <c r="E2315" i="7"/>
  <c r="D2315" i="7"/>
  <c r="C2315" i="7"/>
  <c r="B2315" i="7"/>
  <c r="A2315" i="7"/>
  <c r="F2314" i="7"/>
  <c r="E2314" i="7"/>
  <c r="D2314" i="7"/>
  <c r="C2314" i="7"/>
  <c r="B2314" i="7"/>
  <c r="A2314" i="7"/>
  <c r="F2313" i="7"/>
  <c r="E2313" i="7"/>
  <c r="D2313" i="7"/>
  <c r="C2313" i="7"/>
  <c r="B2313" i="7"/>
  <c r="A2313" i="7"/>
  <c r="F2312" i="7"/>
  <c r="E2312" i="7"/>
  <c r="D2312" i="7"/>
  <c r="C2312" i="7"/>
  <c r="B2312" i="7"/>
  <c r="A2312" i="7"/>
  <c r="F2311" i="7"/>
  <c r="E2311" i="7"/>
  <c r="D2311" i="7"/>
  <c r="C2311" i="7"/>
  <c r="B2311" i="7"/>
  <c r="A2311" i="7"/>
  <c r="F2310" i="7"/>
  <c r="E2310" i="7"/>
  <c r="D2310" i="7"/>
  <c r="C2310" i="7"/>
  <c r="B2310" i="7"/>
  <c r="A2310" i="7"/>
  <c r="F2309" i="7"/>
  <c r="E2309" i="7"/>
  <c r="D2309" i="7"/>
  <c r="C2309" i="7"/>
  <c r="B2309" i="7"/>
  <c r="A2309" i="7"/>
  <c r="F2308" i="7"/>
  <c r="E2308" i="7"/>
  <c r="D2308" i="7"/>
  <c r="C2308" i="7"/>
  <c r="B2308" i="7"/>
  <c r="A2308" i="7"/>
  <c r="F2307" i="7"/>
  <c r="E2307" i="7"/>
  <c r="D2307" i="7"/>
  <c r="C2307" i="7"/>
  <c r="B2307" i="7"/>
  <c r="A2307" i="7"/>
  <c r="F2306" i="7"/>
  <c r="E2306" i="7"/>
  <c r="D2306" i="7"/>
  <c r="C2306" i="7"/>
  <c r="B2306" i="7"/>
  <c r="A2306" i="7"/>
  <c r="F2305" i="7"/>
  <c r="E2305" i="7"/>
  <c r="D2305" i="7"/>
  <c r="C2305" i="7"/>
  <c r="B2305" i="7"/>
  <c r="A2305" i="7"/>
  <c r="F2304" i="7"/>
  <c r="E2304" i="7"/>
  <c r="D2304" i="7"/>
  <c r="C2304" i="7"/>
  <c r="B2304" i="7"/>
  <c r="A2304" i="7"/>
  <c r="F2303" i="7"/>
  <c r="E2303" i="7"/>
  <c r="D2303" i="7"/>
  <c r="C2303" i="7"/>
  <c r="B2303" i="7"/>
  <c r="A2303" i="7"/>
  <c r="F2302" i="7"/>
  <c r="E2302" i="7"/>
  <c r="D2302" i="7"/>
  <c r="C2302" i="7"/>
  <c r="B2302" i="7"/>
  <c r="A2302" i="7"/>
  <c r="F2301" i="7"/>
  <c r="E2301" i="7"/>
  <c r="D2301" i="7"/>
  <c r="C2301" i="7"/>
  <c r="B2301" i="7"/>
  <c r="A2301" i="7"/>
  <c r="F2300" i="7"/>
  <c r="E2300" i="7"/>
  <c r="D2300" i="7"/>
  <c r="C2300" i="7"/>
  <c r="B2300" i="7"/>
  <c r="A2300" i="7"/>
  <c r="F2299" i="7"/>
  <c r="E2299" i="7"/>
  <c r="D2299" i="7"/>
  <c r="C2299" i="7"/>
  <c r="B2299" i="7"/>
  <c r="A2299" i="7"/>
  <c r="F2298" i="7"/>
  <c r="E2298" i="7"/>
  <c r="D2298" i="7"/>
  <c r="C2298" i="7"/>
  <c r="B2298" i="7"/>
  <c r="A2298" i="7"/>
  <c r="F2297" i="7"/>
  <c r="E2297" i="7"/>
  <c r="D2297" i="7"/>
  <c r="C2297" i="7"/>
  <c r="B2297" i="7"/>
  <c r="A2297" i="7"/>
  <c r="F2296" i="7"/>
  <c r="E2296" i="7"/>
  <c r="D2296" i="7"/>
  <c r="C2296" i="7"/>
  <c r="B2296" i="7"/>
  <c r="A2296" i="7"/>
  <c r="F2295" i="7"/>
  <c r="E2295" i="7"/>
  <c r="D2295" i="7"/>
  <c r="C2295" i="7"/>
  <c r="B2295" i="7"/>
  <c r="A2295" i="7"/>
  <c r="F2294" i="7"/>
  <c r="E2294" i="7"/>
  <c r="D2294" i="7"/>
  <c r="C2294" i="7"/>
  <c r="B2294" i="7"/>
  <c r="A2294" i="7"/>
  <c r="F2293" i="7"/>
  <c r="E2293" i="7"/>
  <c r="D2293" i="7"/>
  <c r="C2293" i="7"/>
  <c r="B2293" i="7"/>
  <c r="A2293" i="7"/>
  <c r="F2292" i="7"/>
  <c r="E2292" i="7"/>
  <c r="D2292" i="7"/>
  <c r="C2292" i="7"/>
  <c r="B2292" i="7"/>
  <c r="A2292" i="7"/>
  <c r="F2291" i="7"/>
  <c r="E2291" i="7"/>
  <c r="D2291" i="7"/>
  <c r="C2291" i="7"/>
  <c r="B2291" i="7"/>
  <c r="A2291" i="7"/>
  <c r="F2290" i="7"/>
  <c r="E2290" i="7"/>
  <c r="D2290" i="7"/>
  <c r="C2290" i="7"/>
  <c r="B2290" i="7"/>
  <c r="A2290" i="7"/>
  <c r="F2289" i="7"/>
  <c r="E2289" i="7"/>
  <c r="D2289" i="7"/>
  <c r="C2289" i="7"/>
  <c r="B2289" i="7"/>
  <c r="A2289" i="7"/>
  <c r="F2288" i="7"/>
  <c r="E2288" i="7"/>
  <c r="D2288" i="7"/>
  <c r="C2288" i="7"/>
  <c r="B2288" i="7"/>
  <c r="A2288" i="7"/>
  <c r="F2287" i="7"/>
  <c r="E2287" i="7"/>
  <c r="D2287" i="7"/>
  <c r="C2287" i="7"/>
  <c r="B2287" i="7"/>
  <c r="A2287" i="7"/>
  <c r="F2286" i="7"/>
  <c r="E2286" i="7"/>
  <c r="D2286" i="7"/>
  <c r="C2286" i="7"/>
  <c r="B2286" i="7"/>
  <c r="A2286" i="7"/>
  <c r="F2285" i="7"/>
  <c r="E2285" i="7"/>
  <c r="D2285" i="7"/>
  <c r="C2285" i="7"/>
  <c r="B2285" i="7"/>
  <c r="A2285" i="7"/>
  <c r="F2284" i="7"/>
  <c r="E2284" i="7"/>
  <c r="D2284" i="7"/>
  <c r="C2284" i="7"/>
  <c r="B2284" i="7"/>
  <c r="A2284" i="7"/>
  <c r="F2283" i="7"/>
  <c r="E2283" i="7"/>
  <c r="D2283" i="7"/>
  <c r="C2283" i="7"/>
  <c r="B2283" i="7"/>
  <c r="A2283" i="7"/>
  <c r="F2282" i="7"/>
  <c r="E2282" i="7"/>
  <c r="D2282" i="7"/>
  <c r="C2282" i="7"/>
  <c r="B2282" i="7"/>
  <c r="A2282" i="7"/>
  <c r="F2281" i="7"/>
  <c r="E2281" i="7"/>
  <c r="D2281" i="7"/>
  <c r="C2281" i="7"/>
  <c r="B2281" i="7"/>
  <c r="A2281" i="7"/>
  <c r="F2280" i="7"/>
  <c r="E2280" i="7"/>
  <c r="D2280" i="7"/>
  <c r="C2280" i="7"/>
  <c r="B2280" i="7"/>
  <c r="A2280" i="7"/>
  <c r="F2279" i="7"/>
  <c r="E2279" i="7"/>
  <c r="D2279" i="7"/>
  <c r="C2279" i="7"/>
  <c r="B2279" i="7"/>
  <c r="A2279" i="7"/>
  <c r="F2278" i="7"/>
  <c r="E2278" i="7"/>
  <c r="D2278" i="7"/>
  <c r="C2278" i="7"/>
  <c r="B2278" i="7"/>
  <c r="A2278" i="7"/>
  <c r="F2277" i="7"/>
  <c r="E2277" i="7"/>
  <c r="D2277" i="7"/>
  <c r="C2277" i="7"/>
  <c r="B2277" i="7"/>
  <c r="A2277" i="7"/>
  <c r="F2276" i="7"/>
  <c r="E2276" i="7"/>
  <c r="D2276" i="7"/>
  <c r="C2276" i="7"/>
  <c r="B2276" i="7"/>
  <c r="A2276" i="7"/>
  <c r="F2275" i="7"/>
  <c r="E2275" i="7"/>
  <c r="D2275" i="7"/>
  <c r="C2275" i="7"/>
  <c r="B2275" i="7"/>
  <c r="A2275" i="7"/>
  <c r="F2274" i="7"/>
  <c r="E2274" i="7"/>
  <c r="D2274" i="7"/>
  <c r="C2274" i="7"/>
  <c r="B2274" i="7"/>
  <c r="A2274" i="7"/>
  <c r="F2273" i="7"/>
  <c r="E2273" i="7"/>
  <c r="D2273" i="7"/>
  <c r="C2273" i="7"/>
  <c r="B2273" i="7"/>
  <c r="A2273" i="7"/>
  <c r="F2272" i="7"/>
  <c r="E2272" i="7"/>
  <c r="D2272" i="7"/>
  <c r="C2272" i="7"/>
  <c r="B2272" i="7"/>
  <c r="A2272" i="7"/>
  <c r="F2271" i="7"/>
  <c r="E2271" i="7"/>
  <c r="D2271" i="7"/>
  <c r="C2271" i="7"/>
  <c r="B2271" i="7"/>
  <c r="A2271" i="7"/>
  <c r="F2270" i="7"/>
  <c r="E2270" i="7"/>
  <c r="D2270" i="7"/>
  <c r="C2270" i="7"/>
  <c r="B2270" i="7"/>
  <c r="A2270" i="7"/>
  <c r="F2269" i="7"/>
  <c r="E2269" i="7"/>
  <c r="D2269" i="7"/>
  <c r="C2269" i="7"/>
  <c r="B2269" i="7"/>
  <c r="A2269" i="7"/>
  <c r="F2268" i="7"/>
  <c r="E2268" i="7"/>
  <c r="D2268" i="7"/>
  <c r="C2268" i="7"/>
  <c r="B2268" i="7"/>
  <c r="A2268" i="7"/>
  <c r="F2267" i="7"/>
  <c r="E2267" i="7"/>
  <c r="D2267" i="7"/>
  <c r="C2267" i="7"/>
  <c r="B2267" i="7"/>
  <c r="A2267" i="7"/>
  <c r="F2266" i="7"/>
  <c r="E2266" i="7"/>
  <c r="D2266" i="7"/>
  <c r="C2266" i="7"/>
  <c r="B2266" i="7"/>
  <c r="A2266" i="7"/>
  <c r="F2265" i="7"/>
  <c r="E2265" i="7"/>
  <c r="D2265" i="7"/>
  <c r="C2265" i="7"/>
  <c r="B2265" i="7"/>
  <c r="A2265" i="7"/>
  <c r="F2264" i="7"/>
  <c r="E2264" i="7"/>
  <c r="D2264" i="7"/>
  <c r="C2264" i="7"/>
  <c r="B2264" i="7"/>
  <c r="A2264" i="7"/>
  <c r="F2263" i="7"/>
  <c r="E2263" i="7"/>
  <c r="D2263" i="7"/>
  <c r="C2263" i="7"/>
  <c r="B2263" i="7"/>
  <c r="A2263" i="7"/>
  <c r="F2262" i="7"/>
  <c r="E2262" i="7"/>
  <c r="D2262" i="7"/>
  <c r="C2262" i="7"/>
  <c r="B2262" i="7"/>
  <c r="A2262" i="7"/>
  <c r="F2261" i="7"/>
  <c r="E2261" i="7"/>
  <c r="D2261" i="7"/>
  <c r="C2261" i="7"/>
  <c r="B2261" i="7"/>
  <c r="A2261" i="7"/>
  <c r="F2260" i="7"/>
  <c r="E2260" i="7"/>
  <c r="D2260" i="7"/>
  <c r="C2260" i="7"/>
  <c r="B2260" i="7"/>
  <c r="A2260" i="7"/>
  <c r="F2259" i="7"/>
  <c r="E2259" i="7"/>
  <c r="D2259" i="7"/>
  <c r="C2259" i="7"/>
  <c r="B2259" i="7"/>
  <c r="A2259" i="7"/>
  <c r="F2258" i="7"/>
  <c r="E2258" i="7"/>
  <c r="D2258" i="7"/>
  <c r="C2258" i="7"/>
  <c r="B2258" i="7"/>
  <c r="A2258" i="7"/>
  <c r="F2257" i="7"/>
  <c r="E2257" i="7"/>
  <c r="D2257" i="7"/>
  <c r="C2257" i="7"/>
  <c r="B2257" i="7"/>
  <c r="A2257" i="7"/>
  <c r="F2256" i="7"/>
  <c r="E2256" i="7"/>
  <c r="D2256" i="7"/>
  <c r="C2256" i="7"/>
  <c r="B2256" i="7"/>
  <c r="A2256" i="7"/>
  <c r="F2255" i="7"/>
  <c r="E2255" i="7"/>
  <c r="D2255" i="7"/>
  <c r="C2255" i="7"/>
  <c r="B2255" i="7"/>
  <c r="A2255" i="7"/>
  <c r="F2254" i="7"/>
  <c r="E2254" i="7"/>
  <c r="D2254" i="7"/>
  <c r="C2254" i="7"/>
  <c r="B2254" i="7"/>
  <c r="A2254" i="7"/>
  <c r="F2253" i="7"/>
  <c r="E2253" i="7"/>
  <c r="D2253" i="7"/>
  <c r="C2253" i="7"/>
  <c r="B2253" i="7"/>
  <c r="A2253" i="7"/>
  <c r="F2252" i="7"/>
  <c r="E2252" i="7"/>
  <c r="D2252" i="7"/>
  <c r="C2252" i="7"/>
  <c r="B2252" i="7"/>
  <c r="A2252" i="7"/>
  <c r="F2251" i="7"/>
  <c r="E2251" i="7"/>
  <c r="D2251" i="7"/>
  <c r="C2251" i="7"/>
  <c r="B2251" i="7"/>
  <c r="A2251" i="7"/>
  <c r="F2250" i="7"/>
  <c r="E2250" i="7"/>
  <c r="D2250" i="7"/>
  <c r="C2250" i="7"/>
  <c r="B2250" i="7"/>
  <c r="A2250" i="7"/>
  <c r="F2249" i="7"/>
  <c r="E2249" i="7"/>
  <c r="D2249" i="7"/>
  <c r="C2249" i="7"/>
  <c r="B2249" i="7"/>
  <c r="A2249" i="7"/>
  <c r="F2248" i="7"/>
  <c r="E2248" i="7"/>
  <c r="D2248" i="7"/>
  <c r="C2248" i="7"/>
  <c r="B2248" i="7"/>
  <c r="A2248" i="7"/>
  <c r="F2247" i="7"/>
  <c r="E2247" i="7"/>
  <c r="D2247" i="7"/>
  <c r="C2247" i="7"/>
  <c r="B2247" i="7"/>
  <c r="A2247" i="7"/>
  <c r="F2246" i="7"/>
  <c r="E2246" i="7"/>
  <c r="D2246" i="7"/>
  <c r="C2246" i="7"/>
  <c r="B2246" i="7"/>
  <c r="A2246" i="7"/>
  <c r="F2245" i="7"/>
  <c r="E2245" i="7"/>
  <c r="D2245" i="7"/>
  <c r="C2245" i="7"/>
  <c r="B2245" i="7"/>
  <c r="A2245" i="7"/>
  <c r="F2244" i="7"/>
  <c r="E2244" i="7"/>
  <c r="D2244" i="7"/>
  <c r="C2244" i="7"/>
  <c r="B2244" i="7"/>
  <c r="A2244" i="7"/>
  <c r="F2243" i="7"/>
  <c r="E2243" i="7"/>
  <c r="D2243" i="7"/>
  <c r="C2243" i="7"/>
  <c r="B2243" i="7"/>
  <c r="A2243" i="7"/>
  <c r="F2242" i="7"/>
  <c r="E2242" i="7"/>
  <c r="D2242" i="7"/>
  <c r="C2242" i="7"/>
  <c r="B2242" i="7"/>
  <c r="A2242" i="7"/>
  <c r="F2241" i="7"/>
  <c r="E2241" i="7"/>
  <c r="D2241" i="7"/>
  <c r="C2241" i="7"/>
  <c r="B2241" i="7"/>
  <c r="A2241" i="7"/>
  <c r="F2240" i="7"/>
  <c r="E2240" i="7"/>
  <c r="D2240" i="7"/>
  <c r="C2240" i="7"/>
  <c r="B2240" i="7"/>
  <c r="A2240" i="7"/>
  <c r="F2239" i="7"/>
  <c r="E2239" i="7"/>
  <c r="D2239" i="7"/>
  <c r="C2239" i="7"/>
  <c r="B2239" i="7"/>
  <c r="A2239" i="7"/>
  <c r="F2238" i="7"/>
  <c r="E2238" i="7"/>
  <c r="D2238" i="7"/>
  <c r="C2238" i="7"/>
  <c r="B2238" i="7"/>
  <c r="A2238" i="7"/>
  <c r="F2237" i="7"/>
  <c r="E2237" i="7"/>
  <c r="D2237" i="7"/>
  <c r="C2237" i="7"/>
  <c r="B2237" i="7"/>
  <c r="A2237" i="7"/>
  <c r="F2236" i="7"/>
  <c r="E2236" i="7"/>
  <c r="D2236" i="7"/>
  <c r="C2236" i="7"/>
  <c r="B2236" i="7"/>
  <c r="A2236" i="7"/>
  <c r="F2235" i="7"/>
  <c r="E2235" i="7"/>
  <c r="D2235" i="7"/>
  <c r="C2235" i="7"/>
  <c r="B2235" i="7"/>
  <c r="A2235" i="7"/>
  <c r="F2234" i="7"/>
  <c r="E2234" i="7"/>
  <c r="D2234" i="7"/>
  <c r="C2234" i="7"/>
  <c r="B2234" i="7"/>
  <c r="A2234" i="7"/>
  <c r="F2233" i="7"/>
  <c r="E2233" i="7"/>
  <c r="D2233" i="7"/>
  <c r="C2233" i="7"/>
  <c r="B2233" i="7"/>
  <c r="A2233" i="7"/>
  <c r="F2232" i="7"/>
  <c r="E2232" i="7"/>
  <c r="D2232" i="7"/>
  <c r="C2232" i="7"/>
  <c r="B2232" i="7"/>
  <c r="A2232" i="7"/>
  <c r="F2231" i="7"/>
  <c r="E2231" i="7"/>
  <c r="D2231" i="7"/>
  <c r="C2231" i="7"/>
  <c r="B2231" i="7"/>
  <c r="A2231" i="7"/>
  <c r="F2230" i="7"/>
  <c r="E2230" i="7"/>
  <c r="D2230" i="7"/>
  <c r="C2230" i="7"/>
  <c r="B2230" i="7"/>
  <c r="A2230" i="7"/>
  <c r="F2229" i="7"/>
  <c r="E2229" i="7"/>
  <c r="D2229" i="7"/>
  <c r="C2229" i="7"/>
  <c r="B2229" i="7"/>
  <c r="A2229" i="7"/>
  <c r="F2228" i="7"/>
  <c r="E2228" i="7"/>
  <c r="D2228" i="7"/>
  <c r="C2228" i="7"/>
  <c r="B2228" i="7"/>
  <c r="A2228" i="7"/>
  <c r="F2227" i="7"/>
  <c r="E2227" i="7"/>
  <c r="D2227" i="7"/>
  <c r="C2227" i="7"/>
  <c r="B2227" i="7"/>
  <c r="A2227" i="7"/>
  <c r="F2226" i="7"/>
  <c r="E2226" i="7"/>
  <c r="D2226" i="7"/>
  <c r="C2226" i="7"/>
  <c r="B2226" i="7"/>
  <c r="A2226" i="7"/>
  <c r="F2225" i="7"/>
  <c r="E2225" i="7"/>
  <c r="D2225" i="7"/>
  <c r="C2225" i="7"/>
  <c r="B2225" i="7"/>
  <c r="A2225" i="7"/>
  <c r="F2224" i="7"/>
  <c r="E2224" i="7"/>
  <c r="D2224" i="7"/>
  <c r="C2224" i="7"/>
  <c r="B2224" i="7"/>
  <c r="A2224" i="7"/>
  <c r="F2223" i="7"/>
  <c r="E2223" i="7"/>
  <c r="D2223" i="7"/>
  <c r="C2223" i="7"/>
  <c r="B2223" i="7"/>
  <c r="A2223" i="7"/>
  <c r="F2222" i="7"/>
  <c r="E2222" i="7"/>
  <c r="D2222" i="7"/>
  <c r="C2222" i="7"/>
  <c r="B2222" i="7"/>
  <c r="A2222" i="7"/>
  <c r="F2221" i="7"/>
  <c r="E2221" i="7"/>
  <c r="D2221" i="7"/>
  <c r="C2221" i="7"/>
  <c r="B2221" i="7"/>
  <c r="A2221" i="7"/>
  <c r="F2220" i="7"/>
  <c r="E2220" i="7"/>
  <c r="D2220" i="7"/>
  <c r="C2220" i="7"/>
  <c r="B2220" i="7"/>
  <c r="A2220" i="7"/>
  <c r="F2219" i="7"/>
  <c r="E2219" i="7"/>
  <c r="D2219" i="7"/>
  <c r="C2219" i="7"/>
  <c r="B2219" i="7"/>
  <c r="A2219" i="7"/>
  <c r="F2218" i="7"/>
  <c r="E2218" i="7"/>
  <c r="D2218" i="7"/>
  <c r="C2218" i="7"/>
  <c r="B2218" i="7"/>
  <c r="A2218" i="7"/>
  <c r="F2217" i="7"/>
  <c r="E2217" i="7"/>
  <c r="D2217" i="7"/>
  <c r="C2217" i="7"/>
  <c r="B2217" i="7"/>
  <c r="A2217" i="7"/>
  <c r="F2216" i="7"/>
  <c r="E2216" i="7"/>
  <c r="D2216" i="7"/>
  <c r="C2216" i="7"/>
  <c r="B2216" i="7"/>
  <c r="A2216" i="7"/>
  <c r="F2215" i="7"/>
  <c r="E2215" i="7"/>
  <c r="D2215" i="7"/>
  <c r="C2215" i="7"/>
  <c r="B2215" i="7"/>
  <c r="A2215" i="7"/>
  <c r="F2214" i="7"/>
  <c r="E2214" i="7"/>
  <c r="D2214" i="7"/>
  <c r="C2214" i="7"/>
  <c r="B2214" i="7"/>
  <c r="A2214" i="7"/>
  <c r="F2213" i="7"/>
  <c r="E2213" i="7"/>
  <c r="D2213" i="7"/>
  <c r="C2213" i="7"/>
  <c r="B2213" i="7"/>
  <c r="A2213" i="7"/>
  <c r="F2212" i="7"/>
  <c r="E2212" i="7"/>
  <c r="D2212" i="7"/>
  <c r="C2212" i="7"/>
  <c r="B2212" i="7"/>
  <c r="A2212" i="7"/>
  <c r="F2211" i="7"/>
  <c r="E2211" i="7"/>
  <c r="D2211" i="7"/>
  <c r="C2211" i="7"/>
  <c r="B2211" i="7"/>
  <c r="A2211" i="7"/>
  <c r="F2210" i="7"/>
  <c r="E2210" i="7"/>
  <c r="D2210" i="7"/>
  <c r="C2210" i="7"/>
  <c r="B2210" i="7"/>
  <c r="A2210" i="7"/>
  <c r="F2209" i="7"/>
  <c r="E2209" i="7"/>
  <c r="D2209" i="7"/>
  <c r="C2209" i="7"/>
  <c r="B2209" i="7"/>
  <c r="A2209" i="7"/>
  <c r="F2208" i="7"/>
  <c r="E2208" i="7"/>
  <c r="D2208" i="7"/>
  <c r="C2208" i="7"/>
  <c r="B2208" i="7"/>
  <c r="A2208" i="7"/>
  <c r="F2207" i="7"/>
  <c r="E2207" i="7"/>
  <c r="D2207" i="7"/>
  <c r="C2207" i="7"/>
  <c r="B2207" i="7"/>
  <c r="A2207" i="7"/>
  <c r="F2206" i="7"/>
  <c r="E2206" i="7"/>
  <c r="D2206" i="7"/>
  <c r="C2206" i="7"/>
  <c r="B2206" i="7"/>
  <c r="A2206" i="7"/>
  <c r="F2205" i="7"/>
  <c r="E2205" i="7"/>
  <c r="D2205" i="7"/>
  <c r="C2205" i="7"/>
  <c r="B2205" i="7"/>
  <c r="A2205" i="7"/>
  <c r="F2204" i="7"/>
  <c r="E2204" i="7"/>
  <c r="D2204" i="7"/>
  <c r="C2204" i="7"/>
  <c r="B2204" i="7"/>
  <c r="A2204" i="7"/>
  <c r="F2203" i="7"/>
  <c r="E2203" i="7"/>
  <c r="D2203" i="7"/>
  <c r="C2203" i="7"/>
  <c r="B2203" i="7"/>
  <c r="A2203" i="7"/>
  <c r="F2202" i="7"/>
  <c r="E2202" i="7"/>
  <c r="D2202" i="7"/>
  <c r="C2202" i="7"/>
  <c r="B2202" i="7"/>
  <c r="A2202" i="7"/>
  <c r="F2201" i="7"/>
  <c r="E2201" i="7"/>
  <c r="D2201" i="7"/>
  <c r="C2201" i="7"/>
  <c r="B2201" i="7"/>
  <c r="A2201" i="7"/>
  <c r="F2200" i="7"/>
  <c r="E2200" i="7"/>
  <c r="D2200" i="7"/>
  <c r="C2200" i="7"/>
  <c r="B2200" i="7"/>
  <c r="A2200" i="7"/>
  <c r="F2199" i="7"/>
  <c r="E2199" i="7"/>
  <c r="D2199" i="7"/>
  <c r="C2199" i="7"/>
  <c r="B2199" i="7"/>
  <c r="A2199" i="7"/>
  <c r="F2198" i="7"/>
  <c r="E2198" i="7"/>
  <c r="D2198" i="7"/>
  <c r="C2198" i="7"/>
  <c r="B2198" i="7"/>
  <c r="A2198" i="7"/>
  <c r="F2197" i="7"/>
  <c r="E2197" i="7"/>
  <c r="D2197" i="7"/>
  <c r="C2197" i="7"/>
  <c r="B2197" i="7"/>
  <c r="A2197" i="7"/>
  <c r="F2196" i="7"/>
  <c r="E2196" i="7"/>
  <c r="D2196" i="7"/>
  <c r="C2196" i="7"/>
  <c r="B2196" i="7"/>
  <c r="A2196" i="7"/>
  <c r="F2195" i="7"/>
  <c r="E2195" i="7"/>
  <c r="D2195" i="7"/>
  <c r="C2195" i="7"/>
  <c r="B2195" i="7"/>
  <c r="A2195" i="7"/>
  <c r="F2194" i="7"/>
  <c r="E2194" i="7"/>
  <c r="D2194" i="7"/>
  <c r="C2194" i="7"/>
  <c r="B2194" i="7"/>
  <c r="A2194" i="7"/>
  <c r="F2193" i="7"/>
  <c r="E2193" i="7"/>
  <c r="D2193" i="7"/>
  <c r="C2193" i="7"/>
  <c r="B2193" i="7"/>
  <c r="A2193" i="7"/>
  <c r="F2192" i="7"/>
  <c r="E2192" i="7"/>
  <c r="D2192" i="7"/>
  <c r="C2192" i="7"/>
  <c r="B2192" i="7"/>
  <c r="A2192" i="7"/>
  <c r="F2191" i="7"/>
  <c r="E2191" i="7"/>
  <c r="D2191" i="7"/>
  <c r="C2191" i="7"/>
  <c r="B2191" i="7"/>
  <c r="A2191" i="7"/>
  <c r="F2190" i="7"/>
  <c r="E2190" i="7"/>
  <c r="D2190" i="7"/>
  <c r="C2190" i="7"/>
  <c r="B2190" i="7"/>
  <c r="A2190" i="7"/>
  <c r="F2189" i="7"/>
  <c r="E2189" i="7"/>
  <c r="D2189" i="7"/>
  <c r="C2189" i="7"/>
  <c r="B2189" i="7"/>
  <c r="A2189" i="7"/>
  <c r="F2188" i="7"/>
  <c r="E2188" i="7"/>
  <c r="D2188" i="7"/>
  <c r="C2188" i="7"/>
  <c r="B2188" i="7"/>
  <c r="A2188" i="7"/>
  <c r="F2187" i="7"/>
  <c r="E2187" i="7"/>
  <c r="D2187" i="7"/>
  <c r="C2187" i="7"/>
  <c r="B2187" i="7"/>
  <c r="A2187" i="7"/>
  <c r="F2186" i="7"/>
  <c r="E2186" i="7"/>
  <c r="D2186" i="7"/>
  <c r="C2186" i="7"/>
  <c r="B2186" i="7"/>
  <c r="A2186" i="7"/>
  <c r="F2185" i="7"/>
  <c r="E2185" i="7"/>
  <c r="D2185" i="7"/>
  <c r="C2185" i="7"/>
  <c r="B2185" i="7"/>
  <c r="A2185" i="7"/>
  <c r="F2184" i="7"/>
  <c r="E2184" i="7"/>
  <c r="D2184" i="7"/>
  <c r="C2184" i="7"/>
  <c r="B2184" i="7"/>
  <c r="A2184" i="7"/>
  <c r="F2183" i="7"/>
  <c r="E2183" i="7"/>
  <c r="D2183" i="7"/>
  <c r="C2183" i="7"/>
  <c r="B2183" i="7"/>
  <c r="A2183" i="7"/>
  <c r="F2182" i="7"/>
  <c r="E2182" i="7"/>
  <c r="D2182" i="7"/>
  <c r="C2182" i="7"/>
  <c r="B2182" i="7"/>
  <c r="A2182" i="7"/>
  <c r="F2181" i="7"/>
  <c r="E2181" i="7"/>
  <c r="D2181" i="7"/>
  <c r="C2181" i="7"/>
  <c r="B2181" i="7"/>
  <c r="A2181" i="7"/>
  <c r="F2180" i="7"/>
  <c r="E2180" i="7"/>
  <c r="D2180" i="7"/>
  <c r="C2180" i="7"/>
  <c r="B2180" i="7"/>
  <c r="A2180" i="7"/>
  <c r="F2179" i="7"/>
  <c r="E2179" i="7"/>
  <c r="D2179" i="7"/>
  <c r="C2179" i="7"/>
  <c r="B2179" i="7"/>
  <c r="A2179" i="7"/>
  <c r="F2178" i="7"/>
  <c r="E2178" i="7"/>
  <c r="D2178" i="7"/>
  <c r="C2178" i="7"/>
  <c r="B2178" i="7"/>
  <c r="A2178" i="7"/>
  <c r="F2177" i="7"/>
  <c r="E2177" i="7"/>
  <c r="D2177" i="7"/>
  <c r="C2177" i="7"/>
  <c r="B2177" i="7"/>
  <c r="A2177" i="7"/>
  <c r="F2176" i="7"/>
  <c r="E2176" i="7"/>
  <c r="D2176" i="7"/>
  <c r="C2176" i="7"/>
  <c r="B2176" i="7"/>
  <c r="A2176" i="7"/>
  <c r="F2175" i="7"/>
  <c r="E2175" i="7"/>
  <c r="D2175" i="7"/>
  <c r="C2175" i="7"/>
  <c r="B2175" i="7"/>
  <c r="A2175" i="7"/>
  <c r="F2174" i="7"/>
  <c r="E2174" i="7"/>
  <c r="D2174" i="7"/>
  <c r="C2174" i="7"/>
  <c r="B2174" i="7"/>
  <c r="A2174" i="7"/>
  <c r="F2173" i="7"/>
  <c r="E2173" i="7"/>
  <c r="D2173" i="7"/>
  <c r="C2173" i="7"/>
  <c r="B2173" i="7"/>
  <c r="A2173" i="7"/>
  <c r="F2172" i="7"/>
  <c r="E2172" i="7"/>
  <c r="D2172" i="7"/>
  <c r="C2172" i="7"/>
  <c r="B2172" i="7"/>
  <c r="A2172" i="7"/>
  <c r="F2171" i="7"/>
  <c r="E2171" i="7"/>
  <c r="D2171" i="7"/>
  <c r="C2171" i="7"/>
  <c r="B2171" i="7"/>
  <c r="A2171" i="7"/>
  <c r="F2170" i="7"/>
  <c r="E2170" i="7"/>
  <c r="D2170" i="7"/>
  <c r="C2170" i="7"/>
  <c r="B2170" i="7"/>
  <c r="A2170" i="7"/>
  <c r="F2169" i="7"/>
  <c r="E2169" i="7"/>
  <c r="D2169" i="7"/>
  <c r="C2169" i="7"/>
  <c r="B2169" i="7"/>
  <c r="A2169" i="7"/>
  <c r="F2168" i="7"/>
  <c r="E2168" i="7"/>
  <c r="D2168" i="7"/>
  <c r="C2168" i="7"/>
  <c r="B2168" i="7"/>
  <c r="A2168" i="7"/>
  <c r="F2167" i="7"/>
  <c r="E2167" i="7"/>
  <c r="D2167" i="7"/>
  <c r="C2167" i="7"/>
  <c r="B2167" i="7"/>
  <c r="A2167" i="7"/>
  <c r="F2166" i="7"/>
  <c r="E2166" i="7"/>
  <c r="D2166" i="7"/>
  <c r="C2166" i="7"/>
  <c r="B2166" i="7"/>
  <c r="A2166" i="7"/>
  <c r="F2165" i="7"/>
  <c r="E2165" i="7"/>
  <c r="D2165" i="7"/>
  <c r="C2165" i="7"/>
  <c r="B2165" i="7"/>
  <c r="A2165" i="7"/>
  <c r="F2164" i="7"/>
  <c r="E2164" i="7"/>
  <c r="D2164" i="7"/>
  <c r="C2164" i="7"/>
  <c r="B2164" i="7"/>
  <c r="A2164" i="7"/>
  <c r="F2163" i="7"/>
  <c r="E2163" i="7"/>
  <c r="D2163" i="7"/>
  <c r="C2163" i="7"/>
  <c r="B2163" i="7"/>
  <c r="A2163" i="7"/>
  <c r="F2162" i="7"/>
  <c r="E2162" i="7"/>
  <c r="D2162" i="7"/>
  <c r="C2162" i="7"/>
  <c r="B2162" i="7"/>
  <c r="A2162" i="7"/>
  <c r="F2161" i="7"/>
  <c r="E2161" i="7"/>
  <c r="D2161" i="7"/>
  <c r="C2161" i="7"/>
  <c r="B2161" i="7"/>
  <c r="A2161" i="7"/>
  <c r="F2160" i="7"/>
  <c r="E2160" i="7"/>
  <c r="D2160" i="7"/>
  <c r="C2160" i="7"/>
  <c r="B2160" i="7"/>
  <c r="A2160" i="7"/>
  <c r="F2159" i="7"/>
  <c r="E2159" i="7"/>
  <c r="D2159" i="7"/>
  <c r="C2159" i="7"/>
  <c r="B2159" i="7"/>
  <c r="A2159" i="7"/>
  <c r="F2158" i="7"/>
  <c r="E2158" i="7"/>
  <c r="D2158" i="7"/>
  <c r="C2158" i="7"/>
  <c r="B2158" i="7"/>
  <c r="A2158" i="7"/>
  <c r="F2157" i="7"/>
  <c r="E2157" i="7"/>
  <c r="D2157" i="7"/>
  <c r="C2157" i="7"/>
  <c r="B2157" i="7"/>
  <c r="A2157" i="7"/>
  <c r="F2156" i="7"/>
  <c r="E2156" i="7"/>
  <c r="D2156" i="7"/>
  <c r="C2156" i="7"/>
  <c r="B2156" i="7"/>
  <c r="A2156" i="7"/>
  <c r="F2155" i="7"/>
  <c r="E2155" i="7"/>
  <c r="D2155" i="7"/>
  <c r="C2155" i="7"/>
  <c r="B2155" i="7"/>
  <c r="A2155" i="7"/>
  <c r="F2154" i="7"/>
  <c r="E2154" i="7"/>
  <c r="D2154" i="7"/>
  <c r="C2154" i="7"/>
  <c r="B2154" i="7"/>
  <c r="A2154" i="7"/>
  <c r="F2153" i="7"/>
  <c r="E2153" i="7"/>
  <c r="D2153" i="7"/>
  <c r="C2153" i="7"/>
  <c r="B2153" i="7"/>
  <c r="A2153" i="7"/>
  <c r="F2152" i="7"/>
  <c r="E2152" i="7"/>
  <c r="D2152" i="7"/>
  <c r="C2152" i="7"/>
  <c r="B2152" i="7"/>
  <c r="A2152" i="7"/>
  <c r="F2151" i="7"/>
  <c r="E2151" i="7"/>
  <c r="D2151" i="7"/>
  <c r="C2151" i="7"/>
  <c r="B2151" i="7"/>
  <c r="A2151" i="7"/>
  <c r="F2150" i="7"/>
  <c r="E2150" i="7"/>
  <c r="D2150" i="7"/>
  <c r="C2150" i="7"/>
  <c r="B2150" i="7"/>
  <c r="A2150" i="7"/>
  <c r="F2149" i="7"/>
  <c r="E2149" i="7"/>
  <c r="D2149" i="7"/>
  <c r="C2149" i="7"/>
  <c r="B2149" i="7"/>
  <c r="A2149" i="7"/>
  <c r="F2148" i="7"/>
  <c r="E2148" i="7"/>
  <c r="D2148" i="7"/>
  <c r="C2148" i="7"/>
  <c r="B2148" i="7"/>
  <c r="A2148" i="7"/>
  <c r="F2147" i="7"/>
  <c r="E2147" i="7"/>
  <c r="D2147" i="7"/>
  <c r="C2147" i="7"/>
  <c r="B2147" i="7"/>
  <c r="A2147" i="7"/>
  <c r="F2146" i="7"/>
  <c r="E2146" i="7"/>
  <c r="D2146" i="7"/>
  <c r="C2146" i="7"/>
  <c r="B2146" i="7"/>
  <c r="A2146" i="7"/>
  <c r="F2145" i="7"/>
  <c r="E2145" i="7"/>
  <c r="D2145" i="7"/>
  <c r="C2145" i="7"/>
  <c r="B2145" i="7"/>
  <c r="A2145" i="7"/>
  <c r="F2144" i="7"/>
  <c r="E2144" i="7"/>
  <c r="D2144" i="7"/>
  <c r="C2144" i="7"/>
  <c r="B2144" i="7"/>
  <c r="A2144" i="7"/>
  <c r="F2143" i="7"/>
  <c r="E2143" i="7"/>
  <c r="D2143" i="7"/>
  <c r="C2143" i="7"/>
  <c r="B2143" i="7"/>
  <c r="A2143" i="7"/>
  <c r="F2142" i="7"/>
  <c r="E2142" i="7"/>
  <c r="D2142" i="7"/>
  <c r="C2142" i="7"/>
  <c r="B2142" i="7"/>
  <c r="A2142" i="7"/>
  <c r="F2141" i="7"/>
  <c r="E2141" i="7"/>
  <c r="D2141" i="7"/>
  <c r="C2141" i="7"/>
  <c r="B2141" i="7"/>
  <c r="A2141" i="7"/>
  <c r="F2140" i="7"/>
  <c r="E2140" i="7"/>
  <c r="D2140" i="7"/>
  <c r="C2140" i="7"/>
  <c r="B2140" i="7"/>
  <c r="A2140" i="7"/>
  <c r="F2139" i="7"/>
  <c r="E2139" i="7"/>
  <c r="D2139" i="7"/>
  <c r="C2139" i="7"/>
  <c r="B2139" i="7"/>
  <c r="A2139" i="7"/>
  <c r="F2138" i="7"/>
  <c r="E2138" i="7"/>
  <c r="D2138" i="7"/>
  <c r="C2138" i="7"/>
  <c r="B2138" i="7"/>
  <c r="A2138" i="7"/>
  <c r="F2137" i="7"/>
  <c r="E2137" i="7"/>
  <c r="D2137" i="7"/>
  <c r="C2137" i="7"/>
  <c r="B2137" i="7"/>
  <c r="A2137" i="7"/>
  <c r="F2136" i="7"/>
  <c r="E2136" i="7"/>
  <c r="D2136" i="7"/>
  <c r="C2136" i="7"/>
  <c r="B2136" i="7"/>
  <c r="A2136" i="7"/>
  <c r="F2135" i="7"/>
  <c r="E2135" i="7"/>
  <c r="D2135" i="7"/>
  <c r="C2135" i="7"/>
  <c r="B2135" i="7"/>
  <c r="A2135" i="7"/>
  <c r="F2134" i="7"/>
  <c r="E2134" i="7"/>
  <c r="D2134" i="7"/>
  <c r="C2134" i="7"/>
  <c r="B2134" i="7"/>
  <c r="A2134" i="7"/>
  <c r="F2133" i="7"/>
  <c r="E2133" i="7"/>
  <c r="D2133" i="7"/>
  <c r="C2133" i="7"/>
  <c r="B2133" i="7"/>
  <c r="A2133" i="7"/>
  <c r="F2132" i="7"/>
  <c r="E2132" i="7"/>
  <c r="D2132" i="7"/>
  <c r="C2132" i="7"/>
  <c r="B2132" i="7"/>
  <c r="A2132" i="7"/>
  <c r="F2131" i="7"/>
  <c r="E2131" i="7"/>
  <c r="D2131" i="7"/>
  <c r="C2131" i="7"/>
  <c r="B2131" i="7"/>
  <c r="A2131" i="7"/>
  <c r="F2130" i="7"/>
  <c r="E2130" i="7"/>
  <c r="D2130" i="7"/>
  <c r="C2130" i="7"/>
  <c r="B2130" i="7"/>
  <c r="A2130" i="7"/>
  <c r="F2129" i="7"/>
  <c r="E2129" i="7"/>
  <c r="D2129" i="7"/>
  <c r="C2129" i="7"/>
  <c r="B2129" i="7"/>
  <c r="A2129" i="7"/>
  <c r="F2128" i="7"/>
  <c r="E2128" i="7"/>
  <c r="D2128" i="7"/>
  <c r="C2128" i="7"/>
  <c r="B2128" i="7"/>
  <c r="A2128" i="7"/>
  <c r="F2127" i="7"/>
  <c r="E2127" i="7"/>
  <c r="D2127" i="7"/>
  <c r="C2127" i="7"/>
  <c r="B2127" i="7"/>
  <c r="A2127" i="7"/>
  <c r="F2126" i="7"/>
  <c r="E2126" i="7"/>
  <c r="D2126" i="7"/>
  <c r="C2126" i="7"/>
  <c r="B2126" i="7"/>
  <c r="A2126" i="7"/>
  <c r="F2125" i="7"/>
  <c r="E2125" i="7"/>
  <c r="D2125" i="7"/>
  <c r="C2125" i="7"/>
  <c r="B2125" i="7"/>
  <c r="A2125" i="7"/>
  <c r="F2124" i="7"/>
  <c r="E2124" i="7"/>
  <c r="D2124" i="7"/>
  <c r="C2124" i="7"/>
  <c r="B2124" i="7"/>
  <c r="A2124" i="7"/>
  <c r="F2123" i="7"/>
  <c r="E2123" i="7"/>
  <c r="D2123" i="7"/>
  <c r="C2123" i="7"/>
  <c r="B2123" i="7"/>
  <c r="A2123" i="7"/>
  <c r="F2122" i="7"/>
  <c r="E2122" i="7"/>
  <c r="D2122" i="7"/>
  <c r="C2122" i="7"/>
  <c r="B2122" i="7"/>
  <c r="A2122" i="7"/>
  <c r="F2121" i="7"/>
  <c r="E2121" i="7"/>
  <c r="D2121" i="7"/>
  <c r="C2121" i="7"/>
  <c r="B2121" i="7"/>
  <c r="A2121" i="7"/>
  <c r="F2120" i="7"/>
  <c r="E2120" i="7"/>
  <c r="D2120" i="7"/>
  <c r="C2120" i="7"/>
  <c r="B2120" i="7"/>
  <c r="A2120" i="7"/>
  <c r="F2119" i="7"/>
  <c r="E2119" i="7"/>
  <c r="D2119" i="7"/>
  <c r="C2119" i="7"/>
  <c r="B2119" i="7"/>
  <c r="A2119" i="7"/>
  <c r="F2118" i="7"/>
  <c r="E2118" i="7"/>
  <c r="D2118" i="7"/>
  <c r="C2118" i="7"/>
  <c r="B2118" i="7"/>
  <c r="A2118" i="7"/>
  <c r="F2117" i="7"/>
  <c r="E2117" i="7"/>
  <c r="D2117" i="7"/>
  <c r="C2117" i="7"/>
  <c r="B2117" i="7"/>
  <c r="A2117" i="7"/>
  <c r="F2116" i="7"/>
  <c r="E2116" i="7"/>
  <c r="D2116" i="7"/>
  <c r="C2116" i="7"/>
  <c r="B2116" i="7"/>
  <c r="A2116" i="7"/>
  <c r="F2115" i="7"/>
  <c r="E2115" i="7"/>
  <c r="D2115" i="7"/>
  <c r="C2115" i="7"/>
  <c r="B2115" i="7"/>
  <c r="A2115" i="7"/>
  <c r="F2114" i="7"/>
  <c r="E2114" i="7"/>
  <c r="D2114" i="7"/>
  <c r="C2114" i="7"/>
  <c r="B2114" i="7"/>
  <c r="A2114" i="7"/>
  <c r="F2113" i="7"/>
  <c r="E2113" i="7"/>
  <c r="D2113" i="7"/>
  <c r="C2113" i="7"/>
  <c r="B2113" i="7"/>
  <c r="A2113" i="7"/>
  <c r="F2112" i="7"/>
  <c r="E2112" i="7"/>
  <c r="D2112" i="7"/>
  <c r="C2112" i="7"/>
  <c r="B2112" i="7"/>
  <c r="A2112" i="7"/>
  <c r="F2111" i="7"/>
  <c r="E2111" i="7"/>
  <c r="D2111" i="7"/>
  <c r="C2111" i="7"/>
  <c r="B2111" i="7"/>
  <c r="A2111" i="7"/>
  <c r="F2110" i="7"/>
  <c r="E2110" i="7"/>
  <c r="D2110" i="7"/>
  <c r="C2110" i="7"/>
  <c r="B2110" i="7"/>
  <c r="A2110" i="7"/>
  <c r="F2109" i="7"/>
  <c r="E2109" i="7"/>
  <c r="D2109" i="7"/>
  <c r="C2109" i="7"/>
  <c r="B2109" i="7"/>
  <c r="A2109" i="7"/>
  <c r="F2108" i="7"/>
  <c r="E2108" i="7"/>
  <c r="D2108" i="7"/>
  <c r="C2108" i="7"/>
  <c r="B2108" i="7"/>
  <c r="A2108" i="7"/>
  <c r="F2107" i="7"/>
  <c r="E2107" i="7"/>
  <c r="D2107" i="7"/>
  <c r="C2107" i="7"/>
  <c r="B2107" i="7"/>
  <c r="A2107" i="7"/>
  <c r="F2106" i="7"/>
  <c r="E2106" i="7"/>
  <c r="D2106" i="7"/>
  <c r="C2106" i="7"/>
  <c r="B2106" i="7"/>
  <c r="A2106" i="7"/>
  <c r="F2105" i="7"/>
  <c r="E2105" i="7"/>
  <c r="D2105" i="7"/>
  <c r="C2105" i="7"/>
  <c r="B2105" i="7"/>
  <c r="A2105" i="7"/>
  <c r="F2104" i="7"/>
  <c r="E2104" i="7"/>
  <c r="D2104" i="7"/>
  <c r="C2104" i="7"/>
  <c r="B2104" i="7"/>
  <c r="A2104" i="7"/>
  <c r="F2103" i="7"/>
  <c r="E2103" i="7"/>
  <c r="D2103" i="7"/>
  <c r="C2103" i="7"/>
  <c r="B2103" i="7"/>
  <c r="A2103" i="7"/>
  <c r="F2102" i="7"/>
  <c r="E2102" i="7"/>
  <c r="D2102" i="7"/>
  <c r="C2102" i="7"/>
  <c r="B2102" i="7"/>
  <c r="A2102" i="7"/>
  <c r="F2101" i="7"/>
  <c r="E2101" i="7"/>
  <c r="D2101" i="7"/>
  <c r="C2101" i="7"/>
  <c r="B2101" i="7"/>
  <c r="A2101" i="7"/>
  <c r="F2100" i="7"/>
  <c r="E2100" i="7"/>
  <c r="D2100" i="7"/>
  <c r="C2100" i="7"/>
  <c r="B2100" i="7"/>
  <c r="A2100" i="7"/>
  <c r="F2099" i="7"/>
  <c r="E2099" i="7"/>
  <c r="D2099" i="7"/>
  <c r="C2099" i="7"/>
  <c r="B2099" i="7"/>
  <c r="A2099" i="7"/>
  <c r="F2098" i="7"/>
  <c r="E2098" i="7"/>
  <c r="D2098" i="7"/>
  <c r="C2098" i="7"/>
  <c r="B2098" i="7"/>
  <c r="A2098" i="7"/>
  <c r="F2097" i="7"/>
  <c r="E2097" i="7"/>
  <c r="D2097" i="7"/>
  <c r="C2097" i="7"/>
  <c r="B2097" i="7"/>
  <c r="A2097" i="7"/>
  <c r="F2096" i="7"/>
  <c r="E2096" i="7"/>
  <c r="D2096" i="7"/>
  <c r="C2096" i="7"/>
  <c r="B2096" i="7"/>
  <c r="A2096" i="7"/>
  <c r="F2095" i="7"/>
  <c r="E2095" i="7"/>
  <c r="D2095" i="7"/>
  <c r="C2095" i="7"/>
  <c r="B2095" i="7"/>
  <c r="A2095" i="7"/>
  <c r="F2094" i="7"/>
  <c r="E2094" i="7"/>
  <c r="D2094" i="7"/>
  <c r="C2094" i="7"/>
  <c r="B2094" i="7"/>
  <c r="A2094" i="7"/>
  <c r="F2093" i="7"/>
  <c r="E2093" i="7"/>
  <c r="D2093" i="7"/>
  <c r="C2093" i="7"/>
  <c r="B2093" i="7"/>
  <c r="A2093" i="7"/>
  <c r="F2092" i="7"/>
  <c r="E2092" i="7"/>
  <c r="D2092" i="7"/>
  <c r="C2092" i="7"/>
  <c r="B2092" i="7"/>
  <c r="A2092" i="7"/>
  <c r="F2091" i="7"/>
  <c r="E2091" i="7"/>
  <c r="D2091" i="7"/>
  <c r="C2091" i="7"/>
  <c r="B2091" i="7"/>
  <c r="A2091" i="7"/>
  <c r="F2090" i="7"/>
  <c r="E2090" i="7"/>
  <c r="D2090" i="7"/>
  <c r="C2090" i="7"/>
  <c r="B2090" i="7"/>
  <c r="A2090" i="7"/>
  <c r="F2089" i="7"/>
  <c r="E2089" i="7"/>
  <c r="D2089" i="7"/>
  <c r="C2089" i="7"/>
  <c r="B2089" i="7"/>
  <c r="A2089" i="7"/>
  <c r="F2088" i="7"/>
  <c r="E2088" i="7"/>
  <c r="D2088" i="7"/>
  <c r="C2088" i="7"/>
  <c r="B2088" i="7"/>
  <c r="A2088" i="7"/>
  <c r="F2087" i="7"/>
  <c r="E2087" i="7"/>
  <c r="D2087" i="7"/>
  <c r="C2087" i="7"/>
  <c r="B2087" i="7"/>
  <c r="A2087" i="7"/>
  <c r="F2086" i="7"/>
  <c r="E2086" i="7"/>
  <c r="D2086" i="7"/>
  <c r="C2086" i="7"/>
  <c r="B2086" i="7"/>
  <c r="A2086" i="7"/>
  <c r="F2085" i="7"/>
  <c r="E2085" i="7"/>
  <c r="D2085" i="7"/>
  <c r="C2085" i="7"/>
  <c r="B2085" i="7"/>
  <c r="A2085" i="7"/>
  <c r="F2084" i="7"/>
  <c r="E2084" i="7"/>
  <c r="D2084" i="7"/>
  <c r="C2084" i="7"/>
  <c r="B2084" i="7"/>
  <c r="A2084" i="7"/>
  <c r="F2083" i="7"/>
  <c r="E2083" i="7"/>
  <c r="D2083" i="7"/>
  <c r="C2083" i="7"/>
  <c r="B2083" i="7"/>
  <c r="A2083" i="7"/>
  <c r="F2082" i="7"/>
  <c r="E2082" i="7"/>
  <c r="D2082" i="7"/>
  <c r="C2082" i="7"/>
  <c r="B2082" i="7"/>
  <c r="A2082" i="7"/>
  <c r="F2081" i="7"/>
  <c r="E2081" i="7"/>
  <c r="D2081" i="7"/>
  <c r="C2081" i="7"/>
  <c r="B2081" i="7"/>
  <c r="A2081" i="7"/>
  <c r="F2080" i="7"/>
  <c r="E2080" i="7"/>
  <c r="D2080" i="7"/>
  <c r="C2080" i="7"/>
  <c r="B2080" i="7"/>
  <c r="A2080" i="7"/>
  <c r="F2079" i="7"/>
  <c r="E2079" i="7"/>
  <c r="D2079" i="7"/>
  <c r="C2079" i="7"/>
  <c r="B2079" i="7"/>
  <c r="A2079" i="7"/>
  <c r="F2078" i="7"/>
  <c r="E2078" i="7"/>
  <c r="D2078" i="7"/>
  <c r="C2078" i="7"/>
  <c r="B2078" i="7"/>
  <c r="A2078" i="7"/>
  <c r="F2077" i="7"/>
  <c r="E2077" i="7"/>
  <c r="D2077" i="7"/>
  <c r="C2077" i="7"/>
  <c r="B2077" i="7"/>
  <c r="A2077" i="7"/>
  <c r="F2076" i="7"/>
  <c r="E2076" i="7"/>
  <c r="D2076" i="7"/>
  <c r="C2076" i="7"/>
  <c r="B2076" i="7"/>
  <c r="A2076" i="7"/>
  <c r="F2075" i="7"/>
  <c r="E2075" i="7"/>
  <c r="D2075" i="7"/>
  <c r="C2075" i="7"/>
  <c r="B2075" i="7"/>
  <c r="A2075" i="7"/>
  <c r="F2074" i="7"/>
  <c r="E2074" i="7"/>
  <c r="D2074" i="7"/>
  <c r="C2074" i="7"/>
  <c r="B2074" i="7"/>
  <c r="A2074" i="7"/>
  <c r="F2073" i="7"/>
  <c r="E2073" i="7"/>
  <c r="D2073" i="7"/>
  <c r="C2073" i="7"/>
  <c r="B2073" i="7"/>
  <c r="A2073" i="7"/>
  <c r="F2072" i="7"/>
  <c r="E2072" i="7"/>
  <c r="D2072" i="7"/>
  <c r="C2072" i="7"/>
  <c r="B2072" i="7"/>
  <c r="A2072" i="7"/>
  <c r="F2071" i="7"/>
  <c r="E2071" i="7"/>
  <c r="D2071" i="7"/>
  <c r="C2071" i="7"/>
  <c r="B2071" i="7"/>
  <c r="A2071" i="7"/>
  <c r="F2070" i="7"/>
  <c r="E2070" i="7"/>
  <c r="D2070" i="7"/>
  <c r="C2070" i="7"/>
  <c r="B2070" i="7"/>
  <c r="A2070" i="7"/>
  <c r="F2069" i="7"/>
  <c r="E2069" i="7"/>
  <c r="D2069" i="7"/>
  <c r="C2069" i="7"/>
  <c r="B2069" i="7"/>
  <c r="A2069" i="7"/>
  <c r="F2068" i="7"/>
  <c r="E2068" i="7"/>
  <c r="D2068" i="7"/>
  <c r="C2068" i="7"/>
  <c r="B2068" i="7"/>
  <c r="A2068" i="7"/>
  <c r="F2067" i="7"/>
  <c r="E2067" i="7"/>
  <c r="D2067" i="7"/>
  <c r="C2067" i="7"/>
  <c r="B2067" i="7"/>
  <c r="A2067" i="7"/>
  <c r="F2066" i="7"/>
  <c r="E2066" i="7"/>
  <c r="D2066" i="7"/>
  <c r="C2066" i="7"/>
  <c r="B2066" i="7"/>
  <c r="A2066" i="7"/>
  <c r="F2065" i="7"/>
  <c r="E2065" i="7"/>
  <c r="D2065" i="7"/>
  <c r="C2065" i="7"/>
  <c r="B2065" i="7"/>
  <c r="A2065" i="7"/>
  <c r="F2064" i="7"/>
  <c r="E2064" i="7"/>
  <c r="D2064" i="7"/>
  <c r="C2064" i="7"/>
  <c r="B2064" i="7"/>
  <c r="A2064" i="7"/>
  <c r="F2063" i="7"/>
  <c r="E2063" i="7"/>
  <c r="D2063" i="7"/>
  <c r="C2063" i="7"/>
  <c r="B2063" i="7"/>
  <c r="A2063" i="7"/>
  <c r="F2062" i="7"/>
  <c r="E2062" i="7"/>
  <c r="D2062" i="7"/>
  <c r="C2062" i="7"/>
  <c r="B2062" i="7"/>
  <c r="A2062" i="7"/>
  <c r="F2061" i="7"/>
  <c r="E2061" i="7"/>
  <c r="D2061" i="7"/>
  <c r="C2061" i="7"/>
  <c r="B2061" i="7"/>
  <c r="A2061" i="7"/>
  <c r="F2060" i="7"/>
  <c r="E2060" i="7"/>
  <c r="D2060" i="7"/>
  <c r="C2060" i="7"/>
  <c r="B2060" i="7"/>
  <c r="A2060" i="7"/>
  <c r="F2059" i="7"/>
  <c r="E2059" i="7"/>
  <c r="D2059" i="7"/>
  <c r="C2059" i="7"/>
  <c r="B2059" i="7"/>
  <c r="A2059" i="7"/>
  <c r="F2058" i="7"/>
  <c r="E2058" i="7"/>
  <c r="D2058" i="7"/>
  <c r="C2058" i="7"/>
  <c r="B2058" i="7"/>
  <c r="A2058" i="7"/>
  <c r="F2057" i="7"/>
  <c r="E2057" i="7"/>
  <c r="D2057" i="7"/>
  <c r="C2057" i="7"/>
  <c r="B2057" i="7"/>
  <c r="A2057" i="7"/>
  <c r="F2056" i="7"/>
  <c r="E2056" i="7"/>
  <c r="D2056" i="7"/>
  <c r="C2056" i="7"/>
  <c r="B2056" i="7"/>
  <c r="A2056" i="7"/>
  <c r="F2055" i="7"/>
  <c r="E2055" i="7"/>
  <c r="D2055" i="7"/>
  <c r="C2055" i="7"/>
  <c r="B2055" i="7"/>
  <c r="A2055" i="7"/>
  <c r="F2054" i="7"/>
  <c r="E2054" i="7"/>
  <c r="D2054" i="7"/>
  <c r="C2054" i="7"/>
  <c r="B2054" i="7"/>
  <c r="A2054" i="7"/>
  <c r="F2053" i="7"/>
  <c r="E2053" i="7"/>
  <c r="D2053" i="7"/>
  <c r="C2053" i="7"/>
  <c r="B2053" i="7"/>
  <c r="A2053" i="7"/>
  <c r="F2052" i="7"/>
  <c r="E2052" i="7"/>
  <c r="D2052" i="7"/>
  <c r="C2052" i="7"/>
  <c r="B2052" i="7"/>
  <c r="A2052" i="7"/>
  <c r="F2051" i="7"/>
  <c r="E2051" i="7"/>
  <c r="D2051" i="7"/>
  <c r="C2051" i="7"/>
  <c r="B2051" i="7"/>
  <c r="A2051" i="7"/>
  <c r="F2050" i="7"/>
  <c r="E2050" i="7"/>
  <c r="D2050" i="7"/>
  <c r="C2050" i="7"/>
  <c r="B2050" i="7"/>
  <c r="A2050" i="7"/>
  <c r="F2049" i="7"/>
  <c r="E2049" i="7"/>
  <c r="D2049" i="7"/>
  <c r="C2049" i="7"/>
  <c r="B2049" i="7"/>
  <c r="A2049" i="7"/>
  <c r="F2048" i="7"/>
  <c r="E2048" i="7"/>
  <c r="D2048" i="7"/>
  <c r="C2048" i="7"/>
  <c r="B2048" i="7"/>
  <c r="A2048" i="7"/>
  <c r="F2047" i="7"/>
  <c r="E2047" i="7"/>
  <c r="D2047" i="7"/>
  <c r="C2047" i="7"/>
  <c r="B2047" i="7"/>
  <c r="A2047" i="7"/>
  <c r="F2046" i="7"/>
  <c r="E2046" i="7"/>
  <c r="D2046" i="7"/>
  <c r="C2046" i="7"/>
  <c r="B2046" i="7"/>
  <c r="A2046" i="7"/>
  <c r="F2045" i="7"/>
  <c r="E2045" i="7"/>
  <c r="D2045" i="7"/>
  <c r="C2045" i="7"/>
  <c r="B2045" i="7"/>
  <c r="A2045" i="7"/>
  <c r="F2044" i="7"/>
  <c r="E2044" i="7"/>
  <c r="D2044" i="7"/>
  <c r="C2044" i="7"/>
  <c r="B2044" i="7"/>
  <c r="A2044" i="7"/>
  <c r="F2043" i="7"/>
  <c r="E2043" i="7"/>
  <c r="D2043" i="7"/>
  <c r="C2043" i="7"/>
  <c r="B2043" i="7"/>
  <c r="A2043" i="7"/>
  <c r="F2042" i="7"/>
  <c r="E2042" i="7"/>
  <c r="D2042" i="7"/>
  <c r="C2042" i="7"/>
  <c r="B2042" i="7"/>
  <c r="A2042" i="7"/>
  <c r="F2041" i="7"/>
  <c r="E2041" i="7"/>
  <c r="D2041" i="7"/>
  <c r="C2041" i="7"/>
  <c r="B2041" i="7"/>
  <c r="A2041" i="7"/>
  <c r="F2040" i="7"/>
  <c r="E2040" i="7"/>
  <c r="D2040" i="7"/>
  <c r="C2040" i="7"/>
  <c r="B2040" i="7"/>
  <c r="A2040" i="7"/>
  <c r="F2039" i="7"/>
  <c r="E2039" i="7"/>
  <c r="D2039" i="7"/>
  <c r="C2039" i="7"/>
  <c r="B2039" i="7"/>
  <c r="A2039" i="7"/>
  <c r="F2038" i="7"/>
  <c r="E2038" i="7"/>
  <c r="D2038" i="7"/>
  <c r="C2038" i="7"/>
  <c r="B2038" i="7"/>
  <c r="A2038" i="7"/>
  <c r="F2037" i="7"/>
  <c r="E2037" i="7"/>
  <c r="D2037" i="7"/>
  <c r="C2037" i="7"/>
  <c r="B2037" i="7"/>
  <c r="A2037" i="7"/>
  <c r="F2036" i="7"/>
  <c r="E2036" i="7"/>
  <c r="D2036" i="7"/>
  <c r="C2036" i="7"/>
  <c r="B2036" i="7"/>
  <c r="A2036" i="7"/>
  <c r="F2035" i="7"/>
  <c r="E2035" i="7"/>
  <c r="D2035" i="7"/>
  <c r="C2035" i="7"/>
  <c r="B2035" i="7"/>
  <c r="A2035" i="7"/>
  <c r="F2034" i="7"/>
  <c r="E2034" i="7"/>
  <c r="D2034" i="7"/>
  <c r="C2034" i="7"/>
  <c r="B2034" i="7"/>
  <c r="A2034" i="7"/>
  <c r="F2033" i="7"/>
  <c r="E2033" i="7"/>
  <c r="D2033" i="7"/>
  <c r="C2033" i="7"/>
  <c r="B2033" i="7"/>
  <c r="A2033" i="7"/>
  <c r="F2032" i="7"/>
  <c r="E2032" i="7"/>
  <c r="D2032" i="7"/>
  <c r="C2032" i="7"/>
  <c r="B2032" i="7"/>
  <c r="A2032" i="7"/>
  <c r="F2031" i="7"/>
  <c r="E2031" i="7"/>
  <c r="D2031" i="7"/>
  <c r="C2031" i="7"/>
  <c r="B2031" i="7"/>
  <c r="A2031" i="7"/>
  <c r="F2030" i="7"/>
  <c r="E2030" i="7"/>
  <c r="D2030" i="7"/>
  <c r="C2030" i="7"/>
  <c r="B2030" i="7"/>
  <c r="A2030" i="7"/>
  <c r="F2029" i="7"/>
  <c r="E2029" i="7"/>
  <c r="D2029" i="7"/>
  <c r="C2029" i="7"/>
  <c r="B2029" i="7"/>
  <c r="A2029" i="7"/>
  <c r="F2028" i="7"/>
  <c r="E2028" i="7"/>
  <c r="D2028" i="7"/>
  <c r="C2028" i="7"/>
  <c r="B2028" i="7"/>
  <c r="A2028" i="7"/>
  <c r="F2027" i="7"/>
  <c r="E2027" i="7"/>
  <c r="D2027" i="7"/>
  <c r="C2027" i="7"/>
  <c r="B2027" i="7"/>
  <c r="A2027" i="7"/>
  <c r="F2026" i="7"/>
  <c r="E2026" i="7"/>
  <c r="D2026" i="7"/>
  <c r="C2026" i="7"/>
  <c r="B2026" i="7"/>
  <c r="A2026" i="7"/>
  <c r="F2025" i="7"/>
  <c r="E2025" i="7"/>
  <c r="D2025" i="7"/>
  <c r="C2025" i="7"/>
  <c r="B2025" i="7"/>
  <c r="A2025" i="7"/>
  <c r="F2024" i="7"/>
  <c r="E2024" i="7"/>
  <c r="D2024" i="7"/>
  <c r="C2024" i="7"/>
  <c r="B2024" i="7"/>
  <c r="A2024" i="7"/>
  <c r="F2023" i="7"/>
  <c r="E2023" i="7"/>
  <c r="D2023" i="7"/>
  <c r="C2023" i="7"/>
  <c r="B2023" i="7"/>
  <c r="A2023" i="7"/>
  <c r="F2022" i="7"/>
  <c r="E2022" i="7"/>
  <c r="D2022" i="7"/>
  <c r="C2022" i="7"/>
  <c r="B2022" i="7"/>
  <c r="A2022" i="7"/>
  <c r="F2021" i="7"/>
  <c r="E2021" i="7"/>
  <c r="D2021" i="7"/>
  <c r="C2021" i="7"/>
  <c r="B2021" i="7"/>
  <c r="A2021" i="7"/>
  <c r="F2020" i="7"/>
  <c r="E2020" i="7"/>
  <c r="D2020" i="7"/>
  <c r="C2020" i="7"/>
  <c r="B2020" i="7"/>
  <c r="A2020" i="7"/>
  <c r="F2019" i="7"/>
  <c r="E2019" i="7"/>
  <c r="D2019" i="7"/>
  <c r="C2019" i="7"/>
  <c r="B2019" i="7"/>
  <c r="A2019" i="7"/>
  <c r="F2018" i="7"/>
  <c r="E2018" i="7"/>
  <c r="D2018" i="7"/>
  <c r="C2018" i="7"/>
  <c r="B2018" i="7"/>
  <c r="A2018" i="7"/>
  <c r="F2017" i="7"/>
  <c r="E2017" i="7"/>
  <c r="D2017" i="7"/>
  <c r="C2017" i="7"/>
  <c r="B2017" i="7"/>
  <c r="A2017" i="7"/>
  <c r="F2016" i="7"/>
  <c r="E2016" i="7"/>
  <c r="D2016" i="7"/>
  <c r="C2016" i="7"/>
  <c r="B2016" i="7"/>
  <c r="A2016" i="7"/>
  <c r="F2015" i="7"/>
  <c r="E2015" i="7"/>
  <c r="D2015" i="7"/>
  <c r="C2015" i="7"/>
  <c r="B2015" i="7"/>
  <c r="A2015" i="7"/>
  <c r="F2014" i="7"/>
  <c r="E2014" i="7"/>
  <c r="D2014" i="7"/>
  <c r="C2014" i="7"/>
  <c r="B2014" i="7"/>
  <c r="A2014" i="7"/>
  <c r="F2013" i="7"/>
  <c r="E2013" i="7"/>
  <c r="D2013" i="7"/>
  <c r="C2013" i="7"/>
  <c r="B2013" i="7"/>
  <c r="A2013" i="7"/>
  <c r="F2012" i="7"/>
  <c r="E2012" i="7"/>
  <c r="D2012" i="7"/>
  <c r="C2012" i="7"/>
  <c r="B2012" i="7"/>
  <c r="A2012" i="7"/>
  <c r="F2011" i="7"/>
  <c r="E2011" i="7"/>
  <c r="D2011" i="7"/>
  <c r="C2011" i="7"/>
  <c r="B2011" i="7"/>
  <c r="A2011" i="7"/>
  <c r="F2010" i="7"/>
  <c r="E2010" i="7"/>
  <c r="D2010" i="7"/>
  <c r="C2010" i="7"/>
  <c r="B2010" i="7"/>
  <c r="A2010" i="7"/>
  <c r="F2009" i="7"/>
  <c r="E2009" i="7"/>
  <c r="D2009" i="7"/>
  <c r="C2009" i="7"/>
  <c r="B2009" i="7"/>
  <c r="A2009" i="7"/>
  <c r="F2008" i="7"/>
  <c r="E2008" i="7"/>
  <c r="D2008" i="7"/>
  <c r="C2008" i="7"/>
  <c r="B2008" i="7"/>
  <c r="A2008" i="7"/>
  <c r="F2007" i="7"/>
  <c r="E2007" i="7"/>
  <c r="D2007" i="7"/>
  <c r="C2007" i="7"/>
  <c r="B2007" i="7"/>
  <c r="A2007" i="7"/>
  <c r="F2006" i="7"/>
  <c r="E2006" i="7"/>
  <c r="D2006" i="7"/>
  <c r="C2006" i="7"/>
  <c r="B2006" i="7"/>
  <c r="A2006" i="7"/>
  <c r="F2005" i="7"/>
  <c r="E2005" i="7"/>
  <c r="D2005" i="7"/>
  <c r="C2005" i="7"/>
  <c r="B2005" i="7"/>
  <c r="A2005" i="7"/>
  <c r="F2004" i="7"/>
  <c r="E2004" i="7"/>
  <c r="D2004" i="7"/>
  <c r="C2004" i="7"/>
  <c r="B2004" i="7"/>
  <c r="A2004" i="7"/>
  <c r="F2003" i="7"/>
  <c r="E2003" i="7"/>
  <c r="D2003" i="7"/>
  <c r="C2003" i="7"/>
  <c r="B2003" i="7"/>
  <c r="A2003" i="7"/>
  <c r="F2002" i="7"/>
  <c r="E2002" i="7"/>
  <c r="D2002" i="7"/>
  <c r="C2002" i="7"/>
  <c r="B2002" i="7"/>
  <c r="A2002" i="7"/>
  <c r="F2001" i="7"/>
  <c r="E2001" i="7"/>
  <c r="D2001" i="7"/>
  <c r="C2001" i="7"/>
  <c r="B2001" i="7"/>
  <c r="A2001" i="7"/>
  <c r="F2000" i="7"/>
  <c r="E2000" i="7"/>
  <c r="D2000" i="7"/>
  <c r="C2000" i="7"/>
  <c r="B2000" i="7"/>
  <c r="A2000" i="7"/>
  <c r="F1999" i="7"/>
  <c r="E1999" i="7"/>
  <c r="D1999" i="7"/>
  <c r="C1999" i="7"/>
  <c r="B1999" i="7"/>
  <c r="A1999" i="7"/>
  <c r="F1998" i="7"/>
  <c r="E1998" i="7"/>
  <c r="D1998" i="7"/>
  <c r="C1998" i="7"/>
  <c r="B1998" i="7"/>
  <c r="A1998" i="7"/>
  <c r="F1997" i="7"/>
  <c r="E1997" i="7"/>
  <c r="D1997" i="7"/>
  <c r="C1997" i="7"/>
  <c r="B1997" i="7"/>
  <c r="A1997" i="7"/>
  <c r="F1996" i="7"/>
  <c r="E1996" i="7"/>
  <c r="D1996" i="7"/>
  <c r="C1996" i="7"/>
  <c r="B1996" i="7"/>
  <c r="A1996" i="7"/>
  <c r="F1995" i="7"/>
  <c r="E1995" i="7"/>
  <c r="D1995" i="7"/>
  <c r="C1995" i="7"/>
  <c r="B1995" i="7"/>
  <c r="A1995" i="7"/>
  <c r="F1994" i="7"/>
  <c r="E1994" i="7"/>
  <c r="D1994" i="7"/>
  <c r="C1994" i="7"/>
  <c r="B1994" i="7"/>
  <c r="A1994" i="7"/>
  <c r="F1993" i="7"/>
  <c r="E1993" i="7"/>
  <c r="D1993" i="7"/>
  <c r="C1993" i="7"/>
  <c r="B1993" i="7"/>
  <c r="A1993" i="7"/>
  <c r="F1992" i="7"/>
  <c r="E1992" i="7"/>
  <c r="D1992" i="7"/>
  <c r="C1992" i="7"/>
  <c r="B1992" i="7"/>
  <c r="A1992" i="7"/>
  <c r="F1991" i="7"/>
  <c r="E1991" i="7"/>
  <c r="D1991" i="7"/>
  <c r="C1991" i="7"/>
  <c r="B1991" i="7"/>
  <c r="A1991" i="7"/>
  <c r="F1990" i="7"/>
  <c r="E1990" i="7"/>
  <c r="D1990" i="7"/>
  <c r="C1990" i="7"/>
  <c r="B1990" i="7"/>
  <c r="A1990" i="7"/>
  <c r="F1989" i="7"/>
  <c r="E1989" i="7"/>
  <c r="D1989" i="7"/>
  <c r="C1989" i="7"/>
  <c r="B1989" i="7"/>
  <c r="A1989" i="7"/>
  <c r="F1988" i="7"/>
  <c r="E1988" i="7"/>
  <c r="D1988" i="7"/>
  <c r="C1988" i="7"/>
  <c r="B1988" i="7"/>
  <c r="A1988" i="7"/>
  <c r="F1987" i="7"/>
  <c r="E1987" i="7"/>
  <c r="D1987" i="7"/>
  <c r="C1987" i="7"/>
  <c r="B1987" i="7"/>
  <c r="A1987" i="7"/>
  <c r="F1986" i="7"/>
  <c r="E1986" i="7"/>
  <c r="D1986" i="7"/>
  <c r="C1986" i="7"/>
  <c r="B1986" i="7"/>
  <c r="A1986" i="7"/>
  <c r="F1985" i="7"/>
  <c r="E1985" i="7"/>
  <c r="D1985" i="7"/>
  <c r="C1985" i="7"/>
  <c r="B1985" i="7"/>
  <c r="A1985" i="7"/>
  <c r="F1984" i="7"/>
  <c r="E1984" i="7"/>
  <c r="D1984" i="7"/>
  <c r="C1984" i="7"/>
  <c r="B1984" i="7"/>
  <c r="A1984" i="7"/>
  <c r="F1983" i="7"/>
  <c r="E1983" i="7"/>
  <c r="D1983" i="7"/>
  <c r="C1983" i="7"/>
  <c r="B1983" i="7"/>
  <c r="A1983" i="7"/>
  <c r="F1982" i="7"/>
  <c r="E1982" i="7"/>
  <c r="D1982" i="7"/>
  <c r="C1982" i="7"/>
  <c r="B1982" i="7"/>
  <c r="A1982" i="7"/>
  <c r="F1981" i="7"/>
  <c r="E1981" i="7"/>
  <c r="D1981" i="7"/>
  <c r="C1981" i="7"/>
  <c r="B1981" i="7"/>
  <c r="A1981" i="7"/>
  <c r="F1980" i="7"/>
  <c r="E1980" i="7"/>
  <c r="D1980" i="7"/>
  <c r="C1980" i="7"/>
  <c r="B1980" i="7"/>
  <c r="A1980" i="7"/>
  <c r="F1979" i="7"/>
  <c r="E1979" i="7"/>
  <c r="D1979" i="7"/>
  <c r="C1979" i="7"/>
  <c r="B1979" i="7"/>
  <c r="A1979" i="7"/>
  <c r="F1978" i="7"/>
  <c r="E1978" i="7"/>
  <c r="D1978" i="7"/>
  <c r="C1978" i="7"/>
  <c r="B1978" i="7"/>
  <c r="A1978" i="7"/>
  <c r="F1977" i="7"/>
  <c r="E1977" i="7"/>
  <c r="D1977" i="7"/>
  <c r="C1977" i="7"/>
  <c r="B1977" i="7"/>
  <c r="A1977" i="7"/>
  <c r="F1976" i="7"/>
  <c r="E1976" i="7"/>
  <c r="D1976" i="7"/>
  <c r="C1976" i="7"/>
  <c r="B1976" i="7"/>
  <c r="A1976" i="7"/>
  <c r="F1975" i="7"/>
  <c r="E1975" i="7"/>
  <c r="D1975" i="7"/>
  <c r="C1975" i="7"/>
  <c r="B1975" i="7"/>
  <c r="A1975" i="7"/>
  <c r="F1974" i="7"/>
  <c r="E1974" i="7"/>
  <c r="D1974" i="7"/>
  <c r="C1974" i="7"/>
  <c r="B1974" i="7"/>
  <c r="A1974" i="7"/>
  <c r="F1973" i="7"/>
  <c r="E1973" i="7"/>
  <c r="D1973" i="7"/>
  <c r="C1973" i="7"/>
  <c r="B1973" i="7"/>
  <c r="A1973" i="7"/>
  <c r="F1972" i="7"/>
  <c r="E1972" i="7"/>
  <c r="D1972" i="7"/>
  <c r="C1972" i="7"/>
  <c r="B1972" i="7"/>
  <c r="A1972" i="7"/>
  <c r="F1971" i="7"/>
  <c r="E1971" i="7"/>
  <c r="D1971" i="7"/>
  <c r="C1971" i="7"/>
  <c r="B1971" i="7"/>
  <c r="A1971" i="7"/>
  <c r="F1970" i="7"/>
  <c r="E1970" i="7"/>
  <c r="D1970" i="7"/>
  <c r="C1970" i="7"/>
  <c r="B1970" i="7"/>
  <c r="A1970" i="7"/>
  <c r="F1969" i="7"/>
  <c r="E1969" i="7"/>
  <c r="D1969" i="7"/>
  <c r="C1969" i="7"/>
  <c r="B1969" i="7"/>
  <c r="A1969" i="7"/>
  <c r="F1968" i="7"/>
  <c r="E1968" i="7"/>
  <c r="D1968" i="7"/>
  <c r="C1968" i="7"/>
  <c r="B1968" i="7"/>
  <c r="A1968" i="7"/>
  <c r="F1967" i="7"/>
  <c r="E1967" i="7"/>
  <c r="D1967" i="7"/>
  <c r="C1967" i="7"/>
  <c r="B1967" i="7"/>
  <c r="A1967" i="7"/>
  <c r="F1966" i="7"/>
  <c r="E1966" i="7"/>
  <c r="D1966" i="7"/>
  <c r="C1966" i="7"/>
  <c r="B1966" i="7"/>
  <c r="A1966" i="7"/>
  <c r="F1965" i="7"/>
  <c r="E1965" i="7"/>
  <c r="D1965" i="7"/>
  <c r="C1965" i="7"/>
  <c r="B1965" i="7"/>
  <c r="A1965" i="7"/>
  <c r="F1964" i="7"/>
  <c r="E1964" i="7"/>
  <c r="D1964" i="7"/>
  <c r="C1964" i="7"/>
  <c r="B1964" i="7"/>
  <c r="A1964" i="7"/>
  <c r="F1963" i="7"/>
  <c r="E1963" i="7"/>
  <c r="D1963" i="7"/>
  <c r="C1963" i="7"/>
  <c r="B1963" i="7"/>
  <c r="A1963" i="7"/>
  <c r="F1962" i="7"/>
  <c r="E1962" i="7"/>
  <c r="D1962" i="7"/>
  <c r="C1962" i="7"/>
  <c r="B1962" i="7"/>
  <c r="A1962" i="7"/>
  <c r="F1961" i="7"/>
  <c r="E1961" i="7"/>
  <c r="D1961" i="7"/>
  <c r="C1961" i="7"/>
  <c r="B1961" i="7"/>
  <c r="A1961" i="7"/>
  <c r="F1960" i="7"/>
  <c r="E1960" i="7"/>
  <c r="D1960" i="7"/>
  <c r="C1960" i="7"/>
  <c r="B1960" i="7"/>
  <c r="A1960" i="7"/>
  <c r="F1959" i="7"/>
  <c r="E1959" i="7"/>
  <c r="D1959" i="7"/>
  <c r="C1959" i="7"/>
  <c r="B1959" i="7"/>
  <c r="A1959" i="7"/>
  <c r="F1958" i="7"/>
  <c r="E1958" i="7"/>
  <c r="D1958" i="7"/>
  <c r="C1958" i="7"/>
  <c r="B1958" i="7"/>
  <c r="A1958" i="7"/>
  <c r="F1957" i="7"/>
  <c r="E1957" i="7"/>
  <c r="D1957" i="7"/>
  <c r="C1957" i="7"/>
  <c r="B1957" i="7"/>
  <c r="A1957" i="7"/>
  <c r="F1956" i="7"/>
  <c r="E1956" i="7"/>
  <c r="D1956" i="7"/>
  <c r="C1956" i="7"/>
  <c r="B1956" i="7"/>
  <c r="A1956" i="7"/>
  <c r="F1955" i="7"/>
  <c r="E1955" i="7"/>
  <c r="D1955" i="7"/>
  <c r="C1955" i="7"/>
  <c r="B1955" i="7"/>
  <c r="A1955" i="7"/>
  <c r="F1954" i="7"/>
  <c r="E1954" i="7"/>
  <c r="D1954" i="7"/>
  <c r="C1954" i="7"/>
  <c r="B1954" i="7"/>
  <c r="A1954" i="7"/>
  <c r="F1953" i="7"/>
  <c r="E1953" i="7"/>
  <c r="D1953" i="7"/>
  <c r="C1953" i="7"/>
  <c r="B1953" i="7"/>
  <c r="A1953" i="7"/>
  <c r="F1952" i="7"/>
  <c r="E1952" i="7"/>
  <c r="D1952" i="7"/>
  <c r="C1952" i="7"/>
  <c r="B1952" i="7"/>
  <c r="A1952" i="7"/>
  <c r="F1951" i="7"/>
  <c r="E1951" i="7"/>
  <c r="D1951" i="7"/>
  <c r="C1951" i="7"/>
  <c r="B1951" i="7"/>
  <c r="A1951" i="7"/>
  <c r="F1950" i="7"/>
  <c r="E1950" i="7"/>
  <c r="D1950" i="7"/>
  <c r="C1950" i="7"/>
  <c r="B1950" i="7"/>
  <c r="A1950" i="7"/>
  <c r="F1949" i="7"/>
  <c r="E1949" i="7"/>
  <c r="D1949" i="7"/>
  <c r="C1949" i="7"/>
  <c r="B1949" i="7"/>
  <c r="A1949" i="7"/>
  <c r="F1948" i="7"/>
  <c r="E1948" i="7"/>
  <c r="D1948" i="7"/>
  <c r="C1948" i="7"/>
  <c r="B1948" i="7"/>
  <c r="A1948" i="7"/>
  <c r="F1947" i="7"/>
  <c r="E1947" i="7"/>
  <c r="D1947" i="7"/>
  <c r="C1947" i="7"/>
  <c r="B1947" i="7"/>
  <c r="A1947" i="7"/>
  <c r="F1946" i="7"/>
  <c r="E1946" i="7"/>
  <c r="D1946" i="7"/>
  <c r="C1946" i="7"/>
  <c r="B1946" i="7"/>
  <c r="A1946" i="7"/>
  <c r="F1945" i="7"/>
  <c r="E1945" i="7"/>
  <c r="D1945" i="7"/>
  <c r="C1945" i="7"/>
  <c r="B1945" i="7"/>
  <c r="A1945" i="7"/>
  <c r="F1944" i="7"/>
  <c r="E1944" i="7"/>
  <c r="D1944" i="7"/>
  <c r="C1944" i="7"/>
  <c r="B1944" i="7"/>
  <c r="A1944" i="7"/>
  <c r="F1943" i="7"/>
  <c r="E1943" i="7"/>
  <c r="D1943" i="7"/>
  <c r="C1943" i="7"/>
  <c r="B1943" i="7"/>
  <c r="A1943" i="7"/>
  <c r="F1942" i="7"/>
  <c r="E1942" i="7"/>
  <c r="D1942" i="7"/>
  <c r="C1942" i="7"/>
  <c r="B1942" i="7"/>
  <c r="A1942" i="7"/>
  <c r="F1941" i="7"/>
  <c r="E1941" i="7"/>
  <c r="D1941" i="7"/>
  <c r="C1941" i="7"/>
  <c r="B1941" i="7"/>
  <c r="A1941" i="7"/>
  <c r="F1940" i="7"/>
  <c r="E1940" i="7"/>
  <c r="D1940" i="7"/>
  <c r="C1940" i="7"/>
  <c r="B1940" i="7"/>
  <c r="A1940" i="7"/>
  <c r="F1939" i="7"/>
  <c r="E1939" i="7"/>
  <c r="D1939" i="7"/>
  <c r="C1939" i="7"/>
  <c r="B1939" i="7"/>
  <c r="A1939" i="7"/>
  <c r="F1938" i="7"/>
  <c r="E1938" i="7"/>
  <c r="D1938" i="7"/>
  <c r="C1938" i="7"/>
  <c r="B1938" i="7"/>
  <c r="A1938" i="7"/>
  <c r="F1937" i="7"/>
  <c r="E1937" i="7"/>
  <c r="D1937" i="7"/>
  <c r="C1937" i="7"/>
  <c r="B1937" i="7"/>
  <c r="A1937" i="7"/>
  <c r="F1936" i="7"/>
  <c r="E1936" i="7"/>
  <c r="D1936" i="7"/>
  <c r="C1936" i="7"/>
  <c r="B1936" i="7"/>
  <c r="A1936" i="7"/>
  <c r="F1935" i="7"/>
  <c r="E1935" i="7"/>
  <c r="D1935" i="7"/>
  <c r="C1935" i="7"/>
  <c r="B1935" i="7"/>
  <c r="A1935" i="7"/>
  <c r="F1934" i="7"/>
  <c r="E1934" i="7"/>
  <c r="D1934" i="7"/>
  <c r="C1934" i="7"/>
  <c r="B1934" i="7"/>
  <c r="A1934" i="7"/>
  <c r="F1933" i="7"/>
  <c r="E1933" i="7"/>
  <c r="D1933" i="7"/>
  <c r="C1933" i="7"/>
  <c r="B1933" i="7"/>
  <c r="A1933" i="7"/>
  <c r="F1932" i="7"/>
  <c r="E1932" i="7"/>
  <c r="D1932" i="7"/>
  <c r="C1932" i="7"/>
  <c r="B1932" i="7"/>
  <c r="A1932" i="7"/>
  <c r="F1931" i="7"/>
  <c r="E1931" i="7"/>
  <c r="D1931" i="7"/>
  <c r="C1931" i="7"/>
  <c r="B1931" i="7"/>
  <c r="A1931" i="7"/>
  <c r="F1930" i="7"/>
  <c r="E1930" i="7"/>
  <c r="D1930" i="7"/>
  <c r="C1930" i="7"/>
  <c r="B1930" i="7"/>
  <c r="A1930" i="7"/>
  <c r="F1929" i="7"/>
  <c r="E1929" i="7"/>
  <c r="D1929" i="7"/>
  <c r="C1929" i="7"/>
  <c r="B1929" i="7"/>
  <c r="A1929" i="7"/>
  <c r="F1928" i="7"/>
  <c r="E1928" i="7"/>
  <c r="D1928" i="7"/>
  <c r="C1928" i="7"/>
  <c r="B1928" i="7"/>
  <c r="A1928" i="7"/>
  <c r="F1927" i="7"/>
  <c r="E1927" i="7"/>
  <c r="D1927" i="7"/>
  <c r="C1927" i="7"/>
  <c r="B1927" i="7"/>
  <c r="A1927" i="7"/>
  <c r="F1926" i="7"/>
  <c r="E1926" i="7"/>
  <c r="D1926" i="7"/>
  <c r="C1926" i="7"/>
  <c r="B1926" i="7"/>
  <c r="A1926" i="7"/>
  <c r="F1925" i="7"/>
  <c r="E1925" i="7"/>
  <c r="D1925" i="7"/>
  <c r="C1925" i="7"/>
  <c r="B1925" i="7"/>
  <c r="A1925" i="7"/>
  <c r="F1924" i="7"/>
  <c r="E1924" i="7"/>
  <c r="D1924" i="7"/>
  <c r="C1924" i="7"/>
  <c r="B1924" i="7"/>
  <c r="A1924" i="7"/>
  <c r="F1923" i="7"/>
  <c r="E1923" i="7"/>
  <c r="D1923" i="7"/>
  <c r="C1923" i="7"/>
  <c r="B1923" i="7"/>
  <c r="A1923" i="7"/>
  <c r="F1922" i="7"/>
  <c r="E1922" i="7"/>
  <c r="D1922" i="7"/>
  <c r="C1922" i="7"/>
  <c r="B1922" i="7"/>
  <c r="A1922" i="7"/>
  <c r="F1921" i="7"/>
  <c r="E1921" i="7"/>
  <c r="D1921" i="7"/>
  <c r="C1921" i="7"/>
  <c r="B1921" i="7"/>
  <c r="A1921" i="7"/>
  <c r="F1920" i="7"/>
  <c r="E1920" i="7"/>
  <c r="D1920" i="7"/>
  <c r="C1920" i="7"/>
  <c r="B1920" i="7"/>
  <c r="A1920" i="7"/>
  <c r="F1919" i="7"/>
  <c r="E1919" i="7"/>
  <c r="D1919" i="7"/>
  <c r="C1919" i="7"/>
  <c r="B1919" i="7"/>
  <c r="A1919" i="7"/>
  <c r="F1918" i="7"/>
  <c r="E1918" i="7"/>
  <c r="D1918" i="7"/>
  <c r="C1918" i="7"/>
  <c r="B1918" i="7"/>
  <c r="A1918" i="7"/>
  <c r="F1917" i="7"/>
  <c r="E1917" i="7"/>
  <c r="D1917" i="7"/>
  <c r="C1917" i="7"/>
  <c r="B1917" i="7"/>
  <c r="A1917" i="7"/>
  <c r="F1916" i="7"/>
  <c r="E1916" i="7"/>
  <c r="D1916" i="7"/>
  <c r="C1916" i="7"/>
  <c r="B1916" i="7"/>
  <c r="A1916" i="7"/>
  <c r="F1915" i="7"/>
  <c r="E1915" i="7"/>
  <c r="D1915" i="7"/>
  <c r="C1915" i="7"/>
  <c r="B1915" i="7"/>
  <c r="A1915" i="7"/>
  <c r="F1914" i="7"/>
  <c r="E1914" i="7"/>
  <c r="D1914" i="7"/>
  <c r="C1914" i="7"/>
  <c r="B1914" i="7"/>
  <c r="A1914" i="7"/>
  <c r="F1913" i="7"/>
  <c r="E1913" i="7"/>
  <c r="D1913" i="7"/>
  <c r="C1913" i="7"/>
  <c r="B1913" i="7"/>
  <c r="A1913" i="7"/>
  <c r="F1912" i="7"/>
  <c r="E1912" i="7"/>
  <c r="D1912" i="7"/>
  <c r="C1912" i="7"/>
  <c r="B1912" i="7"/>
  <c r="A1912" i="7"/>
  <c r="F1911" i="7"/>
  <c r="E1911" i="7"/>
  <c r="D1911" i="7"/>
  <c r="C1911" i="7"/>
  <c r="B1911" i="7"/>
  <c r="A1911" i="7"/>
  <c r="F1910" i="7"/>
  <c r="E1910" i="7"/>
  <c r="D1910" i="7"/>
  <c r="C1910" i="7"/>
  <c r="B1910" i="7"/>
  <c r="A1910" i="7"/>
  <c r="F1909" i="7"/>
  <c r="E1909" i="7"/>
  <c r="D1909" i="7"/>
  <c r="C1909" i="7"/>
  <c r="B1909" i="7"/>
  <c r="A1909" i="7"/>
  <c r="F1908" i="7"/>
  <c r="E1908" i="7"/>
  <c r="D1908" i="7"/>
  <c r="C1908" i="7"/>
  <c r="B1908" i="7"/>
  <c r="A1908" i="7"/>
  <c r="F1907" i="7"/>
  <c r="E1907" i="7"/>
  <c r="D1907" i="7"/>
  <c r="C1907" i="7"/>
  <c r="B1907" i="7"/>
  <c r="A1907" i="7"/>
  <c r="F1906" i="7"/>
  <c r="E1906" i="7"/>
  <c r="D1906" i="7"/>
  <c r="C1906" i="7"/>
  <c r="B1906" i="7"/>
  <c r="A1906" i="7"/>
  <c r="F1905" i="7"/>
  <c r="E1905" i="7"/>
  <c r="D1905" i="7"/>
  <c r="C1905" i="7"/>
  <c r="B1905" i="7"/>
  <c r="A1905" i="7"/>
  <c r="F1904" i="7"/>
  <c r="E1904" i="7"/>
  <c r="D1904" i="7"/>
  <c r="C1904" i="7"/>
  <c r="B1904" i="7"/>
  <c r="A1904" i="7"/>
  <c r="F1903" i="7"/>
  <c r="E1903" i="7"/>
  <c r="D1903" i="7"/>
  <c r="C1903" i="7"/>
  <c r="B1903" i="7"/>
  <c r="A1903" i="7"/>
  <c r="F1902" i="7"/>
  <c r="E1902" i="7"/>
  <c r="D1902" i="7"/>
  <c r="C1902" i="7"/>
  <c r="B1902" i="7"/>
  <c r="A1902" i="7"/>
  <c r="F1901" i="7"/>
  <c r="E1901" i="7"/>
  <c r="D1901" i="7"/>
  <c r="C1901" i="7"/>
  <c r="B1901" i="7"/>
  <c r="A1901" i="7"/>
  <c r="F1900" i="7"/>
  <c r="E1900" i="7"/>
  <c r="D1900" i="7"/>
  <c r="C1900" i="7"/>
  <c r="B1900" i="7"/>
  <c r="A1900" i="7"/>
  <c r="F1899" i="7"/>
  <c r="E1899" i="7"/>
  <c r="D1899" i="7"/>
  <c r="C1899" i="7"/>
  <c r="B1899" i="7"/>
  <c r="A1899" i="7"/>
  <c r="F1898" i="7"/>
  <c r="E1898" i="7"/>
  <c r="D1898" i="7"/>
  <c r="C1898" i="7"/>
  <c r="B1898" i="7"/>
  <c r="A1898" i="7"/>
  <c r="F1897" i="7"/>
  <c r="E1897" i="7"/>
  <c r="D1897" i="7"/>
  <c r="C1897" i="7"/>
  <c r="B1897" i="7"/>
  <c r="A1897" i="7"/>
  <c r="F1896" i="7"/>
  <c r="E1896" i="7"/>
  <c r="D1896" i="7"/>
  <c r="C1896" i="7"/>
  <c r="B1896" i="7"/>
  <c r="A1896" i="7"/>
  <c r="F1895" i="7"/>
  <c r="E1895" i="7"/>
  <c r="D1895" i="7"/>
  <c r="C1895" i="7"/>
  <c r="B1895" i="7"/>
  <c r="A1895" i="7"/>
  <c r="F1894" i="7"/>
  <c r="E1894" i="7"/>
  <c r="D1894" i="7"/>
  <c r="C1894" i="7"/>
  <c r="B1894" i="7"/>
  <c r="A1894" i="7"/>
  <c r="F1893" i="7"/>
  <c r="E1893" i="7"/>
  <c r="D1893" i="7"/>
  <c r="C1893" i="7"/>
  <c r="B1893" i="7"/>
  <c r="A1893" i="7"/>
  <c r="F1892" i="7"/>
  <c r="E1892" i="7"/>
  <c r="D1892" i="7"/>
  <c r="C1892" i="7"/>
  <c r="B1892" i="7"/>
  <c r="A1892" i="7"/>
  <c r="F1891" i="7"/>
  <c r="E1891" i="7"/>
  <c r="D1891" i="7"/>
  <c r="C1891" i="7"/>
  <c r="B1891" i="7"/>
  <c r="A1891" i="7"/>
  <c r="F1890" i="7"/>
  <c r="E1890" i="7"/>
  <c r="D1890" i="7"/>
  <c r="C1890" i="7"/>
  <c r="B1890" i="7"/>
  <c r="A1890" i="7"/>
  <c r="F1889" i="7"/>
  <c r="E1889" i="7"/>
  <c r="D1889" i="7"/>
  <c r="C1889" i="7"/>
  <c r="B1889" i="7"/>
  <c r="A1889" i="7"/>
  <c r="F1888" i="7"/>
  <c r="E1888" i="7"/>
  <c r="D1888" i="7"/>
  <c r="C1888" i="7"/>
  <c r="B1888" i="7"/>
  <c r="A1888" i="7"/>
  <c r="F1887" i="7"/>
  <c r="E1887" i="7"/>
  <c r="D1887" i="7"/>
  <c r="C1887" i="7"/>
  <c r="B1887" i="7"/>
  <c r="A1887" i="7"/>
  <c r="F1886" i="7"/>
  <c r="E1886" i="7"/>
  <c r="D1886" i="7"/>
  <c r="C1886" i="7"/>
  <c r="B1886" i="7"/>
  <c r="A1886" i="7"/>
  <c r="F1885" i="7"/>
  <c r="E1885" i="7"/>
  <c r="D1885" i="7"/>
  <c r="C1885" i="7"/>
  <c r="B1885" i="7"/>
  <c r="A1885" i="7"/>
  <c r="F1884" i="7"/>
  <c r="E1884" i="7"/>
  <c r="D1884" i="7"/>
  <c r="C1884" i="7"/>
  <c r="B1884" i="7"/>
  <c r="A1884" i="7"/>
  <c r="F1883" i="7"/>
  <c r="E1883" i="7"/>
  <c r="D1883" i="7"/>
  <c r="C1883" i="7"/>
  <c r="B1883" i="7"/>
  <c r="A1883" i="7"/>
  <c r="F1882" i="7"/>
  <c r="E1882" i="7"/>
  <c r="D1882" i="7"/>
  <c r="C1882" i="7"/>
  <c r="B1882" i="7"/>
  <c r="A1882" i="7"/>
  <c r="F1881" i="7"/>
  <c r="E1881" i="7"/>
  <c r="D1881" i="7"/>
  <c r="C1881" i="7"/>
  <c r="B1881" i="7"/>
  <c r="A1881" i="7"/>
  <c r="F1880" i="7"/>
  <c r="E1880" i="7"/>
  <c r="D1880" i="7"/>
  <c r="C1880" i="7"/>
  <c r="B1880" i="7"/>
  <c r="A1880" i="7"/>
  <c r="F1879" i="7"/>
  <c r="E1879" i="7"/>
  <c r="D1879" i="7"/>
  <c r="C1879" i="7"/>
  <c r="B1879" i="7"/>
  <c r="A1879" i="7"/>
  <c r="F1878" i="7"/>
  <c r="E1878" i="7"/>
  <c r="D1878" i="7"/>
  <c r="C1878" i="7"/>
  <c r="B1878" i="7"/>
  <c r="A1878" i="7"/>
  <c r="F1877" i="7"/>
  <c r="E1877" i="7"/>
  <c r="D1877" i="7"/>
  <c r="C1877" i="7"/>
  <c r="B1877" i="7"/>
  <c r="A1877" i="7"/>
  <c r="F1876" i="7"/>
  <c r="E1876" i="7"/>
  <c r="D1876" i="7"/>
  <c r="C1876" i="7"/>
  <c r="B1876" i="7"/>
  <c r="A1876" i="7"/>
  <c r="F1875" i="7"/>
  <c r="E1875" i="7"/>
  <c r="D1875" i="7"/>
  <c r="C1875" i="7"/>
  <c r="B1875" i="7"/>
  <c r="A1875" i="7"/>
  <c r="F1874" i="7"/>
  <c r="E1874" i="7"/>
  <c r="D1874" i="7"/>
  <c r="C1874" i="7"/>
  <c r="B1874" i="7"/>
  <c r="A1874" i="7"/>
  <c r="F1873" i="7"/>
  <c r="E1873" i="7"/>
  <c r="D1873" i="7"/>
  <c r="C1873" i="7"/>
  <c r="B1873" i="7"/>
  <c r="A1873" i="7"/>
  <c r="F1872" i="7"/>
  <c r="E1872" i="7"/>
  <c r="D1872" i="7"/>
  <c r="C1872" i="7"/>
  <c r="B1872" i="7"/>
  <c r="A1872" i="7"/>
  <c r="F1871" i="7"/>
  <c r="E1871" i="7"/>
  <c r="D1871" i="7"/>
  <c r="C1871" i="7"/>
  <c r="B1871" i="7"/>
  <c r="A1871" i="7"/>
  <c r="F1870" i="7"/>
  <c r="E1870" i="7"/>
  <c r="D1870" i="7"/>
  <c r="C1870" i="7"/>
  <c r="B1870" i="7"/>
  <c r="A1870" i="7"/>
  <c r="F1869" i="7"/>
  <c r="E1869" i="7"/>
  <c r="D1869" i="7"/>
  <c r="C1869" i="7"/>
  <c r="B1869" i="7"/>
  <c r="A1869" i="7"/>
  <c r="F1868" i="7"/>
  <c r="E1868" i="7"/>
  <c r="D1868" i="7"/>
  <c r="C1868" i="7"/>
  <c r="B1868" i="7"/>
  <c r="A1868" i="7"/>
  <c r="F1867" i="7"/>
  <c r="E1867" i="7"/>
  <c r="D1867" i="7"/>
  <c r="C1867" i="7"/>
  <c r="B1867" i="7"/>
  <c r="A1867" i="7"/>
  <c r="F1866" i="7"/>
  <c r="E1866" i="7"/>
  <c r="D1866" i="7"/>
  <c r="C1866" i="7"/>
  <c r="B1866" i="7"/>
  <c r="A1866" i="7"/>
  <c r="F1865" i="7"/>
  <c r="E1865" i="7"/>
  <c r="D1865" i="7"/>
  <c r="C1865" i="7"/>
  <c r="B1865" i="7"/>
  <c r="A1865" i="7"/>
  <c r="F1864" i="7"/>
  <c r="E1864" i="7"/>
  <c r="D1864" i="7"/>
  <c r="C1864" i="7"/>
  <c r="B1864" i="7"/>
  <c r="A1864" i="7"/>
  <c r="F1863" i="7"/>
  <c r="E1863" i="7"/>
  <c r="D1863" i="7"/>
  <c r="C1863" i="7"/>
  <c r="B1863" i="7"/>
  <c r="A1863" i="7"/>
  <c r="F1862" i="7"/>
  <c r="E1862" i="7"/>
  <c r="D1862" i="7"/>
  <c r="C1862" i="7"/>
  <c r="B1862" i="7"/>
  <c r="A1862" i="7"/>
  <c r="F1861" i="7"/>
  <c r="E1861" i="7"/>
  <c r="D1861" i="7"/>
  <c r="C1861" i="7"/>
  <c r="B1861" i="7"/>
  <c r="A1861" i="7"/>
  <c r="F1860" i="7"/>
  <c r="E1860" i="7"/>
  <c r="D1860" i="7"/>
  <c r="C1860" i="7"/>
  <c r="B1860" i="7"/>
  <c r="A1860" i="7"/>
  <c r="F1859" i="7"/>
  <c r="E1859" i="7"/>
  <c r="D1859" i="7"/>
  <c r="C1859" i="7"/>
  <c r="B1859" i="7"/>
  <c r="A1859" i="7"/>
  <c r="F1858" i="7"/>
  <c r="E1858" i="7"/>
  <c r="D1858" i="7"/>
  <c r="C1858" i="7"/>
  <c r="B1858" i="7"/>
  <c r="A1858" i="7"/>
  <c r="F1857" i="7"/>
  <c r="E1857" i="7"/>
  <c r="D1857" i="7"/>
  <c r="C1857" i="7"/>
  <c r="B1857" i="7"/>
  <c r="A1857" i="7"/>
  <c r="F1856" i="7"/>
  <c r="E1856" i="7"/>
  <c r="D1856" i="7"/>
  <c r="C1856" i="7"/>
  <c r="B1856" i="7"/>
  <c r="A1856" i="7"/>
  <c r="F1855" i="7"/>
  <c r="E1855" i="7"/>
  <c r="D1855" i="7"/>
  <c r="C1855" i="7"/>
  <c r="B1855" i="7"/>
  <c r="A1855" i="7"/>
  <c r="F1854" i="7"/>
  <c r="E1854" i="7"/>
  <c r="D1854" i="7"/>
  <c r="C1854" i="7"/>
  <c r="B1854" i="7"/>
  <c r="A1854" i="7"/>
  <c r="F1853" i="7"/>
  <c r="E1853" i="7"/>
  <c r="D1853" i="7"/>
  <c r="C1853" i="7"/>
  <c r="B1853" i="7"/>
  <c r="A1853" i="7"/>
  <c r="F1852" i="7"/>
  <c r="E1852" i="7"/>
  <c r="D1852" i="7"/>
  <c r="C1852" i="7"/>
  <c r="B1852" i="7"/>
  <c r="A1852" i="7"/>
  <c r="F1851" i="7"/>
  <c r="E1851" i="7"/>
  <c r="D1851" i="7"/>
  <c r="C1851" i="7"/>
  <c r="B1851" i="7"/>
  <c r="A1851" i="7"/>
  <c r="F1850" i="7"/>
  <c r="E1850" i="7"/>
  <c r="D1850" i="7"/>
  <c r="C1850" i="7"/>
  <c r="B1850" i="7"/>
  <c r="A1850" i="7"/>
  <c r="F1849" i="7"/>
  <c r="E1849" i="7"/>
  <c r="D1849" i="7"/>
  <c r="C1849" i="7"/>
  <c r="B1849" i="7"/>
  <c r="A1849" i="7"/>
  <c r="F1848" i="7"/>
  <c r="E1848" i="7"/>
  <c r="D1848" i="7"/>
  <c r="C1848" i="7"/>
  <c r="B1848" i="7"/>
  <c r="A1848" i="7"/>
  <c r="F1847" i="7"/>
  <c r="E1847" i="7"/>
  <c r="D1847" i="7"/>
  <c r="C1847" i="7"/>
  <c r="B1847" i="7"/>
  <c r="A1847" i="7"/>
  <c r="F1846" i="7"/>
  <c r="E1846" i="7"/>
  <c r="D1846" i="7"/>
  <c r="C1846" i="7"/>
  <c r="B1846" i="7"/>
  <c r="A1846" i="7"/>
  <c r="F1845" i="7"/>
  <c r="E1845" i="7"/>
  <c r="D1845" i="7"/>
  <c r="C1845" i="7"/>
  <c r="B1845" i="7"/>
  <c r="A1845" i="7"/>
  <c r="F1844" i="7"/>
  <c r="E1844" i="7"/>
  <c r="D1844" i="7"/>
  <c r="C1844" i="7"/>
  <c r="B1844" i="7"/>
  <c r="A1844" i="7"/>
  <c r="F1843" i="7"/>
  <c r="E1843" i="7"/>
  <c r="D1843" i="7"/>
  <c r="C1843" i="7"/>
  <c r="B1843" i="7"/>
  <c r="A1843" i="7"/>
  <c r="F1842" i="7"/>
  <c r="E1842" i="7"/>
  <c r="D1842" i="7"/>
  <c r="C1842" i="7"/>
  <c r="B1842" i="7"/>
  <c r="A1842" i="7"/>
  <c r="F1841" i="7"/>
  <c r="E1841" i="7"/>
  <c r="D1841" i="7"/>
  <c r="C1841" i="7"/>
  <c r="B1841" i="7"/>
  <c r="A1841" i="7"/>
  <c r="F1840" i="7"/>
  <c r="E1840" i="7"/>
  <c r="D1840" i="7"/>
  <c r="C1840" i="7"/>
  <c r="B1840" i="7"/>
  <c r="A1840" i="7"/>
  <c r="F1839" i="7"/>
  <c r="E1839" i="7"/>
  <c r="D1839" i="7"/>
  <c r="C1839" i="7"/>
  <c r="B1839" i="7"/>
  <c r="A1839" i="7"/>
  <c r="F1838" i="7"/>
  <c r="E1838" i="7"/>
  <c r="D1838" i="7"/>
  <c r="C1838" i="7"/>
  <c r="B1838" i="7"/>
  <c r="A1838" i="7"/>
  <c r="F1837" i="7"/>
  <c r="E1837" i="7"/>
  <c r="D1837" i="7"/>
  <c r="C1837" i="7"/>
  <c r="B1837" i="7"/>
  <c r="A1837" i="7"/>
  <c r="F1836" i="7"/>
  <c r="E1836" i="7"/>
  <c r="D1836" i="7"/>
  <c r="C1836" i="7"/>
  <c r="B1836" i="7"/>
  <c r="A1836" i="7"/>
  <c r="F1835" i="7"/>
  <c r="E1835" i="7"/>
  <c r="D1835" i="7"/>
  <c r="C1835" i="7"/>
  <c r="B1835" i="7"/>
  <c r="A1835" i="7"/>
  <c r="F1834" i="7"/>
  <c r="E1834" i="7"/>
  <c r="D1834" i="7"/>
  <c r="C1834" i="7"/>
  <c r="B1834" i="7"/>
  <c r="A1834" i="7"/>
  <c r="F1833" i="7"/>
  <c r="E1833" i="7"/>
  <c r="D1833" i="7"/>
  <c r="C1833" i="7"/>
  <c r="B1833" i="7"/>
  <c r="A1833" i="7"/>
  <c r="F1832" i="7"/>
  <c r="E1832" i="7"/>
  <c r="D1832" i="7"/>
  <c r="C1832" i="7"/>
  <c r="B1832" i="7"/>
  <c r="A1832" i="7"/>
  <c r="F1831" i="7"/>
  <c r="E1831" i="7"/>
  <c r="D1831" i="7"/>
  <c r="C1831" i="7"/>
  <c r="B1831" i="7"/>
  <c r="A1831" i="7"/>
  <c r="F1830" i="7"/>
  <c r="E1830" i="7"/>
  <c r="D1830" i="7"/>
  <c r="C1830" i="7"/>
  <c r="B1830" i="7"/>
  <c r="A1830" i="7"/>
  <c r="F1829" i="7"/>
  <c r="E1829" i="7"/>
  <c r="D1829" i="7"/>
  <c r="C1829" i="7"/>
  <c r="B1829" i="7"/>
  <c r="A1829" i="7"/>
  <c r="F1828" i="7"/>
  <c r="E1828" i="7"/>
  <c r="D1828" i="7"/>
  <c r="C1828" i="7"/>
  <c r="B1828" i="7"/>
  <c r="A1828" i="7"/>
  <c r="F1827" i="7"/>
  <c r="E1827" i="7"/>
  <c r="D1827" i="7"/>
  <c r="C1827" i="7"/>
  <c r="B1827" i="7"/>
  <c r="A1827" i="7"/>
  <c r="F1826" i="7"/>
  <c r="E1826" i="7"/>
  <c r="D1826" i="7"/>
  <c r="C1826" i="7"/>
  <c r="B1826" i="7"/>
  <c r="A1826" i="7"/>
  <c r="F1825" i="7"/>
  <c r="E1825" i="7"/>
  <c r="D1825" i="7"/>
  <c r="C1825" i="7"/>
  <c r="B1825" i="7"/>
  <c r="A1825" i="7"/>
  <c r="F1824" i="7"/>
  <c r="E1824" i="7"/>
  <c r="D1824" i="7"/>
  <c r="C1824" i="7"/>
  <c r="B1824" i="7"/>
  <c r="A1824" i="7"/>
  <c r="F1823" i="7"/>
  <c r="E1823" i="7"/>
  <c r="D1823" i="7"/>
  <c r="C1823" i="7"/>
  <c r="B1823" i="7"/>
  <c r="A1823" i="7"/>
  <c r="F1822" i="7"/>
  <c r="E1822" i="7"/>
  <c r="D1822" i="7"/>
  <c r="C1822" i="7"/>
  <c r="B1822" i="7"/>
  <c r="A1822" i="7"/>
  <c r="F1821" i="7"/>
  <c r="E1821" i="7"/>
  <c r="D1821" i="7"/>
  <c r="C1821" i="7"/>
  <c r="B1821" i="7"/>
  <c r="A1821" i="7"/>
  <c r="F1820" i="7"/>
  <c r="E1820" i="7"/>
  <c r="D1820" i="7"/>
  <c r="C1820" i="7"/>
  <c r="B1820" i="7"/>
  <c r="A1820" i="7"/>
  <c r="F1819" i="7"/>
  <c r="E1819" i="7"/>
  <c r="D1819" i="7"/>
  <c r="C1819" i="7"/>
  <c r="B1819" i="7"/>
  <c r="A1819" i="7"/>
  <c r="F1818" i="7"/>
  <c r="E1818" i="7"/>
  <c r="D1818" i="7"/>
  <c r="C1818" i="7"/>
  <c r="B1818" i="7"/>
  <c r="A1818" i="7"/>
  <c r="F1817" i="7"/>
  <c r="E1817" i="7"/>
  <c r="D1817" i="7"/>
  <c r="C1817" i="7"/>
  <c r="B1817" i="7"/>
  <c r="A1817" i="7"/>
  <c r="F1816" i="7"/>
  <c r="E1816" i="7"/>
  <c r="D1816" i="7"/>
  <c r="C1816" i="7"/>
  <c r="B1816" i="7"/>
  <c r="A1816" i="7"/>
  <c r="F1815" i="7"/>
  <c r="E1815" i="7"/>
  <c r="D1815" i="7"/>
  <c r="C1815" i="7"/>
  <c r="B1815" i="7"/>
  <c r="A1815" i="7"/>
  <c r="F1814" i="7"/>
  <c r="E1814" i="7"/>
  <c r="D1814" i="7"/>
  <c r="C1814" i="7"/>
  <c r="B1814" i="7"/>
  <c r="A1814" i="7"/>
  <c r="F1813" i="7"/>
  <c r="E1813" i="7"/>
  <c r="D1813" i="7"/>
  <c r="C1813" i="7"/>
  <c r="B1813" i="7"/>
  <c r="A1813" i="7"/>
  <c r="F1812" i="7"/>
  <c r="E1812" i="7"/>
  <c r="D1812" i="7"/>
  <c r="C1812" i="7"/>
  <c r="B1812" i="7"/>
  <c r="A1812" i="7"/>
  <c r="F1811" i="7"/>
  <c r="E1811" i="7"/>
  <c r="D1811" i="7"/>
  <c r="C1811" i="7"/>
  <c r="B1811" i="7"/>
  <c r="A1811" i="7"/>
  <c r="F1810" i="7"/>
  <c r="E1810" i="7"/>
  <c r="D1810" i="7"/>
  <c r="C1810" i="7"/>
  <c r="B1810" i="7"/>
  <c r="A1810" i="7"/>
  <c r="F1809" i="7"/>
  <c r="E1809" i="7"/>
  <c r="D1809" i="7"/>
  <c r="C1809" i="7"/>
  <c r="B1809" i="7"/>
  <c r="A1809" i="7"/>
  <c r="F1808" i="7"/>
  <c r="E1808" i="7"/>
  <c r="D1808" i="7"/>
  <c r="C1808" i="7"/>
  <c r="B1808" i="7"/>
  <c r="A1808" i="7"/>
  <c r="F1807" i="7"/>
  <c r="E1807" i="7"/>
  <c r="D1807" i="7"/>
  <c r="C1807" i="7"/>
  <c r="B1807" i="7"/>
  <c r="A1807" i="7"/>
  <c r="F1806" i="7"/>
  <c r="E1806" i="7"/>
  <c r="D1806" i="7"/>
  <c r="C1806" i="7"/>
  <c r="B1806" i="7"/>
  <c r="A1806" i="7"/>
  <c r="F1805" i="7"/>
  <c r="E1805" i="7"/>
  <c r="D1805" i="7"/>
  <c r="C1805" i="7"/>
  <c r="B1805" i="7"/>
  <c r="A1805" i="7"/>
  <c r="F1804" i="7"/>
  <c r="E1804" i="7"/>
  <c r="D1804" i="7"/>
  <c r="C1804" i="7"/>
  <c r="B1804" i="7"/>
  <c r="A1804" i="7"/>
  <c r="F1803" i="7"/>
  <c r="E1803" i="7"/>
  <c r="D1803" i="7"/>
  <c r="C1803" i="7"/>
  <c r="B1803" i="7"/>
  <c r="A1803" i="7"/>
  <c r="F1802" i="7"/>
  <c r="E1802" i="7"/>
  <c r="D1802" i="7"/>
  <c r="C1802" i="7"/>
  <c r="B1802" i="7"/>
  <c r="A1802" i="7"/>
  <c r="F1801" i="7"/>
  <c r="E1801" i="7"/>
  <c r="D1801" i="7"/>
  <c r="C1801" i="7"/>
  <c r="B1801" i="7"/>
  <c r="A1801" i="7"/>
  <c r="F1800" i="7"/>
  <c r="E1800" i="7"/>
  <c r="D1800" i="7"/>
  <c r="C1800" i="7"/>
  <c r="B1800" i="7"/>
  <c r="A1800" i="7"/>
  <c r="F1799" i="7"/>
  <c r="E1799" i="7"/>
  <c r="D1799" i="7"/>
  <c r="C1799" i="7"/>
  <c r="B1799" i="7"/>
  <c r="A1799" i="7"/>
  <c r="F1798" i="7"/>
  <c r="E1798" i="7"/>
  <c r="D1798" i="7"/>
  <c r="C1798" i="7"/>
  <c r="B1798" i="7"/>
  <c r="A1798" i="7"/>
  <c r="F1797" i="7"/>
  <c r="E1797" i="7"/>
  <c r="D1797" i="7"/>
  <c r="C1797" i="7"/>
  <c r="B1797" i="7"/>
  <c r="A1797" i="7"/>
  <c r="F1796" i="7"/>
  <c r="E1796" i="7"/>
  <c r="D1796" i="7"/>
  <c r="C1796" i="7"/>
  <c r="B1796" i="7"/>
  <c r="A1796" i="7"/>
  <c r="F1795" i="7"/>
  <c r="E1795" i="7"/>
  <c r="D1795" i="7"/>
  <c r="C1795" i="7"/>
  <c r="B1795" i="7"/>
  <c r="A1795" i="7"/>
  <c r="F1794" i="7"/>
  <c r="E1794" i="7"/>
  <c r="D1794" i="7"/>
  <c r="C1794" i="7"/>
  <c r="B1794" i="7"/>
  <c r="A1794" i="7"/>
  <c r="F1793" i="7"/>
  <c r="E1793" i="7"/>
  <c r="D1793" i="7"/>
  <c r="C1793" i="7"/>
  <c r="B1793" i="7"/>
  <c r="A1793" i="7"/>
  <c r="F1792" i="7"/>
  <c r="E1792" i="7"/>
  <c r="D1792" i="7"/>
  <c r="C1792" i="7"/>
  <c r="B1792" i="7"/>
  <c r="A1792" i="7"/>
  <c r="F1791" i="7"/>
  <c r="E1791" i="7"/>
  <c r="D1791" i="7"/>
  <c r="C1791" i="7"/>
  <c r="B1791" i="7"/>
  <c r="A1791" i="7"/>
  <c r="F1790" i="7"/>
  <c r="E1790" i="7"/>
  <c r="D1790" i="7"/>
  <c r="C1790" i="7"/>
  <c r="B1790" i="7"/>
  <c r="A1790" i="7"/>
  <c r="F1789" i="7"/>
  <c r="E1789" i="7"/>
  <c r="D1789" i="7"/>
  <c r="C1789" i="7"/>
  <c r="B1789" i="7"/>
  <c r="A1789" i="7"/>
  <c r="F1788" i="7"/>
  <c r="E1788" i="7"/>
  <c r="D1788" i="7"/>
  <c r="C1788" i="7"/>
  <c r="B1788" i="7"/>
  <c r="A1788" i="7"/>
  <c r="F1787" i="7"/>
  <c r="E1787" i="7"/>
  <c r="D1787" i="7"/>
  <c r="C1787" i="7"/>
  <c r="B1787" i="7"/>
  <c r="A1787" i="7"/>
  <c r="F1786" i="7"/>
  <c r="E1786" i="7"/>
  <c r="D1786" i="7"/>
  <c r="C1786" i="7"/>
  <c r="B1786" i="7"/>
  <c r="A1786" i="7"/>
  <c r="F1785" i="7"/>
  <c r="E1785" i="7"/>
  <c r="D1785" i="7"/>
  <c r="C1785" i="7"/>
  <c r="B1785" i="7"/>
  <c r="A1785" i="7"/>
  <c r="F1784" i="7"/>
  <c r="E1784" i="7"/>
  <c r="D1784" i="7"/>
  <c r="C1784" i="7"/>
  <c r="B1784" i="7"/>
  <c r="A1784" i="7"/>
  <c r="F1783" i="7"/>
  <c r="E1783" i="7"/>
  <c r="D1783" i="7"/>
  <c r="C1783" i="7"/>
  <c r="B1783" i="7"/>
  <c r="A1783" i="7"/>
  <c r="F1782" i="7"/>
  <c r="E1782" i="7"/>
  <c r="D1782" i="7"/>
  <c r="C1782" i="7"/>
  <c r="B1782" i="7"/>
  <c r="A1782" i="7"/>
  <c r="F1781" i="7"/>
  <c r="E1781" i="7"/>
  <c r="D1781" i="7"/>
  <c r="C1781" i="7"/>
  <c r="B1781" i="7"/>
  <c r="A1781" i="7"/>
  <c r="F1780" i="7"/>
  <c r="E1780" i="7"/>
  <c r="D1780" i="7"/>
  <c r="C1780" i="7"/>
  <c r="B1780" i="7"/>
  <c r="A1780" i="7"/>
  <c r="F1779" i="7"/>
  <c r="E1779" i="7"/>
  <c r="D1779" i="7"/>
  <c r="C1779" i="7"/>
  <c r="B1779" i="7"/>
  <c r="A1779" i="7"/>
  <c r="F1778" i="7"/>
  <c r="E1778" i="7"/>
  <c r="D1778" i="7"/>
  <c r="C1778" i="7"/>
  <c r="B1778" i="7"/>
  <c r="A1778" i="7"/>
  <c r="F1777" i="7"/>
  <c r="E1777" i="7"/>
  <c r="D1777" i="7"/>
  <c r="C1777" i="7"/>
  <c r="B1777" i="7"/>
  <c r="A1777" i="7"/>
  <c r="F1776" i="7"/>
  <c r="E1776" i="7"/>
  <c r="D1776" i="7"/>
  <c r="C1776" i="7"/>
  <c r="B1776" i="7"/>
  <c r="A1776" i="7"/>
  <c r="F1775" i="7"/>
  <c r="E1775" i="7"/>
  <c r="D1775" i="7"/>
  <c r="C1775" i="7"/>
  <c r="B1775" i="7"/>
  <c r="A1775" i="7"/>
  <c r="F1774" i="7"/>
  <c r="E1774" i="7"/>
  <c r="D1774" i="7"/>
  <c r="C1774" i="7"/>
  <c r="B1774" i="7"/>
  <c r="A1774" i="7"/>
  <c r="F1773" i="7"/>
  <c r="E1773" i="7"/>
  <c r="D1773" i="7"/>
  <c r="C1773" i="7"/>
  <c r="B1773" i="7"/>
  <c r="A1773" i="7"/>
  <c r="F1772" i="7"/>
  <c r="E1772" i="7"/>
  <c r="D1772" i="7"/>
  <c r="C1772" i="7"/>
  <c r="B1772" i="7"/>
  <c r="A1772" i="7"/>
  <c r="F1771" i="7"/>
  <c r="E1771" i="7"/>
  <c r="D1771" i="7"/>
  <c r="C1771" i="7"/>
  <c r="B1771" i="7"/>
  <c r="A1771" i="7"/>
  <c r="F1770" i="7"/>
  <c r="E1770" i="7"/>
  <c r="D1770" i="7"/>
  <c r="C1770" i="7"/>
  <c r="B1770" i="7"/>
  <c r="A1770" i="7"/>
  <c r="F1769" i="7"/>
  <c r="E1769" i="7"/>
  <c r="D1769" i="7"/>
  <c r="C1769" i="7"/>
  <c r="B1769" i="7"/>
  <c r="A1769" i="7"/>
  <c r="F1768" i="7"/>
  <c r="E1768" i="7"/>
  <c r="D1768" i="7"/>
  <c r="C1768" i="7"/>
  <c r="B1768" i="7"/>
  <c r="A1768" i="7"/>
  <c r="F1767" i="7"/>
  <c r="E1767" i="7"/>
  <c r="D1767" i="7"/>
  <c r="C1767" i="7"/>
  <c r="B1767" i="7"/>
  <c r="A1767" i="7"/>
  <c r="F1766" i="7"/>
  <c r="E1766" i="7"/>
  <c r="D1766" i="7"/>
  <c r="C1766" i="7"/>
  <c r="B1766" i="7"/>
  <c r="A1766" i="7"/>
  <c r="F1765" i="7"/>
  <c r="E1765" i="7"/>
  <c r="D1765" i="7"/>
  <c r="C1765" i="7"/>
  <c r="B1765" i="7"/>
  <c r="A1765" i="7"/>
  <c r="F1764" i="7"/>
  <c r="E1764" i="7"/>
  <c r="D1764" i="7"/>
  <c r="C1764" i="7"/>
  <c r="B1764" i="7"/>
  <c r="A1764" i="7"/>
  <c r="F1763" i="7"/>
  <c r="E1763" i="7"/>
  <c r="D1763" i="7"/>
  <c r="C1763" i="7"/>
  <c r="B1763" i="7"/>
  <c r="A1763" i="7"/>
  <c r="F1762" i="7"/>
  <c r="E1762" i="7"/>
  <c r="D1762" i="7"/>
  <c r="C1762" i="7"/>
  <c r="B1762" i="7"/>
  <c r="A1762" i="7"/>
  <c r="F1761" i="7"/>
  <c r="E1761" i="7"/>
  <c r="D1761" i="7"/>
  <c r="C1761" i="7"/>
  <c r="B1761" i="7"/>
  <c r="A1761" i="7"/>
  <c r="F1760" i="7"/>
  <c r="E1760" i="7"/>
  <c r="D1760" i="7"/>
  <c r="C1760" i="7"/>
  <c r="B1760" i="7"/>
  <c r="A1760" i="7"/>
  <c r="F1759" i="7"/>
  <c r="E1759" i="7"/>
  <c r="D1759" i="7"/>
  <c r="C1759" i="7"/>
  <c r="B1759" i="7"/>
  <c r="A1759" i="7"/>
  <c r="F1758" i="7"/>
  <c r="E1758" i="7"/>
  <c r="D1758" i="7"/>
  <c r="C1758" i="7"/>
  <c r="B1758" i="7"/>
  <c r="A1758" i="7"/>
  <c r="F1757" i="7"/>
  <c r="E1757" i="7"/>
  <c r="D1757" i="7"/>
  <c r="C1757" i="7"/>
  <c r="B1757" i="7"/>
  <c r="A1757" i="7"/>
  <c r="F1756" i="7"/>
  <c r="E1756" i="7"/>
  <c r="D1756" i="7"/>
  <c r="C1756" i="7"/>
  <c r="B1756" i="7"/>
  <c r="A1756" i="7"/>
  <c r="F1755" i="7"/>
  <c r="E1755" i="7"/>
  <c r="D1755" i="7"/>
  <c r="C1755" i="7"/>
  <c r="B1755" i="7"/>
  <c r="A1755" i="7"/>
  <c r="F1754" i="7"/>
  <c r="E1754" i="7"/>
  <c r="D1754" i="7"/>
  <c r="C1754" i="7"/>
  <c r="B1754" i="7"/>
  <c r="A1754" i="7"/>
  <c r="F1753" i="7"/>
  <c r="E1753" i="7"/>
  <c r="D1753" i="7"/>
  <c r="C1753" i="7"/>
  <c r="B1753" i="7"/>
  <c r="A1753" i="7"/>
  <c r="F1752" i="7"/>
  <c r="E1752" i="7"/>
  <c r="D1752" i="7"/>
  <c r="C1752" i="7"/>
  <c r="B1752" i="7"/>
  <c r="A1752" i="7"/>
  <c r="F1751" i="7"/>
  <c r="E1751" i="7"/>
  <c r="D1751" i="7"/>
  <c r="C1751" i="7"/>
  <c r="B1751" i="7"/>
  <c r="A1751" i="7"/>
  <c r="F1750" i="7"/>
  <c r="E1750" i="7"/>
  <c r="D1750" i="7"/>
  <c r="C1750" i="7"/>
  <c r="B1750" i="7"/>
  <c r="A1750" i="7"/>
  <c r="F1749" i="7"/>
  <c r="E1749" i="7"/>
  <c r="D1749" i="7"/>
  <c r="C1749" i="7"/>
  <c r="B1749" i="7"/>
  <c r="A1749" i="7"/>
  <c r="F1748" i="7"/>
  <c r="E1748" i="7"/>
  <c r="D1748" i="7"/>
  <c r="C1748" i="7"/>
  <c r="B1748" i="7"/>
  <c r="A1748" i="7"/>
  <c r="F1747" i="7"/>
  <c r="E1747" i="7"/>
  <c r="D1747" i="7"/>
  <c r="C1747" i="7"/>
  <c r="B1747" i="7"/>
  <c r="A1747" i="7"/>
  <c r="F1746" i="7"/>
  <c r="E1746" i="7"/>
  <c r="D1746" i="7"/>
  <c r="C1746" i="7"/>
  <c r="B1746" i="7"/>
  <c r="A1746" i="7"/>
  <c r="F1745" i="7"/>
  <c r="E1745" i="7"/>
  <c r="D1745" i="7"/>
  <c r="C1745" i="7"/>
  <c r="B1745" i="7"/>
  <c r="A1745" i="7"/>
  <c r="F1744" i="7"/>
  <c r="E1744" i="7"/>
  <c r="D1744" i="7"/>
  <c r="C1744" i="7"/>
  <c r="B1744" i="7"/>
  <c r="A1744" i="7"/>
  <c r="F1743" i="7"/>
  <c r="E1743" i="7"/>
  <c r="D1743" i="7"/>
  <c r="C1743" i="7"/>
  <c r="B1743" i="7"/>
  <c r="A1743" i="7"/>
  <c r="F1742" i="7"/>
  <c r="E1742" i="7"/>
  <c r="D1742" i="7"/>
  <c r="C1742" i="7"/>
  <c r="B1742" i="7"/>
  <c r="A1742" i="7"/>
  <c r="F1741" i="7"/>
  <c r="E1741" i="7"/>
  <c r="D1741" i="7"/>
  <c r="C1741" i="7"/>
  <c r="B1741" i="7"/>
  <c r="A1741" i="7"/>
  <c r="F1740" i="7"/>
  <c r="E1740" i="7"/>
  <c r="D1740" i="7"/>
  <c r="C1740" i="7"/>
  <c r="B1740" i="7"/>
  <c r="A1740" i="7"/>
  <c r="F1739" i="7"/>
  <c r="E1739" i="7"/>
  <c r="D1739" i="7"/>
  <c r="C1739" i="7"/>
  <c r="B1739" i="7"/>
  <c r="A1739" i="7"/>
  <c r="F1738" i="7"/>
  <c r="E1738" i="7"/>
  <c r="D1738" i="7"/>
  <c r="C1738" i="7"/>
  <c r="B1738" i="7"/>
  <c r="A1738" i="7"/>
  <c r="F1737" i="7"/>
  <c r="E1737" i="7"/>
  <c r="D1737" i="7"/>
  <c r="C1737" i="7"/>
  <c r="B1737" i="7"/>
  <c r="A1737" i="7"/>
  <c r="F1736" i="7"/>
  <c r="E1736" i="7"/>
  <c r="D1736" i="7"/>
  <c r="C1736" i="7"/>
  <c r="B1736" i="7"/>
  <c r="A1736" i="7"/>
  <c r="F1735" i="7"/>
  <c r="E1735" i="7"/>
  <c r="D1735" i="7"/>
  <c r="C1735" i="7"/>
  <c r="B1735" i="7"/>
  <c r="A1735" i="7"/>
  <c r="F1734" i="7"/>
  <c r="E1734" i="7"/>
  <c r="D1734" i="7"/>
  <c r="C1734" i="7"/>
  <c r="B1734" i="7"/>
  <c r="A1734" i="7"/>
  <c r="F1733" i="7"/>
  <c r="E1733" i="7"/>
  <c r="D1733" i="7"/>
  <c r="C1733" i="7"/>
  <c r="B1733" i="7"/>
  <c r="A1733" i="7"/>
  <c r="F1732" i="7"/>
  <c r="E1732" i="7"/>
  <c r="D1732" i="7"/>
  <c r="C1732" i="7"/>
  <c r="B1732" i="7"/>
  <c r="A1732" i="7"/>
  <c r="F1731" i="7"/>
  <c r="E1731" i="7"/>
  <c r="D1731" i="7"/>
  <c r="C1731" i="7"/>
  <c r="B1731" i="7"/>
  <c r="A1731" i="7"/>
  <c r="F1730" i="7"/>
  <c r="E1730" i="7"/>
  <c r="D1730" i="7"/>
  <c r="C1730" i="7"/>
  <c r="B1730" i="7"/>
  <c r="A1730" i="7"/>
  <c r="F1729" i="7"/>
  <c r="E1729" i="7"/>
  <c r="D1729" i="7"/>
  <c r="C1729" i="7"/>
  <c r="B1729" i="7"/>
  <c r="A1729" i="7"/>
  <c r="F1728" i="7"/>
  <c r="E1728" i="7"/>
  <c r="D1728" i="7"/>
  <c r="C1728" i="7"/>
  <c r="B1728" i="7"/>
  <c r="A1728" i="7"/>
  <c r="F1727" i="7"/>
  <c r="E1727" i="7"/>
  <c r="D1727" i="7"/>
  <c r="C1727" i="7"/>
  <c r="B1727" i="7"/>
  <c r="A1727" i="7"/>
  <c r="F1726" i="7"/>
  <c r="E1726" i="7"/>
  <c r="D1726" i="7"/>
  <c r="C1726" i="7"/>
  <c r="B1726" i="7"/>
  <c r="A1726" i="7"/>
  <c r="F1725" i="7"/>
  <c r="E1725" i="7"/>
  <c r="D1725" i="7"/>
  <c r="C1725" i="7"/>
  <c r="B1725" i="7"/>
  <c r="A1725" i="7"/>
  <c r="F1724" i="7"/>
  <c r="E1724" i="7"/>
  <c r="D1724" i="7"/>
  <c r="C1724" i="7"/>
  <c r="B1724" i="7"/>
  <c r="A1724" i="7"/>
  <c r="F1723" i="7"/>
  <c r="E1723" i="7"/>
  <c r="D1723" i="7"/>
  <c r="C1723" i="7"/>
  <c r="B1723" i="7"/>
  <c r="A1723" i="7"/>
  <c r="F1722" i="7"/>
  <c r="E1722" i="7"/>
  <c r="D1722" i="7"/>
  <c r="C1722" i="7"/>
  <c r="B1722" i="7"/>
  <c r="A1722" i="7"/>
  <c r="F1721" i="7"/>
  <c r="E1721" i="7"/>
  <c r="D1721" i="7"/>
  <c r="C1721" i="7"/>
  <c r="B1721" i="7"/>
  <c r="A1721" i="7"/>
  <c r="F1720" i="7"/>
  <c r="E1720" i="7"/>
  <c r="D1720" i="7"/>
  <c r="C1720" i="7"/>
  <c r="B1720" i="7"/>
  <c r="A1720" i="7"/>
  <c r="F1719" i="7"/>
  <c r="E1719" i="7"/>
  <c r="D1719" i="7"/>
  <c r="C1719" i="7"/>
  <c r="B1719" i="7"/>
  <c r="A1719" i="7"/>
  <c r="F1718" i="7"/>
  <c r="E1718" i="7"/>
  <c r="D1718" i="7"/>
  <c r="C1718" i="7"/>
  <c r="B1718" i="7"/>
  <c r="A1718" i="7"/>
  <c r="F1717" i="7"/>
  <c r="E1717" i="7"/>
  <c r="D1717" i="7"/>
  <c r="C1717" i="7"/>
  <c r="B1717" i="7"/>
  <c r="A1717" i="7"/>
  <c r="F1716" i="7"/>
  <c r="E1716" i="7"/>
  <c r="D1716" i="7"/>
  <c r="C1716" i="7"/>
  <c r="B1716" i="7"/>
  <c r="A1716" i="7"/>
  <c r="F1715" i="7"/>
  <c r="E1715" i="7"/>
  <c r="D1715" i="7"/>
  <c r="C1715" i="7"/>
  <c r="B1715" i="7"/>
  <c r="A1715" i="7"/>
  <c r="F1714" i="7"/>
  <c r="E1714" i="7"/>
  <c r="D1714" i="7"/>
  <c r="C1714" i="7"/>
  <c r="B1714" i="7"/>
  <c r="A1714" i="7"/>
  <c r="F1713" i="7"/>
  <c r="E1713" i="7"/>
  <c r="D1713" i="7"/>
  <c r="C1713" i="7"/>
  <c r="B1713" i="7"/>
  <c r="A1713" i="7"/>
  <c r="F1712" i="7"/>
  <c r="E1712" i="7"/>
  <c r="D1712" i="7"/>
  <c r="C1712" i="7"/>
  <c r="B1712" i="7"/>
  <c r="A1712" i="7"/>
  <c r="F1711" i="7"/>
  <c r="E1711" i="7"/>
  <c r="D1711" i="7"/>
  <c r="C1711" i="7"/>
  <c r="B1711" i="7"/>
  <c r="A1711" i="7"/>
  <c r="F1710" i="7"/>
  <c r="E1710" i="7"/>
  <c r="D1710" i="7"/>
  <c r="C1710" i="7"/>
  <c r="B1710" i="7"/>
  <c r="A1710" i="7"/>
  <c r="F1709" i="7"/>
  <c r="E1709" i="7"/>
  <c r="D1709" i="7"/>
  <c r="C1709" i="7"/>
  <c r="B1709" i="7"/>
  <c r="A1709" i="7"/>
  <c r="F1708" i="7"/>
  <c r="E1708" i="7"/>
  <c r="D1708" i="7"/>
  <c r="C1708" i="7"/>
  <c r="B1708" i="7"/>
  <c r="A1708" i="7"/>
  <c r="F1707" i="7"/>
  <c r="E1707" i="7"/>
  <c r="D1707" i="7"/>
  <c r="C1707" i="7"/>
  <c r="B1707" i="7"/>
  <c r="A1707" i="7"/>
  <c r="F1706" i="7"/>
  <c r="E1706" i="7"/>
  <c r="D1706" i="7"/>
  <c r="C1706" i="7"/>
  <c r="B1706" i="7"/>
  <c r="A1706" i="7"/>
  <c r="F1705" i="7"/>
  <c r="E1705" i="7"/>
  <c r="D1705" i="7"/>
  <c r="C1705" i="7"/>
  <c r="B1705" i="7"/>
  <c r="A1705" i="7"/>
  <c r="F1704" i="7"/>
  <c r="E1704" i="7"/>
  <c r="D1704" i="7"/>
  <c r="C1704" i="7"/>
  <c r="B1704" i="7"/>
  <c r="A1704" i="7"/>
  <c r="F1703" i="7"/>
  <c r="E1703" i="7"/>
  <c r="D1703" i="7"/>
  <c r="C1703" i="7"/>
  <c r="B1703" i="7"/>
  <c r="A1703" i="7"/>
  <c r="F1702" i="7"/>
  <c r="E1702" i="7"/>
  <c r="D1702" i="7"/>
  <c r="C1702" i="7"/>
  <c r="B1702" i="7"/>
  <c r="A1702" i="7"/>
  <c r="F1701" i="7"/>
  <c r="E1701" i="7"/>
  <c r="D1701" i="7"/>
  <c r="C1701" i="7"/>
  <c r="B1701" i="7"/>
  <c r="A1701" i="7"/>
  <c r="F1700" i="7"/>
  <c r="E1700" i="7"/>
  <c r="D1700" i="7"/>
  <c r="C1700" i="7"/>
  <c r="B1700" i="7"/>
  <c r="A1700" i="7"/>
  <c r="F1699" i="7"/>
  <c r="E1699" i="7"/>
  <c r="D1699" i="7"/>
  <c r="C1699" i="7"/>
  <c r="B1699" i="7"/>
  <c r="A1699" i="7"/>
  <c r="F1698" i="7"/>
  <c r="E1698" i="7"/>
  <c r="D1698" i="7"/>
  <c r="C1698" i="7"/>
  <c r="B1698" i="7"/>
  <c r="A1698" i="7"/>
  <c r="F1697" i="7"/>
  <c r="E1697" i="7"/>
  <c r="D1697" i="7"/>
  <c r="C1697" i="7"/>
  <c r="B1697" i="7"/>
  <c r="A1697" i="7"/>
  <c r="F1696" i="7"/>
  <c r="E1696" i="7"/>
  <c r="D1696" i="7"/>
  <c r="C1696" i="7"/>
  <c r="B1696" i="7"/>
  <c r="A1696" i="7"/>
  <c r="F1695" i="7"/>
  <c r="E1695" i="7"/>
  <c r="D1695" i="7"/>
  <c r="C1695" i="7"/>
  <c r="B1695" i="7"/>
  <c r="A1695" i="7"/>
  <c r="F1694" i="7"/>
  <c r="E1694" i="7"/>
  <c r="D1694" i="7"/>
  <c r="C1694" i="7"/>
  <c r="B1694" i="7"/>
  <c r="A1694" i="7"/>
  <c r="F1693" i="7"/>
  <c r="E1693" i="7"/>
  <c r="D1693" i="7"/>
  <c r="C1693" i="7"/>
  <c r="B1693" i="7"/>
  <c r="A1693" i="7"/>
  <c r="F1692" i="7"/>
  <c r="E1692" i="7"/>
  <c r="D1692" i="7"/>
  <c r="C1692" i="7"/>
  <c r="B1692" i="7"/>
  <c r="A1692" i="7"/>
  <c r="F1691" i="7"/>
  <c r="E1691" i="7"/>
  <c r="D1691" i="7"/>
  <c r="C1691" i="7"/>
  <c r="B1691" i="7"/>
  <c r="A1691" i="7"/>
  <c r="F1690" i="7"/>
  <c r="E1690" i="7"/>
  <c r="D1690" i="7"/>
  <c r="C1690" i="7"/>
  <c r="B1690" i="7"/>
  <c r="A1690" i="7"/>
  <c r="F1689" i="7"/>
  <c r="E1689" i="7"/>
  <c r="D1689" i="7"/>
  <c r="C1689" i="7"/>
  <c r="B1689" i="7"/>
  <c r="A1689" i="7"/>
  <c r="F1688" i="7"/>
  <c r="E1688" i="7"/>
  <c r="D1688" i="7"/>
  <c r="C1688" i="7"/>
  <c r="B1688" i="7"/>
  <c r="A1688" i="7"/>
  <c r="F1687" i="7"/>
  <c r="E1687" i="7"/>
  <c r="D1687" i="7"/>
  <c r="C1687" i="7"/>
  <c r="B1687" i="7"/>
  <c r="A1687" i="7"/>
  <c r="F1686" i="7"/>
  <c r="E1686" i="7"/>
  <c r="D1686" i="7"/>
  <c r="C1686" i="7"/>
  <c r="B1686" i="7"/>
  <c r="A1686" i="7"/>
  <c r="F1685" i="7"/>
  <c r="E1685" i="7"/>
  <c r="D1685" i="7"/>
  <c r="C1685" i="7"/>
  <c r="B1685" i="7"/>
  <c r="A1685" i="7"/>
  <c r="F1684" i="7"/>
  <c r="E1684" i="7"/>
  <c r="D1684" i="7"/>
  <c r="C1684" i="7"/>
  <c r="B1684" i="7"/>
  <c r="A1684" i="7"/>
  <c r="F1683" i="7"/>
  <c r="E1683" i="7"/>
  <c r="D1683" i="7"/>
  <c r="C1683" i="7"/>
  <c r="B1683" i="7"/>
  <c r="A1683" i="7"/>
  <c r="F1682" i="7"/>
  <c r="E1682" i="7"/>
  <c r="D1682" i="7"/>
  <c r="C1682" i="7"/>
  <c r="B1682" i="7"/>
  <c r="A1682" i="7"/>
  <c r="F1681" i="7"/>
  <c r="E1681" i="7"/>
  <c r="D1681" i="7"/>
  <c r="C1681" i="7"/>
  <c r="B1681" i="7"/>
  <c r="A1681" i="7"/>
  <c r="F1680" i="7"/>
  <c r="E1680" i="7"/>
  <c r="D1680" i="7"/>
  <c r="C1680" i="7"/>
  <c r="B1680" i="7"/>
  <c r="A1680" i="7"/>
  <c r="F1679" i="7"/>
  <c r="E1679" i="7"/>
  <c r="D1679" i="7"/>
  <c r="C1679" i="7"/>
  <c r="B1679" i="7"/>
  <c r="A1679" i="7"/>
  <c r="F1678" i="7"/>
  <c r="E1678" i="7"/>
  <c r="D1678" i="7"/>
  <c r="C1678" i="7"/>
  <c r="B1678" i="7"/>
  <c r="A1678" i="7"/>
  <c r="F1677" i="7"/>
  <c r="E1677" i="7"/>
  <c r="D1677" i="7"/>
  <c r="C1677" i="7"/>
  <c r="B1677" i="7"/>
  <c r="A1677" i="7"/>
  <c r="F1676" i="7"/>
  <c r="E1676" i="7"/>
  <c r="D1676" i="7"/>
  <c r="C1676" i="7"/>
  <c r="B1676" i="7"/>
  <c r="A1676" i="7"/>
  <c r="F1675" i="7"/>
  <c r="E1675" i="7"/>
  <c r="D1675" i="7"/>
  <c r="C1675" i="7"/>
  <c r="B1675" i="7"/>
  <c r="A1675" i="7"/>
  <c r="F1674" i="7"/>
  <c r="E1674" i="7"/>
  <c r="D1674" i="7"/>
  <c r="C1674" i="7"/>
  <c r="B1674" i="7"/>
  <c r="A1674" i="7"/>
  <c r="F1673" i="7"/>
  <c r="E1673" i="7"/>
  <c r="D1673" i="7"/>
  <c r="C1673" i="7"/>
  <c r="B1673" i="7"/>
  <c r="A1673" i="7"/>
  <c r="F1672" i="7"/>
  <c r="E1672" i="7"/>
  <c r="D1672" i="7"/>
  <c r="C1672" i="7"/>
  <c r="B1672" i="7"/>
  <c r="A1672" i="7"/>
  <c r="F1671" i="7"/>
  <c r="E1671" i="7"/>
  <c r="D1671" i="7"/>
  <c r="C1671" i="7"/>
  <c r="B1671" i="7"/>
  <c r="A1671" i="7"/>
  <c r="F1670" i="7"/>
  <c r="E1670" i="7"/>
  <c r="D1670" i="7"/>
  <c r="C1670" i="7"/>
  <c r="B1670" i="7"/>
  <c r="A1670" i="7"/>
  <c r="F1669" i="7"/>
  <c r="E1669" i="7"/>
  <c r="D1669" i="7"/>
  <c r="C1669" i="7"/>
  <c r="B1669" i="7"/>
  <c r="A1669" i="7"/>
  <c r="F1668" i="7"/>
  <c r="E1668" i="7"/>
  <c r="D1668" i="7"/>
  <c r="C1668" i="7"/>
  <c r="B1668" i="7"/>
  <c r="A1668" i="7"/>
  <c r="F1667" i="7"/>
  <c r="E1667" i="7"/>
  <c r="D1667" i="7"/>
  <c r="C1667" i="7"/>
  <c r="B1667" i="7"/>
  <c r="A1667" i="7"/>
  <c r="F1666" i="7"/>
  <c r="E1666" i="7"/>
  <c r="D1666" i="7"/>
  <c r="C1666" i="7"/>
  <c r="B1666" i="7"/>
  <c r="A1666" i="7"/>
  <c r="F1665" i="7"/>
  <c r="E1665" i="7"/>
  <c r="D1665" i="7"/>
  <c r="C1665" i="7"/>
  <c r="B1665" i="7"/>
  <c r="A1665" i="7"/>
  <c r="F1664" i="7"/>
  <c r="E1664" i="7"/>
  <c r="D1664" i="7"/>
  <c r="C1664" i="7"/>
  <c r="B1664" i="7"/>
  <c r="A1664" i="7"/>
  <c r="F1663" i="7"/>
  <c r="E1663" i="7"/>
  <c r="D1663" i="7"/>
  <c r="C1663" i="7"/>
  <c r="B1663" i="7"/>
  <c r="A1663" i="7"/>
  <c r="F1662" i="7"/>
  <c r="E1662" i="7"/>
  <c r="D1662" i="7"/>
  <c r="C1662" i="7"/>
  <c r="B1662" i="7"/>
  <c r="A1662" i="7"/>
  <c r="F1661" i="7"/>
  <c r="E1661" i="7"/>
  <c r="D1661" i="7"/>
  <c r="C1661" i="7"/>
  <c r="B1661" i="7"/>
  <c r="A1661" i="7"/>
  <c r="F1660" i="7"/>
  <c r="E1660" i="7"/>
  <c r="D1660" i="7"/>
  <c r="C1660" i="7"/>
  <c r="B1660" i="7"/>
  <c r="A1660" i="7"/>
  <c r="F1659" i="7"/>
  <c r="E1659" i="7"/>
  <c r="D1659" i="7"/>
  <c r="C1659" i="7"/>
  <c r="B1659" i="7"/>
  <c r="A1659" i="7"/>
  <c r="F1658" i="7"/>
  <c r="E1658" i="7"/>
  <c r="D1658" i="7"/>
  <c r="C1658" i="7"/>
  <c r="B1658" i="7"/>
  <c r="A1658" i="7"/>
  <c r="F1657" i="7"/>
  <c r="E1657" i="7"/>
  <c r="D1657" i="7"/>
  <c r="C1657" i="7"/>
  <c r="B1657" i="7"/>
  <c r="A1657" i="7"/>
  <c r="F1656" i="7"/>
  <c r="E1656" i="7"/>
  <c r="D1656" i="7"/>
  <c r="C1656" i="7"/>
  <c r="B1656" i="7"/>
  <c r="A1656" i="7"/>
  <c r="F1655" i="7"/>
  <c r="E1655" i="7"/>
  <c r="D1655" i="7"/>
  <c r="C1655" i="7"/>
  <c r="B1655" i="7"/>
  <c r="A1655" i="7"/>
  <c r="F1654" i="7"/>
  <c r="E1654" i="7"/>
  <c r="D1654" i="7"/>
  <c r="C1654" i="7"/>
  <c r="B1654" i="7"/>
  <c r="A1654" i="7"/>
  <c r="F1653" i="7"/>
  <c r="E1653" i="7"/>
  <c r="D1653" i="7"/>
  <c r="C1653" i="7"/>
  <c r="B1653" i="7"/>
  <c r="A1653" i="7"/>
  <c r="F1652" i="7"/>
  <c r="E1652" i="7"/>
  <c r="D1652" i="7"/>
  <c r="C1652" i="7"/>
  <c r="B1652" i="7"/>
  <c r="A1652" i="7"/>
  <c r="F1651" i="7"/>
  <c r="E1651" i="7"/>
  <c r="D1651" i="7"/>
  <c r="C1651" i="7"/>
  <c r="B1651" i="7"/>
  <c r="A1651" i="7"/>
  <c r="F1650" i="7"/>
  <c r="E1650" i="7"/>
  <c r="D1650" i="7"/>
  <c r="C1650" i="7"/>
  <c r="B1650" i="7"/>
  <c r="A1650" i="7"/>
  <c r="F1649" i="7"/>
  <c r="E1649" i="7"/>
  <c r="D1649" i="7"/>
  <c r="C1649" i="7"/>
  <c r="B1649" i="7"/>
  <c r="A1649" i="7"/>
  <c r="F1648" i="7"/>
  <c r="E1648" i="7"/>
  <c r="D1648" i="7"/>
  <c r="C1648" i="7"/>
  <c r="B1648" i="7"/>
  <c r="A1648" i="7"/>
  <c r="F1647" i="7"/>
  <c r="E1647" i="7"/>
  <c r="D1647" i="7"/>
  <c r="C1647" i="7"/>
  <c r="B1647" i="7"/>
  <c r="A1647" i="7"/>
  <c r="F1646" i="7"/>
  <c r="E1646" i="7"/>
  <c r="D1646" i="7"/>
  <c r="C1646" i="7"/>
  <c r="B1646" i="7"/>
  <c r="A1646" i="7"/>
  <c r="F1645" i="7"/>
  <c r="E1645" i="7"/>
  <c r="D1645" i="7"/>
  <c r="C1645" i="7"/>
  <c r="B1645" i="7"/>
  <c r="A1645" i="7"/>
  <c r="F1644" i="7"/>
  <c r="E1644" i="7"/>
  <c r="D1644" i="7"/>
  <c r="C1644" i="7"/>
  <c r="B1644" i="7"/>
  <c r="A1644" i="7"/>
  <c r="F1643" i="7"/>
  <c r="E1643" i="7"/>
  <c r="D1643" i="7"/>
  <c r="C1643" i="7"/>
  <c r="B1643" i="7"/>
  <c r="A1643" i="7"/>
  <c r="F1642" i="7"/>
  <c r="E1642" i="7"/>
  <c r="D1642" i="7"/>
  <c r="C1642" i="7"/>
  <c r="B1642" i="7"/>
  <c r="A1642" i="7"/>
  <c r="F1641" i="7"/>
  <c r="E1641" i="7"/>
  <c r="D1641" i="7"/>
  <c r="C1641" i="7"/>
  <c r="B1641" i="7"/>
  <c r="A1641" i="7"/>
  <c r="F1640" i="7"/>
  <c r="E1640" i="7"/>
  <c r="D1640" i="7"/>
  <c r="C1640" i="7"/>
  <c r="B1640" i="7"/>
  <c r="A1640" i="7"/>
  <c r="F1639" i="7"/>
  <c r="E1639" i="7"/>
  <c r="D1639" i="7"/>
  <c r="C1639" i="7"/>
  <c r="B1639" i="7"/>
  <c r="A1639" i="7"/>
  <c r="F1638" i="7"/>
  <c r="E1638" i="7"/>
  <c r="D1638" i="7"/>
  <c r="C1638" i="7"/>
  <c r="B1638" i="7"/>
  <c r="A1638" i="7"/>
  <c r="F1637" i="7"/>
  <c r="E1637" i="7"/>
  <c r="D1637" i="7"/>
  <c r="C1637" i="7"/>
  <c r="B1637" i="7"/>
  <c r="A1637" i="7"/>
  <c r="F1636" i="7"/>
  <c r="E1636" i="7"/>
  <c r="D1636" i="7"/>
  <c r="C1636" i="7"/>
  <c r="B1636" i="7"/>
  <c r="A1636" i="7"/>
  <c r="F1635" i="7"/>
  <c r="E1635" i="7"/>
  <c r="D1635" i="7"/>
  <c r="C1635" i="7"/>
  <c r="B1635" i="7"/>
  <c r="A1635" i="7"/>
  <c r="F1634" i="7"/>
  <c r="E1634" i="7"/>
  <c r="D1634" i="7"/>
  <c r="C1634" i="7"/>
  <c r="B1634" i="7"/>
  <c r="A1634" i="7"/>
  <c r="F1633" i="7"/>
  <c r="E1633" i="7"/>
  <c r="D1633" i="7"/>
  <c r="C1633" i="7"/>
  <c r="B1633" i="7"/>
  <c r="A1633" i="7"/>
  <c r="F1632" i="7"/>
  <c r="E1632" i="7"/>
  <c r="D1632" i="7"/>
  <c r="C1632" i="7"/>
  <c r="B1632" i="7"/>
  <c r="A1632" i="7"/>
  <c r="F1631" i="7"/>
  <c r="E1631" i="7"/>
  <c r="D1631" i="7"/>
  <c r="C1631" i="7"/>
  <c r="B1631" i="7"/>
  <c r="A1631" i="7"/>
  <c r="F1630" i="7"/>
  <c r="E1630" i="7"/>
  <c r="D1630" i="7"/>
  <c r="C1630" i="7"/>
  <c r="B1630" i="7"/>
  <c r="A1630" i="7"/>
  <c r="F1629" i="7"/>
  <c r="E1629" i="7"/>
  <c r="D1629" i="7"/>
  <c r="C1629" i="7"/>
  <c r="B1629" i="7"/>
  <c r="A1629" i="7"/>
  <c r="F1628" i="7"/>
  <c r="E1628" i="7"/>
  <c r="D1628" i="7"/>
  <c r="C1628" i="7"/>
  <c r="B1628" i="7"/>
  <c r="A1628" i="7"/>
  <c r="F1627" i="7"/>
  <c r="E1627" i="7"/>
  <c r="D1627" i="7"/>
  <c r="C1627" i="7"/>
  <c r="B1627" i="7"/>
  <c r="A1627" i="7"/>
  <c r="F1626" i="7"/>
  <c r="E1626" i="7"/>
  <c r="D1626" i="7"/>
  <c r="C1626" i="7"/>
  <c r="B1626" i="7"/>
  <c r="A1626" i="7"/>
  <c r="F1625" i="7"/>
  <c r="E1625" i="7"/>
  <c r="D1625" i="7"/>
  <c r="C1625" i="7"/>
  <c r="B1625" i="7"/>
  <c r="A1625" i="7"/>
  <c r="F1624" i="7"/>
  <c r="E1624" i="7"/>
  <c r="D1624" i="7"/>
  <c r="C1624" i="7"/>
  <c r="B1624" i="7"/>
  <c r="A1624" i="7"/>
  <c r="F1623" i="7"/>
  <c r="E1623" i="7"/>
  <c r="D1623" i="7"/>
  <c r="C1623" i="7"/>
  <c r="B1623" i="7"/>
  <c r="A1623" i="7"/>
  <c r="F1622" i="7"/>
  <c r="E1622" i="7"/>
  <c r="D1622" i="7"/>
  <c r="C1622" i="7"/>
  <c r="B1622" i="7"/>
  <c r="A1622" i="7"/>
  <c r="F1621" i="7"/>
  <c r="E1621" i="7"/>
  <c r="D1621" i="7"/>
  <c r="C1621" i="7"/>
  <c r="B1621" i="7"/>
  <c r="A1621" i="7"/>
  <c r="F1620" i="7"/>
  <c r="E1620" i="7"/>
  <c r="D1620" i="7"/>
  <c r="C1620" i="7"/>
  <c r="B1620" i="7"/>
  <c r="A1620" i="7"/>
  <c r="F1619" i="7"/>
  <c r="E1619" i="7"/>
  <c r="D1619" i="7"/>
  <c r="C1619" i="7"/>
  <c r="B1619" i="7"/>
  <c r="A1619" i="7"/>
  <c r="F1618" i="7"/>
  <c r="E1618" i="7"/>
  <c r="D1618" i="7"/>
  <c r="C1618" i="7"/>
  <c r="B1618" i="7"/>
  <c r="A1618" i="7"/>
  <c r="F1617" i="7"/>
  <c r="E1617" i="7"/>
  <c r="D1617" i="7"/>
  <c r="C1617" i="7"/>
  <c r="B1617" i="7"/>
  <c r="A1617" i="7"/>
  <c r="F1616" i="7"/>
  <c r="E1616" i="7"/>
  <c r="D1616" i="7"/>
  <c r="C1616" i="7"/>
  <c r="B1616" i="7"/>
  <c r="A1616" i="7"/>
  <c r="F1615" i="7"/>
  <c r="E1615" i="7"/>
  <c r="D1615" i="7"/>
  <c r="C1615" i="7"/>
  <c r="B1615" i="7"/>
  <c r="A1615" i="7"/>
  <c r="F1614" i="7"/>
  <c r="E1614" i="7"/>
  <c r="D1614" i="7"/>
  <c r="C1614" i="7"/>
  <c r="B1614" i="7"/>
  <c r="A1614" i="7"/>
  <c r="F1613" i="7"/>
  <c r="E1613" i="7"/>
  <c r="D1613" i="7"/>
  <c r="C1613" i="7"/>
  <c r="B1613" i="7"/>
  <c r="A1613" i="7"/>
  <c r="F1612" i="7"/>
  <c r="E1612" i="7"/>
  <c r="D1612" i="7"/>
  <c r="C1612" i="7"/>
  <c r="B1612" i="7"/>
  <c r="A1612" i="7"/>
  <c r="F1611" i="7"/>
  <c r="E1611" i="7"/>
  <c r="D1611" i="7"/>
  <c r="C1611" i="7"/>
  <c r="B1611" i="7"/>
  <c r="A1611" i="7"/>
  <c r="F1610" i="7"/>
  <c r="E1610" i="7"/>
  <c r="D1610" i="7"/>
  <c r="C1610" i="7"/>
  <c r="B1610" i="7"/>
  <c r="A1610" i="7"/>
  <c r="F1609" i="7"/>
  <c r="E1609" i="7"/>
  <c r="D1609" i="7"/>
  <c r="C1609" i="7"/>
  <c r="B1609" i="7"/>
  <c r="A1609" i="7"/>
  <c r="F1608" i="7"/>
  <c r="E1608" i="7"/>
  <c r="D1608" i="7"/>
  <c r="C1608" i="7"/>
  <c r="B1608" i="7"/>
  <c r="A1608" i="7"/>
  <c r="F1607" i="7"/>
  <c r="E1607" i="7"/>
  <c r="D1607" i="7"/>
  <c r="C1607" i="7"/>
  <c r="B1607" i="7"/>
  <c r="A1607" i="7"/>
  <c r="F1606" i="7"/>
  <c r="E1606" i="7"/>
  <c r="D1606" i="7"/>
  <c r="C1606" i="7"/>
  <c r="B1606" i="7"/>
  <c r="A1606" i="7"/>
  <c r="F1605" i="7"/>
  <c r="E1605" i="7"/>
  <c r="D1605" i="7"/>
  <c r="C1605" i="7"/>
  <c r="B1605" i="7"/>
  <c r="A1605" i="7"/>
  <c r="F1604" i="7"/>
  <c r="E1604" i="7"/>
  <c r="D1604" i="7"/>
  <c r="C1604" i="7"/>
  <c r="B1604" i="7"/>
  <c r="A1604" i="7"/>
  <c r="F1603" i="7"/>
  <c r="E1603" i="7"/>
  <c r="D1603" i="7"/>
  <c r="C1603" i="7"/>
  <c r="B1603" i="7"/>
  <c r="A1603" i="7"/>
  <c r="F1602" i="7"/>
  <c r="E1602" i="7"/>
  <c r="D1602" i="7"/>
  <c r="C1602" i="7"/>
  <c r="B1602" i="7"/>
  <c r="A1602" i="7"/>
  <c r="F1601" i="7"/>
  <c r="E1601" i="7"/>
  <c r="D1601" i="7"/>
  <c r="C1601" i="7"/>
  <c r="B1601" i="7"/>
  <c r="A1601" i="7"/>
  <c r="F1600" i="7"/>
  <c r="E1600" i="7"/>
  <c r="D1600" i="7"/>
  <c r="C1600" i="7"/>
  <c r="B1600" i="7"/>
  <c r="A1600" i="7"/>
  <c r="F1599" i="7"/>
  <c r="E1599" i="7"/>
  <c r="D1599" i="7"/>
  <c r="C1599" i="7"/>
  <c r="B1599" i="7"/>
  <c r="A1599" i="7"/>
  <c r="F1598" i="7"/>
  <c r="E1598" i="7"/>
  <c r="D1598" i="7"/>
  <c r="C1598" i="7"/>
  <c r="B1598" i="7"/>
  <c r="A1598" i="7"/>
  <c r="F1597" i="7"/>
  <c r="E1597" i="7"/>
  <c r="D1597" i="7"/>
  <c r="C1597" i="7"/>
  <c r="B1597" i="7"/>
  <c r="A1597" i="7"/>
  <c r="F1596" i="7"/>
  <c r="E1596" i="7"/>
  <c r="D1596" i="7"/>
  <c r="C1596" i="7"/>
  <c r="B1596" i="7"/>
  <c r="A1596" i="7"/>
  <c r="F1595" i="7"/>
  <c r="E1595" i="7"/>
  <c r="D1595" i="7"/>
  <c r="C1595" i="7"/>
  <c r="B1595" i="7"/>
  <c r="A1595" i="7"/>
  <c r="F1594" i="7"/>
  <c r="E1594" i="7"/>
  <c r="D1594" i="7"/>
  <c r="C1594" i="7"/>
  <c r="B1594" i="7"/>
  <c r="A1594" i="7"/>
  <c r="F1593" i="7"/>
  <c r="E1593" i="7"/>
  <c r="D1593" i="7"/>
  <c r="C1593" i="7"/>
  <c r="B1593" i="7"/>
  <c r="A1593" i="7"/>
  <c r="F1592" i="7"/>
  <c r="E1592" i="7"/>
  <c r="D1592" i="7"/>
  <c r="C1592" i="7"/>
  <c r="B1592" i="7"/>
  <c r="A1592" i="7"/>
  <c r="F1591" i="7"/>
  <c r="E1591" i="7"/>
  <c r="D1591" i="7"/>
  <c r="C1591" i="7"/>
  <c r="B1591" i="7"/>
  <c r="A1591" i="7"/>
  <c r="F1590" i="7"/>
  <c r="E1590" i="7"/>
  <c r="D1590" i="7"/>
  <c r="C1590" i="7"/>
  <c r="B1590" i="7"/>
  <c r="A1590" i="7"/>
  <c r="F1589" i="7"/>
  <c r="E1589" i="7"/>
  <c r="D1589" i="7"/>
  <c r="C1589" i="7"/>
  <c r="B1589" i="7"/>
  <c r="A1589" i="7"/>
  <c r="F1588" i="7"/>
  <c r="E1588" i="7"/>
  <c r="D1588" i="7"/>
  <c r="C1588" i="7"/>
  <c r="B1588" i="7"/>
  <c r="A1588" i="7"/>
  <c r="F1587" i="7"/>
  <c r="E1587" i="7"/>
  <c r="D1587" i="7"/>
  <c r="C1587" i="7"/>
  <c r="B1587" i="7"/>
  <c r="A1587" i="7"/>
  <c r="F1586" i="7"/>
  <c r="E1586" i="7"/>
  <c r="D1586" i="7"/>
  <c r="C1586" i="7"/>
  <c r="B1586" i="7"/>
  <c r="A1586" i="7"/>
  <c r="F1585" i="7"/>
  <c r="E1585" i="7"/>
  <c r="D1585" i="7"/>
  <c r="C1585" i="7"/>
  <c r="B1585" i="7"/>
  <c r="A1585" i="7"/>
  <c r="F1584" i="7"/>
  <c r="E1584" i="7"/>
  <c r="D1584" i="7"/>
  <c r="C1584" i="7"/>
  <c r="B1584" i="7"/>
  <c r="A1584" i="7"/>
  <c r="F1583" i="7"/>
  <c r="E1583" i="7"/>
  <c r="D1583" i="7"/>
  <c r="C1583" i="7"/>
  <c r="B1583" i="7"/>
  <c r="A1583" i="7"/>
  <c r="F1582" i="7"/>
  <c r="E1582" i="7"/>
  <c r="D1582" i="7"/>
  <c r="C1582" i="7"/>
  <c r="B1582" i="7"/>
  <c r="A1582" i="7"/>
  <c r="F1581" i="7"/>
  <c r="E1581" i="7"/>
  <c r="D1581" i="7"/>
  <c r="C1581" i="7"/>
  <c r="B1581" i="7"/>
  <c r="A1581" i="7"/>
  <c r="F1580" i="7"/>
  <c r="E1580" i="7"/>
  <c r="D1580" i="7"/>
  <c r="C1580" i="7"/>
  <c r="B1580" i="7"/>
  <c r="A1580" i="7"/>
  <c r="F1579" i="7"/>
  <c r="E1579" i="7"/>
  <c r="D1579" i="7"/>
  <c r="C1579" i="7"/>
  <c r="B1579" i="7"/>
  <c r="A1579" i="7"/>
  <c r="F1578" i="7"/>
  <c r="E1578" i="7"/>
  <c r="D1578" i="7"/>
  <c r="C1578" i="7"/>
  <c r="B1578" i="7"/>
  <c r="A1578" i="7"/>
  <c r="F1577" i="7"/>
  <c r="E1577" i="7"/>
  <c r="D1577" i="7"/>
  <c r="C1577" i="7"/>
  <c r="B1577" i="7"/>
  <c r="A1577" i="7"/>
  <c r="F1576" i="7"/>
  <c r="E1576" i="7"/>
  <c r="D1576" i="7"/>
  <c r="C1576" i="7"/>
  <c r="B1576" i="7"/>
  <c r="A1576" i="7"/>
  <c r="F1575" i="7"/>
  <c r="E1575" i="7"/>
  <c r="D1575" i="7"/>
  <c r="C1575" i="7"/>
  <c r="B1575" i="7"/>
  <c r="A1575" i="7"/>
  <c r="F1574" i="7"/>
  <c r="E1574" i="7"/>
  <c r="D1574" i="7"/>
  <c r="C1574" i="7"/>
  <c r="B1574" i="7"/>
  <c r="A1574" i="7"/>
  <c r="F1573" i="7"/>
  <c r="E1573" i="7"/>
  <c r="D1573" i="7"/>
  <c r="C1573" i="7"/>
  <c r="B1573" i="7"/>
  <c r="A1573" i="7"/>
  <c r="F1572" i="7"/>
  <c r="E1572" i="7"/>
  <c r="D1572" i="7"/>
  <c r="C1572" i="7"/>
  <c r="B1572" i="7"/>
  <c r="A1572" i="7"/>
  <c r="F1571" i="7"/>
  <c r="E1571" i="7"/>
  <c r="D1571" i="7"/>
  <c r="C1571" i="7"/>
  <c r="B1571" i="7"/>
  <c r="A1571" i="7"/>
  <c r="F1570" i="7"/>
  <c r="E1570" i="7"/>
  <c r="D1570" i="7"/>
  <c r="C1570" i="7"/>
  <c r="B1570" i="7"/>
  <c r="A1570" i="7"/>
  <c r="F1569" i="7"/>
  <c r="E1569" i="7"/>
  <c r="D1569" i="7"/>
  <c r="C1569" i="7"/>
  <c r="B1569" i="7"/>
  <c r="A1569" i="7"/>
  <c r="F1568" i="7"/>
  <c r="E1568" i="7"/>
  <c r="D1568" i="7"/>
  <c r="C1568" i="7"/>
  <c r="B1568" i="7"/>
  <c r="A1568" i="7"/>
  <c r="F1567" i="7"/>
  <c r="E1567" i="7"/>
  <c r="D1567" i="7"/>
  <c r="C1567" i="7"/>
  <c r="B1567" i="7"/>
  <c r="A1567" i="7"/>
  <c r="F1566" i="7"/>
  <c r="E1566" i="7"/>
  <c r="D1566" i="7"/>
  <c r="C1566" i="7"/>
  <c r="B1566" i="7"/>
  <c r="A1566" i="7"/>
  <c r="F1565" i="7"/>
  <c r="E1565" i="7"/>
  <c r="D1565" i="7"/>
  <c r="C1565" i="7"/>
  <c r="B1565" i="7"/>
  <c r="A1565" i="7"/>
  <c r="F1564" i="7"/>
  <c r="E1564" i="7"/>
  <c r="D1564" i="7"/>
  <c r="C1564" i="7"/>
  <c r="B1564" i="7"/>
  <c r="A1564" i="7"/>
  <c r="F1563" i="7"/>
  <c r="E1563" i="7"/>
  <c r="D1563" i="7"/>
  <c r="C1563" i="7"/>
  <c r="B1563" i="7"/>
  <c r="A1563" i="7"/>
  <c r="F1562" i="7"/>
  <c r="E1562" i="7"/>
  <c r="D1562" i="7"/>
  <c r="C1562" i="7"/>
  <c r="B1562" i="7"/>
  <c r="A1562" i="7"/>
  <c r="F1561" i="7"/>
  <c r="E1561" i="7"/>
  <c r="D1561" i="7"/>
  <c r="C1561" i="7"/>
  <c r="B1561" i="7"/>
  <c r="A1561" i="7"/>
  <c r="F1560" i="7"/>
  <c r="E1560" i="7"/>
  <c r="D1560" i="7"/>
  <c r="C1560" i="7"/>
  <c r="B1560" i="7"/>
  <c r="A1560" i="7"/>
  <c r="F1559" i="7"/>
  <c r="E1559" i="7"/>
  <c r="D1559" i="7"/>
  <c r="C1559" i="7"/>
  <c r="B1559" i="7"/>
  <c r="A1559" i="7"/>
  <c r="F1558" i="7"/>
  <c r="E1558" i="7"/>
  <c r="D1558" i="7"/>
  <c r="C1558" i="7"/>
  <c r="B1558" i="7"/>
  <c r="A1558" i="7"/>
  <c r="F1557" i="7"/>
  <c r="E1557" i="7"/>
  <c r="D1557" i="7"/>
  <c r="C1557" i="7"/>
  <c r="B1557" i="7"/>
  <c r="A1557" i="7"/>
  <c r="F1556" i="7"/>
  <c r="E1556" i="7"/>
  <c r="D1556" i="7"/>
  <c r="C1556" i="7"/>
  <c r="B1556" i="7"/>
  <c r="A1556" i="7"/>
  <c r="F1555" i="7"/>
  <c r="E1555" i="7"/>
  <c r="D1555" i="7"/>
  <c r="C1555" i="7"/>
  <c r="B1555" i="7"/>
  <c r="A1555" i="7"/>
  <c r="F1554" i="7"/>
  <c r="E1554" i="7"/>
  <c r="D1554" i="7"/>
  <c r="C1554" i="7"/>
  <c r="B1554" i="7"/>
  <c r="A1554" i="7"/>
  <c r="F1553" i="7"/>
  <c r="E1553" i="7"/>
  <c r="D1553" i="7"/>
  <c r="C1553" i="7"/>
  <c r="B1553" i="7"/>
  <c r="A1553" i="7"/>
  <c r="F1552" i="7"/>
  <c r="E1552" i="7"/>
  <c r="D1552" i="7"/>
  <c r="C1552" i="7"/>
  <c r="B1552" i="7"/>
  <c r="A1552" i="7"/>
  <c r="F1551" i="7"/>
  <c r="E1551" i="7"/>
  <c r="D1551" i="7"/>
  <c r="C1551" i="7"/>
  <c r="B1551" i="7"/>
  <c r="A1551" i="7"/>
  <c r="F1550" i="7"/>
  <c r="E1550" i="7"/>
  <c r="D1550" i="7"/>
  <c r="C1550" i="7"/>
  <c r="B1550" i="7"/>
  <c r="A1550" i="7"/>
  <c r="F1549" i="7"/>
  <c r="E1549" i="7"/>
  <c r="D1549" i="7"/>
  <c r="C1549" i="7"/>
  <c r="B1549" i="7"/>
  <c r="A1549" i="7"/>
  <c r="F1548" i="7"/>
  <c r="E1548" i="7"/>
  <c r="D1548" i="7"/>
  <c r="C1548" i="7"/>
  <c r="B1548" i="7"/>
  <c r="A1548" i="7"/>
  <c r="F1547" i="7"/>
  <c r="E1547" i="7"/>
  <c r="D1547" i="7"/>
  <c r="C1547" i="7"/>
  <c r="B1547" i="7"/>
  <c r="A1547" i="7"/>
  <c r="F1546" i="7"/>
  <c r="E1546" i="7"/>
  <c r="D1546" i="7"/>
  <c r="C1546" i="7"/>
  <c r="B1546" i="7"/>
  <c r="A1546" i="7"/>
  <c r="F1545" i="7"/>
  <c r="E1545" i="7"/>
  <c r="D1545" i="7"/>
  <c r="C1545" i="7"/>
  <c r="B1545" i="7"/>
  <c r="A1545" i="7"/>
  <c r="F1544" i="7"/>
  <c r="E1544" i="7"/>
  <c r="D1544" i="7"/>
  <c r="C1544" i="7"/>
  <c r="B1544" i="7"/>
  <c r="A1544" i="7"/>
  <c r="F1543" i="7"/>
  <c r="E1543" i="7"/>
  <c r="D1543" i="7"/>
  <c r="C1543" i="7"/>
  <c r="B1543" i="7"/>
  <c r="A1543" i="7"/>
  <c r="F1542" i="7"/>
  <c r="E1542" i="7"/>
  <c r="D1542" i="7"/>
  <c r="C1542" i="7"/>
  <c r="B1542" i="7"/>
  <c r="A1542" i="7"/>
  <c r="F1541" i="7"/>
  <c r="E1541" i="7"/>
  <c r="D1541" i="7"/>
  <c r="C1541" i="7"/>
  <c r="B1541" i="7"/>
  <c r="A1541" i="7"/>
  <c r="F1540" i="7"/>
  <c r="E1540" i="7"/>
  <c r="D1540" i="7"/>
  <c r="C1540" i="7"/>
  <c r="B1540" i="7"/>
  <c r="A1540" i="7"/>
  <c r="F1539" i="7"/>
  <c r="E1539" i="7"/>
  <c r="D1539" i="7"/>
  <c r="C1539" i="7"/>
  <c r="B1539" i="7"/>
  <c r="A1539" i="7"/>
  <c r="F1538" i="7"/>
  <c r="E1538" i="7"/>
  <c r="D1538" i="7"/>
  <c r="C1538" i="7"/>
  <c r="B1538" i="7"/>
  <c r="A1538" i="7"/>
  <c r="F1537" i="7"/>
  <c r="E1537" i="7"/>
  <c r="D1537" i="7"/>
  <c r="C1537" i="7"/>
  <c r="B1537" i="7"/>
  <c r="A1537" i="7"/>
  <c r="F1536" i="7"/>
  <c r="E1536" i="7"/>
  <c r="D1536" i="7"/>
  <c r="C1536" i="7"/>
  <c r="B1536" i="7"/>
  <c r="A1536" i="7"/>
  <c r="F1535" i="7"/>
  <c r="E1535" i="7"/>
  <c r="D1535" i="7"/>
  <c r="C1535" i="7"/>
  <c r="B1535" i="7"/>
  <c r="A1535" i="7"/>
  <c r="F1534" i="7"/>
  <c r="E1534" i="7"/>
  <c r="D1534" i="7"/>
  <c r="C1534" i="7"/>
  <c r="B1534" i="7"/>
  <c r="A1534" i="7"/>
  <c r="F1533" i="7"/>
  <c r="E1533" i="7"/>
  <c r="D1533" i="7"/>
  <c r="C1533" i="7"/>
  <c r="B1533" i="7"/>
  <c r="A1533" i="7"/>
  <c r="F1532" i="7"/>
  <c r="E1532" i="7"/>
  <c r="D1532" i="7"/>
  <c r="C1532" i="7"/>
  <c r="B1532" i="7"/>
  <c r="A1532" i="7"/>
  <c r="F1531" i="7"/>
  <c r="E1531" i="7"/>
  <c r="D1531" i="7"/>
  <c r="C1531" i="7"/>
  <c r="B1531" i="7"/>
  <c r="A1531" i="7"/>
  <c r="F1530" i="7"/>
  <c r="E1530" i="7"/>
  <c r="D1530" i="7"/>
  <c r="C1530" i="7"/>
  <c r="B1530" i="7"/>
  <c r="A1530" i="7"/>
  <c r="F1529" i="7"/>
  <c r="E1529" i="7"/>
  <c r="D1529" i="7"/>
  <c r="C1529" i="7"/>
  <c r="B1529" i="7"/>
  <c r="A1529" i="7"/>
  <c r="F1528" i="7"/>
  <c r="E1528" i="7"/>
  <c r="D1528" i="7"/>
  <c r="C1528" i="7"/>
  <c r="B1528" i="7"/>
  <c r="A1528" i="7"/>
  <c r="F1527" i="7"/>
  <c r="E1527" i="7"/>
  <c r="D1527" i="7"/>
  <c r="C1527" i="7"/>
  <c r="B1527" i="7"/>
  <c r="A1527" i="7"/>
  <c r="F1526" i="7"/>
  <c r="E1526" i="7"/>
  <c r="D1526" i="7"/>
  <c r="C1526" i="7"/>
  <c r="B1526" i="7"/>
  <c r="A1526" i="7"/>
  <c r="F1525" i="7"/>
  <c r="E1525" i="7"/>
  <c r="D1525" i="7"/>
  <c r="C1525" i="7"/>
  <c r="B1525" i="7"/>
  <c r="A1525" i="7"/>
  <c r="F1524" i="7"/>
  <c r="E1524" i="7"/>
  <c r="D1524" i="7"/>
  <c r="C1524" i="7"/>
  <c r="B1524" i="7"/>
  <c r="A1524" i="7"/>
  <c r="F1523" i="7"/>
  <c r="E1523" i="7"/>
  <c r="D1523" i="7"/>
  <c r="C1523" i="7"/>
  <c r="B1523" i="7"/>
  <c r="A1523" i="7"/>
  <c r="F1522" i="7"/>
  <c r="E1522" i="7"/>
  <c r="D1522" i="7"/>
  <c r="C1522" i="7"/>
  <c r="B1522" i="7"/>
  <c r="A1522" i="7"/>
  <c r="F1521" i="7"/>
  <c r="E1521" i="7"/>
  <c r="D1521" i="7"/>
  <c r="C1521" i="7"/>
  <c r="B1521" i="7"/>
  <c r="A1521" i="7"/>
  <c r="F1520" i="7"/>
  <c r="E1520" i="7"/>
  <c r="D1520" i="7"/>
  <c r="C1520" i="7"/>
  <c r="B1520" i="7"/>
  <c r="A1520" i="7"/>
  <c r="F1519" i="7"/>
  <c r="E1519" i="7"/>
  <c r="D1519" i="7"/>
  <c r="C1519" i="7"/>
  <c r="B1519" i="7"/>
  <c r="A1519" i="7"/>
  <c r="F1518" i="7"/>
  <c r="E1518" i="7"/>
  <c r="D1518" i="7"/>
  <c r="C1518" i="7"/>
  <c r="B1518" i="7"/>
  <c r="A1518" i="7"/>
  <c r="F1517" i="7"/>
  <c r="E1517" i="7"/>
  <c r="D1517" i="7"/>
  <c r="C1517" i="7"/>
  <c r="B1517" i="7"/>
  <c r="A1517" i="7"/>
  <c r="F1516" i="7"/>
  <c r="E1516" i="7"/>
  <c r="D1516" i="7"/>
  <c r="C1516" i="7"/>
  <c r="B1516" i="7"/>
  <c r="A1516" i="7"/>
  <c r="F1515" i="7"/>
  <c r="E1515" i="7"/>
  <c r="D1515" i="7"/>
  <c r="C1515" i="7"/>
  <c r="B1515" i="7"/>
  <c r="A1515" i="7"/>
  <c r="F1514" i="7"/>
  <c r="E1514" i="7"/>
  <c r="D1514" i="7"/>
  <c r="C1514" i="7"/>
  <c r="B1514" i="7"/>
  <c r="A1514" i="7"/>
  <c r="F1513" i="7"/>
  <c r="E1513" i="7"/>
  <c r="D1513" i="7"/>
  <c r="C1513" i="7"/>
  <c r="B1513" i="7"/>
  <c r="A1513" i="7"/>
  <c r="F1512" i="7"/>
  <c r="E1512" i="7"/>
  <c r="D1512" i="7"/>
  <c r="C1512" i="7"/>
  <c r="B1512" i="7"/>
  <c r="A1512" i="7"/>
  <c r="F1511" i="7"/>
  <c r="E1511" i="7"/>
  <c r="D1511" i="7"/>
  <c r="C1511" i="7"/>
  <c r="B1511" i="7"/>
  <c r="A1511" i="7"/>
  <c r="F1510" i="7"/>
  <c r="E1510" i="7"/>
  <c r="D1510" i="7"/>
  <c r="C1510" i="7"/>
  <c r="B1510" i="7"/>
  <c r="A1510" i="7"/>
  <c r="F1509" i="7"/>
  <c r="E1509" i="7"/>
  <c r="D1509" i="7"/>
  <c r="C1509" i="7"/>
  <c r="B1509" i="7"/>
  <c r="A1509" i="7"/>
  <c r="F1508" i="7"/>
  <c r="E1508" i="7"/>
  <c r="D1508" i="7"/>
  <c r="C1508" i="7"/>
  <c r="B1508" i="7"/>
  <c r="A1508" i="7"/>
  <c r="F1507" i="7"/>
  <c r="E1507" i="7"/>
  <c r="D1507" i="7"/>
  <c r="C1507" i="7"/>
  <c r="B1507" i="7"/>
  <c r="A1507" i="7"/>
  <c r="F1506" i="7"/>
  <c r="E1506" i="7"/>
  <c r="D1506" i="7"/>
  <c r="C1506" i="7"/>
  <c r="B1506" i="7"/>
  <c r="A1506" i="7"/>
  <c r="F1505" i="7"/>
  <c r="E1505" i="7"/>
  <c r="D1505" i="7"/>
  <c r="C1505" i="7"/>
  <c r="B1505" i="7"/>
  <c r="A1505" i="7"/>
  <c r="F1504" i="7"/>
  <c r="E1504" i="7"/>
  <c r="D1504" i="7"/>
  <c r="C1504" i="7"/>
  <c r="B1504" i="7"/>
  <c r="A1504" i="7"/>
  <c r="F1503" i="7"/>
  <c r="E1503" i="7"/>
  <c r="D1503" i="7"/>
  <c r="C1503" i="7"/>
  <c r="B1503" i="7"/>
  <c r="A1503" i="7"/>
  <c r="F1502" i="7"/>
  <c r="E1502" i="7"/>
  <c r="D1502" i="7"/>
  <c r="C1502" i="7"/>
  <c r="B1502" i="7"/>
  <c r="A1502" i="7"/>
  <c r="F1501" i="7"/>
  <c r="E1501" i="7"/>
  <c r="D1501" i="7"/>
  <c r="C1501" i="7"/>
  <c r="B1501" i="7"/>
  <c r="A1501" i="7"/>
  <c r="F1500" i="7"/>
  <c r="E1500" i="7"/>
  <c r="D1500" i="7"/>
  <c r="C1500" i="7"/>
  <c r="B1500" i="7"/>
  <c r="A1500" i="7"/>
  <c r="F1499" i="7"/>
  <c r="E1499" i="7"/>
  <c r="D1499" i="7"/>
  <c r="C1499" i="7"/>
  <c r="B1499" i="7"/>
  <c r="A1499" i="7"/>
  <c r="F1498" i="7"/>
  <c r="E1498" i="7"/>
  <c r="D1498" i="7"/>
  <c r="C1498" i="7"/>
  <c r="B1498" i="7"/>
  <c r="A1498" i="7"/>
  <c r="F1497" i="7"/>
  <c r="E1497" i="7"/>
  <c r="D1497" i="7"/>
  <c r="C1497" i="7"/>
  <c r="B1497" i="7"/>
  <c r="A1497" i="7"/>
  <c r="F1496" i="7"/>
  <c r="E1496" i="7"/>
  <c r="D1496" i="7"/>
  <c r="C1496" i="7"/>
  <c r="B1496" i="7"/>
  <c r="A1496" i="7"/>
  <c r="F1495" i="7"/>
  <c r="E1495" i="7"/>
  <c r="D1495" i="7"/>
  <c r="C1495" i="7"/>
  <c r="B1495" i="7"/>
  <c r="A1495" i="7"/>
  <c r="F1494" i="7"/>
  <c r="E1494" i="7"/>
  <c r="D1494" i="7"/>
  <c r="C1494" i="7"/>
  <c r="B1494" i="7"/>
  <c r="A1494" i="7"/>
  <c r="F1493" i="7"/>
  <c r="E1493" i="7"/>
  <c r="D1493" i="7"/>
  <c r="C1493" i="7"/>
  <c r="B1493" i="7"/>
  <c r="A1493" i="7"/>
  <c r="F1492" i="7"/>
  <c r="E1492" i="7"/>
  <c r="D1492" i="7"/>
  <c r="C1492" i="7"/>
  <c r="B1492" i="7"/>
  <c r="A1492" i="7"/>
  <c r="F1491" i="7"/>
  <c r="E1491" i="7"/>
  <c r="D1491" i="7"/>
  <c r="C1491" i="7"/>
  <c r="B1491" i="7"/>
  <c r="A1491" i="7"/>
  <c r="F1490" i="7"/>
  <c r="E1490" i="7"/>
  <c r="D1490" i="7"/>
  <c r="C1490" i="7"/>
  <c r="B1490" i="7"/>
  <c r="A1490" i="7"/>
  <c r="F1489" i="7"/>
  <c r="E1489" i="7"/>
  <c r="D1489" i="7"/>
  <c r="C1489" i="7"/>
  <c r="B1489" i="7"/>
  <c r="A1489" i="7"/>
  <c r="F1488" i="7"/>
  <c r="E1488" i="7"/>
  <c r="D1488" i="7"/>
  <c r="C1488" i="7"/>
  <c r="B1488" i="7"/>
  <c r="A1488" i="7"/>
  <c r="F1487" i="7"/>
  <c r="E1487" i="7"/>
  <c r="D1487" i="7"/>
  <c r="C1487" i="7"/>
  <c r="B1487" i="7"/>
  <c r="A1487" i="7"/>
  <c r="F1486" i="7"/>
  <c r="E1486" i="7"/>
  <c r="D1486" i="7"/>
  <c r="C1486" i="7"/>
  <c r="B1486" i="7"/>
  <c r="A1486" i="7"/>
  <c r="F1485" i="7"/>
  <c r="E1485" i="7"/>
  <c r="D1485" i="7"/>
  <c r="C1485" i="7"/>
  <c r="B1485" i="7"/>
  <c r="A1485" i="7"/>
  <c r="F1484" i="7"/>
  <c r="E1484" i="7"/>
  <c r="D1484" i="7"/>
  <c r="C1484" i="7"/>
  <c r="B1484" i="7"/>
  <c r="A1484" i="7"/>
  <c r="F1483" i="7"/>
  <c r="E1483" i="7"/>
  <c r="D1483" i="7"/>
  <c r="C1483" i="7"/>
  <c r="B1483" i="7"/>
  <c r="A1483" i="7"/>
  <c r="F1482" i="7"/>
  <c r="E1482" i="7"/>
  <c r="D1482" i="7"/>
  <c r="C1482" i="7"/>
  <c r="B1482" i="7"/>
  <c r="A1482" i="7"/>
  <c r="F1481" i="7"/>
  <c r="E1481" i="7"/>
  <c r="D1481" i="7"/>
  <c r="C1481" i="7"/>
  <c r="B1481" i="7"/>
  <c r="A1481" i="7"/>
  <c r="F1480" i="7"/>
  <c r="E1480" i="7"/>
  <c r="D1480" i="7"/>
  <c r="C1480" i="7"/>
  <c r="B1480" i="7"/>
  <c r="A1480" i="7"/>
  <c r="F1479" i="7"/>
  <c r="E1479" i="7"/>
  <c r="D1479" i="7"/>
  <c r="C1479" i="7"/>
  <c r="B1479" i="7"/>
  <c r="A1479" i="7"/>
  <c r="F1478" i="7"/>
  <c r="E1478" i="7"/>
  <c r="D1478" i="7"/>
  <c r="C1478" i="7"/>
  <c r="B1478" i="7"/>
  <c r="A1478" i="7"/>
  <c r="F1477" i="7"/>
  <c r="E1477" i="7"/>
  <c r="D1477" i="7"/>
  <c r="C1477" i="7"/>
  <c r="B1477" i="7"/>
  <c r="A1477" i="7"/>
  <c r="F1476" i="7"/>
  <c r="E1476" i="7"/>
  <c r="D1476" i="7"/>
  <c r="C1476" i="7"/>
  <c r="B1476" i="7"/>
  <c r="A1476" i="7"/>
  <c r="F1475" i="7"/>
  <c r="E1475" i="7"/>
  <c r="D1475" i="7"/>
  <c r="C1475" i="7"/>
  <c r="B1475" i="7"/>
  <c r="A1475" i="7"/>
  <c r="F1474" i="7"/>
  <c r="E1474" i="7"/>
  <c r="D1474" i="7"/>
  <c r="C1474" i="7"/>
  <c r="B1474" i="7"/>
  <c r="A1474" i="7"/>
  <c r="F1473" i="7"/>
  <c r="E1473" i="7"/>
  <c r="D1473" i="7"/>
  <c r="C1473" i="7"/>
  <c r="B1473" i="7"/>
  <c r="A1473" i="7"/>
  <c r="F1472" i="7"/>
  <c r="E1472" i="7"/>
  <c r="D1472" i="7"/>
  <c r="C1472" i="7"/>
  <c r="B1472" i="7"/>
  <c r="A1472" i="7"/>
  <c r="F1471" i="7"/>
  <c r="E1471" i="7"/>
  <c r="D1471" i="7"/>
  <c r="C1471" i="7"/>
  <c r="B1471" i="7"/>
  <c r="A1471" i="7"/>
  <c r="F1470" i="7"/>
  <c r="E1470" i="7"/>
  <c r="D1470" i="7"/>
  <c r="C1470" i="7"/>
  <c r="B1470" i="7"/>
  <c r="A1470" i="7"/>
  <c r="F1469" i="7"/>
  <c r="E1469" i="7"/>
  <c r="D1469" i="7"/>
  <c r="C1469" i="7"/>
  <c r="B1469" i="7"/>
  <c r="A1469" i="7"/>
  <c r="F1468" i="7"/>
  <c r="E1468" i="7"/>
  <c r="D1468" i="7"/>
  <c r="C1468" i="7"/>
  <c r="B1468" i="7"/>
  <c r="A1468" i="7"/>
  <c r="F1467" i="7"/>
  <c r="E1467" i="7"/>
  <c r="D1467" i="7"/>
  <c r="C1467" i="7"/>
  <c r="B1467" i="7"/>
  <c r="A1467" i="7"/>
  <c r="F1466" i="7"/>
  <c r="E1466" i="7"/>
  <c r="D1466" i="7"/>
  <c r="C1466" i="7"/>
  <c r="B1466" i="7"/>
  <c r="A1466" i="7"/>
  <c r="F1465" i="7"/>
  <c r="E1465" i="7"/>
  <c r="D1465" i="7"/>
  <c r="C1465" i="7"/>
  <c r="B1465" i="7"/>
  <c r="A1465" i="7"/>
  <c r="F1464" i="7"/>
  <c r="E1464" i="7"/>
  <c r="D1464" i="7"/>
  <c r="C1464" i="7"/>
  <c r="B1464" i="7"/>
  <c r="A1464" i="7"/>
  <c r="F1463" i="7"/>
  <c r="E1463" i="7"/>
  <c r="D1463" i="7"/>
  <c r="C1463" i="7"/>
  <c r="B1463" i="7"/>
  <c r="A1463" i="7"/>
  <c r="F1462" i="7"/>
  <c r="E1462" i="7"/>
  <c r="D1462" i="7"/>
  <c r="C1462" i="7"/>
  <c r="B1462" i="7"/>
  <c r="A1462" i="7"/>
  <c r="F1461" i="7"/>
  <c r="E1461" i="7"/>
  <c r="D1461" i="7"/>
  <c r="C1461" i="7"/>
  <c r="B1461" i="7"/>
  <c r="A1461" i="7"/>
  <c r="F1460" i="7"/>
  <c r="E1460" i="7"/>
  <c r="D1460" i="7"/>
  <c r="C1460" i="7"/>
  <c r="B1460" i="7"/>
  <c r="A1460" i="7"/>
  <c r="F1459" i="7"/>
  <c r="E1459" i="7"/>
  <c r="D1459" i="7"/>
  <c r="C1459" i="7"/>
  <c r="B1459" i="7"/>
  <c r="A1459" i="7"/>
  <c r="F1458" i="7"/>
  <c r="E1458" i="7"/>
  <c r="D1458" i="7"/>
  <c r="C1458" i="7"/>
  <c r="B1458" i="7"/>
  <c r="A1458" i="7"/>
  <c r="F1457" i="7"/>
  <c r="E1457" i="7"/>
  <c r="D1457" i="7"/>
  <c r="C1457" i="7"/>
  <c r="B1457" i="7"/>
  <c r="A1457" i="7"/>
  <c r="F1456" i="7"/>
  <c r="E1456" i="7"/>
  <c r="D1456" i="7"/>
  <c r="C1456" i="7"/>
  <c r="B1456" i="7"/>
  <c r="A1456" i="7"/>
  <c r="F1455" i="7"/>
  <c r="E1455" i="7"/>
  <c r="D1455" i="7"/>
  <c r="C1455" i="7"/>
  <c r="B1455" i="7"/>
  <c r="A1455" i="7"/>
  <c r="F1454" i="7"/>
  <c r="E1454" i="7"/>
  <c r="D1454" i="7"/>
  <c r="C1454" i="7"/>
  <c r="B1454" i="7"/>
  <c r="A1454" i="7"/>
  <c r="F1453" i="7"/>
  <c r="E1453" i="7"/>
  <c r="D1453" i="7"/>
  <c r="C1453" i="7"/>
  <c r="B1453" i="7"/>
  <c r="A1453" i="7"/>
  <c r="F1452" i="7"/>
  <c r="E1452" i="7"/>
  <c r="D1452" i="7"/>
  <c r="C1452" i="7"/>
  <c r="B1452" i="7"/>
  <c r="A1452" i="7"/>
  <c r="F1451" i="7"/>
  <c r="E1451" i="7"/>
  <c r="D1451" i="7"/>
  <c r="C1451" i="7"/>
  <c r="B1451" i="7"/>
  <c r="A1451" i="7"/>
  <c r="F1450" i="7"/>
  <c r="E1450" i="7"/>
  <c r="D1450" i="7"/>
  <c r="C1450" i="7"/>
  <c r="B1450" i="7"/>
  <c r="A1450" i="7"/>
  <c r="F1449" i="7"/>
  <c r="E1449" i="7"/>
  <c r="D1449" i="7"/>
  <c r="C1449" i="7"/>
  <c r="B1449" i="7"/>
  <c r="A1449" i="7"/>
  <c r="F1448" i="7"/>
  <c r="E1448" i="7"/>
  <c r="D1448" i="7"/>
  <c r="C1448" i="7"/>
  <c r="B1448" i="7"/>
  <c r="A1448" i="7"/>
  <c r="F1447" i="7"/>
  <c r="E1447" i="7"/>
  <c r="D1447" i="7"/>
  <c r="C1447" i="7"/>
  <c r="B1447" i="7"/>
  <c r="A1447" i="7"/>
  <c r="F1446" i="7"/>
  <c r="E1446" i="7"/>
  <c r="D1446" i="7"/>
  <c r="C1446" i="7"/>
  <c r="B1446" i="7"/>
  <c r="A1446" i="7"/>
  <c r="F1445" i="7"/>
  <c r="E1445" i="7"/>
  <c r="D1445" i="7"/>
  <c r="C1445" i="7"/>
  <c r="B1445" i="7"/>
  <c r="A1445" i="7"/>
  <c r="F1444" i="7"/>
  <c r="E1444" i="7"/>
  <c r="D1444" i="7"/>
  <c r="C1444" i="7"/>
  <c r="B1444" i="7"/>
  <c r="A1444" i="7"/>
  <c r="F1443" i="7"/>
  <c r="E1443" i="7"/>
  <c r="D1443" i="7"/>
  <c r="C1443" i="7"/>
  <c r="B1443" i="7"/>
  <c r="A1443" i="7"/>
  <c r="F1442" i="7"/>
  <c r="E1442" i="7"/>
  <c r="D1442" i="7"/>
  <c r="C1442" i="7"/>
  <c r="B1442" i="7"/>
  <c r="A1442" i="7"/>
  <c r="F1441" i="7"/>
  <c r="E1441" i="7"/>
  <c r="D1441" i="7"/>
  <c r="C1441" i="7"/>
  <c r="B1441" i="7"/>
  <c r="A1441" i="7"/>
  <c r="F1440" i="7"/>
  <c r="E1440" i="7"/>
  <c r="D1440" i="7"/>
  <c r="C1440" i="7"/>
  <c r="B1440" i="7"/>
  <c r="A1440" i="7"/>
  <c r="F1439" i="7"/>
  <c r="E1439" i="7"/>
  <c r="D1439" i="7"/>
  <c r="C1439" i="7"/>
  <c r="B1439" i="7"/>
  <c r="A1439" i="7"/>
  <c r="F1438" i="7"/>
  <c r="E1438" i="7"/>
  <c r="D1438" i="7"/>
  <c r="C1438" i="7"/>
  <c r="B1438" i="7"/>
  <c r="A1438" i="7"/>
  <c r="F1437" i="7"/>
  <c r="E1437" i="7"/>
  <c r="D1437" i="7"/>
  <c r="C1437" i="7"/>
  <c r="B1437" i="7"/>
  <c r="A1437" i="7"/>
  <c r="F1436" i="7"/>
  <c r="E1436" i="7"/>
  <c r="D1436" i="7"/>
  <c r="C1436" i="7"/>
  <c r="B1436" i="7"/>
  <c r="A1436" i="7"/>
  <c r="F1435" i="7"/>
  <c r="E1435" i="7"/>
  <c r="D1435" i="7"/>
  <c r="C1435" i="7"/>
  <c r="B1435" i="7"/>
  <c r="A1435" i="7"/>
  <c r="F1434" i="7"/>
  <c r="E1434" i="7"/>
  <c r="D1434" i="7"/>
  <c r="C1434" i="7"/>
  <c r="B1434" i="7"/>
  <c r="A1434" i="7"/>
  <c r="F1433" i="7"/>
  <c r="E1433" i="7"/>
  <c r="D1433" i="7"/>
  <c r="C1433" i="7"/>
  <c r="B1433" i="7"/>
  <c r="A1433" i="7"/>
  <c r="F1432" i="7"/>
  <c r="E1432" i="7"/>
  <c r="D1432" i="7"/>
  <c r="C1432" i="7"/>
  <c r="B1432" i="7"/>
  <c r="A1432" i="7"/>
  <c r="F1431" i="7"/>
  <c r="E1431" i="7"/>
  <c r="D1431" i="7"/>
  <c r="C1431" i="7"/>
  <c r="B1431" i="7"/>
  <c r="A1431" i="7"/>
  <c r="F1430" i="7"/>
  <c r="E1430" i="7"/>
  <c r="D1430" i="7"/>
  <c r="C1430" i="7"/>
  <c r="B1430" i="7"/>
  <c r="A1430" i="7"/>
  <c r="F1429" i="7"/>
  <c r="E1429" i="7"/>
  <c r="D1429" i="7"/>
  <c r="C1429" i="7"/>
  <c r="B1429" i="7"/>
  <c r="A1429" i="7"/>
  <c r="F1428" i="7"/>
  <c r="E1428" i="7"/>
  <c r="D1428" i="7"/>
  <c r="C1428" i="7"/>
  <c r="B1428" i="7"/>
  <c r="A1428" i="7"/>
  <c r="F1427" i="7"/>
  <c r="E1427" i="7"/>
  <c r="D1427" i="7"/>
  <c r="C1427" i="7"/>
  <c r="B1427" i="7"/>
  <c r="A1427" i="7"/>
  <c r="F1426" i="7"/>
  <c r="E1426" i="7"/>
  <c r="D1426" i="7"/>
  <c r="C1426" i="7"/>
  <c r="B1426" i="7"/>
  <c r="A1426" i="7"/>
  <c r="F1425" i="7"/>
  <c r="E1425" i="7"/>
  <c r="D1425" i="7"/>
  <c r="C1425" i="7"/>
  <c r="B1425" i="7"/>
  <c r="A1425" i="7"/>
  <c r="F1424" i="7"/>
  <c r="E1424" i="7"/>
  <c r="D1424" i="7"/>
  <c r="C1424" i="7"/>
  <c r="B1424" i="7"/>
  <c r="A1424" i="7"/>
  <c r="F1423" i="7"/>
  <c r="E1423" i="7"/>
  <c r="D1423" i="7"/>
  <c r="C1423" i="7"/>
  <c r="B1423" i="7"/>
  <c r="A1423" i="7"/>
  <c r="F1422" i="7"/>
  <c r="E1422" i="7"/>
  <c r="D1422" i="7"/>
  <c r="C1422" i="7"/>
  <c r="B1422" i="7"/>
  <c r="A1422" i="7"/>
  <c r="F1421" i="7"/>
  <c r="E1421" i="7"/>
  <c r="D1421" i="7"/>
  <c r="C1421" i="7"/>
  <c r="B1421" i="7"/>
  <c r="A1421" i="7"/>
  <c r="F1420" i="7"/>
  <c r="E1420" i="7"/>
  <c r="D1420" i="7"/>
  <c r="C1420" i="7"/>
  <c r="B1420" i="7"/>
  <c r="A1420" i="7"/>
  <c r="F1419" i="7"/>
  <c r="E1419" i="7"/>
  <c r="D1419" i="7"/>
  <c r="C1419" i="7"/>
  <c r="B1419" i="7"/>
  <c r="A1419" i="7"/>
  <c r="F1418" i="7"/>
  <c r="E1418" i="7"/>
  <c r="D1418" i="7"/>
  <c r="C1418" i="7"/>
  <c r="B1418" i="7"/>
  <c r="A1418" i="7"/>
  <c r="F1417" i="7"/>
  <c r="E1417" i="7"/>
  <c r="D1417" i="7"/>
  <c r="C1417" i="7"/>
  <c r="B1417" i="7"/>
  <c r="A1417" i="7"/>
  <c r="F1416" i="7"/>
  <c r="E1416" i="7"/>
  <c r="D1416" i="7"/>
  <c r="C1416" i="7"/>
  <c r="B1416" i="7"/>
  <c r="A1416" i="7"/>
  <c r="F1415" i="7"/>
  <c r="E1415" i="7"/>
  <c r="D1415" i="7"/>
  <c r="C1415" i="7"/>
  <c r="B1415" i="7"/>
  <c r="A1415" i="7"/>
  <c r="F1414" i="7"/>
  <c r="E1414" i="7"/>
  <c r="D1414" i="7"/>
  <c r="C1414" i="7"/>
  <c r="B1414" i="7"/>
  <c r="A1414" i="7"/>
  <c r="F1413" i="7"/>
  <c r="E1413" i="7"/>
  <c r="D1413" i="7"/>
  <c r="C1413" i="7"/>
  <c r="B1413" i="7"/>
  <c r="A1413" i="7"/>
  <c r="F1412" i="7"/>
  <c r="E1412" i="7"/>
  <c r="D1412" i="7"/>
  <c r="C1412" i="7"/>
  <c r="B1412" i="7"/>
  <c r="A1412" i="7"/>
  <c r="F1411" i="7"/>
  <c r="E1411" i="7"/>
  <c r="D1411" i="7"/>
  <c r="C1411" i="7"/>
  <c r="B1411" i="7"/>
  <c r="A1411" i="7"/>
  <c r="F1410" i="7"/>
  <c r="E1410" i="7"/>
  <c r="D1410" i="7"/>
  <c r="C1410" i="7"/>
  <c r="B1410" i="7"/>
  <c r="A1410" i="7"/>
  <c r="F1409" i="7"/>
  <c r="E1409" i="7"/>
  <c r="D1409" i="7"/>
  <c r="C1409" i="7"/>
  <c r="B1409" i="7"/>
  <c r="A1409" i="7"/>
  <c r="F1408" i="7"/>
  <c r="E1408" i="7"/>
  <c r="D1408" i="7"/>
  <c r="C1408" i="7"/>
  <c r="B1408" i="7"/>
  <c r="A1408" i="7"/>
  <c r="F1407" i="7"/>
  <c r="E1407" i="7"/>
  <c r="D1407" i="7"/>
  <c r="C1407" i="7"/>
  <c r="B1407" i="7"/>
  <c r="A1407" i="7"/>
  <c r="F1406" i="7"/>
  <c r="E1406" i="7"/>
  <c r="D1406" i="7"/>
  <c r="C1406" i="7"/>
  <c r="B1406" i="7"/>
  <c r="A1406" i="7"/>
  <c r="F1405" i="7"/>
  <c r="E1405" i="7"/>
  <c r="D1405" i="7"/>
  <c r="C1405" i="7"/>
  <c r="B1405" i="7"/>
  <c r="A1405" i="7"/>
  <c r="F1404" i="7"/>
  <c r="E1404" i="7"/>
  <c r="D1404" i="7"/>
  <c r="C1404" i="7"/>
  <c r="B1404" i="7"/>
  <c r="A1404" i="7"/>
  <c r="F1403" i="7"/>
  <c r="E1403" i="7"/>
  <c r="D1403" i="7"/>
  <c r="C1403" i="7"/>
  <c r="B1403" i="7"/>
  <c r="A1403" i="7"/>
  <c r="F1402" i="7"/>
  <c r="E1402" i="7"/>
  <c r="D1402" i="7"/>
  <c r="C1402" i="7"/>
  <c r="B1402" i="7"/>
  <c r="A1402" i="7"/>
  <c r="F1401" i="7"/>
  <c r="E1401" i="7"/>
  <c r="D1401" i="7"/>
  <c r="C1401" i="7"/>
  <c r="B1401" i="7"/>
  <c r="A1401" i="7"/>
  <c r="F1400" i="7"/>
  <c r="E1400" i="7"/>
  <c r="D1400" i="7"/>
  <c r="C1400" i="7"/>
  <c r="B1400" i="7"/>
  <c r="A1400" i="7"/>
  <c r="F1399" i="7"/>
  <c r="E1399" i="7"/>
  <c r="D1399" i="7"/>
  <c r="C1399" i="7"/>
  <c r="B1399" i="7"/>
  <c r="A1399" i="7"/>
  <c r="F1398" i="7"/>
  <c r="E1398" i="7"/>
  <c r="D1398" i="7"/>
  <c r="C1398" i="7"/>
  <c r="B1398" i="7"/>
  <c r="A1398" i="7"/>
  <c r="F1397" i="7"/>
  <c r="E1397" i="7"/>
  <c r="D1397" i="7"/>
  <c r="C1397" i="7"/>
  <c r="B1397" i="7"/>
  <c r="A1397" i="7"/>
  <c r="F1396" i="7"/>
  <c r="E1396" i="7"/>
  <c r="D1396" i="7"/>
  <c r="C1396" i="7"/>
  <c r="B1396" i="7"/>
  <c r="A1396" i="7"/>
  <c r="F1395" i="7"/>
  <c r="E1395" i="7"/>
  <c r="D1395" i="7"/>
  <c r="C1395" i="7"/>
  <c r="B1395" i="7"/>
  <c r="A1395" i="7"/>
  <c r="F1394" i="7"/>
  <c r="E1394" i="7"/>
  <c r="D1394" i="7"/>
  <c r="C1394" i="7"/>
  <c r="B1394" i="7"/>
  <c r="A1394" i="7"/>
  <c r="F1393" i="7"/>
  <c r="E1393" i="7"/>
  <c r="D1393" i="7"/>
  <c r="C1393" i="7"/>
  <c r="B1393" i="7"/>
  <c r="A1393" i="7"/>
  <c r="F1392" i="7"/>
  <c r="E1392" i="7"/>
  <c r="D1392" i="7"/>
  <c r="C1392" i="7"/>
  <c r="B1392" i="7"/>
  <c r="A1392" i="7"/>
  <c r="F1391" i="7"/>
  <c r="E1391" i="7"/>
  <c r="D1391" i="7"/>
  <c r="C1391" i="7"/>
  <c r="B1391" i="7"/>
  <c r="A1391" i="7"/>
  <c r="F1390" i="7"/>
  <c r="E1390" i="7"/>
  <c r="D1390" i="7"/>
  <c r="C1390" i="7"/>
  <c r="B1390" i="7"/>
  <c r="A1390" i="7"/>
  <c r="F1389" i="7"/>
  <c r="E1389" i="7"/>
  <c r="D1389" i="7"/>
  <c r="C1389" i="7"/>
  <c r="B1389" i="7"/>
  <c r="A1389" i="7"/>
  <c r="F1388" i="7"/>
  <c r="E1388" i="7"/>
  <c r="D1388" i="7"/>
  <c r="C1388" i="7"/>
  <c r="B1388" i="7"/>
  <c r="A1388" i="7"/>
  <c r="F1387" i="7"/>
  <c r="E1387" i="7"/>
  <c r="D1387" i="7"/>
  <c r="C1387" i="7"/>
  <c r="B1387" i="7"/>
  <c r="A1387" i="7"/>
  <c r="F1386" i="7"/>
  <c r="E1386" i="7"/>
  <c r="D1386" i="7"/>
  <c r="C1386" i="7"/>
  <c r="B1386" i="7"/>
  <c r="A1386" i="7"/>
  <c r="F1385" i="7"/>
  <c r="E1385" i="7"/>
  <c r="D1385" i="7"/>
  <c r="C1385" i="7"/>
  <c r="B1385" i="7"/>
  <c r="A1385" i="7"/>
  <c r="F1384" i="7"/>
  <c r="E1384" i="7"/>
  <c r="D1384" i="7"/>
  <c r="C1384" i="7"/>
  <c r="B1384" i="7"/>
  <c r="A1384" i="7"/>
  <c r="F1383" i="7"/>
  <c r="E1383" i="7"/>
  <c r="D1383" i="7"/>
  <c r="C1383" i="7"/>
  <c r="B1383" i="7"/>
  <c r="A1383" i="7"/>
  <c r="F1382" i="7"/>
  <c r="E1382" i="7"/>
  <c r="D1382" i="7"/>
  <c r="C1382" i="7"/>
  <c r="B1382" i="7"/>
  <c r="A1382" i="7"/>
  <c r="F1381" i="7"/>
  <c r="E1381" i="7"/>
  <c r="D1381" i="7"/>
  <c r="C1381" i="7"/>
  <c r="B1381" i="7"/>
  <c r="A1381" i="7"/>
  <c r="F1380" i="7"/>
  <c r="E1380" i="7"/>
  <c r="D1380" i="7"/>
  <c r="C1380" i="7"/>
  <c r="B1380" i="7"/>
  <c r="A1380" i="7"/>
  <c r="F1379" i="7"/>
  <c r="E1379" i="7"/>
  <c r="D1379" i="7"/>
  <c r="C1379" i="7"/>
  <c r="B1379" i="7"/>
  <c r="A1379" i="7"/>
  <c r="F1378" i="7"/>
  <c r="E1378" i="7"/>
  <c r="D1378" i="7"/>
  <c r="C1378" i="7"/>
  <c r="B1378" i="7"/>
  <c r="A1378" i="7"/>
  <c r="F1377" i="7"/>
  <c r="E1377" i="7"/>
  <c r="D1377" i="7"/>
  <c r="C1377" i="7"/>
  <c r="B1377" i="7"/>
  <c r="A1377" i="7"/>
  <c r="F1376" i="7"/>
  <c r="E1376" i="7"/>
  <c r="D1376" i="7"/>
  <c r="C1376" i="7"/>
  <c r="B1376" i="7"/>
  <c r="A1376" i="7"/>
  <c r="F1375" i="7"/>
  <c r="E1375" i="7"/>
  <c r="D1375" i="7"/>
  <c r="C1375" i="7"/>
  <c r="B1375" i="7"/>
  <c r="A1375" i="7"/>
  <c r="F1374" i="7"/>
  <c r="E1374" i="7"/>
  <c r="D1374" i="7"/>
  <c r="C1374" i="7"/>
  <c r="B1374" i="7"/>
  <c r="A1374" i="7"/>
  <c r="F1373" i="7"/>
  <c r="E1373" i="7"/>
  <c r="D1373" i="7"/>
  <c r="C1373" i="7"/>
  <c r="B1373" i="7"/>
  <c r="A1373" i="7"/>
  <c r="F1372" i="7"/>
  <c r="E1372" i="7"/>
  <c r="D1372" i="7"/>
  <c r="C1372" i="7"/>
  <c r="B1372" i="7"/>
  <c r="A1372" i="7"/>
  <c r="F1371" i="7"/>
  <c r="E1371" i="7"/>
  <c r="D1371" i="7"/>
  <c r="C1371" i="7"/>
  <c r="B1371" i="7"/>
  <c r="A1371" i="7"/>
  <c r="F1370" i="7"/>
  <c r="E1370" i="7"/>
  <c r="D1370" i="7"/>
  <c r="C1370" i="7"/>
  <c r="B1370" i="7"/>
  <c r="A1370" i="7"/>
  <c r="F1369" i="7"/>
  <c r="E1369" i="7"/>
  <c r="D1369" i="7"/>
  <c r="C1369" i="7"/>
  <c r="B1369" i="7"/>
  <c r="A1369" i="7"/>
  <c r="F1368" i="7"/>
  <c r="E1368" i="7"/>
  <c r="D1368" i="7"/>
  <c r="C1368" i="7"/>
  <c r="B1368" i="7"/>
  <c r="A1368" i="7"/>
  <c r="F1367" i="7"/>
  <c r="E1367" i="7"/>
  <c r="D1367" i="7"/>
  <c r="C1367" i="7"/>
  <c r="B1367" i="7"/>
  <c r="A1367" i="7"/>
  <c r="F1366" i="7"/>
  <c r="E1366" i="7"/>
  <c r="D1366" i="7"/>
  <c r="C1366" i="7"/>
  <c r="B1366" i="7"/>
  <c r="A1366" i="7"/>
  <c r="F1365" i="7"/>
  <c r="E1365" i="7"/>
  <c r="D1365" i="7"/>
  <c r="C1365" i="7"/>
  <c r="B1365" i="7"/>
  <c r="A1365" i="7"/>
  <c r="F1364" i="7"/>
  <c r="E1364" i="7"/>
  <c r="D1364" i="7"/>
  <c r="C1364" i="7"/>
  <c r="B1364" i="7"/>
  <c r="A1364" i="7"/>
  <c r="F1363" i="7"/>
  <c r="E1363" i="7"/>
  <c r="D1363" i="7"/>
  <c r="C1363" i="7"/>
  <c r="B1363" i="7"/>
  <c r="A1363" i="7"/>
  <c r="F1362" i="7"/>
  <c r="E1362" i="7"/>
  <c r="D1362" i="7"/>
  <c r="C1362" i="7"/>
  <c r="B1362" i="7"/>
  <c r="A1362" i="7"/>
  <c r="F1361" i="7"/>
  <c r="E1361" i="7"/>
  <c r="D1361" i="7"/>
  <c r="C1361" i="7"/>
  <c r="B1361" i="7"/>
  <c r="A1361" i="7"/>
  <c r="F1360" i="7"/>
  <c r="E1360" i="7"/>
  <c r="D1360" i="7"/>
  <c r="C1360" i="7"/>
  <c r="B1360" i="7"/>
  <c r="A1360" i="7"/>
  <c r="F1359" i="7"/>
  <c r="E1359" i="7"/>
  <c r="D1359" i="7"/>
  <c r="C1359" i="7"/>
  <c r="B1359" i="7"/>
  <c r="A1359" i="7"/>
  <c r="F1358" i="7"/>
  <c r="E1358" i="7"/>
  <c r="D1358" i="7"/>
  <c r="C1358" i="7"/>
  <c r="B1358" i="7"/>
  <c r="A1358" i="7"/>
  <c r="F1357" i="7"/>
  <c r="E1357" i="7"/>
  <c r="D1357" i="7"/>
  <c r="C1357" i="7"/>
  <c r="B1357" i="7"/>
  <c r="A1357" i="7"/>
  <c r="F1356" i="7"/>
  <c r="E1356" i="7"/>
  <c r="D1356" i="7"/>
  <c r="C1356" i="7"/>
  <c r="B1356" i="7"/>
  <c r="A1356" i="7"/>
  <c r="F1355" i="7"/>
  <c r="E1355" i="7"/>
  <c r="D1355" i="7"/>
  <c r="C1355" i="7"/>
  <c r="B1355" i="7"/>
  <c r="A1355" i="7"/>
  <c r="F1354" i="7"/>
  <c r="E1354" i="7"/>
  <c r="D1354" i="7"/>
  <c r="C1354" i="7"/>
  <c r="B1354" i="7"/>
  <c r="A1354" i="7"/>
  <c r="F1353" i="7"/>
  <c r="E1353" i="7"/>
  <c r="D1353" i="7"/>
  <c r="C1353" i="7"/>
  <c r="B1353" i="7"/>
  <c r="A1353" i="7"/>
  <c r="F1352" i="7"/>
  <c r="E1352" i="7"/>
  <c r="D1352" i="7"/>
  <c r="C1352" i="7"/>
  <c r="B1352" i="7"/>
  <c r="A1352" i="7"/>
  <c r="F1351" i="7"/>
  <c r="E1351" i="7"/>
  <c r="D1351" i="7"/>
  <c r="C1351" i="7"/>
  <c r="B1351" i="7"/>
  <c r="A1351" i="7"/>
  <c r="F1350" i="7"/>
  <c r="E1350" i="7"/>
  <c r="D1350" i="7"/>
  <c r="C1350" i="7"/>
  <c r="B1350" i="7"/>
  <c r="A1350" i="7"/>
  <c r="F1349" i="7"/>
  <c r="E1349" i="7"/>
  <c r="D1349" i="7"/>
  <c r="C1349" i="7"/>
  <c r="B1349" i="7"/>
  <c r="A1349" i="7"/>
  <c r="F1348" i="7"/>
  <c r="E1348" i="7"/>
  <c r="D1348" i="7"/>
  <c r="C1348" i="7"/>
  <c r="B1348" i="7"/>
  <c r="A1348" i="7"/>
  <c r="F1347" i="7"/>
  <c r="E1347" i="7"/>
  <c r="D1347" i="7"/>
  <c r="C1347" i="7"/>
  <c r="B1347" i="7"/>
  <c r="A1347" i="7"/>
  <c r="F1346" i="7"/>
  <c r="E1346" i="7"/>
  <c r="D1346" i="7"/>
  <c r="C1346" i="7"/>
  <c r="B1346" i="7"/>
  <c r="A1346" i="7"/>
  <c r="F1345" i="7"/>
  <c r="E1345" i="7"/>
  <c r="D1345" i="7"/>
  <c r="C1345" i="7"/>
  <c r="B1345" i="7"/>
  <c r="A1345" i="7"/>
  <c r="F1344" i="7"/>
  <c r="E1344" i="7"/>
  <c r="D1344" i="7"/>
  <c r="C1344" i="7"/>
  <c r="B1344" i="7"/>
  <c r="A1344" i="7"/>
  <c r="F1343" i="7"/>
  <c r="E1343" i="7"/>
  <c r="D1343" i="7"/>
  <c r="C1343" i="7"/>
  <c r="B1343" i="7"/>
  <c r="A1343" i="7"/>
  <c r="F1342" i="7"/>
  <c r="E1342" i="7"/>
  <c r="D1342" i="7"/>
  <c r="C1342" i="7"/>
  <c r="B1342" i="7"/>
  <c r="A1342" i="7"/>
  <c r="F1341" i="7"/>
  <c r="E1341" i="7"/>
  <c r="D1341" i="7"/>
  <c r="C1341" i="7"/>
  <c r="B1341" i="7"/>
  <c r="A1341" i="7"/>
  <c r="F1340" i="7"/>
  <c r="E1340" i="7"/>
  <c r="D1340" i="7"/>
  <c r="C1340" i="7"/>
  <c r="B1340" i="7"/>
  <c r="A1340" i="7"/>
  <c r="F1339" i="7"/>
  <c r="E1339" i="7"/>
  <c r="D1339" i="7"/>
  <c r="C1339" i="7"/>
  <c r="B1339" i="7"/>
  <c r="A1339" i="7"/>
  <c r="F1338" i="7"/>
  <c r="E1338" i="7"/>
  <c r="D1338" i="7"/>
  <c r="C1338" i="7"/>
  <c r="B1338" i="7"/>
  <c r="A1338" i="7"/>
  <c r="F1337" i="7"/>
  <c r="E1337" i="7"/>
  <c r="D1337" i="7"/>
  <c r="C1337" i="7"/>
  <c r="B1337" i="7"/>
  <c r="A1337" i="7"/>
  <c r="F1336" i="7"/>
  <c r="E1336" i="7"/>
  <c r="D1336" i="7"/>
  <c r="C1336" i="7"/>
  <c r="B1336" i="7"/>
  <c r="A1336" i="7"/>
  <c r="F1335" i="7"/>
  <c r="E1335" i="7"/>
  <c r="D1335" i="7"/>
  <c r="C1335" i="7"/>
  <c r="B1335" i="7"/>
  <c r="A1335" i="7"/>
  <c r="F1334" i="7"/>
  <c r="E1334" i="7"/>
  <c r="D1334" i="7"/>
  <c r="C1334" i="7"/>
  <c r="B1334" i="7"/>
  <c r="A1334" i="7"/>
  <c r="F1333" i="7"/>
  <c r="E1333" i="7"/>
  <c r="D1333" i="7"/>
  <c r="C1333" i="7"/>
  <c r="B1333" i="7"/>
  <c r="A1333" i="7"/>
  <c r="F1332" i="7"/>
  <c r="E1332" i="7"/>
  <c r="D1332" i="7"/>
  <c r="C1332" i="7"/>
  <c r="B1332" i="7"/>
  <c r="A1332" i="7"/>
  <c r="F1331" i="7"/>
  <c r="E1331" i="7"/>
  <c r="D1331" i="7"/>
  <c r="C1331" i="7"/>
  <c r="B1331" i="7"/>
  <c r="A1331" i="7"/>
  <c r="F1330" i="7"/>
  <c r="E1330" i="7"/>
  <c r="D1330" i="7"/>
  <c r="C1330" i="7"/>
  <c r="B1330" i="7"/>
  <c r="A1330" i="7"/>
  <c r="F1329" i="7"/>
  <c r="E1329" i="7"/>
  <c r="D1329" i="7"/>
  <c r="C1329" i="7"/>
  <c r="B1329" i="7"/>
  <c r="A1329" i="7"/>
  <c r="F1328" i="7"/>
  <c r="E1328" i="7"/>
  <c r="D1328" i="7"/>
  <c r="C1328" i="7"/>
  <c r="B1328" i="7"/>
  <c r="A1328" i="7"/>
  <c r="F1327" i="7"/>
  <c r="E1327" i="7"/>
  <c r="D1327" i="7"/>
  <c r="C1327" i="7"/>
  <c r="B1327" i="7"/>
  <c r="A1327" i="7"/>
  <c r="F1326" i="7"/>
  <c r="E1326" i="7"/>
  <c r="D1326" i="7"/>
  <c r="C1326" i="7"/>
  <c r="B1326" i="7"/>
  <c r="A1326" i="7"/>
  <c r="F1325" i="7"/>
  <c r="E1325" i="7"/>
  <c r="D1325" i="7"/>
  <c r="C1325" i="7"/>
  <c r="B1325" i="7"/>
  <c r="A1325" i="7"/>
  <c r="F1324" i="7"/>
  <c r="E1324" i="7"/>
  <c r="D1324" i="7"/>
  <c r="C1324" i="7"/>
  <c r="B1324" i="7"/>
  <c r="A1324" i="7"/>
  <c r="F1323" i="7"/>
  <c r="E1323" i="7"/>
  <c r="D1323" i="7"/>
  <c r="C1323" i="7"/>
  <c r="B1323" i="7"/>
  <c r="A1323" i="7"/>
  <c r="F1322" i="7"/>
  <c r="E1322" i="7"/>
  <c r="D1322" i="7"/>
  <c r="C1322" i="7"/>
  <c r="B1322" i="7"/>
  <c r="A1322" i="7"/>
  <c r="F1321" i="7"/>
  <c r="E1321" i="7"/>
  <c r="D1321" i="7"/>
  <c r="C1321" i="7"/>
  <c r="B1321" i="7"/>
  <c r="A1321" i="7"/>
  <c r="F1320" i="7"/>
  <c r="E1320" i="7"/>
  <c r="D1320" i="7"/>
  <c r="C1320" i="7"/>
  <c r="B1320" i="7"/>
  <c r="A1320" i="7"/>
  <c r="F1319" i="7"/>
  <c r="E1319" i="7"/>
  <c r="D1319" i="7"/>
  <c r="C1319" i="7"/>
  <c r="B1319" i="7"/>
  <c r="A1319" i="7"/>
  <c r="F1318" i="7"/>
  <c r="E1318" i="7"/>
  <c r="D1318" i="7"/>
  <c r="C1318" i="7"/>
  <c r="B1318" i="7"/>
  <c r="A1318" i="7"/>
  <c r="F1317" i="7"/>
  <c r="E1317" i="7"/>
  <c r="D1317" i="7"/>
  <c r="C1317" i="7"/>
  <c r="B1317" i="7"/>
  <c r="A1317" i="7"/>
  <c r="F1316" i="7"/>
  <c r="E1316" i="7"/>
  <c r="D1316" i="7"/>
  <c r="C1316" i="7"/>
  <c r="B1316" i="7"/>
  <c r="A1316" i="7"/>
  <c r="F1315" i="7"/>
  <c r="E1315" i="7"/>
  <c r="D1315" i="7"/>
  <c r="C1315" i="7"/>
  <c r="B1315" i="7"/>
  <c r="A1315" i="7"/>
  <c r="F1314" i="7"/>
  <c r="E1314" i="7"/>
  <c r="D1314" i="7"/>
  <c r="C1314" i="7"/>
  <c r="B1314" i="7"/>
  <c r="A1314" i="7"/>
  <c r="F1313" i="7"/>
  <c r="E1313" i="7"/>
  <c r="D1313" i="7"/>
  <c r="C1313" i="7"/>
  <c r="B1313" i="7"/>
  <c r="A1313" i="7"/>
  <c r="F1312" i="7"/>
  <c r="E1312" i="7"/>
  <c r="D1312" i="7"/>
  <c r="C1312" i="7"/>
  <c r="B1312" i="7"/>
  <c r="A1312" i="7"/>
  <c r="F1311" i="7"/>
  <c r="E1311" i="7"/>
  <c r="D1311" i="7"/>
  <c r="C1311" i="7"/>
  <c r="B1311" i="7"/>
  <c r="A1311" i="7"/>
  <c r="F1310" i="7"/>
  <c r="E1310" i="7"/>
  <c r="D1310" i="7"/>
  <c r="C1310" i="7"/>
  <c r="B1310" i="7"/>
  <c r="A1310" i="7"/>
  <c r="F1309" i="7"/>
  <c r="E1309" i="7"/>
  <c r="D1309" i="7"/>
  <c r="C1309" i="7"/>
  <c r="B1309" i="7"/>
  <c r="A1309" i="7"/>
  <c r="F1308" i="7"/>
  <c r="E1308" i="7"/>
  <c r="D1308" i="7"/>
  <c r="C1308" i="7"/>
  <c r="B1308" i="7"/>
  <c r="A1308" i="7"/>
  <c r="F1307" i="7"/>
  <c r="E1307" i="7"/>
  <c r="D1307" i="7"/>
  <c r="C1307" i="7"/>
  <c r="B1307" i="7"/>
  <c r="A1307" i="7"/>
  <c r="F1306" i="7"/>
  <c r="E1306" i="7"/>
  <c r="D1306" i="7"/>
  <c r="C1306" i="7"/>
  <c r="B1306" i="7"/>
  <c r="A1306" i="7"/>
  <c r="F1305" i="7"/>
  <c r="E1305" i="7"/>
  <c r="D1305" i="7"/>
  <c r="C1305" i="7"/>
  <c r="B1305" i="7"/>
  <c r="A1305" i="7"/>
  <c r="F1304" i="7"/>
  <c r="E1304" i="7"/>
  <c r="D1304" i="7"/>
  <c r="C1304" i="7"/>
  <c r="B1304" i="7"/>
  <c r="A1304" i="7"/>
  <c r="F1303" i="7"/>
  <c r="E1303" i="7"/>
  <c r="D1303" i="7"/>
  <c r="C1303" i="7"/>
  <c r="B1303" i="7"/>
  <c r="A1303" i="7"/>
  <c r="F1302" i="7"/>
  <c r="E1302" i="7"/>
  <c r="D1302" i="7"/>
  <c r="C1302" i="7"/>
  <c r="B1302" i="7"/>
  <c r="A1302" i="7"/>
  <c r="F1301" i="7"/>
  <c r="E1301" i="7"/>
  <c r="D1301" i="7"/>
  <c r="C1301" i="7"/>
  <c r="B1301" i="7"/>
  <c r="A1301" i="7"/>
  <c r="F1300" i="7"/>
  <c r="E1300" i="7"/>
  <c r="D1300" i="7"/>
  <c r="C1300" i="7"/>
  <c r="B1300" i="7"/>
  <c r="A1300" i="7"/>
  <c r="F1299" i="7"/>
  <c r="E1299" i="7"/>
  <c r="D1299" i="7"/>
  <c r="C1299" i="7"/>
  <c r="B1299" i="7"/>
  <c r="A1299" i="7"/>
  <c r="F1298" i="7"/>
  <c r="E1298" i="7"/>
  <c r="D1298" i="7"/>
  <c r="C1298" i="7"/>
  <c r="B1298" i="7"/>
  <c r="A1298" i="7"/>
  <c r="F1297" i="7"/>
  <c r="E1297" i="7"/>
  <c r="D1297" i="7"/>
  <c r="C1297" i="7"/>
  <c r="B1297" i="7"/>
  <c r="A1297" i="7"/>
  <c r="F1296" i="7"/>
  <c r="E1296" i="7"/>
  <c r="D1296" i="7"/>
  <c r="C1296" i="7"/>
  <c r="B1296" i="7"/>
  <c r="A1296" i="7"/>
  <c r="F1295" i="7"/>
  <c r="E1295" i="7"/>
  <c r="D1295" i="7"/>
  <c r="C1295" i="7"/>
  <c r="B1295" i="7"/>
  <c r="A1295" i="7"/>
  <c r="F1294" i="7"/>
  <c r="E1294" i="7"/>
  <c r="D1294" i="7"/>
  <c r="C1294" i="7"/>
  <c r="B1294" i="7"/>
  <c r="A1294" i="7"/>
  <c r="F1293" i="7"/>
  <c r="E1293" i="7"/>
  <c r="D1293" i="7"/>
  <c r="C1293" i="7"/>
  <c r="B1293" i="7"/>
  <c r="A1293" i="7"/>
  <c r="F1292" i="7"/>
  <c r="E1292" i="7"/>
  <c r="D1292" i="7"/>
  <c r="C1292" i="7"/>
  <c r="B1292" i="7"/>
  <c r="A1292" i="7"/>
  <c r="F1291" i="7"/>
  <c r="E1291" i="7"/>
  <c r="D1291" i="7"/>
  <c r="C1291" i="7"/>
  <c r="B1291" i="7"/>
  <c r="A1291" i="7"/>
  <c r="F1290" i="7"/>
  <c r="E1290" i="7"/>
  <c r="D1290" i="7"/>
  <c r="C1290" i="7"/>
  <c r="B1290" i="7"/>
  <c r="A1290" i="7"/>
  <c r="F1289" i="7"/>
  <c r="E1289" i="7"/>
  <c r="D1289" i="7"/>
  <c r="C1289" i="7"/>
  <c r="B1289" i="7"/>
  <c r="A1289" i="7"/>
  <c r="F1288" i="7"/>
  <c r="E1288" i="7"/>
  <c r="D1288" i="7"/>
  <c r="C1288" i="7"/>
  <c r="B1288" i="7"/>
  <c r="A1288" i="7"/>
  <c r="F1287" i="7"/>
  <c r="E1287" i="7"/>
  <c r="D1287" i="7"/>
  <c r="C1287" i="7"/>
  <c r="B1287" i="7"/>
  <c r="A1287" i="7"/>
  <c r="F1286" i="7"/>
  <c r="E1286" i="7"/>
  <c r="D1286" i="7"/>
  <c r="C1286" i="7"/>
  <c r="B1286" i="7"/>
  <c r="A1286" i="7"/>
  <c r="F1285" i="7"/>
  <c r="E1285" i="7"/>
  <c r="D1285" i="7"/>
  <c r="C1285" i="7"/>
  <c r="B1285" i="7"/>
  <c r="A1285" i="7"/>
  <c r="F1284" i="7"/>
  <c r="E1284" i="7"/>
  <c r="D1284" i="7"/>
  <c r="C1284" i="7"/>
  <c r="B1284" i="7"/>
  <c r="A1284" i="7"/>
  <c r="F1283" i="7"/>
  <c r="E1283" i="7"/>
  <c r="D1283" i="7"/>
  <c r="C1283" i="7"/>
  <c r="B1283" i="7"/>
  <c r="A1283" i="7"/>
  <c r="F1282" i="7"/>
  <c r="E1282" i="7"/>
  <c r="D1282" i="7"/>
  <c r="C1282" i="7"/>
  <c r="B1282" i="7"/>
  <c r="A1282" i="7"/>
  <c r="F1281" i="7"/>
  <c r="E1281" i="7"/>
  <c r="D1281" i="7"/>
  <c r="C1281" i="7"/>
  <c r="B1281" i="7"/>
  <c r="A1281" i="7"/>
  <c r="F1280" i="7"/>
  <c r="E1280" i="7"/>
  <c r="D1280" i="7"/>
  <c r="C1280" i="7"/>
  <c r="B1280" i="7"/>
  <c r="A1280" i="7"/>
  <c r="F1279" i="7"/>
  <c r="E1279" i="7"/>
  <c r="D1279" i="7"/>
  <c r="C1279" i="7"/>
  <c r="B1279" i="7"/>
  <c r="A1279" i="7"/>
  <c r="F1278" i="7"/>
  <c r="E1278" i="7"/>
  <c r="D1278" i="7"/>
  <c r="C1278" i="7"/>
  <c r="B1278" i="7"/>
  <c r="A1278" i="7"/>
  <c r="F1277" i="7"/>
  <c r="E1277" i="7"/>
  <c r="D1277" i="7"/>
  <c r="C1277" i="7"/>
  <c r="B1277" i="7"/>
  <c r="A1277" i="7"/>
  <c r="F1276" i="7"/>
  <c r="E1276" i="7"/>
  <c r="D1276" i="7"/>
  <c r="C1276" i="7"/>
  <c r="B1276" i="7"/>
  <c r="A1276" i="7"/>
  <c r="F1275" i="7"/>
  <c r="E1275" i="7"/>
  <c r="D1275" i="7"/>
  <c r="C1275" i="7"/>
  <c r="B1275" i="7"/>
  <c r="A1275" i="7"/>
  <c r="F1274" i="7"/>
  <c r="E1274" i="7"/>
  <c r="D1274" i="7"/>
  <c r="C1274" i="7"/>
  <c r="B1274" i="7"/>
  <c r="A1274" i="7"/>
  <c r="F1273" i="7"/>
  <c r="E1273" i="7"/>
  <c r="D1273" i="7"/>
  <c r="C1273" i="7"/>
  <c r="B1273" i="7"/>
  <c r="A1273" i="7"/>
  <c r="F1272" i="7"/>
  <c r="E1272" i="7"/>
  <c r="D1272" i="7"/>
  <c r="C1272" i="7"/>
  <c r="B1272" i="7"/>
  <c r="A1272" i="7"/>
  <c r="F1271" i="7"/>
  <c r="E1271" i="7"/>
  <c r="D1271" i="7"/>
  <c r="C1271" i="7"/>
  <c r="B1271" i="7"/>
  <c r="A1271" i="7"/>
  <c r="F1270" i="7"/>
  <c r="E1270" i="7"/>
  <c r="D1270" i="7"/>
  <c r="C1270" i="7"/>
  <c r="B1270" i="7"/>
  <c r="A1270" i="7"/>
  <c r="F1269" i="7"/>
  <c r="E1269" i="7"/>
  <c r="D1269" i="7"/>
  <c r="C1269" i="7"/>
  <c r="B1269" i="7"/>
  <c r="A1269" i="7"/>
  <c r="F1268" i="7"/>
  <c r="E1268" i="7"/>
  <c r="D1268" i="7"/>
  <c r="C1268" i="7"/>
  <c r="B1268" i="7"/>
  <c r="A1268" i="7"/>
  <c r="F1267" i="7"/>
  <c r="E1267" i="7"/>
  <c r="D1267" i="7"/>
  <c r="C1267" i="7"/>
  <c r="B1267" i="7"/>
  <c r="A1267" i="7"/>
  <c r="F1266" i="7"/>
  <c r="E1266" i="7"/>
  <c r="D1266" i="7"/>
  <c r="C1266" i="7"/>
  <c r="B1266" i="7"/>
  <c r="A1266" i="7"/>
  <c r="F1265" i="7"/>
  <c r="E1265" i="7"/>
  <c r="D1265" i="7"/>
  <c r="C1265" i="7"/>
  <c r="B1265" i="7"/>
  <c r="A1265" i="7"/>
  <c r="F1264" i="7"/>
  <c r="E1264" i="7"/>
  <c r="D1264" i="7"/>
  <c r="C1264" i="7"/>
  <c r="B1264" i="7"/>
  <c r="A1264" i="7"/>
  <c r="F1263" i="7"/>
  <c r="E1263" i="7"/>
  <c r="D1263" i="7"/>
  <c r="C1263" i="7"/>
  <c r="B1263" i="7"/>
  <c r="A1263" i="7"/>
  <c r="F1262" i="7"/>
  <c r="E1262" i="7"/>
  <c r="D1262" i="7"/>
  <c r="C1262" i="7"/>
  <c r="B1262" i="7"/>
  <c r="A1262" i="7"/>
  <c r="F1261" i="7"/>
  <c r="E1261" i="7"/>
  <c r="D1261" i="7"/>
  <c r="C1261" i="7"/>
  <c r="B1261" i="7"/>
  <c r="A1261" i="7"/>
  <c r="F1260" i="7"/>
  <c r="E1260" i="7"/>
  <c r="D1260" i="7"/>
  <c r="C1260" i="7"/>
  <c r="B1260" i="7"/>
  <c r="A1260" i="7"/>
  <c r="F1259" i="7"/>
  <c r="E1259" i="7"/>
  <c r="D1259" i="7"/>
  <c r="C1259" i="7"/>
  <c r="B1259" i="7"/>
  <c r="A1259" i="7"/>
  <c r="F1258" i="7"/>
  <c r="E1258" i="7"/>
  <c r="D1258" i="7"/>
  <c r="C1258" i="7"/>
  <c r="B1258" i="7"/>
  <c r="A1258" i="7"/>
  <c r="F1257" i="7"/>
  <c r="E1257" i="7"/>
  <c r="D1257" i="7"/>
  <c r="C1257" i="7"/>
  <c r="B1257" i="7"/>
  <c r="A1257" i="7"/>
  <c r="F1256" i="7"/>
  <c r="E1256" i="7"/>
  <c r="D1256" i="7"/>
  <c r="C1256" i="7"/>
  <c r="B1256" i="7"/>
  <c r="A1256" i="7"/>
  <c r="F1255" i="7"/>
  <c r="E1255" i="7"/>
  <c r="D1255" i="7"/>
  <c r="C1255" i="7"/>
  <c r="B1255" i="7"/>
  <c r="A1255" i="7"/>
  <c r="F1254" i="7"/>
  <c r="E1254" i="7"/>
  <c r="D1254" i="7"/>
  <c r="C1254" i="7"/>
  <c r="B1254" i="7"/>
  <c r="A1254" i="7"/>
  <c r="F1253" i="7"/>
  <c r="E1253" i="7"/>
  <c r="D1253" i="7"/>
  <c r="C1253" i="7"/>
  <c r="B1253" i="7"/>
  <c r="A1253" i="7"/>
  <c r="F1252" i="7"/>
  <c r="E1252" i="7"/>
  <c r="D1252" i="7"/>
  <c r="C1252" i="7"/>
  <c r="B1252" i="7"/>
  <c r="A1252" i="7"/>
  <c r="F1251" i="7"/>
  <c r="E1251" i="7"/>
  <c r="D1251" i="7"/>
  <c r="C1251" i="7"/>
  <c r="B1251" i="7"/>
  <c r="A1251" i="7"/>
  <c r="F1250" i="7"/>
  <c r="E1250" i="7"/>
  <c r="D1250" i="7"/>
  <c r="C1250" i="7"/>
  <c r="B1250" i="7"/>
  <c r="A1250" i="7"/>
  <c r="F1249" i="7"/>
  <c r="E1249" i="7"/>
  <c r="D1249" i="7"/>
  <c r="C1249" i="7"/>
  <c r="B1249" i="7"/>
  <c r="A1249" i="7"/>
  <c r="F1248" i="7"/>
  <c r="E1248" i="7"/>
  <c r="D1248" i="7"/>
  <c r="C1248" i="7"/>
  <c r="B1248" i="7"/>
  <c r="A1248" i="7"/>
  <c r="F1247" i="7"/>
  <c r="E1247" i="7"/>
  <c r="D1247" i="7"/>
  <c r="C1247" i="7"/>
  <c r="B1247" i="7"/>
  <c r="A1247" i="7"/>
  <c r="F1246" i="7"/>
  <c r="E1246" i="7"/>
  <c r="D1246" i="7"/>
  <c r="C1246" i="7"/>
  <c r="B1246" i="7"/>
  <c r="A1246" i="7"/>
  <c r="F1245" i="7"/>
  <c r="E1245" i="7"/>
  <c r="D1245" i="7"/>
  <c r="C1245" i="7"/>
  <c r="B1245" i="7"/>
  <c r="A1245" i="7"/>
  <c r="F1244" i="7"/>
  <c r="E1244" i="7"/>
  <c r="D1244" i="7"/>
  <c r="C1244" i="7"/>
  <c r="B1244" i="7"/>
  <c r="A1244" i="7"/>
  <c r="F1243" i="7"/>
  <c r="E1243" i="7"/>
  <c r="D1243" i="7"/>
  <c r="C1243" i="7"/>
  <c r="B1243" i="7"/>
  <c r="A1243" i="7"/>
  <c r="F1242" i="7"/>
  <c r="E1242" i="7"/>
  <c r="D1242" i="7"/>
  <c r="C1242" i="7"/>
  <c r="B1242" i="7"/>
  <c r="A1242" i="7"/>
  <c r="F1241" i="7"/>
  <c r="E1241" i="7"/>
  <c r="D1241" i="7"/>
  <c r="C1241" i="7"/>
  <c r="B1241" i="7"/>
  <c r="A1241" i="7"/>
  <c r="F1240" i="7"/>
  <c r="E1240" i="7"/>
  <c r="D1240" i="7"/>
  <c r="C1240" i="7"/>
  <c r="B1240" i="7"/>
  <c r="A1240" i="7"/>
  <c r="F1239" i="7"/>
  <c r="E1239" i="7"/>
  <c r="D1239" i="7"/>
  <c r="C1239" i="7"/>
  <c r="B1239" i="7"/>
  <c r="A1239" i="7"/>
  <c r="F1238" i="7"/>
  <c r="E1238" i="7"/>
  <c r="D1238" i="7"/>
  <c r="C1238" i="7"/>
  <c r="B1238" i="7"/>
  <c r="A1238" i="7"/>
  <c r="F1237" i="7"/>
  <c r="E1237" i="7"/>
  <c r="D1237" i="7"/>
  <c r="C1237" i="7"/>
  <c r="B1237" i="7"/>
  <c r="A1237" i="7"/>
  <c r="F1236" i="7"/>
  <c r="E1236" i="7"/>
  <c r="D1236" i="7"/>
  <c r="C1236" i="7"/>
  <c r="B1236" i="7"/>
  <c r="A1236" i="7"/>
  <c r="F1235" i="7"/>
  <c r="E1235" i="7"/>
  <c r="D1235" i="7"/>
  <c r="C1235" i="7"/>
  <c r="B1235" i="7"/>
  <c r="A1235" i="7"/>
  <c r="F1234" i="7"/>
  <c r="E1234" i="7"/>
  <c r="D1234" i="7"/>
  <c r="C1234" i="7"/>
  <c r="B1234" i="7"/>
  <c r="A1234" i="7"/>
  <c r="F1233" i="7"/>
  <c r="E1233" i="7"/>
  <c r="D1233" i="7"/>
  <c r="C1233" i="7"/>
  <c r="B1233" i="7"/>
  <c r="A1233" i="7"/>
  <c r="F1232" i="7"/>
  <c r="E1232" i="7"/>
  <c r="D1232" i="7"/>
  <c r="C1232" i="7"/>
  <c r="B1232" i="7"/>
  <c r="A1232" i="7"/>
  <c r="F1231" i="7"/>
  <c r="E1231" i="7"/>
  <c r="D1231" i="7"/>
  <c r="C1231" i="7"/>
  <c r="B1231" i="7"/>
  <c r="A1231" i="7"/>
  <c r="F1230" i="7"/>
  <c r="E1230" i="7"/>
  <c r="D1230" i="7"/>
  <c r="C1230" i="7"/>
  <c r="B1230" i="7"/>
  <c r="A1230" i="7"/>
  <c r="F1229" i="7"/>
  <c r="E1229" i="7"/>
  <c r="D1229" i="7"/>
  <c r="C1229" i="7"/>
  <c r="B1229" i="7"/>
  <c r="A1229" i="7"/>
  <c r="F1228" i="7"/>
  <c r="E1228" i="7"/>
  <c r="D1228" i="7"/>
  <c r="C1228" i="7"/>
  <c r="B1228" i="7"/>
  <c r="A1228" i="7"/>
  <c r="F1227" i="7"/>
  <c r="E1227" i="7"/>
  <c r="D1227" i="7"/>
  <c r="C1227" i="7"/>
  <c r="B1227" i="7"/>
  <c r="A1227" i="7"/>
  <c r="F1226" i="7"/>
  <c r="E1226" i="7"/>
  <c r="D1226" i="7"/>
  <c r="C1226" i="7"/>
  <c r="B1226" i="7"/>
  <c r="A1226" i="7"/>
  <c r="F1225" i="7"/>
  <c r="E1225" i="7"/>
  <c r="D1225" i="7"/>
  <c r="C1225" i="7"/>
  <c r="B1225" i="7"/>
  <c r="A1225" i="7"/>
  <c r="F1224" i="7"/>
  <c r="E1224" i="7"/>
  <c r="D1224" i="7"/>
  <c r="C1224" i="7"/>
  <c r="B1224" i="7"/>
  <c r="A1224" i="7"/>
  <c r="F1223" i="7"/>
  <c r="E1223" i="7"/>
  <c r="D1223" i="7"/>
  <c r="C1223" i="7"/>
  <c r="B1223" i="7"/>
  <c r="A1223" i="7"/>
  <c r="F1222" i="7"/>
  <c r="E1222" i="7"/>
  <c r="D1222" i="7"/>
  <c r="C1222" i="7"/>
  <c r="B1222" i="7"/>
  <c r="A1222" i="7"/>
  <c r="F1221" i="7"/>
  <c r="E1221" i="7"/>
  <c r="D1221" i="7"/>
  <c r="C1221" i="7"/>
  <c r="B1221" i="7"/>
  <c r="A1221" i="7"/>
  <c r="F1220" i="7"/>
  <c r="E1220" i="7"/>
  <c r="D1220" i="7"/>
  <c r="C1220" i="7"/>
  <c r="B1220" i="7"/>
  <c r="A1220" i="7"/>
  <c r="F1219" i="7"/>
  <c r="E1219" i="7"/>
  <c r="D1219" i="7"/>
  <c r="C1219" i="7"/>
  <c r="B1219" i="7"/>
  <c r="A1219" i="7"/>
  <c r="F1218" i="7"/>
  <c r="E1218" i="7"/>
  <c r="D1218" i="7"/>
  <c r="C1218" i="7"/>
  <c r="B1218" i="7"/>
  <c r="A1218" i="7"/>
  <c r="F1217" i="7"/>
  <c r="E1217" i="7"/>
  <c r="D1217" i="7"/>
  <c r="C1217" i="7"/>
  <c r="B1217" i="7"/>
  <c r="A1217" i="7"/>
  <c r="F1216" i="7"/>
  <c r="E1216" i="7"/>
  <c r="D1216" i="7"/>
  <c r="C1216" i="7"/>
  <c r="B1216" i="7"/>
  <c r="A1216" i="7"/>
  <c r="F1215" i="7"/>
  <c r="E1215" i="7"/>
  <c r="D1215" i="7"/>
  <c r="C1215" i="7"/>
  <c r="B1215" i="7"/>
  <c r="A1215" i="7"/>
  <c r="F1214" i="7"/>
  <c r="E1214" i="7"/>
  <c r="D1214" i="7"/>
  <c r="C1214" i="7"/>
  <c r="B1214" i="7"/>
  <c r="A1214" i="7"/>
  <c r="F1213" i="7"/>
  <c r="E1213" i="7"/>
  <c r="D1213" i="7"/>
  <c r="C1213" i="7"/>
  <c r="B1213" i="7"/>
  <c r="A1213" i="7"/>
  <c r="F1212" i="7"/>
  <c r="E1212" i="7"/>
  <c r="D1212" i="7"/>
  <c r="C1212" i="7"/>
  <c r="B1212" i="7"/>
  <c r="A1212" i="7"/>
  <c r="F1211" i="7"/>
  <c r="E1211" i="7"/>
  <c r="D1211" i="7"/>
  <c r="C1211" i="7"/>
  <c r="B1211" i="7"/>
  <c r="A1211" i="7"/>
  <c r="F1210" i="7"/>
  <c r="E1210" i="7"/>
  <c r="D1210" i="7"/>
  <c r="C1210" i="7"/>
  <c r="B1210" i="7"/>
  <c r="A1210" i="7"/>
  <c r="F1209" i="7"/>
  <c r="E1209" i="7"/>
  <c r="D1209" i="7"/>
  <c r="C1209" i="7"/>
  <c r="B1209" i="7"/>
  <c r="A1209" i="7"/>
  <c r="F1208" i="7"/>
  <c r="E1208" i="7"/>
  <c r="D1208" i="7"/>
  <c r="C1208" i="7"/>
  <c r="B1208" i="7"/>
  <c r="A1208" i="7"/>
  <c r="F1207" i="7"/>
  <c r="E1207" i="7"/>
  <c r="D1207" i="7"/>
  <c r="C1207" i="7"/>
  <c r="B1207" i="7"/>
  <c r="A1207" i="7"/>
  <c r="F1206" i="7"/>
  <c r="E1206" i="7"/>
  <c r="D1206" i="7"/>
  <c r="C1206" i="7"/>
  <c r="B1206" i="7"/>
  <c r="A1206" i="7"/>
  <c r="F1205" i="7"/>
  <c r="E1205" i="7"/>
  <c r="D1205" i="7"/>
  <c r="C1205" i="7"/>
  <c r="B1205" i="7"/>
  <c r="A1205" i="7"/>
  <c r="F1204" i="7"/>
  <c r="E1204" i="7"/>
  <c r="D1204" i="7"/>
  <c r="C1204" i="7"/>
  <c r="B1204" i="7"/>
  <c r="A1204" i="7"/>
  <c r="F1203" i="7"/>
  <c r="E1203" i="7"/>
  <c r="D1203" i="7"/>
  <c r="C1203" i="7"/>
  <c r="B1203" i="7"/>
  <c r="A1203" i="7"/>
  <c r="F1202" i="7"/>
  <c r="E1202" i="7"/>
  <c r="D1202" i="7"/>
  <c r="C1202" i="7"/>
  <c r="B1202" i="7"/>
  <c r="A1202" i="7"/>
  <c r="F1201" i="7"/>
  <c r="E1201" i="7"/>
  <c r="D1201" i="7"/>
  <c r="C1201" i="7"/>
  <c r="B1201" i="7"/>
  <c r="A1201" i="7"/>
  <c r="F1200" i="7"/>
  <c r="E1200" i="7"/>
  <c r="D1200" i="7"/>
  <c r="C1200" i="7"/>
  <c r="B1200" i="7"/>
  <c r="A1200" i="7"/>
  <c r="F1199" i="7"/>
  <c r="E1199" i="7"/>
  <c r="D1199" i="7"/>
  <c r="C1199" i="7"/>
  <c r="B1199" i="7"/>
  <c r="A1199" i="7"/>
  <c r="F1198" i="7"/>
  <c r="E1198" i="7"/>
  <c r="D1198" i="7"/>
  <c r="C1198" i="7"/>
  <c r="B1198" i="7"/>
  <c r="A1198" i="7"/>
  <c r="F1197" i="7"/>
  <c r="E1197" i="7"/>
  <c r="D1197" i="7"/>
  <c r="C1197" i="7"/>
  <c r="B1197" i="7"/>
  <c r="A1197" i="7"/>
  <c r="F1196" i="7"/>
  <c r="E1196" i="7"/>
  <c r="D1196" i="7"/>
  <c r="C1196" i="7"/>
  <c r="B1196" i="7"/>
  <c r="A1196" i="7"/>
  <c r="F1195" i="7"/>
  <c r="E1195" i="7"/>
  <c r="D1195" i="7"/>
  <c r="C1195" i="7"/>
  <c r="B1195" i="7"/>
  <c r="A1195" i="7"/>
  <c r="F1194" i="7"/>
  <c r="E1194" i="7"/>
  <c r="D1194" i="7"/>
  <c r="C1194" i="7"/>
  <c r="B1194" i="7"/>
  <c r="A1194" i="7"/>
  <c r="F1193" i="7"/>
  <c r="E1193" i="7"/>
  <c r="D1193" i="7"/>
  <c r="C1193" i="7"/>
  <c r="B1193" i="7"/>
  <c r="A1193" i="7"/>
  <c r="F1192" i="7"/>
  <c r="E1192" i="7"/>
  <c r="D1192" i="7"/>
  <c r="C1192" i="7"/>
  <c r="B1192" i="7"/>
  <c r="A1192" i="7"/>
  <c r="F1191" i="7"/>
  <c r="E1191" i="7"/>
  <c r="D1191" i="7"/>
  <c r="C1191" i="7"/>
  <c r="B1191" i="7"/>
  <c r="A1191" i="7"/>
  <c r="F1190" i="7"/>
  <c r="E1190" i="7"/>
  <c r="D1190" i="7"/>
  <c r="C1190" i="7"/>
  <c r="B1190" i="7"/>
  <c r="A1190" i="7"/>
  <c r="F1189" i="7"/>
  <c r="E1189" i="7"/>
  <c r="D1189" i="7"/>
  <c r="C1189" i="7"/>
  <c r="B1189" i="7"/>
  <c r="A1189" i="7"/>
  <c r="F1188" i="7"/>
  <c r="E1188" i="7"/>
  <c r="D1188" i="7"/>
  <c r="C1188" i="7"/>
  <c r="B1188" i="7"/>
  <c r="A1188" i="7"/>
  <c r="F1187" i="7"/>
  <c r="E1187" i="7"/>
  <c r="D1187" i="7"/>
  <c r="C1187" i="7"/>
  <c r="B1187" i="7"/>
  <c r="A1187" i="7"/>
  <c r="F1186" i="7"/>
  <c r="E1186" i="7"/>
  <c r="D1186" i="7"/>
  <c r="C1186" i="7"/>
  <c r="B1186" i="7"/>
  <c r="A1186" i="7"/>
  <c r="F1185" i="7"/>
  <c r="E1185" i="7"/>
  <c r="D1185" i="7"/>
  <c r="C1185" i="7"/>
  <c r="B1185" i="7"/>
  <c r="A1185" i="7"/>
  <c r="F1184" i="7"/>
  <c r="E1184" i="7"/>
  <c r="D1184" i="7"/>
  <c r="C1184" i="7"/>
  <c r="B1184" i="7"/>
  <c r="A1184" i="7"/>
  <c r="F1183" i="7"/>
  <c r="E1183" i="7"/>
  <c r="D1183" i="7"/>
  <c r="C1183" i="7"/>
  <c r="B1183" i="7"/>
  <c r="A1183" i="7"/>
  <c r="F1182" i="7"/>
  <c r="E1182" i="7"/>
  <c r="D1182" i="7"/>
  <c r="C1182" i="7"/>
  <c r="B1182" i="7"/>
  <c r="A1182" i="7"/>
  <c r="F1181" i="7"/>
  <c r="E1181" i="7"/>
  <c r="D1181" i="7"/>
  <c r="C1181" i="7"/>
  <c r="B1181" i="7"/>
  <c r="A1181" i="7"/>
  <c r="F1180" i="7"/>
  <c r="E1180" i="7"/>
  <c r="D1180" i="7"/>
  <c r="C1180" i="7"/>
  <c r="B1180" i="7"/>
  <c r="A1180" i="7"/>
  <c r="F1179" i="7"/>
  <c r="E1179" i="7"/>
  <c r="D1179" i="7"/>
  <c r="C1179" i="7"/>
  <c r="B1179" i="7"/>
  <c r="A1179" i="7"/>
  <c r="F1178" i="7"/>
  <c r="E1178" i="7"/>
  <c r="D1178" i="7"/>
  <c r="C1178" i="7"/>
  <c r="B1178" i="7"/>
  <c r="A1178" i="7"/>
  <c r="F1177" i="7"/>
  <c r="E1177" i="7"/>
  <c r="D1177" i="7"/>
  <c r="C1177" i="7"/>
  <c r="B1177" i="7"/>
  <c r="A1177" i="7"/>
  <c r="F1176" i="7"/>
  <c r="E1176" i="7"/>
  <c r="D1176" i="7"/>
  <c r="C1176" i="7"/>
  <c r="B1176" i="7"/>
  <c r="A1176" i="7"/>
  <c r="F1175" i="7"/>
  <c r="E1175" i="7"/>
  <c r="D1175" i="7"/>
  <c r="C1175" i="7"/>
  <c r="B1175" i="7"/>
  <c r="A1175" i="7"/>
  <c r="F1174" i="7"/>
  <c r="E1174" i="7"/>
  <c r="D1174" i="7"/>
  <c r="C1174" i="7"/>
  <c r="B1174" i="7"/>
  <c r="A1174" i="7"/>
  <c r="F1173" i="7"/>
  <c r="E1173" i="7"/>
  <c r="D1173" i="7"/>
  <c r="C1173" i="7"/>
  <c r="B1173" i="7"/>
  <c r="A1173" i="7"/>
  <c r="F1172" i="7"/>
  <c r="E1172" i="7"/>
  <c r="D1172" i="7"/>
  <c r="C1172" i="7"/>
  <c r="B1172" i="7"/>
  <c r="A1172" i="7"/>
  <c r="F1171" i="7"/>
  <c r="E1171" i="7"/>
  <c r="D1171" i="7"/>
  <c r="C1171" i="7"/>
  <c r="B1171" i="7"/>
  <c r="A1171" i="7"/>
  <c r="F1170" i="7"/>
  <c r="E1170" i="7"/>
  <c r="D1170" i="7"/>
  <c r="C1170" i="7"/>
  <c r="B1170" i="7"/>
  <c r="A1170" i="7"/>
  <c r="F1169" i="7"/>
  <c r="E1169" i="7"/>
  <c r="D1169" i="7"/>
  <c r="C1169" i="7"/>
  <c r="B1169" i="7"/>
  <c r="A1169" i="7"/>
  <c r="F1168" i="7"/>
  <c r="E1168" i="7"/>
  <c r="D1168" i="7"/>
  <c r="C1168" i="7"/>
  <c r="B1168" i="7"/>
  <c r="A1168" i="7"/>
  <c r="F1167" i="7"/>
  <c r="E1167" i="7"/>
  <c r="D1167" i="7"/>
  <c r="C1167" i="7"/>
  <c r="B1167" i="7"/>
  <c r="A1167" i="7"/>
  <c r="F1166" i="7"/>
  <c r="E1166" i="7"/>
  <c r="D1166" i="7"/>
  <c r="C1166" i="7"/>
  <c r="B1166" i="7"/>
  <c r="A1166" i="7"/>
  <c r="F1165" i="7"/>
  <c r="E1165" i="7"/>
  <c r="D1165" i="7"/>
  <c r="C1165" i="7"/>
  <c r="B1165" i="7"/>
  <c r="A1165" i="7"/>
  <c r="F1164" i="7"/>
  <c r="E1164" i="7"/>
  <c r="D1164" i="7"/>
  <c r="C1164" i="7"/>
  <c r="B1164" i="7"/>
  <c r="A1164" i="7"/>
  <c r="F1163" i="7"/>
  <c r="E1163" i="7"/>
  <c r="D1163" i="7"/>
  <c r="C1163" i="7"/>
  <c r="B1163" i="7"/>
  <c r="A1163" i="7"/>
  <c r="F1162" i="7"/>
  <c r="E1162" i="7"/>
  <c r="D1162" i="7"/>
  <c r="C1162" i="7"/>
  <c r="B1162" i="7"/>
  <c r="A1162" i="7"/>
  <c r="F1161" i="7"/>
  <c r="E1161" i="7"/>
  <c r="D1161" i="7"/>
  <c r="C1161" i="7"/>
  <c r="B1161" i="7"/>
  <c r="A1161" i="7"/>
  <c r="F1160" i="7"/>
  <c r="E1160" i="7"/>
  <c r="D1160" i="7"/>
  <c r="C1160" i="7"/>
  <c r="B1160" i="7"/>
  <c r="A1160" i="7"/>
  <c r="F1159" i="7"/>
  <c r="E1159" i="7"/>
  <c r="D1159" i="7"/>
  <c r="C1159" i="7"/>
  <c r="B1159" i="7"/>
  <c r="A1159" i="7"/>
  <c r="F1158" i="7"/>
  <c r="E1158" i="7"/>
  <c r="D1158" i="7"/>
  <c r="C1158" i="7"/>
  <c r="B1158" i="7"/>
  <c r="A1158" i="7"/>
  <c r="F1157" i="7"/>
  <c r="E1157" i="7"/>
  <c r="D1157" i="7"/>
  <c r="C1157" i="7"/>
  <c r="B1157" i="7"/>
  <c r="A1157" i="7"/>
  <c r="F1156" i="7"/>
  <c r="E1156" i="7"/>
  <c r="D1156" i="7"/>
  <c r="C1156" i="7"/>
  <c r="B1156" i="7"/>
  <c r="A1156" i="7"/>
  <c r="F1155" i="7"/>
  <c r="E1155" i="7"/>
  <c r="D1155" i="7"/>
  <c r="C1155" i="7"/>
  <c r="B1155" i="7"/>
  <c r="A1155" i="7"/>
  <c r="F1154" i="7"/>
  <c r="E1154" i="7"/>
  <c r="D1154" i="7"/>
  <c r="C1154" i="7"/>
  <c r="B1154" i="7"/>
  <c r="A1154" i="7"/>
  <c r="F1153" i="7"/>
  <c r="E1153" i="7"/>
  <c r="D1153" i="7"/>
  <c r="C1153" i="7"/>
  <c r="B1153" i="7"/>
  <c r="A1153" i="7"/>
  <c r="F1152" i="7"/>
  <c r="E1152" i="7"/>
  <c r="D1152" i="7"/>
  <c r="C1152" i="7"/>
  <c r="B1152" i="7"/>
  <c r="A1152" i="7"/>
  <c r="F1151" i="7"/>
  <c r="E1151" i="7"/>
  <c r="D1151" i="7"/>
  <c r="C1151" i="7"/>
  <c r="B1151" i="7"/>
  <c r="A1151" i="7"/>
  <c r="F1150" i="7"/>
  <c r="E1150" i="7"/>
  <c r="D1150" i="7"/>
  <c r="C1150" i="7"/>
  <c r="B1150" i="7"/>
  <c r="A1150" i="7"/>
  <c r="F1149" i="7"/>
  <c r="E1149" i="7"/>
  <c r="D1149" i="7"/>
  <c r="C1149" i="7"/>
  <c r="B1149" i="7"/>
  <c r="A1149" i="7"/>
  <c r="F1148" i="7"/>
  <c r="E1148" i="7"/>
  <c r="D1148" i="7"/>
  <c r="C1148" i="7"/>
  <c r="B1148" i="7"/>
  <c r="A1148" i="7"/>
  <c r="F1147" i="7"/>
  <c r="E1147" i="7"/>
  <c r="D1147" i="7"/>
  <c r="C1147" i="7"/>
  <c r="B1147" i="7"/>
  <c r="A1147" i="7"/>
  <c r="F1146" i="7"/>
  <c r="E1146" i="7"/>
  <c r="D1146" i="7"/>
  <c r="C1146" i="7"/>
  <c r="B1146" i="7"/>
  <c r="A1146" i="7"/>
  <c r="F1145" i="7"/>
  <c r="E1145" i="7"/>
  <c r="D1145" i="7"/>
  <c r="C1145" i="7"/>
  <c r="B1145" i="7"/>
  <c r="A1145" i="7"/>
  <c r="F1144" i="7"/>
  <c r="E1144" i="7"/>
  <c r="D1144" i="7"/>
  <c r="C1144" i="7"/>
  <c r="B1144" i="7"/>
  <c r="A1144" i="7"/>
  <c r="F1143" i="7"/>
  <c r="E1143" i="7"/>
  <c r="D1143" i="7"/>
  <c r="C1143" i="7"/>
  <c r="B1143" i="7"/>
  <c r="A1143" i="7"/>
  <c r="F1142" i="7"/>
  <c r="E1142" i="7"/>
  <c r="D1142" i="7"/>
  <c r="C1142" i="7"/>
  <c r="B1142" i="7"/>
  <c r="A1142" i="7"/>
  <c r="F1141" i="7"/>
  <c r="E1141" i="7"/>
  <c r="D1141" i="7"/>
  <c r="C1141" i="7"/>
  <c r="B1141" i="7"/>
  <c r="A1141" i="7"/>
  <c r="F1140" i="7"/>
  <c r="E1140" i="7"/>
  <c r="D1140" i="7"/>
  <c r="C1140" i="7"/>
  <c r="B1140" i="7"/>
  <c r="A1140" i="7"/>
  <c r="F1139" i="7"/>
  <c r="E1139" i="7"/>
  <c r="D1139" i="7"/>
  <c r="C1139" i="7"/>
  <c r="B1139" i="7"/>
  <c r="A1139" i="7"/>
  <c r="F1138" i="7"/>
  <c r="E1138" i="7"/>
  <c r="D1138" i="7"/>
  <c r="C1138" i="7"/>
  <c r="B1138" i="7"/>
  <c r="A1138" i="7"/>
  <c r="F1137" i="7"/>
  <c r="E1137" i="7"/>
  <c r="D1137" i="7"/>
  <c r="C1137" i="7"/>
  <c r="B1137" i="7"/>
  <c r="A1137" i="7"/>
  <c r="F1136" i="7"/>
  <c r="E1136" i="7"/>
  <c r="D1136" i="7"/>
  <c r="C1136" i="7"/>
  <c r="B1136" i="7"/>
  <c r="A1136" i="7"/>
  <c r="F1135" i="7"/>
  <c r="E1135" i="7"/>
  <c r="D1135" i="7"/>
  <c r="C1135" i="7"/>
  <c r="B1135" i="7"/>
  <c r="A1135" i="7"/>
  <c r="F1134" i="7"/>
  <c r="E1134" i="7"/>
  <c r="D1134" i="7"/>
  <c r="C1134" i="7"/>
  <c r="B1134" i="7"/>
  <c r="A1134" i="7"/>
  <c r="F1133" i="7"/>
  <c r="E1133" i="7"/>
  <c r="D1133" i="7"/>
  <c r="C1133" i="7"/>
  <c r="B1133" i="7"/>
  <c r="A1133" i="7"/>
  <c r="F1132" i="7"/>
  <c r="E1132" i="7"/>
  <c r="D1132" i="7"/>
  <c r="C1132" i="7"/>
  <c r="B1132" i="7"/>
  <c r="A1132" i="7"/>
  <c r="F1131" i="7"/>
  <c r="E1131" i="7"/>
  <c r="D1131" i="7"/>
  <c r="C1131" i="7"/>
  <c r="B1131" i="7"/>
  <c r="A1131" i="7"/>
  <c r="F1130" i="7"/>
  <c r="E1130" i="7"/>
  <c r="D1130" i="7"/>
  <c r="C1130" i="7"/>
  <c r="B1130" i="7"/>
  <c r="A1130" i="7"/>
  <c r="F1129" i="7"/>
  <c r="E1129" i="7"/>
  <c r="D1129" i="7"/>
  <c r="C1129" i="7"/>
  <c r="B1129" i="7"/>
  <c r="A1129" i="7"/>
  <c r="F1128" i="7"/>
  <c r="E1128" i="7"/>
  <c r="D1128" i="7"/>
  <c r="C1128" i="7"/>
  <c r="B1128" i="7"/>
  <c r="A1128" i="7"/>
  <c r="F1127" i="7"/>
  <c r="E1127" i="7"/>
  <c r="D1127" i="7"/>
  <c r="C1127" i="7"/>
  <c r="B1127" i="7"/>
  <c r="A1127" i="7"/>
  <c r="F1126" i="7"/>
  <c r="E1126" i="7"/>
  <c r="D1126" i="7"/>
  <c r="C1126" i="7"/>
  <c r="B1126" i="7"/>
  <c r="A1126" i="7"/>
  <c r="F1125" i="7"/>
  <c r="E1125" i="7"/>
  <c r="D1125" i="7"/>
  <c r="C1125" i="7"/>
  <c r="B1125" i="7"/>
  <c r="A1125" i="7"/>
  <c r="F1124" i="7"/>
  <c r="E1124" i="7"/>
  <c r="D1124" i="7"/>
  <c r="C1124" i="7"/>
  <c r="B1124" i="7"/>
  <c r="A1124" i="7"/>
  <c r="F1123" i="7"/>
  <c r="E1123" i="7"/>
  <c r="D1123" i="7"/>
  <c r="C1123" i="7"/>
  <c r="B1123" i="7"/>
  <c r="A1123" i="7"/>
  <c r="F1122" i="7"/>
  <c r="E1122" i="7"/>
  <c r="D1122" i="7"/>
  <c r="C1122" i="7"/>
  <c r="B1122" i="7"/>
  <c r="A1122" i="7"/>
  <c r="F1121" i="7"/>
  <c r="E1121" i="7"/>
  <c r="D1121" i="7"/>
  <c r="C1121" i="7"/>
  <c r="B1121" i="7"/>
  <c r="A1121" i="7"/>
  <c r="F1120" i="7"/>
  <c r="E1120" i="7"/>
  <c r="D1120" i="7"/>
  <c r="C1120" i="7"/>
  <c r="B1120" i="7"/>
  <c r="A1120" i="7"/>
  <c r="F1119" i="7"/>
  <c r="E1119" i="7"/>
  <c r="D1119" i="7"/>
  <c r="C1119" i="7"/>
  <c r="B1119" i="7"/>
  <c r="A1119" i="7"/>
  <c r="F1118" i="7"/>
  <c r="E1118" i="7"/>
  <c r="D1118" i="7"/>
  <c r="C1118" i="7"/>
  <c r="B1118" i="7"/>
  <c r="A1118" i="7"/>
  <c r="F1117" i="7"/>
  <c r="E1117" i="7"/>
  <c r="D1117" i="7"/>
  <c r="C1117" i="7"/>
  <c r="B1117" i="7"/>
  <c r="A1117" i="7"/>
  <c r="F1116" i="7"/>
  <c r="E1116" i="7"/>
  <c r="D1116" i="7"/>
  <c r="C1116" i="7"/>
  <c r="B1116" i="7"/>
  <c r="A1116" i="7"/>
  <c r="F1115" i="7"/>
  <c r="E1115" i="7"/>
  <c r="D1115" i="7"/>
  <c r="C1115" i="7"/>
  <c r="B1115" i="7"/>
  <c r="A1115" i="7"/>
  <c r="F1114" i="7"/>
  <c r="E1114" i="7"/>
  <c r="D1114" i="7"/>
  <c r="C1114" i="7"/>
  <c r="B1114" i="7"/>
  <c r="A1114" i="7"/>
  <c r="F1113" i="7"/>
  <c r="E1113" i="7"/>
  <c r="D1113" i="7"/>
  <c r="C1113" i="7"/>
  <c r="B1113" i="7"/>
  <c r="A1113" i="7"/>
  <c r="F1112" i="7"/>
  <c r="E1112" i="7"/>
  <c r="D1112" i="7"/>
  <c r="C1112" i="7"/>
  <c r="B1112" i="7"/>
  <c r="A1112" i="7"/>
  <c r="F1111" i="7"/>
  <c r="E1111" i="7"/>
  <c r="D1111" i="7"/>
  <c r="C1111" i="7"/>
  <c r="B1111" i="7"/>
  <c r="A1111" i="7"/>
  <c r="F1110" i="7"/>
  <c r="E1110" i="7"/>
  <c r="D1110" i="7"/>
  <c r="C1110" i="7"/>
  <c r="B1110" i="7"/>
  <c r="A1110" i="7"/>
  <c r="F1109" i="7"/>
  <c r="E1109" i="7"/>
  <c r="D1109" i="7"/>
  <c r="C1109" i="7"/>
  <c r="B1109" i="7"/>
  <c r="A1109" i="7"/>
  <c r="F1108" i="7"/>
  <c r="E1108" i="7"/>
  <c r="D1108" i="7"/>
  <c r="C1108" i="7"/>
  <c r="B1108" i="7"/>
  <c r="A1108" i="7"/>
  <c r="F1107" i="7"/>
  <c r="E1107" i="7"/>
  <c r="D1107" i="7"/>
  <c r="C1107" i="7"/>
  <c r="B1107" i="7"/>
  <c r="A1107" i="7"/>
  <c r="F1106" i="7"/>
  <c r="E1106" i="7"/>
  <c r="D1106" i="7"/>
  <c r="C1106" i="7"/>
  <c r="B1106" i="7"/>
  <c r="A1106" i="7"/>
  <c r="F1105" i="7"/>
  <c r="E1105" i="7"/>
  <c r="D1105" i="7"/>
  <c r="C1105" i="7"/>
  <c r="B1105" i="7"/>
  <c r="A1105" i="7"/>
  <c r="F1104" i="7"/>
  <c r="E1104" i="7"/>
  <c r="D1104" i="7"/>
  <c r="C1104" i="7"/>
  <c r="B1104" i="7"/>
  <c r="A1104" i="7"/>
  <c r="F1103" i="7"/>
  <c r="E1103" i="7"/>
  <c r="D1103" i="7"/>
  <c r="C1103" i="7"/>
  <c r="B1103" i="7"/>
  <c r="A1103" i="7"/>
  <c r="F1102" i="7"/>
  <c r="E1102" i="7"/>
  <c r="D1102" i="7"/>
  <c r="C1102" i="7"/>
  <c r="B1102" i="7"/>
  <c r="A1102" i="7"/>
  <c r="F1101" i="7"/>
  <c r="E1101" i="7"/>
  <c r="D1101" i="7"/>
  <c r="C1101" i="7"/>
  <c r="B1101" i="7"/>
  <c r="A1101" i="7"/>
  <c r="F1100" i="7"/>
  <c r="E1100" i="7"/>
  <c r="D1100" i="7"/>
  <c r="C1100" i="7"/>
  <c r="B1100" i="7"/>
  <c r="A1100" i="7"/>
  <c r="F1099" i="7"/>
  <c r="E1099" i="7"/>
  <c r="D1099" i="7"/>
  <c r="C1099" i="7"/>
  <c r="B1099" i="7"/>
  <c r="A1099" i="7"/>
  <c r="F1098" i="7"/>
  <c r="E1098" i="7"/>
  <c r="D1098" i="7"/>
  <c r="C1098" i="7"/>
  <c r="B1098" i="7"/>
  <c r="A1098" i="7"/>
  <c r="F1097" i="7"/>
  <c r="E1097" i="7"/>
  <c r="D1097" i="7"/>
  <c r="C1097" i="7"/>
  <c r="B1097" i="7"/>
  <c r="A1097" i="7"/>
  <c r="F1096" i="7"/>
  <c r="E1096" i="7"/>
  <c r="D1096" i="7"/>
  <c r="C1096" i="7"/>
  <c r="B1096" i="7"/>
  <c r="A1096" i="7"/>
  <c r="F1095" i="7"/>
  <c r="E1095" i="7"/>
  <c r="D1095" i="7"/>
  <c r="C1095" i="7"/>
  <c r="B1095" i="7"/>
  <c r="A1095" i="7"/>
  <c r="F1094" i="7"/>
  <c r="E1094" i="7"/>
  <c r="D1094" i="7"/>
  <c r="C1094" i="7"/>
  <c r="B1094" i="7"/>
  <c r="A1094" i="7"/>
  <c r="F1093" i="7"/>
  <c r="E1093" i="7"/>
  <c r="D1093" i="7"/>
  <c r="C1093" i="7"/>
  <c r="B1093" i="7"/>
  <c r="A1093" i="7"/>
  <c r="F1092" i="7"/>
  <c r="E1092" i="7"/>
  <c r="D1092" i="7"/>
  <c r="C1092" i="7"/>
  <c r="B1092" i="7"/>
  <c r="A1092" i="7"/>
  <c r="F1091" i="7"/>
  <c r="E1091" i="7"/>
  <c r="D1091" i="7"/>
  <c r="C1091" i="7"/>
  <c r="B1091" i="7"/>
  <c r="A1091" i="7"/>
  <c r="F1090" i="7"/>
  <c r="E1090" i="7"/>
  <c r="D1090" i="7"/>
  <c r="C1090" i="7"/>
  <c r="B1090" i="7"/>
  <c r="A1090" i="7"/>
  <c r="F1089" i="7"/>
  <c r="E1089" i="7"/>
  <c r="D1089" i="7"/>
  <c r="C1089" i="7"/>
  <c r="B1089" i="7"/>
  <c r="A1089" i="7"/>
  <c r="F1088" i="7"/>
  <c r="E1088" i="7"/>
  <c r="D1088" i="7"/>
  <c r="C1088" i="7"/>
  <c r="B1088" i="7"/>
  <c r="A1088" i="7"/>
  <c r="F1087" i="7"/>
  <c r="E1087" i="7"/>
  <c r="D1087" i="7"/>
  <c r="C1087" i="7"/>
  <c r="B1087" i="7"/>
  <c r="A1087" i="7"/>
  <c r="F1086" i="7"/>
  <c r="E1086" i="7"/>
  <c r="D1086" i="7"/>
  <c r="C1086" i="7"/>
  <c r="B1086" i="7"/>
  <c r="A1086" i="7"/>
  <c r="F1085" i="7"/>
  <c r="E1085" i="7"/>
  <c r="D1085" i="7"/>
  <c r="C1085" i="7"/>
  <c r="B1085" i="7"/>
  <c r="A1085" i="7"/>
  <c r="F1084" i="7"/>
  <c r="E1084" i="7"/>
  <c r="D1084" i="7"/>
  <c r="C1084" i="7"/>
  <c r="B1084" i="7"/>
  <c r="A1084" i="7"/>
  <c r="F1083" i="7"/>
  <c r="E1083" i="7"/>
  <c r="D1083" i="7"/>
  <c r="C1083" i="7"/>
  <c r="B1083" i="7"/>
  <c r="A1083" i="7"/>
  <c r="F1082" i="7"/>
  <c r="E1082" i="7"/>
  <c r="D1082" i="7"/>
  <c r="C1082" i="7"/>
  <c r="B1082" i="7"/>
  <c r="A1082" i="7"/>
  <c r="F1081" i="7"/>
  <c r="E1081" i="7"/>
  <c r="D1081" i="7"/>
  <c r="C1081" i="7"/>
  <c r="B1081" i="7"/>
  <c r="A1081" i="7"/>
  <c r="F1080" i="7"/>
  <c r="E1080" i="7"/>
  <c r="D1080" i="7"/>
  <c r="C1080" i="7"/>
  <c r="B1080" i="7"/>
  <c r="A1080" i="7"/>
  <c r="F1079" i="7"/>
  <c r="E1079" i="7"/>
  <c r="D1079" i="7"/>
  <c r="C1079" i="7"/>
  <c r="B1079" i="7"/>
  <c r="A1079" i="7"/>
  <c r="F1078" i="7"/>
  <c r="E1078" i="7"/>
  <c r="D1078" i="7"/>
  <c r="C1078" i="7"/>
  <c r="B1078" i="7"/>
  <c r="A1078" i="7"/>
  <c r="F1077" i="7"/>
  <c r="E1077" i="7"/>
  <c r="D1077" i="7"/>
  <c r="C1077" i="7"/>
  <c r="B1077" i="7"/>
  <c r="A1077" i="7"/>
  <c r="F1076" i="7"/>
  <c r="E1076" i="7"/>
  <c r="D1076" i="7"/>
  <c r="C1076" i="7"/>
  <c r="B1076" i="7"/>
  <c r="A1076" i="7"/>
  <c r="F1075" i="7"/>
  <c r="E1075" i="7"/>
  <c r="D1075" i="7"/>
  <c r="C1075" i="7"/>
  <c r="B1075" i="7"/>
  <c r="A1075" i="7"/>
  <c r="F1074" i="7"/>
  <c r="E1074" i="7"/>
  <c r="D1074" i="7"/>
  <c r="C1074" i="7"/>
  <c r="B1074" i="7"/>
  <c r="A1074" i="7"/>
  <c r="F1073" i="7"/>
  <c r="E1073" i="7"/>
  <c r="D1073" i="7"/>
  <c r="C1073" i="7"/>
  <c r="B1073" i="7"/>
  <c r="A1073" i="7"/>
  <c r="F1072" i="7"/>
  <c r="E1072" i="7"/>
  <c r="D1072" i="7"/>
  <c r="C1072" i="7"/>
  <c r="B1072" i="7"/>
  <c r="A1072" i="7"/>
  <c r="F1071" i="7"/>
  <c r="E1071" i="7"/>
  <c r="D1071" i="7"/>
  <c r="C1071" i="7"/>
  <c r="B1071" i="7"/>
  <c r="A1071" i="7"/>
  <c r="F1070" i="7"/>
  <c r="E1070" i="7"/>
  <c r="D1070" i="7"/>
  <c r="C1070" i="7"/>
  <c r="B1070" i="7"/>
  <c r="A1070" i="7"/>
  <c r="F1069" i="7"/>
  <c r="E1069" i="7"/>
  <c r="D1069" i="7"/>
  <c r="C1069" i="7"/>
  <c r="B1069" i="7"/>
  <c r="A1069" i="7"/>
  <c r="F1068" i="7"/>
  <c r="E1068" i="7"/>
  <c r="D1068" i="7"/>
  <c r="C1068" i="7"/>
  <c r="B1068" i="7"/>
  <c r="A1068" i="7"/>
  <c r="F1067" i="7"/>
  <c r="E1067" i="7"/>
  <c r="D1067" i="7"/>
  <c r="C1067" i="7"/>
  <c r="B1067" i="7"/>
  <c r="A1067" i="7"/>
  <c r="F1066" i="7"/>
  <c r="E1066" i="7"/>
  <c r="D1066" i="7"/>
  <c r="C1066" i="7"/>
  <c r="B1066" i="7"/>
  <c r="A1066" i="7"/>
  <c r="F1065" i="7"/>
  <c r="E1065" i="7"/>
  <c r="D1065" i="7"/>
  <c r="C1065" i="7"/>
  <c r="B1065" i="7"/>
  <c r="A1065" i="7"/>
  <c r="F1064" i="7"/>
  <c r="E1064" i="7"/>
  <c r="D1064" i="7"/>
  <c r="C1064" i="7"/>
  <c r="B1064" i="7"/>
  <c r="A1064" i="7"/>
  <c r="F1063" i="7"/>
  <c r="E1063" i="7"/>
  <c r="D1063" i="7"/>
  <c r="C1063" i="7"/>
  <c r="B1063" i="7"/>
  <c r="A1063" i="7"/>
  <c r="F1062" i="7"/>
  <c r="E1062" i="7"/>
  <c r="D1062" i="7"/>
  <c r="C1062" i="7"/>
  <c r="B1062" i="7"/>
  <c r="A1062" i="7"/>
  <c r="F1061" i="7"/>
  <c r="E1061" i="7"/>
  <c r="D1061" i="7"/>
  <c r="C1061" i="7"/>
  <c r="B1061" i="7"/>
  <c r="A1061" i="7"/>
  <c r="F1060" i="7"/>
  <c r="E1060" i="7"/>
  <c r="D1060" i="7"/>
  <c r="C1060" i="7"/>
  <c r="B1060" i="7"/>
  <c r="A1060" i="7"/>
  <c r="F1059" i="7"/>
  <c r="E1059" i="7"/>
  <c r="D1059" i="7"/>
  <c r="C1059" i="7"/>
  <c r="B1059" i="7"/>
  <c r="A1059" i="7"/>
  <c r="F1058" i="7"/>
  <c r="E1058" i="7"/>
  <c r="D1058" i="7"/>
  <c r="C1058" i="7"/>
  <c r="B1058" i="7"/>
  <c r="A1058" i="7"/>
  <c r="F1057" i="7"/>
  <c r="E1057" i="7"/>
  <c r="D1057" i="7"/>
  <c r="C1057" i="7"/>
  <c r="B1057" i="7"/>
  <c r="A1057" i="7"/>
  <c r="F1056" i="7"/>
  <c r="E1056" i="7"/>
  <c r="D1056" i="7"/>
  <c r="C1056" i="7"/>
  <c r="B1056" i="7"/>
  <c r="A1056" i="7"/>
  <c r="F1055" i="7"/>
  <c r="E1055" i="7"/>
  <c r="D1055" i="7"/>
  <c r="C1055" i="7"/>
  <c r="B1055" i="7"/>
  <c r="A1055" i="7"/>
  <c r="F1054" i="7"/>
  <c r="E1054" i="7"/>
  <c r="D1054" i="7"/>
  <c r="C1054" i="7"/>
  <c r="B1054" i="7"/>
  <c r="A1054" i="7"/>
  <c r="F1053" i="7"/>
  <c r="E1053" i="7"/>
  <c r="D1053" i="7"/>
  <c r="C1053" i="7"/>
  <c r="B1053" i="7"/>
  <c r="A1053" i="7"/>
  <c r="F1052" i="7"/>
  <c r="E1052" i="7"/>
  <c r="D1052" i="7"/>
  <c r="C1052" i="7"/>
  <c r="B1052" i="7"/>
  <c r="A1052" i="7"/>
  <c r="F1051" i="7"/>
  <c r="E1051" i="7"/>
  <c r="D1051" i="7"/>
  <c r="C1051" i="7"/>
  <c r="B1051" i="7"/>
  <c r="A1051" i="7"/>
  <c r="F1050" i="7"/>
  <c r="E1050" i="7"/>
  <c r="D1050" i="7"/>
  <c r="C1050" i="7"/>
  <c r="B1050" i="7"/>
  <c r="A1050" i="7"/>
  <c r="F1049" i="7"/>
  <c r="E1049" i="7"/>
  <c r="D1049" i="7"/>
  <c r="C1049" i="7"/>
  <c r="B1049" i="7"/>
  <c r="A1049" i="7"/>
  <c r="F1048" i="7"/>
  <c r="E1048" i="7"/>
  <c r="D1048" i="7"/>
  <c r="C1048" i="7"/>
  <c r="B1048" i="7"/>
  <c r="A1048" i="7"/>
  <c r="F1047" i="7"/>
  <c r="E1047" i="7"/>
  <c r="D1047" i="7"/>
  <c r="C1047" i="7"/>
  <c r="B1047" i="7"/>
  <c r="A1047" i="7"/>
  <c r="F1046" i="7"/>
  <c r="E1046" i="7"/>
  <c r="D1046" i="7"/>
  <c r="C1046" i="7"/>
  <c r="B1046" i="7"/>
  <c r="A1046" i="7"/>
  <c r="F1045" i="7"/>
  <c r="E1045" i="7"/>
  <c r="D1045" i="7"/>
  <c r="C1045" i="7"/>
  <c r="B1045" i="7"/>
  <c r="A1045" i="7"/>
  <c r="F1044" i="7"/>
  <c r="E1044" i="7"/>
  <c r="D1044" i="7"/>
  <c r="C1044" i="7"/>
  <c r="B1044" i="7"/>
  <c r="A1044" i="7"/>
  <c r="F1043" i="7"/>
  <c r="E1043" i="7"/>
  <c r="D1043" i="7"/>
  <c r="C1043" i="7"/>
  <c r="B1043" i="7"/>
  <c r="A1043" i="7"/>
  <c r="F1042" i="7"/>
  <c r="E1042" i="7"/>
  <c r="D1042" i="7"/>
  <c r="C1042" i="7"/>
  <c r="B1042" i="7"/>
  <c r="A1042" i="7"/>
  <c r="F1041" i="7"/>
  <c r="E1041" i="7"/>
  <c r="D1041" i="7"/>
  <c r="C1041" i="7"/>
  <c r="B1041" i="7"/>
  <c r="A1041" i="7"/>
  <c r="F1040" i="7"/>
  <c r="E1040" i="7"/>
  <c r="D1040" i="7"/>
  <c r="C1040" i="7"/>
  <c r="B1040" i="7"/>
  <c r="A1040" i="7"/>
  <c r="F1039" i="7"/>
  <c r="E1039" i="7"/>
  <c r="D1039" i="7"/>
  <c r="C1039" i="7"/>
  <c r="B1039" i="7"/>
  <c r="A1039" i="7"/>
  <c r="F1038" i="7"/>
  <c r="E1038" i="7"/>
  <c r="D1038" i="7"/>
  <c r="C1038" i="7"/>
  <c r="B1038" i="7"/>
  <c r="A1038" i="7"/>
  <c r="F1037" i="7"/>
  <c r="E1037" i="7"/>
  <c r="D1037" i="7"/>
  <c r="C1037" i="7"/>
  <c r="B1037" i="7"/>
  <c r="A1037" i="7"/>
  <c r="F1036" i="7"/>
  <c r="E1036" i="7"/>
  <c r="D1036" i="7"/>
  <c r="C1036" i="7"/>
  <c r="B1036" i="7"/>
  <c r="A1036" i="7"/>
  <c r="F1035" i="7"/>
  <c r="E1035" i="7"/>
  <c r="D1035" i="7"/>
  <c r="C1035" i="7"/>
  <c r="B1035" i="7"/>
  <c r="A1035" i="7"/>
  <c r="F1034" i="7"/>
  <c r="E1034" i="7"/>
  <c r="D1034" i="7"/>
  <c r="C1034" i="7"/>
  <c r="B1034" i="7"/>
  <c r="A1034" i="7"/>
  <c r="F1033" i="7"/>
  <c r="E1033" i="7"/>
  <c r="D1033" i="7"/>
  <c r="C1033" i="7"/>
  <c r="B1033" i="7"/>
  <c r="A1033" i="7"/>
  <c r="F1032" i="7"/>
  <c r="E1032" i="7"/>
  <c r="D1032" i="7"/>
  <c r="C1032" i="7"/>
  <c r="B1032" i="7"/>
  <c r="A1032" i="7"/>
  <c r="F1031" i="7"/>
  <c r="E1031" i="7"/>
  <c r="D1031" i="7"/>
  <c r="C1031" i="7"/>
  <c r="B1031" i="7"/>
  <c r="A1031" i="7"/>
  <c r="F1030" i="7"/>
  <c r="E1030" i="7"/>
  <c r="D1030" i="7"/>
  <c r="C1030" i="7"/>
  <c r="B1030" i="7"/>
  <c r="A1030" i="7"/>
  <c r="F1029" i="7"/>
  <c r="E1029" i="7"/>
  <c r="D1029" i="7"/>
  <c r="C1029" i="7"/>
  <c r="B1029" i="7"/>
  <c r="A1029" i="7"/>
  <c r="F1028" i="7"/>
  <c r="E1028" i="7"/>
  <c r="D1028" i="7"/>
  <c r="C1028" i="7"/>
  <c r="B1028" i="7"/>
  <c r="A1028" i="7"/>
  <c r="F1027" i="7"/>
  <c r="E1027" i="7"/>
  <c r="D1027" i="7"/>
  <c r="C1027" i="7"/>
  <c r="B1027" i="7"/>
  <c r="A1027" i="7"/>
  <c r="F1026" i="7"/>
  <c r="E1026" i="7"/>
  <c r="D1026" i="7"/>
  <c r="C1026" i="7"/>
  <c r="B1026" i="7"/>
  <c r="A1026" i="7"/>
  <c r="F1025" i="7"/>
  <c r="E1025" i="7"/>
  <c r="D1025" i="7"/>
  <c r="C1025" i="7"/>
  <c r="B1025" i="7"/>
  <c r="A1025" i="7"/>
  <c r="F1024" i="7"/>
  <c r="E1024" i="7"/>
  <c r="D1024" i="7"/>
  <c r="C1024" i="7"/>
  <c r="B1024" i="7"/>
  <c r="A1024" i="7"/>
  <c r="F1023" i="7"/>
  <c r="E1023" i="7"/>
  <c r="D1023" i="7"/>
  <c r="C1023" i="7"/>
  <c r="B1023" i="7"/>
  <c r="A1023" i="7"/>
  <c r="F1022" i="7"/>
  <c r="E1022" i="7"/>
  <c r="D1022" i="7"/>
  <c r="C1022" i="7"/>
  <c r="B1022" i="7"/>
  <c r="A1022" i="7"/>
  <c r="F1021" i="7"/>
  <c r="E1021" i="7"/>
  <c r="D1021" i="7"/>
  <c r="C1021" i="7"/>
  <c r="B1021" i="7"/>
  <c r="A1021" i="7"/>
  <c r="F1020" i="7"/>
  <c r="E1020" i="7"/>
  <c r="D1020" i="7"/>
  <c r="C1020" i="7"/>
  <c r="B1020" i="7"/>
  <c r="A1020" i="7"/>
  <c r="F1019" i="7"/>
  <c r="E1019" i="7"/>
  <c r="D1019" i="7"/>
  <c r="C1019" i="7"/>
  <c r="B1019" i="7"/>
  <c r="A1019" i="7"/>
  <c r="F1018" i="7"/>
  <c r="E1018" i="7"/>
  <c r="D1018" i="7"/>
  <c r="C1018" i="7"/>
  <c r="B1018" i="7"/>
  <c r="A1018" i="7"/>
  <c r="F1017" i="7"/>
  <c r="E1017" i="7"/>
  <c r="D1017" i="7"/>
  <c r="C1017" i="7"/>
  <c r="B1017" i="7"/>
  <c r="A1017" i="7"/>
  <c r="F1016" i="7"/>
  <c r="E1016" i="7"/>
  <c r="D1016" i="7"/>
  <c r="C1016" i="7"/>
  <c r="B1016" i="7"/>
  <c r="A1016" i="7"/>
  <c r="F1015" i="7"/>
  <c r="E1015" i="7"/>
  <c r="D1015" i="7"/>
  <c r="C1015" i="7"/>
  <c r="B1015" i="7"/>
  <c r="A1015" i="7"/>
  <c r="F1014" i="7"/>
  <c r="E1014" i="7"/>
  <c r="D1014" i="7"/>
  <c r="C1014" i="7"/>
  <c r="B1014" i="7"/>
  <c r="A1014" i="7"/>
  <c r="F1013" i="7"/>
  <c r="E1013" i="7"/>
  <c r="D1013" i="7"/>
  <c r="C1013" i="7"/>
  <c r="B1013" i="7"/>
  <c r="A1013" i="7"/>
  <c r="F1012" i="7"/>
  <c r="E1012" i="7"/>
  <c r="D1012" i="7"/>
  <c r="C1012" i="7"/>
  <c r="B1012" i="7"/>
  <c r="A1012" i="7"/>
  <c r="F1011" i="7"/>
  <c r="E1011" i="7"/>
  <c r="D1011" i="7"/>
  <c r="C1011" i="7"/>
  <c r="B1011" i="7"/>
  <c r="A1011" i="7"/>
  <c r="F1010" i="7"/>
  <c r="E1010" i="7"/>
  <c r="D1010" i="7"/>
  <c r="C1010" i="7"/>
  <c r="B1010" i="7"/>
  <c r="A1010" i="7"/>
  <c r="F1009" i="7"/>
  <c r="E1009" i="7"/>
  <c r="D1009" i="7"/>
  <c r="C1009" i="7"/>
  <c r="B1009" i="7"/>
  <c r="A1009" i="7"/>
  <c r="F1008" i="7"/>
  <c r="E1008" i="7"/>
  <c r="D1008" i="7"/>
  <c r="C1008" i="7"/>
  <c r="B1008" i="7"/>
  <c r="A1008" i="7"/>
  <c r="F1007" i="7"/>
  <c r="E1007" i="7"/>
  <c r="D1007" i="7"/>
  <c r="C1007" i="7"/>
  <c r="B1007" i="7"/>
  <c r="A1007" i="7"/>
  <c r="F1006" i="7"/>
  <c r="E1006" i="7"/>
  <c r="D1006" i="7"/>
  <c r="C1006" i="7"/>
  <c r="B1006" i="7"/>
  <c r="A1006" i="7"/>
  <c r="F1005" i="7"/>
  <c r="E1005" i="7"/>
  <c r="D1005" i="7"/>
  <c r="C1005" i="7"/>
  <c r="B1005" i="7"/>
  <c r="A1005" i="7"/>
  <c r="F1004" i="7"/>
  <c r="E1004" i="7"/>
  <c r="D1004" i="7"/>
  <c r="C1004" i="7"/>
  <c r="B1004" i="7"/>
  <c r="A1004" i="7"/>
  <c r="F1003" i="7"/>
  <c r="E1003" i="7"/>
  <c r="D1003" i="7"/>
  <c r="C1003" i="7"/>
  <c r="B1003" i="7"/>
  <c r="A1003" i="7"/>
  <c r="F1002" i="7"/>
  <c r="E1002" i="7"/>
  <c r="D1002" i="7"/>
  <c r="C1002" i="7"/>
  <c r="B1002" i="7"/>
  <c r="A1002" i="7"/>
  <c r="F1001" i="7"/>
  <c r="E1001" i="7"/>
  <c r="D1001" i="7"/>
  <c r="C1001" i="7"/>
  <c r="B1001" i="7"/>
  <c r="A1001" i="7"/>
  <c r="F1000" i="7"/>
  <c r="E1000" i="7"/>
  <c r="D1000" i="7"/>
  <c r="C1000" i="7"/>
  <c r="B1000" i="7"/>
  <c r="A1000" i="7"/>
  <c r="F999" i="7"/>
  <c r="E999" i="7"/>
  <c r="D999" i="7"/>
  <c r="C999" i="7"/>
  <c r="B999" i="7"/>
  <c r="A999" i="7"/>
  <c r="F998" i="7"/>
  <c r="E998" i="7"/>
  <c r="D998" i="7"/>
  <c r="C998" i="7"/>
  <c r="B998" i="7"/>
  <c r="A998" i="7"/>
  <c r="F997" i="7"/>
  <c r="E997" i="7"/>
  <c r="D997" i="7"/>
  <c r="C997" i="7"/>
  <c r="B997" i="7"/>
  <c r="A997" i="7"/>
  <c r="F996" i="7"/>
  <c r="E996" i="7"/>
  <c r="D996" i="7"/>
  <c r="C996" i="7"/>
  <c r="B996" i="7"/>
  <c r="A996" i="7"/>
  <c r="F995" i="7"/>
  <c r="E995" i="7"/>
  <c r="D995" i="7"/>
  <c r="C995" i="7"/>
  <c r="B995" i="7"/>
  <c r="A995" i="7"/>
  <c r="F994" i="7"/>
  <c r="E994" i="7"/>
  <c r="D994" i="7"/>
  <c r="C994" i="7"/>
  <c r="B994" i="7"/>
  <c r="A994" i="7"/>
  <c r="F993" i="7"/>
  <c r="E993" i="7"/>
  <c r="D993" i="7"/>
  <c r="C993" i="7"/>
  <c r="B993" i="7"/>
  <c r="A993" i="7"/>
  <c r="F992" i="7"/>
  <c r="E992" i="7"/>
  <c r="D992" i="7"/>
  <c r="C992" i="7"/>
  <c r="B992" i="7"/>
  <c r="A992" i="7"/>
  <c r="F991" i="7"/>
  <c r="E991" i="7"/>
  <c r="D991" i="7"/>
  <c r="C991" i="7"/>
  <c r="B991" i="7"/>
  <c r="A991" i="7"/>
  <c r="F990" i="7"/>
  <c r="E990" i="7"/>
  <c r="D990" i="7"/>
  <c r="C990" i="7"/>
  <c r="B990" i="7"/>
  <c r="A990" i="7"/>
  <c r="F989" i="7"/>
  <c r="E989" i="7"/>
  <c r="D989" i="7"/>
  <c r="C989" i="7"/>
  <c r="B989" i="7"/>
  <c r="A989" i="7"/>
  <c r="F988" i="7"/>
  <c r="E988" i="7"/>
  <c r="D988" i="7"/>
  <c r="C988" i="7"/>
  <c r="B988" i="7"/>
  <c r="A988" i="7"/>
  <c r="F987" i="7"/>
  <c r="E987" i="7"/>
  <c r="D987" i="7"/>
  <c r="C987" i="7"/>
  <c r="B987" i="7"/>
  <c r="A987" i="7"/>
  <c r="F986" i="7"/>
  <c r="E986" i="7"/>
  <c r="D986" i="7"/>
  <c r="C986" i="7"/>
  <c r="B986" i="7"/>
  <c r="A986" i="7"/>
  <c r="F985" i="7"/>
  <c r="E985" i="7"/>
  <c r="D985" i="7"/>
  <c r="C985" i="7"/>
  <c r="B985" i="7"/>
  <c r="A985" i="7"/>
  <c r="F984" i="7"/>
  <c r="E984" i="7"/>
  <c r="D984" i="7"/>
  <c r="C984" i="7"/>
  <c r="B984" i="7"/>
  <c r="A984" i="7"/>
  <c r="F983" i="7"/>
  <c r="E983" i="7"/>
  <c r="D983" i="7"/>
  <c r="C983" i="7"/>
  <c r="B983" i="7"/>
  <c r="A983" i="7"/>
  <c r="F982" i="7"/>
  <c r="E982" i="7"/>
  <c r="D982" i="7"/>
  <c r="C982" i="7"/>
  <c r="B982" i="7"/>
  <c r="A982" i="7"/>
  <c r="F981" i="7"/>
  <c r="E981" i="7"/>
  <c r="D981" i="7"/>
  <c r="C981" i="7"/>
  <c r="B981" i="7"/>
  <c r="A981" i="7"/>
  <c r="F980" i="7"/>
  <c r="E980" i="7"/>
  <c r="D980" i="7"/>
  <c r="C980" i="7"/>
  <c r="B980" i="7"/>
  <c r="A980" i="7"/>
  <c r="F979" i="7"/>
  <c r="E979" i="7"/>
  <c r="D979" i="7"/>
  <c r="C979" i="7"/>
  <c r="B979" i="7"/>
  <c r="A979" i="7"/>
  <c r="F978" i="7"/>
  <c r="E978" i="7"/>
  <c r="D978" i="7"/>
  <c r="C978" i="7"/>
  <c r="B978" i="7"/>
  <c r="A978" i="7"/>
  <c r="F977" i="7"/>
  <c r="E977" i="7"/>
  <c r="D977" i="7"/>
  <c r="C977" i="7"/>
  <c r="B977" i="7"/>
  <c r="A977" i="7"/>
  <c r="F976" i="7"/>
  <c r="E976" i="7"/>
  <c r="D976" i="7"/>
  <c r="C976" i="7"/>
  <c r="B976" i="7"/>
  <c r="A976" i="7"/>
  <c r="F975" i="7"/>
  <c r="E975" i="7"/>
  <c r="D975" i="7"/>
  <c r="C975" i="7"/>
  <c r="B975" i="7"/>
  <c r="A975" i="7"/>
  <c r="F974" i="7"/>
  <c r="E974" i="7"/>
  <c r="D974" i="7"/>
  <c r="C974" i="7"/>
  <c r="B974" i="7"/>
  <c r="A974" i="7"/>
  <c r="F973" i="7"/>
  <c r="E973" i="7"/>
  <c r="D973" i="7"/>
  <c r="C973" i="7"/>
  <c r="B973" i="7"/>
  <c r="A973" i="7"/>
  <c r="F972" i="7"/>
  <c r="E972" i="7"/>
  <c r="D972" i="7"/>
  <c r="C972" i="7"/>
  <c r="B972" i="7"/>
  <c r="A972" i="7"/>
  <c r="F971" i="7"/>
  <c r="E971" i="7"/>
  <c r="D971" i="7"/>
  <c r="C971" i="7"/>
  <c r="B971" i="7"/>
  <c r="A971" i="7"/>
  <c r="F970" i="7"/>
  <c r="E970" i="7"/>
  <c r="D970" i="7"/>
  <c r="C970" i="7"/>
  <c r="B970" i="7"/>
  <c r="A970" i="7"/>
  <c r="F969" i="7"/>
  <c r="E969" i="7"/>
  <c r="D969" i="7"/>
  <c r="C969" i="7"/>
  <c r="B969" i="7"/>
  <c r="A969" i="7"/>
  <c r="F968" i="7"/>
  <c r="E968" i="7"/>
  <c r="D968" i="7"/>
  <c r="C968" i="7"/>
  <c r="B968" i="7"/>
  <c r="A968" i="7"/>
  <c r="F967" i="7"/>
  <c r="E967" i="7"/>
  <c r="D967" i="7"/>
  <c r="C967" i="7"/>
  <c r="B967" i="7"/>
  <c r="A967" i="7"/>
  <c r="F966" i="7"/>
  <c r="E966" i="7"/>
  <c r="D966" i="7"/>
  <c r="C966" i="7"/>
  <c r="B966" i="7"/>
  <c r="A966" i="7"/>
  <c r="F965" i="7"/>
  <c r="E965" i="7"/>
  <c r="D965" i="7"/>
  <c r="C965" i="7"/>
  <c r="B965" i="7"/>
  <c r="A965" i="7"/>
  <c r="F964" i="7"/>
  <c r="E964" i="7"/>
  <c r="D964" i="7"/>
  <c r="C964" i="7"/>
  <c r="B964" i="7"/>
  <c r="A964" i="7"/>
  <c r="F963" i="7"/>
  <c r="E963" i="7"/>
  <c r="D963" i="7"/>
  <c r="C963" i="7"/>
  <c r="B963" i="7"/>
  <c r="A963" i="7"/>
  <c r="F962" i="7"/>
  <c r="E962" i="7"/>
  <c r="D962" i="7"/>
  <c r="C962" i="7"/>
  <c r="B962" i="7"/>
  <c r="A962" i="7"/>
  <c r="F961" i="7"/>
  <c r="E961" i="7"/>
  <c r="D961" i="7"/>
  <c r="C961" i="7"/>
  <c r="B961" i="7"/>
  <c r="A961" i="7"/>
  <c r="F960" i="7"/>
  <c r="E960" i="7"/>
  <c r="D960" i="7"/>
  <c r="C960" i="7"/>
  <c r="B960" i="7"/>
  <c r="A960" i="7"/>
  <c r="F959" i="7"/>
  <c r="E959" i="7"/>
  <c r="D959" i="7"/>
  <c r="C959" i="7"/>
  <c r="B959" i="7"/>
  <c r="A959" i="7"/>
  <c r="F958" i="7"/>
  <c r="E958" i="7"/>
  <c r="D958" i="7"/>
  <c r="C958" i="7"/>
  <c r="B958" i="7"/>
  <c r="A958" i="7"/>
  <c r="F957" i="7"/>
  <c r="E957" i="7"/>
  <c r="D957" i="7"/>
  <c r="C957" i="7"/>
  <c r="B957" i="7"/>
  <c r="A957" i="7"/>
  <c r="F956" i="7"/>
  <c r="E956" i="7"/>
  <c r="D956" i="7"/>
  <c r="C956" i="7"/>
  <c r="B956" i="7"/>
  <c r="A956" i="7"/>
  <c r="F955" i="7"/>
  <c r="E955" i="7"/>
  <c r="D955" i="7"/>
  <c r="C955" i="7"/>
  <c r="B955" i="7"/>
  <c r="A955" i="7"/>
  <c r="F954" i="7"/>
  <c r="E954" i="7"/>
  <c r="D954" i="7"/>
  <c r="C954" i="7"/>
  <c r="B954" i="7"/>
  <c r="A954" i="7"/>
  <c r="F953" i="7"/>
  <c r="E953" i="7"/>
  <c r="D953" i="7"/>
  <c r="C953" i="7"/>
  <c r="B953" i="7"/>
  <c r="A953" i="7"/>
  <c r="F952" i="7"/>
  <c r="E952" i="7"/>
  <c r="D952" i="7"/>
  <c r="C952" i="7"/>
  <c r="B952" i="7"/>
  <c r="A952" i="7"/>
  <c r="F951" i="7"/>
  <c r="E951" i="7"/>
  <c r="D951" i="7"/>
  <c r="C951" i="7"/>
  <c r="B951" i="7"/>
  <c r="A951" i="7"/>
  <c r="F950" i="7"/>
  <c r="E950" i="7"/>
  <c r="D950" i="7"/>
  <c r="C950" i="7"/>
  <c r="B950" i="7"/>
  <c r="A950" i="7"/>
  <c r="F949" i="7"/>
  <c r="E949" i="7"/>
  <c r="D949" i="7"/>
  <c r="C949" i="7"/>
  <c r="B949" i="7"/>
  <c r="A949" i="7"/>
  <c r="F948" i="7"/>
  <c r="E948" i="7"/>
  <c r="D948" i="7"/>
  <c r="C948" i="7"/>
  <c r="B948" i="7"/>
  <c r="A948" i="7"/>
  <c r="F947" i="7"/>
  <c r="E947" i="7"/>
  <c r="D947" i="7"/>
  <c r="C947" i="7"/>
  <c r="B947" i="7"/>
  <c r="A947" i="7"/>
  <c r="F946" i="7"/>
  <c r="E946" i="7"/>
  <c r="D946" i="7"/>
  <c r="C946" i="7"/>
  <c r="B946" i="7"/>
  <c r="A946" i="7"/>
  <c r="F945" i="7"/>
  <c r="E945" i="7"/>
  <c r="D945" i="7"/>
  <c r="C945" i="7"/>
  <c r="B945" i="7"/>
  <c r="A945" i="7"/>
  <c r="F944" i="7"/>
  <c r="E944" i="7"/>
  <c r="D944" i="7"/>
  <c r="C944" i="7"/>
  <c r="B944" i="7"/>
  <c r="A944" i="7"/>
  <c r="F943" i="7"/>
  <c r="E943" i="7"/>
  <c r="D943" i="7"/>
  <c r="C943" i="7"/>
  <c r="B943" i="7"/>
  <c r="A943" i="7"/>
  <c r="F942" i="7"/>
  <c r="E942" i="7"/>
  <c r="D942" i="7"/>
  <c r="C942" i="7"/>
  <c r="B942" i="7"/>
  <c r="A942" i="7"/>
  <c r="F941" i="7"/>
  <c r="E941" i="7"/>
  <c r="D941" i="7"/>
  <c r="C941" i="7"/>
  <c r="B941" i="7"/>
  <c r="A941" i="7"/>
  <c r="F940" i="7"/>
  <c r="E940" i="7"/>
  <c r="D940" i="7"/>
  <c r="C940" i="7"/>
  <c r="B940" i="7"/>
  <c r="A940" i="7"/>
  <c r="F939" i="7"/>
  <c r="E939" i="7"/>
  <c r="D939" i="7"/>
  <c r="C939" i="7"/>
  <c r="B939" i="7"/>
  <c r="A939" i="7"/>
  <c r="F938" i="7"/>
  <c r="E938" i="7"/>
  <c r="D938" i="7"/>
  <c r="C938" i="7"/>
  <c r="B938" i="7"/>
  <c r="A938" i="7"/>
  <c r="F937" i="7"/>
  <c r="E937" i="7"/>
  <c r="D937" i="7"/>
  <c r="C937" i="7"/>
  <c r="B937" i="7"/>
  <c r="A937" i="7"/>
  <c r="F936" i="7"/>
  <c r="E936" i="7"/>
  <c r="D936" i="7"/>
  <c r="C936" i="7"/>
  <c r="B936" i="7"/>
  <c r="A936" i="7"/>
  <c r="F935" i="7"/>
  <c r="E935" i="7"/>
  <c r="D935" i="7"/>
  <c r="C935" i="7"/>
  <c r="B935" i="7"/>
  <c r="A935" i="7"/>
  <c r="F934" i="7"/>
  <c r="E934" i="7"/>
  <c r="D934" i="7"/>
  <c r="C934" i="7"/>
  <c r="B934" i="7"/>
  <c r="A934" i="7"/>
  <c r="F933" i="7"/>
  <c r="E933" i="7"/>
  <c r="D933" i="7"/>
  <c r="C933" i="7"/>
  <c r="B933" i="7"/>
  <c r="A933" i="7"/>
  <c r="F932" i="7"/>
  <c r="E932" i="7"/>
  <c r="D932" i="7"/>
  <c r="C932" i="7"/>
  <c r="B932" i="7"/>
  <c r="A932" i="7"/>
  <c r="F931" i="7"/>
  <c r="E931" i="7"/>
  <c r="D931" i="7"/>
  <c r="C931" i="7"/>
  <c r="B931" i="7"/>
  <c r="A931" i="7"/>
  <c r="F930" i="7"/>
  <c r="E930" i="7"/>
  <c r="D930" i="7"/>
  <c r="C930" i="7"/>
  <c r="B930" i="7"/>
  <c r="A930" i="7"/>
  <c r="F929" i="7"/>
  <c r="E929" i="7"/>
  <c r="D929" i="7"/>
  <c r="C929" i="7"/>
  <c r="B929" i="7"/>
  <c r="A929" i="7"/>
  <c r="F928" i="7"/>
  <c r="E928" i="7"/>
  <c r="D928" i="7"/>
  <c r="C928" i="7"/>
  <c r="B928" i="7"/>
  <c r="A928" i="7"/>
  <c r="F927" i="7"/>
  <c r="E927" i="7"/>
  <c r="D927" i="7"/>
  <c r="C927" i="7"/>
  <c r="B927" i="7"/>
  <c r="A927" i="7"/>
  <c r="F926" i="7"/>
  <c r="E926" i="7"/>
  <c r="D926" i="7"/>
  <c r="C926" i="7"/>
  <c r="B926" i="7"/>
  <c r="A926" i="7"/>
  <c r="F925" i="7"/>
  <c r="E925" i="7"/>
  <c r="D925" i="7"/>
  <c r="C925" i="7"/>
  <c r="B925" i="7"/>
  <c r="A925" i="7"/>
  <c r="F924" i="7"/>
  <c r="E924" i="7"/>
  <c r="D924" i="7"/>
  <c r="C924" i="7"/>
  <c r="B924" i="7"/>
  <c r="A924" i="7"/>
  <c r="F923" i="7"/>
  <c r="E923" i="7"/>
  <c r="D923" i="7"/>
  <c r="C923" i="7"/>
  <c r="B923" i="7"/>
  <c r="A923" i="7"/>
  <c r="F922" i="7"/>
  <c r="E922" i="7"/>
  <c r="D922" i="7"/>
  <c r="C922" i="7"/>
  <c r="B922" i="7"/>
  <c r="A922" i="7"/>
  <c r="F921" i="7"/>
  <c r="E921" i="7"/>
  <c r="D921" i="7"/>
  <c r="C921" i="7"/>
  <c r="B921" i="7"/>
  <c r="A921" i="7"/>
  <c r="F920" i="7"/>
  <c r="E920" i="7"/>
  <c r="D920" i="7"/>
  <c r="C920" i="7"/>
  <c r="B920" i="7"/>
  <c r="A920" i="7"/>
  <c r="F919" i="7"/>
  <c r="E919" i="7"/>
  <c r="D919" i="7"/>
  <c r="C919" i="7"/>
  <c r="B919" i="7"/>
  <c r="A919" i="7"/>
  <c r="F918" i="7"/>
  <c r="E918" i="7"/>
  <c r="D918" i="7"/>
  <c r="C918" i="7"/>
  <c r="B918" i="7"/>
  <c r="A918" i="7"/>
  <c r="F917" i="7"/>
  <c r="E917" i="7"/>
  <c r="D917" i="7"/>
  <c r="C917" i="7"/>
  <c r="B917" i="7"/>
  <c r="A917" i="7"/>
  <c r="F916" i="7"/>
  <c r="E916" i="7"/>
  <c r="D916" i="7"/>
  <c r="C916" i="7"/>
  <c r="B916" i="7"/>
  <c r="A916" i="7"/>
  <c r="F915" i="7"/>
  <c r="E915" i="7"/>
  <c r="D915" i="7"/>
  <c r="C915" i="7"/>
  <c r="B915" i="7"/>
  <c r="A915" i="7"/>
  <c r="F914" i="7"/>
  <c r="E914" i="7"/>
  <c r="D914" i="7"/>
  <c r="C914" i="7"/>
  <c r="B914" i="7"/>
  <c r="A914" i="7"/>
  <c r="F913" i="7"/>
  <c r="E913" i="7"/>
  <c r="D913" i="7"/>
  <c r="C913" i="7"/>
  <c r="B913" i="7"/>
  <c r="A913" i="7"/>
  <c r="F912" i="7"/>
  <c r="E912" i="7"/>
  <c r="D912" i="7"/>
  <c r="C912" i="7"/>
  <c r="B912" i="7"/>
  <c r="A912" i="7"/>
  <c r="F911" i="7"/>
  <c r="E911" i="7"/>
  <c r="D911" i="7"/>
  <c r="C911" i="7"/>
  <c r="B911" i="7"/>
  <c r="A911" i="7"/>
  <c r="F910" i="7"/>
  <c r="E910" i="7"/>
  <c r="D910" i="7"/>
  <c r="C910" i="7"/>
  <c r="B910" i="7"/>
  <c r="A910" i="7"/>
  <c r="F909" i="7"/>
  <c r="E909" i="7"/>
  <c r="D909" i="7"/>
  <c r="C909" i="7"/>
  <c r="B909" i="7"/>
  <c r="A909" i="7"/>
  <c r="F908" i="7"/>
  <c r="E908" i="7"/>
  <c r="D908" i="7"/>
  <c r="C908" i="7"/>
  <c r="B908" i="7"/>
  <c r="A908" i="7"/>
  <c r="F907" i="7"/>
  <c r="E907" i="7"/>
  <c r="D907" i="7"/>
  <c r="C907" i="7"/>
  <c r="B907" i="7"/>
  <c r="A907" i="7"/>
  <c r="F906" i="7"/>
  <c r="E906" i="7"/>
  <c r="D906" i="7"/>
  <c r="C906" i="7"/>
  <c r="B906" i="7"/>
  <c r="A906" i="7"/>
  <c r="F905" i="7"/>
  <c r="E905" i="7"/>
  <c r="D905" i="7"/>
  <c r="C905" i="7"/>
  <c r="B905" i="7"/>
  <c r="A905" i="7"/>
  <c r="F904" i="7"/>
  <c r="E904" i="7"/>
  <c r="D904" i="7"/>
  <c r="C904" i="7"/>
  <c r="B904" i="7"/>
  <c r="A904" i="7"/>
  <c r="F903" i="7"/>
  <c r="E903" i="7"/>
  <c r="D903" i="7"/>
  <c r="C903" i="7"/>
  <c r="B903" i="7"/>
  <c r="A903" i="7"/>
  <c r="F902" i="7"/>
  <c r="E902" i="7"/>
  <c r="D902" i="7"/>
  <c r="C902" i="7"/>
  <c r="B902" i="7"/>
  <c r="A902" i="7"/>
  <c r="F901" i="7"/>
  <c r="E901" i="7"/>
  <c r="D901" i="7"/>
  <c r="C901" i="7"/>
  <c r="B901" i="7"/>
  <c r="A901" i="7"/>
  <c r="F900" i="7"/>
  <c r="E900" i="7"/>
  <c r="D900" i="7"/>
  <c r="C900" i="7"/>
  <c r="B900" i="7"/>
  <c r="A900" i="7"/>
  <c r="F899" i="7"/>
  <c r="E899" i="7"/>
  <c r="D899" i="7"/>
  <c r="C899" i="7"/>
  <c r="B899" i="7"/>
  <c r="A899" i="7"/>
  <c r="F898" i="7"/>
  <c r="E898" i="7"/>
  <c r="D898" i="7"/>
  <c r="C898" i="7"/>
  <c r="B898" i="7"/>
  <c r="A898" i="7"/>
  <c r="F897" i="7"/>
  <c r="E897" i="7"/>
  <c r="D897" i="7"/>
  <c r="C897" i="7"/>
  <c r="B897" i="7"/>
  <c r="A897" i="7"/>
  <c r="F896" i="7"/>
  <c r="E896" i="7"/>
  <c r="D896" i="7"/>
  <c r="C896" i="7"/>
  <c r="B896" i="7"/>
  <c r="A896" i="7"/>
  <c r="F895" i="7"/>
  <c r="E895" i="7"/>
  <c r="D895" i="7"/>
  <c r="C895" i="7"/>
  <c r="B895" i="7"/>
  <c r="A895" i="7"/>
  <c r="F894" i="7"/>
  <c r="E894" i="7"/>
  <c r="D894" i="7"/>
  <c r="C894" i="7"/>
  <c r="B894" i="7"/>
  <c r="A894" i="7"/>
  <c r="F893" i="7"/>
  <c r="E893" i="7"/>
  <c r="D893" i="7"/>
  <c r="C893" i="7"/>
  <c r="B893" i="7"/>
  <c r="A893" i="7"/>
  <c r="F892" i="7"/>
  <c r="E892" i="7"/>
  <c r="D892" i="7"/>
  <c r="C892" i="7"/>
  <c r="B892" i="7"/>
  <c r="A892" i="7"/>
  <c r="F891" i="7"/>
  <c r="E891" i="7"/>
  <c r="D891" i="7"/>
  <c r="C891" i="7"/>
  <c r="B891" i="7"/>
  <c r="A891" i="7"/>
  <c r="F890" i="7"/>
  <c r="E890" i="7"/>
  <c r="D890" i="7"/>
  <c r="C890" i="7"/>
  <c r="B890" i="7"/>
  <c r="A890" i="7"/>
  <c r="F889" i="7"/>
  <c r="E889" i="7"/>
  <c r="D889" i="7"/>
  <c r="C889" i="7"/>
  <c r="B889" i="7"/>
  <c r="A889" i="7"/>
  <c r="F888" i="7"/>
  <c r="E888" i="7"/>
  <c r="D888" i="7"/>
  <c r="C888" i="7"/>
  <c r="B888" i="7"/>
  <c r="A888" i="7"/>
  <c r="F887" i="7"/>
  <c r="E887" i="7"/>
  <c r="D887" i="7"/>
  <c r="C887" i="7"/>
  <c r="B887" i="7"/>
  <c r="A887" i="7"/>
  <c r="F886" i="7"/>
  <c r="E886" i="7"/>
  <c r="D886" i="7"/>
  <c r="C886" i="7"/>
  <c r="B886" i="7"/>
  <c r="A886" i="7"/>
  <c r="F885" i="7"/>
  <c r="E885" i="7"/>
  <c r="D885" i="7"/>
  <c r="C885" i="7"/>
  <c r="B885" i="7"/>
  <c r="A885" i="7"/>
  <c r="F884" i="7"/>
  <c r="E884" i="7"/>
  <c r="D884" i="7"/>
  <c r="C884" i="7"/>
  <c r="B884" i="7"/>
  <c r="A884" i="7"/>
  <c r="F883" i="7"/>
  <c r="E883" i="7"/>
  <c r="D883" i="7"/>
  <c r="C883" i="7"/>
  <c r="B883" i="7"/>
  <c r="A883" i="7"/>
  <c r="F882" i="7"/>
  <c r="E882" i="7"/>
  <c r="D882" i="7"/>
  <c r="C882" i="7"/>
  <c r="B882" i="7"/>
  <c r="A882" i="7"/>
  <c r="F881" i="7"/>
  <c r="E881" i="7"/>
  <c r="D881" i="7"/>
  <c r="C881" i="7"/>
  <c r="B881" i="7"/>
  <c r="A881" i="7"/>
  <c r="F880" i="7"/>
  <c r="E880" i="7"/>
  <c r="D880" i="7"/>
  <c r="C880" i="7"/>
  <c r="B880" i="7"/>
  <c r="A880" i="7"/>
  <c r="F879" i="7"/>
  <c r="E879" i="7"/>
  <c r="D879" i="7"/>
  <c r="C879" i="7"/>
  <c r="B879" i="7"/>
  <c r="A879" i="7"/>
  <c r="F878" i="7"/>
  <c r="E878" i="7"/>
  <c r="D878" i="7"/>
  <c r="C878" i="7"/>
  <c r="B878" i="7"/>
  <c r="A878" i="7"/>
  <c r="F877" i="7"/>
  <c r="E877" i="7"/>
  <c r="D877" i="7"/>
  <c r="C877" i="7"/>
  <c r="B877" i="7"/>
  <c r="A877" i="7"/>
  <c r="F876" i="7"/>
  <c r="E876" i="7"/>
  <c r="D876" i="7"/>
  <c r="C876" i="7"/>
  <c r="B876" i="7"/>
  <c r="A876" i="7"/>
  <c r="F875" i="7"/>
  <c r="E875" i="7"/>
  <c r="D875" i="7"/>
  <c r="C875" i="7"/>
  <c r="B875" i="7"/>
  <c r="A875" i="7"/>
  <c r="F874" i="7"/>
  <c r="E874" i="7"/>
  <c r="D874" i="7"/>
  <c r="C874" i="7"/>
  <c r="B874" i="7"/>
  <c r="A874" i="7"/>
  <c r="F873" i="7"/>
  <c r="E873" i="7"/>
  <c r="D873" i="7"/>
  <c r="C873" i="7"/>
  <c r="B873" i="7"/>
  <c r="A873" i="7"/>
  <c r="F872" i="7"/>
  <c r="E872" i="7"/>
  <c r="D872" i="7"/>
  <c r="C872" i="7"/>
  <c r="B872" i="7"/>
  <c r="A872" i="7"/>
  <c r="F871" i="7"/>
  <c r="E871" i="7"/>
  <c r="D871" i="7"/>
  <c r="C871" i="7"/>
  <c r="B871" i="7"/>
  <c r="A871" i="7"/>
  <c r="F870" i="7"/>
  <c r="E870" i="7"/>
  <c r="D870" i="7"/>
  <c r="C870" i="7"/>
  <c r="B870" i="7"/>
  <c r="A870" i="7"/>
  <c r="F869" i="7"/>
  <c r="E869" i="7"/>
  <c r="D869" i="7"/>
  <c r="C869" i="7"/>
  <c r="B869" i="7"/>
  <c r="A869" i="7"/>
  <c r="F868" i="7"/>
  <c r="E868" i="7"/>
  <c r="D868" i="7"/>
  <c r="C868" i="7"/>
  <c r="B868" i="7"/>
  <c r="A868" i="7"/>
  <c r="F867" i="7"/>
  <c r="E867" i="7"/>
  <c r="D867" i="7"/>
  <c r="C867" i="7"/>
  <c r="B867" i="7"/>
  <c r="A867" i="7"/>
  <c r="F866" i="7"/>
  <c r="E866" i="7"/>
  <c r="D866" i="7"/>
  <c r="C866" i="7"/>
  <c r="B866" i="7"/>
  <c r="A866" i="7"/>
  <c r="F865" i="7"/>
  <c r="E865" i="7"/>
  <c r="D865" i="7"/>
  <c r="C865" i="7"/>
  <c r="B865" i="7"/>
  <c r="A865" i="7"/>
  <c r="F864" i="7"/>
  <c r="E864" i="7"/>
  <c r="D864" i="7"/>
  <c r="C864" i="7"/>
  <c r="B864" i="7"/>
  <c r="A864" i="7"/>
  <c r="F863" i="7"/>
  <c r="E863" i="7"/>
  <c r="D863" i="7"/>
  <c r="C863" i="7"/>
  <c r="B863" i="7"/>
  <c r="A863" i="7"/>
  <c r="F862" i="7"/>
  <c r="E862" i="7"/>
  <c r="D862" i="7"/>
  <c r="C862" i="7"/>
  <c r="B862" i="7"/>
  <c r="A862" i="7"/>
  <c r="F861" i="7"/>
  <c r="E861" i="7"/>
  <c r="D861" i="7"/>
  <c r="C861" i="7"/>
  <c r="B861" i="7"/>
  <c r="A861" i="7"/>
  <c r="F860" i="7"/>
  <c r="E860" i="7"/>
  <c r="D860" i="7"/>
  <c r="C860" i="7"/>
  <c r="B860" i="7"/>
  <c r="A860" i="7"/>
  <c r="F859" i="7"/>
  <c r="E859" i="7"/>
  <c r="D859" i="7"/>
  <c r="C859" i="7"/>
  <c r="B859" i="7"/>
  <c r="A859" i="7"/>
  <c r="F858" i="7"/>
  <c r="E858" i="7"/>
  <c r="D858" i="7"/>
  <c r="C858" i="7"/>
  <c r="B858" i="7"/>
  <c r="A858" i="7"/>
  <c r="F857" i="7"/>
  <c r="E857" i="7"/>
  <c r="D857" i="7"/>
  <c r="C857" i="7"/>
  <c r="B857" i="7"/>
  <c r="A857" i="7"/>
  <c r="F856" i="7"/>
  <c r="E856" i="7"/>
  <c r="D856" i="7"/>
  <c r="C856" i="7"/>
  <c r="B856" i="7"/>
  <c r="A856" i="7"/>
  <c r="F855" i="7"/>
  <c r="E855" i="7"/>
  <c r="D855" i="7"/>
  <c r="C855" i="7"/>
  <c r="B855" i="7"/>
  <c r="A855" i="7"/>
  <c r="F854" i="7"/>
  <c r="E854" i="7"/>
  <c r="D854" i="7"/>
  <c r="C854" i="7"/>
  <c r="B854" i="7"/>
  <c r="A854" i="7"/>
  <c r="F853" i="7"/>
  <c r="E853" i="7"/>
  <c r="D853" i="7"/>
  <c r="C853" i="7"/>
  <c r="B853" i="7"/>
  <c r="A853" i="7"/>
  <c r="F852" i="7"/>
  <c r="E852" i="7"/>
  <c r="D852" i="7"/>
  <c r="C852" i="7"/>
  <c r="B852" i="7"/>
  <c r="A852" i="7"/>
  <c r="F851" i="7"/>
  <c r="E851" i="7"/>
  <c r="D851" i="7"/>
  <c r="C851" i="7"/>
  <c r="B851" i="7"/>
  <c r="A851" i="7"/>
  <c r="F850" i="7"/>
  <c r="E850" i="7"/>
  <c r="D850" i="7"/>
  <c r="C850" i="7"/>
  <c r="B850" i="7"/>
  <c r="A850" i="7"/>
  <c r="F849" i="7"/>
  <c r="E849" i="7"/>
  <c r="D849" i="7"/>
  <c r="C849" i="7"/>
  <c r="B849" i="7"/>
  <c r="A849" i="7"/>
  <c r="F848" i="7"/>
  <c r="E848" i="7"/>
  <c r="D848" i="7"/>
  <c r="C848" i="7"/>
  <c r="B848" i="7"/>
  <c r="A848" i="7"/>
  <c r="F847" i="7"/>
  <c r="E847" i="7"/>
  <c r="D847" i="7"/>
  <c r="C847" i="7"/>
  <c r="B847" i="7"/>
  <c r="A847" i="7"/>
  <c r="F846" i="7"/>
  <c r="E846" i="7"/>
  <c r="D846" i="7"/>
  <c r="C846" i="7"/>
  <c r="B846" i="7"/>
  <c r="A846" i="7"/>
  <c r="F845" i="7"/>
  <c r="E845" i="7"/>
  <c r="D845" i="7"/>
  <c r="C845" i="7"/>
  <c r="B845" i="7"/>
  <c r="A845" i="7"/>
  <c r="F844" i="7"/>
  <c r="E844" i="7"/>
  <c r="D844" i="7"/>
  <c r="C844" i="7"/>
  <c r="B844" i="7"/>
  <c r="A844" i="7"/>
  <c r="F843" i="7"/>
  <c r="E843" i="7"/>
  <c r="D843" i="7"/>
  <c r="C843" i="7"/>
  <c r="B843" i="7"/>
  <c r="A843" i="7"/>
  <c r="F842" i="7"/>
  <c r="E842" i="7"/>
  <c r="D842" i="7"/>
  <c r="C842" i="7"/>
  <c r="B842" i="7"/>
  <c r="A842" i="7"/>
  <c r="F841" i="7"/>
  <c r="E841" i="7"/>
  <c r="D841" i="7"/>
  <c r="C841" i="7"/>
  <c r="B841" i="7"/>
  <c r="A841" i="7"/>
  <c r="F840" i="7"/>
  <c r="E840" i="7"/>
  <c r="D840" i="7"/>
  <c r="C840" i="7"/>
  <c r="B840" i="7"/>
  <c r="A840" i="7"/>
  <c r="F839" i="7"/>
  <c r="E839" i="7"/>
  <c r="D839" i="7"/>
  <c r="C839" i="7"/>
  <c r="B839" i="7"/>
  <c r="A839" i="7"/>
  <c r="F838" i="7"/>
  <c r="E838" i="7"/>
  <c r="D838" i="7"/>
  <c r="C838" i="7"/>
  <c r="B838" i="7"/>
  <c r="A838" i="7"/>
  <c r="F837" i="7"/>
  <c r="E837" i="7"/>
  <c r="D837" i="7"/>
  <c r="C837" i="7"/>
  <c r="B837" i="7"/>
  <c r="A837" i="7"/>
  <c r="F836" i="7"/>
  <c r="E836" i="7"/>
  <c r="D836" i="7"/>
  <c r="C836" i="7"/>
  <c r="B836" i="7"/>
  <c r="A836" i="7"/>
  <c r="F835" i="7"/>
  <c r="E835" i="7"/>
  <c r="D835" i="7"/>
  <c r="C835" i="7"/>
  <c r="B835" i="7"/>
  <c r="A835" i="7"/>
  <c r="F834" i="7"/>
  <c r="E834" i="7"/>
  <c r="D834" i="7"/>
  <c r="C834" i="7"/>
  <c r="B834" i="7"/>
  <c r="A834" i="7"/>
  <c r="F833" i="7"/>
  <c r="E833" i="7"/>
  <c r="D833" i="7"/>
  <c r="C833" i="7"/>
  <c r="B833" i="7"/>
  <c r="A833" i="7"/>
  <c r="F832" i="7"/>
  <c r="E832" i="7"/>
  <c r="D832" i="7"/>
  <c r="C832" i="7"/>
  <c r="B832" i="7"/>
  <c r="A832" i="7"/>
  <c r="F831" i="7"/>
  <c r="E831" i="7"/>
  <c r="D831" i="7"/>
  <c r="C831" i="7"/>
  <c r="B831" i="7"/>
  <c r="A831" i="7"/>
  <c r="F830" i="7"/>
  <c r="E830" i="7"/>
  <c r="D830" i="7"/>
  <c r="C830" i="7"/>
  <c r="B830" i="7"/>
  <c r="A830" i="7"/>
  <c r="F829" i="7"/>
  <c r="E829" i="7"/>
  <c r="D829" i="7"/>
  <c r="C829" i="7"/>
  <c r="B829" i="7"/>
  <c r="A829" i="7"/>
  <c r="F828" i="7"/>
  <c r="E828" i="7"/>
  <c r="D828" i="7"/>
  <c r="C828" i="7"/>
  <c r="B828" i="7"/>
  <c r="A828" i="7"/>
  <c r="F827" i="7"/>
  <c r="E827" i="7"/>
  <c r="D827" i="7"/>
  <c r="C827" i="7"/>
  <c r="B827" i="7"/>
  <c r="A827" i="7"/>
  <c r="F826" i="7"/>
  <c r="E826" i="7"/>
  <c r="D826" i="7"/>
  <c r="C826" i="7"/>
  <c r="B826" i="7"/>
  <c r="A826" i="7"/>
  <c r="F825" i="7"/>
  <c r="E825" i="7"/>
  <c r="D825" i="7"/>
  <c r="C825" i="7"/>
  <c r="B825" i="7"/>
  <c r="A825" i="7"/>
  <c r="F824" i="7"/>
  <c r="E824" i="7"/>
  <c r="D824" i="7"/>
  <c r="C824" i="7"/>
  <c r="B824" i="7"/>
  <c r="A824" i="7"/>
  <c r="F823" i="7"/>
  <c r="E823" i="7"/>
  <c r="D823" i="7"/>
  <c r="C823" i="7"/>
  <c r="B823" i="7"/>
  <c r="A823" i="7"/>
  <c r="F822" i="7"/>
  <c r="E822" i="7"/>
  <c r="D822" i="7"/>
  <c r="C822" i="7"/>
  <c r="B822" i="7"/>
  <c r="A822" i="7"/>
  <c r="F821" i="7"/>
  <c r="E821" i="7"/>
  <c r="D821" i="7"/>
  <c r="C821" i="7"/>
  <c r="B821" i="7"/>
  <c r="A821" i="7"/>
  <c r="F820" i="7"/>
  <c r="E820" i="7"/>
  <c r="D820" i="7"/>
  <c r="C820" i="7"/>
  <c r="B820" i="7"/>
  <c r="A820" i="7"/>
  <c r="F819" i="7"/>
  <c r="E819" i="7"/>
  <c r="D819" i="7"/>
  <c r="C819" i="7"/>
  <c r="B819" i="7"/>
  <c r="A819" i="7"/>
  <c r="F818" i="7"/>
  <c r="E818" i="7"/>
  <c r="D818" i="7"/>
  <c r="C818" i="7"/>
  <c r="B818" i="7"/>
  <c r="A818" i="7"/>
  <c r="F817" i="7"/>
  <c r="E817" i="7"/>
  <c r="D817" i="7"/>
  <c r="C817" i="7"/>
  <c r="B817" i="7"/>
  <c r="A817" i="7"/>
  <c r="F816" i="7"/>
  <c r="E816" i="7"/>
  <c r="D816" i="7"/>
  <c r="C816" i="7"/>
  <c r="B816" i="7"/>
  <c r="A816" i="7"/>
  <c r="F815" i="7"/>
  <c r="E815" i="7"/>
  <c r="D815" i="7"/>
  <c r="C815" i="7"/>
  <c r="B815" i="7"/>
  <c r="A815" i="7"/>
  <c r="F814" i="7"/>
  <c r="E814" i="7"/>
  <c r="D814" i="7"/>
  <c r="C814" i="7"/>
  <c r="B814" i="7"/>
  <c r="A814" i="7"/>
  <c r="F813" i="7"/>
  <c r="E813" i="7"/>
  <c r="D813" i="7"/>
  <c r="C813" i="7"/>
  <c r="B813" i="7"/>
  <c r="A813" i="7"/>
  <c r="F812" i="7"/>
  <c r="E812" i="7"/>
  <c r="D812" i="7"/>
  <c r="C812" i="7"/>
  <c r="B812" i="7"/>
  <c r="A812" i="7"/>
  <c r="F811" i="7"/>
  <c r="E811" i="7"/>
  <c r="D811" i="7"/>
  <c r="C811" i="7"/>
  <c r="B811" i="7"/>
  <c r="A811" i="7"/>
  <c r="F810" i="7"/>
  <c r="E810" i="7"/>
  <c r="D810" i="7"/>
  <c r="C810" i="7"/>
  <c r="B810" i="7"/>
  <c r="A810" i="7"/>
  <c r="F809" i="7"/>
  <c r="E809" i="7"/>
  <c r="D809" i="7"/>
  <c r="C809" i="7"/>
  <c r="B809" i="7"/>
  <c r="A809" i="7"/>
  <c r="F808" i="7"/>
  <c r="E808" i="7"/>
  <c r="D808" i="7"/>
  <c r="C808" i="7"/>
  <c r="B808" i="7"/>
  <c r="A808" i="7"/>
  <c r="F807" i="7"/>
  <c r="E807" i="7"/>
  <c r="D807" i="7"/>
  <c r="C807" i="7"/>
  <c r="B807" i="7"/>
  <c r="A807" i="7"/>
  <c r="F806" i="7"/>
  <c r="E806" i="7"/>
  <c r="D806" i="7"/>
  <c r="C806" i="7"/>
  <c r="B806" i="7"/>
  <c r="A806" i="7"/>
  <c r="F805" i="7"/>
  <c r="E805" i="7"/>
  <c r="D805" i="7"/>
  <c r="C805" i="7"/>
  <c r="B805" i="7"/>
  <c r="A805" i="7"/>
  <c r="F804" i="7"/>
  <c r="E804" i="7"/>
  <c r="D804" i="7"/>
  <c r="C804" i="7"/>
  <c r="B804" i="7"/>
  <c r="A804" i="7"/>
  <c r="F803" i="7"/>
  <c r="E803" i="7"/>
  <c r="D803" i="7"/>
  <c r="C803" i="7"/>
  <c r="B803" i="7"/>
  <c r="A803" i="7"/>
  <c r="F802" i="7"/>
  <c r="E802" i="7"/>
  <c r="D802" i="7"/>
  <c r="C802" i="7"/>
  <c r="B802" i="7"/>
  <c r="A802" i="7"/>
  <c r="F801" i="7"/>
  <c r="E801" i="7"/>
  <c r="D801" i="7"/>
  <c r="C801" i="7"/>
  <c r="B801" i="7"/>
  <c r="A801" i="7"/>
  <c r="F800" i="7"/>
  <c r="E800" i="7"/>
  <c r="D800" i="7"/>
  <c r="C800" i="7"/>
  <c r="B800" i="7"/>
  <c r="A800" i="7"/>
  <c r="F799" i="7"/>
  <c r="E799" i="7"/>
  <c r="D799" i="7"/>
  <c r="C799" i="7"/>
  <c r="B799" i="7"/>
  <c r="A799" i="7"/>
  <c r="F798" i="7"/>
  <c r="E798" i="7"/>
  <c r="D798" i="7"/>
  <c r="C798" i="7"/>
  <c r="B798" i="7"/>
  <c r="A798" i="7"/>
  <c r="F797" i="7"/>
  <c r="E797" i="7"/>
  <c r="D797" i="7"/>
  <c r="C797" i="7"/>
  <c r="B797" i="7"/>
  <c r="A797" i="7"/>
  <c r="F796" i="7"/>
  <c r="E796" i="7"/>
  <c r="D796" i="7"/>
  <c r="C796" i="7"/>
  <c r="B796" i="7"/>
  <c r="A796" i="7"/>
  <c r="F795" i="7"/>
  <c r="E795" i="7"/>
  <c r="D795" i="7"/>
  <c r="C795" i="7"/>
  <c r="B795" i="7"/>
  <c r="A795" i="7"/>
  <c r="F794" i="7"/>
  <c r="E794" i="7"/>
  <c r="D794" i="7"/>
  <c r="C794" i="7"/>
  <c r="B794" i="7"/>
  <c r="A794" i="7"/>
  <c r="F793" i="7"/>
  <c r="E793" i="7"/>
  <c r="D793" i="7"/>
  <c r="C793" i="7"/>
  <c r="B793" i="7"/>
  <c r="A793" i="7"/>
  <c r="F792" i="7"/>
  <c r="E792" i="7"/>
  <c r="D792" i="7"/>
  <c r="C792" i="7"/>
  <c r="B792" i="7"/>
  <c r="A792" i="7"/>
  <c r="F791" i="7"/>
  <c r="E791" i="7"/>
  <c r="D791" i="7"/>
  <c r="C791" i="7"/>
  <c r="B791" i="7"/>
  <c r="A791" i="7"/>
  <c r="F790" i="7"/>
  <c r="E790" i="7"/>
  <c r="D790" i="7"/>
  <c r="C790" i="7"/>
  <c r="B790" i="7"/>
  <c r="A790" i="7"/>
  <c r="F789" i="7"/>
  <c r="E789" i="7"/>
  <c r="D789" i="7"/>
  <c r="C789" i="7"/>
  <c r="B789" i="7"/>
  <c r="A789" i="7"/>
  <c r="F788" i="7"/>
  <c r="E788" i="7"/>
  <c r="D788" i="7"/>
  <c r="C788" i="7"/>
  <c r="B788" i="7"/>
  <c r="A788" i="7"/>
  <c r="F787" i="7"/>
  <c r="E787" i="7"/>
  <c r="D787" i="7"/>
  <c r="C787" i="7"/>
  <c r="B787" i="7"/>
  <c r="A787" i="7"/>
  <c r="F786" i="7"/>
  <c r="E786" i="7"/>
  <c r="D786" i="7"/>
  <c r="C786" i="7"/>
  <c r="B786" i="7"/>
  <c r="A786" i="7"/>
  <c r="F785" i="7"/>
  <c r="E785" i="7"/>
  <c r="D785" i="7"/>
  <c r="C785" i="7"/>
  <c r="B785" i="7"/>
  <c r="A785" i="7"/>
  <c r="F784" i="7"/>
  <c r="E784" i="7"/>
  <c r="D784" i="7"/>
  <c r="C784" i="7"/>
  <c r="B784" i="7"/>
  <c r="A784" i="7"/>
  <c r="F783" i="7"/>
  <c r="E783" i="7"/>
  <c r="D783" i="7"/>
  <c r="C783" i="7"/>
  <c r="B783" i="7"/>
  <c r="A783" i="7"/>
  <c r="F782" i="7"/>
  <c r="E782" i="7"/>
  <c r="D782" i="7"/>
  <c r="C782" i="7"/>
  <c r="B782" i="7"/>
  <c r="A782" i="7"/>
  <c r="F781" i="7"/>
  <c r="E781" i="7"/>
  <c r="D781" i="7"/>
  <c r="C781" i="7"/>
  <c r="B781" i="7"/>
  <c r="A781" i="7"/>
  <c r="F780" i="7"/>
  <c r="E780" i="7"/>
  <c r="D780" i="7"/>
  <c r="C780" i="7"/>
  <c r="B780" i="7"/>
  <c r="A780" i="7"/>
  <c r="F779" i="7"/>
  <c r="E779" i="7"/>
  <c r="D779" i="7"/>
  <c r="C779" i="7"/>
  <c r="B779" i="7"/>
  <c r="A779" i="7"/>
  <c r="F778" i="7"/>
  <c r="E778" i="7"/>
  <c r="D778" i="7"/>
  <c r="C778" i="7"/>
  <c r="B778" i="7"/>
  <c r="A778" i="7"/>
  <c r="F777" i="7"/>
  <c r="E777" i="7"/>
  <c r="D777" i="7"/>
  <c r="C777" i="7"/>
  <c r="B777" i="7"/>
  <c r="A777" i="7"/>
  <c r="F776" i="7"/>
  <c r="E776" i="7"/>
  <c r="D776" i="7"/>
  <c r="C776" i="7"/>
  <c r="B776" i="7"/>
  <c r="A776" i="7"/>
  <c r="F775" i="7"/>
  <c r="E775" i="7"/>
  <c r="D775" i="7"/>
  <c r="C775" i="7"/>
  <c r="B775" i="7"/>
  <c r="A775" i="7"/>
  <c r="F774" i="7"/>
  <c r="E774" i="7"/>
  <c r="D774" i="7"/>
  <c r="C774" i="7"/>
  <c r="B774" i="7"/>
  <c r="A774" i="7"/>
  <c r="F773" i="7"/>
  <c r="E773" i="7"/>
  <c r="D773" i="7"/>
  <c r="C773" i="7"/>
  <c r="B773" i="7"/>
  <c r="A773" i="7"/>
  <c r="F772" i="7"/>
  <c r="E772" i="7"/>
  <c r="D772" i="7"/>
  <c r="C772" i="7"/>
  <c r="B772" i="7"/>
  <c r="A772" i="7"/>
  <c r="F771" i="7"/>
  <c r="E771" i="7"/>
  <c r="D771" i="7"/>
  <c r="C771" i="7"/>
  <c r="B771" i="7"/>
  <c r="A771" i="7"/>
  <c r="F770" i="7"/>
  <c r="E770" i="7"/>
  <c r="D770" i="7"/>
  <c r="C770" i="7"/>
  <c r="B770" i="7"/>
  <c r="A770" i="7"/>
  <c r="F769" i="7"/>
  <c r="E769" i="7"/>
  <c r="D769" i="7"/>
  <c r="C769" i="7"/>
  <c r="B769" i="7"/>
  <c r="A769" i="7"/>
  <c r="F768" i="7"/>
  <c r="E768" i="7"/>
  <c r="D768" i="7"/>
  <c r="C768" i="7"/>
  <c r="B768" i="7"/>
  <c r="A768" i="7"/>
  <c r="F767" i="7"/>
  <c r="E767" i="7"/>
  <c r="D767" i="7"/>
  <c r="C767" i="7"/>
  <c r="B767" i="7"/>
  <c r="A767" i="7"/>
  <c r="F766" i="7"/>
  <c r="E766" i="7"/>
  <c r="D766" i="7"/>
  <c r="C766" i="7"/>
  <c r="B766" i="7"/>
  <c r="A766" i="7"/>
  <c r="F765" i="7"/>
  <c r="E765" i="7"/>
  <c r="D765" i="7"/>
  <c r="C765" i="7"/>
  <c r="B765" i="7"/>
  <c r="A765" i="7"/>
  <c r="F764" i="7"/>
  <c r="E764" i="7"/>
  <c r="D764" i="7"/>
  <c r="C764" i="7"/>
  <c r="B764" i="7"/>
  <c r="A764" i="7"/>
  <c r="F763" i="7"/>
  <c r="E763" i="7"/>
  <c r="D763" i="7"/>
  <c r="C763" i="7"/>
  <c r="B763" i="7"/>
  <c r="A763" i="7"/>
  <c r="F762" i="7"/>
  <c r="E762" i="7"/>
  <c r="D762" i="7"/>
  <c r="C762" i="7"/>
  <c r="B762" i="7"/>
  <c r="A762" i="7"/>
  <c r="F761" i="7"/>
  <c r="E761" i="7"/>
  <c r="D761" i="7"/>
  <c r="C761" i="7"/>
  <c r="B761" i="7"/>
  <c r="A761" i="7"/>
  <c r="F760" i="7"/>
  <c r="E760" i="7"/>
  <c r="D760" i="7"/>
  <c r="C760" i="7"/>
  <c r="B760" i="7"/>
  <c r="A760" i="7"/>
  <c r="F759" i="7"/>
  <c r="E759" i="7"/>
  <c r="D759" i="7"/>
  <c r="C759" i="7"/>
  <c r="B759" i="7"/>
  <c r="A759" i="7"/>
  <c r="F758" i="7"/>
  <c r="E758" i="7"/>
  <c r="D758" i="7"/>
  <c r="C758" i="7"/>
  <c r="B758" i="7"/>
  <c r="A758" i="7"/>
  <c r="F757" i="7"/>
  <c r="E757" i="7"/>
  <c r="D757" i="7"/>
  <c r="C757" i="7"/>
  <c r="B757" i="7"/>
  <c r="A757" i="7"/>
  <c r="F756" i="7"/>
  <c r="E756" i="7"/>
  <c r="D756" i="7"/>
  <c r="C756" i="7"/>
  <c r="B756" i="7"/>
  <c r="A756" i="7"/>
  <c r="F755" i="7"/>
  <c r="E755" i="7"/>
  <c r="D755" i="7"/>
  <c r="C755" i="7"/>
  <c r="B755" i="7"/>
  <c r="A755" i="7"/>
  <c r="F754" i="7"/>
  <c r="E754" i="7"/>
  <c r="D754" i="7"/>
  <c r="C754" i="7"/>
  <c r="B754" i="7"/>
  <c r="A754" i="7"/>
  <c r="F753" i="7"/>
  <c r="E753" i="7"/>
  <c r="D753" i="7"/>
  <c r="C753" i="7"/>
  <c r="B753" i="7"/>
  <c r="A753" i="7"/>
  <c r="F752" i="7"/>
  <c r="E752" i="7"/>
  <c r="D752" i="7"/>
  <c r="C752" i="7"/>
  <c r="B752" i="7"/>
  <c r="A752" i="7"/>
  <c r="F751" i="7"/>
  <c r="E751" i="7"/>
  <c r="D751" i="7"/>
  <c r="C751" i="7"/>
  <c r="B751" i="7"/>
  <c r="A751" i="7"/>
  <c r="F750" i="7"/>
  <c r="E750" i="7"/>
  <c r="D750" i="7"/>
  <c r="C750" i="7"/>
  <c r="B750" i="7"/>
  <c r="A750" i="7"/>
  <c r="F749" i="7"/>
  <c r="E749" i="7"/>
  <c r="D749" i="7"/>
  <c r="C749" i="7"/>
  <c r="B749" i="7"/>
  <c r="A749" i="7"/>
  <c r="F748" i="7"/>
  <c r="E748" i="7"/>
  <c r="D748" i="7"/>
  <c r="C748" i="7"/>
  <c r="B748" i="7"/>
  <c r="A748" i="7"/>
  <c r="F747" i="7"/>
  <c r="E747" i="7"/>
  <c r="D747" i="7"/>
  <c r="C747" i="7"/>
  <c r="B747" i="7"/>
  <c r="A747" i="7"/>
  <c r="F746" i="7"/>
  <c r="E746" i="7"/>
  <c r="D746" i="7"/>
  <c r="C746" i="7"/>
  <c r="B746" i="7"/>
  <c r="A746" i="7"/>
  <c r="F745" i="7"/>
  <c r="E745" i="7"/>
  <c r="D745" i="7"/>
  <c r="C745" i="7"/>
  <c r="B745" i="7"/>
  <c r="A745" i="7"/>
  <c r="F744" i="7"/>
  <c r="E744" i="7"/>
  <c r="D744" i="7"/>
  <c r="C744" i="7"/>
  <c r="B744" i="7"/>
  <c r="A744" i="7"/>
  <c r="F743" i="7"/>
  <c r="E743" i="7"/>
  <c r="D743" i="7"/>
  <c r="C743" i="7"/>
  <c r="B743" i="7"/>
  <c r="A743" i="7"/>
  <c r="F742" i="7"/>
  <c r="E742" i="7"/>
  <c r="D742" i="7"/>
  <c r="C742" i="7"/>
  <c r="B742" i="7"/>
  <c r="A742" i="7"/>
  <c r="F741" i="7"/>
  <c r="E741" i="7"/>
  <c r="D741" i="7"/>
  <c r="C741" i="7"/>
  <c r="B741" i="7"/>
  <c r="A741" i="7"/>
  <c r="F740" i="7"/>
  <c r="E740" i="7"/>
  <c r="D740" i="7"/>
  <c r="C740" i="7"/>
  <c r="B740" i="7"/>
  <c r="A740" i="7"/>
  <c r="F739" i="7"/>
  <c r="E739" i="7"/>
  <c r="D739" i="7"/>
  <c r="C739" i="7"/>
  <c r="B739" i="7"/>
  <c r="A739" i="7"/>
  <c r="F738" i="7"/>
  <c r="E738" i="7"/>
  <c r="D738" i="7"/>
  <c r="C738" i="7"/>
  <c r="B738" i="7"/>
  <c r="A738" i="7"/>
  <c r="F737" i="7"/>
  <c r="E737" i="7"/>
  <c r="D737" i="7"/>
  <c r="C737" i="7"/>
  <c r="B737" i="7"/>
  <c r="A737" i="7"/>
  <c r="F736" i="7"/>
  <c r="E736" i="7"/>
  <c r="D736" i="7"/>
  <c r="C736" i="7"/>
  <c r="B736" i="7"/>
  <c r="A736" i="7"/>
  <c r="F735" i="7"/>
  <c r="E735" i="7"/>
  <c r="D735" i="7"/>
  <c r="C735" i="7"/>
  <c r="B735" i="7"/>
  <c r="A735" i="7"/>
  <c r="F734" i="7"/>
  <c r="E734" i="7"/>
  <c r="D734" i="7"/>
  <c r="C734" i="7"/>
  <c r="B734" i="7"/>
  <c r="A734" i="7"/>
  <c r="F733" i="7"/>
  <c r="E733" i="7"/>
  <c r="D733" i="7"/>
  <c r="C733" i="7"/>
  <c r="B733" i="7"/>
  <c r="A733" i="7"/>
  <c r="F732" i="7"/>
  <c r="E732" i="7"/>
  <c r="D732" i="7"/>
  <c r="C732" i="7"/>
  <c r="B732" i="7"/>
  <c r="A732" i="7"/>
  <c r="F731" i="7"/>
  <c r="E731" i="7"/>
  <c r="D731" i="7"/>
  <c r="C731" i="7"/>
  <c r="B731" i="7"/>
  <c r="A731" i="7"/>
  <c r="F730" i="7"/>
  <c r="E730" i="7"/>
  <c r="D730" i="7"/>
  <c r="C730" i="7"/>
  <c r="B730" i="7"/>
  <c r="A730" i="7"/>
  <c r="F729" i="7"/>
  <c r="E729" i="7"/>
  <c r="D729" i="7"/>
  <c r="C729" i="7"/>
  <c r="B729" i="7"/>
  <c r="A729" i="7"/>
  <c r="F728" i="7"/>
  <c r="E728" i="7"/>
  <c r="D728" i="7"/>
  <c r="C728" i="7"/>
  <c r="B728" i="7"/>
  <c r="A728" i="7"/>
  <c r="F727" i="7"/>
  <c r="E727" i="7"/>
  <c r="D727" i="7"/>
  <c r="C727" i="7"/>
  <c r="B727" i="7"/>
  <c r="A727" i="7"/>
  <c r="F726" i="7"/>
  <c r="E726" i="7"/>
  <c r="D726" i="7"/>
  <c r="C726" i="7"/>
  <c r="B726" i="7"/>
  <c r="A726" i="7"/>
  <c r="F725" i="7"/>
  <c r="E725" i="7"/>
  <c r="D725" i="7"/>
  <c r="C725" i="7"/>
  <c r="B725" i="7"/>
  <c r="A725" i="7"/>
  <c r="F724" i="7"/>
  <c r="E724" i="7"/>
  <c r="D724" i="7"/>
  <c r="C724" i="7"/>
  <c r="B724" i="7"/>
  <c r="A724" i="7"/>
  <c r="F723" i="7"/>
  <c r="E723" i="7"/>
  <c r="D723" i="7"/>
  <c r="C723" i="7"/>
  <c r="B723" i="7"/>
  <c r="A723" i="7"/>
  <c r="F722" i="7"/>
  <c r="E722" i="7"/>
  <c r="D722" i="7"/>
  <c r="C722" i="7"/>
  <c r="B722" i="7"/>
  <c r="A722" i="7"/>
  <c r="F721" i="7"/>
  <c r="E721" i="7"/>
  <c r="D721" i="7"/>
  <c r="C721" i="7"/>
  <c r="B721" i="7"/>
  <c r="A721" i="7"/>
  <c r="F720" i="7"/>
  <c r="E720" i="7"/>
  <c r="D720" i="7"/>
  <c r="C720" i="7"/>
  <c r="B720" i="7"/>
  <c r="A720" i="7"/>
  <c r="F719" i="7"/>
  <c r="E719" i="7"/>
  <c r="D719" i="7"/>
  <c r="C719" i="7"/>
  <c r="B719" i="7"/>
  <c r="A719" i="7"/>
  <c r="F718" i="7"/>
  <c r="E718" i="7"/>
  <c r="D718" i="7"/>
  <c r="C718" i="7"/>
  <c r="B718" i="7"/>
  <c r="A718" i="7"/>
  <c r="F717" i="7"/>
  <c r="E717" i="7"/>
  <c r="D717" i="7"/>
  <c r="C717" i="7"/>
  <c r="B717" i="7"/>
  <c r="A717" i="7"/>
  <c r="F716" i="7"/>
  <c r="E716" i="7"/>
  <c r="D716" i="7"/>
  <c r="C716" i="7"/>
  <c r="B716" i="7"/>
  <c r="A716" i="7"/>
  <c r="F715" i="7"/>
  <c r="E715" i="7"/>
  <c r="D715" i="7"/>
  <c r="C715" i="7"/>
  <c r="B715" i="7"/>
  <c r="A715" i="7"/>
  <c r="F714" i="7"/>
  <c r="E714" i="7"/>
  <c r="D714" i="7"/>
  <c r="C714" i="7"/>
  <c r="B714" i="7"/>
  <c r="A714" i="7"/>
  <c r="F713" i="7"/>
  <c r="E713" i="7"/>
  <c r="D713" i="7"/>
  <c r="C713" i="7"/>
  <c r="B713" i="7"/>
  <c r="A713" i="7"/>
  <c r="F712" i="7"/>
  <c r="E712" i="7"/>
  <c r="D712" i="7"/>
  <c r="C712" i="7"/>
  <c r="B712" i="7"/>
  <c r="A712" i="7"/>
  <c r="F711" i="7"/>
  <c r="E711" i="7"/>
  <c r="D711" i="7"/>
  <c r="C711" i="7"/>
  <c r="B711" i="7"/>
  <c r="A711" i="7"/>
  <c r="F710" i="7"/>
  <c r="E710" i="7"/>
  <c r="D710" i="7"/>
  <c r="C710" i="7"/>
  <c r="B710" i="7"/>
  <c r="A710" i="7"/>
  <c r="F709" i="7"/>
  <c r="E709" i="7"/>
  <c r="D709" i="7"/>
  <c r="C709" i="7"/>
  <c r="B709" i="7"/>
  <c r="A709" i="7"/>
  <c r="F708" i="7"/>
  <c r="E708" i="7"/>
  <c r="D708" i="7"/>
  <c r="C708" i="7"/>
  <c r="B708" i="7"/>
  <c r="A708" i="7"/>
  <c r="F707" i="7"/>
  <c r="E707" i="7"/>
  <c r="D707" i="7"/>
  <c r="C707" i="7"/>
  <c r="B707" i="7"/>
  <c r="A707" i="7"/>
  <c r="F706" i="7"/>
  <c r="E706" i="7"/>
  <c r="D706" i="7"/>
  <c r="C706" i="7"/>
  <c r="B706" i="7"/>
  <c r="A706" i="7"/>
  <c r="F705" i="7"/>
  <c r="E705" i="7"/>
  <c r="D705" i="7"/>
  <c r="C705" i="7"/>
  <c r="B705" i="7"/>
  <c r="A705" i="7"/>
  <c r="F704" i="7"/>
  <c r="E704" i="7"/>
  <c r="D704" i="7"/>
  <c r="C704" i="7"/>
  <c r="B704" i="7"/>
  <c r="A704" i="7"/>
  <c r="F703" i="7"/>
  <c r="E703" i="7"/>
  <c r="D703" i="7"/>
  <c r="C703" i="7"/>
  <c r="B703" i="7"/>
  <c r="A703" i="7"/>
  <c r="F702" i="7"/>
  <c r="E702" i="7"/>
  <c r="D702" i="7"/>
  <c r="C702" i="7"/>
  <c r="B702" i="7"/>
  <c r="A702" i="7"/>
  <c r="F701" i="7"/>
  <c r="E701" i="7"/>
  <c r="D701" i="7"/>
  <c r="C701" i="7"/>
  <c r="B701" i="7"/>
  <c r="A701" i="7"/>
  <c r="F700" i="7"/>
  <c r="E700" i="7"/>
  <c r="D700" i="7"/>
  <c r="C700" i="7"/>
  <c r="B700" i="7"/>
  <c r="A700" i="7"/>
  <c r="F699" i="7"/>
  <c r="E699" i="7"/>
  <c r="D699" i="7"/>
  <c r="C699" i="7"/>
  <c r="B699" i="7"/>
  <c r="A699" i="7"/>
  <c r="F698" i="7"/>
  <c r="E698" i="7"/>
  <c r="D698" i="7"/>
  <c r="C698" i="7"/>
  <c r="B698" i="7"/>
  <c r="A698" i="7"/>
  <c r="F697" i="7"/>
  <c r="E697" i="7"/>
  <c r="D697" i="7"/>
  <c r="C697" i="7"/>
  <c r="B697" i="7"/>
  <c r="A697" i="7"/>
  <c r="F696" i="7"/>
  <c r="E696" i="7"/>
  <c r="D696" i="7"/>
  <c r="C696" i="7"/>
  <c r="B696" i="7"/>
  <c r="A696" i="7"/>
  <c r="F695" i="7"/>
  <c r="E695" i="7"/>
  <c r="D695" i="7"/>
  <c r="C695" i="7"/>
  <c r="B695" i="7"/>
  <c r="A695" i="7"/>
  <c r="F694" i="7"/>
  <c r="E694" i="7"/>
  <c r="D694" i="7"/>
  <c r="C694" i="7"/>
  <c r="B694" i="7"/>
  <c r="A694" i="7"/>
  <c r="F693" i="7"/>
  <c r="E693" i="7"/>
  <c r="D693" i="7"/>
  <c r="C693" i="7"/>
  <c r="B693" i="7"/>
  <c r="A693" i="7"/>
  <c r="F692" i="7"/>
  <c r="E692" i="7"/>
  <c r="D692" i="7"/>
  <c r="C692" i="7"/>
  <c r="B692" i="7"/>
  <c r="A692" i="7"/>
  <c r="F691" i="7"/>
  <c r="E691" i="7"/>
  <c r="D691" i="7"/>
  <c r="C691" i="7"/>
  <c r="B691" i="7"/>
  <c r="A691" i="7"/>
  <c r="F690" i="7"/>
  <c r="E690" i="7"/>
  <c r="D690" i="7"/>
  <c r="C690" i="7"/>
  <c r="B690" i="7"/>
  <c r="A690" i="7"/>
  <c r="F689" i="7"/>
  <c r="E689" i="7"/>
  <c r="D689" i="7"/>
  <c r="C689" i="7"/>
  <c r="B689" i="7"/>
  <c r="A689" i="7"/>
  <c r="F688" i="7"/>
  <c r="E688" i="7"/>
  <c r="D688" i="7"/>
  <c r="C688" i="7"/>
  <c r="B688" i="7"/>
  <c r="A688" i="7"/>
  <c r="F687" i="7"/>
  <c r="E687" i="7"/>
  <c r="D687" i="7"/>
  <c r="C687" i="7"/>
  <c r="B687" i="7"/>
  <c r="A687" i="7"/>
  <c r="F686" i="7"/>
  <c r="E686" i="7"/>
  <c r="D686" i="7"/>
  <c r="C686" i="7"/>
  <c r="B686" i="7"/>
  <c r="A686" i="7"/>
  <c r="F685" i="7"/>
  <c r="E685" i="7"/>
  <c r="D685" i="7"/>
  <c r="C685" i="7"/>
  <c r="B685" i="7"/>
  <c r="A685" i="7"/>
  <c r="F684" i="7"/>
  <c r="E684" i="7"/>
  <c r="D684" i="7"/>
  <c r="C684" i="7"/>
  <c r="B684" i="7"/>
  <c r="A684" i="7"/>
  <c r="F683" i="7"/>
  <c r="E683" i="7"/>
  <c r="D683" i="7"/>
  <c r="C683" i="7"/>
  <c r="B683" i="7"/>
  <c r="A683" i="7"/>
  <c r="F682" i="7"/>
  <c r="E682" i="7"/>
  <c r="D682" i="7"/>
  <c r="C682" i="7"/>
  <c r="B682" i="7"/>
  <c r="A682" i="7"/>
  <c r="F681" i="7"/>
  <c r="E681" i="7"/>
  <c r="D681" i="7"/>
  <c r="C681" i="7"/>
  <c r="B681" i="7"/>
  <c r="A681" i="7"/>
  <c r="F680" i="7"/>
  <c r="E680" i="7"/>
  <c r="D680" i="7"/>
  <c r="C680" i="7"/>
  <c r="B680" i="7"/>
  <c r="A680" i="7"/>
  <c r="F679" i="7"/>
  <c r="E679" i="7"/>
  <c r="D679" i="7"/>
  <c r="C679" i="7"/>
  <c r="B679" i="7"/>
  <c r="A679" i="7"/>
  <c r="F678" i="7"/>
  <c r="E678" i="7"/>
  <c r="D678" i="7"/>
  <c r="C678" i="7"/>
  <c r="B678" i="7"/>
  <c r="A678" i="7"/>
  <c r="F677" i="7"/>
  <c r="E677" i="7"/>
  <c r="D677" i="7"/>
  <c r="C677" i="7"/>
  <c r="B677" i="7"/>
  <c r="A677" i="7"/>
  <c r="F676" i="7"/>
  <c r="E676" i="7"/>
  <c r="D676" i="7"/>
  <c r="C676" i="7"/>
  <c r="B676" i="7"/>
  <c r="A676" i="7"/>
  <c r="F675" i="7"/>
  <c r="E675" i="7"/>
  <c r="D675" i="7"/>
  <c r="C675" i="7"/>
  <c r="B675" i="7"/>
  <c r="A675" i="7"/>
  <c r="F674" i="7"/>
  <c r="E674" i="7"/>
  <c r="D674" i="7"/>
  <c r="C674" i="7"/>
  <c r="B674" i="7"/>
  <c r="A674" i="7"/>
  <c r="F673" i="7"/>
  <c r="E673" i="7"/>
  <c r="D673" i="7"/>
  <c r="C673" i="7"/>
  <c r="B673" i="7"/>
  <c r="A673" i="7"/>
  <c r="F672" i="7"/>
  <c r="E672" i="7"/>
  <c r="D672" i="7"/>
  <c r="C672" i="7"/>
  <c r="B672" i="7"/>
  <c r="A672" i="7"/>
  <c r="F671" i="7"/>
  <c r="E671" i="7"/>
  <c r="D671" i="7"/>
  <c r="C671" i="7"/>
  <c r="B671" i="7"/>
  <c r="A671" i="7"/>
  <c r="F670" i="7"/>
  <c r="E670" i="7"/>
  <c r="D670" i="7"/>
  <c r="C670" i="7"/>
  <c r="B670" i="7"/>
  <c r="A670" i="7"/>
  <c r="F669" i="7"/>
  <c r="E669" i="7"/>
  <c r="D669" i="7"/>
  <c r="C669" i="7"/>
  <c r="B669" i="7"/>
  <c r="A669" i="7"/>
  <c r="F668" i="7"/>
  <c r="E668" i="7"/>
  <c r="D668" i="7"/>
  <c r="C668" i="7"/>
  <c r="B668" i="7"/>
  <c r="A668" i="7"/>
  <c r="F667" i="7"/>
  <c r="E667" i="7"/>
  <c r="D667" i="7"/>
  <c r="C667" i="7"/>
  <c r="B667" i="7"/>
  <c r="A667" i="7"/>
  <c r="F666" i="7"/>
  <c r="E666" i="7"/>
  <c r="D666" i="7"/>
  <c r="C666" i="7"/>
  <c r="B666" i="7"/>
  <c r="A666" i="7"/>
  <c r="F665" i="7"/>
  <c r="E665" i="7"/>
  <c r="D665" i="7"/>
  <c r="C665" i="7"/>
  <c r="B665" i="7"/>
  <c r="A665" i="7"/>
  <c r="F664" i="7"/>
  <c r="E664" i="7"/>
  <c r="D664" i="7"/>
  <c r="C664" i="7"/>
  <c r="B664" i="7"/>
  <c r="A664" i="7"/>
  <c r="F663" i="7"/>
  <c r="E663" i="7"/>
  <c r="D663" i="7"/>
  <c r="C663" i="7"/>
  <c r="B663" i="7"/>
  <c r="A663" i="7"/>
  <c r="F662" i="7"/>
  <c r="E662" i="7"/>
  <c r="D662" i="7"/>
  <c r="C662" i="7"/>
  <c r="B662" i="7"/>
  <c r="A662" i="7"/>
  <c r="F661" i="7"/>
  <c r="E661" i="7"/>
  <c r="D661" i="7"/>
  <c r="C661" i="7"/>
  <c r="B661" i="7"/>
  <c r="A661" i="7"/>
  <c r="F660" i="7"/>
  <c r="E660" i="7"/>
  <c r="D660" i="7"/>
  <c r="C660" i="7"/>
  <c r="B660" i="7"/>
  <c r="A660" i="7"/>
  <c r="F659" i="7"/>
  <c r="E659" i="7"/>
  <c r="D659" i="7"/>
  <c r="C659" i="7"/>
  <c r="B659" i="7"/>
  <c r="A659" i="7"/>
  <c r="F658" i="7"/>
  <c r="E658" i="7"/>
  <c r="D658" i="7"/>
  <c r="C658" i="7"/>
  <c r="B658" i="7"/>
  <c r="A658" i="7"/>
  <c r="F657" i="7"/>
  <c r="E657" i="7"/>
  <c r="D657" i="7"/>
  <c r="C657" i="7"/>
  <c r="B657" i="7"/>
  <c r="A657" i="7"/>
  <c r="F656" i="7"/>
  <c r="E656" i="7"/>
  <c r="D656" i="7"/>
  <c r="C656" i="7"/>
  <c r="B656" i="7"/>
  <c r="A656" i="7"/>
  <c r="F655" i="7"/>
  <c r="E655" i="7"/>
  <c r="D655" i="7"/>
  <c r="C655" i="7"/>
  <c r="B655" i="7"/>
  <c r="A655" i="7"/>
  <c r="F654" i="7"/>
  <c r="E654" i="7"/>
  <c r="D654" i="7"/>
  <c r="C654" i="7"/>
  <c r="B654" i="7"/>
  <c r="A654" i="7"/>
  <c r="F653" i="7"/>
  <c r="E653" i="7"/>
  <c r="D653" i="7"/>
  <c r="C653" i="7"/>
  <c r="B653" i="7"/>
  <c r="A653" i="7"/>
  <c r="F652" i="7"/>
  <c r="E652" i="7"/>
  <c r="D652" i="7"/>
  <c r="C652" i="7"/>
  <c r="B652" i="7"/>
  <c r="A652" i="7"/>
  <c r="F651" i="7"/>
  <c r="E651" i="7"/>
  <c r="D651" i="7"/>
  <c r="C651" i="7"/>
  <c r="B651" i="7"/>
  <c r="A651" i="7"/>
  <c r="F650" i="7"/>
  <c r="E650" i="7"/>
  <c r="D650" i="7"/>
  <c r="C650" i="7"/>
  <c r="B650" i="7"/>
  <c r="A650" i="7"/>
  <c r="F649" i="7"/>
  <c r="E649" i="7"/>
  <c r="D649" i="7"/>
  <c r="C649" i="7"/>
  <c r="B649" i="7"/>
  <c r="A649" i="7"/>
  <c r="F648" i="7"/>
  <c r="E648" i="7"/>
  <c r="D648" i="7"/>
  <c r="C648" i="7"/>
  <c r="B648" i="7"/>
  <c r="A648" i="7"/>
  <c r="F647" i="7"/>
  <c r="E647" i="7"/>
  <c r="D647" i="7"/>
  <c r="C647" i="7"/>
  <c r="B647" i="7"/>
  <c r="A647" i="7"/>
  <c r="F646" i="7"/>
  <c r="E646" i="7"/>
  <c r="D646" i="7"/>
  <c r="C646" i="7"/>
  <c r="B646" i="7"/>
  <c r="A646" i="7"/>
  <c r="F645" i="7"/>
  <c r="E645" i="7"/>
  <c r="D645" i="7"/>
  <c r="C645" i="7"/>
  <c r="B645" i="7"/>
  <c r="A645" i="7"/>
  <c r="F644" i="7"/>
  <c r="E644" i="7"/>
  <c r="D644" i="7"/>
  <c r="C644" i="7"/>
  <c r="B644" i="7"/>
  <c r="A644" i="7"/>
  <c r="F643" i="7"/>
  <c r="E643" i="7"/>
  <c r="D643" i="7"/>
  <c r="C643" i="7"/>
  <c r="B643" i="7"/>
  <c r="A643" i="7"/>
  <c r="F642" i="7"/>
  <c r="E642" i="7"/>
  <c r="D642" i="7"/>
  <c r="C642" i="7"/>
  <c r="B642" i="7"/>
  <c r="A642" i="7"/>
  <c r="F641" i="7"/>
  <c r="E641" i="7"/>
  <c r="D641" i="7"/>
  <c r="C641" i="7"/>
  <c r="B641" i="7"/>
  <c r="A641" i="7"/>
  <c r="F640" i="7"/>
  <c r="E640" i="7"/>
  <c r="D640" i="7"/>
  <c r="C640" i="7"/>
  <c r="B640" i="7"/>
  <c r="A640" i="7"/>
  <c r="F639" i="7"/>
  <c r="E639" i="7"/>
  <c r="D639" i="7"/>
  <c r="C639" i="7"/>
  <c r="B639" i="7"/>
  <c r="A639" i="7"/>
  <c r="F638" i="7"/>
  <c r="E638" i="7"/>
  <c r="D638" i="7"/>
  <c r="C638" i="7"/>
  <c r="B638" i="7"/>
  <c r="A638" i="7"/>
  <c r="F637" i="7"/>
  <c r="E637" i="7"/>
  <c r="D637" i="7"/>
  <c r="C637" i="7"/>
  <c r="B637" i="7"/>
  <c r="A637" i="7"/>
  <c r="F636" i="7"/>
  <c r="E636" i="7"/>
  <c r="D636" i="7"/>
  <c r="C636" i="7"/>
  <c r="B636" i="7"/>
  <c r="A636" i="7"/>
  <c r="F635" i="7"/>
  <c r="E635" i="7"/>
  <c r="D635" i="7"/>
  <c r="C635" i="7"/>
  <c r="B635" i="7"/>
  <c r="A635" i="7"/>
  <c r="F634" i="7"/>
  <c r="E634" i="7"/>
  <c r="D634" i="7"/>
  <c r="C634" i="7"/>
  <c r="B634" i="7"/>
  <c r="A634" i="7"/>
  <c r="F633" i="7"/>
  <c r="E633" i="7"/>
  <c r="D633" i="7"/>
  <c r="C633" i="7"/>
  <c r="B633" i="7"/>
  <c r="A633" i="7"/>
  <c r="F632" i="7"/>
  <c r="E632" i="7"/>
  <c r="D632" i="7"/>
  <c r="C632" i="7"/>
  <c r="B632" i="7"/>
  <c r="A632" i="7"/>
  <c r="F631" i="7"/>
  <c r="E631" i="7"/>
  <c r="D631" i="7"/>
  <c r="C631" i="7"/>
  <c r="B631" i="7"/>
  <c r="A631" i="7"/>
  <c r="F630" i="7"/>
  <c r="E630" i="7"/>
  <c r="D630" i="7"/>
  <c r="C630" i="7"/>
  <c r="B630" i="7"/>
  <c r="A630" i="7"/>
  <c r="F629" i="7"/>
  <c r="E629" i="7"/>
  <c r="D629" i="7"/>
  <c r="C629" i="7"/>
  <c r="B629" i="7"/>
  <c r="A629" i="7"/>
  <c r="F628" i="7"/>
  <c r="E628" i="7"/>
  <c r="D628" i="7"/>
  <c r="C628" i="7"/>
  <c r="B628" i="7"/>
  <c r="A628" i="7"/>
  <c r="F627" i="7"/>
  <c r="E627" i="7"/>
  <c r="D627" i="7"/>
  <c r="C627" i="7"/>
  <c r="B627" i="7"/>
  <c r="A627" i="7"/>
  <c r="F626" i="7"/>
  <c r="E626" i="7"/>
  <c r="D626" i="7"/>
  <c r="C626" i="7"/>
  <c r="B626" i="7"/>
  <c r="A626" i="7"/>
  <c r="F625" i="7"/>
  <c r="E625" i="7"/>
  <c r="D625" i="7"/>
  <c r="C625" i="7"/>
  <c r="B625" i="7"/>
  <c r="A625" i="7"/>
  <c r="F624" i="7"/>
  <c r="E624" i="7"/>
  <c r="D624" i="7"/>
  <c r="C624" i="7"/>
  <c r="B624" i="7"/>
  <c r="A624" i="7"/>
  <c r="F623" i="7"/>
  <c r="E623" i="7"/>
  <c r="D623" i="7"/>
  <c r="C623" i="7"/>
  <c r="B623" i="7"/>
  <c r="A623" i="7"/>
  <c r="F622" i="7"/>
  <c r="E622" i="7"/>
  <c r="D622" i="7"/>
  <c r="C622" i="7"/>
  <c r="B622" i="7"/>
  <c r="A622" i="7"/>
  <c r="F621" i="7"/>
  <c r="E621" i="7"/>
  <c r="D621" i="7"/>
  <c r="C621" i="7"/>
  <c r="B621" i="7"/>
  <c r="A621" i="7"/>
  <c r="F620" i="7"/>
  <c r="E620" i="7"/>
  <c r="D620" i="7"/>
  <c r="C620" i="7"/>
  <c r="B620" i="7"/>
  <c r="A620" i="7"/>
  <c r="F619" i="7"/>
  <c r="E619" i="7"/>
  <c r="D619" i="7"/>
  <c r="C619" i="7"/>
  <c r="B619" i="7"/>
  <c r="A619" i="7"/>
  <c r="F618" i="7"/>
  <c r="E618" i="7"/>
  <c r="D618" i="7"/>
  <c r="C618" i="7"/>
  <c r="B618" i="7"/>
  <c r="A618" i="7"/>
  <c r="F617" i="7"/>
  <c r="E617" i="7"/>
  <c r="D617" i="7"/>
  <c r="C617" i="7"/>
  <c r="B617" i="7"/>
  <c r="A617" i="7"/>
  <c r="F616" i="7"/>
  <c r="E616" i="7"/>
  <c r="D616" i="7"/>
  <c r="C616" i="7"/>
  <c r="B616" i="7"/>
  <c r="A616" i="7"/>
  <c r="F615" i="7"/>
  <c r="E615" i="7"/>
  <c r="D615" i="7"/>
  <c r="C615" i="7"/>
  <c r="B615" i="7"/>
  <c r="A615" i="7"/>
  <c r="F614" i="7"/>
  <c r="E614" i="7"/>
  <c r="D614" i="7"/>
  <c r="C614" i="7"/>
  <c r="B614" i="7"/>
  <c r="A614" i="7"/>
  <c r="F613" i="7"/>
  <c r="E613" i="7"/>
  <c r="D613" i="7"/>
  <c r="C613" i="7"/>
  <c r="B613" i="7"/>
  <c r="A613" i="7"/>
  <c r="F612" i="7"/>
  <c r="E612" i="7"/>
  <c r="D612" i="7"/>
  <c r="C612" i="7"/>
  <c r="B612" i="7"/>
  <c r="A612" i="7"/>
  <c r="F611" i="7"/>
  <c r="E611" i="7"/>
  <c r="D611" i="7"/>
  <c r="C611" i="7"/>
  <c r="B611" i="7"/>
  <c r="A611" i="7"/>
  <c r="F610" i="7"/>
  <c r="E610" i="7"/>
  <c r="D610" i="7"/>
  <c r="C610" i="7"/>
  <c r="B610" i="7"/>
  <c r="A610" i="7"/>
  <c r="F609" i="7"/>
  <c r="E609" i="7"/>
  <c r="D609" i="7"/>
  <c r="C609" i="7"/>
  <c r="B609" i="7"/>
  <c r="A609" i="7"/>
  <c r="F608" i="7"/>
  <c r="E608" i="7"/>
  <c r="D608" i="7"/>
  <c r="C608" i="7"/>
  <c r="B608" i="7"/>
  <c r="A608" i="7"/>
  <c r="F607" i="7"/>
  <c r="E607" i="7"/>
  <c r="D607" i="7"/>
  <c r="C607" i="7"/>
  <c r="B607" i="7"/>
  <c r="A607" i="7"/>
  <c r="F606" i="7"/>
  <c r="E606" i="7"/>
  <c r="D606" i="7"/>
  <c r="C606" i="7"/>
  <c r="B606" i="7"/>
  <c r="A606" i="7"/>
  <c r="F605" i="7"/>
  <c r="E605" i="7"/>
  <c r="D605" i="7"/>
  <c r="C605" i="7"/>
  <c r="B605" i="7"/>
  <c r="A605" i="7"/>
  <c r="F604" i="7"/>
  <c r="E604" i="7"/>
  <c r="D604" i="7"/>
  <c r="C604" i="7"/>
  <c r="B604" i="7"/>
  <c r="A604" i="7"/>
  <c r="F603" i="7"/>
  <c r="E603" i="7"/>
  <c r="D603" i="7"/>
  <c r="C603" i="7"/>
  <c r="B603" i="7"/>
  <c r="A603" i="7"/>
  <c r="F602" i="7"/>
  <c r="E602" i="7"/>
  <c r="D602" i="7"/>
  <c r="C602" i="7"/>
  <c r="B602" i="7"/>
  <c r="A602" i="7"/>
  <c r="F601" i="7"/>
  <c r="E601" i="7"/>
  <c r="D601" i="7"/>
  <c r="C601" i="7"/>
  <c r="B601" i="7"/>
  <c r="A601" i="7"/>
  <c r="F600" i="7"/>
  <c r="E600" i="7"/>
  <c r="D600" i="7"/>
  <c r="C600" i="7"/>
  <c r="B600" i="7"/>
  <c r="A600" i="7"/>
  <c r="F599" i="7"/>
  <c r="E599" i="7"/>
  <c r="D599" i="7"/>
  <c r="C599" i="7"/>
  <c r="B599" i="7"/>
  <c r="A599" i="7"/>
  <c r="F598" i="7"/>
  <c r="E598" i="7"/>
  <c r="D598" i="7"/>
  <c r="C598" i="7"/>
  <c r="B598" i="7"/>
  <c r="A598" i="7"/>
  <c r="F597" i="7"/>
  <c r="E597" i="7"/>
  <c r="D597" i="7"/>
  <c r="C597" i="7"/>
  <c r="B597" i="7"/>
  <c r="A597" i="7"/>
  <c r="F596" i="7"/>
  <c r="E596" i="7"/>
  <c r="D596" i="7"/>
  <c r="C596" i="7"/>
  <c r="B596" i="7"/>
  <c r="A596" i="7"/>
  <c r="F595" i="7"/>
  <c r="E595" i="7"/>
  <c r="D595" i="7"/>
  <c r="C595" i="7"/>
  <c r="B595" i="7"/>
  <c r="A595" i="7"/>
  <c r="F594" i="7"/>
  <c r="E594" i="7"/>
  <c r="D594" i="7"/>
  <c r="C594" i="7"/>
  <c r="B594" i="7"/>
  <c r="A594" i="7"/>
  <c r="F593" i="7"/>
  <c r="E593" i="7"/>
  <c r="D593" i="7"/>
  <c r="C593" i="7"/>
  <c r="B593" i="7"/>
  <c r="A593" i="7"/>
  <c r="F592" i="7"/>
  <c r="E592" i="7"/>
  <c r="D592" i="7"/>
  <c r="C592" i="7"/>
  <c r="B592" i="7"/>
  <c r="A592" i="7"/>
  <c r="F591" i="7"/>
  <c r="E591" i="7"/>
  <c r="D591" i="7"/>
  <c r="C591" i="7"/>
  <c r="B591" i="7"/>
  <c r="A591" i="7"/>
  <c r="F590" i="7"/>
  <c r="E590" i="7"/>
  <c r="D590" i="7"/>
  <c r="C590" i="7"/>
  <c r="B590" i="7"/>
  <c r="A590" i="7"/>
  <c r="F589" i="7"/>
  <c r="E589" i="7"/>
  <c r="D589" i="7"/>
  <c r="C589" i="7"/>
  <c r="B589" i="7"/>
  <c r="A589" i="7"/>
  <c r="F588" i="7"/>
  <c r="E588" i="7"/>
  <c r="D588" i="7"/>
  <c r="C588" i="7"/>
  <c r="B588" i="7"/>
  <c r="A588" i="7"/>
  <c r="F587" i="7"/>
  <c r="E587" i="7"/>
  <c r="D587" i="7"/>
  <c r="C587" i="7"/>
  <c r="B587" i="7"/>
  <c r="A587" i="7"/>
  <c r="F586" i="7"/>
  <c r="E586" i="7"/>
  <c r="D586" i="7"/>
  <c r="C586" i="7"/>
  <c r="B586" i="7"/>
  <c r="A586" i="7"/>
  <c r="F585" i="7"/>
  <c r="E585" i="7"/>
  <c r="D585" i="7"/>
  <c r="C585" i="7"/>
  <c r="B585" i="7"/>
  <c r="A585" i="7"/>
  <c r="F584" i="7"/>
  <c r="E584" i="7"/>
  <c r="D584" i="7"/>
  <c r="C584" i="7"/>
  <c r="B584" i="7"/>
  <c r="A584" i="7"/>
  <c r="F583" i="7"/>
  <c r="E583" i="7"/>
  <c r="D583" i="7"/>
  <c r="C583" i="7"/>
  <c r="B583" i="7"/>
  <c r="A583" i="7"/>
  <c r="F582" i="7"/>
  <c r="E582" i="7"/>
  <c r="D582" i="7"/>
  <c r="C582" i="7"/>
  <c r="B582" i="7"/>
  <c r="A582" i="7"/>
  <c r="F581" i="7"/>
  <c r="E581" i="7"/>
  <c r="D581" i="7"/>
  <c r="C581" i="7"/>
  <c r="B581" i="7"/>
  <c r="A581" i="7"/>
  <c r="F580" i="7"/>
  <c r="E580" i="7"/>
  <c r="D580" i="7"/>
  <c r="C580" i="7"/>
  <c r="B580" i="7"/>
  <c r="A580" i="7"/>
  <c r="F579" i="7"/>
  <c r="E579" i="7"/>
  <c r="D579" i="7"/>
  <c r="C579" i="7"/>
  <c r="B579" i="7"/>
  <c r="A579" i="7"/>
  <c r="F578" i="7"/>
  <c r="E578" i="7"/>
  <c r="D578" i="7"/>
  <c r="C578" i="7"/>
  <c r="B578" i="7"/>
  <c r="A578" i="7"/>
  <c r="F577" i="7"/>
  <c r="E577" i="7"/>
  <c r="D577" i="7"/>
  <c r="C577" i="7"/>
  <c r="B577" i="7"/>
  <c r="A577" i="7"/>
  <c r="F576" i="7"/>
  <c r="E576" i="7"/>
  <c r="D576" i="7"/>
  <c r="C576" i="7"/>
  <c r="B576" i="7"/>
  <c r="A576" i="7"/>
  <c r="F575" i="7"/>
  <c r="E575" i="7"/>
  <c r="D575" i="7"/>
  <c r="C575" i="7"/>
  <c r="B575" i="7"/>
  <c r="A575" i="7"/>
  <c r="F574" i="7"/>
  <c r="E574" i="7"/>
  <c r="D574" i="7"/>
  <c r="C574" i="7"/>
  <c r="B574" i="7"/>
  <c r="A574" i="7"/>
  <c r="F573" i="7"/>
  <c r="E573" i="7"/>
  <c r="D573" i="7"/>
  <c r="C573" i="7"/>
  <c r="B573" i="7"/>
  <c r="A573" i="7"/>
  <c r="F572" i="7"/>
  <c r="E572" i="7"/>
  <c r="D572" i="7"/>
  <c r="C572" i="7"/>
  <c r="B572" i="7"/>
  <c r="A572" i="7"/>
  <c r="F571" i="7"/>
  <c r="E571" i="7"/>
  <c r="D571" i="7"/>
  <c r="C571" i="7"/>
  <c r="B571" i="7"/>
  <c r="A571" i="7"/>
  <c r="F570" i="7"/>
  <c r="E570" i="7"/>
  <c r="D570" i="7"/>
  <c r="C570" i="7"/>
  <c r="B570" i="7"/>
  <c r="A570" i="7"/>
  <c r="F569" i="7"/>
  <c r="E569" i="7"/>
  <c r="D569" i="7"/>
  <c r="C569" i="7"/>
  <c r="B569" i="7"/>
  <c r="A569" i="7"/>
  <c r="F568" i="7"/>
  <c r="E568" i="7"/>
  <c r="D568" i="7"/>
  <c r="C568" i="7"/>
  <c r="B568" i="7"/>
  <c r="A568" i="7"/>
  <c r="F567" i="7"/>
  <c r="E567" i="7"/>
  <c r="D567" i="7"/>
  <c r="C567" i="7"/>
  <c r="B567" i="7"/>
  <c r="A567" i="7"/>
  <c r="F566" i="7"/>
  <c r="E566" i="7"/>
  <c r="D566" i="7"/>
  <c r="C566" i="7"/>
  <c r="B566" i="7"/>
  <c r="A566" i="7"/>
  <c r="F565" i="7"/>
  <c r="E565" i="7"/>
  <c r="D565" i="7"/>
  <c r="C565" i="7"/>
  <c r="B565" i="7"/>
  <c r="A565" i="7"/>
  <c r="F564" i="7"/>
  <c r="E564" i="7"/>
  <c r="D564" i="7"/>
  <c r="C564" i="7"/>
  <c r="B564" i="7"/>
  <c r="A564" i="7"/>
  <c r="F563" i="7"/>
  <c r="E563" i="7"/>
  <c r="D563" i="7"/>
  <c r="C563" i="7"/>
  <c r="B563" i="7"/>
  <c r="A563" i="7"/>
  <c r="F562" i="7"/>
  <c r="E562" i="7"/>
  <c r="D562" i="7"/>
  <c r="C562" i="7"/>
  <c r="B562" i="7"/>
  <c r="A562" i="7"/>
  <c r="F561" i="7"/>
  <c r="E561" i="7"/>
  <c r="D561" i="7"/>
  <c r="C561" i="7"/>
  <c r="B561" i="7"/>
  <c r="A561" i="7"/>
  <c r="F560" i="7"/>
  <c r="E560" i="7"/>
  <c r="D560" i="7"/>
  <c r="C560" i="7"/>
  <c r="B560" i="7"/>
  <c r="A560" i="7"/>
  <c r="F559" i="7"/>
  <c r="E559" i="7"/>
  <c r="D559" i="7"/>
  <c r="C559" i="7"/>
  <c r="B559" i="7"/>
  <c r="A559" i="7"/>
  <c r="F558" i="7"/>
  <c r="E558" i="7"/>
  <c r="D558" i="7"/>
  <c r="C558" i="7"/>
  <c r="B558" i="7"/>
  <c r="A558" i="7"/>
  <c r="F557" i="7"/>
  <c r="E557" i="7"/>
  <c r="D557" i="7"/>
  <c r="C557" i="7"/>
  <c r="B557" i="7"/>
  <c r="A557" i="7"/>
  <c r="F556" i="7"/>
  <c r="E556" i="7"/>
  <c r="D556" i="7"/>
  <c r="C556" i="7"/>
  <c r="B556" i="7"/>
  <c r="A556" i="7"/>
  <c r="F555" i="7"/>
  <c r="E555" i="7"/>
  <c r="D555" i="7"/>
  <c r="C555" i="7"/>
  <c r="B555" i="7"/>
  <c r="A555" i="7"/>
  <c r="F554" i="7"/>
  <c r="E554" i="7"/>
  <c r="D554" i="7"/>
  <c r="C554" i="7"/>
  <c r="B554" i="7"/>
  <c r="A554" i="7"/>
  <c r="F553" i="7"/>
  <c r="E553" i="7"/>
  <c r="D553" i="7"/>
  <c r="C553" i="7"/>
  <c r="B553" i="7"/>
  <c r="A553" i="7"/>
  <c r="F552" i="7"/>
  <c r="E552" i="7"/>
  <c r="D552" i="7"/>
  <c r="C552" i="7"/>
  <c r="B552" i="7"/>
  <c r="A552" i="7"/>
  <c r="F551" i="7"/>
  <c r="E551" i="7"/>
  <c r="D551" i="7"/>
  <c r="C551" i="7"/>
  <c r="B551" i="7"/>
  <c r="A551" i="7"/>
  <c r="F550" i="7"/>
  <c r="E550" i="7"/>
  <c r="D550" i="7"/>
  <c r="C550" i="7"/>
  <c r="B550" i="7"/>
  <c r="A550" i="7"/>
  <c r="F549" i="7"/>
  <c r="E549" i="7"/>
  <c r="D549" i="7"/>
  <c r="C549" i="7"/>
  <c r="B549" i="7"/>
  <c r="A549" i="7"/>
  <c r="F548" i="7"/>
  <c r="E548" i="7"/>
  <c r="D548" i="7"/>
  <c r="C548" i="7"/>
  <c r="B548" i="7"/>
  <c r="A548" i="7"/>
  <c r="F547" i="7"/>
  <c r="E547" i="7"/>
  <c r="D547" i="7"/>
  <c r="C547" i="7"/>
  <c r="B547" i="7"/>
  <c r="A547" i="7"/>
  <c r="F546" i="7"/>
  <c r="E546" i="7"/>
  <c r="D546" i="7"/>
  <c r="C546" i="7"/>
  <c r="B546" i="7"/>
  <c r="A546" i="7"/>
  <c r="F545" i="7"/>
  <c r="E545" i="7"/>
  <c r="D545" i="7"/>
  <c r="C545" i="7"/>
  <c r="B545" i="7"/>
  <c r="A545" i="7"/>
  <c r="F544" i="7"/>
  <c r="E544" i="7"/>
  <c r="D544" i="7"/>
  <c r="C544" i="7"/>
  <c r="B544" i="7"/>
  <c r="A544" i="7"/>
  <c r="F543" i="7"/>
  <c r="E543" i="7"/>
  <c r="D543" i="7"/>
  <c r="C543" i="7"/>
  <c r="B543" i="7"/>
  <c r="A543" i="7"/>
  <c r="F542" i="7"/>
  <c r="E542" i="7"/>
  <c r="D542" i="7"/>
  <c r="C542" i="7"/>
  <c r="B542" i="7"/>
  <c r="A542" i="7"/>
  <c r="F541" i="7"/>
  <c r="E541" i="7"/>
  <c r="D541" i="7"/>
  <c r="C541" i="7"/>
  <c r="B541" i="7"/>
  <c r="A541" i="7"/>
  <c r="F540" i="7"/>
  <c r="E540" i="7"/>
  <c r="D540" i="7"/>
  <c r="C540" i="7"/>
  <c r="B540" i="7"/>
  <c r="A540" i="7"/>
  <c r="F539" i="7"/>
  <c r="E539" i="7"/>
  <c r="D539" i="7"/>
  <c r="C539" i="7"/>
  <c r="B539" i="7"/>
  <c r="A539" i="7"/>
  <c r="F538" i="7"/>
  <c r="E538" i="7"/>
  <c r="D538" i="7"/>
  <c r="C538" i="7"/>
  <c r="B538" i="7"/>
  <c r="A538" i="7"/>
  <c r="F537" i="7"/>
  <c r="E537" i="7"/>
  <c r="D537" i="7"/>
  <c r="C537" i="7"/>
  <c r="B537" i="7"/>
  <c r="A537" i="7"/>
  <c r="F536" i="7"/>
  <c r="E536" i="7"/>
  <c r="D536" i="7"/>
  <c r="C536" i="7"/>
  <c r="B536" i="7"/>
  <c r="A536" i="7"/>
  <c r="F535" i="7"/>
  <c r="E535" i="7"/>
  <c r="D535" i="7"/>
  <c r="C535" i="7"/>
  <c r="B535" i="7"/>
  <c r="A535" i="7"/>
  <c r="F534" i="7"/>
  <c r="E534" i="7"/>
  <c r="D534" i="7"/>
  <c r="C534" i="7"/>
  <c r="B534" i="7"/>
  <c r="A534" i="7"/>
  <c r="F533" i="7"/>
  <c r="E533" i="7"/>
  <c r="D533" i="7"/>
  <c r="C533" i="7"/>
  <c r="B533" i="7"/>
  <c r="A533" i="7"/>
  <c r="F532" i="7"/>
  <c r="E532" i="7"/>
  <c r="D532" i="7"/>
  <c r="C532" i="7"/>
  <c r="B532" i="7"/>
  <c r="A532" i="7"/>
  <c r="F531" i="7"/>
  <c r="E531" i="7"/>
  <c r="D531" i="7"/>
  <c r="C531" i="7"/>
  <c r="B531" i="7"/>
  <c r="A531" i="7"/>
  <c r="F530" i="7"/>
  <c r="E530" i="7"/>
  <c r="D530" i="7"/>
  <c r="C530" i="7"/>
  <c r="B530" i="7"/>
  <c r="A530" i="7"/>
  <c r="F529" i="7"/>
  <c r="E529" i="7"/>
  <c r="D529" i="7"/>
  <c r="C529" i="7"/>
  <c r="B529" i="7"/>
  <c r="A529" i="7"/>
  <c r="F528" i="7"/>
  <c r="E528" i="7"/>
  <c r="D528" i="7"/>
  <c r="C528" i="7"/>
  <c r="B528" i="7"/>
  <c r="A528" i="7"/>
  <c r="F527" i="7"/>
  <c r="E527" i="7"/>
  <c r="D527" i="7"/>
  <c r="C527" i="7"/>
  <c r="B527" i="7"/>
  <c r="A527" i="7"/>
  <c r="F526" i="7"/>
  <c r="E526" i="7"/>
  <c r="D526" i="7"/>
  <c r="C526" i="7"/>
  <c r="B526" i="7"/>
  <c r="A526" i="7"/>
  <c r="F525" i="7"/>
  <c r="E525" i="7"/>
  <c r="D525" i="7"/>
  <c r="C525" i="7"/>
  <c r="B525" i="7"/>
  <c r="A525" i="7"/>
  <c r="F524" i="7"/>
  <c r="E524" i="7"/>
  <c r="D524" i="7"/>
  <c r="C524" i="7"/>
  <c r="B524" i="7"/>
  <c r="A524" i="7"/>
  <c r="F523" i="7"/>
  <c r="E523" i="7"/>
  <c r="D523" i="7"/>
  <c r="C523" i="7"/>
  <c r="B523" i="7"/>
  <c r="A523" i="7"/>
  <c r="F522" i="7"/>
  <c r="E522" i="7"/>
  <c r="D522" i="7"/>
  <c r="C522" i="7"/>
  <c r="B522" i="7"/>
  <c r="A522" i="7"/>
  <c r="F521" i="7"/>
  <c r="E521" i="7"/>
  <c r="D521" i="7"/>
  <c r="C521" i="7"/>
  <c r="B521" i="7"/>
  <c r="A521" i="7"/>
  <c r="F520" i="7"/>
  <c r="E520" i="7"/>
  <c r="D520" i="7"/>
  <c r="C520" i="7"/>
  <c r="B520" i="7"/>
  <c r="A520" i="7"/>
  <c r="F519" i="7"/>
  <c r="E519" i="7"/>
  <c r="D519" i="7"/>
  <c r="C519" i="7"/>
  <c r="B519" i="7"/>
  <c r="A519" i="7"/>
  <c r="F518" i="7"/>
  <c r="E518" i="7"/>
  <c r="D518" i="7"/>
  <c r="C518" i="7"/>
  <c r="B518" i="7"/>
  <c r="A518" i="7"/>
  <c r="F517" i="7"/>
  <c r="E517" i="7"/>
  <c r="D517" i="7"/>
  <c r="C517" i="7"/>
  <c r="B517" i="7"/>
  <c r="A517" i="7"/>
  <c r="F516" i="7"/>
  <c r="E516" i="7"/>
  <c r="D516" i="7"/>
  <c r="C516" i="7"/>
  <c r="B516" i="7"/>
  <c r="A516" i="7"/>
  <c r="F515" i="7"/>
  <c r="E515" i="7"/>
  <c r="D515" i="7"/>
  <c r="C515" i="7"/>
  <c r="B515" i="7"/>
  <c r="A515" i="7"/>
  <c r="F514" i="7"/>
  <c r="E514" i="7"/>
  <c r="D514" i="7"/>
  <c r="C514" i="7"/>
  <c r="B514" i="7"/>
  <c r="A514" i="7"/>
  <c r="F513" i="7"/>
  <c r="E513" i="7"/>
  <c r="D513" i="7"/>
  <c r="C513" i="7"/>
  <c r="B513" i="7"/>
  <c r="A513" i="7"/>
  <c r="F512" i="7"/>
  <c r="E512" i="7"/>
  <c r="D512" i="7"/>
  <c r="C512" i="7"/>
  <c r="B512" i="7"/>
  <c r="A512" i="7"/>
  <c r="F511" i="7"/>
  <c r="E511" i="7"/>
  <c r="D511" i="7"/>
  <c r="C511" i="7"/>
  <c r="B511" i="7"/>
  <c r="A511" i="7"/>
  <c r="F510" i="7"/>
  <c r="E510" i="7"/>
  <c r="D510" i="7"/>
  <c r="C510" i="7"/>
  <c r="B510" i="7"/>
  <c r="A510" i="7"/>
  <c r="F509" i="7"/>
  <c r="E509" i="7"/>
  <c r="D509" i="7"/>
  <c r="C509" i="7"/>
  <c r="B509" i="7"/>
  <c r="A509" i="7"/>
  <c r="F508" i="7"/>
  <c r="E508" i="7"/>
  <c r="D508" i="7"/>
  <c r="C508" i="7"/>
  <c r="B508" i="7"/>
  <c r="A508" i="7"/>
  <c r="F507" i="7"/>
  <c r="E507" i="7"/>
  <c r="D507" i="7"/>
  <c r="C507" i="7"/>
  <c r="B507" i="7"/>
  <c r="A507" i="7"/>
  <c r="F506" i="7"/>
  <c r="E506" i="7"/>
  <c r="D506" i="7"/>
  <c r="C506" i="7"/>
  <c r="B506" i="7"/>
  <c r="A506" i="7"/>
  <c r="F505" i="7"/>
  <c r="E505" i="7"/>
  <c r="D505" i="7"/>
  <c r="C505" i="7"/>
  <c r="B505" i="7"/>
  <c r="A505" i="7"/>
  <c r="F504" i="7"/>
  <c r="E504" i="7"/>
  <c r="D504" i="7"/>
  <c r="C504" i="7"/>
  <c r="B504" i="7"/>
  <c r="A504" i="7"/>
  <c r="F503" i="7"/>
  <c r="E503" i="7"/>
  <c r="D503" i="7"/>
  <c r="C503" i="7"/>
  <c r="B503" i="7"/>
  <c r="A503" i="7"/>
  <c r="F502" i="7"/>
  <c r="E502" i="7"/>
  <c r="D502" i="7"/>
  <c r="C502" i="7"/>
  <c r="B502" i="7"/>
  <c r="A502" i="7"/>
  <c r="F501" i="7"/>
  <c r="E501" i="7"/>
  <c r="D501" i="7"/>
  <c r="C501" i="7"/>
  <c r="B501" i="7"/>
  <c r="A501" i="7"/>
  <c r="F500" i="7"/>
  <c r="E500" i="7"/>
  <c r="D500" i="7"/>
  <c r="C500" i="7"/>
  <c r="B500" i="7"/>
  <c r="A500" i="7"/>
  <c r="F499" i="7"/>
  <c r="E499" i="7"/>
  <c r="D499" i="7"/>
  <c r="C499" i="7"/>
  <c r="B499" i="7"/>
  <c r="A499" i="7"/>
  <c r="F498" i="7"/>
  <c r="E498" i="7"/>
  <c r="D498" i="7"/>
  <c r="C498" i="7"/>
  <c r="B498" i="7"/>
  <c r="A498" i="7"/>
  <c r="F497" i="7"/>
  <c r="E497" i="7"/>
  <c r="D497" i="7"/>
  <c r="C497" i="7"/>
  <c r="B497" i="7"/>
  <c r="A497" i="7"/>
  <c r="F496" i="7"/>
  <c r="E496" i="7"/>
  <c r="D496" i="7"/>
  <c r="C496" i="7"/>
  <c r="B496" i="7"/>
  <c r="A496" i="7"/>
  <c r="F495" i="7"/>
  <c r="E495" i="7"/>
  <c r="D495" i="7"/>
  <c r="C495" i="7"/>
  <c r="B495" i="7"/>
  <c r="A495" i="7"/>
  <c r="F494" i="7"/>
  <c r="E494" i="7"/>
  <c r="D494" i="7"/>
  <c r="C494" i="7"/>
  <c r="B494" i="7"/>
  <c r="A494" i="7"/>
  <c r="F493" i="7"/>
  <c r="E493" i="7"/>
  <c r="D493" i="7"/>
  <c r="C493" i="7"/>
  <c r="B493" i="7"/>
  <c r="A493" i="7"/>
  <c r="F492" i="7"/>
  <c r="E492" i="7"/>
  <c r="D492" i="7"/>
  <c r="C492" i="7"/>
  <c r="B492" i="7"/>
  <c r="A492" i="7"/>
  <c r="F491" i="7"/>
  <c r="E491" i="7"/>
  <c r="D491" i="7"/>
  <c r="C491" i="7"/>
  <c r="B491" i="7"/>
  <c r="A491" i="7"/>
  <c r="F490" i="7"/>
  <c r="E490" i="7"/>
  <c r="D490" i="7"/>
  <c r="C490" i="7"/>
  <c r="B490" i="7"/>
  <c r="A490" i="7"/>
  <c r="F489" i="7"/>
  <c r="E489" i="7"/>
  <c r="D489" i="7"/>
  <c r="C489" i="7"/>
  <c r="B489" i="7"/>
  <c r="A489" i="7"/>
  <c r="F488" i="7"/>
  <c r="E488" i="7"/>
  <c r="D488" i="7"/>
  <c r="C488" i="7"/>
  <c r="B488" i="7"/>
  <c r="A488" i="7"/>
  <c r="F487" i="7"/>
  <c r="E487" i="7"/>
  <c r="D487" i="7"/>
  <c r="C487" i="7"/>
  <c r="B487" i="7"/>
  <c r="A487" i="7"/>
  <c r="F486" i="7"/>
  <c r="E486" i="7"/>
  <c r="D486" i="7"/>
  <c r="C486" i="7"/>
  <c r="B486" i="7"/>
  <c r="A486" i="7"/>
  <c r="F485" i="7"/>
  <c r="E485" i="7"/>
  <c r="D485" i="7"/>
  <c r="C485" i="7"/>
  <c r="B485" i="7"/>
  <c r="A485" i="7"/>
  <c r="F484" i="7"/>
  <c r="E484" i="7"/>
  <c r="D484" i="7"/>
  <c r="C484" i="7"/>
  <c r="B484" i="7"/>
  <c r="A484" i="7"/>
  <c r="F483" i="7"/>
  <c r="E483" i="7"/>
  <c r="D483" i="7"/>
  <c r="C483" i="7"/>
  <c r="B483" i="7"/>
  <c r="A483" i="7"/>
  <c r="F482" i="7"/>
  <c r="E482" i="7"/>
  <c r="D482" i="7"/>
  <c r="C482" i="7"/>
  <c r="B482" i="7"/>
  <c r="A482" i="7"/>
  <c r="F481" i="7"/>
  <c r="E481" i="7"/>
  <c r="D481" i="7"/>
  <c r="C481" i="7"/>
  <c r="B481" i="7"/>
  <c r="A481" i="7"/>
  <c r="F480" i="7"/>
  <c r="E480" i="7"/>
  <c r="D480" i="7"/>
  <c r="C480" i="7"/>
  <c r="B480" i="7"/>
  <c r="A480" i="7"/>
  <c r="F479" i="7"/>
  <c r="E479" i="7"/>
  <c r="D479" i="7"/>
  <c r="C479" i="7"/>
  <c r="B479" i="7"/>
  <c r="A479" i="7"/>
  <c r="F478" i="7"/>
  <c r="E478" i="7"/>
  <c r="D478" i="7"/>
  <c r="C478" i="7"/>
  <c r="B478" i="7"/>
  <c r="A478" i="7"/>
  <c r="F477" i="7"/>
  <c r="E477" i="7"/>
  <c r="D477" i="7"/>
  <c r="C477" i="7"/>
  <c r="B477" i="7"/>
  <c r="A477" i="7"/>
  <c r="F476" i="7"/>
  <c r="E476" i="7"/>
  <c r="D476" i="7"/>
  <c r="C476" i="7"/>
  <c r="B476" i="7"/>
  <c r="A476" i="7"/>
  <c r="F475" i="7"/>
  <c r="E475" i="7"/>
  <c r="D475" i="7"/>
  <c r="C475" i="7"/>
  <c r="B475" i="7"/>
  <c r="A475" i="7"/>
  <c r="F474" i="7"/>
  <c r="E474" i="7"/>
  <c r="D474" i="7"/>
  <c r="C474" i="7"/>
  <c r="B474" i="7"/>
  <c r="A474" i="7"/>
  <c r="F473" i="7"/>
  <c r="E473" i="7"/>
  <c r="D473" i="7"/>
  <c r="C473" i="7"/>
  <c r="B473" i="7"/>
  <c r="A473" i="7"/>
  <c r="F472" i="7"/>
  <c r="E472" i="7"/>
  <c r="D472" i="7"/>
  <c r="C472" i="7"/>
  <c r="B472" i="7"/>
  <c r="A472" i="7"/>
  <c r="F471" i="7"/>
  <c r="E471" i="7"/>
  <c r="D471" i="7"/>
  <c r="C471" i="7"/>
  <c r="B471" i="7"/>
  <c r="A471" i="7"/>
  <c r="F470" i="7"/>
  <c r="E470" i="7"/>
  <c r="D470" i="7"/>
  <c r="C470" i="7"/>
  <c r="B470" i="7"/>
  <c r="A470" i="7"/>
  <c r="F469" i="7"/>
  <c r="E469" i="7"/>
  <c r="D469" i="7"/>
  <c r="C469" i="7"/>
  <c r="B469" i="7"/>
  <c r="A469" i="7"/>
  <c r="F468" i="7"/>
  <c r="E468" i="7"/>
  <c r="D468" i="7"/>
  <c r="C468" i="7"/>
  <c r="B468" i="7"/>
  <c r="A468" i="7"/>
  <c r="F467" i="7"/>
  <c r="E467" i="7"/>
  <c r="D467" i="7"/>
  <c r="C467" i="7"/>
  <c r="B467" i="7"/>
  <c r="A467" i="7"/>
  <c r="F466" i="7"/>
  <c r="E466" i="7"/>
  <c r="D466" i="7"/>
  <c r="C466" i="7"/>
  <c r="B466" i="7"/>
  <c r="A466" i="7"/>
  <c r="F465" i="7"/>
  <c r="E465" i="7"/>
  <c r="D465" i="7"/>
  <c r="C465" i="7"/>
  <c r="B465" i="7"/>
  <c r="A465" i="7"/>
  <c r="F464" i="7"/>
  <c r="E464" i="7"/>
  <c r="D464" i="7"/>
  <c r="C464" i="7"/>
  <c r="B464" i="7"/>
  <c r="A464" i="7"/>
  <c r="F463" i="7"/>
  <c r="E463" i="7"/>
  <c r="D463" i="7"/>
  <c r="C463" i="7"/>
  <c r="B463" i="7"/>
  <c r="A463" i="7"/>
  <c r="F462" i="7"/>
  <c r="E462" i="7"/>
  <c r="D462" i="7"/>
  <c r="C462" i="7"/>
  <c r="B462" i="7"/>
  <c r="A462" i="7"/>
  <c r="F461" i="7"/>
  <c r="E461" i="7"/>
  <c r="D461" i="7"/>
  <c r="C461" i="7"/>
  <c r="B461" i="7"/>
  <c r="A461" i="7"/>
  <c r="F460" i="7"/>
  <c r="E460" i="7"/>
  <c r="D460" i="7"/>
  <c r="C460" i="7"/>
  <c r="B460" i="7"/>
  <c r="A460" i="7"/>
  <c r="F459" i="7"/>
  <c r="E459" i="7"/>
  <c r="D459" i="7"/>
  <c r="C459" i="7"/>
  <c r="B459" i="7"/>
  <c r="A459" i="7"/>
  <c r="F458" i="7"/>
  <c r="E458" i="7"/>
  <c r="D458" i="7"/>
  <c r="C458" i="7"/>
  <c r="B458" i="7"/>
  <c r="A458" i="7"/>
  <c r="F457" i="7"/>
  <c r="E457" i="7"/>
  <c r="D457" i="7"/>
  <c r="C457" i="7"/>
  <c r="B457" i="7"/>
  <c r="A457" i="7"/>
  <c r="F456" i="7"/>
  <c r="E456" i="7"/>
  <c r="D456" i="7"/>
  <c r="C456" i="7"/>
  <c r="B456" i="7"/>
  <c r="A456" i="7"/>
  <c r="F455" i="7"/>
  <c r="E455" i="7"/>
  <c r="D455" i="7"/>
  <c r="C455" i="7"/>
  <c r="B455" i="7"/>
  <c r="A455" i="7"/>
  <c r="F454" i="7"/>
  <c r="E454" i="7"/>
  <c r="D454" i="7"/>
  <c r="C454" i="7"/>
  <c r="B454" i="7"/>
  <c r="A454" i="7"/>
  <c r="F453" i="7"/>
  <c r="E453" i="7"/>
  <c r="D453" i="7"/>
  <c r="C453" i="7"/>
  <c r="B453" i="7"/>
  <c r="A453" i="7"/>
  <c r="F452" i="7"/>
  <c r="E452" i="7"/>
  <c r="D452" i="7"/>
  <c r="C452" i="7"/>
  <c r="B452" i="7"/>
  <c r="A452" i="7"/>
  <c r="F451" i="7"/>
  <c r="E451" i="7"/>
  <c r="D451" i="7"/>
  <c r="C451" i="7"/>
  <c r="B451" i="7"/>
  <c r="A451" i="7"/>
  <c r="F450" i="7"/>
  <c r="E450" i="7"/>
  <c r="D450" i="7"/>
  <c r="C450" i="7"/>
  <c r="B450" i="7"/>
  <c r="A450" i="7"/>
  <c r="F449" i="7"/>
  <c r="E449" i="7"/>
  <c r="D449" i="7"/>
  <c r="C449" i="7"/>
  <c r="B449" i="7"/>
  <c r="A449" i="7"/>
  <c r="F448" i="7"/>
  <c r="E448" i="7"/>
  <c r="D448" i="7"/>
  <c r="C448" i="7"/>
  <c r="B448" i="7"/>
  <c r="A448" i="7"/>
  <c r="F447" i="7"/>
  <c r="E447" i="7"/>
  <c r="D447" i="7"/>
  <c r="C447" i="7"/>
  <c r="B447" i="7"/>
  <c r="A447" i="7"/>
  <c r="F446" i="7"/>
  <c r="E446" i="7"/>
  <c r="D446" i="7"/>
  <c r="C446" i="7"/>
  <c r="B446" i="7"/>
  <c r="A446" i="7"/>
  <c r="F445" i="7"/>
  <c r="E445" i="7"/>
  <c r="D445" i="7"/>
  <c r="C445" i="7"/>
  <c r="B445" i="7"/>
  <c r="A445" i="7"/>
  <c r="F444" i="7"/>
  <c r="E444" i="7"/>
  <c r="D444" i="7"/>
  <c r="C444" i="7"/>
  <c r="B444" i="7"/>
  <c r="A444" i="7"/>
  <c r="F443" i="7"/>
  <c r="E443" i="7"/>
  <c r="D443" i="7"/>
  <c r="C443" i="7"/>
  <c r="B443" i="7"/>
  <c r="A443" i="7"/>
  <c r="F442" i="7"/>
  <c r="E442" i="7"/>
  <c r="D442" i="7"/>
  <c r="C442" i="7"/>
  <c r="B442" i="7"/>
  <c r="A442" i="7"/>
  <c r="F441" i="7"/>
  <c r="E441" i="7"/>
  <c r="D441" i="7"/>
  <c r="C441" i="7"/>
  <c r="B441" i="7"/>
  <c r="A441" i="7"/>
  <c r="F440" i="7"/>
  <c r="E440" i="7"/>
  <c r="D440" i="7"/>
  <c r="C440" i="7"/>
  <c r="B440" i="7"/>
  <c r="A440" i="7"/>
  <c r="F439" i="7"/>
  <c r="E439" i="7"/>
  <c r="D439" i="7"/>
  <c r="C439" i="7"/>
  <c r="B439" i="7"/>
  <c r="A439" i="7"/>
  <c r="F438" i="7"/>
  <c r="E438" i="7"/>
  <c r="D438" i="7"/>
  <c r="C438" i="7"/>
  <c r="B438" i="7"/>
  <c r="A438" i="7"/>
  <c r="F437" i="7"/>
  <c r="E437" i="7"/>
  <c r="D437" i="7"/>
  <c r="C437" i="7"/>
  <c r="B437" i="7"/>
  <c r="A437" i="7"/>
  <c r="F436" i="7"/>
  <c r="E436" i="7"/>
  <c r="D436" i="7"/>
  <c r="C436" i="7"/>
  <c r="B436" i="7"/>
  <c r="A436" i="7"/>
  <c r="F435" i="7"/>
  <c r="E435" i="7"/>
  <c r="D435" i="7"/>
  <c r="C435" i="7"/>
  <c r="B435" i="7"/>
  <c r="A435" i="7"/>
  <c r="F434" i="7"/>
  <c r="E434" i="7"/>
  <c r="D434" i="7"/>
  <c r="C434" i="7"/>
  <c r="B434" i="7"/>
  <c r="A434" i="7"/>
  <c r="F433" i="7"/>
  <c r="E433" i="7"/>
  <c r="D433" i="7"/>
  <c r="C433" i="7"/>
  <c r="B433" i="7"/>
  <c r="A433" i="7"/>
  <c r="F432" i="7"/>
  <c r="E432" i="7"/>
  <c r="D432" i="7"/>
  <c r="C432" i="7"/>
  <c r="B432" i="7"/>
  <c r="A432" i="7"/>
  <c r="F431" i="7"/>
  <c r="E431" i="7"/>
  <c r="D431" i="7"/>
  <c r="C431" i="7"/>
  <c r="B431" i="7"/>
  <c r="A431" i="7"/>
  <c r="F430" i="7"/>
  <c r="E430" i="7"/>
  <c r="D430" i="7"/>
  <c r="C430" i="7"/>
  <c r="B430" i="7"/>
  <c r="A430" i="7"/>
  <c r="F429" i="7"/>
  <c r="E429" i="7"/>
  <c r="D429" i="7"/>
  <c r="C429" i="7"/>
  <c r="B429" i="7"/>
  <c r="A429" i="7"/>
  <c r="F428" i="7"/>
  <c r="E428" i="7"/>
  <c r="D428" i="7"/>
  <c r="C428" i="7"/>
  <c r="B428" i="7"/>
  <c r="A428" i="7"/>
  <c r="F427" i="7"/>
  <c r="E427" i="7"/>
  <c r="D427" i="7"/>
  <c r="C427" i="7"/>
  <c r="B427" i="7"/>
  <c r="A427" i="7"/>
  <c r="F426" i="7"/>
  <c r="E426" i="7"/>
  <c r="D426" i="7"/>
  <c r="C426" i="7"/>
  <c r="B426" i="7"/>
  <c r="A426" i="7"/>
  <c r="F425" i="7"/>
  <c r="E425" i="7"/>
  <c r="D425" i="7"/>
  <c r="C425" i="7"/>
  <c r="B425" i="7"/>
  <c r="A425" i="7"/>
  <c r="F424" i="7"/>
  <c r="E424" i="7"/>
  <c r="D424" i="7"/>
  <c r="C424" i="7"/>
  <c r="B424" i="7"/>
  <c r="A424" i="7"/>
  <c r="F423" i="7"/>
  <c r="E423" i="7"/>
  <c r="D423" i="7"/>
  <c r="C423" i="7"/>
  <c r="B423" i="7"/>
  <c r="A423" i="7"/>
  <c r="F422" i="7"/>
  <c r="E422" i="7"/>
  <c r="D422" i="7"/>
  <c r="C422" i="7"/>
  <c r="B422" i="7"/>
  <c r="A422" i="7"/>
  <c r="F421" i="7"/>
  <c r="E421" i="7"/>
  <c r="D421" i="7"/>
  <c r="C421" i="7"/>
  <c r="B421" i="7"/>
  <c r="A421" i="7"/>
  <c r="F420" i="7"/>
  <c r="E420" i="7"/>
  <c r="D420" i="7"/>
  <c r="C420" i="7"/>
  <c r="B420" i="7"/>
  <c r="A420" i="7"/>
  <c r="F419" i="7"/>
  <c r="E419" i="7"/>
  <c r="D419" i="7"/>
  <c r="C419" i="7"/>
  <c r="B419" i="7"/>
  <c r="A419" i="7"/>
  <c r="F418" i="7"/>
  <c r="E418" i="7"/>
  <c r="D418" i="7"/>
  <c r="C418" i="7"/>
  <c r="B418" i="7"/>
  <c r="A418" i="7"/>
  <c r="F417" i="7"/>
  <c r="E417" i="7"/>
  <c r="D417" i="7"/>
  <c r="C417" i="7"/>
  <c r="B417" i="7"/>
  <c r="A417" i="7"/>
  <c r="F416" i="7"/>
  <c r="E416" i="7"/>
  <c r="D416" i="7"/>
  <c r="C416" i="7"/>
  <c r="B416" i="7"/>
  <c r="A416" i="7"/>
  <c r="F415" i="7"/>
  <c r="E415" i="7"/>
  <c r="D415" i="7"/>
  <c r="C415" i="7"/>
  <c r="B415" i="7"/>
  <c r="A415" i="7"/>
  <c r="F414" i="7"/>
  <c r="E414" i="7"/>
  <c r="D414" i="7"/>
  <c r="C414" i="7"/>
  <c r="B414" i="7"/>
  <c r="A414" i="7"/>
  <c r="F413" i="7"/>
  <c r="E413" i="7"/>
  <c r="D413" i="7"/>
  <c r="C413" i="7"/>
  <c r="B413" i="7"/>
  <c r="A413" i="7"/>
  <c r="F412" i="7"/>
  <c r="E412" i="7"/>
  <c r="D412" i="7"/>
  <c r="C412" i="7"/>
  <c r="B412" i="7"/>
  <c r="A412" i="7"/>
  <c r="F411" i="7"/>
  <c r="E411" i="7"/>
  <c r="D411" i="7"/>
  <c r="C411" i="7"/>
  <c r="B411" i="7"/>
  <c r="A411" i="7"/>
  <c r="F410" i="7"/>
  <c r="E410" i="7"/>
  <c r="D410" i="7"/>
  <c r="C410" i="7"/>
  <c r="B410" i="7"/>
  <c r="A410" i="7"/>
  <c r="F409" i="7"/>
  <c r="E409" i="7"/>
  <c r="D409" i="7"/>
  <c r="C409" i="7"/>
  <c r="B409" i="7"/>
  <c r="A409" i="7"/>
  <c r="F408" i="7"/>
  <c r="E408" i="7"/>
  <c r="D408" i="7"/>
  <c r="C408" i="7"/>
  <c r="B408" i="7"/>
  <c r="A408" i="7"/>
  <c r="F407" i="7"/>
  <c r="E407" i="7"/>
  <c r="D407" i="7"/>
  <c r="C407" i="7"/>
  <c r="B407" i="7"/>
  <c r="A407" i="7"/>
  <c r="F406" i="7"/>
  <c r="E406" i="7"/>
  <c r="D406" i="7"/>
  <c r="C406" i="7"/>
  <c r="B406" i="7"/>
  <c r="A406" i="7"/>
  <c r="F405" i="7"/>
  <c r="E405" i="7"/>
  <c r="D405" i="7"/>
  <c r="C405" i="7"/>
  <c r="B405" i="7"/>
  <c r="A405" i="7"/>
  <c r="F404" i="7"/>
  <c r="E404" i="7"/>
  <c r="D404" i="7"/>
  <c r="C404" i="7"/>
  <c r="B404" i="7"/>
  <c r="A404" i="7"/>
  <c r="F403" i="7"/>
  <c r="E403" i="7"/>
  <c r="D403" i="7"/>
  <c r="C403" i="7"/>
  <c r="B403" i="7"/>
  <c r="A403" i="7"/>
  <c r="F402" i="7"/>
  <c r="E402" i="7"/>
  <c r="D402" i="7"/>
  <c r="C402" i="7"/>
  <c r="B402" i="7"/>
  <c r="A402" i="7"/>
  <c r="F401" i="7"/>
  <c r="E401" i="7"/>
  <c r="D401" i="7"/>
  <c r="C401" i="7"/>
  <c r="B401" i="7"/>
  <c r="A401" i="7"/>
  <c r="F400" i="7"/>
  <c r="E400" i="7"/>
  <c r="D400" i="7"/>
  <c r="C400" i="7"/>
  <c r="B400" i="7"/>
  <c r="A400" i="7"/>
  <c r="F399" i="7"/>
  <c r="E399" i="7"/>
  <c r="D399" i="7"/>
  <c r="C399" i="7"/>
  <c r="B399" i="7"/>
  <c r="A399" i="7"/>
  <c r="F398" i="7"/>
  <c r="E398" i="7"/>
  <c r="D398" i="7"/>
  <c r="C398" i="7"/>
  <c r="B398" i="7"/>
  <c r="A398" i="7"/>
  <c r="F397" i="7"/>
  <c r="E397" i="7"/>
  <c r="D397" i="7"/>
  <c r="C397" i="7"/>
  <c r="B397" i="7"/>
  <c r="A397" i="7"/>
  <c r="F396" i="7"/>
  <c r="E396" i="7"/>
  <c r="D396" i="7"/>
  <c r="C396" i="7"/>
  <c r="B396" i="7"/>
  <c r="A396" i="7"/>
  <c r="F395" i="7"/>
  <c r="E395" i="7"/>
  <c r="D395" i="7"/>
  <c r="C395" i="7"/>
  <c r="B395" i="7"/>
  <c r="A395" i="7"/>
  <c r="F394" i="7"/>
  <c r="E394" i="7"/>
  <c r="D394" i="7"/>
  <c r="C394" i="7"/>
  <c r="B394" i="7"/>
  <c r="A394" i="7"/>
  <c r="F393" i="7"/>
  <c r="E393" i="7"/>
  <c r="D393" i="7"/>
  <c r="C393" i="7"/>
  <c r="B393" i="7"/>
  <c r="A393" i="7"/>
  <c r="F392" i="7"/>
  <c r="E392" i="7"/>
  <c r="D392" i="7"/>
  <c r="C392" i="7"/>
  <c r="B392" i="7"/>
  <c r="A392" i="7"/>
  <c r="F391" i="7"/>
  <c r="E391" i="7"/>
  <c r="D391" i="7"/>
  <c r="C391" i="7"/>
  <c r="B391" i="7"/>
  <c r="A391" i="7"/>
  <c r="F390" i="7"/>
  <c r="E390" i="7"/>
  <c r="D390" i="7"/>
  <c r="C390" i="7"/>
  <c r="B390" i="7"/>
  <c r="A390" i="7"/>
  <c r="F389" i="7"/>
  <c r="E389" i="7"/>
  <c r="D389" i="7"/>
  <c r="C389" i="7"/>
  <c r="B389" i="7"/>
  <c r="A389" i="7"/>
  <c r="F388" i="7"/>
  <c r="E388" i="7"/>
  <c r="D388" i="7"/>
  <c r="C388" i="7"/>
  <c r="B388" i="7"/>
  <c r="A388" i="7"/>
  <c r="F387" i="7"/>
  <c r="E387" i="7"/>
  <c r="D387" i="7"/>
  <c r="C387" i="7"/>
  <c r="B387" i="7"/>
  <c r="A387" i="7"/>
  <c r="F386" i="7"/>
  <c r="E386" i="7"/>
  <c r="D386" i="7"/>
  <c r="C386" i="7"/>
  <c r="B386" i="7"/>
  <c r="A386" i="7"/>
  <c r="F385" i="7"/>
  <c r="E385" i="7"/>
  <c r="D385" i="7"/>
  <c r="C385" i="7"/>
  <c r="B385" i="7"/>
  <c r="A385" i="7"/>
  <c r="F384" i="7"/>
  <c r="E384" i="7"/>
  <c r="D384" i="7"/>
  <c r="C384" i="7"/>
  <c r="B384" i="7"/>
  <c r="A384" i="7"/>
  <c r="F383" i="7"/>
  <c r="E383" i="7"/>
  <c r="D383" i="7"/>
  <c r="C383" i="7"/>
  <c r="B383" i="7"/>
  <c r="A383" i="7"/>
  <c r="F382" i="7"/>
  <c r="E382" i="7"/>
  <c r="D382" i="7"/>
  <c r="C382" i="7"/>
  <c r="B382" i="7"/>
  <c r="A382" i="7"/>
  <c r="F381" i="7"/>
  <c r="E381" i="7"/>
  <c r="D381" i="7"/>
  <c r="C381" i="7"/>
  <c r="B381" i="7"/>
  <c r="A381" i="7"/>
  <c r="F380" i="7"/>
  <c r="E380" i="7"/>
  <c r="D380" i="7"/>
  <c r="C380" i="7"/>
  <c r="B380" i="7"/>
  <c r="A380" i="7"/>
  <c r="F379" i="7"/>
  <c r="E379" i="7"/>
  <c r="D379" i="7"/>
  <c r="C379" i="7"/>
  <c r="B379" i="7"/>
  <c r="A379" i="7"/>
  <c r="F378" i="7"/>
  <c r="E378" i="7"/>
  <c r="D378" i="7"/>
  <c r="C378" i="7"/>
  <c r="B378" i="7"/>
  <c r="A378" i="7"/>
  <c r="F377" i="7"/>
  <c r="E377" i="7"/>
  <c r="D377" i="7"/>
  <c r="C377" i="7"/>
  <c r="B377" i="7"/>
  <c r="A377" i="7"/>
  <c r="F376" i="7"/>
  <c r="E376" i="7"/>
  <c r="D376" i="7"/>
  <c r="C376" i="7"/>
  <c r="B376" i="7"/>
  <c r="A376" i="7"/>
  <c r="F375" i="7"/>
  <c r="E375" i="7"/>
  <c r="D375" i="7"/>
  <c r="C375" i="7"/>
  <c r="B375" i="7"/>
  <c r="A375" i="7"/>
  <c r="F374" i="7"/>
  <c r="E374" i="7"/>
  <c r="D374" i="7"/>
  <c r="C374" i="7"/>
  <c r="B374" i="7"/>
  <c r="A374" i="7"/>
  <c r="F373" i="7"/>
  <c r="E373" i="7"/>
  <c r="D373" i="7"/>
  <c r="C373" i="7"/>
  <c r="B373" i="7"/>
  <c r="A373" i="7"/>
  <c r="F372" i="7"/>
  <c r="E372" i="7"/>
  <c r="D372" i="7"/>
  <c r="C372" i="7"/>
  <c r="B372" i="7"/>
  <c r="A372" i="7"/>
  <c r="F371" i="7"/>
  <c r="E371" i="7"/>
  <c r="D371" i="7"/>
  <c r="C371" i="7"/>
  <c r="B371" i="7"/>
  <c r="A371" i="7"/>
  <c r="F370" i="7"/>
  <c r="E370" i="7"/>
  <c r="D370" i="7"/>
  <c r="C370" i="7"/>
  <c r="B370" i="7"/>
  <c r="A370" i="7"/>
  <c r="F369" i="7"/>
  <c r="E369" i="7"/>
  <c r="D369" i="7"/>
  <c r="C369" i="7"/>
  <c r="B369" i="7"/>
  <c r="A369" i="7"/>
  <c r="F368" i="7"/>
  <c r="E368" i="7"/>
  <c r="D368" i="7"/>
  <c r="C368" i="7"/>
  <c r="B368" i="7"/>
  <c r="A368" i="7"/>
  <c r="F367" i="7"/>
  <c r="E367" i="7"/>
  <c r="D367" i="7"/>
  <c r="C367" i="7"/>
  <c r="B367" i="7"/>
  <c r="A367" i="7"/>
  <c r="F366" i="7"/>
  <c r="E366" i="7"/>
  <c r="D366" i="7"/>
  <c r="C366" i="7"/>
  <c r="B366" i="7"/>
  <c r="A366" i="7"/>
  <c r="F365" i="7"/>
  <c r="E365" i="7"/>
  <c r="D365" i="7"/>
  <c r="C365" i="7"/>
  <c r="B365" i="7"/>
  <c r="A365" i="7"/>
  <c r="F364" i="7"/>
  <c r="E364" i="7"/>
  <c r="D364" i="7"/>
  <c r="C364" i="7"/>
  <c r="B364" i="7"/>
  <c r="A364" i="7"/>
  <c r="F363" i="7"/>
  <c r="E363" i="7"/>
  <c r="D363" i="7"/>
  <c r="C363" i="7"/>
  <c r="B363" i="7"/>
  <c r="A363" i="7"/>
  <c r="F362" i="7"/>
  <c r="E362" i="7"/>
  <c r="D362" i="7"/>
  <c r="C362" i="7"/>
  <c r="B362" i="7"/>
  <c r="A362" i="7"/>
  <c r="F361" i="7"/>
  <c r="E361" i="7"/>
  <c r="D361" i="7"/>
  <c r="C361" i="7"/>
  <c r="B361" i="7"/>
  <c r="A361" i="7"/>
  <c r="F360" i="7"/>
  <c r="E360" i="7"/>
  <c r="D360" i="7"/>
  <c r="C360" i="7"/>
  <c r="B360" i="7"/>
  <c r="A360" i="7"/>
  <c r="F359" i="7"/>
  <c r="E359" i="7"/>
  <c r="D359" i="7"/>
  <c r="C359" i="7"/>
  <c r="B359" i="7"/>
  <c r="A359" i="7"/>
  <c r="F358" i="7"/>
  <c r="E358" i="7"/>
  <c r="D358" i="7"/>
  <c r="C358" i="7"/>
  <c r="B358" i="7"/>
  <c r="A358" i="7"/>
  <c r="F357" i="7"/>
  <c r="E357" i="7"/>
  <c r="D357" i="7"/>
  <c r="C357" i="7"/>
  <c r="B357" i="7"/>
  <c r="A357" i="7"/>
  <c r="F356" i="7"/>
  <c r="E356" i="7"/>
  <c r="D356" i="7"/>
  <c r="C356" i="7"/>
  <c r="B356" i="7"/>
  <c r="A356" i="7"/>
  <c r="F355" i="7"/>
  <c r="E355" i="7"/>
  <c r="D355" i="7"/>
  <c r="C355" i="7"/>
  <c r="B355" i="7"/>
  <c r="A355" i="7"/>
  <c r="F354" i="7"/>
  <c r="E354" i="7"/>
  <c r="D354" i="7"/>
  <c r="C354" i="7"/>
  <c r="B354" i="7"/>
  <c r="A354" i="7"/>
  <c r="F353" i="7"/>
  <c r="E353" i="7"/>
  <c r="D353" i="7"/>
  <c r="C353" i="7"/>
  <c r="B353" i="7"/>
  <c r="A353" i="7"/>
  <c r="F352" i="7"/>
  <c r="E352" i="7"/>
  <c r="D352" i="7"/>
  <c r="C352" i="7"/>
  <c r="B352" i="7"/>
  <c r="A352" i="7"/>
  <c r="F351" i="7"/>
  <c r="E351" i="7"/>
  <c r="D351" i="7"/>
  <c r="C351" i="7"/>
  <c r="B351" i="7"/>
  <c r="A351" i="7"/>
  <c r="F350" i="7"/>
  <c r="E350" i="7"/>
  <c r="D350" i="7"/>
  <c r="C350" i="7"/>
  <c r="B350" i="7"/>
  <c r="A350" i="7"/>
  <c r="F349" i="7"/>
  <c r="E349" i="7"/>
  <c r="D349" i="7"/>
  <c r="C349" i="7"/>
  <c r="B349" i="7"/>
  <c r="A349" i="7"/>
  <c r="F348" i="7"/>
  <c r="E348" i="7"/>
  <c r="D348" i="7"/>
  <c r="C348" i="7"/>
  <c r="B348" i="7"/>
  <c r="A348" i="7"/>
  <c r="F347" i="7"/>
  <c r="E347" i="7"/>
  <c r="D347" i="7"/>
  <c r="C347" i="7"/>
  <c r="B347" i="7"/>
  <c r="A347" i="7"/>
  <c r="F346" i="7"/>
  <c r="E346" i="7"/>
  <c r="D346" i="7"/>
  <c r="C346" i="7"/>
  <c r="B346" i="7"/>
  <c r="A346" i="7"/>
  <c r="F345" i="7"/>
  <c r="E345" i="7"/>
  <c r="D345" i="7"/>
  <c r="C345" i="7"/>
  <c r="B345" i="7"/>
  <c r="A345" i="7"/>
  <c r="F344" i="7"/>
  <c r="E344" i="7"/>
  <c r="D344" i="7"/>
  <c r="C344" i="7"/>
  <c r="B344" i="7"/>
  <c r="A344" i="7"/>
  <c r="F343" i="7"/>
  <c r="E343" i="7"/>
  <c r="D343" i="7"/>
  <c r="C343" i="7"/>
  <c r="B343" i="7"/>
  <c r="A343" i="7"/>
  <c r="F342" i="7"/>
  <c r="E342" i="7"/>
  <c r="D342" i="7"/>
  <c r="C342" i="7"/>
  <c r="B342" i="7"/>
  <c r="A342" i="7"/>
  <c r="F341" i="7"/>
  <c r="E341" i="7"/>
  <c r="D341" i="7"/>
  <c r="C341" i="7"/>
  <c r="B341" i="7"/>
  <c r="A341" i="7"/>
  <c r="F340" i="7"/>
  <c r="E340" i="7"/>
  <c r="D340" i="7"/>
  <c r="C340" i="7"/>
  <c r="B340" i="7"/>
  <c r="A340" i="7"/>
  <c r="F339" i="7"/>
  <c r="E339" i="7"/>
  <c r="D339" i="7"/>
  <c r="C339" i="7"/>
  <c r="B339" i="7"/>
  <c r="A339" i="7"/>
  <c r="F338" i="7"/>
  <c r="E338" i="7"/>
  <c r="D338" i="7"/>
  <c r="C338" i="7"/>
  <c r="B338" i="7"/>
  <c r="A338" i="7"/>
  <c r="F337" i="7"/>
  <c r="E337" i="7"/>
  <c r="D337" i="7"/>
  <c r="C337" i="7"/>
  <c r="B337" i="7"/>
  <c r="A337" i="7"/>
  <c r="F336" i="7"/>
  <c r="E336" i="7"/>
  <c r="D336" i="7"/>
  <c r="C336" i="7"/>
  <c r="B336" i="7"/>
  <c r="A336" i="7"/>
  <c r="F335" i="7"/>
  <c r="E335" i="7"/>
  <c r="D335" i="7"/>
  <c r="C335" i="7"/>
  <c r="B335" i="7"/>
  <c r="A335" i="7"/>
  <c r="F334" i="7"/>
  <c r="E334" i="7"/>
  <c r="D334" i="7"/>
  <c r="C334" i="7"/>
  <c r="B334" i="7"/>
  <c r="A334" i="7"/>
  <c r="F333" i="7"/>
  <c r="E333" i="7"/>
  <c r="D333" i="7"/>
  <c r="C333" i="7"/>
  <c r="B333" i="7"/>
  <c r="A333" i="7"/>
  <c r="F332" i="7"/>
  <c r="E332" i="7"/>
  <c r="D332" i="7"/>
  <c r="C332" i="7"/>
  <c r="B332" i="7"/>
  <c r="A332" i="7"/>
  <c r="F331" i="7"/>
  <c r="E331" i="7"/>
  <c r="D331" i="7"/>
  <c r="C331" i="7"/>
  <c r="B331" i="7"/>
  <c r="A331" i="7"/>
  <c r="F330" i="7"/>
  <c r="E330" i="7"/>
  <c r="D330" i="7"/>
  <c r="C330" i="7"/>
  <c r="B330" i="7"/>
  <c r="A330" i="7"/>
  <c r="F329" i="7"/>
  <c r="E329" i="7"/>
  <c r="D329" i="7"/>
  <c r="C329" i="7"/>
  <c r="B329" i="7"/>
  <c r="A329" i="7"/>
  <c r="F328" i="7"/>
  <c r="E328" i="7"/>
  <c r="D328" i="7"/>
  <c r="C328" i="7"/>
  <c r="B328" i="7"/>
  <c r="A328" i="7"/>
  <c r="F327" i="7"/>
  <c r="E327" i="7"/>
  <c r="D327" i="7"/>
  <c r="C327" i="7"/>
  <c r="B327" i="7"/>
  <c r="A327" i="7"/>
  <c r="F326" i="7"/>
  <c r="E326" i="7"/>
  <c r="D326" i="7"/>
  <c r="C326" i="7"/>
  <c r="B326" i="7"/>
  <c r="A326" i="7"/>
  <c r="F325" i="7"/>
  <c r="E325" i="7"/>
  <c r="D325" i="7"/>
  <c r="C325" i="7"/>
  <c r="B325" i="7"/>
  <c r="A325" i="7"/>
  <c r="F324" i="7"/>
  <c r="E324" i="7"/>
  <c r="D324" i="7"/>
  <c r="C324" i="7"/>
  <c r="B324" i="7"/>
  <c r="A324" i="7"/>
  <c r="F323" i="7"/>
  <c r="E323" i="7"/>
  <c r="D323" i="7"/>
  <c r="C323" i="7"/>
  <c r="B323" i="7"/>
  <c r="A323" i="7"/>
  <c r="F322" i="7"/>
  <c r="E322" i="7"/>
  <c r="D322" i="7"/>
  <c r="C322" i="7"/>
  <c r="B322" i="7"/>
  <c r="A322" i="7"/>
  <c r="F321" i="7"/>
  <c r="E321" i="7"/>
  <c r="D321" i="7"/>
  <c r="C321" i="7"/>
  <c r="B321" i="7"/>
  <c r="A321" i="7"/>
  <c r="F320" i="7"/>
  <c r="E320" i="7"/>
  <c r="D320" i="7"/>
  <c r="C320" i="7"/>
  <c r="B320" i="7"/>
  <c r="A320" i="7"/>
  <c r="F319" i="7"/>
  <c r="E319" i="7"/>
  <c r="D319" i="7"/>
  <c r="C319" i="7"/>
  <c r="B319" i="7"/>
  <c r="A319" i="7"/>
  <c r="F318" i="7"/>
  <c r="E318" i="7"/>
  <c r="D318" i="7"/>
  <c r="C318" i="7"/>
  <c r="B318" i="7"/>
  <c r="A318" i="7"/>
  <c r="F317" i="7"/>
  <c r="E317" i="7"/>
  <c r="D317" i="7"/>
  <c r="C317" i="7"/>
  <c r="B317" i="7"/>
  <c r="A317" i="7"/>
  <c r="F316" i="7"/>
  <c r="E316" i="7"/>
  <c r="D316" i="7"/>
  <c r="C316" i="7"/>
  <c r="B316" i="7"/>
  <c r="A316" i="7"/>
  <c r="F315" i="7"/>
  <c r="E315" i="7"/>
  <c r="D315" i="7"/>
  <c r="C315" i="7"/>
  <c r="B315" i="7"/>
  <c r="A315" i="7"/>
  <c r="F314" i="7"/>
  <c r="E314" i="7"/>
  <c r="D314" i="7"/>
  <c r="C314" i="7"/>
  <c r="B314" i="7"/>
  <c r="A314" i="7"/>
  <c r="F313" i="7"/>
  <c r="E313" i="7"/>
  <c r="D313" i="7"/>
  <c r="C313" i="7"/>
  <c r="B313" i="7"/>
  <c r="A313" i="7"/>
  <c r="F312" i="7"/>
  <c r="E312" i="7"/>
  <c r="D312" i="7"/>
  <c r="C312" i="7"/>
  <c r="B312" i="7"/>
  <c r="A312" i="7"/>
  <c r="F311" i="7"/>
  <c r="E311" i="7"/>
  <c r="D311" i="7"/>
  <c r="C311" i="7"/>
  <c r="B311" i="7"/>
  <c r="A311" i="7"/>
  <c r="F310" i="7"/>
  <c r="E310" i="7"/>
  <c r="D310" i="7"/>
  <c r="C310" i="7"/>
  <c r="B310" i="7"/>
  <c r="A310" i="7"/>
  <c r="F309" i="7"/>
  <c r="E309" i="7"/>
  <c r="D309" i="7"/>
  <c r="C309" i="7"/>
  <c r="B309" i="7"/>
  <c r="A309" i="7"/>
  <c r="F308" i="7"/>
  <c r="E308" i="7"/>
  <c r="D308" i="7"/>
  <c r="C308" i="7"/>
  <c r="B308" i="7"/>
  <c r="A308" i="7"/>
  <c r="F307" i="7"/>
  <c r="E307" i="7"/>
  <c r="D307" i="7"/>
  <c r="C307" i="7"/>
  <c r="B307" i="7"/>
  <c r="A307" i="7"/>
  <c r="F306" i="7"/>
  <c r="E306" i="7"/>
  <c r="D306" i="7"/>
  <c r="C306" i="7"/>
  <c r="B306" i="7"/>
  <c r="A306" i="7"/>
  <c r="F305" i="7"/>
  <c r="E305" i="7"/>
  <c r="D305" i="7"/>
  <c r="C305" i="7"/>
  <c r="B305" i="7"/>
  <c r="A305" i="7"/>
  <c r="F304" i="7"/>
  <c r="E304" i="7"/>
  <c r="D304" i="7"/>
  <c r="C304" i="7"/>
  <c r="B304" i="7"/>
  <c r="A304" i="7"/>
  <c r="F303" i="7"/>
  <c r="E303" i="7"/>
  <c r="D303" i="7"/>
  <c r="C303" i="7"/>
  <c r="B303" i="7"/>
  <c r="A303" i="7"/>
  <c r="F302" i="7"/>
  <c r="E302" i="7"/>
  <c r="D302" i="7"/>
  <c r="C302" i="7"/>
  <c r="B302" i="7"/>
  <c r="A302" i="7"/>
  <c r="F301" i="7"/>
  <c r="E301" i="7"/>
  <c r="D301" i="7"/>
  <c r="C301" i="7"/>
  <c r="B301" i="7"/>
  <c r="A301" i="7"/>
  <c r="F300" i="7"/>
  <c r="E300" i="7"/>
  <c r="D300" i="7"/>
  <c r="C300" i="7"/>
  <c r="B300" i="7"/>
  <c r="A300" i="7"/>
  <c r="F299" i="7"/>
  <c r="E299" i="7"/>
  <c r="D299" i="7"/>
  <c r="C299" i="7"/>
  <c r="B299" i="7"/>
  <c r="A299" i="7"/>
  <c r="F298" i="7"/>
  <c r="E298" i="7"/>
  <c r="D298" i="7"/>
  <c r="C298" i="7"/>
  <c r="B298" i="7"/>
  <c r="A298" i="7"/>
  <c r="F297" i="7"/>
  <c r="E297" i="7"/>
  <c r="D297" i="7"/>
  <c r="C297" i="7"/>
  <c r="B297" i="7"/>
  <c r="A297" i="7"/>
  <c r="F296" i="7"/>
  <c r="E296" i="7"/>
  <c r="D296" i="7"/>
  <c r="C296" i="7"/>
  <c r="B296" i="7"/>
  <c r="A296" i="7"/>
  <c r="F295" i="7"/>
  <c r="E295" i="7"/>
  <c r="D295" i="7"/>
  <c r="C295" i="7"/>
  <c r="B295" i="7"/>
  <c r="A295" i="7"/>
  <c r="F294" i="7"/>
  <c r="E294" i="7"/>
  <c r="D294" i="7"/>
  <c r="C294" i="7"/>
  <c r="B294" i="7"/>
  <c r="A294" i="7"/>
  <c r="F293" i="7"/>
  <c r="E293" i="7"/>
  <c r="D293" i="7"/>
  <c r="C293" i="7"/>
  <c r="B293" i="7"/>
  <c r="A293" i="7"/>
  <c r="F292" i="7"/>
  <c r="E292" i="7"/>
  <c r="D292" i="7"/>
  <c r="C292" i="7"/>
  <c r="B292" i="7"/>
  <c r="A292" i="7"/>
  <c r="F291" i="7"/>
  <c r="E291" i="7"/>
  <c r="D291" i="7"/>
  <c r="C291" i="7"/>
  <c r="B291" i="7"/>
  <c r="A291" i="7"/>
  <c r="F290" i="7"/>
  <c r="E290" i="7"/>
  <c r="D290" i="7"/>
  <c r="C290" i="7"/>
  <c r="B290" i="7"/>
  <c r="A290" i="7"/>
  <c r="F289" i="7"/>
  <c r="E289" i="7"/>
  <c r="D289" i="7"/>
  <c r="C289" i="7"/>
  <c r="B289" i="7"/>
  <c r="A289" i="7"/>
  <c r="F288" i="7"/>
  <c r="E288" i="7"/>
  <c r="D288" i="7"/>
  <c r="C288" i="7"/>
  <c r="B288" i="7"/>
  <c r="A288" i="7"/>
  <c r="F287" i="7"/>
  <c r="E287" i="7"/>
  <c r="D287" i="7"/>
  <c r="C287" i="7"/>
  <c r="B287" i="7"/>
  <c r="A287" i="7"/>
  <c r="F286" i="7"/>
  <c r="E286" i="7"/>
  <c r="D286" i="7"/>
  <c r="C286" i="7"/>
  <c r="B286" i="7"/>
  <c r="A286" i="7"/>
  <c r="F285" i="7"/>
  <c r="E285" i="7"/>
  <c r="D285" i="7"/>
  <c r="C285" i="7"/>
  <c r="B285" i="7"/>
  <c r="A285" i="7"/>
  <c r="F284" i="7"/>
  <c r="E284" i="7"/>
  <c r="D284" i="7"/>
  <c r="C284" i="7"/>
  <c r="B284" i="7"/>
  <c r="A284" i="7"/>
  <c r="F283" i="7"/>
  <c r="E283" i="7"/>
  <c r="D283" i="7"/>
  <c r="C283" i="7"/>
  <c r="B283" i="7"/>
  <c r="A283" i="7"/>
  <c r="F282" i="7"/>
  <c r="E282" i="7"/>
  <c r="D282" i="7"/>
  <c r="C282" i="7"/>
  <c r="B282" i="7"/>
  <c r="A282" i="7"/>
  <c r="F281" i="7"/>
  <c r="E281" i="7"/>
  <c r="D281" i="7"/>
  <c r="C281" i="7"/>
  <c r="B281" i="7"/>
  <c r="A281" i="7"/>
  <c r="F280" i="7"/>
  <c r="E280" i="7"/>
  <c r="D280" i="7"/>
  <c r="C280" i="7"/>
  <c r="B280" i="7"/>
  <c r="A280" i="7"/>
  <c r="F279" i="7"/>
  <c r="E279" i="7"/>
  <c r="D279" i="7"/>
  <c r="C279" i="7"/>
  <c r="B279" i="7"/>
  <c r="A279" i="7"/>
  <c r="F278" i="7"/>
  <c r="E278" i="7"/>
  <c r="D278" i="7"/>
  <c r="C278" i="7"/>
  <c r="B278" i="7"/>
  <c r="A278" i="7"/>
  <c r="F277" i="7"/>
  <c r="E277" i="7"/>
  <c r="D277" i="7"/>
  <c r="C277" i="7"/>
  <c r="B277" i="7"/>
  <c r="A277" i="7"/>
  <c r="F276" i="7"/>
  <c r="E276" i="7"/>
  <c r="D276" i="7"/>
  <c r="C276" i="7"/>
  <c r="B276" i="7"/>
  <c r="A276" i="7"/>
  <c r="F275" i="7"/>
  <c r="E275" i="7"/>
  <c r="D275" i="7"/>
  <c r="C275" i="7"/>
  <c r="B275" i="7"/>
  <c r="A275" i="7"/>
  <c r="F274" i="7"/>
  <c r="E274" i="7"/>
  <c r="D274" i="7"/>
  <c r="C274" i="7"/>
  <c r="B274" i="7"/>
  <c r="A274" i="7"/>
  <c r="F273" i="7"/>
  <c r="E273" i="7"/>
  <c r="D273" i="7"/>
  <c r="C273" i="7"/>
  <c r="B273" i="7"/>
  <c r="A273" i="7"/>
  <c r="F272" i="7"/>
  <c r="E272" i="7"/>
  <c r="D272" i="7"/>
  <c r="C272" i="7"/>
  <c r="B272" i="7"/>
  <c r="A272" i="7"/>
  <c r="F271" i="7"/>
  <c r="E271" i="7"/>
  <c r="D271" i="7"/>
  <c r="C271" i="7"/>
  <c r="B271" i="7"/>
  <c r="A271" i="7"/>
  <c r="F270" i="7"/>
  <c r="E270" i="7"/>
  <c r="D270" i="7"/>
  <c r="C270" i="7"/>
  <c r="B270" i="7"/>
  <c r="A270" i="7"/>
  <c r="F269" i="7"/>
  <c r="E269" i="7"/>
  <c r="D269" i="7"/>
  <c r="C269" i="7"/>
  <c r="B269" i="7"/>
  <c r="A269" i="7"/>
  <c r="F268" i="7"/>
  <c r="E268" i="7"/>
  <c r="D268" i="7"/>
  <c r="C268" i="7"/>
  <c r="B268" i="7"/>
  <c r="A268" i="7"/>
  <c r="F267" i="7"/>
  <c r="E267" i="7"/>
  <c r="D267" i="7"/>
  <c r="C267" i="7"/>
  <c r="B267" i="7"/>
  <c r="A267" i="7"/>
  <c r="F266" i="7"/>
  <c r="E266" i="7"/>
  <c r="D266" i="7"/>
  <c r="C266" i="7"/>
  <c r="B266" i="7"/>
  <c r="A266" i="7"/>
  <c r="F265" i="7"/>
  <c r="E265" i="7"/>
  <c r="D265" i="7"/>
  <c r="C265" i="7"/>
  <c r="B265" i="7"/>
  <c r="A265" i="7"/>
  <c r="F264" i="7"/>
  <c r="E264" i="7"/>
  <c r="D264" i="7"/>
  <c r="C264" i="7"/>
  <c r="B264" i="7"/>
  <c r="A264" i="7"/>
  <c r="F263" i="7"/>
  <c r="E263" i="7"/>
  <c r="D263" i="7"/>
  <c r="C263" i="7"/>
  <c r="B263" i="7"/>
  <c r="A263" i="7"/>
  <c r="F262" i="7"/>
  <c r="E262" i="7"/>
  <c r="D262" i="7"/>
  <c r="C262" i="7"/>
  <c r="B262" i="7"/>
  <c r="A262" i="7"/>
  <c r="F261" i="7"/>
  <c r="E261" i="7"/>
  <c r="D261" i="7"/>
  <c r="C261" i="7"/>
  <c r="B261" i="7"/>
  <c r="A261" i="7"/>
  <c r="F260" i="7"/>
  <c r="E260" i="7"/>
  <c r="D260" i="7"/>
  <c r="C260" i="7"/>
  <c r="B260" i="7"/>
  <c r="A260" i="7"/>
  <c r="F259" i="7"/>
  <c r="E259" i="7"/>
  <c r="D259" i="7"/>
  <c r="C259" i="7"/>
  <c r="B259" i="7"/>
  <c r="A259" i="7"/>
  <c r="F258" i="7"/>
  <c r="E258" i="7"/>
  <c r="D258" i="7"/>
  <c r="C258" i="7"/>
  <c r="B258" i="7"/>
  <c r="A258" i="7"/>
  <c r="F257" i="7"/>
  <c r="E257" i="7"/>
  <c r="D257" i="7"/>
  <c r="C257" i="7"/>
  <c r="B257" i="7"/>
  <c r="A257" i="7"/>
  <c r="F256" i="7"/>
  <c r="E256" i="7"/>
  <c r="D256" i="7"/>
  <c r="C256" i="7"/>
  <c r="B256" i="7"/>
  <c r="A256" i="7"/>
  <c r="F255" i="7"/>
  <c r="E255" i="7"/>
  <c r="D255" i="7"/>
  <c r="C255" i="7"/>
  <c r="B255" i="7"/>
  <c r="A255" i="7"/>
  <c r="F254" i="7"/>
  <c r="E254" i="7"/>
  <c r="D254" i="7"/>
  <c r="C254" i="7"/>
  <c r="B254" i="7"/>
  <c r="A254" i="7"/>
  <c r="F253" i="7"/>
  <c r="E253" i="7"/>
  <c r="D253" i="7"/>
  <c r="C253" i="7"/>
  <c r="B253" i="7"/>
  <c r="A253" i="7"/>
  <c r="F252" i="7"/>
  <c r="E252" i="7"/>
  <c r="D252" i="7"/>
  <c r="C252" i="7"/>
  <c r="B252" i="7"/>
  <c r="A252" i="7"/>
  <c r="F251" i="7"/>
  <c r="E251" i="7"/>
  <c r="D251" i="7"/>
  <c r="C251" i="7"/>
  <c r="B251" i="7"/>
  <c r="A251" i="7"/>
  <c r="F250" i="7"/>
  <c r="E250" i="7"/>
  <c r="D250" i="7"/>
  <c r="C250" i="7"/>
  <c r="B250" i="7"/>
  <c r="A250" i="7"/>
  <c r="F249" i="7"/>
  <c r="E249" i="7"/>
  <c r="D249" i="7"/>
  <c r="C249" i="7"/>
  <c r="B249" i="7"/>
  <c r="A249" i="7"/>
  <c r="F248" i="7"/>
  <c r="E248" i="7"/>
  <c r="D248" i="7"/>
  <c r="C248" i="7"/>
  <c r="B248" i="7"/>
  <c r="A248" i="7"/>
  <c r="F247" i="7"/>
  <c r="E247" i="7"/>
  <c r="D247" i="7"/>
  <c r="C247" i="7"/>
  <c r="B247" i="7"/>
  <c r="A247" i="7"/>
  <c r="F246" i="7"/>
  <c r="E246" i="7"/>
  <c r="D246" i="7"/>
  <c r="C246" i="7"/>
  <c r="B246" i="7"/>
  <c r="A246" i="7"/>
  <c r="F245" i="7"/>
  <c r="E245" i="7"/>
  <c r="D245" i="7"/>
  <c r="C245" i="7"/>
  <c r="B245" i="7"/>
  <c r="A245" i="7"/>
  <c r="F244" i="7"/>
  <c r="E244" i="7"/>
  <c r="D244" i="7"/>
  <c r="C244" i="7"/>
  <c r="B244" i="7"/>
  <c r="A244" i="7"/>
  <c r="F243" i="7"/>
  <c r="E243" i="7"/>
  <c r="D243" i="7"/>
  <c r="C243" i="7"/>
  <c r="B243" i="7"/>
  <c r="A243" i="7"/>
  <c r="F242" i="7"/>
  <c r="E242" i="7"/>
  <c r="D242" i="7"/>
  <c r="C242" i="7"/>
  <c r="B242" i="7"/>
  <c r="A242" i="7"/>
  <c r="F241" i="7"/>
  <c r="E241" i="7"/>
  <c r="D241" i="7"/>
  <c r="C241" i="7"/>
  <c r="B241" i="7"/>
  <c r="A241" i="7"/>
  <c r="F240" i="7"/>
  <c r="E240" i="7"/>
  <c r="D240" i="7"/>
  <c r="C240" i="7"/>
  <c r="B240" i="7"/>
  <c r="A240" i="7"/>
  <c r="F239" i="7"/>
  <c r="E239" i="7"/>
  <c r="D239" i="7"/>
  <c r="C239" i="7"/>
  <c r="B239" i="7"/>
  <c r="A239" i="7"/>
  <c r="F238" i="7"/>
  <c r="E238" i="7"/>
  <c r="D238" i="7"/>
  <c r="C238" i="7"/>
  <c r="B238" i="7"/>
  <c r="A238" i="7"/>
  <c r="F237" i="7"/>
  <c r="E237" i="7"/>
  <c r="D237" i="7"/>
  <c r="C237" i="7"/>
  <c r="B237" i="7"/>
  <c r="A237" i="7"/>
  <c r="F236" i="7"/>
  <c r="E236" i="7"/>
  <c r="D236" i="7"/>
  <c r="C236" i="7"/>
  <c r="B236" i="7"/>
  <c r="A236" i="7"/>
  <c r="F235" i="7"/>
  <c r="E235" i="7"/>
  <c r="D235" i="7"/>
  <c r="C235" i="7"/>
  <c r="B235" i="7"/>
  <c r="A235" i="7"/>
  <c r="F234" i="7"/>
  <c r="E234" i="7"/>
  <c r="D234" i="7"/>
  <c r="C234" i="7"/>
  <c r="B234" i="7"/>
  <c r="A234" i="7"/>
  <c r="F233" i="7"/>
  <c r="E233" i="7"/>
  <c r="D233" i="7"/>
  <c r="C233" i="7"/>
  <c r="B233" i="7"/>
  <c r="A233" i="7"/>
  <c r="F232" i="7"/>
  <c r="E232" i="7"/>
  <c r="D232" i="7"/>
  <c r="C232" i="7"/>
  <c r="B232" i="7"/>
  <c r="A232" i="7"/>
  <c r="F231" i="7"/>
  <c r="E231" i="7"/>
  <c r="D231" i="7"/>
  <c r="C231" i="7"/>
  <c r="B231" i="7"/>
  <c r="A231" i="7"/>
  <c r="F230" i="7"/>
  <c r="E230" i="7"/>
  <c r="D230" i="7"/>
  <c r="C230" i="7"/>
  <c r="B230" i="7"/>
  <c r="A230" i="7"/>
  <c r="F229" i="7"/>
  <c r="E229" i="7"/>
  <c r="D229" i="7"/>
  <c r="C229" i="7"/>
  <c r="B229" i="7"/>
  <c r="A229" i="7"/>
  <c r="F228" i="7"/>
  <c r="E228" i="7"/>
  <c r="D228" i="7"/>
  <c r="C228" i="7"/>
  <c r="B228" i="7"/>
  <c r="A228" i="7"/>
  <c r="F227" i="7"/>
  <c r="E227" i="7"/>
  <c r="D227" i="7"/>
  <c r="C227" i="7"/>
  <c r="B227" i="7"/>
  <c r="A227" i="7"/>
  <c r="F226" i="7"/>
  <c r="E226" i="7"/>
  <c r="D226" i="7"/>
  <c r="C226" i="7"/>
  <c r="B226" i="7"/>
  <c r="A226" i="7"/>
  <c r="F225" i="7"/>
  <c r="E225" i="7"/>
  <c r="D225" i="7"/>
  <c r="C225" i="7"/>
  <c r="B225" i="7"/>
  <c r="A225" i="7"/>
  <c r="F224" i="7"/>
  <c r="E224" i="7"/>
  <c r="D224" i="7"/>
  <c r="C224" i="7"/>
  <c r="B224" i="7"/>
  <c r="A224" i="7"/>
  <c r="F223" i="7"/>
  <c r="E223" i="7"/>
  <c r="D223" i="7"/>
  <c r="C223" i="7"/>
  <c r="B223" i="7"/>
  <c r="A223" i="7"/>
  <c r="F222" i="7"/>
  <c r="E222" i="7"/>
  <c r="D222" i="7"/>
  <c r="C222" i="7"/>
  <c r="B222" i="7"/>
  <c r="A222" i="7"/>
  <c r="F221" i="7"/>
  <c r="E221" i="7"/>
  <c r="D221" i="7"/>
  <c r="C221" i="7"/>
  <c r="B221" i="7"/>
  <c r="A221" i="7"/>
  <c r="F220" i="7"/>
  <c r="E220" i="7"/>
  <c r="D220" i="7"/>
  <c r="C220" i="7"/>
  <c r="B220" i="7"/>
  <c r="A220" i="7"/>
  <c r="F219" i="7"/>
  <c r="E219" i="7"/>
  <c r="D219" i="7"/>
  <c r="C219" i="7"/>
  <c r="B219" i="7"/>
  <c r="A219" i="7"/>
  <c r="F218" i="7"/>
  <c r="E218" i="7"/>
  <c r="D218" i="7"/>
  <c r="C218" i="7"/>
  <c r="B218" i="7"/>
  <c r="A218" i="7"/>
  <c r="F217" i="7"/>
  <c r="E217" i="7"/>
  <c r="D217" i="7"/>
  <c r="C217" i="7"/>
  <c r="B217" i="7"/>
  <c r="A217" i="7"/>
  <c r="F216" i="7"/>
  <c r="E216" i="7"/>
  <c r="D216" i="7"/>
  <c r="C216" i="7"/>
  <c r="B216" i="7"/>
  <c r="A216" i="7"/>
  <c r="F215" i="7"/>
  <c r="E215" i="7"/>
  <c r="D215" i="7"/>
  <c r="C215" i="7"/>
  <c r="B215" i="7"/>
  <c r="A215" i="7"/>
  <c r="F214" i="7"/>
  <c r="E214" i="7"/>
  <c r="D214" i="7"/>
  <c r="C214" i="7"/>
  <c r="B214" i="7"/>
  <c r="A214" i="7"/>
  <c r="F213" i="7"/>
  <c r="E213" i="7"/>
  <c r="D213" i="7"/>
  <c r="C213" i="7"/>
  <c r="B213" i="7"/>
  <c r="A213" i="7"/>
  <c r="F212" i="7"/>
  <c r="E212" i="7"/>
  <c r="D212" i="7"/>
  <c r="C212" i="7"/>
  <c r="B212" i="7"/>
  <c r="A212" i="7"/>
  <c r="F211" i="7"/>
  <c r="E211" i="7"/>
  <c r="D211" i="7"/>
  <c r="C211" i="7"/>
  <c r="B211" i="7"/>
  <c r="A211" i="7"/>
  <c r="F210" i="7"/>
  <c r="E210" i="7"/>
  <c r="D210" i="7"/>
  <c r="C210" i="7"/>
  <c r="B210" i="7"/>
  <c r="A210" i="7"/>
  <c r="F209" i="7"/>
  <c r="E209" i="7"/>
  <c r="D209" i="7"/>
  <c r="C209" i="7"/>
  <c r="B209" i="7"/>
  <c r="A209" i="7"/>
  <c r="F208" i="7"/>
  <c r="E208" i="7"/>
  <c r="D208" i="7"/>
  <c r="C208" i="7"/>
  <c r="B208" i="7"/>
  <c r="A208" i="7"/>
  <c r="F207" i="7"/>
  <c r="E207" i="7"/>
  <c r="D207" i="7"/>
  <c r="C207" i="7"/>
  <c r="B207" i="7"/>
  <c r="A207" i="7"/>
  <c r="F206" i="7"/>
  <c r="E206" i="7"/>
  <c r="D206" i="7"/>
  <c r="C206" i="7"/>
  <c r="B206" i="7"/>
  <c r="A206" i="7"/>
  <c r="F205" i="7"/>
  <c r="E205" i="7"/>
  <c r="D205" i="7"/>
  <c r="C205" i="7"/>
  <c r="B205" i="7"/>
  <c r="A205" i="7"/>
  <c r="F204" i="7"/>
  <c r="E204" i="7"/>
  <c r="D204" i="7"/>
  <c r="C204" i="7"/>
  <c r="B204" i="7"/>
  <c r="A204" i="7"/>
  <c r="F203" i="7"/>
  <c r="E203" i="7"/>
  <c r="D203" i="7"/>
  <c r="C203" i="7"/>
  <c r="B203" i="7"/>
  <c r="A203" i="7"/>
  <c r="F202" i="7"/>
  <c r="E202" i="7"/>
  <c r="D202" i="7"/>
  <c r="C202" i="7"/>
  <c r="B202" i="7"/>
  <c r="A202" i="7"/>
  <c r="F201" i="7"/>
  <c r="E201" i="7"/>
  <c r="D201" i="7"/>
  <c r="C201" i="7"/>
  <c r="B201" i="7"/>
  <c r="A201" i="7"/>
  <c r="F200" i="7"/>
  <c r="E200" i="7"/>
  <c r="D200" i="7"/>
  <c r="C200" i="7"/>
  <c r="B200" i="7"/>
  <c r="A200" i="7"/>
  <c r="F199" i="7"/>
  <c r="E199" i="7"/>
  <c r="D199" i="7"/>
  <c r="C199" i="7"/>
  <c r="B199" i="7"/>
  <c r="A199" i="7"/>
  <c r="F198" i="7"/>
  <c r="E198" i="7"/>
  <c r="D198" i="7"/>
  <c r="C198" i="7"/>
  <c r="B198" i="7"/>
  <c r="A198" i="7"/>
  <c r="F197" i="7"/>
  <c r="E197" i="7"/>
  <c r="D197" i="7"/>
  <c r="C197" i="7"/>
  <c r="B197" i="7"/>
  <c r="A197" i="7"/>
  <c r="F196" i="7"/>
  <c r="E196" i="7"/>
  <c r="D196" i="7"/>
  <c r="C196" i="7"/>
  <c r="B196" i="7"/>
  <c r="A196" i="7"/>
  <c r="F195" i="7"/>
  <c r="E195" i="7"/>
  <c r="D195" i="7"/>
  <c r="C195" i="7"/>
  <c r="B195" i="7"/>
  <c r="A195" i="7"/>
  <c r="F194" i="7"/>
  <c r="E194" i="7"/>
  <c r="D194" i="7"/>
  <c r="C194" i="7"/>
  <c r="B194" i="7"/>
  <c r="A194" i="7"/>
  <c r="F193" i="7"/>
  <c r="E193" i="7"/>
  <c r="D193" i="7"/>
  <c r="C193" i="7"/>
  <c r="B193" i="7"/>
  <c r="A193" i="7"/>
  <c r="F192" i="7"/>
  <c r="E192" i="7"/>
  <c r="D192" i="7"/>
  <c r="C192" i="7"/>
  <c r="B192" i="7"/>
  <c r="A192" i="7"/>
  <c r="F191" i="7"/>
  <c r="E191" i="7"/>
  <c r="D191" i="7"/>
  <c r="C191" i="7"/>
  <c r="B191" i="7"/>
  <c r="A191" i="7"/>
  <c r="F190" i="7"/>
  <c r="E190" i="7"/>
  <c r="D190" i="7"/>
  <c r="C190" i="7"/>
  <c r="B190" i="7"/>
  <c r="A190" i="7"/>
  <c r="F189" i="7"/>
  <c r="E189" i="7"/>
  <c r="D189" i="7"/>
  <c r="C189" i="7"/>
  <c r="B189" i="7"/>
  <c r="A189" i="7"/>
  <c r="F188" i="7"/>
  <c r="E188" i="7"/>
  <c r="D188" i="7"/>
  <c r="C188" i="7"/>
  <c r="B188" i="7"/>
  <c r="A188" i="7"/>
  <c r="F187" i="7"/>
  <c r="E187" i="7"/>
  <c r="D187" i="7"/>
  <c r="C187" i="7"/>
  <c r="B187" i="7"/>
  <c r="A187" i="7"/>
  <c r="F186" i="7"/>
  <c r="E186" i="7"/>
  <c r="D186" i="7"/>
  <c r="C186" i="7"/>
  <c r="B186" i="7"/>
  <c r="A186" i="7"/>
  <c r="F185" i="7"/>
  <c r="E185" i="7"/>
  <c r="D185" i="7"/>
  <c r="C185" i="7"/>
  <c r="B185" i="7"/>
  <c r="A185" i="7"/>
  <c r="F184" i="7"/>
  <c r="E184" i="7"/>
  <c r="D184" i="7"/>
  <c r="C184" i="7"/>
  <c r="B184" i="7"/>
  <c r="A184" i="7"/>
  <c r="F183" i="7"/>
  <c r="E183" i="7"/>
  <c r="D183" i="7"/>
  <c r="C183" i="7"/>
  <c r="B183" i="7"/>
  <c r="A183" i="7"/>
  <c r="F182" i="7"/>
  <c r="E182" i="7"/>
  <c r="D182" i="7"/>
  <c r="C182" i="7"/>
  <c r="B182" i="7"/>
  <c r="A182" i="7"/>
  <c r="F181" i="7"/>
  <c r="E181" i="7"/>
  <c r="D181" i="7"/>
  <c r="C181" i="7"/>
  <c r="B181" i="7"/>
  <c r="A181" i="7"/>
  <c r="F180" i="7"/>
  <c r="E180" i="7"/>
  <c r="D180" i="7"/>
  <c r="C180" i="7"/>
  <c r="B180" i="7"/>
  <c r="A180" i="7"/>
  <c r="F179" i="7"/>
  <c r="E179" i="7"/>
  <c r="D179" i="7"/>
  <c r="C179" i="7"/>
  <c r="B179" i="7"/>
  <c r="A179" i="7"/>
  <c r="F178" i="7"/>
  <c r="E178" i="7"/>
  <c r="D178" i="7"/>
  <c r="C178" i="7"/>
  <c r="B178" i="7"/>
  <c r="A178" i="7"/>
  <c r="F177" i="7"/>
  <c r="E177" i="7"/>
  <c r="D177" i="7"/>
  <c r="C177" i="7"/>
  <c r="B177" i="7"/>
  <c r="A177" i="7"/>
  <c r="F176" i="7"/>
  <c r="E176" i="7"/>
  <c r="D176" i="7"/>
  <c r="C176" i="7"/>
  <c r="B176" i="7"/>
  <c r="A176" i="7"/>
  <c r="F175" i="7"/>
  <c r="E175" i="7"/>
  <c r="D175" i="7"/>
  <c r="C175" i="7"/>
  <c r="B175" i="7"/>
  <c r="A175" i="7"/>
  <c r="F174" i="7"/>
  <c r="E174" i="7"/>
  <c r="D174" i="7"/>
  <c r="C174" i="7"/>
  <c r="B174" i="7"/>
  <c r="A174" i="7"/>
  <c r="F173" i="7"/>
  <c r="E173" i="7"/>
  <c r="D173" i="7"/>
  <c r="C173" i="7"/>
  <c r="B173" i="7"/>
  <c r="A173" i="7"/>
  <c r="F172" i="7"/>
  <c r="E172" i="7"/>
  <c r="D172" i="7"/>
  <c r="C172" i="7"/>
  <c r="B172" i="7"/>
  <c r="A172" i="7"/>
  <c r="F171" i="7"/>
  <c r="E171" i="7"/>
  <c r="D171" i="7"/>
  <c r="C171" i="7"/>
  <c r="B171" i="7"/>
  <c r="A171" i="7"/>
  <c r="F170" i="7"/>
  <c r="E170" i="7"/>
  <c r="D170" i="7"/>
  <c r="C170" i="7"/>
  <c r="B170" i="7"/>
  <c r="A170" i="7"/>
  <c r="F169" i="7"/>
  <c r="E169" i="7"/>
  <c r="D169" i="7"/>
  <c r="C169" i="7"/>
  <c r="B169" i="7"/>
  <c r="A169" i="7"/>
  <c r="J3504" i="1"/>
  <c r="G3504" i="1"/>
  <c r="J3503" i="1"/>
  <c r="G3503" i="1"/>
  <c r="J3502" i="1"/>
  <c r="G3502" i="1"/>
  <c r="J3501" i="1"/>
  <c r="G3501" i="1"/>
  <c r="J3500" i="1"/>
  <c r="G3500" i="1"/>
  <c r="J3499" i="1"/>
  <c r="G3499" i="1"/>
  <c r="J3498" i="1"/>
  <c r="G3498" i="1"/>
  <c r="J3497" i="1"/>
  <c r="G3497" i="1"/>
  <c r="J3496" i="1"/>
  <c r="G3496" i="1"/>
  <c r="J3495" i="1"/>
  <c r="G3495" i="1"/>
  <c r="J3494" i="1"/>
  <c r="G3494" i="1"/>
  <c r="J3493" i="1"/>
  <c r="G3493" i="1"/>
  <c r="J3492" i="1"/>
  <c r="G3492" i="1"/>
  <c r="J3491" i="1"/>
  <c r="G3491" i="1"/>
  <c r="J3490" i="1"/>
  <c r="G3490" i="1"/>
  <c r="J3489" i="1"/>
  <c r="G3489" i="1"/>
  <c r="J3488" i="1"/>
  <c r="G3488" i="1"/>
  <c r="J3487" i="1"/>
  <c r="G3487" i="1"/>
  <c r="J3486" i="1"/>
  <c r="G3486" i="1"/>
  <c r="J3485" i="1"/>
  <c r="G3485" i="1"/>
  <c r="J3484" i="1"/>
  <c r="G3484" i="1"/>
  <c r="J3483" i="1"/>
  <c r="G3483" i="1"/>
  <c r="J3482" i="1"/>
  <c r="G3482" i="1"/>
  <c r="J3481" i="1"/>
  <c r="G3481" i="1"/>
  <c r="J3480" i="1"/>
  <c r="G3480" i="1"/>
  <c r="J3479" i="1"/>
  <c r="G3479" i="1"/>
  <c r="J3478" i="1"/>
  <c r="G3478" i="1"/>
  <c r="J3477" i="1"/>
  <c r="G3477" i="1"/>
  <c r="J3476" i="1"/>
  <c r="G3476" i="1"/>
  <c r="J3475" i="1"/>
  <c r="G3475" i="1"/>
  <c r="J3474" i="1"/>
  <c r="G3474" i="1"/>
  <c r="J3473" i="1"/>
  <c r="G3473" i="1"/>
  <c r="J3472" i="1"/>
  <c r="G3472" i="1"/>
  <c r="J3471" i="1"/>
  <c r="G3471" i="1"/>
  <c r="J3470" i="1"/>
  <c r="G3470" i="1"/>
  <c r="J3469" i="1"/>
  <c r="G3469" i="1"/>
  <c r="J3468" i="1"/>
  <c r="G3468" i="1"/>
  <c r="J3467" i="1"/>
  <c r="G3467" i="1"/>
  <c r="J3466" i="1"/>
  <c r="G3466" i="1"/>
  <c r="J3465" i="1"/>
  <c r="G3465" i="1"/>
  <c r="J3464" i="1"/>
  <c r="G3464" i="1"/>
  <c r="J3463" i="1"/>
  <c r="G3463" i="1"/>
  <c r="J3462" i="1"/>
  <c r="G3462" i="1"/>
  <c r="J3461" i="1"/>
  <c r="G3461" i="1"/>
  <c r="J3460" i="1"/>
  <c r="G3460" i="1"/>
  <c r="J3459" i="1"/>
  <c r="G3459" i="1"/>
  <c r="J3458" i="1"/>
  <c r="G3458" i="1"/>
  <c r="J3457" i="1"/>
  <c r="G3457" i="1"/>
  <c r="J3456" i="1"/>
  <c r="G3456" i="1"/>
  <c r="J3455" i="1"/>
  <c r="G3455" i="1"/>
  <c r="J3454" i="1"/>
  <c r="G3454" i="1"/>
  <c r="J3453" i="1"/>
  <c r="G3453" i="1"/>
  <c r="J3452" i="1"/>
  <c r="G3452" i="1"/>
  <c r="J3451" i="1"/>
  <c r="G3451" i="1"/>
  <c r="J3450" i="1"/>
  <c r="G3450" i="1"/>
  <c r="J3449" i="1"/>
  <c r="G3449" i="1"/>
  <c r="J3448" i="1"/>
  <c r="G3448" i="1"/>
  <c r="J3447" i="1"/>
  <c r="G3447" i="1"/>
  <c r="J3446" i="1"/>
  <c r="G3446" i="1"/>
  <c r="J3445" i="1"/>
  <c r="G3445" i="1"/>
  <c r="J3444" i="1"/>
  <c r="G3444" i="1"/>
  <c r="J3443" i="1"/>
  <c r="G3443" i="1"/>
  <c r="J3442" i="1"/>
  <c r="G3442" i="1"/>
  <c r="J3441" i="1"/>
  <c r="G3441" i="1"/>
  <c r="J3440" i="1"/>
  <c r="G3440" i="1"/>
  <c r="J3439" i="1"/>
  <c r="G3439" i="1"/>
  <c r="J3438" i="1"/>
  <c r="G3438" i="1"/>
  <c r="J3437" i="1"/>
  <c r="G3437" i="1"/>
  <c r="J3436" i="1"/>
  <c r="G3436" i="1"/>
  <c r="J3435" i="1"/>
  <c r="G3435" i="1"/>
  <c r="J3434" i="1"/>
  <c r="G3434" i="1"/>
  <c r="J3433" i="1"/>
  <c r="G3433" i="1"/>
  <c r="J3432" i="1"/>
  <c r="G3432" i="1"/>
  <c r="J3431" i="1"/>
  <c r="G3431" i="1"/>
  <c r="J3430" i="1"/>
  <c r="G3430" i="1"/>
  <c r="J3429" i="1"/>
  <c r="G3429" i="1"/>
  <c r="J3428" i="1"/>
  <c r="G3428" i="1"/>
  <c r="J3427" i="1"/>
  <c r="G3427" i="1"/>
  <c r="J3426" i="1"/>
  <c r="G3426" i="1"/>
  <c r="J3425" i="1"/>
  <c r="G3425" i="1"/>
  <c r="J3424" i="1"/>
  <c r="G3424" i="1"/>
  <c r="J3423" i="1"/>
  <c r="G3423" i="1"/>
  <c r="J3422" i="1"/>
  <c r="G3422" i="1"/>
  <c r="J3421" i="1"/>
  <c r="G3421" i="1"/>
  <c r="J3420" i="1"/>
  <c r="G3420" i="1"/>
  <c r="J3419" i="1"/>
  <c r="G3419" i="1"/>
  <c r="J3418" i="1"/>
  <c r="G3418" i="1"/>
  <c r="J3417" i="1"/>
  <c r="G3417" i="1"/>
  <c r="J3416" i="1"/>
  <c r="G3416" i="1"/>
  <c r="J3415" i="1"/>
  <c r="G3415" i="1"/>
  <c r="J3414" i="1"/>
  <c r="G3414" i="1"/>
  <c r="J3413" i="1"/>
  <c r="G3413" i="1"/>
  <c r="J3412" i="1"/>
  <c r="G3412" i="1"/>
  <c r="J3411" i="1"/>
  <c r="G3411" i="1"/>
  <c r="J3410" i="1"/>
  <c r="G3410" i="1"/>
  <c r="J3409" i="1"/>
  <c r="G3409" i="1"/>
  <c r="J3408" i="1"/>
  <c r="G3408" i="1"/>
  <c r="J3407" i="1"/>
  <c r="G3407" i="1"/>
  <c r="J3406" i="1"/>
  <c r="G3406" i="1"/>
  <c r="J3405" i="1"/>
  <c r="G3405" i="1"/>
  <c r="J3404" i="1"/>
  <c r="G3404" i="1"/>
  <c r="J3403" i="1"/>
  <c r="G3403" i="1"/>
  <c r="J3402" i="1"/>
  <c r="G3402" i="1"/>
  <c r="J3401" i="1"/>
  <c r="G3401" i="1"/>
  <c r="J3400" i="1"/>
  <c r="G3400" i="1"/>
  <c r="J3399" i="1"/>
  <c r="G3399" i="1"/>
  <c r="J3398" i="1"/>
  <c r="G3398" i="1"/>
  <c r="J3397" i="1"/>
  <c r="G3397" i="1"/>
  <c r="J3396" i="1"/>
  <c r="G3396" i="1"/>
  <c r="J3395" i="1"/>
  <c r="G3395" i="1"/>
  <c r="J3394" i="1"/>
  <c r="G3394" i="1"/>
  <c r="J3393" i="1"/>
  <c r="G3393" i="1"/>
  <c r="J3392" i="1"/>
  <c r="G3392" i="1"/>
  <c r="J3391" i="1"/>
  <c r="G3391" i="1"/>
  <c r="J3390" i="1"/>
  <c r="G3390" i="1"/>
  <c r="J3389" i="1"/>
  <c r="G3389" i="1"/>
  <c r="J3388" i="1"/>
  <c r="G3388" i="1"/>
  <c r="J3387" i="1"/>
  <c r="G3387" i="1"/>
  <c r="J3386" i="1"/>
  <c r="G3386" i="1"/>
  <c r="J3385" i="1"/>
  <c r="G3385" i="1"/>
  <c r="J3384" i="1"/>
  <c r="G3384" i="1"/>
  <c r="J3383" i="1"/>
  <c r="G3383" i="1"/>
  <c r="J3382" i="1"/>
  <c r="G3382" i="1"/>
  <c r="J3381" i="1"/>
  <c r="G3381" i="1"/>
  <c r="J3380" i="1"/>
  <c r="G3380" i="1"/>
  <c r="J3379" i="1"/>
  <c r="G3379" i="1"/>
  <c r="J3378" i="1"/>
  <c r="G3378" i="1"/>
  <c r="J3377" i="1"/>
  <c r="G3377" i="1"/>
  <c r="J3376" i="1"/>
  <c r="G3376" i="1"/>
  <c r="J3375" i="1"/>
  <c r="G3375" i="1"/>
  <c r="J3374" i="1"/>
  <c r="G3374" i="1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F168" i="7"/>
  <c r="E168" i="7"/>
  <c r="D168" i="7"/>
  <c r="C168" i="7"/>
  <c r="B168" i="7"/>
  <c r="F167" i="7"/>
  <c r="E167" i="7"/>
  <c r="D167" i="7"/>
  <c r="C167" i="7"/>
  <c r="B167" i="7"/>
  <c r="F166" i="7"/>
  <c r="E166" i="7"/>
  <c r="D166" i="7"/>
  <c r="C166" i="7"/>
  <c r="B166" i="7"/>
  <c r="F165" i="7"/>
  <c r="E165" i="7"/>
  <c r="D165" i="7"/>
  <c r="C165" i="7"/>
  <c r="B165" i="7"/>
  <c r="F164" i="7"/>
  <c r="E164" i="7"/>
  <c r="D164" i="7"/>
  <c r="C164" i="7"/>
  <c r="B164" i="7"/>
  <c r="F163" i="7"/>
  <c r="E163" i="7"/>
  <c r="D163" i="7"/>
  <c r="C163" i="7"/>
  <c r="B163" i="7"/>
  <c r="F162" i="7"/>
  <c r="E162" i="7"/>
  <c r="D162" i="7"/>
  <c r="C162" i="7"/>
  <c r="B162" i="7"/>
  <c r="F161" i="7"/>
  <c r="E161" i="7"/>
  <c r="D161" i="7"/>
  <c r="C161" i="7"/>
  <c r="B161" i="7"/>
  <c r="F160" i="7"/>
  <c r="E160" i="7"/>
  <c r="D160" i="7"/>
  <c r="C160" i="7"/>
  <c r="B160" i="7"/>
  <c r="F159" i="7"/>
  <c r="E159" i="7"/>
  <c r="D159" i="7"/>
  <c r="C159" i="7"/>
  <c r="B159" i="7"/>
  <c r="F158" i="7"/>
  <c r="E158" i="7"/>
  <c r="D158" i="7"/>
  <c r="C158" i="7"/>
  <c r="B158" i="7"/>
  <c r="F157" i="7"/>
  <c r="E157" i="7"/>
  <c r="D157" i="7"/>
  <c r="C157" i="7"/>
  <c r="B157" i="7"/>
  <c r="F156" i="7"/>
  <c r="E156" i="7"/>
  <c r="D156" i="7"/>
  <c r="C156" i="7"/>
  <c r="B156" i="7"/>
  <c r="F155" i="7"/>
  <c r="E155" i="7"/>
  <c r="D155" i="7"/>
  <c r="C155" i="7"/>
  <c r="B155" i="7"/>
  <c r="F154" i="7"/>
  <c r="E154" i="7"/>
  <c r="D154" i="7"/>
  <c r="C154" i="7"/>
  <c r="B154" i="7"/>
  <c r="F153" i="7"/>
  <c r="E153" i="7"/>
  <c r="D153" i="7"/>
  <c r="C153" i="7"/>
  <c r="B153" i="7"/>
  <c r="F152" i="7"/>
  <c r="E152" i="7"/>
  <c r="D152" i="7"/>
  <c r="C152" i="7"/>
  <c r="B152" i="7"/>
  <c r="F151" i="7"/>
  <c r="E151" i="7"/>
  <c r="D151" i="7"/>
  <c r="C151" i="7"/>
  <c r="B151" i="7"/>
  <c r="F150" i="7"/>
  <c r="E150" i="7"/>
  <c r="D150" i="7"/>
  <c r="C150" i="7"/>
  <c r="B150" i="7"/>
  <c r="F149" i="7"/>
  <c r="E149" i="7"/>
  <c r="D149" i="7"/>
  <c r="C149" i="7"/>
  <c r="B149" i="7"/>
  <c r="F148" i="7"/>
  <c r="E148" i="7"/>
  <c r="D148" i="7"/>
  <c r="C148" i="7"/>
  <c r="B148" i="7"/>
  <c r="F147" i="7"/>
  <c r="E147" i="7"/>
  <c r="D147" i="7"/>
  <c r="C147" i="7"/>
  <c r="B147" i="7"/>
  <c r="F146" i="7"/>
  <c r="E146" i="7"/>
  <c r="D146" i="7"/>
  <c r="C146" i="7"/>
  <c r="B146" i="7"/>
  <c r="F145" i="7"/>
  <c r="E145" i="7"/>
  <c r="D145" i="7"/>
  <c r="C145" i="7"/>
  <c r="B145" i="7"/>
  <c r="F144" i="7"/>
  <c r="E144" i="7"/>
  <c r="D144" i="7"/>
  <c r="C144" i="7"/>
  <c r="B144" i="7"/>
  <c r="F143" i="7"/>
  <c r="E143" i="7"/>
  <c r="D143" i="7"/>
  <c r="C143" i="7"/>
  <c r="B143" i="7"/>
  <c r="F142" i="7"/>
  <c r="E142" i="7"/>
  <c r="D142" i="7"/>
  <c r="C142" i="7"/>
  <c r="B142" i="7"/>
  <c r="F141" i="7"/>
  <c r="E141" i="7"/>
  <c r="D141" i="7"/>
  <c r="C141" i="7"/>
  <c r="B141" i="7"/>
  <c r="F140" i="7"/>
  <c r="E140" i="7"/>
  <c r="D140" i="7"/>
  <c r="C140" i="7"/>
  <c r="B140" i="7"/>
  <c r="F139" i="7"/>
  <c r="E139" i="7"/>
  <c r="D139" i="7"/>
  <c r="C139" i="7"/>
  <c r="B139" i="7"/>
  <c r="F138" i="7"/>
  <c r="E138" i="7"/>
  <c r="D138" i="7"/>
  <c r="C138" i="7"/>
  <c r="B138" i="7"/>
  <c r="F137" i="7"/>
  <c r="E137" i="7"/>
  <c r="D137" i="7"/>
  <c r="C137" i="7"/>
  <c r="B137" i="7"/>
  <c r="F136" i="7"/>
  <c r="E136" i="7"/>
  <c r="D136" i="7"/>
  <c r="C136" i="7"/>
  <c r="B136" i="7"/>
  <c r="F135" i="7"/>
  <c r="E135" i="7"/>
  <c r="D135" i="7"/>
  <c r="C135" i="7"/>
  <c r="B135" i="7"/>
  <c r="F134" i="7"/>
  <c r="E134" i="7"/>
  <c r="D134" i="7"/>
  <c r="C134" i="7"/>
  <c r="B134" i="7"/>
  <c r="F133" i="7"/>
  <c r="E133" i="7"/>
  <c r="D133" i="7"/>
  <c r="C133" i="7"/>
  <c r="B133" i="7"/>
  <c r="F132" i="7"/>
  <c r="E132" i="7"/>
  <c r="D132" i="7"/>
  <c r="C132" i="7"/>
  <c r="B132" i="7"/>
  <c r="F131" i="7"/>
  <c r="E131" i="7"/>
  <c r="D131" i="7"/>
  <c r="C131" i="7"/>
  <c r="B131" i="7"/>
  <c r="F130" i="7"/>
  <c r="E130" i="7"/>
  <c r="D130" i="7"/>
  <c r="C130" i="7"/>
  <c r="B130" i="7"/>
  <c r="F129" i="7"/>
  <c r="E129" i="7"/>
  <c r="D129" i="7"/>
  <c r="C129" i="7"/>
  <c r="B129" i="7"/>
  <c r="F128" i="7"/>
  <c r="E128" i="7"/>
  <c r="D128" i="7"/>
  <c r="C128" i="7"/>
  <c r="B128" i="7"/>
  <c r="F127" i="7"/>
  <c r="E127" i="7"/>
  <c r="D127" i="7"/>
  <c r="C127" i="7"/>
  <c r="B127" i="7"/>
  <c r="F126" i="7"/>
  <c r="E126" i="7"/>
  <c r="D126" i="7"/>
  <c r="C126" i="7"/>
  <c r="B126" i="7"/>
  <c r="F125" i="7"/>
  <c r="E125" i="7"/>
  <c r="D125" i="7"/>
  <c r="C125" i="7"/>
  <c r="B125" i="7"/>
  <c r="F124" i="7"/>
  <c r="E124" i="7"/>
  <c r="D124" i="7"/>
  <c r="C124" i="7"/>
  <c r="B124" i="7"/>
  <c r="F123" i="7"/>
  <c r="E123" i="7"/>
  <c r="D123" i="7"/>
  <c r="C123" i="7"/>
  <c r="B123" i="7"/>
  <c r="F122" i="7"/>
  <c r="E122" i="7"/>
  <c r="D122" i="7"/>
  <c r="C122" i="7"/>
  <c r="B122" i="7"/>
  <c r="F121" i="7"/>
  <c r="E121" i="7"/>
  <c r="D121" i="7"/>
  <c r="C121" i="7"/>
  <c r="B121" i="7"/>
  <c r="F120" i="7"/>
  <c r="E120" i="7"/>
  <c r="D120" i="7"/>
  <c r="C120" i="7"/>
  <c r="B120" i="7"/>
  <c r="F119" i="7"/>
  <c r="E119" i="7"/>
  <c r="D119" i="7"/>
  <c r="C119" i="7"/>
  <c r="B119" i="7"/>
  <c r="F118" i="7"/>
  <c r="E118" i="7"/>
  <c r="D118" i="7"/>
  <c r="C118" i="7"/>
  <c r="B118" i="7"/>
  <c r="F117" i="7"/>
  <c r="E117" i="7"/>
  <c r="D117" i="7"/>
  <c r="C117" i="7"/>
  <c r="B117" i="7"/>
  <c r="F116" i="7"/>
  <c r="E116" i="7"/>
  <c r="D116" i="7"/>
  <c r="C116" i="7"/>
  <c r="B116" i="7"/>
  <c r="F115" i="7"/>
  <c r="E115" i="7"/>
  <c r="D115" i="7"/>
  <c r="C115" i="7"/>
  <c r="B115" i="7"/>
  <c r="F114" i="7"/>
  <c r="E114" i="7"/>
  <c r="D114" i="7"/>
  <c r="C114" i="7"/>
  <c r="B114" i="7"/>
  <c r="F113" i="7"/>
  <c r="E113" i="7"/>
  <c r="D113" i="7"/>
  <c r="C113" i="7"/>
  <c r="B113" i="7"/>
  <c r="F112" i="7"/>
  <c r="E112" i="7"/>
  <c r="D112" i="7"/>
  <c r="C112" i="7"/>
  <c r="B112" i="7"/>
  <c r="F111" i="7"/>
  <c r="E111" i="7"/>
  <c r="D111" i="7"/>
  <c r="C111" i="7"/>
  <c r="B111" i="7"/>
  <c r="F110" i="7"/>
  <c r="E110" i="7"/>
  <c r="D110" i="7"/>
  <c r="C110" i="7"/>
  <c r="B110" i="7"/>
  <c r="F109" i="7"/>
  <c r="E109" i="7"/>
  <c r="D109" i="7"/>
  <c r="C109" i="7"/>
  <c r="B109" i="7"/>
  <c r="F108" i="7"/>
  <c r="E108" i="7"/>
  <c r="D108" i="7"/>
  <c r="C108" i="7"/>
  <c r="B108" i="7"/>
  <c r="F107" i="7"/>
  <c r="E107" i="7"/>
  <c r="D107" i="7"/>
  <c r="C107" i="7"/>
  <c r="B107" i="7"/>
  <c r="F106" i="7"/>
  <c r="E106" i="7"/>
  <c r="D106" i="7"/>
  <c r="C106" i="7"/>
  <c r="B106" i="7"/>
  <c r="F105" i="7"/>
  <c r="E105" i="7"/>
  <c r="D105" i="7"/>
  <c r="C105" i="7"/>
  <c r="B105" i="7"/>
  <c r="F104" i="7"/>
  <c r="E104" i="7"/>
  <c r="D104" i="7"/>
  <c r="C104" i="7"/>
  <c r="B104" i="7"/>
  <c r="F103" i="7"/>
  <c r="E103" i="7"/>
  <c r="D103" i="7"/>
  <c r="C103" i="7"/>
  <c r="B103" i="7"/>
  <c r="F102" i="7"/>
  <c r="E102" i="7"/>
  <c r="D102" i="7"/>
  <c r="C102" i="7"/>
  <c r="B102" i="7"/>
  <c r="F101" i="7"/>
  <c r="E101" i="7"/>
  <c r="D101" i="7"/>
  <c r="C101" i="7"/>
  <c r="B101" i="7"/>
  <c r="F100" i="7"/>
  <c r="E100" i="7"/>
  <c r="D100" i="7"/>
  <c r="C100" i="7"/>
  <c r="B100" i="7"/>
  <c r="F99" i="7"/>
  <c r="E99" i="7"/>
  <c r="D99" i="7"/>
  <c r="C99" i="7"/>
  <c r="B99" i="7"/>
  <c r="F98" i="7"/>
  <c r="E98" i="7"/>
  <c r="D98" i="7"/>
  <c r="C98" i="7"/>
  <c r="B98" i="7"/>
  <c r="F97" i="7"/>
  <c r="E97" i="7"/>
  <c r="D97" i="7"/>
  <c r="C97" i="7"/>
  <c r="B97" i="7"/>
  <c r="F96" i="7"/>
  <c r="E96" i="7"/>
  <c r="D96" i="7"/>
  <c r="C96" i="7"/>
  <c r="B96" i="7"/>
  <c r="F95" i="7"/>
  <c r="E95" i="7"/>
  <c r="D95" i="7"/>
  <c r="C95" i="7"/>
  <c r="B95" i="7"/>
  <c r="F94" i="7"/>
  <c r="E94" i="7"/>
  <c r="D94" i="7"/>
  <c r="C94" i="7"/>
  <c r="B94" i="7"/>
  <c r="F93" i="7"/>
  <c r="E93" i="7"/>
  <c r="D93" i="7"/>
  <c r="C93" i="7"/>
  <c r="B93" i="7"/>
  <c r="F92" i="7"/>
  <c r="E92" i="7"/>
  <c r="D92" i="7"/>
  <c r="C92" i="7"/>
  <c r="B92" i="7"/>
  <c r="F91" i="7"/>
  <c r="E91" i="7"/>
  <c r="D91" i="7"/>
  <c r="C91" i="7"/>
  <c r="B91" i="7"/>
  <c r="F90" i="7"/>
  <c r="E90" i="7"/>
  <c r="D90" i="7"/>
  <c r="C90" i="7"/>
  <c r="B90" i="7"/>
  <c r="F89" i="7"/>
  <c r="E89" i="7"/>
  <c r="D89" i="7"/>
  <c r="C89" i="7"/>
  <c r="B89" i="7"/>
  <c r="F88" i="7"/>
  <c r="E88" i="7"/>
  <c r="D88" i="7"/>
  <c r="C88" i="7"/>
  <c r="B88" i="7"/>
  <c r="F87" i="7"/>
  <c r="E87" i="7"/>
  <c r="D87" i="7"/>
  <c r="C87" i="7"/>
  <c r="B87" i="7"/>
  <c r="F86" i="7"/>
  <c r="E86" i="7"/>
  <c r="D86" i="7"/>
  <c r="C86" i="7"/>
  <c r="B86" i="7"/>
  <c r="F85" i="7"/>
  <c r="E85" i="7"/>
  <c r="D85" i="7"/>
  <c r="C85" i="7"/>
  <c r="B85" i="7"/>
  <c r="F84" i="7"/>
  <c r="E84" i="7"/>
  <c r="D84" i="7"/>
  <c r="C84" i="7"/>
  <c r="B84" i="7"/>
  <c r="F83" i="7"/>
  <c r="E83" i="7"/>
  <c r="D83" i="7"/>
  <c r="C83" i="7"/>
  <c r="B83" i="7"/>
  <c r="F82" i="7"/>
  <c r="E82" i="7"/>
  <c r="D82" i="7"/>
  <c r="C82" i="7"/>
  <c r="B82" i="7"/>
  <c r="F81" i="7"/>
  <c r="E81" i="7"/>
  <c r="D81" i="7"/>
  <c r="C81" i="7"/>
  <c r="B81" i="7"/>
  <c r="F80" i="7"/>
  <c r="E80" i="7"/>
  <c r="D80" i="7"/>
  <c r="C80" i="7"/>
  <c r="B80" i="7"/>
  <c r="F79" i="7"/>
  <c r="E79" i="7"/>
  <c r="D79" i="7"/>
  <c r="C79" i="7"/>
  <c r="B79" i="7"/>
  <c r="F78" i="7"/>
  <c r="E78" i="7"/>
  <c r="D78" i="7"/>
  <c r="C78" i="7"/>
  <c r="B78" i="7"/>
  <c r="F77" i="7"/>
  <c r="E77" i="7"/>
  <c r="D77" i="7"/>
  <c r="C77" i="7"/>
  <c r="B77" i="7"/>
  <c r="F76" i="7"/>
  <c r="E76" i="7"/>
  <c r="D76" i="7"/>
  <c r="C76" i="7"/>
  <c r="B76" i="7"/>
  <c r="F75" i="7"/>
  <c r="E75" i="7"/>
  <c r="D75" i="7"/>
  <c r="C75" i="7"/>
  <c r="B75" i="7"/>
  <c r="F74" i="7"/>
  <c r="E74" i="7"/>
  <c r="D74" i="7"/>
  <c r="C74" i="7"/>
  <c r="B74" i="7"/>
  <c r="F73" i="7"/>
  <c r="E73" i="7"/>
  <c r="D73" i="7"/>
  <c r="C73" i="7"/>
  <c r="B73" i="7"/>
  <c r="F72" i="7"/>
  <c r="E72" i="7"/>
  <c r="D72" i="7"/>
  <c r="C72" i="7"/>
  <c r="B72" i="7"/>
  <c r="F71" i="7"/>
  <c r="E71" i="7"/>
  <c r="D71" i="7"/>
  <c r="C71" i="7"/>
  <c r="B71" i="7"/>
  <c r="F70" i="7"/>
  <c r="E70" i="7"/>
  <c r="D70" i="7"/>
  <c r="C70" i="7"/>
  <c r="B70" i="7"/>
  <c r="F69" i="7"/>
  <c r="E69" i="7"/>
  <c r="D69" i="7"/>
  <c r="C69" i="7"/>
  <c r="B69" i="7"/>
  <c r="F68" i="7"/>
  <c r="E68" i="7"/>
  <c r="D68" i="7"/>
  <c r="C68" i="7"/>
  <c r="B68" i="7"/>
  <c r="F67" i="7"/>
  <c r="E67" i="7"/>
  <c r="D67" i="7"/>
  <c r="C67" i="7"/>
  <c r="B67" i="7"/>
  <c r="F66" i="7"/>
  <c r="E66" i="7"/>
  <c r="D66" i="7"/>
  <c r="C66" i="7"/>
  <c r="B66" i="7"/>
  <c r="F65" i="7"/>
  <c r="E65" i="7"/>
  <c r="D65" i="7"/>
  <c r="C65" i="7"/>
  <c r="B65" i="7"/>
  <c r="F64" i="7"/>
  <c r="E64" i="7"/>
  <c r="D64" i="7"/>
  <c r="C64" i="7"/>
  <c r="B64" i="7"/>
  <c r="F63" i="7"/>
  <c r="E63" i="7"/>
  <c r="D63" i="7"/>
  <c r="C63" i="7"/>
  <c r="B63" i="7"/>
  <c r="F62" i="7"/>
  <c r="E62" i="7"/>
  <c r="D62" i="7"/>
  <c r="C62" i="7"/>
  <c r="B62" i="7"/>
  <c r="F61" i="7"/>
  <c r="E61" i="7"/>
  <c r="D61" i="7"/>
  <c r="C61" i="7"/>
  <c r="B61" i="7"/>
  <c r="F60" i="7"/>
  <c r="E60" i="7"/>
  <c r="D60" i="7"/>
  <c r="C60" i="7"/>
  <c r="B60" i="7"/>
  <c r="F59" i="7"/>
  <c r="E59" i="7"/>
  <c r="D59" i="7"/>
  <c r="C59" i="7"/>
  <c r="B59" i="7"/>
  <c r="F58" i="7"/>
  <c r="E58" i="7"/>
  <c r="D58" i="7"/>
  <c r="C58" i="7"/>
  <c r="B58" i="7"/>
  <c r="F57" i="7"/>
  <c r="E57" i="7"/>
  <c r="D57" i="7"/>
  <c r="C57" i="7"/>
  <c r="B57" i="7"/>
  <c r="F56" i="7"/>
  <c r="E56" i="7"/>
  <c r="D56" i="7"/>
  <c r="C56" i="7"/>
  <c r="B56" i="7"/>
  <c r="F55" i="7"/>
  <c r="E55" i="7"/>
  <c r="D55" i="7"/>
  <c r="C55" i="7"/>
  <c r="B55" i="7"/>
  <c r="F54" i="7"/>
  <c r="E54" i="7"/>
  <c r="D54" i="7"/>
  <c r="C54" i="7"/>
  <c r="B54" i="7"/>
  <c r="F53" i="7"/>
  <c r="E53" i="7"/>
  <c r="D53" i="7"/>
  <c r="C53" i="7"/>
  <c r="B53" i="7"/>
  <c r="F52" i="7"/>
  <c r="E52" i="7"/>
  <c r="D52" i="7"/>
  <c r="C52" i="7"/>
  <c r="B52" i="7"/>
  <c r="F51" i="7"/>
  <c r="E51" i="7"/>
  <c r="D51" i="7"/>
  <c r="C51" i="7"/>
  <c r="B51" i="7"/>
  <c r="F50" i="7"/>
  <c r="E50" i="7"/>
  <c r="D50" i="7"/>
  <c r="C50" i="7"/>
  <c r="B50" i="7"/>
  <c r="F49" i="7"/>
  <c r="E49" i="7"/>
  <c r="D49" i="7"/>
  <c r="C49" i="7"/>
  <c r="B49" i="7"/>
  <c r="F48" i="7"/>
  <c r="E48" i="7"/>
  <c r="D48" i="7"/>
  <c r="C48" i="7"/>
  <c r="B48" i="7"/>
  <c r="F47" i="7"/>
  <c r="E47" i="7"/>
  <c r="D47" i="7"/>
  <c r="C47" i="7"/>
  <c r="B47" i="7"/>
  <c r="F46" i="7"/>
  <c r="E46" i="7"/>
  <c r="D46" i="7"/>
  <c r="C46" i="7"/>
  <c r="B46" i="7"/>
  <c r="F45" i="7"/>
  <c r="E45" i="7"/>
  <c r="D45" i="7"/>
  <c r="C45" i="7"/>
  <c r="B45" i="7"/>
  <c r="F44" i="7"/>
  <c r="E44" i="7"/>
  <c r="D44" i="7"/>
  <c r="C44" i="7"/>
  <c r="B44" i="7"/>
  <c r="F43" i="7"/>
  <c r="E43" i="7"/>
  <c r="D43" i="7"/>
  <c r="C43" i="7"/>
  <c r="B43" i="7"/>
  <c r="F42" i="7"/>
  <c r="E42" i="7"/>
  <c r="D42" i="7"/>
  <c r="C42" i="7"/>
  <c r="B42" i="7"/>
  <c r="F41" i="7"/>
  <c r="E41" i="7"/>
  <c r="D41" i="7"/>
  <c r="C41" i="7"/>
  <c r="B41" i="7"/>
  <c r="F40" i="7"/>
  <c r="E40" i="7"/>
  <c r="D40" i="7"/>
  <c r="C40" i="7"/>
  <c r="B40" i="7"/>
  <c r="F39" i="7"/>
  <c r="E39" i="7"/>
  <c r="D39" i="7"/>
  <c r="C39" i="7"/>
  <c r="B39" i="7"/>
  <c r="F38" i="7"/>
  <c r="E38" i="7"/>
  <c r="D38" i="7"/>
  <c r="C38" i="7"/>
  <c r="B38" i="7"/>
  <c r="F37" i="7"/>
  <c r="E37" i="7"/>
  <c r="D37" i="7"/>
  <c r="C37" i="7"/>
  <c r="B37" i="7"/>
  <c r="F36" i="7"/>
  <c r="E36" i="7"/>
  <c r="D36" i="7"/>
  <c r="C36" i="7"/>
  <c r="B36" i="7"/>
  <c r="F35" i="7"/>
  <c r="E35" i="7"/>
  <c r="D35" i="7"/>
  <c r="C35" i="7"/>
  <c r="B35" i="7"/>
  <c r="F34" i="7"/>
  <c r="E34" i="7"/>
  <c r="D34" i="7"/>
  <c r="C34" i="7"/>
  <c r="B34" i="7"/>
  <c r="F33" i="7"/>
  <c r="E33" i="7"/>
  <c r="D33" i="7"/>
  <c r="C33" i="7"/>
  <c r="B33" i="7"/>
  <c r="F32" i="7"/>
  <c r="E32" i="7"/>
  <c r="D32" i="7"/>
  <c r="C32" i="7"/>
  <c r="B32" i="7"/>
  <c r="F31" i="7"/>
  <c r="E31" i="7"/>
  <c r="D31" i="7"/>
  <c r="C31" i="7"/>
  <c r="B31" i="7"/>
  <c r="F30" i="7"/>
  <c r="E30" i="7"/>
  <c r="D30" i="7"/>
  <c r="C30" i="7"/>
  <c r="B30" i="7"/>
  <c r="F29" i="7"/>
  <c r="E29" i="7"/>
  <c r="D29" i="7"/>
  <c r="C29" i="7"/>
  <c r="B29" i="7"/>
  <c r="F28" i="7"/>
  <c r="E28" i="7"/>
  <c r="D28" i="7"/>
  <c r="C28" i="7"/>
  <c r="B28" i="7"/>
  <c r="F27" i="7"/>
  <c r="E27" i="7"/>
  <c r="D27" i="7"/>
  <c r="C27" i="7"/>
  <c r="B27" i="7"/>
  <c r="F26" i="7"/>
  <c r="E26" i="7"/>
  <c r="D26" i="7"/>
  <c r="C26" i="7"/>
  <c r="B26" i="7"/>
  <c r="F25" i="7"/>
  <c r="E25" i="7"/>
  <c r="D25" i="7"/>
  <c r="C25" i="7"/>
  <c r="B25" i="7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F19" i="7"/>
  <c r="E19" i="7"/>
  <c r="D19" i="7"/>
  <c r="C19" i="7"/>
  <c r="B19" i="7"/>
  <c r="F18" i="7"/>
  <c r="E18" i="7"/>
  <c r="D18" i="7"/>
  <c r="C18" i="7"/>
  <c r="B18" i="7"/>
  <c r="F17" i="7"/>
  <c r="E17" i="7"/>
  <c r="D17" i="7"/>
  <c r="C17" i="7"/>
  <c r="B17" i="7"/>
  <c r="F16" i="7"/>
  <c r="E16" i="7"/>
  <c r="D16" i="7"/>
  <c r="C16" i="7"/>
  <c r="B16" i="7"/>
  <c r="F15" i="7"/>
  <c r="E15" i="7"/>
  <c r="D15" i="7"/>
  <c r="C15" i="7"/>
  <c r="B15" i="7"/>
  <c r="F14" i="7"/>
  <c r="E14" i="7"/>
  <c r="D14" i="7"/>
  <c r="C14" i="7"/>
  <c r="B14" i="7"/>
  <c r="F13" i="7"/>
  <c r="E13" i="7"/>
  <c r="D13" i="7"/>
  <c r="C13" i="7"/>
  <c r="B13" i="7"/>
  <c r="F12" i="7"/>
  <c r="E12" i="7"/>
  <c r="D12" i="7"/>
  <c r="C12" i="7"/>
  <c r="B12" i="7"/>
  <c r="F11" i="7"/>
  <c r="E11" i="7"/>
  <c r="D11" i="7"/>
  <c r="C11" i="7"/>
  <c r="B11" i="7"/>
  <c r="F10" i="7"/>
  <c r="E10" i="7"/>
  <c r="D10" i="7"/>
  <c r="C10" i="7"/>
  <c r="B10" i="7"/>
  <c r="F9" i="7"/>
  <c r="E9" i="7"/>
  <c r="D9" i="7"/>
  <c r="C9" i="7"/>
  <c r="B9" i="7"/>
  <c r="F8" i="7"/>
  <c r="E8" i="7"/>
  <c r="D8" i="7"/>
  <c r="C8" i="7"/>
  <c r="B8" i="7"/>
  <c r="F7" i="7"/>
  <c r="E7" i="7"/>
  <c r="D7" i="7"/>
  <c r="C7" i="7"/>
  <c r="B7" i="7"/>
  <c r="F6" i="7"/>
  <c r="E6" i="7"/>
  <c r="D6" i="7"/>
  <c r="C6" i="7"/>
  <c r="B6" i="7"/>
  <c r="F5" i="7"/>
  <c r="E5" i="7"/>
  <c r="D5" i="7"/>
  <c r="C5" i="7"/>
  <c r="B5" i="7"/>
  <c r="F4" i="7"/>
  <c r="E4" i="7"/>
  <c r="D4" i="7"/>
  <c r="C4" i="7"/>
  <c r="B4" i="7"/>
  <c r="F3" i="7"/>
  <c r="E3" i="7"/>
  <c r="D3" i="7"/>
  <c r="C3" i="7"/>
  <c r="B3" i="7"/>
  <c r="F2" i="7"/>
  <c r="K2" i="7" s="1"/>
  <c r="E2" i="7"/>
  <c r="J2" i="7" s="1"/>
  <c r="D2" i="7"/>
  <c r="I2" i="7" s="1"/>
  <c r="C2" i="7"/>
  <c r="H2" i="7" s="1"/>
  <c r="B2" i="7"/>
  <c r="G2" i="7" s="1"/>
  <c r="K1" i="7"/>
  <c r="J1" i="7"/>
  <c r="I1" i="7"/>
  <c r="H1" i="7"/>
  <c r="G1" i="7"/>
  <c r="F1" i="7"/>
  <c r="E1" i="7"/>
  <c r="D1" i="7"/>
  <c r="C1" i="7"/>
  <c r="B1" i="7"/>
  <c r="K3" i="7" l="1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7" i="7" s="1"/>
  <c r="K118" i="7" s="1"/>
  <c r="K119" i="7" s="1"/>
  <c r="K120" i="7" s="1"/>
  <c r="K121" i="7" s="1"/>
  <c r="K122" i="7" s="1"/>
  <c r="K123" i="7" s="1"/>
  <c r="K124" i="7" s="1"/>
  <c r="K125" i="7" s="1"/>
  <c r="K126" i="7" s="1"/>
  <c r="K127" i="7" s="1"/>
  <c r="K128" i="7" s="1"/>
  <c r="K129" i="7" s="1"/>
  <c r="K130" i="7" s="1"/>
  <c r="K131" i="7" s="1"/>
  <c r="K132" i="7" s="1"/>
  <c r="K133" i="7" s="1"/>
  <c r="K134" i="7" s="1"/>
  <c r="K135" i="7" s="1"/>
  <c r="K136" i="7" s="1"/>
  <c r="K137" i="7" s="1"/>
  <c r="K138" i="7" s="1"/>
  <c r="K139" i="7" s="1"/>
  <c r="K140" i="7" s="1"/>
  <c r="K141" i="7" s="1"/>
  <c r="K142" i="7" s="1"/>
  <c r="K143" i="7" s="1"/>
  <c r="K144" i="7" s="1"/>
  <c r="K145" i="7" s="1"/>
  <c r="K146" i="7" s="1"/>
  <c r="K147" i="7" s="1"/>
  <c r="K148" i="7" s="1"/>
  <c r="K149" i="7" s="1"/>
  <c r="K150" i="7" s="1"/>
  <c r="K151" i="7" s="1"/>
  <c r="K152" i="7" s="1"/>
  <c r="K153" i="7" s="1"/>
  <c r="K154" i="7" s="1"/>
  <c r="K155" i="7" s="1"/>
  <c r="K156" i="7" s="1"/>
  <c r="K157" i="7" s="1"/>
  <c r="K158" i="7" s="1"/>
  <c r="K159" i="7" s="1"/>
  <c r="K160" i="7" s="1"/>
  <c r="K161" i="7" s="1"/>
  <c r="K162" i="7" s="1"/>
  <c r="K163" i="7" s="1"/>
  <c r="K164" i="7" s="1"/>
  <c r="K165" i="7" s="1"/>
  <c r="K166" i="7" s="1"/>
  <c r="K167" i="7" s="1"/>
  <c r="K168" i="7" s="1"/>
  <c r="K169" i="7" s="1"/>
  <c r="K170" i="7" s="1"/>
  <c r="K171" i="7" s="1"/>
  <c r="K172" i="7" s="1"/>
  <c r="K173" i="7" s="1"/>
  <c r="K174" i="7" s="1"/>
  <c r="K175" i="7" s="1"/>
  <c r="K176" i="7" s="1"/>
  <c r="K177" i="7" s="1"/>
  <c r="K178" i="7" s="1"/>
  <c r="K179" i="7" s="1"/>
  <c r="K180" i="7" s="1"/>
  <c r="K181" i="7" s="1"/>
  <c r="K182" i="7" s="1"/>
  <c r="K183" i="7" s="1"/>
  <c r="K184" i="7" s="1"/>
  <c r="K185" i="7" s="1"/>
  <c r="K186" i="7" s="1"/>
  <c r="K187" i="7" s="1"/>
  <c r="K188" i="7" s="1"/>
  <c r="K189" i="7" s="1"/>
  <c r="K190" i="7" s="1"/>
  <c r="K191" i="7" s="1"/>
  <c r="K192" i="7" s="1"/>
  <c r="K193" i="7" s="1"/>
  <c r="K194" i="7" s="1"/>
  <c r="K195" i="7" s="1"/>
  <c r="K196" i="7" s="1"/>
  <c r="K197" i="7" s="1"/>
  <c r="K198" i="7" s="1"/>
  <c r="K199" i="7" s="1"/>
  <c r="K200" i="7" s="1"/>
  <c r="K201" i="7" s="1"/>
  <c r="K202" i="7" s="1"/>
  <c r="K203" i="7" s="1"/>
  <c r="K204" i="7" s="1"/>
  <c r="K205" i="7" s="1"/>
  <c r="K206" i="7" s="1"/>
  <c r="K207" i="7" s="1"/>
  <c r="K208" i="7" s="1"/>
  <c r="K209" i="7" s="1"/>
  <c r="K210" i="7" s="1"/>
  <c r="K211" i="7" s="1"/>
  <c r="K212" i="7" s="1"/>
  <c r="K213" i="7" s="1"/>
  <c r="K214" i="7" s="1"/>
  <c r="K215" i="7" s="1"/>
  <c r="K216" i="7" s="1"/>
  <c r="K217" i="7" s="1"/>
  <c r="K218" i="7" s="1"/>
  <c r="K219" i="7" s="1"/>
  <c r="K220" i="7" s="1"/>
  <c r="K221" i="7" s="1"/>
  <c r="K222" i="7" s="1"/>
  <c r="K223" i="7" s="1"/>
  <c r="K224" i="7" s="1"/>
  <c r="K225" i="7" s="1"/>
  <c r="K226" i="7" s="1"/>
  <c r="K227" i="7" s="1"/>
  <c r="K228" i="7" s="1"/>
  <c r="K229" i="7" s="1"/>
  <c r="K230" i="7" s="1"/>
  <c r="K231" i="7" s="1"/>
  <c r="K232" i="7" s="1"/>
  <c r="K233" i="7" s="1"/>
  <c r="K234" i="7" s="1"/>
  <c r="K235" i="7" s="1"/>
  <c r="K236" i="7" s="1"/>
  <c r="K237" i="7" s="1"/>
  <c r="K238" i="7" s="1"/>
  <c r="K239" i="7" s="1"/>
  <c r="K240" i="7" s="1"/>
  <c r="K241" i="7" s="1"/>
  <c r="K242" i="7" s="1"/>
  <c r="K243" i="7" s="1"/>
  <c r="K244" i="7" s="1"/>
  <c r="K245" i="7" s="1"/>
  <c r="K246" i="7" s="1"/>
  <c r="K247" i="7" s="1"/>
  <c r="K248" i="7" s="1"/>
  <c r="K249" i="7" s="1"/>
  <c r="K250" i="7" s="1"/>
  <c r="K251" i="7" s="1"/>
  <c r="K252" i="7" s="1"/>
  <c r="K253" i="7" s="1"/>
  <c r="K254" i="7" s="1"/>
  <c r="K255" i="7" s="1"/>
  <c r="K256" i="7" s="1"/>
  <c r="K257" i="7" s="1"/>
  <c r="K258" i="7" s="1"/>
  <c r="K259" i="7" s="1"/>
  <c r="K260" i="7" s="1"/>
  <c r="K261" i="7" s="1"/>
  <c r="K262" i="7" s="1"/>
  <c r="K263" i="7" s="1"/>
  <c r="K264" i="7" s="1"/>
  <c r="K265" i="7" s="1"/>
  <c r="K266" i="7" s="1"/>
  <c r="K267" i="7" s="1"/>
  <c r="K268" i="7" s="1"/>
  <c r="K269" i="7" s="1"/>
  <c r="K270" i="7" s="1"/>
  <c r="K271" i="7" s="1"/>
  <c r="K272" i="7" s="1"/>
  <c r="K273" i="7" s="1"/>
  <c r="K274" i="7" s="1"/>
  <c r="K275" i="7" s="1"/>
  <c r="K276" i="7" s="1"/>
  <c r="K277" i="7" s="1"/>
  <c r="K278" i="7" s="1"/>
  <c r="K279" i="7" s="1"/>
  <c r="K280" i="7" s="1"/>
  <c r="K281" i="7" s="1"/>
  <c r="K282" i="7" s="1"/>
  <c r="K283" i="7" s="1"/>
  <c r="K284" i="7" s="1"/>
  <c r="K285" i="7" s="1"/>
  <c r="K286" i="7" s="1"/>
  <c r="K287" i="7" s="1"/>
  <c r="K288" i="7" s="1"/>
  <c r="K289" i="7" s="1"/>
  <c r="K290" i="7" s="1"/>
  <c r="K291" i="7" s="1"/>
  <c r="K292" i="7" s="1"/>
  <c r="K293" i="7" s="1"/>
  <c r="K294" i="7" s="1"/>
  <c r="K295" i="7" s="1"/>
  <c r="K296" i="7" s="1"/>
  <c r="K297" i="7" s="1"/>
  <c r="K298" i="7" s="1"/>
  <c r="K299" i="7" s="1"/>
  <c r="K300" i="7" s="1"/>
  <c r="K301" i="7" s="1"/>
  <c r="K302" i="7" s="1"/>
  <c r="K303" i="7" s="1"/>
  <c r="K304" i="7" s="1"/>
  <c r="K305" i="7" s="1"/>
  <c r="K306" i="7" s="1"/>
  <c r="K307" i="7" s="1"/>
  <c r="K308" i="7" s="1"/>
  <c r="K309" i="7" s="1"/>
  <c r="K310" i="7" s="1"/>
  <c r="K311" i="7" s="1"/>
  <c r="K312" i="7" s="1"/>
  <c r="K313" i="7" s="1"/>
  <c r="K314" i="7" s="1"/>
  <c r="K315" i="7" s="1"/>
  <c r="K316" i="7" s="1"/>
  <c r="K317" i="7" s="1"/>
  <c r="K318" i="7" s="1"/>
  <c r="K319" i="7" s="1"/>
  <c r="K320" i="7" s="1"/>
  <c r="K321" i="7" s="1"/>
  <c r="K322" i="7" s="1"/>
  <c r="K323" i="7" s="1"/>
  <c r="K324" i="7" s="1"/>
  <c r="K325" i="7" s="1"/>
  <c r="K326" i="7" s="1"/>
  <c r="K327" i="7" s="1"/>
  <c r="K328" i="7" s="1"/>
  <c r="K329" i="7" s="1"/>
  <c r="K330" i="7" s="1"/>
  <c r="K331" i="7" s="1"/>
  <c r="K332" i="7" s="1"/>
  <c r="K333" i="7" s="1"/>
  <c r="K334" i="7" s="1"/>
  <c r="K335" i="7" s="1"/>
  <c r="K336" i="7" s="1"/>
  <c r="K337" i="7" s="1"/>
  <c r="K338" i="7" s="1"/>
  <c r="K339" i="7" s="1"/>
  <c r="K340" i="7" s="1"/>
  <c r="K341" i="7" s="1"/>
  <c r="K342" i="7" s="1"/>
  <c r="K343" i="7" s="1"/>
  <c r="K344" i="7" s="1"/>
  <c r="K345" i="7" s="1"/>
  <c r="K346" i="7" s="1"/>
  <c r="K347" i="7" s="1"/>
  <c r="K348" i="7" s="1"/>
  <c r="K349" i="7" s="1"/>
  <c r="K350" i="7" s="1"/>
  <c r="K351" i="7" s="1"/>
  <c r="K352" i="7" s="1"/>
  <c r="K353" i="7" s="1"/>
  <c r="K354" i="7" s="1"/>
  <c r="K355" i="7" s="1"/>
  <c r="K356" i="7" s="1"/>
  <c r="K357" i="7" s="1"/>
  <c r="K358" i="7" s="1"/>
  <c r="K359" i="7" s="1"/>
  <c r="K360" i="7" s="1"/>
  <c r="K361" i="7" s="1"/>
  <c r="K362" i="7" s="1"/>
  <c r="K363" i="7" s="1"/>
  <c r="K364" i="7" s="1"/>
  <c r="K365" i="7" s="1"/>
  <c r="K366" i="7" s="1"/>
  <c r="K367" i="7" s="1"/>
  <c r="K368" i="7" s="1"/>
  <c r="K369" i="7" s="1"/>
  <c r="K370" i="7" s="1"/>
  <c r="K371" i="7" s="1"/>
  <c r="K372" i="7" s="1"/>
  <c r="K373" i="7" s="1"/>
  <c r="K374" i="7" s="1"/>
  <c r="K375" i="7" s="1"/>
  <c r="K376" i="7" s="1"/>
  <c r="K377" i="7" s="1"/>
  <c r="K378" i="7" s="1"/>
  <c r="K379" i="7" s="1"/>
  <c r="K380" i="7" s="1"/>
  <c r="K381" i="7" s="1"/>
  <c r="K382" i="7" s="1"/>
  <c r="K383" i="7" s="1"/>
  <c r="K384" i="7" s="1"/>
  <c r="K385" i="7" s="1"/>
  <c r="K386" i="7" s="1"/>
  <c r="K387" i="7" s="1"/>
  <c r="K388" i="7" s="1"/>
  <c r="K389" i="7" s="1"/>
  <c r="K390" i="7" s="1"/>
  <c r="K391" i="7" s="1"/>
  <c r="K392" i="7" s="1"/>
  <c r="K393" i="7" s="1"/>
  <c r="K394" i="7" s="1"/>
  <c r="K395" i="7" s="1"/>
  <c r="K396" i="7" s="1"/>
  <c r="K397" i="7" s="1"/>
  <c r="K398" i="7" s="1"/>
  <c r="K399" i="7" s="1"/>
  <c r="K400" i="7" s="1"/>
  <c r="K401" i="7" s="1"/>
  <c r="K402" i="7" s="1"/>
  <c r="K403" i="7" s="1"/>
  <c r="K404" i="7" s="1"/>
  <c r="K405" i="7" s="1"/>
  <c r="K406" i="7" s="1"/>
  <c r="K407" i="7" s="1"/>
  <c r="K408" i="7" s="1"/>
  <c r="K409" i="7" s="1"/>
  <c r="K410" i="7" s="1"/>
  <c r="K411" i="7" s="1"/>
  <c r="K412" i="7" s="1"/>
  <c r="K413" i="7" s="1"/>
  <c r="K414" i="7" s="1"/>
  <c r="K415" i="7" s="1"/>
  <c r="K416" i="7" s="1"/>
  <c r="K417" i="7" s="1"/>
  <c r="K418" i="7" s="1"/>
  <c r="K419" i="7" s="1"/>
  <c r="K420" i="7" s="1"/>
  <c r="K421" i="7" s="1"/>
  <c r="K422" i="7" s="1"/>
  <c r="K423" i="7" s="1"/>
  <c r="K424" i="7" s="1"/>
  <c r="K425" i="7" s="1"/>
  <c r="K426" i="7" s="1"/>
  <c r="K427" i="7" s="1"/>
  <c r="K428" i="7" s="1"/>
  <c r="K429" i="7" s="1"/>
  <c r="K430" i="7" s="1"/>
  <c r="K431" i="7" s="1"/>
  <c r="K432" i="7" s="1"/>
  <c r="K433" i="7" s="1"/>
  <c r="K434" i="7" s="1"/>
  <c r="K435" i="7" s="1"/>
  <c r="K436" i="7" s="1"/>
  <c r="K437" i="7" s="1"/>
  <c r="K438" i="7" s="1"/>
  <c r="K439" i="7" s="1"/>
  <c r="K440" i="7" s="1"/>
  <c r="K441" i="7" s="1"/>
  <c r="K442" i="7" s="1"/>
  <c r="K443" i="7" s="1"/>
  <c r="K444" i="7" s="1"/>
  <c r="K445" i="7" s="1"/>
  <c r="K446" i="7" s="1"/>
  <c r="K447" i="7" s="1"/>
  <c r="K448" i="7" s="1"/>
  <c r="K449" i="7" s="1"/>
  <c r="K450" i="7" s="1"/>
  <c r="K451" i="7" s="1"/>
  <c r="K452" i="7" s="1"/>
  <c r="K453" i="7" s="1"/>
  <c r="K454" i="7" s="1"/>
  <c r="K455" i="7" s="1"/>
  <c r="K456" i="7" s="1"/>
  <c r="K457" i="7" s="1"/>
  <c r="K458" i="7" s="1"/>
  <c r="K459" i="7" s="1"/>
  <c r="K460" i="7" s="1"/>
  <c r="K461" i="7" s="1"/>
  <c r="K462" i="7" s="1"/>
  <c r="K463" i="7" s="1"/>
  <c r="K464" i="7" s="1"/>
  <c r="K465" i="7" s="1"/>
  <c r="K466" i="7" s="1"/>
  <c r="K467" i="7" s="1"/>
  <c r="K468" i="7" s="1"/>
  <c r="K469" i="7" s="1"/>
  <c r="K470" i="7" s="1"/>
  <c r="K471" i="7" s="1"/>
  <c r="K472" i="7" s="1"/>
  <c r="K473" i="7" s="1"/>
  <c r="K474" i="7" s="1"/>
  <c r="K475" i="7" s="1"/>
  <c r="K476" i="7" s="1"/>
  <c r="K477" i="7" s="1"/>
  <c r="K478" i="7" s="1"/>
  <c r="K479" i="7" s="1"/>
  <c r="K480" i="7" s="1"/>
  <c r="K481" i="7" s="1"/>
  <c r="K482" i="7" s="1"/>
  <c r="K483" i="7" s="1"/>
  <c r="K484" i="7" s="1"/>
  <c r="K485" i="7" s="1"/>
  <c r="K486" i="7" s="1"/>
  <c r="K487" i="7" s="1"/>
  <c r="K488" i="7" s="1"/>
  <c r="K489" i="7" s="1"/>
  <c r="K490" i="7" s="1"/>
  <c r="K491" i="7" s="1"/>
  <c r="K492" i="7" s="1"/>
  <c r="K493" i="7" s="1"/>
  <c r="K494" i="7" s="1"/>
  <c r="K495" i="7" s="1"/>
  <c r="K496" i="7" s="1"/>
  <c r="K497" i="7" s="1"/>
  <c r="K498" i="7" s="1"/>
  <c r="K499" i="7" s="1"/>
  <c r="K500" i="7" s="1"/>
  <c r="K501" i="7" s="1"/>
  <c r="K502" i="7" s="1"/>
  <c r="K503" i="7" s="1"/>
  <c r="K504" i="7" s="1"/>
  <c r="K505" i="7" s="1"/>
  <c r="K506" i="7" s="1"/>
  <c r="K507" i="7" s="1"/>
  <c r="K508" i="7" s="1"/>
  <c r="K509" i="7" s="1"/>
  <c r="K510" i="7" s="1"/>
  <c r="K511" i="7" s="1"/>
  <c r="K512" i="7" s="1"/>
  <c r="K513" i="7" s="1"/>
  <c r="K514" i="7" s="1"/>
  <c r="K515" i="7" s="1"/>
  <c r="K516" i="7" s="1"/>
  <c r="K517" i="7" s="1"/>
  <c r="K518" i="7" s="1"/>
  <c r="K519" i="7" s="1"/>
  <c r="K520" i="7" s="1"/>
  <c r="K521" i="7" s="1"/>
  <c r="K522" i="7" s="1"/>
  <c r="K523" i="7" s="1"/>
  <c r="K524" i="7" s="1"/>
  <c r="K525" i="7" s="1"/>
  <c r="K526" i="7" s="1"/>
  <c r="K527" i="7" s="1"/>
  <c r="K528" i="7" s="1"/>
  <c r="K529" i="7" s="1"/>
  <c r="K530" i="7" s="1"/>
  <c r="K531" i="7" s="1"/>
  <c r="K532" i="7" s="1"/>
  <c r="K533" i="7" s="1"/>
  <c r="K534" i="7" s="1"/>
  <c r="K535" i="7" s="1"/>
  <c r="K536" i="7" s="1"/>
  <c r="K537" i="7" s="1"/>
  <c r="K538" i="7" s="1"/>
  <c r="K539" i="7" s="1"/>
  <c r="K540" i="7" s="1"/>
  <c r="K541" i="7" s="1"/>
  <c r="K542" i="7" s="1"/>
  <c r="K543" i="7" s="1"/>
  <c r="K544" i="7" s="1"/>
  <c r="K545" i="7" s="1"/>
  <c r="K546" i="7" s="1"/>
  <c r="K547" i="7" s="1"/>
  <c r="K548" i="7" s="1"/>
  <c r="K549" i="7" s="1"/>
  <c r="K550" i="7" s="1"/>
  <c r="K551" i="7" s="1"/>
  <c r="K552" i="7" s="1"/>
  <c r="K553" i="7" s="1"/>
  <c r="K554" i="7" s="1"/>
  <c r="K555" i="7" s="1"/>
  <c r="K556" i="7" s="1"/>
  <c r="K557" i="7" s="1"/>
  <c r="K558" i="7" s="1"/>
  <c r="K559" i="7" s="1"/>
  <c r="K560" i="7" s="1"/>
  <c r="K561" i="7" s="1"/>
  <c r="K562" i="7" s="1"/>
  <c r="K563" i="7" s="1"/>
  <c r="K564" i="7" s="1"/>
  <c r="K565" i="7" s="1"/>
  <c r="K566" i="7" s="1"/>
  <c r="K567" i="7" s="1"/>
  <c r="K568" i="7" s="1"/>
  <c r="K569" i="7" s="1"/>
  <c r="K570" i="7" s="1"/>
  <c r="K571" i="7" s="1"/>
  <c r="K572" i="7" s="1"/>
  <c r="K573" i="7" s="1"/>
  <c r="K574" i="7" s="1"/>
  <c r="K575" i="7" s="1"/>
  <c r="K576" i="7" s="1"/>
  <c r="K577" i="7" s="1"/>
  <c r="K578" i="7" s="1"/>
  <c r="K579" i="7" s="1"/>
  <c r="K580" i="7" s="1"/>
  <c r="K581" i="7" s="1"/>
  <c r="K582" i="7" s="1"/>
  <c r="K583" i="7" s="1"/>
  <c r="K584" i="7" s="1"/>
  <c r="K585" i="7" s="1"/>
  <c r="K586" i="7" s="1"/>
  <c r="K587" i="7" s="1"/>
  <c r="K588" i="7" s="1"/>
  <c r="K589" i="7" s="1"/>
  <c r="K590" i="7" s="1"/>
  <c r="K591" i="7" s="1"/>
  <c r="K592" i="7" s="1"/>
  <c r="K593" i="7" s="1"/>
  <c r="K594" i="7" s="1"/>
  <c r="K595" i="7" s="1"/>
  <c r="K596" i="7" s="1"/>
  <c r="K597" i="7" s="1"/>
  <c r="K598" i="7" s="1"/>
  <c r="K599" i="7" s="1"/>
  <c r="K600" i="7" s="1"/>
  <c r="K601" i="7" s="1"/>
  <c r="K602" i="7" s="1"/>
  <c r="K603" i="7" s="1"/>
  <c r="K604" i="7" s="1"/>
  <c r="K605" i="7" s="1"/>
  <c r="K606" i="7" s="1"/>
  <c r="K607" i="7" s="1"/>
  <c r="K608" i="7" s="1"/>
  <c r="K609" i="7" s="1"/>
  <c r="K610" i="7" s="1"/>
  <c r="K611" i="7" s="1"/>
  <c r="K612" i="7" s="1"/>
  <c r="K613" i="7" s="1"/>
  <c r="K614" i="7" s="1"/>
  <c r="K615" i="7" s="1"/>
  <c r="K616" i="7" s="1"/>
  <c r="K617" i="7" s="1"/>
  <c r="K618" i="7" s="1"/>
  <c r="K619" i="7" s="1"/>
  <c r="K620" i="7" s="1"/>
  <c r="K621" i="7" s="1"/>
  <c r="K622" i="7" s="1"/>
  <c r="K623" i="7" s="1"/>
  <c r="K624" i="7" s="1"/>
  <c r="K625" i="7" s="1"/>
  <c r="K626" i="7" s="1"/>
  <c r="K627" i="7" s="1"/>
  <c r="K628" i="7" s="1"/>
  <c r="K629" i="7" s="1"/>
  <c r="K630" i="7" s="1"/>
  <c r="K631" i="7" s="1"/>
  <c r="K632" i="7" s="1"/>
  <c r="K633" i="7" s="1"/>
  <c r="K634" i="7" s="1"/>
  <c r="K635" i="7" s="1"/>
  <c r="K636" i="7" s="1"/>
  <c r="K637" i="7" s="1"/>
  <c r="K638" i="7" s="1"/>
  <c r="K639" i="7" s="1"/>
  <c r="K640" i="7" s="1"/>
  <c r="K641" i="7" s="1"/>
  <c r="K642" i="7" s="1"/>
  <c r="K643" i="7" s="1"/>
  <c r="K644" i="7" s="1"/>
  <c r="K645" i="7" s="1"/>
  <c r="K646" i="7" s="1"/>
  <c r="K647" i="7" s="1"/>
  <c r="K648" i="7" s="1"/>
  <c r="K649" i="7" s="1"/>
  <c r="K650" i="7" s="1"/>
  <c r="K651" i="7" s="1"/>
  <c r="K652" i="7" s="1"/>
  <c r="K653" i="7" s="1"/>
  <c r="K654" i="7" s="1"/>
  <c r="K655" i="7" s="1"/>
  <c r="K656" i="7" s="1"/>
  <c r="K657" i="7" s="1"/>
  <c r="K658" i="7" s="1"/>
  <c r="K659" i="7" s="1"/>
  <c r="K660" i="7" s="1"/>
  <c r="K661" i="7" s="1"/>
  <c r="K662" i="7" s="1"/>
  <c r="K663" i="7" s="1"/>
  <c r="K664" i="7" s="1"/>
  <c r="K665" i="7" s="1"/>
  <c r="K666" i="7" s="1"/>
  <c r="K667" i="7" s="1"/>
  <c r="K668" i="7" s="1"/>
  <c r="K669" i="7" s="1"/>
  <c r="K670" i="7" s="1"/>
  <c r="K671" i="7" s="1"/>
  <c r="K672" i="7" s="1"/>
  <c r="K673" i="7" s="1"/>
  <c r="K674" i="7" s="1"/>
  <c r="K675" i="7" s="1"/>
  <c r="K676" i="7" s="1"/>
  <c r="K677" i="7" s="1"/>
  <c r="K678" i="7" s="1"/>
  <c r="K679" i="7" s="1"/>
  <c r="K680" i="7" s="1"/>
  <c r="K681" i="7" s="1"/>
  <c r="K682" i="7" s="1"/>
  <c r="K683" i="7" s="1"/>
  <c r="K684" i="7" s="1"/>
  <c r="K685" i="7" s="1"/>
  <c r="K686" i="7" s="1"/>
  <c r="K687" i="7" s="1"/>
  <c r="K688" i="7" s="1"/>
  <c r="K689" i="7" s="1"/>
  <c r="K690" i="7" s="1"/>
  <c r="K691" i="7" s="1"/>
  <c r="K692" i="7" s="1"/>
  <c r="K693" i="7" s="1"/>
  <c r="K694" i="7" s="1"/>
  <c r="K695" i="7" s="1"/>
  <c r="K696" i="7" s="1"/>
  <c r="K697" i="7" s="1"/>
  <c r="K698" i="7" s="1"/>
  <c r="K699" i="7" s="1"/>
  <c r="K700" i="7" s="1"/>
  <c r="K701" i="7" s="1"/>
  <c r="K702" i="7" s="1"/>
  <c r="K703" i="7" s="1"/>
  <c r="K704" i="7" s="1"/>
  <c r="K705" i="7" s="1"/>
  <c r="K706" i="7" s="1"/>
  <c r="K707" i="7" s="1"/>
  <c r="K708" i="7" s="1"/>
  <c r="K709" i="7" s="1"/>
  <c r="K710" i="7" s="1"/>
  <c r="K711" i="7" s="1"/>
  <c r="K712" i="7" s="1"/>
  <c r="K713" i="7" s="1"/>
  <c r="K714" i="7" s="1"/>
  <c r="K715" i="7" s="1"/>
  <c r="K716" i="7" s="1"/>
  <c r="K717" i="7" s="1"/>
  <c r="K718" i="7" s="1"/>
  <c r="K719" i="7" s="1"/>
  <c r="K720" i="7" s="1"/>
  <c r="K721" i="7" s="1"/>
  <c r="K722" i="7" s="1"/>
  <c r="K723" i="7" s="1"/>
  <c r="K724" i="7" s="1"/>
  <c r="K725" i="7" s="1"/>
  <c r="K726" i="7" s="1"/>
  <c r="K727" i="7" s="1"/>
  <c r="K728" i="7" s="1"/>
  <c r="K729" i="7" s="1"/>
  <c r="K730" i="7" s="1"/>
  <c r="K731" i="7" s="1"/>
  <c r="K732" i="7" s="1"/>
  <c r="K733" i="7" s="1"/>
  <c r="K734" i="7" s="1"/>
  <c r="K735" i="7" s="1"/>
  <c r="K736" i="7" s="1"/>
  <c r="K737" i="7" s="1"/>
  <c r="K738" i="7" s="1"/>
  <c r="K739" i="7" s="1"/>
  <c r="K740" i="7" s="1"/>
  <c r="K741" i="7" s="1"/>
  <c r="K742" i="7" s="1"/>
  <c r="K743" i="7" s="1"/>
  <c r="K744" i="7" s="1"/>
  <c r="K745" i="7" s="1"/>
  <c r="K746" i="7" s="1"/>
  <c r="K747" i="7" s="1"/>
  <c r="K748" i="7" s="1"/>
  <c r="K749" i="7" s="1"/>
  <c r="K750" i="7" s="1"/>
  <c r="K751" i="7" s="1"/>
  <c r="K752" i="7" s="1"/>
  <c r="K753" i="7" s="1"/>
  <c r="K754" i="7" s="1"/>
  <c r="K755" i="7" s="1"/>
  <c r="K756" i="7" s="1"/>
  <c r="K757" i="7" s="1"/>
  <c r="K758" i="7" s="1"/>
  <c r="K759" i="7" s="1"/>
  <c r="K760" i="7" s="1"/>
  <c r="K761" i="7" s="1"/>
  <c r="K762" i="7" s="1"/>
  <c r="K763" i="7" s="1"/>
  <c r="K764" i="7" s="1"/>
  <c r="K765" i="7" s="1"/>
  <c r="K766" i="7" s="1"/>
  <c r="K767" i="7" s="1"/>
  <c r="K768" i="7" s="1"/>
  <c r="K769" i="7" s="1"/>
  <c r="K770" i="7" s="1"/>
  <c r="K771" i="7" s="1"/>
  <c r="K772" i="7" s="1"/>
  <c r="K773" i="7" s="1"/>
  <c r="K774" i="7" s="1"/>
  <c r="K775" i="7" s="1"/>
  <c r="K776" i="7" s="1"/>
  <c r="K777" i="7" s="1"/>
  <c r="K778" i="7" s="1"/>
  <c r="K779" i="7" s="1"/>
  <c r="K780" i="7" s="1"/>
  <c r="K781" i="7" s="1"/>
  <c r="K782" i="7" s="1"/>
  <c r="K783" i="7" s="1"/>
  <c r="K784" i="7" s="1"/>
  <c r="K785" i="7" s="1"/>
  <c r="K786" i="7" s="1"/>
  <c r="K787" i="7" s="1"/>
  <c r="K788" i="7" s="1"/>
  <c r="K789" i="7" s="1"/>
  <c r="K790" i="7" s="1"/>
  <c r="K791" i="7" s="1"/>
  <c r="K792" i="7" s="1"/>
  <c r="K793" i="7" s="1"/>
  <c r="K794" i="7" s="1"/>
  <c r="K795" i="7" s="1"/>
  <c r="K796" i="7" s="1"/>
  <c r="K797" i="7" s="1"/>
  <c r="K798" i="7" s="1"/>
  <c r="K799" i="7" s="1"/>
  <c r="K800" i="7" s="1"/>
  <c r="K801" i="7" s="1"/>
  <c r="K802" i="7" s="1"/>
  <c r="K803" i="7" s="1"/>
  <c r="K804" i="7" s="1"/>
  <c r="K805" i="7" s="1"/>
  <c r="K806" i="7" s="1"/>
  <c r="K807" i="7" s="1"/>
  <c r="K808" i="7" s="1"/>
  <c r="K809" i="7" s="1"/>
  <c r="K810" i="7" s="1"/>
  <c r="K811" i="7" s="1"/>
  <c r="K812" i="7" s="1"/>
  <c r="K813" i="7" s="1"/>
  <c r="K814" i="7" s="1"/>
  <c r="K815" i="7" s="1"/>
  <c r="K816" i="7" s="1"/>
  <c r="K817" i="7" s="1"/>
  <c r="K818" i="7" s="1"/>
  <c r="K819" i="7" s="1"/>
  <c r="K820" i="7" s="1"/>
  <c r="K821" i="7" s="1"/>
  <c r="K822" i="7" s="1"/>
  <c r="K823" i="7" s="1"/>
  <c r="K824" i="7" s="1"/>
  <c r="K825" i="7" s="1"/>
  <c r="K826" i="7" s="1"/>
  <c r="K827" i="7" s="1"/>
  <c r="K828" i="7" s="1"/>
  <c r="K829" i="7" s="1"/>
  <c r="K830" i="7" s="1"/>
  <c r="K831" i="7" s="1"/>
  <c r="K832" i="7" s="1"/>
  <c r="K833" i="7" s="1"/>
  <c r="K834" i="7" s="1"/>
  <c r="K835" i="7" s="1"/>
  <c r="K836" i="7" s="1"/>
  <c r="K837" i="7" s="1"/>
  <c r="K838" i="7" s="1"/>
  <c r="K839" i="7" s="1"/>
  <c r="K840" i="7" s="1"/>
  <c r="K841" i="7" s="1"/>
  <c r="K842" i="7" s="1"/>
  <c r="K843" i="7" s="1"/>
  <c r="K844" i="7" s="1"/>
  <c r="K845" i="7" s="1"/>
  <c r="K846" i="7" s="1"/>
  <c r="K847" i="7" s="1"/>
  <c r="K848" i="7" s="1"/>
  <c r="K849" i="7" s="1"/>
  <c r="K850" i="7" s="1"/>
  <c r="K851" i="7" s="1"/>
  <c r="K852" i="7" s="1"/>
  <c r="K853" i="7" s="1"/>
  <c r="K854" i="7" s="1"/>
  <c r="K855" i="7" s="1"/>
  <c r="K856" i="7" s="1"/>
  <c r="K857" i="7" s="1"/>
  <c r="K858" i="7" s="1"/>
  <c r="K859" i="7" s="1"/>
  <c r="K860" i="7" s="1"/>
  <c r="K861" i="7" s="1"/>
  <c r="K862" i="7" s="1"/>
  <c r="K863" i="7" s="1"/>
  <c r="K864" i="7" s="1"/>
  <c r="K865" i="7" s="1"/>
  <c r="K866" i="7" s="1"/>
  <c r="K867" i="7" s="1"/>
  <c r="K868" i="7" s="1"/>
  <c r="K869" i="7" s="1"/>
  <c r="K870" i="7" s="1"/>
  <c r="K871" i="7" s="1"/>
  <c r="K872" i="7" s="1"/>
  <c r="K873" i="7" s="1"/>
  <c r="K874" i="7" s="1"/>
  <c r="K875" i="7" s="1"/>
  <c r="K876" i="7" s="1"/>
  <c r="K877" i="7" s="1"/>
  <c r="K878" i="7" s="1"/>
  <c r="K879" i="7" s="1"/>
  <c r="K880" i="7" s="1"/>
  <c r="K881" i="7" s="1"/>
  <c r="K882" i="7" s="1"/>
  <c r="K883" i="7" s="1"/>
  <c r="K884" i="7" s="1"/>
  <c r="K885" i="7" s="1"/>
  <c r="K886" i="7" s="1"/>
  <c r="K887" i="7" s="1"/>
  <c r="K888" i="7" s="1"/>
  <c r="K889" i="7" s="1"/>
  <c r="K890" i="7" s="1"/>
  <c r="K891" i="7" s="1"/>
  <c r="K892" i="7" s="1"/>
  <c r="K893" i="7" s="1"/>
  <c r="K894" i="7" s="1"/>
  <c r="K895" i="7" s="1"/>
  <c r="K896" i="7" s="1"/>
  <c r="K897" i="7" s="1"/>
  <c r="K898" i="7" s="1"/>
  <c r="K899" i="7" s="1"/>
  <c r="K900" i="7" s="1"/>
  <c r="K901" i="7" s="1"/>
  <c r="K902" i="7" s="1"/>
  <c r="K903" i="7" s="1"/>
  <c r="K904" i="7" s="1"/>
  <c r="K905" i="7" s="1"/>
  <c r="K906" i="7" s="1"/>
  <c r="K907" i="7" s="1"/>
  <c r="K908" i="7" s="1"/>
  <c r="K909" i="7" s="1"/>
  <c r="K910" i="7" s="1"/>
  <c r="K911" i="7" s="1"/>
  <c r="K912" i="7" s="1"/>
  <c r="K913" i="7" s="1"/>
  <c r="K914" i="7" s="1"/>
  <c r="K915" i="7" s="1"/>
  <c r="K916" i="7" s="1"/>
  <c r="K917" i="7" s="1"/>
  <c r="K918" i="7" s="1"/>
  <c r="K919" i="7" s="1"/>
  <c r="K920" i="7" s="1"/>
  <c r="K921" i="7" s="1"/>
  <c r="K922" i="7" s="1"/>
  <c r="K923" i="7" s="1"/>
  <c r="K924" i="7" s="1"/>
  <c r="K925" i="7" s="1"/>
  <c r="K926" i="7" s="1"/>
  <c r="K927" i="7" s="1"/>
  <c r="K928" i="7" s="1"/>
  <c r="K929" i="7" s="1"/>
  <c r="K930" i="7" s="1"/>
  <c r="K931" i="7" s="1"/>
  <c r="K932" i="7" s="1"/>
  <c r="K933" i="7" s="1"/>
  <c r="K934" i="7" s="1"/>
  <c r="K935" i="7" s="1"/>
  <c r="K936" i="7" s="1"/>
  <c r="K937" i="7" s="1"/>
  <c r="K938" i="7" s="1"/>
  <c r="K939" i="7" s="1"/>
  <c r="K940" i="7" s="1"/>
  <c r="K941" i="7" s="1"/>
  <c r="K942" i="7" s="1"/>
  <c r="K943" i="7" s="1"/>
  <c r="K944" i="7" s="1"/>
  <c r="K945" i="7" s="1"/>
  <c r="K946" i="7" s="1"/>
  <c r="K947" i="7" s="1"/>
  <c r="K948" i="7" s="1"/>
  <c r="K949" i="7" s="1"/>
  <c r="K950" i="7" s="1"/>
  <c r="K951" i="7" s="1"/>
  <c r="K952" i="7" s="1"/>
  <c r="K953" i="7" s="1"/>
  <c r="K954" i="7" s="1"/>
  <c r="K955" i="7" s="1"/>
  <c r="K956" i="7" s="1"/>
  <c r="K957" i="7" s="1"/>
  <c r="K958" i="7" s="1"/>
  <c r="K959" i="7" s="1"/>
  <c r="K960" i="7" s="1"/>
  <c r="K961" i="7" s="1"/>
  <c r="K962" i="7" s="1"/>
  <c r="K963" i="7" s="1"/>
  <c r="K964" i="7" s="1"/>
  <c r="K965" i="7" s="1"/>
  <c r="K966" i="7" s="1"/>
  <c r="K967" i="7" s="1"/>
  <c r="K968" i="7" s="1"/>
  <c r="K969" i="7" s="1"/>
  <c r="K970" i="7" s="1"/>
  <c r="K971" i="7" s="1"/>
  <c r="K972" i="7" s="1"/>
  <c r="K973" i="7" s="1"/>
  <c r="K974" i="7" s="1"/>
  <c r="K975" i="7" s="1"/>
  <c r="K976" i="7" s="1"/>
  <c r="K977" i="7" s="1"/>
  <c r="K978" i="7" s="1"/>
  <c r="K979" i="7" s="1"/>
  <c r="K980" i="7" s="1"/>
  <c r="K981" i="7" s="1"/>
  <c r="K982" i="7" s="1"/>
  <c r="K983" i="7" s="1"/>
  <c r="K984" i="7" s="1"/>
  <c r="K985" i="7" s="1"/>
  <c r="K986" i="7" s="1"/>
  <c r="K987" i="7" s="1"/>
  <c r="K988" i="7" s="1"/>
  <c r="K989" i="7" s="1"/>
  <c r="K990" i="7" s="1"/>
  <c r="K991" i="7" s="1"/>
  <c r="K992" i="7" s="1"/>
  <c r="K993" i="7" s="1"/>
  <c r="K994" i="7" s="1"/>
  <c r="K995" i="7" s="1"/>
  <c r="K996" i="7" s="1"/>
  <c r="K997" i="7" s="1"/>
  <c r="K998" i="7" s="1"/>
  <c r="K999" i="7" s="1"/>
  <c r="K1000" i="7" s="1"/>
  <c r="K1001" i="7" s="1"/>
  <c r="K1002" i="7" s="1"/>
  <c r="K1003" i="7" s="1"/>
  <c r="K1004" i="7" s="1"/>
  <c r="K1005" i="7" s="1"/>
  <c r="K1006" i="7" s="1"/>
  <c r="K1007" i="7" s="1"/>
  <c r="K1008" i="7" s="1"/>
  <c r="K1009" i="7" s="1"/>
  <c r="K1010" i="7" s="1"/>
  <c r="K1011" i="7" s="1"/>
  <c r="K1012" i="7" s="1"/>
  <c r="K1013" i="7" s="1"/>
  <c r="K1014" i="7" s="1"/>
  <c r="K1015" i="7" s="1"/>
  <c r="K1016" i="7" s="1"/>
  <c r="K1017" i="7" s="1"/>
  <c r="K1018" i="7" s="1"/>
  <c r="K1019" i="7" s="1"/>
  <c r="K1020" i="7" s="1"/>
  <c r="K1021" i="7" s="1"/>
  <c r="K1022" i="7" s="1"/>
  <c r="K1023" i="7" s="1"/>
  <c r="K1024" i="7" s="1"/>
  <c r="K1025" i="7" s="1"/>
  <c r="K1026" i="7" s="1"/>
  <c r="K1027" i="7" s="1"/>
  <c r="K1028" i="7" s="1"/>
  <c r="K1029" i="7" s="1"/>
  <c r="K1030" i="7" s="1"/>
  <c r="K1031" i="7" s="1"/>
  <c r="K1032" i="7" s="1"/>
  <c r="K1033" i="7" s="1"/>
  <c r="K1034" i="7" s="1"/>
  <c r="K1035" i="7" s="1"/>
  <c r="K1036" i="7" s="1"/>
  <c r="K1037" i="7" s="1"/>
  <c r="K1038" i="7" s="1"/>
  <c r="K1039" i="7" s="1"/>
  <c r="K1040" i="7" s="1"/>
  <c r="K1041" i="7" s="1"/>
  <c r="K1042" i="7" s="1"/>
  <c r="K1043" i="7" s="1"/>
  <c r="K1044" i="7" s="1"/>
  <c r="K1045" i="7" s="1"/>
  <c r="K1046" i="7" s="1"/>
  <c r="K1047" i="7" s="1"/>
  <c r="K1048" i="7" s="1"/>
  <c r="K1049" i="7" s="1"/>
  <c r="K1050" i="7" s="1"/>
  <c r="K1051" i="7" s="1"/>
  <c r="K1052" i="7" s="1"/>
  <c r="K1053" i="7" s="1"/>
  <c r="K1054" i="7" s="1"/>
  <c r="K1055" i="7" s="1"/>
  <c r="K1056" i="7" s="1"/>
  <c r="K1057" i="7" s="1"/>
  <c r="K1058" i="7" s="1"/>
  <c r="K1059" i="7" s="1"/>
  <c r="K1060" i="7" s="1"/>
  <c r="K1061" i="7" s="1"/>
  <c r="K1062" i="7" s="1"/>
  <c r="K1063" i="7" s="1"/>
  <c r="K1064" i="7" s="1"/>
  <c r="K1065" i="7" s="1"/>
  <c r="K1066" i="7" s="1"/>
  <c r="K1067" i="7" s="1"/>
  <c r="K1068" i="7" s="1"/>
  <c r="K1069" i="7" s="1"/>
  <c r="K1070" i="7" s="1"/>
  <c r="K1071" i="7" s="1"/>
  <c r="K1072" i="7" s="1"/>
  <c r="K1073" i="7" s="1"/>
  <c r="K1074" i="7" s="1"/>
  <c r="K1075" i="7" s="1"/>
  <c r="K1076" i="7" s="1"/>
  <c r="K1077" i="7" s="1"/>
  <c r="K1078" i="7" s="1"/>
  <c r="K1079" i="7" s="1"/>
  <c r="K1080" i="7" s="1"/>
  <c r="K1081" i="7" s="1"/>
  <c r="K1082" i="7" s="1"/>
  <c r="K1083" i="7" s="1"/>
  <c r="K1084" i="7" s="1"/>
  <c r="K1085" i="7" s="1"/>
  <c r="K1086" i="7" s="1"/>
  <c r="K1087" i="7" s="1"/>
  <c r="K1088" i="7" s="1"/>
  <c r="K1089" i="7" s="1"/>
  <c r="K1090" i="7" s="1"/>
  <c r="K1091" i="7" s="1"/>
  <c r="K1092" i="7" s="1"/>
  <c r="K1093" i="7" s="1"/>
  <c r="K1094" i="7" s="1"/>
  <c r="K1095" i="7" s="1"/>
  <c r="K1096" i="7" s="1"/>
  <c r="K1097" i="7" s="1"/>
  <c r="K1098" i="7" s="1"/>
  <c r="K1099" i="7" s="1"/>
  <c r="K1100" i="7" s="1"/>
  <c r="K1101" i="7" s="1"/>
  <c r="K1102" i="7" s="1"/>
  <c r="K1103" i="7" s="1"/>
  <c r="K1104" i="7" s="1"/>
  <c r="K1105" i="7" s="1"/>
  <c r="K1106" i="7" s="1"/>
  <c r="K1107" i="7" s="1"/>
  <c r="K1108" i="7" s="1"/>
  <c r="K1109" i="7" s="1"/>
  <c r="K1110" i="7" s="1"/>
  <c r="K1111" i="7" s="1"/>
  <c r="K1112" i="7" s="1"/>
  <c r="K1113" i="7" s="1"/>
  <c r="K1114" i="7" s="1"/>
  <c r="K1115" i="7" s="1"/>
  <c r="K1116" i="7" s="1"/>
  <c r="K1117" i="7" s="1"/>
  <c r="K1118" i="7" s="1"/>
  <c r="K1119" i="7" s="1"/>
  <c r="K1120" i="7" s="1"/>
  <c r="K1121" i="7" s="1"/>
  <c r="K1122" i="7" s="1"/>
  <c r="K1123" i="7" s="1"/>
  <c r="K1124" i="7" s="1"/>
  <c r="K1125" i="7" s="1"/>
  <c r="K1126" i="7" s="1"/>
  <c r="K1127" i="7" s="1"/>
  <c r="K1128" i="7" s="1"/>
  <c r="K1129" i="7" s="1"/>
  <c r="K1130" i="7" s="1"/>
  <c r="K1131" i="7" s="1"/>
  <c r="K1132" i="7" s="1"/>
  <c r="K1133" i="7" s="1"/>
  <c r="K1134" i="7" s="1"/>
  <c r="K1135" i="7" s="1"/>
  <c r="K1136" i="7" s="1"/>
  <c r="K1137" i="7" s="1"/>
  <c r="K1138" i="7" s="1"/>
  <c r="K1139" i="7" s="1"/>
  <c r="K1140" i="7" s="1"/>
  <c r="K1141" i="7" s="1"/>
  <c r="K1142" i="7" s="1"/>
  <c r="K1143" i="7" s="1"/>
  <c r="K1144" i="7" s="1"/>
  <c r="K1145" i="7" s="1"/>
  <c r="K1146" i="7" s="1"/>
  <c r="K1147" i="7" s="1"/>
  <c r="K1148" i="7" s="1"/>
  <c r="K1149" i="7" s="1"/>
  <c r="K1150" i="7" s="1"/>
  <c r="K1151" i="7" s="1"/>
  <c r="K1152" i="7" s="1"/>
  <c r="K1153" i="7" s="1"/>
  <c r="K1154" i="7" s="1"/>
  <c r="K1155" i="7" s="1"/>
  <c r="K1156" i="7" s="1"/>
  <c r="K1157" i="7" s="1"/>
  <c r="K1158" i="7" s="1"/>
  <c r="K1159" i="7" s="1"/>
  <c r="K1160" i="7" s="1"/>
  <c r="K1161" i="7" s="1"/>
  <c r="K1162" i="7" s="1"/>
  <c r="K1163" i="7" s="1"/>
  <c r="K1164" i="7" s="1"/>
  <c r="K1165" i="7" s="1"/>
  <c r="K1166" i="7" s="1"/>
  <c r="K1167" i="7" s="1"/>
  <c r="K1168" i="7" s="1"/>
  <c r="K1169" i="7" s="1"/>
  <c r="K1170" i="7" s="1"/>
  <c r="K1171" i="7" s="1"/>
  <c r="K1172" i="7" s="1"/>
  <c r="K1173" i="7" s="1"/>
  <c r="K1174" i="7" s="1"/>
  <c r="K1175" i="7" s="1"/>
  <c r="K1176" i="7" s="1"/>
  <c r="K1177" i="7" s="1"/>
  <c r="K1178" i="7" s="1"/>
  <c r="K1179" i="7" s="1"/>
  <c r="K1180" i="7" s="1"/>
  <c r="K1181" i="7" s="1"/>
  <c r="K1182" i="7" s="1"/>
  <c r="K1183" i="7" s="1"/>
  <c r="K1184" i="7" s="1"/>
  <c r="K1185" i="7" s="1"/>
  <c r="K1186" i="7" s="1"/>
  <c r="K1187" i="7" s="1"/>
  <c r="K1188" i="7" s="1"/>
  <c r="K1189" i="7" s="1"/>
  <c r="K1190" i="7" s="1"/>
  <c r="K1191" i="7" s="1"/>
  <c r="K1192" i="7" s="1"/>
  <c r="K1193" i="7" s="1"/>
  <c r="K1194" i="7" s="1"/>
  <c r="K1195" i="7" s="1"/>
  <c r="K1196" i="7" s="1"/>
  <c r="K1197" i="7" s="1"/>
  <c r="K1198" i="7" s="1"/>
  <c r="K1199" i="7" s="1"/>
  <c r="K1200" i="7" s="1"/>
  <c r="K1201" i="7" s="1"/>
  <c r="K1202" i="7" s="1"/>
  <c r="K1203" i="7" s="1"/>
  <c r="K1204" i="7" s="1"/>
  <c r="K1205" i="7" s="1"/>
  <c r="K1206" i="7" s="1"/>
  <c r="K1207" i="7" s="1"/>
  <c r="K1208" i="7" s="1"/>
  <c r="K1209" i="7" s="1"/>
  <c r="K1210" i="7" s="1"/>
  <c r="K1211" i="7" s="1"/>
  <c r="K1212" i="7" s="1"/>
  <c r="K1213" i="7" s="1"/>
  <c r="K1214" i="7" s="1"/>
  <c r="K1215" i="7" s="1"/>
  <c r="K1216" i="7" s="1"/>
  <c r="K1217" i="7" s="1"/>
  <c r="K1218" i="7" s="1"/>
  <c r="K1219" i="7" s="1"/>
  <c r="K1220" i="7" s="1"/>
  <c r="K1221" i="7" s="1"/>
  <c r="K1222" i="7" s="1"/>
  <c r="K1223" i="7" s="1"/>
  <c r="K1224" i="7" s="1"/>
  <c r="K1225" i="7" s="1"/>
  <c r="K1226" i="7" s="1"/>
  <c r="K1227" i="7" s="1"/>
  <c r="K1228" i="7" s="1"/>
  <c r="K1229" i="7" s="1"/>
  <c r="K1230" i="7" s="1"/>
  <c r="K1231" i="7" s="1"/>
  <c r="K1232" i="7" s="1"/>
  <c r="K1233" i="7" s="1"/>
  <c r="K1234" i="7" s="1"/>
  <c r="K1235" i="7" s="1"/>
  <c r="K1236" i="7" s="1"/>
  <c r="K1237" i="7" s="1"/>
  <c r="K1238" i="7" s="1"/>
  <c r="K1239" i="7" s="1"/>
  <c r="K1240" i="7" s="1"/>
  <c r="K1241" i="7" s="1"/>
  <c r="K1242" i="7" s="1"/>
  <c r="K1243" i="7" s="1"/>
  <c r="K1244" i="7" s="1"/>
  <c r="K1245" i="7" s="1"/>
  <c r="K1246" i="7" s="1"/>
  <c r="K1247" i="7" s="1"/>
  <c r="K1248" i="7" s="1"/>
  <c r="K1249" i="7" s="1"/>
  <c r="K1250" i="7" s="1"/>
  <c r="K1251" i="7" s="1"/>
  <c r="K1252" i="7" s="1"/>
  <c r="K1253" i="7" s="1"/>
  <c r="K1254" i="7" s="1"/>
  <c r="K1255" i="7" s="1"/>
  <c r="K1256" i="7" s="1"/>
  <c r="K1257" i="7" s="1"/>
  <c r="K1258" i="7" s="1"/>
  <c r="K1259" i="7" s="1"/>
  <c r="K1260" i="7" s="1"/>
  <c r="K1261" i="7" s="1"/>
  <c r="K1262" i="7" s="1"/>
  <c r="K1263" i="7" s="1"/>
  <c r="K1264" i="7" s="1"/>
  <c r="K1265" i="7" s="1"/>
  <c r="K1266" i="7" s="1"/>
  <c r="K1267" i="7" s="1"/>
  <c r="K1268" i="7" s="1"/>
  <c r="K1269" i="7" s="1"/>
  <c r="K1270" i="7" s="1"/>
  <c r="K1271" i="7" s="1"/>
  <c r="K1272" i="7" s="1"/>
  <c r="K1273" i="7" s="1"/>
  <c r="K1274" i="7" s="1"/>
  <c r="K1275" i="7" s="1"/>
  <c r="K1276" i="7" s="1"/>
  <c r="K1277" i="7" s="1"/>
  <c r="K1278" i="7" s="1"/>
  <c r="K1279" i="7" s="1"/>
  <c r="K1280" i="7" s="1"/>
  <c r="K1281" i="7" s="1"/>
  <c r="K1282" i="7" s="1"/>
  <c r="K1283" i="7" s="1"/>
  <c r="K1284" i="7" s="1"/>
  <c r="K1285" i="7" s="1"/>
  <c r="K1286" i="7" s="1"/>
  <c r="K1287" i="7" s="1"/>
  <c r="K1288" i="7" s="1"/>
  <c r="K1289" i="7" s="1"/>
  <c r="K1290" i="7" s="1"/>
  <c r="K1291" i="7" s="1"/>
  <c r="K1292" i="7" s="1"/>
  <c r="K1293" i="7" s="1"/>
  <c r="K1294" i="7" s="1"/>
  <c r="K1295" i="7" s="1"/>
  <c r="K1296" i="7" s="1"/>
  <c r="K1297" i="7" s="1"/>
  <c r="K1298" i="7" s="1"/>
  <c r="K1299" i="7" s="1"/>
  <c r="K1300" i="7" s="1"/>
  <c r="K1301" i="7" s="1"/>
  <c r="K1302" i="7" s="1"/>
  <c r="K1303" i="7" s="1"/>
  <c r="K1304" i="7" s="1"/>
  <c r="K1305" i="7" s="1"/>
  <c r="K1306" i="7" s="1"/>
  <c r="K1307" i="7" s="1"/>
  <c r="K1308" i="7" s="1"/>
  <c r="K1309" i="7" s="1"/>
  <c r="K1310" i="7" s="1"/>
  <c r="K1311" i="7" s="1"/>
  <c r="K1312" i="7" s="1"/>
  <c r="K1313" i="7" s="1"/>
  <c r="K1314" i="7" s="1"/>
  <c r="K1315" i="7" s="1"/>
  <c r="K1316" i="7" s="1"/>
  <c r="K1317" i="7" s="1"/>
  <c r="K1318" i="7" s="1"/>
  <c r="K1319" i="7" s="1"/>
  <c r="K1320" i="7" s="1"/>
  <c r="K1321" i="7" s="1"/>
  <c r="K1322" i="7" s="1"/>
  <c r="K1323" i="7" s="1"/>
  <c r="K1324" i="7" s="1"/>
  <c r="K1325" i="7" s="1"/>
  <c r="K1326" i="7" s="1"/>
  <c r="K1327" i="7" s="1"/>
  <c r="K1328" i="7" s="1"/>
  <c r="K1329" i="7" s="1"/>
  <c r="K1330" i="7" s="1"/>
  <c r="K1331" i="7" s="1"/>
  <c r="K1332" i="7" s="1"/>
  <c r="K1333" i="7" s="1"/>
  <c r="K1334" i="7" s="1"/>
  <c r="K1335" i="7" s="1"/>
  <c r="K1336" i="7" s="1"/>
  <c r="K1337" i="7" s="1"/>
  <c r="K1338" i="7" s="1"/>
  <c r="K1339" i="7" s="1"/>
  <c r="K1340" i="7" s="1"/>
  <c r="K1341" i="7" s="1"/>
  <c r="K1342" i="7" s="1"/>
  <c r="K1343" i="7" s="1"/>
  <c r="K1344" i="7" s="1"/>
  <c r="K1345" i="7" s="1"/>
  <c r="K1346" i="7" s="1"/>
  <c r="K1347" i="7" s="1"/>
  <c r="K1348" i="7" s="1"/>
  <c r="K1349" i="7" s="1"/>
  <c r="K1350" i="7" s="1"/>
  <c r="K1351" i="7" s="1"/>
  <c r="K1352" i="7" s="1"/>
  <c r="K1353" i="7" s="1"/>
  <c r="K1354" i="7" s="1"/>
  <c r="K1355" i="7" s="1"/>
  <c r="K1356" i="7" s="1"/>
  <c r="K1357" i="7" s="1"/>
  <c r="K1358" i="7" s="1"/>
  <c r="K1359" i="7" s="1"/>
  <c r="K1360" i="7" s="1"/>
  <c r="K1361" i="7" s="1"/>
  <c r="K1362" i="7" s="1"/>
  <c r="K1363" i="7" s="1"/>
  <c r="K1364" i="7" s="1"/>
  <c r="K1365" i="7" s="1"/>
  <c r="K1366" i="7" s="1"/>
  <c r="K1367" i="7" s="1"/>
  <c r="K1368" i="7" s="1"/>
  <c r="K1369" i="7" s="1"/>
  <c r="K1370" i="7" s="1"/>
  <c r="K1371" i="7" s="1"/>
  <c r="K1372" i="7" s="1"/>
  <c r="K1373" i="7" s="1"/>
  <c r="K1374" i="7" s="1"/>
  <c r="K1375" i="7" s="1"/>
  <c r="K1376" i="7" s="1"/>
  <c r="K1377" i="7" s="1"/>
  <c r="K1378" i="7" s="1"/>
  <c r="K1379" i="7" s="1"/>
  <c r="K1380" i="7" s="1"/>
  <c r="K1381" i="7" s="1"/>
  <c r="K1382" i="7" s="1"/>
  <c r="K1383" i="7" s="1"/>
  <c r="K1384" i="7" s="1"/>
  <c r="K1385" i="7" s="1"/>
  <c r="K1386" i="7" s="1"/>
  <c r="K1387" i="7" s="1"/>
  <c r="K1388" i="7" s="1"/>
  <c r="K1389" i="7" s="1"/>
  <c r="K1390" i="7" s="1"/>
  <c r="K1391" i="7" s="1"/>
  <c r="K1392" i="7" s="1"/>
  <c r="K1393" i="7" s="1"/>
  <c r="K1394" i="7" s="1"/>
  <c r="K1395" i="7" s="1"/>
  <c r="K1396" i="7" s="1"/>
  <c r="K1397" i="7" s="1"/>
  <c r="K1398" i="7" s="1"/>
  <c r="K1399" i="7" s="1"/>
  <c r="K1400" i="7" s="1"/>
  <c r="K1401" i="7" s="1"/>
  <c r="K1402" i="7" s="1"/>
  <c r="K1403" i="7" s="1"/>
  <c r="K1404" i="7" s="1"/>
  <c r="K1405" i="7" s="1"/>
  <c r="K1406" i="7" s="1"/>
  <c r="K1407" i="7" s="1"/>
  <c r="K1408" i="7" s="1"/>
  <c r="K1409" i="7" s="1"/>
  <c r="K1410" i="7" s="1"/>
  <c r="K1411" i="7" s="1"/>
  <c r="K1412" i="7" s="1"/>
  <c r="K1413" i="7" s="1"/>
  <c r="K1414" i="7" s="1"/>
  <c r="K1415" i="7" s="1"/>
  <c r="K1416" i="7" s="1"/>
  <c r="K1417" i="7" s="1"/>
  <c r="K1418" i="7" s="1"/>
  <c r="K1419" i="7" s="1"/>
  <c r="K1420" i="7" s="1"/>
  <c r="K1421" i="7" s="1"/>
  <c r="K1422" i="7" s="1"/>
  <c r="K1423" i="7" s="1"/>
  <c r="K1424" i="7" s="1"/>
  <c r="K1425" i="7" s="1"/>
  <c r="K1426" i="7" s="1"/>
  <c r="K1427" i="7" s="1"/>
  <c r="K1428" i="7" s="1"/>
  <c r="K1429" i="7" s="1"/>
  <c r="K1430" i="7" s="1"/>
  <c r="K1431" i="7" s="1"/>
  <c r="K1432" i="7" s="1"/>
  <c r="K1433" i="7" s="1"/>
  <c r="K1434" i="7" s="1"/>
  <c r="K1435" i="7" s="1"/>
  <c r="K1436" i="7" s="1"/>
  <c r="K1437" i="7" s="1"/>
  <c r="K1438" i="7" s="1"/>
  <c r="K1439" i="7" s="1"/>
  <c r="K1440" i="7" s="1"/>
  <c r="K1441" i="7" s="1"/>
  <c r="K1442" i="7" s="1"/>
  <c r="K1443" i="7" s="1"/>
  <c r="K1444" i="7" s="1"/>
  <c r="K1445" i="7" s="1"/>
  <c r="K1446" i="7" s="1"/>
  <c r="K1447" i="7" s="1"/>
  <c r="K1448" i="7" s="1"/>
  <c r="K1449" i="7" s="1"/>
  <c r="K1450" i="7" s="1"/>
  <c r="K1451" i="7" s="1"/>
  <c r="K1452" i="7" s="1"/>
  <c r="K1453" i="7" s="1"/>
  <c r="K1454" i="7" s="1"/>
  <c r="K1455" i="7" s="1"/>
  <c r="K1456" i="7" s="1"/>
  <c r="K1457" i="7" s="1"/>
  <c r="K1458" i="7" s="1"/>
  <c r="K1459" i="7" s="1"/>
  <c r="K1460" i="7" s="1"/>
  <c r="K1461" i="7" s="1"/>
  <c r="K1462" i="7" s="1"/>
  <c r="K1463" i="7" s="1"/>
  <c r="K1464" i="7" s="1"/>
  <c r="K1465" i="7" s="1"/>
  <c r="K1466" i="7" s="1"/>
  <c r="K1467" i="7" s="1"/>
  <c r="K1468" i="7" s="1"/>
  <c r="K1469" i="7" s="1"/>
  <c r="K1470" i="7" s="1"/>
  <c r="K1471" i="7" s="1"/>
  <c r="K1472" i="7" s="1"/>
  <c r="K1473" i="7" s="1"/>
  <c r="K1474" i="7" s="1"/>
  <c r="K1475" i="7" s="1"/>
  <c r="K1476" i="7" s="1"/>
  <c r="K1477" i="7" s="1"/>
  <c r="K1478" i="7" s="1"/>
  <c r="K1479" i="7" s="1"/>
  <c r="K1480" i="7" s="1"/>
  <c r="K1481" i="7" s="1"/>
  <c r="K1482" i="7" s="1"/>
  <c r="K1483" i="7" s="1"/>
  <c r="K1484" i="7" s="1"/>
  <c r="K1485" i="7" s="1"/>
  <c r="K1486" i="7" s="1"/>
  <c r="K1487" i="7" s="1"/>
  <c r="K1488" i="7" s="1"/>
  <c r="K1489" i="7" s="1"/>
  <c r="K1490" i="7" s="1"/>
  <c r="K1491" i="7" s="1"/>
  <c r="K1492" i="7" s="1"/>
  <c r="K1493" i="7" s="1"/>
  <c r="K1494" i="7" s="1"/>
  <c r="K1495" i="7" s="1"/>
  <c r="K1496" i="7" s="1"/>
  <c r="K1497" i="7" s="1"/>
  <c r="K1498" i="7" s="1"/>
  <c r="K1499" i="7" s="1"/>
  <c r="K1500" i="7" s="1"/>
  <c r="K1501" i="7" s="1"/>
  <c r="K1502" i="7" s="1"/>
  <c r="K1503" i="7" s="1"/>
  <c r="K1504" i="7" s="1"/>
  <c r="K1505" i="7" s="1"/>
  <c r="K1506" i="7" s="1"/>
  <c r="K1507" i="7" s="1"/>
  <c r="K1508" i="7" s="1"/>
  <c r="K1509" i="7" s="1"/>
  <c r="K1510" i="7" s="1"/>
  <c r="K1511" i="7" s="1"/>
  <c r="K1512" i="7" s="1"/>
  <c r="K1513" i="7" s="1"/>
  <c r="K1514" i="7" s="1"/>
  <c r="K1515" i="7" s="1"/>
  <c r="K1516" i="7" s="1"/>
  <c r="K1517" i="7" s="1"/>
  <c r="K1518" i="7" s="1"/>
  <c r="K1519" i="7" s="1"/>
  <c r="K1520" i="7" s="1"/>
  <c r="K1521" i="7" s="1"/>
  <c r="K1522" i="7" s="1"/>
  <c r="K1523" i="7" s="1"/>
  <c r="K1524" i="7" s="1"/>
  <c r="K1525" i="7" s="1"/>
  <c r="K1526" i="7" s="1"/>
  <c r="K1527" i="7" s="1"/>
  <c r="K1528" i="7" s="1"/>
  <c r="K1529" i="7" s="1"/>
  <c r="K1530" i="7" s="1"/>
  <c r="K1531" i="7" s="1"/>
  <c r="K1532" i="7" s="1"/>
  <c r="K1533" i="7" s="1"/>
  <c r="K1534" i="7" s="1"/>
  <c r="K1535" i="7" s="1"/>
  <c r="K1536" i="7" s="1"/>
  <c r="K1537" i="7" s="1"/>
  <c r="K1538" i="7" s="1"/>
  <c r="K1539" i="7" s="1"/>
  <c r="K1540" i="7" s="1"/>
  <c r="K1541" i="7" s="1"/>
  <c r="K1542" i="7" s="1"/>
  <c r="K1543" i="7" s="1"/>
  <c r="K1544" i="7" s="1"/>
  <c r="K1545" i="7" s="1"/>
  <c r="K1546" i="7" s="1"/>
  <c r="K1547" i="7" s="1"/>
  <c r="K1548" i="7" s="1"/>
  <c r="K1549" i="7" s="1"/>
  <c r="K1550" i="7" s="1"/>
  <c r="K1551" i="7" s="1"/>
  <c r="K1552" i="7" s="1"/>
  <c r="K1553" i="7" s="1"/>
  <c r="K1554" i="7" s="1"/>
  <c r="K1555" i="7" s="1"/>
  <c r="K1556" i="7" s="1"/>
  <c r="K1557" i="7" s="1"/>
  <c r="K1558" i="7" s="1"/>
  <c r="K1559" i="7" s="1"/>
  <c r="K1560" i="7" s="1"/>
  <c r="K1561" i="7" s="1"/>
  <c r="K1562" i="7" s="1"/>
  <c r="K1563" i="7" s="1"/>
  <c r="K1564" i="7" s="1"/>
  <c r="K1565" i="7" s="1"/>
  <c r="K1566" i="7" s="1"/>
  <c r="K1567" i="7" s="1"/>
  <c r="K1568" i="7" s="1"/>
  <c r="K1569" i="7" s="1"/>
  <c r="K1570" i="7" s="1"/>
  <c r="K1571" i="7" s="1"/>
  <c r="K1572" i="7" s="1"/>
  <c r="K1573" i="7" s="1"/>
  <c r="K1574" i="7" s="1"/>
  <c r="K1575" i="7" s="1"/>
  <c r="K1576" i="7" s="1"/>
  <c r="K1577" i="7" s="1"/>
  <c r="K1578" i="7" s="1"/>
  <c r="K1579" i="7" s="1"/>
  <c r="K1580" i="7" s="1"/>
  <c r="K1581" i="7" s="1"/>
  <c r="K1582" i="7" s="1"/>
  <c r="K1583" i="7" s="1"/>
  <c r="K1584" i="7" s="1"/>
  <c r="K1585" i="7" s="1"/>
  <c r="K1586" i="7" s="1"/>
  <c r="K1587" i="7" s="1"/>
  <c r="K1588" i="7" s="1"/>
  <c r="K1589" i="7" s="1"/>
  <c r="K1590" i="7" s="1"/>
  <c r="K1591" i="7" s="1"/>
  <c r="K1592" i="7" s="1"/>
  <c r="K1593" i="7" s="1"/>
  <c r="K1594" i="7" s="1"/>
  <c r="K1595" i="7" s="1"/>
  <c r="K1596" i="7" s="1"/>
  <c r="K1597" i="7" s="1"/>
  <c r="K1598" i="7" s="1"/>
  <c r="K1599" i="7" s="1"/>
  <c r="K1600" i="7" s="1"/>
  <c r="K1601" i="7" s="1"/>
  <c r="K1602" i="7" s="1"/>
  <c r="K1603" i="7" s="1"/>
  <c r="K1604" i="7" s="1"/>
  <c r="K1605" i="7" s="1"/>
  <c r="K1606" i="7" s="1"/>
  <c r="K1607" i="7" s="1"/>
  <c r="K1608" i="7" s="1"/>
  <c r="K1609" i="7" s="1"/>
  <c r="K1610" i="7" s="1"/>
  <c r="K1611" i="7" s="1"/>
  <c r="K1612" i="7" s="1"/>
  <c r="K1613" i="7" s="1"/>
  <c r="K1614" i="7" s="1"/>
  <c r="K1615" i="7" s="1"/>
  <c r="K1616" i="7" s="1"/>
  <c r="K1617" i="7" s="1"/>
  <c r="K1618" i="7" s="1"/>
  <c r="K1619" i="7" s="1"/>
  <c r="K1620" i="7" s="1"/>
  <c r="K1621" i="7" s="1"/>
  <c r="K1622" i="7" s="1"/>
  <c r="K1623" i="7" s="1"/>
  <c r="K1624" i="7" s="1"/>
  <c r="K1625" i="7" s="1"/>
  <c r="K1626" i="7" s="1"/>
  <c r="K1627" i="7" s="1"/>
  <c r="K1628" i="7" s="1"/>
  <c r="K1629" i="7" s="1"/>
  <c r="K1630" i="7" s="1"/>
  <c r="K1631" i="7" s="1"/>
  <c r="K1632" i="7" s="1"/>
  <c r="K1633" i="7" s="1"/>
  <c r="K1634" i="7" s="1"/>
  <c r="K1635" i="7" s="1"/>
  <c r="K1636" i="7" s="1"/>
  <c r="K1637" i="7" s="1"/>
  <c r="K1638" i="7" s="1"/>
  <c r="K1639" i="7" s="1"/>
  <c r="K1640" i="7" s="1"/>
  <c r="K1641" i="7" s="1"/>
  <c r="K1642" i="7" s="1"/>
  <c r="K1643" i="7" s="1"/>
  <c r="K1644" i="7" s="1"/>
  <c r="K1645" i="7" s="1"/>
  <c r="K1646" i="7" s="1"/>
  <c r="K1647" i="7" s="1"/>
  <c r="K1648" i="7" s="1"/>
  <c r="K1649" i="7" s="1"/>
  <c r="K1650" i="7" s="1"/>
  <c r="K1651" i="7" s="1"/>
  <c r="K1652" i="7" s="1"/>
  <c r="K1653" i="7" s="1"/>
  <c r="K1654" i="7" s="1"/>
  <c r="K1655" i="7" s="1"/>
  <c r="K1656" i="7" s="1"/>
  <c r="K1657" i="7" s="1"/>
  <c r="K1658" i="7" s="1"/>
  <c r="K1659" i="7" s="1"/>
  <c r="K1660" i="7" s="1"/>
  <c r="K1661" i="7" s="1"/>
  <c r="K1662" i="7" s="1"/>
  <c r="K1663" i="7" s="1"/>
  <c r="K1664" i="7" s="1"/>
  <c r="K1665" i="7" s="1"/>
  <c r="K1666" i="7" s="1"/>
  <c r="K1667" i="7" s="1"/>
  <c r="K1668" i="7" s="1"/>
  <c r="K1669" i="7" s="1"/>
  <c r="K1670" i="7" s="1"/>
  <c r="K1671" i="7" s="1"/>
  <c r="K1672" i="7" s="1"/>
  <c r="K1673" i="7" s="1"/>
  <c r="K1674" i="7" s="1"/>
  <c r="K1675" i="7" s="1"/>
  <c r="K1676" i="7" s="1"/>
  <c r="K1677" i="7" s="1"/>
  <c r="K1678" i="7" s="1"/>
  <c r="K1679" i="7" s="1"/>
  <c r="K1680" i="7" s="1"/>
  <c r="K1681" i="7" s="1"/>
  <c r="K1682" i="7" s="1"/>
  <c r="K1683" i="7" s="1"/>
  <c r="K1684" i="7" s="1"/>
  <c r="K1685" i="7" s="1"/>
  <c r="K1686" i="7" s="1"/>
  <c r="K1687" i="7" s="1"/>
  <c r="K1688" i="7" s="1"/>
  <c r="K1689" i="7" s="1"/>
  <c r="K1690" i="7" s="1"/>
  <c r="K1691" i="7" s="1"/>
  <c r="K1692" i="7" s="1"/>
  <c r="K1693" i="7" s="1"/>
  <c r="K1694" i="7" s="1"/>
  <c r="K1695" i="7" s="1"/>
  <c r="K1696" i="7" s="1"/>
  <c r="K1697" i="7" s="1"/>
  <c r="K1698" i="7" s="1"/>
  <c r="K1699" i="7" s="1"/>
  <c r="K1700" i="7" s="1"/>
  <c r="K1701" i="7" s="1"/>
  <c r="K1702" i="7" s="1"/>
  <c r="K1703" i="7" s="1"/>
  <c r="K1704" i="7" s="1"/>
  <c r="K1705" i="7" s="1"/>
  <c r="K1706" i="7" s="1"/>
  <c r="K1707" i="7" s="1"/>
  <c r="K1708" i="7" s="1"/>
  <c r="K1709" i="7" s="1"/>
  <c r="K1710" i="7" s="1"/>
  <c r="K1711" i="7" s="1"/>
  <c r="K1712" i="7" s="1"/>
  <c r="K1713" i="7" s="1"/>
  <c r="K1714" i="7" s="1"/>
  <c r="K1715" i="7" s="1"/>
  <c r="K1716" i="7" s="1"/>
  <c r="K1717" i="7" s="1"/>
  <c r="K1718" i="7" s="1"/>
  <c r="K1719" i="7" s="1"/>
  <c r="K1720" i="7" s="1"/>
  <c r="K1721" i="7" s="1"/>
  <c r="K1722" i="7" s="1"/>
  <c r="K1723" i="7" s="1"/>
  <c r="K1724" i="7" s="1"/>
  <c r="K1725" i="7" s="1"/>
  <c r="K1726" i="7" s="1"/>
  <c r="K1727" i="7" s="1"/>
  <c r="K1728" i="7" s="1"/>
  <c r="K1729" i="7" s="1"/>
  <c r="K1730" i="7" s="1"/>
  <c r="K1731" i="7" s="1"/>
  <c r="K1732" i="7" s="1"/>
  <c r="K1733" i="7" s="1"/>
  <c r="K1734" i="7" s="1"/>
  <c r="K1735" i="7" s="1"/>
  <c r="K1736" i="7" s="1"/>
  <c r="K1737" i="7" s="1"/>
  <c r="K1738" i="7" s="1"/>
  <c r="K1739" i="7" s="1"/>
  <c r="K1740" i="7" s="1"/>
  <c r="K1741" i="7" s="1"/>
  <c r="K1742" i="7" s="1"/>
  <c r="K1743" i="7" s="1"/>
  <c r="K1744" i="7" s="1"/>
  <c r="K1745" i="7" s="1"/>
  <c r="K1746" i="7" s="1"/>
  <c r="K1747" i="7" s="1"/>
  <c r="K1748" i="7" s="1"/>
  <c r="K1749" i="7" s="1"/>
  <c r="K1750" i="7" s="1"/>
  <c r="K1751" i="7" s="1"/>
  <c r="K1752" i="7" s="1"/>
  <c r="K1753" i="7" s="1"/>
  <c r="K1754" i="7" s="1"/>
  <c r="K1755" i="7" s="1"/>
  <c r="K1756" i="7" s="1"/>
  <c r="K1757" i="7" s="1"/>
  <c r="K1758" i="7" s="1"/>
  <c r="K1759" i="7" s="1"/>
  <c r="K1760" i="7" s="1"/>
  <c r="K1761" i="7" s="1"/>
  <c r="K1762" i="7" s="1"/>
  <c r="K1763" i="7" s="1"/>
  <c r="K1764" i="7" s="1"/>
  <c r="K1765" i="7" s="1"/>
  <c r="K1766" i="7" s="1"/>
  <c r="K1767" i="7" s="1"/>
  <c r="K1768" i="7" s="1"/>
  <c r="K1769" i="7" s="1"/>
  <c r="K1770" i="7" s="1"/>
  <c r="K1771" i="7" s="1"/>
  <c r="K1772" i="7" s="1"/>
  <c r="K1773" i="7" s="1"/>
  <c r="K1774" i="7" s="1"/>
  <c r="K1775" i="7" s="1"/>
  <c r="K1776" i="7" s="1"/>
  <c r="K1777" i="7" s="1"/>
  <c r="K1778" i="7" s="1"/>
  <c r="K1779" i="7" s="1"/>
  <c r="K1780" i="7" s="1"/>
  <c r="K1781" i="7" s="1"/>
  <c r="K1782" i="7" s="1"/>
  <c r="K1783" i="7" s="1"/>
  <c r="K1784" i="7" s="1"/>
  <c r="K1785" i="7" s="1"/>
  <c r="K1786" i="7" s="1"/>
  <c r="K1787" i="7" s="1"/>
  <c r="K1788" i="7" s="1"/>
  <c r="K1789" i="7" s="1"/>
  <c r="K1790" i="7" s="1"/>
  <c r="K1791" i="7" s="1"/>
  <c r="K1792" i="7" s="1"/>
  <c r="K1793" i="7" s="1"/>
  <c r="K1794" i="7" s="1"/>
  <c r="K1795" i="7" s="1"/>
  <c r="K1796" i="7" s="1"/>
  <c r="K1797" i="7" s="1"/>
  <c r="K1798" i="7" s="1"/>
  <c r="K1799" i="7" s="1"/>
  <c r="K1800" i="7" s="1"/>
  <c r="K1801" i="7" s="1"/>
  <c r="K1802" i="7" s="1"/>
  <c r="K1803" i="7" s="1"/>
  <c r="K1804" i="7" s="1"/>
  <c r="K1805" i="7" s="1"/>
  <c r="K1806" i="7" s="1"/>
  <c r="K1807" i="7" s="1"/>
  <c r="K1808" i="7" s="1"/>
  <c r="K1809" i="7" s="1"/>
  <c r="K1810" i="7" s="1"/>
  <c r="K1811" i="7" s="1"/>
  <c r="K1812" i="7" s="1"/>
  <c r="K1813" i="7" s="1"/>
  <c r="K1814" i="7" s="1"/>
  <c r="K1815" i="7" s="1"/>
  <c r="K1816" i="7" s="1"/>
  <c r="K1817" i="7" s="1"/>
  <c r="K1818" i="7" s="1"/>
  <c r="K1819" i="7" s="1"/>
  <c r="K1820" i="7" s="1"/>
  <c r="K1821" i="7" s="1"/>
  <c r="K1822" i="7" s="1"/>
  <c r="K1823" i="7" s="1"/>
  <c r="K1824" i="7" s="1"/>
  <c r="K1825" i="7" s="1"/>
  <c r="K1826" i="7" s="1"/>
  <c r="K1827" i="7" s="1"/>
  <c r="K1828" i="7" s="1"/>
  <c r="K1829" i="7" s="1"/>
  <c r="K1830" i="7" s="1"/>
  <c r="K1831" i="7" s="1"/>
  <c r="K1832" i="7" s="1"/>
  <c r="K1833" i="7" s="1"/>
  <c r="K1834" i="7" s="1"/>
  <c r="K1835" i="7" s="1"/>
  <c r="K1836" i="7" s="1"/>
  <c r="K1837" i="7" s="1"/>
  <c r="K1838" i="7" s="1"/>
  <c r="K1839" i="7" s="1"/>
  <c r="K1840" i="7" s="1"/>
  <c r="K1841" i="7" s="1"/>
  <c r="K1842" i="7" s="1"/>
  <c r="K1843" i="7" s="1"/>
  <c r="K1844" i="7" s="1"/>
  <c r="K1845" i="7" s="1"/>
  <c r="K1846" i="7" s="1"/>
  <c r="K1847" i="7" s="1"/>
  <c r="K1848" i="7" s="1"/>
  <c r="K1849" i="7" s="1"/>
  <c r="K1850" i="7" s="1"/>
  <c r="K1851" i="7" s="1"/>
  <c r="K1852" i="7" s="1"/>
  <c r="K1853" i="7" s="1"/>
  <c r="K1854" i="7" s="1"/>
  <c r="K1855" i="7" s="1"/>
  <c r="K1856" i="7" s="1"/>
  <c r="K1857" i="7" s="1"/>
  <c r="K1858" i="7" s="1"/>
  <c r="K1859" i="7" s="1"/>
  <c r="K1860" i="7" s="1"/>
  <c r="K1861" i="7" s="1"/>
  <c r="K1862" i="7" s="1"/>
  <c r="K1863" i="7" s="1"/>
  <c r="K1864" i="7" s="1"/>
  <c r="K1865" i="7" s="1"/>
  <c r="K1866" i="7" s="1"/>
  <c r="K1867" i="7" s="1"/>
  <c r="K1868" i="7" s="1"/>
  <c r="K1869" i="7" s="1"/>
  <c r="K1870" i="7" s="1"/>
  <c r="K1871" i="7" s="1"/>
  <c r="K1872" i="7" s="1"/>
  <c r="K1873" i="7" s="1"/>
  <c r="K1874" i="7" s="1"/>
  <c r="K1875" i="7" s="1"/>
  <c r="K1876" i="7" s="1"/>
  <c r="K1877" i="7" s="1"/>
  <c r="K1878" i="7" s="1"/>
  <c r="K1879" i="7" s="1"/>
  <c r="K1880" i="7" s="1"/>
  <c r="K1881" i="7" s="1"/>
  <c r="K1882" i="7" s="1"/>
  <c r="K1883" i="7" s="1"/>
  <c r="K1884" i="7" s="1"/>
  <c r="K1885" i="7" s="1"/>
  <c r="K1886" i="7" s="1"/>
  <c r="K1887" i="7" s="1"/>
  <c r="K1888" i="7" s="1"/>
  <c r="K1889" i="7" s="1"/>
  <c r="K1890" i="7" s="1"/>
  <c r="K1891" i="7" s="1"/>
  <c r="K1892" i="7" s="1"/>
  <c r="K1893" i="7" s="1"/>
  <c r="K1894" i="7" s="1"/>
  <c r="K1895" i="7" s="1"/>
  <c r="K1896" i="7" s="1"/>
  <c r="K1897" i="7" s="1"/>
  <c r="K1898" i="7" s="1"/>
  <c r="K1899" i="7" s="1"/>
  <c r="K1900" i="7" s="1"/>
  <c r="K1901" i="7" s="1"/>
  <c r="K1902" i="7" s="1"/>
  <c r="K1903" i="7" s="1"/>
  <c r="K1904" i="7" s="1"/>
  <c r="K1905" i="7" s="1"/>
  <c r="K1906" i="7" s="1"/>
  <c r="K1907" i="7" s="1"/>
  <c r="K1908" i="7" s="1"/>
  <c r="K1909" i="7" s="1"/>
  <c r="K1910" i="7" s="1"/>
  <c r="K1911" i="7" s="1"/>
  <c r="K1912" i="7" s="1"/>
  <c r="K1913" i="7" s="1"/>
  <c r="K1914" i="7" s="1"/>
  <c r="K1915" i="7" s="1"/>
  <c r="K1916" i="7" s="1"/>
  <c r="K1917" i="7" s="1"/>
  <c r="K1918" i="7" s="1"/>
  <c r="K1919" i="7" s="1"/>
  <c r="K1920" i="7" s="1"/>
  <c r="K1921" i="7" s="1"/>
  <c r="K1922" i="7" s="1"/>
  <c r="K1923" i="7" s="1"/>
  <c r="K1924" i="7" s="1"/>
  <c r="K1925" i="7" s="1"/>
  <c r="K1926" i="7" s="1"/>
  <c r="K1927" i="7" s="1"/>
  <c r="K1928" i="7" s="1"/>
  <c r="K1929" i="7" s="1"/>
  <c r="K1930" i="7" s="1"/>
  <c r="K1931" i="7" s="1"/>
  <c r="K1932" i="7" s="1"/>
  <c r="K1933" i="7" s="1"/>
  <c r="K1934" i="7" s="1"/>
  <c r="K1935" i="7" s="1"/>
  <c r="K1936" i="7" s="1"/>
  <c r="K1937" i="7" s="1"/>
  <c r="K1938" i="7" s="1"/>
  <c r="K1939" i="7" s="1"/>
  <c r="K1940" i="7" s="1"/>
  <c r="K1941" i="7" s="1"/>
  <c r="K1942" i="7" s="1"/>
  <c r="K1943" i="7" s="1"/>
  <c r="K1944" i="7" s="1"/>
  <c r="K1945" i="7" s="1"/>
  <c r="K1946" i="7" s="1"/>
  <c r="K1947" i="7" s="1"/>
  <c r="K1948" i="7" s="1"/>
  <c r="K1949" i="7" s="1"/>
  <c r="K1950" i="7" s="1"/>
  <c r="K1951" i="7" s="1"/>
  <c r="K1952" i="7" s="1"/>
  <c r="K1953" i="7" s="1"/>
  <c r="K1954" i="7" s="1"/>
  <c r="K1955" i="7" s="1"/>
  <c r="K1956" i="7" s="1"/>
  <c r="K1957" i="7" s="1"/>
  <c r="K1958" i="7" s="1"/>
  <c r="K1959" i="7" s="1"/>
  <c r="K1960" i="7" s="1"/>
  <c r="K1961" i="7" s="1"/>
  <c r="K1962" i="7" s="1"/>
  <c r="K1963" i="7" s="1"/>
  <c r="K1964" i="7" s="1"/>
  <c r="K1965" i="7" s="1"/>
  <c r="K1966" i="7" s="1"/>
  <c r="K1967" i="7" s="1"/>
  <c r="K1968" i="7" s="1"/>
  <c r="K1969" i="7" s="1"/>
  <c r="K1970" i="7" s="1"/>
  <c r="K1971" i="7" s="1"/>
  <c r="K1972" i="7" s="1"/>
  <c r="K1973" i="7" s="1"/>
  <c r="K1974" i="7" s="1"/>
  <c r="K1975" i="7" s="1"/>
  <c r="K1976" i="7" s="1"/>
  <c r="K1977" i="7" s="1"/>
  <c r="K1978" i="7" s="1"/>
  <c r="K1979" i="7" s="1"/>
  <c r="K1980" i="7" s="1"/>
  <c r="K1981" i="7" s="1"/>
  <c r="K1982" i="7" s="1"/>
  <c r="K1983" i="7" s="1"/>
  <c r="K1984" i="7" s="1"/>
  <c r="K1985" i="7" s="1"/>
  <c r="K1986" i="7" s="1"/>
  <c r="K1987" i="7" s="1"/>
  <c r="K1988" i="7" s="1"/>
  <c r="K1989" i="7" s="1"/>
  <c r="K1990" i="7" s="1"/>
  <c r="K1991" i="7" s="1"/>
  <c r="K1992" i="7" s="1"/>
  <c r="K1993" i="7" s="1"/>
  <c r="K1994" i="7" s="1"/>
  <c r="K1995" i="7" s="1"/>
  <c r="K1996" i="7" s="1"/>
  <c r="K1997" i="7" s="1"/>
  <c r="K1998" i="7" s="1"/>
  <c r="K1999" i="7" s="1"/>
  <c r="K2000" i="7" s="1"/>
  <c r="K2001" i="7" s="1"/>
  <c r="K2002" i="7" s="1"/>
  <c r="K2003" i="7" s="1"/>
  <c r="K2004" i="7" s="1"/>
  <c r="K2005" i="7" s="1"/>
  <c r="K2006" i="7" s="1"/>
  <c r="K2007" i="7" s="1"/>
  <c r="K2008" i="7" s="1"/>
  <c r="K2009" i="7" s="1"/>
  <c r="K2010" i="7" s="1"/>
  <c r="K2011" i="7" s="1"/>
  <c r="K2012" i="7" s="1"/>
  <c r="K2013" i="7" s="1"/>
  <c r="K2014" i="7" s="1"/>
  <c r="K2015" i="7" s="1"/>
  <c r="K2016" i="7" s="1"/>
  <c r="K2017" i="7" s="1"/>
  <c r="K2018" i="7" s="1"/>
  <c r="K2019" i="7" s="1"/>
  <c r="K2020" i="7" s="1"/>
  <c r="K2021" i="7" s="1"/>
  <c r="K2022" i="7" s="1"/>
  <c r="K2023" i="7" s="1"/>
  <c r="K2024" i="7" s="1"/>
  <c r="K2025" i="7" s="1"/>
  <c r="K2026" i="7" s="1"/>
  <c r="K2027" i="7" s="1"/>
  <c r="K2028" i="7" s="1"/>
  <c r="K2029" i="7" s="1"/>
  <c r="K2030" i="7" s="1"/>
  <c r="K2031" i="7" s="1"/>
  <c r="K2032" i="7" s="1"/>
  <c r="K2033" i="7" s="1"/>
  <c r="K2034" i="7" s="1"/>
  <c r="K2035" i="7" s="1"/>
  <c r="K2036" i="7" s="1"/>
  <c r="K2037" i="7" s="1"/>
  <c r="K2038" i="7" s="1"/>
  <c r="K2039" i="7" s="1"/>
  <c r="K2040" i="7" s="1"/>
  <c r="K2041" i="7" s="1"/>
  <c r="K2042" i="7" s="1"/>
  <c r="K2043" i="7" s="1"/>
  <c r="K2044" i="7" s="1"/>
  <c r="K2045" i="7" s="1"/>
  <c r="K2046" i="7" s="1"/>
  <c r="K2047" i="7" s="1"/>
  <c r="K2048" i="7" s="1"/>
  <c r="K2049" i="7" s="1"/>
  <c r="K2050" i="7" s="1"/>
  <c r="K2051" i="7" s="1"/>
  <c r="K2052" i="7" s="1"/>
  <c r="K2053" i="7" s="1"/>
  <c r="K2054" i="7" s="1"/>
  <c r="K2055" i="7" s="1"/>
  <c r="K2056" i="7" s="1"/>
  <c r="K2057" i="7" s="1"/>
  <c r="K2058" i="7" s="1"/>
  <c r="K2059" i="7" s="1"/>
  <c r="K2060" i="7" s="1"/>
  <c r="K2061" i="7" s="1"/>
  <c r="K2062" i="7" s="1"/>
  <c r="K2063" i="7" s="1"/>
  <c r="K2064" i="7" s="1"/>
  <c r="K2065" i="7" s="1"/>
  <c r="K2066" i="7" s="1"/>
  <c r="K2067" i="7" s="1"/>
  <c r="K2068" i="7" s="1"/>
  <c r="K2069" i="7" s="1"/>
  <c r="K2070" i="7" s="1"/>
  <c r="K2071" i="7" s="1"/>
  <c r="K2072" i="7" s="1"/>
  <c r="K2073" i="7" s="1"/>
  <c r="K2074" i="7" s="1"/>
  <c r="K2075" i="7" s="1"/>
  <c r="K2076" i="7" s="1"/>
  <c r="K2077" i="7" s="1"/>
  <c r="K2078" i="7" s="1"/>
  <c r="K2079" i="7" s="1"/>
  <c r="K2080" i="7" s="1"/>
  <c r="K2081" i="7" s="1"/>
  <c r="K2082" i="7" s="1"/>
  <c r="K2083" i="7" s="1"/>
  <c r="K2084" i="7" s="1"/>
  <c r="K2085" i="7" s="1"/>
  <c r="K2086" i="7" s="1"/>
  <c r="K2087" i="7" s="1"/>
  <c r="K2088" i="7" s="1"/>
  <c r="K2089" i="7" s="1"/>
  <c r="K2090" i="7" s="1"/>
  <c r="K2091" i="7" s="1"/>
  <c r="K2092" i="7" s="1"/>
  <c r="K2093" i="7" s="1"/>
  <c r="K2094" i="7" s="1"/>
  <c r="K2095" i="7" s="1"/>
  <c r="K2096" i="7" s="1"/>
  <c r="K2097" i="7" s="1"/>
  <c r="K2098" i="7" s="1"/>
  <c r="K2099" i="7" s="1"/>
  <c r="K2100" i="7" s="1"/>
  <c r="K2101" i="7" s="1"/>
  <c r="K2102" i="7" s="1"/>
  <c r="K2103" i="7" s="1"/>
  <c r="K2104" i="7" s="1"/>
  <c r="K2105" i="7" s="1"/>
  <c r="K2106" i="7" s="1"/>
  <c r="K2107" i="7" s="1"/>
  <c r="K2108" i="7" s="1"/>
  <c r="K2109" i="7" s="1"/>
  <c r="K2110" i="7" s="1"/>
  <c r="K2111" i="7" s="1"/>
  <c r="K2112" i="7" s="1"/>
  <c r="K2113" i="7" s="1"/>
  <c r="K2114" i="7" s="1"/>
  <c r="K2115" i="7" s="1"/>
  <c r="K2116" i="7" s="1"/>
  <c r="K2117" i="7" s="1"/>
  <c r="K2118" i="7" s="1"/>
  <c r="K2119" i="7" s="1"/>
  <c r="K2120" i="7" s="1"/>
  <c r="K2121" i="7" s="1"/>
  <c r="K2122" i="7" s="1"/>
  <c r="K2123" i="7" s="1"/>
  <c r="K2124" i="7" s="1"/>
  <c r="K2125" i="7" s="1"/>
  <c r="K2126" i="7" s="1"/>
  <c r="K2127" i="7" s="1"/>
  <c r="K2128" i="7" s="1"/>
  <c r="K2129" i="7" s="1"/>
  <c r="K2130" i="7" s="1"/>
  <c r="K2131" i="7" s="1"/>
  <c r="K2132" i="7" s="1"/>
  <c r="K2133" i="7" s="1"/>
  <c r="K2134" i="7" s="1"/>
  <c r="K2135" i="7" s="1"/>
  <c r="K2136" i="7" s="1"/>
  <c r="K2137" i="7" s="1"/>
  <c r="K2138" i="7" s="1"/>
  <c r="K2139" i="7" s="1"/>
  <c r="K2140" i="7" s="1"/>
  <c r="K2141" i="7" s="1"/>
  <c r="K2142" i="7" s="1"/>
  <c r="K2143" i="7" s="1"/>
  <c r="K2144" i="7" s="1"/>
  <c r="K2145" i="7" s="1"/>
  <c r="K2146" i="7" s="1"/>
  <c r="K2147" i="7" s="1"/>
  <c r="K2148" i="7" s="1"/>
  <c r="K2149" i="7" s="1"/>
  <c r="K2150" i="7" s="1"/>
  <c r="K2151" i="7" s="1"/>
  <c r="K2152" i="7" s="1"/>
  <c r="K2153" i="7" s="1"/>
  <c r="K2154" i="7" s="1"/>
  <c r="K2155" i="7" s="1"/>
  <c r="K2156" i="7" s="1"/>
  <c r="K2157" i="7" s="1"/>
  <c r="K2158" i="7" s="1"/>
  <c r="K2159" i="7" s="1"/>
  <c r="K2160" i="7" s="1"/>
  <c r="K2161" i="7" s="1"/>
  <c r="K2162" i="7" s="1"/>
  <c r="K2163" i="7" s="1"/>
  <c r="K2164" i="7" s="1"/>
  <c r="K2165" i="7" s="1"/>
  <c r="K2166" i="7" s="1"/>
  <c r="K2167" i="7" s="1"/>
  <c r="K2168" i="7" s="1"/>
  <c r="K2169" i="7" s="1"/>
  <c r="K2170" i="7" s="1"/>
  <c r="K2171" i="7" s="1"/>
  <c r="K2172" i="7" s="1"/>
  <c r="K2173" i="7" s="1"/>
  <c r="K2174" i="7" s="1"/>
  <c r="K2175" i="7" s="1"/>
  <c r="K2176" i="7" s="1"/>
  <c r="K2177" i="7" s="1"/>
  <c r="K2178" i="7" s="1"/>
  <c r="K2179" i="7" s="1"/>
  <c r="K2180" i="7" s="1"/>
  <c r="K2181" i="7" s="1"/>
  <c r="K2182" i="7" s="1"/>
  <c r="K2183" i="7" s="1"/>
  <c r="K2184" i="7" s="1"/>
  <c r="K2185" i="7" s="1"/>
  <c r="K2186" i="7" s="1"/>
  <c r="K2187" i="7" s="1"/>
  <c r="K2188" i="7" s="1"/>
  <c r="K2189" i="7" s="1"/>
  <c r="K2190" i="7" s="1"/>
  <c r="K2191" i="7" s="1"/>
  <c r="K2192" i="7" s="1"/>
  <c r="K2193" i="7" s="1"/>
  <c r="K2194" i="7" s="1"/>
  <c r="K2195" i="7" s="1"/>
  <c r="K2196" i="7" s="1"/>
  <c r="K2197" i="7" s="1"/>
  <c r="K2198" i="7" s="1"/>
  <c r="K2199" i="7" s="1"/>
  <c r="K2200" i="7" s="1"/>
  <c r="K2201" i="7" s="1"/>
  <c r="K2202" i="7" s="1"/>
  <c r="K2203" i="7" s="1"/>
  <c r="K2204" i="7" s="1"/>
  <c r="K2205" i="7" s="1"/>
  <c r="K2206" i="7" s="1"/>
  <c r="K2207" i="7" s="1"/>
  <c r="K2208" i="7" s="1"/>
  <c r="K2209" i="7" s="1"/>
  <c r="K2210" i="7" s="1"/>
  <c r="K2211" i="7" s="1"/>
  <c r="K2212" i="7" s="1"/>
  <c r="K2213" i="7" s="1"/>
  <c r="K2214" i="7" s="1"/>
  <c r="K2215" i="7" s="1"/>
  <c r="K2216" i="7" s="1"/>
  <c r="K2217" i="7" s="1"/>
  <c r="K2218" i="7" s="1"/>
  <c r="K2219" i="7" s="1"/>
  <c r="K2220" i="7" s="1"/>
  <c r="K2221" i="7" s="1"/>
  <c r="K2222" i="7" s="1"/>
  <c r="K2223" i="7" s="1"/>
  <c r="K2224" i="7" s="1"/>
  <c r="K2225" i="7" s="1"/>
  <c r="K2226" i="7" s="1"/>
  <c r="K2227" i="7" s="1"/>
  <c r="K2228" i="7" s="1"/>
  <c r="K2229" i="7" s="1"/>
  <c r="K2230" i="7" s="1"/>
  <c r="K2231" i="7" s="1"/>
  <c r="K2232" i="7" s="1"/>
  <c r="K2233" i="7" s="1"/>
  <c r="K2234" i="7" s="1"/>
  <c r="K2235" i="7" s="1"/>
  <c r="K2236" i="7" s="1"/>
  <c r="K2237" i="7" s="1"/>
  <c r="K2238" i="7" s="1"/>
  <c r="K2239" i="7" s="1"/>
  <c r="K2240" i="7" s="1"/>
  <c r="K2241" i="7" s="1"/>
  <c r="K2242" i="7" s="1"/>
  <c r="K2243" i="7" s="1"/>
  <c r="K2244" i="7" s="1"/>
  <c r="K2245" i="7" s="1"/>
  <c r="K2246" i="7" s="1"/>
  <c r="K2247" i="7" s="1"/>
  <c r="K2248" i="7" s="1"/>
  <c r="K2249" i="7" s="1"/>
  <c r="K2250" i="7" s="1"/>
  <c r="K2251" i="7" s="1"/>
  <c r="K2252" i="7" s="1"/>
  <c r="K2253" i="7" s="1"/>
  <c r="K2254" i="7" s="1"/>
  <c r="K2255" i="7" s="1"/>
  <c r="K2256" i="7" s="1"/>
  <c r="K2257" i="7" s="1"/>
  <c r="K2258" i="7" s="1"/>
  <c r="K2259" i="7" s="1"/>
  <c r="K2260" i="7" s="1"/>
  <c r="K2261" i="7" s="1"/>
  <c r="K2262" i="7" s="1"/>
  <c r="K2263" i="7" s="1"/>
  <c r="K2264" i="7" s="1"/>
  <c r="K2265" i="7" s="1"/>
  <c r="K2266" i="7" s="1"/>
  <c r="K2267" i="7" s="1"/>
  <c r="K2268" i="7" s="1"/>
  <c r="K2269" i="7" s="1"/>
  <c r="K2270" i="7" s="1"/>
  <c r="K2271" i="7" s="1"/>
  <c r="K2272" i="7" s="1"/>
  <c r="K2273" i="7" s="1"/>
  <c r="K2274" i="7" s="1"/>
  <c r="K2275" i="7" s="1"/>
  <c r="K2276" i="7" s="1"/>
  <c r="K2277" i="7" s="1"/>
  <c r="K2278" i="7" s="1"/>
  <c r="K2279" i="7" s="1"/>
  <c r="K2280" i="7" s="1"/>
  <c r="K2281" i="7" s="1"/>
  <c r="K2282" i="7" s="1"/>
  <c r="K2283" i="7" s="1"/>
  <c r="K2284" i="7" s="1"/>
  <c r="K2285" i="7" s="1"/>
  <c r="K2286" i="7" s="1"/>
  <c r="K2287" i="7" s="1"/>
  <c r="K2288" i="7" s="1"/>
  <c r="K2289" i="7" s="1"/>
  <c r="K2290" i="7" s="1"/>
  <c r="K2291" i="7" s="1"/>
  <c r="K2292" i="7" s="1"/>
  <c r="K2293" i="7" s="1"/>
  <c r="K2294" i="7" s="1"/>
  <c r="K2295" i="7" s="1"/>
  <c r="K2296" i="7" s="1"/>
  <c r="K2297" i="7" s="1"/>
  <c r="K2298" i="7" s="1"/>
  <c r="K2299" i="7" s="1"/>
  <c r="K2300" i="7" s="1"/>
  <c r="K2301" i="7" s="1"/>
  <c r="K2302" i="7" s="1"/>
  <c r="K2303" i="7" s="1"/>
  <c r="K2304" i="7" s="1"/>
  <c r="K2305" i="7" s="1"/>
  <c r="K2306" i="7" s="1"/>
  <c r="K2307" i="7" s="1"/>
  <c r="K2308" i="7" s="1"/>
  <c r="K2309" i="7" s="1"/>
  <c r="K2310" i="7" s="1"/>
  <c r="K2311" i="7" s="1"/>
  <c r="K2312" i="7" s="1"/>
  <c r="K2313" i="7" s="1"/>
  <c r="K2314" i="7" s="1"/>
  <c r="K2315" i="7" s="1"/>
  <c r="K2316" i="7" s="1"/>
  <c r="K2317" i="7" s="1"/>
  <c r="K2318" i="7" s="1"/>
  <c r="K2319" i="7" s="1"/>
  <c r="K2320" i="7" s="1"/>
  <c r="K2321" i="7" s="1"/>
  <c r="K2322" i="7" s="1"/>
  <c r="K2323" i="7" s="1"/>
  <c r="K2324" i="7" s="1"/>
  <c r="K2325" i="7" s="1"/>
  <c r="K2326" i="7" s="1"/>
  <c r="K2327" i="7" s="1"/>
  <c r="K2328" i="7" s="1"/>
  <c r="K2329" i="7" s="1"/>
  <c r="K2330" i="7" s="1"/>
  <c r="K2331" i="7" s="1"/>
  <c r="K2332" i="7" s="1"/>
  <c r="K2333" i="7" s="1"/>
  <c r="K2334" i="7" s="1"/>
  <c r="K2335" i="7" s="1"/>
  <c r="K2336" i="7" s="1"/>
  <c r="K2337" i="7" s="1"/>
  <c r="K2338" i="7" s="1"/>
  <c r="K2339" i="7" s="1"/>
  <c r="K2340" i="7" s="1"/>
  <c r="K2341" i="7" s="1"/>
  <c r="K2342" i="7" s="1"/>
  <c r="K2343" i="7" s="1"/>
  <c r="K2344" i="7" s="1"/>
  <c r="K2345" i="7" s="1"/>
  <c r="K2346" i="7" s="1"/>
  <c r="K2347" i="7" s="1"/>
  <c r="K2348" i="7" s="1"/>
  <c r="K2349" i="7" s="1"/>
  <c r="K2350" i="7" s="1"/>
  <c r="K2351" i="7" s="1"/>
  <c r="K2352" i="7" s="1"/>
  <c r="K2353" i="7" s="1"/>
  <c r="K2354" i="7" s="1"/>
  <c r="K2355" i="7" s="1"/>
  <c r="K2356" i="7" s="1"/>
  <c r="K2357" i="7" s="1"/>
  <c r="K2358" i="7" s="1"/>
  <c r="K2359" i="7" s="1"/>
  <c r="K2360" i="7" s="1"/>
  <c r="K2361" i="7" s="1"/>
  <c r="K2362" i="7" s="1"/>
  <c r="K2363" i="7" s="1"/>
  <c r="K2364" i="7" s="1"/>
  <c r="K2365" i="7" s="1"/>
  <c r="K2366" i="7" s="1"/>
  <c r="K2367" i="7" s="1"/>
  <c r="K2368" i="7" s="1"/>
  <c r="K2369" i="7" s="1"/>
  <c r="K2370" i="7" s="1"/>
  <c r="K2371" i="7" s="1"/>
  <c r="K2372" i="7" s="1"/>
  <c r="K2373" i="7" s="1"/>
  <c r="K2374" i="7" s="1"/>
  <c r="K2375" i="7" s="1"/>
  <c r="K2376" i="7" s="1"/>
  <c r="K2377" i="7" s="1"/>
  <c r="K2378" i="7" s="1"/>
  <c r="K2379" i="7" s="1"/>
  <c r="K2380" i="7" s="1"/>
  <c r="K2381" i="7" s="1"/>
  <c r="K2382" i="7" s="1"/>
  <c r="K2383" i="7" s="1"/>
  <c r="K2384" i="7" s="1"/>
  <c r="K2385" i="7" s="1"/>
  <c r="K2386" i="7" s="1"/>
  <c r="K2387" i="7" s="1"/>
  <c r="K2388" i="7" s="1"/>
  <c r="K2389" i="7" s="1"/>
  <c r="K2390" i="7" s="1"/>
  <c r="K2391" i="7" s="1"/>
  <c r="K2392" i="7" s="1"/>
  <c r="K2393" i="7" s="1"/>
  <c r="K2394" i="7" s="1"/>
  <c r="K2395" i="7" s="1"/>
  <c r="K2396" i="7" s="1"/>
  <c r="K2397" i="7" s="1"/>
  <c r="K2398" i="7" s="1"/>
  <c r="K2399" i="7" s="1"/>
  <c r="K2400" i="7" s="1"/>
  <c r="K2401" i="7" s="1"/>
  <c r="K2402" i="7" s="1"/>
  <c r="K2403" i="7" s="1"/>
  <c r="K2404" i="7" s="1"/>
  <c r="K2405" i="7" s="1"/>
  <c r="K2406" i="7" s="1"/>
  <c r="K2407" i="7" s="1"/>
  <c r="K2408" i="7" s="1"/>
  <c r="K2409" i="7" s="1"/>
  <c r="K2410" i="7" s="1"/>
  <c r="K2411" i="7" s="1"/>
  <c r="K2412" i="7" s="1"/>
  <c r="K2413" i="7" s="1"/>
  <c r="K2414" i="7" s="1"/>
  <c r="K2415" i="7" s="1"/>
  <c r="K2416" i="7" s="1"/>
  <c r="K2417" i="7" s="1"/>
  <c r="K2418" i="7" s="1"/>
  <c r="K2419" i="7" s="1"/>
  <c r="K2420" i="7" s="1"/>
  <c r="K2421" i="7" s="1"/>
  <c r="K2422" i="7" s="1"/>
  <c r="K2423" i="7" s="1"/>
  <c r="K2424" i="7" s="1"/>
  <c r="K2425" i="7" s="1"/>
  <c r="K2426" i="7" s="1"/>
  <c r="K2427" i="7" s="1"/>
  <c r="K2428" i="7" s="1"/>
  <c r="K2429" i="7" s="1"/>
  <c r="K2430" i="7" s="1"/>
  <c r="K2431" i="7" s="1"/>
  <c r="K2432" i="7" s="1"/>
  <c r="K2433" i="7" s="1"/>
  <c r="K2434" i="7" s="1"/>
  <c r="K2435" i="7" s="1"/>
  <c r="K2436" i="7" s="1"/>
  <c r="K2437" i="7" s="1"/>
  <c r="K2438" i="7" s="1"/>
  <c r="K2439" i="7" s="1"/>
  <c r="K2440" i="7" s="1"/>
  <c r="K2441" i="7" s="1"/>
  <c r="K2442" i="7" s="1"/>
  <c r="K2443" i="7" s="1"/>
  <c r="K2444" i="7" s="1"/>
  <c r="K2445" i="7" s="1"/>
  <c r="K2446" i="7" s="1"/>
  <c r="K2447" i="7" s="1"/>
  <c r="K2448" i="7" s="1"/>
  <c r="K2449" i="7" s="1"/>
  <c r="K2450" i="7" s="1"/>
  <c r="K2451" i="7" s="1"/>
  <c r="K2452" i="7" s="1"/>
  <c r="K2453" i="7" s="1"/>
  <c r="K2454" i="7" s="1"/>
  <c r="K2455" i="7" s="1"/>
  <c r="K2456" i="7" s="1"/>
  <c r="K2457" i="7" s="1"/>
  <c r="K2458" i="7" s="1"/>
  <c r="K2459" i="7" s="1"/>
  <c r="K2460" i="7" s="1"/>
  <c r="K2461" i="7" s="1"/>
  <c r="K2462" i="7" s="1"/>
  <c r="K2463" i="7" s="1"/>
  <c r="K2464" i="7" s="1"/>
  <c r="K2465" i="7" s="1"/>
  <c r="K2466" i="7" s="1"/>
  <c r="K2467" i="7" s="1"/>
  <c r="K2468" i="7" s="1"/>
  <c r="K2469" i="7" s="1"/>
  <c r="K2470" i="7" s="1"/>
  <c r="K2471" i="7" s="1"/>
  <c r="K2472" i="7" s="1"/>
  <c r="K2473" i="7" s="1"/>
  <c r="K2474" i="7" s="1"/>
  <c r="K2475" i="7" s="1"/>
  <c r="K2476" i="7" s="1"/>
  <c r="K2477" i="7" s="1"/>
  <c r="K2478" i="7" s="1"/>
  <c r="K2479" i="7" s="1"/>
  <c r="K2480" i="7" s="1"/>
  <c r="K2481" i="7" s="1"/>
  <c r="K2482" i="7" s="1"/>
  <c r="K2483" i="7" s="1"/>
  <c r="K2484" i="7" s="1"/>
  <c r="K2485" i="7" s="1"/>
  <c r="K2486" i="7" s="1"/>
  <c r="K2487" i="7" s="1"/>
  <c r="K2488" i="7" s="1"/>
  <c r="K2489" i="7" s="1"/>
  <c r="K2490" i="7" s="1"/>
  <c r="K2491" i="7" s="1"/>
  <c r="K2492" i="7" s="1"/>
  <c r="K2493" i="7" s="1"/>
  <c r="K2494" i="7" s="1"/>
  <c r="K2495" i="7" s="1"/>
  <c r="K2496" i="7" s="1"/>
  <c r="K2497" i="7" s="1"/>
  <c r="K2498" i="7" s="1"/>
  <c r="K2499" i="7" s="1"/>
  <c r="K2500" i="7" s="1"/>
  <c r="K2501" i="7" s="1"/>
  <c r="K2502" i="7" s="1"/>
  <c r="K2503" i="7" s="1"/>
  <c r="K2504" i="7" s="1"/>
  <c r="K2505" i="7" s="1"/>
  <c r="K2506" i="7" s="1"/>
  <c r="K2507" i="7" s="1"/>
  <c r="K2508" i="7" s="1"/>
  <c r="K2509" i="7" s="1"/>
  <c r="K2510" i="7" s="1"/>
  <c r="K2511" i="7" s="1"/>
  <c r="K2512" i="7" s="1"/>
  <c r="K2513" i="7" s="1"/>
  <c r="K2514" i="7" s="1"/>
  <c r="K2515" i="7" s="1"/>
  <c r="K2516" i="7" s="1"/>
  <c r="K2517" i="7" s="1"/>
  <c r="K2518" i="7" s="1"/>
  <c r="K2519" i="7" s="1"/>
  <c r="K2520" i="7" s="1"/>
  <c r="K2521" i="7" s="1"/>
  <c r="K2522" i="7" s="1"/>
  <c r="K2523" i="7" s="1"/>
  <c r="K2524" i="7" s="1"/>
  <c r="K2525" i="7" s="1"/>
  <c r="K2526" i="7" s="1"/>
  <c r="K2527" i="7" s="1"/>
  <c r="K2528" i="7" s="1"/>
  <c r="K2529" i="7" s="1"/>
  <c r="K2530" i="7" s="1"/>
  <c r="K2531" i="7" s="1"/>
  <c r="K2532" i="7" s="1"/>
  <c r="K2533" i="7" s="1"/>
  <c r="K2534" i="7" s="1"/>
  <c r="K2535" i="7" s="1"/>
  <c r="K2536" i="7" s="1"/>
  <c r="K2537" i="7" s="1"/>
  <c r="K2538" i="7" s="1"/>
  <c r="K2539" i="7" s="1"/>
  <c r="K2540" i="7" s="1"/>
  <c r="K2541" i="7" s="1"/>
  <c r="K2542" i="7" s="1"/>
  <c r="K2543" i="7" s="1"/>
  <c r="K2544" i="7" s="1"/>
  <c r="K2545" i="7" s="1"/>
  <c r="K2546" i="7" s="1"/>
  <c r="K2547" i="7" s="1"/>
  <c r="K2548" i="7" s="1"/>
  <c r="K2549" i="7" s="1"/>
  <c r="K2550" i="7" s="1"/>
  <c r="K2551" i="7" s="1"/>
  <c r="K2552" i="7" s="1"/>
  <c r="K2553" i="7" s="1"/>
  <c r="K2554" i="7" s="1"/>
  <c r="K2555" i="7" s="1"/>
  <c r="K2556" i="7" s="1"/>
  <c r="K2557" i="7" s="1"/>
  <c r="K2558" i="7" s="1"/>
  <c r="K2559" i="7" s="1"/>
  <c r="K2560" i="7" s="1"/>
  <c r="K2561" i="7" s="1"/>
  <c r="K2562" i="7" s="1"/>
  <c r="K2563" i="7" s="1"/>
  <c r="K2564" i="7" s="1"/>
  <c r="K2565" i="7" s="1"/>
  <c r="K2566" i="7" s="1"/>
  <c r="K2567" i="7" s="1"/>
  <c r="K2568" i="7" s="1"/>
  <c r="K2569" i="7" s="1"/>
  <c r="K2570" i="7" s="1"/>
  <c r="K2571" i="7" s="1"/>
  <c r="K2572" i="7" s="1"/>
  <c r="K2573" i="7" s="1"/>
  <c r="K2574" i="7" s="1"/>
  <c r="K2575" i="7" s="1"/>
  <c r="K2576" i="7" s="1"/>
  <c r="K2577" i="7" s="1"/>
  <c r="K2578" i="7" s="1"/>
  <c r="K2579" i="7" s="1"/>
  <c r="K2580" i="7" s="1"/>
  <c r="K2581" i="7" s="1"/>
  <c r="K2582" i="7" s="1"/>
  <c r="K2583" i="7" s="1"/>
  <c r="K2584" i="7" s="1"/>
  <c r="K2585" i="7" s="1"/>
  <c r="K2586" i="7" s="1"/>
  <c r="K2587" i="7" s="1"/>
  <c r="K2588" i="7" s="1"/>
  <c r="K2589" i="7" s="1"/>
  <c r="K2590" i="7" s="1"/>
  <c r="K2591" i="7" s="1"/>
  <c r="K2592" i="7" s="1"/>
  <c r="K2593" i="7" s="1"/>
  <c r="K2594" i="7" s="1"/>
  <c r="K2595" i="7" s="1"/>
  <c r="K2596" i="7" s="1"/>
  <c r="K2597" i="7" s="1"/>
  <c r="K2598" i="7" s="1"/>
  <c r="K2599" i="7" s="1"/>
  <c r="K2600" i="7" s="1"/>
  <c r="K2601" i="7" s="1"/>
  <c r="K2602" i="7" s="1"/>
  <c r="K2603" i="7" s="1"/>
  <c r="K2604" i="7" s="1"/>
  <c r="K2605" i="7" s="1"/>
  <c r="K2606" i="7" s="1"/>
  <c r="K2607" i="7" s="1"/>
  <c r="K2608" i="7" s="1"/>
  <c r="K2609" i="7" s="1"/>
  <c r="K2610" i="7" s="1"/>
  <c r="K2611" i="7" s="1"/>
  <c r="K2612" i="7" s="1"/>
  <c r="K2613" i="7" s="1"/>
  <c r="K2614" i="7" s="1"/>
  <c r="K2615" i="7" s="1"/>
  <c r="K2616" i="7" s="1"/>
  <c r="K2617" i="7" s="1"/>
  <c r="K2618" i="7" s="1"/>
  <c r="K2619" i="7" s="1"/>
  <c r="K2620" i="7" s="1"/>
  <c r="K2621" i="7" s="1"/>
  <c r="K2622" i="7" s="1"/>
  <c r="K2623" i="7" s="1"/>
  <c r="K2624" i="7" s="1"/>
  <c r="K2625" i="7" s="1"/>
  <c r="K2626" i="7" s="1"/>
  <c r="K2627" i="7" s="1"/>
  <c r="K2628" i="7" s="1"/>
  <c r="K2629" i="7" s="1"/>
  <c r="K2630" i="7" s="1"/>
  <c r="K2631" i="7" s="1"/>
  <c r="K2632" i="7" s="1"/>
  <c r="K2633" i="7" s="1"/>
  <c r="K2634" i="7" s="1"/>
  <c r="K2635" i="7" s="1"/>
  <c r="K2636" i="7" s="1"/>
  <c r="K2637" i="7" s="1"/>
  <c r="K2638" i="7" s="1"/>
  <c r="K2639" i="7" s="1"/>
  <c r="K2640" i="7" s="1"/>
  <c r="K2641" i="7" s="1"/>
  <c r="K2642" i="7" s="1"/>
  <c r="K2643" i="7" s="1"/>
  <c r="K2644" i="7" s="1"/>
  <c r="K2645" i="7" s="1"/>
  <c r="K2646" i="7" s="1"/>
  <c r="K2647" i="7" s="1"/>
  <c r="K2648" i="7" s="1"/>
  <c r="K2649" i="7" s="1"/>
  <c r="K2650" i="7" s="1"/>
  <c r="K2651" i="7" s="1"/>
  <c r="K2652" i="7" s="1"/>
  <c r="K2653" i="7" s="1"/>
  <c r="K2654" i="7" s="1"/>
  <c r="K2655" i="7" s="1"/>
  <c r="K2656" i="7" s="1"/>
  <c r="K2657" i="7" s="1"/>
  <c r="K2658" i="7" s="1"/>
  <c r="K2659" i="7" s="1"/>
  <c r="K2660" i="7" s="1"/>
  <c r="K2661" i="7" s="1"/>
  <c r="K2662" i="7" s="1"/>
  <c r="K2663" i="7" s="1"/>
  <c r="K2664" i="7" s="1"/>
  <c r="K2665" i="7" s="1"/>
  <c r="K2666" i="7" s="1"/>
  <c r="K2667" i="7" s="1"/>
  <c r="K2668" i="7" s="1"/>
  <c r="K2669" i="7" s="1"/>
  <c r="K2670" i="7" s="1"/>
  <c r="K2671" i="7" s="1"/>
  <c r="K2672" i="7" s="1"/>
  <c r="K2673" i="7" s="1"/>
  <c r="K2674" i="7" s="1"/>
  <c r="K2675" i="7" s="1"/>
  <c r="K2676" i="7" s="1"/>
  <c r="K2677" i="7" s="1"/>
  <c r="K2678" i="7" s="1"/>
  <c r="K2679" i="7" s="1"/>
  <c r="K2680" i="7" s="1"/>
  <c r="K2681" i="7" s="1"/>
  <c r="K2682" i="7" s="1"/>
  <c r="K2683" i="7" s="1"/>
  <c r="K2684" i="7" s="1"/>
  <c r="K2685" i="7" s="1"/>
  <c r="K2686" i="7" s="1"/>
  <c r="K2687" i="7" s="1"/>
  <c r="K2688" i="7" s="1"/>
  <c r="K2689" i="7" s="1"/>
  <c r="K2690" i="7" s="1"/>
  <c r="K2691" i="7" s="1"/>
  <c r="K2692" i="7" s="1"/>
  <c r="K2693" i="7" s="1"/>
  <c r="K2694" i="7" s="1"/>
  <c r="K2695" i="7" s="1"/>
  <c r="K2696" i="7" s="1"/>
  <c r="K2697" i="7" s="1"/>
  <c r="K2698" i="7" s="1"/>
  <c r="K2699" i="7" s="1"/>
  <c r="K2700" i="7" s="1"/>
  <c r="K2701" i="7" s="1"/>
  <c r="K2702" i="7" s="1"/>
  <c r="K2703" i="7" s="1"/>
  <c r="K2704" i="7" s="1"/>
  <c r="K2705" i="7" s="1"/>
  <c r="K2706" i="7" s="1"/>
  <c r="K2707" i="7" s="1"/>
  <c r="K2708" i="7" s="1"/>
  <c r="K2709" i="7" s="1"/>
  <c r="K2710" i="7" s="1"/>
  <c r="K2711" i="7" s="1"/>
  <c r="K2712" i="7" s="1"/>
  <c r="K2713" i="7" s="1"/>
  <c r="K2714" i="7" s="1"/>
  <c r="K2715" i="7" s="1"/>
  <c r="K2716" i="7" s="1"/>
  <c r="K2717" i="7" s="1"/>
  <c r="K2718" i="7" s="1"/>
  <c r="K2719" i="7" s="1"/>
  <c r="K2720" i="7" s="1"/>
  <c r="K2721" i="7" s="1"/>
  <c r="K2722" i="7" s="1"/>
  <c r="K2723" i="7" s="1"/>
  <c r="K2724" i="7" s="1"/>
  <c r="K2725" i="7" s="1"/>
  <c r="K2726" i="7" s="1"/>
  <c r="K2727" i="7" s="1"/>
  <c r="K2728" i="7" s="1"/>
  <c r="K2729" i="7" s="1"/>
  <c r="K2730" i="7" s="1"/>
  <c r="K2731" i="7" s="1"/>
  <c r="K2732" i="7" s="1"/>
  <c r="K2733" i="7" s="1"/>
  <c r="K2734" i="7" s="1"/>
  <c r="K2735" i="7" s="1"/>
  <c r="K2736" i="7" s="1"/>
  <c r="K2737" i="7" s="1"/>
  <c r="K2738" i="7" s="1"/>
  <c r="K2739" i="7" s="1"/>
  <c r="K2740" i="7" s="1"/>
  <c r="K2741" i="7" s="1"/>
  <c r="K2742" i="7" s="1"/>
  <c r="K2743" i="7" s="1"/>
  <c r="K2744" i="7" s="1"/>
  <c r="K2745" i="7" s="1"/>
  <c r="K2746" i="7" s="1"/>
  <c r="K2747" i="7" s="1"/>
  <c r="K2748" i="7" s="1"/>
  <c r="K2749" i="7" s="1"/>
  <c r="K2750" i="7" s="1"/>
  <c r="K2751" i="7" s="1"/>
  <c r="K2752" i="7" s="1"/>
  <c r="K2753" i="7" s="1"/>
  <c r="K2754" i="7" s="1"/>
  <c r="K2755" i="7" s="1"/>
  <c r="K2756" i="7" s="1"/>
  <c r="K2757" i="7" s="1"/>
  <c r="K2758" i="7" s="1"/>
  <c r="K2759" i="7" s="1"/>
  <c r="K2760" i="7" s="1"/>
  <c r="K2761" i="7" s="1"/>
  <c r="K2762" i="7" s="1"/>
  <c r="K2763" i="7" s="1"/>
  <c r="K2764" i="7" s="1"/>
  <c r="K2765" i="7" s="1"/>
  <c r="K2766" i="7" s="1"/>
  <c r="K2767" i="7" s="1"/>
  <c r="K2768" i="7" s="1"/>
  <c r="K2769" i="7" s="1"/>
  <c r="K2770" i="7" s="1"/>
  <c r="K2771" i="7" s="1"/>
  <c r="K2772" i="7" s="1"/>
  <c r="K2773" i="7" s="1"/>
  <c r="K2774" i="7" s="1"/>
  <c r="K2775" i="7" s="1"/>
  <c r="K2776" i="7" s="1"/>
  <c r="K2777" i="7" s="1"/>
  <c r="K2778" i="7" s="1"/>
  <c r="K2779" i="7" s="1"/>
  <c r="K2780" i="7" s="1"/>
  <c r="K2781" i="7" s="1"/>
  <c r="K2782" i="7" s="1"/>
  <c r="K2783" i="7" s="1"/>
  <c r="K2784" i="7" s="1"/>
  <c r="K2785" i="7" s="1"/>
  <c r="K2786" i="7" s="1"/>
  <c r="K2787" i="7" s="1"/>
  <c r="K2788" i="7" s="1"/>
  <c r="K2789" i="7" s="1"/>
  <c r="K2790" i="7" s="1"/>
  <c r="K2791" i="7" s="1"/>
  <c r="K2792" i="7" s="1"/>
  <c r="K2793" i="7" s="1"/>
  <c r="K2794" i="7" s="1"/>
  <c r="K2795" i="7" s="1"/>
  <c r="K2796" i="7" s="1"/>
  <c r="K2797" i="7" s="1"/>
  <c r="K2798" i="7" s="1"/>
  <c r="K2799" i="7" s="1"/>
  <c r="K2800" i="7" s="1"/>
  <c r="K2801" i="7" s="1"/>
  <c r="K2802" i="7" s="1"/>
  <c r="K2803" i="7" s="1"/>
  <c r="K2804" i="7" s="1"/>
  <c r="K2805" i="7" s="1"/>
  <c r="K2806" i="7" s="1"/>
  <c r="K2807" i="7" s="1"/>
  <c r="K2808" i="7" s="1"/>
  <c r="K2809" i="7" s="1"/>
  <c r="K2810" i="7" s="1"/>
  <c r="K2811" i="7" s="1"/>
  <c r="K2812" i="7" s="1"/>
  <c r="K2813" i="7" s="1"/>
  <c r="K2814" i="7" s="1"/>
  <c r="K2815" i="7" s="1"/>
  <c r="K2816" i="7" s="1"/>
  <c r="K2817" i="7" s="1"/>
  <c r="K2818" i="7" s="1"/>
  <c r="K2819" i="7" s="1"/>
  <c r="K2820" i="7" s="1"/>
  <c r="K2821" i="7" s="1"/>
  <c r="K2822" i="7" s="1"/>
  <c r="K2823" i="7" s="1"/>
  <c r="K2824" i="7" s="1"/>
  <c r="K2825" i="7" s="1"/>
  <c r="K2826" i="7" s="1"/>
  <c r="K2827" i="7" s="1"/>
  <c r="K2828" i="7" s="1"/>
  <c r="K2829" i="7" s="1"/>
  <c r="K2830" i="7" s="1"/>
  <c r="K2831" i="7" s="1"/>
  <c r="K2832" i="7" s="1"/>
  <c r="K2833" i="7" s="1"/>
  <c r="K2834" i="7" s="1"/>
  <c r="K2835" i="7" s="1"/>
  <c r="K2836" i="7" s="1"/>
  <c r="K2837" i="7" s="1"/>
  <c r="K2838" i="7" s="1"/>
  <c r="K2839" i="7" s="1"/>
  <c r="K2840" i="7" s="1"/>
  <c r="K2841" i="7" s="1"/>
  <c r="K2842" i="7" s="1"/>
  <c r="K2843" i="7" s="1"/>
  <c r="K2844" i="7" s="1"/>
  <c r="K2845" i="7" s="1"/>
  <c r="K2846" i="7" s="1"/>
  <c r="K2847" i="7" s="1"/>
  <c r="K2848" i="7" s="1"/>
  <c r="K2849" i="7" s="1"/>
  <c r="K2850" i="7" s="1"/>
  <c r="K2851" i="7" s="1"/>
  <c r="K2852" i="7" s="1"/>
  <c r="K2853" i="7" s="1"/>
  <c r="K2854" i="7" s="1"/>
  <c r="K2855" i="7" s="1"/>
  <c r="K2856" i="7" s="1"/>
  <c r="K2857" i="7" s="1"/>
  <c r="K2858" i="7" s="1"/>
  <c r="K2859" i="7" s="1"/>
  <c r="K2860" i="7" s="1"/>
  <c r="K2861" i="7" s="1"/>
  <c r="K2862" i="7" s="1"/>
  <c r="K2863" i="7" s="1"/>
  <c r="K2864" i="7" s="1"/>
  <c r="K2865" i="7" s="1"/>
  <c r="K2866" i="7" s="1"/>
  <c r="K2867" i="7" s="1"/>
  <c r="K2868" i="7" s="1"/>
  <c r="K2869" i="7" s="1"/>
  <c r="K2870" i="7" s="1"/>
  <c r="K2871" i="7" s="1"/>
  <c r="K2872" i="7" s="1"/>
  <c r="K2873" i="7" s="1"/>
  <c r="K2874" i="7" s="1"/>
  <c r="K2875" i="7" s="1"/>
  <c r="K2876" i="7" s="1"/>
  <c r="K2877" i="7" s="1"/>
  <c r="K2878" i="7" s="1"/>
  <c r="K2879" i="7" s="1"/>
  <c r="K2880" i="7" s="1"/>
  <c r="K2881" i="7" s="1"/>
  <c r="K2882" i="7" s="1"/>
  <c r="K2883" i="7" s="1"/>
  <c r="K2884" i="7" s="1"/>
  <c r="K2885" i="7" s="1"/>
  <c r="K2886" i="7" s="1"/>
  <c r="K2887" i="7" s="1"/>
  <c r="K2888" i="7" s="1"/>
  <c r="K2889" i="7" s="1"/>
  <c r="K2890" i="7" s="1"/>
  <c r="K2891" i="7" s="1"/>
  <c r="K2892" i="7" s="1"/>
  <c r="K2893" i="7" s="1"/>
  <c r="K2894" i="7" s="1"/>
  <c r="K2895" i="7" s="1"/>
  <c r="K2896" i="7" s="1"/>
  <c r="K2897" i="7" s="1"/>
  <c r="K2898" i="7" s="1"/>
  <c r="K2899" i="7" s="1"/>
  <c r="K2900" i="7" s="1"/>
  <c r="K2901" i="7" s="1"/>
  <c r="K2902" i="7" s="1"/>
  <c r="K2903" i="7" s="1"/>
  <c r="K2904" i="7" s="1"/>
  <c r="K2905" i="7" s="1"/>
  <c r="K2906" i="7" s="1"/>
  <c r="K2907" i="7" s="1"/>
  <c r="K2908" i="7" s="1"/>
  <c r="K2909" i="7" s="1"/>
  <c r="K2910" i="7" s="1"/>
  <c r="K2911" i="7" s="1"/>
  <c r="K2912" i="7" s="1"/>
  <c r="K2913" i="7" s="1"/>
  <c r="K2914" i="7" s="1"/>
  <c r="K2915" i="7" s="1"/>
  <c r="K2916" i="7" s="1"/>
  <c r="K2917" i="7" s="1"/>
  <c r="K2918" i="7" s="1"/>
  <c r="K2919" i="7" s="1"/>
  <c r="K2920" i="7" s="1"/>
  <c r="K2921" i="7" s="1"/>
  <c r="K2922" i="7" s="1"/>
  <c r="K2923" i="7" s="1"/>
  <c r="K2924" i="7" s="1"/>
  <c r="K2925" i="7" s="1"/>
  <c r="K2926" i="7" s="1"/>
  <c r="K2927" i="7" s="1"/>
  <c r="K2928" i="7" s="1"/>
  <c r="K2929" i="7" s="1"/>
  <c r="K2930" i="7" s="1"/>
  <c r="K2931" i="7" s="1"/>
  <c r="K2932" i="7" s="1"/>
  <c r="K2933" i="7" s="1"/>
  <c r="K2934" i="7" s="1"/>
  <c r="K2935" i="7" s="1"/>
  <c r="K2936" i="7" s="1"/>
  <c r="K2937" i="7" s="1"/>
  <c r="K2938" i="7" s="1"/>
  <c r="K2939" i="7" s="1"/>
  <c r="K2940" i="7" s="1"/>
  <c r="K2941" i="7" s="1"/>
  <c r="K2942" i="7" s="1"/>
  <c r="K2943" i="7" s="1"/>
  <c r="K2944" i="7" s="1"/>
  <c r="K2945" i="7" s="1"/>
  <c r="K2946" i="7" s="1"/>
  <c r="K2947" i="7" s="1"/>
  <c r="K2948" i="7" s="1"/>
  <c r="K2949" i="7" s="1"/>
  <c r="K2950" i="7" s="1"/>
  <c r="K2951" i="7" s="1"/>
  <c r="K2952" i="7" s="1"/>
  <c r="K2953" i="7" s="1"/>
  <c r="K2954" i="7" s="1"/>
  <c r="K2955" i="7" s="1"/>
  <c r="K2956" i="7" s="1"/>
  <c r="K2957" i="7" s="1"/>
  <c r="K2958" i="7" s="1"/>
  <c r="K2959" i="7" s="1"/>
  <c r="K2960" i="7" s="1"/>
  <c r="K2961" i="7" s="1"/>
  <c r="K2962" i="7" s="1"/>
  <c r="K2963" i="7" s="1"/>
  <c r="K2964" i="7" s="1"/>
  <c r="K2965" i="7" s="1"/>
  <c r="K2966" i="7" s="1"/>
  <c r="K2967" i="7" s="1"/>
  <c r="K2968" i="7" s="1"/>
  <c r="K2969" i="7" s="1"/>
  <c r="K2970" i="7" s="1"/>
  <c r="K2971" i="7" s="1"/>
  <c r="K2972" i="7" s="1"/>
  <c r="K2973" i="7" s="1"/>
  <c r="K2974" i="7" s="1"/>
  <c r="K2975" i="7" s="1"/>
  <c r="K2976" i="7" s="1"/>
  <c r="K2977" i="7" s="1"/>
  <c r="K2978" i="7" s="1"/>
  <c r="K2979" i="7" s="1"/>
  <c r="K2980" i="7" s="1"/>
  <c r="K2981" i="7" s="1"/>
  <c r="K2982" i="7" s="1"/>
  <c r="K2983" i="7" s="1"/>
  <c r="K2984" i="7" s="1"/>
  <c r="K2985" i="7" s="1"/>
  <c r="K2986" i="7" s="1"/>
  <c r="K2987" i="7" s="1"/>
  <c r="K2988" i="7" s="1"/>
  <c r="K2989" i="7" s="1"/>
  <c r="K2990" i="7" s="1"/>
  <c r="K2991" i="7" s="1"/>
  <c r="K2992" i="7" s="1"/>
  <c r="K2993" i="7" s="1"/>
  <c r="K2994" i="7" s="1"/>
  <c r="K2995" i="7" s="1"/>
  <c r="K2996" i="7" s="1"/>
  <c r="K2997" i="7" s="1"/>
  <c r="K2998" i="7" s="1"/>
  <c r="K2999" i="7" s="1"/>
  <c r="K3000" i="7" s="1"/>
  <c r="K3001" i="7" s="1"/>
  <c r="K3002" i="7" s="1"/>
  <c r="K3003" i="7" s="1"/>
  <c r="K3004" i="7" s="1"/>
  <c r="K3005" i="7" s="1"/>
  <c r="K3006" i="7" s="1"/>
  <c r="K3007" i="7" s="1"/>
  <c r="K3008" i="7" s="1"/>
  <c r="K3009" i="7" s="1"/>
  <c r="K3010" i="7" s="1"/>
  <c r="K3011" i="7" s="1"/>
  <c r="K3012" i="7" s="1"/>
  <c r="K3013" i="7" s="1"/>
  <c r="K3014" i="7" s="1"/>
  <c r="K3015" i="7" s="1"/>
  <c r="K3016" i="7" s="1"/>
  <c r="K3017" i="7" s="1"/>
  <c r="K3018" i="7" s="1"/>
  <c r="K3019" i="7" s="1"/>
  <c r="K3020" i="7" s="1"/>
  <c r="K3021" i="7" s="1"/>
  <c r="K3022" i="7" s="1"/>
  <c r="K3023" i="7" s="1"/>
  <c r="K3024" i="7" s="1"/>
  <c r="K3025" i="7" s="1"/>
  <c r="K3026" i="7" s="1"/>
  <c r="K3027" i="7" s="1"/>
  <c r="K3028" i="7" s="1"/>
  <c r="K3029" i="7" s="1"/>
  <c r="K3030" i="7" s="1"/>
  <c r="K3031" i="7" s="1"/>
  <c r="K3032" i="7" s="1"/>
  <c r="K3033" i="7" s="1"/>
  <c r="K3034" i="7" s="1"/>
  <c r="K3035" i="7" s="1"/>
  <c r="K3036" i="7" s="1"/>
  <c r="K3037" i="7" s="1"/>
  <c r="K3038" i="7" s="1"/>
  <c r="K3039" i="7" s="1"/>
  <c r="K3040" i="7" s="1"/>
  <c r="K3041" i="7" s="1"/>
  <c r="K3042" i="7" s="1"/>
  <c r="K3043" i="7" s="1"/>
  <c r="K3044" i="7" s="1"/>
  <c r="K3045" i="7" s="1"/>
  <c r="K3046" i="7" s="1"/>
  <c r="K3047" i="7" s="1"/>
  <c r="K3048" i="7" s="1"/>
  <c r="K3049" i="7" s="1"/>
  <c r="K3050" i="7" s="1"/>
  <c r="K3051" i="7" s="1"/>
  <c r="K3052" i="7" s="1"/>
  <c r="K3053" i="7" s="1"/>
  <c r="K3054" i="7" s="1"/>
  <c r="K3055" i="7" s="1"/>
  <c r="K3056" i="7" s="1"/>
  <c r="K3057" i="7" s="1"/>
  <c r="K3058" i="7" s="1"/>
  <c r="K3059" i="7" s="1"/>
  <c r="K3060" i="7" s="1"/>
  <c r="K3061" i="7" s="1"/>
  <c r="K3062" i="7" s="1"/>
  <c r="K3063" i="7" s="1"/>
  <c r="K3064" i="7" s="1"/>
  <c r="K3065" i="7" s="1"/>
  <c r="K3066" i="7" s="1"/>
  <c r="K3067" i="7" s="1"/>
  <c r="K3068" i="7" s="1"/>
  <c r="K3069" i="7" s="1"/>
  <c r="K3070" i="7" s="1"/>
  <c r="K3071" i="7" s="1"/>
  <c r="K3072" i="7" s="1"/>
  <c r="K3073" i="7" s="1"/>
  <c r="K3074" i="7" s="1"/>
  <c r="K3075" i="7" s="1"/>
  <c r="K3076" i="7" s="1"/>
  <c r="K3077" i="7" s="1"/>
  <c r="K3078" i="7" s="1"/>
  <c r="K3079" i="7" s="1"/>
  <c r="K3080" i="7" s="1"/>
  <c r="K3081" i="7" s="1"/>
  <c r="K3082" i="7" s="1"/>
  <c r="K3083" i="7" s="1"/>
  <c r="K3084" i="7" s="1"/>
  <c r="K3085" i="7" s="1"/>
  <c r="K3086" i="7" s="1"/>
  <c r="K3087" i="7" s="1"/>
  <c r="K3088" i="7" s="1"/>
  <c r="K3089" i="7" s="1"/>
  <c r="K3090" i="7" s="1"/>
  <c r="K3091" i="7" s="1"/>
  <c r="K3092" i="7" s="1"/>
  <c r="K3093" i="7" s="1"/>
  <c r="K3094" i="7" s="1"/>
  <c r="K3095" i="7" s="1"/>
  <c r="K3096" i="7" s="1"/>
  <c r="K3097" i="7" s="1"/>
  <c r="K3098" i="7" s="1"/>
  <c r="K3099" i="7" s="1"/>
  <c r="K3100" i="7" s="1"/>
  <c r="K3101" i="7" s="1"/>
  <c r="K3102" i="7" s="1"/>
  <c r="K3103" i="7" s="1"/>
  <c r="K3104" i="7" s="1"/>
  <c r="K3105" i="7" s="1"/>
  <c r="K3106" i="7" s="1"/>
  <c r="K3107" i="7" s="1"/>
  <c r="K3108" i="7" s="1"/>
  <c r="K3109" i="7" s="1"/>
  <c r="K3110" i="7" s="1"/>
  <c r="K3111" i="7" s="1"/>
  <c r="K3112" i="7" s="1"/>
  <c r="K3113" i="7" s="1"/>
  <c r="K3114" i="7" s="1"/>
  <c r="K3115" i="7" s="1"/>
  <c r="K3116" i="7" s="1"/>
  <c r="K3117" i="7" s="1"/>
  <c r="K3118" i="7" s="1"/>
  <c r="K3119" i="7" s="1"/>
  <c r="K3120" i="7" s="1"/>
  <c r="K3121" i="7" s="1"/>
  <c r="K3122" i="7" s="1"/>
  <c r="K3123" i="7" s="1"/>
  <c r="K3124" i="7" s="1"/>
  <c r="K3125" i="7" s="1"/>
  <c r="K3126" i="7" s="1"/>
  <c r="K3127" i="7" s="1"/>
  <c r="K3128" i="7" s="1"/>
  <c r="K3129" i="7" s="1"/>
  <c r="K3130" i="7" s="1"/>
  <c r="K3131" i="7" s="1"/>
  <c r="K3132" i="7" s="1"/>
  <c r="K3133" i="7" s="1"/>
  <c r="K3134" i="7" s="1"/>
  <c r="K3135" i="7" s="1"/>
  <c r="K3136" i="7" s="1"/>
  <c r="K3137" i="7" s="1"/>
  <c r="K3138" i="7" s="1"/>
  <c r="K3139" i="7" s="1"/>
  <c r="K3140" i="7" s="1"/>
  <c r="K3141" i="7" s="1"/>
  <c r="K3142" i="7" s="1"/>
  <c r="K3143" i="7" s="1"/>
  <c r="K3144" i="7" s="1"/>
  <c r="K3145" i="7" s="1"/>
  <c r="K3146" i="7" s="1"/>
  <c r="K3147" i="7" s="1"/>
  <c r="K3148" i="7" s="1"/>
  <c r="K3149" i="7" s="1"/>
  <c r="K3150" i="7" s="1"/>
  <c r="K3151" i="7" s="1"/>
  <c r="K3152" i="7" s="1"/>
  <c r="K3153" i="7" s="1"/>
  <c r="K3154" i="7" s="1"/>
  <c r="K3155" i="7" s="1"/>
  <c r="K3156" i="7" s="1"/>
  <c r="K3157" i="7" s="1"/>
  <c r="K3158" i="7" s="1"/>
  <c r="K3159" i="7" s="1"/>
  <c r="K3160" i="7" s="1"/>
  <c r="K3161" i="7" s="1"/>
  <c r="K3162" i="7" s="1"/>
  <c r="K3163" i="7" s="1"/>
  <c r="K3164" i="7" s="1"/>
  <c r="K3165" i="7" s="1"/>
  <c r="K3166" i="7" s="1"/>
  <c r="K3167" i="7" s="1"/>
  <c r="K3168" i="7" s="1"/>
  <c r="K3169" i="7" s="1"/>
  <c r="K3170" i="7" s="1"/>
  <c r="K3171" i="7" s="1"/>
  <c r="K3172" i="7" s="1"/>
  <c r="K3173" i="7" s="1"/>
  <c r="K3174" i="7" s="1"/>
  <c r="K3175" i="7" s="1"/>
  <c r="K3176" i="7" s="1"/>
  <c r="K3177" i="7" s="1"/>
  <c r="K3178" i="7" s="1"/>
  <c r="K3179" i="7" s="1"/>
  <c r="K3180" i="7" s="1"/>
  <c r="K3181" i="7" s="1"/>
  <c r="K3182" i="7" s="1"/>
  <c r="K3183" i="7" s="1"/>
  <c r="K3184" i="7" s="1"/>
  <c r="K3185" i="7" s="1"/>
  <c r="K3186" i="7" s="1"/>
  <c r="K3187" i="7" s="1"/>
  <c r="K3188" i="7" s="1"/>
  <c r="K3189" i="7" s="1"/>
  <c r="K3190" i="7" s="1"/>
  <c r="K3191" i="7" s="1"/>
  <c r="K3192" i="7" s="1"/>
  <c r="K3193" i="7" s="1"/>
  <c r="K3194" i="7" s="1"/>
  <c r="K3195" i="7" s="1"/>
  <c r="K3196" i="7" s="1"/>
  <c r="K3197" i="7" s="1"/>
  <c r="K3198" i="7" s="1"/>
  <c r="K3199" i="7" s="1"/>
  <c r="K3200" i="7" s="1"/>
  <c r="K3201" i="7" s="1"/>
  <c r="K3202" i="7" s="1"/>
  <c r="K3203" i="7" s="1"/>
  <c r="K3204" i="7" s="1"/>
  <c r="K3205" i="7" s="1"/>
  <c r="K3206" i="7" s="1"/>
  <c r="K3207" i="7" s="1"/>
  <c r="K3208" i="7" s="1"/>
  <c r="K3209" i="7" s="1"/>
  <c r="K3210" i="7" s="1"/>
  <c r="K3211" i="7" s="1"/>
  <c r="K3212" i="7" s="1"/>
  <c r="K3213" i="7" s="1"/>
  <c r="K3214" i="7" s="1"/>
  <c r="K3215" i="7" s="1"/>
  <c r="K3216" i="7" s="1"/>
  <c r="K3217" i="7" s="1"/>
  <c r="K3218" i="7" s="1"/>
  <c r="K3219" i="7" s="1"/>
  <c r="K3220" i="7" s="1"/>
  <c r="K3221" i="7" s="1"/>
  <c r="K3222" i="7" s="1"/>
  <c r="K3223" i="7" s="1"/>
  <c r="K3224" i="7" s="1"/>
  <c r="K3225" i="7" s="1"/>
  <c r="K3226" i="7" s="1"/>
  <c r="K3227" i="7" s="1"/>
  <c r="K3228" i="7" s="1"/>
  <c r="K3229" i="7" s="1"/>
  <c r="K3230" i="7" s="1"/>
  <c r="K3231" i="7" s="1"/>
  <c r="K3232" i="7" s="1"/>
  <c r="K3233" i="7" s="1"/>
  <c r="K3234" i="7" s="1"/>
  <c r="K3235" i="7" s="1"/>
  <c r="K3236" i="7" s="1"/>
  <c r="K3237" i="7" s="1"/>
  <c r="K3238" i="7" s="1"/>
  <c r="K3239" i="7" s="1"/>
  <c r="K3240" i="7" s="1"/>
  <c r="K3241" i="7" s="1"/>
  <c r="K3242" i="7" s="1"/>
  <c r="K3243" i="7" s="1"/>
  <c r="K3244" i="7" s="1"/>
  <c r="K3245" i="7" s="1"/>
  <c r="K3246" i="7" s="1"/>
  <c r="K3247" i="7" s="1"/>
  <c r="K3248" i="7" s="1"/>
  <c r="K3249" i="7" s="1"/>
  <c r="K3250" i="7" s="1"/>
  <c r="K3251" i="7" s="1"/>
  <c r="K3252" i="7" s="1"/>
  <c r="K3253" i="7" s="1"/>
  <c r="K3254" i="7" s="1"/>
  <c r="K3255" i="7" s="1"/>
  <c r="K3256" i="7" s="1"/>
  <c r="K3257" i="7" s="1"/>
  <c r="K3258" i="7" s="1"/>
  <c r="K3259" i="7" s="1"/>
  <c r="K3260" i="7" s="1"/>
  <c r="K3261" i="7" s="1"/>
  <c r="K3262" i="7" s="1"/>
  <c r="K3263" i="7" s="1"/>
  <c r="K3264" i="7" s="1"/>
  <c r="K3265" i="7" s="1"/>
  <c r="K3266" i="7" s="1"/>
  <c r="K3267" i="7" s="1"/>
  <c r="K3268" i="7" s="1"/>
  <c r="K3269" i="7" s="1"/>
  <c r="K3270" i="7" s="1"/>
  <c r="K3271" i="7" s="1"/>
  <c r="K3272" i="7" s="1"/>
  <c r="K3273" i="7" s="1"/>
  <c r="K3274" i="7" s="1"/>
  <c r="K3275" i="7" s="1"/>
  <c r="K3276" i="7" s="1"/>
  <c r="K3277" i="7" s="1"/>
  <c r="K3278" i="7" s="1"/>
  <c r="K3279" i="7" s="1"/>
  <c r="K3280" i="7" s="1"/>
  <c r="K3281" i="7" s="1"/>
  <c r="K3282" i="7" s="1"/>
  <c r="K3283" i="7" s="1"/>
  <c r="K3284" i="7" s="1"/>
  <c r="K3285" i="7" s="1"/>
  <c r="K3286" i="7" s="1"/>
  <c r="K3287" i="7" s="1"/>
  <c r="K3288" i="7" s="1"/>
  <c r="K3289" i="7" s="1"/>
  <c r="K3290" i="7" s="1"/>
  <c r="K3291" i="7" s="1"/>
  <c r="K3292" i="7" s="1"/>
  <c r="K3293" i="7" s="1"/>
  <c r="K3294" i="7" s="1"/>
  <c r="K3295" i="7" s="1"/>
  <c r="K3296" i="7" s="1"/>
  <c r="K3297" i="7" s="1"/>
  <c r="K3298" i="7" s="1"/>
  <c r="K3299" i="7" s="1"/>
  <c r="K3300" i="7" s="1"/>
  <c r="K3301" i="7" s="1"/>
  <c r="K3302" i="7" s="1"/>
  <c r="K3303" i="7" s="1"/>
  <c r="K3304" i="7" s="1"/>
  <c r="K3305" i="7" s="1"/>
  <c r="K3306" i="7" s="1"/>
  <c r="K3307" i="7" s="1"/>
  <c r="K3308" i="7" s="1"/>
  <c r="K3309" i="7" s="1"/>
  <c r="K3310" i="7" s="1"/>
  <c r="K3311" i="7" s="1"/>
  <c r="K3312" i="7" s="1"/>
  <c r="K3313" i="7" s="1"/>
  <c r="K3314" i="7" s="1"/>
  <c r="K3315" i="7" s="1"/>
  <c r="K3316" i="7" s="1"/>
  <c r="K3317" i="7" s="1"/>
  <c r="K3318" i="7" s="1"/>
  <c r="K3319" i="7" s="1"/>
  <c r="K3320" i="7" s="1"/>
  <c r="K3321" i="7" s="1"/>
  <c r="K3322" i="7" s="1"/>
  <c r="K3323" i="7" s="1"/>
  <c r="K3324" i="7" s="1"/>
  <c r="K3325" i="7" s="1"/>
  <c r="K3326" i="7" s="1"/>
  <c r="K3327" i="7" s="1"/>
  <c r="K3328" i="7" s="1"/>
  <c r="K3329" i="7" s="1"/>
  <c r="K3330" i="7" s="1"/>
  <c r="K3331" i="7" s="1"/>
  <c r="K3332" i="7" s="1"/>
  <c r="K3333" i="7" s="1"/>
  <c r="K3334" i="7" s="1"/>
  <c r="K3335" i="7" s="1"/>
  <c r="K3336" i="7" s="1"/>
  <c r="K3337" i="7" s="1"/>
  <c r="K3338" i="7" s="1"/>
  <c r="K3339" i="7" s="1"/>
  <c r="K3340" i="7" s="1"/>
  <c r="K3341" i="7" s="1"/>
  <c r="K3342" i="7" s="1"/>
  <c r="K3343" i="7" s="1"/>
  <c r="K3344" i="7" s="1"/>
  <c r="K3345" i="7" s="1"/>
  <c r="K3346" i="7" s="1"/>
  <c r="K3347" i="7" s="1"/>
  <c r="K3348" i="7" s="1"/>
  <c r="K3349" i="7" s="1"/>
  <c r="K3350" i="7" s="1"/>
  <c r="K3351" i="7" s="1"/>
  <c r="K3352" i="7" s="1"/>
  <c r="K3353" i="7" s="1"/>
  <c r="K3354" i="7" s="1"/>
  <c r="K3355" i="7" s="1"/>
  <c r="K3356" i="7" s="1"/>
  <c r="K3357" i="7" s="1"/>
  <c r="K3358" i="7" s="1"/>
  <c r="K3359" i="7" s="1"/>
  <c r="K3360" i="7" s="1"/>
  <c r="K3361" i="7" s="1"/>
  <c r="K3362" i="7" s="1"/>
  <c r="K3363" i="7" s="1"/>
  <c r="K3364" i="7" s="1"/>
  <c r="K3365" i="7" s="1"/>
  <c r="K3366" i="7" s="1"/>
  <c r="K3367" i="7" s="1"/>
  <c r="K3368" i="7" s="1"/>
  <c r="K3369" i="7" s="1"/>
  <c r="K3370" i="7" s="1"/>
  <c r="K3371" i="7" s="1"/>
  <c r="K3372" i="7" s="1"/>
  <c r="K3373" i="7" s="1"/>
  <c r="K3374" i="7" s="1"/>
  <c r="K3375" i="7" s="1"/>
  <c r="K3376" i="7" s="1"/>
  <c r="K3377" i="7" s="1"/>
  <c r="K3378" i="7" s="1"/>
  <c r="K3379" i="7" s="1"/>
  <c r="K3380" i="7" s="1"/>
  <c r="K3381" i="7" s="1"/>
  <c r="K3382" i="7" s="1"/>
  <c r="K3383" i="7" s="1"/>
  <c r="K3384" i="7" s="1"/>
  <c r="K3385" i="7" s="1"/>
  <c r="K3386" i="7" s="1"/>
  <c r="K3387" i="7" s="1"/>
  <c r="K3388" i="7" s="1"/>
  <c r="K3389" i="7" s="1"/>
  <c r="K3390" i="7" s="1"/>
  <c r="K3391" i="7" s="1"/>
  <c r="K3392" i="7" s="1"/>
  <c r="K3393" i="7" s="1"/>
  <c r="K3394" i="7" s="1"/>
  <c r="K3395" i="7" s="1"/>
  <c r="K3396" i="7" s="1"/>
  <c r="K3397" i="7" s="1"/>
  <c r="K3398" i="7" s="1"/>
  <c r="K3399" i="7" s="1"/>
  <c r="K3400" i="7" s="1"/>
  <c r="K3401" i="7" s="1"/>
  <c r="K3402" i="7" s="1"/>
  <c r="K3403" i="7" s="1"/>
  <c r="K3404" i="7" s="1"/>
  <c r="K3405" i="7" s="1"/>
  <c r="K3406" i="7" s="1"/>
  <c r="K3407" i="7" s="1"/>
  <c r="K3408" i="7" s="1"/>
  <c r="K3409" i="7" s="1"/>
  <c r="K3410" i="7" s="1"/>
  <c r="K3411" i="7" s="1"/>
  <c r="K3412" i="7" s="1"/>
  <c r="K3413" i="7" s="1"/>
  <c r="K3414" i="7" s="1"/>
  <c r="K3415" i="7" s="1"/>
  <c r="K3416" i="7" s="1"/>
  <c r="K3417" i="7" s="1"/>
  <c r="K3418" i="7" s="1"/>
  <c r="K3419" i="7" s="1"/>
  <c r="K3420" i="7" s="1"/>
  <c r="K3421" i="7" s="1"/>
  <c r="K3422" i="7" s="1"/>
  <c r="K3423" i="7" s="1"/>
  <c r="K3424" i="7" s="1"/>
  <c r="K3425" i="7" s="1"/>
  <c r="K3426" i="7" s="1"/>
  <c r="K3427" i="7" s="1"/>
  <c r="K3428" i="7" s="1"/>
  <c r="K3429" i="7" s="1"/>
  <c r="K3430" i="7" s="1"/>
  <c r="K3431" i="7" s="1"/>
  <c r="K3432" i="7" s="1"/>
  <c r="K3433" i="7" s="1"/>
  <c r="K3434" i="7" s="1"/>
  <c r="K3435" i="7" s="1"/>
  <c r="K3436" i="7" s="1"/>
  <c r="K3437" i="7" s="1"/>
  <c r="K3438" i="7" s="1"/>
  <c r="K3439" i="7" s="1"/>
  <c r="K3440" i="7" s="1"/>
  <c r="K3441" i="7" s="1"/>
  <c r="K3442" i="7" s="1"/>
  <c r="K3443" i="7" s="1"/>
  <c r="K3444" i="7" s="1"/>
  <c r="K3445" i="7" s="1"/>
  <c r="K3446" i="7" s="1"/>
  <c r="K3447" i="7" s="1"/>
  <c r="K3448" i="7" s="1"/>
  <c r="K3449" i="7" s="1"/>
  <c r="K3450" i="7" s="1"/>
  <c r="K3451" i="7" s="1"/>
  <c r="K3452" i="7" s="1"/>
  <c r="K3453" i="7" s="1"/>
  <c r="K3454" i="7" s="1"/>
  <c r="K3455" i="7" s="1"/>
  <c r="K3456" i="7" s="1"/>
  <c r="K3457" i="7" s="1"/>
  <c r="K3458" i="7" s="1"/>
  <c r="K3459" i="7" s="1"/>
  <c r="K3460" i="7" s="1"/>
  <c r="K3461" i="7" s="1"/>
  <c r="K3462" i="7" s="1"/>
  <c r="K3463" i="7" s="1"/>
  <c r="K3464" i="7" s="1"/>
  <c r="K3465" i="7" s="1"/>
  <c r="K3466" i="7" s="1"/>
  <c r="K3467" i="7" s="1"/>
  <c r="K3468" i="7" s="1"/>
  <c r="K3469" i="7" s="1"/>
  <c r="K3470" i="7" s="1"/>
  <c r="K3471" i="7" s="1"/>
  <c r="K3472" i="7" s="1"/>
  <c r="K3473" i="7" s="1"/>
  <c r="K3474" i="7" s="1"/>
  <c r="K3475" i="7" s="1"/>
  <c r="K3476" i="7" s="1"/>
  <c r="K3477" i="7" s="1"/>
  <c r="K3478" i="7" s="1"/>
  <c r="K3479" i="7" s="1"/>
  <c r="K3480" i="7" s="1"/>
  <c r="K3481" i="7" s="1"/>
  <c r="K3482" i="7" s="1"/>
  <c r="K3483" i="7" s="1"/>
  <c r="K3484" i="7" s="1"/>
  <c r="K3485" i="7" s="1"/>
  <c r="K3486" i="7" s="1"/>
  <c r="K3487" i="7" s="1"/>
  <c r="K3488" i="7" s="1"/>
  <c r="K3489" i="7" s="1"/>
  <c r="K3490" i="7" s="1"/>
  <c r="K3491" i="7" s="1"/>
  <c r="K3492" i="7" s="1"/>
  <c r="K3493" i="7" s="1"/>
  <c r="K3494" i="7" s="1"/>
  <c r="K3495" i="7" s="1"/>
  <c r="K3496" i="7" s="1"/>
  <c r="K3497" i="7" s="1"/>
  <c r="K3498" i="7" s="1"/>
  <c r="K3499" i="7" s="1"/>
  <c r="K3500" i="7" s="1"/>
  <c r="K3501" i="7" s="1"/>
  <c r="K3502" i="7" s="1"/>
  <c r="K3503" i="7" s="1"/>
  <c r="K3504" i="7" s="1"/>
  <c r="K3505" i="7" s="1"/>
  <c r="K3506" i="7" s="1"/>
  <c r="K3507" i="7" s="1"/>
  <c r="G3" i="7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56" i="7" s="1"/>
  <c r="I57" i="7" s="1"/>
  <c r="I58" i="7" s="1"/>
  <c r="I59" i="7" s="1"/>
  <c r="I60" i="7" s="1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I253" i="7" s="1"/>
  <c r="I254" i="7" s="1"/>
  <c r="I255" i="7" s="1"/>
  <c r="I256" i="7" s="1"/>
  <c r="I257" i="7" s="1"/>
  <c r="I258" i="7" s="1"/>
  <c r="I259" i="7" s="1"/>
  <c r="I260" i="7" s="1"/>
  <c r="I261" i="7" s="1"/>
  <c r="I262" i="7" s="1"/>
  <c r="I263" i="7" s="1"/>
  <c r="I264" i="7" s="1"/>
  <c r="I265" i="7" s="1"/>
  <c r="I266" i="7" s="1"/>
  <c r="I267" i="7" s="1"/>
  <c r="I268" i="7" s="1"/>
  <c r="I269" i="7" s="1"/>
  <c r="I270" i="7" s="1"/>
  <c r="I271" i="7" s="1"/>
  <c r="I272" i="7" s="1"/>
  <c r="I273" i="7" s="1"/>
  <c r="I274" i="7" s="1"/>
  <c r="I275" i="7" s="1"/>
  <c r="I276" i="7" s="1"/>
  <c r="I277" i="7" s="1"/>
  <c r="I278" i="7" s="1"/>
  <c r="I279" i="7" s="1"/>
  <c r="I280" i="7" s="1"/>
  <c r="I281" i="7" s="1"/>
  <c r="I282" i="7" s="1"/>
  <c r="I283" i="7" s="1"/>
  <c r="I284" i="7" s="1"/>
  <c r="I285" i="7" s="1"/>
  <c r="I286" i="7" s="1"/>
  <c r="I287" i="7" s="1"/>
  <c r="I288" i="7" s="1"/>
  <c r="I289" i="7" s="1"/>
  <c r="I290" i="7" s="1"/>
  <c r="I291" i="7" s="1"/>
  <c r="I292" i="7" s="1"/>
  <c r="I293" i="7" s="1"/>
  <c r="I294" i="7" s="1"/>
  <c r="I295" i="7" s="1"/>
  <c r="I296" i="7" s="1"/>
  <c r="I297" i="7" s="1"/>
  <c r="I298" i="7" s="1"/>
  <c r="I299" i="7" s="1"/>
  <c r="I300" i="7" s="1"/>
  <c r="I301" i="7" s="1"/>
  <c r="I302" i="7" s="1"/>
  <c r="I303" i="7" s="1"/>
  <c r="I304" i="7" s="1"/>
  <c r="I305" i="7" s="1"/>
  <c r="I306" i="7" s="1"/>
  <c r="I307" i="7" s="1"/>
  <c r="I308" i="7" s="1"/>
  <c r="I309" i="7" s="1"/>
  <c r="I310" i="7" s="1"/>
  <c r="I311" i="7" s="1"/>
  <c r="I312" i="7" s="1"/>
  <c r="I313" i="7" s="1"/>
  <c r="I314" i="7" s="1"/>
  <c r="I315" i="7" s="1"/>
  <c r="I316" i="7" s="1"/>
  <c r="I317" i="7" s="1"/>
  <c r="I318" i="7" s="1"/>
  <c r="I319" i="7" s="1"/>
  <c r="I320" i="7" s="1"/>
  <c r="I321" i="7" s="1"/>
  <c r="I322" i="7" s="1"/>
  <c r="I323" i="7" s="1"/>
  <c r="I324" i="7" s="1"/>
  <c r="I325" i="7" s="1"/>
  <c r="I326" i="7" s="1"/>
  <c r="I327" i="7" s="1"/>
  <c r="I328" i="7" s="1"/>
  <c r="I329" i="7" s="1"/>
  <c r="I330" i="7" s="1"/>
  <c r="I331" i="7" s="1"/>
  <c r="I332" i="7" s="1"/>
  <c r="I333" i="7" s="1"/>
  <c r="I334" i="7" s="1"/>
  <c r="I335" i="7" s="1"/>
  <c r="I336" i="7" s="1"/>
  <c r="I337" i="7" s="1"/>
  <c r="I338" i="7" s="1"/>
  <c r="I339" i="7" s="1"/>
  <c r="I340" i="7" s="1"/>
  <c r="I341" i="7" s="1"/>
  <c r="I342" i="7" s="1"/>
  <c r="I343" i="7" s="1"/>
  <c r="I344" i="7" s="1"/>
  <c r="I345" i="7" s="1"/>
  <c r="I346" i="7" s="1"/>
  <c r="I347" i="7" s="1"/>
  <c r="I348" i="7" s="1"/>
  <c r="I349" i="7" s="1"/>
  <c r="I350" i="7" s="1"/>
  <c r="I351" i="7" s="1"/>
  <c r="I352" i="7" s="1"/>
  <c r="I353" i="7" s="1"/>
  <c r="I354" i="7" s="1"/>
  <c r="I355" i="7" s="1"/>
  <c r="I356" i="7" s="1"/>
  <c r="I357" i="7" s="1"/>
  <c r="I358" i="7" s="1"/>
  <c r="I359" i="7" s="1"/>
  <c r="I360" i="7" s="1"/>
  <c r="I361" i="7" s="1"/>
  <c r="I362" i="7" s="1"/>
  <c r="I363" i="7" s="1"/>
  <c r="I364" i="7" s="1"/>
  <c r="I365" i="7" s="1"/>
  <c r="I366" i="7" s="1"/>
  <c r="I367" i="7" s="1"/>
  <c r="I368" i="7" s="1"/>
  <c r="I369" i="7" s="1"/>
  <c r="I370" i="7" s="1"/>
  <c r="I371" i="7" s="1"/>
  <c r="I372" i="7" s="1"/>
  <c r="I373" i="7" s="1"/>
  <c r="I374" i="7" s="1"/>
  <c r="I375" i="7" s="1"/>
  <c r="I376" i="7" s="1"/>
  <c r="I377" i="7" s="1"/>
  <c r="I378" i="7" s="1"/>
  <c r="I379" i="7" s="1"/>
  <c r="I380" i="7" s="1"/>
  <c r="I381" i="7" s="1"/>
  <c r="I382" i="7" s="1"/>
  <c r="I383" i="7" s="1"/>
  <c r="I384" i="7" s="1"/>
  <c r="I385" i="7" s="1"/>
  <c r="I386" i="7" s="1"/>
  <c r="I387" i="7" s="1"/>
  <c r="I388" i="7" s="1"/>
  <c r="I389" i="7" s="1"/>
  <c r="I390" i="7" s="1"/>
  <c r="I391" i="7" s="1"/>
  <c r="I392" i="7" s="1"/>
  <c r="I393" i="7" s="1"/>
  <c r="I394" i="7" s="1"/>
  <c r="I395" i="7" s="1"/>
  <c r="I396" i="7" s="1"/>
  <c r="I397" i="7" s="1"/>
  <c r="I398" i="7" s="1"/>
  <c r="I399" i="7" s="1"/>
  <c r="I400" i="7" s="1"/>
  <c r="I401" i="7" s="1"/>
  <c r="I402" i="7" s="1"/>
  <c r="I403" i="7" s="1"/>
  <c r="I404" i="7" s="1"/>
  <c r="I405" i="7" s="1"/>
  <c r="I406" i="7" s="1"/>
  <c r="I407" i="7" s="1"/>
  <c r="I408" i="7" s="1"/>
  <c r="I409" i="7" s="1"/>
  <c r="I410" i="7" s="1"/>
  <c r="I411" i="7" s="1"/>
  <c r="I412" i="7" s="1"/>
  <c r="I413" i="7" s="1"/>
  <c r="I414" i="7" s="1"/>
  <c r="I415" i="7" s="1"/>
  <c r="I416" i="7" s="1"/>
  <c r="I417" i="7" s="1"/>
  <c r="I418" i="7" s="1"/>
  <c r="I419" i="7" s="1"/>
  <c r="I420" i="7" s="1"/>
  <c r="I421" i="7" s="1"/>
  <c r="I422" i="7" s="1"/>
  <c r="I423" i="7" s="1"/>
  <c r="I424" i="7" s="1"/>
  <c r="I425" i="7" s="1"/>
  <c r="I426" i="7" s="1"/>
  <c r="I427" i="7" s="1"/>
  <c r="I428" i="7" s="1"/>
  <c r="I429" i="7" s="1"/>
  <c r="I430" i="7" s="1"/>
  <c r="I431" i="7" s="1"/>
  <c r="I432" i="7" s="1"/>
  <c r="I433" i="7" s="1"/>
  <c r="I434" i="7" s="1"/>
  <c r="I435" i="7" s="1"/>
  <c r="I436" i="7" s="1"/>
  <c r="I437" i="7" s="1"/>
  <c r="I438" i="7" s="1"/>
  <c r="I439" i="7" s="1"/>
  <c r="I440" i="7" s="1"/>
  <c r="I441" i="7" s="1"/>
  <c r="I442" i="7" s="1"/>
  <c r="I443" i="7" s="1"/>
  <c r="I444" i="7" s="1"/>
  <c r="I445" i="7" s="1"/>
  <c r="I446" i="7" s="1"/>
  <c r="I447" i="7" s="1"/>
  <c r="I448" i="7" s="1"/>
  <c r="I449" i="7" s="1"/>
  <c r="I450" i="7" s="1"/>
  <c r="I451" i="7" s="1"/>
  <c r="I452" i="7" s="1"/>
  <c r="I453" i="7" s="1"/>
  <c r="I454" i="7" s="1"/>
  <c r="I455" i="7" s="1"/>
  <c r="I456" i="7" s="1"/>
  <c r="I457" i="7" s="1"/>
  <c r="I458" i="7" s="1"/>
  <c r="I459" i="7" s="1"/>
  <c r="I460" i="7" s="1"/>
  <c r="I461" i="7" s="1"/>
  <c r="I462" i="7" s="1"/>
  <c r="I463" i="7" s="1"/>
  <c r="I464" i="7" s="1"/>
  <c r="I465" i="7" s="1"/>
  <c r="I466" i="7" s="1"/>
  <c r="I467" i="7" s="1"/>
  <c r="I468" i="7" s="1"/>
  <c r="I469" i="7" s="1"/>
  <c r="I470" i="7" s="1"/>
  <c r="I471" i="7" s="1"/>
  <c r="I472" i="7" s="1"/>
  <c r="I473" i="7" s="1"/>
  <c r="I474" i="7" s="1"/>
  <c r="I475" i="7" s="1"/>
  <c r="I476" i="7" s="1"/>
  <c r="I477" i="7" s="1"/>
  <c r="I478" i="7" s="1"/>
  <c r="I479" i="7" s="1"/>
  <c r="I480" i="7" s="1"/>
  <c r="I481" i="7" s="1"/>
  <c r="I482" i="7" s="1"/>
  <c r="I483" i="7" s="1"/>
  <c r="I484" i="7" s="1"/>
  <c r="I485" i="7" s="1"/>
  <c r="I486" i="7" s="1"/>
  <c r="I487" i="7" s="1"/>
  <c r="I488" i="7" s="1"/>
  <c r="I489" i="7" s="1"/>
  <c r="I490" i="7" s="1"/>
  <c r="I491" i="7" s="1"/>
  <c r="I492" i="7" s="1"/>
  <c r="I493" i="7" s="1"/>
  <c r="I494" i="7" s="1"/>
  <c r="I495" i="7" s="1"/>
  <c r="I496" i="7" s="1"/>
  <c r="I497" i="7" s="1"/>
  <c r="I498" i="7" s="1"/>
  <c r="I499" i="7" s="1"/>
  <c r="I500" i="7" s="1"/>
  <c r="I501" i="7" s="1"/>
  <c r="I502" i="7" s="1"/>
  <c r="I503" i="7" s="1"/>
  <c r="I504" i="7" s="1"/>
  <c r="I505" i="7" s="1"/>
  <c r="I506" i="7" s="1"/>
  <c r="I507" i="7" s="1"/>
  <c r="I508" i="7" s="1"/>
  <c r="I509" i="7" s="1"/>
  <c r="I510" i="7" s="1"/>
  <c r="I511" i="7" s="1"/>
  <c r="I512" i="7" s="1"/>
  <c r="I513" i="7" s="1"/>
  <c r="I514" i="7" s="1"/>
  <c r="I515" i="7" s="1"/>
  <c r="I516" i="7" s="1"/>
  <c r="I517" i="7" s="1"/>
  <c r="I518" i="7" s="1"/>
  <c r="I519" i="7" s="1"/>
  <c r="I520" i="7" s="1"/>
  <c r="I521" i="7" s="1"/>
  <c r="I522" i="7" s="1"/>
  <c r="I523" i="7" s="1"/>
  <c r="I524" i="7" s="1"/>
  <c r="I525" i="7" s="1"/>
  <c r="I526" i="7" s="1"/>
  <c r="I527" i="7" s="1"/>
  <c r="I528" i="7" s="1"/>
  <c r="I529" i="7" s="1"/>
  <c r="I530" i="7" s="1"/>
  <c r="I531" i="7" s="1"/>
  <c r="I532" i="7" s="1"/>
  <c r="I533" i="7" s="1"/>
  <c r="I534" i="7" s="1"/>
  <c r="I535" i="7" s="1"/>
  <c r="I536" i="7" s="1"/>
  <c r="I537" i="7" s="1"/>
  <c r="I538" i="7" s="1"/>
  <c r="I539" i="7" s="1"/>
  <c r="I540" i="7" s="1"/>
  <c r="I541" i="7" s="1"/>
  <c r="I542" i="7" s="1"/>
  <c r="I543" i="7" s="1"/>
  <c r="I544" i="7" s="1"/>
  <c r="I545" i="7" s="1"/>
  <c r="I546" i="7" s="1"/>
  <c r="I547" i="7" s="1"/>
  <c r="I548" i="7" s="1"/>
  <c r="I549" i="7" s="1"/>
  <c r="I550" i="7" s="1"/>
  <c r="I551" i="7" s="1"/>
  <c r="I552" i="7" s="1"/>
  <c r="I553" i="7" s="1"/>
  <c r="I554" i="7" s="1"/>
  <c r="I555" i="7" s="1"/>
  <c r="I556" i="7" s="1"/>
  <c r="I557" i="7" s="1"/>
  <c r="I558" i="7" s="1"/>
  <c r="I559" i="7" s="1"/>
  <c r="I560" i="7" s="1"/>
  <c r="I561" i="7" s="1"/>
  <c r="I562" i="7" s="1"/>
  <c r="I563" i="7" s="1"/>
  <c r="I564" i="7" s="1"/>
  <c r="I565" i="7" s="1"/>
  <c r="I566" i="7" s="1"/>
  <c r="I567" i="7" s="1"/>
  <c r="I568" i="7" s="1"/>
  <c r="I569" i="7" s="1"/>
  <c r="I570" i="7" s="1"/>
  <c r="I571" i="7" s="1"/>
  <c r="I572" i="7" s="1"/>
  <c r="I573" i="7" s="1"/>
  <c r="I574" i="7" s="1"/>
  <c r="I575" i="7" s="1"/>
  <c r="I576" i="7" s="1"/>
  <c r="I577" i="7" s="1"/>
  <c r="I578" i="7" s="1"/>
  <c r="I579" i="7" s="1"/>
  <c r="I580" i="7" s="1"/>
  <c r="I581" i="7" s="1"/>
  <c r="I582" i="7" s="1"/>
  <c r="I583" i="7" s="1"/>
  <c r="I584" i="7" s="1"/>
  <c r="I585" i="7" s="1"/>
  <c r="I586" i="7" s="1"/>
  <c r="I587" i="7" s="1"/>
  <c r="I588" i="7" s="1"/>
  <c r="I589" i="7" s="1"/>
  <c r="I590" i="7" s="1"/>
  <c r="I591" i="7" s="1"/>
  <c r="I592" i="7" s="1"/>
  <c r="I593" i="7" s="1"/>
  <c r="I594" i="7" s="1"/>
  <c r="I595" i="7" s="1"/>
  <c r="I596" i="7" s="1"/>
  <c r="I597" i="7" s="1"/>
  <c r="I598" i="7" s="1"/>
  <c r="I599" i="7" s="1"/>
  <c r="I600" i="7" s="1"/>
  <c r="I601" i="7" s="1"/>
  <c r="I602" i="7" s="1"/>
  <c r="I603" i="7" s="1"/>
  <c r="I604" i="7" s="1"/>
  <c r="I605" i="7" s="1"/>
  <c r="I606" i="7" s="1"/>
  <c r="I607" i="7" s="1"/>
  <c r="I608" i="7" s="1"/>
  <c r="I609" i="7" s="1"/>
  <c r="I610" i="7" s="1"/>
  <c r="I611" i="7" s="1"/>
  <c r="I612" i="7" s="1"/>
  <c r="I613" i="7" s="1"/>
  <c r="I614" i="7" s="1"/>
  <c r="I615" i="7" s="1"/>
  <c r="I616" i="7" s="1"/>
  <c r="I617" i="7" s="1"/>
  <c r="I618" i="7" s="1"/>
  <c r="I619" i="7" s="1"/>
  <c r="I620" i="7" s="1"/>
  <c r="I621" i="7" s="1"/>
  <c r="I622" i="7" s="1"/>
  <c r="I623" i="7" s="1"/>
  <c r="I624" i="7" s="1"/>
  <c r="I625" i="7" s="1"/>
  <c r="I626" i="7" s="1"/>
  <c r="I627" i="7" s="1"/>
  <c r="I628" i="7" s="1"/>
  <c r="I629" i="7" s="1"/>
  <c r="I630" i="7" s="1"/>
  <c r="I631" i="7" s="1"/>
  <c r="I632" i="7" s="1"/>
  <c r="I633" i="7" s="1"/>
  <c r="I634" i="7" s="1"/>
  <c r="I635" i="7" s="1"/>
  <c r="I636" i="7" s="1"/>
  <c r="I637" i="7" s="1"/>
  <c r="I638" i="7" s="1"/>
  <c r="I639" i="7" s="1"/>
  <c r="I640" i="7" s="1"/>
  <c r="I641" i="7" s="1"/>
  <c r="I642" i="7" s="1"/>
  <c r="I643" i="7" s="1"/>
  <c r="I644" i="7" s="1"/>
  <c r="I645" i="7" s="1"/>
  <c r="I646" i="7" s="1"/>
  <c r="I647" i="7" s="1"/>
  <c r="I648" i="7" s="1"/>
  <c r="I649" i="7" s="1"/>
  <c r="I650" i="7" s="1"/>
  <c r="I651" i="7" s="1"/>
  <c r="I652" i="7" s="1"/>
  <c r="I653" i="7" s="1"/>
  <c r="I654" i="7" s="1"/>
  <c r="I655" i="7" s="1"/>
  <c r="I656" i="7" s="1"/>
  <c r="I657" i="7" s="1"/>
  <c r="I658" i="7" s="1"/>
  <c r="I659" i="7" s="1"/>
  <c r="I660" i="7" s="1"/>
  <c r="I661" i="7" s="1"/>
  <c r="I662" i="7" s="1"/>
  <c r="I663" i="7" s="1"/>
  <c r="I664" i="7" s="1"/>
  <c r="I665" i="7" s="1"/>
  <c r="I666" i="7" s="1"/>
  <c r="I667" i="7" s="1"/>
  <c r="I668" i="7" s="1"/>
  <c r="I669" i="7" s="1"/>
  <c r="I670" i="7" s="1"/>
  <c r="I671" i="7" s="1"/>
  <c r="I672" i="7" s="1"/>
  <c r="I673" i="7" s="1"/>
  <c r="I674" i="7" s="1"/>
  <c r="I675" i="7" s="1"/>
  <c r="I676" i="7" s="1"/>
  <c r="I677" i="7" s="1"/>
  <c r="I678" i="7" s="1"/>
  <c r="I679" i="7" s="1"/>
  <c r="I680" i="7" s="1"/>
  <c r="I681" i="7" s="1"/>
  <c r="I682" i="7" s="1"/>
  <c r="I683" i="7" s="1"/>
  <c r="I684" i="7" s="1"/>
  <c r="I685" i="7" s="1"/>
  <c r="I686" i="7" s="1"/>
  <c r="I687" i="7" s="1"/>
  <c r="I688" i="7" s="1"/>
  <c r="I689" i="7" s="1"/>
  <c r="I690" i="7" s="1"/>
  <c r="I691" i="7" s="1"/>
  <c r="I692" i="7" s="1"/>
  <c r="I693" i="7" s="1"/>
  <c r="I694" i="7" s="1"/>
  <c r="I695" i="7" s="1"/>
  <c r="I696" i="7" s="1"/>
  <c r="I697" i="7" s="1"/>
  <c r="I698" i="7" s="1"/>
  <c r="I699" i="7" s="1"/>
  <c r="I700" i="7" s="1"/>
  <c r="I701" i="7" s="1"/>
  <c r="I702" i="7" s="1"/>
  <c r="I703" i="7" s="1"/>
  <c r="I704" i="7" s="1"/>
  <c r="I705" i="7" s="1"/>
  <c r="I706" i="7" s="1"/>
  <c r="I707" i="7" s="1"/>
  <c r="I708" i="7" s="1"/>
  <c r="I709" i="7" s="1"/>
  <c r="I710" i="7" s="1"/>
  <c r="I711" i="7" s="1"/>
  <c r="I712" i="7" s="1"/>
  <c r="I713" i="7" s="1"/>
  <c r="I714" i="7" s="1"/>
  <c r="I715" i="7" s="1"/>
  <c r="I716" i="7" s="1"/>
  <c r="I717" i="7" s="1"/>
  <c r="I718" i="7" s="1"/>
  <c r="I719" i="7" s="1"/>
  <c r="I720" i="7" s="1"/>
  <c r="I721" i="7" s="1"/>
  <c r="I722" i="7" s="1"/>
  <c r="I723" i="7" s="1"/>
  <c r="I724" i="7" s="1"/>
  <c r="I725" i="7" s="1"/>
  <c r="I726" i="7" s="1"/>
  <c r="I727" i="7" s="1"/>
  <c r="I728" i="7" s="1"/>
  <c r="I729" i="7" s="1"/>
  <c r="I730" i="7" s="1"/>
  <c r="I731" i="7" s="1"/>
  <c r="I732" i="7" s="1"/>
  <c r="I733" i="7" s="1"/>
  <c r="I734" i="7" s="1"/>
  <c r="I735" i="7" s="1"/>
  <c r="I736" i="7" s="1"/>
  <c r="I737" i="7" s="1"/>
  <c r="I738" i="7" s="1"/>
  <c r="I739" i="7" s="1"/>
  <c r="I740" i="7" s="1"/>
  <c r="I741" i="7" s="1"/>
  <c r="I742" i="7" s="1"/>
  <c r="I743" i="7" s="1"/>
  <c r="I744" i="7" s="1"/>
  <c r="I745" i="7" s="1"/>
  <c r="I746" i="7" s="1"/>
  <c r="I747" i="7" s="1"/>
  <c r="I748" i="7" s="1"/>
  <c r="I749" i="7" s="1"/>
  <c r="I750" i="7" s="1"/>
  <c r="I751" i="7" s="1"/>
  <c r="I752" i="7" s="1"/>
  <c r="I753" i="7" s="1"/>
  <c r="I754" i="7" s="1"/>
  <c r="I755" i="7" s="1"/>
  <c r="I756" i="7" s="1"/>
  <c r="I757" i="7" s="1"/>
  <c r="I758" i="7" s="1"/>
  <c r="I759" i="7" s="1"/>
  <c r="I760" i="7" s="1"/>
  <c r="I761" i="7" s="1"/>
  <c r="I762" i="7" s="1"/>
  <c r="I763" i="7" s="1"/>
  <c r="I764" i="7" s="1"/>
  <c r="I765" i="7" s="1"/>
  <c r="I766" i="7" s="1"/>
  <c r="I767" i="7" s="1"/>
  <c r="I768" i="7" s="1"/>
  <c r="I769" i="7" s="1"/>
  <c r="I770" i="7" s="1"/>
  <c r="I771" i="7" s="1"/>
  <c r="I772" i="7" s="1"/>
  <c r="I773" i="7" s="1"/>
  <c r="I774" i="7" s="1"/>
  <c r="I775" i="7" s="1"/>
  <c r="I776" i="7" s="1"/>
  <c r="I777" i="7" s="1"/>
  <c r="I778" i="7" s="1"/>
  <c r="I779" i="7" s="1"/>
  <c r="I780" i="7" s="1"/>
  <c r="I781" i="7" s="1"/>
  <c r="I782" i="7" s="1"/>
  <c r="I783" i="7" s="1"/>
  <c r="I784" i="7" s="1"/>
  <c r="I785" i="7" s="1"/>
  <c r="I786" i="7" s="1"/>
  <c r="I787" i="7" s="1"/>
  <c r="I788" i="7" s="1"/>
  <c r="I789" i="7" s="1"/>
  <c r="I790" i="7" s="1"/>
  <c r="I791" i="7" s="1"/>
  <c r="I792" i="7" s="1"/>
  <c r="I793" i="7" s="1"/>
  <c r="I794" i="7" s="1"/>
  <c r="I795" i="7" s="1"/>
  <c r="I796" i="7" s="1"/>
  <c r="I797" i="7" s="1"/>
  <c r="I798" i="7" s="1"/>
  <c r="I799" i="7" s="1"/>
  <c r="I800" i="7" s="1"/>
  <c r="I801" i="7" s="1"/>
  <c r="I802" i="7" s="1"/>
  <c r="I803" i="7" s="1"/>
  <c r="I804" i="7" s="1"/>
  <c r="I805" i="7" s="1"/>
  <c r="I806" i="7" s="1"/>
  <c r="I807" i="7" s="1"/>
  <c r="I808" i="7" s="1"/>
  <c r="I809" i="7" s="1"/>
  <c r="I810" i="7" s="1"/>
  <c r="I811" i="7" s="1"/>
  <c r="I812" i="7" s="1"/>
  <c r="I813" i="7" s="1"/>
  <c r="I814" i="7" s="1"/>
  <c r="I815" i="7" s="1"/>
  <c r="I816" i="7" s="1"/>
  <c r="I817" i="7" s="1"/>
  <c r="I818" i="7" s="1"/>
  <c r="I819" i="7" s="1"/>
  <c r="I820" i="7" s="1"/>
  <c r="I821" i="7" s="1"/>
  <c r="I822" i="7" s="1"/>
  <c r="I823" i="7" s="1"/>
  <c r="I824" i="7" s="1"/>
  <c r="I825" i="7" s="1"/>
  <c r="I826" i="7" s="1"/>
  <c r="I827" i="7" s="1"/>
  <c r="I828" i="7" s="1"/>
  <c r="I829" i="7" s="1"/>
  <c r="I830" i="7" s="1"/>
  <c r="I831" i="7" s="1"/>
  <c r="I832" i="7" s="1"/>
  <c r="I833" i="7" s="1"/>
  <c r="I834" i="7" s="1"/>
  <c r="I835" i="7" s="1"/>
  <c r="I836" i="7" s="1"/>
  <c r="I837" i="7" s="1"/>
  <c r="I838" i="7" s="1"/>
  <c r="I839" i="7" s="1"/>
  <c r="I840" i="7" s="1"/>
  <c r="I841" i="7" s="1"/>
  <c r="I842" i="7" s="1"/>
  <c r="I843" i="7" s="1"/>
  <c r="I844" i="7" s="1"/>
  <c r="I845" i="7" s="1"/>
  <c r="I846" i="7" s="1"/>
  <c r="I847" i="7" s="1"/>
  <c r="I848" i="7" s="1"/>
  <c r="I849" i="7" s="1"/>
  <c r="I850" i="7" s="1"/>
  <c r="I851" i="7" s="1"/>
  <c r="I852" i="7" s="1"/>
  <c r="I853" i="7" s="1"/>
  <c r="I854" i="7" s="1"/>
  <c r="I855" i="7" s="1"/>
  <c r="I856" i="7" s="1"/>
  <c r="I857" i="7" s="1"/>
  <c r="I858" i="7" s="1"/>
  <c r="I859" i="7" s="1"/>
  <c r="I860" i="7" s="1"/>
  <c r="I861" i="7" s="1"/>
  <c r="I862" i="7" s="1"/>
  <c r="I863" i="7" s="1"/>
  <c r="I864" i="7" s="1"/>
  <c r="I865" i="7" s="1"/>
  <c r="I866" i="7" s="1"/>
  <c r="I867" i="7" s="1"/>
  <c r="I868" i="7" s="1"/>
  <c r="I869" i="7" s="1"/>
  <c r="I870" i="7" s="1"/>
  <c r="I871" i="7" s="1"/>
  <c r="I872" i="7" s="1"/>
  <c r="I873" i="7" s="1"/>
  <c r="I874" i="7" s="1"/>
  <c r="I875" i="7" s="1"/>
  <c r="I876" i="7" s="1"/>
  <c r="I877" i="7" s="1"/>
  <c r="I878" i="7" s="1"/>
  <c r="I879" i="7" s="1"/>
  <c r="I880" i="7" s="1"/>
  <c r="I881" i="7" s="1"/>
  <c r="I882" i="7" s="1"/>
  <c r="I883" i="7" s="1"/>
  <c r="I884" i="7" s="1"/>
  <c r="I885" i="7" s="1"/>
  <c r="I886" i="7" s="1"/>
  <c r="I887" i="7" s="1"/>
  <c r="I888" i="7" s="1"/>
  <c r="I889" i="7" s="1"/>
  <c r="I890" i="7" s="1"/>
  <c r="I891" i="7" s="1"/>
  <c r="I892" i="7" s="1"/>
  <c r="I893" i="7" s="1"/>
  <c r="I894" i="7" s="1"/>
  <c r="I895" i="7" s="1"/>
  <c r="I896" i="7" s="1"/>
  <c r="I897" i="7" s="1"/>
  <c r="I898" i="7" s="1"/>
  <c r="I899" i="7" s="1"/>
  <c r="I900" i="7" s="1"/>
  <c r="I901" i="7" s="1"/>
  <c r="I902" i="7" s="1"/>
  <c r="I903" i="7" s="1"/>
  <c r="I904" i="7" s="1"/>
  <c r="I905" i="7" s="1"/>
  <c r="I906" i="7" s="1"/>
  <c r="I907" i="7" s="1"/>
  <c r="I908" i="7" s="1"/>
  <c r="I909" i="7" s="1"/>
  <c r="I910" i="7" s="1"/>
  <c r="I911" i="7" s="1"/>
  <c r="I912" i="7" s="1"/>
  <c r="I913" i="7" s="1"/>
  <c r="I914" i="7" s="1"/>
  <c r="I915" i="7" s="1"/>
  <c r="I916" i="7" s="1"/>
  <c r="I917" i="7" s="1"/>
  <c r="I918" i="7" s="1"/>
  <c r="I919" i="7" s="1"/>
  <c r="I920" i="7" s="1"/>
  <c r="I921" i="7" s="1"/>
  <c r="I922" i="7" s="1"/>
  <c r="I923" i="7" s="1"/>
  <c r="I924" i="7" s="1"/>
  <c r="I925" i="7" s="1"/>
  <c r="I926" i="7" s="1"/>
  <c r="I927" i="7" s="1"/>
  <c r="I928" i="7" s="1"/>
  <c r="I929" i="7" s="1"/>
  <c r="I930" i="7" s="1"/>
  <c r="I931" i="7" s="1"/>
  <c r="I932" i="7" s="1"/>
  <c r="I933" i="7" s="1"/>
  <c r="I934" i="7" s="1"/>
  <c r="I935" i="7" s="1"/>
  <c r="I936" i="7" s="1"/>
  <c r="I937" i="7" s="1"/>
  <c r="I938" i="7" s="1"/>
  <c r="I939" i="7" s="1"/>
  <c r="I940" i="7" s="1"/>
  <c r="I941" i="7" s="1"/>
  <c r="I942" i="7" s="1"/>
  <c r="I943" i="7" s="1"/>
  <c r="I944" i="7" s="1"/>
  <c r="I945" i="7" s="1"/>
  <c r="I946" i="7" s="1"/>
  <c r="I947" i="7" s="1"/>
  <c r="I948" i="7" s="1"/>
  <c r="I949" i="7" s="1"/>
  <c r="I950" i="7" s="1"/>
  <c r="I951" i="7" s="1"/>
  <c r="I952" i="7" s="1"/>
  <c r="I953" i="7" s="1"/>
  <c r="I954" i="7" s="1"/>
  <c r="I955" i="7" s="1"/>
  <c r="I956" i="7" s="1"/>
  <c r="I957" i="7" s="1"/>
  <c r="I958" i="7" s="1"/>
  <c r="I959" i="7" s="1"/>
  <c r="I960" i="7" s="1"/>
  <c r="I961" i="7" s="1"/>
  <c r="I962" i="7" s="1"/>
  <c r="I963" i="7" s="1"/>
  <c r="I964" i="7" s="1"/>
  <c r="I965" i="7" s="1"/>
  <c r="I966" i="7" s="1"/>
  <c r="I967" i="7" s="1"/>
  <c r="I968" i="7" s="1"/>
  <c r="I969" i="7" s="1"/>
  <c r="I970" i="7" s="1"/>
  <c r="I971" i="7" s="1"/>
  <c r="I972" i="7" s="1"/>
  <c r="I973" i="7" s="1"/>
  <c r="I974" i="7" s="1"/>
  <c r="I975" i="7" s="1"/>
  <c r="I976" i="7" s="1"/>
  <c r="I977" i="7" s="1"/>
  <c r="I978" i="7" s="1"/>
  <c r="I979" i="7" s="1"/>
  <c r="I980" i="7" s="1"/>
  <c r="I981" i="7" s="1"/>
  <c r="I982" i="7" s="1"/>
  <c r="I983" i="7" s="1"/>
  <c r="I984" i="7" s="1"/>
  <c r="I985" i="7" s="1"/>
  <c r="I986" i="7" s="1"/>
  <c r="I987" i="7" s="1"/>
  <c r="I988" i="7" s="1"/>
  <c r="I989" i="7" s="1"/>
  <c r="I990" i="7" s="1"/>
  <c r="I991" i="7" s="1"/>
  <c r="I992" i="7" s="1"/>
  <c r="I993" i="7" s="1"/>
  <c r="I994" i="7" s="1"/>
  <c r="I995" i="7" s="1"/>
  <c r="I996" i="7" s="1"/>
  <c r="I997" i="7" s="1"/>
  <c r="I998" i="7" s="1"/>
  <c r="I999" i="7" s="1"/>
  <c r="I1000" i="7" s="1"/>
  <c r="I1001" i="7" s="1"/>
  <c r="I1002" i="7" s="1"/>
  <c r="I1003" i="7" s="1"/>
  <c r="I1004" i="7" s="1"/>
  <c r="I1005" i="7" s="1"/>
  <c r="I1006" i="7" s="1"/>
  <c r="I1007" i="7" s="1"/>
  <c r="I1008" i="7" s="1"/>
  <c r="I1009" i="7" s="1"/>
  <c r="I1010" i="7" s="1"/>
  <c r="I1011" i="7" s="1"/>
  <c r="I1012" i="7" s="1"/>
  <c r="I1013" i="7" s="1"/>
  <c r="I1014" i="7" s="1"/>
  <c r="I1015" i="7" s="1"/>
  <c r="I1016" i="7" s="1"/>
  <c r="I1017" i="7" s="1"/>
  <c r="I1018" i="7" s="1"/>
  <c r="I1019" i="7" s="1"/>
  <c r="I1020" i="7" s="1"/>
  <c r="I1021" i="7" s="1"/>
  <c r="I1022" i="7" s="1"/>
  <c r="I1023" i="7" s="1"/>
  <c r="I1024" i="7" s="1"/>
  <c r="I1025" i="7" s="1"/>
  <c r="I1026" i="7" s="1"/>
  <c r="I1027" i="7" s="1"/>
  <c r="I1028" i="7" s="1"/>
  <c r="I1029" i="7" s="1"/>
  <c r="I1030" i="7" s="1"/>
  <c r="I1031" i="7" s="1"/>
  <c r="I1032" i="7" s="1"/>
  <c r="I1033" i="7" s="1"/>
  <c r="I1034" i="7" s="1"/>
  <c r="I1035" i="7" s="1"/>
  <c r="I1036" i="7" s="1"/>
  <c r="I1037" i="7" s="1"/>
  <c r="I1038" i="7" s="1"/>
  <c r="I1039" i="7" s="1"/>
  <c r="I1040" i="7" s="1"/>
  <c r="I1041" i="7" s="1"/>
  <c r="I1042" i="7" s="1"/>
  <c r="I1043" i="7" s="1"/>
  <c r="I1044" i="7" s="1"/>
  <c r="I1045" i="7" s="1"/>
  <c r="I1046" i="7" s="1"/>
  <c r="I1047" i="7" s="1"/>
  <c r="I1048" i="7" s="1"/>
  <c r="I1049" i="7" s="1"/>
  <c r="I1050" i="7" s="1"/>
  <c r="I1051" i="7" s="1"/>
  <c r="I1052" i="7" s="1"/>
  <c r="I1053" i="7" s="1"/>
  <c r="I1054" i="7" s="1"/>
  <c r="I1055" i="7" s="1"/>
  <c r="I1056" i="7" s="1"/>
  <c r="I1057" i="7" s="1"/>
  <c r="I1058" i="7" s="1"/>
  <c r="I1059" i="7" s="1"/>
  <c r="I1060" i="7" s="1"/>
  <c r="I1061" i="7" s="1"/>
  <c r="I1062" i="7" s="1"/>
  <c r="I1063" i="7" s="1"/>
  <c r="I1064" i="7" s="1"/>
  <c r="I1065" i="7" s="1"/>
  <c r="I1066" i="7" s="1"/>
  <c r="I1067" i="7" s="1"/>
  <c r="I1068" i="7" s="1"/>
  <c r="I1069" i="7" s="1"/>
  <c r="I1070" i="7" s="1"/>
  <c r="I1071" i="7" s="1"/>
  <c r="I1072" i="7" s="1"/>
  <c r="I1073" i="7" s="1"/>
  <c r="I1074" i="7" s="1"/>
  <c r="I1075" i="7" s="1"/>
  <c r="I1076" i="7" s="1"/>
  <c r="I1077" i="7" s="1"/>
  <c r="I1078" i="7" s="1"/>
  <c r="I1079" i="7" s="1"/>
  <c r="I1080" i="7" s="1"/>
  <c r="I1081" i="7" s="1"/>
  <c r="I1082" i="7" s="1"/>
  <c r="I1083" i="7" s="1"/>
  <c r="I1084" i="7" s="1"/>
  <c r="I1085" i="7" s="1"/>
  <c r="I1086" i="7" s="1"/>
  <c r="I1087" i="7" s="1"/>
  <c r="I1088" i="7" s="1"/>
  <c r="I1089" i="7" s="1"/>
  <c r="I1090" i="7" s="1"/>
  <c r="I1091" i="7" s="1"/>
  <c r="I1092" i="7" s="1"/>
  <c r="I1093" i="7" s="1"/>
  <c r="I1094" i="7" s="1"/>
  <c r="I1095" i="7" s="1"/>
  <c r="I1096" i="7" s="1"/>
  <c r="I1097" i="7" s="1"/>
  <c r="I1098" i="7" s="1"/>
  <c r="I1099" i="7" s="1"/>
  <c r="I1100" i="7" s="1"/>
  <c r="I1101" i="7" s="1"/>
  <c r="I1102" i="7" s="1"/>
  <c r="I1103" i="7" s="1"/>
  <c r="I1104" i="7" s="1"/>
  <c r="I1105" i="7" s="1"/>
  <c r="I1106" i="7" s="1"/>
  <c r="I1107" i="7" s="1"/>
  <c r="I1108" i="7" s="1"/>
  <c r="I1109" i="7" s="1"/>
  <c r="I1110" i="7" s="1"/>
  <c r="I1111" i="7" s="1"/>
  <c r="I1112" i="7" s="1"/>
  <c r="I1113" i="7" s="1"/>
  <c r="I1114" i="7" s="1"/>
  <c r="I1115" i="7" s="1"/>
  <c r="I1116" i="7" s="1"/>
  <c r="I1117" i="7" s="1"/>
  <c r="I1118" i="7" s="1"/>
  <c r="I1119" i="7" s="1"/>
  <c r="I1120" i="7" s="1"/>
  <c r="I1121" i="7" s="1"/>
  <c r="I1122" i="7" s="1"/>
  <c r="I1123" i="7" s="1"/>
  <c r="I1124" i="7" s="1"/>
  <c r="I1125" i="7" s="1"/>
  <c r="I1126" i="7" s="1"/>
  <c r="I1127" i="7" s="1"/>
  <c r="I1128" i="7" s="1"/>
  <c r="I1129" i="7" s="1"/>
  <c r="I1130" i="7" s="1"/>
  <c r="I1131" i="7" s="1"/>
  <c r="I1132" i="7" s="1"/>
  <c r="I1133" i="7" s="1"/>
  <c r="I1134" i="7" s="1"/>
  <c r="I1135" i="7" s="1"/>
  <c r="I1136" i="7" s="1"/>
  <c r="I1137" i="7" s="1"/>
  <c r="I1138" i="7" s="1"/>
  <c r="I1139" i="7" s="1"/>
  <c r="I1140" i="7" s="1"/>
  <c r="I1141" i="7" s="1"/>
  <c r="I1142" i="7" s="1"/>
  <c r="I1143" i="7" s="1"/>
  <c r="I1144" i="7" s="1"/>
  <c r="I1145" i="7" s="1"/>
  <c r="I1146" i="7" s="1"/>
  <c r="I1147" i="7" s="1"/>
  <c r="I1148" i="7" s="1"/>
  <c r="I1149" i="7" s="1"/>
  <c r="I1150" i="7" s="1"/>
  <c r="I1151" i="7" s="1"/>
  <c r="I1152" i="7" s="1"/>
  <c r="I1153" i="7" s="1"/>
  <c r="I1154" i="7" s="1"/>
  <c r="I1155" i="7" s="1"/>
  <c r="I1156" i="7" s="1"/>
  <c r="I1157" i="7" s="1"/>
  <c r="I1158" i="7" s="1"/>
  <c r="I1159" i="7" s="1"/>
  <c r="I1160" i="7" s="1"/>
  <c r="I1161" i="7" s="1"/>
  <c r="I1162" i="7" s="1"/>
  <c r="I1163" i="7" s="1"/>
  <c r="I1164" i="7" s="1"/>
  <c r="I1165" i="7" s="1"/>
  <c r="I1166" i="7" s="1"/>
  <c r="I1167" i="7" s="1"/>
  <c r="I1168" i="7" s="1"/>
  <c r="I1169" i="7" s="1"/>
  <c r="I1170" i="7" s="1"/>
  <c r="I1171" i="7" s="1"/>
  <c r="I1172" i="7" s="1"/>
  <c r="I1173" i="7" s="1"/>
  <c r="I1174" i="7" s="1"/>
  <c r="I1175" i="7" s="1"/>
  <c r="I1176" i="7" s="1"/>
  <c r="I1177" i="7" s="1"/>
  <c r="I1178" i="7" s="1"/>
  <c r="I1179" i="7" s="1"/>
  <c r="I1180" i="7" s="1"/>
  <c r="I1181" i="7" s="1"/>
  <c r="I1182" i="7" s="1"/>
  <c r="I1183" i="7" s="1"/>
  <c r="I1184" i="7" s="1"/>
  <c r="I1185" i="7" s="1"/>
  <c r="I1186" i="7" s="1"/>
  <c r="I1187" i="7" s="1"/>
  <c r="I1188" i="7" s="1"/>
  <c r="I1189" i="7" s="1"/>
  <c r="I1190" i="7" s="1"/>
  <c r="I1191" i="7" s="1"/>
  <c r="I1192" i="7" s="1"/>
  <c r="I1193" i="7" s="1"/>
  <c r="I1194" i="7" s="1"/>
  <c r="I1195" i="7" s="1"/>
  <c r="I1196" i="7" s="1"/>
  <c r="I1197" i="7" s="1"/>
  <c r="I1198" i="7" s="1"/>
  <c r="I1199" i="7" s="1"/>
  <c r="I1200" i="7" s="1"/>
  <c r="I1201" i="7" s="1"/>
  <c r="I1202" i="7" s="1"/>
  <c r="I1203" i="7" s="1"/>
  <c r="I1204" i="7" s="1"/>
  <c r="I1205" i="7" s="1"/>
  <c r="I1206" i="7" s="1"/>
  <c r="I1207" i="7" s="1"/>
  <c r="I1208" i="7" s="1"/>
  <c r="I1209" i="7" s="1"/>
  <c r="I1210" i="7" s="1"/>
  <c r="I1211" i="7" s="1"/>
  <c r="I1212" i="7" s="1"/>
  <c r="I1213" i="7" s="1"/>
  <c r="I1214" i="7" s="1"/>
  <c r="I1215" i="7" s="1"/>
  <c r="I1216" i="7" s="1"/>
  <c r="I1217" i="7" s="1"/>
  <c r="I1218" i="7" s="1"/>
  <c r="I1219" i="7" s="1"/>
  <c r="I1220" i="7" s="1"/>
  <c r="I1221" i="7" s="1"/>
  <c r="I1222" i="7" s="1"/>
  <c r="I1223" i="7" s="1"/>
  <c r="I1224" i="7" s="1"/>
  <c r="I1225" i="7" s="1"/>
  <c r="I1226" i="7" s="1"/>
  <c r="I1227" i="7" s="1"/>
  <c r="I1228" i="7" s="1"/>
  <c r="I1229" i="7" s="1"/>
  <c r="I1230" i="7" s="1"/>
  <c r="I1231" i="7" s="1"/>
  <c r="I1232" i="7" s="1"/>
  <c r="I1233" i="7" s="1"/>
  <c r="I1234" i="7" s="1"/>
  <c r="I1235" i="7" s="1"/>
  <c r="I1236" i="7" s="1"/>
  <c r="I1237" i="7" s="1"/>
  <c r="I1238" i="7" s="1"/>
  <c r="I1239" i="7" s="1"/>
  <c r="I1240" i="7" s="1"/>
  <c r="I1241" i="7" s="1"/>
  <c r="I1242" i="7" s="1"/>
  <c r="I1243" i="7" s="1"/>
  <c r="I1244" i="7" s="1"/>
  <c r="I1245" i="7" s="1"/>
  <c r="I1246" i="7" s="1"/>
  <c r="I1247" i="7" s="1"/>
  <c r="I1248" i="7" s="1"/>
  <c r="I1249" i="7" s="1"/>
  <c r="I1250" i="7" s="1"/>
  <c r="I1251" i="7" s="1"/>
  <c r="I1252" i="7" s="1"/>
  <c r="I1253" i="7" s="1"/>
  <c r="I1254" i="7" s="1"/>
  <c r="I1255" i="7" s="1"/>
  <c r="I1256" i="7" s="1"/>
  <c r="I1257" i="7" s="1"/>
  <c r="I1258" i="7" s="1"/>
  <c r="I1259" i="7" s="1"/>
  <c r="I1260" i="7" s="1"/>
  <c r="I1261" i="7" s="1"/>
  <c r="I1262" i="7" s="1"/>
  <c r="I1263" i="7" s="1"/>
  <c r="I1264" i="7" s="1"/>
  <c r="I1265" i="7" s="1"/>
  <c r="I1266" i="7" s="1"/>
  <c r="I1267" i="7" s="1"/>
  <c r="I1268" i="7" s="1"/>
  <c r="I1269" i="7" s="1"/>
  <c r="I1270" i="7" s="1"/>
  <c r="I1271" i="7" s="1"/>
  <c r="I1272" i="7" s="1"/>
  <c r="I1273" i="7" s="1"/>
  <c r="I1274" i="7" s="1"/>
  <c r="I1275" i="7" s="1"/>
  <c r="I1276" i="7" s="1"/>
  <c r="I1277" i="7" s="1"/>
  <c r="I1278" i="7" s="1"/>
  <c r="I1279" i="7" s="1"/>
  <c r="I1280" i="7" s="1"/>
  <c r="I1281" i="7" s="1"/>
  <c r="I1282" i="7" s="1"/>
  <c r="I1283" i="7" s="1"/>
  <c r="I1284" i="7" s="1"/>
  <c r="I1285" i="7" s="1"/>
  <c r="I1286" i="7" s="1"/>
  <c r="I1287" i="7" s="1"/>
  <c r="I1288" i="7" s="1"/>
  <c r="I1289" i="7" s="1"/>
  <c r="I1290" i="7" s="1"/>
  <c r="I1291" i="7" s="1"/>
  <c r="I1292" i="7" s="1"/>
  <c r="I1293" i="7" s="1"/>
  <c r="I1294" i="7" s="1"/>
  <c r="I1295" i="7" s="1"/>
  <c r="I1296" i="7" s="1"/>
  <c r="I1297" i="7" s="1"/>
  <c r="I1298" i="7" s="1"/>
  <c r="I1299" i="7" s="1"/>
  <c r="I1300" i="7" s="1"/>
  <c r="I1301" i="7" s="1"/>
  <c r="I1302" i="7" s="1"/>
  <c r="I1303" i="7" s="1"/>
  <c r="I1304" i="7" s="1"/>
  <c r="I1305" i="7" s="1"/>
  <c r="I1306" i="7" s="1"/>
  <c r="I1307" i="7" s="1"/>
  <c r="I1308" i="7" s="1"/>
  <c r="I1309" i="7" s="1"/>
  <c r="I1310" i="7" s="1"/>
  <c r="I1311" i="7" s="1"/>
  <c r="I1312" i="7" s="1"/>
  <c r="I1313" i="7" s="1"/>
  <c r="I1314" i="7" s="1"/>
  <c r="I1315" i="7" s="1"/>
  <c r="I1316" i="7" s="1"/>
  <c r="I1317" i="7" s="1"/>
  <c r="I1318" i="7" s="1"/>
  <c r="I1319" i="7" s="1"/>
  <c r="I1320" i="7" s="1"/>
  <c r="I1321" i="7" s="1"/>
  <c r="I1322" i="7" s="1"/>
  <c r="I1323" i="7" s="1"/>
  <c r="I1324" i="7" s="1"/>
  <c r="I1325" i="7" s="1"/>
  <c r="I1326" i="7" s="1"/>
  <c r="I1327" i="7" s="1"/>
  <c r="I1328" i="7" s="1"/>
  <c r="I1329" i="7" s="1"/>
  <c r="I1330" i="7" s="1"/>
  <c r="I1331" i="7" s="1"/>
  <c r="I1332" i="7" s="1"/>
  <c r="I1333" i="7" s="1"/>
  <c r="I1334" i="7" s="1"/>
  <c r="I1335" i="7" s="1"/>
  <c r="I1336" i="7" s="1"/>
  <c r="I1337" i="7" s="1"/>
  <c r="I1338" i="7" s="1"/>
  <c r="I1339" i="7" s="1"/>
  <c r="I1340" i="7" s="1"/>
  <c r="I1341" i="7" s="1"/>
  <c r="I1342" i="7" s="1"/>
  <c r="I1343" i="7" s="1"/>
  <c r="I1344" i="7" s="1"/>
  <c r="I1345" i="7" s="1"/>
  <c r="I1346" i="7" s="1"/>
  <c r="I1347" i="7" s="1"/>
  <c r="I1348" i="7" s="1"/>
  <c r="I1349" i="7" s="1"/>
  <c r="I1350" i="7" s="1"/>
  <c r="I1351" i="7" s="1"/>
  <c r="I1352" i="7" s="1"/>
  <c r="I1353" i="7" s="1"/>
  <c r="I1354" i="7" s="1"/>
  <c r="I1355" i="7" s="1"/>
  <c r="I1356" i="7" s="1"/>
  <c r="I1357" i="7" s="1"/>
  <c r="I1358" i="7" s="1"/>
  <c r="I1359" i="7" s="1"/>
  <c r="I1360" i="7" s="1"/>
  <c r="I1361" i="7" s="1"/>
  <c r="I1362" i="7" s="1"/>
  <c r="I1363" i="7" s="1"/>
  <c r="I1364" i="7" s="1"/>
  <c r="I1365" i="7" s="1"/>
  <c r="I1366" i="7" s="1"/>
  <c r="I1367" i="7" s="1"/>
  <c r="I1368" i="7" s="1"/>
  <c r="I1369" i="7" s="1"/>
  <c r="I1370" i="7" s="1"/>
  <c r="I1371" i="7" s="1"/>
  <c r="I1372" i="7" s="1"/>
  <c r="I1373" i="7" s="1"/>
  <c r="I1374" i="7" s="1"/>
  <c r="I1375" i="7" s="1"/>
  <c r="I1376" i="7" s="1"/>
  <c r="I1377" i="7" s="1"/>
  <c r="I1378" i="7" s="1"/>
  <c r="I1379" i="7" s="1"/>
  <c r="I1380" i="7" s="1"/>
  <c r="I1381" i="7" s="1"/>
  <c r="I1382" i="7" s="1"/>
  <c r="I1383" i="7" s="1"/>
  <c r="I1384" i="7" s="1"/>
  <c r="I1385" i="7" s="1"/>
  <c r="I1386" i="7" s="1"/>
  <c r="I1387" i="7" s="1"/>
  <c r="I1388" i="7" s="1"/>
  <c r="I1389" i="7" s="1"/>
  <c r="I1390" i="7" s="1"/>
  <c r="I1391" i="7" s="1"/>
  <c r="I1392" i="7" s="1"/>
  <c r="I1393" i="7" s="1"/>
  <c r="I1394" i="7" s="1"/>
  <c r="I1395" i="7" s="1"/>
  <c r="I1396" i="7" s="1"/>
  <c r="I1397" i="7" s="1"/>
  <c r="I1398" i="7" s="1"/>
  <c r="I1399" i="7" s="1"/>
  <c r="I1400" i="7" s="1"/>
  <c r="I1401" i="7" s="1"/>
  <c r="I1402" i="7" s="1"/>
  <c r="I1403" i="7" s="1"/>
  <c r="I1404" i="7" s="1"/>
  <c r="I1405" i="7" s="1"/>
  <c r="I1406" i="7" s="1"/>
  <c r="I1407" i="7" s="1"/>
  <c r="I1408" i="7" s="1"/>
  <c r="I1409" i="7" s="1"/>
  <c r="I1410" i="7" s="1"/>
  <c r="I1411" i="7" s="1"/>
  <c r="I1412" i="7" s="1"/>
  <c r="I1413" i="7" s="1"/>
  <c r="I1414" i="7" s="1"/>
  <c r="I1415" i="7" s="1"/>
  <c r="I1416" i="7" s="1"/>
  <c r="I1417" i="7" s="1"/>
  <c r="I1418" i="7" s="1"/>
  <c r="I1419" i="7" s="1"/>
  <c r="I1420" i="7" s="1"/>
  <c r="I1421" i="7" s="1"/>
  <c r="I1422" i="7" s="1"/>
  <c r="I1423" i="7" s="1"/>
  <c r="I1424" i="7" s="1"/>
  <c r="I1425" i="7" s="1"/>
  <c r="I1426" i="7" s="1"/>
  <c r="I1427" i="7" s="1"/>
  <c r="I1428" i="7" s="1"/>
  <c r="I1429" i="7" s="1"/>
  <c r="I1430" i="7" s="1"/>
  <c r="I1431" i="7" s="1"/>
  <c r="I1432" i="7" s="1"/>
  <c r="I1433" i="7" s="1"/>
  <c r="I1434" i="7" s="1"/>
  <c r="I1435" i="7" s="1"/>
  <c r="I1436" i="7" s="1"/>
  <c r="I1437" i="7" s="1"/>
  <c r="I1438" i="7" s="1"/>
  <c r="I1439" i="7" s="1"/>
  <c r="I1440" i="7" s="1"/>
  <c r="I1441" i="7" s="1"/>
  <c r="I1442" i="7" s="1"/>
  <c r="I1443" i="7" s="1"/>
  <c r="I1444" i="7" s="1"/>
  <c r="I1445" i="7" s="1"/>
  <c r="I1446" i="7" s="1"/>
  <c r="I1447" i="7" s="1"/>
  <c r="I1448" i="7" s="1"/>
  <c r="I1449" i="7" s="1"/>
  <c r="I1450" i="7" s="1"/>
  <c r="I1451" i="7" s="1"/>
  <c r="I1452" i="7" s="1"/>
  <c r="I1453" i="7" s="1"/>
  <c r="I1454" i="7" s="1"/>
  <c r="I1455" i="7" s="1"/>
  <c r="I1456" i="7" s="1"/>
  <c r="I1457" i="7" s="1"/>
  <c r="I1458" i="7" s="1"/>
  <c r="I1459" i="7" s="1"/>
  <c r="I1460" i="7" s="1"/>
  <c r="I1461" i="7" s="1"/>
  <c r="I1462" i="7" s="1"/>
  <c r="I1463" i="7" s="1"/>
  <c r="I1464" i="7" s="1"/>
  <c r="I1465" i="7" s="1"/>
  <c r="I1466" i="7" s="1"/>
  <c r="I1467" i="7" s="1"/>
  <c r="I1468" i="7" s="1"/>
  <c r="I1469" i="7" s="1"/>
  <c r="I1470" i="7" s="1"/>
  <c r="I1471" i="7" s="1"/>
  <c r="I1472" i="7" s="1"/>
  <c r="I1473" i="7" s="1"/>
  <c r="I1474" i="7" s="1"/>
  <c r="I1475" i="7" s="1"/>
  <c r="I1476" i="7" s="1"/>
  <c r="I1477" i="7" s="1"/>
  <c r="I1478" i="7" s="1"/>
  <c r="I1479" i="7" s="1"/>
  <c r="I1480" i="7" s="1"/>
  <c r="I1481" i="7" s="1"/>
  <c r="I1482" i="7" s="1"/>
  <c r="I1483" i="7" s="1"/>
  <c r="I1484" i="7" s="1"/>
  <c r="I1485" i="7" s="1"/>
  <c r="I1486" i="7" s="1"/>
  <c r="I1487" i="7" s="1"/>
  <c r="I1488" i="7" s="1"/>
  <c r="I1489" i="7" s="1"/>
  <c r="I1490" i="7" s="1"/>
  <c r="I1491" i="7" s="1"/>
  <c r="I1492" i="7" s="1"/>
  <c r="I1493" i="7" s="1"/>
  <c r="I1494" i="7" s="1"/>
  <c r="I1495" i="7" s="1"/>
  <c r="I1496" i="7" s="1"/>
  <c r="I1497" i="7" s="1"/>
  <c r="I1498" i="7" s="1"/>
  <c r="I1499" i="7" s="1"/>
  <c r="I1500" i="7" s="1"/>
  <c r="I1501" i="7" s="1"/>
  <c r="I1502" i="7" s="1"/>
  <c r="I1503" i="7" s="1"/>
  <c r="I1504" i="7" s="1"/>
  <c r="I1505" i="7" s="1"/>
  <c r="I1506" i="7" s="1"/>
  <c r="I1507" i="7" s="1"/>
  <c r="I1508" i="7" s="1"/>
  <c r="I1509" i="7" s="1"/>
  <c r="I1510" i="7" s="1"/>
  <c r="I1511" i="7" s="1"/>
  <c r="I1512" i="7" s="1"/>
  <c r="I1513" i="7" s="1"/>
  <c r="I1514" i="7" s="1"/>
  <c r="I1515" i="7" s="1"/>
  <c r="I1516" i="7" s="1"/>
  <c r="I1517" i="7" s="1"/>
  <c r="I1518" i="7" s="1"/>
  <c r="I1519" i="7" s="1"/>
  <c r="I1520" i="7" s="1"/>
  <c r="I1521" i="7" s="1"/>
  <c r="I1522" i="7" s="1"/>
  <c r="I1523" i="7" s="1"/>
  <c r="I1524" i="7" s="1"/>
  <c r="I1525" i="7" s="1"/>
  <c r="I1526" i="7" s="1"/>
  <c r="I1527" i="7" s="1"/>
  <c r="I1528" i="7" s="1"/>
  <c r="I1529" i="7" s="1"/>
  <c r="I1530" i="7" s="1"/>
  <c r="I1531" i="7" s="1"/>
  <c r="I1532" i="7" s="1"/>
  <c r="I1533" i="7" s="1"/>
  <c r="I1534" i="7" s="1"/>
  <c r="I1535" i="7" s="1"/>
  <c r="I1536" i="7" s="1"/>
  <c r="I1537" i="7" s="1"/>
  <c r="I1538" i="7" s="1"/>
  <c r="I1539" i="7" s="1"/>
  <c r="I1540" i="7" s="1"/>
  <c r="I1541" i="7" s="1"/>
  <c r="I1542" i="7" s="1"/>
  <c r="I1543" i="7" s="1"/>
  <c r="I1544" i="7" s="1"/>
  <c r="I1545" i="7" s="1"/>
  <c r="I1546" i="7" s="1"/>
  <c r="I1547" i="7" s="1"/>
  <c r="I1548" i="7" s="1"/>
  <c r="I1549" i="7" s="1"/>
  <c r="I1550" i="7" s="1"/>
  <c r="I1551" i="7" s="1"/>
  <c r="I1552" i="7" s="1"/>
  <c r="I1553" i="7" s="1"/>
  <c r="I1554" i="7" s="1"/>
  <c r="I1555" i="7" s="1"/>
  <c r="I1556" i="7" s="1"/>
  <c r="I1557" i="7" s="1"/>
  <c r="I1558" i="7" s="1"/>
  <c r="I1559" i="7" s="1"/>
  <c r="I1560" i="7" s="1"/>
  <c r="I1561" i="7" s="1"/>
  <c r="I1562" i="7" s="1"/>
  <c r="I1563" i="7" s="1"/>
  <c r="I1564" i="7" s="1"/>
  <c r="I1565" i="7" s="1"/>
  <c r="I1566" i="7" s="1"/>
  <c r="I1567" i="7" s="1"/>
  <c r="I1568" i="7" s="1"/>
  <c r="I1569" i="7" s="1"/>
  <c r="I1570" i="7" s="1"/>
  <c r="I1571" i="7" s="1"/>
  <c r="I1572" i="7" s="1"/>
  <c r="I1573" i="7" s="1"/>
  <c r="I1574" i="7" s="1"/>
  <c r="I1575" i="7" s="1"/>
  <c r="I1576" i="7" s="1"/>
  <c r="I1577" i="7" s="1"/>
  <c r="I1578" i="7" s="1"/>
  <c r="I1579" i="7" s="1"/>
  <c r="I1580" i="7" s="1"/>
  <c r="I1581" i="7" s="1"/>
  <c r="I1582" i="7" s="1"/>
  <c r="I1583" i="7" s="1"/>
  <c r="I1584" i="7" s="1"/>
  <c r="I1585" i="7" s="1"/>
  <c r="I1586" i="7" s="1"/>
  <c r="I1587" i="7" s="1"/>
  <c r="I1588" i="7" s="1"/>
  <c r="I1589" i="7" s="1"/>
  <c r="I1590" i="7" s="1"/>
  <c r="I1591" i="7" s="1"/>
  <c r="I1592" i="7" s="1"/>
  <c r="I1593" i="7" s="1"/>
  <c r="I1594" i="7" s="1"/>
  <c r="I1595" i="7" s="1"/>
  <c r="I1596" i="7" s="1"/>
  <c r="I1597" i="7" s="1"/>
  <c r="I1598" i="7" s="1"/>
  <c r="I1599" i="7" s="1"/>
  <c r="I1600" i="7" s="1"/>
  <c r="I1601" i="7" s="1"/>
  <c r="I1602" i="7" s="1"/>
  <c r="I1603" i="7" s="1"/>
  <c r="I1604" i="7" s="1"/>
  <c r="I1605" i="7" s="1"/>
  <c r="I1606" i="7" s="1"/>
  <c r="I1607" i="7" s="1"/>
  <c r="I1608" i="7" s="1"/>
  <c r="I1609" i="7" s="1"/>
  <c r="I1610" i="7" s="1"/>
  <c r="I1611" i="7" s="1"/>
  <c r="I1612" i="7" s="1"/>
  <c r="I1613" i="7" s="1"/>
  <c r="I1614" i="7" s="1"/>
  <c r="I1615" i="7" s="1"/>
  <c r="I1616" i="7" s="1"/>
  <c r="I1617" i="7" s="1"/>
  <c r="I1618" i="7" s="1"/>
  <c r="I1619" i="7" s="1"/>
  <c r="I1620" i="7" s="1"/>
  <c r="I1621" i="7" s="1"/>
  <c r="I1622" i="7" s="1"/>
  <c r="I1623" i="7" s="1"/>
  <c r="I1624" i="7" s="1"/>
  <c r="I1625" i="7" s="1"/>
  <c r="I1626" i="7" s="1"/>
  <c r="I1627" i="7" s="1"/>
  <c r="I1628" i="7" s="1"/>
  <c r="I1629" i="7" s="1"/>
  <c r="I1630" i="7" s="1"/>
  <c r="I1631" i="7" s="1"/>
  <c r="I1632" i="7" s="1"/>
  <c r="I1633" i="7" s="1"/>
  <c r="I1634" i="7" s="1"/>
  <c r="I1635" i="7" s="1"/>
  <c r="I1636" i="7" s="1"/>
  <c r="I1637" i="7" s="1"/>
  <c r="I1638" i="7" s="1"/>
  <c r="I1639" i="7" s="1"/>
  <c r="I1640" i="7" s="1"/>
  <c r="I1641" i="7" s="1"/>
  <c r="I1642" i="7" s="1"/>
  <c r="I1643" i="7" s="1"/>
  <c r="I1644" i="7" s="1"/>
  <c r="I1645" i="7" s="1"/>
  <c r="I1646" i="7" s="1"/>
  <c r="I1647" i="7" s="1"/>
  <c r="I1648" i="7" s="1"/>
  <c r="I1649" i="7" s="1"/>
  <c r="I1650" i="7" s="1"/>
  <c r="I1651" i="7" s="1"/>
  <c r="I1652" i="7" s="1"/>
  <c r="I1653" i="7" s="1"/>
  <c r="I1654" i="7" s="1"/>
  <c r="I1655" i="7" s="1"/>
  <c r="I1656" i="7" s="1"/>
  <c r="I1657" i="7" s="1"/>
  <c r="I1658" i="7" s="1"/>
  <c r="I1659" i="7" s="1"/>
  <c r="I1660" i="7" s="1"/>
  <c r="I1661" i="7" s="1"/>
  <c r="I1662" i="7" s="1"/>
  <c r="I1663" i="7" s="1"/>
  <c r="I1664" i="7" s="1"/>
  <c r="I1665" i="7" s="1"/>
  <c r="I1666" i="7" s="1"/>
  <c r="I1667" i="7" s="1"/>
  <c r="I1668" i="7" s="1"/>
  <c r="I1669" i="7" s="1"/>
  <c r="I1670" i="7" s="1"/>
  <c r="I1671" i="7" s="1"/>
  <c r="I1672" i="7" s="1"/>
  <c r="I1673" i="7" s="1"/>
  <c r="I1674" i="7" s="1"/>
  <c r="I1675" i="7" s="1"/>
  <c r="I1676" i="7" s="1"/>
  <c r="I1677" i="7" s="1"/>
  <c r="I1678" i="7" s="1"/>
  <c r="I1679" i="7" s="1"/>
  <c r="I1680" i="7" s="1"/>
  <c r="I1681" i="7" s="1"/>
  <c r="I1682" i="7" s="1"/>
  <c r="I1683" i="7" s="1"/>
  <c r="I1684" i="7" s="1"/>
  <c r="I1685" i="7" s="1"/>
  <c r="I1686" i="7" s="1"/>
  <c r="I1687" i="7" s="1"/>
  <c r="I1688" i="7" s="1"/>
  <c r="I1689" i="7" s="1"/>
  <c r="I1690" i="7" s="1"/>
  <c r="I1691" i="7" s="1"/>
  <c r="I1692" i="7" s="1"/>
  <c r="I1693" i="7" s="1"/>
  <c r="I1694" i="7" s="1"/>
  <c r="I1695" i="7" s="1"/>
  <c r="I1696" i="7" s="1"/>
  <c r="I1697" i="7" s="1"/>
  <c r="I1698" i="7" s="1"/>
  <c r="I1699" i="7" s="1"/>
  <c r="I1700" i="7" s="1"/>
  <c r="I1701" i="7" s="1"/>
  <c r="I1702" i="7" s="1"/>
  <c r="I1703" i="7" s="1"/>
  <c r="I1704" i="7" s="1"/>
  <c r="I1705" i="7" s="1"/>
  <c r="I1706" i="7" s="1"/>
  <c r="I1707" i="7" s="1"/>
  <c r="I1708" i="7" s="1"/>
  <c r="I1709" i="7" s="1"/>
  <c r="I1710" i="7" s="1"/>
  <c r="I1711" i="7" s="1"/>
  <c r="I1712" i="7" s="1"/>
  <c r="I1713" i="7" s="1"/>
  <c r="I1714" i="7" s="1"/>
  <c r="I1715" i="7" s="1"/>
  <c r="I1716" i="7" s="1"/>
  <c r="I1717" i="7" s="1"/>
  <c r="I1718" i="7" s="1"/>
  <c r="I1719" i="7" s="1"/>
  <c r="I1720" i="7" s="1"/>
  <c r="I1721" i="7" s="1"/>
  <c r="I1722" i="7" s="1"/>
  <c r="I1723" i="7" s="1"/>
  <c r="I1724" i="7" s="1"/>
  <c r="I1725" i="7" s="1"/>
  <c r="I1726" i="7" s="1"/>
  <c r="I1727" i="7" s="1"/>
  <c r="I1728" i="7" s="1"/>
  <c r="I1729" i="7" s="1"/>
  <c r="I1730" i="7" s="1"/>
  <c r="I1731" i="7" s="1"/>
  <c r="I1732" i="7" s="1"/>
  <c r="I1733" i="7" s="1"/>
  <c r="I1734" i="7" s="1"/>
  <c r="I1735" i="7" s="1"/>
  <c r="I1736" i="7" s="1"/>
  <c r="I1737" i="7" s="1"/>
  <c r="I1738" i="7" s="1"/>
  <c r="I1739" i="7" s="1"/>
  <c r="I1740" i="7" s="1"/>
  <c r="I1741" i="7" s="1"/>
  <c r="I1742" i="7" s="1"/>
  <c r="I1743" i="7" s="1"/>
  <c r="I1744" i="7" s="1"/>
  <c r="I1745" i="7" s="1"/>
  <c r="I1746" i="7" s="1"/>
  <c r="I1747" i="7" s="1"/>
  <c r="I1748" i="7" s="1"/>
  <c r="I1749" i="7" s="1"/>
  <c r="I1750" i="7" s="1"/>
  <c r="I1751" i="7" s="1"/>
  <c r="I1752" i="7" s="1"/>
  <c r="I1753" i="7" s="1"/>
  <c r="I1754" i="7" s="1"/>
  <c r="I1755" i="7" s="1"/>
  <c r="I1756" i="7" s="1"/>
  <c r="I1757" i="7" s="1"/>
  <c r="I1758" i="7" s="1"/>
  <c r="I1759" i="7" s="1"/>
  <c r="I1760" i="7" s="1"/>
  <c r="I1761" i="7" s="1"/>
  <c r="I1762" i="7" s="1"/>
  <c r="I1763" i="7" s="1"/>
  <c r="I1764" i="7" s="1"/>
  <c r="I1765" i="7" s="1"/>
  <c r="I1766" i="7" s="1"/>
  <c r="I1767" i="7" s="1"/>
  <c r="I1768" i="7" s="1"/>
  <c r="I1769" i="7" s="1"/>
  <c r="I1770" i="7" s="1"/>
  <c r="I1771" i="7" s="1"/>
  <c r="I1772" i="7" s="1"/>
  <c r="I1773" i="7" s="1"/>
  <c r="I1774" i="7" s="1"/>
  <c r="I1775" i="7" s="1"/>
  <c r="I1776" i="7" s="1"/>
  <c r="I1777" i="7" s="1"/>
  <c r="I1778" i="7" s="1"/>
  <c r="I1779" i="7" s="1"/>
  <c r="I1780" i="7" s="1"/>
  <c r="I1781" i="7" s="1"/>
  <c r="I1782" i="7" s="1"/>
  <c r="I1783" i="7" s="1"/>
  <c r="I1784" i="7" s="1"/>
  <c r="I1785" i="7" s="1"/>
  <c r="I1786" i="7" s="1"/>
  <c r="I1787" i="7" s="1"/>
  <c r="I1788" i="7" s="1"/>
  <c r="I1789" i="7" s="1"/>
  <c r="I1790" i="7" s="1"/>
  <c r="I1791" i="7" s="1"/>
  <c r="I1792" i="7" s="1"/>
  <c r="I1793" i="7" s="1"/>
  <c r="I1794" i="7" s="1"/>
  <c r="I1795" i="7" s="1"/>
  <c r="I1796" i="7" s="1"/>
  <c r="I1797" i="7" s="1"/>
  <c r="I1798" i="7" s="1"/>
  <c r="I1799" i="7" s="1"/>
  <c r="I1800" i="7" s="1"/>
  <c r="I1801" i="7" s="1"/>
  <c r="I1802" i="7" s="1"/>
  <c r="I1803" i="7" s="1"/>
  <c r="I1804" i="7" s="1"/>
  <c r="I1805" i="7" s="1"/>
  <c r="I1806" i="7" s="1"/>
  <c r="I1807" i="7" s="1"/>
  <c r="I1808" i="7" s="1"/>
  <c r="I1809" i="7" s="1"/>
  <c r="I1810" i="7" s="1"/>
  <c r="I1811" i="7" s="1"/>
  <c r="I1812" i="7" s="1"/>
  <c r="I1813" i="7" s="1"/>
  <c r="I1814" i="7" s="1"/>
  <c r="I1815" i="7" s="1"/>
  <c r="I1816" i="7" s="1"/>
  <c r="I1817" i="7" s="1"/>
  <c r="I1818" i="7" s="1"/>
  <c r="I1819" i="7" s="1"/>
  <c r="I1820" i="7" s="1"/>
  <c r="I1821" i="7" s="1"/>
  <c r="I1822" i="7" s="1"/>
  <c r="I1823" i="7" s="1"/>
  <c r="I1824" i="7" s="1"/>
  <c r="I1825" i="7" s="1"/>
  <c r="I1826" i="7" s="1"/>
  <c r="I1827" i="7" s="1"/>
  <c r="I1828" i="7" s="1"/>
  <c r="I1829" i="7" s="1"/>
  <c r="I1830" i="7" s="1"/>
  <c r="I1831" i="7" s="1"/>
  <c r="I1832" i="7" s="1"/>
  <c r="I1833" i="7" s="1"/>
  <c r="I1834" i="7" s="1"/>
  <c r="I1835" i="7" s="1"/>
  <c r="I1836" i="7" s="1"/>
  <c r="I1837" i="7" s="1"/>
  <c r="I1838" i="7" s="1"/>
  <c r="I1839" i="7" s="1"/>
  <c r="I1840" i="7" s="1"/>
  <c r="I1841" i="7" s="1"/>
  <c r="I1842" i="7" s="1"/>
  <c r="I1843" i="7" s="1"/>
  <c r="I1844" i="7" s="1"/>
  <c r="I1845" i="7" s="1"/>
  <c r="I1846" i="7" s="1"/>
  <c r="I1847" i="7" s="1"/>
  <c r="I1848" i="7" s="1"/>
  <c r="I1849" i="7" s="1"/>
  <c r="I1850" i="7" s="1"/>
  <c r="I1851" i="7" s="1"/>
  <c r="I1852" i="7" s="1"/>
  <c r="I1853" i="7" s="1"/>
  <c r="I1854" i="7" s="1"/>
  <c r="I1855" i="7" s="1"/>
  <c r="I1856" i="7" s="1"/>
  <c r="I1857" i="7" s="1"/>
  <c r="I1858" i="7" s="1"/>
  <c r="I1859" i="7" s="1"/>
  <c r="I1860" i="7" s="1"/>
  <c r="I1861" i="7" s="1"/>
  <c r="I1862" i="7" s="1"/>
  <c r="I1863" i="7" s="1"/>
  <c r="I1864" i="7" s="1"/>
  <c r="I1865" i="7" s="1"/>
  <c r="I1866" i="7" s="1"/>
  <c r="I1867" i="7" s="1"/>
  <c r="I1868" i="7" s="1"/>
  <c r="I1869" i="7" s="1"/>
  <c r="I1870" i="7" s="1"/>
  <c r="I1871" i="7" s="1"/>
  <c r="I1872" i="7" s="1"/>
  <c r="I1873" i="7" s="1"/>
  <c r="I1874" i="7" s="1"/>
  <c r="I1875" i="7" s="1"/>
  <c r="I1876" i="7" s="1"/>
  <c r="I1877" i="7" s="1"/>
  <c r="I1878" i="7" s="1"/>
  <c r="I1879" i="7" s="1"/>
  <c r="I1880" i="7" s="1"/>
  <c r="I1881" i="7" s="1"/>
  <c r="I1882" i="7" s="1"/>
  <c r="I1883" i="7" s="1"/>
  <c r="I1884" i="7" s="1"/>
  <c r="I1885" i="7" s="1"/>
  <c r="I1886" i="7" s="1"/>
  <c r="I1887" i="7" s="1"/>
  <c r="I1888" i="7" s="1"/>
  <c r="I1889" i="7" s="1"/>
  <c r="I1890" i="7" s="1"/>
  <c r="I1891" i="7" s="1"/>
  <c r="I1892" i="7" s="1"/>
  <c r="I1893" i="7" s="1"/>
  <c r="I1894" i="7" s="1"/>
  <c r="I1895" i="7" s="1"/>
  <c r="I1896" i="7" s="1"/>
  <c r="I1897" i="7" s="1"/>
  <c r="I1898" i="7" s="1"/>
  <c r="I1899" i="7" s="1"/>
  <c r="I1900" i="7" s="1"/>
  <c r="I1901" i="7" s="1"/>
  <c r="I1902" i="7" s="1"/>
  <c r="I1903" i="7" s="1"/>
  <c r="I1904" i="7" s="1"/>
  <c r="I1905" i="7" s="1"/>
  <c r="I1906" i="7" s="1"/>
  <c r="I1907" i="7" s="1"/>
  <c r="I1908" i="7" s="1"/>
  <c r="I1909" i="7" s="1"/>
  <c r="I1910" i="7" s="1"/>
  <c r="I1911" i="7" s="1"/>
  <c r="I1912" i="7" s="1"/>
  <c r="I1913" i="7" s="1"/>
  <c r="I1914" i="7" s="1"/>
  <c r="I1915" i="7" s="1"/>
  <c r="I1916" i="7" s="1"/>
  <c r="I1917" i="7" s="1"/>
  <c r="I1918" i="7" s="1"/>
  <c r="I1919" i="7" s="1"/>
  <c r="I1920" i="7" s="1"/>
  <c r="I1921" i="7" s="1"/>
  <c r="I1922" i="7" s="1"/>
  <c r="I1923" i="7" s="1"/>
  <c r="I1924" i="7" s="1"/>
  <c r="I1925" i="7" s="1"/>
  <c r="I1926" i="7" s="1"/>
  <c r="I1927" i="7" s="1"/>
  <c r="I1928" i="7" s="1"/>
  <c r="I1929" i="7" s="1"/>
  <c r="I1930" i="7" s="1"/>
  <c r="I1931" i="7" s="1"/>
  <c r="I1932" i="7" s="1"/>
  <c r="I1933" i="7" s="1"/>
  <c r="I1934" i="7" s="1"/>
  <c r="I1935" i="7" s="1"/>
  <c r="I1936" i="7" s="1"/>
  <c r="I1937" i="7" s="1"/>
  <c r="I1938" i="7" s="1"/>
  <c r="I1939" i="7" s="1"/>
  <c r="I1940" i="7" s="1"/>
  <c r="I1941" i="7" s="1"/>
  <c r="I1942" i="7" s="1"/>
  <c r="I1943" i="7" s="1"/>
  <c r="I1944" i="7" s="1"/>
  <c r="I1945" i="7" s="1"/>
  <c r="I1946" i="7" s="1"/>
  <c r="I1947" i="7" s="1"/>
  <c r="I1948" i="7" s="1"/>
  <c r="I1949" i="7" s="1"/>
  <c r="I1950" i="7" s="1"/>
  <c r="I1951" i="7" s="1"/>
  <c r="I1952" i="7" s="1"/>
  <c r="I1953" i="7" s="1"/>
  <c r="I1954" i="7" s="1"/>
  <c r="I1955" i="7" s="1"/>
  <c r="I1956" i="7" s="1"/>
  <c r="I1957" i="7" s="1"/>
  <c r="I1958" i="7" s="1"/>
  <c r="I1959" i="7" s="1"/>
  <c r="I1960" i="7" s="1"/>
  <c r="I1961" i="7" s="1"/>
  <c r="I1962" i="7" s="1"/>
  <c r="I1963" i="7" s="1"/>
  <c r="I1964" i="7" s="1"/>
  <c r="I1965" i="7" s="1"/>
  <c r="I1966" i="7" s="1"/>
  <c r="I1967" i="7" s="1"/>
  <c r="I1968" i="7" s="1"/>
  <c r="I1969" i="7" s="1"/>
  <c r="I1970" i="7" s="1"/>
  <c r="I1971" i="7" s="1"/>
  <c r="I1972" i="7" s="1"/>
  <c r="I1973" i="7" s="1"/>
  <c r="I1974" i="7" s="1"/>
  <c r="I1975" i="7" s="1"/>
  <c r="I1976" i="7" s="1"/>
  <c r="I1977" i="7" s="1"/>
  <c r="I1978" i="7" s="1"/>
  <c r="I1979" i="7" s="1"/>
  <c r="I1980" i="7" s="1"/>
  <c r="I1981" i="7" s="1"/>
  <c r="I1982" i="7" s="1"/>
  <c r="I1983" i="7" s="1"/>
  <c r="I1984" i="7" s="1"/>
  <c r="I1985" i="7" s="1"/>
  <c r="I1986" i="7" s="1"/>
  <c r="I1987" i="7" s="1"/>
  <c r="I1988" i="7" s="1"/>
  <c r="I1989" i="7" s="1"/>
  <c r="I1990" i="7" s="1"/>
  <c r="I1991" i="7" s="1"/>
  <c r="I1992" i="7" s="1"/>
  <c r="I1993" i="7" s="1"/>
  <c r="I1994" i="7" s="1"/>
  <c r="I1995" i="7" s="1"/>
  <c r="I1996" i="7" s="1"/>
  <c r="I1997" i="7" s="1"/>
  <c r="I1998" i="7" s="1"/>
  <c r="I1999" i="7" s="1"/>
  <c r="I2000" i="7" s="1"/>
  <c r="I2001" i="7" s="1"/>
  <c r="I2002" i="7" s="1"/>
  <c r="I2003" i="7" s="1"/>
  <c r="I2004" i="7" s="1"/>
  <c r="I2005" i="7" s="1"/>
  <c r="I2006" i="7" s="1"/>
  <c r="I2007" i="7" s="1"/>
  <c r="I2008" i="7" s="1"/>
  <c r="I2009" i="7" s="1"/>
  <c r="I2010" i="7" s="1"/>
  <c r="I2011" i="7" s="1"/>
  <c r="I2012" i="7" s="1"/>
  <c r="I2013" i="7" s="1"/>
  <c r="I2014" i="7" s="1"/>
  <c r="I2015" i="7" s="1"/>
  <c r="I2016" i="7" s="1"/>
  <c r="I2017" i="7" s="1"/>
  <c r="I2018" i="7" s="1"/>
  <c r="I2019" i="7" s="1"/>
  <c r="I2020" i="7" s="1"/>
  <c r="I2021" i="7" s="1"/>
  <c r="I2022" i="7" s="1"/>
  <c r="I2023" i="7" s="1"/>
  <c r="I2024" i="7" s="1"/>
  <c r="I2025" i="7" s="1"/>
  <c r="I2026" i="7" s="1"/>
  <c r="I2027" i="7" s="1"/>
  <c r="I2028" i="7" s="1"/>
  <c r="I2029" i="7" s="1"/>
  <c r="I2030" i="7" s="1"/>
  <c r="I2031" i="7" s="1"/>
  <c r="I2032" i="7" s="1"/>
  <c r="I2033" i="7" s="1"/>
  <c r="I2034" i="7" s="1"/>
  <c r="I2035" i="7" s="1"/>
  <c r="I2036" i="7" s="1"/>
  <c r="I2037" i="7" s="1"/>
  <c r="I2038" i="7" s="1"/>
  <c r="I2039" i="7" s="1"/>
  <c r="I2040" i="7" s="1"/>
  <c r="I2041" i="7" s="1"/>
  <c r="I2042" i="7" s="1"/>
  <c r="I2043" i="7" s="1"/>
  <c r="I2044" i="7" s="1"/>
  <c r="I2045" i="7" s="1"/>
  <c r="I2046" i="7" s="1"/>
  <c r="I2047" i="7" s="1"/>
  <c r="I2048" i="7" s="1"/>
  <c r="I2049" i="7" s="1"/>
  <c r="I2050" i="7" s="1"/>
  <c r="I2051" i="7" s="1"/>
  <c r="I2052" i="7" s="1"/>
  <c r="I2053" i="7" s="1"/>
  <c r="I2054" i="7" s="1"/>
  <c r="I2055" i="7" s="1"/>
  <c r="I2056" i="7" s="1"/>
  <c r="I2057" i="7" s="1"/>
  <c r="I2058" i="7" s="1"/>
  <c r="I2059" i="7" s="1"/>
  <c r="I2060" i="7" s="1"/>
  <c r="I2061" i="7" s="1"/>
  <c r="I2062" i="7" s="1"/>
  <c r="I2063" i="7" s="1"/>
  <c r="I2064" i="7" s="1"/>
  <c r="I2065" i="7" s="1"/>
  <c r="I2066" i="7" s="1"/>
  <c r="I2067" i="7" s="1"/>
  <c r="I2068" i="7" s="1"/>
  <c r="I2069" i="7" s="1"/>
  <c r="I2070" i="7" s="1"/>
  <c r="I2071" i="7" s="1"/>
  <c r="I2072" i="7" s="1"/>
  <c r="I2073" i="7" s="1"/>
  <c r="I2074" i="7" s="1"/>
  <c r="I2075" i="7" s="1"/>
  <c r="I2076" i="7" s="1"/>
  <c r="I2077" i="7" s="1"/>
  <c r="I2078" i="7" s="1"/>
  <c r="I2079" i="7" s="1"/>
  <c r="I2080" i="7" s="1"/>
  <c r="I2081" i="7" s="1"/>
  <c r="I2082" i="7" s="1"/>
  <c r="I2083" i="7" s="1"/>
  <c r="I2084" i="7" s="1"/>
  <c r="I2085" i="7" s="1"/>
  <c r="I2086" i="7" s="1"/>
  <c r="I2087" i="7" s="1"/>
  <c r="I2088" i="7" s="1"/>
  <c r="I2089" i="7" s="1"/>
  <c r="I2090" i="7" s="1"/>
  <c r="I2091" i="7" s="1"/>
  <c r="I2092" i="7" s="1"/>
  <c r="I2093" i="7" s="1"/>
  <c r="I2094" i="7" s="1"/>
  <c r="I2095" i="7" s="1"/>
  <c r="I2096" i="7" s="1"/>
  <c r="I2097" i="7" s="1"/>
  <c r="I2098" i="7" s="1"/>
  <c r="I2099" i="7" s="1"/>
  <c r="I2100" i="7" s="1"/>
  <c r="I2101" i="7" s="1"/>
  <c r="I2102" i="7" s="1"/>
  <c r="I2103" i="7" s="1"/>
  <c r="I2104" i="7" s="1"/>
  <c r="I2105" i="7" s="1"/>
  <c r="I2106" i="7" s="1"/>
  <c r="I2107" i="7" s="1"/>
  <c r="I2108" i="7" s="1"/>
  <c r="I2109" i="7" s="1"/>
  <c r="I2110" i="7" s="1"/>
  <c r="I2111" i="7" s="1"/>
  <c r="I2112" i="7" s="1"/>
  <c r="I2113" i="7" s="1"/>
  <c r="I2114" i="7" s="1"/>
  <c r="I2115" i="7" s="1"/>
  <c r="I2116" i="7" s="1"/>
  <c r="I2117" i="7" s="1"/>
  <c r="I2118" i="7" s="1"/>
  <c r="I2119" i="7" s="1"/>
  <c r="I2120" i="7" s="1"/>
  <c r="I2121" i="7" s="1"/>
  <c r="I2122" i="7" s="1"/>
  <c r="I2123" i="7" s="1"/>
  <c r="I2124" i="7" s="1"/>
  <c r="I2125" i="7" s="1"/>
  <c r="I2126" i="7" s="1"/>
  <c r="I2127" i="7" s="1"/>
  <c r="I2128" i="7" s="1"/>
  <c r="I2129" i="7" s="1"/>
  <c r="I2130" i="7" s="1"/>
  <c r="I2131" i="7" s="1"/>
  <c r="I2132" i="7" s="1"/>
  <c r="I2133" i="7" s="1"/>
  <c r="I2134" i="7" s="1"/>
  <c r="I2135" i="7" s="1"/>
  <c r="I2136" i="7" s="1"/>
  <c r="I2137" i="7" s="1"/>
  <c r="I2138" i="7" s="1"/>
  <c r="I2139" i="7" s="1"/>
  <c r="I2140" i="7" s="1"/>
  <c r="I2141" i="7" s="1"/>
  <c r="I2142" i="7" s="1"/>
  <c r="I2143" i="7" s="1"/>
  <c r="I2144" i="7" s="1"/>
  <c r="I2145" i="7" s="1"/>
  <c r="I2146" i="7" s="1"/>
  <c r="I2147" i="7" s="1"/>
  <c r="I2148" i="7" s="1"/>
  <c r="I2149" i="7" s="1"/>
  <c r="I2150" i="7" s="1"/>
  <c r="I2151" i="7" s="1"/>
  <c r="I2152" i="7" s="1"/>
  <c r="I2153" i="7" s="1"/>
  <c r="I2154" i="7" s="1"/>
  <c r="I2155" i="7" s="1"/>
  <c r="I2156" i="7" s="1"/>
  <c r="I2157" i="7" s="1"/>
  <c r="I2158" i="7" s="1"/>
  <c r="I2159" i="7" s="1"/>
  <c r="I2160" i="7" s="1"/>
  <c r="I2161" i="7" s="1"/>
  <c r="I2162" i="7" s="1"/>
  <c r="I2163" i="7" s="1"/>
  <c r="I2164" i="7" s="1"/>
  <c r="I2165" i="7" s="1"/>
  <c r="I2166" i="7" s="1"/>
  <c r="I2167" i="7" s="1"/>
  <c r="I2168" i="7" s="1"/>
  <c r="I2169" i="7" s="1"/>
  <c r="I2170" i="7" s="1"/>
  <c r="I2171" i="7" s="1"/>
  <c r="I2172" i="7" s="1"/>
  <c r="I2173" i="7" s="1"/>
  <c r="I2174" i="7" s="1"/>
  <c r="I2175" i="7" s="1"/>
  <c r="I2176" i="7" s="1"/>
  <c r="I2177" i="7" s="1"/>
  <c r="I2178" i="7" s="1"/>
  <c r="I2179" i="7" s="1"/>
  <c r="I2180" i="7" s="1"/>
  <c r="I2181" i="7" s="1"/>
  <c r="I2182" i="7" s="1"/>
  <c r="I2183" i="7" s="1"/>
  <c r="I2184" i="7" s="1"/>
  <c r="I2185" i="7" s="1"/>
  <c r="I2186" i="7" s="1"/>
  <c r="I2187" i="7" s="1"/>
  <c r="I2188" i="7" s="1"/>
  <c r="I2189" i="7" s="1"/>
  <c r="I2190" i="7" s="1"/>
  <c r="I2191" i="7" s="1"/>
  <c r="I2192" i="7" s="1"/>
  <c r="I2193" i="7" s="1"/>
  <c r="I2194" i="7" s="1"/>
  <c r="I2195" i="7" s="1"/>
  <c r="I2196" i="7" s="1"/>
  <c r="I2197" i="7" s="1"/>
  <c r="I2198" i="7" s="1"/>
  <c r="I2199" i="7" s="1"/>
  <c r="I2200" i="7" s="1"/>
  <c r="I2201" i="7" s="1"/>
  <c r="I2202" i="7" s="1"/>
  <c r="I2203" i="7" s="1"/>
  <c r="I2204" i="7" s="1"/>
  <c r="I2205" i="7" s="1"/>
  <c r="I2206" i="7" s="1"/>
  <c r="I2207" i="7" s="1"/>
  <c r="I2208" i="7" s="1"/>
  <c r="I2209" i="7" s="1"/>
  <c r="I2210" i="7" s="1"/>
  <c r="I2211" i="7" s="1"/>
  <c r="I2212" i="7" s="1"/>
  <c r="I2213" i="7" s="1"/>
  <c r="I2214" i="7" s="1"/>
  <c r="I2215" i="7" s="1"/>
  <c r="I2216" i="7" s="1"/>
  <c r="I2217" i="7" s="1"/>
  <c r="I2218" i="7" s="1"/>
  <c r="I2219" i="7" s="1"/>
  <c r="I2220" i="7" s="1"/>
  <c r="I2221" i="7" s="1"/>
  <c r="I2222" i="7" s="1"/>
  <c r="I2223" i="7" s="1"/>
  <c r="I2224" i="7" s="1"/>
  <c r="I2225" i="7" s="1"/>
  <c r="I2226" i="7" s="1"/>
  <c r="I2227" i="7" s="1"/>
  <c r="I2228" i="7" s="1"/>
  <c r="I2229" i="7" s="1"/>
  <c r="I2230" i="7" s="1"/>
  <c r="I2231" i="7" s="1"/>
  <c r="I2232" i="7" s="1"/>
  <c r="I2233" i="7" s="1"/>
  <c r="I2234" i="7" s="1"/>
  <c r="I2235" i="7" s="1"/>
  <c r="I2236" i="7" s="1"/>
  <c r="I2237" i="7" s="1"/>
  <c r="I2238" i="7" s="1"/>
  <c r="I2239" i="7" s="1"/>
  <c r="I2240" i="7" s="1"/>
  <c r="I2241" i="7" s="1"/>
  <c r="I2242" i="7" s="1"/>
  <c r="I2243" i="7" s="1"/>
  <c r="I2244" i="7" s="1"/>
  <c r="I2245" i="7" s="1"/>
  <c r="I2246" i="7" s="1"/>
  <c r="I2247" i="7" s="1"/>
  <c r="I2248" i="7" s="1"/>
  <c r="I2249" i="7" s="1"/>
  <c r="I2250" i="7" s="1"/>
  <c r="I2251" i="7" s="1"/>
  <c r="I2252" i="7" s="1"/>
  <c r="I2253" i="7" s="1"/>
  <c r="I2254" i="7" s="1"/>
  <c r="I2255" i="7" s="1"/>
  <c r="I2256" i="7" s="1"/>
  <c r="I2257" i="7" s="1"/>
  <c r="I2258" i="7" s="1"/>
  <c r="I2259" i="7" s="1"/>
  <c r="I2260" i="7" s="1"/>
  <c r="I2261" i="7" s="1"/>
  <c r="I2262" i="7" s="1"/>
  <c r="I2263" i="7" s="1"/>
  <c r="I2264" i="7" s="1"/>
  <c r="I2265" i="7" s="1"/>
  <c r="I2266" i="7" s="1"/>
  <c r="I2267" i="7" s="1"/>
  <c r="I2268" i="7" s="1"/>
  <c r="I2269" i="7" s="1"/>
  <c r="I2270" i="7" s="1"/>
  <c r="I2271" i="7" s="1"/>
  <c r="I2272" i="7" s="1"/>
  <c r="I2273" i="7" s="1"/>
  <c r="I2274" i="7" s="1"/>
  <c r="I2275" i="7" s="1"/>
  <c r="I2276" i="7" s="1"/>
  <c r="I2277" i="7" s="1"/>
  <c r="I2278" i="7" s="1"/>
  <c r="I2279" i="7" s="1"/>
  <c r="I2280" i="7" s="1"/>
  <c r="I2281" i="7" s="1"/>
  <c r="I2282" i="7" s="1"/>
  <c r="I2283" i="7" s="1"/>
  <c r="I2284" i="7" s="1"/>
  <c r="I2285" i="7" s="1"/>
  <c r="I2286" i="7" s="1"/>
  <c r="I2287" i="7" s="1"/>
  <c r="I2288" i="7" s="1"/>
  <c r="I2289" i="7" s="1"/>
  <c r="I2290" i="7" s="1"/>
  <c r="I2291" i="7" s="1"/>
  <c r="I2292" i="7" s="1"/>
  <c r="I2293" i="7" s="1"/>
  <c r="I2294" i="7" s="1"/>
  <c r="I2295" i="7" s="1"/>
  <c r="I2296" i="7" s="1"/>
  <c r="I2297" i="7" s="1"/>
  <c r="I2298" i="7" s="1"/>
  <c r="I2299" i="7" s="1"/>
  <c r="I2300" i="7" s="1"/>
  <c r="I2301" i="7" s="1"/>
  <c r="I2302" i="7" s="1"/>
  <c r="I2303" i="7" s="1"/>
  <c r="I2304" i="7" s="1"/>
  <c r="I2305" i="7" s="1"/>
  <c r="I2306" i="7" s="1"/>
  <c r="I2307" i="7" s="1"/>
  <c r="I2308" i="7" s="1"/>
  <c r="I2309" i="7" s="1"/>
  <c r="I2310" i="7" s="1"/>
  <c r="I2311" i="7" s="1"/>
  <c r="I2312" i="7" s="1"/>
  <c r="I2313" i="7" s="1"/>
  <c r="I2314" i="7" s="1"/>
  <c r="I2315" i="7" s="1"/>
  <c r="I2316" i="7" s="1"/>
  <c r="I2317" i="7" s="1"/>
  <c r="I2318" i="7" s="1"/>
  <c r="I2319" i="7" s="1"/>
  <c r="I2320" i="7" s="1"/>
  <c r="I2321" i="7" s="1"/>
  <c r="I2322" i="7" s="1"/>
  <c r="I2323" i="7" s="1"/>
  <c r="I2324" i="7" s="1"/>
  <c r="I2325" i="7" s="1"/>
  <c r="I2326" i="7" s="1"/>
  <c r="I2327" i="7" s="1"/>
  <c r="I2328" i="7" s="1"/>
  <c r="I2329" i="7" s="1"/>
  <c r="I2330" i="7" s="1"/>
  <c r="I2331" i="7" s="1"/>
  <c r="I2332" i="7" s="1"/>
  <c r="I2333" i="7" s="1"/>
  <c r="I2334" i="7" s="1"/>
  <c r="I2335" i="7" s="1"/>
  <c r="I2336" i="7" s="1"/>
  <c r="I2337" i="7" s="1"/>
  <c r="I2338" i="7" s="1"/>
  <c r="I2339" i="7" s="1"/>
  <c r="I2340" i="7" s="1"/>
  <c r="I2341" i="7" s="1"/>
  <c r="I2342" i="7" s="1"/>
  <c r="I2343" i="7" s="1"/>
  <c r="I2344" i="7" s="1"/>
  <c r="I2345" i="7" s="1"/>
  <c r="I2346" i="7" s="1"/>
  <c r="I2347" i="7" s="1"/>
  <c r="I2348" i="7" s="1"/>
  <c r="I2349" i="7" s="1"/>
  <c r="I2350" i="7" s="1"/>
  <c r="I2351" i="7" s="1"/>
  <c r="I2352" i="7" s="1"/>
  <c r="I2353" i="7" s="1"/>
  <c r="I2354" i="7" s="1"/>
  <c r="I2355" i="7" s="1"/>
  <c r="I2356" i="7" s="1"/>
  <c r="I2357" i="7" s="1"/>
  <c r="I2358" i="7" s="1"/>
  <c r="I2359" i="7" s="1"/>
  <c r="I2360" i="7" s="1"/>
  <c r="I2361" i="7" s="1"/>
  <c r="I2362" i="7" s="1"/>
  <c r="I2363" i="7" s="1"/>
  <c r="I2364" i="7" s="1"/>
  <c r="I2365" i="7" s="1"/>
  <c r="I2366" i="7" s="1"/>
  <c r="I2367" i="7" s="1"/>
  <c r="I2368" i="7" s="1"/>
  <c r="I2369" i="7" s="1"/>
  <c r="I2370" i="7" s="1"/>
  <c r="I2371" i="7" s="1"/>
  <c r="I2372" i="7" s="1"/>
  <c r="I2373" i="7" s="1"/>
  <c r="I2374" i="7" s="1"/>
  <c r="I2375" i="7" s="1"/>
  <c r="I2376" i="7" s="1"/>
  <c r="I2377" i="7" s="1"/>
  <c r="I2378" i="7" s="1"/>
  <c r="I2379" i="7" s="1"/>
  <c r="I2380" i="7" s="1"/>
  <c r="I2381" i="7" s="1"/>
  <c r="I2382" i="7" s="1"/>
  <c r="I2383" i="7" s="1"/>
  <c r="I2384" i="7" s="1"/>
  <c r="I2385" i="7" s="1"/>
  <c r="I2386" i="7" s="1"/>
  <c r="I2387" i="7" s="1"/>
  <c r="I2388" i="7" s="1"/>
  <c r="I2389" i="7" s="1"/>
  <c r="I2390" i="7" s="1"/>
  <c r="I2391" i="7" s="1"/>
  <c r="I2392" i="7" s="1"/>
  <c r="I2393" i="7" s="1"/>
  <c r="I2394" i="7" s="1"/>
  <c r="I2395" i="7" s="1"/>
  <c r="I2396" i="7" s="1"/>
  <c r="I2397" i="7" s="1"/>
  <c r="I2398" i="7" s="1"/>
  <c r="I2399" i="7" s="1"/>
  <c r="I2400" i="7" s="1"/>
  <c r="I2401" i="7" s="1"/>
  <c r="I2402" i="7" s="1"/>
  <c r="I2403" i="7" s="1"/>
  <c r="I2404" i="7" s="1"/>
  <c r="I2405" i="7" s="1"/>
  <c r="I2406" i="7" s="1"/>
  <c r="I2407" i="7" s="1"/>
  <c r="I2408" i="7" s="1"/>
  <c r="I2409" i="7" s="1"/>
  <c r="I2410" i="7" s="1"/>
  <c r="I2411" i="7" s="1"/>
  <c r="I2412" i="7" s="1"/>
  <c r="I2413" i="7" s="1"/>
  <c r="I2414" i="7" s="1"/>
  <c r="I2415" i="7" s="1"/>
  <c r="I2416" i="7" s="1"/>
  <c r="I2417" i="7" s="1"/>
  <c r="I2418" i="7" s="1"/>
  <c r="I2419" i="7" s="1"/>
  <c r="I2420" i="7" s="1"/>
  <c r="I2421" i="7" s="1"/>
  <c r="I2422" i="7" s="1"/>
  <c r="I2423" i="7" s="1"/>
  <c r="I2424" i="7" s="1"/>
  <c r="I2425" i="7" s="1"/>
  <c r="I2426" i="7" s="1"/>
  <c r="I2427" i="7" s="1"/>
  <c r="I2428" i="7" s="1"/>
  <c r="I2429" i="7" s="1"/>
  <c r="I2430" i="7" s="1"/>
  <c r="I2431" i="7" s="1"/>
  <c r="I2432" i="7" s="1"/>
  <c r="I2433" i="7" s="1"/>
  <c r="I2434" i="7" s="1"/>
  <c r="I2435" i="7" s="1"/>
  <c r="I2436" i="7" s="1"/>
  <c r="I2437" i="7" s="1"/>
  <c r="I2438" i="7" s="1"/>
  <c r="I2439" i="7" s="1"/>
  <c r="I2440" i="7" s="1"/>
  <c r="I2441" i="7" s="1"/>
  <c r="I2442" i="7" s="1"/>
  <c r="I2443" i="7" s="1"/>
  <c r="I2444" i="7" s="1"/>
  <c r="I2445" i="7" s="1"/>
  <c r="I2446" i="7" s="1"/>
  <c r="I2447" i="7" s="1"/>
  <c r="I2448" i="7" s="1"/>
  <c r="I2449" i="7" s="1"/>
  <c r="I2450" i="7" s="1"/>
  <c r="I2451" i="7" s="1"/>
  <c r="I2452" i="7" s="1"/>
  <c r="I2453" i="7" s="1"/>
  <c r="I2454" i="7" s="1"/>
  <c r="I2455" i="7" s="1"/>
  <c r="I2456" i="7" s="1"/>
  <c r="I2457" i="7" s="1"/>
  <c r="I2458" i="7" s="1"/>
  <c r="I2459" i="7" s="1"/>
  <c r="I2460" i="7" s="1"/>
  <c r="I2461" i="7" s="1"/>
  <c r="I2462" i="7" s="1"/>
  <c r="I2463" i="7" s="1"/>
  <c r="I2464" i="7" s="1"/>
  <c r="I2465" i="7" s="1"/>
  <c r="I2466" i="7" s="1"/>
  <c r="I2467" i="7" s="1"/>
  <c r="I2468" i="7" s="1"/>
  <c r="I2469" i="7" s="1"/>
  <c r="I2470" i="7" s="1"/>
  <c r="I2471" i="7" s="1"/>
  <c r="I2472" i="7" s="1"/>
  <c r="I2473" i="7" s="1"/>
  <c r="I2474" i="7" s="1"/>
  <c r="I2475" i="7" s="1"/>
  <c r="I2476" i="7" s="1"/>
  <c r="I2477" i="7" s="1"/>
  <c r="I2478" i="7" s="1"/>
  <c r="I2479" i="7" s="1"/>
  <c r="I2480" i="7" s="1"/>
  <c r="I2481" i="7" s="1"/>
  <c r="I2482" i="7" s="1"/>
  <c r="I2483" i="7" s="1"/>
  <c r="I2484" i="7" s="1"/>
  <c r="I2485" i="7" s="1"/>
  <c r="I2486" i="7" s="1"/>
  <c r="I2487" i="7" s="1"/>
  <c r="I2488" i="7" s="1"/>
  <c r="I2489" i="7" s="1"/>
  <c r="I2490" i="7" s="1"/>
  <c r="I2491" i="7" s="1"/>
  <c r="I2492" i="7" s="1"/>
  <c r="I2493" i="7" s="1"/>
  <c r="I2494" i="7" s="1"/>
  <c r="I2495" i="7" s="1"/>
  <c r="I2496" i="7" s="1"/>
  <c r="I2497" i="7" s="1"/>
  <c r="I2498" i="7" s="1"/>
  <c r="I2499" i="7" s="1"/>
  <c r="I2500" i="7" s="1"/>
  <c r="I2501" i="7" s="1"/>
  <c r="I2502" i="7" s="1"/>
  <c r="I2503" i="7" s="1"/>
  <c r="I2504" i="7" s="1"/>
  <c r="I2505" i="7" s="1"/>
  <c r="I2506" i="7" s="1"/>
  <c r="I2507" i="7" s="1"/>
  <c r="I2508" i="7" s="1"/>
  <c r="I2509" i="7" s="1"/>
  <c r="I2510" i="7" s="1"/>
  <c r="I2511" i="7" s="1"/>
  <c r="I2512" i="7" s="1"/>
  <c r="I2513" i="7" s="1"/>
  <c r="I2514" i="7" s="1"/>
  <c r="I2515" i="7" s="1"/>
  <c r="I2516" i="7" s="1"/>
  <c r="I2517" i="7" s="1"/>
  <c r="I2518" i="7" s="1"/>
  <c r="I2519" i="7" s="1"/>
  <c r="I2520" i="7" s="1"/>
  <c r="I2521" i="7" s="1"/>
  <c r="I2522" i="7" s="1"/>
  <c r="I2523" i="7" s="1"/>
  <c r="I2524" i="7" s="1"/>
  <c r="I2525" i="7" s="1"/>
  <c r="I2526" i="7" s="1"/>
  <c r="I2527" i="7" s="1"/>
  <c r="I2528" i="7" s="1"/>
  <c r="I2529" i="7" s="1"/>
  <c r="I2530" i="7" s="1"/>
  <c r="I2531" i="7" s="1"/>
  <c r="I2532" i="7" s="1"/>
  <c r="I2533" i="7" s="1"/>
  <c r="I2534" i="7" s="1"/>
  <c r="I2535" i="7" s="1"/>
  <c r="I2536" i="7" s="1"/>
  <c r="I2537" i="7" s="1"/>
  <c r="I2538" i="7" s="1"/>
  <c r="I2539" i="7" s="1"/>
  <c r="I2540" i="7" s="1"/>
  <c r="I2541" i="7" s="1"/>
  <c r="I2542" i="7" s="1"/>
  <c r="I2543" i="7" s="1"/>
  <c r="I2544" i="7" s="1"/>
  <c r="I2545" i="7" s="1"/>
  <c r="I2546" i="7" s="1"/>
  <c r="I2547" i="7" s="1"/>
  <c r="I2548" i="7" s="1"/>
  <c r="I2549" i="7" s="1"/>
  <c r="I2550" i="7" s="1"/>
  <c r="I2551" i="7" s="1"/>
  <c r="I2552" i="7" s="1"/>
  <c r="I2553" i="7" s="1"/>
  <c r="I2554" i="7" s="1"/>
  <c r="I2555" i="7" s="1"/>
  <c r="I2556" i="7" s="1"/>
  <c r="I2557" i="7" s="1"/>
  <c r="I2558" i="7" s="1"/>
  <c r="I2559" i="7" s="1"/>
  <c r="I2560" i="7" s="1"/>
  <c r="I2561" i="7" s="1"/>
  <c r="I2562" i="7" s="1"/>
  <c r="I2563" i="7" s="1"/>
  <c r="I2564" i="7" s="1"/>
  <c r="I2565" i="7" s="1"/>
  <c r="I2566" i="7" s="1"/>
  <c r="I2567" i="7" s="1"/>
  <c r="I2568" i="7" s="1"/>
  <c r="I2569" i="7" s="1"/>
  <c r="I2570" i="7" s="1"/>
  <c r="I2571" i="7" s="1"/>
  <c r="I2572" i="7" s="1"/>
  <c r="I2573" i="7" s="1"/>
  <c r="I2574" i="7" s="1"/>
  <c r="I2575" i="7" s="1"/>
  <c r="I2576" i="7" s="1"/>
  <c r="I2577" i="7" s="1"/>
  <c r="I2578" i="7" s="1"/>
  <c r="I2579" i="7" s="1"/>
  <c r="I2580" i="7" s="1"/>
  <c r="I2581" i="7" s="1"/>
  <c r="I2582" i="7" s="1"/>
  <c r="I2583" i="7" s="1"/>
  <c r="I2584" i="7" s="1"/>
  <c r="I2585" i="7" s="1"/>
  <c r="I2586" i="7" s="1"/>
  <c r="I2587" i="7" s="1"/>
  <c r="I2588" i="7" s="1"/>
  <c r="I2589" i="7" s="1"/>
  <c r="I2590" i="7" s="1"/>
  <c r="I2591" i="7" s="1"/>
  <c r="I2592" i="7" s="1"/>
  <c r="I2593" i="7" s="1"/>
  <c r="I2594" i="7" s="1"/>
  <c r="I2595" i="7" s="1"/>
  <c r="I2596" i="7" s="1"/>
  <c r="I2597" i="7" s="1"/>
  <c r="I2598" i="7" s="1"/>
  <c r="I2599" i="7" s="1"/>
  <c r="I2600" i="7" s="1"/>
  <c r="I2601" i="7" s="1"/>
  <c r="I2602" i="7" s="1"/>
  <c r="I2603" i="7" s="1"/>
  <c r="I2604" i="7" s="1"/>
  <c r="I2605" i="7" s="1"/>
  <c r="I2606" i="7" s="1"/>
  <c r="I2607" i="7" s="1"/>
  <c r="I2608" i="7" s="1"/>
  <c r="I2609" i="7" s="1"/>
  <c r="I2610" i="7" s="1"/>
  <c r="I2611" i="7" s="1"/>
  <c r="I2612" i="7" s="1"/>
  <c r="I2613" i="7" s="1"/>
  <c r="I2614" i="7" s="1"/>
  <c r="I2615" i="7" s="1"/>
  <c r="I2616" i="7" s="1"/>
  <c r="I2617" i="7" s="1"/>
  <c r="I2618" i="7" s="1"/>
  <c r="I2619" i="7" s="1"/>
  <c r="I2620" i="7" s="1"/>
  <c r="I2621" i="7" s="1"/>
  <c r="I2622" i="7" s="1"/>
  <c r="I2623" i="7" s="1"/>
  <c r="I2624" i="7" s="1"/>
  <c r="I2625" i="7" s="1"/>
  <c r="I2626" i="7" s="1"/>
  <c r="I2627" i="7" s="1"/>
  <c r="I2628" i="7" s="1"/>
  <c r="I2629" i="7" s="1"/>
  <c r="I2630" i="7" s="1"/>
  <c r="I2631" i="7" s="1"/>
  <c r="I2632" i="7" s="1"/>
  <c r="I2633" i="7" s="1"/>
  <c r="I2634" i="7" s="1"/>
  <c r="I2635" i="7" s="1"/>
  <c r="I2636" i="7" s="1"/>
  <c r="I2637" i="7" s="1"/>
  <c r="I2638" i="7" s="1"/>
  <c r="I2639" i="7" s="1"/>
  <c r="I2640" i="7" s="1"/>
  <c r="I2641" i="7" s="1"/>
  <c r="I2642" i="7" s="1"/>
  <c r="I2643" i="7" s="1"/>
  <c r="I2644" i="7" s="1"/>
  <c r="I2645" i="7" s="1"/>
  <c r="I2646" i="7" s="1"/>
  <c r="I2647" i="7" s="1"/>
  <c r="I2648" i="7" s="1"/>
  <c r="I2649" i="7" s="1"/>
  <c r="I2650" i="7" s="1"/>
  <c r="I2651" i="7" s="1"/>
  <c r="I2652" i="7" s="1"/>
  <c r="I2653" i="7" s="1"/>
  <c r="I2654" i="7" s="1"/>
  <c r="I2655" i="7" s="1"/>
  <c r="I2656" i="7" s="1"/>
  <c r="I2657" i="7" s="1"/>
  <c r="I2658" i="7" s="1"/>
  <c r="I2659" i="7" s="1"/>
  <c r="I2660" i="7" s="1"/>
  <c r="I2661" i="7" s="1"/>
  <c r="I2662" i="7" s="1"/>
  <c r="I2663" i="7" s="1"/>
  <c r="I2664" i="7" s="1"/>
  <c r="I2665" i="7" s="1"/>
  <c r="I2666" i="7" s="1"/>
  <c r="I2667" i="7" s="1"/>
  <c r="I2668" i="7" s="1"/>
  <c r="I2669" i="7" s="1"/>
  <c r="I2670" i="7" s="1"/>
  <c r="I2671" i="7" s="1"/>
  <c r="I2672" i="7" s="1"/>
  <c r="I2673" i="7" s="1"/>
  <c r="I2674" i="7" s="1"/>
  <c r="I2675" i="7" s="1"/>
  <c r="I2676" i="7" s="1"/>
  <c r="I2677" i="7" s="1"/>
  <c r="I2678" i="7" s="1"/>
  <c r="I2679" i="7" s="1"/>
  <c r="I2680" i="7" s="1"/>
  <c r="I2681" i="7" s="1"/>
  <c r="I2682" i="7" s="1"/>
  <c r="I2683" i="7" s="1"/>
  <c r="I2684" i="7" s="1"/>
  <c r="I2685" i="7" s="1"/>
  <c r="I2686" i="7" s="1"/>
  <c r="I2687" i="7" s="1"/>
  <c r="I2688" i="7" s="1"/>
  <c r="I2689" i="7" s="1"/>
  <c r="I2690" i="7" s="1"/>
  <c r="I2691" i="7" s="1"/>
  <c r="I2692" i="7" s="1"/>
  <c r="I2693" i="7" s="1"/>
  <c r="I2694" i="7" s="1"/>
  <c r="I2695" i="7" s="1"/>
  <c r="I2696" i="7" s="1"/>
  <c r="I2697" i="7" s="1"/>
  <c r="I2698" i="7" s="1"/>
  <c r="I2699" i="7" s="1"/>
  <c r="I2700" i="7" s="1"/>
  <c r="I2701" i="7" s="1"/>
  <c r="I2702" i="7" s="1"/>
  <c r="I2703" i="7" s="1"/>
  <c r="I2704" i="7" s="1"/>
  <c r="I2705" i="7" s="1"/>
  <c r="I2706" i="7" s="1"/>
  <c r="I2707" i="7" s="1"/>
  <c r="I2708" i="7" s="1"/>
  <c r="I2709" i="7" s="1"/>
  <c r="I2710" i="7" s="1"/>
  <c r="I2711" i="7" s="1"/>
  <c r="I2712" i="7" s="1"/>
  <c r="I2713" i="7" s="1"/>
  <c r="I2714" i="7" s="1"/>
  <c r="I2715" i="7" s="1"/>
  <c r="I2716" i="7" s="1"/>
  <c r="I2717" i="7" s="1"/>
  <c r="I2718" i="7" s="1"/>
  <c r="I2719" i="7" s="1"/>
  <c r="I2720" i="7" s="1"/>
  <c r="I2721" i="7" s="1"/>
  <c r="I2722" i="7" s="1"/>
  <c r="I2723" i="7" s="1"/>
  <c r="I2724" i="7" s="1"/>
  <c r="I2725" i="7" s="1"/>
  <c r="I2726" i="7" s="1"/>
  <c r="I2727" i="7" s="1"/>
  <c r="I2728" i="7" s="1"/>
  <c r="I2729" i="7" s="1"/>
  <c r="I2730" i="7" s="1"/>
  <c r="I2731" i="7" s="1"/>
  <c r="I2732" i="7" s="1"/>
  <c r="I2733" i="7" s="1"/>
  <c r="I2734" i="7" s="1"/>
  <c r="I2735" i="7" s="1"/>
  <c r="I2736" i="7" s="1"/>
  <c r="I2737" i="7" s="1"/>
  <c r="I2738" i="7" s="1"/>
  <c r="I2739" i="7" s="1"/>
  <c r="I2740" i="7" s="1"/>
  <c r="I2741" i="7" s="1"/>
  <c r="I2742" i="7" s="1"/>
  <c r="I2743" i="7" s="1"/>
  <c r="I2744" i="7" s="1"/>
  <c r="I2745" i="7" s="1"/>
  <c r="I2746" i="7" s="1"/>
  <c r="I2747" i="7" s="1"/>
  <c r="I2748" i="7" s="1"/>
  <c r="I2749" i="7" s="1"/>
  <c r="I2750" i="7" s="1"/>
  <c r="I2751" i="7" s="1"/>
  <c r="I2752" i="7" s="1"/>
  <c r="I2753" i="7" s="1"/>
  <c r="I2754" i="7" s="1"/>
  <c r="I2755" i="7" s="1"/>
  <c r="I2756" i="7" s="1"/>
  <c r="I2757" i="7" s="1"/>
  <c r="I2758" i="7" s="1"/>
  <c r="I2759" i="7" s="1"/>
  <c r="I2760" i="7" s="1"/>
  <c r="I2761" i="7" s="1"/>
  <c r="I2762" i="7" s="1"/>
  <c r="I2763" i="7" s="1"/>
  <c r="I2764" i="7" s="1"/>
  <c r="I2765" i="7" s="1"/>
  <c r="I2766" i="7" s="1"/>
  <c r="I2767" i="7" s="1"/>
  <c r="I2768" i="7" s="1"/>
  <c r="I2769" i="7" s="1"/>
  <c r="I2770" i="7" s="1"/>
  <c r="I2771" i="7" s="1"/>
  <c r="I2772" i="7" s="1"/>
  <c r="I2773" i="7" s="1"/>
  <c r="I2774" i="7" s="1"/>
  <c r="I2775" i="7" s="1"/>
  <c r="I2776" i="7" s="1"/>
  <c r="I2777" i="7" s="1"/>
  <c r="I2778" i="7" s="1"/>
  <c r="I2779" i="7" s="1"/>
  <c r="I2780" i="7" s="1"/>
  <c r="I2781" i="7" s="1"/>
  <c r="I2782" i="7" s="1"/>
  <c r="I2783" i="7" s="1"/>
  <c r="I2784" i="7" s="1"/>
  <c r="I2785" i="7" s="1"/>
  <c r="I2786" i="7" s="1"/>
  <c r="I2787" i="7" s="1"/>
  <c r="I2788" i="7" s="1"/>
  <c r="I2789" i="7" s="1"/>
  <c r="I2790" i="7" s="1"/>
  <c r="I2791" i="7" s="1"/>
  <c r="I2792" i="7" s="1"/>
  <c r="I2793" i="7" s="1"/>
  <c r="I2794" i="7" s="1"/>
  <c r="I2795" i="7" s="1"/>
  <c r="I2796" i="7" s="1"/>
  <c r="I2797" i="7" s="1"/>
  <c r="I2798" i="7" s="1"/>
  <c r="I2799" i="7" s="1"/>
  <c r="I2800" i="7" s="1"/>
  <c r="I2801" i="7" s="1"/>
  <c r="I2802" i="7" s="1"/>
  <c r="I2803" i="7" s="1"/>
  <c r="I2804" i="7" s="1"/>
  <c r="I2805" i="7" s="1"/>
  <c r="I2806" i="7" s="1"/>
  <c r="I2807" i="7" s="1"/>
  <c r="I2808" i="7" s="1"/>
  <c r="I2809" i="7" s="1"/>
  <c r="I2810" i="7" s="1"/>
  <c r="I2811" i="7" s="1"/>
  <c r="I2812" i="7" s="1"/>
  <c r="I2813" i="7" s="1"/>
  <c r="I2814" i="7" s="1"/>
  <c r="I2815" i="7" s="1"/>
  <c r="I2816" i="7" s="1"/>
  <c r="I2817" i="7" s="1"/>
  <c r="I2818" i="7" s="1"/>
  <c r="I2819" i="7" s="1"/>
  <c r="I2820" i="7" s="1"/>
  <c r="I2821" i="7" s="1"/>
  <c r="I2822" i="7" s="1"/>
  <c r="I2823" i="7" s="1"/>
  <c r="I2824" i="7" s="1"/>
  <c r="I2825" i="7" s="1"/>
  <c r="I2826" i="7" s="1"/>
  <c r="I2827" i="7" s="1"/>
  <c r="I2828" i="7" s="1"/>
  <c r="I2829" i="7" s="1"/>
  <c r="I2830" i="7" s="1"/>
  <c r="I2831" i="7" s="1"/>
  <c r="I2832" i="7" s="1"/>
  <c r="I2833" i="7" s="1"/>
  <c r="I2834" i="7" s="1"/>
  <c r="I2835" i="7" s="1"/>
  <c r="I2836" i="7" s="1"/>
  <c r="I2837" i="7" s="1"/>
  <c r="I2838" i="7" s="1"/>
  <c r="I2839" i="7" s="1"/>
  <c r="I2840" i="7" s="1"/>
  <c r="I2841" i="7" s="1"/>
  <c r="I2842" i="7" s="1"/>
  <c r="I2843" i="7" s="1"/>
  <c r="I2844" i="7" s="1"/>
  <c r="I2845" i="7" s="1"/>
  <c r="I2846" i="7" s="1"/>
  <c r="I2847" i="7" s="1"/>
  <c r="I2848" i="7" s="1"/>
  <c r="I2849" i="7" s="1"/>
  <c r="I2850" i="7" s="1"/>
  <c r="I2851" i="7" s="1"/>
  <c r="I2852" i="7" s="1"/>
  <c r="I2853" i="7" s="1"/>
  <c r="I2854" i="7" s="1"/>
  <c r="I2855" i="7" s="1"/>
  <c r="I2856" i="7" s="1"/>
  <c r="I2857" i="7" s="1"/>
  <c r="I2858" i="7" s="1"/>
  <c r="I2859" i="7" s="1"/>
  <c r="I2860" i="7" s="1"/>
  <c r="I2861" i="7" s="1"/>
  <c r="I2862" i="7" s="1"/>
  <c r="I2863" i="7" s="1"/>
  <c r="I2864" i="7" s="1"/>
  <c r="I2865" i="7" s="1"/>
  <c r="I2866" i="7" s="1"/>
  <c r="I2867" i="7" s="1"/>
  <c r="I2868" i="7" s="1"/>
  <c r="I2869" i="7" s="1"/>
  <c r="I2870" i="7" s="1"/>
  <c r="I2871" i="7" s="1"/>
  <c r="I2872" i="7" s="1"/>
  <c r="I2873" i="7" s="1"/>
  <c r="I2874" i="7" s="1"/>
  <c r="I2875" i="7" s="1"/>
  <c r="I2876" i="7" s="1"/>
  <c r="I2877" i="7" s="1"/>
  <c r="I2878" i="7" s="1"/>
  <c r="I2879" i="7" s="1"/>
  <c r="I2880" i="7" s="1"/>
  <c r="I2881" i="7" s="1"/>
  <c r="I2882" i="7" s="1"/>
  <c r="I2883" i="7" s="1"/>
  <c r="I2884" i="7" s="1"/>
  <c r="I2885" i="7" s="1"/>
  <c r="I2886" i="7" s="1"/>
  <c r="I2887" i="7" s="1"/>
  <c r="I2888" i="7" s="1"/>
  <c r="I2889" i="7" s="1"/>
  <c r="I2890" i="7" s="1"/>
  <c r="I2891" i="7" s="1"/>
  <c r="I2892" i="7" s="1"/>
  <c r="I2893" i="7" s="1"/>
  <c r="I2894" i="7" s="1"/>
  <c r="I2895" i="7" s="1"/>
  <c r="I2896" i="7" s="1"/>
  <c r="I2897" i="7" s="1"/>
  <c r="I2898" i="7" s="1"/>
  <c r="I2899" i="7" s="1"/>
  <c r="I2900" i="7" s="1"/>
  <c r="I2901" i="7" s="1"/>
  <c r="I2902" i="7" s="1"/>
  <c r="I2903" i="7" s="1"/>
  <c r="I2904" i="7" s="1"/>
  <c r="I2905" i="7" s="1"/>
  <c r="I2906" i="7" s="1"/>
  <c r="I2907" i="7" s="1"/>
  <c r="I2908" i="7" s="1"/>
  <c r="I2909" i="7" s="1"/>
  <c r="I2910" i="7" s="1"/>
  <c r="I2911" i="7" s="1"/>
  <c r="I2912" i="7" s="1"/>
  <c r="I2913" i="7" s="1"/>
  <c r="I2914" i="7" s="1"/>
  <c r="I2915" i="7" s="1"/>
  <c r="I2916" i="7" s="1"/>
  <c r="I2917" i="7" s="1"/>
  <c r="I2918" i="7" s="1"/>
  <c r="I2919" i="7" s="1"/>
  <c r="I2920" i="7" s="1"/>
  <c r="I2921" i="7" s="1"/>
  <c r="I2922" i="7" s="1"/>
  <c r="I2923" i="7" s="1"/>
  <c r="I2924" i="7" s="1"/>
  <c r="I2925" i="7" s="1"/>
  <c r="I2926" i="7" s="1"/>
  <c r="I2927" i="7" s="1"/>
  <c r="I2928" i="7" s="1"/>
  <c r="I2929" i="7" s="1"/>
  <c r="I2930" i="7" s="1"/>
  <c r="I2931" i="7" s="1"/>
  <c r="I2932" i="7" s="1"/>
  <c r="I2933" i="7" s="1"/>
  <c r="I2934" i="7" s="1"/>
  <c r="I2935" i="7" s="1"/>
  <c r="I2936" i="7" s="1"/>
  <c r="I2937" i="7" s="1"/>
  <c r="I2938" i="7" s="1"/>
  <c r="I2939" i="7" s="1"/>
  <c r="I2940" i="7" s="1"/>
  <c r="I2941" i="7" s="1"/>
  <c r="I2942" i="7" s="1"/>
  <c r="I2943" i="7" s="1"/>
  <c r="I2944" i="7" s="1"/>
  <c r="I2945" i="7" s="1"/>
  <c r="I2946" i="7" s="1"/>
  <c r="I2947" i="7" s="1"/>
  <c r="I2948" i="7" s="1"/>
  <c r="I2949" i="7" s="1"/>
  <c r="I2950" i="7" s="1"/>
  <c r="I2951" i="7" s="1"/>
  <c r="I2952" i="7" s="1"/>
  <c r="I2953" i="7" s="1"/>
  <c r="I2954" i="7" s="1"/>
  <c r="I2955" i="7" s="1"/>
  <c r="I2956" i="7" s="1"/>
  <c r="I2957" i="7" s="1"/>
  <c r="I2958" i="7" s="1"/>
  <c r="I2959" i="7" s="1"/>
  <c r="I2960" i="7" s="1"/>
  <c r="I2961" i="7" s="1"/>
  <c r="I2962" i="7" s="1"/>
  <c r="I2963" i="7" s="1"/>
  <c r="I2964" i="7" s="1"/>
  <c r="I2965" i="7" s="1"/>
  <c r="I2966" i="7" s="1"/>
  <c r="I2967" i="7" s="1"/>
  <c r="I2968" i="7" s="1"/>
  <c r="I2969" i="7" s="1"/>
  <c r="I2970" i="7" s="1"/>
  <c r="I2971" i="7" s="1"/>
  <c r="I2972" i="7" s="1"/>
  <c r="I2973" i="7" s="1"/>
  <c r="I2974" i="7" s="1"/>
  <c r="I2975" i="7" s="1"/>
  <c r="I2976" i="7" s="1"/>
  <c r="I2977" i="7" s="1"/>
  <c r="I2978" i="7" s="1"/>
  <c r="I2979" i="7" s="1"/>
  <c r="I2980" i="7" s="1"/>
  <c r="I2981" i="7" s="1"/>
  <c r="I2982" i="7" s="1"/>
  <c r="I2983" i="7" s="1"/>
  <c r="I2984" i="7" s="1"/>
  <c r="I2985" i="7" s="1"/>
  <c r="I2986" i="7" s="1"/>
  <c r="I2987" i="7" s="1"/>
  <c r="I2988" i="7" s="1"/>
  <c r="I2989" i="7" s="1"/>
  <c r="I2990" i="7" s="1"/>
  <c r="I2991" i="7" s="1"/>
  <c r="I2992" i="7" s="1"/>
  <c r="I2993" i="7" s="1"/>
  <c r="I2994" i="7" s="1"/>
  <c r="I2995" i="7" s="1"/>
  <c r="I2996" i="7" s="1"/>
  <c r="I2997" i="7" s="1"/>
  <c r="I2998" i="7" s="1"/>
  <c r="I2999" i="7" s="1"/>
  <c r="I3000" i="7" s="1"/>
  <c r="I3001" i="7" s="1"/>
  <c r="I3002" i="7" s="1"/>
  <c r="I3003" i="7" s="1"/>
  <c r="I3004" i="7" s="1"/>
  <c r="I3005" i="7" s="1"/>
  <c r="I3006" i="7" s="1"/>
  <c r="I3007" i="7" s="1"/>
  <c r="I3008" i="7" s="1"/>
  <c r="I3009" i="7" s="1"/>
  <c r="I3010" i="7" s="1"/>
  <c r="I3011" i="7" s="1"/>
  <c r="I3012" i="7" s="1"/>
  <c r="I3013" i="7" s="1"/>
  <c r="I3014" i="7" s="1"/>
  <c r="I3015" i="7" s="1"/>
  <c r="I3016" i="7" s="1"/>
  <c r="I3017" i="7" s="1"/>
  <c r="I3018" i="7" s="1"/>
  <c r="I3019" i="7" s="1"/>
  <c r="I3020" i="7" s="1"/>
  <c r="I3021" i="7" s="1"/>
  <c r="I3022" i="7" s="1"/>
  <c r="I3023" i="7" s="1"/>
  <c r="I3024" i="7" s="1"/>
  <c r="I3025" i="7" s="1"/>
  <c r="I3026" i="7" s="1"/>
  <c r="I3027" i="7" s="1"/>
  <c r="I3028" i="7" s="1"/>
  <c r="I3029" i="7" s="1"/>
  <c r="I3030" i="7" s="1"/>
  <c r="I3031" i="7" s="1"/>
  <c r="I3032" i="7" s="1"/>
  <c r="I3033" i="7" s="1"/>
  <c r="I3034" i="7" s="1"/>
  <c r="I3035" i="7" s="1"/>
  <c r="I3036" i="7" s="1"/>
  <c r="I3037" i="7" s="1"/>
  <c r="I3038" i="7" s="1"/>
  <c r="I3039" i="7" s="1"/>
  <c r="I3040" i="7" s="1"/>
  <c r="I3041" i="7" s="1"/>
  <c r="I3042" i="7" s="1"/>
  <c r="I3043" i="7" s="1"/>
  <c r="I3044" i="7" s="1"/>
  <c r="I3045" i="7" s="1"/>
  <c r="I3046" i="7" s="1"/>
  <c r="I3047" i="7" s="1"/>
  <c r="I3048" i="7" s="1"/>
  <c r="I3049" i="7" s="1"/>
  <c r="I3050" i="7" s="1"/>
  <c r="I3051" i="7" s="1"/>
  <c r="I3052" i="7" s="1"/>
  <c r="I3053" i="7" s="1"/>
  <c r="I3054" i="7" s="1"/>
  <c r="I3055" i="7" s="1"/>
  <c r="I3056" i="7" s="1"/>
  <c r="I3057" i="7" s="1"/>
  <c r="I3058" i="7" s="1"/>
  <c r="I3059" i="7" s="1"/>
  <c r="I3060" i="7" s="1"/>
  <c r="I3061" i="7" s="1"/>
  <c r="I3062" i="7" s="1"/>
  <c r="I3063" i="7" s="1"/>
  <c r="I3064" i="7" s="1"/>
  <c r="I3065" i="7" s="1"/>
  <c r="I3066" i="7" s="1"/>
  <c r="I3067" i="7" s="1"/>
  <c r="I3068" i="7" s="1"/>
  <c r="I3069" i="7" s="1"/>
  <c r="I3070" i="7" s="1"/>
  <c r="I3071" i="7" s="1"/>
  <c r="I3072" i="7" s="1"/>
  <c r="I3073" i="7" s="1"/>
  <c r="I3074" i="7" s="1"/>
  <c r="I3075" i="7" s="1"/>
  <c r="I3076" i="7" s="1"/>
  <c r="I3077" i="7" s="1"/>
  <c r="I3078" i="7" s="1"/>
  <c r="I3079" i="7" s="1"/>
  <c r="I3080" i="7" s="1"/>
  <c r="I3081" i="7" s="1"/>
  <c r="I3082" i="7" s="1"/>
  <c r="I3083" i="7" s="1"/>
  <c r="I3084" i="7" s="1"/>
  <c r="I3085" i="7" s="1"/>
  <c r="I3086" i="7" s="1"/>
  <c r="I3087" i="7" s="1"/>
  <c r="I3088" i="7" s="1"/>
  <c r="I3089" i="7" s="1"/>
  <c r="I3090" i="7" s="1"/>
  <c r="I3091" i="7" s="1"/>
  <c r="I3092" i="7" s="1"/>
  <c r="I3093" i="7" s="1"/>
  <c r="I3094" i="7" s="1"/>
  <c r="I3095" i="7" s="1"/>
  <c r="I3096" i="7" s="1"/>
  <c r="I3097" i="7" s="1"/>
  <c r="I3098" i="7" s="1"/>
  <c r="I3099" i="7" s="1"/>
  <c r="I3100" i="7" s="1"/>
  <c r="I3101" i="7" s="1"/>
  <c r="I3102" i="7" s="1"/>
  <c r="I3103" i="7" s="1"/>
  <c r="I3104" i="7" s="1"/>
  <c r="I3105" i="7" s="1"/>
  <c r="I3106" i="7" s="1"/>
  <c r="I3107" i="7" s="1"/>
  <c r="I3108" i="7" s="1"/>
  <c r="I3109" i="7" s="1"/>
  <c r="I3110" i="7" s="1"/>
  <c r="I3111" i="7" s="1"/>
  <c r="I3112" i="7" s="1"/>
  <c r="I3113" i="7" s="1"/>
  <c r="I3114" i="7" s="1"/>
  <c r="I3115" i="7" s="1"/>
  <c r="I3116" i="7" s="1"/>
  <c r="I3117" i="7" s="1"/>
  <c r="I3118" i="7" s="1"/>
  <c r="I3119" i="7" s="1"/>
  <c r="I3120" i="7" s="1"/>
  <c r="I3121" i="7" s="1"/>
  <c r="I3122" i="7" s="1"/>
  <c r="I3123" i="7" s="1"/>
  <c r="I3124" i="7" s="1"/>
  <c r="I3125" i="7" s="1"/>
  <c r="I3126" i="7" s="1"/>
  <c r="I3127" i="7" s="1"/>
  <c r="I3128" i="7" s="1"/>
  <c r="I3129" i="7" s="1"/>
  <c r="I3130" i="7" s="1"/>
  <c r="I3131" i="7" s="1"/>
  <c r="I3132" i="7" s="1"/>
  <c r="I3133" i="7" s="1"/>
  <c r="I3134" i="7" s="1"/>
  <c r="I3135" i="7" s="1"/>
  <c r="I3136" i="7" s="1"/>
  <c r="I3137" i="7" s="1"/>
  <c r="I3138" i="7" s="1"/>
  <c r="I3139" i="7" s="1"/>
  <c r="I3140" i="7" s="1"/>
  <c r="I3141" i="7" s="1"/>
  <c r="I3142" i="7" s="1"/>
  <c r="I3143" i="7" s="1"/>
  <c r="I3144" i="7" s="1"/>
  <c r="I3145" i="7" s="1"/>
  <c r="I3146" i="7" s="1"/>
  <c r="I3147" i="7" s="1"/>
  <c r="I3148" i="7" s="1"/>
  <c r="I3149" i="7" s="1"/>
  <c r="I3150" i="7" s="1"/>
  <c r="I3151" i="7" s="1"/>
  <c r="I3152" i="7" s="1"/>
  <c r="I3153" i="7" s="1"/>
  <c r="I3154" i="7" s="1"/>
  <c r="I3155" i="7" s="1"/>
  <c r="I3156" i="7" s="1"/>
  <c r="I3157" i="7" s="1"/>
  <c r="I3158" i="7" s="1"/>
  <c r="I3159" i="7" s="1"/>
  <c r="I3160" i="7" s="1"/>
  <c r="I3161" i="7" s="1"/>
  <c r="I3162" i="7" s="1"/>
  <c r="I3163" i="7" s="1"/>
  <c r="I3164" i="7" s="1"/>
  <c r="I3165" i="7" s="1"/>
  <c r="I3166" i="7" s="1"/>
  <c r="I3167" i="7" s="1"/>
  <c r="I3168" i="7" s="1"/>
  <c r="I3169" i="7" s="1"/>
  <c r="I3170" i="7" s="1"/>
  <c r="I3171" i="7" s="1"/>
  <c r="I3172" i="7" s="1"/>
  <c r="I3173" i="7" s="1"/>
  <c r="I3174" i="7" s="1"/>
  <c r="I3175" i="7" s="1"/>
  <c r="I3176" i="7" s="1"/>
  <c r="I3177" i="7" s="1"/>
  <c r="I3178" i="7" s="1"/>
  <c r="I3179" i="7" s="1"/>
  <c r="I3180" i="7" s="1"/>
  <c r="I3181" i="7" s="1"/>
  <c r="I3182" i="7" s="1"/>
  <c r="I3183" i="7" s="1"/>
  <c r="I3184" i="7" s="1"/>
  <c r="I3185" i="7" s="1"/>
  <c r="I3186" i="7" s="1"/>
  <c r="I3187" i="7" s="1"/>
  <c r="I3188" i="7" s="1"/>
  <c r="I3189" i="7" s="1"/>
  <c r="I3190" i="7" s="1"/>
  <c r="I3191" i="7" s="1"/>
  <c r="I3192" i="7" s="1"/>
  <c r="I3193" i="7" s="1"/>
  <c r="I3194" i="7" s="1"/>
  <c r="I3195" i="7" s="1"/>
  <c r="I3196" i="7" s="1"/>
  <c r="I3197" i="7" s="1"/>
  <c r="I3198" i="7" s="1"/>
  <c r="I3199" i="7" s="1"/>
  <c r="I3200" i="7" s="1"/>
  <c r="I3201" i="7" s="1"/>
  <c r="I3202" i="7" s="1"/>
  <c r="I3203" i="7" s="1"/>
  <c r="I3204" i="7" s="1"/>
  <c r="I3205" i="7" s="1"/>
  <c r="I3206" i="7" s="1"/>
  <c r="I3207" i="7" s="1"/>
  <c r="I3208" i="7" s="1"/>
  <c r="I3209" i="7" s="1"/>
  <c r="I3210" i="7" s="1"/>
  <c r="I3211" i="7" s="1"/>
  <c r="I3212" i="7" s="1"/>
  <c r="I3213" i="7" s="1"/>
  <c r="I3214" i="7" s="1"/>
  <c r="I3215" i="7" s="1"/>
  <c r="I3216" i="7" s="1"/>
  <c r="I3217" i="7" s="1"/>
  <c r="I3218" i="7" s="1"/>
  <c r="I3219" i="7" s="1"/>
  <c r="I3220" i="7" s="1"/>
  <c r="I3221" i="7" s="1"/>
  <c r="I3222" i="7" s="1"/>
  <c r="I3223" i="7" s="1"/>
  <c r="I3224" i="7" s="1"/>
  <c r="I3225" i="7" s="1"/>
  <c r="I3226" i="7" s="1"/>
  <c r="I3227" i="7" s="1"/>
  <c r="I3228" i="7" s="1"/>
  <c r="I3229" i="7" s="1"/>
  <c r="I3230" i="7" s="1"/>
  <c r="I3231" i="7" s="1"/>
  <c r="I3232" i="7" s="1"/>
  <c r="I3233" i="7" s="1"/>
  <c r="I3234" i="7" s="1"/>
  <c r="I3235" i="7" s="1"/>
  <c r="I3236" i="7" s="1"/>
  <c r="I3237" i="7" s="1"/>
  <c r="I3238" i="7" s="1"/>
  <c r="I3239" i="7" s="1"/>
  <c r="I3240" i="7" s="1"/>
  <c r="I3241" i="7" s="1"/>
  <c r="I3242" i="7" s="1"/>
  <c r="I3243" i="7" s="1"/>
  <c r="I3244" i="7" s="1"/>
  <c r="I3245" i="7" s="1"/>
  <c r="I3246" i="7" s="1"/>
  <c r="I3247" i="7" s="1"/>
  <c r="I3248" i="7" s="1"/>
  <c r="I3249" i="7" s="1"/>
  <c r="I3250" i="7" s="1"/>
  <c r="I3251" i="7" s="1"/>
  <c r="I3252" i="7" s="1"/>
  <c r="I3253" i="7" s="1"/>
  <c r="I3254" i="7" s="1"/>
  <c r="I3255" i="7" s="1"/>
  <c r="I3256" i="7" s="1"/>
  <c r="I3257" i="7" s="1"/>
  <c r="I3258" i="7" s="1"/>
  <c r="I3259" i="7" s="1"/>
  <c r="I3260" i="7" s="1"/>
  <c r="I3261" i="7" s="1"/>
  <c r="I3262" i="7" s="1"/>
  <c r="I3263" i="7" s="1"/>
  <c r="I3264" i="7" s="1"/>
  <c r="I3265" i="7" s="1"/>
  <c r="I3266" i="7" s="1"/>
  <c r="I3267" i="7" s="1"/>
  <c r="I3268" i="7" s="1"/>
  <c r="I3269" i="7" s="1"/>
  <c r="I3270" i="7" s="1"/>
  <c r="I3271" i="7" s="1"/>
  <c r="I3272" i="7" s="1"/>
  <c r="I3273" i="7" s="1"/>
  <c r="I3274" i="7" s="1"/>
  <c r="I3275" i="7" s="1"/>
  <c r="I3276" i="7" s="1"/>
  <c r="I3277" i="7" s="1"/>
  <c r="I3278" i="7" s="1"/>
  <c r="I3279" i="7" s="1"/>
  <c r="I3280" i="7" s="1"/>
  <c r="I3281" i="7" s="1"/>
  <c r="I3282" i="7" s="1"/>
  <c r="I3283" i="7" s="1"/>
  <c r="I3284" i="7" s="1"/>
  <c r="I3285" i="7" s="1"/>
  <c r="I3286" i="7" s="1"/>
  <c r="I3287" i="7" s="1"/>
  <c r="I3288" i="7" s="1"/>
  <c r="I3289" i="7" s="1"/>
  <c r="I3290" i="7" s="1"/>
  <c r="I3291" i="7" s="1"/>
  <c r="I3292" i="7" s="1"/>
  <c r="I3293" i="7" s="1"/>
  <c r="I3294" i="7" s="1"/>
  <c r="I3295" i="7" s="1"/>
  <c r="I3296" i="7" s="1"/>
  <c r="I3297" i="7" s="1"/>
  <c r="I3298" i="7" s="1"/>
  <c r="I3299" i="7" s="1"/>
  <c r="I3300" i="7" s="1"/>
  <c r="I3301" i="7" s="1"/>
  <c r="I3302" i="7" s="1"/>
  <c r="I3303" i="7" s="1"/>
  <c r="I3304" i="7" s="1"/>
  <c r="I3305" i="7" s="1"/>
  <c r="I3306" i="7" s="1"/>
  <c r="I3307" i="7" s="1"/>
  <c r="I3308" i="7" s="1"/>
  <c r="I3309" i="7" s="1"/>
  <c r="I3310" i="7" s="1"/>
  <c r="I3311" i="7" s="1"/>
  <c r="I3312" i="7" s="1"/>
  <c r="I3313" i="7" s="1"/>
  <c r="I3314" i="7" s="1"/>
  <c r="I3315" i="7" s="1"/>
  <c r="I3316" i="7" s="1"/>
  <c r="I3317" i="7" s="1"/>
  <c r="I3318" i="7" s="1"/>
  <c r="I3319" i="7" s="1"/>
  <c r="I3320" i="7" s="1"/>
  <c r="I3321" i="7" s="1"/>
  <c r="I3322" i="7" s="1"/>
  <c r="I3323" i="7" s="1"/>
  <c r="I3324" i="7" s="1"/>
  <c r="I3325" i="7" s="1"/>
  <c r="I3326" i="7" s="1"/>
  <c r="I3327" i="7" s="1"/>
  <c r="I3328" i="7" s="1"/>
  <c r="I3329" i="7" s="1"/>
  <c r="I3330" i="7" s="1"/>
  <c r="I3331" i="7" s="1"/>
  <c r="I3332" i="7" s="1"/>
  <c r="I3333" i="7" s="1"/>
  <c r="I3334" i="7" s="1"/>
  <c r="I3335" i="7" s="1"/>
  <c r="I3336" i="7" s="1"/>
  <c r="I3337" i="7" s="1"/>
  <c r="I3338" i="7" s="1"/>
  <c r="I3339" i="7" s="1"/>
  <c r="I3340" i="7" s="1"/>
  <c r="I3341" i="7" s="1"/>
  <c r="I3342" i="7" s="1"/>
  <c r="I3343" i="7" s="1"/>
  <c r="I3344" i="7" s="1"/>
  <c r="I3345" i="7" s="1"/>
  <c r="I3346" i="7" s="1"/>
  <c r="I3347" i="7" s="1"/>
  <c r="I3348" i="7" s="1"/>
  <c r="I3349" i="7" s="1"/>
  <c r="I3350" i="7" s="1"/>
  <c r="I3351" i="7" s="1"/>
  <c r="I3352" i="7" s="1"/>
  <c r="I3353" i="7" s="1"/>
  <c r="I3354" i="7" s="1"/>
  <c r="I3355" i="7" s="1"/>
  <c r="I3356" i="7" s="1"/>
  <c r="I3357" i="7" s="1"/>
  <c r="I3358" i="7" s="1"/>
  <c r="I3359" i="7" s="1"/>
  <c r="I3360" i="7" s="1"/>
  <c r="I3361" i="7" s="1"/>
  <c r="I3362" i="7" s="1"/>
  <c r="I3363" i="7" s="1"/>
  <c r="I3364" i="7" s="1"/>
  <c r="I3365" i="7" s="1"/>
  <c r="I3366" i="7" s="1"/>
  <c r="I3367" i="7" s="1"/>
  <c r="I3368" i="7" s="1"/>
  <c r="I3369" i="7" s="1"/>
  <c r="I3370" i="7" s="1"/>
  <c r="I3371" i="7" s="1"/>
  <c r="I3372" i="7" s="1"/>
  <c r="I3373" i="7" s="1"/>
  <c r="I3374" i="7" s="1"/>
  <c r="I3375" i="7" s="1"/>
  <c r="I3376" i="7" s="1"/>
  <c r="I3377" i="7" s="1"/>
  <c r="I3378" i="7" s="1"/>
  <c r="I3379" i="7" s="1"/>
  <c r="I3380" i="7" s="1"/>
  <c r="I3381" i="7" s="1"/>
  <c r="I3382" i="7" s="1"/>
  <c r="I3383" i="7" s="1"/>
  <c r="I3384" i="7" s="1"/>
  <c r="I3385" i="7" s="1"/>
  <c r="I3386" i="7" s="1"/>
  <c r="I3387" i="7" s="1"/>
  <c r="I3388" i="7" s="1"/>
  <c r="I3389" i="7" s="1"/>
  <c r="I3390" i="7" s="1"/>
  <c r="I3391" i="7" s="1"/>
  <c r="I3392" i="7" s="1"/>
  <c r="I3393" i="7" s="1"/>
  <c r="I3394" i="7" s="1"/>
  <c r="I3395" i="7" s="1"/>
  <c r="I3396" i="7" s="1"/>
  <c r="I3397" i="7" s="1"/>
  <c r="I3398" i="7" s="1"/>
  <c r="I3399" i="7" s="1"/>
  <c r="I3400" i="7" s="1"/>
  <c r="I3401" i="7" s="1"/>
  <c r="I3402" i="7" s="1"/>
  <c r="I3403" i="7" s="1"/>
  <c r="I3404" i="7" s="1"/>
  <c r="I3405" i="7" s="1"/>
  <c r="I3406" i="7" s="1"/>
  <c r="I3407" i="7" s="1"/>
  <c r="I3408" i="7" s="1"/>
  <c r="I3409" i="7" s="1"/>
  <c r="I3410" i="7" s="1"/>
  <c r="I3411" i="7" s="1"/>
  <c r="I3412" i="7" s="1"/>
  <c r="I3413" i="7" s="1"/>
  <c r="I3414" i="7" s="1"/>
  <c r="I3415" i="7" s="1"/>
  <c r="I3416" i="7" s="1"/>
  <c r="I3417" i="7" s="1"/>
  <c r="I3418" i="7" s="1"/>
  <c r="I3419" i="7" s="1"/>
  <c r="I3420" i="7" s="1"/>
  <c r="I3421" i="7" s="1"/>
  <c r="I3422" i="7" s="1"/>
  <c r="I3423" i="7" s="1"/>
  <c r="I3424" i="7" s="1"/>
  <c r="I3425" i="7" s="1"/>
  <c r="I3426" i="7" s="1"/>
  <c r="I3427" i="7" s="1"/>
  <c r="I3428" i="7" s="1"/>
  <c r="I3429" i="7" s="1"/>
  <c r="I3430" i="7" s="1"/>
  <c r="I3431" i="7" s="1"/>
  <c r="I3432" i="7" s="1"/>
  <c r="I3433" i="7" s="1"/>
  <c r="I3434" i="7" s="1"/>
  <c r="I3435" i="7" s="1"/>
  <c r="I3436" i="7" s="1"/>
  <c r="I3437" i="7" s="1"/>
  <c r="I3438" i="7" s="1"/>
  <c r="I3439" i="7" s="1"/>
  <c r="I3440" i="7" s="1"/>
  <c r="I3441" i="7" s="1"/>
  <c r="I3442" i="7" s="1"/>
  <c r="I3443" i="7" s="1"/>
  <c r="I3444" i="7" s="1"/>
  <c r="I3445" i="7" s="1"/>
  <c r="I3446" i="7" s="1"/>
  <c r="I3447" i="7" s="1"/>
  <c r="I3448" i="7" s="1"/>
  <c r="I3449" i="7" s="1"/>
  <c r="I3450" i="7" s="1"/>
  <c r="I3451" i="7" s="1"/>
  <c r="I3452" i="7" s="1"/>
  <c r="I3453" i="7" s="1"/>
  <c r="I3454" i="7" s="1"/>
  <c r="I3455" i="7" s="1"/>
  <c r="I3456" i="7" s="1"/>
  <c r="I3457" i="7" s="1"/>
  <c r="I3458" i="7" s="1"/>
  <c r="I3459" i="7" s="1"/>
  <c r="I3460" i="7" s="1"/>
  <c r="I3461" i="7" s="1"/>
  <c r="I3462" i="7" s="1"/>
  <c r="I3463" i="7" s="1"/>
  <c r="I3464" i="7" s="1"/>
  <c r="I3465" i="7" s="1"/>
  <c r="I3466" i="7" s="1"/>
  <c r="I3467" i="7" s="1"/>
  <c r="I3468" i="7" s="1"/>
  <c r="I3469" i="7" s="1"/>
  <c r="I3470" i="7" s="1"/>
  <c r="I3471" i="7" s="1"/>
  <c r="I3472" i="7" s="1"/>
  <c r="I3473" i="7" s="1"/>
  <c r="I3474" i="7" s="1"/>
  <c r="I3475" i="7" s="1"/>
  <c r="I3476" i="7" s="1"/>
  <c r="I3477" i="7" s="1"/>
  <c r="I3478" i="7" s="1"/>
  <c r="I3479" i="7" s="1"/>
  <c r="I3480" i="7" s="1"/>
  <c r="I3481" i="7" s="1"/>
  <c r="I3482" i="7" s="1"/>
  <c r="I3483" i="7" s="1"/>
  <c r="I3484" i="7" s="1"/>
  <c r="I3485" i="7" s="1"/>
  <c r="I3486" i="7" s="1"/>
  <c r="I3487" i="7" s="1"/>
  <c r="I3488" i="7" s="1"/>
  <c r="I3489" i="7" s="1"/>
  <c r="I3490" i="7" s="1"/>
  <c r="I3491" i="7" s="1"/>
  <c r="I3492" i="7" s="1"/>
  <c r="I3493" i="7" s="1"/>
  <c r="I3494" i="7" s="1"/>
  <c r="I3495" i="7" s="1"/>
  <c r="I3496" i="7" s="1"/>
  <c r="I3497" i="7" s="1"/>
  <c r="I3498" i="7" s="1"/>
  <c r="I3499" i="7" s="1"/>
  <c r="I3500" i="7" s="1"/>
  <c r="I3501" i="7" s="1"/>
  <c r="I3502" i="7" s="1"/>
  <c r="I3503" i="7" s="1"/>
  <c r="I3504" i="7" s="1"/>
  <c r="I3505" i="7" s="1"/>
  <c r="I3506" i="7" s="1"/>
  <c r="I3507" i="7" s="1"/>
  <c r="J3" i="7"/>
  <c r="J4" i="7" s="1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 s="1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1989" i="7" s="1"/>
  <c r="J1990" i="7" s="1"/>
  <c r="J1991" i="7" s="1"/>
  <c r="J1992" i="7" s="1"/>
  <c r="J1993" i="7" s="1"/>
  <c r="J1994" i="7" s="1"/>
  <c r="J1995" i="7" s="1"/>
  <c r="J1996" i="7" s="1"/>
  <c r="J1997" i="7" s="1"/>
  <c r="J1998" i="7" s="1"/>
  <c r="J1999" i="7" s="1"/>
  <c r="J2000" i="7" s="1"/>
  <c r="J2001" i="7" s="1"/>
  <c r="J2002" i="7" s="1"/>
  <c r="J2003" i="7" s="1"/>
  <c r="J2004" i="7" s="1"/>
  <c r="J2005" i="7" s="1"/>
  <c r="J2006" i="7" s="1"/>
  <c r="J2007" i="7" s="1"/>
  <c r="J2008" i="7" s="1"/>
  <c r="J2009" i="7" s="1"/>
  <c r="J2010" i="7" s="1"/>
  <c r="J2011" i="7" s="1"/>
  <c r="J2012" i="7" s="1"/>
  <c r="J2013" i="7" s="1"/>
  <c r="J2014" i="7" s="1"/>
  <c r="J2015" i="7" s="1"/>
  <c r="J2016" i="7" s="1"/>
  <c r="J2017" i="7" s="1"/>
  <c r="J2018" i="7" s="1"/>
  <c r="J2019" i="7" s="1"/>
  <c r="J2020" i="7" s="1"/>
  <c r="J2021" i="7" s="1"/>
  <c r="J2022" i="7" s="1"/>
  <c r="J2023" i="7" s="1"/>
  <c r="J2024" i="7" s="1"/>
  <c r="J2025" i="7" s="1"/>
  <c r="J2026" i="7" s="1"/>
  <c r="J2027" i="7" s="1"/>
  <c r="J2028" i="7" s="1"/>
  <c r="J2029" i="7" s="1"/>
  <c r="J2030" i="7" s="1"/>
  <c r="J2031" i="7" s="1"/>
  <c r="J2032" i="7" s="1"/>
  <c r="J2033" i="7" s="1"/>
  <c r="J2034" i="7" s="1"/>
  <c r="J2035" i="7" s="1"/>
  <c r="J2036" i="7" s="1"/>
  <c r="J2037" i="7" s="1"/>
  <c r="J2038" i="7" s="1"/>
  <c r="J2039" i="7" s="1"/>
  <c r="J2040" i="7" s="1"/>
  <c r="J2041" i="7" s="1"/>
  <c r="J2042" i="7" s="1"/>
  <c r="J2043" i="7" s="1"/>
  <c r="J2044" i="7" s="1"/>
  <c r="J2045" i="7" s="1"/>
  <c r="J2046" i="7" s="1"/>
  <c r="J2047" i="7" s="1"/>
  <c r="J2048" i="7" s="1"/>
  <c r="J2049" i="7" s="1"/>
  <c r="J2050" i="7" s="1"/>
  <c r="J2051" i="7" s="1"/>
  <c r="J2052" i="7" s="1"/>
  <c r="J2053" i="7" s="1"/>
  <c r="J2054" i="7" s="1"/>
  <c r="J2055" i="7" s="1"/>
  <c r="J2056" i="7" s="1"/>
  <c r="J2057" i="7" s="1"/>
  <c r="J2058" i="7" s="1"/>
  <c r="J2059" i="7" s="1"/>
  <c r="J2060" i="7" s="1"/>
  <c r="J2061" i="7" s="1"/>
  <c r="J2062" i="7" s="1"/>
  <c r="J2063" i="7" s="1"/>
  <c r="J2064" i="7" s="1"/>
  <c r="J2065" i="7" s="1"/>
  <c r="J2066" i="7" s="1"/>
  <c r="J2067" i="7" s="1"/>
  <c r="J2068" i="7" s="1"/>
  <c r="J2069" i="7" s="1"/>
  <c r="J2070" i="7" s="1"/>
  <c r="J2071" i="7" s="1"/>
  <c r="J2072" i="7" s="1"/>
  <c r="J2073" i="7" s="1"/>
  <c r="J2074" i="7" s="1"/>
  <c r="J2075" i="7" s="1"/>
  <c r="J2076" i="7" s="1"/>
  <c r="J2077" i="7" s="1"/>
  <c r="J2078" i="7" s="1"/>
  <c r="J2079" i="7" s="1"/>
  <c r="J2080" i="7" s="1"/>
  <c r="J2081" i="7" s="1"/>
  <c r="J2082" i="7" s="1"/>
  <c r="J2083" i="7" s="1"/>
  <c r="J2084" i="7" s="1"/>
  <c r="J2085" i="7" s="1"/>
  <c r="J2086" i="7" s="1"/>
  <c r="J2087" i="7" s="1"/>
  <c r="J2088" i="7" s="1"/>
  <c r="J2089" i="7" s="1"/>
  <c r="J2090" i="7" s="1"/>
  <c r="J2091" i="7" s="1"/>
  <c r="J2092" i="7" s="1"/>
  <c r="J2093" i="7" s="1"/>
  <c r="J2094" i="7" s="1"/>
  <c r="J2095" i="7" s="1"/>
  <c r="J2096" i="7" s="1"/>
  <c r="J2097" i="7" s="1"/>
  <c r="J2098" i="7" s="1"/>
  <c r="J2099" i="7" s="1"/>
  <c r="J2100" i="7" s="1"/>
  <c r="J2101" i="7" s="1"/>
  <c r="J2102" i="7" s="1"/>
  <c r="J2103" i="7" s="1"/>
  <c r="J2104" i="7" s="1"/>
  <c r="J2105" i="7" s="1"/>
  <c r="J2106" i="7" s="1"/>
  <c r="J2107" i="7" s="1"/>
  <c r="J2108" i="7" s="1"/>
  <c r="J2109" i="7" s="1"/>
  <c r="J2110" i="7" s="1"/>
  <c r="J2111" i="7" s="1"/>
  <c r="J2112" i="7" s="1"/>
  <c r="J2113" i="7" s="1"/>
  <c r="J2114" i="7" s="1"/>
  <c r="J2115" i="7" s="1"/>
  <c r="J2116" i="7" s="1"/>
  <c r="J2117" i="7" s="1"/>
  <c r="J2118" i="7" s="1"/>
  <c r="J2119" i="7" s="1"/>
  <c r="J2120" i="7" s="1"/>
  <c r="J2121" i="7" s="1"/>
  <c r="J2122" i="7" s="1"/>
  <c r="J2123" i="7" s="1"/>
  <c r="J2124" i="7" s="1"/>
  <c r="J2125" i="7" s="1"/>
  <c r="J2126" i="7" s="1"/>
  <c r="J2127" i="7" s="1"/>
  <c r="J2128" i="7" s="1"/>
  <c r="J2129" i="7" s="1"/>
  <c r="J2130" i="7" s="1"/>
  <c r="J2131" i="7" s="1"/>
  <c r="J2132" i="7" s="1"/>
  <c r="J2133" i="7" s="1"/>
  <c r="J2134" i="7" s="1"/>
  <c r="J2135" i="7" s="1"/>
  <c r="J2136" i="7" s="1"/>
  <c r="J2137" i="7" s="1"/>
  <c r="J2138" i="7" s="1"/>
  <c r="J2139" i="7" s="1"/>
  <c r="J2140" i="7" s="1"/>
  <c r="J2141" i="7" s="1"/>
  <c r="J2142" i="7" s="1"/>
  <c r="J2143" i="7" s="1"/>
  <c r="J2144" i="7" s="1"/>
  <c r="J2145" i="7" s="1"/>
  <c r="J2146" i="7" s="1"/>
  <c r="J2147" i="7" s="1"/>
  <c r="J2148" i="7" s="1"/>
  <c r="J2149" i="7" s="1"/>
  <c r="J2150" i="7" s="1"/>
  <c r="J2151" i="7" s="1"/>
  <c r="J2152" i="7" s="1"/>
  <c r="J2153" i="7" s="1"/>
  <c r="J2154" i="7" s="1"/>
  <c r="J2155" i="7" s="1"/>
  <c r="J2156" i="7" s="1"/>
  <c r="J2157" i="7" s="1"/>
  <c r="J2158" i="7" s="1"/>
  <c r="J2159" i="7" s="1"/>
  <c r="J2160" i="7" s="1"/>
  <c r="J2161" i="7" s="1"/>
  <c r="J2162" i="7" s="1"/>
  <c r="J2163" i="7" s="1"/>
  <c r="J2164" i="7" s="1"/>
  <c r="J2165" i="7" s="1"/>
  <c r="J2166" i="7" s="1"/>
  <c r="J2167" i="7" s="1"/>
  <c r="J2168" i="7" s="1"/>
  <c r="J2169" i="7" s="1"/>
  <c r="J2170" i="7" s="1"/>
  <c r="J2171" i="7" s="1"/>
  <c r="J2172" i="7" s="1"/>
  <c r="J2173" i="7" s="1"/>
  <c r="J2174" i="7" s="1"/>
  <c r="J2175" i="7" s="1"/>
  <c r="J2176" i="7" s="1"/>
  <c r="J2177" i="7" s="1"/>
  <c r="J2178" i="7" s="1"/>
  <c r="J2179" i="7" s="1"/>
  <c r="J2180" i="7" s="1"/>
  <c r="J2181" i="7" s="1"/>
  <c r="J2182" i="7" s="1"/>
  <c r="J2183" i="7" s="1"/>
  <c r="J2184" i="7" s="1"/>
  <c r="J2185" i="7" s="1"/>
  <c r="J2186" i="7" s="1"/>
  <c r="J2187" i="7" s="1"/>
  <c r="J2188" i="7" s="1"/>
  <c r="J2189" i="7" s="1"/>
  <c r="J2190" i="7" s="1"/>
  <c r="J2191" i="7" s="1"/>
  <c r="J2192" i="7" s="1"/>
  <c r="J2193" i="7" s="1"/>
  <c r="J2194" i="7" s="1"/>
  <c r="J2195" i="7" s="1"/>
  <c r="J2196" i="7" s="1"/>
  <c r="J2197" i="7" s="1"/>
  <c r="J2198" i="7" s="1"/>
  <c r="J2199" i="7" s="1"/>
  <c r="J2200" i="7" s="1"/>
  <c r="J2201" i="7" s="1"/>
  <c r="J2202" i="7" s="1"/>
  <c r="J2203" i="7" s="1"/>
  <c r="J2204" i="7" s="1"/>
  <c r="J2205" i="7" s="1"/>
  <c r="J2206" i="7" s="1"/>
  <c r="J2207" i="7" s="1"/>
  <c r="J2208" i="7" s="1"/>
  <c r="J2209" i="7" s="1"/>
  <c r="J2210" i="7" s="1"/>
  <c r="J2211" i="7" s="1"/>
  <c r="J2212" i="7" s="1"/>
  <c r="J2213" i="7" s="1"/>
  <c r="J2214" i="7" s="1"/>
  <c r="J2215" i="7" s="1"/>
  <c r="J2216" i="7" s="1"/>
  <c r="J2217" i="7" s="1"/>
  <c r="J2218" i="7" s="1"/>
  <c r="J2219" i="7" s="1"/>
  <c r="J2220" i="7" s="1"/>
  <c r="J2221" i="7" s="1"/>
  <c r="J2222" i="7" s="1"/>
  <c r="J2223" i="7" s="1"/>
  <c r="J2224" i="7" s="1"/>
  <c r="J2225" i="7" s="1"/>
  <c r="J2226" i="7" s="1"/>
  <c r="J2227" i="7" s="1"/>
  <c r="J2228" i="7" s="1"/>
  <c r="J2229" i="7" s="1"/>
  <c r="J2230" i="7" s="1"/>
  <c r="J2231" i="7" s="1"/>
  <c r="J2232" i="7" s="1"/>
  <c r="J2233" i="7" s="1"/>
  <c r="J2234" i="7" s="1"/>
  <c r="J2235" i="7" s="1"/>
  <c r="J2236" i="7" s="1"/>
  <c r="J2237" i="7" s="1"/>
  <c r="J2238" i="7" s="1"/>
  <c r="J2239" i="7" s="1"/>
  <c r="J2240" i="7" s="1"/>
  <c r="J2241" i="7" s="1"/>
  <c r="J2242" i="7" s="1"/>
  <c r="J2243" i="7" s="1"/>
  <c r="J2244" i="7" s="1"/>
  <c r="J2245" i="7" s="1"/>
  <c r="J2246" i="7" s="1"/>
  <c r="J2247" i="7" s="1"/>
  <c r="J2248" i="7" s="1"/>
  <c r="J2249" i="7" s="1"/>
  <c r="J2250" i="7" s="1"/>
  <c r="J2251" i="7" s="1"/>
  <c r="J2252" i="7" s="1"/>
  <c r="J2253" i="7" s="1"/>
  <c r="J2254" i="7" s="1"/>
  <c r="J2255" i="7" s="1"/>
  <c r="J2256" i="7" s="1"/>
  <c r="J2257" i="7" s="1"/>
  <c r="J2258" i="7" s="1"/>
  <c r="J2259" i="7" s="1"/>
  <c r="J2260" i="7" s="1"/>
  <c r="J2261" i="7" s="1"/>
  <c r="J2262" i="7" s="1"/>
  <c r="J2263" i="7" s="1"/>
  <c r="J2264" i="7" s="1"/>
  <c r="J2265" i="7" s="1"/>
  <c r="J2266" i="7" s="1"/>
  <c r="J2267" i="7" s="1"/>
  <c r="J2268" i="7" s="1"/>
  <c r="J2269" i="7" s="1"/>
  <c r="J2270" i="7" s="1"/>
  <c r="J2271" i="7" s="1"/>
  <c r="J2272" i="7" s="1"/>
  <c r="J2273" i="7" s="1"/>
  <c r="J2274" i="7" s="1"/>
  <c r="J2275" i="7" s="1"/>
  <c r="J2276" i="7" s="1"/>
  <c r="J2277" i="7" s="1"/>
  <c r="J2278" i="7" s="1"/>
  <c r="J2279" i="7" s="1"/>
  <c r="J2280" i="7" s="1"/>
  <c r="J2281" i="7" s="1"/>
  <c r="J2282" i="7" s="1"/>
  <c r="J2283" i="7" s="1"/>
  <c r="J2284" i="7" s="1"/>
  <c r="J2285" i="7" s="1"/>
  <c r="J2286" i="7" s="1"/>
  <c r="J2287" i="7" s="1"/>
  <c r="J2288" i="7" s="1"/>
  <c r="J2289" i="7" s="1"/>
  <c r="J2290" i="7" s="1"/>
  <c r="J2291" i="7" s="1"/>
  <c r="J2292" i="7" s="1"/>
  <c r="J2293" i="7" s="1"/>
  <c r="J2294" i="7" s="1"/>
  <c r="J2295" i="7" s="1"/>
  <c r="J2296" i="7" s="1"/>
  <c r="J2297" i="7" s="1"/>
  <c r="J2298" i="7" s="1"/>
  <c r="J2299" i="7" s="1"/>
  <c r="J2300" i="7" s="1"/>
  <c r="J2301" i="7" s="1"/>
  <c r="J2302" i="7" s="1"/>
  <c r="J2303" i="7" s="1"/>
  <c r="J2304" i="7" s="1"/>
  <c r="J2305" i="7" s="1"/>
  <c r="J2306" i="7" s="1"/>
  <c r="J2307" i="7" s="1"/>
  <c r="J2308" i="7" s="1"/>
  <c r="J2309" i="7" s="1"/>
  <c r="J2310" i="7" s="1"/>
  <c r="J2311" i="7" s="1"/>
  <c r="J2312" i="7" s="1"/>
  <c r="J2313" i="7" s="1"/>
  <c r="J2314" i="7" s="1"/>
  <c r="J2315" i="7" s="1"/>
  <c r="J2316" i="7" s="1"/>
  <c r="J2317" i="7" s="1"/>
  <c r="J2318" i="7" s="1"/>
  <c r="J2319" i="7" s="1"/>
  <c r="J2320" i="7" s="1"/>
  <c r="J2321" i="7" s="1"/>
  <c r="J2322" i="7" s="1"/>
  <c r="J2323" i="7" s="1"/>
  <c r="J2324" i="7" s="1"/>
  <c r="J2325" i="7" s="1"/>
  <c r="J2326" i="7" s="1"/>
  <c r="J2327" i="7" s="1"/>
  <c r="J2328" i="7" s="1"/>
  <c r="J2329" i="7" s="1"/>
  <c r="J2330" i="7" s="1"/>
  <c r="J2331" i="7" s="1"/>
  <c r="J2332" i="7" s="1"/>
  <c r="J2333" i="7" s="1"/>
  <c r="J2334" i="7" s="1"/>
  <c r="J2335" i="7" s="1"/>
  <c r="J2336" i="7" s="1"/>
  <c r="J2337" i="7" s="1"/>
  <c r="J2338" i="7" s="1"/>
  <c r="J2339" i="7" s="1"/>
  <c r="J2340" i="7" s="1"/>
  <c r="J2341" i="7" s="1"/>
  <c r="J2342" i="7" s="1"/>
  <c r="J2343" i="7" s="1"/>
  <c r="J2344" i="7" s="1"/>
  <c r="J2345" i="7" s="1"/>
  <c r="J2346" i="7" s="1"/>
  <c r="J2347" i="7" s="1"/>
  <c r="J2348" i="7" s="1"/>
  <c r="J2349" i="7" s="1"/>
  <c r="J2350" i="7" s="1"/>
  <c r="J2351" i="7" s="1"/>
  <c r="J2352" i="7" s="1"/>
  <c r="J2353" i="7" s="1"/>
  <c r="J2354" i="7" s="1"/>
  <c r="J2355" i="7" s="1"/>
  <c r="J2356" i="7" s="1"/>
  <c r="J2357" i="7" s="1"/>
  <c r="J2358" i="7" s="1"/>
  <c r="J2359" i="7" s="1"/>
  <c r="J2360" i="7" s="1"/>
  <c r="J2361" i="7" s="1"/>
  <c r="J2362" i="7" s="1"/>
  <c r="J2363" i="7" s="1"/>
  <c r="J2364" i="7" s="1"/>
  <c r="J2365" i="7" s="1"/>
  <c r="J2366" i="7" s="1"/>
  <c r="J2367" i="7" s="1"/>
  <c r="J2368" i="7" s="1"/>
  <c r="J2369" i="7" s="1"/>
  <c r="J2370" i="7" s="1"/>
  <c r="J2371" i="7" s="1"/>
  <c r="J2372" i="7" s="1"/>
  <c r="J2373" i="7" s="1"/>
  <c r="J2374" i="7" s="1"/>
  <c r="J2375" i="7" s="1"/>
  <c r="J2376" i="7" s="1"/>
  <c r="J2377" i="7" s="1"/>
  <c r="J2378" i="7" s="1"/>
  <c r="J2379" i="7" s="1"/>
  <c r="J2380" i="7" s="1"/>
  <c r="J2381" i="7" s="1"/>
  <c r="J2382" i="7" s="1"/>
  <c r="J2383" i="7" s="1"/>
  <c r="J2384" i="7" s="1"/>
  <c r="J2385" i="7" s="1"/>
  <c r="J2386" i="7" s="1"/>
  <c r="J2387" i="7" s="1"/>
  <c r="J2388" i="7" s="1"/>
  <c r="J2389" i="7" s="1"/>
  <c r="J2390" i="7" s="1"/>
  <c r="J2391" i="7" s="1"/>
  <c r="J2392" i="7" s="1"/>
  <c r="J2393" i="7" s="1"/>
  <c r="J2394" i="7" s="1"/>
  <c r="J2395" i="7" s="1"/>
  <c r="J2396" i="7" s="1"/>
  <c r="J2397" i="7" s="1"/>
  <c r="J2398" i="7" s="1"/>
  <c r="J2399" i="7" s="1"/>
  <c r="J2400" i="7" s="1"/>
  <c r="J2401" i="7" s="1"/>
  <c r="J2402" i="7" s="1"/>
  <c r="J2403" i="7" s="1"/>
  <c r="J2404" i="7" s="1"/>
  <c r="J2405" i="7" s="1"/>
  <c r="J2406" i="7" s="1"/>
  <c r="J2407" i="7" s="1"/>
  <c r="J2408" i="7" s="1"/>
  <c r="J2409" i="7" s="1"/>
  <c r="J2410" i="7" s="1"/>
  <c r="J2411" i="7" s="1"/>
  <c r="J2412" i="7" s="1"/>
  <c r="J2413" i="7" s="1"/>
  <c r="J2414" i="7" s="1"/>
  <c r="J2415" i="7" s="1"/>
  <c r="J2416" i="7" s="1"/>
  <c r="J2417" i="7" s="1"/>
  <c r="J2418" i="7" s="1"/>
  <c r="J2419" i="7" s="1"/>
  <c r="J2420" i="7" s="1"/>
  <c r="J2421" i="7" s="1"/>
  <c r="J2422" i="7" s="1"/>
  <c r="J2423" i="7" s="1"/>
  <c r="J2424" i="7" s="1"/>
  <c r="J2425" i="7" s="1"/>
  <c r="J2426" i="7" s="1"/>
  <c r="J2427" i="7" s="1"/>
  <c r="J2428" i="7" s="1"/>
  <c r="J2429" i="7" s="1"/>
  <c r="J2430" i="7" s="1"/>
  <c r="J2431" i="7" s="1"/>
  <c r="J2432" i="7" s="1"/>
  <c r="J2433" i="7" s="1"/>
  <c r="J2434" i="7" s="1"/>
  <c r="J2435" i="7" s="1"/>
  <c r="J2436" i="7" s="1"/>
  <c r="J2437" i="7" s="1"/>
  <c r="J2438" i="7" s="1"/>
  <c r="J2439" i="7" s="1"/>
  <c r="J2440" i="7" s="1"/>
  <c r="J2441" i="7" s="1"/>
  <c r="J2442" i="7" s="1"/>
  <c r="J2443" i="7" s="1"/>
  <c r="J2444" i="7" s="1"/>
  <c r="J2445" i="7" s="1"/>
  <c r="J2446" i="7" s="1"/>
  <c r="J2447" i="7" s="1"/>
  <c r="J2448" i="7" s="1"/>
  <c r="J2449" i="7" s="1"/>
  <c r="J2450" i="7" s="1"/>
  <c r="J2451" i="7" s="1"/>
  <c r="J2452" i="7" s="1"/>
  <c r="J2453" i="7" s="1"/>
  <c r="J2454" i="7" s="1"/>
  <c r="J2455" i="7" s="1"/>
  <c r="J2456" i="7" s="1"/>
  <c r="J2457" i="7" s="1"/>
  <c r="J2458" i="7" s="1"/>
  <c r="J2459" i="7" s="1"/>
  <c r="J2460" i="7" s="1"/>
  <c r="J2461" i="7" s="1"/>
  <c r="J2462" i="7" s="1"/>
  <c r="J2463" i="7" s="1"/>
  <c r="J2464" i="7" s="1"/>
  <c r="J2465" i="7" s="1"/>
  <c r="J2466" i="7" s="1"/>
  <c r="J2467" i="7" s="1"/>
  <c r="J2468" i="7" s="1"/>
  <c r="J2469" i="7" s="1"/>
  <c r="J2470" i="7" s="1"/>
  <c r="J2471" i="7" s="1"/>
  <c r="J2472" i="7" s="1"/>
  <c r="J2473" i="7" s="1"/>
  <c r="J2474" i="7" s="1"/>
  <c r="J2475" i="7" s="1"/>
  <c r="J2476" i="7" s="1"/>
  <c r="J2477" i="7" s="1"/>
  <c r="J2478" i="7" s="1"/>
  <c r="J2479" i="7" s="1"/>
  <c r="J2480" i="7" s="1"/>
  <c r="J2481" i="7" s="1"/>
  <c r="J2482" i="7" s="1"/>
  <c r="J2483" i="7" s="1"/>
  <c r="J2484" i="7" s="1"/>
  <c r="J2485" i="7" s="1"/>
  <c r="J2486" i="7" s="1"/>
  <c r="J2487" i="7" s="1"/>
  <c r="J2488" i="7" s="1"/>
  <c r="J2489" i="7" s="1"/>
  <c r="J2490" i="7" s="1"/>
  <c r="J2491" i="7" s="1"/>
  <c r="J2492" i="7" s="1"/>
  <c r="J2493" i="7" s="1"/>
  <c r="J2494" i="7" s="1"/>
  <c r="J2495" i="7" s="1"/>
  <c r="J2496" i="7" s="1"/>
  <c r="J2497" i="7" s="1"/>
  <c r="J2498" i="7" s="1"/>
  <c r="J2499" i="7" s="1"/>
  <c r="J2500" i="7" s="1"/>
  <c r="J2501" i="7" s="1"/>
  <c r="J2502" i="7" s="1"/>
  <c r="J2503" i="7" s="1"/>
  <c r="J2504" i="7" s="1"/>
  <c r="J2505" i="7" s="1"/>
  <c r="J2506" i="7" s="1"/>
  <c r="J2507" i="7" s="1"/>
  <c r="J2508" i="7" s="1"/>
  <c r="J2509" i="7" s="1"/>
  <c r="J2510" i="7" s="1"/>
  <c r="J2511" i="7" s="1"/>
  <c r="J2512" i="7" s="1"/>
  <c r="J2513" i="7" s="1"/>
  <c r="J2514" i="7" s="1"/>
  <c r="J2515" i="7" s="1"/>
  <c r="J2516" i="7" s="1"/>
  <c r="J2517" i="7" s="1"/>
  <c r="J2518" i="7" s="1"/>
  <c r="J2519" i="7" s="1"/>
  <c r="J2520" i="7" s="1"/>
  <c r="J2521" i="7" s="1"/>
  <c r="J2522" i="7" s="1"/>
  <c r="J2523" i="7" s="1"/>
  <c r="J2524" i="7" s="1"/>
  <c r="J2525" i="7" s="1"/>
  <c r="J2526" i="7" s="1"/>
  <c r="J2527" i="7" s="1"/>
  <c r="J2528" i="7" s="1"/>
  <c r="J2529" i="7" s="1"/>
  <c r="J2530" i="7" s="1"/>
  <c r="J2531" i="7" s="1"/>
  <c r="J2532" i="7" s="1"/>
  <c r="J2533" i="7" s="1"/>
  <c r="J2534" i="7" s="1"/>
  <c r="J2535" i="7" s="1"/>
  <c r="J2536" i="7" s="1"/>
  <c r="J2537" i="7" s="1"/>
  <c r="J2538" i="7" s="1"/>
  <c r="J2539" i="7" s="1"/>
  <c r="J2540" i="7" s="1"/>
  <c r="J2541" i="7" s="1"/>
  <c r="J2542" i="7" s="1"/>
  <c r="J2543" i="7" s="1"/>
  <c r="J2544" i="7" s="1"/>
  <c r="J2545" i="7" s="1"/>
  <c r="J2546" i="7" s="1"/>
  <c r="J2547" i="7" s="1"/>
  <c r="J2548" i="7" s="1"/>
  <c r="J2549" i="7" s="1"/>
  <c r="J2550" i="7" s="1"/>
  <c r="J2551" i="7" s="1"/>
  <c r="J2552" i="7" s="1"/>
  <c r="J2553" i="7" s="1"/>
  <c r="J2554" i="7" s="1"/>
  <c r="J2555" i="7" s="1"/>
  <c r="J2556" i="7" s="1"/>
  <c r="J2557" i="7" s="1"/>
  <c r="J2558" i="7" s="1"/>
  <c r="J2559" i="7" s="1"/>
  <c r="J2560" i="7" s="1"/>
  <c r="J2561" i="7" s="1"/>
  <c r="J2562" i="7" s="1"/>
  <c r="J2563" i="7" s="1"/>
  <c r="J2564" i="7" s="1"/>
  <c r="J2565" i="7" s="1"/>
  <c r="J2566" i="7" s="1"/>
  <c r="J2567" i="7" s="1"/>
  <c r="J2568" i="7" s="1"/>
  <c r="J2569" i="7" s="1"/>
  <c r="J2570" i="7" s="1"/>
  <c r="J2571" i="7" s="1"/>
  <c r="J2572" i="7" s="1"/>
  <c r="J2573" i="7" s="1"/>
  <c r="J2574" i="7" s="1"/>
  <c r="J2575" i="7" s="1"/>
  <c r="J2576" i="7" s="1"/>
  <c r="J2577" i="7" s="1"/>
  <c r="J2578" i="7" s="1"/>
  <c r="J2579" i="7" s="1"/>
  <c r="J2580" i="7" s="1"/>
  <c r="J2581" i="7" s="1"/>
  <c r="J2582" i="7" s="1"/>
  <c r="J2583" i="7" s="1"/>
  <c r="J2584" i="7" s="1"/>
  <c r="J2585" i="7" s="1"/>
  <c r="J2586" i="7" s="1"/>
  <c r="J2587" i="7" s="1"/>
  <c r="J2588" i="7" s="1"/>
  <c r="J2589" i="7" s="1"/>
  <c r="J2590" i="7" s="1"/>
  <c r="J2591" i="7" s="1"/>
  <c r="J2592" i="7" s="1"/>
  <c r="J2593" i="7" s="1"/>
  <c r="J2594" i="7" s="1"/>
  <c r="J2595" i="7" s="1"/>
  <c r="J2596" i="7" s="1"/>
  <c r="J2597" i="7" s="1"/>
  <c r="J2598" i="7" s="1"/>
  <c r="J2599" i="7" s="1"/>
  <c r="J2600" i="7" s="1"/>
  <c r="J2601" i="7" s="1"/>
  <c r="J2602" i="7" s="1"/>
  <c r="J2603" i="7" s="1"/>
  <c r="J2604" i="7" s="1"/>
  <c r="J2605" i="7" s="1"/>
  <c r="J2606" i="7" s="1"/>
  <c r="J2607" i="7" s="1"/>
  <c r="J2608" i="7" s="1"/>
  <c r="J2609" i="7" s="1"/>
  <c r="J2610" i="7" s="1"/>
  <c r="J2611" i="7" s="1"/>
  <c r="J2612" i="7" s="1"/>
  <c r="J2613" i="7" s="1"/>
  <c r="J2614" i="7" s="1"/>
  <c r="J2615" i="7" s="1"/>
  <c r="J2616" i="7" s="1"/>
  <c r="J2617" i="7" s="1"/>
  <c r="J2618" i="7" s="1"/>
  <c r="J2619" i="7" s="1"/>
  <c r="J2620" i="7" s="1"/>
  <c r="J2621" i="7" s="1"/>
  <c r="J2622" i="7" s="1"/>
  <c r="J2623" i="7" s="1"/>
  <c r="J2624" i="7" s="1"/>
  <c r="J2625" i="7" s="1"/>
  <c r="J2626" i="7" s="1"/>
  <c r="J2627" i="7" s="1"/>
  <c r="J2628" i="7" s="1"/>
  <c r="J2629" i="7" s="1"/>
  <c r="J2630" i="7" s="1"/>
  <c r="J2631" i="7" s="1"/>
  <c r="J2632" i="7" s="1"/>
  <c r="J2633" i="7" s="1"/>
  <c r="J2634" i="7" s="1"/>
  <c r="J2635" i="7" s="1"/>
  <c r="J2636" i="7" s="1"/>
  <c r="J2637" i="7" s="1"/>
  <c r="J2638" i="7" s="1"/>
  <c r="J2639" i="7" s="1"/>
  <c r="J2640" i="7" s="1"/>
  <c r="J2641" i="7" s="1"/>
  <c r="J2642" i="7" s="1"/>
  <c r="J2643" i="7" s="1"/>
  <c r="J2644" i="7" s="1"/>
  <c r="J2645" i="7" s="1"/>
  <c r="J2646" i="7" s="1"/>
  <c r="J2647" i="7" s="1"/>
  <c r="J2648" i="7" s="1"/>
  <c r="J2649" i="7" s="1"/>
  <c r="J2650" i="7" s="1"/>
  <c r="J2651" i="7" s="1"/>
  <c r="J2652" i="7" s="1"/>
  <c r="J2653" i="7" s="1"/>
  <c r="J2654" i="7" s="1"/>
  <c r="J2655" i="7" s="1"/>
  <c r="J2656" i="7" s="1"/>
  <c r="J2657" i="7" s="1"/>
  <c r="J2658" i="7" s="1"/>
  <c r="J2659" i="7" s="1"/>
  <c r="J2660" i="7" s="1"/>
  <c r="J2661" i="7" s="1"/>
  <c r="J2662" i="7" s="1"/>
  <c r="J2663" i="7" s="1"/>
  <c r="J2664" i="7" s="1"/>
  <c r="J2665" i="7" s="1"/>
  <c r="J2666" i="7" s="1"/>
  <c r="J2667" i="7" s="1"/>
  <c r="J2668" i="7" s="1"/>
  <c r="J2669" i="7" s="1"/>
  <c r="J2670" i="7" s="1"/>
  <c r="J2671" i="7" s="1"/>
  <c r="J2672" i="7" s="1"/>
  <c r="J2673" i="7" s="1"/>
  <c r="J2674" i="7" s="1"/>
  <c r="J2675" i="7" s="1"/>
  <c r="J2676" i="7" s="1"/>
  <c r="J2677" i="7" s="1"/>
  <c r="J2678" i="7" s="1"/>
  <c r="J2679" i="7" s="1"/>
  <c r="J2680" i="7" s="1"/>
  <c r="J2681" i="7" s="1"/>
  <c r="J2682" i="7" s="1"/>
  <c r="J2683" i="7" s="1"/>
  <c r="J2684" i="7" s="1"/>
  <c r="J2685" i="7" s="1"/>
  <c r="J2686" i="7" s="1"/>
  <c r="J2687" i="7" s="1"/>
  <c r="J2688" i="7" s="1"/>
  <c r="J2689" i="7" s="1"/>
  <c r="J2690" i="7" s="1"/>
  <c r="J2691" i="7" s="1"/>
  <c r="J2692" i="7" s="1"/>
  <c r="J2693" i="7" s="1"/>
  <c r="J2694" i="7" s="1"/>
  <c r="J2695" i="7" s="1"/>
  <c r="J2696" i="7" s="1"/>
  <c r="J2697" i="7" s="1"/>
  <c r="J2698" i="7" s="1"/>
  <c r="J2699" i="7" s="1"/>
  <c r="J2700" i="7" s="1"/>
  <c r="J2701" i="7" s="1"/>
  <c r="J2702" i="7" s="1"/>
  <c r="J2703" i="7" s="1"/>
  <c r="J2704" i="7" s="1"/>
  <c r="J2705" i="7" s="1"/>
  <c r="J2706" i="7" s="1"/>
  <c r="J2707" i="7" s="1"/>
  <c r="J2708" i="7" s="1"/>
  <c r="J2709" i="7" s="1"/>
  <c r="J2710" i="7" s="1"/>
  <c r="J2711" i="7" s="1"/>
  <c r="J2712" i="7" s="1"/>
  <c r="J2713" i="7" s="1"/>
  <c r="J2714" i="7" s="1"/>
  <c r="J2715" i="7" s="1"/>
  <c r="J2716" i="7" s="1"/>
  <c r="J2717" i="7" s="1"/>
  <c r="J2718" i="7" s="1"/>
  <c r="J2719" i="7" s="1"/>
  <c r="J2720" i="7" s="1"/>
  <c r="J2721" i="7" s="1"/>
  <c r="J2722" i="7" s="1"/>
  <c r="J2723" i="7" s="1"/>
  <c r="J2724" i="7" s="1"/>
  <c r="J2725" i="7" s="1"/>
  <c r="J2726" i="7" s="1"/>
  <c r="J2727" i="7" s="1"/>
  <c r="J2728" i="7" s="1"/>
  <c r="J2729" i="7" s="1"/>
  <c r="J2730" i="7" s="1"/>
  <c r="J2731" i="7" s="1"/>
  <c r="J2732" i="7" s="1"/>
  <c r="J2733" i="7" s="1"/>
  <c r="J2734" i="7" s="1"/>
  <c r="J2735" i="7" s="1"/>
  <c r="J2736" i="7" s="1"/>
  <c r="J2737" i="7" s="1"/>
  <c r="J2738" i="7" s="1"/>
  <c r="J2739" i="7" s="1"/>
  <c r="J2740" i="7" s="1"/>
  <c r="J2741" i="7" s="1"/>
  <c r="J2742" i="7" s="1"/>
  <c r="J2743" i="7" s="1"/>
  <c r="J2744" i="7" s="1"/>
  <c r="J2745" i="7" s="1"/>
  <c r="J2746" i="7" s="1"/>
  <c r="J2747" i="7" s="1"/>
  <c r="J2748" i="7" s="1"/>
  <c r="J2749" i="7" s="1"/>
  <c r="J2750" i="7" s="1"/>
  <c r="J2751" i="7" s="1"/>
  <c r="J2752" i="7" s="1"/>
  <c r="J2753" i="7" s="1"/>
  <c r="J2754" i="7" s="1"/>
  <c r="J2755" i="7" s="1"/>
  <c r="J2756" i="7" s="1"/>
  <c r="J2757" i="7" s="1"/>
  <c r="J2758" i="7" s="1"/>
  <c r="J2759" i="7" s="1"/>
  <c r="J2760" i="7" s="1"/>
  <c r="J2761" i="7" s="1"/>
  <c r="J2762" i="7" s="1"/>
  <c r="J2763" i="7" s="1"/>
  <c r="J2764" i="7" s="1"/>
  <c r="J2765" i="7" s="1"/>
  <c r="J2766" i="7" s="1"/>
  <c r="J2767" i="7" s="1"/>
  <c r="J2768" i="7" s="1"/>
  <c r="J2769" i="7" s="1"/>
  <c r="J2770" i="7" s="1"/>
  <c r="J2771" i="7" s="1"/>
  <c r="J2772" i="7" s="1"/>
  <c r="J2773" i="7" s="1"/>
  <c r="J2774" i="7" s="1"/>
  <c r="J2775" i="7" s="1"/>
  <c r="J2776" i="7" s="1"/>
  <c r="J2777" i="7" s="1"/>
  <c r="J2778" i="7" s="1"/>
  <c r="J2779" i="7" s="1"/>
  <c r="J2780" i="7" s="1"/>
  <c r="J2781" i="7" s="1"/>
  <c r="J2782" i="7" s="1"/>
  <c r="J2783" i="7" s="1"/>
  <c r="J2784" i="7" s="1"/>
  <c r="J2785" i="7" s="1"/>
  <c r="J2786" i="7" s="1"/>
  <c r="J2787" i="7" s="1"/>
  <c r="J2788" i="7" s="1"/>
  <c r="J2789" i="7" s="1"/>
  <c r="J2790" i="7" s="1"/>
  <c r="J2791" i="7" s="1"/>
  <c r="J2792" i="7" s="1"/>
  <c r="J2793" i="7" s="1"/>
  <c r="J2794" i="7" s="1"/>
  <c r="J2795" i="7" s="1"/>
  <c r="J2796" i="7" s="1"/>
  <c r="J2797" i="7" s="1"/>
  <c r="J2798" i="7" s="1"/>
  <c r="J2799" i="7" s="1"/>
  <c r="J2800" i="7" s="1"/>
  <c r="J2801" i="7" s="1"/>
  <c r="J2802" i="7" s="1"/>
  <c r="J2803" i="7" s="1"/>
  <c r="J2804" i="7" s="1"/>
  <c r="J2805" i="7" s="1"/>
  <c r="J2806" i="7" s="1"/>
  <c r="J2807" i="7" s="1"/>
  <c r="J2808" i="7" s="1"/>
  <c r="J2809" i="7" s="1"/>
  <c r="J2810" i="7" s="1"/>
  <c r="J2811" i="7" s="1"/>
  <c r="J2812" i="7" s="1"/>
  <c r="J2813" i="7" s="1"/>
  <c r="J2814" i="7" s="1"/>
  <c r="J2815" i="7" s="1"/>
  <c r="J2816" i="7" s="1"/>
  <c r="J2817" i="7" s="1"/>
  <c r="J2818" i="7" s="1"/>
  <c r="J2819" i="7" s="1"/>
  <c r="J2820" i="7" s="1"/>
  <c r="J2821" i="7" s="1"/>
  <c r="J2822" i="7" s="1"/>
  <c r="J2823" i="7" s="1"/>
  <c r="J2824" i="7" s="1"/>
  <c r="J2825" i="7" s="1"/>
  <c r="J2826" i="7" s="1"/>
  <c r="J2827" i="7" s="1"/>
  <c r="J2828" i="7" s="1"/>
  <c r="J2829" i="7" s="1"/>
  <c r="J2830" i="7" s="1"/>
  <c r="J2831" i="7" s="1"/>
  <c r="J2832" i="7" s="1"/>
  <c r="J2833" i="7" s="1"/>
  <c r="J2834" i="7" s="1"/>
  <c r="J2835" i="7" s="1"/>
  <c r="J2836" i="7" s="1"/>
  <c r="J2837" i="7" s="1"/>
  <c r="J2838" i="7" s="1"/>
  <c r="J2839" i="7" s="1"/>
  <c r="J2840" i="7" s="1"/>
  <c r="J2841" i="7" s="1"/>
  <c r="J2842" i="7" s="1"/>
  <c r="J2843" i="7" s="1"/>
  <c r="J2844" i="7" s="1"/>
  <c r="J2845" i="7" s="1"/>
  <c r="J2846" i="7" s="1"/>
  <c r="J2847" i="7" s="1"/>
  <c r="J2848" i="7" s="1"/>
  <c r="J2849" i="7" s="1"/>
  <c r="J2850" i="7" s="1"/>
  <c r="J2851" i="7" s="1"/>
  <c r="J2852" i="7" s="1"/>
  <c r="J2853" i="7" s="1"/>
  <c r="J2854" i="7" s="1"/>
  <c r="J2855" i="7" s="1"/>
  <c r="J2856" i="7" s="1"/>
  <c r="J2857" i="7" s="1"/>
  <c r="J2858" i="7" s="1"/>
  <c r="J2859" i="7" s="1"/>
  <c r="J2860" i="7" s="1"/>
  <c r="J2861" i="7" s="1"/>
  <c r="J2862" i="7" s="1"/>
  <c r="J2863" i="7" s="1"/>
  <c r="J2864" i="7" s="1"/>
  <c r="J2865" i="7" s="1"/>
  <c r="J2866" i="7" s="1"/>
  <c r="J2867" i="7" s="1"/>
  <c r="J2868" i="7" s="1"/>
  <c r="J2869" i="7" s="1"/>
  <c r="J2870" i="7" s="1"/>
  <c r="J2871" i="7" s="1"/>
  <c r="J2872" i="7" s="1"/>
  <c r="J2873" i="7" s="1"/>
  <c r="J2874" i="7" s="1"/>
  <c r="J2875" i="7" s="1"/>
  <c r="J2876" i="7" s="1"/>
  <c r="J2877" i="7" s="1"/>
  <c r="J2878" i="7" s="1"/>
  <c r="J2879" i="7" s="1"/>
  <c r="J2880" i="7" s="1"/>
  <c r="J2881" i="7" s="1"/>
  <c r="J2882" i="7" s="1"/>
  <c r="J2883" i="7" s="1"/>
  <c r="J2884" i="7" s="1"/>
  <c r="J2885" i="7" s="1"/>
  <c r="J2886" i="7" s="1"/>
  <c r="J2887" i="7" s="1"/>
  <c r="J2888" i="7" s="1"/>
  <c r="J2889" i="7" s="1"/>
  <c r="J2890" i="7" s="1"/>
  <c r="J2891" i="7" s="1"/>
  <c r="J2892" i="7" s="1"/>
  <c r="J2893" i="7" s="1"/>
  <c r="J2894" i="7" s="1"/>
  <c r="J2895" i="7" s="1"/>
  <c r="J2896" i="7" s="1"/>
  <c r="J2897" i="7" s="1"/>
  <c r="J2898" i="7" s="1"/>
  <c r="J2899" i="7" s="1"/>
  <c r="J2900" i="7" s="1"/>
  <c r="J2901" i="7" s="1"/>
  <c r="J2902" i="7" s="1"/>
  <c r="J2903" i="7" s="1"/>
  <c r="J2904" i="7" s="1"/>
  <c r="J2905" i="7" s="1"/>
  <c r="J2906" i="7" s="1"/>
  <c r="J2907" i="7" s="1"/>
  <c r="J2908" i="7" s="1"/>
  <c r="J2909" i="7" s="1"/>
  <c r="J2910" i="7" s="1"/>
  <c r="J2911" i="7" s="1"/>
  <c r="J2912" i="7" s="1"/>
  <c r="J2913" i="7" s="1"/>
  <c r="J2914" i="7" s="1"/>
  <c r="J2915" i="7" s="1"/>
  <c r="J2916" i="7" s="1"/>
  <c r="J2917" i="7" s="1"/>
  <c r="J2918" i="7" s="1"/>
  <c r="J2919" i="7" s="1"/>
  <c r="J2920" i="7" s="1"/>
  <c r="J2921" i="7" s="1"/>
  <c r="J2922" i="7" s="1"/>
  <c r="J2923" i="7" s="1"/>
  <c r="J2924" i="7" s="1"/>
  <c r="J2925" i="7" s="1"/>
  <c r="J2926" i="7" s="1"/>
  <c r="J2927" i="7" s="1"/>
  <c r="J2928" i="7" s="1"/>
  <c r="J2929" i="7" s="1"/>
  <c r="J2930" i="7" s="1"/>
  <c r="J2931" i="7" s="1"/>
  <c r="J2932" i="7" s="1"/>
  <c r="J2933" i="7" s="1"/>
  <c r="J2934" i="7" s="1"/>
  <c r="J2935" i="7" s="1"/>
  <c r="J2936" i="7" s="1"/>
  <c r="J2937" i="7" s="1"/>
  <c r="J2938" i="7" s="1"/>
  <c r="J2939" i="7" s="1"/>
  <c r="J2940" i="7" s="1"/>
  <c r="J2941" i="7" s="1"/>
  <c r="J2942" i="7" s="1"/>
  <c r="J2943" i="7" s="1"/>
  <c r="J2944" i="7" s="1"/>
  <c r="J2945" i="7" s="1"/>
  <c r="J2946" i="7" s="1"/>
  <c r="J2947" i="7" s="1"/>
  <c r="J2948" i="7" s="1"/>
  <c r="J2949" i="7" s="1"/>
  <c r="J2950" i="7" s="1"/>
  <c r="J2951" i="7" s="1"/>
  <c r="J2952" i="7" s="1"/>
  <c r="J2953" i="7" s="1"/>
  <c r="J2954" i="7" s="1"/>
  <c r="J2955" i="7" s="1"/>
  <c r="J2956" i="7" s="1"/>
  <c r="J2957" i="7" s="1"/>
  <c r="J2958" i="7" s="1"/>
  <c r="J2959" i="7" s="1"/>
  <c r="J2960" i="7" s="1"/>
  <c r="J2961" i="7" s="1"/>
  <c r="J2962" i="7" s="1"/>
  <c r="J2963" i="7" s="1"/>
  <c r="J2964" i="7" s="1"/>
  <c r="J2965" i="7" s="1"/>
  <c r="J2966" i="7" s="1"/>
  <c r="J2967" i="7" s="1"/>
  <c r="J2968" i="7" s="1"/>
  <c r="J2969" i="7" s="1"/>
  <c r="J2970" i="7" s="1"/>
  <c r="J2971" i="7" s="1"/>
  <c r="J2972" i="7" s="1"/>
  <c r="J2973" i="7" s="1"/>
  <c r="J2974" i="7" s="1"/>
  <c r="J2975" i="7" s="1"/>
  <c r="J2976" i="7" s="1"/>
  <c r="J2977" i="7" s="1"/>
  <c r="J2978" i="7" s="1"/>
  <c r="J2979" i="7" s="1"/>
  <c r="J2980" i="7" s="1"/>
  <c r="J2981" i="7" s="1"/>
  <c r="J2982" i="7" s="1"/>
  <c r="J2983" i="7" s="1"/>
  <c r="J2984" i="7" s="1"/>
  <c r="J2985" i="7" s="1"/>
  <c r="J2986" i="7" s="1"/>
  <c r="J2987" i="7" s="1"/>
  <c r="J2988" i="7" s="1"/>
  <c r="J2989" i="7" s="1"/>
  <c r="J2990" i="7" s="1"/>
  <c r="J2991" i="7" s="1"/>
  <c r="J2992" i="7" s="1"/>
  <c r="J2993" i="7" s="1"/>
  <c r="J2994" i="7" s="1"/>
  <c r="J2995" i="7" s="1"/>
  <c r="J2996" i="7" s="1"/>
  <c r="J2997" i="7" s="1"/>
  <c r="J2998" i="7" s="1"/>
  <c r="J2999" i="7" s="1"/>
  <c r="J3000" i="7" s="1"/>
  <c r="J3001" i="7" s="1"/>
  <c r="J3002" i="7" s="1"/>
  <c r="J3003" i="7" s="1"/>
  <c r="J3004" i="7" s="1"/>
  <c r="J3005" i="7" s="1"/>
  <c r="J3006" i="7" s="1"/>
  <c r="J3007" i="7" s="1"/>
  <c r="J3008" i="7" s="1"/>
  <c r="J3009" i="7" s="1"/>
  <c r="J3010" i="7" s="1"/>
  <c r="J3011" i="7" s="1"/>
  <c r="J3012" i="7" s="1"/>
  <c r="J3013" i="7" s="1"/>
  <c r="J3014" i="7" s="1"/>
  <c r="J3015" i="7" s="1"/>
  <c r="J3016" i="7" s="1"/>
  <c r="J3017" i="7" s="1"/>
  <c r="J3018" i="7" s="1"/>
  <c r="J3019" i="7" s="1"/>
  <c r="J3020" i="7" s="1"/>
  <c r="J3021" i="7" s="1"/>
  <c r="J3022" i="7" s="1"/>
  <c r="J3023" i="7" s="1"/>
  <c r="J3024" i="7" s="1"/>
  <c r="J3025" i="7" s="1"/>
  <c r="J3026" i="7" s="1"/>
  <c r="J3027" i="7" s="1"/>
  <c r="J3028" i="7" s="1"/>
  <c r="J3029" i="7" s="1"/>
  <c r="J3030" i="7" s="1"/>
  <c r="J3031" i="7" s="1"/>
  <c r="J3032" i="7" s="1"/>
  <c r="J3033" i="7" s="1"/>
  <c r="J3034" i="7" s="1"/>
  <c r="J3035" i="7" s="1"/>
  <c r="J3036" i="7" s="1"/>
  <c r="J3037" i="7" s="1"/>
  <c r="J3038" i="7" s="1"/>
  <c r="J3039" i="7" s="1"/>
  <c r="J3040" i="7" s="1"/>
  <c r="J3041" i="7" s="1"/>
  <c r="J3042" i="7" s="1"/>
  <c r="J3043" i="7" s="1"/>
  <c r="J3044" i="7" s="1"/>
  <c r="J3045" i="7" s="1"/>
  <c r="J3046" i="7" s="1"/>
  <c r="J3047" i="7" s="1"/>
  <c r="J3048" i="7" s="1"/>
  <c r="J3049" i="7" s="1"/>
  <c r="J3050" i="7" s="1"/>
  <c r="J3051" i="7" s="1"/>
  <c r="J3052" i="7" s="1"/>
  <c r="J3053" i="7" s="1"/>
  <c r="J3054" i="7" s="1"/>
  <c r="J3055" i="7" s="1"/>
  <c r="J3056" i="7" s="1"/>
  <c r="J3057" i="7" s="1"/>
  <c r="J3058" i="7" s="1"/>
  <c r="J3059" i="7" s="1"/>
  <c r="J3060" i="7" s="1"/>
  <c r="J3061" i="7" s="1"/>
  <c r="J3062" i="7" s="1"/>
  <c r="J3063" i="7" s="1"/>
  <c r="J3064" i="7" s="1"/>
  <c r="J3065" i="7" s="1"/>
  <c r="J3066" i="7" s="1"/>
  <c r="J3067" i="7" s="1"/>
  <c r="J3068" i="7" s="1"/>
  <c r="J3069" i="7" s="1"/>
  <c r="J3070" i="7" s="1"/>
  <c r="J3071" i="7" s="1"/>
  <c r="J3072" i="7" s="1"/>
  <c r="J3073" i="7" s="1"/>
  <c r="J3074" i="7" s="1"/>
  <c r="J3075" i="7" s="1"/>
  <c r="J3076" i="7" s="1"/>
  <c r="J3077" i="7" s="1"/>
  <c r="J3078" i="7" s="1"/>
  <c r="J3079" i="7" s="1"/>
  <c r="J3080" i="7" s="1"/>
  <c r="J3081" i="7" s="1"/>
  <c r="J3082" i="7" s="1"/>
  <c r="J3083" i="7" s="1"/>
  <c r="J3084" i="7" s="1"/>
  <c r="J3085" i="7" s="1"/>
  <c r="J3086" i="7" s="1"/>
  <c r="J3087" i="7" s="1"/>
  <c r="J3088" i="7" s="1"/>
  <c r="J3089" i="7" s="1"/>
  <c r="J3090" i="7" s="1"/>
  <c r="J3091" i="7" s="1"/>
  <c r="J3092" i="7" s="1"/>
  <c r="J3093" i="7" s="1"/>
  <c r="J3094" i="7" s="1"/>
  <c r="J3095" i="7" s="1"/>
  <c r="J3096" i="7" s="1"/>
  <c r="J3097" i="7" s="1"/>
  <c r="J3098" i="7" s="1"/>
  <c r="J3099" i="7" s="1"/>
  <c r="J3100" i="7" s="1"/>
  <c r="J3101" i="7" s="1"/>
  <c r="J3102" i="7" s="1"/>
  <c r="J3103" i="7" s="1"/>
  <c r="J3104" i="7" s="1"/>
  <c r="J3105" i="7" s="1"/>
  <c r="J3106" i="7" s="1"/>
  <c r="J3107" i="7" s="1"/>
  <c r="J3108" i="7" s="1"/>
  <c r="J3109" i="7" s="1"/>
  <c r="J3110" i="7" s="1"/>
  <c r="J3111" i="7" s="1"/>
  <c r="J3112" i="7" s="1"/>
  <c r="J3113" i="7" s="1"/>
  <c r="J3114" i="7" s="1"/>
  <c r="J3115" i="7" s="1"/>
  <c r="J3116" i="7" s="1"/>
  <c r="J3117" i="7" s="1"/>
  <c r="J3118" i="7" s="1"/>
  <c r="J3119" i="7" s="1"/>
  <c r="J3120" i="7" s="1"/>
  <c r="J3121" i="7" s="1"/>
  <c r="J3122" i="7" s="1"/>
  <c r="J3123" i="7" s="1"/>
  <c r="J3124" i="7" s="1"/>
  <c r="J3125" i="7" s="1"/>
  <c r="J3126" i="7" s="1"/>
  <c r="J3127" i="7" s="1"/>
  <c r="J3128" i="7" s="1"/>
  <c r="J3129" i="7" s="1"/>
  <c r="J3130" i="7" s="1"/>
  <c r="J3131" i="7" s="1"/>
  <c r="J3132" i="7" s="1"/>
  <c r="J3133" i="7" s="1"/>
  <c r="J3134" i="7" s="1"/>
  <c r="J3135" i="7" s="1"/>
  <c r="J3136" i="7" s="1"/>
  <c r="J3137" i="7" s="1"/>
  <c r="J3138" i="7" s="1"/>
  <c r="J3139" i="7" s="1"/>
  <c r="J3140" i="7" s="1"/>
  <c r="J3141" i="7" s="1"/>
  <c r="J3142" i="7" s="1"/>
  <c r="J3143" i="7" s="1"/>
  <c r="J3144" i="7" s="1"/>
  <c r="J3145" i="7" s="1"/>
  <c r="J3146" i="7" s="1"/>
  <c r="J3147" i="7" s="1"/>
  <c r="J3148" i="7" s="1"/>
  <c r="J3149" i="7" s="1"/>
  <c r="J3150" i="7" s="1"/>
  <c r="J3151" i="7" s="1"/>
  <c r="J3152" i="7" s="1"/>
  <c r="J3153" i="7" s="1"/>
  <c r="J3154" i="7" s="1"/>
  <c r="J3155" i="7" s="1"/>
  <c r="J3156" i="7" s="1"/>
  <c r="J3157" i="7" s="1"/>
  <c r="J3158" i="7" s="1"/>
  <c r="J3159" i="7" s="1"/>
  <c r="J3160" i="7" s="1"/>
  <c r="J3161" i="7" s="1"/>
  <c r="J3162" i="7" s="1"/>
  <c r="J3163" i="7" s="1"/>
  <c r="J3164" i="7" s="1"/>
  <c r="J3165" i="7" s="1"/>
  <c r="J3166" i="7" s="1"/>
  <c r="J3167" i="7" s="1"/>
  <c r="J3168" i="7" s="1"/>
  <c r="J3169" i="7" s="1"/>
  <c r="J3170" i="7" s="1"/>
  <c r="J3171" i="7" s="1"/>
  <c r="J3172" i="7" s="1"/>
  <c r="J3173" i="7" s="1"/>
  <c r="J3174" i="7" s="1"/>
  <c r="J3175" i="7" s="1"/>
  <c r="J3176" i="7" s="1"/>
  <c r="J3177" i="7" s="1"/>
  <c r="J3178" i="7" s="1"/>
  <c r="J3179" i="7" s="1"/>
  <c r="J3180" i="7" s="1"/>
  <c r="J3181" i="7" s="1"/>
  <c r="J3182" i="7" s="1"/>
  <c r="J3183" i="7" s="1"/>
  <c r="J3184" i="7" s="1"/>
  <c r="J3185" i="7" s="1"/>
  <c r="J3186" i="7" s="1"/>
  <c r="J3187" i="7" s="1"/>
  <c r="J3188" i="7" s="1"/>
  <c r="J3189" i="7" s="1"/>
  <c r="J3190" i="7" s="1"/>
  <c r="J3191" i="7" s="1"/>
  <c r="J3192" i="7" s="1"/>
  <c r="J3193" i="7" s="1"/>
  <c r="J3194" i="7" s="1"/>
  <c r="J3195" i="7" s="1"/>
  <c r="J3196" i="7" s="1"/>
  <c r="J3197" i="7" s="1"/>
  <c r="J3198" i="7" s="1"/>
  <c r="J3199" i="7" s="1"/>
  <c r="J3200" i="7" s="1"/>
  <c r="J3201" i="7" s="1"/>
  <c r="J3202" i="7" s="1"/>
  <c r="J3203" i="7" s="1"/>
  <c r="J3204" i="7" s="1"/>
  <c r="J3205" i="7" s="1"/>
  <c r="J3206" i="7" s="1"/>
  <c r="J3207" i="7" s="1"/>
  <c r="J3208" i="7" s="1"/>
  <c r="J3209" i="7" s="1"/>
  <c r="J3210" i="7" s="1"/>
  <c r="J3211" i="7" s="1"/>
  <c r="J3212" i="7" s="1"/>
  <c r="J3213" i="7" s="1"/>
  <c r="J3214" i="7" s="1"/>
  <c r="J3215" i="7" s="1"/>
  <c r="J3216" i="7" s="1"/>
  <c r="J3217" i="7" s="1"/>
  <c r="J3218" i="7" s="1"/>
  <c r="J3219" i="7" s="1"/>
  <c r="J3220" i="7" s="1"/>
  <c r="J3221" i="7" s="1"/>
  <c r="J3222" i="7" s="1"/>
  <c r="J3223" i="7" s="1"/>
  <c r="J3224" i="7" s="1"/>
  <c r="J3225" i="7" s="1"/>
  <c r="J3226" i="7" s="1"/>
  <c r="J3227" i="7" s="1"/>
  <c r="J3228" i="7" s="1"/>
  <c r="J3229" i="7" s="1"/>
  <c r="J3230" i="7" s="1"/>
  <c r="J3231" i="7" s="1"/>
  <c r="J3232" i="7" s="1"/>
  <c r="J3233" i="7" s="1"/>
  <c r="J3234" i="7" s="1"/>
  <c r="J3235" i="7" s="1"/>
  <c r="J3236" i="7" s="1"/>
  <c r="J3237" i="7" s="1"/>
  <c r="J3238" i="7" s="1"/>
  <c r="J3239" i="7" s="1"/>
  <c r="J3240" i="7" s="1"/>
  <c r="J3241" i="7" s="1"/>
  <c r="J3242" i="7" s="1"/>
  <c r="J3243" i="7" s="1"/>
  <c r="J3244" i="7" s="1"/>
  <c r="J3245" i="7" s="1"/>
  <c r="J3246" i="7" s="1"/>
  <c r="J3247" i="7" s="1"/>
  <c r="J3248" i="7" s="1"/>
  <c r="J3249" i="7" s="1"/>
  <c r="J3250" i="7" s="1"/>
  <c r="J3251" i="7" s="1"/>
  <c r="J3252" i="7" s="1"/>
  <c r="J3253" i="7" s="1"/>
  <c r="J3254" i="7" s="1"/>
  <c r="J3255" i="7" s="1"/>
  <c r="J3256" i="7" s="1"/>
  <c r="J3257" i="7" s="1"/>
  <c r="J3258" i="7" s="1"/>
  <c r="J3259" i="7" s="1"/>
  <c r="J3260" i="7" s="1"/>
  <c r="J3261" i="7" s="1"/>
  <c r="J3262" i="7" s="1"/>
  <c r="J3263" i="7" s="1"/>
  <c r="J3264" i="7" s="1"/>
  <c r="J3265" i="7" s="1"/>
  <c r="J3266" i="7" s="1"/>
  <c r="J3267" i="7" s="1"/>
  <c r="J3268" i="7" s="1"/>
  <c r="J3269" i="7" s="1"/>
  <c r="J3270" i="7" s="1"/>
  <c r="J3271" i="7" s="1"/>
  <c r="J3272" i="7" s="1"/>
  <c r="J3273" i="7" s="1"/>
  <c r="J3274" i="7" s="1"/>
  <c r="J3275" i="7" s="1"/>
  <c r="J3276" i="7" s="1"/>
  <c r="J3277" i="7" s="1"/>
  <c r="J3278" i="7" s="1"/>
  <c r="J3279" i="7" s="1"/>
  <c r="J3280" i="7" s="1"/>
  <c r="J3281" i="7" s="1"/>
  <c r="J3282" i="7" s="1"/>
  <c r="J3283" i="7" s="1"/>
  <c r="J3284" i="7" s="1"/>
  <c r="J3285" i="7" s="1"/>
  <c r="J3286" i="7" s="1"/>
  <c r="J3287" i="7" s="1"/>
  <c r="J3288" i="7" s="1"/>
  <c r="J3289" i="7" s="1"/>
  <c r="J3290" i="7" s="1"/>
  <c r="J3291" i="7" s="1"/>
  <c r="J3292" i="7" s="1"/>
  <c r="J3293" i="7" s="1"/>
  <c r="J3294" i="7" s="1"/>
  <c r="J3295" i="7" s="1"/>
  <c r="J3296" i="7" s="1"/>
  <c r="J3297" i="7" s="1"/>
  <c r="J3298" i="7" s="1"/>
  <c r="J3299" i="7" s="1"/>
  <c r="J3300" i="7" s="1"/>
  <c r="J3301" i="7" s="1"/>
  <c r="J3302" i="7" s="1"/>
  <c r="J3303" i="7" s="1"/>
  <c r="J3304" i="7" s="1"/>
  <c r="J3305" i="7" s="1"/>
  <c r="J3306" i="7" s="1"/>
  <c r="J3307" i="7" s="1"/>
  <c r="J3308" i="7" s="1"/>
  <c r="J3309" i="7" s="1"/>
  <c r="J3310" i="7" s="1"/>
  <c r="J3311" i="7" s="1"/>
  <c r="J3312" i="7" s="1"/>
  <c r="J3313" i="7" s="1"/>
  <c r="J3314" i="7" s="1"/>
  <c r="J3315" i="7" s="1"/>
  <c r="J3316" i="7" s="1"/>
  <c r="J3317" i="7" s="1"/>
  <c r="J3318" i="7" s="1"/>
  <c r="J3319" i="7" s="1"/>
  <c r="J3320" i="7" s="1"/>
  <c r="J3321" i="7" s="1"/>
  <c r="J3322" i="7" s="1"/>
  <c r="J3323" i="7" s="1"/>
  <c r="J3324" i="7" s="1"/>
  <c r="J3325" i="7" s="1"/>
  <c r="J3326" i="7" s="1"/>
  <c r="J3327" i="7" s="1"/>
  <c r="J3328" i="7" s="1"/>
  <c r="J3329" i="7" s="1"/>
  <c r="J3330" i="7" s="1"/>
  <c r="J3331" i="7" s="1"/>
  <c r="J3332" i="7" s="1"/>
  <c r="J3333" i="7" s="1"/>
  <c r="J3334" i="7" s="1"/>
  <c r="J3335" i="7" s="1"/>
  <c r="J3336" i="7" s="1"/>
  <c r="J3337" i="7" s="1"/>
  <c r="J3338" i="7" s="1"/>
  <c r="J3339" i="7" s="1"/>
  <c r="J3340" i="7" s="1"/>
  <c r="J3341" i="7" s="1"/>
  <c r="J3342" i="7" s="1"/>
  <c r="J3343" i="7" s="1"/>
  <c r="J3344" i="7" s="1"/>
  <c r="J3345" i="7" s="1"/>
  <c r="J3346" i="7" s="1"/>
  <c r="J3347" i="7" s="1"/>
  <c r="J3348" i="7" s="1"/>
  <c r="J3349" i="7" s="1"/>
  <c r="J3350" i="7" s="1"/>
  <c r="J3351" i="7" s="1"/>
  <c r="J3352" i="7" s="1"/>
  <c r="J3353" i="7" s="1"/>
  <c r="J3354" i="7" s="1"/>
  <c r="J3355" i="7" s="1"/>
  <c r="J3356" i="7" s="1"/>
  <c r="J3357" i="7" s="1"/>
  <c r="J3358" i="7" s="1"/>
  <c r="J3359" i="7" s="1"/>
  <c r="J3360" i="7" s="1"/>
  <c r="J3361" i="7" s="1"/>
  <c r="J3362" i="7" s="1"/>
  <c r="J3363" i="7" s="1"/>
  <c r="J3364" i="7" s="1"/>
  <c r="J3365" i="7" s="1"/>
  <c r="J3366" i="7" s="1"/>
  <c r="J3367" i="7" s="1"/>
  <c r="J3368" i="7" s="1"/>
  <c r="J3369" i="7" s="1"/>
  <c r="J3370" i="7" s="1"/>
  <c r="J3371" i="7" s="1"/>
  <c r="J3372" i="7" s="1"/>
  <c r="J3373" i="7" s="1"/>
  <c r="J3374" i="7" s="1"/>
  <c r="J3375" i="7" s="1"/>
  <c r="J3376" i="7" s="1"/>
  <c r="J3377" i="7" s="1"/>
  <c r="J3378" i="7" s="1"/>
  <c r="J3379" i="7" s="1"/>
  <c r="J3380" i="7" s="1"/>
  <c r="J3381" i="7" s="1"/>
  <c r="J3382" i="7" s="1"/>
  <c r="J3383" i="7" s="1"/>
  <c r="J3384" i="7" s="1"/>
  <c r="J3385" i="7" s="1"/>
  <c r="J3386" i="7" s="1"/>
  <c r="J3387" i="7" s="1"/>
  <c r="J3388" i="7" s="1"/>
  <c r="J3389" i="7" s="1"/>
  <c r="J3390" i="7" s="1"/>
  <c r="J3391" i="7" s="1"/>
  <c r="J3392" i="7" s="1"/>
  <c r="J3393" i="7" s="1"/>
  <c r="J3394" i="7" s="1"/>
  <c r="J3395" i="7" s="1"/>
  <c r="J3396" i="7" s="1"/>
  <c r="J3397" i="7" s="1"/>
  <c r="J3398" i="7" s="1"/>
  <c r="J3399" i="7" s="1"/>
  <c r="J3400" i="7" s="1"/>
  <c r="J3401" i="7" s="1"/>
  <c r="J3402" i="7" s="1"/>
  <c r="J3403" i="7" s="1"/>
  <c r="J3404" i="7" s="1"/>
  <c r="J3405" i="7" s="1"/>
  <c r="J3406" i="7" s="1"/>
  <c r="J3407" i="7" s="1"/>
  <c r="J3408" i="7" s="1"/>
  <c r="J3409" i="7" s="1"/>
  <c r="J3410" i="7" s="1"/>
  <c r="J3411" i="7" s="1"/>
  <c r="J3412" i="7" s="1"/>
  <c r="J3413" i="7" s="1"/>
  <c r="J3414" i="7" s="1"/>
  <c r="J3415" i="7" s="1"/>
  <c r="J3416" i="7" s="1"/>
  <c r="J3417" i="7" s="1"/>
  <c r="J3418" i="7" s="1"/>
  <c r="J3419" i="7" s="1"/>
  <c r="J3420" i="7" s="1"/>
  <c r="J3421" i="7" s="1"/>
  <c r="J3422" i="7" s="1"/>
  <c r="J3423" i="7" s="1"/>
  <c r="J3424" i="7" s="1"/>
  <c r="J3425" i="7" s="1"/>
  <c r="J3426" i="7" s="1"/>
  <c r="J3427" i="7" s="1"/>
  <c r="J3428" i="7" s="1"/>
  <c r="J3429" i="7" s="1"/>
  <c r="J3430" i="7" s="1"/>
  <c r="J3431" i="7" s="1"/>
  <c r="J3432" i="7" s="1"/>
  <c r="J3433" i="7" s="1"/>
  <c r="J3434" i="7" s="1"/>
  <c r="J3435" i="7" s="1"/>
  <c r="J3436" i="7" s="1"/>
  <c r="J3437" i="7" s="1"/>
  <c r="J3438" i="7" s="1"/>
  <c r="J3439" i="7" s="1"/>
  <c r="J3440" i="7" s="1"/>
  <c r="J3441" i="7" s="1"/>
  <c r="J3442" i="7" s="1"/>
  <c r="J3443" i="7" s="1"/>
  <c r="J3444" i="7" s="1"/>
  <c r="J3445" i="7" s="1"/>
  <c r="J3446" i="7" s="1"/>
  <c r="J3447" i="7" s="1"/>
  <c r="J3448" i="7" s="1"/>
  <c r="J3449" i="7" s="1"/>
  <c r="J3450" i="7" s="1"/>
  <c r="J3451" i="7" s="1"/>
  <c r="J3452" i="7" s="1"/>
  <c r="J3453" i="7" s="1"/>
  <c r="J3454" i="7" s="1"/>
  <c r="J3455" i="7" s="1"/>
  <c r="J3456" i="7" s="1"/>
  <c r="J3457" i="7" s="1"/>
  <c r="J3458" i="7" s="1"/>
  <c r="J3459" i="7" s="1"/>
  <c r="J3460" i="7" s="1"/>
  <c r="J3461" i="7" s="1"/>
  <c r="J3462" i="7" s="1"/>
  <c r="J3463" i="7" s="1"/>
  <c r="J3464" i="7" s="1"/>
  <c r="J3465" i="7" s="1"/>
  <c r="J3466" i="7" s="1"/>
  <c r="J3467" i="7" s="1"/>
  <c r="J3468" i="7" s="1"/>
  <c r="J3469" i="7" s="1"/>
  <c r="J3470" i="7" s="1"/>
  <c r="J3471" i="7" s="1"/>
  <c r="J3472" i="7" s="1"/>
  <c r="J3473" i="7" s="1"/>
  <c r="J3474" i="7" s="1"/>
  <c r="J3475" i="7" s="1"/>
  <c r="J3476" i="7" s="1"/>
  <c r="J3477" i="7" s="1"/>
  <c r="J3478" i="7" s="1"/>
  <c r="J3479" i="7" s="1"/>
  <c r="J3480" i="7" s="1"/>
  <c r="J3481" i="7" s="1"/>
  <c r="J3482" i="7" s="1"/>
  <c r="J3483" i="7" s="1"/>
  <c r="J3484" i="7" s="1"/>
  <c r="J3485" i="7" s="1"/>
  <c r="J3486" i="7" s="1"/>
  <c r="J3487" i="7" s="1"/>
  <c r="J3488" i="7" s="1"/>
  <c r="J3489" i="7" s="1"/>
  <c r="J3490" i="7" s="1"/>
  <c r="J3491" i="7" s="1"/>
  <c r="J3492" i="7" s="1"/>
  <c r="J3493" i="7" s="1"/>
  <c r="J3494" i="7" s="1"/>
  <c r="J3495" i="7" s="1"/>
  <c r="J3496" i="7" s="1"/>
  <c r="J3497" i="7" s="1"/>
  <c r="J3498" i="7" s="1"/>
  <c r="J3499" i="7" s="1"/>
  <c r="J3500" i="7" s="1"/>
  <c r="J3501" i="7" s="1"/>
  <c r="J3502" i="7" s="1"/>
  <c r="J3503" i="7" s="1"/>
  <c r="J3504" i="7" s="1"/>
  <c r="J3505" i="7" s="1"/>
  <c r="J3506" i="7" s="1"/>
  <c r="J3507" i="7" s="1"/>
  <c r="H3" i="7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H249" i="7" s="1"/>
  <c r="H250" i="7" s="1"/>
  <c r="H251" i="7" s="1"/>
  <c r="H252" i="7" s="1"/>
  <c r="H253" i="7" s="1"/>
  <c r="H254" i="7" s="1"/>
  <c r="H255" i="7" s="1"/>
  <c r="H256" i="7" s="1"/>
  <c r="H257" i="7" s="1"/>
  <c r="H258" i="7" s="1"/>
  <c r="H259" i="7" s="1"/>
  <c r="H260" i="7" s="1"/>
  <c r="H261" i="7" s="1"/>
  <c r="H262" i="7" s="1"/>
  <c r="H263" i="7" s="1"/>
  <c r="H264" i="7" s="1"/>
  <c r="H265" i="7" s="1"/>
  <c r="H266" i="7" s="1"/>
  <c r="H267" i="7" s="1"/>
  <c r="H268" i="7" s="1"/>
  <c r="H269" i="7" s="1"/>
  <c r="H270" i="7" s="1"/>
  <c r="H271" i="7" s="1"/>
  <c r="H272" i="7" s="1"/>
  <c r="H273" i="7" s="1"/>
  <c r="H274" i="7" s="1"/>
  <c r="H275" i="7" s="1"/>
  <c r="H276" i="7" s="1"/>
  <c r="H277" i="7" s="1"/>
  <c r="H278" i="7" s="1"/>
  <c r="H279" i="7" s="1"/>
  <c r="H280" i="7" s="1"/>
  <c r="H281" i="7" s="1"/>
  <c r="H282" i="7" s="1"/>
  <c r="H283" i="7" s="1"/>
  <c r="H284" i="7" s="1"/>
  <c r="H285" i="7" s="1"/>
  <c r="H286" i="7" s="1"/>
  <c r="H287" i="7" s="1"/>
  <c r="H288" i="7" s="1"/>
  <c r="H289" i="7" s="1"/>
  <c r="H290" i="7" s="1"/>
  <c r="H291" i="7" s="1"/>
  <c r="H292" i="7" s="1"/>
  <c r="H293" i="7" s="1"/>
  <c r="H294" i="7" s="1"/>
  <c r="H295" i="7" s="1"/>
  <c r="H296" i="7" s="1"/>
  <c r="H297" i="7" s="1"/>
  <c r="H298" i="7" s="1"/>
  <c r="H299" i="7" s="1"/>
  <c r="H300" i="7" s="1"/>
  <c r="H301" i="7" s="1"/>
  <c r="H302" i="7" s="1"/>
  <c r="H303" i="7" s="1"/>
  <c r="H304" i="7" s="1"/>
  <c r="H305" i="7" s="1"/>
  <c r="H306" i="7" s="1"/>
  <c r="H307" i="7" s="1"/>
  <c r="H308" i="7" s="1"/>
  <c r="H309" i="7" s="1"/>
  <c r="H310" i="7" s="1"/>
  <c r="H311" i="7" s="1"/>
  <c r="H312" i="7" s="1"/>
  <c r="H313" i="7" s="1"/>
  <c r="H314" i="7" s="1"/>
  <c r="H315" i="7" s="1"/>
  <c r="H316" i="7" s="1"/>
  <c r="H317" i="7" s="1"/>
  <c r="H318" i="7" s="1"/>
  <c r="H319" i="7" s="1"/>
  <c r="H320" i="7" s="1"/>
  <c r="H321" i="7" s="1"/>
  <c r="H322" i="7" s="1"/>
  <c r="H323" i="7" s="1"/>
  <c r="H324" i="7" s="1"/>
  <c r="H325" i="7" s="1"/>
  <c r="H326" i="7" s="1"/>
  <c r="H327" i="7" s="1"/>
  <c r="H328" i="7" s="1"/>
  <c r="H329" i="7" s="1"/>
  <c r="H330" i="7" s="1"/>
  <c r="H331" i="7" s="1"/>
  <c r="H332" i="7" s="1"/>
  <c r="H333" i="7" s="1"/>
  <c r="H334" i="7" s="1"/>
  <c r="H335" i="7" s="1"/>
  <c r="H336" i="7" s="1"/>
  <c r="H337" i="7" s="1"/>
  <c r="H338" i="7" s="1"/>
  <c r="H339" i="7" s="1"/>
  <c r="H340" i="7" s="1"/>
  <c r="H341" i="7" s="1"/>
  <c r="H342" i="7" s="1"/>
  <c r="H343" i="7" s="1"/>
  <c r="H344" i="7" s="1"/>
  <c r="H345" i="7" s="1"/>
  <c r="H346" i="7" s="1"/>
  <c r="H347" i="7" s="1"/>
  <c r="H348" i="7" s="1"/>
  <c r="H349" i="7" s="1"/>
  <c r="H350" i="7" s="1"/>
  <c r="H351" i="7" s="1"/>
  <c r="H352" i="7" s="1"/>
  <c r="H353" i="7" s="1"/>
  <c r="H354" i="7" s="1"/>
  <c r="H355" i="7" s="1"/>
  <c r="H356" i="7" s="1"/>
  <c r="H357" i="7" s="1"/>
  <c r="H358" i="7" s="1"/>
  <c r="H359" i="7" s="1"/>
  <c r="H360" i="7" s="1"/>
  <c r="H361" i="7" s="1"/>
  <c r="H362" i="7" s="1"/>
  <c r="H363" i="7" s="1"/>
  <c r="H364" i="7" s="1"/>
  <c r="H365" i="7" s="1"/>
  <c r="H366" i="7" s="1"/>
  <c r="H367" i="7" s="1"/>
  <c r="H368" i="7" s="1"/>
  <c r="H369" i="7" s="1"/>
  <c r="H370" i="7" s="1"/>
  <c r="H371" i="7" s="1"/>
  <c r="H372" i="7" s="1"/>
  <c r="H373" i="7" s="1"/>
  <c r="H374" i="7" s="1"/>
  <c r="H375" i="7" s="1"/>
  <c r="H376" i="7" s="1"/>
  <c r="H377" i="7" s="1"/>
  <c r="H378" i="7" s="1"/>
  <c r="H379" i="7" s="1"/>
  <c r="H380" i="7" s="1"/>
  <c r="H381" i="7" s="1"/>
  <c r="H382" i="7" s="1"/>
  <c r="H383" i="7" s="1"/>
  <c r="H384" i="7" s="1"/>
  <c r="H385" i="7" s="1"/>
  <c r="H386" i="7" s="1"/>
  <c r="H387" i="7" s="1"/>
  <c r="H388" i="7" s="1"/>
  <c r="H389" i="7" s="1"/>
  <c r="H390" i="7" s="1"/>
  <c r="H391" i="7" s="1"/>
  <c r="H392" i="7" s="1"/>
  <c r="H393" i="7" s="1"/>
  <c r="H394" i="7" s="1"/>
  <c r="H395" i="7" s="1"/>
  <c r="H396" i="7" s="1"/>
  <c r="H397" i="7" s="1"/>
  <c r="H398" i="7" s="1"/>
  <c r="H399" i="7" s="1"/>
  <c r="H400" i="7" s="1"/>
  <c r="H401" i="7" s="1"/>
  <c r="H402" i="7" s="1"/>
  <c r="H403" i="7" s="1"/>
  <c r="H404" i="7" s="1"/>
  <c r="H405" i="7" s="1"/>
  <c r="H406" i="7" s="1"/>
  <c r="H407" i="7" s="1"/>
  <c r="H408" i="7" s="1"/>
  <c r="H409" i="7" s="1"/>
  <c r="H410" i="7" s="1"/>
  <c r="H411" i="7" s="1"/>
  <c r="H412" i="7" s="1"/>
  <c r="H413" i="7" s="1"/>
  <c r="H414" i="7" s="1"/>
  <c r="H415" i="7" s="1"/>
  <c r="H416" i="7" s="1"/>
  <c r="H417" i="7" s="1"/>
  <c r="H418" i="7" s="1"/>
  <c r="H419" i="7" s="1"/>
  <c r="H420" i="7" s="1"/>
  <c r="H421" i="7" s="1"/>
  <c r="H422" i="7" s="1"/>
  <c r="H423" i="7" s="1"/>
  <c r="H424" i="7" s="1"/>
  <c r="H425" i="7" s="1"/>
  <c r="H426" i="7" s="1"/>
  <c r="H427" i="7" s="1"/>
  <c r="H428" i="7" s="1"/>
  <c r="H429" i="7" s="1"/>
  <c r="H430" i="7" s="1"/>
  <c r="H431" i="7" s="1"/>
  <c r="H432" i="7" s="1"/>
  <c r="H433" i="7" s="1"/>
  <c r="H434" i="7" s="1"/>
  <c r="H435" i="7" s="1"/>
  <c r="H436" i="7" s="1"/>
  <c r="H437" i="7" s="1"/>
  <c r="H438" i="7" s="1"/>
  <c r="H439" i="7" s="1"/>
  <c r="H440" i="7" s="1"/>
  <c r="H441" i="7" s="1"/>
  <c r="H442" i="7" s="1"/>
  <c r="H443" i="7" s="1"/>
  <c r="H444" i="7" s="1"/>
  <c r="H445" i="7" s="1"/>
  <c r="H446" i="7" s="1"/>
  <c r="H447" i="7" s="1"/>
  <c r="H448" i="7" s="1"/>
  <c r="H449" i="7" s="1"/>
  <c r="H450" i="7" s="1"/>
  <c r="H451" i="7" s="1"/>
  <c r="H452" i="7" s="1"/>
  <c r="H453" i="7" s="1"/>
  <c r="H454" i="7" s="1"/>
  <c r="H455" i="7" s="1"/>
  <c r="H456" i="7" s="1"/>
  <c r="H457" i="7" s="1"/>
  <c r="H458" i="7" s="1"/>
  <c r="H459" i="7" s="1"/>
  <c r="H460" i="7" s="1"/>
  <c r="H461" i="7" s="1"/>
  <c r="H462" i="7" s="1"/>
  <c r="H463" i="7" s="1"/>
  <c r="H464" i="7" s="1"/>
  <c r="H465" i="7" s="1"/>
  <c r="H466" i="7" s="1"/>
  <c r="H467" i="7" s="1"/>
  <c r="H468" i="7" s="1"/>
  <c r="H469" i="7" s="1"/>
  <c r="H470" i="7" s="1"/>
  <c r="H471" i="7" s="1"/>
  <c r="H472" i="7" s="1"/>
  <c r="H473" i="7" s="1"/>
  <c r="H474" i="7" s="1"/>
  <c r="H475" i="7" s="1"/>
  <c r="H476" i="7" s="1"/>
  <c r="H477" i="7" s="1"/>
  <c r="H478" i="7" s="1"/>
  <c r="H479" i="7" s="1"/>
  <c r="H480" i="7" s="1"/>
  <c r="H481" i="7" s="1"/>
  <c r="H482" i="7" s="1"/>
  <c r="H483" i="7" s="1"/>
  <c r="H484" i="7" s="1"/>
  <c r="H485" i="7" s="1"/>
  <c r="H486" i="7" s="1"/>
  <c r="H487" i="7" s="1"/>
  <c r="H488" i="7" s="1"/>
  <c r="H489" i="7" s="1"/>
  <c r="H490" i="7" s="1"/>
  <c r="H491" i="7" s="1"/>
  <c r="H492" i="7" s="1"/>
  <c r="H493" i="7" s="1"/>
  <c r="H494" i="7" s="1"/>
  <c r="H495" i="7" s="1"/>
  <c r="H496" i="7" s="1"/>
  <c r="H497" i="7" s="1"/>
  <c r="H498" i="7" s="1"/>
  <c r="H499" i="7" s="1"/>
  <c r="H500" i="7" s="1"/>
  <c r="H501" i="7" s="1"/>
  <c r="H502" i="7" s="1"/>
  <c r="H503" i="7" s="1"/>
  <c r="H504" i="7" s="1"/>
  <c r="H505" i="7" s="1"/>
  <c r="H506" i="7" s="1"/>
  <c r="H507" i="7" s="1"/>
  <c r="H508" i="7" s="1"/>
  <c r="H509" i="7" s="1"/>
  <c r="H510" i="7" s="1"/>
  <c r="H511" i="7" s="1"/>
  <c r="H512" i="7" s="1"/>
  <c r="H513" i="7" s="1"/>
  <c r="H514" i="7" s="1"/>
  <c r="H515" i="7" s="1"/>
  <c r="H516" i="7" s="1"/>
  <c r="H517" i="7" s="1"/>
  <c r="H518" i="7" s="1"/>
  <c r="H519" i="7" s="1"/>
  <c r="H520" i="7" s="1"/>
  <c r="H521" i="7" s="1"/>
  <c r="H522" i="7" s="1"/>
  <c r="H523" i="7" s="1"/>
  <c r="H524" i="7" s="1"/>
  <c r="H525" i="7" s="1"/>
  <c r="H526" i="7" s="1"/>
  <c r="H527" i="7" s="1"/>
  <c r="H528" i="7" s="1"/>
  <c r="H529" i="7" s="1"/>
  <c r="H530" i="7" s="1"/>
  <c r="H531" i="7" s="1"/>
  <c r="H532" i="7" s="1"/>
  <c r="H533" i="7" s="1"/>
  <c r="H534" i="7" s="1"/>
  <c r="H535" i="7" s="1"/>
  <c r="H536" i="7" s="1"/>
  <c r="H537" i="7" s="1"/>
  <c r="H538" i="7" s="1"/>
  <c r="H539" i="7" s="1"/>
  <c r="H540" i="7" s="1"/>
  <c r="H541" i="7" s="1"/>
  <c r="H542" i="7" s="1"/>
  <c r="H543" i="7" s="1"/>
  <c r="H544" i="7" s="1"/>
  <c r="H545" i="7" s="1"/>
  <c r="H546" i="7" s="1"/>
  <c r="H547" i="7" s="1"/>
  <c r="H548" i="7" s="1"/>
  <c r="H549" i="7" s="1"/>
  <c r="H550" i="7" s="1"/>
  <c r="H551" i="7" s="1"/>
  <c r="H552" i="7" s="1"/>
  <c r="H553" i="7" s="1"/>
  <c r="H554" i="7" s="1"/>
  <c r="H555" i="7" s="1"/>
  <c r="H556" i="7" s="1"/>
  <c r="H557" i="7" s="1"/>
  <c r="H558" i="7" s="1"/>
  <c r="H559" i="7" s="1"/>
  <c r="H560" i="7" s="1"/>
  <c r="H561" i="7" s="1"/>
  <c r="H562" i="7" s="1"/>
  <c r="H563" i="7" s="1"/>
  <c r="H564" i="7" s="1"/>
  <c r="H565" i="7" s="1"/>
  <c r="H566" i="7" s="1"/>
  <c r="H567" i="7" s="1"/>
  <c r="H568" i="7" s="1"/>
  <c r="H569" i="7" s="1"/>
  <c r="H570" i="7" s="1"/>
  <c r="H571" i="7" s="1"/>
  <c r="H572" i="7" s="1"/>
  <c r="H573" i="7" s="1"/>
  <c r="H574" i="7" s="1"/>
  <c r="H575" i="7" s="1"/>
  <c r="H576" i="7" s="1"/>
  <c r="H577" i="7" s="1"/>
  <c r="H578" i="7" s="1"/>
  <c r="H579" i="7" s="1"/>
  <c r="H580" i="7" s="1"/>
  <c r="H581" i="7" s="1"/>
  <c r="H582" i="7" s="1"/>
  <c r="H583" i="7" s="1"/>
  <c r="H584" i="7" s="1"/>
  <c r="H585" i="7" s="1"/>
  <c r="H586" i="7" s="1"/>
  <c r="H587" i="7" s="1"/>
  <c r="H588" i="7" s="1"/>
  <c r="H589" i="7" s="1"/>
  <c r="H590" i="7" s="1"/>
  <c r="H591" i="7" s="1"/>
  <c r="H592" i="7" s="1"/>
  <c r="H593" i="7" s="1"/>
  <c r="H594" i="7" s="1"/>
  <c r="H595" i="7" s="1"/>
  <c r="H596" i="7" s="1"/>
  <c r="H597" i="7" s="1"/>
  <c r="H598" i="7" s="1"/>
  <c r="H599" i="7" s="1"/>
  <c r="H600" i="7" s="1"/>
  <c r="H601" i="7" s="1"/>
  <c r="H602" i="7" s="1"/>
  <c r="H603" i="7" s="1"/>
  <c r="H604" i="7" s="1"/>
  <c r="H605" i="7" s="1"/>
  <c r="H606" i="7" s="1"/>
  <c r="H607" i="7" s="1"/>
  <c r="H608" i="7" s="1"/>
  <c r="H609" i="7" s="1"/>
  <c r="H610" i="7" s="1"/>
  <c r="H611" i="7" s="1"/>
  <c r="H612" i="7" s="1"/>
  <c r="H613" i="7" s="1"/>
  <c r="H614" i="7" s="1"/>
  <c r="H615" i="7" s="1"/>
  <c r="H616" i="7" s="1"/>
  <c r="H617" i="7" s="1"/>
  <c r="H618" i="7" s="1"/>
  <c r="H619" i="7" s="1"/>
  <c r="H620" i="7" s="1"/>
  <c r="H621" i="7" s="1"/>
  <c r="H622" i="7" s="1"/>
  <c r="H623" i="7" s="1"/>
  <c r="H624" i="7" s="1"/>
  <c r="H625" i="7" s="1"/>
  <c r="H626" i="7" s="1"/>
  <c r="H627" i="7" s="1"/>
  <c r="H628" i="7" s="1"/>
  <c r="H629" i="7" s="1"/>
  <c r="H630" i="7" s="1"/>
  <c r="H631" i="7" s="1"/>
  <c r="H632" i="7" s="1"/>
  <c r="H633" i="7" s="1"/>
  <c r="H634" i="7" s="1"/>
  <c r="H635" i="7" s="1"/>
  <c r="H636" i="7" s="1"/>
  <c r="H637" i="7" s="1"/>
  <c r="H638" i="7" s="1"/>
  <c r="H639" i="7" s="1"/>
  <c r="H640" i="7" s="1"/>
  <c r="H641" i="7" s="1"/>
  <c r="H642" i="7" s="1"/>
  <c r="H643" i="7" s="1"/>
  <c r="H644" i="7" s="1"/>
  <c r="H645" i="7" s="1"/>
  <c r="H646" i="7" s="1"/>
  <c r="H647" i="7" s="1"/>
  <c r="H648" i="7" s="1"/>
  <c r="H649" i="7" s="1"/>
  <c r="H650" i="7" s="1"/>
  <c r="H651" i="7" s="1"/>
  <c r="H652" i="7" s="1"/>
  <c r="H653" i="7" s="1"/>
  <c r="H654" i="7" s="1"/>
  <c r="H655" i="7" s="1"/>
  <c r="H656" i="7" s="1"/>
  <c r="H657" i="7" s="1"/>
  <c r="H658" i="7" s="1"/>
  <c r="H659" i="7" s="1"/>
  <c r="H660" i="7" s="1"/>
  <c r="H661" i="7" s="1"/>
  <c r="H662" i="7" s="1"/>
  <c r="H663" i="7" s="1"/>
  <c r="H664" i="7" s="1"/>
  <c r="H665" i="7" s="1"/>
  <c r="H666" i="7" s="1"/>
  <c r="H667" i="7" s="1"/>
  <c r="H668" i="7" s="1"/>
  <c r="H669" i="7" s="1"/>
  <c r="H670" i="7" s="1"/>
  <c r="H671" i="7" s="1"/>
  <c r="H672" i="7" s="1"/>
  <c r="H673" i="7" s="1"/>
  <c r="H674" i="7" s="1"/>
  <c r="H675" i="7" s="1"/>
  <c r="H676" i="7" s="1"/>
  <c r="H677" i="7" s="1"/>
  <c r="H678" i="7" s="1"/>
  <c r="H679" i="7" s="1"/>
  <c r="H680" i="7" s="1"/>
  <c r="H681" i="7" s="1"/>
  <c r="H682" i="7" s="1"/>
  <c r="H683" i="7" s="1"/>
  <c r="H684" i="7" s="1"/>
  <c r="H685" i="7" s="1"/>
  <c r="H686" i="7" s="1"/>
  <c r="H687" i="7" s="1"/>
  <c r="H688" i="7" s="1"/>
  <c r="H689" i="7" s="1"/>
  <c r="H690" i="7" s="1"/>
  <c r="H691" i="7" s="1"/>
  <c r="H692" i="7" s="1"/>
  <c r="H693" i="7" s="1"/>
  <c r="H694" i="7" s="1"/>
  <c r="H695" i="7" s="1"/>
  <c r="H696" i="7" s="1"/>
  <c r="H697" i="7" s="1"/>
  <c r="H698" i="7" s="1"/>
  <c r="H699" i="7" s="1"/>
  <c r="H700" i="7" s="1"/>
  <c r="H701" i="7" s="1"/>
  <c r="H702" i="7" s="1"/>
  <c r="H703" i="7" s="1"/>
  <c r="H704" i="7" s="1"/>
  <c r="H705" i="7" s="1"/>
  <c r="H706" i="7" s="1"/>
  <c r="H707" i="7" s="1"/>
  <c r="H708" i="7" s="1"/>
  <c r="H709" i="7" s="1"/>
  <c r="H710" i="7" s="1"/>
  <c r="H711" i="7" s="1"/>
  <c r="H712" i="7" s="1"/>
  <c r="H713" i="7" s="1"/>
  <c r="H714" i="7" s="1"/>
  <c r="H715" i="7" s="1"/>
  <c r="H716" i="7" s="1"/>
  <c r="H717" i="7" s="1"/>
  <c r="H718" i="7" s="1"/>
  <c r="H719" i="7" s="1"/>
  <c r="H720" i="7" s="1"/>
  <c r="H721" i="7" s="1"/>
  <c r="H722" i="7" s="1"/>
  <c r="H723" i="7" s="1"/>
  <c r="H724" i="7" s="1"/>
  <c r="H725" i="7" s="1"/>
  <c r="H726" i="7" s="1"/>
  <c r="H727" i="7" s="1"/>
  <c r="H728" i="7" s="1"/>
  <c r="H729" i="7" s="1"/>
  <c r="H730" i="7" s="1"/>
  <c r="H731" i="7" s="1"/>
  <c r="H732" i="7" s="1"/>
  <c r="H733" i="7" s="1"/>
  <c r="H734" i="7" s="1"/>
  <c r="H735" i="7" s="1"/>
  <c r="H736" i="7" s="1"/>
  <c r="H737" i="7" s="1"/>
  <c r="H738" i="7" s="1"/>
  <c r="H739" i="7" s="1"/>
  <c r="H740" i="7" s="1"/>
  <c r="H741" i="7" s="1"/>
  <c r="H742" i="7" s="1"/>
  <c r="H743" i="7" s="1"/>
  <c r="H744" i="7" s="1"/>
  <c r="H745" i="7" s="1"/>
  <c r="H746" i="7" s="1"/>
  <c r="H747" i="7" s="1"/>
  <c r="H748" i="7" s="1"/>
  <c r="H749" i="7" s="1"/>
  <c r="H750" i="7" s="1"/>
  <c r="H751" i="7" s="1"/>
  <c r="H752" i="7" s="1"/>
  <c r="H753" i="7" s="1"/>
  <c r="H754" i="7" s="1"/>
  <c r="H755" i="7" s="1"/>
  <c r="H756" i="7" s="1"/>
  <c r="H757" i="7" s="1"/>
  <c r="H758" i="7" s="1"/>
  <c r="H759" i="7" s="1"/>
  <c r="H760" i="7" s="1"/>
  <c r="H761" i="7" s="1"/>
  <c r="H762" i="7" s="1"/>
  <c r="H763" i="7" s="1"/>
  <c r="H764" i="7" s="1"/>
  <c r="H765" i="7" s="1"/>
  <c r="H766" i="7" s="1"/>
  <c r="H767" i="7" s="1"/>
  <c r="H768" i="7" s="1"/>
  <c r="H769" i="7" s="1"/>
  <c r="H770" i="7" s="1"/>
  <c r="H771" i="7" s="1"/>
  <c r="H772" i="7" s="1"/>
  <c r="H773" i="7" s="1"/>
  <c r="H774" i="7" s="1"/>
  <c r="H775" i="7" s="1"/>
  <c r="H776" i="7" s="1"/>
  <c r="H777" i="7" s="1"/>
  <c r="H778" i="7" s="1"/>
  <c r="H779" i="7" s="1"/>
  <c r="H780" i="7" s="1"/>
  <c r="H781" i="7" s="1"/>
  <c r="H782" i="7" s="1"/>
  <c r="H783" i="7" s="1"/>
  <c r="H784" i="7" s="1"/>
  <c r="H785" i="7" s="1"/>
  <c r="H786" i="7" s="1"/>
  <c r="H787" i="7" s="1"/>
  <c r="H788" i="7" s="1"/>
  <c r="H789" i="7" s="1"/>
  <c r="H790" i="7" s="1"/>
  <c r="H791" i="7" s="1"/>
  <c r="H792" i="7" s="1"/>
  <c r="H793" i="7" s="1"/>
  <c r="H794" i="7" s="1"/>
  <c r="H795" i="7" s="1"/>
  <c r="H796" i="7" s="1"/>
  <c r="H797" i="7" s="1"/>
  <c r="H798" i="7" s="1"/>
  <c r="H799" i="7" s="1"/>
  <c r="H800" i="7" s="1"/>
  <c r="H801" i="7" s="1"/>
  <c r="H802" i="7" s="1"/>
  <c r="H803" i="7" s="1"/>
  <c r="H804" i="7" s="1"/>
  <c r="H805" i="7" s="1"/>
  <c r="H806" i="7" s="1"/>
  <c r="H807" i="7" s="1"/>
  <c r="H808" i="7" s="1"/>
  <c r="H809" i="7" s="1"/>
  <c r="H810" i="7" s="1"/>
  <c r="H811" i="7" s="1"/>
  <c r="H812" i="7" s="1"/>
  <c r="H813" i="7" s="1"/>
  <c r="H814" i="7" s="1"/>
  <c r="H815" i="7" s="1"/>
  <c r="H816" i="7" s="1"/>
  <c r="H817" i="7" s="1"/>
  <c r="H818" i="7" s="1"/>
  <c r="H819" i="7" s="1"/>
  <c r="H820" i="7" s="1"/>
  <c r="H821" i="7" s="1"/>
  <c r="H822" i="7" s="1"/>
  <c r="H823" i="7" s="1"/>
  <c r="H824" i="7" s="1"/>
  <c r="H825" i="7" s="1"/>
  <c r="H826" i="7" s="1"/>
  <c r="H827" i="7" s="1"/>
  <c r="H828" i="7" s="1"/>
  <c r="H829" i="7" s="1"/>
  <c r="H830" i="7" s="1"/>
  <c r="H831" i="7" s="1"/>
  <c r="H832" i="7" s="1"/>
  <c r="H833" i="7" s="1"/>
  <c r="H834" i="7" s="1"/>
  <c r="H835" i="7" s="1"/>
  <c r="H836" i="7" s="1"/>
  <c r="H837" i="7" s="1"/>
  <c r="H838" i="7" s="1"/>
  <c r="H839" i="7" s="1"/>
  <c r="H840" i="7" s="1"/>
  <c r="H841" i="7" s="1"/>
  <c r="H842" i="7" s="1"/>
  <c r="H843" i="7" s="1"/>
  <c r="H844" i="7" s="1"/>
  <c r="H845" i="7" s="1"/>
  <c r="H846" i="7" s="1"/>
  <c r="H847" i="7" s="1"/>
  <c r="H848" i="7" s="1"/>
  <c r="H849" i="7" s="1"/>
  <c r="H850" i="7" s="1"/>
  <c r="H851" i="7" s="1"/>
  <c r="H852" i="7" s="1"/>
  <c r="H853" i="7" s="1"/>
  <c r="H854" i="7" s="1"/>
  <c r="H855" i="7" s="1"/>
  <c r="H856" i="7" s="1"/>
  <c r="H857" i="7" s="1"/>
  <c r="H858" i="7" s="1"/>
  <c r="H859" i="7" s="1"/>
  <c r="H860" i="7" s="1"/>
  <c r="H861" i="7" s="1"/>
  <c r="H862" i="7" s="1"/>
  <c r="H863" i="7" s="1"/>
  <c r="H864" i="7" s="1"/>
  <c r="H865" i="7" s="1"/>
  <c r="H866" i="7" s="1"/>
  <c r="H867" i="7" s="1"/>
  <c r="H868" i="7" s="1"/>
  <c r="H869" i="7" s="1"/>
  <c r="H870" i="7" s="1"/>
  <c r="H871" i="7" s="1"/>
  <c r="H872" i="7" s="1"/>
  <c r="H873" i="7" s="1"/>
  <c r="H874" i="7" s="1"/>
  <c r="H875" i="7" s="1"/>
  <c r="H876" i="7" s="1"/>
  <c r="H877" i="7" s="1"/>
  <c r="H878" i="7" s="1"/>
  <c r="H879" i="7" s="1"/>
  <c r="H880" i="7" s="1"/>
  <c r="H881" i="7" s="1"/>
  <c r="H882" i="7" s="1"/>
  <c r="H883" i="7" s="1"/>
  <c r="H884" i="7" s="1"/>
  <c r="H885" i="7" s="1"/>
  <c r="H886" i="7" s="1"/>
  <c r="H887" i="7" s="1"/>
  <c r="H888" i="7" s="1"/>
  <c r="H889" i="7" s="1"/>
  <c r="H890" i="7" s="1"/>
  <c r="H891" i="7" s="1"/>
  <c r="H892" i="7" s="1"/>
  <c r="H893" i="7" s="1"/>
  <c r="H894" i="7" s="1"/>
  <c r="H895" i="7" s="1"/>
  <c r="H896" i="7" s="1"/>
  <c r="H897" i="7" s="1"/>
  <c r="H898" i="7" s="1"/>
  <c r="H899" i="7" s="1"/>
  <c r="H900" i="7" s="1"/>
  <c r="H901" i="7" s="1"/>
  <c r="H902" i="7" s="1"/>
  <c r="H903" i="7" s="1"/>
  <c r="H904" i="7" s="1"/>
  <c r="H905" i="7" s="1"/>
  <c r="H906" i="7" s="1"/>
  <c r="H907" i="7" s="1"/>
  <c r="H908" i="7" s="1"/>
  <c r="H909" i="7" s="1"/>
  <c r="H910" i="7" s="1"/>
  <c r="H911" i="7" s="1"/>
  <c r="H912" i="7" s="1"/>
  <c r="H913" i="7" s="1"/>
  <c r="H914" i="7" s="1"/>
  <c r="H915" i="7" s="1"/>
  <c r="H916" i="7" s="1"/>
  <c r="H917" i="7" s="1"/>
  <c r="H918" i="7" s="1"/>
  <c r="H919" i="7" s="1"/>
  <c r="H920" i="7" s="1"/>
  <c r="H921" i="7" s="1"/>
  <c r="H922" i="7" s="1"/>
  <c r="H923" i="7" s="1"/>
  <c r="H924" i="7" s="1"/>
  <c r="H925" i="7" s="1"/>
  <c r="H926" i="7" s="1"/>
  <c r="H927" i="7" s="1"/>
  <c r="H928" i="7" s="1"/>
  <c r="H929" i="7" s="1"/>
  <c r="H930" i="7" s="1"/>
  <c r="H931" i="7" s="1"/>
  <c r="H932" i="7" s="1"/>
  <c r="H933" i="7" s="1"/>
  <c r="H934" i="7" s="1"/>
  <c r="H935" i="7" s="1"/>
  <c r="H936" i="7" s="1"/>
  <c r="H937" i="7" s="1"/>
  <c r="H938" i="7" s="1"/>
  <c r="H939" i="7" s="1"/>
  <c r="H940" i="7" s="1"/>
  <c r="H941" i="7" s="1"/>
  <c r="H942" i="7" s="1"/>
  <c r="H943" i="7" s="1"/>
  <c r="H944" i="7" s="1"/>
  <c r="H945" i="7" s="1"/>
  <c r="H946" i="7" s="1"/>
  <c r="H947" i="7" s="1"/>
  <c r="H948" i="7" s="1"/>
  <c r="H949" i="7" s="1"/>
  <c r="H950" i="7" s="1"/>
  <c r="H951" i="7" s="1"/>
  <c r="H952" i="7" s="1"/>
  <c r="H953" i="7" s="1"/>
  <c r="H954" i="7" s="1"/>
  <c r="H955" i="7" s="1"/>
  <c r="H956" i="7" s="1"/>
  <c r="H957" i="7" s="1"/>
  <c r="H958" i="7" s="1"/>
  <c r="H959" i="7" s="1"/>
  <c r="H960" i="7" s="1"/>
  <c r="H961" i="7" s="1"/>
  <c r="H962" i="7" s="1"/>
  <c r="H963" i="7" s="1"/>
  <c r="H964" i="7" s="1"/>
  <c r="H965" i="7" s="1"/>
  <c r="H966" i="7" s="1"/>
  <c r="H967" i="7" s="1"/>
  <c r="H968" i="7" s="1"/>
  <c r="H969" i="7" s="1"/>
  <c r="H970" i="7" s="1"/>
  <c r="H971" i="7" s="1"/>
  <c r="H972" i="7" s="1"/>
  <c r="H973" i="7" s="1"/>
  <c r="H974" i="7" s="1"/>
  <c r="H975" i="7" s="1"/>
  <c r="H976" i="7" s="1"/>
  <c r="H977" i="7" s="1"/>
  <c r="H978" i="7" s="1"/>
  <c r="H979" i="7" s="1"/>
  <c r="H980" i="7" s="1"/>
  <c r="H981" i="7" s="1"/>
  <c r="H982" i="7" s="1"/>
  <c r="H983" i="7" s="1"/>
  <c r="H984" i="7" s="1"/>
  <c r="H985" i="7" s="1"/>
  <c r="H986" i="7" s="1"/>
  <c r="H987" i="7" s="1"/>
  <c r="H988" i="7" s="1"/>
  <c r="H989" i="7" s="1"/>
  <c r="H990" i="7" s="1"/>
  <c r="H991" i="7" s="1"/>
  <c r="H992" i="7" s="1"/>
  <c r="H993" i="7" s="1"/>
  <c r="H994" i="7" s="1"/>
  <c r="H995" i="7" s="1"/>
  <c r="H996" i="7" s="1"/>
  <c r="H997" i="7" s="1"/>
  <c r="H998" i="7" s="1"/>
  <c r="H999" i="7" s="1"/>
  <c r="H1000" i="7" s="1"/>
  <c r="H1001" i="7" s="1"/>
  <c r="H1002" i="7" s="1"/>
  <c r="H1003" i="7" s="1"/>
  <c r="H1004" i="7" s="1"/>
  <c r="H1005" i="7" s="1"/>
  <c r="H1006" i="7" s="1"/>
  <c r="H1007" i="7" s="1"/>
  <c r="H1008" i="7" s="1"/>
  <c r="H1009" i="7" s="1"/>
  <c r="H1010" i="7" s="1"/>
  <c r="H1011" i="7" s="1"/>
  <c r="H1012" i="7" s="1"/>
  <c r="H1013" i="7" s="1"/>
  <c r="H1014" i="7" s="1"/>
  <c r="H1015" i="7" s="1"/>
  <c r="H1016" i="7" s="1"/>
  <c r="H1017" i="7" s="1"/>
  <c r="H1018" i="7" s="1"/>
  <c r="H1019" i="7" s="1"/>
  <c r="H1020" i="7" s="1"/>
  <c r="H1021" i="7" s="1"/>
  <c r="H1022" i="7" s="1"/>
  <c r="H1023" i="7" s="1"/>
  <c r="H1024" i="7" s="1"/>
  <c r="H1025" i="7" s="1"/>
  <c r="H1026" i="7" s="1"/>
  <c r="H1027" i="7" s="1"/>
  <c r="H1028" i="7" s="1"/>
  <c r="H1029" i="7" s="1"/>
  <c r="H1030" i="7" s="1"/>
  <c r="H1031" i="7" s="1"/>
  <c r="H1032" i="7" s="1"/>
  <c r="H1033" i="7" s="1"/>
  <c r="H1034" i="7" s="1"/>
  <c r="H1035" i="7" s="1"/>
  <c r="H1036" i="7" s="1"/>
  <c r="H1037" i="7" s="1"/>
  <c r="H1038" i="7" s="1"/>
  <c r="H1039" i="7" s="1"/>
  <c r="H1040" i="7" s="1"/>
  <c r="H1041" i="7" s="1"/>
  <c r="H1042" i="7" s="1"/>
  <c r="H1043" i="7" s="1"/>
  <c r="H1044" i="7" s="1"/>
  <c r="H1045" i="7" s="1"/>
  <c r="H1046" i="7" s="1"/>
  <c r="H1047" i="7" s="1"/>
  <c r="H1048" i="7" s="1"/>
  <c r="H1049" i="7" s="1"/>
  <c r="H1050" i="7" s="1"/>
  <c r="H1051" i="7" s="1"/>
  <c r="H1052" i="7" s="1"/>
  <c r="H1053" i="7" s="1"/>
  <c r="H1054" i="7" s="1"/>
  <c r="H1055" i="7" s="1"/>
  <c r="H1056" i="7" s="1"/>
  <c r="H1057" i="7" s="1"/>
  <c r="H1058" i="7" s="1"/>
  <c r="H1059" i="7" s="1"/>
  <c r="H1060" i="7" s="1"/>
  <c r="H1061" i="7" s="1"/>
  <c r="H1062" i="7" s="1"/>
  <c r="H1063" i="7" s="1"/>
  <c r="H1064" i="7" s="1"/>
  <c r="H1065" i="7" s="1"/>
  <c r="H1066" i="7" s="1"/>
  <c r="H1067" i="7" s="1"/>
  <c r="H1068" i="7" s="1"/>
  <c r="H1069" i="7" s="1"/>
  <c r="H1070" i="7" s="1"/>
  <c r="H1071" i="7" s="1"/>
  <c r="H1072" i="7" s="1"/>
  <c r="H1073" i="7" s="1"/>
  <c r="H1074" i="7" s="1"/>
  <c r="H1075" i="7" s="1"/>
  <c r="H1076" i="7" s="1"/>
  <c r="H1077" i="7" s="1"/>
  <c r="H1078" i="7" s="1"/>
  <c r="H1079" i="7" s="1"/>
  <c r="H1080" i="7" s="1"/>
  <c r="H1081" i="7" s="1"/>
  <c r="H1082" i="7" s="1"/>
  <c r="H1083" i="7" s="1"/>
  <c r="H1084" i="7" s="1"/>
  <c r="H1085" i="7" s="1"/>
  <c r="H1086" i="7" s="1"/>
  <c r="H1087" i="7" s="1"/>
  <c r="H1088" i="7" s="1"/>
  <c r="H1089" i="7" s="1"/>
  <c r="H1090" i="7" s="1"/>
  <c r="H1091" i="7" s="1"/>
  <c r="H1092" i="7" s="1"/>
  <c r="H1093" i="7" s="1"/>
  <c r="H1094" i="7" s="1"/>
  <c r="H1095" i="7" s="1"/>
  <c r="H1096" i="7" s="1"/>
  <c r="H1097" i="7" s="1"/>
  <c r="H1098" i="7" s="1"/>
  <c r="H1099" i="7" s="1"/>
  <c r="H1100" i="7" s="1"/>
  <c r="H1101" i="7" s="1"/>
  <c r="H1102" i="7" s="1"/>
  <c r="H1103" i="7" s="1"/>
  <c r="H1104" i="7" s="1"/>
  <c r="H1105" i="7" s="1"/>
  <c r="H1106" i="7" s="1"/>
  <c r="H1107" i="7" s="1"/>
  <c r="H1108" i="7" s="1"/>
  <c r="H1109" i="7" s="1"/>
  <c r="H1110" i="7" s="1"/>
  <c r="H1111" i="7" s="1"/>
  <c r="H1112" i="7" s="1"/>
  <c r="H1113" i="7" s="1"/>
  <c r="H1114" i="7" s="1"/>
  <c r="H1115" i="7" s="1"/>
  <c r="H1116" i="7" s="1"/>
  <c r="H1117" i="7" s="1"/>
  <c r="H1118" i="7" s="1"/>
  <c r="H1119" i="7" s="1"/>
  <c r="H1120" i="7" s="1"/>
  <c r="H1121" i="7" s="1"/>
  <c r="H1122" i="7" s="1"/>
  <c r="H1123" i="7" s="1"/>
  <c r="H1124" i="7" s="1"/>
  <c r="H1125" i="7" s="1"/>
  <c r="H1126" i="7" s="1"/>
  <c r="H1127" i="7" s="1"/>
  <c r="H1128" i="7" s="1"/>
  <c r="H1129" i="7" s="1"/>
  <c r="H1130" i="7" s="1"/>
  <c r="H1131" i="7" s="1"/>
  <c r="H1132" i="7" s="1"/>
  <c r="H1133" i="7" s="1"/>
  <c r="H1134" i="7" s="1"/>
  <c r="H1135" i="7" s="1"/>
  <c r="H1136" i="7" s="1"/>
  <c r="H1137" i="7" s="1"/>
  <c r="H1138" i="7" s="1"/>
  <c r="H1139" i="7" s="1"/>
  <c r="H1140" i="7" s="1"/>
  <c r="H1141" i="7" s="1"/>
  <c r="H1142" i="7" s="1"/>
  <c r="H1143" i="7" s="1"/>
  <c r="H1144" i="7" s="1"/>
  <c r="H1145" i="7" s="1"/>
  <c r="H1146" i="7" s="1"/>
  <c r="H1147" i="7" s="1"/>
  <c r="H1148" i="7" s="1"/>
  <c r="H1149" i="7" s="1"/>
  <c r="H1150" i="7" s="1"/>
  <c r="H1151" i="7" s="1"/>
  <c r="H1152" i="7" s="1"/>
  <c r="H1153" i="7" s="1"/>
  <c r="H1154" i="7" s="1"/>
  <c r="H1155" i="7" s="1"/>
  <c r="H1156" i="7" s="1"/>
  <c r="H1157" i="7" s="1"/>
  <c r="H1158" i="7" s="1"/>
  <c r="H1159" i="7" s="1"/>
  <c r="H1160" i="7" s="1"/>
  <c r="H1161" i="7" s="1"/>
  <c r="H1162" i="7" s="1"/>
  <c r="H1163" i="7" s="1"/>
  <c r="H1164" i="7" s="1"/>
  <c r="H1165" i="7" s="1"/>
  <c r="H1166" i="7" s="1"/>
  <c r="H1167" i="7" s="1"/>
  <c r="H1168" i="7" s="1"/>
  <c r="H1169" i="7" s="1"/>
  <c r="H1170" i="7" s="1"/>
  <c r="H1171" i="7" s="1"/>
  <c r="H1172" i="7" s="1"/>
  <c r="H1173" i="7" s="1"/>
  <c r="H1174" i="7" s="1"/>
  <c r="H1175" i="7" s="1"/>
  <c r="H1176" i="7" s="1"/>
  <c r="H1177" i="7" s="1"/>
  <c r="H1178" i="7" s="1"/>
  <c r="H1179" i="7" s="1"/>
  <c r="H1180" i="7" s="1"/>
  <c r="H1181" i="7" s="1"/>
  <c r="H1182" i="7" s="1"/>
  <c r="H1183" i="7" s="1"/>
  <c r="H1184" i="7" s="1"/>
  <c r="H1185" i="7" s="1"/>
  <c r="H1186" i="7" s="1"/>
  <c r="H1187" i="7" s="1"/>
  <c r="H1188" i="7" s="1"/>
  <c r="H1189" i="7" s="1"/>
  <c r="H1190" i="7" s="1"/>
  <c r="H1191" i="7" s="1"/>
  <c r="H1192" i="7" s="1"/>
  <c r="H1193" i="7" s="1"/>
  <c r="H1194" i="7" s="1"/>
  <c r="H1195" i="7" s="1"/>
  <c r="H1196" i="7" s="1"/>
  <c r="H1197" i="7" s="1"/>
  <c r="H1198" i="7" s="1"/>
  <c r="H1199" i="7" s="1"/>
  <c r="H1200" i="7" s="1"/>
  <c r="H1201" i="7" s="1"/>
  <c r="H1202" i="7" s="1"/>
  <c r="H1203" i="7" s="1"/>
  <c r="H1204" i="7" s="1"/>
  <c r="H1205" i="7" s="1"/>
  <c r="H1206" i="7" s="1"/>
  <c r="H1207" i="7" s="1"/>
  <c r="H1208" i="7" s="1"/>
  <c r="H1209" i="7" s="1"/>
  <c r="H1210" i="7" s="1"/>
  <c r="H1211" i="7" s="1"/>
  <c r="H1212" i="7" s="1"/>
  <c r="H1213" i="7" s="1"/>
  <c r="H1214" i="7" s="1"/>
  <c r="H1215" i="7" s="1"/>
  <c r="H1216" i="7" s="1"/>
  <c r="H1217" i="7" s="1"/>
  <c r="H1218" i="7" s="1"/>
  <c r="H1219" i="7" s="1"/>
  <c r="H1220" i="7" s="1"/>
  <c r="H1221" i="7" s="1"/>
  <c r="H1222" i="7" s="1"/>
  <c r="H1223" i="7" s="1"/>
  <c r="H1224" i="7" s="1"/>
  <c r="H1225" i="7" s="1"/>
  <c r="H1226" i="7" s="1"/>
  <c r="H1227" i="7" s="1"/>
  <c r="H1228" i="7" s="1"/>
  <c r="H1229" i="7" s="1"/>
  <c r="H1230" i="7" s="1"/>
  <c r="H1231" i="7" s="1"/>
  <c r="H1232" i="7" s="1"/>
  <c r="H1233" i="7" s="1"/>
  <c r="H1234" i="7" s="1"/>
  <c r="H1235" i="7" s="1"/>
  <c r="H1236" i="7" s="1"/>
  <c r="H1237" i="7" s="1"/>
  <c r="H1238" i="7" s="1"/>
  <c r="H1239" i="7" s="1"/>
  <c r="H1240" i="7" s="1"/>
  <c r="H1241" i="7" s="1"/>
  <c r="H1242" i="7" s="1"/>
  <c r="H1243" i="7" s="1"/>
  <c r="H1244" i="7" s="1"/>
  <c r="H1245" i="7" s="1"/>
  <c r="H1246" i="7" s="1"/>
  <c r="H1247" i="7" s="1"/>
  <c r="H1248" i="7" s="1"/>
  <c r="H1249" i="7" s="1"/>
  <c r="H1250" i="7" s="1"/>
  <c r="H1251" i="7" s="1"/>
  <c r="H1252" i="7" s="1"/>
  <c r="H1253" i="7" s="1"/>
  <c r="H1254" i="7" s="1"/>
  <c r="H1255" i="7" s="1"/>
  <c r="H1256" i="7" s="1"/>
  <c r="H1257" i="7" s="1"/>
  <c r="H1258" i="7" s="1"/>
  <c r="H1259" i="7" s="1"/>
  <c r="H1260" i="7" s="1"/>
  <c r="H1261" i="7" s="1"/>
  <c r="H1262" i="7" s="1"/>
  <c r="H1263" i="7" s="1"/>
  <c r="H1264" i="7" s="1"/>
  <c r="H1265" i="7" s="1"/>
  <c r="H1266" i="7" s="1"/>
  <c r="H1267" i="7" s="1"/>
  <c r="H1268" i="7" s="1"/>
  <c r="H1269" i="7" s="1"/>
  <c r="H1270" i="7" s="1"/>
  <c r="H1271" i="7" s="1"/>
  <c r="H1272" i="7" s="1"/>
  <c r="H1273" i="7" s="1"/>
  <c r="H1274" i="7" s="1"/>
  <c r="H1275" i="7" s="1"/>
  <c r="H1276" i="7" s="1"/>
  <c r="H1277" i="7" s="1"/>
  <c r="H1278" i="7" s="1"/>
  <c r="H1279" i="7" s="1"/>
  <c r="H1280" i="7" s="1"/>
  <c r="H1281" i="7" s="1"/>
  <c r="H1282" i="7" s="1"/>
  <c r="H1283" i="7" s="1"/>
  <c r="H1284" i="7" s="1"/>
  <c r="H1285" i="7" s="1"/>
  <c r="H1286" i="7" s="1"/>
  <c r="H1287" i="7" s="1"/>
  <c r="H1288" i="7" s="1"/>
  <c r="H1289" i="7" s="1"/>
  <c r="H1290" i="7" s="1"/>
  <c r="H1291" i="7" s="1"/>
  <c r="H1292" i="7" s="1"/>
  <c r="H1293" i="7" s="1"/>
  <c r="H1294" i="7" s="1"/>
  <c r="H1295" i="7" s="1"/>
  <c r="H1296" i="7" s="1"/>
  <c r="H1297" i="7" s="1"/>
  <c r="H1298" i="7" s="1"/>
  <c r="H1299" i="7" s="1"/>
  <c r="H1300" i="7" s="1"/>
  <c r="H1301" i="7" s="1"/>
  <c r="H1302" i="7" s="1"/>
  <c r="H1303" i="7" s="1"/>
  <c r="H1304" i="7" s="1"/>
  <c r="H1305" i="7" s="1"/>
  <c r="H1306" i="7" s="1"/>
  <c r="H1307" i="7" s="1"/>
  <c r="H1308" i="7" s="1"/>
  <c r="H1309" i="7" s="1"/>
  <c r="H1310" i="7" s="1"/>
  <c r="H1311" i="7" s="1"/>
  <c r="H1312" i="7" s="1"/>
  <c r="H1313" i="7" s="1"/>
  <c r="H1314" i="7" s="1"/>
  <c r="H1315" i="7" s="1"/>
  <c r="H1316" i="7" s="1"/>
  <c r="H1317" i="7" s="1"/>
  <c r="H1318" i="7" s="1"/>
  <c r="H1319" i="7" s="1"/>
  <c r="H1320" i="7" s="1"/>
  <c r="H1321" i="7" s="1"/>
  <c r="H1322" i="7" s="1"/>
  <c r="H1323" i="7" s="1"/>
  <c r="H1324" i="7" s="1"/>
  <c r="H1325" i="7" s="1"/>
  <c r="H1326" i="7" s="1"/>
  <c r="H1327" i="7" s="1"/>
  <c r="H1328" i="7" s="1"/>
  <c r="H1329" i="7" s="1"/>
  <c r="H1330" i="7" s="1"/>
  <c r="H1331" i="7" s="1"/>
  <c r="H1332" i="7" s="1"/>
  <c r="H1333" i="7" s="1"/>
  <c r="H1334" i="7" s="1"/>
  <c r="H1335" i="7" s="1"/>
  <c r="H1336" i="7" s="1"/>
  <c r="H1337" i="7" s="1"/>
  <c r="H1338" i="7" s="1"/>
  <c r="H1339" i="7" s="1"/>
  <c r="H1340" i="7" s="1"/>
  <c r="H1341" i="7" s="1"/>
  <c r="H1342" i="7" s="1"/>
  <c r="H1343" i="7" s="1"/>
  <c r="H1344" i="7" s="1"/>
  <c r="H1345" i="7" s="1"/>
  <c r="H1346" i="7" s="1"/>
  <c r="H1347" i="7" s="1"/>
  <c r="H1348" i="7" s="1"/>
  <c r="H1349" i="7" s="1"/>
  <c r="H1350" i="7" s="1"/>
  <c r="H1351" i="7" s="1"/>
  <c r="H1352" i="7" s="1"/>
  <c r="H1353" i="7" s="1"/>
  <c r="H1354" i="7" s="1"/>
  <c r="H1355" i="7" s="1"/>
  <c r="H1356" i="7" s="1"/>
  <c r="H1357" i="7" s="1"/>
  <c r="H1358" i="7" s="1"/>
  <c r="H1359" i="7" s="1"/>
  <c r="H1360" i="7" s="1"/>
  <c r="H1361" i="7" s="1"/>
  <c r="H1362" i="7" s="1"/>
  <c r="H1363" i="7" s="1"/>
  <c r="H1364" i="7" s="1"/>
  <c r="H1365" i="7" s="1"/>
  <c r="H1366" i="7" s="1"/>
  <c r="H1367" i="7" s="1"/>
  <c r="H1368" i="7" s="1"/>
  <c r="H1369" i="7" s="1"/>
  <c r="H1370" i="7" s="1"/>
  <c r="H1371" i="7" s="1"/>
  <c r="H1372" i="7" s="1"/>
  <c r="H1373" i="7" s="1"/>
  <c r="H1374" i="7" s="1"/>
  <c r="H1375" i="7" s="1"/>
  <c r="H1376" i="7" s="1"/>
  <c r="H1377" i="7" s="1"/>
  <c r="H1378" i="7" s="1"/>
  <c r="H1379" i="7" s="1"/>
  <c r="H1380" i="7" s="1"/>
  <c r="H1381" i="7" s="1"/>
  <c r="H1382" i="7" s="1"/>
  <c r="H1383" i="7" s="1"/>
  <c r="H1384" i="7" s="1"/>
  <c r="H1385" i="7" s="1"/>
  <c r="H1386" i="7" s="1"/>
  <c r="H1387" i="7" s="1"/>
  <c r="H1388" i="7" s="1"/>
  <c r="H1389" i="7" s="1"/>
  <c r="H1390" i="7" s="1"/>
  <c r="H1391" i="7" s="1"/>
  <c r="H1392" i="7" s="1"/>
  <c r="H1393" i="7" s="1"/>
  <c r="H1394" i="7" s="1"/>
  <c r="H1395" i="7" s="1"/>
  <c r="H1396" i="7" s="1"/>
  <c r="H1397" i="7" s="1"/>
  <c r="H1398" i="7" s="1"/>
  <c r="H1399" i="7" s="1"/>
  <c r="H1400" i="7" s="1"/>
  <c r="H1401" i="7" s="1"/>
  <c r="H1402" i="7" s="1"/>
  <c r="H1403" i="7" s="1"/>
  <c r="H1404" i="7" s="1"/>
  <c r="H1405" i="7" s="1"/>
  <c r="H1406" i="7" s="1"/>
  <c r="H1407" i="7" s="1"/>
  <c r="H1408" i="7" s="1"/>
  <c r="H1409" i="7" s="1"/>
  <c r="H1410" i="7" s="1"/>
  <c r="H1411" i="7" s="1"/>
  <c r="H1412" i="7" s="1"/>
  <c r="H1413" i="7" s="1"/>
  <c r="H1414" i="7" s="1"/>
  <c r="H1415" i="7" s="1"/>
  <c r="H1416" i="7" s="1"/>
  <c r="H1417" i="7" s="1"/>
  <c r="H1418" i="7" s="1"/>
  <c r="H1419" i="7" s="1"/>
  <c r="H1420" i="7" s="1"/>
  <c r="H1421" i="7" s="1"/>
  <c r="H1422" i="7" s="1"/>
  <c r="H1423" i="7" s="1"/>
  <c r="H1424" i="7" s="1"/>
  <c r="H1425" i="7" s="1"/>
  <c r="H1426" i="7" s="1"/>
  <c r="H1427" i="7" s="1"/>
  <c r="H1428" i="7" s="1"/>
  <c r="H1429" i="7" s="1"/>
  <c r="H1430" i="7" s="1"/>
  <c r="H1431" i="7" s="1"/>
  <c r="H1432" i="7" s="1"/>
  <c r="H1433" i="7" s="1"/>
  <c r="H1434" i="7" s="1"/>
  <c r="H1435" i="7" s="1"/>
  <c r="H1436" i="7" s="1"/>
  <c r="H1437" i="7" s="1"/>
  <c r="H1438" i="7" s="1"/>
  <c r="H1439" i="7" s="1"/>
  <c r="H1440" i="7" s="1"/>
  <c r="H1441" i="7" s="1"/>
  <c r="H1442" i="7" s="1"/>
  <c r="H1443" i="7" s="1"/>
  <c r="H1444" i="7" s="1"/>
  <c r="H1445" i="7" s="1"/>
  <c r="H1446" i="7" s="1"/>
  <c r="H1447" i="7" s="1"/>
  <c r="H1448" i="7" s="1"/>
  <c r="H1449" i="7" s="1"/>
  <c r="H1450" i="7" s="1"/>
  <c r="H1451" i="7" s="1"/>
  <c r="H1452" i="7" s="1"/>
  <c r="H1453" i="7" s="1"/>
  <c r="H1454" i="7" s="1"/>
  <c r="H1455" i="7" s="1"/>
  <c r="H1456" i="7" s="1"/>
  <c r="H1457" i="7" s="1"/>
  <c r="H1458" i="7" s="1"/>
  <c r="H1459" i="7" s="1"/>
  <c r="H1460" i="7" s="1"/>
  <c r="H1461" i="7" s="1"/>
  <c r="H1462" i="7" s="1"/>
  <c r="H1463" i="7" s="1"/>
  <c r="H1464" i="7" s="1"/>
  <c r="H1465" i="7" s="1"/>
  <c r="H1466" i="7" s="1"/>
  <c r="H1467" i="7" s="1"/>
  <c r="H1468" i="7" s="1"/>
  <c r="H1469" i="7" s="1"/>
  <c r="H1470" i="7" s="1"/>
  <c r="H1471" i="7" s="1"/>
  <c r="H1472" i="7" s="1"/>
  <c r="H1473" i="7" s="1"/>
  <c r="H1474" i="7" s="1"/>
  <c r="H1475" i="7" s="1"/>
  <c r="H1476" i="7" s="1"/>
  <c r="H1477" i="7" s="1"/>
  <c r="H1478" i="7" s="1"/>
  <c r="H1479" i="7" s="1"/>
  <c r="H1480" i="7" s="1"/>
  <c r="H1481" i="7" s="1"/>
  <c r="H1482" i="7" s="1"/>
  <c r="H1483" i="7" s="1"/>
  <c r="H1484" i="7" s="1"/>
  <c r="H1485" i="7" s="1"/>
  <c r="H1486" i="7" s="1"/>
  <c r="H1487" i="7" s="1"/>
  <c r="H1488" i="7" s="1"/>
  <c r="H1489" i="7" s="1"/>
  <c r="H1490" i="7" s="1"/>
  <c r="H1491" i="7" s="1"/>
  <c r="H1492" i="7" s="1"/>
  <c r="H1493" i="7" s="1"/>
  <c r="H1494" i="7" s="1"/>
  <c r="H1495" i="7" s="1"/>
  <c r="H1496" i="7" s="1"/>
  <c r="H1497" i="7" s="1"/>
  <c r="H1498" i="7" s="1"/>
  <c r="H1499" i="7" s="1"/>
  <c r="H1500" i="7" s="1"/>
  <c r="H1501" i="7" s="1"/>
  <c r="H1502" i="7" s="1"/>
  <c r="H1503" i="7" s="1"/>
  <c r="H1504" i="7" s="1"/>
  <c r="H1505" i="7" s="1"/>
  <c r="H1506" i="7" s="1"/>
  <c r="H1507" i="7" s="1"/>
  <c r="H1508" i="7" s="1"/>
  <c r="H1509" i="7" s="1"/>
  <c r="H1510" i="7" s="1"/>
  <c r="H1511" i="7" s="1"/>
  <c r="H1512" i="7" s="1"/>
  <c r="H1513" i="7" s="1"/>
  <c r="H1514" i="7" s="1"/>
  <c r="H1515" i="7" s="1"/>
  <c r="H1516" i="7" s="1"/>
  <c r="H1517" i="7" s="1"/>
  <c r="H1518" i="7" s="1"/>
  <c r="H1519" i="7" s="1"/>
  <c r="H1520" i="7" s="1"/>
  <c r="H1521" i="7" s="1"/>
  <c r="H1522" i="7" s="1"/>
  <c r="H1523" i="7" s="1"/>
  <c r="H1524" i="7" s="1"/>
  <c r="H1525" i="7" s="1"/>
  <c r="H1526" i="7" s="1"/>
  <c r="H1527" i="7" s="1"/>
  <c r="H1528" i="7" s="1"/>
  <c r="H1529" i="7" s="1"/>
  <c r="H1530" i="7" s="1"/>
  <c r="H1531" i="7" s="1"/>
  <c r="H1532" i="7" s="1"/>
  <c r="H1533" i="7" s="1"/>
  <c r="H1534" i="7" s="1"/>
  <c r="H1535" i="7" s="1"/>
  <c r="H1536" i="7" s="1"/>
  <c r="H1537" i="7" s="1"/>
  <c r="H1538" i="7" s="1"/>
  <c r="H1539" i="7" s="1"/>
  <c r="H1540" i="7" s="1"/>
  <c r="H1541" i="7" s="1"/>
  <c r="H1542" i="7" s="1"/>
  <c r="H1543" i="7" s="1"/>
  <c r="H1544" i="7" s="1"/>
  <c r="H1545" i="7" s="1"/>
  <c r="H1546" i="7" s="1"/>
  <c r="H1547" i="7" s="1"/>
  <c r="H1548" i="7" s="1"/>
  <c r="H1549" i="7" s="1"/>
  <c r="H1550" i="7" s="1"/>
  <c r="H1551" i="7" s="1"/>
  <c r="H1552" i="7" s="1"/>
  <c r="H1553" i="7" s="1"/>
  <c r="H1554" i="7" s="1"/>
  <c r="H1555" i="7" s="1"/>
  <c r="H1556" i="7" s="1"/>
  <c r="H1557" i="7" s="1"/>
  <c r="H1558" i="7" s="1"/>
  <c r="H1559" i="7" s="1"/>
  <c r="H1560" i="7" s="1"/>
  <c r="H1561" i="7" s="1"/>
  <c r="H1562" i="7" s="1"/>
  <c r="H1563" i="7" s="1"/>
  <c r="H1564" i="7" s="1"/>
  <c r="H1565" i="7" s="1"/>
  <c r="H1566" i="7" s="1"/>
  <c r="H1567" i="7" s="1"/>
  <c r="H1568" i="7" s="1"/>
  <c r="H1569" i="7" s="1"/>
  <c r="H1570" i="7" s="1"/>
  <c r="H1571" i="7" s="1"/>
  <c r="H1572" i="7" s="1"/>
  <c r="H1573" i="7" s="1"/>
  <c r="H1574" i="7" s="1"/>
  <c r="H1575" i="7" s="1"/>
  <c r="H1576" i="7" s="1"/>
  <c r="H1577" i="7" s="1"/>
  <c r="H1578" i="7" s="1"/>
  <c r="H1579" i="7" s="1"/>
  <c r="H1580" i="7" s="1"/>
  <c r="H1581" i="7" s="1"/>
  <c r="H1582" i="7" s="1"/>
  <c r="H1583" i="7" s="1"/>
  <c r="H1584" i="7" s="1"/>
  <c r="H1585" i="7" s="1"/>
  <c r="H1586" i="7" s="1"/>
  <c r="H1587" i="7" s="1"/>
  <c r="H1588" i="7" s="1"/>
  <c r="H1589" i="7" s="1"/>
  <c r="H1590" i="7" s="1"/>
  <c r="H1591" i="7" s="1"/>
  <c r="H1592" i="7" s="1"/>
  <c r="H1593" i="7" s="1"/>
  <c r="H1594" i="7" s="1"/>
  <c r="H1595" i="7" s="1"/>
  <c r="H1596" i="7" s="1"/>
  <c r="H1597" i="7" s="1"/>
  <c r="H1598" i="7" s="1"/>
  <c r="H1599" i="7" s="1"/>
  <c r="H1600" i="7" s="1"/>
  <c r="H1601" i="7" s="1"/>
  <c r="H1602" i="7" s="1"/>
  <c r="H1603" i="7" s="1"/>
  <c r="H1604" i="7" s="1"/>
  <c r="H1605" i="7" s="1"/>
  <c r="H1606" i="7" s="1"/>
  <c r="H1607" i="7" s="1"/>
  <c r="H1608" i="7" s="1"/>
  <c r="H1609" i="7" s="1"/>
  <c r="H1610" i="7" s="1"/>
  <c r="H1611" i="7" s="1"/>
  <c r="H1612" i="7" s="1"/>
  <c r="H1613" i="7" s="1"/>
  <c r="H1614" i="7" s="1"/>
  <c r="H1615" i="7" s="1"/>
  <c r="H1616" i="7" s="1"/>
  <c r="H1617" i="7" s="1"/>
  <c r="H1618" i="7" s="1"/>
  <c r="H1619" i="7" s="1"/>
  <c r="H1620" i="7" s="1"/>
  <c r="H1621" i="7" s="1"/>
  <c r="H1622" i="7" s="1"/>
  <c r="H1623" i="7" s="1"/>
  <c r="H1624" i="7" s="1"/>
  <c r="H1625" i="7" s="1"/>
  <c r="H1626" i="7" s="1"/>
  <c r="H1627" i="7" s="1"/>
  <c r="H1628" i="7" s="1"/>
  <c r="H1629" i="7" s="1"/>
  <c r="H1630" i="7" s="1"/>
  <c r="H1631" i="7" s="1"/>
  <c r="H1632" i="7" s="1"/>
  <c r="H1633" i="7" s="1"/>
  <c r="H1634" i="7" s="1"/>
  <c r="H1635" i="7" s="1"/>
  <c r="H1636" i="7" s="1"/>
  <c r="H1637" i="7" s="1"/>
  <c r="H1638" i="7" s="1"/>
  <c r="H1639" i="7" s="1"/>
  <c r="H1640" i="7" s="1"/>
  <c r="H1641" i="7" s="1"/>
  <c r="H1642" i="7" s="1"/>
  <c r="H1643" i="7" s="1"/>
  <c r="H1644" i="7" s="1"/>
  <c r="H1645" i="7" s="1"/>
  <c r="H1646" i="7" s="1"/>
  <c r="H1647" i="7" s="1"/>
  <c r="H1648" i="7" s="1"/>
  <c r="H1649" i="7" s="1"/>
  <c r="H1650" i="7" s="1"/>
  <c r="H1651" i="7" s="1"/>
  <c r="H1652" i="7" s="1"/>
  <c r="H1653" i="7" s="1"/>
  <c r="H1654" i="7" s="1"/>
  <c r="H1655" i="7" s="1"/>
  <c r="H1656" i="7" s="1"/>
  <c r="H1657" i="7" s="1"/>
  <c r="H1658" i="7" s="1"/>
  <c r="H1659" i="7" s="1"/>
  <c r="H1660" i="7" s="1"/>
  <c r="H1661" i="7" s="1"/>
  <c r="H1662" i="7" s="1"/>
  <c r="H1663" i="7" s="1"/>
  <c r="H1664" i="7" s="1"/>
  <c r="H1665" i="7" s="1"/>
  <c r="H1666" i="7" s="1"/>
  <c r="H1667" i="7" s="1"/>
  <c r="H1668" i="7" s="1"/>
  <c r="H1669" i="7" s="1"/>
  <c r="H1670" i="7" s="1"/>
  <c r="H1671" i="7" s="1"/>
  <c r="H1672" i="7" s="1"/>
  <c r="H1673" i="7" s="1"/>
  <c r="H1674" i="7" s="1"/>
  <c r="H1675" i="7" s="1"/>
  <c r="H1676" i="7" s="1"/>
  <c r="H1677" i="7" s="1"/>
  <c r="H1678" i="7" s="1"/>
  <c r="H1679" i="7" s="1"/>
  <c r="H1680" i="7" s="1"/>
  <c r="H1681" i="7" s="1"/>
  <c r="H1682" i="7" s="1"/>
  <c r="H1683" i="7" s="1"/>
  <c r="H1684" i="7" s="1"/>
  <c r="H1685" i="7" s="1"/>
  <c r="H1686" i="7" s="1"/>
  <c r="H1687" i="7" s="1"/>
  <c r="H1688" i="7" s="1"/>
  <c r="H1689" i="7" s="1"/>
  <c r="H1690" i="7" s="1"/>
  <c r="H1691" i="7" s="1"/>
  <c r="H1692" i="7" s="1"/>
  <c r="H1693" i="7" s="1"/>
  <c r="H1694" i="7" s="1"/>
  <c r="H1695" i="7" s="1"/>
  <c r="H1696" i="7" s="1"/>
  <c r="H1697" i="7" s="1"/>
  <c r="H1698" i="7" s="1"/>
  <c r="H1699" i="7" s="1"/>
  <c r="H1700" i="7" s="1"/>
  <c r="H1701" i="7" s="1"/>
  <c r="H1702" i="7" s="1"/>
  <c r="H1703" i="7" s="1"/>
  <c r="H1704" i="7" s="1"/>
  <c r="H1705" i="7" s="1"/>
  <c r="H1706" i="7" s="1"/>
  <c r="H1707" i="7" s="1"/>
  <c r="H1708" i="7" s="1"/>
  <c r="H1709" i="7" s="1"/>
  <c r="H1710" i="7" s="1"/>
  <c r="H1711" i="7" s="1"/>
  <c r="H1712" i="7" s="1"/>
  <c r="H1713" i="7" s="1"/>
  <c r="H1714" i="7" s="1"/>
  <c r="H1715" i="7" s="1"/>
  <c r="H1716" i="7" s="1"/>
  <c r="H1717" i="7" s="1"/>
  <c r="H1718" i="7" s="1"/>
  <c r="H1719" i="7" s="1"/>
  <c r="H1720" i="7" s="1"/>
  <c r="H1721" i="7" s="1"/>
  <c r="H1722" i="7" s="1"/>
  <c r="H1723" i="7" s="1"/>
  <c r="H1724" i="7" s="1"/>
  <c r="H1725" i="7" s="1"/>
  <c r="H1726" i="7" s="1"/>
  <c r="H1727" i="7" s="1"/>
  <c r="H1728" i="7" s="1"/>
  <c r="H1729" i="7" s="1"/>
  <c r="H1730" i="7" s="1"/>
  <c r="H1731" i="7" s="1"/>
  <c r="H1732" i="7" s="1"/>
  <c r="H1733" i="7" s="1"/>
  <c r="H1734" i="7" s="1"/>
  <c r="H1735" i="7" s="1"/>
  <c r="H1736" i="7" s="1"/>
  <c r="H1737" i="7" s="1"/>
  <c r="H1738" i="7" s="1"/>
  <c r="H1739" i="7" s="1"/>
  <c r="H1740" i="7" s="1"/>
  <c r="H1741" i="7" s="1"/>
  <c r="H1742" i="7" s="1"/>
  <c r="H1743" i="7" s="1"/>
  <c r="H1744" i="7" s="1"/>
  <c r="H1745" i="7" s="1"/>
  <c r="H1746" i="7" s="1"/>
  <c r="H1747" i="7" s="1"/>
  <c r="H1748" i="7" s="1"/>
  <c r="H1749" i="7" s="1"/>
  <c r="H1750" i="7" s="1"/>
  <c r="H1751" i="7" s="1"/>
  <c r="H1752" i="7" s="1"/>
  <c r="H1753" i="7" s="1"/>
  <c r="H1754" i="7" s="1"/>
  <c r="H1755" i="7" s="1"/>
  <c r="H1756" i="7" s="1"/>
  <c r="H1757" i="7" s="1"/>
  <c r="H1758" i="7" s="1"/>
  <c r="H1759" i="7" s="1"/>
  <c r="H1760" i="7" s="1"/>
  <c r="H1761" i="7" s="1"/>
  <c r="H1762" i="7" s="1"/>
  <c r="H1763" i="7" s="1"/>
  <c r="H1764" i="7" s="1"/>
  <c r="H1765" i="7" s="1"/>
  <c r="H1766" i="7" s="1"/>
  <c r="H1767" i="7" s="1"/>
  <c r="H1768" i="7" s="1"/>
  <c r="H1769" i="7" s="1"/>
  <c r="H1770" i="7" s="1"/>
  <c r="H1771" i="7" s="1"/>
  <c r="H1772" i="7" s="1"/>
  <c r="H1773" i="7" s="1"/>
  <c r="H1774" i="7" s="1"/>
  <c r="H1775" i="7" s="1"/>
  <c r="H1776" i="7" s="1"/>
  <c r="H1777" i="7" s="1"/>
  <c r="H1778" i="7" s="1"/>
  <c r="H1779" i="7" s="1"/>
  <c r="H1780" i="7" s="1"/>
  <c r="H1781" i="7" s="1"/>
  <c r="H1782" i="7" s="1"/>
  <c r="H1783" i="7" s="1"/>
  <c r="H1784" i="7" s="1"/>
  <c r="H1785" i="7" s="1"/>
  <c r="H1786" i="7" s="1"/>
  <c r="H1787" i="7" s="1"/>
  <c r="H1788" i="7" s="1"/>
  <c r="H1789" i="7" s="1"/>
  <c r="H1790" i="7" s="1"/>
  <c r="H1791" i="7" s="1"/>
  <c r="H1792" i="7" s="1"/>
  <c r="H1793" i="7" s="1"/>
  <c r="H1794" i="7" s="1"/>
  <c r="H1795" i="7" s="1"/>
  <c r="H1796" i="7" s="1"/>
  <c r="H1797" i="7" s="1"/>
  <c r="H1798" i="7" s="1"/>
  <c r="H1799" i="7" s="1"/>
  <c r="H1800" i="7" s="1"/>
  <c r="H1801" i="7" s="1"/>
  <c r="H1802" i="7" s="1"/>
  <c r="H1803" i="7" s="1"/>
  <c r="H1804" i="7" s="1"/>
  <c r="H1805" i="7" s="1"/>
  <c r="H1806" i="7" s="1"/>
  <c r="H1807" i="7" s="1"/>
  <c r="H1808" i="7" s="1"/>
  <c r="H1809" i="7" s="1"/>
  <c r="H1810" i="7" s="1"/>
  <c r="H1811" i="7" s="1"/>
  <c r="H1812" i="7" s="1"/>
  <c r="H1813" i="7" s="1"/>
  <c r="H1814" i="7" s="1"/>
  <c r="H1815" i="7" s="1"/>
  <c r="H1816" i="7" s="1"/>
  <c r="H1817" i="7" s="1"/>
  <c r="H1818" i="7" s="1"/>
  <c r="H1819" i="7" s="1"/>
  <c r="H1820" i="7" s="1"/>
  <c r="H1821" i="7" s="1"/>
  <c r="H1822" i="7" s="1"/>
  <c r="H1823" i="7" s="1"/>
  <c r="H1824" i="7" s="1"/>
  <c r="H1825" i="7" s="1"/>
  <c r="H1826" i="7" s="1"/>
  <c r="H1827" i="7" s="1"/>
  <c r="H1828" i="7" s="1"/>
  <c r="H1829" i="7" s="1"/>
  <c r="H1830" i="7" s="1"/>
  <c r="H1831" i="7" s="1"/>
  <c r="H1832" i="7" s="1"/>
  <c r="H1833" i="7" s="1"/>
  <c r="H1834" i="7" s="1"/>
  <c r="H1835" i="7" s="1"/>
  <c r="H1836" i="7" s="1"/>
  <c r="H1837" i="7" s="1"/>
  <c r="H1838" i="7" s="1"/>
  <c r="H1839" i="7" s="1"/>
  <c r="H1840" i="7" s="1"/>
  <c r="H1841" i="7" s="1"/>
  <c r="H1842" i="7" s="1"/>
  <c r="H1843" i="7" s="1"/>
  <c r="H1844" i="7" s="1"/>
  <c r="H1845" i="7" s="1"/>
  <c r="H1846" i="7" s="1"/>
  <c r="H1847" i="7" s="1"/>
  <c r="H1848" i="7" s="1"/>
  <c r="H1849" i="7" s="1"/>
  <c r="H1850" i="7" s="1"/>
  <c r="H1851" i="7" s="1"/>
  <c r="H1852" i="7" s="1"/>
  <c r="H1853" i="7" s="1"/>
  <c r="H1854" i="7" s="1"/>
  <c r="H1855" i="7" s="1"/>
  <c r="H1856" i="7" s="1"/>
  <c r="H1857" i="7" s="1"/>
  <c r="H1858" i="7" s="1"/>
  <c r="H1859" i="7" s="1"/>
  <c r="H1860" i="7" s="1"/>
  <c r="H1861" i="7" s="1"/>
  <c r="H1862" i="7" s="1"/>
  <c r="H1863" i="7" s="1"/>
  <c r="H1864" i="7" s="1"/>
  <c r="H1865" i="7" s="1"/>
  <c r="H1866" i="7" s="1"/>
  <c r="H1867" i="7" s="1"/>
  <c r="H1868" i="7" s="1"/>
  <c r="H1869" i="7" s="1"/>
  <c r="H1870" i="7" s="1"/>
  <c r="H1871" i="7" s="1"/>
  <c r="H1872" i="7" s="1"/>
  <c r="H1873" i="7" s="1"/>
  <c r="H1874" i="7" s="1"/>
  <c r="H1875" i="7" s="1"/>
  <c r="H1876" i="7" s="1"/>
  <c r="H1877" i="7" s="1"/>
  <c r="H1878" i="7" s="1"/>
  <c r="H1879" i="7" s="1"/>
  <c r="H1880" i="7" s="1"/>
  <c r="H1881" i="7" s="1"/>
  <c r="H1882" i="7" s="1"/>
  <c r="H1883" i="7" s="1"/>
  <c r="H1884" i="7" s="1"/>
  <c r="H1885" i="7" s="1"/>
  <c r="H1886" i="7" s="1"/>
  <c r="H1887" i="7" s="1"/>
  <c r="H1888" i="7" s="1"/>
  <c r="H1889" i="7" s="1"/>
  <c r="H1890" i="7" s="1"/>
  <c r="H1891" i="7" s="1"/>
  <c r="H1892" i="7" s="1"/>
  <c r="H1893" i="7" s="1"/>
  <c r="H1894" i="7" s="1"/>
  <c r="H1895" i="7" s="1"/>
  <c r="H1896" i="7" s="1"/>
  <c r="H1897" i="7" s="1"/>
  <c r="H1898" i="7" s="1"/>
  <c r="H1899" i="7" s="1"/>
  <c r="H1900" i="7" s="1"/>
  <c r="H1901" i="7" s="1"/>
  <c r="H1902" i="7" s="1"/>
  <c r="H1903" i="7" s="1"/>
  <c r="H1904" i="7" s="1"/>
  <c r="H1905" i="7" s="1"/>
  <c r="H1906" i="7" s="1"/>
  <c r="H1907" i="7" s="1"/>
  <c r="H1908" i="7" s="1"/>
  <c r="H1909" i="7" s="1"/>
  <c r="H1910" i="7" s="1"/>
  <c r="H1911" i="7" s="1"/>
  <c r="H1912" i="7" s="1"/>
  <c r="H1913" i="7" s="1"/>
  <c r="H1914" i="7" s="1"/>
  <c r="H1915" i="7" s="1"/>
  <c r="H1916" i="7" s="1"/>
  <c r="H1917" i="7" s="1"/>
  <c r="H1918" i="7" s="1"/>
  <c r="H1919" i="7" s="1"/>
  <c r="H1920" i="7" s="1"/>
  <c r="H1921" i="7" s="1"/>
  <c r="H1922" i="7" s="1"/>
  <c r="H1923" i="7" s="1"/>
  <c r="H1924" i="7" s="1"/>
  <c r="H1925" i="7" s="1"/>
  <c r="H1926" i="7" s="1"/>
  <c r="H1927" i="7" s="1"/>
  <c r="H1928" i="7" s="1"/>
  <c r="H1929" i="7" s="1"/>
  <c r="H1930" i="7" s="1"/>
  <c r="H1931" i="7" s="1"/>
  <c r="H1932" i="7" s="1"/>
  <c r="H1933" i="7" s="1"/>
  <c r="H1934" i="7" s="1"/>
  <c r="H1935" i="7" s="1"/>
  <c r="H1936" i="7" s="1"/>
  <c r="H1937" i="7" s="1"/>
  <c r="H1938" i="7" s="1"/>
  <c r="H1939" i="7" s="1"/>
  <c r="H1940" i="7" s="1"/>
  <c r="H1941" i="7" s="1"/>
  <c r="H1942" i="7" s="1"/>
  <c r="H1943" i="7" s="1"/>
  <c r="H1944" i="7" s="1"/>
  <c r="H1945" i="7" s="1"/>
  <c r="H1946" i="7" s="1"/>
  <c r="H1947" i="7" s="1"/>
  <c r="H1948" i="7" s="1"/>
  <c r="H1949" i="7" s="1"/>
  <c r="H1950" i="7" s="1"/>
  <c r="H1951" i="7" s="1"/>
  <c r="H1952" i="7" s="1"/>
  <c r="H1953" i="7" s="1"/>
  <c r="H1954" i="7" s="1"/>
  <c r="H1955" i="7" s="1"/>
  <c r="H1956" i="7" s="1"/>
  <c r="H1957" i="7" s="1"/>
  <c r="H1958" i="7" s="1"/>
  <c r="H1959" i="7" s="1"/>
  <c r="H1960" i="7" s="1"/>
  <c r="H1961" i="7" s="1"/>
  <c r="H1962" i="7" s="1"/>
  <c r="H1963" i="7" s="1"/>
  <c r="H1964" i="7" s="1"/>
  <c r="H1965" i="7" s="1"/>
  <c r="H1966" i="7" s="1"/>
  <c r="H1967" i="7" s="1"/>
  <c r="H1968" i="7" s="1"/>
  <c r="H1969" i="7" s="1"/>
  <c r="H1970" i="7" s="1"/>
  <c r="H1971" i="7" s="1"/>
  <c r="H1972" i="7" s="1"/>
  <c r="H1973" i="7" s="1"/>
  <c r="H1974" i="7" s="1"/>
  <c r="H1975" i="7" s="1"/>
  <c r="H1976" i="7" s="1"/>
  <c r="H1977" i="7" s="1"/>
  <c r="H1978" i="7" s="1"/>
  <c r="H1979" i="7" s="1"/>
  <c r="H1980" i="7" s="1"/>
  <c r="H1981" i="7" s="1"/>
  <c r="H1982" i="7" s="1"/>
  <c r="H1983" i="7" s="1"/>
  <c r="H1984" i="7" s="1"/>
  <c r="H1985" i="7" s="1"/>
  <c r="H1986" i="7" s="1"/>
  <c r="H1987" i="7" s="1"/>
  <c r="H1988" i="7" s="1"/>
  <c r="H1989" i="7" s="1"/>
  <c r="H1990" i="7" s="1"/>
  <c r="H1991" i="7" s="1"/>
  <c r="H1992" i="7" s="1"/>
  <c r="H1993" i="7" s="1"/>
  <c r="H1994" i="7" s="1"/>
  <c r="H1995" i="7" s="1"/>
  <c r="H1996" i="7" s="1"/>
  <c r="H1997" i="7" s="1"/>
  <c r="H1998" i="7" s="1"/>
  <c r="H1999" i="7" s="1"/>
  <c r="H2000" i="7" s="1"/>
  <c r="H2001" i="7" s="1"/>
  <c r="H2002" i="7" s="1"/>
  <c r="H2003" i="7" s="1"/>
  <c r="H2004" i="7" s="1"/>
  <c r="H2005" i="7" s="1"/>
  <c r="H2006" i="7" s="1"/>
  <c r="H2007" i="7" s="1"/>
  <c r="H2008" i="7" s="1"/>
  <c r="H2009" i="7" s="1"/>
  <c r="H2010" i="7" s="1"/>
  <c r="H2011" i="7" s="1"/>
  <c r="H2012" i="7" s="1"/>
  <c r="H2013" i="7" s="1"/>
  <c r="H2014" i="7" s="1"/>
  <c r="H2015" i="7" s="1"/>
  <c r="H2016" i="7" s="1"/>
  <c r="H2017" i="7" s="1"/>
  <c r="H2018" i="7" s="1"/>
  <c r="H2019" i="7" s="1"/>
  <c r="H2020" i="7" s="1"/>
  <c r="H2021" i="7" s="1"/>
  <c r="H2022" i="7" s="1"/>
  <c r="H2023" i="7" s="1"/>
  <c r="H2024" i="7" s="1"/>
  <c r="H2025" i="7" s="1"/>
  <c r="H2026" i="7" s="1"/>
  <c r="H2027" i="7" s="1"/>
  <c r="H2028" i="7" s="1"/>
  <c r="H2029" i="7" s="1"/>
  <c r="H2030" i="7" s="1"/>
  <c r="H2031" i="7" s="1"/>
  <c r="H2032" i="7" s="1"/>
  <c r="H2033" i="7" s="1"/>
  <c r="H2034" i="7" s="1"/>
  <c r="H2035" i="7" s="1"/>
  <c r="H2036" i="7" s="1"/>
  <c r="H2037" i="7" s="1"/>
  <c r="H2038" i="7" s="1"/>
  <c r="H2039" i="7" s="1"/>
  <c r="H2040" i="7" s="1"/>
  <c r="H2041" i="7" s="1"/>
  <c r="H2042" i="7" s="1"/>
  <c r="H2043" i="7" s="1"/>
  <c r="H2044" i="7" s="1"/>
  <c r="H2045" i="7" s="1"/>
  <c r="H2046" i="7" s="1"/>
  <c r="H2047" i="7" s="1"/>
  <c r="H2048" i="7" s="1"/>
  <c r="H2049" i="7" s="1"/>
  <c r="H2050" i="7" s="1"/>
  <c r="H2051" i="7" s="1"/>
  <c r="H2052" i="7" s="1"/>
  <c r="H2053" i="7" s="1"/>
  <c r="H2054" i="7" s="1"/>
  <c r="H2055" i="7" s="1"/>
  <c r="H2056" i="7" s="1"/>
  <c r="H2057" i="7" s="1"/>
  <c r="H2058" i="7" s="1"/>
  <c r="H2059" i="7" s="1"/>
  <c r="H2060" i="7" s="1"/>
  <c r="H2061" i="7" s="1"/>
  <c r="H2062" i="7" s="1"/>
  <c r="H2063" i="7" s="1"/>
  <c r="H2064" i="7" s="1"/>
  <c r="H2065" i="7" s="1"/>
  <c r="H2066" i="7" s="1"/>
  <c r="H2067" i="7" s="1"/>
  <c r="H2068" i="7" s="1"/>
  <c r="H2069" i="7" s="1"/>
  <c r="H2070" i="7" s="1"/>
  <c r="H2071" i="7" s="1"/>
  <c r="H2072" i="7" s="1"/>
  <c r="H2073" i="7" s="1"/>
  <c r="H2074" i="7" s="1"/>
  <c r="H2075" i="7" s="1"/>
  <c r="H2076" i="7" s="1"/>
  <c r="H2077" i="7" s="1"/>
  <c r="H2078" i="7" s="1"/>
  <c r="H2079" i="7" s="1"/>
  <c r="H2080" i="7" s="1"/>
  <c r="H2081" i="7" s="1"/>
  <c r="H2082" i="7" s="1"/>
  <c r="H2083" i="7" s="1"/>
  <c r="H2084" i="7" s="1"/>
  <c r="H2085" i="7" s="1"/>
  <c r="H2086" i="7" s="1"/>
  <c r="H2087" i="7" s="1"/>
  <c r="H2088" i="7" s="1"/>
  <c r="H2089" i="7" s="1"/>
  <c r="H2090" i="7" s="1"/>
  <c r="H2091" i="7" s="1"/>
  <c r="H2092" i="7" s="1"/>
  <c r="H2093" i="7" s="1"/>
  <c r="H2094" i="7" s="1"/>
  <c r="H2095" i="7" s="1"/>
  <c r="H2096" i="7" s="1"/>
  <c r="H2097" i="7" s="1"/>
  <c r="H2098" i="7" s="1"/>
  <c r="H2099" i="7" s="1"/>
  <c r="H2100" i="7" s="1"/>
  <c r="H2101" i="7" s="1"/>
  <c r="H2102" i="7" s="1"/>
  <c r="H2103" i="7" s="1"/>
  <c r="H2104" i="7" s="1"/>
  <c r="H2105" i="7" s="1"/>
  <c r="H2106" i="7" s="1"/>
  <c r="H2107" i="7" s="1"/>
  <c r="H2108" i="7" s="1"/>
  <c r="H2109" i="7" s="1"/>
  <c r="H2110" i="7" s="1"/>
  <c r="H2111" i="7" s="1"/>
  <c r="H2112" i="7" s="1"/>
  <c r="H2113" i="7" s="1"/>
  <c r="H2114" i="7" s="1"/>
  <c r="H2115" i="7" s="1"/>
  <c r="H2116" i="7" s="1"/>
  <c r="H2117" i="7" s="1"/>
  <c r="H2118" i="7" s="1"/>
  <c r="H2119" i="7" s="1"/>
  <c r="H2120" i="7" s="1"/>
  <c r="H2121" i="7" s="1"/>
  <c r="H2122" i="7" s="1"/>
  <c r="H2123" i="7" s="1"/>
  <c r="H2124" i="7" s="1"/>
  <c r="H2125" i="7" s="1"/>
  <c r="H2126" i="7" s="1"/>
  <c r="H2127" i="7" s="1"/>
  <c r="H2128" i="7" s="1"/>
  <c r="H2129" i="7" s="1"/>
  <c r="H2130" i="7" s="1"/>
  <c r="H2131" i="7" s="1"/>
  <c r="H2132" i="7" s="1"/>
  <c r="H2133" i="7" s="1"/>
  <c r="H2134" i="7" s="1"/>
  <c r="H2135" i="7" s="1"/>
  <c r="H2136" i="7" s="1"/>
  <c r="H2137" i="7" s="1"/>
  <c r="H2138" i="7" s="1"/>
  <c r="H2139" i="7" s="1"/>
  <c r="H2140" i="7" s="1"/>
  <c r="H2141" i="7" s="1"/>
  <c r="H2142" i="7" s="1"/>
  <c r="H2143" i="7" s="1"/>
  <c r="H2144" i="7" s="1"/>
  <c r="H2145" i="7" s="1"/>
  <c r="H2146" i="7" s="1"/>
  <c r="H2147" i="7" s="1"/>
  <c r="H2148" i="7" s="1"/>
  <c r="H2149" i="7" s="1"/>
  <c r="H2150" i="7" s="1"/>
  <c r="H2151" i="7" s="1"/>
  <c r="H2152" i="7" s="1"/>
  <c r="H2153" i="7" s="1"/>
  <c r="H2154" i="7" s="1"/>
  <c r="H2155" i="7" s="1"/>
  <c r="H2156" i="7" s="1"/>
  <c r="H2157" i="7" s="1"/>
  <c r="H2158" i="7" s="1"/>
  <c r="H2159" i="7" s="1"/>
  <c r="H2160" i="7" s="1"/>
  <c r="H2161" i="7" s="1"/>
  <c r="H2162" i="7" s="1"/>
  <c r="H2163" i="7" s="1"/>
  <c r="H2164" i="7" s="1"/>
  <c r="H2165" i="7" s="1"/>
  <c r="H2166" i="7" s="1"/>
  <c r="H2167" i="7" s="1"/>
  <c r="H2168" i="7" s="1"/>
  <c r="H2169" i="7" s="1"/>
  <c r="H2170" i="7" s="1"/>
  <c r="H2171" i="7" s="1"/>
  <c r="H2172" i="7" s="1"/>
  <c r="H2173" i="7" s="1"/>
  <c r="H2174" i="7" s="1"/>
  <c r="H2175" i="7" s="1"/>
  <c r="H2176" i="7" s="1"/>
  <c r="H2177" i="7" s="1"/>
  <c r="H2178" i="7" s="1"/>
  <c r="H2179" i="7" s="1"/>
  <c r="H2180" i="7" s="1"/>
  <c r="H2181" i="7" s="1"/>
  <c r="H2182" i="7" s="1"/>
  <c r="H2183" i="7" s="1"/>
  <c r="H2184" i="7" s="1"/>
  <c r="H2185" i="7" s="1"/>
  <c r="H2186" i="7" s="1"/>
  <c r="H2187" i="7" s="1"/>
  <c r="H2188" i="7" s="1"/>
  <c r="H2189" i="7" s="1"/>
  <c r="H2190" i="7" s="1"/>
  <c r="H2191" i="7" s="1"/>
  <c r="H2192" i="7" s="1"/>
  <c r="H2193" i="7" s="1"/>
  <c r="H2194" i="7" s="1"/>
  <c r="H2195" i="7" s="1"/>
  <c r="H2196" i="7" s="1"/>
  <c r="H2197" i="7" s="1"/>
  <c r="H2198" i="7" s="1"/>
  <c r="H2199" i="7" s="1"/>
  <c r="H2200" i="7" s="1"/>
  <c r="H2201" i="7" s="1"/>
  <c r="H2202" i="7" s="1"/>
  <c r="H2203" i="7" s="1"/>
  <c r="H2204" i="7" s="1"/>
  <c r="H2205" i="7" s="1"/>
  <c r="H2206" i="7" s="1"/>
  <c r="H2207" i="7" s="1"/>
  <c r="H2208" i="7" s="1"/>
  <c r="H2209" i="7" s="1"/>
  <c r="H2210" i="7" s="1"/>
  <c r="H2211" i="7" s="1"/>
  <c r="H2212" i="7" s="1"/>
  <c r="H2213" i="7" s="1"/>
  <c r="H2214" i="7" s="1"/>
  <c r="H2215" i="7" s="1"/>
  <c r="H2216" i="7" s="1"/>
  <c r="H2217" i="7" s="1"/>
  <c r="H2218" i="7" s="1"/>
  <c r="H2219" i="7" s="1"/>
  <c r="H2220" i="7" s="1"/>
  <c r="H2221" i="7" s="1"/>
  <c r="H2222" i="7" s="1"/>
  <c r="H2223" i="7" s="1"/>
  <c r="H2224" i="7" s="1"/>
  <c r="H2225" i="7" s="1"/>
  <c r="H2226" i="7" s="1"/>
  <c r="H2227" i="7" s="1"/>
  <c r="H2228" i="7" s="1"/>
  <c r="H2229" i="7" s="1"/>
  <c r="H2230" i="7" s="1"/>
  <c r="H2231" i="7" s="1"/>
  <c r="H2232" i="7" s="1"/>
  <c r="H2233" i="7" s="1"/>
  <c r="H2234" i="7" s="1"/>
  <c r="H2235" i="7" s="1"/>
  <c r="H2236" i="7" s="1"/>
  <c r="H2237" i="7" s="1"/>
  <c r="H2238" i="7" s="1"/>
  <c r="H2239" i="7" s="1"/>
  <c r="H2240" i="7" s="1"/>
  <c r="H2241" i="7" s="1"/>
  <c r="H2242" i="7" s="1"/>
  <c r="H2243" i="7" s="1"/>
  <c r="H2244" i="7" s="1"/>
  <c r="H2245" i="7" s="1"/>
  <c r="H2246" i="7" s="1"/>
  <c r="H2247" i="7" s="1"/>
  <c r="H2248" i="7" s="1"/>
  <c r="H2249" i="7" s="1"/>
  <c r="H2250" i="7" s="1"/>
  <c r="H2251" i="7" s="1"/>
  <c r="H2252" i="7" s="1"/>
  <c r="H2253" i="7" s="1"/>
  <c r="H2254" i="7" s="1"/>
  <c r="H2255" i="7" s="1"/>
  <c r="H2256" i="7" s="1"/>
  <c r="H2257" i="7" s="1"/>
  <c r="H2258" i="7" s="1"/>
  <c r="H2259" i="7" s="1"/>
  <c r="H2260" i="7" s="1"/>
  <c r="H2261" i="7" s="1"/>
  <c r="H2262" i="7" s="1"/>
  <c r="H2263" i="7" s="1"/>
  <c r="H2264" i="7" s="1"/>
  <c r="H2265" i="7" s="1"/>
  <c r="H2266" i="7" s="1"/>
  <c r="H2267" i="7" s="1"/>
  <c r="H2268" i="7" s="1"/>
  <c r="H2269" i="7" s="1"/>
  <c r="H2270" i="7" s="1"/>
  <c r="H2271" i="7" s="1"/>
  <c r="H2272" i="7" s="1"/>
  <c r="H2273" i="7" s="1"/>
  <c r="H2274" i="7" s="1"/>
  <c r="H2275" i="7" s="1"/>
  <c r="H2276" i="7" s="1"/>
  <c r="H2277" i="7" s="1"/>
  <c r="H2278" i="7" s="1"/>
  <c r="H2279" i="7" s="1"/>
  <c r="H2280" i="7" s="1"/>
  <c r="H2281" i="7" s="1"/>
  <c r="H2282" i="7" s="1"/>
  <c r="H2283" i="7" s="1"/>
  <c r="H2284" i="7" s="1"/>
  <c r="H2285" i="7" s="1"/>
  <c r="H2286" i="7" s="1"/>
  <c r="H2287" i="7" s="1"/>
  <c r="H2288" i="7" s="1"/>
  <c r="H2289" i="7" s="1"/>
  <c r="H2290" i="7" s="1"/>
  <c r="H2291" i="7" s="1"/>
  <c r="H2292" i="7" s="1"/>
  <c r="H2293" i="7" s="1"/>
  <c r="H2294" i="7" s="1"/>
  <c r="H2295" i="7" s="1"/>
  <c r="H2296" i="7" s="1"/>
  <c r="H2297" i="7" s="1"/>
  <c r="H2298" i="7" s="1"/>
  <c r="H2299" i="7" s="1"/>
  <c r="H2300" i="7" s="1"/>
  <c r="H2301" i="7" s="1"/>
  <c r="H2302" i="7" s="1"/>
  <c r="H2303" i="7" s="1"/>
  <c r="H2304" i="7" s="1"/>
  <c r="H2305" i="7" s="1"/>
  <c r="H2306" i="7" s="1"/>
  <c r="H2307" i="7" s="1"/>
  <c r="H2308" i="7" s="1"/>
  <c r="H2309" i="7" s="1"/>
  <c r="H2310" i="7" s="1"/>
  <c r="H2311" i="7" s="1"/>
  <c r="H2312" i="7" s="1"/>
  <c r="H2313" i="7" s="1"/>
  <c r="H2314" i="7" s="1"/>
  <c r="H2315" i="7" s="1"/>
  <c r="H2316" i="7" s="1"/>
  <c r="H2317" i="7" s="1"/>
  <c r="H2318" i="7" s="1"/>
  <c r="H2319" i="7" s="1"/>
  <c r="H2320" i="7" s="1"/>
  <c r="H2321" i="7" s="1"/>
  <c r="H2322" i="7" s="1"/>
  <c r="H2323" i="7" s="1"/>
  <c r="H2324" i="7" s="1"/>
  <c r="H2325" i="7" s="1"/>
  <c r="H2326" i="7" s="1"/>
  <c r="H2327" i="7" s="1"/>
  <c r="H2328" i="7" s="1"/>
  <c r="H2329" i="7" s="1"/>
  <c r="H2330" i="7" s="1"/>
  <c r="H2331" i="7" s="1"/>
  <c r="H2332" i="7" s="1"/>
  <c r="H2333" i="7" s="1"/>
  <c r="H2334" i="7" s="1"/>
  <c r="H2335" i="7" s="1"/>
  <c r="H2336" i="7" s="1"/>
  <c r="H2337" i="7" s="1"/>
  <c r="H2338" i="7" s="1"/>
  <c r="H2339" i="7" s="1"/>
  <c r="H2340" i="7" s="1"/>
  <c r="H2341" i="7" s="1"/>
  <c r="H2342" i="7" s="1"/>
  <c r="H2343" i="7" s="1"/>
  <c r="H2344" i="7" s="1"/>
  <c r="H2345" i="7" s="1"/>
  <c r="H2346" i="7" s="1"/>
  <c r="H2347" i="7" s="1"/>
  <c r="H2348" i="7" s="1"/>
  <c r="H2349" i="7" s="1"/>
  <c r="H2350" i="7" s="1"/>
  <c r="H2351" i="7" s="1"/>
  <c r="H2352" i="7" s="1"/>
  <c r="H2353" i="7" s="1"/>
  <c r="H2354" i="7" s="1"/>
  <c r="H2355" i="7" s="1"/>
  <c r="H2356" i="7" s="1"/>
  <c r="H2357" i="7" s="1"/>
  <c r="H2358" i="7" s="1"/>
  <c r="H2359" i="7" s="1"/>
  <c r="H2360" i="7" s="1"/>
  <c r="H2361" i="7" s="1"/>
  <c r="H2362" i="7" s="1"/>
  <c r="H2363" i="7" s="1"/>
  <c r="H2364" i="7" s="1"/>
  <c r="H2365" i="7" s="1"/>
  <c r="H2366" i="7" s="1"/>
  <c r="H2367" i="7" s="1"/>
  <c r="H2368" i="7" s="1"/>
  <c r="H2369" i="7" s="1"/>
  <c r="H2370" i="7" s="1"/>
  <c r="H2371" i="7" s="1"/>
  <c r="H2372" i="7" s="1"/>
  <c r="H2373" i="7" s="1"/>
  <c r="H2374" i="7" s="1"/>
  <c r="H2375" i="7" s="1"/>
  <c r="H2376" i="7" s="1"/>
  <c r="H2377" i="7" s="1"/>
  <c r="H2378" i="7" s="1"/>
  <c r="H2379" i="7" s="1"/>
  <c r="H2380" i="7" s="1"/>
  <c r="H2381" i="7" s="1"/>
  <c r="H2382" i="7" s="1"/>
  <c r="H2383" i="7" s="1"/>
  <c r="H2384" i="7" s="1"/>
  <c r="H2385" i="7" s="1"/>
  <c r="H2386" i="7" s="1"/>
  <c r="H2387" i="7" s="1"/>
  <c r="H2388" i="7" s="1"/>
  <c r="H2389" i="7" s="1"/>
  <c r="H2390" i="7" s="1"/>
  <c r="H2391" i="7" s="1"/>
  <c r="H2392" i="7" s="1"/>
  <c r="H2393" i="7" s="1"/>
  <c r="H2394" i="7" s="1"/>
  <c r="H2395" i="7" s="1"/>
  <c r="H2396" i="7" s="1"/>
  <c r="H2397" i="7" s="1"/>
  <c r="H2398" i="7" s="1"/>
  <c r="H2399" i="7" s="1"/>
  <c r="H2400" i="7" s="1"/>
  <c r="H2401" i="7" s="1"/>
  <c r="H2402" i="7" s="1"/>
  <c r="H2403" i="7" s="1"/>
  <c r="H2404" i="7" s="1"/>
  <c r="H2405" i="7" s="1"/>
  <c r="H2406" i="7" s="1"/>
  <c r="H2407" i="7" s="1"/>
  <c r="H2408" i="7" s="1"/>
  <c r="H2409" i="7" s="1"/>
  <c r="H2410" i="7" s="1"/>
  <c r="H2411" i="7" s="1"/>
  <c r="H2412" i="7" s="1"/>
  <c r="H2413" i="7" s="1"/>
  <c r="H2414" i="7" s="1"/>
  <c r="H2415" i="7" s="1"/>
  <c r="H2416" i="7" s="1"/>
  <c r="H2417" i="7" s="1"/>
  <c r="H2418" i="7" s="1"/>
  <c r="H2419" i="7" s="1"/>
  <c r="H2420" i="7" s="1"/>
  <c r="H2421" i="7" s="1"/>
  <c r="H2422" i="7" s="1"/>
  <c r="H2423" i="7" s="1"/>
  <c r="H2424" i="7" s="1"/>
  <c r="H2425" i="7" s="1"/>
  <c r="H2426" i="7" s="1"/>
  <c r="H2427" i="7" s="1"/>
  <c r="H2428" i="7" s="1"/>
  <c r="H2429" i="7" s="1"/>
  <c r="H2430" i="7" s="1"/>
  <c r="H2431" i="7" s="1"/>
  <c r="H2432" i="7" s="1"/>
  <c r="H2433" i="7" s="1"/>
  <c r="H2434" i="7" s="1"/>
  <c r="H2435" i="7" s="1"/>
  <c r="H2436" i="7" s="1"/>
  <c r="H2437" i="7" s="1"/>
  <c r="H2438" i="7" s="1"/>
  <c r="H2439" i="7" s="1"/>
  <c r="H2440" i="7" s="1"/>
  <c r="H2441" i="7" s="1"/>
  <c r="H2442" i="7" s="1"/>
  <c r="H2443" i="7" s="1"/>
  <c r="H2444" i="7" s="1"/>
  <c r="H2445" i="7" s="1"/>
  <c r="H2446" i="7" s="1"/>
  <c r="H2447" i="7" s="1"/>
  <c r="H2448" i="7" s="1"/>
  <c r="H2449" i="7" s="1"/>
  <c r="H2450" i="7" s="1"/>
  <c r="H2451" i="7" s="1"/>
  <c r="H2452" i="7" s="1"/>
  <c r="H2453" i="7" s="1"/>
  <c r="H2454" i="7" s="1"/>
  <c r="H2455" i="7" s="1"/>
  <c r="H2456" i="7" s="1"/>
  <c r="H2457" i="7" s="1"/>
  <c r="H2458" i="7" s="1"/>
  <c r="H2459" i="7" s="1"/>
  <c r="H2460" i="7" s="1"/>
  <c r="H2461" i="7" s="1"/>
  <c r="H2462" i="7" s="1"/>
  <c r="H2463" i="7" s="1"/>
  <c r="H2464" i="7" s="1"/>
  <c r="H2465" i="7" s="1"/>
  <c r="H2466" i="7" s="1"/>
  <c r="H2467" i="7" s="1"/>
  <c r="H2468" i="7" s="1"/>
  <c r="H2469" i="7" s="1"/>
  <c r="H2470" i="7" s="1"/>
  <c r="H2471" i="7" s="1"/>
  <c r="H2472" i="7" s="1"/>
  <c r="H2473" i="7" s="1"/>
  <c r="H2474" i="7" s="1"/>
  <c r="H2475" i="7" s="1"/>
  <c r="H2476" i="7" s="1"/>
  <c r="H2477" i="7" s="1"/>
  <c r="H2478" i="7" s="1"/>
  <c r="H2479" i="7" s="1"/>
  <c r="H2480" i="7" s="1"/>
  <c r="H2481" i="7" s="1"/>
  <c r="H2482" i="7" s="1"/>
  <c r="H2483" i="7" s="1"/>
  <c r="H2484" i="7" s="1"/>
  <c r="H2485" i="7" s="1"/>
  <c r="H2486" i="7" s="1"/>
  <c r="H2487" i="7" s="1"/>
  <c r="H2488" i="7" s="1"/>
  <c r="H2489" i="7" s="1"/>
  <c r="H2490" i="7" s="1"/>
  <c r="H2491" i="7" s="1"/>
  <c r="H2492" i="7" s="1"/>
  <c r="H2493" i="7" s="1"/>
  <c r="H2494" i="7" s="1"/>
  <c r="H2495" i="7" s="1"/>
  <c r="H2496" i="7" s="1"/>
  <c r="H2497" i="7" s="1"/>
  <c r="H2498" i="7" s="1"/>
  <c r="H2499" i="7" s="1"/>
  <c r="H2500" i="7" s="1"/>
  <c r="H2501" i="7" s="1"/>
  <c r="H2502" i="7" s="1"/>
  <c r="H2503" i="7" s="1"/>
  <c r="H2504" i="7" s="1"/>
  <c r="H2505" i="7" s="1"/>
  <c r="H2506" i="7" s="1"/>
  <c r="H2507" i="7" s="1"/>
  <c r="H2508" i="7" s="1"/>
  <c r="H2509" i="7" s="1"/>
  <c r="H2510" i="7" s="1"/>
  <c r="H2511" i="7" s="1"/>
  <c r="H2512" i="7" s="1"/>
  <c r="H2513" i="7" s="1"/>
  <c r="H2514" i="7" s="1"/>
  <c r="H2515" i="7" s="1"/>
  <c r="H2516" i="7" s="1"/>
  <c r="H2517" i="7" s="1"/>
  <c r="H2518" i="7" s="1"/>
  <c r="H2519" i="7" s="1"/>
  <c r="H2520" i="7" s="1"/>
  <c r="H2521" i="7" s="1"/>
  <c r="H2522" i="7" s="1"/>
  <c r="H2523" i="7" s="1"/>
  <c r="H2524" i="7" s="1"/>
  <c r="H2525" i="7" s="1"/>
  <c r="H2526" i="7" s="1"/>
  <c r="H2527" i="7" s="1"/>
  <c r="H2528" i="7" s="1"/>
  <c r="H2529" i="7" s="1"/>
  <c r="H2530" i="7" s="1"/>
  <c r="H2531" i="7" s="1"/>
  <c r="H2532" i="7" s="1"/>
  <c r="H2533" i="7" s="1"/>
  <c r="H2534" i="7" s="1"/>
  <c r="H2535" i="7" s="1"/>
  <c r="H2536" i="7" s="1"/>
  <c r="H2537" i="7" s="1"/>
  <c r="H2538" i="7" s="1"/>
  <c r="H2539" i="7" s="1"/>
  <c r="H2540" i="7" s="1"/>
  <c r="H2541" i="7" s="1"/>
  <c r="H2542" i="7" s="1"/>
  <c r="H2543" i="7" s="1"/>
  <c r="H2544" i="7" s="1"/>
  <c r="H2545" i="7" s="1"/>
  <c r="H2546" i="7" s="1"/>
  <c r="H2547" i="7" s="1"/>
  <c r="H2548" i="7" s="1"/>
  <c r="H2549" i="7" s="1"/>
  <c r="H2550" i="7" s="1"/>
  <c r="H2551" i="7" s="1"/>
  <c r="H2552" i="7" s="1"/>
  <c r="H2553" i="7" s="1"/>
  <c r="H2554" i="7" s="1"/>
  <c r="H2555" i="7" s="1"/>
  <c r="H2556" i="7" s="1"/>
  <c r="H2557" i="7" s="1"/>
  <c r="H2558" i="7" s="1"/>
  <c r="H2559" i="7" s="1"/>
  <c r="H2560" i="7" s="1"/>
  <c r="H2561" i="7" s="1"/>
  <c r="H2562" i="7" s="1"/>
  <c r="H2563" i="7" s="1"/>
  <c r="H2564" i="7" s="1"/>
  <c r="H2565" i="7" s="1"/>
  <c r="H2566" i="7" s="1"/>
  <c r="H2567" i="7" s="1"/>
  <c r="H2568" i="7" s="1"/>
  <c r="H2569" i="7" s="1"/>
  <c r="H2570" i="7" s="1"/>
  <c r="H2571" i="7" s="1"/>
  <c r="H2572" i="7" s="1"/>
  <c r="H2573" i="7" s="1"/>
  <c r="H2574" i="7" s="1"/>
  <c r="H2575" i="7" s="1"/>
  <c r="H2576" i="7" s="1"/>
  <c r="H2577" i="7" s="1"/>
  <c r="H2578" i="7" s="1"/>
  <c r="H2579" i="7" s="1"/>
  <c r="H2580" i="7" s="1"/>
  <c r="H2581" i="7" s="1"/>
  <c r="H2582" i="7" s="1"/>
  <c r="H2583" i="7" s="1"/>
  <c r="H2584" i="7" s="1"/>
  <c r="H2585" i="7" s="1"/>
  <c r="H2586" i="7" s="1"/>
  <c r="H2587" i="7" s="1"/>
  <c r="H2588" i="7" s="1"/>
  <c r="H2589" i="7" s="1"/>
  <c r="H2590" i="7" s="1"/>
  <c r="H2591" i="7" s="1"/>
  <c r="H2592" i="7" s="1"/>
  <c r="H2593" i="7" s="1"/>
  <c r="H2594" i="7" s="1"/>
  <c r="H2595" i="7" s="1"/>
  <c r="H2596" i="7" s="1"/>
  <c r="H2597" i="7" s="1"/>
  <c r="H2598" i="7" s="1"/>
  <c r="H2599" i="7" s="1"/>
  <c r="H2600" i="7" s="1"/>
  <c r="H2601" i="7" s="1"/>
  <c r="H2602" i="7" s="1"/>
  <c r="H2603" i="7" s="1"/>
  <c r="H2604" i="7" s="1"/>
  <c r="H2605" i="7" s="1"/>
  <c r="H2606" i="7" s="1"/>
  <c r="H2607" i="7" s="1"/>
  <c r="H2608" i="7" s="1"/>
  <c r="H2609" i="7" s="1"/>
  <c r="H2610" i="7" s="1"/>
  <c r="H2611" i="7" s="1"/>
  <c r="H2612" i="7" s="1"/>
  <c r="H2613" i="7" s="1"/>
  <c r="H2614" i="7" s="1"/>
  <c r="H2615" i="7" s="1"/>
  <c r="H2616" i="7" s="1"/>
  <c r="H2617" i="7" s="1"/>
  <c r="H2618" i="7" s="1"/>
  <c r="H2619" i="7" s="1"/>
  <c r="H2620" i="7" s="1"/>
  <c r="H2621" i="7" s="1"/>
  <c r="H2622" i="7" s="1"/>
  <c r="H2623" i="7" s="1"/>
  <c r="H2624" i="7" s="1"/>
  <c r="H2625" i="7" s="1"/>
  <c r="H2626" i="7" s="1"/>
  <c r="H2627" i="7" s="1"/>
  <c r="H2628" i="7" s="1"/>
  <c r="H2629" i="7" s="1"/>
  <c r="H2630" i="7" s="1"/>
  <c r="H2631" i="7" s="1"/>
  <c r="H2632" i="7" s="1"/>
  <c r="H2633" i="7" s="1"/>
  <c r="H2634" i="7" s="1"/>
  <c r="H2635" i="7" s="1"/>
  <c r="H2636" i="7" s="1"/>
  <c r="H2637" i="7" s="1"/>
  <c r="H2638" i="7" s="1"/>
  <c r="H2639" i="7" s="1"/>
  <c r="H2640" i="7" s="1"/>
  <c r="H2641" i="7" s="1"/>
  <c r="H2642" i="7" s="1"/>
  <c r="H2643" i="7" s="1"/>
  <c r="H2644" i="7" s="1"/>
  <c r="H2645" i="7" s="1"/>
  <c r="H2646" i="7" s="1"/>
  <c r="H2647" i="7" s="1"/>
  <c r="H2648" i="7" s="1"/>
  <c r="H2649" i="7" s="1"/>
  <c r="H2650" i="7" s="1"/>
  <c r="H2651" i="7" s="1"/>
  <c r="H2652" i="7" s="1"/>
  <c r="H2653" i="7" s="1"/>
  <c r="H2654" i="7" s="1"/>
  <c r="H2655" i="7" s="1"/>
  <c r="H2656" i="7" s="1"/>
  <c r="H2657" i="7" s="1"/>
  <c r="H2658" i="7" s="1"/>
  <c r="H2659" i="7" s="1"/>
  <c r="H2660" i="7" s="1"/>
  <c r="H2661" i="7" s="1"/>
  <c r="H2662" i="7" s="1"/>
  <c r="H2663" i="7" s="1"/>
  <c r="H2664" i="7" s="1"/>
  <c r="H2665" i="7" s="1"/>
  <c r="H2666" i="7" s="1"/>
  <c r="H2667" i="7" s="1"/>
  <c r="H2668" i="7" s="1"/>
  <c r="H2669" i="7" s="1"/>
  <c r="H2670" i="7" s="1"/>
  <c r="H2671" i="7" s="1"/>
  <c r="H2672" i="7" s="1"/>
  <c r="H2673" i="7" s="1"/>
  <c r="H2674" i="7" s="1"/>
  <c r="H2675" i="7" s="1"/>
  <c r="H2676" i="7" s="1"/>
  <c r="H2677" i="7" s="1"/>
  <c r="H2678" i="7" s="1"/>
  <c r="H2679" i="7" s="1"/>
  <c r="H2680" i="7" s="1"/>
  <c r="H2681" i="7" s="1"/>
  <c r="H2682" i="7" s="1"/>
  <c r="H2683" i="7" s="1"/>
  <c r="H2684" i="7" s="1"/>
  <c r="H2685" i="7" s="1"/>
  <c r="H2686" i="7" s="1"/>
  <c r="H2687" i="7" s="1"/>
  <c r="H2688" i="7" s="1"/>
  <c r="H2689" i="7" s="1"/>
  <c r="H2690" i="7" s="1"/>
  <c r="H2691" i="7" s="1"/>
  <c r="H2692" i="7" s="1"/>
  <c r="H2693" i="7" s="1"/>
  <c r="H2694" i="7" s="1"/>
  <c r="H2695" i="7" s="1"/>
  <c r="H2696" i="7" s="1"/>
  <c r="H2697" i="7" s="1"/>
  <c r="H2698" i="7" s="1"/>
  <c r="H2699" i="7" s="1"/>
  <c r="H2700" i="7" s="1"/>
  <c r="H2701" i="7" s="1"/>
  <c r="H2702" i="7" s="1"/>
  <c r="H2703" i="7" s="1"/>
  <c r="H2704" i="7" s="1"/>
  <c r="H2705" i="7" s="1"/>
  <c r="H2706" i="7" s="1"/>
  <c r="H2707" i="7" s="1"/>
  <c r="H2708" i="7" s="1"/>
  <c r="H2709" i="7" s="1"/>
  <c r="H2710" i="7" s="1"/>
  <c r="H2711" i="7" s="1"/>
  <c r="H2712" i="7" s="1"/>
  <c r="H2713" i="7" s="1"/>
  <c r="H2714" i="7" s="1"/>
  <c r="H2715" i="7" s="1"/>
  <c r="H2716" i="7" s="1"/>
  <c r="H2717" i="7" s="1"/>
  <c r="H2718" i="7" s="1"/>
  <c r="H2719" i="7" s="1"/>
  <c r="H2720" i="7" s="1"/>
  <c r="H2721" i="7" s="1"/>
  <c r="H2722" i="7" s="1"/>
  <c r="H2723" i="7" s="1"/>
  <c r="H2724" i="7" s="1"/>
  <c r="H2725" i="7" s="1"/>
  <c r="H2726" i="7" s="1"/>
  <c r="H2727" i="7" s="1"/>
  <c r="H2728" i="7" s="1"/>
  <c r="H2729" i="7" s="1"/>
  <c r="H2730" i="7" s="1"/>
  <c r="H2731" i="7" s="1"/>
  <c r="H2732" i="7" s="1"/>
  <c r="H2733" i="7" s="1"/>
  <c r="H2734" i="7" s="1"/>
  <c r="H2735" i="7" s="1"/>
  <c r="H2736" i="7" s="1"/>
  <c r="H2737" i="7" s="1"/>
  <c r="H2738" i="7" s="1"/>
  <c r="H2739" i="7" s="1"/>
  <c r="H2740" i="7" s="1"/>
  <c r="H2741" i="7" s="1"/>
  <c r="H2742" i="7" s="1"/>
  <c r="H2743" i="7" s="1"/>
  <c r="H2744" i="7" s="1"/>
  <c r="H2745" i="7" s="1"/>
  <c r="H2746" i="7" s="1"/>
  <c r="H2747" i="7" s="1"/>
  <c r="H2748" i="7" s="1"/>
  <c r="H2749" i="7" s="1"/>
  <c r="H2750" i="7" s="1"/>
  <c r="H2751" i="7" s="1"/>
  <c r="H2752" i="7" s="1"/>
  <c r="H2753" i="7" s="1"/>
  <c r="H2754" i="7" s="1"/>
  <c r="H2755" i="7" s="1"/>
  <c r="H2756" i="7" s="1"/>
  <c r="H2757" i="7" s="1"/>
  <c r="H2758" i="7" s="1"/>
  <c r="H2759" i="7" s="1"/>
  <c r="H2760" i="7" s="1"/>
  <c r="H2761" i="7" s="1"/>
  <c r="H2762" i="7" s="1"/>
  <c r="H2763" i="7" s="1"/>
  <c r="H2764" i="7" s="1"/>
  <c r="H2765" i="7" s="1"/>
  <c r="H2766" i="7" s="1"/>
  <c r="H2767" i="7" s="1"/>
  <c r="H2768" i="7" s="1"/>
  <c r="H2769" i="7" s="1"/>
  <c r="H2770" i="7" s="1"/>
  <c r="H2771" i="7" s="1"/>
  <c r="H2772" i="7" s="1"/>
  <c r="H2773" i="7" s="1"/>
  <c r="H2774" i="7" s="1"/>
  <c r="H2775" i="7" s="1"/>
  <c r="H2776" i="7" s="1"/>
  <c r="H2777" i="7" s="1"/>
  <c r="H2778" i="7" s="1"/>
  <c r="H2779" i="7" s="1"/>
  <c r="H2780" i="7" s="1"/>
  <c r="H2781" i="7" s="1"/>
  <c r="H2782" i="7" s="1"/>
  <c r="H2783" i="7" s="1"/>
  <c r="H2784" i="7" s="1"/>
  <c r="H2785" i="7" s="1"/>
  <c r="H2786" i="7" s="1"/>
  <c r="H2787" i="7" s="1"/>
  <c r="H2788" i="7" s="1"/>
  <c r="H2789" i="7" s="1"/>
  <c r="H2790" i="7" s="1"/>
  <c r="H2791" i="7" s="1"/>
  <c r="H2792" i="7" s="1"/>
  <c r="H2793" i="7" s="1"/>
  <c r="H2794" i="7" s="1"/>
  <c r="H2795" i="7" s="1"/>
  <c r="H2796" i="7" s="1"/>
  <c r="H2797" i="7" s="1"/>
  <c r="H2798" i="7" s="1"/>
  <c r="H2799" i="7" s="1"/>
  <c r="H2800" i="7" s="1"/>
  <c r="H2801" i="7" s="1"/>
  <c r="H2802" i="7" s="1"/>
  <c r="H2803" i="7" s="1"/>
  <c r="H2804" i="7" s="1"/>
  <c r="H2805" i="7" s="1"/>
  <c r="H2806" i="7" s="1"/>
  <c r="H2807" i="7" s="1"/>
  <c r="H2808" i="7" s="1"/>
  <c r="H2809" i="7" s="1"/>
  <c r="H2810" i="7" s="1"/>
  <c r="H2811" i="7" s="1"/>
  <c r="H2812" i="7" s="1"/>
  <c r="H2813" i="7" s="1"/>
  <c r="H2814" i="7" s="1"/>
  <c r="H2815" i="7" s="1"/>
  <c r="H2816" i="7" s="1"/>
  <c r="H2817" i="7" s="1"/>
  <c r="H2818" i="7" s="1"/>
  <c r="H2819" i="7" s="1"/>
  <c r="H2820" i="7" s="1"/>
  <c r="H2821" i="7" s="1"/>
  <c r="H2822" i="7" s="1"/>
  <c r="H2823" i="7" s="1"/>
  <c r="H2824" i="7" s="1"/>
  <c r="H2825" i="7" s="1"/>
  <c r="H2826" i="7" s="1"/>
  <c r="H2827" i="7" s="1"/>
  <c r="H2828" i="7" s="1"/>
  <c r="H2829" i="7" s="1"/>
  <c r="H2830" i="7" s="1"/>
  <c r="H2831" i="7" s="1"/>
  <c r="H2832" i="7" s="1"/>
  <c r="H2833" i="7" s="1"/>
  <c r="H2834" i="7" s="1"/>
  <c r="H2835" i="7" s="1"/>
  <c r="H2836" i="7" s="1"/>
  <c r="H2837" i="7" s="1"/>
  <c r="H2838" i="7" s="1"/>
  <c r="H2839" i="7" s="1"/>
  <c r="H2840" i="7" s="1"/>
  <c r="H2841" i="7" s="1"/>
  <c r="H2842" i="7" s="1"/>
  <c r="H2843" i="7" s="1"/>
  <c r="H2844" i="7" s="1"/>
  <c r="H2845" i="7" s="1"/>
  <c r="H2846" i="7" s="1"/>
  <c r="H2847" i="7" s="1"/>
  <c r="H2848" i="7" s="1"/>
  <c r="H2849" i="7" s="1"/>
  <c r="H2850" i="7" s="1"/>
  <c r="H2851" i="7" s="1"/>
  <c r="H2852" i="7" s="1"/>
  <c r="H2853" i="7" s="1"/>
  <c r="H2854" i="7" s="1"/>
  <c r="H2855" i="7" s="1"/>
  <c r="H2856" i="7" s="1"/>
  <c r="H2857" i="7" s="1"/>
  <c r="H2858" i="7" s="1"/>
  <c r="H2859" i="7" s="1"/>
  <c r="H2860" i="7" s="1"/>
  <c r="H2861" i="7" s="1"/>
  <c r="H2862" i="7" s="1"/>
  <c r="H2863" i="7" s="1"/>
  <c r="H2864" i="7" s="1"/>
  <c r="H2865" i="7" s="1"/>
  <c r="H2866" i="7" s="1"/>
  <c r="H2867" i="7" s="1"/>
  <c r="H2868" i="7" s="1"/>
  <c r="H2869" i="7" s="1"/>
  <c r="H2870" i="7" s="1"/>
  <c r="H2871" i="7" s="1"/>
  <c r="H2872" i="7" s="1"/>
  <c r="H2873" i="7" s="1"/>
  <c r="H2874" i="7" s="1"/>
  <c r="H2875" i="7" s="1"/>
  <c r="H2876" i="7" s="1"/>
  <c r="H2877" i="7" s="1"/>
  <c r="H2878" i="7" s="1"/>
  <c r="H2879" i="7" s="1"/>
  <c r="H2880" i="7" s="1"/>
  <c r="H2881" i="7" s="1"/>
  <c r="H2882" i="7" s="1"/>
  <c r="H2883" i="7" s="1"/>
  <c r="H2884" i="7" s="1"/>
  <c r="H2885" i="7" s="1"/>
  <c r="H2886" i="7" s="1"/>
  <c r="H2887" i="7" s="1"/>
  <c r="H2888" i="7" s="1"/>
  <c r="H2889" i="7" s="1"/>
  <c r="H2890" i="7" s="1"/>
  <c r="H2891" i="7" s="1"/>
  <c r="H2892" i="7" s="1"/>
  <c r="H2893" i="7" s="1"/>
  <c r="H2894" i="7" s="1"/>
  <c r="H2895" i="7" s="1"/>
  <c r="H2896" i="7" s="1"/>
  <c r="H2897" i="7" s="1"/>
  <c r="H2898" i="7" s="1"/>
  <c r="H2899" i="7" s="1"/>
  <c r="H2900" i="7" s="1"/>
  <c r="H2901" i="7" s="1"/>
  <c r="H2902" i="7" s="1"/>
  <c r="H2903" i="7" s="1"/>
  <c r="H2904" i="7" s="1"/>
  <c r="H2905" i="7" s="1"/>
  <c r="H2906" i="7" s="1"/>
  <c r="H2907" i="7" s="1"/>
  <c r="H2908" i="7" s="1"/>
  <c r="H2909" i="7" s="1"/>
  <c r="H2910" i="7" s="1"/>
  <c r="H2911" i="7" s="1"/>
  <c r="H2912" i="7" s="1"/>
  <c r="H2913" i="7" s="1"/>
  <c r="H2914" i="7" s="1"/>
  <c r="H2915" i="7" s="1"/>
  <c r="H2916" i="7" s="1"/>
  <c r="H2917" i="7" s="1"/>
  <c r="H2918" i="7" s="1"/>
  <c r="H2919" i="7" s="1"/>
  <c r="H2920" i="7" s="1"/>
  <c r="H2921" i="7" s="1"/>
  <c r="H2922" i="7" s="1"/>
  <c r="H2923" i="7" s="1"/>
  <c r="H2924" i="7" s="1"/>
  <c r="H2925" i="7" s="1"/>
  <c r="H2926" i="7" s="1"/>
  <c r="H2927" i="7" s="1"/>
  <c r="H2928" i="7" s="1"/>
  <c r="H2929" i="7" s="1"/>
  <c r="H2930" i="7" s="1"/>
  <c r="H2931" i="7" s="1"/>
  <c r="H2932" i="7" s="1"/>
  <c r="H2933" i="7" s="1"/>
  <c r="H2934" i="7" s="1"/>
  <c r="H2935" i="7" s="1"/>
  <c r="H2936" i="7" s="1"/>
  <c r="H2937" i="7" s="1"/>
  <c r="H2938" i="7" s="1"/>
  <c r="H2939" i="7" s="1"/>
  <c r="H2940" i="7" s="1"/>
  <c r="H2941" i="7" s="1"/>
  <c r="H2942" i="7" s="1"/>
  <c r="H2943" i="7" s="1"/>
  <c r="H2944" i="7" s="1"/>
  <c r="H2945" i="7" s="1"/>
  <c r="H2946" i="7" s="1"/>
  <c r="H2947" i="7" s="1"/>
  <c r="H2948" i="7" s="1"/>
  <c r="H2949" i="7" s="1"/>
  <c r="H2950" i="7" s="1"/>
  <c r="H2951" i="7" s="1"/>
  <c r="H2952" i="7" s="1"/>
  <c r="H2953" i="7" s="1"/>
  <c r="H2954" i="7" s="1"/>
  <c r="H2955" i="7" s="1"/>
  <c r="H2956" i="7" s="1"/>
  <c r="H2957" i="7" s="1"/>
  <c r="H2958" i="7" s="1"/>
  <c r="H2959" i="7" s="1"/>
  <c r="H2960" i="7" s="1"/>
  <c r="H2961" i="7" s="1"/>
  <c r="H2962" i="7" s="1"/>
  <c r="H2963" i="7" s="1"/>
  <c r="H2964" i="7" s="1"/>
  <c r="H2965" i="7" s="1"/>
  <c r="H2966" i="7" s="1"/>
  <c r="H2967" i="7" s="1"/>
  <c r="H2968" i="7" s="1"/>
  <c r="H2969" i="7" s="1"/>
  <c r="H2970" i="7" s="1"/>
  <c r="H2971" i="7" s="1"/>
  <c r="H2972" i="7" s="1"/>
  <c r="H2973" i="7" s="1"/>
  <c r="H2974" i="7" s="1"/>
  <c r="H2975" i="7" s="1"/>
  <c r="H2976" i="7" s="1"/>
  <c r="H2977" i="7" s="1"/>
  <c r="H2978" i="7" s="1"/>
  <c r="H2979" i="7" s="1"/>
  <c r="H2980" i="7" s="1"/>
  <c r="H2981" i="7" s="1"/>
  <c r="H2982" i="7" s="1"/>
  <c r="H2983" i="7" s="1"/>
  <c r="H2984" i="7" s="1"/>
  <c r="H2985" i="7" s="1"/>
  <c r="H2986" i="7" s="1"/>
  <c r="H2987" i="7" s="1"/>
  <c r="H2988" i="7" s="1"/>
  <c r="H2989" i="7" s="1"/>
  <c r="H2990" i="7" s="1"/>
  <c r="H2991" i="7" s="1"/>
  <c r="H2992" i="7" s="1"/>
  <c r="H2993" i="7" s="1"/>
  <c r="H2994" i="7" s="1"/>
  <c r="H2995" i="7" s="1"/>
  <c r="H2996" i="7" s="1"/>
  <c r="H2997" i="7" s="1"/>
  <c r="H2998" i="7" s="1"/>
  <c r="H2999" i="7" s="1"/>
  <c r="H3000" i="7" s="1"/>
  <c r="H3001" i="7" s="1"/>
  <c r="H3002" i="7" s="1"/>
  <c r="H3003" i="7" s="1"/>
  <c r="H3004" i="7" s="1"/>
  <c r="H3005" i="7" s="1"/>
  <c r="H3006" i="7" s="1"/>
  <c r="H3007" i="7" s="1"/>
  <c r="H3008" i="7" s="1"/>
  <c r="H3009" i="7" s="1"/>
  <c r="H3010" i="7" s="1"/>
  <c r="H3011" i="7" s="1"/>
  <c r="H3012" i="7" s="1"/>
  <c r="H3013" i="7" s="1"/>
  <c r="H3014" i="7" s="1"/>
  <c r="H3015" i="7" s="1"/>
  <c r="H3016" i="7" s="1"/>
  <c r="H3017" i="7" s="1"/>
  <c r="H3018" i="7" s="1"/>
  <c r="H3019" i="7" s="1"/>
  <c r="H3020" i="7" s="1"/>
  <c r="H3021" i="7" s="1"/>
  <c r="H3022" i="7" s="1"/>
  <c r="H3023" i="7" s="1"/>
  <c r="H3024" i="7" s="1"/>
  <c r="H3025" i="7" s="1"/>
  <c r="H3026" i="7" s="1"/>
  <c r="H3027" i="7" s="1"/>
  <c r="H3028" i="7" s="1"/>
  <c r="H3029" i="7" s="1"/>
  <c r="H3030" i="7" s="1"/>
  <c r="H3031" i="7" s="1"/>
  <c r="H3032" i="7" s="1"/>
  <c r="H3033" i="7" s="1"/>
  <c r="H3034" i="7" s="1"/>
  <c r="H3035" i="7" s="1"/>
  <c r="H3036" i="7" s="1"/>
  <c r="H3037" i="7" s="1"/>
  <c r="H3038" i="7" s="1"/>
  <c r="H3039" i="7" s="1"/>
  <c r="H3040" i="7" s="1"/>
  <c r="H3041" i="7" s="1"/>
  <c r="H3042" i="7" s="1"/>
  <c r="H3043" i="7" s="1"/>
  <c r="H3044" i="7" s="1"/>
  <c r="H3045" i="7" s="1"/>
  <c r="H3046" i="7" s="1"/>
  <c r="H3047" i="7" s="1"/>
  <c r="H3048" i="7" s="1"/>
  <c r="H3049" i="7" s="1"/>
  <c r="H3050" i="7" s="1"/>
  <c r="H3051" i="7" s="1"/>
  <c r="H3052" i="7" s="1"/>
  <c r="H3053" i="7" s="1"/>
  <c r="H3054" i="7" s="1"/>
  <c r="H3055" i="7" s="1"/>
  <c r="H3056" i="7" s="1"/>
  <c r="H3057" i="7" s="1"/>
  <c r="H3058" i="7" s="1"/>
  <c r="H3059" i="7" s="1"/>
  <c r="H3060" i="7" s="1"/>
  <c r="H3061" i="7" s="1"/>
  <c r="H3062" i="7" s="1"/>
  <c r="H3063" i="7" s="1"/>
  <c r="H3064" i="7" s="1"/>
  <c r="H3065" i="7" s="1"/>
  <c r="H3066" i="7" s="1"/>
  <c r="H3067" i="7" s="1"/>
  <c r="H3068" i="7" s="1"/>
  <c r="H3069" i="7" s="1"/>
  <c r="H3070" i="7" s="1"/>
  <c r="H3071" i="7" s="1"/>
  <c r="H3072" i="7" s="1"/>
  <c r="H3073" i="7" s="1"/>
  <c r="H3074" i="7" s="1"/>
  <c r="H3075" i="7" s="1"/>
  <c r="H3076" i="7" s="1"/>
  <c r="H3077" i="7" s="1"/>
  <c r="H3078" i="7" s="1"/>
  <c r="H3079" i="7" s="1"/>
  <c r="H3080" i="7" s="1"/>
  <c r="H3081" i="7" s="1"/>
  <c r="H3082" i="7" s="1"/>
  <c r="H3083" i="7" s="1"/>
  <c r="H3084" i="7" s="1"/>
  <c r="H3085" i="7" s="1"/>
  <c r="H3086" i="7" s="1"/>
  <c r="H3087" i="7" s="1"/>
  <c r="H3088" i="7" s="1"/>
  <c r="H3089" i="7" s="1"/>
  <c r="H3090" i="7" s="1"/>
  <c r="H3091" i="7" s="1"/>
  <c r="H3092" i="7" s="1"/>
  <c r="H3093" i="7" s="1"/>
  <c r="H3094" i="7" s="1"/>
  <c r="H3095" i="7" s="1"/>
  <c r="H3096" i="7" s="1"/>
  <c r="H3097" i="7" s="1"/>
  <c r="H3098" i="7" s="1"/>
  <c r="H3099" i="7" s="1"/>
  <c r="H3100" i="7" s="1"/>
  <c r="H3101" i="7" s="1"/>
  <c r="H3102" i="7" s="1"/>
  <c r="H3103" i="7" s="1"/>
  <c r="H3104" i="7" s="1"/>
  <c r="H3105" i="7" s="1"/>
  <c r="H3106" i="7" s="1"/>
  <c r="H3107" i="7" s="1"/>
  <c r="H3108" i="7" s="1"/>
  <c r="H3109" i="7" s="1"/>
  <c r="H3110" i="7" s="1"/>
  <c r="H3111" i="7" s="1"/>
  <c r="H3112" i="7" s="1"/>
  <c r="H3113" i="7" s="1"/>
  <c r="H3114" i="7" s="1"/>
  <c r="H3115" i="7" s="1"/>
  <c r="H3116" i="7" s="1"/>
  <c r="H3117" i="7" s="1"/>
  <c r="H3118" i="7" s="1"/>
  <c r="H3119" i="7" s="1"/>
  <c r="H3120" i="7" s="1"/>
  <c r="H3121" i="7" s="1"/>
  <c r="H3122" i="7" s="1"/>
  <c r="H3123" i="7" s="1"/>
  <c r="H3124" i="7" s="1"/>
  <c r="H3125" i="7" s="1"/>
  <c r="H3126" i="7" s="1"/>
  <c r="H3127" i="7" s="1"/>
  <c r="H3128" i="7" s="1"/>
  <c r="H3129" i="7" s="1"/>
  <c r="H3130" i="7" s="1"/>
  <c r="H3131" i="7" s="1"/>
  <c r="H3132" i="7" s="1"/>
  <c r="H3133" i="7" s="1"/>
  <c r="H3134" i="7" s="1"/>
  <c r="H3135" i="7" s="1"/>
  <c r="H3136" i="7" s="1"/>
  <c r="H3137" i="7" s="1"/>
  <c r="H3138" i="7" s="1"/>
  <c r="H3139" i="7" s="1"/>
  <c r="H3140" i="7" s="1"/>
  <c r="H3141" i="7" s="1"/>
  <c r="H3142" i="7" s="1"/>
  <c r="H3143" i="7" s="1"/>
  <c r="H3144" i="7" s="1"/>
  <c r="H3145" i="7" s="1"/>
  <c r="H3146" i="7" s="1"/>
  <c r="H3147" i="7" s="1"/>
  <c r="H3148" i="7" s="1"/>
  <c r="H3149" i="7" s="1"/>
  <c r="H3150" i="7" s="1"/>
  <c r="H3151" i="7" s="1"/>
  <c r="H3152" i="7" s="1"/>
  <c r="H3153" i="7" s="1"/>
  <c r="H3154" i="7" s="1"/>
  <c r="H3155" i="7" s="1"/>
  <c r="H3156" i="7" s="1"/>
  <c r="H3157" i="7" s="1"/>
  <c r="H3158" i="7" s="1"/>
  <c r="H3159" i="7" s="1"/>
  <c r="H3160" i="7" s="1"/>
  <c r="H3161" i="7" s="1"/>
  <c r="H3162" i="7" s="1"/>
  <c r="H3163" i="7" s="1"/>
  <c r="H3164" i="7" s="1"/>
  <c r="H3165" i="7" s="1"/>
  <c r="H3166" i="7" s="1"/>
  <c r="H3167" i="7" s="1"/>
  <c r="H3168" i="7" s="1"/>
  <c r="H3169" i="7" s="1"/>
  <c r="H3170" i="7" s="1"/>
  <c r="H3171" i="7" s="1"/>
  <c r="H3172" i="7" s="1"/>
  <c r="H3173" i="7" s="1"/>
  <c r="H3174" i="7" s="1"/>
  <c r="H3175" i="7" s="1"/>
  <c r="H3176" i="7" s="1"/>
  <c r="H3177" i="7" s="1"/>
  <c r="H3178" i="7" s="1"/>
  <c r="H3179" i="7" s="1"/>
  <c r="H3180" i="7" s="1"/>
  <c r="H3181" i="7" s="1"/>
  <c r="H3182" i="7" s="1"/>
  <c r="H3183" i="7" s="1"/>
  <c r="H3184" i="7" s="1"/>
  <c r="H3185" i="7" s="1"/>
  <c r="H3186" i="7" s="1"/>
  <c r="H3187" i="7" s="1"/>
  <c r="H3188" i="7" s="1"/>
  <c r="H3189" i="7" s="1"/>
  <c r="H3190" i="7" s="1"/>
  <c r="H3191" i="7" s="1"/>
  <c r="H3192" i="7" s="1"/>
  <c r="H3193" i="7" s="1"/>
  <c r="H3194" i="7" s="1"/>
  <c r="H3195" i="7" s="1"/>
  <c r="H3196" i="7" s="1"/>
  <c r="H3197" i="7" s="1"/>
  <c r="H3198" i="7" s="1"/>
  <c r="H3199" i="7" s="1"/>
  <c r="H3200" i="7" s="1"/>
  <c r="H3201" i="7" s="1"/>
  <c r="H3202" i="7" s="1"/>
  <c r="H3203" i="7" s="1"/>
  <c r="H3204" i="7" s="1"/>
  <c r="H3205" i="7" s="1"/>
  <c r="H3206" i="7" s="1"/>
  <c r="H3207" i="7" s="1"/>
  <c r="H3208" i="7" s="1"/>
  <c r="H3209" i="7" s="1"/>
  <c r="H3210" i="7" s="1"/>
  <c r="H3211" i="7" s="1"/>
  <c r="H3212" i="7" s="1"/>
  <c r="H3213" i="7" s="1"/>
  <c r="H3214" i="7" s="1"/>
  <c r="H3215" i="7" s="1"/>
  <c r="H3216" i="7" s="1"/>
  <c r="H3217" i="7" s="1"/>
  <c r="H3218" i="7" s="1"/>
  <c r="H3219" i="7" s="1"/>
  <c r="H3220" i="7" s="1"/>
  <c r="H3221" i="7" s="1"/>
  <c r="H3222" i="7" s="1"/>
  <c r="H3223" i="7" s="1"/>
  <c r="H3224" i="7" s="1"/>
  <c r="H3225" i="7" s="1"/>
  <c r="H3226" i="7" s="1"/>
  <c r="H3227" i="7" s="1"/>
  <c r="H3228" i="7" s="1"/>
  <c r="H3229" i="7" s="1"/>
  <c r="H3230" i="7" s="1"/>
  <c r="H3231" i="7" s="1"/>
  <c r="H3232" i="7" s="1"/>
  <c r="H3233" i="7" s="1"/>
  <c r="H3234" i="7" s="1"/>
  <c r="H3235" i="7" s="1"/>
  <c r="H3236" i="7" s="1"/>
  <c r="H3237" i="7" s="1"/>
  <c r="H3238" i="7" s="1"/>
  <c r="H3239" i="7" s="1"/>
  <c r="H3240" i="7" s="1"/>
  <c r="H3241" i="7" s="1"/>
  <c r="H3242" i="7" s="1"/>
  <c r="H3243" i="7" s="1"/>
  <c r="H3244" i="7" s="1"/>
  <c r="H3245" i="7" s="1"/>
  <c r="H3246" i="7" s="1"/>
  <c r="H3247" i="7" s="1"/>
  <c r="H3248" i="7" s="1"/>
  <c r="H3249" i="7" s="1"/>
  <c r="H3250" i="7" s="1"/>
  <c r="H3251" i="7" s="1"/>
  <c r="H3252" i="7" s="1"/>
  <c r="H3253" i="7" s="1"/>
  <c r="H3254" i="7" s="1"/>
  <c r="H3255" i="7" s="1"/>
  <c r="H3256" i="7" s="1"/>
  <c r="H3257" i="7" s="1"/>
  <c r="H3258" i="7" s="1"/>
  <c r="H3259" i="7" s="1"/>
  <c r="H3260" i="7" s="1"/>
  <c r="H3261" i="7" s="1"/>
  <c r="H3262" i="7" s="1"/>
  <c r="H3263" i="7" s="1"/>
  <c r="H3264" i="7" s="1"/>
  <c r="H3265" i="7" s="1"/>
  <c r="H3266" i="7" s="1"/>
  <c r="H3267" i="7" s="1"/>
  <c r="H3268" i="7" s="1"/>
  <c r="H3269" i="7" s="1"/>
  <c r="H3270" i="7" s="1"/>
  <c r="H3271" i="7" s="1"/>
  <c r="H3272" i="7" s="1"/>
  <c r="H3273" i="7" s="1"/>
  <c r="H3274" i="7" s="1"/>
  <c r="H3275" i="7" s="1"/>
  <c r="H3276" i="7" s="1"/>
  <c r="H3277" i="7" s="1"/>
  <c r="H3278" i="7" s="1"/>
  <c r="H3279" i="7" s="1"/>
  <c r="H3280" i="7" s="1"/>
  <c r="H3281" i="7" s="1"/>
  <c r="H3282" i="7" s="1"/>
  <c r="H3283" i="7" s="1"/>
  <c r="H3284" i="7" s="1"/>
  <c r="H3285" i="7" s="1"/>
  <c r="H3286" i="7" s="1"/>
  <c r="H3287" i="7" s="1"/>
  <c r="H3288" i="7" s="1"/>
  <c r="H3289" i="7" s="1"/>
  <c r="H3290" i="7" s="1"/>
  <c r="H3291" i="7" s="1"/>
  <c r="H3292" i="7" s="1"/>
  <c r="H3293" i="7" s="1"/>
  <c r="H3294" i="7" s="1"/>
  <c r="H3295" i="7" s="1"/>
  <c r="H3296" i="7" s="1"/>
  <c r="H3297" i="7" s="1"/>
  <c r="H3298" i="7" s="1"/>
  <c r="H3299" i="7" s="1"/>
  <c r="H3300" i="7" s="1"/>
  <c r="H3301" i="7" s="1"/>
  <c r="H3302" i="7" s="1"/>
  <c r="H3303" i="7" s="1"/>
  <c r="H3304" i="7" s="1"/>
  <c r="H3305" i="7" s="1"/>
  <c r="H3306" i="7" s="1"/>
  <c r="H3307" i="7" s="1"/>
  <c r="H3308" i="7" s="1"/>
  <c r="H3309" i="7" s="1"/>
  <c r="H3310" i="7" s="1"/>
  <c r="H3311" i="7" s="1"/>
  <c r="H3312" i="7" s="1"/>
  <c r="H3313" i="7" s="1"/>
  <c r="H3314" i="7" s="1"/>
  <c r="H3315" i="7" s="1"/>
  <c r="H3316" i="7" s="1"/>
  <c r="H3317" i="7" s="1"/>
  <c r="H3318" i="7" s="1"/>
  <c r="H3319" i="7" s="1"/>
  <c r="H3320" i="7" s="1"/>
  <c r="H3321" i="7" s="1"/>
  <c r="H3322" i="7" s="1"/>
  <c r="H3323" i="7" s="1"/>
  <c r="H3324" i="7" s="1"/>
  <c r="H3325" i="7" s="1"/>
  <c r="H3326" i="7" s="1"/>
  <c r="H3327" i="7" s="1"/>
  <c r="H3328" i="7" s="1"/>
  <c r="H3329" i="7" s="1"/>
  <c r="H3330" i="7" s="1"/>
  <c r="H3331" i="7" s="1"/>
  <c r="H3332" i="7" s="1"/>
  <c r="H3333" i="7" s="1"/>
  <c r="H3334" i="7" s="1"/>
  <c r="H3335" i="7" s="1"/>
  <c r="H3336" i="7" s="1"/>
  <c r="H3337" i="7" s="1"/>
  <c r="H3338" i="7" s="1"/>
  <c r="H3339" i="7" s="1"/>
  <c r="H3340" i="7" s="1"/>
  <c r="H3341" i="7" s="1"/>
  <c r="H3342" i="7" s="1"/>
  <c r="H3343" i="7" s="1"/>
  <c r="H3344" i="7" s="1"/>
  <c r="H3345" i="7" s="1"/>
  <c r="H3346" i="7" s="1"/>
  <c r="H3347" i="7" s="1"/>
  <c r="H3348" i="7" s="1"/>
  <c r="H3349" i="7" s="1"/>
  <c r="H3350" i="7" s="1"/>
  <c r="H3351" i="7" s="1"/>
  <c r="H3352" i="7" s="1"/>
  <c r="H3353" i="7" s="1"/>
  <c r="H3354" i="7" s="1"/>
  <c r="H3355" i="7" s="1"/>
  <c r="H3356" i="7" s="1"/>
  <c r="H3357" i="7" s="1"/>
  <c r="H3358" i="7" s="1"/>
  <c r="H3359" i="7" s="1"/>
  <c r="H3360" i="7" s="1"/>
  <c r="H3361" i="7" s="1"/>
  <c r="H3362" i="7" s="1"/>
  <c r="H3363" i="7" s="1"/>
  <c r="H3364" i="7" s="1"/>
  <c r="H3365" i="7" s="1"/>
  <c r="H3366" i="7" s="1"/>
  <c r="H3367" i="7" s="1"/>
  <c r="H3368" i="7" s="1"/>
  <c r="H3369" i="7" s="1"/>
  <c r="H3370" i="7" s="1"/>
  <c r="H3371" i="7" s="1"/>
  <c r="H3372" i="7" s="1"/>
  <c r="H3373" i="7" s="1"/>
  <c r="H3374" i="7" s="1"/>
  <c r="H3375" i="7" s="1"/>
  <c r="H3376" i="7" s="1"/>
  <c r="H3377" i="7" s="1"/>
  <c r="H3378" i="7" s="1"/>
  <c r="H3379" i="7" s="1"/>
  <c r="H3380" i="7" s="1"/>
  <c r="H3381" i="7" s="1"/>
  <c r="H3382" i="7" s="1"/>
  <c r="H3383" i="7" s="1"/>
  <c r="H3384" i="7" s="1"/>
  <c r="H3385" i="7" s="1"/>
  <c r="H3386" i="7" s="1"/>
  <c r="H3387" i="7" s="1"/>
  <c r="H3388" i="7" s="1"/>
  <c r="H3389" i="7" s="1"/>
  <c r="H3390" i="7" s="1"/>
  <c r="H3391" i="7" s="1"/>
  <c r="H3392" i="7" s="1"/>
  <c r="H3393" i="7" s="1"/>
  <c r="H3394" i="7" s="1"/>
  <c r="H3395" i="7" s="1"/>
  <c r="H3396" i="7" s="1"/>
  <c r="H3397" i="7" s="1"/>
  <c r="H3398" i="7" s="1"/>
  <c r="H3399" i="7" s="1"/>
  <c r="H3400" i="7" s="1"/>
  <c r="H3401" i="7" s="1"/>
  <c r="H3402" i="7" s="1"/>
  <c r="H3403" i="7" s="1"/>
  <c r="H3404" i="7" s="1"/>
  <c r="H3405" i="7" s="1"/>
  <c r="H3406" i="7" s="1"/>
  <c r="H3407" i="7" s="1"/>
  <c r="H3408" i="7" s="1"/>
  <c r="H3409" i="7" s="1"/>
  <c r="H3410" i="7" s="1"/>
  <c r="H3411" i="7" s="1"/>
  <c r="H3412" i="7" s="1"/>
  <c r="H3413" i="7" s="1"/>
  <c r="H3414" i="7" s="1"/>
  <c r="H3415" i="7" s="1"/>
  <c r="H3416" i="7" s="1"/>
  <c r="H3417" i="7" s="1"/>
  <c r="H3418" i="7" s="1"/>
  <c r="H3419" i="7" s="1"/>
  <c r="H3420" i="7" s="1"/>
  <c r="H3421" i="7" s="1"/>
  <c r="H3422" i="7" s="1"/>
  <c r="H3423" i="7" s="1"/>
  <c r="H3424" i="7" s="1"/>
  <c r="H3425" i="7" s="1"/>
  <c r="H3426" i="7" s="1"/>
  <c r="H3427" i="7" s="1"/>
  <c r="H3428" i="7" s="1"/>
  <c r="H3429" i="7" s="1"/>
  <c r="H3430" i="7" s="1"/>
  <c r="H3431" i="7" s="1"/>
  <c r="H3432" i="7" s="1"/>
  <c r="H3433" i="7" s="1"/>
  <c r="H3434" i="7" s="1"/>
  <c r="H3435" i="7" s="1"/>
  <c r="H3436" i="7" s="1"/>
  <c r="H3437" i="7" s="1"/>
  <c r="H3438" i="7" s="1"/>
  <c r="H3439" i="7" s="1"/>
  <c r="H3440" i="7" s="1"/>
  <c r="H3441" i="7" s="1"/>
  <c r="H3442" i="7" s="1"/>
  <c r="H3443" i="7" s="1"/>
  <c r="H3444" i="7" s="1"/>
  <c r="H3445" i="7" s="1"/>
  <c r="H3446" i="7" s="1"/>
  <c r="H3447" i="7" s="1"/>
  <c r="H3448" i="7" s="1"/>
  <c r="H3449" i="7" s="1"/>
  <c r="H3450" i="7" s="1"/>
  <c r="H3451" i="7" s="1"/>
  <c r="H3452" i="7" s="1"/>
  <c r="H3453" i="7" s="1"/>
  <c r="H3454" i="7" s="1"/>
  <c r="H3455" i="7" s="1"/>
  <c r="H3456" i="7" s="1"/>
  <c r="H3457" i="7" s="1"/>
  <c r="H3458" i="7" s="1"/>
  <c r="H3459" i="7" s="1"/>
  <c r="H3460" i="7" s="1"/>
  <c r="H3461" i="7" s="1"/>
  <c r="H3462" i="7" s="1"/>
  <c r="H3463" i="7" s="1"/>
  <c r="H3464" i="7" s="1"/>
  <c r="H3465" i="7" s="1"/>
  <c r="H3466" i="7" s="1"/>
  <c r="H3467" i="7" s="1"/>
  <c r="H3468" i="7" s="1"/>
  <c r="H3469" i="7" s="1"/>
  <c r="H3470" i="7" s="1"/>
  <c r="H3471" i="7" s="1"/>
  <c r="H3472" i="7" s="1"/>
  <c r="H3473" i="7" s="1"/>
  <c r="H3474" i="7" s="1"/>
  <c r="H3475" i="7" s="1"/>
  <c r="H3476" i="7" s="1"/>
  <c r="H3477" i="7" s="1"/>
  <c r="H3478" i="7" s="1"/>
  <c r="H3479" i="7" s="1"/>
  <c r="H3480" i="7" s="1"/>
  <c r="H3481" i="7" s="1"/>
  <c r="H3482" i="7" s="1"/>
  <c r="H3483" i="7" s="1"/>
  <c r="H3484" i="7" s="1"/>
  <c r="H3485" i="7" s="1"/>
  <c r="H3486" i="7" s="1"/>
  <c r="H3487" i="7" s="1"/>
  <c r="H3488" i="7" s="1"/>
  <c r="H3489" i="7" s="1"/>
  <c r="H3490" i="7" s="1"/>
  <c r="H3491" i="7" s="1"/>
  <c r="H3492" i="7" s="1"/>
  <c r="H3493" i="7" s="1"/>
  <c r="H3494" i="7" s="1"/>
  <c r="H3495" i="7" s="1"/>
  <c r="H3496" i="7" s="1"/>
  <c r="H3497" i="7" s="1"/>
  <c r="H3498" i="7" s="1"/>
  <c r="H3499" i="7" s="1"/>
  <c r="H3500" i="7" s="1"/>
  <c r="H3501" i="7" s="1"/>
  <c r="H3502" i="7" s="1"/>
  <c r="H3503" i="7" s="1"/>
  <c r="H3504" i="7" s="1"/>
  <c r="H3505" i="7" s="1"/>
  <c r="H3506" i="7" s="1"/>
  <c r="H3507" i="7" s="1"/>
  <c r="G4" i="7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G616" i="7" s="1"/>
  <c r="G617" i="7" s="1"/>
  <c r="G618" i="7" s="1"/>
  <c r="G619" i="7" s="1"/>
  <c r="G620" i="7" s="1"/>
  <c r="G621" i="7" s="1"/>
  <c r="G622" i="7" s="1"/>
  <c r="G623" i="7" s="1"/>
  <c r="G624" i="7" s="1"/>
  <c r="G625" i="7" s="1"/>
  <c r="G626" i="7" s="1"/>
  <c r="G627" i="7" s="1"/>
  <c r="G628" i="7" s="1"/>
  <c r="G629" i="7" s="1"/>
  <c r="G630" i="7" s="1"/>
  <c r="G631" i="7" s="1"/>
  <c r="G632" i="7" s="1"/>
  <c r="G633" i="7" s="1"/>
  <c r="G634" i="7" s="1"/>
  <c r="G635" i="7" s="1"/>
  <c r="G636" i="7" s="1"/>
  <c r="G637" i="7" s="1"/>
  <c r="G638" i="7" s="1"/>
  <c r="G639" i="7" s="1"/>
  <c r="G640" i="7" s="1"/>
  <c r="G641" i="7" s="1"/>
  <c r="G642" i="7" s="1"/>
  <c r="G643" i="7" s="1"/>
  <c r="G644" i="7" s="1"/>
  <c r="G645" i="7" s="1"/>
  <c r="G646" i="7" s="1"/>
  <c r="G647" i="7" s="1"/>
  <c r="G648" i="7" s="1"/>
  <c r="G649" i="7" s="1"/>
  <c r="G650" i="7" s="1"/>
  <c r="G651" i="7" s="1"/>
  <c r="G652" i="7" s="1"/>
  <c r="G653" i="7" s="1"/>
  <c r="G654" i="7" s="1"/>
  <c r="G655" i="7" s="1"/>
  <c r="G656" i="7" s="1"/>
  <c r="G657" i="7" s="1"/>
  <c r="G658" i="7" s="1"/>
  <c r="G659" i="7" s="1"/>
  <c r="G660" i="7" s="1"/>
  <c r="G661" i="7" s="1"/>
  <c r="G662" i="7" s="1"/>
  <c r="G663" i="7" s="1"/>
  <c r="G664" i="7" s="1"/>
  <c r="G665" i="7" s="1"/>
  <c r="G666" i="7" s="1"/>
  <c r="G667" i="7" s="1"/>
  <c r="G668" i="7" s="1"/>
  <c r="G669" i="7" s="1"/>
  <c r="G670" i="7" s="1"/>
  <c r="G671" i="7" s="1"/>
  <c r="G672" i="7" s="1"/>
  <c r="G673" i="7" s="1"/>
  <c r="G674" i="7" s="1"/>
  <c r="G675" i="7" s="1"/>
  <c r="G676" i="7" s="1"/>
  <c r="G677" i="7" s="1"/>
  <c r="G678" i="7" s="1"/>
  <c r="G679" i="7" s="1"/>
  <c r="G680" i="7" s="1"/>
  <c r="G681" i="7" s="1"/>
  <c r="G682" i="7" s="1"/>
  <c r="G683" i="7" s="1"/>
  <c r="G684" i="7" s="1"/>
  <c r="G685" i="7" s="1"/>
  <c r="G686" i="7" s="1"/>
  <c r="G687" i="7" s="1"/>
  <c r="G688" i="7" s="1"/>
  <c r="G689" i="7" s="1"/>
  <c r="G690" i="7" s="1"/>
  <c r="G691" i="7" s="1"/>
  <c r="G692" i="7" s="1"/>
  <c r="G693" i="7" s="1"/>
  <c r="G694" i="7" s="1"/>
  <c r="G695" i="7" s="1"/>
  <c r="G696" i="7" s="1"/>
  <c r="G697" i="7" s="1"/>
  <c r="G698" i="7" s="1"/>
  <c r="G699" i="7" s="1"/>
  <c r="G700" i="7" s="1"/>
  <c r="G701" i="7" s="1"/>
  <c r="G702" i="7" s="1"/>
  <c r="G703" i="7" s="1"/>
  <c r="G704" i="7" s="1"/>
  <c r="G705" i="7" s="1"/>
  <c r="G706" i="7" s="1"/>
  <c r="G707" i="7" s="1"/>
  <c r="G708" i="7" s="1"/>
  <c r="G709" i="7" s="1"/>
  <c r="G710" i="7" s="1"/>
  <c r="G711" i="7" s="1"/>
  <c r="G712" i="7" s="1"/>
  <c r="G713" i="7" s="1"/>
  <c r="G714" i="7" s="1"/>
  <c r="G715" i="7" s="1"/>
  <c r="G716" i="7" s="1"/>
  <c r="G717" i="7" s="1"/>
  <c r="G718" i="7" s="1"/>
  <c r="G719" i="7" s="1"/>
  <c r="G720" i="7" s="1"/>
  <c r="G721" i="7" s="1"/>
  <c r="G722" i="7" s="1"/>
  <c r="G723" i="7" s="1"/>
  <c r="G724" i="7" s="1"/>
  <c r="G725" i="7" s="1"/>
  <c r="G726" i="7" s="1"/>
  <c r="G727" i="7" s="1"/>
  <c r="G728" i="7" s="1"/>
  <c r="G729" i="7" s="1"/>
  <c r="G730" i="7" s="1"/>
  <c r="G731" i="7" s="1"/>
  <c r="G732" i="7" s="1"/>
  <c r="G733" i="7" s="1"/>
  <c r="G734" i="7" s="1"/>
  <c r="G735" i="7" s="1"/>
  <c r="G736" i="7" s="1"/>
  <c r="G737" i="7" s="1"/>
  <c r="G738" i="7" s="1"/>
  <c r="G739" i="7" s="1"/>
  <c r="G740" i="7" s="1"/>
  <c r="G741" i="7" s="1"/>
  <c r="G742" i="7" s="1"/>
  <c r="G743" i="7" s="1"/>
  <c r="G744" i="7" s="1"/>
  <c r="G745" i="7" s="1"/>
  <c r="G746" i="7" s="1"/>
  <c r="G747" i="7" s="1"/>
  <c r="G748" i="7" s="1"/>
  <c r="G749" i="7" s="1"/>
  <c r="G750" i="7" s="1"/>
  <c r="G751" i="7" s="1"/>
  <c r="G752" i="7" s="1"/>
  <c r="G753" i="7" s="1"/>
  <c r="G754" i="7" s="1"/>
  <c r="G755" i="7" s="1"/>
  <c r="G756" i="7" s="1"/>
  <c r="G757" i="7" s="1"/>
  <c r="G758" i="7" s="1"/>
  <c r="G759" i="7" s="1"/>
  <c r="G760" i="7" s="1"/>
  <c r="G761" i="7" s="1"/>
  <c r="G762" i="7" s="1"/>
  <c r="G763" i="7" s="1"/>
  <c r="G764" i="7" s="1"/>
  <c r="G765" i="7" s="1"/>
  <c r="G766" i="7" s="1"/>
  <c r="G767" i="7" s="1"/>
  <c r="G768" i="7" s="1"/>
  <c r="G769" i="7" s="1"/>
  <c r="G770" i="7" s="1"/>
  <c r="G771" i="7" s="1"/>
  <c r="G772" i="7" s="1"/>
  <c r="G773" i="7" s="1"/>
  <c r="G774" i="7" s="1"/>
  <c r="G775" i="7" s="1"/>
  <c r="G776" i="7" s="1"/>
  <c r="G777" i="7" s="1"/>
  <c r="G778" i="7" s="1"/>
  <c r="G779" i="7" s="1"/>
  <c r="G780" i="7" s="1"/>
  <c r="G781" i="7" s="1"/>
  <c r="G782" i="7" s="1"/>
  <c r="G783" i="7" s="1"/>
  <c r="G784" i="7" s="1"/>
  <c r="G785" i="7" s="1"/>
  <c r="G786" i="7" s="1"/>
  <c r="G787" i="7" s="1"/>
  <c r="G788" i="7" s="1"/>
  <c r="G789" i="7" s="1"/>
  <c r="G790" i="7" s="1"/>
  <c r="G791" i="7" s="1"/>
  <c r="G792" i="7" s="1"/>
  <c r="G793" i="7" s="1"/>
  <c r="G794" i="7" s="1"/>
  <c r="G795" i="7" s="1"/>
  <c r="G796" i="7" s="1"/>
  <c r="G797" i="7" s="1"/>
  <c r="G798" i="7" s="1"/>
  <c r="G799" i="7" s="1"/>
  <c r="G800" i="7" s="1"/>
  <c r="G801" i="7" s="1"/>
  <c r="G802" i="7" s="1"/>
  <c r="G803" i="7" s="1"/>
  <c r="G804" i="7" s="1"/>
  <c r="G805" i="7" s="1"/>
  <c r="G806" i="7" s="1"/>
  <c r="G807" i="7" s="1"/>
  <c r="G808" i="7" s="1"/>
  <c r="G809" i="7" s="1"/>
  <c r="G810" i="7" s="1"/>
  <c r="G811" i="7" s="1"/>
  <c r="G812" i="7" s="1"/>
  <c r="G813" i="7" s="1"/>
  <c r="G814" i="7" s="1"/>
  <c r="G815" i="7" s="1"/>
  <c r="G816" i="7" s="1"/>
  <c r="G817" i="7" s="1"/>
  <c r="G818" i="7" s="1"/>
  <c r="G819" i="7" s="1"/>
  <c r="G820" i="7" s="1"/>
  <c r="G821" i="7" s="1"/>
  <c r="G822" i="7" s="1"/>
  <c r="G823" i="7" s="1"/>
  <c r="G824" i="7" s="1"/>
  <c r="G825" i="7" s="1"/>
  <c r="G826" i="7" s="1"/>
  <c r="G827" i="7" s="1"/>
  <c r="G828" i="7" s="1"/>
  <c r="G829" i="7" s="1"/>
  <c r="G830" i="7" s="1"/>
  <c r="G831" i="7" s="1"/>
  <c r="G832" i="7" s="1"/>
  <c r="G833" i="7" s="1"/>
  <c r="G834" i="7" s="1"/>
  <c r="G835" i="7" s="1"/>
  <c r="G836" i="7" s="1"/>
  <c r="G837" i="7" s="1"/>
  <c r="G838" i="7" s="1"/>
  <c r="G839" i="7" s="1"/>
  <c r="G840" i="7" s="1"/>
  <c r="G841" i="7" s="1"/>
  <c r="G842" i="7" s="1"/>
  <c r="G843" i="7" s="1"/>
  <c r="G844" i="7" s="1"/>
  <c r="G845" i="7" s="1"/>
  <c r="G846" i="7" s="1"/>
  <c r="G847" i="7" s="1"/>
  <c r="G848" i="7" s="1"/>
  <c r="G849" i="7" s="1"/>
  <c r="G850" i="7" s="1"/>
  <c r="G851" i="7" s="1"/>
  <c r="G852" i="7" s="1"/>
  <c r="G853" i="7" s="1"/>
  <c r="G854" i="7" s="1"/>
  <c r="G855" i="7" s="1"/>
  <c r="G856" i="7" s="1"/>
  <c r="G857" i="7" s="1"/>
  <c r="G858" i="7" s="1"/>
  <c r="G859" i="7" s="1"/>
  <c r="G860" i="7" s="1"/>
  <c r="G861" i="7" s="1"/>
  <c r="G862" i="7" s="1"/>
  <c r="G863" i="7" s="1"/>
  <c r="G864" i="7" s="1"/>
  <c r="G865" i="7" s="1"/>
  <c r="G866" i="7" s="1"/>
  <c r="G867" i="7" s="1"/>
  <c r="G868" i="7" s="1"/>
  <c r="G869" i="7" s="1"/>
  <c r="G870" i="7" s="1"/>
  <c r="G871" i="7" s="1"/>
  <c r="G872" i="7" s="1"/>
  <c r="G873" i="7" s="1"/>
  <c r="G874" i="7" s="1"/>
  <c r="G875" i="7" s="1"/>
  <c r="G876" i="7" s="1"/>
  <c r="G877" i="7" s="1"/>
  <c r="G878" i="7" s="1"/>
  <c r="G879" i="7" s="1"/>
  <c r="G880" i="7" s="1"/>
  <c r="G881" i="7" s="1"/>
  <c r="G882" i="7" s="1"/>
  <c r="G883" i="7" s="1"/>
  <c r="G884" i="7" s="1"/>
  <c r="G885" i="7" s="1"/>
  <c r="G886" i="7" s="1"/>
  <c r="G887" i="7" s="1"/>
  <c r="G888" i="7" s="1"/>
  <c r="G889" i="7" s="1"/>
  <c r="G890" i="7" s="1"/>
  <c r="G891" i="7" s="1"/>
  <c r="G892" i="7" s="1"/>
  <c r="G893" i="7" s="1"/>
  <c r="G894" i="7" s="1"/>
  <c r="G895" i="7" s="1"/>
  <c r="G896" i="7" s="1"/>
  <c r="G897" i="7" s="1"/>
  <c r="G898" i="7" s="1"/>
  <c r="G899" i="7" s="1"/>
  <c r="G900" i="7" s="1"/>
  <c r="G901" i="7" s="1"/>
  <c r="G902" i="7" s="1"/>
  <c r="G903" i="7" s="1"/>
  <c r="G904" i="7" s="1"/>
  <c r="G905" i="7" s="1"/>
  <c r="G906" i="7" s="1"/>
  <c r="G907" i="7" s="1"/>
  <c r="G908" i="7" s="1"/>
  <c r="G909" i="7" s="1"/>
  <c r="G910" i="7" s="1"/>
  <c r="G911" i="7" s="1"/>
  <c r="G912" i="7" s="1"/>
  <c r="G913" i="7" s="1"/>
  <c r="G914" i="7" s="1"/>
  <c r="G915" i="7" s="1"/>
  <c r="G916" i="7" s="1"/>
  <c r="G917" i="7" s="1"/>
  <c r="G918" i="7" s="1"/>
  <c r="G919" i="7" s="1"/>
  <c r="G920" i="7" s="1"/>
  <c r="G921" i="7" s="1"/>
  <c r="G922" i="7" s="1"/>
  <c r="G923" i="7" s="1"/>
  <c r="G924" i="7" s="1"/>
  <c r="G925" i="7" s="1"/>
  <c r="G926" i="7" s="1"/>
  <c r="G927" i="7" s="1"/>
  <c r="G928" i="7" s="1"/>
  <c r="G929" i="7" s="1"/>
  <c r="G930" i="7" s="1"/>
  <c r="G931" i="7" s="1"/>
  <c r="G932" i="7" s="1"/>
  <c r="G933" i="7" s="1"/>
  <c r="G934" i="7" s="1"/>
  <c r="G935" i="7" s="1"/>
  <c r="G936" i="7" s="1"/>
  <c r="G937" i="7" s="1"/>
  <c r="G938" i="7" s="1"/>
  <c r="G939" i="7" s="1"/>
  <c r="G940" i="7" s="1"/>
  <c r="G941" i="7" s="1"/>
  <c r="G942" i="7" s="1"/>
  <c r="G943" i="7" s="1"/>
  <c r="G944" i="7" s="1"/>
  <c r="G945" i="7" s="1"/>
  <c r="G946" i="7" s="1"/>
  <c r="G947" i="7" s="1"/>
  <c r="G948" i="7" s="1"/>
  <c r="G949" i="7" s="1"/>
  <c r="G950" i="7" s="1"/>
  <c r="G951" i="7" s="1"/>
  <c r="G952" i="7" s="1"/>
  <c r="G953" i="7" s="1"/>
  <c r="G954" i="7" s="1"/>
  <c r="G955" i="7" s="1"/>
  <c r="G956" i="7" s="1"/>
  <c r="G957" i="7" s="1"/>
  <c r="G958" i="7" s="1"/>
  <c r="G959" i="7" s="1"/>
  <c r="G960" i="7" s="1"/>
  <c r="G961" i="7" s="1"/>
  <c r="G962" i="7" s="1"/>
  <c r="G963" i="7" s="1"/>
  <c r="G964" i="7" s="1"/>
  <c r="G965" i="7" s="1"/>
  <c r="G966" i="7" s="1"/>
  <c r="G967" i="7" s="1"/>
  <c r="G968" i="7" s="1"/>
  <c r="G969" i="7" s="1"/>
  <c r="G970" i="7" s="1"/>
  <c r="G971" i="7" s="1"/>
  <c r="G972" i="7" s="1"/>
  <c r="G973" i="7" s="1"/>
  <c r="G974" i="7" s="1"/>
  <c r="G975" i="7" s="1"/>
  <c r="G976" i="7" s="1"/>
  <c r="G977" i="7" s="1"/>
  <c r="G978" i="7" s="1"/>
  <c r="G979" i="7" s="1"/>
  <c r="G980" i="7" s="1"/>
  <c r="G981" i="7" s="1"/>
  <c r="G982" i="7" s="1"/>
  <c r="G983" i="7" s="1"/>
  <c r="G984" i="7" s="1"/>
  <c r="G985" i="7" s="1"/>
  <c r="G986" i="7" s="1"/>
  <c r="G987" i="7" s="1"/>
  <c r="G988" i="7" s="1"/>
  <c r="G989" i="7" s="1"/>
  <c r="G990" i="7" s="1"/>
  <c r="G991" i="7" s="1"/>
  <c r="G992" i="7" s="1"/>
  <c r="G993" i="7" s="1"/>
  <c r="G994" i="7" s="1"/>
  <c r="G995" i="7" s="1"/>
  <c r="G996" i="7" s="1"/>
  <c r="G997" i="7" s="1"/>
  <c r="G998" i="7" s="1"/>
  <c r="G999" i="7" s="1"/>
  <c r="G1000" i="7" s="1"/>
  <c r="G1001" i="7" s="1"/>
  <c r="G1002" i="7" s="1"/>
  <c r="G1003" i="7" s="1"/>
  <c r="G1004" i="7" s="1"/>
  <c r="G1005" i="7" s="1"/>
  <c r="G1006" i="7" s="1"/>
  <c r="G1007" i="7" s="1"/>
  <c r="G1008" i="7" s="1"/>
  <c r="G1009" i="7" s="1"/>
  <c r="G1010" i="7" s="1"/>
  <c r="G1011" i="7" s="1"/>
  <c r="G1012" i="7" s="1"/>
  <c r="G1013" i="7" s="1"/>
  <c r="G1014" i="7" s="1"/>
  <c r="G1015" i="7" s="1"/>
  <c r="G1016" i="7" s="1"/>
  <c r="G1017" i="7" s="1"/>
  <c r="G1018" i="7" s="1"/>
  <c r="G1019" i="7" s="1"/>
  <c r="G1020" i="7" s="1"/>
  <c r="G1021" i="7" s="1"/>
  <c r="G1022" i="7" s="1"/>
  <c r="G1023" i="7" s="1"/>
  <c r="G1024" i="7" s="1"/>
  <c r="G1025" i="7" s="1"/>
  <c r="G1026" i="7" s="1"/>
  <c r="G1027" i="7" s="1"/>
  <c r="G1028" i="7" s="1"/>
  <c r="G1029" i="7" s="1"/>
  <c r="G1030" i="7" s="1"/>
  <c r="G1031" i="7" s="1"/>
  <c r="G1032" i="7" s="1"/>
  <c r="G1033" i="7" s="1"/>
  <c r="G1034" i="7" s="1"/>
  <c r="G1035" i="7" s="1"/>
  <c r="G1036" i="7" s="1"/>
  <c r="G1037" i="7" s="1"/>
  <c r="G1038" i="7" s="1"/>
  <c r="G1039" i="7" s="1"/>
  <c r="G1040" i="7" s="1"/>
  <c r="G1041" i="7" s="1"/>
  <c r="G1042" i="7" s="1"/>
  <c r="G1043" i="7" s="1"/>
  <c r="G1044" i="7" s="1"/>
  <c r="G1045" i="7" s="1"/>
  <c r="G1046" i="7" s="1"/>
  <c r="G1047" i="7" s="1"/>
  <c r="G1048" i="7" s="1"/>
  <c r="G1049" i="7" s="1"/>
  <c r="G1050" i="7" s="1"/>
  <c r="G1051" i="7" s="1"/>
  <c r="G1052" i="7" s="1"/>
  <c r="G1053" i="7" s="1"/>
  <c r="G1054" i="7" s="1"/>
  <c r="G1055" i="7" s="1"/>
  <c r="G1056" i="7" s="1"/>
  <c r="G1057" i="7" s="1"/>
  <c r="G1058" i="7" s="1"/>
  <c r="G1059" i="7" s="1"/>
  <c r="G1060" i="7" s="1"/>
  <c r="G1061" i="7" s="1"/>
  <c r="G1062" i="7" s="1"/>
  <c r="G1063" i="7" s="1"/>
  <c r="G1064" i="7" s="1"/>
  <c r="G1065" i="7" s="1"/>
  <c r="G1066" i="7" s="1"/>
  <c r="G1067" i="7" s="1"/>
  <c r="G1068" i="7" s="1"/>
  <c r="G1069" i="7" s="1"/>
  <c r="G1070" i="7" s="1"/>
  <c r="G1071" i="7" s="1"/>
  <c r="G1072" i="7" s="1"/>
  <c r="G1073" i="7" s="1"/>
  <c r="G1074" i="7" s="1"/>
  <c r="G1075" i="7" s="1"/>
  <c r="G1076" i="7" s="1"/>
  <c r="G1077" i="7" s="1"/>
  <c r="G1078" i="7" s="1"/>
  <c r="G1079" i="7" s="1"/>
  <c r="G1080" i="7" s="1"/>
  <c r="G1081" i="7" s="1"/>
  <c r="G1082" i="7" s="1"/>
  <c r="G1083" i="7" s="1"/>
  <c r="G1084" i="7" s="1"/>
  <c r="G1085" i="7" s="1"/>
  <c r="G1086" i="7" s="1"/>
  <c r="G1087" i="7" s="1"/>
  <c r="G1088" i="7" s="1"/>
  <c r="G1089" i="7" s="1"/>
  <c r="G1090" i="7" s="1"/>
  <c r="G1091" i="7" s="1"/>
  <c r="G1092" i="7" s="1"/>
  <c r="G1093" i="7" s="1"/>
  <c r="G1094" i="7" s="1"/>
  <c r="G1095" i="7" s="1"/>
  <c r="G1096" i="7" s="1"/>
  <c r="G1097" i="7" s="1"/>
  <c r="G1098" i="7" s="1"/>
  <c r="G1099" i="7" s="1"/>
  <c r="G1100" i="7" s="1"/>
  <c r="G1101" i="7" s="1"/>
  <c r="G1102" i="7" s="1"/>
  <c r="G1103" i="7" s="1"/>
  <c r="G1104" i="7" s="1"/>
  <c r="G1105" i="7" s="1"/>
  <c r="G1106" i="7" s="1"/>
  <c r="G1107" i="7" s="1"/>
  <c r="G1108" i="7" s="1"/>
  <c r="G1109" i="7" s="1"/>
  <c r="G1110" i="7" s="1"/>
  <c r="G1111" i="7" s="1"/>
  <c r="G1112" i="7" s="1"/>
  <c r="G1113" i="7" s="1"/>
  <c r="G1114" i="7" s="1"/>
  <c r="G1115" i="7" s="1"/>
  <c r="G1116" i="7" s="1"/>
  <c r="G1117" i="7" s="1"/>
  <c r="G1118" i="7" s="1"/>
  <c r="G1119" i="7" s="1"/>
  <c r="G1120" i="7" s="1"/>
  <c r="G1121" i="7" s="1"/>
  <c r="G1122" i="7" s="1"/>
  <c r="G1123" i="7" s="1"/>
  <c r="G1124" i="7" s="1"/>
  <c r="G1125" i="7" s="1"/>
  <c r="G1126" i="7" s="1"/>
  <c r="G1127" i="7" s="1"/>
  <c r="G1128" i="7" s="1"/>
  <c r="G1129" i="7" s="1"/>
  <c r="G1130" i="7" s="1"/>
  <c r="G1131" i="7" s="1"/>
  <c r="G1132" i="7" s="1"/>
  <c r="G1133" i="7" s="1"/>
  <c r="G1134" i="7" s="1"/>
  <c r="G1135" i="7" s="1"/>
  <c r="G1136" i="7" s="1"/>
  <c r="G1137" i="7" s="1"/>
  <c r="G1138" i="7" s="1"/>
  <c r="G1139" i="7" s="1"/>
  <c r="G1140" i="7" s="1"/>
  <c r="G1141" i="7" s="1"/>
  <c r="G1142" i="7" s="1"/>
  <c r="G1143" i="7" s="1"/>
  <c r="G1144" i="7" s="1"/>
  <c r="G1145" i="7" s="1"/>
  <c r="G1146" i="7" s="1"/>
  <c r="G1147" i="7" s="1"/>
  <c r="G1148" i="7" s="1"/>
  <c r="G1149" i="7" s="1"/>
  <c r="G1150" i="7" s="1"/>
  <c r="G1151" i="7" s="1"/>
  <c r="G1152" i="7" s="1"/>
  <c r="G1153" i="7" s="1"/>
  <c r="G1154" i="7" s="1"/>
  <c r="G1155" i="7" s="1"/>
  <c r="G1156" i="7" s="1"/>
  <c r="G1157" i="7" s="1"/>
  <c r="G1158" i="7" s="1"/>
  <c r="G1159" i="7" s="1"/>
  <c r="G1160" i="7" s="1"/>
  <c r="G1161" i="7" s="1"/>
  <c r="G1162" i="7" s="1"/>
  <c r="G1163" i="7" s="1"/>
  <c r="G1164" i="7" s="1"/>
  <c r="G1165" i="7" s="1"/>
  <c r="G1166" i="7" s="1"/>
  <c r="G1167" i="7" s="1"/>
  <c r="G1168" i="7" s="1"/>
  <c r="G1169" i="7" s="1"/>
  <c r="G1170" i="7" s="1"/>
  <c r="G1171" i="7" s="1"/>
  <c r="G1172" i="7" s="1"/>
  <c r="G1173" i="7" s="1"/>
  <c r="G1174" i="7" s="1"/>
  <c r="G1175" i="7" s="1"/>
  <c r="G1176" i="7" s="1"/>
  <c r="G1177" i="7" s="1"/>
  <c r="G1178" i="7" s="1"/>
  <c r="G1179" i="7" s="1"/>
  <c r="G1180" i="7" s="1"/>
  <c r="G1181" i="7" s="1"/>
  <c r="G1182" i="7" s="1"/>
  <c r="G1183" i="7" s="1"/>
  <c r="G1184" i="7" s="1"/>
  <c r="G1185" i="7" s="1"/>
  <c r="G1186" i="7" s="1"/>
  <c r="G1187" i="7" s="1"/>
  <c r="G1188" i="7" s="1"/>
  <c r="G1189" i="7" s="1"/>
  <c r="G1190" i="7" s="1"/>
  <c r="G1191" i="7" s="1"/>
  <c r="G1192" i="7" s="1"/>
  <c r="G1193" i="7" s="1"/>
  <c r="G1194" i="7" s="1"/>
  <c r="G1195" i="7" s="1"/>
  <c r="G1196" i="7" s="1"/>
  <c r="G1197" i="7" s="1"/>
  <c r="G1198" i="7" s="1"/>
  <c r="G1199" i="7" s="1"/>
  <c r="G1200" i="7" s="1"/>
  <c r="G1201" i="7" s="1"/>
  <c r="G1202" i="7" s="1"/>
  <c r="G1203" i="7" s="1"/>
  <c r="G1204" i="7" s="1"/>
  <c r="G1205" i="7" s="1"/>
  <c r="G1206" i="7" s="1"/>
  <c r="G1207" i="7" s="1"/>
  <c r="G1208" i="7" s="1"/>
  <c r="G1209" i="7" s="1"/>
  <c r="G1210" i="7" s="1"/>
  <c r="G1211" i="7" s="1"/>
  <c r="G1212" i="7" s="1"/>
  <c r="G1213" i="7" s="1"/>
  <c r="G1214" i="7" s="1"/>
  <c r="G1215" i="7" s="1"/>
  <c r="G1216" i="7" s="1"/>
  <c r="G1217" i="7" s="1"/>
  <c r="G1218" i="7" s="1"/>
  <c r="G1219" i="7" s="1"/>
  <c r="G1220" i="7" s="1"/>
  <c r="G1221" i="7" s="1"/>
  <c r="G1222" i="7" s="1"/>
  <c r="G1223" i="7" s="1"/>
  <c r="G1224" i="7" s="1"/>
  <c r="G1225" i="7" s="1"/>
  <c r="G1226" i="7" s="1"/>
  <c r="G1227" i="7" s="1"/>
  <c r="G1228" i="7" s="1"/>
  <c r="G1229" i="7" s="1"/>
  <c r="G1230" i="7" s="1"/>
  <c r="G1231" i="7" s="1"/>
  <c r="G1232" i="7" s="1"/>
  <c r="G1233" i="7" s="1"/>
  <c r="G1234" i="7" s="1"/>
  <c r="G1235" i="7" s="1"/>
  <c r="G1236" i="7" s="1"/>
  <c r="G1237" i="7" s="1"/>
  <c r="G1238" i="7" s="1"/>
  <c r="G1239" i="7" s="1"/>
  <c r="G1240" i="7" s="1"/>
  <c r="G1241" i="7" s="1"/>
  <c r="G1242" i="7" s="1"/>
  <c r="G1243" i="7" s="1"/>
  <c r="G1244" i="7" s="1"/>
  <c r="G1245" i="7" s="1"/>
  <c r="G1246" i="7" s="1"/>
  <c r="G1247" i="7" s="1"/>
  <c r="G1248" i="7" s="1"/>
  <c r="G1249" i="7" s="1"/>
  <c r="G1250" i="7" s="1"/>
  <c r="G1251" i="7" s="1"/>
  <c r="G1252" i="7" s="1"/>
  <c r="G1253" i="7" s="1"/>
  <c r="G1254" i="7" s="1"/>
  <c r="G1255" i="7" s="1"/>
  <c r="G1256" i="7" s="1"/>
  <c r="G1257" i="7" s="1"/>
  <c r="G1258" i="7" s="1"/>
  <c r="G1259" i="7" s="1"/>
  <c r="G1260" i="7" s="1"/>
  <c r="G1261" i="7" s="1"/>
  <c r="G1262" i="7" s="1"/>
  <c r="G1263" i="7" s="1"/>
  <c r="G1264" i="7" s="1"/>
  <c r="G1265" i="7" s="1"/>
  <c r="G1266" i="7" s="1"/>
  <c r="G1267" i="7" s="1"/>
  <c r="G1268" i="7" s="1"/>
  <c r="G1269" i="7" s="1"/>
  <c r="G1270" i="7" s="1"/>
  <c r="G1271" i="7" s="1"/>
  <c r="G1272" i="7" s="1"/>
  <c r="G1273" i="7" s="1"/>
  <c r="G1274" i="7" s="1"/>
  <c r="G1275" i="7" s="1"/>
  <c r="G1276" i="7" s="1"/>
  <c r="G1277" i="7" s="1"/>
  <c r="G1278" i="7" s="1"/>
  <c r="G1279" i="7" s="1"/>
  <c r="G1280" i="7" s="1"/>
  <c r="G1281" i="7" s="1"/>
  <c r="G1282" i="7" s="1"/>
  <c r="G1283" i="7" s="1"/>
  <c r="G1284" i="7" s="1"/>
  <c r="G1285" i="7" s="1"/>
  <c r="G1286" i="7" s="1"/>
  <c r="G1287" i="7" s="1"/>
  <c r="G1288" i="7" s="1"/>
  <c r="G1289" i="7" s="1"/>
  <c r="G1290" i="7" s="1"/>
  <c r="G1291" i="7" s="1"/>
  <c r="G1292" i="7" s="1"/>
  <c r="G1293" i="7" s="1"/>
  <c r="G1294" i="7" s="1"/>
  <c r="G1295" i="7" s="1"/>
  <c r="G1296" i="7" s="1"/>
  <c r="G1297" i="7" s="1"/>
  <c r="G1298" i="7" s="1"/>
  <c r="G1299" i="7" s="1"/>
  <c r="G1300" i="7" s="1"/>
  <c r="G1301" i="7" s="1"/>
  <c r="G1302" i="7" s="1"/>
  <c r="G1303" i="7" s="1"/>
  <c r="G1304" i="7" s="1"/>
  <c r="G1305" i="7" s="1"/>
  <c r="G1306" i="7" s="1"/>
  <c r="G1307" i="7" s="1"/>
  <c r="G1308" i="7" s="1"/>
  <c r="G1309" i="7" s="1"/>
  <c r="G1310" i="7" s="1"/>
  <c r="G1311" i="7" s="1"/>
  <c r="G1312" i="7" s="1"/>
  <c r="G1313" i="7" s="1"/>
  <c r="G1314" i="7" s="1"/>
  <c r="G1315" i="7" s="1"/>
  <c r="G1316" i="7" s="1"/>
  <c r="G1317" i="7" s="1"/>
  <c r="G1318" i="7" s="1"/>
  <c r="G1319" i="7" s="1"/>
  <c r="G1320" i="7" s="1"/>
  <c r="G1321" i="7" s="1"/>
  <c r="G1322" i="7" s="1"/>
  <c r="G1323" i="7" s="1"/>
  <c r="G1324" i="7" s="1"/>
  <c r="G1325" i="7" s="1"/>
  <c r="G1326" i="7" s="1"/>
  <c r="G1327" i="7" s="1"/>
  <c r="G1328" i="7" s="1"/>
  <c r="G1329" i="7" s="1"/>
  <c r="G1330" i="7" s="1"/>
  <c r="G1331" i="7" s="1"/>
  <c r="G1332" i="7" s="1"/>
  <c r="G1333" i="7" s="1"/>
  <c r="G1334" i="7" s="1"/>
  <c r="G1335" i="7" s="1"/>
  <c r="G1336" i="7" s="1"/>
  <c r="G1337" i="7" s="1"/>
  <c r="G1338" i="7" s="1"/>
  <c r="G1339" i="7" s="1"/>
  <c r="G1340" i="7" s="1"/>
  <c r="G1341" i="7" s="1"/>
  <c r="G1342" i="7" s="1"/>
  <c r="G1343" i="7" s="1"/>
  <c r="G1344" i="7" s="1"/>
  <c r="G1345" i="7" s="1"/>
  <c r="G1346" i="7" s="1"/>
  <c r="G1347" i="7" s="1"/>
  <c r="G1348" i="7" s="1"/>
  <c r="G1349" i="7" s="1"/>
  <c r="G1350" i="7" s="1"/>
  <c r="G1351" i="7" s="1"/>
  <c r="G1352" i="7" s="1"/>
  <c r="G1353" i="7" s="1"/>
  <c r="G1354" i="7" s="1"/>
  <c r="G1355" i="7" s="1"/>
  <c r="G1356" i="7" s="1"/>
  <c r="G1357" i="7" s="1"/>
  <c r="G1358" i="7" s="1"/>
  <c r="G1359" i="7" s="1"/>
  <c r="G1360" i="7" s="1"/>
  <c r="G1361" i="7" s="1"/>
  <c r="G1362" i="7" s="1"/>
  <c r="G1363" i="7" s="1"/>
  <c r="G1364" i="7" s="1"/>
  <c r="G1365" i="7" s="1"/>
  <c r="G1366" i="7" s="1"/>
  <c r="G1367" i="7" s="1"/>
  <c r="G1368" i="7" s="1"/>
  <c r="G1369" i="7" s="1"/>
  <c r="G1370" i="7" s="1"/>
  <c r="G1371" i="7" s="1"/>
  <c r="G1372" i="7" s="1"/>
  <c r="G1373" i="7" s="1"/>
  <c r="G1374" i="7" s="1"/>
  <c r="G1375" i="7" s="1"/>
  <c r="G1376" i="7" s="1"/>
  <c r="G1377" i="7" s="1"/>
  <c r="G1378" i="7" s="1"/>
  <c r="G1379" i="7" s="1"/>
  <c r="G1380" i="7" s="1"/>
  <c r="G1381" i="7" s="1"/>
  <c r="G1382" i="7" s="1"/>
  <c r="G1383" i="7" s="1"/>
  <c r="G1384" i="7" s="1"/>
  <c r="G1385" i="7" s="1"/>
  <c r="G1386" i="7" s="1"/>
  <c r="G1387" i="7" s="1"/>
  <c r="G1388" i="7" s="1"/>
  <c r="G1389" i="7" s="1"/>
  <c r="G1390" i="7" s="1"/>
  <c r="G1391" i="7" s="1"/>
  <c r="G1392" i="7" s="1"/>
  <c r="G1393" i="7" s="1"/>
  <c r="G1394" i="7" s="1"/>
  <c r="G1395" i="7" s="1"/>
  <c r="G1396" i="7" s="1"/>
  <c r="G1397" i="7" s="1"/>
  <c r="G1398" i="7" s="1"/>
  <c r="G1399" i="7" s="1"/>
  <c r="G1400" i="7" s="1"/>
  <c r="G1401" i="7" s="1"/>
  <c r="G1402" i="7" s="1"/>
  <c r="G1403" i="7" s="1"/>
  <c r="G1404" i="7" s="1"/>
  <c r="G1405" i="7" s="1"/>
  <c r="G1406" i="7" s="1"/>
  <c r="G1407" i="7" s="1"/>
  <c r="G1408" i="7" s="1"/>
  <c r="G1409" i="7" s="1"/>
  <c r="G1410" i="7" s="1"/>
  <c r="G1411" i="7" s="1"/>
  <c r="G1412" i="7" s="1"/>
  <c r="G1413" i="7" s="1"/>
  <c r="G1414" i="7" s="1"/>
  <c r="G1415" i="7" s="1"/>
  <c r="G1416" i="7" s="1"/>
  <c r="G1417" i="7" s="1"/>
  <c r="G1418" i="7" s="1"/>
  <c r="G1419" i="7" s="1"/>
  <c r="G1420" i="7" s="1"/>
  <c r="G1421" i="7" s="1"/>
  <c r="G1422" i="7" s="1"/>
  <c r="G1423" i="7" s="1"/>
  <c r="G1424" i="7" s="1"/>
  <c r="G1425" i="7" s="1"/>
  <c r="G1426" i="7" s="1"/>
  <c r="G1427" i="7" s="1"/>
  <c r="G1428" i="7" s="1"/>
  <c r="G1429" i="7" s="1"/>
  <c r="G1430" i="7" s="1"/>
  <c r="G1431" i="7" s="1"/>
  <c r="G1432" i="7" s="1"/>
  <c r="G1433" i="7" s="1"/>
  <c r="G1434" i="7" s="1"/>
  <c r="G1435" i="7" s="1"/>
  <c r="G1436" i="7" s="1"/>
  <c r="G1437" i="7" s="1"/>
  <c r="G1438" i="7" s="1"/>
  <c r="G1439" i="7" s="1"/>
  <c r="G1440" i="7" s="1"/>
  <c r="G1441" i="7" s="1"/>
  <c r="G1442" i="7" s="1"/>
  <c r="G1443" i="7" s="1"/>
  <c r="G1444" i="7" s="1"/>
  <c r="G1445" i="7" s="1"/>
  <c r="G1446" i="7" s="1"/>
  <c r="G1447" i="7" s="1"/>
  <c r="G1448" i="7" s="1"/>
  <c r="G1449" i="7" s="1"/>
  <c r="G1450" i="7" s="1"/>
  <c r="G1451" i="7" s="1"/>
  <c r="G1452" i="7" s="1"/>
  <c r="G1453" i="7" s="1"/>
  <c r="G1454" i="7" s="1"/>
  <c r="G1455" i="7" s="1"/>
  <c r="G1456" i="7" s="1"/>
  <c r="G1457" i="7" s="1"/>
  <c r="G1458" i="7" s="1"/>
  <c r="G1459" i="7" s="1"/>
  <c r="G1460" i="7" s="1"/>
  <c r="G1461" i="7" s="1"/>
  <c r="G1462" i="7" s="1"/>
  <c r="G1463" i="7" s="1"/>
  <c r="G1464" i="7" s="1"/>
  <c r="G1465" i="7" s="1"/>
  <c r="G1466" i="7" s="1"/>
  <c r="G1467" i="7" s="1"/>
  <c r="G1468" i="7" s="1"/>
  <c r="G1469" i="7" s="1"/>
  <c r="G1470" i="7" s="1"/>
  <c r="G1471" i="7" s="1"/>
  <c r="G1472" i="7" s="1"/>
  <c r="G1473" i="7" s="1"/>
  <c r="G1474" i="7" s="1"/>
  <c r="G1475" i="7" s="1"/>
  <c r="G1476" i="7" s="1"/>
  <c r="G1477" i="7" s="1"/>
  <c r="G1478" i="7" s="1"/>
  <c r="G1479" i="7" s="1"/>
  <c r="G1480" i="7" s="1"/>
  <c r="G1481" i="7" s="1"/>
  <c r="G1482" i="7" s="1"/>
  <c r="G1483" i="7" s="1"/>
  <c r="G1484" i="7" s="1"/>
  <c r="G1485" i="7" s="1"/>
  <c r="G1486" i="7" s="1"/>
  <c r="G1487" i="7" s="1"/>
  <c r="G1488" i="7" s="1"/>
  <c r="G1489" i="7" s="1"/>
  <c r="G1490" i="7" s="1"/>
  <c r="G1491" i="7" s="1"/>
  <c r="G1492" i="7" s="1"/>
  <c r="G1493" i="7" s="1"/>
  <c r="G1494" i="7" s="1"/>
  <c r="G1495" i="7" s="1"/>
  <c r="G1496" i="7" s="1"/>
  <c r="G1497" i="7" s="1"/>
  <c r="G1498" i="7" s="1"/>
  <c r="G1499" i="7" s="1"/>
  <c r="G1500" i="7" s="1"/>
  <c r="G1501" i="7" s="1"/>
  <c r="G1502" i="7" s="1"/>
  <c r="G1503" i="7" s="1"/>
  <c r="G1504" i="7" s="1"/>
  <c r="G1505" i="7" s="1"/>
  <c r="G1506" i="7" s="1"/>
  <c r="G1507" i="7" s="1"/>
  <c r="G1508" i="7" s="1"/>
  <c r="G1509" i="7" s="1"/>
  <c r="G1510" i="7" s="1"/>
  <c r="G1511" i="7" s="1"/>
  <c r="G1512" i="7" s="1"/>
  <c r="G1513" i="7" s="1"/>
  <c r="G1514" i="7" s="1"/>
  <c r="G1515" i="7" s="1"/>
  <c r="G1516" i="7" s="1"/>
  <c r="G1517" i="7" s="1"/>
  <c r="G1518" i="7" s="1"/>
  <c r="G1519" i="7" s="1"/>
  <c r="G1520" i="7" s="1"/>
  <c r="G1521" i="7" s="1"/>
  <c r="G1522" i="7" s="1"/>
  <c r="G1523" i="7" s="1"/>
  <c r="G1524" i="7" s="1"/>
  <c r="G1525" i="7" s="1"/>
  <c r="G1526" i="7" s="1"/>
  <c r="G1527" i="7" s="1"/>
  <c r="G1528" i="7" s="1"/>
  <c r="G1529" i="7" s="1"/>
  <c r="G1530" i="7" s="1"/>
  <c r="G1531" i="7" s="1"/>
  <c r="G1532" i="7" s="1"/>
  <c r="G1533" i="7" s="1"/>
  <c r="G1534" i="7" s="1"/>
  <c r="G1535" i="7" s="1"/>
  <c r="G1536" i="7" s="1"/>
  <c r="G1537" i="7" s="1"/>
  <c r="G1538" i="7" s="1"/>
  <c r="G1539" i="7" s="1"/>
  <c r="G1540" i="7" s="1"/>
  <c r="G1541" i="7" s="1"/>
  <c r="G1542" i="7" s="1"/>
  <c r="G1543" i="7" s="1"/>
  <c r="G1544" i="7" s="1"/>
  <c r="G1545" i="7" s="1"/>
  <c r="G1546" i="7" s="1"/>
  <c r="G1547" i="7" s="1"/>
  <c r="G1548" i="7" s="1"/>
  <c r="G1549" i="7" s="1"/>
  <c r="G1550" i="7" s="1"/>
  <c r="G1551" i="7" s="1"/>
  <c r="G1552" i="7" s="1"/>
  <c r="G1553" i="7" s="1"/>
  <c r="G1554" i="7" s="1"/>
  <c r="G1555" i="7" s="1"/>
  <c r="G1556" i="7" s="1"/>
  <c r="G1557" i="7" s="1"/>
  <c r="G1558" i="7" s="1"/>
  <c r="G1559" i="7" s="1"/>
  <c r="G1560" i="7" s="1"/>
  <c r="G1561" i="7" s="1"/>
  <c r="G1562" i="7" s="1"/>
  <c r="G1563" i="7" s="1"/>
  <c r="G1564" i="7" s="1"/>
  <c r="G1565" i="7" s="1"/>
  <c r="G1566" i="7" s="1"/>
  <c r="G1567" i="7" s="1"/>
  <c r="G1568" i="7" s="1"/>
  <c r="G1569" i="7" s="1"/>
  <c r="G1570" i="7" s="1"/>
  <c r="G1571" i="7" s="1"/>
  <c r="G1572" i="7" s="1"/>
  <c r="G1573" i="7" s="1"/>
  <c r="G1574" i="7" s="1"/>
  <c r="G1575" i="7" s="1"/>
  <c r="G1576" i="7" s="1"/>
  <c r="G1577" i="7" s="1"/>
  <c r="G1578" i="7" s="1"/>
  <c r="G1579" i="7" s="1"/>
  <c r="G1580" i="7" s="1"/>
  <c r="G1581" i="7" s="1"/>
  <c r="G1582" i="7" s="1"/>
  <c r="G1583" i="7" s="1"/>
  <c r="G1584" i="7" s="1"/>
  <c r="G1585" i="7" s="1"/>
  <c r="G1586" i="7" s="1"/>
  <c r="G1587" i="7" s="1"/>
  <c r="G1588" i="7" s="1"/>
  <c r="G1589" i="7" s="1"/>
  <c r="G1590" i="7" s="1"/>
  <c r="G1591" i="7" s="1"/>
  <c r="G1592" i="7" s="1"/>
  <c r="G1593" i="7" s="1"/>
  <c r="G1594" i="7" s="1"/>
  <c r="G1595" i="7" s="1"/>
  <c r="G1596" i="7" s="1"/>
  <c r="G1597" i="7" s="1"/>
  <c r="G1598" i="7" s="1"/>
  <c r="G1599" i="7" s="1"/>
  <c r="G1600" i="7" s="1"/>
  <c r="G1601" i="7" s="1"/>
  <c r="G1602" i="7" s="1"/>
  <c r="G1603" i="7" s="1"/>
  <c r="G1604" i="7" s="1"/>
  <c r="G1605" i="7" s="1"/>
  <c r="G1606" i="7" s="1"/>
  <c r="G1607" i="7" s="1"/>
  <c r="G1608" i="7" s="1"/>
  <c r="G1609" i="7" s="1"/>
  <c r="G1610" i="7" s="1"/>
  <c r="G1611" i="7" s="1"/>
  <c r="G1612" i="7" s="1"/>
  <c r="G1613" i="7" s="1"/>
  <c r="G1614" i="7" s="1"/>
  <c r="G1615" i="7" s="1"/>
  <c r="G1616" i="7" s="1"/>
  <c r="G1617" i="7" s="1"/>
  <c r="G1618" i="7" s="1"/>
  <c r="G1619" i="7" s="1"/>
  <c r="G1620" i="7" s="1"/>
  <c r="G1621" i="7" s="1"/>
  <c r="G1622" i="7" s="1"/>
  <c r="G1623" i="7" s="1"/>
  <c r="G1624" i="7" s="1"/>
  <c r="G1625" i="7" s="1"/>
  <c r="G1626" i="7" s="1"/>
  <c r="G1627" i="7" s="1"/>
  <c r="G1628" i="7" s="1"/>
  <c r="G1629" i="7" s="1"/>
  <c r="G1630" i="7" s="1"/>
  <c r="G1631" i="7" s="1"/>
  <c r="G1632" i="7" s="1"/>
  <c r="G1633" i="7" s="1"/>
  <c r="G1634" i="7" s="1"/>
  <c r="G1635" i="7" s="1"/>
  <c r="G1636" i="7" s="1"/>
  <c r="G1637" i="7" s="1"/>
  <c r="G1638" i="7" s="1"/>
  <c r="G1639" i="7" s="1"/>
  <c r="G1640" i="7" s="1"/>
  <c r="G1641" i="7" s="1"/>
  <c r="G1642" i="7" s="1"/>
  <c r="G1643" i="7" s="1"/>
  <c r="G1644" i="7" s="1"/>
  <c r="G1645" i="7" s="1"/>
  <c r="G1646" i="7" s="1"/>
  <c r="G1647" i="7" s="1"/>
  <c r="G1648" i="7" s="1"/>
  <c r="G1649" i="7" s="1"/>
  <c r="G1650" i="7" s="1"/>
  <c r="G1651" i="7" s="1"/>
  <c r="G1652" i="7" s="1"/>
  <c r="G1653" i="7" s="1"/>
  <c r="G1654" i="7" s="1"/>
  <c r="G1655" i="7" s="1"/>
  <c r="G1656" i="7" s="1"/>
  <c r="G1657" i="7" s="1"/>
  <c r="G1658" i="7" s="1"/>
  <c r="G1659" i="7" s="1"/>
  <c r="G1660" i="7" s="1"/>
  <c r="G1661" i="7" s="1"/>
  <c r="G1662" i="7" s="1"/>
  <c r="G1663" i="7" s="1"/>
  <c r="G1664" i="7" s="1"/>
  <c r="G1665" i="7" s="1"/>
  <c r="G1666" i="7" s="1"/>
  <c r="G1667" i="7" s="1"/>
  <c r="G1668" i="7" s="1"/>
  <c r="G1669" i="7" s="1"/>
  <c r="G1670" i="7" s="1"/>
  <c r="G1671" i="7" s="1"/>
  <c r="G1672" i="7" s="1"/>
  <c r="G1673" i="7" s="1"/>
  <c r="G1674" i="7" s="1"/>
  <c r="G1675" i="7" s="1"/>
  <c r="G1676" i="7" s="1"/>
  <c r="G1677" i="7" s="1"/>
  <c r="G1678" i="7" s="1"/>
  <c r="G1679" i="7" s="1"/>
  <c r="G1680" i="7" s="1"/>
  <c r="G1681" i="7" s="1"/>
  <c r="G1682" i="7" s="1"/>
  <c r="G1683" i="7" s="1"/>
  <c r="G1684" i="7" s="1"/>
  <c r="G1685" i="7" s="1"/>
  <c r="G1686" i="7" s="1"/>
  <c r="G1687" i="7" s="1"/>
  <c r="G1688" i="7" s="1"/>
  <c r="G1689" i="7" s="1"/>
  <c r="G1690" i="7" s="1"/>
  <c r="G1691" i="7" s="1"/>
  <c r="G1692" i="7" s="1"/>
  <c r="G1693" i="7" s="1"/>
  <c r="G1694" i="7" s="1"/>
  <c r="G1695" i="7" s="1"/>
  <c r="G1696" i="7" s="1"/>
  <c r="G1697" i="7" s="1"/>
  <c r="G1698" i="7" s="1"/>
  <c r="G1699" i="7" s="1"/>
  <c r="G1700" i="7" s="1"/>
  <c r="G1701" i="7" s="1"/>
  <c r="G1702" i="7" s="1"/>
  <c r="G1703" i="7" s="1"/>
  <c r="G1704" i="7" s="1"/>
  <c r="G1705" i="7" s="1"/>
  <c r="G1706" i="7" s="1"/>
  <c r="G1707" i="7" s="1"/>
  <c r="G1708" i="7" s="1"/>
  <c r="G1709" i="7" s="1"/>
  <c r="G1710" i="7" s="1"/>
  <c r="G1711" i="7" s="1"/>
  <c r="G1712" i="7" s="1"/>
  <c r="G1713" i="7" s="1"/>
  <c r="G1714" i="7" s="1"/>
  <c r="G1715" i="7" s="1"/>
  <c r="G1716" i="7" s="1"/>
  <c r="G1717" i="7" s="1"/>
  <c r="G1718" i="7" s="1"/>
  <c r="G1719" i="7" s="1"/>
  <c r="G1720" i="7" s="1"/>
  <c r="G1721" i="7" s="1"/>
  <c r="G1722" i="7" s="1"/>
  <c r="G1723" i="7" s="1"/>
  <c r="G1724" i="7" s="1"/>
  <c r="G1725" i="7" s="1"/>
  <c r="G1726" i="7" s="1"/>
  <c r="G1727" i="7" s="1"/>
  <c r="G1728" i="7" s="1"/>
  <c r="G1729" i="7" s="1"/>
  <c r="G1730" i="7" s="1"/>
  <c r="G1731" i="7" s="1"/>
  <c r="G1732" i="7" s="1"/>
  <c r="G1733" i="7" s="1"/>
  <c r="G1734" i="7" s="1"/>
  <c r="G1735" i="7" s="1"/>
  <c r="G1736" i="7" s="1"/>
  <c r="G1737" i="7" s="1"/>
  <c r="G1738" i="7" s="1"/>
  <c r="G1739" i="7" s="1"/>
  <c r="G1740" i="7" s="1"/>
  <c r="G1741" i="7" s="1"/>
  <c r="G1742" i="7" s="1"/>
  <c r="G1743" i="7" s="1"/>
  <c r="G1744" i="7" s="1"/>
  <c r="G1745" i="7" s="1"/>
  <c r="G1746" i="7" s="1"/>
  <c r="G1747" i="7" s="1"/>
  <c r="G1748" i="7" s="1"/>
  <c r="G1749" i="7" s="1"/>
  <c r="G1750" i="7" s="1"/>
  <c r="G1751" i="7" s="1"/>
  <c r="G1752" i="7" s="1"/>
  <c r="G1753" i="7" s="1"/>
  <c r="G1754" i="7" s="1"/>
  <c r="G1755" i="7" s="1"/>
  <c r="G1756" i="7" s="1"/>
  <c r="G1757" i="7" s="1"/>
  <c r="G1758" i="7" s="1"/>
  <c r="G1759" i="7" s="1"/>
  <c r="G1760" i="7" s="1"/>
  <c r="G1761" i="7" s="1"/>
  <c r="G1762" i="7" s="1"/>
  <c r="G1763" i="7" s="1"/>
  <c r="G1764" i="7" s="1"/>
  <c r="G1765" i="7" s="1"/>
  <c r="G1766" i="7" s="1"/>
  <c r="G1767" i="7" s="1"/>
  <c r="G1768" i="7" s="1"/>
  <c r="G1769" i="7" s="1"/>
  <c r="G1770" i="7" s="1"/>
  <c r="G1771" i="7" s="1"/>
  <c r="G1772" i="7" s="1"/>
  <c r="G1773" i="7" s="1"/>
  <c r="G1774" i="7" s="1"/>
  <c r="G1775" i="7" s="1"/>
  <c r="G1776" i="7" s="1"/>
  <c r="G1777" i="7" s="1"/>
  <c r="G1778" i="7" s="1"/>
  <c r="G1779" i="7" s="1"/>
  <c r="G1780" i="7" s="1"/>
  <c r="G1781" i="7" s="1"/>
  <c r="G1782" i="7" s="1"/>
  <c r="G1783" i="7" s="1"/>
  <c r="G1784" i="7" s="1"/>
  <c r="G1785" i="7" s="1"/>
  <c r="G1786" i="7" s="1"/>
  <c r="G1787" i="7" s="1"/>
  <c r="G1788" i="7" s="1"/>
  <c r="G1789" i="7" s="1"/>
  <c r="G1790" i="7" s="1"/>
  <c r="G1791" i="7" s="1"/>
  <c r="G1792" i="7" s="1"/>
  <c r="G1793" i="7" s="1"/>
  <c r="G1794" i="7" s="1"/>
  <c r="G1795" i="7" s="1"/>
  <c r="G1796" i="7" s="1"/>
  <c r="G1797" i="7" s="1"/>
  <c r="G1798" i="7" s="1"/>
  <c r="G1799" i="7" s="1"/>
  <c r="G1800" i="7" s="1"/>
  <c r="G1801" i="7" s="1"/>
  <c r="G1802" i="7" s="1"/>
  <c r="G1803" i="7" s="1"/>
  <c r="G1804" i="7" s="1"/>
  <c r="G1805" i="7" s="1"/>
  <c r="G1806" i="7" s="1"/>
  <c r="G1807" i="7" s="1"/>
  <c r="G1808" i="7" s="1"/>
  <c r="G1809" i="7" s="1"/>
  <c r="G1810" i="7" s="1"/>
  <c r="G1811" i="7" s="1"/>
  <c r="G1812" i="7" s="1"/>
  <c r="G1813" i="7" s="1"/>
  <c r="G1814" i="7" s="1"/>
  <c r="G1815" i="7" s="1"/>
  <c r="G1816" i="7" s="1"/>
  <c r="G1817" i="7" s="1"/>
  <c r="G1818" i="7" s="1"/>
  <c r="G1819" i="7" s="1"/>
  <c r="G1820" i="7" s="1"/>
  <c r="G1821" i="7" s="1"/>
  <c r="G1822" i="7" s="1"/>
  <c r="G1823" i="7" s="1"/>
  <c r="G1824" i="7" s="1"/>
  <c r="G1825" i="7" s="1"/>
  <c r="G1826" i="7" s="1"/>
  <c r="G1827" i="7" s="1"/>
  <c r="G1828" i="7" s="1"/>
  <c r="G1829" i="7" s="1"/>
  <c r="G1830" i="7" s="1"/>
  <c r="G1831" i="7" s="1"/>
  <c r="G1832" i="7" s="1"/>
  <c r="G1833" i="7" s="1"/>
  <c r="G1834" i="7" s="1"/>
  <c r="G1835" i="7" s="1"/>
  <c r="G1836" i="7" s="1"/>
  <c r="G1837" i="7" s="1"/>
  <c r="G1838" i="7" s="1"/>
  <c r="G1839" i="7" s="1"/>
  <c r="G1840" i="7" s="1"/>
  <c r="G1841" i="7" s="1"/>
  <c r="G1842" i="7" s="1"/>
  <c r="G1843" i="7" s="1"/>
  <c r="G1844" i="7" s="1"/>
  <c r="G1845" i="7" s="1"/>
  <c r="G1846" i="7" s="1"/>
  <c r="G1847" i="7" s="1"/>
  <c r="G1848" i="7" s="1"/>
  <c r="G1849" i="7" s="1"/>
  <c r="G1850" i="7" s="1"/>
  <c r="G1851" i="7" s="1"/>
  <c r="G1852" i="7" s="1"/>
  <c r="G1853" i="7" s="1"/>
  <c r="G1854" i="7" s="1"/>
  <c r="G1855" i="7" s="1"/>
  <c r="G1856" i="7" s="1"/>
  <c r="G1857" i="7" s="1"/>
  <c r="G1858" i="7" s="1"/>
  <c r="G1859" i="7" s="1"/>
  <c r="G1860" i="7" s="1"/>
  <c r="G1861" i="7" s="1"/>
  <c r="G1862" i="7" s="1"/>
  <c r="G1863" i="7" s="1"/>
  <c r="G1864" i="7" s="1"/>
  <c r="G1865" i="7" s="1"/>
  <c r="G1866" i="7" s="1"/>
  <c r="G1867" i="7" s="1"/>
  <c r="G1868" i="7" s="1"/>
  <c r="G1869" i="7" s="1"/>
  <c r="G1870" i="7" s="1"/>
  <c r="G1871" i="7" s="1"/>
  <c r="G1872" i="7" s="1"/>
  <c r="G1873" i="7" s="1"/>
  <c r="G1874" i="7" s="1"/>
  <c r="G1875" i="7" s="1"/>
  <c r="G1876" i="7" s="1"/>
  <c r="G1877" i="7" s="1"/>
  <c r="G1878" i="7" s="1"/>
  <c r="G1879" i="7" s="1"/>
  <c r="G1880" i="7" s="1"/>
  <c r="G1881" i="7" s="1"/>
  <c r="G1882" i="7" s="1"/>
  <c r="G1883" i="7" s="1"/>
  <c r="G1884" i="7" s="1"/>
  <c r="G1885" i="7" s="1"/>
  <c r="G1886" i="7" s="1"/>
  <c r="G1887" i="7" s="1"/>
  <c r="G1888" i="7" s="1"/>
  <c r="G1889" i="7" s="1"/>
  <c r="G1890" i="7" s="1"/>
  <c r="G1891" i="7" s="1"/>
  <c r="G1892" i="7" s="1"/>
  <c r="G1893" i="7" s="1"/>
  <c r="G1894" i="7" s="1"/>
  <c r="G1895" i="7" s="1"/>
  <c r="G1896" i="7" s="1"/>
  <c r="G1897" i="7" s="1"/>
  <c r="G1898" i="7" s="1"/>
  <c r="G1899" i="7" s="1"/>
  <c r="G1900" i="7" s="1"/>
  <c r="G1901" i="7" s="1"/>
  <c r="G1902" i="7" s="1"/>
  <c r="G1903" i="7" s="1"/>
  <c r="G1904" i="7" s="1"/>
  <c r="G1905" i="7" s="1"/>
  <c r="G1906" i="7" s="1"/>
  <c r="G1907" i="7" s="1"/>
  <c r="G1908" i="7" s="1"/>
  <c r="G1909" i="7" s="1"/>
  <c r="G1910" i="7" s="1"/>
  <c r="G1911" i="7" s="1"/>
  <c r="G1912" i="7" s="1"/>
  <c r="G1913" i="7" s="1"/>
  <c r="G1914" i="7" s="1"/>
  <c r="G1915" i="7" s="1"/>
  <c r="G1916" i="7" s="1"/>
  <c r="G1917" i="7" s="1"/>
  <c r="G1918" i="7" s="1"/>
  <c r="G1919" i="7" s="1"/>
  <c r="G1920" i="7" s="1"/>
  <c r="G1921" i="7" s="1"/>
  <c r="G1922" i="7" s="1"/>
  <c r="G1923" i="7" s="1"/>
  <c r="G1924" i="7" s="1"/>
  <c r="G1925" i="7" s="1"/>
  <c r="G1926" i="7" s="1"/>
  <c r="G1927" i="7" s="1"/>
  <c r="G1928" i="7" s="1"/>
  <c r="G1929" i="7" s="1"/>
  <c r="G1930" i="7" s="1"/>
  <c r="G1931" i="7" s="1"/>
  <c r="G1932" i="7" s="1"/>
  <c r="G1933" i="7" s="1"/>
  <c r="G1934" i="7" s="1"/>
  <c r="G1935" i="7" s="1"/>
  <c r="G1936" i="7" s="1"/>
  <c r="G1937" i="7" s="1"/>
  <c r="G1938" i="7" s="1"/>
  <c r="G1939" i="7" s="1"/>
  <c r="G1940" i="7" s="1"/>
  <c r="G1941" i="7" s="1"/>
  <c r="G1942" i="7" s="1"/>
  <c r="G1943" i="7" s="1"/>
  <c r="G1944" i="7" s="1"/>
  <c r="G1945" i="7" s="1"/>
  <c r="G1946" i="7" s="1"/>
  <c r="G1947" i="7" s="1"/>
  <c r="G1948" i="7" s="1"/>
  <c r="G1949" i="7" s="1"/>
  <c r="G1950" i="7" s="1"/>
  <c r="G1951" i="7" s="1"/>
  <c r="G1952" i="7" s="1"/>
  <c r="G1953" i="7" s="1"/>
  <c r="G1954" i="7" s="1"/>
  <c r="G1955" i="7" s="1"/>
  <c r="G1956" i="7" s="1"/>
  <c r="G1957" i="7" s="1"/>
  <c r="G1958" i="7" s="1"/>
  <c r="G1959" i="7" s="1"/>
  <c r="G1960" i="7" s="1"/>
  <c r="G1961" i="7" s="1"/>
  <c r="G1962" i="7" s="1"/>
  <c r="G1963" i="7" s="1"/>
  <c r="G1964" i="7" s="1"/>
  <c r="G1965" i="7" s="1"/>
  <c r="G1966" i="7" s="1"/>
  <c r="G1967" i="7" s="1"/>
  <c r="G1968" i="7" s="1"/>
  <c r="G1969" i="7" s="1"/>
  <c r="G1970" i="7" s="1"/>
  <c r="G1971" i="7" s="1"/>
  <c r="G1972" i="7" s="1"/>
  <c r="G1973" i="7" s="1"/>
  <c r="G1974" i="7" s="1"/>
  <c r="G1975" i="7" s="1"/>
  <c r="G1976" i="7" s="1"/>
  <c r="G1977" i="7" s="1"/>
  <c r="G1978" i="7" s="1"/>
  <c r="G1979" i="7" s="1"/>
  <c r="G1980" i="7" s="1"/>
  <c r="G1981" i="7" s="1"/>
  <c r="G1982" i="7" s="1"/>
  <c r="G1983" i="7" s="1"/>
  <c r="G1984" i="7" s="1"/>
  <c r="G1985" i="7" s="1"/>
  <c r="G1986" i="7" s="1"/>
  <c r="G1987" i="7" s="1"/>
  <c r="G1988" i="7" s="1"/>
  <c r="G1989" i="7" s="1"/>
  <c r="G1990" i="7" s="1"/>
  <c r="G1991" i="7" s="1"/>
  <c r="G1992" i="7" s="1"/>
  <c r="G1993" i="7" s="1"/>
  <c r="G1994" i="7" s="1"/>
  <c r="G1995" i="7" s="1"/>
  <c r="G1996" i="7" s="1"/>
  <c r="G1997" i="7" s="1"/>
  <c r="G1998" i="7" s="1"/>
  <c r="G1999" i="7" s="1"/>
  <c r="G2000" i="7" s="1"/>
  <c r="G2001" i="7" s="1"/>
  <c r="G2002" i="7" s="1"/>
  <c r="G2003" i="7" s="1"/>
  <c r="G2004" i="7" s="1"/>
  <c r="G2005" i="7" s="1"/>
  <c r="G2006" i="7" s="1"/>
  <c r="G2007" i="7" s="1"/>
  <c r="G2008" i="7" s="1"/>
  <c r="G2009" i="7" s="1"/>
  <c r="G2010" i="7" s="1"/>
  <c r="G2011" i="7" s="1"/>
  <c r="G2012" i="7" s="1"/>
  <c r="G2013" i="7" s="1"/>
  <c r="G2014" i="7" s="1"/>
  <c r="G2015" i="7" s="1"/>
  <c r="G2016" i="7" s="1"/>
  <c r="G2017" i="7" s="1"/>
  <c r="G2018" i="7" s="1"/>
  <c r="G2019" i="7" s="1"/>
  <c r="G2020" i="7" s="1"/>
  <c r="G2021" i="7" s="1"/>
  <c r="G2022" i="7" s="1"/>
  <c r="G2023" i="7" s="1"/>
  <c r="G2024" i="7" s="1"/>
  <c r="G2025" i="7" s="1"/>
  <c r="G2026" i="7" s="1"/>
  <c r="G2027" i="7" s="1"/>
  <c r="G2028" i="7" s="1"/>
  <c r="G2029" i="7" s="1"/>
  <c r="G2030" i="7" s="1"/>
  <c r="G2031" i="7" s="1"/>
  <c r="G2032" i="7" s="1"/>
  <c r="G2033" i="7" s="1"/>
  <c r="G2034" i="7" s="1"/>
  <c r="G2035" i="7" s="1"/>
  <c r="G2036" i="7" s="1"/>
  <c r="G2037" i="7" s="1"/>
  <c r="G2038" i="7" s="1"/>
  <c r="G2039" i="7" s="1"/>
  <c r="G2040" i="7" s="1"/>
  <c r="G2041" i="7" s="1"/>
  <c r="G2042" i="7" s="1"/>
  <c r="G2043" i="7" s="1"/>
  <c r="G2044" i="7" s="1"/>
  <c r="G2045" i="7" s="1"/>
  <c r="G2046" i="7" s="1"/>
  <c r="G2047" i="7" s="1"/>
  <c r="G2048" i="7" s="1"/>
  <c r="G2049" i="7" s="1"/>
  <c r="G2050" i="7" s="1"/>
  <c r="G2051" i="7" s="1"/>
  <c r="G2052" i="7" s="1"/>
  <c r="G2053" i="7" s="1"/>
  <c r="G2054" i="7" s="1"/>
  <c r="G2055" i="7" s="1"/>
  <c r="G2056" i="7" s="1"/>
  <c r="G2057" i="7" s="1"/>
  <c r="G2058" i="7" s="1"/>
  <c r="G2059" i="7" s="1"/>
  <c r="G2060" i="7" s="1"/>
  <c r="G2061" i="7" s="1"/>
  <c r="G2062" i="7" s="1"/>
  <c r="G2063" i="7" s="1"/>
  <c r="G2064" i="7" s="1"/>
  <c r="G2065" i="7" s="1"/>
  <c r="G2066" i="7" s="1"/>
  <c r="G2067" i="7" s="1"/>
  <c r="G2068" i="7" s="1"/>
  <c r="G2069" i="7" s="1"/>
  <c r="G2070" i="7" s="1"/>
  <c r="G2071" i="7" s="1"/>
  <c r="G2072" i="7" s="1"/>
  <c r="G2073" i="7" s="1"/>
  <c r="G2074" i="7" s="1"/>
  <c r="G2075" i="7" s="1"/>
  <c r="G2076" i="7" s="1"/>
  <c r="G2077" i="7" s="1"/>
  <c r="G2078" i="7" s="1"/>
  <c r="G2079" i="7" s="1"/>
  <c r="G2080" i="7" s="1"/>
  <c r="G2081" i="7" s="1"/>
  <c r="G2082" i="7" s="1"/>
  <c r="G2083" i="7" s="1"/>
  <c r="G2084" i="7" s="1"/>
  <c r="G2085" i="7" s="1"/>
  <c r="G2086" i="7" s="1"/>
  <c r="G2087" i="7" s="1"/>
  <c r="G2088" i="7" s="1"/>
  <c r="G2089" i="7" s="1"/>
  <c r="G2090" i="7" s="1"/>
  <c r="G2091" i="7" s="1"/>
  <c r="G2092" i="7" s="1"/>
  <c r="G2093" i="7" s="1"/>
  <c r="G2094" i="7" s="1"/>
  <c r="G2095" i="7" s="1"/>
  <c r="G2096" i="7" s="1"/>
  <c r="G2097" i="7" s="1"/>
  <c r="G2098" i="7" s="1"/>
  <c r="G2099" i="7" s="1"/>
  <c r="G2100" i="7" s="1"/>
  <c r="G2101" i="7" s="1"/>
  <c r="G2102" i="7" s="1"/>
  <c r="G2103" i="7" s="1"/>
  <c r="G2104" i="7" s="1"/>
  <c r="G2105" i="7" s="1"/>
  <c r="G2106" i="7" s="1"/>
  <c r="G2107" i="7" s="1"/>
  <c r="G2108" i="7" s="1"/>
  <c r="G2109" i="7" s="1"/>
  <c r="G2110" i="7" s="1"/>
  <c r="G2111" i="7" s="1"/>
  <c r="G2112" i="7" s="1"/>
  <c r="G2113" i="7" s="1"/>
  <c r="G2114" i="7" s="1"/>
  <c r="G2115" i="7" s="1"/>
  <c r="G2116" i="7" s="1"/>
  <c r="G2117" i="7" s="1"/>
  <c r="G2118" i="7" s="1"/>
  <c r="G2119" i="7" s="1"/>
  <c r="G2120" i="7" s="1"/>
  <c r="G2121" i="7" s="1"/>
  <c r="G2122" i="7" s="1"/>
  <c r="G2123" i="7" s="1"/>
  <c r="G2124" i="7" s="1"/>
  <c r="G2125" i="7" s="1"/>
  <c r="G2126" i="7" s="1"/>
  <c r="G2127" i="7" s="1"/>
  <c r="G2128" i="7" s="1"/>
  <c r="G2129" i="7" s="1"/>
  <c r="G2130" i="7" s="1"/>
  <c r="G2131" i="7" s="1"/>
  <c r="G2132" i="7" s="1"/>
  <c r="G2133" i="7" s="1"/>
  <c r="G2134" i="7" s="1"/>
  <c r="G2135" i="7" s="1"/>
  <c r="G2136" i="7" s="1"/>
  <c r="G2137" i="7" s="1"/>
  <c r="G2138" i="7" s="1"/>
  <c r="G2139" i="7" s="1"/>
  <c r="G2140" i="7" s="1"/>
  <c r="G2141" i="7" s="1"/>
  <c r="G2142" i="7" s="1"/>
  <c r="G2143" i="7" s="1"/>
  <c r="G2144" i="7" s="1"/>
  <c r="G2145" i="7" s="1"/>
  <c r="G2146" i="7" s="1"/>
  <c r="G2147" i="7" s="1"/>
  <c r="G2148" i="7" s="1"/>
  <c r="G2149" i="7" s="1"/>
  <c r="G2150" i="7" s="1"/>
  <c r="G2151" i="7" s="1"/>
  <c r="G2152" i="7" s="1"/>
  <c r="G2153" i="7" s="1"/>
  <c r="G2154" i="7" s="1"/>
  <c r="G2155" i="7" s="1"/>
  <c r="G2156" i="7" s="1"/>
  <c r="G2157" i="7" s="1"/>
  <c r="G2158" i="7" s="1"/>
  <c r="G2159" i="7" s="1"/>
  <c r="G2160" i="7" s="1"/>
  <c r="G2161" i="7" s="1"/>
  <c r="G2162" i="7" s="1"/>
  <c r="G2163" i="7" s="1"/>
  <c r="G2164" i="7" s="1"/>
  <c r="G2165" i="7" s="1"/>
  <c r="G2166" i="7" s="1"/>
  <c r="G2167" i="7" s="1"/>
  <c r="G2168" i="7" s="1"/>
  <c r="G2169" i="7" s="1"/>
  <c r="G2170" i="7" s="1"/>
  <c r="G2171" i="7" s="1"/>
  <c r="G2172" i="7" s="1"/>
  <c r="G2173" i="7" s="1"/>
  <c r="G2174" i="7" s="1"/>
  <c r="G2175" i="7" s="1"/>
  <c r="G2176" i="7" s="1"/>
  <c r="G2177" i="7" s="1"/>
  <c r="G2178" i="7" s="1"/>
  <c r="G2179" i="7" s="1"/>
  <c r="G2180" i="7" s="1"/>
  <c r="G2181" i="7" s="1"/>
  <c r="G2182" i="7" s="1"/>
  <c r="G2183" i="7" s="1"/>
  <c r="G2184" i="7" s="1"/>
  <c r="G2185" i="7" s="1"/>
  <c r="G2186" i="7" s="1"/>
  <c r="G2187" i="7" s="1"/>
  <c r="G2188" i="7" s="1"/>
  <c r="G2189" i="7" s="1"/>
  <c r="G2190" i="7" s="1"/>
  <c r="G2191" i="7" s="1"/>
  <c r="G2192" i="7" s="1"/>
  <c r="G2193" i="7" s="1"/>
  <c r="G2194" i="7" s="1"/>
  <c r="G2195" i="7" s="1"/>
  <c r="G2196" i="7" s="1"/>
  <c r="G2197" i="7" s="1"/>
  <c r="G2198" i="7" s="1"/>
  <c r="G2199" i="7" s="1"/>
  <c r="G2200" i="7" s="1"/>
  <c r="G2201" i="7" s="1"/>
  <c r="G2202" i="7" s="1"/>
  <c r="G2203" i="7" s="1"/>
  <c r="G2204" i="7" s="1"/>
  <c r="G2205" i="7" s="1"/>
  <c r="G2206" i="7" s="1"/>
  <c r="G2207" i="7" s="1"/>
  <c r="G2208" i="7" s="1"/>
  <c r="G2209" i="7" s="1"/>
  <c r="G2210" i="7" s="1"/>
  <c r="G2211" i="7" s="1"/>
  <c r="G2212" i="7" s="1"/>
  <c r="G2213" i="7" s="1"/>
  <c r="G2214" i="7" s="1"/>
  <c r="G2215" i="7" s="1"/>
  <c r="G2216" i="7" s="1"/>
  <c r="G2217" i="7" s="1"/>
  <c r="G2218" i="7" s="1"/>
  <c r="G2219" i="7" s="1"/>
  <c r="G2220" i="7" s="1"/>
  <c r="G2221" i="7" s="1"/>
  <c r="G2222" i="7" s="1"/>
  <c r="G2223" i="7" s="1"/>
  <c r="G2224" i="7" s="1"/>
  <c r="G2225" i="7" s="1"/>
  <c r="G2226" i="7" s="1"/>
  <c r="G2227" i="7" s="1"/>
  <c r="G2228" i="7" s="1"/>
  <c r="G2229" i="7" s="1"/>
  <c r="G2230" i="7" s="1"/>
  <c r="G2231" i="7" s="1"/>
  <c r="G2232" i="7" s="1"/>
  <c r="G2233" i="7" s="1"/>
  <c r="G2234" i="7" s="1"/>
  <c r="G2235" i="7" s="1"/>
  <c r="G2236" i="7" s="1"/>
  <c r="G2237" i="7" s="1"/>
  <c r="G2238" i="7" s="1"/>
  <c r="G2239" i="7" s="1"/>
  <c r="G2240" i="7" s="1"/>
  <c r="G2241" i="7" s="1"/>
  <c r="G2242" i="7" s="1"/>
  <c r="G2243" i="7" s="1"/>
  <c r="G2244" i="7" s="1"/>
  <c r="G2245" i="7" s="1"/>
  <c r="G2246" i="7" s="1"/>
  <c r="G2247" i="7" s="1"/>
  <c r="G2248" i="7" s="1"/>
  <c r="G2249" i="7" s="1"/>
  <c r="G2250" i="7" s="1"/>
  <c r="G2251" i="7" s="1"/>
  <c r="G2252" i="7" s="1"/>
  <c r="G2253" i="7" s="1"/>
  <c r="G2254" i="7" s="1"/>
  <c r="G2255" i="7" s="1"/>
  <c r="G2256" i="7" s="1"/>
  <c r="G2257" i="7" s="1"/>
  <c r="G2258" i="7" s="1"/>
  <c r="G2259" i="7" s="1"/>
  <c r="G2260" i="7" s="1"/>
  <c r="G2261" i="7" s="1"/>
  <c r="G2262" i="7" s="1"/>
  <c r="G2263" i="7" s="1"/>
  <c r="G2264" i="7" s="1"/>
  <c r="G2265" i="7" s="1"/>
  <c r="G2266" i="7" s="1"/>
  <c r="G2267" i="7" s="1"/>
  <c r="G2268" i="7" s="1"/>
  <c r="G2269" i="7" s="1"/>
  <c r="G2270" i="7" s="1"/>
  <c r="G2271" i="7" s="1"/>
  <c r="G2272" i="7" s="1"/>
  <c r="G2273" i="7" s="1"/>
  <c r="G2274" i="7" s="1"/>
  <c r="G2275" i="7" s="1"/>
  <c r="G2276" i="7" s="1"/>
  <c r="G2277" i="7" s="1"/>
  <c r="G2278" i="7" s="1"/>
  <c r="G2279" i="7" s="1"/>
  <c r="G2280" i="7" s="1"/>
  <c r="G2281" i="7" s="1"/>
  <c r="G2282" i="7" s="1"/>
  <c r="G2283" i="7" s="1"/>
  <c r="G2284" i="7" s="1"/>
  <c r="G2285" i="7" s="1"/>
  <c r="G2286" i="7" s="1"/>
  <c r="G2287" i="7" s="1"/>
  <c r="G2288" i="7" s="1"/>
  <c r="G2289" i="7" s="1"/>
  <c r="G2290" i="7" s="1"/>
  <c r="G2291" i="7" s="1"/>
  <c r="G2292" i="7" s="1"/>
  <c r="G2293" i="7" s="1"/>
  <c r="G2294" i="7" s="1"/>
  <c r="G2295" i="7" s="1"/>
  <c r="G2296" i="7" s="1"/>
  <c r="G2297" i="7" s="1"/>
  <c r="G2298" i="7" s="1"/>
  <c r="G2299" i="7" s="1"/>
  <c r="G2300" i="7" s="1"/>
  <c r="G2301" i="7" s="1"/>
  <c r="G2302" i="7" s="1"/>
  <c r="G2303" i="7" s="1"/>
  <c r="G2304" i="7" s="1"/>
  <c r="G2305" i="7" s="1"/>
  <c r="G2306" i="7" s="1"/>
  <c r="G2307" i="7" s="1"/>
  <c r="G2308" i="7" s="1"/>
  <c r="G2309" i="7" s="1"/>
  <c r="G2310" i="7" s="1"/>
  <c r="G2311" i="7" s="1"/>
  <c r="G2312" i="7" s="1"/>
  <c r="G2313" i="7" s="1"/>
  <c r="G2314" i="7" s="1"/>
  <c r="G2315" i="7" s="1"/>
  <c r="G2316" i="7" s="1"/>
  <c r="G2317" i="7" s="1"/>
  <c r="G2318" i="7" s="1"/>
  <c r="G2319" i="7" s="1"/>
  <c r="G2320" i="7" s="1"/>
  <c r="G2321" i="7" s="1"/>
  <c r="G2322" i="7" s="1"/>
  <c r="G2323" i="7" s="1"/>
  <c r="G2324" i="7" s="1"/>
  <c r="G2325" i="7" s="1"/>
  <c r="G2326" i="7" s="1"/>
  <c r="G2327" i="7" s="1"/>
  <c r="G2328" i="7" s="1"/>
  <c r="G2329" i="7" s="1"/>
  <c r="G2330" i="7" s="1"/>
  <c r="G2331" i="7" s="1"/>
  <c r="G2332" i="7" s="1"/>
  <c r="G2333" i="7" s="1"/>
  <c r="G2334" i="7" s="1"/>
  <c r="G2335" i="7" s="1"/>
  <c r="G2336" i="7" s="1"/>
  <c r="G2337" i="7" s="1"/>
  <c r="G2338" i="7" s="1"/>
  <c r="G2339" i="7" s="1"/>
  <c r="G2340" i="7" s="1"/>
  <c r="G2341" i="7" s="1"/>
  <c r="G2342" i="7" s="1"/>
  <c r="G2343" i="7" s="1"/>
  <c r="G2344" i="7" s="1"/>
  <c r="G2345" i="7" s="1"/>
  <c r="G2346" i="7" s="1"/>
  <c r="G2347" i="7" s="1"/>
  <c r="G2348" i="7" s="1"/>
  <c r="G2349" i="7" s="1"/>
  <c r="G2350" i="7" s="1"/>
  <c r="G2351" i="7" s="1"/>
  <c r="G2352" i="7" s="1"/>
  <c r="G2353" i="7" s="1"/>
  <c r="G2354" i="7" s="1"/>
  <c r="G2355" i="7" s="1"/>
  <c r="G2356" i="7" s="1"/>
  <c r="G2357" i="7" s="1"/>
  <c r="G2358" i="7" s="1"/>
  <c r="G2359" i="7" s="1"/>
  <c r="G2360" i="7" s="1"/>
  <c r="G2361" i="7" s="1"/>
  <c r="G2362" i="7" s="1"/>
  <c r="G2363" i="7" s="1"/>
  <c r="G2364" i="7" s="1"/>
  <c r="G2365" i="7" s="1"/>
  <c r="G2366" i="7" s="1"/>
  <c r="G2367" i="7" s="1"/>
  <c r="G2368" i="7" s="1"/>
  <c r="G2369" i="7" s="1"/>
  <c r="G2370" i="7" s="1"/>
  <c r="G2371" i="7" s="1"/>
  <c r="G2372" i="7" s="1"/>
  <c r="G2373" i="7" s="1"/>
  <c r="G2374" i="7" s="1"/>
  <c r="G2375" i="7" s="1"/>
  <c r="G2376" i="7" s="1"/>
  <c r="G2377" i="7" s="1"/>
  <c r="G2378" i="7" s="1"/>
  <c r="G2379" i="7" s="1"/>
  <c r="G2380" i="7" s="1"/>
  <c r="G2381" i="7" s="1"/>
  <c r="G2382" i="7" s="1"/>
  <c r="G2383" i="7" s="1"/>
  <c r="G2384" i="7" s="1"/>
  <c r="G2385" i="7" s="1"/>
  <c r="G2386" i="7" s="1"/>
  <c r="G2387" i="7" s="1"/>
  <c r="G2388" i="7" s="1"/>
  <c r="G2389" i="7" s="1"/>
  <c r="G2390" i="7" s="1"/>
  <c r="G2391" i="7" s="1"/>
  <c r="G2392" i="7" s="1"/>
  <c r="G2393" i="7" s="1"/>
  <c r="G2394" i="7" s="1"/>
  <c r="G2395" i="7" s="1"/>
  <c r="G2396" i="7" s="1"/>
  <c r="G2397" i="7" s="1"/>
  <c r="G2398" i="7" s="1"/>
  <c r="G2399" i="7" s="1"/>
  <c r="G2400" i="7" s="1"/>
  <c r="G2401" i="7" s="1"/>
  <c r="G2402" i="7" s="1"/>
  <c r="G2403" i="7" s="1"/>
  <c r="G2404" i="7" s="1"/>
  <c r="G2405" i="7" s="1"/>
  <c r="G2406" i="7" s="1"/>
  <c r="G2407" i="7" s="1"/>
  <c r="G2408" i="7" s="1"/>
  <c r="G2409" i="7" s="1"/>
  <c r="G2410" i="7" s="1"/>
  <c r="G2411" i="7" s="1"/>
  <c r="G2412" i="7" s="1"/>
  <c r="G2413" i="7" s="1"/>
  <c r="G2414" i="7" s="1"/>
  <c r="G2415" i="7" s="1"/>
  <c r="G2416" i="7" s="1"/>
  <c r="G2417" i="7" s="1"/>
  <c r="G2418" i="7" s="1"/>
  <c r="G2419" i="7" s="1"/>
  <c r="G2420" i="7" s="1"/>
  <c r="G2421" i="7" s="1"/>
  <c r="G2422" i="7" s="1"/>
  <c r="G2423" i="7" s="1"/>
  <c r="G2424" i="7" s="1"/>
  <c r="G2425" i="7" s="1"/>
  <c r="G2426" i="7" s="1"/>
  <c r="G2427" i="7" s="1"/>
  <c r="G2428" i="7" s="1"/>
  <c r="G2429" i="7" s="1"/>
  <c r="G2430" i="7" s="1"/>
  <c r="G2431" i="7" s="1"/>
  <c r="G2432" i="7" s="1"/>
  <c r="G2433" i="7" s="1"/>
  <c r="G2434" i="7" s="1"/>
  <c r="G2435" i="7" s="1"/>
  <c r="G2436" i="7" s="1"/>
  <c r="G2437" i="7" s="1"/>
  <c r="G2438" i="7" s="1"/>
  <c r="G2439" i="7" s="1"/>
  <c r="G2440" i="7" s="1"/>
  <c r="G2441" i="7" s="1"/>
  <c r="G2442" i="7" s="1"/>
  <c r="G2443" i="7" s="1"/>
  <c r="G2444" i="7" s="1"/>
  <c r="G2445" i="7" s="1"/>
  <c r="G2446" i="7" s="1"/>
  <c r="G2447" i="7" s="1"/>
  <c r="G2448" i="7" s="1"/>
  <c r="G2449" i="7" s="1"/>
  <c r="G2450" i="7" s="1"/>
  <c r="G2451" i="7" s="1"/>
  <c r="G2452" i="7" s="1"/>
  <c r="G2453" i="7" s="1"/>
  <c r="G2454" i="7" s="1"/>
  <c r="G2455" i="7" s="1"/>
  <c r="G2456" i="7" s="1"/>
  <c r="G2457" i="7" s="1"/>
  <c r="G2458" i="7" s="1"/>
  <c r="G2459" i="7" s="1"/>
  <c r="G2460" i="7" s="1"/>
  <c r="G2461" i="7" s="1"/>
  <c r="G2462" i="7" s="1"/>
  <c r="G2463" i="7" s="1"/>
  <c r="G2464" i="7" s="1"/>
  <c r="G2465" i="7" s="1"/>
  <c r="G2466" i="7" s="1"/>
  <c r="G2467" i="7" s="1"/>
  <c r="G2468" i="7" s="1"/>
  <c r="G2469" i="7" s="1"/>
  <c r="G2470" i="7" s="1"/>
  <c r="G2471" i="7" s="1"/>
  <c r="G2472" i="7" s="1"/>
  <c r="G2473" i="7" s="1"/>
  <c r="G2474" i="7" s="1"/>
  <c r="G2475" i="7" s="1"/>
  <c r="G2476" i="7" s="1"/>
  <c r="G2477" i="7" s="1"/>
  <c r="G2478" i="7" s="1"/>
  <c r="G2479" i="7" s="1"/>
  <c r="G2480" i="7" s="1"/>
  <c r="G2481" i="7" s="1"/>
  <c r="G2482" i="7" s="1"/>
  <c r="G2483" i="7" s="1"/>
  <c r="G2484" i="7" s="1"/>
  <c r="G2485" i="7" s="1"/>
  <c r="G2486" i="7" s="1"/>
  <c r="G2487" i="7" s="1"/>
  <c r="G2488" i="7" s="1"/>
  <c r="G2489" i="7" s="1"/>
  <c r="G2490" i="7" s="1"/>
  <c r="G2491" i="7" s="1"/>
  <c r="G2492" i="7" s="1"/>
  <c r="G2493" i="7" s="1"/>
  <c r="G2494" i="7" s="1"/>
  <c r="G2495" i="7" s="1"/>
  <c r="G2496" i="7" s="1"/>
  <c r="G2497" i="7" s="1"/>
  <c r="G2498" i="7" s="1"/>
  <c r="G2499" i="7" s="1"/>
  <c r="G2500" i="7" s="1"/>
  <c r="G2501" i="7" s="1"/>
  <c r="G2502" i="7" s="1"/>
  <c r="G2503" i="7" s="1"/>
  <c r="G2504" i="7" s="1"/>
  <c r="G2505" i="7" s="1"/>
  <c r="G2506" i="7" s="1"/>
  <c r="G2507" i="7" s="1"/>
  <c r="G2508" i="7" s="1"/>
  <c r="G2509" i="7" s="1"/>
  <c r="G2510" i="7" s="1"/>
  <c r="G2511" i="7" s="1"/>
  <c r="G2512" i="7" s="1"/>
  <c r="G2513" i="7" s="1"/>
  <c r="G2514" i="7" s="1"/>
  <c r="G2515" i="7" s="1"/>
  <c r="G2516" i="7" s="1"/>
  <c r="G2517" i="7" s="1"/>
  <c r="G2518" i="7" s="1"/>
  <c r="G2519" i="7" s="1"/>
  <c r="G2520" i="7" s="1"/>
  <c r="G2521" i="7" s="1"/>
  <c r="G2522" i="7" s="1"/>
  <c r="G2523" i="7" s="1"/>
  <c r="G2524" i="7" s="1"/>
  <c r="G2525" i="7" s="1"/>
  <c r="G2526" i="7" s="1"/>
  <c r="G2527" i="7" s="1"/>
  <c r="G2528" i="7" s="1"/>
  <c r="G2529" i="7" s="1"/>
  <c r="G2530" i="7" s="1"/>
  <c r="G2531" i="7" s="1"/>
  <c r="G2532" i="7" s="1"/>
  <c r="G2533" i="7" s="1"/>
  <c r="G2534" i="7" s="1"/>
  <c r="G2535" i="7" s="1"/>
  <c r="G2536" i="7" s="1"/>
  <c r="G2537" i="7" s="1"/>
  <c r="G2538" i="7" s="1"/>
  <c r="G2539" i="7" s="1"/>
  <c r="G2540" i="7" s="1"/>
  <c r="G2541" i="7" s="1"/>
  <c r="G2542" i="7" s="1"/>
  <c r="G2543" i="7" s="1"/>
  <c r="G2544" i="7" s="1"/>
  <c r="G2545" i="7" s="1"/>
  <c r="G2546" i="7" s="1"/>
  <c r="G2547" i="7" s="1"/>
  <c r="G2548" i="7" s="1"/>
  <c r="G2549" i="7" s="1"/>
  <c r="G2550" i="7" s="1"/>
  <c r="G2551" i="7" s="1"/>
  <c r="G2552" i="7" s="1"/>
  <c r="G2553" i="7" s="1"/>
  <c r="G2554" i="7" s="1"/>
  <c r="G2555" i="7" s="1"/>
  <c r="G2556" i="7" s="1"/>
  <c r="G2557" i="7" s="1"/>
  <c r="G2558" i="7" s="1"/>
  <c r="G2559" i="7" s="1"/>
  <c r="G2560" i="7" s="1"/>
  <c r="G2561" i="7" s="1"/>
  <c r="G2562" i="7" s="1"/>
  <c r="G2563" i="7" s="1"/>
  <c r="G2564" i="7" s="1"/>
  <c r="G2565" i="7" s="1"/>
  <c r="G2566" i="7" s="1"/>
  <c r="G2567" i="7" s="1"/>
  <c r="G2568" i="7" s="1"/>
  <c r="G2569" i="7" s="1"/>
  <c r="G2570" i="7" s="1"/>
  <c r="G2571" i="7" s="1"/>
  <c r="G2572" i="7" s="1"/>
  <c r="G2573" i="7" s="1"/>
  <c r="G2574" i="7" s="1"/>
  <c r="G2575" i="7" s="1"/>
  <c r="G2576" i="7" s="1"/>
  <c r="G2577" i="7" s="1"/>
  <c r="G2578" i="7" s="1"/>
  <c r="G2579" i="7" s="1"/>
  <c r="G2580" i="7" s="1"/>
  <c r="G2581" i="7" s="1"/>
  <c r="G2582" i="7" s="1"/>
  <c r="G2583" i="7" s="1"/>
  <c r="G2584" i="7" s="1"/>
  <c r="G2585" i="7" s="1"/>
  <c r="G2586" i="7" s="1"/>
  <c r="G2587" i="7" s="1"/>
  <c r="G2588" i="7" s="1"/>
  <c r="G2589" i="7" s="1"/>
  <c r="G2590" i="7" s="1"/>
  <c r="G2591" i="7" s="1"/>
  <c r="G2592" i="7" s="1"/>
  <c r="G2593" i="7" s="1"/>
  <c r="G2594" i="7" s="1"/>
  <c r="G2595" i="7" s="1"/>
  <c r="G2596" i="7" s="1"/>
  <c r="G2597" i="7" s="1"/>
  <c r="G2598" i="7" s="1"/>
  <c r="G2599" i="7" s="1"/>
  <c r="G2600" i="7" s="1"/>
  <c r="G2601" i="7" s="1"/>
  <c r="G2602" i="7" s="1"/>
  <c r="G2603" i="7" s="1"/>
  <c r="G2604" i="7" s="1"/>
  <c r="G2605" i="7" s="1"/>
  <c r="G2606" i="7" s="1"/>
  <c r="G2607" i="7" s="1"/>
  <c r="G2608" i="7" s="1"/>
  <c r="G2609" i="7" s="1"/>
  <c r="G2610" i="7" s="1"/>
  <c r="G2611" i="7" s="1"/>
  <c r="G2612" i="7" s="1"/>
  <c r="G2613" i="7" s="1"/>
  <c r="G2614" i="7" s="1"/>
  <c r="G2615" i="7" s="1"/>
  <c r="G2616" i="7" s="1"/>
  <c r="G2617" i="7" s="1"/>
  <c r="G2618" i="7" s="1"/>
  <c r="G2619" i="7" s="1"/>
  <c r="G2620" i="7" s="1"/>
  <c r="G2621" i="7" s="1"/>
  <c r="G2622" i="7" s="1"/>
  <c r="G2623" i="7" s="1"/>
  <c r="G2624" i="7" s="1"/>
  <c r="G2625" i="7" s="1"/>
  <c r="G2626" i="7" s="1"/>
  <c r="G2627" i="7" s="1"/>
  <c r="G2628" i="7" s="1"/>
  <c r="G2629" i="7" s="1"/>
  <c r="G2630" i="7" s="1"/>
  <c r="G2631" i="7" s="1"/>
  <c r="G2632" i="7" s="1"/>
  <c r="G2633" i="7" s="1"/>
  <c r="G2634" i="7" s="1"/>
  <c r="G2635" i="7" s="1"/>
  <c r="G2636" i="7" s="1"/>
  <c r="G2637" i="7" s="1"/>
  <c r="G2638" i="7" s="1"/>
  <c r="G2639" i="7" s="1"/>
  <c r="G2640" i="7" s="1"/>
  <c r="G2641" i="7" s="1"/>
  <c r="G2642" i="7" s="1"/>
  <c r="G2643" i="7" s="1"/>
  <c r="G2644" i="7" s="1"/>
  <c r="G2645" i="7" s="1"/>
  <c r="G2646" i="7" s="1"/>
  <c r="G2647" i="7" s="1"/>
  <c r="G2648" i="7" s="1"/>
  <c r="G2649" i="7" s="1"/>
  <c r="G2650" i="7" s="1"/>
  <c r="G2651" i="7" s="1"/>
  <c r="G2652" i="7" s="1"/>
  <c r="G2653" i="7" s="1"/>
  <c r="G2654" i="7" s="1"/>
  <c r="G2655" i="7" s="1"/>
  <c r="G2656" i="7" s="1"/>
  <c r="G2657" i="7" s="1"/>
  <c r="G2658" i="7" s="1"/>
  <c r="G2659" i="7" s="1"/>
  <c r="G2660" i="7" s="1"/>
  <c r="G2661" i="7" s="1"/>
  <c r="G2662" i="7" s="1"/>
  <c r="G2663" i="7" s="1"/>
  <c r="G2664" i="7" s="1"/>
  <c r="G2665" i="7" s="1"/>
  <c r="G2666" i="7" s="1"/>
  <c r="G2667" i="7" s="1"/>
  <c r="G2668" i="7" s="1"/>
  <c r="G2669" i="7" s="1"/>
  <c r="G2670" i="7" s="1"/>
  <c r="G2671" i="7" s="1"/>
  <c r="G2672" i="7" s="1"/>
  <c r="G2673" i="7" s="1"/>
  <c r="G2674" i="7" s="1"/>
  <c r="G2675" i="7" s="1"/>
  <c r="G2676" i="7" s="1"/>
  <c r="G2677" i="7" s="1"/>
  <c r="G2678" i="7" s="1"/>
  <c r="G2679" i="7" s="1"/>
  <c r="G2680" i="7" s="1"/>
  <c r="G2681" i="7" s="1"/>
  <c r="G2682" i="7" s="1"/>
  <c r="G2683" i="7" s="1"/>
  <c r="G2684" i="7" s="1"/>
  <c r="G2685" i="7" s="1"/>
  <c r="G2686" i="7" s="1"/>
  <c r="G2687" i="7" s="1"/>
  <c r="G2688" i="7" s="1"/>
  <c r="G2689" i="7" s="1"/>
  <c r="G2690" i="7" s="1"/>
  <c r="G2691" i="7" s="1"/>
  <c r="G2692" i="7" s="1"/>
  <c r="G2693" i="7" s="1"/>
  <c r="G2694" i="7" s="1"/>
  <c r="G2695" i="7" s="1"/>
  <c r="G2696" i="7" s="1"/>
  <c r="G2697" i="7" s="1"/>
  <c r="G2698" i="7" s="1"/>
  <c r="G2699" i="7" s="1"/>
  <c r="G2700" i="7" s="1"/>
  <c r="G2701" i="7" s="1"/>
  <c r="G2702" i="7" s="1"/>
  <c r="G2703" i="7" s="1"/>
  <c r="G2704" i="7" s="1"/>
  <c r="G2705" i="7" s="1"/>
  <c r="G2706" i="7" s="1"/>
  <c r="G2707" i="7" s="1"/>
  <c r="G2708" i="7" s="1"/>
  <c r="G2709" i="7" s="1"/>
  <c r="G2710" i="7" s="1"/>
  <c r="G2711" i="7" s="1"/>
  <c r="G2712" i="7" s="1"/>
  <c r="G2713" i="7" s="1"/>
  <c r="G2714" i="7" s="1"/>
  <c r="G2715" i="7" s="1"/>
  <c r="G2716" i="7" s="1"/>
  <c r="G2717" i="7" s="1"/>
  <c r="G2718" i="7" s="1"/>
  <c r="G2719" i="7" s="1"/>
  <c r="G2720" i="7" s="1"/>
  <c r="G2721" i="7" s="1"/>
  <c r="G2722" i="7" s="1"/>
  <c r="G2723" i="7" s="1"/>
  <c r="G2724" i="7" s="1"/>
  <c r="G2725" i="7" s="1"/>
  <c r="G2726" i="7" s="1"/>
  <c r="G2727" i="7" s="1"/>
  <c r="G2728" i="7" s="1"/>
  <c r="G2729" i="7" s="1"/>
  <c r="G2730" i="7" s="1"/>
  <c r="G2731" i="7" s="1"/>
  <c r="G2732" i="7" s="1"/>
  <c r="G2733" i="7" s="1"/>
  <c r="G2734" i="7" s="1"/>
  <c r="G2735" i="7" s="1"/>
  <c r="G2736" i="7" s="1"/>
  <c r="G2737" i="7" s="1"/>
  <c r="G2738" i="7" s="1"/>
  <c r="G2739" i="7" s="1"/>
  <c r="G2740" i="7" s="1"/>
  <c r="G2741" i="7" s="1"/>
  <c r="G2742" i="7" s="1"/>
  <c r="G2743" i="7" s="1"/>
  <c r="G2744" i="7" s="1"/>
  <c r="G2745" i="7" s="1"/>
  <c r="G2746" i="7" s="1"/>
  <c r="G2747" i="7" s="1"/>
  <c r="G2748" i="7" s="1"/>
  <c r="G2749" i="7" s="1"/>
  <c r="G2750" i="7" s="1"/>
  <c r="G2751" i="7" s="1"/>
  <c r="G2752" i="7" s="1"/>
  <c r="G2753" i="7" s="1"/>
  <c r="G2754" i="7" s="1"/>
  <c r="G2755" i="7" s="1"/>
  <c r="G2756" i="7" s="1"/>
  <c r="G2757" i="7" s="1"/>
  <c r="G2758" i="7" s="1"/>
  <c r="G2759" i="7" s="1"/>
  <c r="G2760" i="7" s="1"/>
  <c r="G2761" i="7" s="1"/>
  <c r="G2762" i="7" s="1"/>
  <c r="G2763" i="7" s="1"/>
  <c r="G2764" i="7" s="1"/>
  <c r="G2765" i="7" s="1"/>
  <c r="G2766" i="7" s="1"/>
  <c r="G2767" i="7" s="1"/>
  <c r="G2768" i="7" s="1"/>
  <c r="G2769" i="7" s="1"/>
  <c r="G2770" i="7" s="1"/>
  <c r="G2771" i="7" s="1"/>
  <c r="G2772" i="7" s="1"/>
  <c r="G2773" i="7" s="1"/>
  <c r="G2774" i="7" s="1"/>
  <c r="G2775" i="7" s="1"/>
  <c r="G2776" i="7" s="1"/>
  <c r="G2777" i="7" s="1"/>
  <c r="G2778" i="7" s="1"/>
  <c r="G2779" i="7" s="1"/>
  <c r="G2780" i="7" s="1"/>
  <c r="G2781" i="7" s="1"/>
  <c r="G2782" i="7" s="1"/>
  <c r="G2783" i="7" s="1"/>
  <c r="G2784" i="7" s="1"/>
  <c r="G2785" i="7" s="1"/>
  <c r="G2786" i="7" s="1"/>
  <c r="G2787" i="7" s="1"/>
  <c r="G2788" i="7" s="1"/>
  <c r="G2789" i="7" s="1"/>
  <c r="G2790" i="7" s="1"/>
  <c r="G2791" i="7" s="1"/>
  <c r="G2792" i="7" s="1"/>
  <c r="G2793" i="7" s="1"/>
  <c r="G2794" i="7" s="1"/>
  <c r="G2795" i="7" s="1"/>
  <c r="G2796" i="7" s="1"/>
  <c r="G2797" i="7" s="1"/>
  <c r="G2798" i="7" s="1"/>
  <c r="G2799" i="7" s="1"/>
  <c r="G2800" i="7" s="1"/>
  <c r="G2801" i="7" s="1"/>
  <c r="G2802" i="7" s="1"/>
  <c r="G2803" i="7" s="1"/>
  <c r="G2804" i="7" s="1"/>
  <c r="G2805" i="7" s="1"/>
  <c r="G2806" i="7" s="1"/>
  <c r="G2807" i="7" s="1"/>
  <c r="G2808" i="7" s="1"/>
  <c r="G2809" i="7" s="1"/>
  <c r="G2810" i="7" s="1"/>
  <c r="G2811" i="7" s="1"/>
  <c r="G2812" i="7" s="1"/>
  <c r="G2813" i="7" s="1"/>
  <c r="G2814" i="7" s="1"/>
  <c r="G2815" i="7" s="1"/>
  <c r="G2816" i="7" s="1"/>
  <c r="G2817" i="7" s="1"/>
  <c r="G2818" i="7" s="1"/>
  <c r="G2819" i="7" s="1"/>
  <c r="G2820" i="7" s="1"/>
  <c r="G2821" i="7" s="1"/>
  <c r="G2822" i="7" s="1"/>
  <c r="G2823" i="7" s="1"/>
  <c r="G2824" i="7" s="1"/>
  <c r="G2825" i="7" s="1"/>
  <c r="G2826" i="7" s="1"/>
  <c r="G2827" i="7" s="1"/>
  <c r="G2828" i="7" s="1"/>
  <c r="G2829" i="7" s="1"/>
  <c r="G2830" i="7" s="1"/>
  <c r="G2831" i="7" s="1"/>
  <c r="G2832" i="7" s="1"/>
  <c r="G2833" i="7" s="1"/>
  <c r="G2834" i="7" s="1"/>
  <c r="G2835" i="7" s="1"/>
  <c r="G2836" i="7" s="1"/>
  <c r="G2837" i="7" s="1"/>
  <c r="G2838" i="7" s="1"/>
  <c r="G2839" i="7" s="1"/>
  <c r="G2840" i="7" s="1"/>
  <c r="G2841" i="7" s="1"/>
  <c r="G2842" i="7" s="1"/>
  <c r="G2843" i="7" s="1"/>
  <c r="G2844" i="7" s="1"/>
  <c r="G2845" i="7" s="1"/>
  <c r="G2846" i="7" s="1"/>
  <c r="G2847" i="7" s="1"/>
  <c r="G2848" i="7" s="1"/>
  <c r="G2849" i="7" s="1"/>
  <c r="G2850" i="7" s="1"/>
  <c r="G2851" i="7" s="1"/>
  <c r="G2852" i="7" s="1"/>
  <c r="G2853" i="7" s="1"/>
  <c r="G2854" i="7" s="1"/>
  <c r="G2855" i="7" s="1"/>
  <c r="G2856" i="7" s="1"/>
  <c r="G2857" i="7" s="1"/>
  <c r="G2858" i="7" s="1"/>
  <c r="G2859" i="7" s="1"/>
  <c r="G2860" i="7" s="1"/>
  <c r="G2861" i="7" s="1"/>
  <c r="G2862" i="7" s="1"/>
  <c r="G2863" i="7" s="1"/>
  <c r="G2864" i="7" s="1"/>
  <c r="G2865" i="7" s="1"/>
  <c r="G2866" i="7" s="1"/>
  <c r="G2867" i="7" s="1"/>
  <c r="G2868" i="7" s="1"/>
  <c r="G2869" i="7" s="1"/>
  <c r="G2870" i="7" s="1"/>
  <c r="G2871" i="7" s="1"/>
  <c r="G2872" i="7" s="1"/>
  <c r="G2873" i="7" s="1"/>
  <c r="G2874" i="7" s="1"/>
  <c r="G2875" i="7" s="1"/>
  <c r="G2876" i="7" s="1"/>
  <c r="G2877" i="7" s="1"/>
  <c r="G2878" i="7" s="1"/>
  <c r="G2879" i="7" s="1"/>
  <c r="G2880" i="7" s="1"/>
  <c r="G2881" i="7" s="1"/>
  <c r="G2882" i="7" s="1"/>
  <c r="G2883" i="7" s="1"/>
  <c r="G2884" i="7" s="1"/>
  <c r="G2885" i="7" s="1"/>
  <c r="G2886" i="7" s="1"/>
  <c r="G2887" i="7" s="1"/>
  <c r="G2888" i="7" s="1"/>
  <c r="G2889" i="7" s="1"/>
  <c r="G2890" i="7" s="1"/>
  <c r="G2891" i="7" s="1"/>
  <c r="G2892" i="7" s="1"/>
  <c r="G2893" i="7" s="1"/>
  <c r="G2894" i="7" s="1"/>
  <c r="G2895" i="7" s="1"/>
  <c r="G2896" i="7" s="1"/>
  <c r="G2897" i="7" s="1"/>
  <c r="G2898" i="7" s="1"/>
  <c r="G2899" i="7" s="1"/>
  <c r="G2900" i="7" s="1"/>
  <c r="G2901" i="7" s="1"/>
  <c r="G2902" i="7" s="1"/>
  <c r="G2903" i="7" s="1"/>
  <c r="G2904" i="7" s="1"/>
  <c r="G2905" i="7" s="1"/>
  <c r="G2906" i="7" s="1"/>
  <c r="G2907" i="7" s="1"/>
  <c r="G2908" i="7" s="1"/>
  <c r="G2909" i="7" s="1"/>
  <c r="G2910" i="7" s="1"/>
  <c r="G2911" i="7" s="1"/>
  <c r="G2912" i="7" s="1"/>
  <c r="G2913" i="7" s="1"/>
  <c r="G2914" i="7" s="1"/>
  <c r="G2915" i="7" s="1"/>
  <c r="G2916" i="7" s="1"/>
  <c r="G2917" i="7" s="1"/>
  <c r="G2918" i="7" s="1"/>
  <c r="G2919" i="7" s="1"/>
  <c r="G2920" i="7" s="1"/>
  <c r="G2921" i="7" s="1"/>
  <c r="G2922" i="7" s="1"/>
  <c r="G2923" i="7" s="1"/>
  <c r="G2924" i="7" s="1"/>
  <c r="G2925" i="7" s="1"/>
  <c r="G2926" i="7" s="1"/>
  <c r="G2927" i="7" s="1"/>
  <c r="G2928" i="7" s="1"/>
  <c r="G2929" i="7" s="1"/>
  <c r="G2930" i="7" s="1"/>
  <c r="G2931" i="7" s="1"/>
  <c r="G2932" i="7" s="1"/>
  <c r="G2933" i="7" s="1"/>
  <c r="G2934" i="7" s="1"/>
  <c r="G2935" i="7" s="1"/>
  <c r="G2936" i="7" s="1"/>
  <c r="G2937" i="7" s="1"/>
  <c r="G2938" i="7" s="1"/>
  <c r="G2939" i="7" s="1"/>
  <c r="G2940" i="7" s="1"/>
  <c r="G2941" i="7" s="1"/>
  <c r="G2942" i="7" s="1"/>
  <c r="G2943" i="7" s="1"/>
  <c r="G2944" i="7" s="1"/>
  <c r="G2945" i="7" s="1"/>
  <c r="G2946" i="7" s="1"/>
  <c r="G2947" i="7" s="1"/>
  <c r="G2948" i="7" s="1"/>
  <c r="G2949" i="7" s="1"/>
  <c r="G2950" i="7" s="1"/>
  <c r="G2951" i="7" s="1"/>
  <c r="G2952" i="7" s="1"/>
  <c r="G2953" i="7" s="1"/>
  <c r="G2954" i="7" s="1"/>
  <c r="G2955" i="7" s="1"/>
  <c r="G2956" i="7" s="1"/>
  <c r="G2957" i="7" s="1"/>
  <c r="G2958" i="7" s="1"/>
  <c r="G2959" i="7" s="1"/>
  <c r="G2960" i="7" s="1"/>
  <c r="G2961" i="7" s="1"/>
  <c r="G2962" i="7" s="1"/>
  <c r="G2963" i="7" s="1"/>
  <c r="G2964" i="7" s="1"/>
  <c r="G2965" i="7" s="1"/>
  <c r="G2966" i="7" s="1"/>
  <c r="G2967" i="7" s="1"/>
  <c r="G2968" i="7" s="1"/>
  <c r="G2969" i="7" s="1"/>
  <c r="G2970" i="7" s="1"/>
  <c r="G2971" i="7" s="1"/>
  <c r="G2972" i="7" s="1"/>
  <c r="G2973" i="7" s="1"/>
  <c r="G2974" i="7" s="1"/>
  <c r="G2975" i="7" s="1"/>
  <c r="G2976" i="7" s="1"/>
  <c r="G2977" i="7" s="1"/>
  <c r="G2978" i="7" s="1"/>
  <c r="G2979" i="7" s="1"/>
  <c r="G2980" i="7" s="1"/>
  <c r="G2981" i="7" s="1"/>
  <c r="G2982" i="7" s="1"/>
  <c r="G2983" i="7" s="1"/>
  <c r="G2984" i="7" s="1"/>
  <c r="G2985" i="7" s="1"/>
  <c r="G2986" i="7" s="1"/>
  <c r="G2987" i="7" s="1"/>
  <c r="G2988" i="7" s="1"/>
  <c r="G2989" i="7" s="1"/>
  <c r="G2990" i="7" s="1"/>
  <c r="G2991" i="7" s="1"/>
  <c r="G2992" i="7" s="1"/>
  <c r="G2993" i="7" s="1"/>
  <c r="G2994" i="7" s="1"/>
  <c r="G2995" i="7" s="1"/>
  <c r="G2996" i="7" s="1"/>
  <c r="G2997" i="7" s="1"/>
  <c r="G2998" i="7" s="1"/>
  <c r="G2999" i="7" s="1"/>
  <c r="G3000" i="7" s="1"/>
  <c r="G3001" i="7" s="1"/>
  <c r="G3002" i="7" s="1"/>
  <c r="G3003" i="7" s="1"/>
  <c r="G3004" i="7" s="1"/>
  <c r="G3005" i="7" s="1"/>
  <c r="G3006" i="7" s="1"/>
  <c r="G3007" i="7" s="1"/>
  <c r="G3008" i="7" s="1"/>
  <c r="G3009" i="7" s="1"/>
  <c r="G3010" i="7" s="1"/>
  <c r="G3011" i="7" s="1"/>
  <c r="G3012" i="7" s="1"/>
  <c r="G3013" i="7" s="1"/>
  <c r="G3014" i="7" s="1"/>
  <c r="G3015" i="7" s="1"/>
  <c r="G3016" i="7" s="1"/>
  <c r="G3017" i="7" s="1"/>
  <c r="G3018" i="7" s="1"/>
  <c r="G3019" i="7" s="1"/>
  <c r="G3020" i="7" s="1"/>
  <c r="G3021" i="7" s="1"/>
  <c r="G3022" i="7" s="1"/>
  <c r="G3023" i="7" s="1"/>
  <c r="G3024" i="7" s="1"/>
  <c r="G3025" i="7" s="1"/>
  <c r="G3026" i="7" s="1"/>
  <c r="G3027" i="7" s="1"/>
  <c r="G3028" i="7" s="1"/>
  <c r="G3029" i="7" s="1"/>
  <c r="G3030" i="7" s="1"/>
  <c r="G3031" i="7" s="1"/>
  <c r="G3032" i="7" s="1"/>
  <c r="G3033" i="7" s="1"/>
  <c r="G3034" i="7" s="1"/>
  <c r="G3035" i="7" s="1"/>
  <c r="G3036" i="7" s="1"/>
  <c r="G3037" i="7" s="1"/>
  <c r="G3038" i="7" s="1"/>
  <c r="G3039" i="7" s="1"/>
  <c r="G3040" i="7" s="1"/>
  <c r="G3041" i="7" s="1"/>
  <c r="G3042" i="7" s="1"/>
  <c r="G3043" i="7" s="1"/>
  <c r="G3044" i="7" s="1"/>
  <c r="G3045" i="7" s="1"/>
  <c r="G3046" i="7" s="1"/>
  <c r="G3047" i="7" s="1"/>
  <c r="G3048" i="7" s="1"/>
  <c r="G3049" i="7" s="1"/>
  <c r="G3050" i="7" s="1"/>
  <c r="G3051" i="7" s="1"/>
  <c r="G3052" i="7" s="1"/>
  <c r="G3053" i="7" s="1"/>
  <c r="G3054" i="7" s="1"/>
  <c r="G3055" i="7" s="1"/>
  <c r="G3056" i="7" s="1"/>
  <c r="G3057" i="7" s="1"/>
  <c r="G3058" i="7" s="1"/>
  <c r="G3059" i="7" s="1"/>
  <c r="G3060" i="7" s="1"/>
  <c r="G3061" i="7" s="1"/>
  <c r="G3062" i="7" s="1"/>
  <c r="G3063" i="7" s="1"/>
  <c r="G3064" i="7" s="1"/>
  <c r="G3065" i="7" s="1"/>
  <c r="G3066" i="7" s="1"/>
  <c r="G3067" i="7" s="1"/>
  <c r="G3068" i="7" s="1"/>
  <c r="G3069" i="7" s="1"/>
  <c r="G3070" i="7" s="1"/>
  <c r="G3071" i="7" s="1"/>
  <c r="G3072" i="7" s="1"/>
  <c r="G3073" i="7" s="1"/>
  <c r="G3074" i="7" s="1"/>
  <c r="G3075" i="7" s="1"/>
  <c r="G3076" i="7" s="1"/>
  <c r="G3077" i="7" s="1"/>
  <c r="G3078" i="7" s="1"/>
  <c r="G3079" i="7" s="1"/>
  <c r="G3080" i="7" s="1"/>
  <c r="G3081" i="7" s="1"/>
  <c r="G3082" i="7" s="1"/>
  <c r="G3083" i="7" s="1"/>
  <c r="G3084" i="7" s="1"/>
  <c r="G3085" i="7" s="1"/>
  <c r="G3086" i="7" s="1"/>
  <c r="G3087" i="7" s="1"/>
  <c r="G3088" i="7" s="1"/>
  <c r="G3089" i="7" s="1"/>
  <c r="G3090" i="7" s="1"/>
  <c r="G3091" i="7" s="1"/>
  <c r="G3092" i="7" s="1"/>
  <c r="G3093" i="7" s="1"/>
  <c r="G3094" i="7" s="1"/>
  <c r="G3095" i="7" s="1"/>
  <c r="G3096" i="7" s="1"/>
  <c r="G3097" i="7" s="1"/>
  <c r="G3098" i="7" s="1"/>
  <c r="G3099" i="7" s="1"/>
  <c r="G3100" i="7" s="1"/>
  <c r="G3101" i="7" s="1"/>
  <c r="G3102" i="7" s="1"/>
  <c r="G3103" i="7" s="1"/>
  <c r="G3104" i="7" s="1"/>
  <c r="G3105" i="7" s="1"/>
  <c r="G3106" i="7" s="1"/>
  <c r="G3107" i="7" s="1"/>
  <c r="G3108" i="7" s="1"/>
  <c r="G3109" i="7" s="1"/>
  <c r="G3110" i="7" s="1"/>
  <c r="G3111" i="7" s="1"/>
  <c r="G3112" i="7" s="1"/>
  <c r="G3113" i="7" s="1"/>
  <c r="G3114" i="7" s="1"/>
  <c r="G3115" i="7" s="1"/>
  <c r="G3116" i="7" s="1"/>
  <c r="G3117" i="7" s="1"/>
  <c r="G3118" i="7" s="1"/>
  <c r="G3119" i="7" s="1"/>
  <c r="G3120" i="7" s="1"/>
  <c r="G3121" i="7" s="1"/>
  <c r="G3122" i="7" s="1"/>
  <c r="G3123" i="7" s="1"/>
  <c r="G3124" i="7" s="1"/>
  <c r="G3125" i="7" s="1"/>
  <c r="G3126" i="7" s="1"/>
  <c r="G3127" i="7" s="1"/>
  <c r="G3128" i="7" s="1"/>
  <c r="G3129" i="7" s="1"/>
  <c r="G3130" i="7" s="1"/>
  <c r="G3131" i="7" s="1"/>
  <c r="G3132" i="7" s="1"/>
  <c r="G3133" i="7" s="1"/>
  <c r="G3134" i="7" s="1"/>
  <c r="G3135" i="7" s="1"/>
  <c r="G3136" i="7" s="1"/>
  <c r="G3137" i="7" s="1"/>
  <c r="G3138" i="7" s="1"/>
  <c r="G3139" i="7" s="1"/>
  <c r="G3140" i="7" s="1"/>
  <c r="G3141" i="7" s="1"/>
  <c r="G3142" i="7" s="1"/>
  <c r="G3143" i="7" s="1"/>
  <c r="G3144" i="7" s="1"/>
  <c r="G3145" i="7" s="1"/>
  <c r="G3146" i="7" s="1"/>
  <c r="G3147" i="7" s="1"/>
  <c r="G3148" i="7" s="1"/>
  <c r="G3149" i="7" s="1"/>
  <c r="G3150" i="7" s="1"/>
  <c r="G3151" i="7" s="1"/>
  <c r="G3152" i="7" s="1"/>
  <c r="G3153" i="7" s="1"/>
  <c r="G3154" i="7" s="1"/>
  <c r="G3155" i="7" s="1"/>
  <c r="G3156" i="7" s="1"/>
  <c r="G3157" i="7" s="1"/>
  <c r="G3158" i="7" s="1"/>
  <c r="G3159" i="7" s="1"/>
  <c r="G3160" i="7" s="1"/>
  <c r="G3161" i="7" s="1"/>
  <c r="G3162" i="7" s="1"/>
  <c r="G3163" i="7" s="1"/>
  <c r="G3164" i="7" s="1"/>
  <c r="G3165" i="7" s="1"/>
  <c r="G3166" i="7" s="1"/>
  <c r="G3167" i="7" s="1"/>
  <c r="G3168" i="7" s="1"/>
  <c r="G3169" i="7" s="1"/>
  <c r="G3170" i="7" s="1"/>
  <c r="G3171" i="7" s="1"/>
  <c r="G3172" i="7" s="1"/>
  <c r="G3173" i="7" s="1"/>
  <c r="G3174" i="7" s="1"/>
  <c r="G3175" i="7" s="1"/>
  <c r="G3176" i="7" s="1"/>
  <c r="G3177" i="7" s="1"/>
  <c r="G3178" i="7" s="1"/>
  <c r="G3179" i="7" s="1"/>
  <c r="G3180" i="7" s="1"/>
  <c r="G3181" i="7" s="1"/>
  <c r="G3182" i="7" s="1"/>
  <c r="G3183" i="7" s="1"/>
  <c r="G3184" i="7" s="1"/>
  <c r="G3185" i="7" s="1"/>
  <c r="G3186" i="7" s="1"/>
  <c r="G3187" i="7" s="1"/>
  <c r="G3188" i="7" s="1"/>
  <c r="G3189" i="7" s="1"/>
  <c r="G3190" i="7" s="1"/>
  <c r="G3191" i="7" s="1"/>
  <c r="G3192" i="7" s="1"/>
  <c r="G3193" i="7" s="1"/>
  <c r="G3194" i="7" s="1"/>
  <c r="G3195" i="7" s="1"/>
  <c r="G3196" i="7" s="1"/>
  <c r="G3197" i="7" s="1"/>
  <c r="G3198" i="7" s="1"/>
  <c r="G3199" i="7" s="1"/>
  <c r="G3200" i="7" s="1"/>
  <c r="G3201" i="7" s="1"/>
  <c r="G3202" i="7" s="1"/>
  <c r="G3203" i="7" s="1"/>
  <c r="G3204" i="7" s="1"/>
  <c r="G3205" i="7" s="1"/>
  <c r="G3206" i="7" s="1"/>
  <c r="G3207" i="7" s="1"/>
  <c r="G3208" i="7" s="1"/>
  <c r="G3209" i="7" s="1"/>
  <c r="G3210" i="7" s="1"/>
  <c r="G3211" i="7" s="1"/>
  <c r="G3212" i="7" s="1"/>
  <c r="G3213" i="7" s="1"/>
  <c r="G3214" i="7" s="1"/>
  <c r="G3215" i="7" s="1"/>
  <c r="G3216" i="7" s="1"/>
  <c r="G3217" i="7" s="1"/>
  <c r="G3218" i="7" s="1"/>
  <c r="G3219" i="7" s="1"/>
  <c r="G3220" i="7" s="1"/>
  <c r="G3221" i="7" s="1"/>
  <c r="G3222" i="7" s="1"/>
  <c r="G3223" i="7" s="1"/>
  <c r="G3224" i="7" s="1"/>
  <c r="G3225" i="7" s="1"/>
  <c r="G3226" i="7" s="1"/>
  <c r="G3227" i="7" s="1"/>
  <c r="G3228" i="7" s="1"/>
  <c r="G3229" i="7" s="1"/>
  <c r="G3230" i="7" s="1"/>
  <c r="G3231" i="7" s="1"/>
  <c r="G3232" i="7" s="1"/>
  <c r="G3233" i="7" s="1"/>
  <c r="G3234" i="7" s="1"/>
  <c r="G3235" i="7" s="1"/>
  <c r="G3236" i="7" s="1"/>
  <c r="G3237" i="7" s="1"/>
  <c r="G3238" i="7" s="1"/>
  <c r="G3239" i="7" s="1"/>
  <c r="G3240" i="7" s="1"/>
  <c r="G3241" i="7" s="1"/>
  <c r="G3242" i="7" s="1"/>
  <c r="G3243" i="7" s="1"/>
  <c r="G3244" i="7" s="1"/>
  <c r="G3245" i="7" s="1"/>
  <c r="G3246" i="7" s="1"/>
  <c r="G3247" i="7" s="1"/>
  <c r="G3248" i="7" s="1"/>
  <c r="G3249" i="7" s="1"/>
  <c r="G3250" i="7" s="1"/>
  <c r="G3251" i="7" s="1"/>
  <c r="G3252" i="7" s="1"/>
  <c r="G3253" i="7" s="1"/>
  <c r="G3254" i="7" s="1"/>
  <c r="G3255" i="7" s="1"/>
  <c r="G3256" i="7" s="1"/>
  <c r="G3257" i="7" s="1"/>
  <c r="G3258" i="7" s="1"/>
  <c r="G3259" i="7" s="1"/>
  <c r="G3260" i="7" s="1"/>
  <c r="G3261" i="7" s="1"/>
  <c r="G3262" i="7" s="1"/>
  <c r="G3263" i="7" s="1"/>
  <c r="G3264" i="7" s="1"/>
  <c r="G3265" i="7" s="1"/>
  <c r="G3266" i="7" s="1"/>
  <c r="G3267" i="7" s="1"/>
  <c r="G3268" i="7" s="1"/>
  <c r="G3269" i="7" s="1"/>
  <c r="G3270" i="7" s="1"/>
  <c r="G3271" i="7" s="1"/>
  <c r="G3272" i="7" s="1"/>
  <c r="G3273" i="7" s="1"/>
  <c r="G3274" i="7" s="1"/>
  <c r="G3275" i="7" s="1"/>
  <c r="G3276" i="7" s="1"/>
  <c r="G3277" i="7" s="1"/>
  <c r="G3278" i="7" s="1"/>
  <c r="G3279" i="7" s="1"/>
  <c r="G3280" i="7" s="1"/>
  <c r="G3281" i="7" s="1"/>
  <c r="G3282" i="7" s="1"/>
  <c r="G3283" i="7" s="1"/>
  <c r="G3284" i="7" s="1"/>
  <c r="G3285" i="7" s="1"/>
  <c r="G3286" i="7" s="1"/>
  <c r="G3287" i="7" s="1"/>
  <c r="G3288" i="7" s="1"/>
  <c r="G3289" i="7" s="1"/>
  <c r="G3290" i="7" s="1"/>
  <c r="G3291" i="7" s="1"/>
  <c r="G3292" i="7" s="1"/>
  <c r="G3293" i="7" s="1"/>
  <c r="G3294" i="7" s="1"/>
  <c r="G3295" i="7" s="1"/>
  <c r="G3296" i="7" s="1"/>
  <c r="G3297" i="7" s="1"/>
  <c r="G3298" i="7" s="1"/>
  <c r="G3299" i="7" s="1"/>
  <c r="G3300" i="7" s="1"/>
  <c r="G3301" i="7" s="1"/>
  <c r="G3302" i="7" s="1"/>
  <c r="G3303" i="7" s="1"/>
  <c r="G3304" i="7" s="1"/>
  <c r="G3305" i="7" s="1"/>
  <c r="G3306" i="7" s="1"/>
  <c r="G3307" i="7" s="1"/>
  <c r="G3308" i="7" s="1"/>
  <c r="G3309" i="7" s="1"/>
  <c r="G3310" i="7" s="1"/>
  <c r="G3311" i="7" s="1"/>
  <c r="G3312" i="7" s="1"/>
  <c r="G3313" i="7" s="1"/>
  <c r="G3314" i="7" s="1"/>
  <c r="G3315" i="7" s="1"/>
  <c r="G3316" i="7" s="1"/>
  <c r="G3317" i="7" s="1"/>
  <c r="G3318" i="7" s="1"/>
  <c r="G3319" i="7" s="1"/>
  <c r="G3320" i="7" s="1"/>
  <c r="G3321" i="7" s="1"/>
  <c r="G3322" i="7" s="1"/>
  <c r="G3323" i="7" s="1"/>
  <c r="G3324" i="7" s="1"/>
  <c r="G3325" i="7" s="1"/>
  <c r="G3326" i="7" s="1"/>
  <c r="G3327" i="7" s="1"/>
  <c r="G3328" i="7" s="1"/>
  <c r="G3329" i="7" s="1"/>
  <c r="G3330" i="7" s="1"/>
  <c r="G3331" i="7" s="1"/>
  <c r="G3332" i="7" s="1"/>
  <c r="G3333" i="7" s="1"/>
  <c r="G3334" i="7" s="1"/>
  <c r="G3335" i="7" s="1"/>
  <c r="G3336" i="7" s="1"/>
  <c r="G3337" i="7" s="1"/>
  <c r="G3338" i="7" s="1"/>
  <c r="G3339" i="7" s="1"/>
  <c r="G3340" i="7" s="1"/>
  <c r="G3341" i="7" s="1"/>
  <c r="G3342" i="7" s="1"/>
  <c r="G3343" i="7" s="1"/>
  <c r="G3344" i="7" s="1"/>
  <c r="G3345" i="7" s="1"/>
  <c r="G3346" i="7" s="1"/>
  <c r="G3347" i="7" s="1"/>
  <c r="G3348" i="7" s="1"/>
  <c r="G3349" i="7" s="1"/>
  <c r="G3350" i="7" s="1"/>
  <c r="G3351" i="7" s="1"/>
  <c r="G3352" i="7" s="1"/>
  <c r="G3353" i="7" s="1"/>
  <c r="G3354" i="7" s="1"/>
  <c r="G3355" i="7" s="1"/>
  <c r="G3356" i="7" s="1"/>
  <c r="G3357" i="7" s="1"/>
  <c r="G3358" i="7" s="1"/>
  <c r="G3359" i="7" s="1"/>
  <c r="G3360" i="7" s="1"/>
  <c r="G3361" i="7" s="1"/>
  <c r="G3362" i="7" s="1"/>
  <c r="G3363" i="7" s="1"/>
  <c r="G3364" i="7" s="1"/>
  <c r="G3365" i="7" s="1"/>
  <c r="G3366" i="7" s="1"/>
  <c r="G3367" i="7" s="1"/>
  <c r="G3368" i="7" s="1"/>
  <c r="G3369" i="7" s="1"/>
  <c r="G3370" i="7" s="1"/>
  <c r="G3371" i="7" s="1"/>
  <c r="G3372" i="7" s="1"/>
  <c r="G3373" i="7" s="1"/>
  <c r="G3374" i="7" s="1"/>
  <c r="G3375" i="7" s="1"/>
  <c r="G3376" i="7" s="1"/>
  <c r="G3377" i="7" s="1"/>
  <c r="G3378" i="7" s="1"/>
  <c r="G3379" i="7" s="1"/>
  <c r="G3380" i="7" s="1"/>
  <c r="G3381" i="7" s="1"/>
  <c r="G3382" i="7" s="1"/>
  <c r="G3383" i="7" s="1"/>
  <c r="G3384" i="7" s="1"/>
  <c r="G3385" i="7" s="1"/>
  <c r="G3386" i="7" s="1"/>
  <c r="G3387" i="7" s="1"/>
  <c r="G3388" i="7" s="1"/>
  <c r="G3389" i="7" s="1"/>
  <c r="G3390" i="7" s="1"/>
  <c r="G3391" i="7" s="1"/>
  <c r="G3392" i="7" s="1"/>
  <c r="G3393" i="7" s="1"/>
  <c r="G3394" i="7" s="1"/>
  <c r="G3395" i="7" s="1"/>
  <c r="G3396" i="7" s="1"/>
  <c r="G3397" i="7" s="1"/>
  <c r="G3398" i="7" s="1"/>
  <c r="G3399" i="7" s="1"/>
  <c r="G3400" i="7" s="1"/>
  <c r="G3401" i="7" s="1"/>
  <c r="G3402" i="7" s="1"/>
  <c r="G3403" i="7" s="1"/>
  <c r="G3404" i="7" s="1"/>
  <c r="G3405" i="7" s="1"/>
  <c r="G3406" i="7" s="1"/>
  <c r="G3407" i="7" s="1"/>
  <c r="G3408" i="7" s="1"/>
  <c r="G3409" i="7" s="1"/>
  <c r="G3410" i="7" s="1"/>
  <c r="G3411" i="7" s="1"/>
  <c r="G3412" i="7" s="1"/>
  <c r="G3413" i="7" s="1"/>
  <c r="G3414" i="7" s="1"/>
  <c r="G3415" i="7" s="1"/>
  <c r="G3416" i="7" s="1"/>
  <c r="G3417" i="7" s="1"/>
  <c r="G3418" i="7" s="1"/>
  <c r="G3419" i="7" s="1"/>
  <c r="G3420" i="7" s="1"/>
  <c r="G3421" i="7" s="1"/>
  <c r="G3422" i="7" s="1"/>
  <c r="G3423" i="7" s="1"/>
  <c r="G3424" i="7" s="1"/>
  <c r="G3425" i="7" s="1"/>
  <c r="G3426" i="7" s="1"/>
  <c r="G3427" i="7" s="1"/>
  <c r="G3428" i="7" s="1"/>
  <c r="G3429" i="7" s="1"/>
  <c r="G3430" i="7" s="1"/>
  <c r="G3431" i="7" s="1"/>
  <c r="G3432" i="7" s="1"/>
  <c r="G3433" i="7" s="1"/>
  <c r="G3434" i="7" s="1"/>
  <c r="G3435" i="7" s="1"/>
  <c r="G3436" i="7" s="1"/>
  <c r="G3437" i="7" s="1"/>
  <c r="G3438" i="7" s="1"/>
  <c r="G3439" i="7" s="1"/>
  <c r="G3440" i="7" s="1"/>
  <c r="G3441" i="7" s="1"/>
  <c r="G3442" i="7" s="1"/>
  <c r="G3443" i="7" s="1"/>
  <c r="G3444" i="7" s="1"/>
  <c r="G3445" i="7" s="1"/>
  <c r="G3446" i="7" s="1"/>
  <c r="G3447" i="7" s="1"/>
  <c r="G3448" i="7" s="1"/>
  <c r="G3449" i="7" s="1"/>
  <c r="G3450" i="7" s="1"/>
  <c r="G3451" i="7" s="1"/>
  <c r="G3452" i="7" s="1"/>
  <c r="G3453" i="7" s="1"/>
  <c r="G3454" i="7" s="1"/>
  <c r="G3455" i="7" s="1"/>
  <c r="G3456" i="7" s="1"/>
  <c r="G3457" i="7" s="1"/>
  <c r="G3458" i="7" s="1"/>
  <c r="G3459" i="7" s="1"/>
  <c r="G3460" i="7" s="1"/>
  <c r="G3461" i="7" s="1"/>
  <c r="G3462" i="7" s="1"/>
  <c r="G3463" i="7" s="1"/>
  <c r="G3464" i="7" s="1"/>
  <c r="G3465" i="7" s="1"/>
  <c r="G3466" i="7" s="1"/>
  <c r="G3467" i="7" s="1"/>
  <c r="G3468" i="7" s="1"/>
  <c r="G3469" i="7" s="1"/>
  <c r="G3470" i="7" s="1"/>
  <c r="G3471" i="7" s="1"/>
  <c r="G3472" i="7" s="1"/>
  <c r="G3473" i="7" s="1"/>
  <c r="G3474" i="7" s="1"/>
  <c r="G3475" i="7" s="1"/>
  <c r="G3476" i="7" s="1"/>
  <c r="G3477" i="7" s="1"/>
  <c r="G3478" i="7" s="1"/>
  <c r="G3479" i="7" s="1"/>
  <c r="G3480" i="7" s="1"/>
  <c r="G3481" i="7" s="1"/>
  <c r="G3482" i="7" s="1"/>
  <c r="G3483" i="7" s="1"/>
  <c r="G3484" i="7" s="1"/>
  <c r="G3485" i="7" s="1"/>
  <c r="G3486" i="7" s="1"/>
  <c r="G3487" i="7" s="1"/>
  <c r="G3488" i="7" s="1"/>
  <c r="G3489" i="7" s="1"/>
  <c r="G3490" i="7" s="1"/>
  <c r="G3491" i="7" s="1"/>
  <c r="G3492" i="7" s="1"/>
  <c r="G3493" i="7" s="1"/>
  <c r="G3494" i="7" s="1"/>
  <c r="G3495" i="7" s="1"/>
  <c r="G3496" i="7" s="1"/>
  <c r="G3497" i="7" s="1"/>
  <c r="G3498" i="7" s="1"/>
  <c r="G3499" i="7" s="1"/>
  <c r="G3500" i="7" s="1"/>
  <c r="G3501" i="7" s="1"/>
  <c r="G3502" i="7" s="1"/>
  <c r="G3503" i="7" s="1"/>
  <c r="G3504" i="7" s="1"/>
  <c r="G3505" i="7" s="1"/>
  <c r="G3506" i="7" s="1"/>
  <c r="G3507" i="7" s="1"/>
  <c r="J3373" i="1"/>
  <c r="G3373" i="1"/>
  <c r="J3372" i="1"/>
  <c r="G3372" i="1"/>
  <c r="J3371" i="1"/>
  <c r="G3371" i="1"/>
  <c r="J3370" i="1"/>
  <c r="G3370" i="1"/>
  <c r="J3369" i="1"/>
  <c r="G3369" i="1"/>
  <c r="J3368" i="1"/>
  <c r="G3368" i="1"/>
  <c r="J3367" i="1"/>
  <c r="G3367" i="1"/>
  <c r="J3366" i="1"/>
  <c r="G3366" i="1"/>
  <c r="J3365" i="1"/>
  <c r="G3365" i="1"/>
  <c r="J3364" i="1"/>
  <c r="G3364" i="1"/>
  <c r="J3363" i="1"/>
  <c r="G3363" i="1"/>
  <c r="J3362" i="1"/>
  <c r="G3362" i="1"/>
  <c r="J3361" i="1"/>
  <c r="G3361" i="1"/>
  <c r="J3360" i="1"/>
  <c r="G3360" i="1"/>
  <c r="J3359" i="1"/>
  <c r="G3359" i="1"/>
  <c r="J3358" i="1"/>
  <c r="G3358" i="1"/>
  <c r="J3357" i="1"/>
  <c r="G3357" i="1"/>
  <c r="J3356" i="1"/>
  <c r="G3356" i="1"/>
  <c r="J3355" i="1"/>
  <c r="G3355" i="1"/>
  <c r="J3354" i="1"/>
  <c r="G3354" i="1"/>
  <c r="J3353" i="1"/>
  <c r="G3353" i="1"/>
  <c r="J3352" i="1"/>
  <c r="G3352" i="1"/>
  <c r="J3351" i="1"/>
  <c r="G3351" i="1"/>
  <c r="J3350" i="1"/>
  <c r="G3350" i="1"/>
  <c r="J3349" i="1"/>
  <c r="G3349" i="1"/>
  <c r="J3348" i="1"/>
  <c r="G3348" i="1"/>
  <c r="J3347" i="1"/>
  <c r="G3347" i="1"/>
  <c r="J3346" i="1"/>
  <c r="G3346" i="1"/>
  <c r="J3345" i="1"/>
  <c r="G3345" i="1"/>
  <c r="J3344" i="1"/>
  <c r="G3344" i="1"/>
  <c r="J3343" i="1"/>
  <c r="G3343" i="1"/>
  <c r="J3342" i="1"/>
  <c r="G3342" i="1"/>
  <c r="J3341" i="1"/>
  <c r="G3341" i="1"/>
  <c r="J3340" i="1"/>
  <c r="G3340" i="1"/>
  <c r="J3339" i="1"/>
  <c r="G3339" i="1"/>
  <c r="J3338" i="1"/>
  <c r="G3338" i="1"/>
  <c r="J3337" i="1"/>
  <c r="G3337" i="1"/>
  <c r="J3336" i="1"/>
  <c r="G3336" i="1"/>
  <c r="J3335" i="1"/>
  <c r="G3335" i="1"/>
  <c r="J3334" i="1"/>
  <c r="G3334" i="1"/>
  <c r="J3333" i="1"/>
  <c r="G3333" i="1"/>
  <c r="J3332" i="1"/>
  <c r="G3332" i="1"/>
  <c r="J3331" i="1"/>
  <c r="G3331" i="1"/>
  <c r="J3330" i="1"/>
  <c r="G3330" i="1"/>
  <c r="J3329" i="1"/>
  <c r="G3329" i="1"/>
  <c r="J3328" i="1"/>
  <c r="G3328" i="1"/>
  <c r="J3327" i="1"/>
  <c r="G3327" i="1"/>
  <c r="J3326" i="1"/>
  <c r="G3326" i="1"/>
  <c r="J3325" i="1"/>
  <c r="G3325" i="1"/>
  <c r="J3324" i="1"/>
  <c r="G3324" i="1"/>
  <c r="J3323" i="1"/>
  <c r="G3323" i="1"/>
  <c r="J3322" i="1"/>
  <c r="G3322" i="1"/>
  <c r="J3321" i="1"/>
  <c r="G3321" i="1"/>
  <c r="J3320" i="1"/>
  <c r="G3320" i="1"/>
  <c r="J3319" i="1"/>
  <c r="G3319" i="1"/>
  <c r="J3318" i="1"/>
  <c r="G3318" i="1"/>
  <c r="J3317" i="1"/>
  <c r="G3317" i="1"/>
  <c r="J3316" i="1"/>
  <c r="G3316" i="1"/>
  <c r="J3315" i="1"/>
  <c r="G3315" i="1"/>
  <c r="J3314" i="1"/>
  <c r="G3314" i="1"/>
  <c r="J3313" i="1"/>
  <c r="G3313" i="1"/>
  <c r="J3312" i="1"/>
  <c r="G3312" i="1"/>
  <c r="J3311" i="1"/>
  <c r="G3311" i="1"/>
  <c r="J3310" i="1"/>
  <c r="G3310" i="1"/>
  <c r="J3309" i="1"/>
  <c r="G3309" i="1"/>
  <c r="J3308" i="1"/>
  <c r="G3308" i="1"/>
  <c r="J3307" i="1"/>
  <c r="G3307" i="1"/>
  <c r="J3306" i="1"/>
  <c r="G3306" i="1"/>
  <c r="J3305" i="1"/>
  <c r="G3305" i="1"/>
  <c r="J3304" i="1"/>
  <c r="G3304" i="1"/>
  <c r="J3303" i="1"/>
  <c r="G3303" i="1"/>
  <c r="J3302" i="1"/>
  <c r="G3302" i="1"/>
  <c r="J3301" i="1"/>
  <c r="G3301" i="1"/>
  <c r="J3300" i="1"/>
  <c r="G3300" i="1"/>
  <c r="J3299" i="1"/>
  <c r="G3299" i="1"/>
  <c r="J3298" i="1"/>
  <c r="G3298" i="1"/>
  <c r="J3297" i="1"/>
  <c r="G3297" i="1"/>
  <c r="J3296" i="1"/>
  <c r="G3296" i="1"/>
  <c r="J3295" i="1"/>
  <c r="G3295" i="1"/>
  <c r="J3294" i="1"/>
  <c r="G3294" i="1"/>
  <c r="J3293" i="1"/>
  <c r="G3293" i="1"/>
  <c r="J3292" i="1"/>
  <c r="G3292" i="1"/>
  <c r="J3291" i="1"/>
  <c r="G3291" i="1"/>
  <c r="J3290" i="1"/>
  <c r="G3290" i="1"/>
  <c r="J3289" i="1"/>
  <c r="G3289" i="1"/>
  <c r="J3288" i="1"/>
  <c r="G3288" i="1"/>
  <c r="J3287" i="1"/>
  <c r="G3287" i="1"/>
  <c r="J3286" i="1"/>
  <c r="G3286" i="1"/>
  <c r="J3285" i="1"/>
  <c r="G3285" i="1"/>
  <c r="J3284" i="1"/>
  <c r="G3284" i="1"/>
  <c r="J3283" i="1"/>
  <c r="G3283" i="1"/>
  <c r="J3282" i="1"/>
  <c r="G3282" i="1"/>
  <c r="J3281" i="1"/>
  <c r="G3281" i="1"/>
  <c r="J3280" i="1"/>
  <c r="G3280" i="1"/>
  <c r="J3279" i="1"/>
  <c r="G3279" i="1"/>
  <c r="J3278" i="1"/>
  <c r="G3278" i="1"/>
  <c r="J3277" i="1"/>
  <c r="G3277" i="1"/>
  <c r="J3276" i="1"/>
  <c r="G3276" i="1"/>
  <c r="J3275" i="1"/>
  <c r="G3275" i="1"/>
  <c r="J3274" i="1"/>
  <c r="G3274" i="1"/>
  <c r="J3273" i="1"/>
  <c r="G3273" i="1"/>
  <c r="J3272" i="1"/>
  <c r="G3272" i="1"/>
  <c r="J3271" i="1"/>
  <c r="G3271" i="1"/>
  <c r="J3270" i="1"/>
  <c r="G3270" i="1"/>
  <c r="J3269" i="1"/>
  <c r="G3269" i="1"/>
  <c r="J3268" i="1"/>
  <c r="G3268" i="1"/>
  <c r="J3267" i="1"/>
  <c r="G3267" i="1"/>
  <c r="J3266" i="1"/>
  <c r="G3266" i="1"/>
  <c r="J3265" i="1"/>
  <c r="G3265" i="1"/>
  <c r="J3264" i="1"/>
  <c r="G3264" i="1"/>
  <c r="J3263" i="1"/>
  <c r="G3263" i="1"/>
  <c r="J3262" i="1"/>
  <c r="G3262" i="1"/>
  <c r="J3261" i="1"/>
  <c r="G3261" i="1"/>
  <c r="J3260" i="1"/>
  <c r="G3260" i="1"/>
  <c r="J3259" i="1"/>
  <c r="G3259" i="1"/>
  <c r="J3258" i="1"/>
  <c r="G3258" i="1"/>
  <c r="J3257" i="1"/>
  <c r="G3257" i="1"/>
  <c r="J3256" i="1"/>
  <c r="G3256" i="1"/>
  <c r="J3255" i="1"/>
  <c r="G3255" i="1"/>
  <c r="J3254" i="1"/>
  <c r="G3254" i="1"/>
  <c r="J3253" i="1"/>
  <c r="G3253" i="1"/>
  <c r="J3252" i="1"/>
  <c r="G3252" i="1"/>
  <c r="J3251" i="1"/>
  <c r="G3251" i="1"/>
  <c r="J3250" i="1"/>
  <c r="G3250" i="1"/>
  <c r="J3249" i="1"/>
  <c r="G3249" i="1"/>
  <c r="J3248" i="1"/>
  <c r="G3248" i="1"/>
  <c r="J3247" i="1"/>
  <c r="G3247" i="1"/>
  <c r="J3246" i="1"/>
  <c r="G3246" i="1"/>
  <c r="J3245" i="1"/>
  <c r="G3245" i="1"/>
  <c r="J3244" i="1"/>
  <c r="G3244" i="1"/>
  <c r="J3243" i="1"/>
  <c r="G3243" i="1"/>
  <c r="J3242" i="1"/>
  <c r="G3242" i="1"/>
  <c r="J3241" i="1"/>
  <c r="G3241" i="1"/>
  <c r="J3240" i="1"/>
  <c r="G3240" i="1"/>
  <c r="J3239" i="1"/>
  <c r="G3239" i="1"/>
  <c r="J3238" i="1"/>
  <c r="G3238" i="1"/>
  <c r="J3237" i="1"/>
  <c r="G3237" i="1"/>
  <c r="J3236" i="1"/>
  <c r="G3236" i="1"/>
  <c r="J3235" i="1"/>
  <c r="G3235" i="1"/>
  <c r="J3234" i="1"/>
  <c r="G3234" i="1"/>
  <c r="J3233" i="1"/>
  <c r="G3233" i="1"/>
  <c r="J3232" i="1"/>
  <c r="G3232" i="1"/>
  <c r="J3231" i="1"/>
  <c r="G3231" i="1"/>
  <c r="J3230" i="1"/>
  <c r="G3230" i="1"/>
  <c r="J3229" i="1"/>
  <c r="G3229" i="1"/>
  <c r="J3228" i="1"/>
  <c r="G3228" i="1"/>
  <c r="J3227" i="1"/>
  <c r="G3227" i="1"/>
  <c r="J3226" i="1"/>
  <c r="G3226" i="1"/>
  <c r="J3225" i="1"/>
  <c r="G3225" i="1"/>
  <c r="J3224" i="1"/>
  <c r="G3224" i="1"/>
  <c r="J3223" i="1"/>
  <c r="G3223" i="1"/>
  <c r="J3222" i="1"/>
  <c r="G3222" i="1"/>
  <c r="J3221" i="1"/>
  <c r="G3221" i="1"/>
  <c r="J3220" i="1"/>
  <c r="G3220" i="1"/>
  <c r="J3219" i="1"/>
  <c r="G3219" i="1"/>
  <c r="J3218" i="1"/>
  <c r="G3218" i="1"/>
  <c r="J3217" i="1"/>
  <c r="G3217" i="1"/>
  <c r="J3216" i="1"/>
  <c r="G3216" i="1"/>
  <c r="J3215" i="1"/>
  <c r="G3215" i="1"/>
  <c r="J3214" i="1"/>
  <c r="G3214" i="1"/>
  <c r="J3213" i="1"/>
  <c r="G3213" i="1"/>
  <c r="J3212" i="1"/>
  <c r="G3212" i="1"/>
  <c r="J3211" i="1"/>
  <c r="G3211" i="1"/>
  <c r="J3210" i="1"/>
  <c r="G3210" i="1"/>
  <c r="J3209" i="1"/>
  <c r="G3209" i="1"/>
  <c r="J3208" i="1"/>
  <c r="G3208" i="1"/>
  <c r="J3207" i="1"/>
  <c r="G3207" i="1"/>
  <c r="J3206" i="1"/>
  <c r="G3206" i="1"/>
  <c r="J3205" i="1"/>
  <c r="G3205" i="1"/>
  <c r="J3204" i="1"/>
  <c r="G3204" i="1"/>
  <c r="J3203" i="1"/>
  <c r="G3203" i="1"/>
  <c r="J3202" i="1"/>
  <c r="G3202" i="1"/>
  <c r="J3201" i="1"/>
  <c r="G3201" i="1"/>
  <c r="J3200" i="1"/>
  <c r="G3200" i="1"/>
  <c r="J3199" i="1"/>
  <c r="G3199" i="1"/>
  <c r="J3198" i="1"/>
  <c r="G3198" i="1"/>
  <c r="J3197" i="1"/>
  <c r="G3197" i="1"/>
  <c r="J3196" i="1"/>
  <c r="G3196" i="1"/>
  <c r="J3195" i="1"/>
  <c r="G3195" i="1"/>
  <c r="J3194" i="1"/>
  <c r="G3194" i="1"/>
  <c r="J3193" i="1"/>
  <c r="G3193" i="1"/>
  <c r="J3192" i="1"/>
  <c r="G3192" i="1"/>
  <c r="J3191" i="1"/>
  <c r="G3191" i="1"/>
  <c r="J3190" i="1"/>
  <c r="G3190" i="1"/>
  <c r="J3189" i="1"/>
  <c r="G3189" i="1"/>
  <c r="J3188" i="1"/>
  <c r="G3188" i="1"/>
  <c r="J3187" i="1"/>
  <c r="G3187" i="1"/>
  <c r="J3186" i="1"/>
  <c r="G3186" i="1"/>
  <c r="J3185" i="1"/>
  <c r="G3185" i="1"/>
  <c r="J3184" i="1"/>
  <c r="G3184" i="1"/>
  <c r="J3183" i="1"/>
  <c r="G3183" i="1"/>
  <c r="J3182" i="1"/>
  <c r="G3182" i="1"/>
  <c r="J3181" i="1"/>
  <c r="G3181" i="1"/>
  <c r="J3180" i="1"/>
  <c r="G3180" i="1"/>
  <c r="J3179" i="1"/>
  <c r="G3179" i="1"/>
  <c r="J3178" i="1"/>
  <c r="G3178" i="1"/>
  <c r="J3177" i="1"/>
  <c r="G3177" i="1"/>
  <c r="J3176" i="1"/>
  <c r="G3176" i="1"/>
  <c r="J3175" i="1"/>
  <c r="G3175" i="1"/>
  <c r="J3174" i="1"/>
  <c r="G3174" i="1"/>
  <c r="J3173" i="1"/>
  <c r="G3173" i="1"/>
  <c r="J3172" i="1"/>
  <c r="G3172" i="1"/>
  <c r="J3171" i="1"/>
  <c r="G3171" i="1"/>
  <c r="J3170" i="1"/>
  <c r="G3170" i="1"/>
  <c r="J3169" i="1"/>
  <c r="G3169" i="1"/>
  <c r="J3168" i="1"/>
  <c r="G3168" i="1"/>
  <c r="J3167" i="1"/>
  <c r="G3167" i="1"/>
  <c r="J3166" i="1"/>
  <c r="G3166" i="1"/>
  <c r="J3165" i="1"/>
  <c r="G3165" i="1"/>
  <c r="J3164" i="1"/>
  <c r="G3164" i="1"/>
  <c r="J3163" i="1"/>
  <c r="G3163" i="1"/>
  <c r="J3162" i="1"/>
  <c r="G3162" i="1"/>
  <c r="J3161" i="1"/>
  <c r="G3161" i="1"/>
  <c r="J3160" i="1"/>
  <c r="G3160" i="1"/>
  <c r="J3159" i="1"/>
  <c r="G3159" i="1"/>
  <c r="J3158" i="1"/>
  <c r="G3158" i="1"/>
  <c r="J3157" i="1"/>
  <c r="G3157" i="1"/>
  <c r="J3156" i="1"/>
  <c r="G3156" i="1"/>
  <c r="J3155" i="1"/>
  <c r="G3155" i="1"/>
  <c r="J3154" i="1"/>
  <c r="G3154" i="1"/>
  <c r="J3153" i="1"/>
  <c r="G3153" i="1"/>
  <c r="J3152" i="1"/>
  <c r="G3152" i="1"/>
  <c r="J3151" i="1"/>
  <c r="G3151" i="1"/>
  <c r="J3150" i="1"/>
  <c r="G3150" i="1"/>
  <c r="J3149" i="1"/>
  <c r="G3149" i="1"/>
  <c r="J3148" i="1"/>
  <c r="G3148" i="1"/>
  <c r="J3147" i="1"/>
  <c r="G3147" i="1"/>
  <c r="J3146" i="1"/>
  <c r="G3146" i="1"/>
  <c r="J3145" i="1"/>
  <c r="G3145" i="1"/>
  <c r="J3144" i="1"/>
  <c r="G3144" i="1"/>
  <c r="J3143" i="1"/>
  <c r="G3143" i="1"/>
  <c r="J3142" i="1"/>
  <c r="G3142" i="1"/>
  <c r="J3141" i="1"/>
  <c r="G3141" i="1"/>
  <c r="J3140" i="1"/>
  <c r="G3140" i="1"/>
  <c r="J3139" i="1"/>
  <c r="G3139" i="1"/>
  <c r="J3138" i="1"/>
  <c r="G3138" i="1"/>
  <c r="J3137" i="1"/>
  <c r="G3137" i="1"/>
  <c r="J3136" i="1"/>
  <c r="G3136" i="1"/>
  <c r="J3135" i="1"/>
  <c r="G3135" i="1"/>
  <c r="J3134" i="1"/>
  <c r="G3134" i="1"/>
  <c r="J3133" i="1"/>
  <c r="G3133" i="1"/>
  <c r="J3132" i="1"/>
  <c r="G3132" i="1"/>
  <c r="J3131" i="1"/>
  <c r="G3131" i="1"/>
  <c r="J3130" i="1"/>
  <c r="G3130" i="1"/>
  <c r="J3129" i="1"/>
  <c r="G3129" i="1"/>
  <c r="J3128" i="1"/>
  <c r="G3128" i="1"/>
  <c r="J3127" i="1"/>
  <c r="G3127" i="1"/>
  <c r="J3126" i="1"/>
  <c r="G3126" i="1"/>
  <c r="J3125" i="1"/>
  <c r="G3125" i="1"/>
  <c r="J3124" i="1"/>
  <c r="G3124" i="1"/>
  <c r="J3123" i="1"/>
  <c r="G3123" i="1"/>
  <c r="J3122" i="1"/>
  <c r="G3122" i="1"/>
  <c r="J3121" i="1"/>
  <c r="G3121" i="1"/>
  <c r="J3120" i="1"/>
  <c r="G3120" i="1"/>
  <c r="J3119" i="1"/>
  <c r="G3119" i="1"/>
  <c r="J3118" i="1"/>
  <c r="G3118" i="1"/>
  <c r="J3117" i="1"/>
  <c r="G3117" i="1"/>
  <c r="J3116" i="1"/>
  <c r="G3116" i="1"/>
  <c r="J3115" i="1"/>
  <c r="G3115" i="1"/>
  <c r="J3114" i="1"/>
  <c r="G3114" i="1"/>
  <c r="J3113" i="1"/>
  <c r="G3113" i="1"/>
  <c r="J3112" i="1"/>
  <c r="G3112" i="1"/>
  <c r="J3111" i="1"/>
  <c r="G3111" i="1"/>
  <c r="J3110" i="1"/>
  <c r="G3110" i="1"/>
  <c r="J3109" i="1"/>
  <c r="G3109" i="1"/>
  <c r="J3108" i="1"/>
  <c r="G3108" i="1"/>
  <c r="J3107" i="1"/>
  <c r="G3107" i="1"/>
  <c r="J3106" i="1"/>
  <c r="G3106" i="1"/>
  <c r="J3105" i="1"/>
  <c r="G3105" i="1"/>
  <c r="J3104" i="1"/>
  <c r="G3104" i="1"/>
  <c r="J3103" i="1"/>
  <c r="G3103" i="1"/>
  <c r="J3102" i="1"/>
  <c r="G3102" i="1"/>
  <c r="J3101" i="1"/>
  <c r="G3101" i="1"/>
  <c r="J3100" i="1"/>
  <c r="G3100" i="1"/>
  <c r="J3099" i="1"/>
  <c r="G3099" i="1"/>
  <c r="J3098" i="1"/>
  <c r="G3098" i="1"/>
  <c r="J3097" i="1"/>
  <c r="G3097" i="1"/>
  <c r="J3096" i="1"/>
  <c r="G3096" i="1"/>
  <c r="J3095" i="1"/>
  <c r="G3095" i="1"/>
  <c r="J3094" i="1"/>
  <c r="G3094" i="1"/>
  <c r="J3093" i="1"/>
  <c r="G3093" i="1"/>
  <c r="J3092" i="1"/>
  <c r="G3092" i="1"/>
  <c r="J3091" i="1"/>
  <c r="G3091" i="1"/>
  <c r="J3090" i="1"/>
  <c r="G3090" i="1"/>
  <c r="J3089" i="1"/>
  <c r="G3089" i="1"/>
  <c r="J3088" i="1"/>
  <c r="G3088" i="1"/>
  <c r="J3087" i="1"/>
  <c r="G3087" i="1"/>
  <c r="J3086" i="1"/>
  <c r="G3086" i="1"/>
  <c r="J3085" i="1"/>
  <c r="G3085" i="1"/>
  <c r="J3084" i="1"/>
  <c r="G3084" i="1"/>
  <c r="J3083" i="1"/>
  <c r="G3083" i="1"/>
  <c r="J3082" i="1"/>
  <c r="G3082" i="1"/>
  <c r="J3081" i="1"/>
  <c r="G3081" i="1"/>
  <c r="J3080" i="1"/>
  <c r="G3080" i="1"/>
  <c r="J3079" i="1"/>
  <c r="G3079" i="1"/>
  <c r="J3078" i="1"/>
  <c r="G3078" i="1"/>
  <c r="J3077" i="1"/>
  <c r="G3077" i="1"/>
  <c r="J3076" i="1"/>
  <c r="G3076" i="1"/>
  <c r="J3075" i="1"/>
  <c r="G3075" i="1"/>
  <c r="J3074" i="1"/>
  <c r="G3074" i="1"/>
  <c r="J3073" i="1"/>
  <c r="G3073" i="1"/>
  <c r="J3072" i="1"/>
  <c r="G3072" i="1"/>
  <c r="J3071" i="1"/>
  <c r="G3071" i="1"/>
  <c r="J3070" i="1"/>
  <c r="G3070" i="1"/>
  <c r="J3069" i="1"/>
  <c r="G3069" i="1"/>
  <c r="J3068" i="1"/>
  <c r="G3068" i="1"/>
  <c r="J3067" i="1"/>
  <c r="G3067" i="1"/>
  <c r="J3066" i="1"/>
  <c r="G3066" i="1"/>
  <c r="J3065" i="1"/>
  <c r="G3065" i="1"/>
  <c r="J3064" i="1"/>
  <c r="G3064" i="1"/>
  <c r="J3063" i="1"/>
  <c r="G3063" i="1"/>
  <c r="J3062" i="1"/>
  <c r="G3062" i="1"/>
  <c r="J3061" i="1"/>
  <c r="G3061" i="1"/>
  <c r="J3060" i="1"/>
  <c r="G3060" i="1"/>
  <c r="J3059" i="1"/>
  <c r="G3059" i="1"/>
  <c r="J3058" i="1"/>
  <c r="G3058" i="1"/>
  <c r="J3057" i="1"/>
  <c r="G3057" i="1"/>
  <c r="J3056" i="1"/>
  <c r="G3056" i="1"/>
  <c r="J3055" i="1"/>
  <c r="G3055" i="1"/>
  <c r="J3054" i="1"/>
  <c r="G3054" i="1"/>
  <c r="J3053" i="1"/>
  <c r="G3053" i="1"/>
  <c r="J3052" i="1"/>
  <c r="G3052" i="1"/>
  <c r="J3051" i="1"/>
  <c r="G3051" i="1"/>
  <c r="J3050" i="1"/>
  <c r="G3050" i="1"/>
  <c r="J3049" i="1"/>
  <c r="G3049" i="1"/>
  <c r="J3048" i="1"/>
  <c r="G3048" i="1"/>
  <c r="J3047" i="1"/>
  <c r="G3047" i="1"/>
  <c r="J3046" i="1"/>
  <c r="G3046" i="1"/>
  <c r="J3045" i="1"/>
  <c r="G3045" i="1"/>
  <c r="J3044" i="1"/>
  <c r="G3044" i="1"/>
  <c r="J3043" i="1"/>
  <c r="G3043" i="1"/>
  <c r="J3042" i="1"/>
  <c r="G3042" i="1"/>
  <c r="J3041" i="1"/>
  <c r="G3041" i="1"/>
  <c r="J3040" i="1"/>
  <c r="G3040" i="1"/>
  <c r="J3039" i="1"/>
  <c r="G3039" i="1"/>
  <c r="J3038" i="1"/>
  <c r="G3038" i="1"/>
  <c r="J3037" i="1"/>
  <c r="G3037" i="1"/>
  <c r="J3036" i="1"/>
  <c r="G3036" i="1"/>
  <c r="J3035" i="1"/>
  <c r="G3035" i="1"/>
  <c r="J3034" i="1"/>
  <c r="G3034" i="1"/>
  <c r="J3033" i="1"/>
  <c r="G3033" i="1"/>
  <c r="J3032" i="1"/>
  <c r="G3032" i="1"/>
  <c r="J3031" i="1"/>
  <c r="G3031" i="1"/>
  <c r="J3030" i="1"/>
  <c r="G3030" i="1"/>
  <c r="J3029" i="1"/>
  <c r="G3029" i="1"/>
  <c r="J3028" i="1"/>
  <c r="G3028" i="1"/>
  <c r="J3027" i="1"/>
  <c r="G3027" i="1"/>
  <c r="J3026" i="1"/>
  <c r="G3026" i="1"/>
  <c r="J3025" i="1"/>
  <c r="G3025" i="1"/>
  <c r="J3024" i="1"/>
  <c r="G3024" i="1"/>
  <c r="J3023" i="1"/>
  <c r="G3023" i="1"/>
  <c r="J3022" i="1"/>
  <c r="G3022" i="1"/>
  <c r="J3021" i="1"/>
  <c r="G3021" i="1"/>
  <c r="J3020" i="1"/>
  <c r="G3020" i="1"/>
  <c r="J3019" i="1"/>
  <c r="G3019" i="1"/>
  <c r="J3018" i="1"/>
  <c r="G3018" i="1"/>
  <c r="J3017" i="1"/>
  <c r="G3017" i="1"/>
  <c r="J3016" i="1"/>
  <c r="G3016" i="1"/>
  <c r="J3015" i="1"/>
  <c r="G3015" i="1"/>
  <c r="J3014" i="1"/>
  <c r="G3014" i="1"/>
  <c r="J3013" i="1"/>
  <c r="G3013" i="1"/>
  <c r="J3012" i="1"/>
  <c r="G3012" i="1"/>
  <c r="J3011" i="1"/>
  <c r="G3011" i="1"/>
  <c r="J3010" i="1"/>
  <c r="G3010" i="1"/>
  <c r="J3009" i="1"/>
  <c r="G3009" i="1"/>
  <c r="J3008" i="1"/>
  <c r="G3008" i="1"/>
  <c r="J3007" i="1"/>
  <c r="G3007" i="1"/>
  <c r="J3006" i="1"/>
  <c r="G3006" i="1"/>
  <c r="J3005" i="1"/>
  <c r="G3005" i="1"/>
  <c r="J3004" i="1"/>
  <c r="G3004" i="1"/>
  <c r="J3003" i="1"/>
  <c r="G3003" i="1"/>
  <c r="J3002" i="1"/>
  <c r="G3002" i="1"/>
  <c r="J3001" i="1"/>
  <c r="G3001" i="1"/>
  <c r="J3000" i="1"/>
  <c r="G3000" i="1"/>
  <c r="J2999" i="1"/>
  <c r="G2999" i="1"/>
  <c r="J2998" i="1"/>
  <c r="G2998" i="1"/>
  <c r="J2997" i="1"/>
  <c r="G2997" i="1"/>
  <c r="J2996" i="1"/>
  <c r="G2996" i="1"/>
  <c r="J2995" i="1"/>
  <c r="G2995" i="1"/>
  <c r="J2994" i="1"/>
  <c r="G2994" i="1"/>
  <c r="J2993" i="1"/>
  <c r="G2993" i="1"/>
  <c r="J2992" i="1"/>
  <c r="G2992" i="1"/>
  <c r="J2991" i="1"/>
  <c r="G2991" i="1"/>
  <c r="J2990" i="1"/>
  <c r="G2990" i="1"/>
  <c r="J2989" i="1"/>
  <c r="G2989" i="1"/>
  <c r="J2988" i="1"/>
  <c r="G2988" i="1"/>
  <c r="J2987" i="1"/>
  <c r="G2987" i="1"/>
  <c r="J2986" i="1"/>
  <c r="G2986" i="1"/>
  <c r="J2985" i="1"/>
  <c r="G2985" i="1"/>
  <c r="J2984" i="1"/>
  <c r="G2984" i="1"/>
  <c r="J2983" i="1"/>
  <c r="G2983" i="1"/>
  <c r="J2982" i="1"/>
  <c r="G2982" i="1"/>
  <c r="J2981" i="1"/>
  <c r="G2981" i="1"/>
  <c r="J2980" i="1"/>
  <c r="G2980" i="1"/>
  <c r="J2979" i="1"/>
  <c r="G2979" i="1"/>
  <c r="J2978" i="1"/>
  <c r="G2978" i="1"/>
  <c r="J2977" i="1"/>
  <c r="G2977" i="1"/>
  <c r="J2976" i="1"/>
  <c r="G2976" i="1"/>
  <c r="J2975" i="1"/>
  <c r="G2975" i="1"/>
  <c r="J2974" i="1"/>
  <c r="G2974" i="1"/>
  <c r="J2973" i="1"/>
  <c r="G2973" i="1"/>
  <c r="J2972" i="1"/>
  <c r="G2972" i="1"/>
  <c r="J2971" i="1"/>
  <c r="G2971" i="1"/>
  <c r="J2970" i="1"/>
  <c r="G2970" i="1"/>
  <c r="J2969" i="1"/>
  <c r="G2969" i="1"/>
  <c r="J2968" i="1"/>
  <c r="G2968" i="1"/>
  <c r="J2967" i="1"/>
  <c r="G2967" i="1"/>
  <c r="J2966" i="1"/>
  <c r="G2966" i="1"/>
  <c r="J2965" i="1"/>
  <c r="G2965" i="1"/>
  <c r="J2964" i="1"/>
  <c r="G2964" i="1"/>
  <c r="J2963" i="1"/>
  <c r="G2963" i="1"/>
  <c r="J2962" i="1"/>
  <c r="G2962" i="1"/>
  <c r="J2961" i="1"/>
  <c r="G2961" i="1"/>
  <c r="J2960" i="1"/>
  <c r="G2960" i="1"/>
  <c r="J2959" i="1"/>
  <c r="G2959" i="1"/>
  <c r="J2958" i="1"/>
  <c r="G2958" i="1"/>
  <c r="J2957" i="1"/>
  <c r="G2957" i="1"/>
  <c r="J2956" i="1"/>
  <c r="G2956" i="1"/>
  <c r="J2955" i="1"/>
  <c r="G2955" i="1"/>
  <c r="J2954" i="1"/>
  <c r="G2954" i="1"/>
  <c r="J2953" i="1"/>
  <c r="G2953" i="1"/>
  <c r="J2952" i="1"/>
  <c r="G2952" i="1"/>
  <c r="J2951" i="1"/>
  <c r="G2951" i="1"/>
  <c r="J2950" i="1"/>
  <c r="G2950" i="1"/>
  <c r="J2949" i="1"/>
  <c r="G2949" i="1"/>
  <c r="J2948" i="1"/>
  <c r="G2948" i="1"/>
  <c r="J2947" i="1"/>
  <c r="G2947" i="1"/>
  <c r="J2946" i="1"/>
  <c r="G2946" i="1"/>
  <c r="J2945" i="1"/>
  <c r="G2945" i="1"/>
  <c r="J2944" i="1"/>
  <c r="G2944" i="1"/>
  <c r="J2943" i="1"/>
  <c r="G2943" i="1"/>
  <c r="J2942" i="1"/>
  <c r="G2942" i="1"/>
  <c r="J2941" i="1"/>
  <c r="G2941" i="1"/>
  <c r="J2940" i="1"/>
  <c r="G2940" i="1"/>
  <c r="J2939" i="1"/>
  <c r="G2939" i="1"/>
  <c r="J2938" i="1"/>
  <c r="G2938" i="1"/>
  <c r="J2937" i="1"/>
  <c r="G2937" i="1"/>
  <c r="J2936" i="1"/>
  <c r="G2936" i="1"/>
  <c r="J2935" i="1"/>
  <c r="G2935" i="1"/>
  <c r="J2934" i="1"/>
  <c r="G2934" i="1"/>
  <c r="J2933" i="1"/>
  <c r="G2933" i="1"/>
  <c r="J2932" i="1"/>
  <c r="G2932" i="1"/>
  <c r="J2931" i="1"/>
  <c r="G2931" i="1"/>
  <c r="J2930" i="1"/>
  <c r="G2930" i="1"/>
  <c r="J2929" i="1"/>
  <c r="G2929" i="1"/>
  <c r="J2928" i="1"/>
  <c r="G2928" i="1"/>
  <c r="J2927" i="1"/>
  <c r="G2927" i="1"/>
  <c r="J2926" i="1"/>
  <c r="G2926" i="1"/>
  <c r="J2925" i="1"/>
  <c r="G2925" i="1"/>
  <c r="J2924" i="1"/>
  <c r="G2924" i="1"/>
  <c r="J2923" i="1"/>
  <c r="G2923" i="1"/>
  <c r="J2922" i="1"/>
  <c r="G2922" i="1"/>
  <c r="J2921" i="1"/>
  <c r="G2921" i="1"/>
  <c r="J2920" i="1"/>
  <c r="G2920" i="1"/>
  <c r="J2919" i="1"/>
  <c r="G2919" i="1"/>
  <c r="J2918" i="1"/>
  <c r="G2918" i="1"/>
  <c r="J2917" i="1"/>
  <c r="G2917" i="1"/>
  <c r="J2916" i="1"/>
  <c r="G2916" i="1"/>
  <c r="J2915" i="1"/>
  <c r="G2915" i="1"/>
  <c r="J2914" i="1"/>
  <c r="G2914" i="1"/>
  <c r="J2913" i="1"/>
  <c r="G2913" i="1"/>
  <c r="J2912" i="1"/>
  <c r="G2912" i="1"/>
  <c r="J2911" i="1"/>
  <c r="G2911" i="1"/>
  <c r="J2910" i="1"/>
  <c r="G2910" i="1"/>
  <c r="J2909" i="1"/>
  <c r="G2909" i="1"/>
  <c r="J2908" i="1"/>
  <c r="G2908" i="1"/>
  <c r="J2907" i="1"/>
  <c r="G2907" i="1"/>
  <c r="J2906" i="1"/>
  <c r="G2906" i="1"/>
  <c r="J2905" i="1"/>
  <c r="G2905" i="1"/>
  <c r="J2904" i="1"/>
  <c r="G2904" i="1"/>
  <c r="J2903" i="1"/>
  <c r="G2903" i="1"/>
  <c r="J2902" i="1"/>
  <c r="G2902" i="1"/>
  <c r="J2901" i="1"/>
  <c r="G2901" i="1"/>
  <c r="J2900" i="1"/>
  <c r="G2900" i="1"/>
  <c r="J2899" i="1"/>
  <c r="G2899" i="1"/>
  <c r="J2898" i="1"/>
  <c r="G2898" i="1"/>
  <c r="J2897" i="1"/>
  <c r="G2897" i="1"/>
  <c r="J2896" i="1"/>
  <c r="G2896" i="1"/>
  <c r="J2895" i="1"/>
  <c r="G2895" i="1"/>
  <c r="J2894" i="1"/>
  <c r="G2894" i="1"/>
  <c r="J2893" i="1"/>
  <c r="G2893" i="1"/>
  <c r="J2892" i="1"/>
  <c r="G2892" i="1"/>
  <c r="J2891" i="1"/>
  <c r="G2891" i="1"/>
  <c r="J2890" i="1"/>
  <c r="G2890" i="1"/>
  <c r="J2889" i="1"/>
  <c r="G2889" i="1"/>
  <c r="J2888" i="1"/>
  <c r="G2888" i="1"/>
  <c r="J2887" i="1"/>
  <c r="G2887" i="1"/>
  <c r="J2886" i="1"/>
  <c r="G2886" i="1"/>
  <c r="J2885" i="1"/>
  <c r="G2885" i="1"/>
  <c r="J2884" i="1"/>
  <c r="G2884" i="1"/>
  <c r="J2883" i="1"/>
  <c r="G2883" i="1"/>
  <c r="J2882" i="1"/>
  <c r="G2882" i="1"/>
  <c r="J2881" i="1"/>
  <c r="G2881" i="1"/>
  <c r="J2880" i="1"/>
  <c r="G2880" i="1"/>
  <c r="J2879" i="1"/>
  <c r="G2879" i="1"/>
  <c r="J2878" i="1"/>
  <c r="G2878" i="1"/>
  <c r="J2877" i="1"/>
  <c r="G2877" i="1"/>
  <c r="J2876" i="1"/>
  <c r="G2876" i="1"/>
  <c r="J2875" i="1"/>
  <c r="G2875" i="1"/>
  <c r="J2874" i="1"/>
  <c r="G2874" i="1"/>
  <c r="J2873" i="1"/>
  <c r="G2873" i="1"/>
  <c r="J2872" i="1"/>
  <c r="G2872" i="1"/>
  <c r="J2871" i="1"/>
  <c r="G2871" i="1"/>
  <c r="J2870" i="1"/>
  <c r="G2870" i="1"/>
  <c r="J2869" i="1"/>
  <c r="G2869" i="1"/>
  <c r="J2868" i="1"/>
  <c r="G2868" i="1"/>
  <c r="J2867" i="1"/>
  <c r="G2867" i="1"/>
  <c r="J2866" i="1"/>
  <c r="G2866" i="1"/>
  <c r="J2865" i="1"/>
  <c r="G2865" i="1"/>
  <c r="J2864" i="1"/>
  <c r="G2864" i="1"/>
  <c r="J2863" i="1"/>
  <c r="G2863" i="1"/>
  <c r="J2862" i="1"/>
  <c r="G2862" i="1"/>
  <c r="J2861" i="1"/>
  <c r="G2861" i="1"/>
  <c r="J2860" i="1"/>
  <c r="G2860" i="1"/>
  <c r="J2859" i="1"/>
  <c r="G2859" i="1"/>
  <c r="J2858" i="1"/>
  <c r="G2858" i="1"/>
  <c r="J2857" i="1"/>
  <c r="G2857" i="1"/>
  <c r="J2856" i="1"/>
  <c r="G2856" i="1"/>
  <c r="J2855" i="1"/>
  <c r="G2855" i="1"/>
  <c r="J2854" i="1"/>
  <c r="G2854" i="1"/>
  <c r="J2853" i="1"/>
  <c r="G2853" i="1"/>
  <c r="J2852" i="1"/>
  <c r="G2852" i="1"/>
  <c r="J2851" i="1"/>
  <c r="G2851" i="1"/>
  <c r="J2850" i="1"/>
  <c r="G2850" i="1"/>
  <c r="J2849" i="1"/>
  <c r="G2849" i="1"/>
  <c r="J2848" i="1"/>
  <c r="G2848" i="1"/>
  <c r="J2847" i="1"/>
  <c r="G2847" i="1"/>
  <c r="J2846" i="1"/>
  <c r="G2846" i="1"/>
  <c r="J2845" i="1"/>
  <c r="G2845" i="1"/>
  <c r="J2844" i="1"/>
  <c r="G2844" i="1"/>
  <c r="J2843" i="1"/>
  <c r="G2843" i="1"/>
  <c r="J2842" i="1"/>
  <c r="G2842" i="1"/>
  <c r="J2841" i="1"/>
  <c r="G2841" i="1"/>
  <c r="J2840" i="1"/>
  <c r="G2840" i="1"/>
  <c r="J2839" i="1"/>
  <c r="G2839" i="1"/>
  <c r="J2838" i="1"/>
  <c r="G2838" i="1"/>
  <c r="J2837" i="1"/>
  <c r="G2837" i="1"/>
  <c r="J2836" i="1"/>
  <c r="G2836" i="1"/>
  <c r="J2835" i="1"/>
  <c r="G2835" i="1"/>
  <c r="J2834" i="1"/>
  <c r="G2834" i="1"/>
  <c r="J2833" i="1"/>
  <c r="G2833" i="1"/>
  <c r="J2832" i="1"/>
  <c r="G2832" i="1"/>
  <c r="J2831" i="1"/>
  <c r="G2831" i="1"/>
  <c r="J2830" i="1"/>
  <c r="G2830" i="1"/>
  <c r="J2829" i="1"/>
  <c r="G2829" i="1"/>
  <c r="J2828" i="1"/>
  <c r="G2828" i="1"/>
  <c r="J2827" i="1"/>
  <c r="G2827" i="1"/>
  <c r="J2826" i="1"/>
  <c r="G2826" i="1"/>
  <c r="J2825" i="1"/>
  <c r="G2825" i="1"/>
  <c r="J2824" i="1"/>
  <c r="G2824" i="1"/>
  <c r="J2823" i="1"/>
  <c r="G2823" i="1"/>
  <c r="J2822" i="1"/>
  <c r="G2822" i="1"/>
  <c r="J2821" i="1"/>
  <c r="G2821" i="1"/>
  <c r="J2820" i="1"/>
  <c r="G2820" i="1"/>
  <c r="J2819" i="1"/>
  <c r="G2819" i="1"/>
  <c r="J2818" i="1"/>
  <c r="G2818" i="1"/>
  <c r="J2817" i="1"/>
  <c r="G2817" i="1"/>
  <c r="J2816" i="1"/>
  <c r="G2816" i="1"/>
  <c r="J2815" i="1"/>
  <c r="G2815" i="1"/>
  <c r="J2814" i="1"/>
  <c r="G2814" i="1"/>
  <c r="J2813" i="1"/>
  <c r="G2813" i="1"/>
  <c r="J2812" i="1"/>
  <c r="G2812" i="1"/>
  <c r="J2811" i="1"/>
  <c r="G2811" i="1"/>
  <c r="J2810" i="1"/>
  <c r="G2810" i="1"/>
  <c r="J2809" i="1"/>
  <c r="G2809" i="1"/>
  <c r="J2808" i="1"/>
  <c r="G2808" i="1"/>
  <c r="J2807" i="1"/>
  <c r="G2807" i="1"/>
  <c r="J2806" i="1"/>
  <c r="G2806" i="1"/>
  <c r="J2805" i="1"/>
  <c r="G2805" i="1"/>
  <c r="J2804" i="1"/>
  <c r="G2804" i="1"/>
  <c r="J2803" i="1"/>
  <c r="G2803" i="1"/>
  <c r="J2802" i="1"/>
  <c r="G2802" i="1"/>
  <c r="J2801" i="1"/>
  <c r="G2801" i="1"/>
  <c r="J2800" i="1"/>
  <c r="G2800" i="1"/>
  <c r="J2799" i="1"/>
  <c r="G2799" i="1"/>
  <c r="J2798" i="1"/>
  <c r="G2798" i="1"/>
  <c r="J2797" i="1"/>
  <c r="G2797" i="1"/>
  <c r="J2796" i="1"/>
  <c r="G2796" i="1"/>
  <c r="J2795" i="1"/>
  <c r="G2795" i="1"/>
  <c r="J2794" i="1"/>
  <c r="G2794" i="1"/>
  <c r="J2793" i="1"/>
  <c r="G2793" i="1"/>
  <c r="J2792" i="1"/>
  <c r="G2792" i="1"/>
  <c r="J2791" i="1"/>
  <c r="G2791" i="1"/>
  <c r="J2790" i="1"/>
  <c r="G2790" i="1"/>
  <c r="J2789" i="1"/>
  <c r="G2789" i="1"/>
  <c r="J2788" i="1"/>
  <c r="G2788" i="1"/>
  <c r="J2787" i="1"/>
  <c r="G2787" i="1"/>
  <c r="J2786" i="1"/>
  <c r="G2786" i="1"/>
  <c r="J2785" i="1"/>
  <c r="G2785" i="1"/>
  <c r="J2784" i="1"/>
  <c r="G2784" i="1"/>
  <c r="J2783" i="1"/>
  <c r="G2783" i="1"/>
  <c r="J2782" i="1"/>
  <c r="G2782" i="1"/>
  <c r="J2781" i="1"/>
  <c r="G2781" i="1"/>
  <c r="J2780" i="1"/>
  <c r="G2780" i="1"/>
  <c r="J2779" i="1"/>
  <c r="G2779" i="1"/>
  <c r="J2778" i="1"/>
  <c r="G2778" i="1"/>
  <c r="J2777" i="1"/>
  <c r="G2777" i="1"/>
  <c r="J2776" i="1"/>
  <c r="G2776" i="1"/>
  <c r="J2775" i="1"/>
  <c r="G2775" i="1"/>
  <c r="J2774" i="1"/>
  <c r="G2774" i="1"/>
  <c r="J2773" i="1"/>
  <c r="G2773" i="1"/>
  <c r="J2772" i="1"/>
  <c r="G2772" i="1"/>
  <c r="J2771" i="1"/>
  <c r="G2771" i="1"/>
  <c r="J2770" i="1"/>
  <c r="G2770" i="1"/>
  <c r="J2769" i="1"/>
  <c r="G2769" i="1"/>
  <c r="J2768" i="1"/>
  <c r="G2768" i="1"/>
  <c r="J2767" i="1"/>
  <c r="G2767" i="1"/>
  <c r="J2766" i="1"/>
  <c r="G2766" i="1"/>
  <c r="J2765" i="1"/>
  <c r="G2765" i="1"/>
  <c r="J2764" i="1"/>
  <c r="G2764" i="1"/>
  <c r="J2763" i="1"/>
  <c r="G2763" i="1"/>
  <c r="J2762" i="1"/>
  <c r="G2762" i="1"/>
  <c r="J2761" i="1"/>
  <c r="G2761" i="1"/>
  <c r="J2760" i="1"/>
  <c r="G2760" i="1"/>
  <c r="J2759" i="1"/>
  <c r="G2759" i="1"/>
  <c r="J2758" i="1"/>
  <c r="G2758" i="1"/>
  <c r="J2757" i="1"/>
  <c r="G2757" i="1"/>
  <c r="J2756" i="1"/>
  <c r="G2756" i="1"/>
  <c r="J2755" i="1"/>
  <c r="G2755" i="1"/>
  <c r="J2754" i="1"/>
  <c r="G2754" i="1"/>
  <c r="J2753" i="1"/>
  <c r="G2753" i="1"/>
  <c r="J2752" i="1"/>
  <c r="G2752" i="1"/>
  <c r="J2751" i="1"/>
  <c r="G2751" i="1"/>
  <c r="J2750" i="1"/>
  <c r="G2750" i="1"/>
  <c r="J2749" i="1"/>
  <c r="G2749" i="1"/>
  <c r="J2748" i="1"/>
  <c r="G2748" i="1"/>
  <c r="J2747" i="1"/>
  <c r="G2747" i="1"/>
  <c r="J2746" i="1"/>
  <c r="G2746" i="1"/>
  <c r="J2745" i="1"/>
  <c r="G2745" i="1"/>
  <c r="J2744" i="1"/>
  <c r="G2744" i="1"/>
  <c r="J2743" i="1"/>
  <c r="G2743" i="1"/>
  <c r="J2742" i="1"/>
  <c r="G2742" i="1"/>
  <c r="J2741" i="1"/>
  <c r="G2741" i="1"/>
  <c r="J2740" i="1"/>
  <c r="G2740" i="1"/>
  <c r="J2739" i="1"/>
  <c r="G2739" i="1"/>
  <c r="J2738" i="1"/>
  <c r="G2738" i="1"/>
  <c r="J2737" i="1"/>
  <c r="G2737" i="1"/>
  <c r="J2736" i="1"/>
  <c r="G2736" i="1"/>
  <c r="J2735" i="1"/>
  <c r="G2735" i="1"/>
  <c r="J2734" i="1"/>
  <c r="G2734" i="1"/>
  <c r="J2733" i="1"/>
  <c r="G2733" i="1"/>
  <c r="J2732" i="1"/>
  <c r="G2732" i="1"/>
  <c r="J2731" i="1"/>
  <c r="G2731" i="1"/>
  <c r="J2730" i="1"/>
  <c r="G2730" i="1"/>
  <c r="J2729" i="1"/>
  <c r="G2729" i="1"/>
  <c r="J2728" i="1"/>
  <c r="G2728" i="1"/>
  <c r="J2727" i="1"/>
  <c r="G2727" i="1"/>
  <c r="J2726" i="1"/>
  <c r="G2726" i="1"/>
  <c r="J2725" i="1"/>
  <c r="G2725" i="1"/>
  <c r="J2724" i="1"/>
  <c r="G2724" i="1"/>
  <c r="J2723" i="1"/>
  <c r="G2723" i="1"/>
  <c r="J2722" i="1"/>
  <c r="G2722" i="1"/>
  <c r="J2721" i="1"/>
  <c r="G2721" i="1"/>
  <c r="J2720" i="1"/>
  <c r="G2720" i="1"/>
  <c r="J2719" i="1"/>
  <c r="G2719" i="1"/>
  <c r="J2718" i="1"/>
  <c r="G2718" i="1"/>
  <c r="J2717" i="1"/>
  <c r="G2717" i="1"/>
  <c r="J2716" i="1"/>
  <c r="G2716" i="1"/>
  <c r="J2715" i="1"/>
  <c r="G2715" i="1"/>
  <c r="J2714" i="1"/>
  <c r="G2714" i="1"/>
  <c r="J2713" i="1"/>
  <c r="G2713" i="1"/>
  <c r="J2712" i="1"/>
  <c r="G2712" i="1"/>
  <c r="J2711" i="1"/>
  <c r="G2711" i="1"/>
  <c r="J2710" i="1"/>
  <c r="G2710" i="1"/>
  <c r="J2709" i="1"/>
  <c r="G2709" i="1"/>
  <c r="J2708" i="1"/>
  <c r="G2708" i="1"/>
  <c r="J2707" i="1"/>
  <c r="G2707" i="1"/>
  <c r="J2706" i="1"/>
  <c r="G2706" i="1"/>
  <c r="J2705" i="1"/>
  <c r="G2705" i="1"/>
  <c r="J2704" i="1"/>
  <c r="G2704" i="1"/>
  <c r="J2703" i="1"/>
  <c r="G2703" i="1"/>
  <c r="J2702" i="1"/>
  <c r="G2702" i="1"/>
  <c r="J2701" i="1"/>
  <c r="G2701" i="1"/>
  <c r="J2700" i="1"/>
  <c r="G2700" i="1"/>
  <c r="J2699" i="1"/>
  <c r="G2699" i="1"/>
  <c r="J2698" i="1"/>
  <c r="G2698" i="1"/>
  <c r="J2697" i="1"/>
  <c r="G2697" i="1"/>
  <c r="J2696" i="1"/>
  <c r="G2696" i="1"/>
  <c r="J2695" i="1"/>
  <c r="G2695" i="1"/>
  <c r="J2694" i="1"/>
  <c r="G2694" i="1"/>
  <c r="J2693" i="1"/>
  <c r="G2693" i="1"/>
  <c r="J2692" i="1"/>
  <c r="G2692" i="1"/>
  <c r="J2691" i="1"/>
  <c r="G2691" i="1"/>
  <c r="J2690" i="1"/>
  <c r="G2690" i="1"/>
  <c r="J2689" i="1"/>
  <c r="G2689" i="1"/>
  <c r="J2688" i="1"/>
  <c r="G2688" i="1"/>
  <c r="J2687" i="1"/>
  <c r="G2687" i="1"/>
  <c r="J2686" i="1"/>
  <c r="G2686" i="1"/>
  <c r="J2685" i="1"/>
  <c r="G2685" i="1"/>
  <c r="J2684" i="1"/>
  <c r="G2684" i="1"/>
  <c r="J2683" i="1"/>
  <c r="G2683" i="1"/>
  <c r="J2682" i="1"/>
  <c r="G2682" i="1"/>
  <c r="J2681" i="1"/>
  <c r="G2681" i="1"/>
  <c r="J2680" i="1"/>
  <c r="G2680" i="1"/>
  <c r="J2679" i="1"/>
  <c r="G2679" i="1"/>
  <c r="J2678" i="1"/>
  <c r="G2678" i="1"/>
  <c r="J2677" i="1"/>
  <c r="G2677" i="1"/>
  <c r="J2676" i="1"/>
  <c r="G2676" i="1"/>
  <c r="J2675" i="1"/>
  <c r="G2675" i="1"/>
  <c r="J2674" i="1"/>
  <c r="G2674" i="1"/>
  <c r="J2673" i="1"/>
  <c r="G2673" i="1"/>
  <c r="J2672" i="1"/>
  <c r="G2672" i="1"/>
  <c r="J2671" i="1"/>
  <c r="G2671" i="1"/>
  <c r="J2670" i="1"/>
  <c r="G2670" i="1"/>
  <c r="J2669" i="1"/>
  <c r="G2669" i="1"/>
  <c r="J2668" i="1"/>
  <c r="G2668" i="1"/>
  <c r="J2667" i="1"/>
  <c r="G2667" i="1"/>
  <c r="J2666" i="1"/>
  <c r="G2666" i="1"/>
  <c r="J2665" i="1"/>
  <c r="G2665" i="1"/>
  <c r="J2664" i="1"/>
  <c r="G2664" i="1"/>
  <c r="J2663" i="1"/>
  <c r="G2663" i="1"/>
  <c r="J2662" i="1"/>
  <c r="G2662" i="1"/>
  <c r="J2661" i="1"/>
  <c r="G2661" i="1"/>
  <c r="J2660" i="1"/>
  <c r="G2660" i="1"/>
  <c r="J2659" i="1"/>
  <c r="G2659" i="1"/>
  <c r="J2658" i="1"/>
  <c r="G2658" i="1"/>
  <c r="J2657" i="1"/>
  <c r="G2657" i="1"/>
  <c r="J2656" i="1"/>
  <c r="G2656" i="1"/>
  <c r="J2655" i="1"/>
  <c r="G2655" i="1"/>
  <c r="J2654" i="1"/>
  <c r="G2654" i="1"/>
  <c r="J2653" i="1"/>
  <c r="G2653" i="1"/>
  <c r="J2652" i="1"/>
  <c r="G2652" i="1"/>
  <c r="J2651" i="1"/>
  <c r="G2651" i="1"/>
  <c r="J2650" i="1"/>
  <c r="G2650" i="1"/>
  <c r="J2649" i="1"/>
  <c r="G2649" i="1"/>
  <c r="J2648" i="1"/>
  <c r="G2648" i="1"/>
  <c r="J2647" i="1"/>
  <c r="G2647" i="1"/>
  <c r="J2646" i="1"/>
  <c r="G2646" i="1"/>
  <c r="J2645" i="1"/>
  <c r="G2645" i="1"/>
  <c r="J2644" i="1"/>
  <c r="G2644" i="1"/>
  <c r="J2643" i="1"/>
  <c r="G2643" i="1"/>
  <c r="J2642" i="1"/>
  <c r="G2642" i="1"/>
  <c r="J2641" i="1"/>
  <c r="G2641" i="1"/>
  <c r="J2640" i="1"/>
  <c r="G2640" i="1"/>
  <c r="J2639" i="1"/>
  <c r="G2639" i="1"/>
  <c r="J2638" i="1"/>
  <c r="G2638" i="1"/>
  <c r="J2637" i="1"/>
  <c r="G2637" i="1"/>
  <c r="J2636" i="1"/>
  <c r="G2636" i="1"/>
  <c r="J2635" i="1"/>
  <c r="G2635" i="1"/>
  <c r="J2634" i="1"/>
  <c r="G2634" i="1"/>
  <c r="J2633" i="1"/>
  <c r="G2633" i="1"/>
  <c r="J2632" i="1"/>
  <c r="G2632" i="1"/>
  <c r="J2631" i="1"/>
  <c r="G2631" i="1"/>
  <c r="J2630" i="1"/>
  <c r="G2630" i="1"/>
  <c r="J2629" i="1"/>
  <c r="G2629" i="1"/>
  <c r="J2628" i="1"/>
  <c r="G2628" i="1"/>
  <c r="J2627" i="1"/>
  <c r="G2627" i="1"/>
  <c r="J2626" i="1"/>
  <c r="G2626" i="1"/>
  <c r="J2625" i="1"/>
  <c r="G2625" i="1"/>
  <c r="J2624" i="1"/>
  <c r="G2624" i="1"/>
  <c r="J2623" i="1"/>
  <c r="G2623" i="1"/>
  <c r="J2622" i="1"/>
  <c r="G2622" i="1"/>
  <c r="J2621" i="1"/>
  <c r="G2621" i="1"/>
  <c r="J2620" i="1"/>
  <c r="G2620" i="1"/>
  <c r="J2619" i="1"/>
  <c r="G2619" i="1"/>
  <c r="J2618" i="1"/>
  <c r="G2618" i="1"/>
  <c r="J2617" i="1"/>
  <c r="G2617" i="1"/>
  <c r="J2616" i="1"/>
  <c r="G2616" i="1"/>
  <c r="J2615" i="1"/>
  <c r="G2615" i="1"/>
  <c r="J2614" i="1"/>
  <c r="G2614" i="1"/>
  <c r="J2613" i="1"/>
  <c r="G2613" i="1"/>
  <c r="J2612" i="1"/>
  <c r="G2612" i="1"/>
  <c r="J2611" i="1"/>
  <c r="G2611" i="1"/>
  <c r="J2610" i="1"/>
  <c r="G2610" i="1"/>
  <c r="J2609" i="1"/>
  <c r="G2609" i="1"/>
  <c r="J2608" i="1"/>
  <c r="G2608" i="1"/>
  <c r="J2607" i="1"/>
  <c r="G2607" i="1"/>
  <c r="J2606" i="1"/>
  <c r="G2606" i="1"/>
  <c r="J2605" i="1"/>
  <c r="G2605" i="1"/>
  <c r="J2604" i="1"/>
  <c r="G2604" i="1"/>
  <c r="J2603" i="1"/>
  <c r="G2603" i="1"/>
  <c r="J2602" i="1"/>
  <c r="G2602" i="1"/>
  <c r="J2601" i="1"/>
  <c r="G2601" i="1"/>
  <c r="J2600" i="1"/>
  <c r="G2600" i="1"/>
  <c r="J2599" i="1"/>
  <c r="G2599" i="1"/>
  <c r="J2598" i="1"/>
  <c r="G2598" i="1"/>
  <c r="J2597" i="1"/>
  <c r="G2597" i="1"/>
  <c r="J2596" i="1"/>
  <c r="G2596" i="1"/>
  <c r="J2595" i="1"/>
  <c r="G2595" i="1"/>
  <c r="J2594" i="1"/>
  <c r="G2594" i="1"/>
  <c r="J2593" i="1"/>
  <c r="G2593" i="1"/>
  <c r="J2592" i="1"/>
  <c r="G2592" i="1"/>
  <c r="J2591" i="1"/>
  <c r="G2591" i="1"/>
  <c r="J2590" i="1"/>
  <c r="G2590" i="1"/>
  <c r="J2589" i="1"/>
  <c r="G2589" i="1"/>
  <c r="J2588" i="1"/>
  <c r="G2588" i="1"/>
  <c r="J2587" i="1"/>
  <c r="G2587" i="1"/>
  <c r="J2586" i="1"/>
  <c r="G2586" i="1"/>
  <c r="J2585" i="1"/>
  <c r="G2585" i="1"/>
  <c r="J2584" i="1"/>
  <c r="G2584" i="1"/>
  <c r="J2583" i="1"/>
  <c r="G2583" i="1"/>
  <c r="J2582" i="1"/>
  <c r="G2582" i="1"/>
  <c r="J2581" i="1"/>
  <c r="G2581" i="1"/>
  <c r="J2580" i="1"/>
  <c r="G2580" i="1"/>
  <c r="J2579" i="1"/>
  <c r="G2579" i="1"/>
  <c r="J2578" i="1"/>
  <c r="G2578" i="1"/>
  <c r="J2577" i="1"/>
  <c r="G2577" i="1"/>
  <c r="J2576" i="1"/>
  <c r="G2576" i="1"/>
  <c r="J2575" i="1"/>
  <c r="G2575" i="1"/>
  <c r="J2574" i="1"/>
  <c r="G2574" i="1"/>
  <c r="J2573" i="1"/>
  <c r="G2573" i="1"/>
  <c r="J2572" i="1"/>
  <c r="G2572" i="1"/>
  <c r="J2571" i="1"/>
  <c r="G2571" i="1"/>
  <c r="J2570" i="1"/>
  <c r="G2570" i="1"/>
  <c r="J2569" i="1"/>
  <c r="G2569" i="1"/>
  <c r="J2568" i="1"/>
  <c r="G2568" i="1"/>
  <c r="J2567" i="1"/>
  <c r="G2567" i="1"/>
  <c r="J2566" i="1"/>
  <c r="G2566" i="1"/>
  <c r="J2565" i="1"/>
  <c r="G2565" i="1"/>
  <c r="J2564" i="1"/>
  <c r="G2564" i="1"/>
  <c r="J2563" i="1"/>
  <c r="G2563" i="1"/>
  <c r="J2562" i="1"/>
  <c r="G2562" i="1"/>
  <c r="J2561" i="1"/>
  <c r="G2561" i="1"/>
  <c r="J2560" i="1"/>
  <c r="G2560" i="1"/>
  <c r="J2559" i="1"/>
  <c r="G2559" i="1"/>
  <c r="J2558" i="1"/>
  <c r="G2558" i="1"/>
  <c r="J2557" i="1"/>
  <c r="G2557" i="1"/>
  <c r="J2556" i="1"/>
  <c r="G2556" i="1"/>
  <c r="J2555" i="1"/>
  <c r="G2555" i="1"/>
  <c r="J2554" i="1"/>
  <c r="G2554" i="1"/>
  <c r="J2553" i="1"/>
  <c r="G2553" i="1"/>
  <c r="J2552" i="1"/>
  <c r="G2552" i="1"/>
  <c r="J2551" i="1"/>
  <c r="G2551" i="1"/>
  <c r="J2550" i="1"/>
  <c r="G2550" i="1"/>
  <c r="J2549" i="1"/>
  <c r="G2549" i="1"/>
  <c r="J2548" i="1"/>
  <c r="G2548" i="1"/>
  <c r="J2547" i="1"/>
  <c r="G2547" i="1"/>
  <c r="J2546" i="1"/>
  <c r="G2546" i="1"/>
  <c r="J2545" i="1"/>
  <c r="G2545" i="1"/>
  <c r="J2544" i="1"/>
  <c r="G2544" i="1"/>
  <c r="J2543" i="1"/>
  <c r="G2543" i="1"/>
  <c r="J2542" i="1"/>
  <c r="G2542" i="1"/>
  <c r="J2541" i="1"/>
  <c r="G2541" i="1"/>
  <c r="J2540" i="1"/>
  <c r="G2540" i="1"/>
  <c r="J2539" i="1"/>
  <c r="G2539" i="1"/>
  <c r="J2538" i="1"/>
  <c r="G2538" i="1"/>
  <c r="J2537" i="1"/>
  <c r="G2537" i="1"/>
  <c r="J2536" i="1"/>
  <c r="G2536" i="1"/>
  <c r="J2535" i="1"/>
  <c r="G2535" i="1"/>
  <c r="J2534" i="1"/>
  <c r="G2534" i="1"/>
  <c r="J2533" i="1"/>
  <c r="G2533" i="1"/>
  <c r="J2532" i="1"/>
  <c r="G2532" i="1"/>
  <c r="J2531" i="1"/>
  <c r="G2531" i="1"/>
  <c r="J2530" i="1"/>
  <c r="G2530" i="1"/>
  <c r="J2529" i="1"/>
  <c r="G2529" i="1"/>
  <c r="J2528" i="1"/>
  <c r="G2528" i="1"/>
  <c r="J2527" i="1"/>
  <c r="G2527" i="1"/>
  <c r="J2526" i="1"/>
  <c r="G2526" i="1"/>
  <c r="J2525" i="1"/>
  <c r="G2525" i="1"/>
  <c r="J2524" i="1"/>
  <c r="G2524" i="1"/>
  <c r="J2523" i="1"/>
  <c r="G2523" i="1"/>
  <c r="J2522" i="1"/>
  <c r="G2522" i="1"/>
  <c r="J2521" i="1"/>
  <c r="G2521" i="1"/>
  <c r="J2520" i="1"/>
  <c r="G2520" i="1"/>
  <c r="J2519" i="1"/>
  <c r="G2519" i="1"/>
  <c r="J2518" i="1"/>
  <c r="G2518" i="1"/>
  <c r="J2517" i="1"/>
  <c r="G2517" i="1"/>
  <c r="J2516" i="1"/>
  <c r="G2516" i="1"/>
  <c r="J2515" i="1"/>
  <c r="G2515" i="1"/>
  <c r="J2514" i="1"/>
  <c r="G2514" i="1"/>
  <c r="J2513" i="1"/>
  <c r="G2513" i="1"/>
  <c r="J2512" i="1"/>
  <c r="G2512" i="1"/>
  <c r="J2511" i="1"/>
  <c r="G2511" i="1"/>
  <c r="J2510" i="1"/>
  <c r="G2510" i="1"/>
  <c r="J2509" i="1"/>
  <c r="G2509" i="1"/>
  <c r="J2508" i="1"/>
  <c r="G2508" i="1"/>
  <c r="J2507" i="1"/>
  <c r="G2507" i="1"/>
  <c r="J2506" i="1"/>
  <c r="G2506" i="1"/>
  <c r="J2505" i="1"/>
  <c r="G2505" i="1"/>
  <c r="J2504" i="1"/>
  <c r="G2504" i="1"/>
  <c r="J2503" i="1"/>
  <c r="G2503" i="1"/>
  <c r="J2502" i="1"/>
  <c r="G2502" i="1"/>
  <c r="J2501" i="1"/>
  <c r="G2501" i="1"/>
  <c r="J2500" i="1"/>
  <c r="G2500" i="1"/>
  <c r="J2499" i="1"/>
  <c r="G2499" i="1"/>
  <c r="J2498" i="1"/>
  <c r="G2498" i="1"/>
  <c r="J2497" i="1"/>
  <c r="G2497" i="1"/>
  <c r="J2496" i="1"/>
  <c r="G2496" i="1"/>
  <c r="J2495" i="1"/>
  <c r="G2495" i="1"/>
  <c r="J2494" i="1"/>
  <c r="G2494" i="1"/>
  <c r="J2493" i="1"/>
  <c r="G2493" i="1"/>
  <c r="J2492" i="1"/>
  <c r="G2492" i="1"/>
  <c r="J2491" i="1"/>
  <c r="G2491" i="1"/>
  <c r="J2490" i="1"/>
  <c r="G2490" i="1"/>
  <c r="J2489" i="1"/>
  <c r="G2489" i="1"/>
  <c r="J2488" i="1"/>
  <c r="G2488" i="1"/>
  <c r="J2487" i="1"/>
  <c r="G2487" i="1"/>
  <c r="J2486" i="1"/>
  <c r="G2486" i="1"/>
  <c r="J2485" i="1"/>
  <c r="G2485" i="1"/>
  <c r="J2484" i="1"/>
  <c r="G2484" i="1"/>
  <c r="J2483" i="1"/>
  <c r="G2483" i="1"/>
  <c r="J2482" i="1"/>
  <c r="G2482" i="1"/>
  <c r="J2481" i="1"/>
  <c r="G2481" i="1"/>
  <c r="J2480" i="1"/>
  <c r="G2480" i="1"/>
  <c r="J2479" i="1"/>
  <c r="G2479" i="1"/>
  <c r="J2478" i="1"/>
  <c r="G2478" i="1"/>
  <c r="J2477" i="1"/>
  <c r="G2477" i="1"/>
  <c r="J2476" i="1"/>
  <c r="G2476" i="1"/>
  <c r="J2475" i="1"/>
  <c r="G2475" i="1"/>
  <c r="J2474" i="1"/>
  <c r="G2474" i="1"/>
  <c r="J2473" i="1"/>
  <c r="G2473" i="1"/>
  <c r="J2472" i="1"/>
  <c r="G2472" i="1"/>
  <c r="J2471" i="1"/>
  <c r="G2471" i="1"/>
  <c r="J2470" i="1"/>
  <c r="G2470" i="1"/>
  <c r="J2469" i="1"/>
  <c r="G2469" i="1"/>
  <c r="J2468" i="1"/>
  <c r="G2468" i="1"/>
  <c r="J2467" i="1"/>
  <c r="G2467" i="1"/>
  <c r="J2466" i="1"/>
  <c r="G2466" i="1"/>
  <c r="J2465" i="1"/>
  <c r="G2465" i="1"/>
  <c r="J2464" i="1"/>
  <c r="G2464" i="1"/>
  <c r="J2463" i="1"/>
  <c r="G2463" i="1"/>
  <c r="J2462" i="1"/>
  <c r="G2462" i="1"/>
  <c r="J2461" i="1"/>
  <c r="G2461" i="1"/>
  <c r="J2460" i="1"/>
  <c r="G2460" i="1"/>
  <c r="J2459" i="1"/>
  <c r="G2459" i="1"/>
  <c r="J2458" i="1"/>
  <c r="G2458" i="1"/>
  <c r="J2457" i="1"/>
  <c r="G2457" i="1"/>
  <c r="J2456" i="1"/>
  <c r="G2456" i="1"/>
  <c r="J2455" i="1"/>
  <c r="G2455" i="1"/>
  <c r="J2454" i="1"/>
  <c r="G2454" i="1"/>
  <c r="J2453" i="1"/>
  <c r="G2453" i="1"/>
  <c r="J2452" i="1"/>
  <c r="G2452" i="1"/>
  <c r="J2451" i="1"/>
  <c r="G2451" i="1"/>
  <c r="J2450" i="1"/>
  <c r="G2450" i="1"/>
  <c r="J2449" i="1"/>
  <c r="G2449" i="1"/>
  <c r="J2448" i="1"/>
  <c r="G2448" i="1"/>
  <c r="J2447" i="1"/>
  <c r="G2447" i="1"/>
  <c r="J2446" i="1"/>
  <c r="G2446" i="1"/>
  <c r="J2445" i="1"/>
  <c r="G2445" i="1"/>
  <c r="J2444" i="1"/>
  <c r="G2444" i="1"/>
  <c r="J2443" i="1"/>
  <c r="G2443" i="1"/>
  <c r="J2442" i="1"/>
  <c r="G2442" i="1"/>
  <c r="J2441" i="1"/>
  <c r="G2441" i="1"/>
  <c r="J2440" i="1"/>
  <c r="G2440" i="1"/>
  <c r="J2439" i="1"/>
  <c r="G2439" i="1"/>
  <c r="J2438" i="1"/>
  <c r="G2438" i="1"/>
  <c r="J2437" i="1"/>
  <c r="G2437" i="1"/>
  <c r="J2436" i="1"/>
  <c r="G2436" i="1"/>
  <c r="J2435" i="1"/>
  <c r="G2435" i="1"/>
  <c r="J2434" i="1"/>
  <c r="G2434" i="1"/>
  <c r="J2433" i="1"/>
  <c r="G2433" i="1"/>
  <c r="J2432" i="1"/>
  <c r="G2432" i="1"/>
  <c r="J2431" i="1"/>
  <c r="G2431" i="1"/>
  <c r="J2430" i="1"/>
  <c r="G2430" i="1"/>
  <c r="J2429" i="1"/>
  <c r="G2429" i="1"/>
  <c r="J2428" i="1"/>
  <c r="G2428" i="1"/>
  <c r="J2427" i="1"/>
  <c r="G2427" i="1"/>
  <c r="J2426" i="1"/>
  <c r="G2426" i="1"/>
  <c r="J2425" i="1"/>
  <c r="G2425" i="1"/>
  <c r="J2424" i="1"/>
  <c r="G2424" i="1"/>
  <c r="J2423" i="1"/>
  <c r="G2423" i="1"/>
  <c r="J2422" i="1"/>
  <c r="G2422" i="1"/>
  <c r="J2421" i="1"/>
  <c r="G2421" i="1"/>
  <c r="J2420" i="1"/>
  <c r="G2420" i="1"/>
  <c r="J2419" i="1"/>
  <c r="G2419" i="1"/>
  <c r="J2418" i="1"/>
  <c r="G2418" i="1"/>
  <c r="J2417" i="1"/>
  <c r="G2417" i="1"/>
  <c r="J2416" i="1"/>
  <c r="G2416" i="1"/>
  <c r="J2415" i="1"/>
  <c r="G2415" i="1"/>
  <c r="J2414" i="1"/>
  <c r="G2414" i="1"/>
  <c r="J2413" i="1"/>
  <c r="G2413" i="1"/>
  <c r="J2412" i="1"/>
  <c r="G2412" i="1"/>
  <c r="J2411" i="1"/>
  <c r="G2411" i="1"/>
  <c r="J2410" i="1"/>
  <c r="G2410" i="1"/>
  <c r="J2409" i="1"/>
  <c r="G2409" i="1"/>
  <c r="J2408" i="1"/>
  <c r="G2408" i="1"/>
  <c r="J2407" i="1"/>
  <c r="G2407" i="1"/>
  <c r="J2406" i="1"/>
  <c r="G2406" i="1"/>
  <c r="J2405" i="1"/>
  <c r="G2405" i="1"/>
  <c r="J2404" i="1"/>
  <c r="G2404" i="1"/>
  <c r="J2403" i="1"/>
  <c r="G2403" i="1"/>
  <c r="J2402" i="1"/>
  <c r="G2402" i="1"/>
  <c r="J2401" i="1"/>
  <c r="G2401" i="1"/>
  <c r="J2400" i="1"/>
  <c r="G2400" i="1"/>
  <c r="J2399" i="1"/>
  <c r="G2399" i="1"/>
  <c r="J2398" i="1"/>
  <c r="G2398" i="1"/>
  <c r="J2397" i="1"/>
  <c r="G2397" i="1"/>
  <c r="J2396" i="1"/>
  <c r="G2396" i="1"/>
  <c r="J2395" i="1"/>
  <c r="G2395" i="1"/>
  <c r="J2394" i="1"/>
  <c r="G2394" i="1"/>
  <c r="J2393" i="1"/>
  <c r="G2393" i="1"/>
  <c r="J2392" i="1"/>
  <c r="G2392" i="1"/>
  <c r="J2391" i="1"/>
  <c r="G2391" i="1"/>
  <c r="J2390" i="1"/>
  <c r="G2390" i="1"/>
  <c r="J2389" i="1"/>
  <c r="G2389" i="1"/>
  <c r="J2388" i="1"/>
  <c r="G2388" i="1"/>
  <c r="J2387" i="1"/>
  <c r="G2387" i="1"/>
  <c r="J2386" i="1"/>
  <c r="G2386" i="1"/>
  <c r="J2385" i="1"/>
  <c r="G2385" i="1"/>
  <c r="J2384" i="1"/>
  <c r="G2384" i="1"/>
  <c r="J2383" i="1"/>
  <c r="G2383" i="1"/>
  <c r="J2382" i="1"/>
  <c r="G2382" i="1"/>
  <c r="J2381" i="1"/>
  <c r="G2381" i="1"/>
  <c r="J2380" i="1"/>
  <c r="G2380" i="1"/>
  <c r="J2379" i="1"/>
  <c r="G2379" i="1"/>
  <c r="J2378" i="1"/>
  <c r="G2378" i="1"/>
  <c r="J2377" i="1"/>
  <c r="G2377" i="1"/>
  <c r="J2376" i="1"/>
  <c r="G2376" i="1"/>
  <c r="J2375" i="1"/>
  <c r="G2375" i="1"/>
  <c r="J2374" i="1"/>
  <c r="G2374" i="1"/>
  <c r="J2373" i="1"/>
  <c r="G2373" i="1"/>
  <c r="J2372" i="1"/>
  <c r="G2372" i="1"/>
  <c r="J2371" i="1"/>
  <c r="G2371" i="1"/>
  <c r="J2370" i="1"/>
  <c r="G2370" i="1"/>
  <c r="J2369" i="1"/>
  <c r="G2369" i="1"/>
  <c r="J2368" i="1"/>
  <c r="G2368" i="1"/>
  <c r="J2367" i="1"/>
  <c r="G2367" i="1"/>
  <c r="J2366" i="1"/>
  <c r="G2366" i="1"/>
  <c r="J2365" i="1"/>
  <c r="G2365" i="1"/>
  <c r="J2364" i="1"/>
  <c r="G2364" i="1"/>
  <c r="J2363" i="1"/>
  <c r="G2363" i="1"/>
  <c r="J2362" i="1"/>
  <c r="G2362" i="1"/>
  <c r="J2361" i="1"/>
  <c r="G2361" i="1"/>
  <c r="J2360" i="1"/>
  <c r="G2360" i="1"/>
  <c r="J2359" i="1"/>
  <c r="G2359" i="1"/>
  <c r="J2358" i="1"/>
  <c r="G2358" i="1"/>
  <c r="J2357" i="1"/>
  <c r="G2357" i="1"/>
  <c r="J2356" i="1"/>
  <c r="G2356" i="1"/>
  <c r="J2355" i="1"/>
  <c r="G2355" i="1"/>
  <c r="J2354" i="1"/>
  <c r="G2354" i="1"/>
  <c r="J2353" i="1"/>
  <c r="G2353" i="1"/>
  <c r="J2352" i="1"/>
  <c r="G2352" i="1"/>
  <c r="J2351" i="1"/>
  <c r="G2351" i="1"/>
  <c r="J2350" i="1"/>
  <c r="G2350" i="1"/>
  <c r="J2349" i="1"/>
  <c r="G2349" i="1"/>
  <c r="J2348" i="1"/>
  <c r="G2348" i="1"/>
  <c r="J2347" i="1"/>
  <c r="G2347" i="1"/>
  <c r="J2346" i="1"/>
  <c r="G2346" i="1"/>
  <c r="J2345" i="1"/>
  <c r="G2345" i="1"/>
  <c r="J2344" i="1"/>
  <c r="G2344" i="1"/>
  <c r="J2343" i="1"/>
  <c r="G2343" i="1"/>
  <c r="J2342" i="1"/>
  <c r="G2342" i="1"/>
  <c r="J2341" i="1"/>
  <c r="G2341" i="1"/>
  <c r="J2340" i="1"/>
  <c r="G2340" i="1"/>
  <c r="J2339" i="1"/>
  <c r="G2339" i="1"/>
  <c r="J2338" i="1"/>
  <c r="G2338" i="1"/>
  <c r="J2337" i="1"/>
  <c r="G2337" i="1"/>
  <c r="J2336" i="1"/>
  <c r="G2336" i="1"/>
  <c r="J2335" i="1"/>
  <c r="G2335" i="1"/>
  <c r="J2334" i="1"/>
  <c r="G2334" i="1"/>
  <c r="J2333" i="1"/>
  <c r="G2333" i="1"/>
  <c r="J2332" i="1"/>
  <c r="G2332" i="1"/>
  <c r="J2331" i="1"/>
  <c r="G2331" i="1"/>
  <c r="J2330" i="1"/>
  <c r="G2330" i="1"/>
  <c r="J2329" i="1"/>
  <c r="G2329" i="1"/>
  <c r="J2328" i="1"/>
  <c r="G2328" i="1"/>
  <c r="J2327" i="1"/>
  <c r="G2327" i="1"/>
  <c r="J2326" i="1"/>
  <c r="G2326" i="1"/>
  <c r="J2325" i="1"/>
  <c r="G2325" i="1"/>
  <c r="J2324" i="1"/>
  <c r="G2324" i="1"/>
  <c r="J2323" i="1"/>
  <c r="G2323" i="1"/>
  <c r="J2322" i="1"/>
  <c r="G2322" i="1"/>
  <c r="J2321" i="1"/>
  <c r="G2321" i="1"/>
  <c r="J2320" i="1"/>
  <c r="G2320" i="1"/>
  <c r="J2319" i="1"/>
  <c r="G2319" i="1"/>
  <c r="J2318" i="1"/>
  <c r="G2318" i="1"/>
  <c r="J2317" i="1"/>
  <c r="G2317" i="1"/>
  <c r="J2316" i="1"/>
  <c r="G2316" i="1"/>
  <c r="J2315" i="1"/>
  <c r="G2315" i="1"/>
  <c r="J2314" i="1"/>
  <c r="G2314" i="1"/>
  <c r="J2313" i="1"/>
  <c r="G2313" i="1"/>
  <c r="J2312" i="1"/>
  <c r="G2312" i="1"/>
  <c r="J2311" i="1"/>
  <c r="G2311" i="1"/>
  <c r="J2310" i="1"/>
  <c r="G2310" i="1"/>
  <c r="J2309" i="1"/>
  <c r="G2309" i="1"/>
  <c r="J2308" i="1"/>
  <c r="G2308" i="1"/>
  <c r="J2307" i="1"/>
  <c r="G2307" i="1"/>
  <c r="J2306" i="1"/>
  <c r="G2306" i="1"/>
  <c r="J2305" i="1"/>
  <c r="G2305" i="1"/>
  <c r="J2304" i="1"/>
  <c r="G2304" i="1"/>
  <c r="J2303" i="1"/>
  <c r="G2303" i="1"/>
  <c r="J2302" i="1"/>
  <c r="G2302" i="1"/>
  <c r="J2301" i="1"/>
  <c r="G2301" i="1"/>
  <c r="J2300" i="1"/>
  <c r="G2300" i="1"/>
  <c r="J2299" i="1"/>
  <c r="G2299" i="1"/>
  <c r="J2298" i="1"/>
  <c r="G2298" i="1"/>
  <c r="J2297" i="1"/>
  <c r="G2297" i="1"/>
  <c r="J2296" i="1"/>
  <c r="G2296" i="1"/>
  <c r="J2295" i="1"/>
  <c r="G2295" i="1"/>
  <c r="J2294" i="1"/>
  <c r="G2294" i="1"/>
  <c r="J2293" i="1"/>
  <c r="G2293" i="1"/>
  <c r="J2292" i="1"/>
  <c r="G2292" i="1"/>
  <c r="J2291" i="1"/>
  <c r="G2291" i="1"/>
  <c r="J2290" i="1"/>
  <c r="G2290" i="1"/>
  <c r="J2289" i="1"/>
  <c r="G2289" i="1"/>
  <c r="J2288" i="1"/>
  <c r="G2288" i="1"/>
  <c r="J2287" i="1"/>
  <c r="G2287" i="1"/>
  <c r="J2286" i="1"/>
  <c r="G2286" i="1"/>
  <c r="J2285" i="1"/>
  <c r="G2285" i="1"/>
  <c r="J2284" i="1"/>
  <c r="G2284" i="1"/>
  <c r="J2283" i="1"/>
  <c r="G2283" i="1"/>
  <c r="J2282" i="1"/>
  <c r="G2282" i="1"/>
  <c r="J2281" i="1"/>
  <c r="G2281" i="1"/>
  <c r="J2280" i="1"/>
  <c r="G2280" i="1"/>
  <c r="J2279" i="1"/>
  <c r="G2279" i="1"/>
  <c r="J2278" i="1"/>
  <c r="G2278" i="1"/>
  <c r="J2277" i="1"/>
  <c r="G2277" i="1"/>
  <c r="J2276" i="1"/>
  <c r="G2276" i="1"/>
  <c r="J2275" i="1"/>
  <c r="G2275" i="1"/>
  <c r="J2274" i="1"/>
  <c r="G2274" i="1"/>
  <c r="J2273" i="1"/>
  <c r="G2273" i="1"/>
  <c r="J2272" i="1"/>
  <c r="G2272" i="1"/>
  <c r="J2271" i="1"/>
  <c r="G2271" i="1"/>
  <c r="J2270" i="1"/>
  <c r="G2270" i="1"/>
  <c r="J2269" i="1"/>
  <c r="G2269" i="1"/>
  <c r="J2268" i="1"/>
  <c r="G2268" i="1"/>
  <c r="J2267" i="1"/>
  <c r="G2267" i="1"/>
  <c r="J2266" i="1"/>
  <c r="G2266" i="1"/>
  <c r="J2265" i="1"/>
  <c r="G2265" i="1"/>
  <c r="J2264" i="1"/>
  <c r="G2264" i="1"/>
  <c r="J2263" i="1"/>
  <c r="G2263" i="1"/>
  <c r="J2262" i="1"/>
  <c r="G2262" i="1"/>
  <c r="J2261" i="1"/>
  <c r="G2261" i="1"/>
  <c r="J2260" i="1"/>
  <c r="G2260" i="1"/>
  <c r="J2259" i="1"/>
  <c r="G2259" i="1"/>
  <c r="J2258" i="1"/>
  <c r="G2258" i="1"/>
  <c r="J2257" i="1"/>
  <c r="G2257" i="1"/>
  <c r="J2256" i="1"/>
  <c r="G2256" i="1"/>
  <c r="J2255" i="1"/>
  <c r="G2255" i="1"/>
  <c r="J2254" i="1"/>
  <c r="G2254" i="1"/>
  <c r="J2253" i="1"/>
  <c r="G2253" i="1"/>
  <c r="J2252" i="1"/>
  <c r="G2252" i="1"/>
  <c r="J2251" i="1"/>
  <c r="G2251" i="1"/>
  <c r="J2250" i="1"/>
  <c r="G2250" i="1"/>
  <c r="J2249" i="1"/>
  <c r="G2249" i="1"/>
  <c r="J2248" i="1"/>
  <c r="G2248" i="1"/>
  <c r="J2247" i="1"/>
  <c r="G2247" i="1"/>
  <c r="J2246" i="1"/>
  <c r="G2246" i="1"/>
  <c r="J2245" i="1"/>
  <c r="G2245" i="1"/>
  <c r="J2244" i="1"/>
  <c r="G2244" i="1"/>
  <c r="J2243" i="1"/>
  <c r="G2243" i="1"/>
  <c r="J2242" i="1"/>
  <c r="G2242" i="1"/>
  <c r="J2241" i="1"/>
  <c r="G2241" i="1"/>
  <c r="J2240" i="1"/>
  <c r="G2240" i="1"/>
  <c r="J2239" i="1"/>
  <c r="G2239" i="1"/>
  <c r="J2238" i="1"/>
  <c r="G2238" i="1"/>
  <c r="J2237" i="1"/>
  <c r="G2237" i="1"/>
  <c r="J2236" i="1"/>
  <c r="G2236" i="1"/>
  <c r="J2235" i="1"/>
  <c r="G2235" i="1"/>
  <c r="J2234" i="1"/>
  <c r="G2234" i="1"/>
  <c r="J2233" i="1"/>
  <c r="G2233" i="1"/>
  <c r="J2232" i="1"/>
  <c r="G2232" i="1"/>
  <c r="J2231" i="1"/>
  <c r="G2231" i="1"/>
  <c r="J2230" i="1"/>
  <c r="G2230" i="1"/>
  <c r="J2229" i="1"/>
  <c r="G2229" i="1"/>
  <c r="J2228" i="1"/>
  <c r="G2228" i="1"/>
  <c r="J2227" i="1"/>
  <c r="G2227" i="1"/>
  <c r="J2226" i="1"/>
  <c r="G2226" i="1"/>
  <c r="J2225" i="1"/>
  <c r="G2225" i="1"/>
  <c r="J2224" i="1"/>
  <c r="G2224" i="1"/>
  <c r="J2223" i="1"/>
  <c r="G2223" i="1"/>
  <c r="J2222" i="1"/>
  <c r="G2222" i="1"/>
  <c r="J2221" i="1"/>
  <c r="G2221" i="1"/>
  <c r="J2220" i="1"/>
  <c r="G2220" i="1"/>
  <c r="J2219" i="1"/>
  <c r="G2219" i="1"/>
  <c r="J2218" i="1"/>
  <c r="G2218" i="1"/>
  <c r="J2217" i="1"/>
  <c r="G2217" i="1"/>
  <c r="J2216" i="1"/>
  <c r="G2216" i="1"/>
  <c r="J2215" i="1"/>
  <c r="G2215" i="1"/>
  <c r="J2214" i="1"/>
  <c r="G2214" i="1"/>
  <c r="J2213" i="1"/>
  <c r="G2213" i="1"/>
  <c r="J2212" i="1"/>
  <c r="G2212" i="1"/>
  <c r="J2211" i="1"/>
  <c r="G2211" i="1"/>
  <c r="J2210" i="1"/>
  <c r="G2210" i="1"/>
  <c r="J2209" i="1"/>
  <c r="G2209" i="1"/>
  <c r="J2208" i="1"/>
  <c r="G2208" i="1"/>
  <c r="J2207" i="1"/>
  <c r="G2207" i="1"/>
  <c r="J2206" i="1"/>
  <c r="G2206" i="1"/>
  <c r="J2205" i="1"/>
  <c r="G2205" i="1"/>
  <c r="J2204" i="1"/>
  <c r="G2204" i="1"/>
  <c r="J2203" i="1"/>
  <c r="G2203" i="1"/>
  <c r="J2202" i="1"/>
  <c r="G2202" i="1"/>
  <c r="J2201" i="1"/>
  <c r="G2201" i="1"/>
  <c r="J2200" i="1"/>
  <c r="G2200" i="1"/>
  <c r="J2199" i="1"/>
  <c r="G2199" i="1"/>
  <c r="J2198" i="1"/>
  <c r="G2198" i="1"/>
  <c r="J2197" i="1"/>
  <c r="G2197" i="1"/>
  <c r="J2196" i="1"/>
  <c r="G2196" i="1"/>
  <c r="J2195" i="1"/>
  <c r="G2195" i="1"/>
  <c r="J2194" i="1"/>
  <c r="G2194" i="1"/>
  <c r="J2193" i="1"/>
  <c r="G2193" i="1"/>
  <c r="J2192" i="1"/>
  <c r="G2192" i="1"/>
  <c r="J2191" i="1"/>
  <c r="G2191" i="1"/>
  <c r="J2190" i="1"/>
  <c r="G2190" i="1"/>
  <c r="J2189" i="1"/>
  <c r="G2189" i="1"/>
  <c r="J2188" i="1"/>
  <c r="G2188" i="1"/>
  <c r="J2187" i="1"/>
  <c r="G2187" i="1"/>
  <c r="J2186" i="1"/>
  <c r="G2186" i="1"/>
  <c r="J2185" i="1"/>
  <c r="G2185" i="1"/>
  <c r="J2184" i="1"/>
  <c r="G2184" i="1"/>
  <c r="J2183" i="1"/>
  <c r="G2183" i="1"/>
  <c r="J2182" i="1"/>
  <c r="G2182" i="1"/>
  <c r="J2181" i="1"/>
  <c r="G2181" i="1"/>
  <c r="J2180" i="1"/>
  <c r="G2180" i="1"/>
  <c r="J2179" i="1"/>
  <c r="G2179" i="1"/>
  <c r="J2178" i="1"/>
  <c r="G2178" i="1"/>
  <c r="J2177" i="1"/>
  <c r="G2177" i="1"/>
  <c r="J2176" i="1"/>
  <c r="G2176" i="1"/>
  <c r="J2175" i="1"/>
  <c r="G2175" i="1"/>
  <c r="J2174" i="1"/>
  <c r="G2174" i="1"/>
  <c r="J2173" i="1"/>
  <c r="G2173" i="1"/>
  <c r="J2172" i="1"/>
  <c r="G2172" i="1"/>
  <c r="J2171" i="1"/>
  <c r="G2171" i="1"/>
  <c r="J2170" i="1"/>
  <c r="G2170" i="1"/>
  <c r="J2169" i="1"/>
  <c r="G2169" i="1"/>
  <c r="J2168" i="1"/>
  <c r="G2168" i="1"/>
  <c r="J2167" i="1"/>
  <c r="G2167" i="1"/>
  <c r="J2166" i="1"/>
  <c r="G2166" i="1"/>
  <c r="J2165" i="1"/>
  <c r="G2165" i="1"/>
  <c r="J2164" i="1"/>
  <c r="G2164" i="1"/>
  <c r="J2163" i="1"/>
  <c r="G2163" i="1"/>
  <c r="J2162" i="1"/>
  <c r="G2162" i="1"/>
  <c r="J2161" i="1"/>
  <c r="G2161" i="1"/>
  <c r="J2160" i="1"/>
  <c r="G2160" i="1"/>
  <c r="J2159" i="1"/>
  <c r="G2159" i="1"/>
  <c r="J2158" i="1"/>
  <c r="G2158" i="1"/>
  <c r="J2157" i="1"/>
  <c r="G2157" i="1"/>
  <c r="J2156" i="1"/>
  <c r="G2156" i="1"/>
  <c r="J2155" i="1"/>
  <c r="G2155" i="1"/>
  <c r="J2154" i="1"/>
  <c r="G2154" i="1"/>
  <c r="J2153" i="1"/>
  <c r="G2153" i="1"/>
  <c r="J2152" i="1"/>
  <c r="G2152" i="1"/>
  <c r="J2151" i="1"/>
  <c r="G2151" i="1"/>
  <c r="J2150" i="1"/>
  <c r="G2150" i="1"/>
  <c r="J2149" i="1"/>
  <c r="G2149" i="1"/>
  <c r="J2148" i="1"/>
  <c r="G2148" i="1"/>
  <c r="J2147" i="1"/>
  <c r="G2147" i="1"/>
  <c r="J2146" i="1"/>
  <c r="G2146" i="1"/>
  <c r="J2145" i="1"/>
  <c r="G2145" i="1"/>
  <c r="J2144" i="1"/>
  <c r="G2144" i="1"/>
  <c r="J2143" i="1"/>
  <c r="G2143" i="1"/>
  <c r="J2142" i="1"/>
  <c r="G2142" i="1"/>
  <c r="J2141" i="1"/>
  <c r="G2141" i="1"/>
  <c r="J2140" i="1"/>
  <c r="G2140" i="1"/>
  <c r="J2139" i="1"/>
  <c r="G2139" i="1"/>
  <c r="J2138" i="1"/>
  <c r="G2138" i="1"/>
  <c r="J2137" i="1"/>
  <c r="G2137" i="1"/>
  <c r="J2136" i="1"/>
  <c r="G2136" i="1"/>
  <c r="J2135" i="1"/>
  <c r="G2135" i="1"/>
  <c r="J2134" i="1"/>
  <c r="G2134" i="1"/>
  <c r="J2133" i="1"/>
  <c r="G2133" i="1"/>
  <c r="J2132" i="1"/>
  <c r="G2132" i="1"/>
  <c r="J2131" i="1"/>
  <c r="G2131" i="1"/>
  <c r="J2130" i="1"/>
  <c r="G2130" i="1"/>
  <c r="J2129" i="1"/>
  <c r="G2129" i="1"/>
  <c r="J2128" i="1"/>
  <c r="G2128" i="1"/>
  <c r="J2127" i="1"/>
  <c r="G2127" i="1"/>
  <c r="J2126" i="1"/>
  <c r="G2126" i="1"/>
  <c r="J2125" i="1"/>
  <c r="G2125" i="1"/>
  <c r="J2124" i="1"/>
  <c r="G2124" i="1"/>
  <c r="J2123" i="1"/>
  <c r="G2123" i="1"/>
  <c r="J2122" i="1"/>
  <c r="G2122" i="1"/>
  <c r="J2121" i="1"/>
  <c r="G2121" i="1"/>
  <c r="J2120" i="1"/>
  <c r="G2120" i="1"/>
  <c r="J2119" i="1"/>
  <c r="G2119" i="1"/>
  <c r="J2118" i="1"/>
  <c r="G2118" i="1"/>
  <c r="J2117" i="1"/>
  <c r="G2117" i="1"/>
  <c r="J2116" i="1"/>
  <c r="G2116" i="1"/>
  <c r="J2115" i="1"/>
  <c r="G2115" i="1"/>
  <c r="J2114" i="1"/>
  <c r="G2114" i="1"/>
  <c r="J2113" i="1"/>
  <c r="G2113" i="1"/>
  <c r="J2112" i="1"/>
  <c r="G2112" i="1"/>
  <c r="J2111" i="1"/>
  <c r="G2111" i="1"/>
  <c r="J2110" i="1"/>
  <c r="G2110" i="1"/>
  <c r="J2109" i="1"/>
  <c r="G2109" i="1"/>
  <c r="J2108" i="1"/>
  <c r="G2108" i="1"/>
  <c r="J2107" i="1"/>
  <c r="G2107" i="1"/>
  <c r="J2106" i="1"/>
  <c r="G2106" i="1"/>
  <c r="J2105" i="1"/>
  <c r="G2105" i="1"/>
  <c r="J2104" i="1"/>
  <c r="G2104" i="1"/>
  <c r="J2103" i="1"/>
  <c r="G2103" i="1"/>
  <c r="J2102" i="1"/>
  <c r="G2102" i="1"/>
  <c r="J2101" i="1"/>
  <c r="G2101" i="1"/>
  <c r="J2100" i="1"/>
  <c r="G2100" i="1"/>
  <c r="J2099" i="1"/>
  <c r="G2099" i="1"/>
  <c r="J2098" i="1"/>
  <c r="G2098" i="1"/>
  <c r="J2097" i="1"/>
  <c r="G2097" i="1"/>
  <c r="J2096" i="1"/>
  <c r="G2096" i="1"/>
  <c r="J2095" i="1"/>
  <c r="G2095" i="1"/>
  <c r="J2094" i="1"/>
  <c r="G2094" i="1"/>
  <c r="J2093" i="1"/>
  <c r="G2093" i="1"/>
  <c r="J2092" i="1"/>
  <c r="G2092" i="1"/>
  <c r="J2091" i="1"/>
  <c r="G2091" i="1"/>
  <c r="J2090" i="1"/>
  <c r="G2090" i="1"/>
  <c r="J2089" i="1"/>
  <c r="G2089" i="1"/>
  <c r="J2088" i="1"/>
  <c r="G2088" i="1"/>
  <c r="J2087" i="1"/>
  <c r="G2087" i="1"/>
  <c r="J2086" i="1"/>
  <c r="G2086" i="1"/>
  <c r="J2085" i="1"/>
  <c r="G2085" i="1"/>
  <c r="J2084" i="1"/>
  <c r="G2084" i="1"/>
  <c r="J2083" i="1"/>
  <c r="G2083" i="1"/>
  <c r="J2082" i="1"/>
  <c r="G2082" i="1"/>
  <c r="J2081" i="1"/>
  <c r="G2081" i="1"/>
  <c r="J2080" i="1"/>
  <c r="G2080" i="1"/>
  <c r="J2079" i="1"/>
  <c r="G2079" i="1"/>
  <c r="J2078" i="1"/>
  <c r="G2078" i="1"/>
  <c r="J2077" i="1"/>
  <c r="G2077" i="1"/>
  <c r="J2076" i="1"/>
  <c r="G2076" i="1"/>
  <c r="J2075" i="1"/>
  <c r="G2075" i="1"/>
  <c r="J2074" i="1"/>
  <c r="G2074" i="1"/>
  <c r="J2073" i="1"/>
  <c r="G2073" i="1"/>
  <c r="J2072" i="1"/>
  <c r="G2072" i="1"/>
  <c r="J2071" i="1"/>
  <c r="G2071" i="1"/>
  <c r="J2070" i="1"/>
  <c r="G2070" i="1"/>
  <c r="J2069" i="1"/>
  <c r="G2069" i="1"/>
  <c r="J2068" i="1"/>
  <c r="G2068" i="1"/>
  <c r="J2067" i="1"/>
  <c r="G2067" i="1"/>
  <c r="J2066" i="1"/>
  <c r="G2066" i="1"/>
  <c r="J2065" i="1"/>
  <c r="G2065" i="1"/>
  <c r="J2064" i="1"/>
  <c r="G2064" i="1"/>
  <c r="J2063" i="1"/>
  <c r="G2063" i="1"/>
  <c r="J2062" i="1"/>
  <c r="G2062" i="1"/>
  <c r="J2061" i="1"/>
  <c r="G2061" i="1"/>
  <c r="J2060" i="1"/>
  <c r="G2060" i="1"/>
  <c r="J2059" i="1"/>
  <c r="G2059" i="1"/>
  <c r="J2058" i="1"/>
  <c r="G2058" i="1"/>
  <c r="J2057" i="1"/>
  <c r="G2057" i="1"/>
  <c r="J2056" i="1"/>
  <c r="G2056" i="1"/>
  <c r="J2055" i="1"/>
  <c r="G2055" i="1"/>
  <c r="J2054" i="1"/>
  <c r="G2054" i="1"/>
  <c r="J2053" i="1"/>
  <c r="G2053" i="1"/>
  <c r="J2052" i="1"/>
  <c r="G2052" i="1"/>
  <c r="J2051" i="1"/>
  <c r="G2051" i="1"/>
  <c r="J2050" i="1"/>
  <c r="G2050" i="1"/>
  <c r="J2049" i="1"/>
  <c r="G2049" i="1"/>
  <c r="J2048" i="1"/>
  <c r="G2048" i="1"/>
  <c r="J2047" i="1"/>
  <c r="G2047" i="1"/>
  <c r="J2046" i="1"/>
  <c r="G2046" i="1"/>
  <c r="J2045" i="1"/>
  <c r="G2045" i="1"/>
  <c r="J2044" i="1"/>
  <c r="G2044" i="1"/>
  <c r="J2043" i="1"/>
  <c r="G2043" i="1"/>
  <c r="J2042" i="1"/>
  <c r="G2042" i="1"/>
  <c r="J2041" i="1"/>
  <c r="G2041" i="1"/>
  <c r="J2040" i="1"/>
  <c r="G2040" i="1"/>
  <c r="J2039" i="1"/>
  <c r="G2039" i="1"/>
  <c r="J2038" i="1"/>
  <c r="G2038" i="1"/>
  <c r="J2037" i="1"/>
  <c r="G2037" i="1"/>
  <c r="J2036" i="1"/>
  <c r="G2036" i="1"/>
  <c r="J2035" i="1"/>
  <c r="G2035" i="1"/>
  <c r="J2034" i="1"/>
  <c r="G2034" i="1"/>
  <c r="J2033" i="1"/>
  <c r="G2033" i="1"/>
  <c r="J2032" i="1"/>
  <c r="G2032" i="1"/>
  <c r="J2031" i="1"/>
  <c r="G2031" i="1"/>
  <c r="J2030" i="1"/>
  <c r="G2030" i="1"/>
  <c r="J2029" i="1"/>
  <c r="G2029" i="1"/>
  <c r="J2028" i="1"/>
  <c r="G2028" i="1"/>
  <c r="J2027" i="1"/>
  <c r="G2027" i="1"/>
  <c r="J2026" i="1"/>
  <c r="G2026" i="1"/>
  <c r="J2025" i="1"/>
  <c r="G2025" i="1"/>
  <c r="J2024" i="1"/>
  <c r="G2024" i="1"/>
  <c r="J2023" i="1"/>
  <c r="G2023" i="1"/>
  <c r="J2022" i="1"/>
  <c r="G2022" i="1"/>
  <c r="J2021" i="1"/>
  <c r="G2021" i="1"/>
  <c r="J2020" i="1"/>
  <c r="G2020" i="1"/>
  <c r="J2019" i="1"/>
  <c r="G2019" i="1"/>
  <c r="J2018" i="1"/>
  <c r="G2018" i="1"/>
  <c r="J2017" i="1"/>
  <c r="G2017" i="1"/>
  <c r="J2016" i="1"/>
  <c r="G2016" i="1"/>
  <c r="J2015" i="1"/>
  <c r="G2015" i="1"/>
  <c r="J2014" i="1"/>
  <c r="G2014" i="1"/>
  <c r="J2013" i="1"/>
  <c r="G2013" i="1"/>
  <c r="J2012" i="1"/>
  <c r="G2012" i="1"/>
  <c r="J2011" i="1"/>
  <c r="G2011" i="1"/>
  <c r="J2010" i="1"/>
  <c r="G2010" i="1"/>
  <c r="J2009" i="1"/>
  <c r="G2009" i="1"/>
  <c r="J2008" i="1"/>
  <c r="G2008" i="1"/>
  <c r="J2007" i="1"/>
  <c r="G2007" i="1"/>
  <c r="J2006" i="1"/>
  <c r="G2006" i="1"/>
  <c r="J2005" i="1"/>
  <c r="G2005" i="1"/>
  <c r="J2004" i="1"/>
  <c r="G2004" i="1"/>
  <c r="J2003" i="1"/>
  <c r="G2003" i="1"/>
  <c r="J2002" i="1"/>
  <c r="G2002" i="1"/>
  <c r="J2001" i="1"/>
  <c r="G2001" i="1"/>
  <c r="J2000" i="1"/>
  <c r="G2000" i="1"/>
  <c r="J1999" i="1"/>
  <c r="G1999" i="1"/>
  <c r="J1998" i="1"/>
  <c r="G1998" i="1"/>
  <c r="J1997" i="1"/>
  <c r="G1997" i="1"/>
  <c r="J1996" i="1"/>
  <c r="G1996" i="1"/>
  <c r="J1995" i="1"/>
  <c r="G1995" i="1"/>
  <c r="J1994" i="1"/>
  <c r="G1994" i="1"/>
  <c r="J1993" i="1"/>
  <c r="G1993" i="1"/>
  <c r="J1992" i="1"/>
  <c r="G1992" i="1"/>
  <c r="J1991" i="1"/>
  <c r="G1991" i="1"/>
  <c r="J1990" i="1"/>
  <c r="G1990" i="1"/>
  <c r="J1989" i="1"/>
  <c r="G1989" i="1"/>
  <c r="J1988" i="1"/>
  <c r="G1988" i="1"/>
  <c r="J1987" i="1"/>
  <c r="G1987" i="1"/>
  <c r="J1986" i="1"/>
  <c r="G1986" i="1"/>
  <c r="J1985" i="1"/>
  <c r="G1985" i="1"/>
  <c r="J1984" i="1"/>
  <c r="G1984" i="1"/>
  <c r="J1983" i="1"/>
  <c r="G1983" i="1"/>
  <c r="J1982" i="1"/>
  <c r="G1982" i="1"/>
  <c r="J1981" i="1"/>
  <c r="G1981" i="1"/>
  <c r="J1980" i="1"/>
  <c r="G1980" i="1"/>
  <c r="J1979" i="1"/>
  <c r="G1979" i="1"/>
  <c r="J1978" i="1"/>
  <c r="G1978" i="1"/>
  <c r="J1977" i="1"/>
  <c r="G1977" i="1"/>
  <c r="J1976" i="1"/>
  <c r="G1976" i="1"/>
  <c r="J1975" i="1"/>
  <c r="G1975" i="1"/>
  <c r="J1974" i="1"/>
  <c r="G1974" i="1"/>
  <c r="J1973" i="1"/>
  <c r="G1973" i="1"/>
  <c r="J1972" i="1"/>
  <c r="G1972" i="1"/>
  <c r="J1971" i="1"/>
  <c r="G1971" i="1"/>
  <c r="J1970" i="1"/>
  <c r="G1970" i="1"/>
  <c r="J1969" i="1"/>
  <c r="G1969" i="1"/>
  <c r="J1968" i="1"/>
  <c r="G1968" i="1"/>
  <c r="J1967" i="1"/>
  <c r="G1967" i="1"/>
  <c r="J1966" i="1"/>
  <c r="G1966" i="1"/>
  <c r="J1965" i="1"/>
  <c r="G1965" i="1"/>
  <c r="J1964" i="1"/>
  <c r="G1964" i="1"/>
  <c r="J1963" i="1"/>
  <c r="G1963" i="1"/>
  <c r="J1962" i="1"/>
  <c r="G1962" i="1"/>
  <c r="J1961" i="1"/>
  <c r="G1961" i="1"/>
  <c r="J1960" i="1"/>
  <c r="G1960" i="1"/>
  <c r="J1959" i="1"/>
  <c r="G1959" i="1"/>
  <c r="J1958" i="1"/>
  <c r="G1958" i="1"/>
  <c r="J1957" i="1"/>
  <c r="G1957" i="1"/>
  <c r="J1956" i="1"/>
  <c r="G1956" i="1"/>
  <c r="J1955" i="1"/>
  <c r="G1955" i="1"/>
  <c r="J1954" i="1"/>
  <c r="G1954" i="1"/>
  <c r="J1953" i="1"/>
  <c r="G1953" i="1"/>
  <c r="J1952" i="1"/>
  <c r="G1952" i="1"/>
  <c r="J1951" i="1"/>
  <c r="G1951" i="1"/>
  <c r="J1950" i="1"/>
  <c r="G1950" i="1"/>
  <c r="J1949" i="1"/>
  <c r="G1949" i="1"/>
  <c r="J1948" i="1"/>
  <c r="G1948" i="1"/>
  <c r="J1947" i="1"/>
  <c r="G1947" i="1"/>
  <c r="J1946" i="1"/>
  <c r="G1946" i="1"/>
  <c r="J1945" i="1"/>
  <c r="G1945" i="1"/>
  <c r="J1944" i="1"/>
  <c r="G1944" i="1"/>
  <c r="J1943" i="1"/>
  <c r="G1943" i="1"/>
  <c r="J1942" i="1"/>
  <c r="G1942" i="1"/>
  <c r="J1941" i="1"/>
  <c r="G1941" i="1"/>
  <c r="J1940" i="1"/>
  <c r="G1940" i="1"/>
  <c r="J1939" i="1"/>
  <c r="G1939" i="1"/>
  <c r="J1938" i="1"/>
  <c r="G1938" i="1"/>
  <c r="J1937" i="1"/>
  <c r="G1937" i="1"/>
  <c r="J1936" i="1"/>
  <c r="G1936" i="1"/>
  <c r="J1935" i="1"/>
  <c r="G1935" i="1"/>
  <c r="J1934" i="1"/>
  <c r="G1934" i="1"/>
  <c r="J1933" i="1"/>
  <c r="G1933" i="1"/>
  <c r="J1932" i="1"/>
  <c r="G1932" i="1"/>
  <c r="J1931" i="1"/>
  <c r="G1931" i="1"/>
  <c r="J1930" i="1"/>
  <c r="G1930" i="1"/>
  <c r="J1929" i="1"/>
  <c r="G1929" i="1"/>
  <c r="J1928" i="1"/>
  <c r="G1928" i="1"/>
  <c r="J1927" i="1"/>
  <c r="G1927" i="1"/>
  <c r="J1926" i="1"/>
  <c r="G1926" i="1"/>
  <c r="J1925" i="1"/>
  <c r="G1925" i="1"/>
  <c r="J1924" i="1"/>
  <c r="G1924" i="1"/>
  <c r="J1923" i="1"/>
  <c r="G1923" i="1"/>
  <c r="J1922" i="1"/>
  <c r="G1922" i="1"/>
  <c r="J1921" i="1"/>
  <c r="G1921" i="1"/>
  <c r="J1920" i="1"/>
  <c r="G1920" i="1"/>
  <c r="J1919" i="1"/>
  <c r="G1919" i="1"/>
  <c r="J1918" i="1"/>
  <c r="G1918" i="1"/>
  <c r="J1917" i="1"/>
  <c r="G1917" i="1"/>
  <c r="J1916" i="1"/>
  <c r="G1916" i="1"/>
  <c r="J1915" i="1"/>
  <c r="G1915" i="1"/>
  <c r="J1914" i="1"/>
  <c r="G1914" i="1"/>
  <c r="J1913" i="1"/>
  <c r="G1913" i="1"/>
  <c r="J1912" i="1"/>
  <c r="G1912" i="1"/>
  <c r="J1911" i="1"/>
  <c r="G1911" i="1"/>
  <c r="J1910" i="1"/>
  <c r="G1910" i="1"/>
  <c r="J1909" i="1"/>
  <c r="G1909" i="1"/>
  <c r="J1908" i="1"/>
  <c r="G1908" i="1"/>
  <c r="J1907" i="1"/>
  <c r="G1907" i="1"/>
  <c r="J1906" i="1"/>
  <c r="G1906" i="1"/>
  <c r="J1905" i="1"/>
  <c r="G1905" i="1"/>
  <c r="J1904" i="1"/>
  <c r="G1904" i="1"/>
  <c r="J1903" i="1"/>
  <c r="G1903" i="1"/>
  <c r="J1902" i="1"/>
  <c r="G1902" i="1"/>
  <c r="J1901" i="1"/>
  <c r="G1901" i="1"/>
  <c r="J1900" i="1"/>
  <c r="G1900" i="1"/>
  <c r="J1899" i="1"/>
  <c r="G1899" i="1"/>
  <c r="J1898" i="1"/>
  <c r="G1898" i="1"/>
  <c r="J1897" i="1"/>
  <c r="G1897" i="1"/>
  <c r="J1896" i="1"/>
  <c r="G1896" i="1"/>
  <c r="J1895" i="1"/>
  <c r="G1895" i="1"/>
  <c r="J1894" i="1"/>
  <c r="G1894" i="1"/>
  <c r="J1893" i="1"/>
  <c r="G1893" i="1"/>
  <c r="J1892" i="1"/>
  <c r="G1892" i="1"/>
  <c r="J1891" i="1"/>
  <c r="G1891" i="1"/>
  <c r="J1890" i="1"/>
  <c r="G1890" i="1"/>
  <c r="J1889" i="1"/>
  <c r="G1889" i="1"/>
  <c r="J1888" i="1"/>
  <c r="G1888" i="1"/>
  <c r="J1887" i="1"/>
  <c r="G1887" i="1"/>
  <c r="J1886" i="1"/>
  <c r="G1886" i="1"/>
  <c r="J1885" i="1"/>
  <c r="G1885" i="1"/>
  <c r="J1884" i="1"/>
  <c r="G1884" i="1"/>
  <c r="J1883" i="1"/>
  <c r="G1883" i="1"/>
  <c r="J1882" i="1"/>
  <c r="G1882" i="1"/>
  <c r="J1881" i="1"/>
  <c r="G1881" i="1"/>
  <c r="J1880" i="1"/>
  <c r="G1880" i="1"/>
  <c r="J1879" i="1"/>
  <c r="G1879" i="1"/>
  <c r="J1878" i="1"/>
  <c r="G1878" i="1"/>
  <c r="J1877" i="1"/>
  <c r="G1877" i="1"/>
  <c r="J1876" i="1"/>
  <c r="G1876" i="1"/>
  <c r="J1875" i="1"/>
  <c r="G1875" i="1"/>
  <c r="J1874" i="1"/>
  <c r="G1874" i="1"/>
  <c r="J1873" i="1"/>
  <c r="G1873" i="1"/>
  <c r="J1872" i="1"/>
  <c r="G1872" i="1"/>
  <c r="J1871" i="1"/>
  <c r="G1871" i="1"/>
  <c r="J1870" i="1"/>
  <c r="G1870" i="1"/>
  <c r="J1869" i="1"/>
  <c r="G1869" i="1"/>
  <c r="J1868" i="1"/>
  <c r="G1868" i="1"/>
  <c r="J1867" i="1"/>
  <c r="G1867" i="1"/>
  <c r="J1866" i="1"/>
  <c r="G1866" i="1"/>
  <c r="J1865" i="1"/>
  <c r="G1865" i="1"/>
  <c r="J1864" i="1"/>
  <c r="G1864" i="1"/>
  <c r="J1863" i="1"/>
  <c r="G1863" i="1"/>
  <c r="J1862" i="1"/>
  <c r="G1862" i="1"/>
  <c r="J1861" i="1"/>
  <c r="G1861" i="1"/>
  <c r="J1860" i="1"/>
  <c r="G1860" i="1"/>
  <c r="J1859" i="1"/>
  <c r="G1859" i="1"/>
  <c r="J1858" i="1"/>
  <c r="G1858" i="1"/>
  <c r="J1857" i="1"/>
  <c r="G1857" i="1"/>
  <c r="J1856" i="1"/>
  <c r="G1856" i="1"/>
  <c r="J1855" i="1"/>
  <c r="G1855" i="1"/>
  <c r="J1854" i="1"/>
  <c r="G1854" i="1"/>
  <c r="J1853" i="1"/>
  <c r="G1853" i="1"/>
  <c r="J1852" i="1"/>
  <c r="G1852" i="1"/>
  <c r="J1851" i="1"/>
  <c r="G1851" i="1"/>
  <c r="J1850" i="1"/>
  <c r="G1850" i="1"/>
  <c r="J1849" i="1"/>
  <c r="G1849" i="1"/>
  <c r="J1848" i="1"/>
  <c r="G1848" i="1"/>
  <c r="J1847" i="1"/>
  <c r="G1847" i="1"/>
  <c r="J1846" i="1"/>
  <c r="G1846" i="1"/>
  <c r="J1845" i="1"/>
  <c r="G1845" i="1"/>
  <c r="J1844" i="1"/>
  <c r="G1844" i="1"/>
  <c r="J1843" i="1"/>
  <c r="G1843" i="1"/>
  <c r="J1842" i="1"/>
  <c r="G1842" i="1"/>
  <c r="J1841" i="1"/>
  <c r="G1841" i="1"/>
  <c r="J1840" i="1"/>
  <c r="G1840" i="1"/>
  <c r="J1839" i="1"/>
  <c r="G1839" i="1"/>
  <c r="J1838" i="1"/>
  <c r="G1838" i="1"/>
  <c r="J1837" i="1"/>
  <c r="G1837" i="1"/>
  <c r="J1836" i="1"/>
  <c r="G1836" i="1"/>
  <c r="J1835" i="1"/>
  <c r="G1835" i="1"/>
  <c r="J1834" i="1"/>
  <c r="G1834" i="1"/>
  <c r="J1833" i="1"/>
  <c r="G1833" i="1"/>
  <c r="J1832" i="1"/>
  <c r="G1832" i="1"/>
  <c r="J1831" i="1"/>
  <c r="G1831" i="1"/>
  <c r="J1830" i="1"/>
  <c r="G1830" i="1"/>
  <c r="J1829" i="1"/>
  <c r="G1829" i="1"/>
  <c r="J1828" i="1"/>
  <c r="G1828" i="1"/>
  <c r="J1827" i="1"/>
  <c r="G1827" i="1"/>
  <c r="J1826" i="1"/>
  <c r="G1826" i="1"/>
  <c r="J1825" i="1"/>
  <c r="G1825" i="1"/>
  <c r="J1824" i="1"/>
  <c r="G1824" i="1"/>
  <c r="J1823" i="1"/>
  <c r="G1823" i="1"/>
  <c r="J1822" i="1"/>
  <c r="G1822" i="1"/>
  <c r="J1821" i="1"/>
  <c r="G1821" i="1"/>
  <c r="J1820" i="1"/>
  <c r="G1820" i="1"/>
  <c r="J1819" i="1"/>
  <c r="G1819" i="1"/>
  <c r="J1818" i="1"/>
  <c r="G1818" i="1"/>
  <c r="J1817" i="1"/>
  <c r="G1817" i="1"/>
  <c r="J1816" i="1"/>
  <c r="G1816" i="1"/>
  <c r="J1815" i="1"/>
  <c r="G1815" i="1"/>
  <c r="J1814" i="1"/>
  <c r="G1814" i="1"/>
  <c r="J1813" i="1"/>
  <c r="G1813" i="1"/>
  <c r="J1812" i="1"/>
  <c r="G1812" i="1"/>
  <c r="J1811" i="1"/>
  <c r="G1811" i="1"/>
  <c r="J1810" i="1"/>
  <c r="G1810" i="1"/>
  <c r="J1809" i="1"/>
  <c r="G1809" i="1"/>
  <c r="J1808" i="1"/>
  <c r="G1808" i="1"/>
  <c r="J1807" i="1"/>
  <c r="G1807" i="1"/>
  <c r="J1806" i="1"/>
  <c r="G1806" i="1"/>
  <c r="J1805" i="1"/>
  <c r="G1805" i="1"/>
  <c r="J1804" i="1"/>
  <c r="G1804" i="1"/>
  <c r="J1803" i="1"/>
  <c r="G1803" i="1"/>
  <c r="J1802" i="1"/>
  <c r="G1802" i="1"/>
  <c r="J1801" i="1"/>
  <c r="G1801" i="1"/>
  <c r="J1800" i="1"/>
  <c r="G1800" i="1"/>
  <c r="J1799" i="1"/>
  <c r="G1799" i="1"/>
  <c r="J1798" i="1"/>
  <c r="G1798" i="1"/>
  <c r="J1797" i="1"/>
  <c r="G1797" i="1"/>
  <c r="J1796" i="1"/>
  <c r="G1796" i="1"/>
  <c r="J1795" i="1"/>
  <c r="G1795" i="1"/>
  <c r="J1794" i="1"/>
  <c r="G1794" i="1"/>
  <c r="J1793" i="1"/>
  <c r="G1793" i="1"/>
  <c r="J1792" i="1"/>
  <c r="G1792" i="1"/>
  <c r="J1791" i="1"/>
  <c r="G1791" i="1"/>
  <c r="J1790" i="1"/>
  <c r="G1790" i="1"/>
  <c r="J1789" i="1"/>
  <c r="G1789" i="1"/>
  <c r="J1788" i="1"/>
  <c r="G1788" i="1"/>
  <c r="J1787" i="1"/>
  <c r="G1787" i="1"/>
  <c r="J1786" i="1"/>
  <c r="G1786" i="1"/>
  <c r="J1785" i="1"/>
  <c r="G1785" i="1"/>
  <c r="J1784" i="1"/>
  <c r="G1784" i="1"/>
  <c r="J1783" i="1"/>
  <c r="G1783" i="1"/>
  <c r="J1782" i="1"/>
  <c r="G1782" i="1"/>
  <c r="J1781" i="1"/>
  <c r="G1781" i="1"/>
  <c r="J1780" i="1"/>
  <c r="G1780" i="1"/>
  <c r="J1779" i="1"/>
  <c r="G1779" i="1"/>
  <c r="J1778" i="1"/>
  <c r="G1778" i="1"/>
  <c r="J1777" i="1"/>
  <c r="G1777" i="1"/>
  <c r="J1776" i="1"/>
  <c r="G1776" i="1"/>
  <c r="J1775" i="1"/>
  <c r="G1775" i="1"/>
  <c r="J1774" i="1"/>
  <c r="G1774" i="1"/>
  <c r="J1773" i="1"/>
  <c r="G1773" i="1"/>
  <c r="J1772" i="1"/>
  <c r="G1772" i="1"/>
  <c r="J1771" i="1"/>
  <c r="G1771" i="1"/>
  <c r="J1770" i="1"/>
  <c r="G1770" i="1"/>
  <c r="J1769" i="1"/>
  <c r="G1769" i="1"/>
  <c r="J1768" i="1"/>
  <c r="G1768" i="1"/>
  <c r="J1767" i="1"/>
  <c r="G1767" i="1"/>
  <c r="J1766" i="1"/>
  <c r="G1766" i="1"/>
  <c r="J1765" i="1"/>
  <c r="G1765" i="1"/>
  <c r="J1764" i="1"/>
  <c r="G1764" i="1"/>
  <c r="J1763" i="1"/>
  <c r="G1763" i="1"/>
  <c r="J1762" i="1"/>
  <c r="G1762" i="1"/>
  <c r="J1761" i="1"/>
  <c r="G1761" i="1"/>
  <c r="J1760" i="1"/>
  <c r="G1760" i="1"/>
  <c r="J1759" i="1"/>
  <c r="G1759" i="1"/>
  <c r="J1758" i="1"/>
  <c r="G1758" i="1"/>
  <c r="J1757" i="1"/>
  <c r="G1757" i="1"/>
  <c r="J1756" i="1"/>
  <c r="G1756" i="1"/>
  <c r="J1755" i="1"/>
  <c r="G1755" i="1"/>
  <c r="J1754" i="1"/>
  <c r="G1754" i="1"/>
  <c r="J1753" i="1"/>
  <c r="G1753" i="1"/>
  <c r="J1752" i="1"/>
  <c r="G1752" i="1"/>
  <c r="J1751" i="1"/>
  <c r="G1751" i="1"/>
  <c r="J1750" i="1"/>
  <c r="G1750" i="1"/>
  <c r="J1749" i="1"/>
  <c r="G1749" i="1"/>
  <c r="J1748" i="1"/>
  <c r="G1748" i="1"/>
  <c r="J1747" i="1"/>
  <c r="G1747" i="1"/>
  <c r="J1746" i="1"/>
  <c r="G1746" i="1"/>
  <c r="J1745" i="1"/>
  <c r="G1745" i="1"/>
  <c r="J1744" i="1"/>
  <c r="G1744" i="1"/>
  <c r="J1743" i="1"/>
  <c r="G1743" i="1"/>
  <c r="J1742" i="1"/>
  <c r="G1742" i="1"/>
  <c r="J1741" i="1"/>
  <c r="G1741" i="1"/>
  <c r="J1740" i="1"/>
  <c r="G1740" i="1"/>
  <c r="J1739" i="1"/>
  <c r="G1739" i="1"/>
  <c r="J1738" i="1"/>
  <c r="G1738" i="1"/>
  <c r="J1737" i="1"/>
  <c r="G1737" i="1"/>
  <c r="J1736" i="1"/>
  <c r="G1736" i="1"/>
  <c r="J1735" i="1"/>
  <c r="G1735" i="1"/>
  <c r="J1734" i="1"/>
  <c r="G1734" i="1"/>
  <c r="J1733" i="1"/>
  <c r="G1733" i="1"/>
  <c r="J1732" i="1"/>
  <c r="G1732" i="1"/>
  <c r="J1731" i="1"/>
  <c r="G1731" i="1"/>
  <c r="J1730" i="1"/>
  <c r="G1730" i="1"/>
  <c r="J1729" i="1"/>
  <c r="G1729" i="1"/>
  <c r="J1728" i="1"/>
  <c r="G1728" i="1"/>
  <c r="J1727" i="1"/>
  <c r="G1727" i="1"/>
  <c r="J1726" i="1"/>
  <c r="G1726" i="1"/>
  <c r="J1725" i="1"/>
  <c r="G1725" i="1"/>
  <c r="J1724" i="1"/>
  <c r="G1724" i="1"/>
  <c r="J1723" i="1"/>
  <c r="G1723" i="1"/>
  <c r="J1722" i="1"/>
  <c r="G1722" i="1"/>
  <c r="J1721" i="1"/>
  <c r="G1721" i="1"/>
  <c r="J1720" i="1"/>
  <c r="G1720" i="1"/>
  <c r="J1719" i="1"/>
  <c r="G1719" i="1"/>
  <c r="J1718" i="1"/>
  <c r="G1718" i="1"/>
  <c r="J1717" i="1"/>
  <c r="G1717" i="1"/>
  <c r="J1716" i="1"/>
  <c r="G1716" i="1"/>
  <c r="J1715" i="1"/>
  <c r="G1715" i="1"/>
  <c r="J1714" i="1"/>
  <c r="G1714" i="1"/>
  <c r="J1713" i="1"/>
  <c r="G1713" i="1"/>
  <c r="J1712" i="1"/>
  <c r="G1712" i="1"/>
  <c r="J1711" i="1"/>
  <c r="G1711" i="1"/>
  <c r="J1710" i="1"/>
  <c r="G1710" i="1"/>
  <c r="J1709" i="1"/>
  <c r="G1709" i="1"/>
  <c r="J1708" i="1"/>
  <c r="G1708" i="1"/>
  <c r="J1707" i="1"/>
  <c r="G1707" i="1"/>
  <c r="J1706" i="1"/>
  <c r="G1706" i="1"/>
  <c r="J1705" i="1"/>
  <c r="G1705" i="1"/>
  <c r="J1704" i="1"/>
  <c r="G1704" i="1"/>
  <c r="J1703" i="1"/>
  <c r="G1703" i="1"/>
  <c r="J1702" i="1"/>
  <c r="G1702" i="1"/>
  <c r="J1701" i="1"/>
  <c r="G1701" i="1"/>
  <c r="J1700" i="1"/>
  <c r="G1700" i="1"/>
  <c r="J1699" i="1"/>
  <c r="G1699" i="1"/>
  <c r="J1698" i="1"/>
  <c r="G1698" i="1"/>
  <c r="J1697" i="1"/>
  <c r="G1697" i="1"/>
  <c r="J1696" i="1"/>
  <c r="G1696" i="1"/>
  <c r="J1695" i="1"/>
  <c r="G1695" i="1"/>
  <c r="J1694" i="1"/>
  <c r="G1694" i="1"/>
  <c r="J1693" i="1"/>
  <c r="G1693" i="1"/>
  <c r="J1692" i="1"/>
  <c r="G1692" i="1"/>
  <c r="J1691" i="1"/>
  <c r="G1691" i="1"/>
  <c r="J1690" i="1"/>
  <c r="G1690" i="1"/>
  <c r="J1689" i="1"/>
  <c r="G1689" i="1"/>
  <c r="J1688" i="1"/>
  <c r="G1688" i="1"/>
  <c r="J1687" i="1"/>
  <c r="G1687" i="1"/>
  <c r="J1686" i="1"/>
  <c r="G1686" i="1"/>
  <c r="J1685" i="1"/>
  <c r="G1685" i="1"/>
  <c r="J1684" i="1"/>
  <c r="G1684" i="1"/>
  <c r="J1683" i="1"/>
  <c r="G1683" i="1"/>
  <c r="J1682" i="1"/>
  <c r="G1682" i="1"/>
  <c r="J1681" i="1"/>
  <c r="G1681" i="1"/>
  <c r="J1680" i="1"/>
  <c r="G1680" i="1"/>
  <c r="J1679" i="1"/>
  <c r="G1679" i="1"/>
  <c r="J1678" i="1"/>
  <c r="G1678" i="1"/>
  <c r="J1677" i="1"/>
  <c r="G1677" i="1"/>
  <c r="J1676" i="1"/>
  <c r="G1676" i="1"/>
  <c r="J1675" i="1"/>
  <c r="G1675" i="1"/>
  <c r="J1674" i="1"/>
  <c r="G1674" i="1"/>
  <c r="J1673" i="1"/>
  <c r="G1673" i="1"/>
  <c r="J1672" i="1"/>
  <c r="G1672" i="1"/>
  <c r="J1671" i="1"/>
  <c r="G1671" i="1"/>
  <c r="J1670" i="1"/>
  <c r="G1670" i="1"/>
  <c r="J1669" i="1"/>
  <c r="G1669" i="1"/>
  <c r="J1668" i="1"/>
  <c r="G1668" i="1"/>
  <c r="J1667" i="1"/>
  <c r="G1667" i="1"/>
  <c r="J1666" i="1"/>
  <c r="G1666" i="1"/>
  <c r="J1665" i="1"/>
  <c r="G1665" i="1"/>
  <c r="J1664" i="1"/>
  <c r="G1664" i="1"/>
  <c r="J1663" i="1"/>
  <c r="G1663" i="1"/>
  <c r="J1662" i="1"/>
  <c r="G1662" i="1"/>
  <c r="J1661" i="1"/>
  <c r="G1661" i="1"/>
  <c r="J1660" i="1"/>
  <c r="G1660" i="1"/>
  <c r="J1659" i="1"/>
  <c r="G1659" i="1"/>
  <c r="J1658" i="1"/>
  <c r="G1658" i="1"/>
  <c r="J1657" i="1"/>
  <c r="G1657" i="1"/>
  <c r="J1656" i="1"/>
  <c r="G1656" i="1"/>
  <c r="J1655" i="1"/>
  <c r="G1655" i="1"/>
  <c r="J1654" i="1"/>
  <c r="G1654" i="1"/>
  <c r="J1653" i="1"/>
  <c r="G1653" i="1"/>
  <c r="J1652" i="1"/>
  <c r="G1652" i="1"/>
  <c r="J1651" i="1"/>
  <c r="G1651" i="1"/>
  <c r="J1650" i="1"/>
  <c r="G1650" i="1"/>
  <c r="J1649" i="1"/>
  <c r="G1649" i="1"/>
  <c r="J1648" i="1"/>
  <c r="G1648" i="1"/>
  <c r="J1647" i="1"/>
  <c r="G1647" i="1"/>
  <c r="J1646" i="1"/>
  <c r="G1646" i="1"/>
  <c r="J1645" i="1"/>
  <c r="G1645" i="1"/>
  <c r="J1644" i="1"/>
  <c r="G1644" i="1"/>
  <c r="J1643" i="1"/>
  <c r="G1643" i="1"/>
  <c r="J1642" i="1"/>
  <c r="G1642" i="1"/>
  <c r="J1641" i="1"/>
  <c r="G1641" i="1"/>
  <c r="J1640" i="1"/>
  <c r="G1640" i="1"/>
  <c r="J1639" i="1"/>
  <c r="G1639" i="1"/>
  <c r="J1638" i="1"/>
  <c r="G1638" i="1"/>
  <c r="J1637" i="1"/>
  <c r="G1637" i="1"/>
  <c r="J1636" i="1"/>
  <c r="G1636" i="1"/>
  <c r="J1635" i="1"/>
  <c r="G1635" i="1"/>
  <c r="J1634" i="1"/>
  <c r="G1634" i="1"/>
  <c r="J1633" i="1"/>
  <c r="G1633" i="1"/>
  <c r="J1632" i="1"/>
  <c r="G1632" i="1"/>
  <c r="J1631" i="1"/>
  <c r="G1631" i="1"/>
  <c r="J1630" i="1"/>
  <c r="G1630" i="1"/>
  <c r="J1629" i="1"/>
  <c r="G1629" i="1"/>
  <c r="J1628" i="1"/>
  <c r="G1628" i="1"/>
  <c r="J1627" i="1"/>
  <c r="G1627" i="1"/>
  <c r="J1626" i="1"/>
  <c r="G1626" i="1"/>
  <c r="J1625" i="1"/>
  <c r="G1625" i="1"/>
  <c r="J1624" i="1"/>
  <c r="G1624" i="1"/>
  <c r="J1623" i="1"/>
  <c r="G1623" i="1"/>
  <c r="J1622" i="1"/>
  <c r="G1622" i="1"/>
  <c r="J1621" i="1"/>
  <c r="G1621" i="1"/>
  <c r="J1620" i="1"/>
  <c r="G1620" i="1"/>
  <c r="J1619" i="1"/>
  <c r="G1619" i="1"/>
  <c r="J1618" i="1"/>
  <c r="G1618" i="1"/>
  <c r="J1617" i="1"/>
  <c r="G1617" i="1"/>
  <c r="J1616" i="1"/>
  <c r="G1616" i="1"/>
  <c r="J1615" i="1"/>
  <c r="G1615" i="1"/>
  <c r="J1614" i="1"/>
  <c r="G1614" i="1"/>
  <c r="J1613" i="1"/>
  <c r="G1613" i="1"/>
  <c r="J1612" i="1"/>
  <c r="G1612" i="1"/>
  <c r="J1611" i="1"/>
  <c r="G1611" i="1"/>
  <c r="J1610" i="1"/>
  <c r="G1610" i="1"/>
  <c r="J1609" i="1"/>
  <c r="G1609" i="1"/>
  <c r="J1608" i="1"/>
  <c r="G1608" i="1"/>
  <c r="J1607" i="1"/>
  <c r="G1607" i="1"/>
  <c r="J1606" i="1"/>
  <c r="G1606" i="1"/>
  <c r="J1605" i="1"/>
  <c r="G1605" i="1"/>
  <c r="J1604" i="1"/>
  <c r="G1604" i="1"/>
  <c r="J1603" i="1"/>
  <c r="G1603" i="1"/>
  <c r="J1602" i="1"/>
  <c r="G1602" i="1"/>
  <c r="J1601" i="1"/>
  <c r="G1601" i="1"/>
  <c r="J1600" i="1"/>
  <c r="G1600" i="1"/>
  <c r="J1599" i="1"/>
  <c r="G1599" i="1"/>
  <c r="J1598" i="1"/>
  <c r="G1598" i="1"/>
  <c r="J1597" i="1"/>
  <c r="G1597" i="1"/>
  <c r="J1596" i="1"/>
  <c r="G1596" i="1"/>
  <c r="J1595" i="1"/>
  <c r="G1595" i="1"/>
  <c r="J1594" i="1"/>
  <c r="G1594" i="1"/>
  <c r="J1593" i="1"/>
  <c r="G1593" i="1"/>
  <c r="J1592" i="1"/>
  <c r="G1592" i="1"/>
  <c r="J1591" i="1"/>
  <c r="G1591" i="1"/>
  <c r="J1590" i="1"/>
  <c r="G1590" i="1"/>
  <c r="J1589" i="1"/>
  <c r="G1589" i="1"/>
  <c r="J1588" i="1"/>
  <c r="G1588" i="1"/>
  <c r="J1587" i="1"/>
  <c r="G1587" i="1"/>
  <c r="J1586" i="1"/>
  <c r="G1586" i="1"/>
  <c r="J1585" i="1"/>
  <c r="G1585" i="1"/>
  <c r="J1584" i="1"/>
  <c r="G1584" i="1"/>
  <c r="J1583" i="1"/>
  <c r="G1583" i="1"/>
  <c r="J1582" i="1"/>
  <c r="G1582" i="1"/>
  <c r="J1581" i="1"/>
  <c r="G1581" i="1"/>
  <c r="J1580" i="1"/>
  <c r="G1580" i="1"/>
  <c r="J1579" i="1"/>
  <c r="G1579" i="1"/>
  <c r="J1578" i="1"/>
  <c r="G1578" i="1"/>
  <c r="J1577" i="1"/>
  <c r="G1577" i="1"/>
  <c r="J1576" i="1"/>
  <c r="G1576" i="1"/>
  <c r="J1575" i="1"/>
  <c r="G1575" i="1"/>
  <c r="J1574" i="1"/>
  <c r="G1574" i="1"/>
  <c r="J1573" i="1"/>
  <c r="G1573" i="1"/>
  <c r="J1572" i="1"/>
  <c r="G1572" i="1"/>
  <c r="J1571" i="1"/>
  <c r="G1571" i="1"/>
  <c r="J1570" i="1"/>
  <c r="G1570" i="1"/>
  <c r="J1569" i="1"/>
  <c r="G1569" i="1"/>
  <c r="J1568" i="1"/>
  <c r="G1568" i="1"/>
  <c r="J1567" i="1"/>
  <c r="G1567" i="1"/>
  <c r="J1566" i="1"/>
  <c r="G1566" i="1"/>
  <c r="J1565" i="1"/>
  <c r="G1565" i="1"/>
  <c r="J1564" i="1"/>
  <c r="G1564" i="1"/>
  <c r="J1563" i="1"/>
  <c r="G1563" i="1"/>
  <c r="J1562" i="1"/>
  <c r="G1562" i="1"/>
  <c r="J1561" i="1"/>
  <c r="G1561" i="1"/>
  <c r="J1560" i="1"/>
  <c r="G1560" i="1"/>
  <c r="J1559" i="1"/>
  <c r="G1559" i="1"/>
  <c r="J1558" i="1"/>
  <c r="G1558" i="1"/>
  <c r="J1557" i="1"/>
  <c r="G1557" i="1"/>
  <c r="J1556" i="1"/>
  <c r="G1556" i="1"/>
  <c r="J1555" i="1"/>
  <c r="G1555" i="1"/>
  <c r="J1554" i="1"/>
  <c r="G1554" i="1"/>
  <c r="J1553" i="1"/>
  <c r="G1553" i="1"/>
  <c r="J1552" i="1"/>
  <c r="G1552" i="1"/>
  <c r="J1551" i="1"/>
  <c r="G1551" i="1"/>
  <c r="J1550" i="1"/>
  <c r="G1550" i="1"/>
  <c r="J1549" i="1"/>
  <c r="G1549" i="1"/>
  <c r="J1548" i="1"/>
  <c r="G1548" i="1"/>
  <c r="J1547" i="1"/>
  <c r="G1547" i="1"/>
  <c r="J1546" i="1"/>
  <c r="G1546" i="1"/>
  <c r="J1545" i="1"/>
  <c r="G1545" i="1"/>
  <c r="J1544" i="1"/>
  <c r="G1544" i="1"/>
  <c r="J1543" i="1"/>
  <c r="G1543" i="1"/>
  <c r="J1542" i="1"/>
  <c r="G1542" i="1"/>
  <c r="J1541" i="1"/>
  <c r="G1541" i="1"/>
  <c r="J1540" i="1"/>
  <c r="G1540" i="1"/>
  <c r="J1539" i="1"/>
  <c r="G1539" i="1"/>
  <c r="J1538" i="1"/>
  <c r="G1538" i="1"/>
  <c r="J1537" i="1"/>
  <c r="G1537" i="1"/>
  <c r="J1536" i="1"/>
  <c r="G1536" i="1"/>
  <c r="J1535" i="1"/>
  <c r="G1535" i="1"/>
  <c r="J1534" i="1"/>
  <c r="G1534" i="1"/>
  <c r="J1533" i="1"/>
  <c r="G1533" i="1"/>
  <c r="J1532" i="1"/>
  <c r="G1532" i="1"/>
  <c r="J1531" i="1"/>
  <c r="G1531" i="1"/>
  <c r="J1530" i="1"/>
  <c r="G1530" i="1"/>
  <c r="J1529" i="1"/>
  <c r="G1529" i="1"/>
  <c r="J1528" i="1"/>
  <c r="G1528" i="1"/>
  <c r="J1527" i="1"/>
  <c r="G1527" i="1"/>
  <c r="J1526" i="1"/>
  <c r="G1526" i="1"/>
  <c r="J1525" i="1"/>
  <c r="G1525" i="1"/>
  <c r="J1524" i="1"/>
  <c r="G1524" i="1"/>
  <c r="J1523" i="1"/>
  <c r="G1523" i="1"/>
  <c r="J1522" i="1"/>
  <c r="G1522" i="1"/>
  <c r="J1521" i="1"/>
  <c r="G1521" i="1"/>
  <c r="J1520" i="1"/>
  <c r="G1520" i="1"/>
  <c r="J1519" i="1"/>
  <c r="G1519" i="1"/>
  <c r="J1518" i="1"/>
  <c r="G1518" i="1"/>
  <c r="J1517" i="1"/>
  <c r="G1517" i="1"/>
  <c r="J1516" i="1"/>
  <c r="G1516" i="1"/>
  <c r="J1515" i="1"/>
  <c r="G1515" i="1"/>
  <c r="J1514" i="1"/>
  <c r="G1514" i="1"/>
  <c r="J1513" i="1"/>
  <c r="G1513" i="1"/>
  <c r="J1512" i="1"/>
  <c r="G1512" i="1"/>
  <c r="J1511" i="1"/>
  <c r="G1511" i="1"/>
  <c r="J1510" i="1"/>
  <c r="G1510" i="1"/>
  <c r="J1509" i="1"/>
  <c r="G1509" i="1"/>
  <c r="J1508" i="1"/>
  <c r="G1508" i="1"/>
  <c r="J1507" i="1"/>
  <c r="G1507" i="1"/>
  <c r="J1506" i="1"/>
  <c r="G1506" i="1"/>
  <c r="J1505" i="1"/>
  <c r="G1505" i="1"/>
  <c r="J1504" i="1"/>
  <c r="G1504" i="1"/>
  <c r="J1503" i="1"/>
  <c r="G1503" i="1"/>
  <c r="J1502" i="1"/>
  <c r="G1502" i="1"/>
  <c r="J1501" i="1"/>
  <c r="G1501" i="1"/>
  <c r="J1500" i="1"/>
  <c r="G1500" i="1"/>
  <c r="J1499" i="1"/>
  <c r="G1499" i="1"/>
  <c r="J1498" i="1"/>
  <c r="G1498" i="1"/>
  <c r="J1497" i="1"/>
  <c r="G1497" i="1"/>
  <c r="J1496" i="1"/>
  <c r="G1496" i="1"/>
  <c r="J1495" i="1"/>
  <c r="G1495" i="1"/>
  <c r="J1494" i="1"/>
  <c r="G1494" i="1"/>
  <c r="J1493" i="1"/>
  <c r="G1493" i="1"/>
  <c r="J1492" i="1"/>
  <c r="G1492" i="1"/>
  <c r="J1491" i="1"/>
  <c r="G1491" i="1"/>
  <c r="J1490" i="1"/>
  <c r="G1490" i="1"/>
  <c r="J1489" i="1"/>
  <c r="G1489" i="1"/>
  <c r="J1488" i="1"/>
  <c r="G1488" i="1"/>
  <c r="J1487" i="1"/>
  <c r="G1487" i="1"/>
  <c r="J1486" i="1"/>
  <c r="G1486" i="1"/>
  <c r="J1485" i="1"/>
  <c r="G1485" i="1"/>
  <c r="J1484" i="1"/>
  <c r="G1484" i="1"/>
  <c r="J1483" i="1"/>
  <c r="G1483" i="1"/>
  <c r="J1482" i="1"/>
  <c r="G1482" i="1"/>
  <c r="J1481" i="1"/>
  <c r="G1481" i="1"/>
  <c r="J1480" i="1"/>
  <c r="G1480" i="1"/>
  <c r="J1479" i="1"/>
  <c r="G1479" i="1"/>
  <c r="J1478" i="1"/>
  <c r="G1478" i="1"/>
  <c r="J1477" i="1"/>
  <c r="G1477" i="1"/>
  <c r="J1476" i="1"/>
  <c r="G1476" i="1"/>
  <c r="J1475" i="1"/>
  <c r="G1475" i="1"/>
  <c r="J1474" i="1"/>
  <c r="G1474" i="1"/>
  <c r="J1473" i="1"/>
  <c r="G1473" i="1"/>
  <c r="J1472" i="1"/>
  <c r="G1472" i="1"/>
  <c r="J1471" i="1"/>
  <c r="G1471" i="1"/>
  <c r="J1470" i="1"/>
  <c r="G1470" i="1"/>
  <c r="J1469" i="1"/>
  <c r="G1469" i="1"/>
  <c r="J1468" i="1"/>
  <c r="G1468" i="1"/>
  <c r="J1467" i="1"/>
  <c r="G1467" i="1"/>
  <c r="J1466" i="1"/>
  <c r="G1466" i="1"/>
  <c r="J1465" i="1"/>
  <c r="G1465" i="1"/>
  <c r="J1464" i="1"/>
  <c r="G1464" i="1"/>
  <c r="J1463" i="1"/>
  <c r="G1463" i="1"/>
  <c r="J1462" i="1"/>
  <c r="G1462" i="1"/>
  <c r="J1461" i="1"/>
  <c r="G1461" i="1"/>
  <c r="J1460" i="1"/>
  <c r="G1460" i="1"/>
  <c r="J1459" i="1"/>
  <c r="G1459" i="1"/>
  <c r="J1458" i="1"/>
  <c r="G1458" i="1"/>
  <c r="J1457" i="1"/>
  <c r="G1457" i="1"/>
  <c r="J1456" i="1"/>
  <c r="G1456" i="1"/>
  <c r="J1455" i="1"/>
  <c r="G1455" i="1"/>
  <c r="J1454" i="1"/>
  <c r="G1454" i="1"/>
  <c r="J1453" i="1"/>
  <c r="G1453" i="1"/>
  <c r="J1452" i="1"/>
  <c r="G1452" i="1"/>
  <c r="J1451" i="1"/>
  <c r="G1451" i="1"/>
  <c r="J1450" i="1"/>
  <c r="G1450" i="1"/>
  <c r="J1449" i="1"/>
  <c r="G1449" i="1"/>
  <c r="J1448" i="1"/>
  <c r="G1448" i="1"/>
  <c r="J1447" i="1"/>
  <c r="G1447" i="1"/>
  <c r="J1446" i="1"/>
  <c r="G1446" i="1"/>
  <c r="J1445" i="1"/>
  <c r="G1445" i="1"/>
  <c r="J1444" i="1"/>
  <c r="G1444" i="1"/>
  <c r="J1443" i="1"/>
  <c r="G1443" i="1"/>
  <c r="J1442" i="1"/>
  <c r="G1442" i="1"/>
  <c r="J1441" i="1"/>
  <c r="G1441" i="1"/>
  <c r="J1440" i="1"/>
  <c r="G1440" i="1"/>
  <c r="J1439" i="1"/>
  <c r="G1439" i="1"/>
  <c r="J1438" i="1"/>
  <c r="G1438" i="1"/>
  <c r="J1437" i="1"/>
  <c r="G1437" i="1"/>
  <c r="J1436" i="1"/>
  <c r="G1436" i="1"/>
  <c r="J1435" i="1"/>
  <c r="G1435" i="1"/>
  <c r="J1434" i="1"/>
  <c r="G1434" i="1"/>
  <c r="J1433" i="1"/>
  <c r="G1433" i="1"/>
  <c r="J1432" i="1"/>
  <c r="G1432" i="1"/>
  <c r="J1431" i="1"/>
  <c r="G1431" i="1"/>
  <c r="J1430" i="1"/>
  <c r="G1430" i="1"/>
  <c r="J1429" i="1"/>
  <c r="G1429" i="1"/>
  <c r="J1428" i="1"/>
  <c r="G1428" i="1"/>
  <c r="J1427" i="1"/>
  <c r="G1427" i="1"/>
  <c r="J1426" i="1"/>
  <c r="G1426" i="1"/>
  <c r="J1425" i="1"/>
  <c r="G1425" i="1"/>
  <c r="J1424" i="1"/>
  <c r="G1424" i="1"/>
  <c r="J1423" i="1"/>
  <c r="G1423" i="1"/>
  <c r="J1422" i="1"/>
  <c r="G1422" i="1"/>
  <c r="J1421" i="1"/>
  <c r="G1421" i="1"/>
  <c r="J1420" i="1"/>
  <c r="G1420" i="1"/>
  <c r="J1419" i="1"/>
  <c r="G1419" i="1"/>
  <c r="J1418" i="1"/>
  <c r="G1418" i="1"/>
  <c r="J1417" i="1"/>
  <c r="G1417" i="1"/>
  <c r="J1416" i="1"/>
  <c r="G1416" i="1"/>
  <c r="J1415" i="1"/>
  <c r="G1415" i="1"/>
  <c r="J1414" i="1"/>
  <c r="G1414" i="1"/>
  <c r="J1413" i="1"/>
  <c r="G1413" i="1"/>
  <c r="J1412" i="1"/>
  <c r="G1412" i="1"/>
  <c r="J1411" i="1"/>
  <c r="G1411" i="1"/>
  <c r="J1410" i="1"/>
  <c r="G1410" i="1"/>
  <c r="J1409" i="1"/>
  <c r="G1409" i="1"/>
  <c r="J1408" i="1"/>
  <c r="G1408" i="1"/>
  <c r="J1407" i="1"/>
  <c r="G1407" i="1"/>
  <c r="J1406" i="1"/>
  <c r="G1406" i="1"/>
  <c r="J1405" i="1"/>
  <c r="G1405" i="1"/>
  <c r="J1404" i="1"/>
  <c r="G1404" i="1"/>
  <c r="J1403" i="1"/>
  <c r="G1403" i="1"/>
  <c r="J1402" i="1"/>
  <c r="G1402" i="1"/>
  <c r="J1401" i="1"/>
  <c r="G1401" i="1"/>
  <c r="J1400" i="1"/>
  <c r="G1400" i="1"/>
  <c r="J1399" i="1"/>
  <c r="G1399" i="1"/>
  <c r="J1398" i="1"/>
  <c r="G1398" i="1"/>
  <c r="J1397" i="1"/>
  <c r="G1397" i="1"/>
  <c r="J1396" i="1"/>
  <c r="G1396" i="1"/>
  <c r="J1395" i="1"/>
  <c r="G1395" i="1"/>
  <c r="J1394" i="1"/>
  <c r="G1394" i="1"/>
  <c r="J1393" i="1"/>
  <c r="G1393" i="1"/>
  <c r="J1392" i="1"/>
  <c r="G1392" i="1"/>
  <c r="J1391" i="1"/>
  <c r="G1391" i="1"/>
  <c r="J1390" i="1"/>
  <c r="G1390" i="1"/>
  <c r="J1389" i="1"/>
  <c r="G1389" i="1"/>
  <c r="J1388" i="1"/>
  <c r="G1388" i="1"/>
  <c r="J1387" i="1"/>
  <c r="G1387" i="1"/>
  <c r="J1386" i="1"/>
  <c r="G1386" i="1"/>
  <c r="J1385" i="1"/>
  <c r="G1385" i="1"/>
  <c r="J1384" i="1"/>
  <c r="G1384" i="1"/>
  <c r="J1383" i="1"/>
  <c r="G1383" i="1"/>
  <c r="J1382" i="1"/>
  <c r="G1382" i="1"/>
  <c r="J1381" i="1"/>
  <c r="G1381" i="1"/>
  <c r="J1380" i="1"/>
  <c r="G1380" i="1"/>
  <c r="J1379" i="1"/>
  <c r="G1379" i="1"/>
  <c r="J1378" i="1"/>
  <c r="G1378" i="1"/>
  <c r="J1377" i="1"/>
  <c r="G1377" i="1"/>
  <c r="J1376" i="1"/>
  <c r="G1376" i="1"/>
  <c r="J1375" i="1"/>
  <c r="G1375" i="1"/>
  <c r="J1374" i="1"/>
  <c r="G1374" i="1"/>
  <c r="J1373" i="1"/>
  <c r="G1373" i="1"/>
  <c r="J1372" i="1"/>
  <c r="G1372" i="1"/>
  <c r="J1371" i="1"/>
  <c r="G1371" i="1"/>
  <c r="J1370" i="1"/>
  <c r="G1370" i="1"/>
  <c r="J1369" i="1"/>
  <c r="G1369" i="1"/>
  <c r="J1368" i="1"/>
  <c r="G1368" i="1"/>
  <c r="J1367" i="1"/>
  <c r="G1367" i="1"/>
  <c r="J1366" i="1"/>
  <c r="G1366" i="1"/>
  <c r="J1365" i="1"/>
  <c r="G1365" i="1"/>
  <c r="J1364" i="1"/>
  <c r="G1364" i="1"/>
  <c r="J1363" i="1"/>
  <c r="G1363" i="1"/>
  <c r="J1362" i="1"/>
  <c r="G1362" i="1"/>
  <c r="J1361" i="1"/>
  <c r="G1361" i="1"/>
  <c r="J1360" i="1"/>
  <c r="G1360" i="1"/>
  <c r="J1359" i="1"/>
  <c r="G1359" i="1"/>
  <c r="J1358" i="1"/>
  <c r="G1358" i="1"/>
  <c r="J1357" i="1"/>
  <c r="G1357" i="1"/>
  <c r="J1356" i="1"/>
  <c r="G1356" i="1"/>
  <c r="J1355" i="1"/>
  <c r="G1355" i="1"/>
  <c r="J1354" i="1"/>
  <c r="G1354" i="1"/>
  <c r="J1353" i="1"/>
  <c r="G1353" i="1"/>
  <c r="J1352" i="1"/>
  <c r="G1352" i="1"/>
  <c r="J1351" i="1"/>
  <c r="G1351" i="1"/>
  <c r="J1350" i="1"/>
  <c r="G1350" i="1"/>
  <c r="J1349" i="1"/>
  <c r="G1349" i="1"/>
  <c r="J1348" i="1"/>
  <c r="G1348" i="1"/>
  <c r="J1347" i="1"/>
  <c r="G1347" i="1"/>
  <c r="J1346" i="1"/>
  <c r="G1346" i="1"/>
  <c r="J1345" i="1"/>
  <c r="G1345" i="1"/>
  <c r="J1344" i="1"/>
  <c r="G1344" i="1"/>
  <c r="J1343" i="1"/>
  <c r="G1343" i="1"/>
  <c r="J1342" i="1"/>
  <c r="G1342" i="1"/>
  <c r="J1341" i="1"/>
  <c r="G1341" i="1"/>
  <c r="J1340" i="1"/>
  <c r="G1340" i="1"/>
  <c r="J1339" i="1"/>
  <c r="G1339" i="1"/>
  <c r="J1338" i="1"/>
  <c r="G1338" i="1"/>
  <c r="J1337" i="1"/>
  <c r="G1337" i="1"/>
  <c r="J1336" i="1"/>
  <c r="G1336" i="1"/>
  <c r="J1335" i="1"/>
  <c r="G1335" i="1"/>
  <c r="J1334" i="1"/>
  <c r="G1334" i="1"/>
  <c r="J1333" i="1"/>
  <c r="G1333" i="1"/>
  <c r="J1332" i="1"/>
  <c r="G1332" i="1"/>
  <c r="J1331" i="1"/>
  <c r="G1331" i="1"/>
  <c r="J1330" i="1"/>
  <c r="G1330" i="1"/>
  <c r="J1329" i="1"/>
  <c r="G1329" i="1"/>
  <c r="J1328" i="1"/>
  <c r="G1328" i="1"/>
  <c r="J1327" i="1"/>
  <c r="G1327" i="1"/>
  <c r="J1326" i="1"/>
  <c r="G1326" i="1"/>
  <c r="J1325" i="1"/>
  <c r="G1325" i="1"/>
  <c r="J1324" i="1"/>
  <c r="G1324" i="1"/>
  <c r="J1323" i="1"/>
  <c r="G1323" i="1"/>
  <c r="J1322" i="1"/>
  <c r="G1322" i="1"/>
  <c r="J1321" i="1"/>
  <c r="G1321" i="1"/>
  <c r="J1320" i="1"/>
  <c r="G1320" i="1"/>
  <c r="J1319" i="1"/>
  <c r="G1319" i="1"/>
  <c r="J1318" i="1"/>
  <c r="G1318" i="1"/>
  <c r="J1317" i="1"/>
  <c r="G1317" i="1"/>
  <c r="J1316" i="1"/>
  <c r="G1316" i="1"/>
  <c r="J1315" i="1"/>
  <c r="G1315" i="1"/>
  <c r="J1314" i="1"/>
  <c r="G1314" i="1"/>
  <c r="J1313" i="1"/>
  <c r="G1313" i="1"/>
  <c r="J1312" i="1"/>
  <c r="G1312" i="1"/>
  <c r="J1311" i="1"/>
  <c r="G1311" i="1"/>
  <c r="J1310" i="1"/>
  <c r="G1310" i="1"/>
  <c r="J1309" i="1"/>
  <c r="G1309" i="1"/>
  <c r="J1308" i="1"/>
  <c r="G1308" i="1"/>
  <c r="J1307" i="1"/>
  <c r="G1307" i="1"/>
  <c r="J1306" i="1"/>
  <c r="G1306" i="1"/>
  <c r="J1305" i="1"/>
  <c r="G1305" i="1"/>
  <c r="J1304" i="1"/>
  <c r="G1304" i="1"/>
  <c r="J1303" i="1"/>
  <c r="G1303" i="1"/>
  <c r="J1302" i="1"/>
  <c r="G1302" i="1"/>
  <c r="J1301" i="1"/>
  <c r="G1301" i="1"/>
  <c r="J1300" i="1"/>
  <c r="G1300" i="1"/>
  <c r="J1299" i="1"/>
  <c r="G1299" i="1"/>
  <c r="J1298" i="1"/>
  <c r="G1298" i="1"/>
  <c r="J1297" i="1"/>
  <c r="G1297" i="1"/>
  <c r="J1296" i="1"/>
  <c r="G1296" i="1"/>
  <c r="J1295" i="1"/>
  <c r="G1295" i="1"/>
  <c r="J1294" i="1"/>
  <c r="G1294" i="1"/>
  <c r="J1293" i="1"/>
  <c r="G1293" i="1"/>
  <c r="J1292" i="1"/>
  <c r="G1292" i="1"/>
  <c r="J1291" i="1"/>
  <c r="G1291" i="1"/>
  <c r="J1290" i="1"/>
  <c r="G1290" i="1"/>
  <c r="J1289" i="1"/>
  <c r="G1289" i="1"/>
  <c r="J1288" i="1"/>
  <c r="G1288" i="1"/>
  <c r="J1287" i="1"/>
  <c r="G1287" i="1"/>
  <c r="J1286" i="1"/>
  <c r="G1286" i="1"/>
  <c r="J1285" i="1"/>
  <c r="G1285" i="1"/>
  <c r="J1284" i="1"/>
  <c r="G1284" i="1"/>
  <c r="J1283" i="1"/>
  <c r="G1283" i="1"/>
  <c r="J1282" i="1"/>
  <c r="G1282" i="1"/>
  <c r="J1281" i="1"/>
  <c r="G1281" i="1"/>
  <c r="J1280" i="1"/>
  <c r="G1280" i="1"/>
  <c r="J1279" i="1"/>
  <c r="G1279" i="1"/>
  <c r="J1278" i="1"/>
  <c r="G1278" i="1"/>
  <c r="J1277" i="1"/>
  <c r="G1277" i="1"/>
  <c r="J1276" i="1"/>
  <c r="G1276" i="1"/>
  <c r="J1275" i="1"/>
  <c r="G1275" i="1"/>
  <c r="J1274" i="1"/>
  <c r="G1274" i="1"/>
  <c r="J1273" i="1"/>
  <c r="G1273" i="1"/>
  <c r="J1272" i="1"/>
  <c r="G1272" i="1"/>
  <c r="J1271" i="1"/>
  <c r="G1271" i="1"/>
  <c r="J1270" i="1"/>
  <c r="G1270" i="1"/>
  <c r="J1269" i="1"/>
  <c r="G1269" i="1"/>
  <c r="J1268" i="1"/>
  <c r="G1268" i="1"/>
  <c r="J1267" i="1"/>
  <c r="G1267" i="1"/>
  <c r="J1266" i="1"/>
  <c r="G1266" i="1"/>
  <c r="J1265" i="1"/>
  <c r="G1265" i="1"/>
  <c r="J1264" i="1"/>
  <c r="G1264" i="1"/>
  <c r="J1263" i="1"/>
  <c r="G1263" i="1"/>
  <c r="J1262" i="1"/>
  <c r="G1262" i="1"/>
  <c r="J1261" i="1"/>
  <c r="G1261" i="1"/>
  <c r="J1260" i="1"/>
  <c r="G1260" i="1"/>
  <c r="J1259" i="1"/>
  <c r="G1259" i="1"/>
  <c r="J1258" i="1"/>
  <c r="G1258" i="1"/>
  <c r="J1257" i="1"/>
  <c r="G1257" i="1"/>
  <c r="J1256" i="1"/>
  <c r="G1256" i="1"/>
  <c r="J1255" i="1"/>
  <c r="G1255" i="1"/>
  <c r="J1254" i="1"/>
  <c r="G1254" i="1"/>
  <c r="J1253" i="1"/>
  <c r="G1253" i="1"/>
  <c r="J1252" i="1"/>
  <c r="G1252" i="1"/>
  <c r="J1251" i="1"/>
  <c r="G1251" i="1"/>
  <c r="J1250" i="1"/>
  <c r="G1250" i="1"/>
  <c r="J1249" i="1"/>
  <c r="G1249" i="1"/>
  <c r="J1248" i="1"/>
  <c r="G1248" i="1"/>
  <c r="J1247" i="1"/>
  <c r="G1247" i="1"/>
  <c r="J1246" i="1"/>
  <c r="G1246" i="1"/>
  <c r="J1245" i="1"/>
  <c r="G1245" i="1"/>
  <c r="J1244" i="1"/>
  <c r="G1244" i="1"/>
  <c r="J1243" i="1"/>
  <c r="G1243" i="1"/>
  <c r="J1242" i="1"/>
  <c r="G1242" i="1"/>
  <c r="J1241" i="1"/>
  <c r="G1241" i="1"/>
  <c r="J1240" i="1"/>
  <c r="G1240" i="1"/>
  <c r="J1239" i="1"/>
  <c r="G1239" i="1"/>
  <c r="J1238" i="1"/>
  <c r="G1238" i="1"/>
  <c r="J1237" i="1"/>
  <c r="G1237" i="1"/>
  <c r="J1236" i="1"/>
  <c r="G1236" i="1"/>
  <c r="J1235" i="1"/>
  <c r="G1235" i="1"/>
  <c r="J1234" i="1"/>
  <c r="G1234" i="1"/>
  <c r="J1233" i="1"/>
  <c r="G1233" i="1"/>
  <c r="J1232" i="1"/>
  <c r="G1232" i="1"/>
  <c r="J1231" i="1"/>
  <c r="G1231" i="1"/>
  <c r="J1230" i="1"/>
  <c r="G1230" i="1"/>
  <c r="J1229" i="1"/>
  <c r="G1229" i="1"/>
  <c r="J1228" i="1"/>
  <c r="G1228" i="1"/>
  <c r="J1227" i="1"/>
  <c r="G1227" i="1"/>
  <c r="J1226" i="1"/>
  <c r="G1226" i="1"/>
  <c r="J1225" i="1"/>
  <c r="G1225" i="1"/>
  <c r="J1224" i="1"/>
  <c r="G1224" i="1"/>
  <c r="J1223" i="1"/>
  <c r="G1223" i="1"/>
  <c r="J1222" i="1"/>
  <c r="G1222" i="1"/>
  <c r="J1221" i="1"/>
  <c r="G1221" i="1"/>
  <c r="J1220" i="1"/>
  <c r="G1220" i="1"/>
  <c r="J1219" i="1"/>
  <c r="G1219" i="1"/>
  <c r="J1218" i="1"/>
  <c r="G1218" i="1"/>
  <c r="J1217" i="1"/>
  <c r="G1217" i="1"/>
  <c r="J1216" i="1"/>
  <c r="G1216" i="1"/>
  <c r="J1215" i="1"/>
  <c r="G1215" i="1"/>
  <c r="J1214" i="1"/>
  <c r="G1214" i="1"/>
  <c r="J1213" i="1"/>
  <c r="G1213" i="1"/>
  <c r="J1212" i="1"/>
  <c r="G1212" i="1"/>
  <c r="J1211" i="1"/>
  <c r="G1211" i="1"/>
  <c r="J1210" i="1"/>
  <c r="G1210" i="1"/>
  <c r="J1209" i="1"/>
  <c r="G1209" i="1"/>
  <c r="J1208" i="1"/>
  <c r="G1208" i="1"/>
  <c r="J1207" i="1"/>
  <c r="G1207" i="1"/>
  <c r="J1206" i="1"/>
  <c r="G1206" i="1"/>
  <c r="J1205" i="1"/>
  <c r="G1205" i="1"/>
  <c r="J1204" i="1"/>
  <c r="G1204" i="1"/>
  <c r="J1203" i="1"/>
  <c r="G1203" i="1"/>
  <c r="J1202" i="1"/>
  <c r="G1202" i="1"/>
  <c r="J1201" i="1"/>
  <c r="G1201" i="1"/>
  <c r="J1200" i="1"/>
  <c r="G1200" i="1"/>
  <c r="J1199" i="1"/>
  <c r="G1199" i="1"/>
  <c r="J1198" i="1"/>
  <c r="G1198" i="1"/>
  <c r="J1197" i="1"/>
  <c r="G1197" i="1"/>
  <c r="J1196" i="1"/>
  <c r="G1196" i="1"/>
  <c r="J1195" i="1"/>
  <c r="G1195" i="1"/>
  <c r="J1194" i="1"/>
  <c r="G1194" i="1"/>
  <c r="J1193" i="1"/>
  <c r="G1193" i="1"/>
  <c r="J1192" i="1"/>
  <c r="G1192" i="1"/>
  <c r="J1191" i="1"/>
  <c r="G1191" i="1"/>
  <c r="J1190" i="1"/>
  <c r="G1190" i="1"/>
  <c r="J1189" i="1"/>
  <c r="G1189" i="1"/>
  <c r="J1188" i="1"/>
  <c r="G1188" i="1"/>
  <c r="J1187" i="1"/>
  <c r="G1187" i="1"/>
  <c r="J1186" i="1"/>
  <c r="G1186" i="1"/>
  <c r="J1185" i="1"/>
  <c r="G1185" i="1"/>
  <c r="J1184" i="1"/>
  <c r="G1184" i="1"/>
  <c r="J1183" i="1"/>
  <c r="G1183" i="1"/>
  <c r="J1182" i="1"/>
  <c r="G1182" i="1"/>
  <c r="J1181" i="1"/>
  <c r="G1181" i="1"/>
  <c r="J1180" i="1"/>
  <c r="G1180" i="1"/>
  <c r="J1179" i="1"/>
  <c r="G1179" i="1"/>
  <c r="J1178" i="1"/>
  <c r="G1178" i="1"/>
  <c r="J1177" i="1"/>
  <c r="G1177" i="1"/>
  <c r="J1176" i="1"/>
  <c r="G1176" i="1"/>
  <c r="J1175" i="1"/>
  <c r="G1175" i="1"/>
  <c r="J1174" i="1"/>
  <c r="G1174" i="1"/>
  <c r="J1173" i="1"/>
  <c r="G1173" i="1"/>
  <c r="J1172" i="1"/>
  <c r="G1172" i="1"/>
  <c r="J1171" i="1"/>
  <c r="G1171" i="1"/>
  <c r="J1170" i="1"/>
  <c r="G1170" i="1"/>
  <c r="J1169" i="1"/>
  <c r="G1169" i="1"/>
  <c r="J1168" i="1"/>
  <c r="G1168" i="1"/>
  <c r="J1167" i="1"/>
  <c r="G1167" i="1"/>
  <c r="J1166" i="1"/>
  <c r="G1166" i="1"/>
  <c r="J1165" i="1"/>
  <c r="G1165" i="1"/>
  <c r="J1164" i="1"/>
  <c r="G1164" i="1"/>
  <c r="J1163" i="1"/>
  <c r="G1163" i="1"/>
  <c r="J1162" i="1"/>
  <c r="G1162" i="1"/>
  <c r="J1161" i="1"/>
  <c r="G1161" i="1"/>
  <c r="J1160" i="1"/>
  <c r="G1160" i="1"/>
  <c r="J1159" i="1"/>
  <c r="G1159" i="1"/>
  <c r="J1158" i="1"/>
  <c r="G1158" i="1"/>
  <c r="J1157" i="1"/>
  <c r="G1157" i="1"/>
  <c r="J1156" i="1"/>
  <c r="G1156" i="1"/>
  <c r="J1155" i="1"/>
  <c r="G1155" i="1"/>
  <c r="J1154" i="1"/>
  <c r="G1154" i="1"/>
  <c r="J1153" i="1"/>
  <c r="G1153" i="1"/>
  <c r="J1152" i="1"/>
  <c r="G1152" i="1"/>
  <c r="J1151" i="1"/>
  <c r="G1151" i="1"/>
  <c r="J1150" i="1"/>
  <c r="G1150" i="1"/>
  <c r="J1149" i="1"/>
  <c r="G1149" i="1"/>
  <c r="J1148" i="1"/>
  <c r="G1148" i="1"/>
  <c r="J1147" i="1"/>
  <c r="G1147" i="1"/>
  <c r="J1146" i="1"/>
  <c r="G1146" i="1"/>
  <c r="J1145" i="1"/>
  <c r="G1145" i="1"/>
  <c r="J1144" i="1"/>
  <c r="G1144" i="1"/>
  <c r="J1143" i="1"/>
  <c r="G1143" i="1"/>
  <c r="J1142" i="1"/>
  <c r="G1142" i="1"/>
  <c r="J1141" i="1"/>
  <c r="G1141" i="1"/>
  <c r="J1140" i="1"/>
  <c r="G1140" i="1"/>
  <c r="J1139" i="1"/>
  <c r="G1139" i="1"/>
  <c r="J1138" i="1"/>
  <c r="G1138" i="1"/>
  <c r="J1137" i="1"/>
  <c r="G1137" i="1"/>
  <c r="J1136" i="1"/>
  <c r="G1136" i="1"/>
  <c r="J1135" i="1"/>
  <c r="G1135" i="1"/>
  <c r="J1134" i="1"/>
  <c r="G1134" i="1"/>
  <c r="J1133" i="1"/>
  <c r="G1133" i="1"/>
  <c r="J1132" i="1"/>
  <c r="G1132" i="1"/>
  <c r="J1131" i="1"/>
  <c r="G1131" i="1"/>
  <c r="J1130" i="1"/>
  <c r="G1130" i="1"/>
  <c r="J1129" i="1"/>
  <c r="G1129" i="1"/>
  <c r="J1128" i="1"/>
  <c r="G1128" i="1"/>
  <c r="J1127" i="1"/>
  <c r="G1127" i="1"/>
  <c r="J1126" i="1"/>
  <c r="G1126" i="1"/>
  <c r="J1125" i="1"/>
  <c r="G1125" i="1"/>
  <c r="J1124" i="1"/>
  <c r="G1124" i="1"/>
  <c r="J1123" i="1"/>
  <c r="G1123" i="1"/>
  <c r="J1122" i="1"/>
  <c r="G1122" i="1"/>
  <c r="J1121" i="1"/>
  <c r="G1121" i="1"/>
  <c r="J1120" i="1"/>
  <c r="G1120" i="1"/>
  <c r="J1119" i="1"/>
  <c r="G1119" i="1"/>
  <c r="J1118" i="1"/>
  <c r="G1118" i="1"/>
  <c r="J1117" i="1"/>
  <c r="G1117" i="1"/>
  <c r="J1116" i="1"/>
  <c r="G1116" i="1"/>
  <c r="J1115" i="1"/>
  <c r="G1115" i="1"/>
  <c r="J1114" i="1"/>
  <c r="G1114" i="1"/>
  <c r="J1113" i="1"/>
  <c r="G1113" i="1"/>
  <c r="J1112" i="1"/>
  <c r="G1112" i="1"/>
  <c r="J1111" i="1"/>
  <c r="G1111" i="1"/>
  <c r="J1110" i="1"/>
  <c r="G1110" i="1"/>
  <c r="J1109" i="1"/>
  <c r="G1109" i="1"/>
  <c r="J1108" i="1"/>
  <c r="G1108" i="1"/>
  <c r="J1107" i="1"/>
  <c r="G1107" i="1"/>
  <c r="J1106" i="1"/>
  <c r="G1106" i="1"/>
  <c r="J1105" i="1"/>
  <c r="G1105" i="1"/>
  <c r="J1104" i="1"/>
  <c r="G1104" i="1"/>
  <c r="J1103" i="1"/>
  <c r="G1103" i="1"/>
  <c r="J1102" i="1"/>
  <c r="G1102" i="1"/>
  <c r="J1101" i="1"/>
  <c r="G1101" i="1"/>
  <c r="J1100" i="1"/>
  <c r="G1100" i="1"/>
  <c r="J1099" i="1"/>
  <c r="G1099" i="1"/>
  <c r="J1098" i="1"/>
  <c r="G1098" i="1"/>
  <c r="J1097" i="1"/>
  <c r="G1097" i="1"/>
  <c r="J1096" i="1"/>
  <c r="G1096" i="1"/>
  <c r="J1095" i="1"/>
  <c r="G1095" i="1"/>
  <c r="J1094" i="1"/>
  <c r="G1094" i="1"/>
  <c r="J1093" i="1"/>
  <c r="G1093" i="1"/>
  <c r="J1092" i="1"/>
  <c r="G1092" i="1"/>
  <c r="J1091" i="1"/>
  <c r="G1091" i="1"/>
  <c r="J1090" i="1"/>
  <c r="G1090" i="1"/>
  <c r="J1089" i="1"/>
  <c r="G1089" i="1"/>
  <c r="J1088" i="1"/>
  <c r="G1088" i="1"/>
  <c r="J1087" i="1"/>
  <c r="G1087" i="1"/>
  <c r="J1086" i="1"/>
  <c r="G1086" i="1"/>
  <c r="J1085" i="1"/>
  <c r="G1085" i="1"/>
  <c r="J1084" i="1"/>
  <c r="G1084" i="1"/>
  <c r="J1083" i="1"/>
  <c r="G1083" i="1"/>
  <c r="J1082" i="1"/>
  <c r="G1082" i="1"/>
  <c r="J1081" i="1"/>
  <c r="G1081" i="1"/>
  <c r="J1080" i="1"/>
  <c r="G1080" i="1"/>
  <c r="J1079" i="1"/>
  <c r="G1079" i="1"/>
  <c r="J1078" i="1"/>
  <c r="G1078" i="1"/>
  <c r="J1077" i="1"/>
  <c r="G1077" i="1"/>
  <c r="J1076" i="1"/>
  <c r="G1076" i="1"/>
  <c r="J1075" i="1"/>
  <c r="G1075" i="1"/>
  <c r="J1074" i="1"/>
  <c r="G1074" i="1"/>
  <c r="J1073" i="1"/>
  <c r="G1073" i="1"/>
  <c r="J1072" i="1"/>
  <c r="G1072" i="1"/>
  <c r="J1071" i="1"/>
  <c r="G1071" i="1"/>
  <c r="J1070" i="1"/>
  <c r="G1070" i="1"/>
  <c r="J1069" i="1"/>
  <c r="G1069" i="1"/>
  <c r="J1068" i="1"/>
  <c r="G1068" i="1"/>
  <c r="J1067" i="1"/>
  <c r="G1067" i="1"/>
  <c r="J1066" i="1"/>
  <c r="G1066" i="1"/>
  <c r="J1065" i="1"/>
  <c r="G1065" i="1"/>
  <c r="J1064" i="1"/>
  <c r="G1064" i="1"/>
  <c r="J1063" i="1"/>
  <c r="G1063" i="1"/>
  <c r="J1062" i="1"/>
  <c r="G1062" i="1"/>
  <c r="J1061" i="1"/>
  <c r="G1061" i="1"/>
  <c r="J1060" i="1"/>
  <c r="G1060" i="1"/>
  <c r="J1059" i="1"/>
  <c r="G1059" i="1"/>
  <c r="J1058" i="1"/>
  <c r="G1058" i="1"/>
  <c r="J1057" i="1"/>
  <c r="G1057" i="1"/>
  <c r="J1056" i="1"/>
  <c r="G1056" i="1"/>
  <c r="J1055" i="1"/>
  <c r="G1055" i="1"/>
  <c r="J1054" i="1"/>
  <c r="G1054" i="1"/>
  <c r="J1053" i="1"/>
  <c r="G1053" i="1"/>
  <c r="J1052" i="1"/>
  <c r="G1052" i="1"/>
  <c r="J1051" i="1"/>
  <c r="G1051" i="1"/>
  <c r="J1050" i="1"/>
  <c r="G1050" i="1"/>
  <c r="J1049" i="1"/>
  <c r="G1049" i="1"/>
  <c r="J1048" i="1"/>
  <c r="G1048" i="1"/>
  <c r="J1047" i="1"/>
  <c r="G1047" i="1"/>
  <c r="J1046" i="1"/>
  <c r="G1046" i="1"/>
  <c r="J1045" i="1"/>
  <c r="G1045" i="1"/>
  <c r="J1044" i="1"/>
  <c r="G1044" i="1"/>
  <c r="J1043" i="1"/>
  <c r="G1043" i="1"/>
  <c r="J1042" i="1"/>
  <c r="G1042" i="1"/>
  <c r="J1041" i="1"/>
  <c r="G1041" i="1"/>
  <c r="J1040" i="1"/>
  <c r="G1040" i="1"/>
  <c r="J1039" i="1"/>
  <c r="G1039" i="1"/>
  <c r="J1038" i="1"/>
  <c r="G1038" i="1"/>
  <c r="J1037" i="1"/>
  <c r="G1037" i="1"/>
  <c r="J1036" i="1"/>
  <c r="G1036" i="1"/>
  <c r="J1035" i="1"/>
  <c r="G1035" i="1"/>
  <c r="J1034" i="1"/>
  <c r="G1034" i="1"/>
  <c r="J1033" i="1"/>
  <c r="G1033" i="1"/>
  <c r="J1032" i="1"/>
  <c r="G1032" i="1"/>
  <c r="J1031" i="1"/>
  <c r="G1031" i="1"/>
  <c r="J1030" i="1"/>
  <c r="G1030" i="1"/>
  <c r="J1029" i="1"/>
  <c r="G1029" i="1"/>
  <c r="J1028" i="1"/>
  <c r="G1028" i="1"/>
  <c r="J1027" i="1"/>
  <c r="G1027" i="1"/>
  <c r="J1026" i="1"/>
  <c r="G1026" i="1"/>
  <c r="J1025" i="1"/>
  <c r="G1025" i="1"/>
  <c r="J1024" i="1"/>
  <c r="G1024" i="1"/>
  <c r="J1023" i="1"/>
  <c r="G1023" i="1"/>
  <c r="J1022" i="1"/>
  <c r="G1022" i="1"/>
  <c r="J1021" i="1"/>
  <c r="G1021" i="1"/>
  <c r="J1020" i="1"/>
  <c r="G1020" i="1"/>
  <c r="J1019" i="1"/>
  <c r="G1019" i="1"/>
  <c r="J1018" i="1"/>
  <c r="G1018" i="1"/>
  <c r="J1017" i="1"/>
  <c r="G1017" i="1"/>
  <c r="J1016" i="1"/>
  <c r="G1016" i="1"/>
  <c r="J1015" i="1"/>
  <c r="G1015" i="1"/>
  <c r="J1014" i="1"/>
  <c r="G1014" i="1"/>
  <c r="J1013" i="1"/>
  <c r="G1013" i="1"/>
  <c r="J1012" i="1"/>
  <c r="G1012" i="1"/>
  <c r="J1011" i="1"/>
  <c r="G1011" i="1"/>
  <c r="J1010" i="1"/>
  <c r="G1010" i="1"/>
  <c r="J1009" i="1"/>
  <c r="G1009" i="1"/>
  <c r="J1008" i="1"/>
  <c r="G1008" i="1"/>
  <c r="J1007" i="1"/>
  <c r="G1007" i="1"/>
  <c r="J1006" i="1"/>
  <c r="G1006" i="1"/>
  <c r="J1005" i="1"/>
  <c r="G1005" i="1"/>
  <c r="J1004" i="1"/>
  <c r="G1004" i="1"/>
  <c r="J1003" i="1"/>
  <c r="G1003" i="1"/>
  <c r="J1002" i="1"/>
  <c r="G1002" i="1"/>
  <c r="J1001" i="1"/>
  <c r="G1001" i="1"/>
  <c r="J1000" i="1"/>
  <c r="G1000" i="1"/>
  <c r="J999" i="1"/>
  <c r="G999" i="1"/>
  <c r="J998" i="1"/>
  <c r="G998" i="1"/>
  <c r="J997" i="1"/>
  <c r="G997" i="1"/>
  <c r="J996" i="1"/>
  <c r="G996" i="1"/>
  <c r="J995" i="1"/>
  <c r="G995" i="1"/>
  <c r="J994" i="1"/>
  <c r="G994" i="1"/>
  <c r="J993" i="1"/>
  <c r="G993" i="1"/>
  <c r="J992" i="1"/>
  <c r="G992" i="1"/>
  <c r="J991" i="1"/>
  <c r="G991" i="1"/>
  <c r="J990" i="1"/>
  <c r="G990" i="1"/>
  <c r="J989" i="1"/>
  <c r="G989" i="1"/>
  <c r="J988" i="1"/>
  <c r="G988" i="1"/>
  <c r="J987" i="1"/>
  <c r="G987" i="1"/>
  <c r="J986" i="1"/>
  <c r="G986" i="1"/>
  <c r="J985" i="1"/>
  <c r="G985" i="1"/>
  <c r="J984" i="1"/>
  <c r="G984" i="1"/>
  <c r="J983" i="1"/>
  <c r="G983" i="1"/>
  <c r="J982" i="1"/>
  <c r="G982" i="1"/>
  <c r="J981" i="1"/>
  <c r="G981" i="1"/>
  <c r="J980" i="1"/>
  <c r="G980" i="1"/>
  <c r="J979" i="1"/>
  <c r="G979" i="1"/>
  <c r="J978" i="1"/>
  <c r="G978" i="1"/>
  <c r="J977" i="1"/>
  <c r="G977" i="1"/>
  <c r="J976" i="1"/>
  <c r="G976" i="1"/>
  <c r="J975" i="1"/>
  <c r="G975" i="1"/>
  <c r="J974" i="1"/>
  <c r="G974" i="1"/>
  <c r="J973" i="1"/>
  <c r="G973" i="1"/>
  <c r="J972" i="1"/>
  <c r="G972" i="1"/>
  <c r="J971" i="1"/>
  <c r="G971" i="1"/>
  <c r="J970" i="1"/>
  <c r="G970" i="1"/>
  <c r="J969" i="1"/>
  <c r="G969" i="1"/>
  <c r="J968" i="1"/>
  <c r="G968" i="1"/>
  <c r="J967" i="1"/>
  <c r="G967" i="1"/>
  <c r="J966" i="1"/>
  <c r="G966" i="1"/>
  <c r="J965" i="1"/>
  <c r="G965" i="1"/>
  <c r="J964" i="1"/>
  <c r="G964" i="1"/>
  <c r="J963" i="1"/>
  <c r="G963" i="1"/>
  <c r="J962" i="1"/>
  <c r="G962" i="1"/>
  <c r="J961" i="1"/>
  <c r="G961" i="1"/>
  <c r="J960" i="1"/>
  <c r="G960" i="1"/>
  <c r="J959" i="1"/>
  <c r="G959" i="1"/>
  <c r="J958" i="1"/>
  <c r="G958" i="1"/>
  <c r="J957" i="1"/>
  <c r="G957" i="1"/>
  <c r="J956" i="1"/>
  <c r="G956" i="1"/>
  <c r="J955" i="1"/>
  <c r="G955" i="1"/>
  <c r="J954" i="1"/>
  <c r="G954" i="1"/>
  <c r="J953" i="1"/>
  <c r="G953" i="1"/>
  <c r="J952" i="1"/>
  <c r="G952" i="1"/>
  <c r="J951" i="1"/>
  <c r="G951" i="1"/>
  <c r="J950" i="1"/>
  <c r="G950" i="1"/>
  <c r="J949" i="1"/>
  <c r="G949" i="1"/>
  <c r="J948" i="1"/>
  <c r="G948" i="1"/>
  <c r="J947" i="1"/>
  <c r="G947" i="1"/>
  <c r="J946" i="1"/>
  <c r="G946" i="1"/>
  <c r="J945" i="1"/>
  <c r="G945" i="1"/>
  <c r="J944" i="1"/>
  <c r="G944" i="1"/>
  <c r="J943" i="1"/>
  <c r="G943" i="1"/>
  <c r="J942" i="1"/>
  <c r="G942" i="1"/>
  <c r="J941" i="1"/>
  <c r="G941" i="1"/>
  <c r="J940" i="1"/>
  <c r="G940" i="1"/>
  <c r="J939" i="1"/>
  <c r="G939" i="1"/>
  <c r="J938" i="1"/>
  <c r="G938" i="1"/>
  <c r="J937" i="1"/>
  <c r="G937" i="1"/>
  <c r="J936" i="1"/>
  <c r="G936" i="1"/>
  <c r="J935" i="1"/>
  <c r="G935" i="1"/>
  <c r="J934" i="1"/>
  <c r="G934" i="1"/>
  <c r="J933" i="1"/>
  <c r="G933" i="1"/>
  <c r="J932" i="1"/>
  <c r="G932" i="1"/>
  <c r="J931" i="1"/>
  <c r="G931" i="1"/>
  <c r="J930" i="1"/>
  <c r="G930" i="1"/>
  <c r="J929" i="1"/>
  <c r="G929" i="1"/>
  <c r="J928" i="1"/>
  <c r="G928" i="1"/>
  <c r="J927" i="1"/>
  <c r="G927" i="1"/>
  <c r="J926" i="1"/>
  <c r="G926" i="1"/>
  <c r="J925" i="1"/>
  <c r="G925" i="1"/>
  <c r="J924" i="1"/>
  <c r="G924" i="1"/>
  <c r="J923" i="1"/>
  <c r="G923" i="1"/>
  <c r="J922" i="1"/>
  <c r="G922" i="1"/>
  <c r="J921" i="1"/>
  <c r="G921" i="1"/>
  <c r="J920" i="1"/>
  <c r="G920" i="1"/>
  <c r="J919" i="1"/>
  <c r="G919" i="1"/>
  <c r="J918" i="1"/>
  <c r="G918" i="1"/>
  <c r="J917" i="1"/>
  <c r="G917" i="1"/>
  <c r="J916" i="1"/>
  <c r="G916" i="1"/>
  <c r="J915" i="1"/>
  <c r="G915" i="1"/>
  <c r="J914" i="1"/>
  <c r="G914" i="1"/>
  <c r="J913" i="1"/>
  <c r="G913" i="1"/>
  <c r="J912" i="1"/>
  <c r="G912" i="1"/>
  <c r="J911" i="1"/>
  <c r="G911" i="1"/>
  <c r="J910" i="1"/>
  <c r="G910" i="1"/>
  <c r="J909" i="1"/>
  <c r="G909" i="1"/>
  <c r="J908" i="1"/>
  <c r="G908" i="1"/>
  <c r="J907" i="1"/>
  <c r="G907" i="1"/>
  <c r="J906" i="1"/>
  <c r="G906" i="1"/>
  <c r="J905" i="1"/>
  <c r="G905" i="1"/>
  <c r="J904" i="1"/>
  <c r="G904" i="1"/>
  <c r="J903" i="1"/>
  <c r="G903" i="1"/>
  <c r="J902" i="1"/>
  <c r="G902" i="1"/>
  <c r="J901" i="1"/>
  <c r="G901" i="1"/>
  <c r="J900" i="1"/>
  <c r="G900" i="1"/>
  <c r="J899" i="1"/>
  <c r="G899" i="1"/>
  <c r="J898" i="1"/>
  <c r="G898" i="1"/>
  <c r="J897" i="1"/>
  <c r="G897" i="1"/>
  <c r="J896" i="1"/>
  <c r="G896" i="1"/>
  <c r="J895" i="1"/>
  <c r="G895" i="1"/>
  <c r="J894" i="1"/>
  <c r="G894" i="1"/>
  <c r="J893" i="1"/>
  <c r="G893" i="1"/>
  <c r="J892" i="1"/>
  <c r="G892" i="1"/>
  <c r="J891" i="1"/>
  <c r="G891" i="1"/>
  <c r="J890" i="1"/>
  <c r="G890" i="1"/>
  <c r="J889" i="1"/>
  <c r="G889" i="1"/>
  <c r="J888" i="1"/>
  <c r="G888" i="1"/>
  <c r="J887" i="1"/>
  <c r="G887" i="1"/>
  <c r="J886" i="1"/>
  <c r="G886" i="1"/>
  <c r="J885" i="1"/>
  <c r="G885" i="1"/>
  <c r="J884" i="1"/>
  <c r="G884" i="1"/>
  <c r="J883" i="1"/>
  <c r="G883" i="1"/>
  <c r="J882" i="1"/>
  <c r="G882" i="1"/>
  <c r="J881" i="1"/>
  <c r="G881" i="1"/>
  <c r="J880" i="1"/>
  <c r="G880" i="1"/>
  <c r="J879" i="1"/>
  <c r="G879" i="1"/>
  <c r="J878" i="1"/>
  <c r="G878" i="1"/>
  <c r="J877" i="1"/>
  <c r="G877" i="1"/>
  <c r="J876" i="1"/>
  <c r="G876" i="1"/>
  <c r="J875" i="1"/>
  <c r="G875" i="1"/>
  <c r="J874" i="1"/>
  <c r="G874" i="1"/>
  <c r="J873" i="1"/>
  <c r="G873" i="1"/>
  <c r="J872" i="1"/>
  <c r="G872" i="1"/>
  <c r="J871" i="1"/>
  <c r="G871" i="1"/>
  <c r="J870" i="1"/>
  <c r="G870" i="1"/>
  <c r="J869" i="1"/>
  <c r="G869" i="1"/>
  <c r="J868" i="1"/>
  <c r="G868" i="1"/>
  <c r="J867" i="1"/>
  <c r="G867" i="1"/>
  <c r="J866" i="1"/>
  <c r="G866" i="1"/>
  <c r="J865" i="1"/>
  <c r="G865" i="1"/>
  <c r="J864" i="1"/>
  <c r="G864" i="1"/>
  <c r="J863" i="1"/>
  <c r="G863" i="1"/>
  <c r="J862" i="1"/>
  <c r="G862" i="1"/>
  <c r="J861" i="1"/>
  <c r="G861" i="1"/>
  <c r="J860" i="1"/>
  <c r="G860" i="1"/>
  <c r="J859" i="1"/>
  <c r="G859" i="1"/>
  <c r="J858" i="1"/>
  <c r="G858" i="1"/>
  <c r="J857" i="1"/>
  <c r="G857" i="1"/>
  <c r="J856" i="1"/>
  <c r="G856" i="1"/>
  <c r="J855" i="1"/>
  <c r="G855" i="1"/>
  <c r="J854" i="1"/>
  <c r="G854" i="1"/>
  <c r="J853" i="1"/>
  <c r="G853" i="1"/>
  <c r="J852" i="1"/>
  <c r="G852" i="1"/>
  <c r="J851" i="1"/>
  <c r="G851" i="1"/>
  <c r="J850" i="1"/>
  <c r="G850" i="1"/>
  <c r="J849" i="1"/>
  <c r="G849" i="1"/>
  <c r="J848" i="1"/>
  <c r="G848" i="1"/>
  <c r="J847" i="1"/>
  <c r="G847" i="1"/>
  <c r="J846" i="1"/>
  <c r="G846" i="1"/>
  <c r="J845" i="1"/>
  <c r="G845" i="1"/>
  <c r="J844" i="1"/>
  <c r="G844" i="1"/>
  <c r="J843" i="1"/>
  <c r="G843" i="1"/>
  <c r="J842" i="1"/>
  <c r="G842" i="1"/>
  <c r="J841" i="1"/>
  <c r="G841" i="1"/>
  <c r="J840" i="1"/>
  <c r="G840" i="1"/>
  <c r="J839" i="1"/>
  <c r="G839" i="1"/>
  <c r="J838" i="1"/>
  <c r="G838" i="1"/>
  <c r="J837" i="1"/>
  <c r="G837" i="1"/>
  <c r="J836" i="1"/>
  <c r="G836" i="1"/>
  <c r="J835" i="1"/>
  <c r="G835" i="1"/>
  <c r="J834" i="1"/>
  <c r="G834" i="1"/>
  <c r="J833" i="1"/>
  <c r="G833" i="1"/>
  <c r="J832" i="1"/>
  <c r="G832" i="1"/>
  <c r="J831" i="1"/>
  <c r="G831" i="1"/>
  <c r="J830" i="1"/>
  <c r="G830" i="1"/>
  <c r="J829" i="1"/>
  <c r="G829" i="1"/>
  <c r="J828" i="1"/>
  <c r="G828" i="1"/>
  <c r="J827" i="1"/>
  <c r="G827" i="1"/>
  <c r="J826" i="1"/>
  <c r="G826" i="1"/>
  <c r="J825" i="1"/>
  <c r="G825" i="1"/>
  <c r="J824" i="1"/>
  <c r="G824" i="1"/>
  <c r="J823" i="1"/>
  <c r="G823" i="1"/>
  <c r="J822" i="1"/>
  <c r="G822" i="1"/>
  <c r="J821" i="1"/>
  <c r="G821" i="1"/>
  <c r="J820" i="1"/>
  <c r="G820" i="1"/>
  <c r="J819" i="1"/>
  <c r="G819" i="1"/>
  <c r="J818" i="1"/>
  <c r="G818" i="1"/>
  <c r="J817" i="1"/>
  <c r="G817" i="1"/>
  <c r="J816" i="1"/>
  <c r="G816" i="1"/>
  <c r="J815" i="1"/>
  <c r="G815" i="1"/>
  <c r="J814" i="1"/>
  <c r="G814" i="1"/>
  <c r="J813" i="1"/>
  <c r="G813" i="1"/>
  <c r="J812" i="1"/>
  <c r="G812" i="1"/>
  <c r="J811" i="1"/>
  <c r="G811" i="1"/>
  <c r="J810" i="1"/>
  <c r="G810" i="1"/>
  <c r="J809" i="1"/>
  <c r="G809" i="1"/>
  <c r="J808" i="1"/>
  <c r="G808" i="1"/>
  <c r="J807" i="1"/>
  <c r="G807" i="1"/>
  <c r="J806" i="1"/>
  <c r="G806" i="1"/>
  <c r="J805" i="1"/>
  <c r="G805" i="1"/>
  <c r="J804" i="1"/>
  <c r="G804" i="1"/>
  <c r="J803" i="1"/>
  <c r="G803" i="1"/>
  <c r="J802" i="1"/>
  <c r="G802" i="1"/>
  <c r="J801" i="1"/>
  <c r="G801" i="1"/>
  <c r="J800" i="1"/>
  <c r="G800" i="1"/>
  <c r="J799" i="1"/>
  <c r="G799" i="1"/>
  <c r="J798" i="1"/>
  <c r="G798" i="1"/>
  <c r="J797" i="1"/>
  <c r="G797" i="1"/>
  <c r="J796" i="1"/>
  <c r="G796" i="1"/>
  <c r="J795" i="1"/>
  <c r="G795" i="1"/>
  <c r="J794" i="1"/>
  <c r="G794" i="1"/>
  <c r="J793" i="1"/>
  <c r="G793" i="1"/>
  <c r="J792" i="1"/>
  <c r="G792" i="1"/>
  <c r="J791" i="1"/>
  <c r="G791" i="1"/>
  <c r="J790" i="1"/>
  <c r="G790" i="1"/>
  <c r="J789" i="1"/>
  <c r="G789" i="1"/>
  <c r="J788" i="1"/>
  <c r="G788" i="1"/>
  <c r="J787" i="1"/>
  <c r="G787" i="1"/>
  <c r="J786" i="1"/>
  <c r="G786" i="1"/>
  <c r="J785" i="1"/>
  <c r="G785" i="1"/>
  <c r="J784" i="1"/>
  <c r="G784" i="1"/>
  <c r="J783" i="1"/>
  <c r="G783" i="1"/>
  <c r="J782" i="1"/>
  <c r="G782" i="1"/>
  <c r="J781" i="1"/>
  <c r="G781" i="1"/>
  <c r="J780" i="1"/>
  <c r="G780" i="1"/>
  <c r="J779" i="1"/>
  <c r="G779" i="1"/>
  <c r="J778" i="1"/>
  <c r="G778" i="1"/>
  <c r="J777" i="1"/>
  <c r="G777" i="1"/>
  <c r="J776" i="1"/>
  <c r="G776" i="1"/>
  <c r="J775" i="1"/>
  <c r="G775" i="1"/>
  <c r="J774" i="1"/>
  <c r="G774" i="1"/>
  <c r="J773" i="1"/>
  <c r="G773" i="1"/>
  <c r="J772" i="1"/>
  <c r="G772" i="1"/>
  <c r="J771" i="1"/>
  <c r="G771" i="1"/>
  <c r="J770" i="1"/>
  <c r="G770" i="1"/>
  <c r="J769" i="1"/>
  <c r="G769" i="1"/>
  <c r="J768" i="1"/>
  <c r="G768" i="1"/>
  <c r="J767" i="1"/>
  <c r="G767" i="1"/>
  <c r="J766" i="1"/>
  <c r="G766" i="1"/>
  <c r="J765" i="1"/>
  <c r="G765" i="1"/>
  <c r="J764" i="1"/>
  <c r="G764" i="1"/>
  <c r="J763" i="1"/>
  <c r="G763" i="1"/>
  <c r="J762" i="1"/>
  <c r="G762" i="1"/>
  <c r="J761" i="1"/>
  <c r="G761" i="1"/>
  <c r="J760" i="1"/>
  <c r="G760" i="1"/>
  <c r="J759" i="1"/>
  <c r="G759" i="1"/>
  <c r="J758" i="1"/>
  <c r="G758" i="1"/>
  <c r="J757" i="1"/>
  <c r="G757" i="1"/>
  <c r="J756" i="1"/>
  <c r="G756" i="1"/>
  <c r="J755" i="1"/>
  <c r="G755" i="1"/>
  <c r="J754" i="1"/>
  <c r="G754" i="1"/>
  <c r="J753" i="1"/>
  <c r="G753" i="1"/>
  <c r="J752" i="1"/>
  <c r="G752" i="1"/>
  <c r="J751" i="1"/>
  <c r="G751" i="1"/>
  <c r="J750" i="1"/>
  <c r="G750" i="1"/>
  <c r="J749" i="1"/>
  <c r="G749" i="1"/>
  <c r="J748" i="1"/>
  <c r="G748" i="1"/>
  <c r="J747" i="1"/>
  <c r="G747" i="1"/>
  <c r="J746" i="1"/>
  <c r="G746" i="1"/>
  <c r="J745" i="1"/>
  <c r="G745" i="1"/>
  <c r="J744" i="1"/>
  <c r="G744" i="1"/>
  <c r="J743" i="1"/>
  <c r="G743" i="1"/>
  <c r="J742" i="1"/>
  <c r="G742" i="1"/>
  <c r="J741" i="1"/>
  <c r="G741" i="1"/>
  <c r="J740" i="1"/>
  <c r="G740" i="1"/>
  <c r="J739" i="1"/>
  <c r="G739" i="1"/>
  <c r="J738" i="1"/>
  <c r="G738" i="1"/>
  <c r="J737" i="1"/>
  <c r="G737" i="1"/>
  <c r="J736" i="1"/>
  <c r="G736" i="1"/>
  <c r="J735" i="1"/>
  <c r="G735" i="1"/>
  <c r="J734" i="1"/>
  <c r="G734" i="1"/>
  <c r="J733" i="1"/>
  <c r="G733" i="1"/>
  <c r="J732" i="1"/>
  <c r="G732" i="1"/>
  <c r="J731" i="1"/>
  <c r="G731" i="1"/>
  <c r="J730" i="1"/>
  <c r="G730" i="1"/>
  <c r="J729" i="1"/>
  <c r="G729" i="1"/>
  <c r="J728" i="1"/>
  <c r="G728" i="1"/>
  <c r="J727" i="1"/>
  <c r="G727" i="1"/>
  <c r="J726" i="1"/>
  <c r="G726" i="1"/>
  <c r="J725" i="1"/>
  <c r="G725" i="1"/>
  <c r="J724" i="1"/>
  <c r="G724" i="1"/>
  <c r="J723" i="1"/>
  <c r="G723" i="1"/>
  <c r="J722" i="1"/>
  <c r="G722" i="1"/>
  <c r="J721" i="1"/>
  <c r="G721" i="1"/>
  <c r="J720" i="1"/>
  <c r="G720" i="1"/>
  <c r="J719" i="1"/>
  <c r="G719" i="1"/>
  <c r="J718" i="1"/>
  <c r="G718" i="1"/>
  <c r="J717" i="1"/>
  <c r="G717" i="1"/>
  <c r="J716" i="1"/>
  <c r="G716" i="1"/>
  <c r="J715" i="1"/>
  <c r="G715" i="1"/>
  <c r="J714" i="1"/>
  <c r="G714" i="1"/>
  <c r="J713" i="1"/>
  <c r="G713" i="1"/>
  <c r="J712" i="1"/>
  <c r="G712" i="1"/>
  <c r="J711" i="1"/>
  <c r="G711" i="1"/>
  <c r="J710" i="1"/>
  <c r="G710" i="1"/>
  <c r="J709" i="1"/>
  <c r="G709" i="1"/>
  <c r="J708" i="1"/>
  <c r="G708" i="1"/>
  <c r="J707" i="1"/>
  <c r="G707" i="1"/>
  <c r="J706" i="1"/>
  <c r="G706" i="1"/>
  <c r="J705" i="1"/>
  <c r="G705" i="1"/>
  <c r="J704" i="1"/>
  <c r="G704" i="1"/>
  <c r="J703" i="1"/>
  <c r="G703" i="1"/>
  <c r="J702" i="1"/>
  <c r="G702" i="1"/>
  <c r="J701" i="1"/>
  <c r="G701" i="1"/>
  <c r="J700" i="1"/>
  <c r="G700" i="1"/>
  <c r="J699" i="1"/>
  <c r="G699" i="1"/>
  <c r="J698" i="1"/>
  <c r="G698" i="1"/>
  <c r="J697" i="1"/>
  <c r="G697" i="1"/>
  <c r="J696" i="1"/>
  <c r="G696" i="1"/>
  <c r="J695" i="1"/>
  <c r="G695" i="1"/>
  <c r="J694" i="1"/>
  <c r="G694" i="1"/>
  <c r="J693" i="1"/>
  <c r="G693" i="1"/>
  <c r="J692" i="1"/>
  <c r="G692" i="1"/>
  <c r="J691" i="1"/>
  <c r="G691" i="1"/>
  <c r="J690" i="1"/>
  <c r="G690" i="1"/>
  <c r="J689" i="1"/>
  <c r="G689" i="1"/>
  <c r="J688" i="1"/>
  <c r="G688" i="1"/>
  <c r="J687" i="1"/>
  <c r="G687" i="1"/>
  <c r="J686" i="1"/>
  <c r="G686" i="1"/>
  <c r="J685" i="1"/>
  <c r="G685" i="1"/>
  <c r="J684" i="1"/>
  <c r="G684" i="1"/>
  <c r="J683" i="1"/>
  <c r="G683" i="1"/>
  <c r="J682" i="1"/>
  <c r="G682" i="1"/>
  <c r="J681" i="1"/>
  <c r="G681" i="1"/>
  <c r="J680" i="1"/>
  <c r="G680" i="1"/>
  <c r="J679" i="1"/>
  <c r="G679" i="1"/>
  <c r="J678" i="1"/>
  <c r="G678" i="1"/>
  <c r="J677" i="1"/>
  <c r="G677" i="1"/>
  <c r="J676" i="1"/>
  <c r="G676" i="1"/>
  <c r="J675" i="1"/>
  <c r="G675" i="1"/>
  <c r="J674" i="1"/>
  <c r="G674" i="1"/>
  <c r="J673" i="1"/>
  <c r="G673" i="1"/>
  <c r="J672" i="1"/>
  <c r="G672" i="1"/>
  <c r="J671" i="1"/>
  <c r="G671" i="1"/>
  <c r="J670" i="1"/>
  <c r="G670" i="1"/>
  <c r="J669" i="1"/>
  <c r="G669" i="1"/>
  <c r="J668" i="1"/>
  <c r="G668" i="1"/>
  <c r="J667" i="1"/>
  <c r="G667" i="1"/>
  <c r="J666" i="1"/>
  <c r="G666" i="1"/>
  <c r="J665" i="1"/>
  <c r="G665" i="1"/>
  <c r="J664" i="1"/>
  <c r="G664" i="1"/>
  <c r="J663" i="1"/>
  <c r="G663" i="1"/>
  <c r="J662" i="1"/>
  <c r="G662" i="1"/>
  <c r="J661" i="1"/>
  <c r="G661" i="1"/>
  <c r="J660" i="1"/>
  <c r="G660" i="1"/>
  <c r="J659" i="1"/>
  <c r="G659" i="1"/>
  <c r="J658" i="1"/>
  <c r="G658" i="1"/>
  <c r="J657" i="1"/>
  <c r="G657" i="1"/>
  <c r="J656" i="1"/>
  <c r="G656" i="1"/>
  <c r="J655" i="1"/>
  <c r="G655" i="1"/>
  <c r="J654" i="1"/>
  <c r="G654" i="1"/>
  <c r="J653" i="1"/>
  <c r="G653" i="1"/>
  <c r="J652" i="1"/>
  <c r="G652" i="1"/>
  <c r="J651" i="1"/>
  <c r="G651" i="1"/>
  <c r="J650" i="1"/>
  <c r="G650" i="1"/>
  <c r="J649" i="1"/>
  <c r="G649" i="1"/>
  <c r="J648" i="1"/>
  <c r="G648" i="1"/>
  <c r="J647" i="1"/>
  <c r="G647" i="1"/>
  <c r="J646" i="1"/>
  <c r="G646" i="1"/>
  <c r="J645" i="1"/>
  <c r="G645" i="1"/>
  <c r="J644" i="1"/>
  <c r="G644" i="1"/>
  <c r="J643" i="1"/>
  <c r="G643" i="1"/>
  <c r="J642" i="1"/>
  <c r="G642" i="1"/>
  <c r="J641" i="1"/>
  <c r="G641" i="1"/>
  <c r="J640" i="1"/>
  <c r="G640" i="1"/>
  <c r="J639" i="1"/>
  <c r="G639" i="1"/>
  <c r="J638" i="1"/>
  <c r="G638" i="1"/>
  <c r="J637" i="1"/>
  <c r="G637" i="1"/>
  <c r="J636" i="1"/>
  <c r="G636" i="1"/>
  <c r="J635" i="1"/>
  <c r="G635" i="1"/>
  <c r="J634" i="1"/>
  <c r="G634" i="1"/>
  <c r="J633" i="1"/>
  <c r="G633" i="1"/>
  <c r="J632" i="1"/>
  <c r="G632" i="1"/>
  <c r="J631" i="1"/>
  <c r="G631" i="1"/>
  <c r="J630" i="1"/>
  <c r="G630" i="1"/>
  <c r="J629" i="1"/>
  <c r="G629" i="1"/>
  <c r="J628" i="1"/>
  <c r="G628" i="1"/>
  <c r="J627" i="1"/>
  <c r="G627" i="1"/>
  <c r="J626" i="1"/>
  <c r="G626" i="1"/>
  <c r="J625" i="1"/>
  <c r="G625" i="1"/>
  <c r="J624" i="1"/>
  <c r="G624" i="1"/>
  <c r="J623" i="1"/>
  <c r="G623" i="1"/>
  <c r="J622" i="1"/>
  <c r="G622" i="1"/>
  <c r="J621" i="1"/>
  <c r="G621" i="1"/>
  <c r="J620" i="1"/>
  <c r="G620" i="1"/>
  <c r="J619" i="1"/>
  <c r="G619" i="1"/>
  <c r="J618" i="1"/>
  <c r="G618" i="1"/>
  <c r="J617" i="1"/>
  <c r="G617" i="1"/>
  <c r="J616" i="1"/>
  <c r="G616" i="1"/>
  <c r="J615" i="1"/>
  <c r="G615" i="1"/>
  <c r="J614" i="1"/>
  <c r="G614" i="1"/>
  <c r="J613" i="1"/>
  <c r="G613" i="1"/>
  <c r="J612" i="1"/>
  <c r="G612" i="1"/>
  <c r="J611" i="1"/>
  <c r="G611" i="1"/>
  <c r="J610" i="1"/>
  <c r="G610" i="1"/>
  <c r="J609" i="1"/>
  <c r="G609" i="1"/>
  <c r="J608" i="1"/>
  <c r="G608" i="1"/>
  <c r="J607" i="1"/>
  <c r="G607" i="1"/>
  <c r="J606" i="1"/>
  <c r="G606" i="1"/>
  <c r="J605" i="1"/>
  <c r="G605" i="1"/>
  <c r="J604" i="1"/>
  <c r="G604" i="1"/>
  <c r="J603" i="1"/>
  <c r="G603" i="1"/>
  <c r="J602" i="1"/>
  <c r="G602" i="1"/>
  <c r="J601" i="1"/>
  <c r="G601" i="1"/>
  <c r="J600" i="1"/>
  <c r="G600" i="1"/>
  <c r="J599" i="1"/>
  <c r="G599" i="1"/>
  <c r="J598" i="1"/>
  <c r="G598" i="1"/>
  <c r="J597" i="1"/>
  <c r="G597" i="1"/>
  <c r="J596" i="1"/>
  <c r="G596" i="1"/>
  <c r="J595" i="1"/>
  <c r="G595" i="1"/>
  <c r="J594" i="1"/>
  <c r="G594" i="1"/>
  <c r="J593" i="1"/>
  <c r="G593" i="1"/>
  <c r="J592" i="1"/>
  <c r="G592" i="1"/>
  <c r="J591" i="1"/>
  <c r="G591" i="1"/>
  <c r="J590" i="1"/>
  <c r="G590" i="1"/>
  <c r="J589" i="1"/>
  <c r="G589" i="1"/>
  <c r="J588" i="1"/>
  <c r="G588" i="1"/>
  <c r="J587" i="1"/>
  <c r="G587" i="1"/>
  <c r="J586" i="1"/>
  <c r="G586" i="1"/>
  <c r="J585" i="1"/>
  <c r="G585" i="1"/>
  <c r="J584" i="1"/>
  <c r="G584" i="1"/>
  <c r="J583" i="1"/>
  <c r="G583" i="1"/>
  <c r="J582" i="1"/>
  <c r="G582" i="1"/>
  <c r="J581" i="1"/>
  <c r="G581" i="1"/>
  <c r="J580" i="1"/>
  <c r="G580" i="1"/>
  <c r="J579" i="1"/>
  <c r="G579" i="1"/>
  <c r="J578" i="1"/>
  <c r="G578" i="1"/>
  <c r="J577" i="1"/>
  <c r="G577" i="1"/>
  <c r="J576" i="1"/>
  <c r="G576" i="1"/>
  <c r="J575" i="1"/>
  <c r="G575" i="1"/>
  <c r="J574" i="1"/>
  <c r="G574" i="1"/>
  <c r="J573" i="1"/>
  <c r="G573" i="1"/>
  <c r="J572" i="1"/>
  <c r="G572" i="1"/>
  <c r="J571" i="1"/>
  <c r="G571" i="1"/>
  <c r="J570" i="1"/>
  <c r="G570" i="1"/>
  <c r="J569" i="1"/>
  <c r="G569" i="1"/>
  <c r="J568" i="1"/>
  <c r="G568" i="1"/>
  <c r="J567" i="1"/>
  <c r="G567" i="1"/>
  <c r="J566" i="1"/>
  <c r="G566" i="1"/>
  <c r="J565" i="1"/>
  <c r="G565" i="1"/>
  <c r="J564" i="1"/>
  <c r="G564" i="1"/>
  <c r="J563" i="1"/>
  <c r="G563" i="1"/>
  <c r="J562" i="1"/>
  <c r="G562" i="1"/>
  <c r="J561" i="1"/>
  <c r="G561" i="1"/>
  <c r="J560" i="1"/>
  <c r="G560" i="1"/>
  <c r="J559" i="1"/>
  <c r="G559" i="1"/>
  <c r="J558" i="1"/>
  <c r="G558" i="1"/>
  <c r="J557" i="1"/>
  <c r="G557" i="1"/>
  <c r="J556" i="1"/>
  <c r="G556" i="1"/>
  <c r="J555" i="1"/>
  <c r="G555" i="1"/>
  <c r="J554" i="1"/>
  <c r="G554" i="1"/>
  <c r="J553" i="1"/>
  <c r="G553" i="1"/>
  <c r="J552" i="1"/>
  <c r="G552" i="1"/>
  <c r="J551" i="1"/>
  <c r="G551" i="1"/>
  <c r="J550" i="1"/>
  <c r="G550" i="1"/>
  <c r="J549" i="1"/>
  <c r="G549" i="1"/>
  <c r="J548" i="1"/>
  <c r="G548" i="1"/>
  <c r="J547" i="1"/>
  <c r="G547" i="1"/>
  <c r="J546" i="1"/>
  <c r="G546" i="1"/>
  <c r="J545" i="1"/>
  <c r="G545" i="1"/>
  <c r="J544" i="1"/>
  <c r="G544" i="1"/>
  <c r="J543" i="1"/>
  <c r="G543" i="1"/>
  <c r="J542" i="1"/>
  <c r="G542" i="1"/>
  <c r="J541" i="1"/>
  <c r="G541" i="1"/>
  <c r="J540" i="1"/>
  <c r="G540" i="1"/>
  <c r="J539" i="1"/>
  <c r="G539" i="1"/>
  <c r="J538" i="1"/>
  <c r="G538" i="1"/>
  <c r="J537" i="1"/>
  <c r="G537" i="1"/>
  <c r="J536" i="1"/>
  <c r="G536" i="1"/>
  <c r="J535" i="1"/>
  <c r="G535" i="1"/>
  <c r="J534" i="1"/>
  <c r="G534" i="1"/>
  <c r="J533" i="1"/>
  <c r="G533" i="1"/>
  <c r="J532" i="1"/>
  <c r="G532" i="1"/>
  <c r="J531" i="1"/>
  <c r="G531" i="1"/>
  <c r="J530" i="1"/>
  <c r="G530" i="1"/>
  <c r="J529" i="1"/>
  <c r="G529" i="1"/>
  <c r="J528" i="1"/>
  <c r="G528" i="1"/>
  <c r="J527" i="1"/>
  <c r="G527" i="1"/>
  <c r="J526" i="1"/>
  <c r="G526" i="1"/>
  <c r="J525" i="1"/>
  <c r="G525" i="1"/>
  <c r="J524" i="1"/>
  <c r="G524" i="1"/>
  <c r="J523" i="1"/>
  <c r="G523" i="1"/>
  <c r="J522" i="1"/>
  <c r="G522" i="1"/>
  <c r="J521" i="1"/>
  <c r="G521" i="1"/>
  <c r="J520" i="1"/>
  <c r="G520" i="1"/>
  <c r="J519" i="1"/>
  <c r="G519" i="1"/>
  <c r="J518" i="1"/>
  <c r="G518" i="1"/>
  <c r="J517" i="1"/>
  <c r="G517" i="1"/>
  <c r="J516" i="1"/>
  <c r="G516" i="1"/>
  <c r="J515" i="1"/>
  <c r="G515" i="1"/>
  <c r="J514" i="1"/>
  <c r="G514" i="1"/>
  <c r="J513" i="1"/>
  <c r="G513" i="1"/>
  <c r="J512" i="1"/>
  <c r="G512" i="1"/>
  <c r="J511" i="1"/>
  <c r="G511" i="1"/>
  <c r="J510" i="1"/>
  <c r="G510" i="1"/>
  <c r="J509" i="1"/>
  <c r="G509" i="1"/>
  <c r="J508" i="1"/>
  <c r="G508" i="1"/>
  <c r="J507" i="1"/>
  <c r="G507" i="1"/>
  <c r="J506" i="1"/>
  <c r="G506" i="1"/>
  <c r="J505" i="1"/>
  <c r="G505" i="1"/>
  <c r="J504" i="1"/>
  <c r="G504" i="1"/>
  <c r="J503" i="1"/>
  <c r="G503" i="1"/>
  <c r="J502" i="1"/>
  <c r="G502" i="1"/>
  <c r="J501" i="1"/>
  <c r="G501" i="1"/>
  <c r="J500" i="1"/>
  <c r="G500" i="1"/>
  <c r="J499" i="1"/>
  <c r="G499" i="1"/>
  <c r="J498" i="1"/>
  <c r="G498" i="1"/>
  <c r="J497" i="1"/>
  <c r="G497" i="1"/>
  <c r="J496" i="1"/>
  <c r="G496" i="1"/>
  <c r="J495" i="1"/>
  <c r="G495" i="1"/>
  <c r="J494" i="1"/>
  <c r="G494" i="1"/>
  <c r="J493" i="1"/>
  <c r="G493" i="1"/>
  <c r="J492" i="1"/>
  <c r="G492" i="1"/>
  <c r="J491" i="1"/>
  <c r="G491" i="1"/>
  <c r="J490" i="1"/>
  <c r="G490" i="1"/>
  <c r="J489" i="1"/>
  <c r="G489" i="1"/>
  <c r="J488" i="1"/>
  <c r="G488" i="1"/>
  <c r="J487" i="1"/>
  <c r="G487" i="1"/>
  <c r="J486" i="1"/>
  <c r="G486" i="1"/>
  <c r="J485" i="1"/>
  <c r="G485" i="1"/>
  <c r="J484" i="1"/>
  <c r="G484" i="1"/>
  <c r="J483" i="1"/>
  <c r="G483" i="1"/>
  <c r="J482" i="1"/>
  <c r="G482" i="1"/>
  <c r="J481" i="1"/>
  <c r="G481" i="1"/>
  <c r="J480" i="1"/>
  <c r="G480" i="1"/>
  <c r="J479" i="1"/>
  <c r="G479" i="1"/>
  <c r="J478" i="1"/>
  <c r="G478" i="1"/>
  <c r="J477" i="1"/>
  <c r="G477" i="1"/>
  <c r="J476" i="1"/>
  <c r="G476" i="1"/>
  <c r="J475" i="1"/>
  <c r="G475" i="1"/>
  <c r="J474" i="1"/>
  <c r="G474" i="1"/>
  <c r="J473" i="1"/>
  <c r="G473" i="1"/>
  <c r="J472" i="1"/>
  <c r="G472" i="1"/>
  <c r="J471" i="1"/>
  <c r="G471" i="1"/>
  <c r="J470" i="1"/>
  <c r="G470" i="1"/>
  <c r="J469" i="1"/>
  <c r="G469" i="1"/>
  <c r="J468" i="1"/>
  <c r="G468" i="1"/>
  <c r="J467" i="1"/>
  <c r="G467" i="1"/>
  <c r="J466" i="1"/>
  <c r="G466" i="1"/>
  <c r="J465" i="1"/>
  <c r="G465" i="1"/>
  <c r="J464" i="1"/>
  <c r="G464" i="1"/>
  <c r="J463" i="1"/>
  <c r="G463" i="1"/>
  <c r="J462" i="1"/>
  <c r="G462" i="1"/>
  <c r="J461" i="1"/>
  <c r="G461" i="1"/>
  <c r="J460" i="1"/>
  <c r="G460" i="1"/>
  <c r="J459" i="1"/>
  <c r="G459" i="1"/>
  <c r="J458" i="1"/>
  <c r="G458" i="1"/>
  <c r="J457" i="1"/>
  <c r="G457" i="1"/>
  <c r="J456" i="1"/>
  <c r="G456" i="1"/>
  <c r="J455" i="1"/>
  <c r="G455" i="1"/>
  <c r="J454" i="1"/>
  <c r="G454" i="1"/>
  <c r="J453" i="1"/>
  <c r="G453" i="1"/>
  <c r="J452" i="1"/>
  <c r="G452" i="1"/>
  <c r="J451" i="1"/>
  <c r="G451" i="1"/>
  <c r="J450" i="1"/>
  <c r="G450" i="1"/>
  <c r="J449" i="1"/>
  <c r="G449" i="1"/>
  <c r="J448" i="1"/>
  <c r="G448" i="1"/>
  <c r="J447" i="1"/>
  <c r="G447" i="1"/>
  <c r="J446" i="1"/>
  <c r="G446" i="1"/>
  <c r="J445" i="1"/>
  <c r="G445" i="1"/>
  <c r="J444" i="1"/>
  <c r="G444" i="1"/>
  <c r="J443" i="1"/>
  <c r="G443" i="1"/>
  <c r="J442" i="1"/>
  <c r="G442" i="1"/>
  <c r="J441" i="1"/>
  <c r="G441" i="1"/>
  <c r="J440" i="1"/>
  <c r="G440" i="1"/>
  <c r="J439" i="1"/>
  <c r="G439" i="1"/>
  <c r="J438" i="1"/>
  <c r="G438" i="1"/>
  <c r="J437" i="1"/>
  <c r="G437" i="1"/>
  <c r="J436" i="1"/>
  <c r="G436" i="1"/>
  <c r="J435" i="1"/>
  <c r="G435" i="1"/>
  <c r="J434" i="1"/>
  <c r="G434" i="1"/>
  <c r="J433" i="1"/>
  <c r="G433" i="1"/>
  <c r="J432" i="1"/>
  <c r="G432" i="1"/>
  <c r="J431" i="1"/>
  <c r="G431" i="1"/>
  <c r="J430" i="1"/>
  <c r="G430" i="1"/>
  <c r="J429" i="1"/>
  <c r="G429" i="1"/>
  <c r="J428" i="1"/>
  <c r="G428" i="1"/>
  <c r="J427" i="1"/>
  <c r="G427" i="1"/>
  <c r="J426" i="1"/>
  <c r="G426" i="1"/>
  <c r="J425" i="1"/>
  <c r="G425" i="1"/>
  <c r="J424" i="1"/>
  <c r="G424" i="1"/>
  <c r="J423" i="1"/>
  <c r="G423" i="1"/>
  <c r="J422" i="1"/>
  <c r="G422" i="1"/>
  <c r="J421" i="1"/>
  <c r="G421" i="1"/>
  <c r="J420" i="1"/>
  <c r="G420" i="1"/>
  <c r="J419" i="1"/>
  <c r="G419" i="1"/>
  <c r="J418" i="1"/>
  <c r="G418" i="1"/>
  <c r="J417" i="1"/>
  <c r="G417" i="1"/>
  <c r="J416" i="1"/>
  <c r="G416" i="1"/>
  <c r="J415" i="1"/>
  <c r="G415" i="1"/>
  <c r="J414" i="1"/>
  <c r="G414" i="1"/>
  <c r="J413" i="1"/>
  <c r="G413" i="1"/>
  <c r="J412" i="1"/>
  <c r="G412" i="1"/>
  <c r="J411" i="1"/>
  <c r="G411" i="1"/>
  <c r="J410" i="1"/>
  <c r="G410" i="1"/>
  <c r="J409" i="1"/>
  <c r="G409" i="1"/>
  <c r="J408" i="1"/>
  <c r="G408" i="1"/>
  <c r="J407" i="1"/>
  <c r="G407" i="1"/>
  <c r="J406" i="1"/>
  <c r="G406" i="1"/>
  <c r="J405" i="1"/>
  <c r="G405" i="1"/>
  <c r="J404" i="1"/>
  <c r="G404" i="1"/>
  <c r="J403" i="1"/>
  <c r="G403" i="1"/>
  <c r="J402" i="1"/>
  <c r="G402" i="1"/>
  <c r="J401" i="1"/>
  <c r="G401" i="1"/>
  <c r="J400" i="1"/>
  <c r="G400" i="1"/>
  <c r="J399" i="1"/>
  <c r="G399" i="1"/>
  <c r="J398" i="1"/>
  <c r="G398" i="1"/>
  <c r="J397" i="1"/>
  <c r="G397" i="1"/>
  <c r="J396" i="1"/>
  <c r="G396" i="1"/>
  <c r="J395" i="1"/>
  <c r="G395" i="1"/>
  <c r="J394" i="1"/>
  <c r="G394" i="1"/>
  <c r="J393" i="1"/>
  <c r="G393" i="1"/>
  <c r="J392" i="1"/>
  <c r="G392" i="1"/>
  <c r="J391" i="1"/>
  <c r="G391" i="1"/>
  <c r="J390" i="1"/>
  <c r="G390" i="1"/>
  <c r="J389" i="1"/>
  <c r="G389" i="1"/>
  <c r="J388" i="1"/>
  <c r="G388" i="1"/>
  <c r="J387" i="1"/>
  <c r="G387" i="1"/>
  <c r="J386" i="1"/>
  <c r="G386" i="1"/>
  <c r="J385" i="1"/>
  <c r="G385" i="1"/>
  <c r="J384" i="1"/>
  <c r="G384" i="1"/>
  <c r="J383" i="1"/>
  <c r="G383" i="1"/>
  <c r="J382" i="1"/>
  <c r="G382" i="1"/>
  <c r="J381" i="1"/>
  <c r="G381" i="1"/>
  <c r="J380" i="1"/>
  <c r="G380" i="1"/>
  <c r="J379" i="1"/>
  <c r="G379" i="1"/>
  <c r="J378" i="1"/>
  <c r="G378" i="1"/>
  <c r="J377" i="1"/>
  <c r="G377" i="1"/>
  <c r="J376" i="1"/>
  <c r="G376" i="1"/>
  <c r="J375" i="1"/>
  <c r="G375" i="1"/>
  <c r="J374" i="1"/>
  <c r="G374" i="1"/>
  <c r="J373" i="1"/>
  <c r="G373" i="1"/>
  <c r="J372" i="1"/>
  <c r="G372" i="1"/>
  <c r="J371" i="1"/>
  <c r="G371" i="1"/>
  <c r="J370" i="1"/>
  <c r="G370" i="1"/>
  <c r="J369" i="1"/>
  <c r="G369" i="1"/>
  <c r="J368" i="1"/>
  <c r="G368" i="1"/>
  <c r="J367" i="1"/>
  <c r="G367" i="1"/>
  <c r="J366" i="1"/>
  <c r="G366" i="1"/>
  <c r="J365" i="1"/>
  <c r="G365" i="1"/>
  <c r="J364" i="1"/>
  <c r="G364" i="1"/>
  <c r="J363" i="1"/>
  <c r="G363" i="1"/>
  <c r="J362" i="1"/>
  <c r="G362" i="1"/>
  <c r="J361" i="1"/>
  <c r="G361" i="1"/>
  <c r="J360" i="1"/>
  <c r="G360" i="1"/>
  <c r="J359" i="1"/>
  <c r="G359" i="1"/>
  <c r="J358" i="1"/>
  <c r="G358" i="1"/>
  <c r="J357" i="1"/>
  <c r="G357" i="1"/>
  <c r="J356" i="1"/>
  <c r="G356" i="1"/>
  <c r="J355" i="1"/>
  <c r="G355" i="1"/>
  <c r="J354" i="1"/>
  <c r="G354" i="1"/>
  <c r="J353" i="1"/>
  <c r="G353" i="1"/>
  <c r="J352" i="1"/>
  <c r="G352" i="1"/>
  <c r="J351" i="1"/>
  <c r="G351" i="1"/>
  <c r="J350" i="1"/>
  <c r="G350" i="1"/>
  <c r="J349" i="1"/>
  <c r="G349" i="1"/>
  <c r="J348" i="1"/>
  <c r="G348" i="1"/>
  <c r="J347" i="1"/>
  <c r="G347" i="1"/>
  <c r="J346" i="1"/>
  <c r="G346" i="1"/>
  <c r="J345" i="1"/>
  <c r="G345" i="1"/>
  <c r="J344" i="1"/>
  <c r="G344" i="1"/>
  <c r="J343" i="1"/>
  <c r="G343" i="1"/>
  <c r="J342" i="1"/>
  <c r="G342" i="1"/>
  <c r="J341" i="1"/>
  <c r="G341" i="1"/>
  <c r="J340" i="1"/>
  <c r="G340" i="1"/>
  <c r="J339" i="1"/>
  <c r="G339" i="1"/>
  <c r="J338" i="1"/>
  <c r="G338" i="1"/>
  <c r="J337" i="1"/>
  <c r="G337" i="1"/>
  <c r="J336" i="1"/>
  <c r="G336" i="1"/>
  <c r="J335" i="1"/>
  <c r="G335" i="1"/>
  <c r="J334" i="1"/>
  <c r="G334" i="1"/>
  <c r="J333" i="1"/>
  <c r="G333" i="1"/>
  <c r="J332" i="1"/>
  <c r="G332" i="1"/>
  <c r="J331" i="1"/>
  <c r="G331" i="1"/>
  <c r="J330" i="1"/>
  <c r="G330" i="1"/>
  <c r="J329" i="1"/>
  <c r="G329" i="1"/>
  <c r="J328" i="1"/>
  <c r="G328" i="1"/>
  <c r="J327" i="1"/>
  <c r="G327" i="1"/>
  <c r="J326" i="1"/>
  <c r="G326" i="1"/>
  <c r="J325" i="1"/>
  <c r="G325" i="1"/>
  <c r="J324" i="1"/>
  <c r="G324" i="1"/>
  <c r="J323" i="1"/>
  <c r="G323" i="1"/>
  <c r="J322" i="1"/>
  <c r="G322" i="1"/>
  <c r="J321" i="1"/>
  <c r="G321" i="1"/>
  <c r="J320" i="1"/>
  <c r="G320" i="1"/>
  <c r="J319" i="1"/>
  <c r="G319" i="1"/>
  <c r="J318" i="1"/>
  <c r="G318" i="1"/>
  <c r="J317" i="1"/>
  <c r="G317" i="1"/>
  <c r="J316" i="1"/>
  <c r="G316" i="1"/>
  <c r="J315" i="1"/>
  <c r="G315" i="1"/>
  <c r="J314" i="1"/>
  <c r="G314" i="1"/>
  <c r="J313" i="1"/>
  <c r="G313" i="1"/>
  <c r="J312" i="1"/>
  <c r="G312" i="1"/>
  <c r="J311" i="1"/>
  <c r="G311" i="1"/>
  <c r="J310" i="1"/>
  <c r="G310" i="1"/>
  <c r="J309" i="1"/>
  <c r="G309" i="1"/>
  <c r="J308" i="1"/>
  <c r="G308" i="1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89" i="1"/>
  <c r="G289" i="1"/>
  <c r="J288" i="1"/>
  <c r="G288" i="1"/>
  <c r="J287" i="1"/>
  <c r="G287" i="1"/>
  <c r="J286" i="1"/>
  <c r="G286" i="1"/>
  <c r="J285" i="1"/>
  <c r="G285" i="1"/>
  <c r="J284" i="1"/>
  <c r="G284" i="1"/>
  <c r="J283" i="1"/>
  <c r="G283" i="1"/>
  <c r="J282" i="1"/>
  <c r="G282" i="1"/>
  <c r="J281" i="1"/>
  <c r="G281" i="1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62" i="1"/>
  <c r="G262" i="1"/>
  <c r="J261" i="1"/>
  <c r="G261" i="1"/>
  <c r="J260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J246" i="1"/>
  <c r="G246" i="1"/>
  <c r="J245" i="1"/>
  <c r="G245" i="1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J218" i="1"/>
  <c r="G218" i="1"/>
  <c r="J217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199" i="1"/>
  <c r="G199" i="1"/>
  <c r="J198" i="1"/>
  <c r="G198" i="1"/>
  <c r="J197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0" i="1"/>
  <c r="G190" i="1"/>
  <c r="J189" i="1"/>
  <c r="G189" i="1"/>
  <c r="J188" i="1"/>
  <c r="G188" i="1"/>
  <c r="J187" i="1"/>
  <c r="G187" i="1"/>
  <c r="J186" i="1"/>
  <c r="G186" i="1"/>
  <c r="J185" i="1"/>
  <c r="G185" i="1"/>
  <c r="J184" i="1"/>
  <c r="G184" i="1"/>
  <c r="J183" i="1"/>
  <c r="G183" i="1"/>
  <c r="J182" i="1"/>
  <c r="G182" i="1"/>
  <c r="J181" i="1"/>
  <c r="G181" i="1"/>
  <c r="J180" i="1"/>
  <c r="G180" i="1"/>
  <c r="J179" i="1"/>
  <c r="G179" i="1"/>
  <c r="J178" i="1"/>
  <c r="G178" i="1"/>
  <c r="J177" i="1"/>
  <c r="G177" i="1"/>
  <c r="J176" i="1"/>
  <c r="G176" i="1"/>
  <c r="J175" i="1"/>
  <c r="G175" i="1"/>
  <c r="J174" i="1"/>
  <c r="G174" i="1"/>
  <c r="J173" i="1"/>
  <c r="G173" i="1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J165" i="1"/>
  <c r="G165" i="1"/>
  <c r="J164" i="1"/>
  <c r="G164" i="1"/>
  <c r="J163" i="1"/>
  <c r="G163" i="1"/>
  <c r="J162" i="1"/>
  <c r="G162" i="1"/>
  <c r="J161" i="1"/>
  <c r="G161" i="1"/>
  <c r="J160" i="1"/>
  <c r="G160" i="1"/>
  <c r="J159" i="1"/>
  <c r="G159" i="1"/>
  <c r="J158" i="1"/>
  <c r="G158" i="1"/>
  <c r="J157" i="1"/>
  <c r="G157" i="1"/>
  <c r="J156" i="1"/>
  <c r="G156" i="1"/>
  <c r="J155" i="1"/>
  <c r="G155" i="1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45" i="1"/>
  <c r="G145" i="1"/>
  <c r="J144" i="1"/>
  <c r="G144" i="1"/>
  <c r="J143" i="1"/>
  <c r="G143" i="1"/>
  <c r="J142" i="1"/>
  <c r="G142" i="1"/>
  <c r="J141" i="1"/>
  <c r="G141" i="1"/>
  <c r="J140" i="1"/>
  <c r="G140" i="1"/>
  <c r="J139" i="1"/>
  <c r="G139" i="1"/>
  <c r="J138" i="1"/>
  <c r="G138" i="1"/>
  <c r="J137" i="1"/>
  <c r="G137" i="1"/>
  <c r="J136" i="1"/>
  <c r="G136" i="1"/>
  <c r="J135" i="1"/>
  <c r="G135" i="1"/>
  <c r="J134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27" i="1"/>
  <c r="G127" i="1"/>
  <c r="J126" i="1"/>
  <c r="G126" i="1"/>
  <c r="J125" i="1"/>
  <c r="G125" i="1"/>
  <c r="J124" i="1"/>
  <c r="G124" i="1"/>
  <c r="J123" i="1"/>
  <c r="G123" i="1"/>
  <c r="J122" i="1"/>
  <c r="G122" i="1"/>
  <c r="J121" i="1"/>
  <c r="G121" i="1"/>
  <c r="J120" i="1"/>
  <c r="G120" i="1"/>
  <c r="J119" i="1"/>
  <c r="G119" i="1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9" i="1"/>
  <c r="G109" i="1"/>
  <c r="J108" i="1"/>
  <c r="G108" i="1"/>
  <c r="J107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100" i="1"/>
  <c r="G100" i="1"/>
  <c r="J99" i="1"/>
  <c r="G99" i="1"/>
  <c r="J98" i="1"/>
  <c r="G98" i="1"/>
  <c r="G97" i="1"/>
  <c r="G96" i="1"/>
  <c r="J95" i="1"/>
  <c r="G95" i="1"/>
  <c r="J94" i="1"/>
  <c r="G94" i="1"/>
  <c r="J93" i="1"/>
  <c r="G93" i="1"/>
  <c r="J92" i="1"/>
  <c r="G92" i="1"/>
  <c r="J91" i="1"/>
  <c r="G91" i="1"/>
  <c r="J90" i="1"/>
  <c r="G90" i="1"/>
  <c r="J89" i="1"/>
  <c r="G89" i="1"/>
  <c r="J88" i="1"/>
  <c r="G88" i="1"/>
  <c r="J87" i="1"/>
  <c r="G87" i="1"/>
  <c r="J86" i="1"/>
  <c r="G86" i="1"/>
  <c r="J85" i="1"/>
  <c r="G85" i="1"/>
  <c r="G84" i="1"/>
  <c r="J83" i="1"/>
  <c r="G83" i="1"/>
  <c r="G82" i="1"/>
  <c r="G81" i="1"/>
  <c r="J80" i="1"/>
  <c r="G80" i="1"/>
  <c r="J79" i="1"/>
  <c r="G79" i="1"/>
  <c r="G78" i="1"/>
  <c r="J77" i="1"/>
  <c r="G77" i="1"/>
  <c r="J76" i="1"/>
  <c r="G76" i="1"/>
  <c r="J75" i="1"/>
  <c r="G75" i="1"/>
  <c r="J74" i="1"/>
  <c r="G74" i="1"/>
  <c r="G73" i="1"/>
  <c r="G72" i="1"/>
  <c r="J71" i="1"/>
  <c r="G71" i="1"/>
  <c r="J70" i="1"/>
  <c r="G70" i="1"/>
  <c r="G69" i="1"/>
  <c r="J68" i="1"/>
  <c r="G68" i="1"/>
  <c r="J67" i="1"/>
  <c r="G67" i="1"/>
  <c r="G66" i="1"/>
  <c r="J65" i="1"/>
  <c r="G65" i="1"/>
  <c r="J64" i="1"/>
  <c r="G64" i="1"/>
  <c r="J63" i="1"/>
  <c r="G63" i="1"/>
  <c r="J62" i="1"/>
  <c r="G62" i="1"/>
  <c r="J61" i="1"/>
  <c r="G61" i="1"/>
  <c r="E1" i="2" l="1"/>
  <c r="G60" i="1"/>
  <c r="J59" i="1"/>
  <c r="G59" i="1"/>
  <c r="G58" i="1"/>
  <c r="J57" i="1"/>
  <c r="G57" i="1"/>
  <c r="J56" i="1"/>
  <c r="G56" i="1"/>
  <c r="G55" i="1"/>
  <c r="J54" i="1"/>
  <c r="G54" i="1"/>
  <c r="J53" i="1"/>
  <c r="J51" i="1"/>
  <c r="J50" i="1"/>
  <c r="J49" i="1"/>
  <c r="J48" i="1"/>
  <c r="J46" i="1"/>
  <c r="J45" i="1"/>
  <c r="J44" i="1"/>
  <c r="J43" i="1"/>
  <c r="J42" i="1"/>
  <c r="J40" i="1"/>
  <c r="J39" i="1"/>
  <c r="J38" i="1"/>
  <c r="J37" i="1"/>
  <c r="J36" i="1"/>
  <c r="J34" i="1"/>
  <c r="J33" i="1"/>
  <c r="J32" i="1"/>
  <c r="J31" i="1"/>
  <c r="J30" i="1"/>
  <c r="J28" i="1"/>
  <c r="J27" i="1"/>
  <c r="J26" i="1"/>
  <c r="J25" i="1"/>
  <c r="J24" i="1"/>
  <c r="J23" i="1"/>
  <c r="J22" i="1"/>
  <c r="J21" i="1"/>
  <c r="J20" i="1"/>
  <c r="J18" i="1"/>
  <c r="J17" i="1"/>
  <c r="J16" i="1"/>
  <c r="J15" i="1"/>
  <c r="J14" i="1"/>
  <c r="J13" i="1"/>
  <c r="J12" i="1"/>
  <c r="J11" i="1"/>
  <c r="J10" i="1"/>
  <c r="J8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I2" i="1" s="1"/>
  <c r="L2" i="7" s="1"/>
  <c r="I3" i="1" l="1"/>
  <c r="I4" i="1" l="1"/>
  <c r="L3" i="7"/>
  <c r="I5" i="1" l="1"/>
  <c r="L4" i="7"/>
  <c r="I6" i="1" l="1"/>
  <c r="L5" i="7"/>
  <c r="J7" i="1"/>
  <c r="J6" i="1"/>
  <c r="J5" i="1"/>
  <c r="J4" i="1"/>
  <c r="J3" i="1"/>
  <c r="I7" i="1" l="1"/>
  <c r="L6" i="7"/>
  <c r="I8" i="1" l="1"/>
  <c r="L7" i="7"/>
  <c r="I9" i="1" l="1"/>
  <c r="L8" i="7"/>
  <c r="E1" i="3"/>
  <c r="L9" i="7" l="1"/>
  <c r="I10" i="1"/>
  <c r="J9" i="1"/>
  <c r="F1" i="5"/>
  <c r="I11" i="1" l="1"/>
  <c r="L10" i="7"/>
  <c r="J2" i="1"/>
  <c r="I12" i="1" l="1"/>
  <c r="L11" i="7"/>
  <c r="J78" i="1"/>
  <c r="I13" i="1" l="1"/>
  <c r="L12" i="7"/>
  <c r="I14" i="1" l="1"/>
  <c r="L13" i="7"/>
  <c r="I15" i="1" l="1"/>
  <c r="L14" i="7"/>
  <c r="I16" i="1" l="1"/>
  <c r="L15" i="7"/>
  <c r="I17" i="1" l="1"/>
  <c r="L16" i="7"/>
  <c r="I18" i="1" l="1"/>
  <c r="L17" i="7"/>
  <c r="I19" i="1" l="1"/>
  <c r="L18" i="7"/>
  <c r="J19" i="1" l="1"/>
  <c r="L19" i="7"/>
  <c r="I20" i="1"/>
  <c r="I21" i="1" l="1"/>
  <c r="L20" i="7"/>
  <c r="I22" i="1" l="1"/>
  <c r="L21" i="7"/>
  <c r="I23" i="1" l="1"/>
  <c r="L22" i="7"/>
  <c r="I24" i="1" l="1"/>
  <c r="L23" i="7"/>
  <c r="I25" i="1" l="1"/>
  <c r="L24" i="7"/>
  <c r="I26" i="1" l="1"/>
  <c r="L25" i="7"/>
  <c r="I27" i="1" l="1"/>
  <c r="L26" i="7"/>
  <c r="I28" i="1" l="1"/>
  <c r="L27" i="7"/>
  <c r="I29" i="1" l="1"/>
  <c r="L28" i="7"/>
  <c r="I30" i="1" l="1"/>
  <c r="L29" i="7"/>
  <c r="J29" i="1"/>
  <c r="I31" i="1" l="1"/>
  <c r="L30" i="7"/>
  <c r="I32" i="1" l="1"/>
  <c r="L31" i="7"/>
  <c r="I33" i="1" l="1"/>
  <c r="L32" i="7"/>
  <c r="I34" i="1" l="1"/>
  <c r="L33" i="7"/>
  <c r="I35" i="1" l="1"/>
  <c r="L34" i="7"/>
  <c r="L35" i="7" l="1"/>
  <c r="I36" i="1"/>
  <c r="J35" i="1"/>
  <c r="I37" i="1" l="1"/>
  <c r="L36" i="7"/>
  <c r="I38" i="1" l="1"/>
  <c r="L37" i="7"/>
  <c r="I39" i="1" l="1"/>
  <c r="L38" i="7"/>
  <c r="I40" i="1" l="1"/>
  <c r="L39" i="7"/>
  <c r="I41" i="1" l="1"/>
  <c r="L40" i="7"/>
  <c r="L41" i="7" l="1"/>
  <c r="I42" i="1"/>
  <c r="J41" i="1"/>
  <c r="I43" i="1" l="1"/>
  <c r="L42" i="7"/>
  <c r="I44" i="1" l="1"/>
  <c r="L43" i="7"/>
  <c r="I45" i="1" l="1"/>
  <c r="L44" i="7"/>
  <c r="I46" i="1" l="1"/>
  <c r="L45" i="7"/>
  <c r="I47" i="1" l="1"/>
  <c r="L46" i="7"/>
  <c r="I48" i="1" l="1"/>
  <c r="L47" i="7"/>
  <c r="J47" i="1"/>
  <c r="I49" i="1" l="1"/>
  <c r="L48" i="7"/>
  <c r="I50" i="1" l="1"/>
  <c r="L49" i="7"/>
  <c r="I51" i="1" l="1"/>
  <c r="L50" i="7"/>
  <c r="I52" i="1" l="1"/>
  <c r="L51" i="7"/>
  <c r="L52" i="7" l="1"/>
  <c r="I53" i="1"/>
  <c r="J52" i="1"/>
  <c r="I54" i="1" l="1"/>
  <c r="L53" i="7"/>
  <c r="I55" i="1" l="1"/>
  <c r="L54" i="7"/>
  <c r="I56" i="1" l="1"/>
  <c r="L55" i="7"/>
  <c r="J55" i="1"/>
  <c r="I57" i="1" l="1"/>
  <c r="L56" i="7"/>
  <c r="I58" i="1" l="1"/>
  <c r="L57" i="7"/>
  <c r="I59" i="1" l="1"/>
  <c r="L58" i="7"/>
  <c r="J58" i="1"/>
  <c r="I60" i="1" l="1"/>
  <c r="L59" i="7"/>
  <c r="I61" i="1" l="1"/>
  <c r="L60" i="7"/>
  <c r="J60" i="1"/>
  <c r="I62" i="1" l="1"/>
  <c r="L61" i="7"/>
  <c r="I63" i="1" l="1"/>
  <c r="L62" i="7"/>
  <c r="I64" i="1" l="1"/>
  <c r="L63" i="7"/>
  <c r="I65" i="1" l="1"/>
  <c r="L64" i="7"/>
  <c r="I66" i="1" l="1"/>
  <c r="L65" i="7"/>
  <c r="I67" i="1" l="1"/>
  <c r="L66" i="7"/>
  <c r="J66" i="1"/>
  <c r="I68" i="1" l="1"/>
  <c r="L67" i="7"/>
  <c r="I69" i="1" l="1"/>
  <c r="L68" i="7"/>
  <c r="I70" i="1" l="1"/>
  <c r="L69" i="7"/>
  <c r="J69" i="1"/>
  <c r="I71" i="1" l="1"/>
  <c r="L70" i="7"/>
  <c r="I72" i="1" l="1"/>
  <c r="L71" i="7"/>
  <c r="I73" i="1" l="1"/>
  <c r="L72" i="7"/>
  <c r="J72" i="1"/>
  <c r="I74" i="1" l="1"/>
  <c r="L73" i="7"/>
  <c r="J73" i="1"/>
  <c r="I75" i="1" l="1"/>
  <c r="L74" i="7"/>
  <c r="I76" i="1" l="1"/>
  <c r="L75" i="7"/>
  <c r="L76" i="7" l="1"/>
  <c r="I77" i="1"/>
  <c r="I78" i="1" l="1"/>
  <c r="L77" i="7"/>
  <c r="L78" i="7" l="1"/>
  <c r="I79" i="1"/>
  <c r="I80" i="1" l="1"/>
  <c r="L79" i="7"/>
  <c r="I81" i="1" l="1"/>
  <c r="L80" i="7"/>
  <c r="J81" i="1" l="1"/>
  <c r="I82" i="1"/>
  <c r="L81" i="7"/>
  <c r="J82" i="1" l="1"/>
  <c r="I83" i="1"/>
  <c r="L82" i="7"/>
  <c r="I84" i="1" l="1"/>
  <c r="L83" i="7"/>
  <c r="J84" i="1" l="1"/>
  <c r="I85" i="1"/>
  <c r="L84" i="7"/>
  <c r="I86" i="1" l="1"/>
  <c r="L85" i="7"/>
  <c r="I87" i="1" l="1"/>
  <c r="L86" i="7"/>
  <c r="I88" i="1" l="1"/>
  <c r="L87" i="7"/>
  <c r="I89" i="1" l="1"/>
  <c r="L88" i="7"/>
  <c r="I90" i="1" l="1"/>
  <c r="L89" i="7"/>
  <c r="I91" i="1" l="1"/>
  <c r="L90" i="7"/>
  <c r="I92" i="1" l="1"/>
  <c r="L91" i="7"/>
  <c r="I93" i="1" l="1"/>
  <c r="L92" i="7"/>
  <c r="I94" i="1" l="1"/>
  <c r="L93" i="7"/>
  <c r="I95" i="1" l="1"/>
  <c r="L94" i="7"/>
  <c r="I96" i="1" l="1"/>
  <c r="L95" i="7"/>
  <c r="J96" i="1" l="1"/>
  <c r="L96" i="7"/>
  <c r="I97" i="1"/>
  <c r="J97" i="1" l="1"/>
  <c r="I98" i="1"/>
  <c r="L97" i="7"/>
  <c r="I99" i="1" l="1"/>
  <c r="L98" i="7"/>
  <c r="I100" i="1" l="1"/>
  <c r="L99" i="7"/>
  <c r="I101" i="1" l="1"/>
  <c r="L100" i="7"/>
  <c r="I102" i="1" l="1"/>
  <c r="L101" i="7"/>
  <c r="L102" i="7" l="1"/>
  <c r="I103" i="1"/>
  <c r="I104" i="1" l="1"/>
  <c r="L103" i="7"/>
  <c r="L104" i="7" l="1"/>
  <c r="I105" i="1"/>
  <c r="L105" i="7" l="1"/>
  <c r="I106" i="1"/>
  <c r="I107" i="1" l="1"/>
  <c r="L106" i="7"/>
  <c r="L107" i="7" l="1"/>
  <c r="I108" i="1"/>
  <c r="I109" i="1" l="1"/>
  <c r="L108" i="7"/>
  <c r="I110" i="1" l="1"/>
  <c r="L109" i="7"/>
  <c r="I111" i="1" l="1"/>
  <c r="L110" i="7"/>
  <c r="L111" i="7" l="1"/>
  <c r="I112" i="1"/>
  <c r="L112" i="7" l="1"/>
  <c r="I113" i="1"/>
  <c r="I114" i="1" l="1"/>
  <c r="L113" i="7"/>
  <c r="I115" i="1" l="1"/>
  <c r="L114" i="7"/>
  <c r="I116" i="1" l="1"/>
  <c r="L115" i="7"/>
  <c r="I117" i="1" l="1"/>
  <c r="L116" i="7"/>
  <c r="I118" i="1" l="1"/>
  <c r="L117" i="7"/>
  <c r="I119" i="1" l="1"/>
  <c r="L118" i="7"/>
  <c r="I120" i="1" l="1"/>
  <c r="L119" i="7"/>
  <c r="I121" i="1" l="1"/>
  <c r="L120" i="7"/>
  <c r="I122" i="1" l="1"/>
  <c r="L121" i="7"/>
  <c r="I123" i="1" l="1"/>
  <c r="L122" i="7"/>
  <c r="I124" i="1" l="1"/>
  <c r="L123" i="7"/>
  <c r="I125" i="1" l="1"/>
  <c r="L124" i="7"/>
  <c r="I126" i="1" l="1"/>
  <c r="L125" i="7"/>
  <c r="I127" i="1" l="1"/>
  <c r="L126" i="7"/>
  <c r="I128" i="1" l="1"/>
  <c r="L127" i="7"/>
  <c r="I129" i="1" l="1"/>
  <c r="L128" i="7"/>
  <c r="I130" i="1" l="1"/>
  <c r="L129" i="7"/>
  <c r="I131" i="1" l="1"/>
  <c r="L130" i="7"/>
  <c r="I132" i="1" l="1"/>
  <c r="L131" i="7"/>
  <c r="I133" i="1" l="1"/>
  <c r="L132" i="7"/>
  <c r="L133" i="7" l="1"/>
  <c r="I134" i="1"/>
  <c r="I135" i="1" l="1"/>
  <c r="L134" i="7"/>
  <c r="I136" i="1" l="1"/>
  <c r="L135" i="7"/>
  <c r="I137" i="1" l="1"/>
  <c r="L136" i="7"/>
  <c r="I138" i="1" l="1"/>
  <c r="L137" i="7"/>
  <c r="I139" i="1" l="1"/>
  <c r="L138" i="7"/>
  <c r="I140" i="1" l="1"/>
  <c r="L139" i="7"/>
  <c r="I141" i="1" l="1"/>
  <c r="L140" i="7"/>
  <c r="I142" i="1" l="1"/>
  <c r="L141" i="7"/>
  <c r="I143" i="1" l="1"/>
  <c r="L142" i="7"/>
  <c r="I144" i="1" l="1"/>
  <c r="L143" i="7"/>
  <c r="I145" i="1" l="1"/>
  <c r="L144" i="7"/>
  <c r="I146" i="1" l="1"/>
  <c r="L145" i="7"/>
  <c r="I147" i="1" l="1"/>
  <c r="L146" i="7"/>
  <c r="I148" i="1" l="1"/>
  <c r="L147" i="7"/>
  <c r="I149" i="1" l="1"/>
  <c r="L148" i="7"/>
  <c r="I150" i="1" l="1"/>
  <c r="L149" i="7"/>
  <c r="I151" i="1" l="1"/>
  <c r="L150" i="7"/>
  <c r="I152" i="1" l="1"/>
  <c r="L151" i="7"/>
  <c r="I153" i="1" l="1"/>
  <c r="L152" i="7"/>
  <c r="I154" i="1" l="1"/>
  <c r="L153" i="7"/>
  <c r="I155" i="1" l="1"/>
  <c r="L154" i="7"/>
  <c r="I156" i="1" l="1"/>
  <c r="L155" i="7"/>
  <c r="I157" i="1" l="1"/>
  <c r="L156" i="7"/>
  <c r="I158" i="1" l="1"/>
  <c r="L157" i="7"/>
  <c r="I159" i="1" l="1"/>
  <c r="L158" i="7"/>
  <c r="I160" i="1" l="1"/>
  <c r="L159" i="7"/>
  <c r="I161" i="1" l="1"/>
  <c r="L160" i="7"/>
  <c r="I162" i="1" l="1"/>
  <c r="L161" i="7"/>
  <c r="I163" i="1" l="1"/>
  <c r="L162" i="7"/>
  <c r="I164" i="1" l="1"/>
  <c r="L163" i="7"/>
  <c r="I165" i="1" l="1"/>
  <c r="L164" i="7"/>
  <c r="I166" i="1" l="1"/>
  <c r="L165" i="7"/>
  <c r="I167" i="1" l="1"/>
  <c r="L166" i="7"/>
  <c r="I168" i="1" l="1"/>
  <c r="L167" i="7"/>
  <c r="I169" i="1" l="1"/>
  <c r="L168" i="7"/>
  <c r="L169" i="7" l="1"/>
  <c r="I170" i="1"/>
  <c r="I171" i="1" l="1"/>
  <c r="L170" i="7"/>
  <c r="I172" i="1" l="1"/>
  <c r="L171" i="7"/>
  <c r="L172" i="7" l="1"/>
  <c r="I173" i="1"/>
  <c r="I174" i="1" l="1"/>
  <c r="L173" i="7"/>
  <c r="I175" i="1" l="1"/>
  <c r="L174" i="7"/>
  <c r="I176" i="1" l="1"/>
  <c r="L175" i="7"/>
  <c r="I177" i="1" l="1"/>
  <c r="L176" i="7"/>
  <c r="I178" i="1" l="1"/>
  <c r="L177" i="7"/>
  <c r="I179" i="1" l="1"/>
  <c r="L178" i="7"/>
  <c r="I180" i="1" l="1"/>
  <c r="L179" i="7"/>
  <c r="I181" i="1" l="1"/>
  <c r="L180" i="7"/>
  <c r="I182" i="1" l="1"/>
  <c r="L181" i="7"/>
  <c r="I183" i="1" l="1"/>
  <c r="L182" i="7"/>
  <c r="I184" i="1" l="1"/>
  <c r="L183" i="7"/>
  <c r="I185" i="1" l="1"/>
  <c r="L184" i="7"/>
  <c r="I186" i="1" l="1"/>
  <c r="L185" i="7"/>
  <c r="I187" i="1" l="1"/>
  <c r="L186" i="7"/>
  <c r="I188" i="1" l="1"/>
  <c r="L187" i="7"/>
  <c r="I189" i="1" l="1"/>
  <c r="L188" i="7"/>
  <c r="I190" i="1" l="1"/>
  <c r="L189" i="7"/>
  <c r="I191" i="1" l="1"/>
  <c r="L190" i="7"/>
  <c r="I192" i="1" l="1"/>
  <c r="L191" i="7"/>
  <c r="I193" i="1" l="1"/>
  <c r="L192" i="7"/>
  <c r="I194" i="1" l="1"/>
  <c r="L193" i="7"/>
  <c r="I195" i="1" l="1"/>
  <c r="L194" i="7"/>
  <c r="I196" i="1" l="1"/>
  <c r="L195" i="7"/>
  <c r="I197" i="1" l="1"/>
  <c r="L196" i="7"/>
  <c r="I198" i="1" l="1"/>
  <c r="L197" i="7"/>
  <c r="I199" i="1" l="1"/>
  <c r="L198" i="7"/>
  <c r="I200" i="1" l="1"/>
  <c r="L199" i="7"/>
  <c r="I201" i="1" l="1"/>
  <c r="L200" i="7"/>
  <c r="I202" i="1" l="1"/>
  <c r="L201" i="7"/>
  <c r="I203" i="1" l="1"/>
  <c r="L202" i="7"/>
  <c r="I204" i="1" l="1"/>
  <c r="L203" i="7"/>
  <c r="I205" i="1" l="1"/>
  <c r="L204" i="7"/>
  <c r="I206" i="1" l="1"/>
  <c r="L205" i="7"/>
  <c r="I207" i="1" l="1"/>
  <c r="L206" i="7"/>
  <c r="I208" i="1" l="1"/>
  <c r="L207" i="7"/>
  <c r="I209" i="1" l="1"/>
  <c r="L208" i="7"/>
  <c r="L209" i="7" l="1"/>
  <c r="I210" i="1"/>
  <c r="I211" i="1" l="1"/>
  <c r="L210" i="7"/>
  <c r="I212" i="1" l="1"/>
  <c r="L211" i="7"/>
  <c r="I213" i="1" l="1"/>
  <c r="L212" i="7"/>
  <c r="I214" i="1" l="1"/>
  <c r="L213" i="7"/>
  <c r="I215" i="1" l="1"/>
  <c r="L214" i="7"/>
  <c r="I216" i="1" l="1"/>
  <c r="L215" i="7"/>
  <c r="I217" i="1" l="1"/>
  <c r="L216" i="7"/>
  <c r="I218" i="1" l="1"/>
  <c r="L217" i="7"/>
  <c r="I219" i="1" l="1"/>
  <c r="L218" i="7"/>
  <c r="I220" i="1" l="1"/>
  <c r="L219" i="7"/>
  <c r="I221" i="1" l="1"/>
  <c r="L220" i="7"/>
  <c r="I222" i="1" l="1"/>
  <c r="L221" i="7"/>
  <c r="I223" i="1" l="1"/>
  <c r="L222" i="7"/>
  <c r="I224" i="1" l="1"/>
  <c r="L223" i="7"/>
  <c r="I225" i="1" l="1"/>
  <c r="L224" i="7"/>
  <c r="I226" i="1" l="1"/>
  <c r="L225" i="7"/>
  <c r="I227" i="1" l="1"/>
  <c r="L226" i="7"/>
  <c r="I228" i="1" l="1"/>
  <c r="L227" i="7"/>
  <c r="I229" i="1" l="1"/>
  <c r="L228" i="7"/>
  <c r="I230" i="1" l="1"/>
  <c r="L229" i="7"/>
  <c r="I231" i="1" l="1"/>
  <c r="L230" i="7"/>
  <c r="I232" i="1" l="1"/>
  <c r="L231" i="7"/>
  <c r="I233" i="1" l="1"/>
  <c r="L232" i="7"/>
  <c r="I234" i="1" l="1"/>
  <c r="L233" i="7"/>
  <c r="I235" i="1" l="1"/>
  <c r="L234" i="7"/>
  <c r="I236" i="1" l="1"/>
  <c r="L235" i="7"/>
  <c r="I237" i="1" l="1"/>
  <c r="L236" i="7"/>
  <c r="I238" i="1" l="1"/>
  <c r="L237" i="7"/>
  <c r="I239" i="1" l="1"/>
  <c r="L238" i="7"/>
  <c r="I240" i="1" l="1"/>
  <c r="L239" i="7"/>
  <c r="I241" i="1" l="1"/>
  <c r="L240" i="7"/>
  <c r="I242" i="1" l="1"/>
  <c r="L241" i="7"/>
  <c r="I243" i="1" l="1"/>
  <c r="L242" i="7"/>
  <c r="I244" i="1" l="1"/>
  <c r="L243" i="7"/>
  <c r="I245" i="1" l="1"/>
  <c r="L244" i="7"/>
  <c r="I246" i="1" l="1"/>
  <c r="L245" i="7"/>
  <c r="I247" i="1" l="1"/>
  <c r="L246" i="7"/>
  <c r="I248" i="1" l="1"/>
  <c r="L247" i="7"/>
  <c r="I249" i="1" l="1"/>
  <c r="L248" i="7"/>
  <c r="I250" i="1" l="1"/>
  <c r="L249" i="7"/>
  <c r="I251" i="1" l="1"/>
  <c r="L250" i="7"/>
  <c r="I252" i="1" l="1"/>
  <c r="L251" i="7"/>
  <c r="I253" i="1" l="1"/>
  <c r="L252" i="7"/>
  <c r="I254" i="1" l="1"/>
  <c r="L253" i="7"/>
  <c r="I255" i="1" l="1"/>
  <c r="L254" i="7"/>
  <c r="I256" i="1" l="1"/>
  <c r="L255" i="7"/>
  <c r="I257" i="1" l="1"/>
  <c r="L256" i="7"/>
  <c r="I258" i="1" l="1"/>
  <c r="L257" i="7"/>
  <c r="L258" i="7" l="1"/>
  <c r="I259" i="1"/>
  <c r="I260" i="1" l="1"/>
  <c r="L259" i="7"/>
  <c r="I261" i="1" l="1"/>
  <c r="L260" i="7"/>
  <c r="I262" i="1" l="1"/>
  <c r="L261" i="7"/>
  <c r="I263" i="1" l="1"/>
  <c r="L262" i="7"/>
  <c r="I264" i="1" l="1"/>
  <c r="L263" i="7"/>
  <c r="I265" i="1" l="1"/>
  <c r="L264" i="7"/>
  <c r="I266" i="1" l="1"/>
  <c r="L265" i="7"/>
  <c r="I267" i="1" l="1"/>
  <c r="L266" i="7"/>
  <c r="I268" i="1" l="1"/>
  <c r="L267" i="7"/>
  <c r="I269" i="1" l="1"/>
  <c r="L268" i="7"/>
  <c r="I270" i="1" l="1"/>
  <c r="L269" i="7"/>
  <c r="I271" i="1" l="1"/>
  <c r="L270" i="7"/>
  <c r="I272" i="1" l="1"/>
  <c r="L271" i="7"/>
  <c r="I273" i="1" l="1"/>
  <c r="L272" i="7"/>
  <c r="I274" i="1" l="1"/>
  <c r="L273" i="7"/>
  <c r="I275" i="1" l="1"/>
  <c r="L274" i="7"/>
  <c r="I276" i="1" l="1"/>
  <c r="L275" i="7"/>
  <c r="I277" i="1" l="1"/>
  <c r="L276" i="7"/>
  <c r="I278" i="1" l="1"/>
  <c r="L277" i="7"/>
  <c r="I279" i="1" l="1"/>
  <c r="L278" i="7"/>
  <c r="I280" i="1" l="1"/>
  <c r="L279" i="7"/>
  <c r="I281" i="1" l="1"/>
  <c r="L280" i="7"/>
  <c r="I282" i="1" l="1"/>
  <c r="L281" i="7"/>
  <c r="I283" i="1" l="1"/>
  <c r="L282" i="7"/>
  <c r="L283" i="7" l="1"/>
  <c r="I284" i="1"/>
  <c r="L284" i="7" l="1"/>
  <c r="I285" i="1"/>
  <c r="I286" i="1" l="1"/>
  <c r="L285" i="7"/>
  <c r="I287" i="1" l="1"/>
  <c r="L286" i="7"/>
  <c r="I288" i="1" l="1"/>
  <c r="L287" i="7"/>
  <c r="L288" i="7" l="1"/>
  <c r="I289" i="1"/>
  <c r="I290" i="1" l="1"/>
  <c r="L289" i="7"/>
  <c r="I291" i="1" l="1"/>
  <c r="L290" i="7"/>
  <c r="I292" i="1" l="1"/>
  <c r="L291" i="7"/>
  <c r="I293" i="1" l="1"/>
  <c r="L292" i="7"/>
  <c r="I294" i="1" l="1"/>
  <c r="L293" i="7"/>
  <c r="I295" i="1" l="1"/>
  <c r="L294" i="7"/>
  <c r="I296" i="1" l="1"/>
  <c r="L295" i="7"/>
  <c r="I297" i="1" l="1"/>
  <c r="L296" i="7"/>
  <c r="I298" i="1" l="1"/>
  <c r="L297" i="7"/>
  <c r="I299" i="1" l="1"/>
  <c r="L298" i="7"/>
  <c r="I300" i="1" l="1"/>
  <c r="L299" i="7"/>
  <c r="I301" i="1" l="1"/>
  <c r="L300" i="7"/>
  <c r="I302" i="1" l="1"/>
  <c r="L301" i="7"/>
  <c r="I303" i="1" l="1"/>
  <c r="L302" i="7"/>
  <c r="I304" i="1" l="1"/>
  <c r="L303" i="7"/>
  <c r="I305" i="1" l="1"/>
  <c r="L304" i="7"/>
  <c r="I306" i="1" l="1"/>
  <c r="L305" i="7"/>
  <c r="I307" i="1" l="1"/>
  <c r="L306" i="7"/>
  <c r="L307" i="7" l="1"/>
  <c r="I308" i="1"/>
  <c r="I309" i="1" l="1"/>
  <c r="L308" i="7"/>
  <c r="I310" i="1" l="1"/>
  <c r="L309" i="7"/>
  <c r="I311" i="1" l="1"/>
  <c r="L310" i="7"/>
  <c r="I312" i="1" l="1"/>
  <c r="L311" i="7"/>
  <c r="L312" i="7" l="1"/>
  <c r="I313" i="1"/>
  <c r="I314" i="1" l="1"/>
  <c r="L313" i="7"/>
  <c r="I315" i="1" l="1"/>
  <c r="L314" i="7"/>
  <c r="I316" i="1" l="1"/>
  <c r="L315" i="7"/>
  <c r="L316" i="7" l="1"/>
  <c r="I317" i="1"/>
  <c r="I318" i="1" l="1"/>
  <c r="L317" i="7"/>
  <c r="I319" i="1" l="1"/>
  <c r="L318" i="7"/>
  <c r="I320" i="1" l="1"/>
  <c r="L319" i="7"/>
  <c r="I321" i="1" l="1"/>
  <c r="L320" i="7"/>
  <c r="I322" i="1" l="1"/>
  <c r="L321" i="7"/>
  <c r="I323" i="1" l="1"/>
  <c r="L322" i="7"/>
  <c r="I324" i="1" l="1"/>
  <c r="L323" i="7"/>
  <c r="I325" i="1" l="1"/>
  <c r="L324" i="7"/>
  <c r="I326" i="1" l="1"/>
  <c r="L325" i="7"/>
  <c r="I327" i="1" l="1"/>
  <c r="L326" i="7"/>
  <c r="I328" i="1" l="1"/>
  <c r="L327" i="7"/>
  <c r="I329" i="1" l="1"/>
  <c r="L328" i="7"/>
  <c r="L329" i="7" l="1"/>
  <c r="I330" i="1"/>
  <c r="I331" i="1" l="1"/>
  <c r="L330" i="7"/>
  <c r="L331" i="7" l="1"/>
  <c r="I332" i="1"/>
  <c r="I333" i="1" l="1"/>
  <c r="L332" i="7"/>
  <c r="I334" i="1" l="1"/>
  <c r="L333" i="7"/>
  <c r="I335" i="1" l="1"/>
  <c r="L334" i="7"/>
  <c r="I336" i="1" l="1"/>
  <c r="L335" i="7"/>
  <c r="I337" i="1" l="1"/>
  <c r="L336" i="7"/>
  <c r="I338" i="1" l="1"/>
  <c r="L337" i="7"/>
  <c r="I339" i="1" l="1"/>
  <c r="L338" i="7"/>
  <c r="I340" i="1" l="1"/>
  <c r="L339" i="7"/>
  <c r="I341" i="1" l="1"/>
  <c r="L340" i="7"/>
  <c r="I342" i="1" l="1"/>
  <c r="L341" i="7"/>
  <c r="I343" i="1" l="1"/>
  <c r="L342" i="7"/>
  <c r="I344" i="1" l="1"/>
  <c r="L343" i="7"/>
  <c r="I345" i="1" l="1"/>
  <c r="L344" i="7"/>
  <c r="I346" i="1" l="1"/>
  <c r="L345" i="7"/>
  <c r="I347" i="1" l="1"/>
  <c r="L346" i="7"/>
  <c r="I348" i="1" l="1"/>
  <c r="L347" i="7"/>
  <c r="I349" i="1" l="1"/>
  <c r="L348" i="7"/>
  <c r="I350" i="1" l="1"/>
  <c r="L349" i="7"/>
  <c r="I351" i="1" l="1"/>
  <c r="L350" i="7"/>
  <c r="I352" i="1" l="1"/>
  <c r="L351" i="7"/>
  <c r="I353" i="1" l="1"/>
  <c r="L352" i="7"/>
  <c r="I354" i="1" l="1"/>
  <c r="L353" i="7"/>
  <c r="I355" i="1" l="1"/>
  <c r="L354" i="7"/>
  <c r="I356" i="1" l="1"/>
  <c r="L355" i="7"/>
  <c r="L356" i="7" l="1"/>
  <c r="I357" i="1"/>
  <c r="I358" i="1" l="1"/>
  <c r="L357" i="7"/>
  <c r="I359" i="1" l="1"/>
  <c r="L358" i="7"/>
  <c r="L359" i="7" l="1"/>
  <c r="I360" i="1"/>
  <c r="L360" i="7" l="1"/>
  <c r="I361" i="1"/>
  <c r="L361" i="7" l="1"/>
  <c r="I362" i="1"/>
  <c r="I363" i="1" l="1"/>
  <c r="L362" i="7"/>
  <c r="I364" i="1" l="1"/>
  <c r="L363" i="7"/>
  <c r="I365" i="1" l="1"/>
  <c r="L364" i="7"/>
  <c r="I366" i="1" l="1"/>
  <c r="L365" i="7"/>
  <c r="I367" i="1" l="1"/>
  <c r="L366" i="7"/>
  <c r="I368" i="1" l="1"/>
  <c r="L367" i="7"/>
  <c r="I369" i="1" l="1"/>
  <c r="L368" i="7"/>
  <c r="L369" i="7" l="1"/>
  <c r="I370" i="1"/>
  <c r="I371" i="1" l="1"/>
  <c r="L370" i="7"/>
  <c r="I372" i="1" l="1"/>
  <c r="L371" i="7"/>
  <c r="I373" i="1" l="1"/>
  <c r="L372" i="7"/>
  <c r="I374" i="1" l="1"/>
  <c r="L373" i="7"/>
  <c r="I375" i="1" l="1"/>
  <c r="L374" i="7"/>
  <c r="I376" i="1" l="1"/>
  <c r="L375" i="7"/>
  <c r="I377" i="1" l="1"/>
  <c r="L376" i="7"/>
  <c r="I378" i="1" l="1"/>
  <c r="L377" i="7"/>
  <c r="I379" i="1" l="1"/>
  <c r="L378" i="7"/>
  <c r="I380" i="1" l="1"/>
  <c r="L379" i="7"/>
  <c r="I381" i="1" l="1"/>
  <c r="L380" i="7"/>
  <c r="I382" i="1" l="1"/>
  <c r="L381" i="7"/>
  <c r="I383" i="1" l="1"/>
  <c r="L382" i="7"/>
  <c r="I384" i="1" l="1"/>
  <c r="L383" i="7"/>
  <c r="I385" i="1" l="1"/>
  <c r="L384" i="7"/>
  <c r="I386" i="1" l="1"/>
  <c r="L385" i="7"/>
  <c r="I387" i="1" l="1"/>
  <c r="L386" i="7"/>
  <c r="I388" i="1" l="1"/>
  <c r="L387" i="7"/>
  <c r="I389" i="1" l="1"/>
  <c r="L388" i="7"/>
  <c r="I390" i="1" l="1"/>
  <c r="L389" i="7"/>
  <c r="I391" i="1" l="1"/>
  <c r="L390" i="7"/>
  <c r="I392" i="1" l="1"/>
  <c r="L391" i="7"/>
  <c r="I393" i="1" l="1"/>
  <c r="L392" i="7"/>
  <c r="L393" i="7" l="1"/>
  <c r="I394" i="1"/>
  <c r="I395" i="1" l="1"/>
  <c r="L394" i="7"/>
  <c r="I396" i="1" l="1"/>
  <c r="L395" i="7"/>
  <c r="I397" i="1" l="1"/>
  <c r="L396" i="7"/>
  <c r="I398" i="1" l="1"/>
  <c r="L397" i="7"/>
  <c r="L398" i="7" l="1"/>
  <c r="I399" i="1"/>
  <c r="L399" i="7" l="1"/>
  <c r="I400" i="1"/>
  <c r="I401" i="1" l="1"/>
  <c r="L400" i="7"/>
  <c r="I402" i="1" l="1"/>
  <c r="L401" i="7"/>
  <c r="I403" i="1" l="1"/>
  <c r="L402" i="7"/>
  <c r="I404" i="1" l="1"/>
  <c r="L403" i="7"/>
  <c r="I405" i="1" l="1"/>
  <c r="L404" i="7"/>
  <c r="I406" i="1" l="1"/>
  <c r="L405" i="7"/>
  <c r="I407" i="1" l="1"/>
  <c r="L406" i="7"/>
  <c r="I408" i="1" l="1"/>
  <c r="L407" i="7"/>
  <c r="I409" i="1" l="1"/>
  <c r="L408" i="7"/>
  <c r="L409" i="7" l="1"/>
  <c r="I410" i="1"/>
  <c r="I411" i="1" l="1"/>
  <c r="L410" i="7"/>
  <c r="I412" i="1" l="1"/>
  <c r="L411" i="7"/>
  <c r="I413" i="1" l="1"/>
  <c r="L412" i="7"/>
  <c r="I414" i="1" l="1"/>
  <c r="L413" i="7"/>
  <c r="I415" i="1" l="1"/>
  <c r="L414" i="7"/>
  <c r="I416" i="1" l="1"/>
  <c r="L415" i="7"/>
  <c r="I417" i="1" l="1"/>
  <c r="L416" i="7"/>
  <c r="I418" i="1" l="1"/>
  <c r="L417" i="7"/>
  <c r="I419" i="1" l="1"/>
  <c r="L418" i="7"/>
  <c r="I420" i="1" l="1"/>
  <c r="L419" i="7"/>
  <c r="I421" i="1" l="1"/>
  <c r="L420" i="7"/>
  <c r="I422" i="1" l="1"/>
  <c r="L421" i="7"/>
  <c r="L422" i="7" l="1"/>
  <c r="I423" i="1"/>
  <c r="I424" i="1" l="1"/>
  <c r="L423" i="7"/>
  <c r="I425" i="1" l="1"/>
  <c r="L424" i="7"/>
  <c r="I426" i="1" l="1"/>
  <c r="L425" i="7"/>
  <c r="I427" i="1" l="1"/>
  <c r="L426" i="7"/>
  <c r="I428" i="1" l="1"/>
  <c r="L427" i="7"/>
  <c r="I429" i="1" l="1"/>
  <c r="L428" i="7"/>
  <c r="I430" i="1" l="1"/>
  <c r="L429" i="7"/>
  <c r="I431" i="1" l="1"/>
  <c r="L430" i="7"/>
  <c r="I432" i="1" l="1"/>
  <c r="L431" i="7"/>
  <c r="I433" i="1" l="1"/>
  <c r="L432" i="7"/>
  <c r="I434" i="1" l="1"/>
  <c r="L433" i="7"/>
  <c r="I435" i="1" l="1"/>
  <c r="L434" i="7"/>
  <c r="I436" i="1" l="1"/>
  <c r="L435" i="7"/>
  <c r="I437" i="1" l="1"/>
  <c r="L436" i="7"/>
  <c r="I438" i="1" l="1"/>
  <c r="L437" i="7"/>
  <c r="I439" i="1" l="1"/>
  <c r="L438" i="7"/>
  <c r="I440" i="1" l="1"/>
  <c r="L439" i="7"/>
  <c r="I441" i="1" l="1"/>
  <c r="L440" i="7"/>
  <c r="L441" i="7" l="1"/>
  <c r="I442" i="1"/>
  <c r="I443" i="1" l="1"/>
  <c r="L442" i="7"/>
  <c r="I444" i="1" l="1"/>
  <c r="L443" i="7"/>
  <c r="I445" i="1" l="1"/>
  <c r="L444" i="7"/>
  <c r="L445" i="7" l="1"/>
  <c r="I446" i="1"/>
  <c r="I447" i="1" l="1"/>
  <c r="L446" i="7"/>
  <c r="I448" i="1" l="1"/>
  <c r="L447" i="7"/>
  <c r="I449" i="1" l="1"/>
  <c r="L448" i="7"/>
  <c r="I450" i="1" l="1"/>
  <c r="L449" i="7"/>
  <c r="I451" i="1" l="1"/>
  <c r="L450" i="7"/>
  <c r="L451" i="7" l="1"/>
  <c r="I452" i="1"/>
  <c r="L452" i="7" l="1"/>
  <c r="I453" i="1"/>
  <c r="I454" i="1" l="1"/>
  <c r="L453" i="7"/>
  <c r="L454" i="7" l="1"/>
  <c r="I455" i="1"/>
  <c r="I456" i="1" l="1"/>
  <c r="L455" i="7"/>
  <c r="I457" i="1" l="1"/>
  <c r="L456" i="7"/>
  <c r="I458" i="1" l="1"/>
  <c r="L457" i="7"/>
  <c r="I459" i="1" l="1"/>
  <c r="L458" i="7"/>
  <c r="I460" i="1" l="1"/>
  <c r="L459" i="7"/>
  <c r="I461" i="1" l="1"/>
  <c r="L460" i="7"/>
  <c r="I462" i="1" l="1"/>
  <c r="L461" i="7"/>
  <c r="L462" i="7" l="1"/>
  <c r="I463" i="1"/>
  <c r="I464" i="1" l="1"/>
  <c r="L463" i="7"/>
  <c r="I465" i="1" l="1"/>
  <c r="L464" i="7"/>
  <c r="I466" i="1" l="1"/>
  <c r="L465" i="7"/>
  <c r="I467" i="1" l="1"/>
  <c r="L466" i="7"/>
  <c r="I468" i="1" l="1"/>
  <c r="L467" i="7"/>
  <c r="I469" i="1" l="1"/>
  <c r="L468" i="7"/>
  <c r="I470" i="1" l="1"/>
  <c r="L469" i="7"/>
  <c r="L470" i="7" l="1"/>
  <c r="I471" i="1"/>
  <c r="I472" i="1" l="1"/>
  <c r="L471" i="7"/>
  <c r="I473" i="1" l="1"/>
  <c r="L472" i="7"/>
  <c r="I474" i="1" l="1"/>
  <c r="L473" i="7"/>
  <c r="L474" i="7" l="1"/>
  <c r="I475" i="1"/>
  <c r="I476" i="1" l="1"/>
  <c r="L475" i="7"/>
  <c r="I477" i="1" l="1"/>
  <c r="L476" i="7"/>
  <c r="I478" i="1" l="1"/>
  <c r="L477" i="7"/>
  <c r="I479" i="1" l="1"/>
  <c r="L478" i="7"/>
  <c r="L479" i="7" l="1"/>
  <c r="I480" i="1"/>
  <c r="I481" i="1" l="1"/>
  <c r="L480" i="7"/>
  <c r="I482" i="1" l="1"/>
  <c r="L481" i="7"/>
  <c r="I483" i="1" l="1"/>
  <c r="L482" i="7"/>
  <c r="I484" i="1" l="1"/>
  <c r="L483" i="7"/>
  <c r="I485" i="1" l="1"/>
  <c r="L484" i="7"/>
  <c r="L485" i="7" l="1"/>
  <c r="I486" i="1"/>
  <c r="I487" i="1" l="1"/>
  <c r="L486" i="7"/>
  <c r="L487" i="7" l="1"/>
  <c r="I488" i="1"/>
  <c r="I489" i="1" l="1"/>
  <c r="L488" i="7"/>
  <c r="L489" i="7" l="1"/>
  <c r="I490" i="1"/>
  <c r="I491" i="1" l="1"/>
  <c r="L490" i="7"/>
  <c r="I492" i="1" l="1"/>
  <c r="L491" i="7"/>
  <c r="I493" i="1" l="1"/>
  <c r="L492" i="7"/>
  <c r="I494" i="1" l="1"/>
  <c r="L493" i="7"/>
  <c r="L494" i="7" l="1"/>
  <c r="I495" i="1"/>
  <c r="I496" i="1" l="1"/>
  <c r="L495" i="7"/>
  <c r="I497" i="1" l="1"/>
  <c r="L496" i="7"/>
  <c r="L497" i="7" l="1"/>
  <c r="I498" i="1"/>
  <c r="I499" i="1" l="1"/>
  <c r="L498" i="7"/>
  <c r="I500" i="1" l="1"/>
  <c r="L499" i="7"/>
  <c r="I501" i="1" l="1"/>
  <c r="L500" i="7"/>
  <c r="I502" i="1" l="1"/>
  <c r="L501" i="7"/>
  <c r="I503" i="1" l="1"/>
  <c r="L502" i="7"/>
  <c r="I504" i="1" l="1"/>
  <c r="L503" i="7"/>
  <c r="I505" i="1" l="1"/>
  <c r="L504" i="7"/>
  <c r="I506" i="1" l="1"/>
  <c r="L505" i="7"/>
  <c r="I507" i="1" l="1"/>
  <c r="L506" i="7"/>
  <c r="I508" i="1" l="1"/>
  <c r="L507" i="7"/>
  <c r="L508" i="7" l="1"/>
  <c r="I509" i="1"/>
  <c r="L509" i="7" l="1"/>
  <c r="I510" i="1"/>
  <c r="I511" i="1" l="1"/>
  <c r="L510" i="7"/>
  <c r="L511" i="7" l="1"/>
  <c r="I512" i="1"/>
  <c r="L512" i="7" l="1"/>
  <c r="I513" i="1"/>
  <c r="I514" i="1" l="1"/>
  <c r="L513" i="7"/>
  <c r="I515" i="1" l="1"/>
  <c r="L514" i="7"/>
  <c r="L515" i="7" l="1"/>
  <c r="I516" i="1"/>
  <c r="L516" i="7" l="1"/>
  <c r="I517" i="1"/>
  <c r="I518" i="1" l="1"/>
  <c r="L517" i="7"/>
  <c r="I519" i="1" l="1"/>
  <c r="L518" i="7"/>
  <c r="I520" i="1" l="1"/>
  <c r="L519" i="7"/>
  <c r="I521" i="1" l="1"/>
  <c r="L520" i="7"/>
  <c r="I522" i="1" l="1"/>
  <c r="L521" i="7"/>
  <c r="I523" i="1" l="1"/>
  <c r="L522" i="7"/>
  <c r="I524" i="1" l="1"/>
  <c r="L523" i="7"/>
  <c r="L524" i="7" l="1"/>
  <c r="I525" i="1"/>
  <c r="L525" i="7" l="1"/>
  <c r="I526" i="1"/>
  <c r="I527" i="1" l="1"/>
  <c r="L526" i="7"/>
  <c r="I528" i="1" l="1"/>
  <c r="L527" i="7"/>
  <c r="I529" i="1" l="1"/>
  <c r="L528" i="7"/>
  <c r="L529" i="7" l="1"/>
  <c r="I530" i="1"/>
  <c r="L530" i="7" l="1"/>
  <c r="I531" i="1"/>
  <c r="I532" i="1" l="1"/>
  <c r="L531" i="7"/>
  <c r="I533" i="1" l="1"/>
  <c r="L532" i="7"/>
  <c r="I534" i="1" l="1"/>
  <c r="L533" i="7"/>
  <c r="I535" i="1" l="1"/>
  <c r="L534" i="7"/>
  <c r="I536" i="1" l="1"/>
  <c r="L535" i="7"/>
  <c r="I537" i="1" l="1"/>
  <c r="L536" i="7"/>
  <c r="I538" i="1" l="1"/>
  <c r="L537" i="7"/>
  <c r="I539" i="1" l="1"/>
  <c r="L538" i="7"/>
  <c r="I540" i="1" l="1"/>
  <c r="L539" i="7"/>
  <c r="L540" i="7" l="1"/>
  <c r="I541" i="1"/>
  <c r="I542" i="1" l="1"/>
  <c r="L541" i="7"/>
  <c r="I543" i="1" l="1"/>
  <c r="L542" i="7"/>
  <c r="I544" i="1" l="1"/>
  <c r="L543" i="7"/>
  <c r="I545" i="1" l="1"/>
  <c r="L544" i="7"/>
  <c r="I546" i="1" l="1"/>
  <c r="L545" i="7"/>
  <c r="I547" i="1" l="1"/>
  <c r="L546" i="7"/>
  <c r="I548" i="1" l="1"/>
  <c r="L547" i="7"/>
  <c r="I549" i="1" l="1"/>
  <c r="L548" i="7"/>
  <c r="I550" i="1" l="1"/>
  <c r="L549" i="7"/>
  <c r="I551" i="1" l="1"/>
  <c r="L550" i="7"/>
  <c r="I552" i="1" l="1"/>
  <c r="L551" i="7"/>
  <c r="I553" i="1" l="1"/>
  <c r="L552" i="7"/>
  <c r="I554" i="1" l="1"/>
  <c r="L553" i="7"/>
  <c r="I555" i="1" l="1"/>
  <c r="L554" i="7"/>
  <c r="I556" i="1" l="1"/>
  <c r="L555" i="7"/>
  <c r="L556" i="7" l="1"/>
  <c r="I557" i="1"/>
  <c r="L557" i="7" l="1"/>
  <c r="I558" i="1"/>
  <c r="I559" i="1" l="1"/>
  <c r="L558" i="7"/>
  <c r="I560" i="1" l="1"/>
  <c r="L559" i="7"/>
  <c r="I561" i="1" l="1"/>
  <c r="L560" i="7"/>
  <c r="I562" i="1" l="1"/>
  <c r="L561" i="7"/>
  <c r="I563" i="1" l="1"/>
  <c r="L562" i="7"/>
  <c r="L563" i="7" l="1"/>
  <c r="I564" i="1"/>
  <c r="I565" i="1" l="1"/>
  <c r="L564" i="7"/>
  <c r="I566" i="1" l="1"/>
  <c r="L565" i="7"/>
  <c r="I567" i="1" l="1"/>
  <c r="L566" i="7"/>
  <c r="L567" i="7" l="1"/>
  <c r="I568" i="1"/>
  <c r="I569" i="1" l="1"/>
  <c r="L568" i="7"/>
  <c r="L569" i="7" l="1"/>
  <c r="I570" i="1"/>
  <c r="I571" i="1" l="1"/>
  <c r="L570" i="7"/>
  <c r="I572" i="1" l="1"/>
  <c r="L571" i="7"/>
  <c r="I573" i="1" l="1"/>
  <c r="L572" i="7"/>
  <c r="L573" i="7" l="1"/>
  <c r="I574" i="1"/>
  <c r="I575" i="1" l="1"/>
  <c r="L574" i="7"/>
  <c r="I576" i="1" l="1"/>
  <c r="L575" i="7"/>
  <c r="I577" i="1" l="1"/>
  <c r="L576" i="7"/>
  <c r="I578" i="1" l="1"/>
  <c r="L577" i="7"/>
  <c r="I579" i="1" l="1"/>
  <c r="L578" i="7"/>
  <c r="I580" i="1" l="1"/>
  <c r="L579" i="7"/>
  <c r="I581" i="1" l="1"/>
  <c r="L580" i="7"/>
  <c r="I582" i="1" l="1"/>
  <c r="L581" i="7"/>
  <c r="I583" i="1" l="1"/>
  <c r="L582" i="7"/>
  <c r="I584" i="1" l="1"/>
  <c r="L583" i="7"/>
  <c r="L584" i="7" l="1"/>
  <c r="I585" i="1"/>
  <c r="I586" i="1" l="1"/>
  <c r="L585" i="7"/>
  <c r="I587" i="1" l="1"/>
  <c r="L586" i="7"/>
  <c r="I588" i="1" l="1"/>
  <c r="L587" i="7"/>
  <c r="I589" i="1" l="1"/>
  <c r="L588" i="7"/>
  <c r="I590" i="1" l="1"/>
  <c r="L589" i="7"/>
  <c r="I591" i="1" l="1"/>
  <c r="L590" i="7"/>
  <c r="I592" i="1" l="1"/>
  <c r="L591" i="7"/>
  <c r="I593" i="1" l="1"/>
  <c r="L592" i="7"/>
  <c r="I594" i="1" l="1"/>
  <c r="L593" i="7"/>
  <c r="I595" i="1" l="1"/>
  <c r="L594" i="7"/>
  <c r="I596" i="1" l="1"/>
  <c r="L595" i="7"/>
  <c r="L596" i="7" l="1"/>
  <c r="I597" i="1"/>
  <c r="I598" i="1" l="1"/>
  <c r="L597" i="7"/>
  <c r="I599" i="1" l="1"/>
  <c r="L598" i="7"/>
  <c r="L599" i="7" l="1"/>
  <c r="I600" i="1"/>
  <c r="I601" i="1" l="1"/>
  <c r="L600" i="7"/>
  <c r="I602" i="1" l="1"/>
  <c r="L601" i="7"/>
  <c r="I603" i="1" l="1"/>
  <c r="L602" i="7"/>
  <c r="I604" i="1" l="1"/>
  <c r="L603" i="7"/>
  <c r="I605" i="1" l="1"/>
  <c r="L604" i="7"/>
  <c r="L605" i="7" l="1"/>
  <c r="I606" i="1"/>
  <c r="I607" i="1" l="1"/>
  <c r="L606" i="7"/>
  <c r="I608" i="1" l="1"/>
  <c r="L607" i="7"/>
  <c r="I609" i="1" l="1"/>
  <c r="L608" i="7"/>
  <c r="I610" i="1" l="1"/>
  <c r="L609" i="7"/>
  <c r="I611" i="1" l="1"/>
  <c r="L610" i="7"/>
  <c r="I612" i="1" l="1"/>
  <c r="L611" i="7"/>
  <c r="I613" i="1" l="1"/>
  <c r="L612" i="7"/>
  <c r="I614" i="1" l="1"/>
  <c r="L613" i="7"/>
  <c r="I615" i="1" l="1"/>
  <c r="L614" i="7"/>
  <c r="I616" i="1" l="1"/>
  <c r="L615" i="7"/>
  <c r="I617" i="1" l="1"/>
  <c r="L616" i="7"/>
  <c r="L617" i="7" l="1"/>
  <c r="I618" i="1"/>
  <c r="I619" i="1" l="1"/>
  <c r="L618" i="7"/>
  <c r="L619" i="7" l="1"/>
  <c r="I620" i="1"/>
  <c r="I621" i="1" l="1"/>
  <c r="L620" i="7"/>
  <c r="L621" i="7" l="1"/>
  <c r="I622" i="1"/>
  <c r="I623" i="1" l="1"/>
  <c r="L622" i="7"/>
  <c r="I624" i="1" l="1"/>
  <c r="L623" i="7"/>
  <c r="I625" i="1" l="1"/>
  <c r="L624" i="7"/>
  <c r="I626" i="1" l="1"/>
  <c r="L625" i="7"/>
  <c r="I627" i="1" l="1"/>
  <c r="L626" i="7"/>
  <c r="L627" i="7" l="1"/>
  <c r="I628" i="1"/>
  <c r="I629" i="1" l="1"/>
  <c r="L628" i="7"/>
  <c r="I630" i="1" l="1"/>
  <c r="L629" i="7"/>
  <c r="I631" i="1" l="1"/>
  <c r="L630" i="7"/>
  <c r="I632" i="1" l="1"/>
  <c r="L631" i="7"/>
  <c r="I633" i="1" l="1"/>
  <c r="L632" i="7"/>
  <c r="I634" i="1" l="1"/>
  <c r="L633" i="7"/>
  <c r="L634" i="7" l="1"/>
  <c r="I635" i="1"/>
  <c r="L635" i="7" l="1"/>
  <c r="I636" i="1"/>
  <c r="I637" i="1" l="1"/>
  <c r="L636" i="7"/>
  <c r="I638" i="1" l="1"/>
  <c r="L637" i="7"/>
  <c r="I639" i="1" l="1"/>
  <c r="L638" i="7"/>
  <c r="I640" i="1" l="1"/>
  <c r="L639" i="7"/>
  <c r="L640" i="7" l="1"/>
  <c r="I641" i="1"/>
  <c r="I642" i="1" l="1"/>
  <c r="L641" i="7"/>
  <c r="I643" i="1" l="1"/>
  <c r="L642" i="7"/>
  <c r="I644" i="1" l="1"/>
  <c r="L643" i="7"/>
  <c r="I645" i="1" l="1"/>
  <c r="L644" i="7"/>
  <c r="I646" i="1" l="1"/>
  <c r="L645" i="7"/>
  <c r="I647" i="1" l="1"/>
  <c r="L646" i="7"/>
  <c r="I648" i="1" l="1"/>
  <c r="L647" i="7"/>
  <c r="I649" i="1" l="1"/>
  <c r="L648" i="7"/>
  <c r="I650" i="1" l="1"/>
  <c r="L649" i="7"/>
  <c r="I651" i="1" l="1"/>
  <c r="L650" i="7"/>
  <c r="I652" i="1" l="1"/>
  <c r="L651" i="7"/>
  <c r="I653" i="1" l="1"/>
  <c r="L652" i="7"/>
  <c r="I654" i="1" l="1"/>
  <c r="L653" i="7"/>
  <c r="I655" i="1" l="1"/>
  <c r="L654" i="7"/>
  <c r="L655" i="7" l="1"/>
  <c r="I656" i="1"/>
  <c r="I657" i="1" l="1"/>
  <c r="L656" i="7"/>
  <c r="L657" i="7" l="1"/>
  <c r="I658" i="1"/>
  <c r="I659" i="1" l="1"/>
  <c r="L658" i="7"/>
  <c r="L659" i="7" l="1"/>
  <c r="I660" i="1"/>
  <c r="I661" i="1" l="1"/>
  <c r="L660" i="7"/>
  <c r="I662" i="1" l="1"/>
  <c r="L661" i="7"/>
  <c r="I663" i="1" l="1"/>
  <c r="L662" i="7"/>
  <c r="I664" i="1" l="1"/>
  <c r="L663" i="7"/>
  <c r="I665" i="1" l="1"/>
  <c r="L664" i="7"/>
  <c r="I666" i="1" l="1"/>
  <c r="L665" i="7"/>
  <c r="L666" i="7" l="1"/>
  <c r="I667" i="1"/>
  <c r="I668" i="1" l="1"/>
  <c r="L667" i="7"/>
  <c r="I669" i="1" l="1"/>
  <c r="L668" i="7"/>
  <c r="I670" i="1" l="1"/>
  <c r="L669" i="7"/>
  <c r="I671" i="1" l="1"/>
  <c r="L670" i="7"/>
  <c r="I672" i="1" l="1"/>
  <c r="L671" i="7"/>
  <c r="I673" i="1" l="1"/>
  <c r="L672" i="7"/>
  <c r="I674" i="1" l="1"/>
  <c r="L673" i="7"/>
  <c r="I675" i="1" l="1"/>
  <c r="L674" i="7"/>
  <c r="I676" i="1" l="1"/>
  <c r="L675" i="7"/>
  <c r="I677" i="1" l="1"/>
  <c r="L676" i="7"/>
  <c r="I678" i="1" l="1"/>
  <c r="L677" i="7"/>
  <c r="I679" i="1" l="1"/>
  <c r="L678" i="7"/>
  <c r="I680" i="1" l="1"/>
  <c r="L679" i="7"/>
  <c r="L680" i="7" l="1"/>
  <c r="I681" i="1"/>
  <c r="I682" i="1" l="1"/>
  <c r="L681" i="7"/>
  <c r="I683" i="1" l="1"/>
  <c r="L682" i="7"/>
  <c r="I684" i="1" l="1"/>
  <c r="L683" i="7"/>
  <c r="I685" i="1" l="1"/>
  <c r="L684" i="7"/>
  <c r="I686" i="1" l="1"/>
  <c r="L685" i="7"/>
  <c r="I687" i="1" l="1"/>
  <c r="L686" i="7"/>
  <c r="L687" i="7" l="1"/>
  <c r="I688" i="1"/>
  <c r="L688" i="7" l="1"/>
  <c r="I689" i="1"/>
  <c r="I690" i="1" l="1"/>
  <c r="L689" i="7"/>
  <c r="I691" i="1" l="1"/>
  <c r="L690" i="7"/>
  <c r="I692" i="1" l="1"/>
  <c r="L691" i="7"/>
  <c r="I693" i="1" l="1"/>
  <c r="L692" i="7"/>
  <c r="I694" i="1" l="1"/>
  <c r="L693" i="7"/>
  <c r="L694" i="7" l="1"/>
  <c r="I695" i="1"/>
  <c r="I696" i="1" l="1"/>
  <c r="L695" i="7"/>
  <c r="L696" i="7" l="1"/>
  <c r="I697" i="1"/>
  <c r="I698" i="1" l="1"/>
  <c r="L697" i="7"/>
  <c r="I699" i="1" l="1"/>
  <c r="L698" i="7"/>
  <c r="L699" i="7" l="1"/>
  <c r="I700" i="1"/>
  <c r="I701" i="1" l="1"/>
  <c r="L700" i="7"/>
  <c r="I702" i="1" l="1"/>
  <c r="L701" i="7"/>
  <c r="L702" i="7" l="1"/>
  <c r="I703" i="1"/>
  <c r="I704" i="1" l="1"/>
  <c r="L703" i="7"/>
  <c r="I705" i="1" l="1"/>
  <c r="L704" i="7"/>
  <c r="I706" i="1" l="1"/>
  <c r="L705" i="7"/>
  <c r="I707" i="1" l="1"/>
  <c r="L706" i="7"/>
  <c r="I708" i="1" l="1"/>
  <c r="L707" i="7"/>
  <c r="I709" i="1" l="1"/>
  <c r="L708" i="7"/>
  <c r="I710" i="1" l="1"/>
  <c r="L709" i="7"/>
  <c r="L710" i="7" l="1"/>
  <c r="I711" i="1"/>
  <c r="I712" i="1" l="1"/>
  <c r="L711" i="7"/>
  <c r="L712" i="7" l="1"/>
  <c r="I713" i="1"/>
  <c r="L713" i="7" l="1"/>
  <c r="I714" i="1"/>
  <c r="L714" i="7" l="1"/>
  <c r="I715" i="1"/>
  <c r="I716" i="1" l="1"/>
  <c r="L715" i="7"/>
  <c r="I717" i="1" l="1"/>
  <c r="L716" i="7"/>
  <c r="I718" i="1" l="1"/>
  <c r="L717" i="7"/>
  <c r="L718" i="7" l="1"/>
  <c r="I719" i="1"/>
  <c r="L719" i="7" l="1"/>
  <c r="I720" i="1"/>
  <c r="I721" i="1" l="1"/>
  <c r="L720" i="7"/>
  <c r="L721" i="7" l="1"/>
  <c r="I722" i="1"/>
  <c r="L722" i="7" l="1"/>
  <c r="I723" i="1"/>
  <c r="I724" i="1" l="1"/>
  <c r="L723" i="7"/>
  <c r="I725" i="1" l="1"/>
  <c r="L724" i="7"/>
  <c r="I726" i="1" l="1"/>
  <c r="L725" i="7"/>
  <c r="I727" i="1" l="1"/>
  <c r="L726" i="7"/>
  <c r="L727" i="7" l="1"/>
  <c r="I728" i="1"/>
  <c r="I729" i="1" l="1"/>
  <c r="L728" i="7"/>
  <c r="I730" i="1" l="1"/>
  <c r="L729" i="7"/>
  <c r="L730" i="7" l="1"/>
  <c r="I731" i="1"/>
  <c r="I732" i="1" l="1"/>
  <c r="L731" i="7"/>
  <c r="I733" i="1" l="1"/>
  <c r="L732" i="7"/>
  <c r="I734" i="1" l="1"/>
  <c r="L733" i="7"/>
  <c r="I735" i="1" l="1"/>
  <c r="L734" i="7"/>
  <c r="I736" i="1" l="1"/>
  <c r="L735" i="7"/>
  <c r="I737" i="1" l="1"/>
  <c r="L736" i="7"/>
  <c r="I738" i="1" l="1"/>
  <c r="L737" i="7"/>
  <c r="L738" i="7" l="1"/>
  <c r="I739" i="1"/>
  <c r="L739" i="7" l="1"/>
  <c r="I740" i="1"/>
  <c r="L740" i="7" l="1"/>
  <c r="I741" i="1"/>
  <c r="I742" i="1" l="1"/>
  <c r="L741" i="7"/>
  <c r="I743" i="1" l="1"/>
  <c r="L742" i="7"/>
  <c r="I744" i="1" l="1"/>
  <c r="L743" i="7"/>
  <c r="I745" i="1" l="1"/>
  <c r="L744" i="7"/>
  <c r="I746" i="1" l="1"/>
  <c r="L745" i="7"/>
  <c r="I747" i="1" l="1"/>
  <c r="L746" i="7"/>
  <c r="I748" i="1" l="1"/>
  <c r="L747" i="7"/>
  <c r="I749" i="1" l="1"/>
  <c r="L748" i="7"/>
  <c r="I750" i="1" l="1"/>
  <c r="L749" i="7"/>
  <c r="I751" i="1" l="1"/>
  <c r="L750" i="7"/>
  <c r="L751" i="7" l="1"/>
  <c r="I752" i="1"/>
  <c r="L752" i="7" l="1"/>
  <c r="I753" i="1"/>
  <c r="I754" i="1" l="1"/>
  <c r="L753" i="7"/>
  <c r="I755" i="1" l="1"/>
  <c r="L754" i="7"/>
  <c r="I756" i="1" l="1"/>
  <c r="L755" i="7"/>
  <c r="L756" i="7" l="1"/>
  <c r="I757" i="1"/>
  <c r="I758" i="1" l="1"/>
  <c r="L757" i="7"/>
  <c r="I759" i="1" l="1"/>
  <c r="L758" i="7"/>
  <c r="I760" i="1" l="1"/>
  <c r="L759" i="7"/>
  <c r="I761" i="1" l="1"/>
  <c r="L760" i="7"/>
  <c r="L761" i="7" l="1"/>
  <c r="I762" i="1"/>
  <c r="L762" i="7" l="1"/>
  <c r="I763" i="1"/>
  <c r="I764" i="1" l="1"/>
  <c r="L763" i="7"/>
  <c r="I765" i="1" l="1"/>
  <c r="L764" i="7"/>
  <c r="I766" i="1" l="1"/>
  <c r="L765" i="7"/>
  <c r="L766" i="7" l="1"/>
  <c r="I767" i="1"/>
  <c r="I768" i="1" l="1"/>
  <c r="L767" i="7"/>
  <c r="L768" i="7" l="1"/>
  <c r="I769" i="1"/>
  <c r="I770" i="1" l="1"/>
  <c r="L769" i="7"/>
  <c r="L770" i="7" l="1"/>
  <c r="I771" i="1"/>
  <c r="I772" i="1" l="1"/>
  <c r="L771" i="7"/>
  <c r="I773" i="1" l="1"/>
  <c r="L772" i="7"/>
  <c r="I774" i="1" l="1"/>
  <c r="L773" i="7"/>
  <c r="L774" i="7" l="1"/>
  <c r="I775" i="1"/>
  <c r="I776" i="1" l="1"/>
  <c r="L775" i="7"/>
  <c r="L776" i="7" l="1"/>
  <c r="I777" i="1"/>
  <c r="I778" i="1" l="1"/>
  <c r="L777" i="7"/>
  <c r="L778" i="7" l="1"/>
  <c r="I779" i="1"/>
  <c r="I780" i="1" l="1"/>
  <c r="L779" i="7"/>
  <c r="L780" i="7" l="1"/>
  <c r="I781" i="1"/>
  <c r="L781" i="7" l="1"/>
  <c r="I782" i="1"/>
  <c r="L782" i="7" l="1"/>
  <c r="I783" i="1"/>
  <c r="I784" i="1" l="1"/>
  <c r="L783" i="7"/>
  <c r="I785" i="1" l="1"/>
  <c r="L784" i="7"/>
  <c r="L785" i="7" l="1"/>
  <c r="I786" i="1"/>
  <c r="I787" i="1" l="1"/>
  <c r="L786" i="7"/>
  <c r="L787" i="7" l="1"/>
  <c r="I788" i="1"/>
  <c r="I789" i="1" l="1"/>
  <c r="L788" i="7"/>
  <c r="L789" i="7" l="1"/>
  <c r="I790" i="1"/>
  <c r="I791" i="1" l="1"/>
  <c r="L790" i="7"/>
  <c r="I792" i="1" l="1"/>
  <c r="L791" i="7"/>
  <c r="I793" i="1" l="1"/>
  <c r="L792" i="7"/>
  <c r="L793" i="7" l="1"/>
  <c r="I794" i="1"/>
  <c r="L794" i="7" l="1"/>
  <c r="I795" i="1"/>
  <c r="I796" i="1" l="1"/>
  <c r="L795" i="7"/>
  <c r="L796" i="7" l="1"/>
  <c r="I797" i="1"/>
  <c r="I798" i="1" l="1"/>
  <c r="L797" i="7"/>
  <c r="L798" i="7" l="1"/>
  <c r="I799" i="1"/>
  <c r="I800" i="1" l="1"/>
  <c r="L799" i="7"/>
  <c r="I801" i="1" l="1"/>
  <c r="L800" i="7"/>
  <c r="L801" i="7" l="1"/>
  <c r="I802" i="1"/>
  <c r="I803" i="1" l="1"/>
  <c r="L802" i="7"/>
  <c r="I804" i="1" l="1"/>
  <c r="L803" i="7"/>
  <c r="L804" i="7" l="1"/>
  <c r="I805" i="1"/>
  <c r="I806" i="1" l="1"/>
  <c r="L805" i="7"/>
  <c r="I807" i="1" l="1"/>
  <c r="L806" i="7"/>
  <c r="L807" i="7" l="1"/>
  <c r="I808" i="1"/>
  <c r="I809" i="1" l="1"/>
  <c r="L808" i="7"/>
  <c r="I810" i="1" l="1"/>
  <c r="L809" i="7"/>
  <c r="L810" i="7" l="1"/>
  <c r="I811" i="1"/>
  <c r="L811" i="7" l="1"/>
  <c r="I812" i="1"/>
  <c r="I813" i="1" l="1"/>
  <c r="L812" i="7"/>
  <c r="I814" i="1" l="1"/>
  <c r="L813" i="7"/>
  <c r="L814" i="7" l="1"/>
  <c r="I815" i="1"/>
  <c r="I816" i="1" l="1"/>
  <c r="L815" i="7"/>
  <c r="L816" i="7" l="1"/>
  <c r="I817" i="1"/>
  <c r="L817" i="7" l="1"/>
  <c r="I818" i="1"/>
  <c r="L818" i="7" l="1"/>
  <c r="I819" i="1"/>
  <c r="L819" i="7" l="1"/>
  <c r="I820" i="1"/>
  <c r="I821" i="1" l="1"/>
  <c r="L820" i="7"/>
  <c r="I822" i="1" l="1"/>
  <c r="L821" i="7"/>
  <c r="I823" i="1" l="1"/>
  <c r="L822" i="7"/>
  <c r="L823" i="7" l="1"/>
  <c r="I824" i="1"/>
  <c r="I825" i="1" l="1"/>
  <c r="L824" i="7"/>
  <c r="L825" i="7" l="1"/>
  <c r="I826" i="1"/>
  <c r="I827" i="1" l="1"/>
  <c r="L826" i="7"/>
  <c r="I828" i="1" l="1"/>
  <c r="L827" i="7"/>
  <c r="I829" i="1" l="1"/>
  <c r="L828" i="7"/>
  <c r="I830" i="1" l="1"/>
  <c r="L829" i="7"/>
  <c r="I831" i="1" l="1"/>
  <c r="L830" i="7"/>
  <c r="I832" i="1" l="1"/>
  <c r="L831" i="7"/>
  <c r="I833" i="1" l="1"/>
  <c r="L832" i="7"/>
  <c r="I834" i="1" l="1"/>
  <c r="L833" i="7"/>
  <c r="L834" i="7" l="1"/>
  <c r="I835" i="1"/>
  <c r="I836" i="1" l="1"/>
  <c r="L835" i="7"/>
  <c r="L836" i="7" l="1"/>
  <c r="I837" i="1"/>
  <c r="L837" i="7" l="1"/>
  <c r="I838" i="1"/>
  <c r="L838" i="7" l="1"/>
  <c r="I839" i="1"/>
  <c r="L839" i="7" l="1"/>
  <c r="I840" i="1"/>
  <c r="I841" i="1" l="1"/>
  <c r="L840" i="7"/>
  <c r="I842" i="1" l="1"/>
  <c r="L841" i="7"/>
  <c r="I843" i="1" l="1"/>
  <c r="L842" i="7"/>
  <c r="I844" i="1" l="1"/>
  <c r="L843" i="7"/>
  <c r="I845" i="1" l="1"/>
  <c r="L844" i="7"/>
  <c r="I846" i="1" l="1"/>
  <c r="L845" i="7"/>
  <c r="I847" i="1" l="1"/>
  <c r="L846" i="7"/>
  <c r="I848" i="1" l="1"/>
  <c r="L847" i="7"/>
  <c r="I849" i="1" l="1"/>
  <c r="L848" i="7"/>
  <c r="I850" i="1" l="1"/>
  <c r="L849" i="7"/>
  <c r="I851" i="1" l="1"/>
  <c r="L850" i="7"/>
  <c r="I852" i="1" l="1"/>
  <c r="L851" i="7"/>
  <c r="L852" i="7" l="1"/>
  <c r="I853" i="1"/>
  <c r="I854" i="1" l="1"/>
  <c r="L853" i="7"/>
  <c r="I855" i="1" l="1"/>
  <c r="L854" i="7"/>
  <c r="I856" i="1" l="1"/>
  <c r="L855" i="7"/>
  <c r="I857" i="1" l="1"/>
  <c r="L856" i="7"/>
  <c r="I858" i="1" l="1"/>
  <c r="L857" i="7"/>
  <c r="I859" i="1" l="1"/>
  <c r="L858" i="7"/>
  <c r="I860" i="1" l="1"/>
  <c r="L859" i="7"/>
  <c r="I861" i="1" l="1"/>
  <c r="L860" i="7"/>
  <c r="L861" i="7" l="1"/>
  <c r="I862" i="1"/>
  <c r="I863" i="1" l="1"/>
  <c r="L862" i="7"/>
  <c r="I864" i="1" l="1"/>
  <c r="L863" i="7"/>
  <c r="L864" i="7" l="1"/>
  <c r="I865" i="1"/>
  <c r="I866" i="1" l="1"/>
  <c r="L865" i="7"/>
  <c r="I867" i="1" l="1"/>
  <c r="L866" i="7"/>
  <c r="I868" i="1" l="1"/>
  <c r="L867" i="7"/>
  <c r="I869" i="1" l="1"/>
  <c r="L868" i="7"/>
  <c r="I870" i="1" l="1"/>
  <c r="L869" i="7"/>
  <c r="I871" i="1" l="1"/>
  <c r="L870" i="7"/>
  <c r="I872" i="1" l="1"/>
  <c r="L871" i="7"/>
  <c r="I873" i="1" l="1"/>
  <c r="L872" i="7"/>
  <c r="L873" i="7" l="1"/>
  <c r="I874" i="1"/>
  <c r="I875" i="1" l="1"/>
  <c r="L874" i="7"/>
  <c r="I876" i="1" l="1"/>
  <c r="L875" i="7"/>
  <c r="I877" i="1" l="1"/>
  <c r="L876" i="7"/>
  <c r="I878" i="1" l="1"/>
  <c r="L877" i="7"/>
  <c r="I879" i="1" l="1"/>
  <c r="L878" i="7"/>
  <c r="I880" i="1" l="1"/>
  <c r="L879" i="7"/>
  <c r="I881" i="1" l="1"/>
  <c r="L880" i="7"/>
  <c r="L881" i="7" l="1"/>
  <c r="I882" i="1"/>
  <c r="I883" i="1" l="1"/>
  <c r="L882" i="7"/>
  <c r="I884" i="1" l="1"/>
  <c r="L883" i="7"/>
  <c r="L884" i="7" l="1"/>
  <c r="I885" i="1"/>
  <c r="L885" i="7" l="1"/>
  <c r="I886" i="1"/>
  <c r="I887" i="1" l="1"/>
  <c r="L886" i="7"/>
  <c r="L887" i="7" l="1"/>
  <c r="I888" i="1"/>
  <c r="I889" i="1" l="1"/>
  <c r="L888" i="7"/>
  <c r="I890" i="1" l="1"/>
  <c r="L889" i="7"/>
  <c r="L890" i="7" l="1"/>
  <c r="I891" i="1"/>
  <c r="I892" i="1" l="1"/>
  <c r="L891" i="7"/>
  <c r="I893" i="1" l="1"/>
  <c r="L892" i="7"/>
  <c r="I894" i="1" l="1"/>
  <c r="L893" i="7"/>
  <c r="L894" i="7" l="1"/>
  <c r="I895" i="1"/>
  <c r="I896" i="1" l="1"/>
  <c r="L895" i="7"/>
  <c r="L896" i="7" l="1"/>
  <c r="I897" i="1"/>
  <c r="L897" i="7" l="1"/>
  <c r="I898" i="1"/>
  <c r="I899" i="1" l="1"/>
  <c r="L898" i="7"/>
  <c r="I900" i="1" l="1"/>
  <c r="L899" i="7"/>
  <c r="L900" i="7" l="1"/>
  <c r="I901" i="1"/>
  <c r="I902" i="1" l="1"/>
  <c r="L901" i="7"/>
  <c r="I903" i="1" l="1"/>
  <c r="L902" i="7"/>
  <c r="L903" i="7" l="1"/>
  <c r="I904" i="1"/>
  <c r="I905" i="1" l="1"/>
  <c r="L904" i="7"/>
  <c r="L905" i="7" l="1"/>
  <c r="I906" i="1"/>
  <c r="I907" i="1" l="1"/>
  <c r="L906" i="7"/>
  <c r="I908" i="1" l="1"/>
  <c r="L907" i="7"/>
  <c r="I909" i="1" l="1"/>
  <c r="L908" i="7"/>
  <c r="L909" i="7" l="1"/>
  <c r="I910" i="1"/>
  <c r="I911" i="1" l="1"/>
  <c r="L910" i="7"/>
  <c r="I912" i="1" l="1"/>
  <c r="L911" i="7"/>
  <c r="L912" i="7" l="1"/>
  <c r="I913" i="1"/>
  <c r="I914" i="1" l="1"/>
  <c r="L913" i="7"/>
  <c r="I915" i="1" l="1"/>
  <c r="L914" i="7"/>
  <c r="L915" i="7" l="1"/>
  <c r="I916" i="1"/>
  <c r="I917" i="1" l="1"/>
  <c r="L916" i="7"/>
  <c r="I918" i="1" l="1"/>
  <c r="L917" i="7"/>
  <c r="L918" i="7" l="1"/>
  <c r="I919" i="1"/>
  <c r="L919" i="7" l="1"/>
  <c r="I920" i="1"/>
  <c r="L920" i="7" l="1"/>
  <c r="I921" i="1"/>
  <c r="I922" i="1" l="1"/>
  <c r="L921" i="7"/>
  <c r="L922" i="7" l="1"/>
  <c r="I923" i="1"/>
  <c r="L923" i="7" l="1"/>
  <c r="I924" i="1"/>
  <c r="I925" i="1" l="1"/>
  <c r="L924" i="7"/>
  <c r="L925" i="7" l="1"/>
  <c r="I926" i="1"/>
  <c r="L926" i="7" l="1"/>
  <c r="I927" i="1"/>
  <c r="L927" i="7" l="1"/>
  <c r="I928" i="1"/>
  <c r="L928" i="7" l="1"/>
  <c r="I929" i="1"/>
  <c r="L929" i="7" l="1"/>
  <c r="I930" i="1"/>
  <c r="L930" i="7" l="1"/>
  <c r="I931" i="1"/>
  <c r="I932" i="1" l="1"/>
  <c r="L931" i="7"/>
  <c r="I933" i="1" l="1"/>
  <c r="L932" i="7"/>
  <c r="I934" i="1" l="1"/>
  <c r="L933" i="7"/>
  <c r="L934" i="7" l="1"/>
  <c r="I935" i="1"/>
  <c r="L935" i="7" l="1"/>
  <c r="I936" i="1"/>
  <c r="L936" i="7" l="1"/>
  <c r="I937" i="1"/>
  <c r="I938" i="1" l="1"/>
  <c r="L937" i="7"/>
  <c r="I939" i="1" l="1"/>
  <c r="L938" i="7"/>
  <c r="I940" i="1" l="1"/>
  <c r="L939" i="7"/>
  <c r="L940" i="7" l="1"/>
  <c r="I941" i="1"/>
  <c r="I942" i="1" l="1"/>
  <c r="L941" i="7"/>
  <c r="I943" i="1" l="1"/>
  <c r="L942" i="7"/>
  <c r="I944" i="1" l="1"/>
  <c r="L943" i="7"/>
  <c r="I945" i="1" l="1"/>
  <c r="L944" i="7"/>
  <c r="I946" i="1" l="1"/>
  <c r="L945" i="7"/>
  <c r="L946" i="7" l="1"/>
  <c r="I947" i="1"/>
  <c r="I948" i="1" l="1"/>
  <c r="L947" i="7"/>
  <c r="L948" i="7" l="1"/>
  <c r="I949" i="1"/>
  <c r="I950" i="1" l="1"/>
  <c r="L949" i="7"/>
  <c r="I951" i="1" l="1"/>
  <c r="L950" i="7"/>
  <c r="I952" i="1" l="1"/>
  <c r="L951" i="7"/>
  <c r="I953" i="1" l="1"/>
  <c r="L952" i="7"/>
  <c r="I954" i="1" l="1"/>
  <c r="L953" i="7"/>
  <c r="I955" i="1" l="1"/>
  <c r="L954" i="7"/>
  <c r="I956" i="1" l="1"/>
  <c r="L955" i="7"/>
  <c r="I957" i="1" l="1"/>
  <c r="L956" i="7"/>
  <c r="I958" i="1" l="1"/>
  <c r="L957" i="7"/>
  <c r="L958" i="7" l="1"/>
  <c r="I959" i="1"/>
  <c r="L959" i="7" l="1"/>
  <c r="I960" i="1"/>
  <c r="I961" i="1" l="1"/>
  <c r="L960" i="7"/>
  <c r="I962" i="1" l="1"/>
  <c r="L961" i="7"/>
  <c r="L962" i="7" l="1"/>
  <c r="I963" i="1"/>
  <c r="I964" i="1" l="1"/>
  <c r="L963" i="7"/>
  <c r="L964" i="7" l="1"/>
  <c r="I965" i="1"/>
  <c r="I966" i="1" l="1"/>
  <c r="L965" i="7"/>
  <c r="I967" i="1" l="1"/>
  <c r="L966" i="7"/>
  <c r="I968" i="1" l="1"/>
  <c r="L967" i="7"/>
  <c r="L968" i="7" l="1"/>
  <c r="I969" i="1"/>
  <c r="L969" i="7" l="1"/>
  <c r="I970" i="1"/>
  <c r="L970" i="7" l="1"/>
  <c r="I971" i="1"/>
  <c r="I972" i="1" l="1"/>
  <c r="L971" i="7"/>
  <c r="I973" i="1" l="1"/>
  <c r="L972" i="7"/>
  <c r="I974" i="1" l="1"/>
  <c r="L973" i="7"/>
  <c r="L974" i="7" l="1"/>
  <c r="I975" i="1"/>
  <c r="I976" i="1" l="1"/>
  <c r="L975" i="7"/>
  <c r="I977" i="1" l="1"/>
  <c r="L976" i="7"/>
  <c r="I978" i="1" l="1"/>
  <c r="L977" i="7"/>
  <c r="I979" i="1" l="1"/>
  <c r="L978" i="7"/>
  <c r="I980" i="1" l="1"/>
  <c r="L979" i="7"/>
  <c r="I981" i="1" l="1"/>
  <c r="L980" i="7"/>
  <c r="I982" i="1" l="1"/>
  <c r="L981" i="7"/>
  <c r="I983" i="1" l="1"/>
  <c r="L982" i="7"/>
  <c r="I984" i="1" l="1"/>
  <c r="L983" i="7"/>
  <c r="I985" i="1" l="1"/>
  <c r="L984" i="7"/>
  <c r="I986" i="1" l="1"/>
  <c r="L985" i="7"/>
  <c r="I987" i="1" l="1"/>
  <c r="L986" i="7"/>
  <c r="L987" i="7" l="1"/>
  <c r="I988" i="1"/>
  <c r="L988" i="7" l="1"/>
  <c r="I989" i="1"/>
  <c r="L989" i="7" l="1"/>
  <c r="I990" i="1"/>
  <c r="I991" i="1" l="1"/>
  <c r="L990" i="7"/>
  <c r="L991" i="7" l="1"/>
  <c r="I992" i="1"/>
  <c r="I993" i="1" l="1"/>
  <c r="L992" i="7"/>
  <c r="I994" i="1" l="1"/>
  <c r="L993" i="7"/>
  <c r="L994" i="7" l="1"/>
  <c r="I995" i="1"/>
  <c r="L995" i="7" l="1"/>
  <c r="I996" i="1"/>
  <c r="I997" i="1" l="1"/>
  <c r="L996" i="7"/>
  <c r="I998" i="1" l="1"/>
  <c r="L997" i="7"/>
  <c r="I999" i="1" l="1"/>
  <c r="L998" i="7"/>
  <c r="L999" i="7" l="1"/>
  <c r="I1000" i="1"/>
  <c r="I1001" i="1" l="1"/>
  <c r="L1000" i="7"/>
  <c r="L1001" i="7" l="1"/>
  <c r="I1002" i="1"/>
  <c r="I1003" i="1" l="1"/>
  <c r="L1002" i="7"/>
  <c r="L1003" i="7" l="1"/>
  <c r="I1004" i="1"/>
  <c r="L1004" i="7" l="1"/>
  <c r="I1005" i="1"/>
  <c r="I1006" i="1" l="1"/>
  <c r="L1005" i="7"/>
  <c r="L1006" i="7" l="1"/>
  <c r="I1007" i="1"/>
  <c r="I1008" i="1" l="1"/>
  <c r="L1007" i="7"/>
  <c r="L1008" i="7" l="1"/>
  <c r="I1009" i="1"/>
  <c r="I1010" i="1" l="1"/>
  <c r="L1009" i="7"/>
  <c r="I1011" i="1" l="1"/>
  <c r="L1010" i="7"/>
  <c r="I1012" i="1" l="1"/>
  <c r="L1011" i="7"/>
  <c r="I1013" i="1" l="1"/>
  <c r="L1012" i="7"/>
  <c r="I1014" i="1" l="1"/>
  <c r="L1013" i="7"/>
  <c r="I1015" i="1" l="1"/>
  <c r="L1014" i="7"/>
  <c r="I1016" i="1" l="1"/>
  <c r="L1015" i="7"/>
  <c r="I1017" i="1" l="1"/>
  <c r="L1016" i="7"/>
  <c r="I1018" i="1" l="1"/>
  <c r="L1017" i="7"/>
  <c r="I1019" i="1" l="1"/>
  <c r="L1018" i="7"/>
  <c r="I1020" i="1" l="1"/>
  <c r="L1019" i="7"/>
  <c r="I1021" i="1" l="1"/>
  <c r="L1020" i="7"/>
  <c r="I1022" i="1" l="1"/>
  <c r="L1021" i="7"/>
  <c r="I1023" i="1" l="1"/>
  <c r="L1022" i="7"/>
  <c r="I1024" i="1" l="1"/>
  <c r="L1023" i="7"/>
  <c r="I1025" i="1" l="1"/>
  <c r="L1024" i="7"/>
  <c r="I1026" i="1" l="1"/>
  <c r="L1025" i="7"/>
  <c r="I1027" i="1" l="1"/>
  <c r="L1026" i="7"/>
  <c r="L1027" i="7" l="1"/>
  <c r="I1028" i="1"/>
  <c r="I1029" i="1" l="1"/>
  <c r="L1028" i="7"/>
  <c r="I1030" i="1" l="1"/>
  <c r="L1029" i="7"/>
  <c r="L1030" i="7" l="1"/>
  <c r="I1031" i="1"/>
  <c r="I1032" i="1" l="1"/>
  <c r="L1031" i="7"/>
  <c r="I1033" i="1" l="1"/>
  <c r="L1032" i="7"/>
  <c r="I1034" i="1" l="1"/>
  <c r="L1033" i="7"/>
  <c r="I1035" i="1" l="1"/>
  <c r="L1034" i="7"/>
  <c r="I1036" i="1" l="1"/>
  <c r="L1035" i="7"/>
  <c r="I1037" i="1" l="1"/>
  <c r="L1036" i="7"/>
  <c r="L1037" i="7" l="1"/>
  <c r="I1038" i="1"/>
  <c r="I1039" i="1" l="1"/>
  <c r="L1038" i="7"/>
  <c r="I1040" i="1" l="1"/>
  <c r="L1039" i="7"/>
  <c r="I1041" i="1" l="1"/>
  <c r="L1040" i="7"/>
  <c r="I1042" i="1" l="1"/>
  <c r="L1041" i="7"/>
  <c r="I1043" i="1" l="1"/>
  <c r="L1042" i="7"/>
  <c r="I1044" i="1" l="1"/>
  <c r="L1043" i="7"/>
  <c r="I1045" i="1" l="1"/>
  <c r="L1044" i="7"/>
  <c r="I1046" i="1" l="1"/>
  <c r="L1045" i="7"/>
  <c r="I1047" i="1" l="1"/>
  <c r="L1046" i="7"/>
  <c r="I1048" i="1" l="1"/>
  <c r="L1047" i="7"/>
  <c r="I1049" i="1" l="1"/>
  <c r="L1048" i="7"/>
  <c r="I1050" i="1" l="1"/>
  <c r="L1049" i="7"/>
  <c r="I1051" i="1" l="1"/>
  <c r="L1050" i="7"/>
  <c r="I1052" i="1" l="1"/>
  <c r="L1051" i="7"/>
  <c r="I1053" i="1" l="1"/>
  <c r="L1052" i="7"/>
  <c r="L1053" i="7" l="1"/>
  <c r="I1054" i="1"/>
  <c r="L1054" i="7" l="1"/>
  <c r="I1055" i="1"/>
  <c r="I1056" i="1" l="1"/>
  <c r="L1055" i="7"/>
  <c r="I1057" i="1" l="1"/>
  <c r="L1056" i="7"/>
  <c r="I1058" i="1" l="1"/>
  <c r="L1057" i="7"/>
  <c r="L1058" i="7" l="1"/>
  <c r="I1059" i="1"/>
  <c r="L1059" i="7" l="1"/>
  <c r="I1060" i="1"/>
  <c r="L1060" i="7" l="1"/>
  <c r="I1061" i="1"/>
  <c r="I1062" i="1" l="1"/>
  <c r="L1061" i="7"/>
  <c r="I1063" i="1" l="1"/>
  <c r="L1062" i="7"/>
  <c r="I1064" i="1" l="1"/>
  <c r="L1063" i="7"/>
  <c r="I1065" i="1" l="1"/>
  <c r="L1064" i="7"/>
  <c r="I1066" i="1" l="1"/>
  <c r="L1065" i="7"/>
  <c r="L1066" i="7" l="1"/>
  <c r="I1067" i="1"/>
  <c r="I1068" i="1" l="1"/>
  <c r="L1067" i="7"/>
  <c r="L1068" i="7" l="1"/>
  <c r="I1069" i="1"/>
  <c r="I1070" i="1" l="1"/>
  <c r="L1069" i="7"/>
  <c r="L1070" i="7" l="1"/>
  <c r="I1071" i="1"/>
  <c r="I1072" i="1" l="1"/>
  <c r="L1071" i="7"/>
  <c r="I1073" i="1" l="1"/>
  <c r="L1072" i="7"/>
  <c r="I1074" i="1" l="1"/>
  <c r="L1073" i="7"/>
  <c r="L1074" i="7" l="1"/>
  <c r="I1075" i="1"/>
  <c r="I1076" i="1" l="1"/>
  <c r="L1075" i="7"/>
  <c r="I1077" i="1" l="1"/>
  <c r="L1076" i="7"/>
  <c r="L1077" i="7" l="1"/>
  <c r="I1078" i="1"/>
  <c r="I1079" i="1" l="1"/>
  <c r="L1078" i="7"/>
  <c r="I1080" i="1" l="1"/>
  <c r="L1079" i="7"/>
  <c r="I1081" i="1" l="1"/>
  <c r="L1080" i="7"/>
  <c r="I1082" i="1" l="1"/>
  <c r="L1081" i="7"/>
  <c r="L1082" i="7" l="1"/>
  <c r="I1083" i="1"/>
  <c r="I1084" i="1" l="1"/>
  <c r="L1083" i="7"/>
  <c r="L1084" i="7" l="1"/>
  <c r="I1085" i="1"/>
  <c r="I1086" i="1" l="1"/>
  <c r="L1085" i="7"/>
  <c r="I1087" i="1" l="1"/>
  <c r="L1086" i="7"/>
  <c r="I1088" i="1" l="1"/>
  <c r="L1087" i="7"/>
  <c r="I1089" i="1" l="1"/>
  <c r="L1088" i="7"/>
  <c r="I1090" i="1" l="1"/>
  <c r="L1089" i="7"/>
  <c r="I1091" i="1" l="1"/>
  <c r="L1090" i="7"/>
  <c r="L1091" i="7" l="1"/>
  <c r="I1092" i="1"/>
  <c r="I1093" i="1" l="1"/>
  <c r="L1092" i="7"/>
  <c r="I1094" i="1" l="1"/>
  <c r="L1093" i="7"/>
  <c r="L1094" i="7" l="1"/>
  <c r="I1095" i="1"/>
  <c r="I1096" i="1" l="1"/>
  <c r="L1095" i="7"/>
  <c r="I1097" i="1" l="1"/>
  <c r="L1096" i="7"/>
  <c r="L1097" i="7" l="1"/>
  <c r="I1098" i="1"/>
  <c r="I1099" i="1" l="1"/>
  <c r="L1098" i="7"/>
  <c r="I1100" i="1" l="1"/>
  <c r="L1099" i="7"/>
  <c r="I1101" i="1" l="1"/>
  <c r="L1100" i="7"/>
  <c r="I1102" i="1" l="1"/>
  <c r="L1101" i="7"/>
  <c r="L1102" i="7" l="1"/>
  <c r="I1103" i="1"/>
  <c r="L1103" i="7" l="1"/>
  <c r="I1104" i="1"/>
  <c r="I1105" i="1" l="1"/>
  <c r="L1104" i="7"/>
  <c r="L1105" i="7" l="1"/>
  <c r="I1106" i="1"/>
  <c r="I1107" i="1" l="1"/>
  <c r="L1106" i="7"/>
  <c r="L1107" i="7" l="1"/>
  <c r="I1108" i="1"/>
  <c r="I1109" i="1" l="1"/>
  <c r="L1108" i="7"/>
  <c r="I1110" i="1" l="1"/>
  <c r="L1109" i="7"/>
  <c r="I1111" i="1" l="1"/>
  <c r="L1110" i="7"/>
  <c r="I1112" i="1" l="1"/>
  <c r="L1111" i="7"/>
  <c r="I1113" i="1" l="1"/>
  <c r="L1112" i="7"/>
  <c r="I1114" i="1" l="1"/>
  <c r="L1113" i="7"/>
  <c r="I1115" i="1" l="1"/>
  <c r="L1114" i="7"/>
  <c r="I1116" i="1" l="1"/>
  <c r="L1115" i="7"/>
  <c r="I1117" i="1" l="1"/>
  <c r="L1116" i="7"/>
  <c r="I1118" i="1" l="1"/>
  <c r="L1117" i="7"/>
  <c r="I1119" i="1" l="1"/>
  <c r="L1118" i="7"/>
  <c r="I1120" i="1" l="1"/>
  <c r="L1119" i="7"/>
  <c r="I1121" i="1" l="1"/>
  <c r="L1120" i="7"/>
  <c r="I1122" i="1" l="1"/>
  <c r="L1121" i="7"/>
  <c r="L1122" i="7" l="1"/>
  <c r="I1123" i="1"/>
  <c r="L1123" i="7" l="1"/>
  <c r="I1124" i="1"/>
  <c r="I1125" i="1" l="1"/>
  <c r="L1124" i="7"/>
  <c r="L1125" i="7" l="1"/>
  <c r="I1126" i="1"/>
  <c r="I1127" i="1" l="1"/>
  <c r="L1126" i="7"/>
  <c r="L1127" i="7" l="1"/>
  <c r="I1128" i="1"/>
  <c r="L1128" i="7" l="1"/>
  <c r="I1129" i="1"/>
  <c r="L1129" i="7" l="1"/>
  <c r="I1130" i="1"/>
  <c r="I1131" i="1" l="1"/>
  <c r="L1130" i="7"/>
  <c r="L1131" i="7" l="1"/>
  <c r="I1132" i="1"/>
  <c r="I1133" i="1" l="1"/>
  <c r="L1132" i="7"/>
  <c r="I1134" i="1" l="1"/>
  <c r="L1133" i="7"/>
  <c r="L1134" i="7" l="1"/>
  <c r="I1135" i="1"/>
  <c r="L1135" i="7" l="1"/>
  <c r="I1136" i="1"/>
  <c r="I1137" i="1" l="1"/>
  <c r="L1136" i="7"/>
  <c r="L1137" i="7" l="1"/>
  <c r="I1138" i="1"/>
  <c r="I1139" i="1" l="1"/>
  <c r="L1138" i="7"/>
  <c r="I1140" i="1" l="1"/>
  <c r="L1139" i="7"/>
  <c r="I1141" i="1" l="1"/>
  <c r="L1140" i="7"/>
  <c r="L1141" i="7" l="1"/>
  <c r="I1142" i="1"/>
  <c r="I1143" i="1" l="1"/>
  <c r="L1142" i="7"/>
  <c r="I1144" i="1" l="1"/>
  <c r="L1143" i="7"/>
  <c r="I1145" i="1" l="1"/>
  <c r="L1144" i="7"/>
  <c r="I1146" i="1" l="1"/>
  <c r="L1145" i="7"/>
  <c r="L1146" i="7" l="1"/>
  <c r="I1147" i="1"/>
  <c r="I1148" i="1" l="1"/>
  <c r="L1147" i="7"/>
  <c r="I1149" i="1" l="1"/>
  <c r="L1148" i="7"/>
  <c r="L1149" i="7" l="1"/>
  <c r="I1150" i="1"/>
  <c r="L1150" i="7" l="1"/>
  <c r="I1151" i="1"/>
  <c r="I1152" i="1" l="1"/>
  <c r="L1151" i="7"/>
  <c r="I1153" i="1" l="1"/>
  <c r="L1152" i="7"/>
  <c r="I1154" i="1" l="1"/>
  <c r="L1153" i="7"/>
  <c r="I1155" i="1" l="1"/>
  <c r="L1154" i="7"/>
  <c r="I1156" i="1" l="1"/>
  <c r="L1155" i="7"/>
  <c r="I1157" i="1" l="1"/>
  <c r="L1156" i="7"/>
  <c r="I1158" i="1" l="1"/>
  <c r="L1157" i="7"/>
  <c r="L1158" i="7" l="1"/>
  <c r="I1159" i="1"/>
  <c r="I1160" i="1" l="1"/>
  <c r="L1159" i="7"/>
  <c r="L1160" i="7" l="1"/>
  <c r="I1161" i="1"/>
  <c r="L1161" i="7" l="1"/>
  <c r="I1162" i="1"/>
  <c r="I1163" i="1" l="1"/>
  <c r="L1162" i="7"/>
  <c r="L1163" i="7" l="1"/>
  <c r="I1164" i="1"/>
  <c r="L1164" i="7" l="1"/>
  <c r="I1165" i="1"/>
  <c r="L1165" i="7" l="1"/>
  <c r="I1166" i="1"/>
  <c r="I1167" i="1" l="1"/>
  <c r="L1166" i="7"/>
  <c r="I1168" i="1" l="1"/>
  <c r="L1167" i="7"/>
  <c r="I1169" i="1" l="1"/>
  <c r="L1168" i="7"/>
  <c r="I1170" i="1" l="1"/>
  <c r="L1169" i="7"/>
  <c r="I1171" i="1" l="1"/>
  <c r="L1170" i="7"/>
  <c r="I1172" i="1" l="1"/>
  <c r="L1171" i="7"/>
  <c r="L1172" i="7" l="1"/>
  <c r="I1173" i="1"/>
  <c r="I1174" i="1" l="1"/>
  <c r="L1173" i="7"/>
  <c r="I1175" i="1" l="1"/>
  <c r="L1174" i="7"/>
  <c r="I1176" i="1" l="1"/>
  <c r="L1175" i="7"/>
  <c r="I1177" i="1" l="1"/>
  <c r="L1176" i="7"/>
  <c r="I1178" i="1" l="1"/>
  <c r="L1177" i="7"/>
  <c r="L1178" i="7" l="1"/>
  <c r="I1179" i="1"/>
  <c r="I1180" i="1" l="1"/>
  <c r="L1179" i="7"/>
  <c r="L1180" i="7" l="1"/>
  <c r="I1181" i="1"/>
  <c r="I1182" i="1" l="1"/>
  <c r="L1181" i="7"/>
  <c r="L1182" i="7" l="1"/>
  <c r="I1183" i="1"/>
  <c r="I1184" i="1" l="1"/>
  <c r="L1183" i="7"/>
  <c r="I1185" i="1" l="1"/>
  <c r="L1184" i="7"/>
  <c r="I1186" i="1" l="1"/>
  <c r="L1185" i="7"/>
  <c r="I1187" i="1" l="1"/>
  <c r="L1186" i="7"/>
  <c r="I1188" i="1" l="1"/>
  <c r="L1187" i="7"/>
  <c r="L1188" i="7" l="1"/>
  <c r="I1189" i="1"/>
  <c r="I1190" i="1" l="1"/>
  <c r="L1189" i="7"/>
  <c r="I1191" i="1" l="1"/>
  <c r="L1190" i="7"/>
  <c r="I1192" i="1" l="1"/>
  <c r="L1191" i="7"/>
  <c r="I1193" i="1" l="1"/>
  <c r="L1192" i="7"/>
  <c r="L1193" i="7" l="1"/>
  <c r="I1194" i="1"/>
  <c r="I1195" i="1" l="1"/>
  <c r="L1194" i="7"/>
  <c r="I1196" i="1" l="1"/>
  <c r="L1195" i="7"/>
  <c r="I1197" i="1" l="1"/>
  <c r="L1196" i="7"/>
  <c r="I1198" i="1" l="1"/>
  <c r="L1197" i="7"/>
  <c r="I1199" i="1" l="1"/>
  <c r="L1198" i="7"/>
  <c r="I1200" i="1" l="1"/>
  <c r="L1199" i="7"/>
  <c r="L1200" i="7" l="1"/>
  <c r="I1201" i="1"/>
  <c r="I1202" i="1" l="1"/>
  <c r="L1201" i="7"/>
  <c r="I1203" i="1" l="1"/>
  <c r="L1202" i="7"/>
  <c r="I1204" i="1" l="1"/>
  <c r="L1203" i="7"/>
  <c r="I1205" i="1" l="1"/>
  <c r="L1204" i="7"/>
  <c r="I1206" i="1" l="1"/>
  <c r="L1205" i="7"/>
  <c r="I1207" i="1" l="1"/>
  <c r="L1206" i="7"/>
  <c r="I1208" i="1" l="1"/>
  <c r="L1207" i="7"/>
  <c r="I1209" i="1" l="1"/>
  <c r="L1208" i="7"/>
  <c r="I1210" i="1" l="1"/>
  <c r="L1209" i="7"/>
  <c r="I1211" i="1" l="1"/>
  <c r="L1210" i="7"/>
  <c r="I1212" i="1" l="1"/>
  <c r="L1211" i="7"/>
  <c r="I1213" i="1" l="1"/>
  <c r="L1212" i="7"/>
  <c r="L1213" i="7" l="1"/>
  <c r="I1214" i="1"/>
  <c r="I1215" i="1" l="1"/>
  <c r="L1214" i="7"/>
  <c r="I1216" i="1" l="1"/>
  <c r="L1215" i="7"/>
  <c r="I1217" i="1" l="1"/>
  <c r="L1216" i="7"/>
  <c r="I1218" i="1" l="1"/>
  <c r="L1217" i="7"/>
  <c r="I1219" i="1" l="1"/>
  <c r="L1218" i="7"/>
  <c r="L1219" i="7" l="1"/>
  <c r="I1220" i="1"/>
  <c r="I1221" i="1" l="1"/>
  <c r="L1220" i="7"/>
  <c r="L1221" i="7" l="1"/>
  <c r="I1222" i="1"/>
  <c r="I1223" i="1" l="1"/>
  <c r="L1222" i="7"/>
  <c r="I1224" i="1" l="1"/>
  <c r="L1223" i="7"/>
  <c r="I1225" i="1" l="1"/>
  <c r="L1224" i="7"/>
  <c r="I1226" i="1" l="1"/>
  <c r="L1225" i="7"/>
  <c r="I1227" i="1" l="1"/>
  <c r="L1226" i="7"/>
  <c r="L1227" i="7" l="1"/>
  <c r="I1228" i="1"/>
  <c r="L1228" i="7" l="1"/>
  <c r="I1229" i="1"/>
  <c r="I1230" i="1" l="1"/>
  <c r="L1229" i="7"/>
  <c r="I1231" i="1" l="1"/>
  <c r="L1230" i="7"/>
  <c r="L1231" i="7" l="1"/>
  <c r="I1232" i="1"/>
  <c r="L1232" i="7" l="1"/>
  <c r="I1233" i="1"/>
  <c r="I1234" i="1" l="1"/>
  <c r="L1233" i="7"/>
  <c r="I1235" i="1" l="1"/>
  <c r="L1234" i="7"/>
  <c r="I1236" i="1" l="1"/>
  <c r="L1235" i="7"/>
  <c r="I1237" i="1" l="1"/>
  <c r="L1236" i="7"/>
  <c r="L1237" i="7" l="1"/>
  <c r="I1238" i="1"/>
  <c r="L1238" i="7" l="1"/>
  <c r="I1239" i="1"/>
  <c r="I1240" i="1" l="1"/>
  <c r="L1239" i="7"/>
  <c r="L1240" i="7" l="1"/>
  <c r="I1241" i="1"/>
  <c r="I1242" i="1" l="1"/>
  <c r="L1241" i="7"/>
  <c r="L1242" i="7" l="1"/>
  <c r="I1243" i="1"/>
  <c r="L1243" i="7" l="1"/>
  <c r="I1244" i="1"/>
  <c r="I1245" i="1" l="1"/>
  <c r="L1244" i="7"/>
  <c r="I1246" i="1" l="1"/>
  <c r="L1245" i="7"/>
  <c r="I1247" i="1" l="1"/>
  <c r="L1246" i="7"/>
  <c r="L1247" i="7" l="1"/>
  <c r="I1248" i="1"/>
  <c r="I1249" i="1" l="1"/>
  <c r="L1248" i="7"/>
  <c r="L1249" i="7" l="1"/>
  <c r="I1250" i="1"/>
  <c r="L1250" i="7" l="1"/>
  <c r="I1251" i="1"/>
  <c r="L1251" i="7" l="1"/>
  <c r="I1252" i="1"/>
  <c r="I1253" i="1" l="1"/>
  <c r="L1252" i="7"/>
  <c r="L1253" i="7" l="1"/>
  <c r="I1254" i="1"/>
  <c r="I1255" i="1" l="1"/>
  <c r="L1254" i="7"/>
  <c r="L1255" i="7" l="1"/>
  <c r="I1256" i="1"/>
  <c r="L1256" i="7" l="1"/>
  <c r="I1257" i="1"/>
  <c r="I1258" i="1" l="1"/>
  <c r="L1257" i="7"/>
  <c r="L1258" i="7" l="1"/>
  <c r="I1259" i="1"/>
  <c r="L1259" i="7" l="1"/>
  <c r="I1260" i="1"/>
  <c r="L1260" i="7" l="1"/>
  <c r="I1261" i="1"/>
  <c r="L1261" i="7" l="1"/>
  <c r="I1262" i="1"/>
  <c r="I1263" i="1" l="1"/>
  <c r="L1262" i="7"/>
  <c r="I1264" i="1" l="1"/>
  <c r="L1263" i="7"/>
  <c r="I1265" i="1" l="1"/>
  <c r="L1264" i="7"/>
  <c r="I1266" i="1" l="1"/>
  <c r="L1265" i="7"/>
  <c r="I1267" i="1" l="1"/>
  <c r="L1266" i="7"/>
  <c r="L1267" i="7" l="1"/>
  <c r="I1268" i="1"/>
  <c r="I1269" i="1" l="1"/>
  <c r="L1268" i="7"/>
  <c r="I1270" i="1" l="1"/>
  <c r="L1269" i="7"/>
  <c r="I1271" i="1" l="1"/>
  <c r="L1270" i="7"/>
  <c r="I1272" i="1" l="1"/>
  <c r="L1271" i="7"/>
  <c r="I1273" i="1" l="1"/>
  <c r="L1272" i="7"/>
  <c r="I1274" i="1" l="1"/>
  <c r="L1273" i="7"/>
  <c r="I1275" i="1" l="1"/>
  <c r="L1274" i="7"/>
  <c r="I1276" i="1" l="1"/>
  <c r="L1275" i="7"/>
  <c r="L1276" i="7" l="1"/>
  <c r="I1277" i="1"/>
  <c r="L1277" i="7" l="1"/>
  <c r="I1278" i="1"/>
  <c r="L1278" i="7" l="1"/>
  <c r="I1279" i="1"/>
  <c r="I1280" i="1" l="1"/>
  <c r="L1279" i="7"/>
  <c r="I1281" i="1" l="1"/>
  <c r="L1280" i="7"/>
  <c r="L1281" i="7" l="1"/>
  <c r="I1282" i="1"/>
  <c r="I1283" i="1" l="1"/>
  <c r="L1282" i="7"/>
  <c r="I1284" i="1" l="1"/>
  <c r="L1283" i="7"/>
  <c r="L1284" i="7" l="1"/>
  <c r="I1285" i="1"/>
  <c r="I1286" i="1" l="1"/>
  <c r="L1285" i="7"/>
  <c r="L1286" i="7" l="1"/>
  <c r="I1287" i="1"/>
  <c r="L1287" i="7" l="1"/>
  <c r="I1288" i="1"/>
  <c r="L1288" i="7" l="1"/>
  <c r="I1289" i="1"/>
  <c r="I1290" i="1" l="1"/>
  <c r="L1289" i="7"/>
  <c r="I1291" i="1" l="1"/>
  <c r="L1290" i="7"/>
  <c r="L1291" i="7" l="1"/>
  <c r="I1292" i="1"/>
  <c r="L1292" i="7" l="1"/>
  <c r="I1293" i="1"/>
  <c r="I1294" i="1" l="1"/>
  <c r="L1293" i="7"/>
  <c r="L1294" i="7" l="1"/>
  <c r="I1295" i="1"/>
  <c r="I1296" i="1" l="1"/>
  <c r="L1295" i="7"/>
  <c r="I1297" i="1" l="1"/>
  <c r="L1296" i="7"/>
  <c r="I1298" i="1" l="1"/>
  <c r="L1297" i="7"/>
  <c r="I1299" i="1" l="1"/>
  <c r="L1298" i="7"/>
  <c r="I1300" i="1" l="1"/>
  <c r="L1299" i="7"/>
  <c r="I1301" i="1" l="1"/>
  <c r="L1300" i="7"/>
  <c r="I1302" i="1" l="1"/>
  <c r="L1301" i="7"/>
  <c r="I1303" i="1" l="1"/>
  <c r="L1302" i="7"/>
  <c r="I1304" i="1" l="1"/>
  <c r="L1303" i="7"/>
  <c r="I1305" i="1" l="1"/>
  <c r="L1304" i="7"/>
  <c r="I1306" i="1" l="1"/>
  <c r="L1305" i="7"/>
  <c r="I1307" i="1" l="1"/>
  <c r="L1306" i="7"/>
  <c r="I1308" i="1" l="1"/>
  <c r="L1307" i="7"/>
  <c r="I1309" i="1" l="1"/>
  <c r="L1308" i="7"/>
  <c r="L1309" i="7" l="1"/>
  <c r="I1310" i="1"/>
  <c r="I1311" i="1" l="1"/>
  <c r="L1310" i="7"/>
  <c r="L1311" i="7" l="1"/>
  <c r="I1312" i="1"/>
  <c r="I1313" i="1" l="1"/>
  <c r="L1312" i="7"/>
  <c r="L1313" i="7" l="1"/>
  <c r="I1314" i="1"/>
  <c r="I1315" i="1" l="1"/>
  <c r="L1314" i="7"/>
  <c r="I1316" i="1" l="1"/>
  <c r="L1315" i="7"/>
  <c r="L1316" i="7" l="1"/>
  <c r="I1317" i="1"/>
  <c r="L1317" i="7" l="1"/>
  <c r="I1318" i="1"/>
  <c r="I1319" i="1" l="1"/>
  <c r="L1318" i="7"/>
  <c r="L1319" i="7" l="1"/>
  <c r="I1320" i="1"/>
  <c r="L1320" i="7" l="1"/>
  <c r="I1321" i="1"/>
  <c r="I1322" i="1" l="1"/>
  <c r="L1321" i="7"/>
  <c r="I1323" i="1" l="1"/>
  <c r="L1322" i="7"/>
  <c r="I1324" i="1" l="1"/>
  <c r="L1323" i="7"/>
  <c r="I1325" i="1" l="1"/>
  <c r="L1324" i="7"/>
  <c r="I1326" i="1" l="1"/>
  <c r="L1325" i="7"/>
  <c r="I1327" i="1" l="1"/>
  <c r="L1326" i="7"/>
  <c r="L1327" i="7" l="1"/>
  <c r="I1328" i="1"/>
  <c r="I1329" i="1" l="1"/>
  <c r="L1328" i="7"/>
  <c r="I1330" i="1" l="1"/>
  <c r="L1329" i="7"/>
  <c r="I1331" i="1" l="1"/>
  <c r="L1330" i="7"/>
  <c r="I1332" i="1" l="1"/>
  <c r="L1331" i="7"/>
  <c r="I1333" i="1" l="1"/>
  <c r="L1332" i="7"/>
  <c r="I1334" i="1" l="1"/>
  <c r="L1333" i="7"/>
  <c r="L1334" i="7" l="1"/>
  <c r="I1335" i="1"/>
  <c r="I1336" i="1" l="1"/>
  <c r="L1335" i="7"/>
  <c r="I1337" i="1" l="1"/>
  <c r="L1336" i="7"/>
  <c r="I1338" i="1" l="1"/>
  <c r="L1337" i="7"/>
  <c r="I1339" i="1" l="1"/>
  <c r="L1338" i="7"/>
  <c r="I1340" i="1" l="1"/>
  <c r="L1339" i="7"/>
  <c r="L1340" i="7" l="1"/>
  <c r="I1341" i="1"/>
  <c r="I1342" i="1" l="1"/>
  <c r="L1341" i="7"/>
  <c r="I1343" i="1" l="1"/>
  <c r="L1342" i="7"/>
  <c r="I1344" i="1" l="1"/>
  <c r="L1343" i="7"/>
  <c r="I1345" i="1" l="1"/>
  <c r="L1344" i="7"/>
  <c r="L1345" i="7" l="1"/>
  <c r="I1346" i="1"/>
  <c r="I1347" i="1" l="1"/>
  <c r="L1346" i="7"/>
  <c r="I1348" i="1" l="1"/>
  <c r="L1347" i="7"/>
  <c r="L1348" i="7" l="1"/>
  <c r="I1349" i="1"/>
  <c r="I1350" i="1" l="1"/>
  <c r="L1349" i="7"/>
  <c r="L1350" i="7" l="1"/>
  <c r="I1351" i="1"/>
  <c r="I1352" i="1" l="1"/>
  <c r="L1351" i="7"/>
  <c r="I1353" i="1" l="1"/>
  <c r="L1352" i="7"/>
  <c r="I1354" i="1" l="1"/>
  <c r="L1353" i="7"/>
  <c r="I1355" i="1" l="1"/>
  <c r="L1354" i="7"/>
  <c r="I1356" i="1" l="1"/>
  <c r="L1355" i="7"/>
  <c r="I1357" i="1" l="1"/>
  <c r="L1356" i="7"/>
  <c r="I1358" i="1" l="1"/>
  <c r="L1357" i="7"/>
  <c r="I1359" i="1" l="1"/>
  <c r="L1358" i="7"/>
  <c r="I1360" i="1" l="1"/>
  <c r="L1359" i="7"/>
  <c r="I1361" i="1" l="1"/>
  <c r="L1360" i="7"/>
  <c r="I1362" i="1" l="1"/>
  <c r="L1361" i="7"/>
  <c r="I1363" i="1" l="1"/>
  <c r="L1362" i="7"/>
  <c r="L1363" i="7" l="1"/>
  <c r="I1364" i="1"/>
  <c r="I1365" i="1" l="1"/>
  <c r="L1364" i="7"/>
  <c r="I1366" i="1" l="1"/>
  <c r="L1365" i="7"/>
  <c r="I1367" i="1" l="1"/>
  <c r="L1366" i="7"/>
  <c r="I1368" i="1" l="1"/>
  <c r="L1367" i="7"/>
  <c r="L1368" i="7" l="1"/>
  <c r="I1369" i="1"/>
  <c r="I1370" i="1" l="1"/>
  <c r="L1369" i="7"/>
  <c r="I1371" i="1" l="1"/>
  <c r="L1370" i="7"/>
  <c r="I1372" i="1" l="1"/>
  <c r="L1371" i="7"/>
  <c r="L1372" i="7" l="1"/>
  <c r="I1373" i="1"/>
  <c r="I1374" i="1" l="1"/>
  <c r="L1373" i="7"/>
  <c r="I1375" i="1" l="1"/>
  <c r="L1374" i="7"/>
  <c r="I1376" i="1" l="1"/>
  <c r="L1375" i="7"/>
  <c r="L1376" i="7" l="1"/>
  <c r="I1377" i="1"/>
  <c r="L1377" i="7" l="1"/>
  <c r="I1378" i="1"/>
  <c r="L1378" i="7" l="1"/>
  <c r="I1379" i="1"/>
  <c r="I1380" i="1" l="1"/>
  <c r="L1379" i="7"/>
  <c r="I1381" i="1" l="1"/>
  <c r="L1380" i="7"/>
  <c r="I1382" i="1" l="1"/>
  <c r="L1381" i="7"/>
  <c r="I1383" i="1" l="1"/>
  <c r="L1382" i="7"/>
  <c r="L1383" i="7" l="1"/>
  <c r="I1384" i="1"/>
  <c r="L1384" i="7" l="1"/>
  <c r="I1385" i="1"/>
  <c r="L1385" i="7" l="1"/>
  <c r="I1386" i="1"/>
  <c r="I1387" i="1" l="1"/>
  <c r="L1386" i="7"/>
  <c r="I1388" i="1" l="1"/>
  <c r="L1387" i="7"/>
  <c r="I1389" i="1" l="1"/>
  <c r="L1388" i="7"/>
  <c r="I1390" i="1" l="1"/>
  <c r="L1389" i="7"/>
  <c r="I1391" i="1" l="1"/>
  <c r="L1390" i="7"/>
  <c r="I1392" i="1" l="1"/>
  <c r="L1391" i="7"/>
  <c r="L1392" i="7" l="1"/>
  <c r="I1393" i="1"/>
  <c r="I1394" i="1" l="1"/>
  <c r="L1393" i="7"/>
  <c r="L1394" i="7" l="1"/>
  <c r="I1395" i="1"/>
  <c r="I1396" i="1" l="1"/>
  <c r="L1395" i="7"/>
  <c r="I1397" i="1" l="1"/>
  <c r="L1396" i="7"/>
  <c r="I1398" i="1" l="1"/>
  <c r="L1397" i="7"/>
  <c r="I1399" i="1" l="1"/>
  <c r="L1398" i="7"/>
  <c r="L1399" i="7" l="1"/>
  <c r="I1400" i="1"/>
  <c r="I1401" i="1" l="1"/>
  <c r="L1400" i="7"/>
  <c r="L1401" i="7" l="1"/>
  <c r="I1402" i="1"/>
  <c r="I1403" i="1" l="1"/>
  <c r="L1402" i="7"/>
  <c r="I1404" i="1" l="1"/>
  <c r="L1403" i="7"/>
  <c r="I1405" i="1" l="1"/>
  <c r="L1404" i="7"/>
  <c r="I1406" i="1" l="1"/>
  <c r="L1405" i="7"/>
  <c r="I1407" i="1" l="1"/>
  <c r="L1406" i="7"/>
  <c r="I1408" i="1" l="1"/>
  <c r="L1407" i="7"/>
  <c r="L1408" i="7" l="1"/>
  <c r="I1409" i="1"/>
  <c r="I1410" i="1" l="1"/>
  <c r="L1409" i="7"/>
  <c r="I1411" i="1" l="1"/>
  <c r="L1410" i="7"/>
  <c r="I1412" i="1" l="1"/>
  <c r="L1411" i="7"/>
  <c r="I1413" i="1" l="1"/>
  <c r="L1412" i="7"/>
  <c r="I1414" i="1" l="1"/>
  <c r="L1413" i="7"/>
  <c r="L1414" i="7" l="1"/>
  <c r="I1415" i="1"/>
  <c r="I1416" i="1" l="1"/>
  <c r="L1415" i="7"/>
  <c r="L1416" i="7" l="1"/>
  <c r="I1417" i="1"/>
  <c r="I1418" i="1" l="1"/>
  <c r="L1417" i="7"/>
  <c r="I1419" i="1" l="1"/>
  <c r="L1418" i="7"/>
  <c r="I1420" i="1" l="1"/>
  <c r="L1419" i="7"/>
  <c r="I1421" i="1" l="1"/>
  <c r="L1420" i="7"/>
  <c r="L1421" i="7" l="1"/>
  <c r="I1422" i="1"/>
  <c r="I1423" i="1" l="1"/>
  <c r="L1422" i="7"/>
  <c r="L1423" i="7" l="1"/>
  <c r="I1424" i="1"/>
  <c r="I1425" i="1" l="1"/>
  <c r="L1424" i="7"/>
  <c r="L1425" i="7" l="1"/>
  <c r="I1426" i="1"/>
  <c r="I1427" i="1" l="1"/>
  <c r="L1426" i="7"/>
  <c r="L1427" i="7" l="1"/>
  <c r="I1428" i="1"/>
  <c r="I1429" i="1" l="1"/>
  <c r="L1428" i="7"/>
  <c r="I1430" i="1" l="1"/>
  <c r="L1429" i="7"/>
  <c r="I1431" i="1" l="1"/>
  <c r="L1430" i="7"/>
  <c r="I1432" i="1" l="1"/>
  <c r="L1431" i="7"/>
  <c r="I1433" i="1" l="1"/>
  <c r="L1432" i="7"/>
  <c r="I1434" i="1" l="1"/>
  <c r="L1433" i="7"/>
  <c r="I1435" i="1" l="1"/>
  <c r="L1434" i="7"/>
  <c r="I1436" i="1" l="1"/>
  <c r="L1435" i="7"/>
  <c r="L1436" i="7" l="1"/>
  <c r="I1437" i="1"/>
  <c r="L1437" i="7" l="1"/>
  <c r="I1438" i="1"/>
  <c r="I1439" i="1" l="1"/>
  <c r="L1438" i="7"/>
  <c r="I1440" i="1" l="1"/>
  <c r="L1439" i="7"/>
  <c r="L1440" i="7" l="1"/>
  <c r="I1441" i="1"/>
  <c r="I1442" i="1" l="1"/>
  <c r="L1441" i="7"/>
  <c r="I1443" i="1" l="1"/>
  <c r="L1442" i="7"/>
  <c r="I1444" i="1" l="1"/>
  <c r="L1443" i="7"/>
  <c r="L1444" i="7" l="1"/>
  <c r="I1445" i="1"/>
  <c r="I1446" i="1" l="1"/>
  <c r="L1445" i="7"/>
  <c r="I1447" i="1" l="1"/>
  <c r="L1446" i="7"/>
  <c r="L1447" i="7" l="1"/>
  <c r="I1448" i="1"/>
  <c r="I1449" i="1" l="1"/>
  <c r="L1448" i="7"/>
  <c r="I1450" i="1" l="1"/>
  <c r="L1449" i="7"/>
  <c r="I1451" i="1" l="1"/>
  <c r="L1450" i="7"/>
  <c r="I1452" i="1" l="1"/>
  <c r="L1451" i="7"/>
  <c r="I1453" i="1" l="1"/>
  <c r="L1452" i="7"/>
  <c r="I1454" i="1" l="1"/>
  <c r="L1453" i="7"/>
  <c r="I1455" i="1" l="1"/>
  <c r="L1454" i="7"/>
  <c r="I1456" i="1" l="1"/>
  <c r="L1455" i="7"/>
  <c r="I1457" i="1" l="1"/>
  <c r="L1456" i="7"/>
  <c r="L1457" i="7" l="1"/>
  <c r="I1458" i="1"/>
  <c r="I1459" i="1" l="1"/>
  <c r="L1458" i="7"/>
  <c r="L1459" i="7" l="1"/>
  <c r="I1460" i="1"/>
  <c r="I1461" i="1" l="1"/>
  <c r="L1460" i="7"/>
  <c r="I1462" i="1" l="1"/>
  <c r="L1461" i="7"/>
  <c r="I1463" i="1" l="1"/>
  <c r="L1462" i="7"/>
  <c r="I1464" i="1" l="1"/>
  <c r="L1463" i="7"/>
  <c r="L1464" i="7" l="1"/>
  <c r="I1465" i="1"/>
  <c r="I1466" i="1" l="1"/>
  <c r="L1465" i="7"/>
  <c r="I1467" i="1" l="1"/>
  <c r="L1466" i="7"/>
  <c r="I1468" i="1" l="1"/>
  <c r="L1467" i="7"/>
  <c r="I1469" i="1" l="1"/>
  <c r="L1468" i="7"/>
  <c r="I1470" i="1" l="1"/>
  <c r="L1469" i="7"/>
  <c r="I1471" i="1" l="1"/>
  <c r="L1470" i="7"/>
  <c r="I1472" i="1" l="1"/>
  <c r="L1471" i="7"/>
  <c r="I1473" i="1" l="1"/>
  <c r="L1472" i="7"/>
  <c r="I1474" i="1" l="1"/>
  <c r="L1473" i="7"/>
  <c r="I1475" i="1" l="1"/>
  <c r="L1474" i="7"/>
  <c r="L1475" i="7" l="1"/>
  <c r="I1476" i="1"/>
  <c r="I1477" i="1" l="1"/>
  <c r="L1476" i="7"/>
  <c r="I1478" i="1" l="1"/>
  <c r="L1477" i="7"/>
  <c r="I1479" i="1" l="1"/>
  <c r="L1478" i="7"/>
  <c r="I1480" i="1" l="1"/>
  <c r="L1479" i="7"/>
  <c r="I1481" i="1" l="1"/>
  <c r="L1480" i="7"/>
  <c r="I1482" i="1" l="1"/>
  <c r="L1481" i="7"/>
  <c r="I1483" i="1" l="1"/>
  <c r="L1482" i="7"/>
  <c r="I1484" i="1" l="1"/>
  <c r="L1483" i="7"/>
  <c r="I1485" i="1" l="1"/>
  <c r="L1484" i="7"/>
  <c r="L1485" i="7" l="1"/>
  <c r="I1486" i="1"/>
  <c r="I1487" i="1" l="1"/>
  <c r="L1486" i="7"/>
  <c r="I1488" i="1" l="1"/>
  <c r="L1487" i="7"/>
  <c r="L1488" i="7" l="1"/>
  <c r="I1489" i="1"/>
  <c r="I1490" i="1" l="1"/>
  <c r="L1489" i="7"/>
  <c r="I1491" i="1" l="1"/>
  <c r="L1490" i="7"/>
  <c r="I1492" i="1" l="1"/>
  <c r="L1491" i="7"/>
  <c r="I1493" i="1" l="1"/>
  <c r="L1492" i="7"/>
  <c r="I1494" i="1" l="1"/>
  <c r="L1493" i="7"/>
  <c r="L1494" i="7" l="1"/>
  <c r="I1495" i="1"/>
  <c r="I1496" i="1" l="1"/>
  <c r="L1495" i="7"/>
  <c r="I1497" i="1" l="1"/>
  <c r="L1496" i="7"/>
  <c r="I1498" i="1" l="1"/>
  <c r="L1497" i="7"/>
  <c r="I1499" i="1" l="1"/>
  <c r="L1498" i="7"/>
  <c r="I1500" i="1" l="1"/>
  <c r="L1499" i="7"/>
  <c r="I1501" i="1" l="1"/>
  <c r="L1500" i="7"/>
  <c r="I1502" i="1" l="1"/>
  <c r="L1501" i="7"/>
  <c r="I1503" i="1" l="1"/>
  <c r="L1502" i="7"/>
  <c r="L1503" i="7" l="1"/>
  <c r="I1504" i="1"/>
  <c r="I1505" i="1" l="1"/>
  <c r="L1504" i="7"/>
  <c r="I1506" i="1" l="1"/>
  <c r="L1505" i="7"/>
  <c r="L1506" i="7" l="1"/>
  <c r="I1507" i="1"/>
  <c r="I1508" i="1" l="1"/>
  <c r="L1507" i="7"/>
  <c r="I1509" i="1" l="1"/>
  <c r="L1508" i="7"/>
  <c r="I1510" i="1" l="1"/>
  <c r="L1509" i="7"/>
  <c r="I1511" i="1" l="1"/>
  <c r="L1510" i="7"/>
  <c r="I1512" i="1" l="1"/>
  <c r="L1511" i="7"/>
  <c r="I1513" i="1" l="1"/>
  <c r="L1512" i="7"/>
  <c r="I1514" i="1" l="1"/>
  <c r="L1513" i="7"/>
  <c r="I1515" i="1" l="1"/>
  <c r="L1514" i="7"/>
  <c r="I1516" i="1" l="1"/>
  <c r="L1515" i="7"/>
  <c r="I1517" i="1" l="1"/>
  <c r="L1516" i="7"/>
  <c r="I1518" i="1" l="1"/>
  <c r="L1517" i="7"/>
  <c r="L1518" i="7" l="1"/>
  <c r="I1519" i="1"/>
  <c r="I1520" i="1" l="1"/>
  <c r="L1519" i="7"/>
  <c r="I1521" i="1" l="1"/>
  <c r="L1520" i="7"/>
  <c r="I1522" i="1" l="1"/>
  <c r="L1521" i="7"/>
  <c r="I1523" i="1" l="1"/>
  <c r="L1522" i="7"/>
  <c r="I1524" i="1" l="1"/>
  <c r="L1523" i="7"/>
  <c r="I1525" i="1" l="1"/>
  <c r="L1524" i="7"/>
  <c r="I1526" i="1" l="1"/>
  <c r="L1525" i="7"/>
  <c r="I1527" i="1" l="1"/>
  <c r="L1526" i="7"/>
  <c r="I1528" i="1" l="1"/>
  <c r="L1527" i="7"/>
  <c r="I1529" i="1" l="1"/>
  <c r="L1528" i="7"/>
  <c r="I1530" i="1" l="1"/>
  <c r="L1529" i="7"/>
  <c r="I1531" i="1" l="1"/>
  <c r="L1530" i="7"/>
  <c r="L1531" i="7" l="1"/>
  <c r="I1532" i="1"/>
  <c r="I1533" i="1" l="1"/>
  <c r="L1532" i="7"/>
  <c r="I1534" i="1" l="1"/>
  <c r="L1533" i="7"/>
  <c r="I1535" i="1" l="1"/>
  <c r="L1534" i="7"/>
  <c r="I1536" i="1" l="1"/>
  <c r="L1535" i="7"/>
  <c r="I1537" i="1" l="1"/>
  <c r="L1536" i="7"/>
  <c r="I1538" i="1" l="1"/>
  <c r="L1537" i="7"/>
  <c r="I1539" i="1" l="1"/>
  <c r="L1538" i="7"/>
  <c r="I1540" i="1" l="1"/>
  <c r="L1539" i="7"/>
  <c r="I1541" i="1" l="1"/>
  <c r="L1540" i="7"/>
  <c r="I1542" i="1" l="1"/>
  <c r="L1541" i="7"/>
  <c r="I1543" i="1" l="1"/>
  <c r="L1542" i="7"/>
  <c r="I1544" i="1" l="1"/>
  <c r="L1543" i="7"/>
  <c r="I1545" i="1" l="1"/>
  <c r="L1544" i="7"/>
  <c r="I1546" i="1" l="1"/>
  <c r="L1545" i="7"/>
  <c r="I1547" i="1" l="1"/>
  <c r="L1546" i="7"/>
  <c r="I1548" i="1" l="1"/>
  <c r="L1547" i="7"/>
  <c r="I1549" i="1" l="1"/>
  <c r="L1548" i="7"/>
  <c r="L1549" i="7" l="1"/>
  <c r="I1550" i="1"/>
  <c r="I1551" i="1" l="1"/>
  <c r="L1550" i="7"/>
  <c r="I1552" i="1" l="1"/>
  <c r="L1551" i="7"/>
  <c r="I1553" i="1" l="1"/>
  <c r="L1552" i="7"/>
  <c r="I1554" i="1" l="1"/>
  <c r="L1553" i="7"/>
  <c r="I1555" i="1" l="1"/>
  <c r="L1554" i="7"/>
  <c r="I1556" i="1" l="1"/>
  <c r="L1555" i="7"/>
  <c r="I1557" i="1" l="1"/>
  <c r="L1556" i="7"/>
  <c r="I1558" i="1" l="1"/>
  <c r="L1557" i="7"/>
  <c r="I1559" i="1" l="1"/>
  <c r="L1558" i="7"/>
  <c r="I1560" i="1" l="1"/>
  <c r="L1559" i="7"/>
  <c r="I1561" i="1" l="1"/>
  <c r="L1560" i="7"/>
  <c r="I1562" i="1" l="1"/>
  <c r="L1561" i="7"/>
  <c r="I1563" i="1" l="1"/>
  <c r="L1562" i="7"/>
  <c r="I1564" i="1" l="1"/>
  <c r="L1563" i="7"/>
  <c r="I1565" i="1" l="1"/>
  <c r="L1564" i="7"/>
  <c r="I1566" i="1" l="1"/>
  <c r="L1565" i="7"/>
  <c r="I1567" i="1" l="1"/>
  <c r="L1566" i="7"/>
  <c r="I1568" i="1" l="1"/>
  <c r="L1567" i="7"/>
  <c r="I1569" i="1" l="1"/>
  <c r="L1568" i="7"/>
  <c r="I1570" i="1" l="1"/>
  <c r="L1569" i="7"/>
  <c r="L1570" i="7" l="1"/>
  <c r="I1571" i="1"/>
  <c r="L1571" i="7" l="1"/>
  <c r="I1572" i="1"/>
  <c r="I1573" i="1" l="1"/>
  <c r="L1572" i="7"/>
  <c r="I1574" i="1" l="1"/>
  <c r="L1573" i="7"/>
  <c r="I1575" i="1" l="1"/>
  <c r="L1574" i="7"/>
  <c r="I1576" i="1" l="1"/>
  <c r="L1575" i="7"/>
  <c r="I1577" i="1" l="1"/>
  <c r="L1576" i="7"/>
  <c r="I1578" i="1" l="1"/>
  <c r="L1577" i="7"/>
  <c r="I1579" i="1" l="1"/>
  <c r="L1578" i="7"/>
  <c r="I1580" i="1" l="1"/>
  <c r="L1579" i="7"/>
  <c r="I1581" i="1" l="1"/>
  <c r="L1580" i="7"/>
  <c r="I1582" i="1" l="1"/>
  <c r="L1581" i="7"/>
  <c r="I1583" i="1" l="1"/>
  <c r="L1582" i="7"/>
  <c r="I1584" i="1" l="1"/>
  <c r="L1583" i="7"/>
  <c r="I1585" i="1" l="1"/>
  <c r="L1584" i="7"/>
  <c r="I1586" i="1" l="1"/>
  <c r="L1585" i="7"/>
  <c r="I1587" i="1" l="1"/>
  <c r="L1586" i="7"/>
  <c r="I1588" i="1" l="1"/>
  <c r="L1587" i="7"/>
  <c r="I1589" i="1" l="1"/>
  <c r="L1588" i="7"/>
  <c r="L1589" i="7" l="1"/>
  <c r="I1590" i="1"/>
  <c r="I1591" i="1" l="1"/>
  <c r="L1590" i="7"/>
  <c r="I1592" i="1" l="1"/>
  <c r="L1591" i="7"/>
  <c r="L1592" i="7" l="1"/>
  <c r="I1593" i="1"/>
  <c r="I1594" i="1" l="1"/>
  <c r="L1593" i="7"/>
  <c r="L1594" i="7" l="1"/>
  <c r="I1595" i="1"/>
  <c r="I1596" i="1" l="1"/>
  <c r="L1595" i="7"/>
  <c r="I1597" i="1" l="1"/>
  <c r="L1596" i="7"/>
  <c r="I1598" i="1" l="1"/>
  <c r="L1597" i="7"/>
  <c r="I1599" i="1" l="1"/>
  <c r="L1598" i="7"/>
  <c r="I1600" i="1" l="1"/>
  <c r="L1599" i="7"/>
  <c r="I1601" i="1" l="1"/>
  <c r="L1600" i="7"/>
  <c r="I1602" i="1" l="1"/>
  <c r="L1601" i="7"/>
  <c r="I1603" i="1" l="1"/>
  <c r="L1602" i="7"/>
  <c r="I1604" i="1" l="1"/>
  <c r="L1603" i="7"/>
  <c r="I1605" i="1" l="1"/>
  <c r="L1604" i="7"/>
  <c r="I1606" i="1" l="1"/>
  <c r="L1605" i="7"/>
  <c r="I1607" i="1" l="1"/>
  <c r="L1606" i="7"/>
  <c r="I1608" i="1" l="1"/>
  <c r="L1607" i="7"/>
  <c r="I1609" i="1" l="1"/>
  <c r="L1608" i="7"/>
  <c r="I1610" i="1" l="1"/>
  <c r="L1609" i="7"/>
  <c r="I1611" i="1" l="1"/>
  <c r="L1610" i="7"/>
  <c r="I1612" i="1" l="1"/>
  <c r="L1611" i="7"/>
  <c r="I1613" i="1" l="1"/>
  <c r="L1612" i="7"/>
  <c r="I1614" i="1" l="1"/>
  <c r="L1613" i="7"/>
  <c r="I1615" i="1" l="1"/>
  <c r="L1614" i="7"/>
  <c r="I1616" i="1" l="1"/>
  <c r="L1615" i="7"/>
  <c r="I1617" i="1" l="1"/>
  <c r="L1616" i="7"/>
  <c r="I1618" i="1" l="1"/>
  <c r="L1617" i="7"/>
  <c r="I1619" i="1" l="1"/>
  <c r="L1618" i="7"/>
  <c r="I1620" i="1" l="1"/>
  <c r="L1619" i="7"/>
  <c r="I1621" i="1" l="1"/>
  <c r="L1620" i="7"/>
  <c r="I1622" i="1" l="1"/>
  <c r="L1621" i="7"/>
  <c r="I1623" i="1" l="1"/>
  <c r="L1622" i="7"/>
  <c r="I1624" i="1" l="1"/>
  <c r="L1623" i="7"/>
  <c r="I1625" i="1" l="1"/>
  <c r="L1624" i="7"/>
  <c r="I1626" i="1" l="1"/>
  <c r="L1625" i="7"/>
  <c r="I1627" i="1" l="1"/>
  <c r="L1626" i="7"/>
  <c r="I1628" i="1" l="1"/>
  <c r="L1627" i="7"/>
  <c r="I1629" i="1" l="1"/>
  <c r="L1628" i="7"/>
  <c r="I1630" i="1" l="1"/>
  <c r="L1629" i="7"/>
  <c r="I1631" i="1" l="1"/>
  <c r="L1630" i="7"/>
  <c r="I1632" i="1" l="1"/>
  <c r="L1631" i="7"/>
  <c r="I1633" i="1" l="1"/>
  <c r="L1632" i="7"/>
  <c r="I1634" i="1" l="1"/>
  <c r="L1633" i="7"/>
  <c r="I1635" i="1" l="1"/>
  <c r="L1634" i="7"/>
  <c r="I1636" i="1" l="1"/>
  <c r="L1635" i="7"/>
  <c r="I1637" i="1" l="1"/>
  <c r="L1636" i="7"/>
  <c r="I1638" i="1" l="1"/>
  <c r="L1637" i="7"/>
  <c r="I1639" i="1" l="1"/>
  <c r="L1638" i="7"/>
  <c r="L1639" i="7" l="1"/>
  <c r="I1640" i="1"/>
  <c r="I1641" i="1" l="1"/>
  <c r="L1640" i="7"/>
  <c r="I1642" i="1" l="1"/>
  <c r="L1641" i="7"/>
  <c r="I1643" i="1" l="1"/>
  <c r="L1642" i="7"/>
  <c r="I1644" i="1" l="1"/>
  <c r="L1643" i="7"/>
  <c r="I1645" i="1" l="1"/>
  <c r="L1644" i="7"/>
  <c r="I1646" i="1" l="1"/>
  <c r="L1645" i="7"/>
  <c r="I1647" i="1" l="1"/>
  <c r="L1646" i="7"/>
  <c r="L1647" i="7" l="1"/>
  <c r="I1648" i="1"/>
  <c r="I1649" i="1" l="1"/>
  <c r="L1648" i="7"/>
  <c r="I1650" i="1" l="1"/>
  <c r="L1649" i="7"/>
  <c r="L1650" i="7" l="1"/>
  <c r="I1651" i="1"/>
  <c r="L1651" i="7" l="1"/>
  <c r="I1652" i="1"/>
  <c r="L1652" i="7" l="1"/>
  <c r="I1653" i="1"/>
  <c r="I1654" i="1" l="1"/>
  <c r="L1653" i="7"/>
  <c r="I1655" i="1" l="1"/>
  <c r="L1654" i="7"/>
  <c r="I1656" i="1" l="1"/>
  <c r="L1655" i="7"/>
  <c r="L1656" i="7" l="1"/>
  <c r="I1657" i="1"/>
  <c r="I1658" i="1" l="1"/>
  <c r="L1657" i="7"/>
  <c r="I1659" i="1" l="1"/>
  <c r="L1658" i="7"/>
  <c r="I1660" i="1" l="1"/>
  <c r="L1659" i="7"/>
  <c r="I1661" i="1" l="1"/>
  <c r="L1660" i="7"/>
  <c r="I1662" i="1" l="1"/>
  <c r="L1661" i="7"/>
  <c r="I1663" i="1" l="1"/>
  <c r="L1662" i="7"/>
  <c r="L1663" i="7" l="1"/>
  <c r="I1664" i="1"/>
  <c r="L1664" i="7" l="1"/>
  <c r="I1665" i="1"/>
  <c r="L1665" i="7" l="1"/>
  <c r="I1666" i="1"/>
  <c r="L1666" i="7" l="1"/>
  <c r="I1667" i="1"/>
  <c r="I1668" i="1" l="1"/>
  <c r="L1667" i="7"/>
  <c r="I1669" i="1" l="1"/>
  <c r="L1668" i="7"/>
  <c r="I1670" i="1" l="1"/>
  <c r="L1669" i="7"/>
  <c r="L1670" i="7" l="1"/>
  <c r="I1671" i="1"/>
  <c r="L1671" i="7" l="1"/>
  <c r="I1672" i="1"/>
  <c r="L1672" i="7" l="1"/>
  <c r="I1673" i="1"/>
  <c r="I1674" i="1" l="1"/>
  <c r="L1673" i="7"/>
  <c r="I1675" i="1" l="1"/>
  <c r="L1674" i="7"/>
  <c r="I1676" i="1" l="1"/>
  <c r="L1675" i="7"/>
  <c r="I1677" i="1" l="1"/>
  <c r="L1676" i="7"/>
  <c r="I1678" i="1" l="1"/>
  <c r="L1677" i="7"/>
  <c r="I1679" i="1" l="1"/>
  <c r="L1678" i="7"/>
  <c r="I1680" i="1" l="1"/>
  <c r="L1679" i="7"/>
  <c r="I1681" i="1" l="1"/>
  <c r="L1680" i="7"/>
  <c r="I1682" i="1" l="1"/>
  <c r="L1681" i="7"/>
  <c r="I1683" i="1" l="1"/>
  <c r="L1682" i="7"/>
  <c r="I1684" i="1" l="1"/>
  <c r="L1683" i="7"/>
  <c r="I1685" i="1" l="1"/>
  <c r="L1684" i="7"/>
  <c r="I1686" i="1" l="1"/>
  <c r="L1685" i="7"/>
  <c r="L1686" i="7" l="1"/>
  <c r="I1687" i="1"/>
  <c r="L1687" i="7" l="1"/>
  <c r="I1688" i="1"/>
  <c r="I1689" i="1" l="1"/>
  <c r="L1688" i="7"/>
  <c r="I1690" i="1" l="1"/>
  <c r="L1689" i="7"/>
  <c r="I1691" i="1" l="1"/>
  <c r="L1690" i="7"/>
  <c r="I1692" i="1" l="1"/>
  <c r="L1691" i="7"/>
  <c r="L1692" i="7" l="1"/>
  <c r="I1693" i="1"/>
  <c r="I1694" i="1" l="1"/>
  <c r="L1693" i="7"/>
  <c r="I1695" i="1" l="1"/>
  <c r="L1694" i="7"/>
  <c r="I1696" i="1" l="1"/>
  <c r="L1695" i="7"/>
  <c r="I1697" i="1" l="1"/>
  <c r="L1696" i="7"/>
  <c r="I1698" i="1" l="1"/>
  <c r="L1697" i="7"/>
  <c r="I1699" i="1" l="1"/>
  <c r="L1698" i="7"/>
  <c r="I1700" i="1" l="1"/>
  <c r="L1699" i="7"/>
  <c r="L1700" i="7" l="1"/>
  <c r="I1701" i="1"/>
  <c r="I1702" i="1" l="1"/>
  <c r="L1701" i="7"/>
  <c r="I1703" i="1" l="1"/>
  <c r="L1702" i="7"/>
  <c r="I1704" i="1" l="1"/>
  <c r="L1703" i="7"/>
  <c r="I1705" i="1" l="1"/>
  <c r="L1704" i="7"/>
  <c r="L1705" i="7" l="1"/>
  <c r="I1706" i="1"/>
  <c r="I1707" i="1" l="1"/>
  <c r="L1706" i="7"/>
  <c r="L1707" i="7" l="1"/>
  <c r="I1708" i="1"/>
  <c r="I1709" i="1" l="1"/>
  <c r="L1708" i="7"/>
  <c r="I1710" i="1" l="1"/>
  <c r="L1709" i="7"/>
  <c r="I1711" i="1" l="1"/>
  <c r="L1710" i="7"/>
  <c r="I1712" i="1" l="1"/>
  <c r="L1711" i="7"/>
  <c r="I1713" i="1" l="1"/>
  <c r="L1712" i="7"/>
  <c r="I1714" i="1" l="1"/>
  <c r="L1713" i="7"/>
  <c r="I1715" i="1" l="1"/>
  <c r="L1714" i="7"/>
  <c r="I1716" i="1" l="1"/>
  <c r="L1715" i="7"/>
  <c r="I1717" i="1" l="1"/>
  <c r="L1716" i="7"/>
  <c r="I1718" i="1" l="1"/>
  <c r="L1717" i="7"/>
  <c r="I1719" i="1" l="1"/>
  <c r="L1718" i="7"/>
  <c r="I1720" i="1" l="1"/>
  <c r="L1719" i="7"/>
  <c r="I1721" i="1" l="1"/>
  <c r="L1720" i="7"/>
  <c r="I1722" i="1" l="1"/>
  <c r="L1721" i="7"/>
  <c r="I1723" i="1" l="1"/>
  <c r="L1722" i="7"/>
  <c r="I1724" i="1" l="1"/>
  <c r="L1723" i="7"/>
  <c r="I1725" i="1" l="1"/>
  <c r="L1724" i="7"/>
  <c r="I1726" i="1" l="1"/>
  <c r="L1725" i="7"/>
  <c r="I1727" i="1" l="1"/>
  <c r="L1726" i="7"/>
  <c r="I1728" i="1" l="1"/>
  <c r="L1727" i="7"/>
  <c r="I1729" i="1" l="1"/>
  <c r="L1728" i="7"/>
  <c r="I1730" i="1" l="1"/>
  <c r="L1729" i="7"/>
  <c r="I1731" i="1" l="1"/>
  <c r="L1730" i="7"/>
  <c r="I1732" i="1" l="1"/>
  <c r="L1731" i="7"/>
  <c r="I1733" i="1" l="1"/>
  <c r="L1732" i="7"/>
  <c r="I1734" i="1" l="1"/>
  <c r="L1733" i="7"/>
  <c r="I1735" i="1" l="1"/>
  <c r="L1734" i="7"/>
  <c r="I1736" i="1" l="1"/>
  <c r="L1735" i="7"/>
  <c r="I1737" i="1" l="1"/>
  <c r="L1736" i="7"/>
  <c r="I1738" i="1" l="1"/>
  <c r="L1737" i="7"/>
  <c r="L1738" i="7" l="1"/>
  <c r="I1739" i="1"/>
  <c r="I1740" i="1" l="1"/>
  <c r="L1739" i="7"/>
  <c r="I1741" i="1" l="1"/>
  <c r="L1740" i="7"/>
  <c r="I1742" i="1" l="1"/>
  <c r="L1741" i="7"/>
  <c r="I1743" i="1" l="1"/>
  <c r="L1742" i="7"/>
  <c r="I1744" i="1" l="1"/>
  <c r="L1743" i="7"/>
  <c r="I1745" i="1" l="1"/>
  <c r="L1744" i="7"/>
  <c r="I1746" i="1" l="1"/>
  <c r="L1745" i="7"/>
  <c r="I1747" i="1" l="1"/>
  <c r="L1746" i="7"/>
  <c r="I1748" i="1" l="1"/>
  <c r="L1747" i="7"/>
  <c r="I1749" i="1" l="1"/>
  <c r="L1748" i="7"/>
  <c r="I1750" i="1" l="1"/>
  <c r="L1749" i="7"/>
  <c r="I1751" i="1" l="1"/>
  <c r="L1750" i="7"/>
  <c r="I1752" i="1" l="1"/>
  <c r="L1751" i="7"/>
  <c r="I1753" i="1" l="1"/>
  <c r="L1752" i="7"/>
  <c r="I1754" i="1" l="1"/>
  <c r="L1753" i="7"/>
  <c r="I1755" i="1" l="1"/>
  <c r="L1754" i="7"/>
  <c r="I1756" i="1" l="1"/>
  <c r="L1755" i="7"/>
  <c r="I1757" i="1" l="1"/>
  <c r="L1756" i="7"/>
  <c r="L1757" i="7" l="1"/>
  <c r="I1758" i="1"/>
  <c r="I1759" i="1" l="1"/>
  <c r="L1758" i="7"/>
  <c r="I1760" i="1" l="1"/>
  <c r="L1759" i="7"/>
  <c r="I1761" i="1" l="1"/>
  <c r="L1760" i="7"/>
  <c r="I1762" i="1" l="1"/>
  <c r="L1761" i="7"/>
  <c r="I1763" i="1" l="1"/>
  <c r="L1762" i="7"/>
  <c r="I1764" i="1" l="1"/>
  <c r="L1763" i="7"/>
  <c r="I1765" i="1" l="1"/>
  <c r="L1764" i="7"/>
  <c r="I1766" i="1" l="1"/>
  <c r="L1765" i="7"/>
  <c r="I1767" i="1" l="1"/>
  <c r="L1766" i="7"/>
  <c r="I1768" i="1" l="1"/>
  <c r="L1767" i="7"/>
  <c r="I1769" i="1" l="1"/>
  <c r="L1768" i="7"/>
  <c r="I1770" i="1" l="1"/>
  <c r="L1769" i="7"/>
  <c r="I1771" i="1" l="1"/>
  <c r="L1770" i="7"/>
  <c r="I1772" i="1" l="1"/>
  <c r="L1771" i="7"/>
  <c r="I1773" i="1" l="1"/>
  <c r="L1772" i="7"/>
  <c r="I1774" i="1" l="1"/>
  <c r="L1773" i="7"/>
  <c r="I1775" i="1" l="1"/>
  <c r="L1774" i="7"/>
  <c r="I1776" i="1" l="1"/>
  <c r="L1775" i="7"/>
  <c r="I1777" i="1" l="1"/>
  <c r="L1776" i="7"/>
  <c r="I1778" i="1" l="1"/>
  <c r="L1777" i="7"/>
  <c r="I1779" i="1" l="1"/>
  <c r="L1778" i="7"/>
  <c r="I1780" i="1" l="1"/>
  <c r="L1779" i="7"/>
  <c r="I1781" i="1" l="1"/>
  <c r="L1780" i="7"/>
  <c r="I1782" i="1" l="1"/>
  <c r="L1781" i="7"/>
  <c r="I1783" i="1" l="1"/>
  <c r="L1782" i="7"/>
  <c r="I1784" i="1" l="1"/>
  <c r="L1783" i="7"/>
  <c r="L1784" i="7" l="1"/>
  <c r="I1785" i="1"/>
  <c r="L1785" i="7" l="1"/>
  <c r="I1786" i="1"/>
  <c r="L1786" i="7" l="1"/>
  <c r="I1787" i="1"/>
  <c r="I1788" i="1" l="1"/>
  <c r="L1787" i="7"/>
  <c r="I1789" i="1" l="1"/>
  <c r="L1788" i="7"/>
  <c r="I1790" i="1" l="1"/>
  <c r="L1789" i="7"/>
  <c r="I1791" i="1" l="1"/>
  <c r="L1790" i="7"/>
  <c r="I1792" i="1" l="1"/>
  <c r="L1791" i="7"/>
  <c r="I1793" i="1" l="1"/>
  <c r="L1792" i="7"/>
  <c r="I1794" i="1" l="1"/>
  <c r="L1793" i="7"/>
  <c r="I1795" i="1" l="1"/>
  <c r="L1794" i="7"/>
  <c r="I1796" i="1" l="1"/>
  <c r="L1795" i="7"/>
  <c r="I1797" i="1" l="1"/>
  <c r="L1796" i="7"/>
  <c r="I1798" i="1" l="1"/>
  <c r="L1797" i="7"/>
  <c r="I1799" i="1" l="1"/>
  <c r="L1798" i="7"/>
  <c r="I1800" i="1" l="1"/>
  <c r="L1799" i="7"/>
  <c r="I1801" i="1" l="1"/>
  <c r="L1800" i="7"/>
  <c r="I1802" i="1" l="1"/>
  <c r="L1801" i="7"/>
  <c r="I1803" i="1" l="1"/>
  <c r="L1802" i="7"/>
  <c r="I1804" i="1" l="1"/>
  <c r="L1803" i="7"/>
  <c r="L1804" i="7" l="1"/>
  <c r="I1805" i="1"/>
  <c r="I1806" i="1" l="1"/>
  <c r="L1805" i="7"/>
  <c r="L1806" i="7" l="1"/>
  <c r="I1807" i="1"/>
  <c r="I1808" i="1" l="1"/>
  <c r="L1807" i="7"/>
  <c r="I1809" i="1" l="1"/>
  <c r="L1808" i="7"/>
  <c r="I1810" i="1" l="1"/>
  <c r="L1809" i="7"/>
  <c r="L1810" i="7" l="1"/>
  <c r="I1811" i="1"/>
  <c r="I1812" i="1" l="1"/>
  <c r="L1811" i="7"/>
  <c r="I1813" i="1" l="1"/>
  <c r="L1812" i="7"/>
  <c r="I1814" i="1" l="1"/>
  <c r="L1813" i="7"/>
  <c r="L1814" i="7" l="1"/>
  <c r="I1815" i="1"/>
  <c r="I1816" i="1" l="1"/>
  <c r="L1815" i="7"/>
  <c r="L1816" i="7" l="1"/>
  <c r="I1817" i="1"/>
  <c r="I1818" i="1" l="1"/>
  <c r="L1817" i="7"/>
  <c r="L1818" i="7" l="1"/>
  <c r="I1819" i="1"/>
  <c r="I1820" i="1" l="1"/>
  <c r="L1819" i="7"/>
  <c r="L1820" i="7" l="1"/>
  <c r="I1821" i="1"/>
  <c r="I1822" i="1" l="1"/>
  <c r="L1821" i="7"/>
  <c r="I1823" i="1" l="1"/>
  <c r="L1822" i="7"/>
  <c r="L1823" i="7" l="1"/>
  <c r="I1824" i="1"/>
  <c r="I1825" i="1" l="1"/>
  <c r="L1824" i="7"/>
  <c r="I1826" i="1" l="1"/>
  <c r="L1825" i="7"/>
  <c r="L1826" i="7" l="1"/>
  <c r="I1827" i="1"/>
  <c r="I1828" i="1" l="1"/>
  <c r="L1827" i="7"/>
  <c r="I1829" i="1" l="1"/>
  <c r="L1828" i="7"/>
  <c r="L1829" i="7" l="1"/>
  <c r="I1830" i="1"/>
  <c r="I1831" i="1" l="1"/>
  <c r="L1830" i="7"/>
  <c r="I1832" i="1" l="1"/>
  <c r="L1831" i="7"/>
  <c r="L1832" i="7" l="1"/>
  <c r="I1833" i="1"/>
  <c r="I1834" i="1" l="1"/>
  <c r="L1833" i="7"/>
  <c r="L1834" i="7" l="1"/>
  <c r="I1835" i="1"/>
  <c r="L1835" i="7" l="1"/>
  <c r="I1836" i="1"/>
  <c r="L1836" i="7" l="1"/>
  <c r="I1837" i="1"/>
  <c r="I1838" i="1" l="1"/>
  <c r="L1837" i="7"/>
  <c r="I1839" i="1" l="1"/>
  <c r="L1838" i="7"/>
  <c r="I1840" i="1" l="1"/>
  <c r="L1839" i="7"/>
  <c r="L1840" i="7" l="1"/>
  <c r="I1841" i="1"/>
  <c r="I1842" i="1" l="1"/>
  <c r="L1841" i="7"/>
  <c r="I1843" i="1" l="1"/>
  <c r="L1842" i="7"/>
  <c r="I1844" i="1" l="1"/>
  <c r="L1843" i="7"/>
  <c r="L1844" i="7" l="1"/>
  <c r="I1845" i="1"/>
  <c r="I1846" i="1" l="1"/>
  <c r="L1845" i="7"/>
  <c r="I1847" i="1" l="1"/>
  <c r="L1846" i="7"/>
  <c r="I1848" i="1" l="1"/>
  <c r="L1847" i="7"/>
  <c r="I1849" i="1" l="1"/>
  <c r="L1848" i="7"/>
  <c r="I1850" i="1" l="1"/>
  <c r="L1849" i="7"/>
  <c r="I1851" i="1" l="1"/>
  <c r="L1850" i="7"/>
  <c r="I1852" i="1" l="1"/>
  <c r="L1851" i="7"/>
  <c r="I1853" i="1" l="1"/>
  <c r="L1852" i="7"/>
  <c r="I1854" i="1" l="1"/>
  <c r="L1853" i="7"/>
  <c r="I1855" i="1" l="1"/>
  <c r="L1854" i="7"/>
  <c r="I1856" i="1" l="1"/>
  <c r="L1855" i="7"/>
  <c r="I1857" i="1" l="1"/>
  <c r="L1856" i="7"/>
  <c r="I1858" i="1" l="1"/>
  <c r="L1857" i="7"/>
  <c r="L1858" i="7" l="1"/>
  <c r="I1859" i="1"/>
  <c r="I1860" i="1" l="1"/>
  <c r="L1859" i="7"/>
  <c r="I1861" i="1" l="1"/>
  <c r="L1860" i="7"/>
  <c r="I1862" i="1" l="1"/>
  <c r="L1861" i="7"/>
  <c r="I1863" i="1" l="1"/>
  <c r="L1862" i="7"/>
  <c r="I1864" i="1" l="1"/>
  <c r="L1863" i="7"/>
  <c r="I1865" i="1" l="1"/>
  <c r="L1864" i="7"/>
  <c r="I1866" i="1" l="1"/>
  <c r="L1865" i="7"/>
  <c r="I1867" i="1" l="1"/>
  <c r="L1866" i="7"/>
  <c r="I1868" i="1" l="1"/>
  <c r="L1867" i="7"/>
  <c r="I1869" i="1" l="1"/>
  <c r="L1868" i="7"/>
  <c r="I1870" i="1" l="1"/>
  <c r="L1869" i="7"/>
  <c r="L1870" i="7" l="1"/>
  <c r="I1871" i="1"/>
  <c r="L1871" i="7" l="1"/>
  <c r="I1872" i="1"/>
  <c r="I1873" i="1" l="1"/>
  <c r="L1872" i="7"/>
  <c r="I1874" i="1" l="1"/>
  <c r="L1873" i="7"/>
  <c r="I1875" i="1" l="1"/>
  <c r="L1874" i="7"/>
  <c r="I1876" i="1" l="1"/>
  <c r="L1875" i="7"/>
  <c r="I1877" i="1" l="1"/>
  <c r="L1876" i="7"/>
  <c r="I1878" i="1" l="1"/>
  <c r="L1877" i="7"/>
  <c r="I1879" i="1" l="1"/>
  <c r="L1878" i="7"/>
  <c r="I1880" i="1" l="1"/>
  <c r="L1879" i="7"/>
  <c r="I1881" i="1" l="1"/>
  <c r="L1880" i="7"/>
  <c r="I1882" i="1" l="1"/>
  <c r="L1881" i="7"/>
  <c r="I1883" i="1" l="1"/>
  <c r="L1882" i="7"/>
  <c r="I1884" i="1" l="1"/>
  <c r="L1883" i="7"/>
  <c r="I1885" i="1" l="1"/>
  <c r="L1884" i="7"/>
  <c r="I1886" i="1" l="1"/>
  <c r="L1885" i="7"/>
  <c r="I1887" i="1" l="1"/>
  <c r="L1886" i="7"/>
  <c r="I1888" i="1" l="1"/>
  <c r="L1887" i="7"/>
  <c r="I1889" i="1" l="1"/>
  <c r="L1888" i="7"/>
  <c r="I1890" i="1" l="1"/>
  <c r="L1889" i="7"/>
  <c r="I1891" i="1" l="1"/>
  <c r="L1890" i="7"/>
  <c r="I1892" i="1" l="1"/>
  <c r="L1891" i="7"/>
  <c r="I1893" i="1" l="1"/>
  <c r="L1892" i="7"/>
  <c r="I1894" i="1" l="1"/>
  <c r="L1893" i="7"/>
  <c r="I1895" i="1" l="1"/>
  <c r="L1894" i="7"/>
  <c r="I1896" i="1" l="1"/>
  <c r="L1895" i="7"/>
  <c r="I1897" i="1" l="1"/>
  <c r="L1896" i="7"/>
  <c r="I1898" i="1" l="1"/>
  <c r="L1897" i="7"/>
  <c r="I1899" i="1" l="1"/>
  <c r="L1898" i="7"/>
  <c r="I1900" i="1" l="1"/>
  <c r="L1899" i="7"/>
  <c r="I1901" i="1" l="1"/>
  <c r="L1900" i="7"/>
  <c r="I1902" i="1" l="1"/>
  <c r="L1901" i="7"/>
  <c r="I1903" i="1" l="1"/>
  <c r="L1902" i="7"/>
  <c r="I1904" i="1" l="1"/>
  <c r="L1903" i="7"/>
  <c r="I1905" i="1" l="1"/>
  <c r="L1904" i="7"/>
  <c r="I1906" i="1" l="1"/>
  <c r="L1905" i="7"/>
  <c r="I1907" i="1" l="1"/>
  <c r="L1906" i="7"/>
  <c r="I1908" i="1" l="1"/>
  <c r="L1907" i="7"/>
  <c r="I1909" i="1" l="1"/>
  <c r="L1908" i="7"/>
  <c r="I1910" i="1" l="1"/>
  <c r="L1909" i="7"/>
  <c r="I1911" i="1" l="1"/>
  <c r="L1910" i="7"/>
  <c r="I1912" i="1" l="1"/>
  <c r="L1911" i="7"/>
  <c r="I1913" i="1" l="1"/>
  <c r="L1912" i="7"/>
  <c r="I1914" i="1" l="1"/>
  <c r="L1913" i="7"/>
  <c r="I1915" i="1" l="1"/>
  <c r="L1914" i="7"/>
  <c r="I1916" i="1" l="1"/>
  <c r="L1915" i="7"/>
  <c r="I1917" i="1" l="1"/>
  <c r="L1916" i="7"/>
  <c r="I1918" i="1" l="1"/>
  <c r="L1917" i="7"/>
  <c r="L1918" i="7" l="1"/>
  <c r="I1919" i="1"/>
  <c r="L1919" i="7" l="1"/>
  <c r="I1920" i="1"/>
  <c r="L1920" i="7" l="1"/>
  <c r="I1921" i="1"/>
  <c r="I1922" i="1" l="1"/>
  <c r="L1921" i="7"/>
  <c r="I1923" i="1" l="1"/>
  <c r="L1922" i="7"/>
  <c r="I1924" i="1" l="1"/>
  <c r="L1923" i="7"/>
  <c r="I1925" i="1" l="1"/>
  <c r="L1924" i="7"/>
  <c r="I1926" i="1" l="1"/>
  <c r="L1925" i="7"/>
  <c r="I1927" i="1" l="1"/>
  <c r="L1926" i="7"/>
  <c r="I1928" i="1" l="1"/>
  <c r="L1927" i="7"/>
  <c r="L1928" i="7" l="1"/>
  <c r="I1929" i="1"/>
  <c r="I1930" i="1" l="1"/>
  <c r="L1929" i="7"/>
  <c r="I1931" i="1" l="1"/>
  <c r="L1930" i="7"/>
  <c r="L1931" i="7" l="1"/>
  <c r="I1932" i="1"/>
  <c r="I1933" i="1" l="1"/>
  <c r="L1932" i="7"/>
  <c r="I1934" i="1" l="1"/>
  <c r="L1933" i="7"/>
  <c r="I1935" i="1" l="1"/>
  <c r="L1934" i="7"/>
  <c r="I1936" i="1" l="1"/>
  <c r="L1935" i="7"/>
  <c r="I1937" i="1" l="1"/>
  <c r="L1936" i="7"/>
  <c r="I1938" i="1" l="1"/>
  <c r="L1937" i="7"/>
  <c r="I1939" i="1" l="1"/>
  <c r="L1938" i="7"/>
  <c r="I1940" i="1" l="1"/>
  <c r="L1939" i="7"/>
  <c r="I1941" i="1" l="1"/>
  <c r="L1940" i="7"/>
  <c r="I1942" i="1" l="1"/>
  <c r="L1941" i="7"/>
  <c r="I1943" i="1" l="1"/>
  <c r="L1942" i="7"/>
  <c r="I1944" i="1" l="1"/>
  <c r="L1943" i="7"/>
  <c r="I1945" i="1" l="1"/>
  <c r="L1944" i="7"/>
  <c r="I1946" i="1" l="1"/>
  <c r="L1945" i="7"/>
  <c r="I1947" i="1" l="1"/>
  <c r="L1946" i="7"/>
  <c r="I1948" i="1" l="1"/>
  <c r="L1947" i="7"/>
  <c r="I1949" i="1" l="1"/>
  <c r="L1948" i="7"/>
  <c r="I1950" i="1" l="1"/>
  <c r="L1949" i="7"/>
  <c r="I1951" i="1" l="1"/>
  <c r="L1950" i="7"/>
  <c r="I1952" i="1" l="1"/>
  <c r="L1951" i="7"/>
  <c r="I1953" i="1" l="1"/>
  <c r="L1952" i="7"/>
  <c r="L1953" i="7" l="1"/>
  <c r="I1954" i="1"/>
  <c r="I1955" i="1" l="1"/>
  <c r="L1954" i="7"/>
  <c r="I1956" i="1" l="1"/>
  <c r="L1955" i="7"/>
  <c r="L1956" i="7" l="1"/>
  <c r="I1957" i="1"/>
  <c r="L1957" i="7" l="1"/>
  <c r="I1958" i="1"/>
  <c r="I1959" i="1" l="1"/>
  <c r="L1958" i="7"/>
  <c r="I1960" i="1" l="1"/>
  <c r="L1959" i="7"/>
  <c r="L1960" i="7" l="1"/>
  <c r="I1961" i="1"/>
  <c r="I1962" i="1" l="1"/>
  <c r="L1961" i="7"/>
  <c r="I1963" i="1" l="1"/>
  <c r="L1962" i="7"/>
  <c r="I1964" i="1" l="1"/>
  <c r="L1963" i="7"/>
  <c r="I1965" i="1" l="1"/>
  <c r="L1964" i="7"/>
  <c r="I1966" i="1" l="1"/>
  <c r="L1965" i="7"/>
  <c r="I1967" i="1" l="1"/>
  <c r="L1966" i="7"/>
  <c r="L1967" i="7" l="1"/>
  <c r="I1968" i="1"/>
  <c r="L1968" i="7" l="1"/>
  <c r="I1969" i="1"/>
  <c r="L1969" i="7" l="1"/>
  <c r="I1970" i="1"/>
  <c r="L1970" i="7" l="1"/>
  <c r="I1971" i="1"/>
  <c r="I1972" i="1" l="1"/>
  <c r="L1971" i="7"/>
  <c r="I1973" i="1" l="1"/>
  <c r="L1972" i="7"/>
  <c r="I1974" i="1" l="1"/>
  <c r="L1973" i="7"/>
  <c r="I1975" i="1" l="1"/>
  <c r="L1974" i="7"/>
  <c r="I1976" i="1" l="1"/>
  <c r="L1975" i="7"/>
  <c r="I1977" i="1" l="1"/>
  <c r="L1976" i="7"/>
  <c r="I1978" i="1" l="1"/>
  <c r="L1977" i="7"/>
  <c r="I1979" i="1" l="1"/>
  <c r="L1978" i="7"/>
  <c r="I1980" i="1" l="1"/>
  <c r="L1979" i="7"/>
  <c r="I1981" i="1" l="1"/>
  <c r="L1980" i="7"/>
  <c r="I1982" i="1" l="1"/>
  <c r="L1981" i="7"/>
  <c r="I1983" i="1" l="1"/>
  <c r="L1982" i="7"/>
  <c r="I1984" i="1" l="1"/>
  <c r="L1983" i="7"/>
  <c r="I1985" i="1" l="1"/>
  <c r="L1984" i="7"/>
  <c r="I1986" i="1" l="1"/>
  <c r="L1985" i="7"/>
  <c r="I1987" i="1" l="1"/>
  <c r="L1986" i="7"/>
  <c r="I1988" i="1" l="1"/>
  <c r="L1987" i="7"/>
  <c r="I1989" i="1" l="1"/>
  <c r="L1988" i="7"/>
  <c r="I1990" i="1" l="1"/>
  <c r="L1989" i="7"/>
  <c r="I1991" i="1" l="1"/>
  <c r="L1990" i="7"/>
  <c r="I1992" i="1" l="1"/>
  <c r="L1991" i="7"/>
  <c r="I1993" i="1" l="1"/>
  <c r="L1992" i="7"/>
  <c r="I1994" i="1" l="1"/>
  <c r="L1993" i="7"/>
  <c r="I1995" i="1" l="1"/>
  <c r="L1994" i="7"/>
  <c r="I1996" i="1" l="1"/>
  <c r="L1995" i="7"/>
  <c r="I1997" i="1" l="1"/>
  <c r="L1996" i="7"/>
  <c r="I1998" i="1" l="1"/>
  <c r="L1997" i="7"/>
  <c r="I1999" i="1" l="1"/>
  <c r="L1998" i="7"/>
  <c r="I2000" i="1" l="1"/>
  <c r="L1999" i="7"/>
  <c r="I2001" i="1" l="1"/>
  <c r="L2000" i="7"/>
  <c r="I2002" i="1" l="1"/>
  <c r="L2001" i="7"/>
  <c r="I2003" i="1" l="1"/>
  <c r="L2002" i="7"/>
  <c r="I2004" i="1" l="1"/>
  <c r="L2003" i="7"/>
  <c r="I2005" i="1" l="1"/>
  <c r="L2004" i="7"/>
  <c r="L2005" i="7" l="1"/>
  <c r="I2006" i="1"/>
  <c r="I2007" i="1" l="1"/>
  <c r="L2006" i="7"/>
  <c r="I2008" i="1" l="1"/>
  <c r="L2007" i="7"/>
  <c r="I2009" i="1" l="1"/>
  <c r="L2008" i="7"/>
  <c r="I2010" i="1" l="1"/>
  <c r="L2009" i="7"/>
  <c r="I2011" i="1" l="1"/>
  <c r="L2010" i="7"/>
  <c r="I2012" i="1" l="1"/>
  <c r="L2011" i="7"/>
  <c r="I2013" i="1" l="1"/>
  <c r="L2012" i="7"/>
  <c r="I2014" i="1" l="1"/>
  <c r="L2013" i="7"/>
  <c r="I2015" i="1" l="1"/>
  <c r="L2014" i="7"/>
  <c r="I2016" i="1" l="1"/>
  <c r="L2015" i="7"/>
  <c r="I2017" i="1" l="1"/>
  <c r="L2016" i="7"/>
  <c r="I2018" i="1" l="1"/>
  <c r="L2017" i="7"/>
  <c r="I2019" i="1" l="1"/>
  <c r="L2018" i="7"/>
  <c r="I2020" i="1" l="1"/>
  <c r="L2019" i="7"/>
  <c r="I2021" i="1" l="1"/>
  <c r="L2020" i="7"/>
  <c r="I2022" i="1" l="1"/>
  <c r="L2021" i="7"/>
  <c r="I2023" i="1" l="1"/>
  <c r="L2022" i="7"/>
  <c r="I2024" i="1" l="1"/>
  <c r="L2023" i="7"/>
  <c r="I2025" i="1" l="1"/>
  <c r="L2024" i="7"/>
  <c r="I2026" i="1" l="1"/>
  <c r="L2025" i="7"/>
  <c r="I2027" i="1" l="1"/>
  <c r="L2026" i="7"/>
  <c r="I2028" i="1" l="1"/>
  <c r="L2027" i="7"/>
  <c r="I2029" i="1" l="1"/>
  <c r="L2028" i="7"/>
  <c r="I2030" i="1" l="1"/>
  <c r="L2029" i="7"/>
  <c r="I2031" i="1" l="1"/>
  <c r="L2030" i="7"/>
  <c r="I2032" i="1" l="1"/>
  <c r="L2031" i="7"/>
  <c r="I2033" i="1" l="1"/>
  <c r="L2032" i="7"/>
  <c r="I2034" i="1" l="1"/>
  <c r="L2033" i="7"/>
  <c r="I2035" i="1" l="1"/>
  <c r="L2034" i="7"/>
  <c r="I2036" i="1" l="1"/>
  <c r="L2035" i="7"/>
  <c r="I2037" i="1" l="1"/>
  <c r="L2036" i="7"/>
  <c r="I2038" i="1" l="1"/>
  <c r="L2037" i="7"/>
  <c r="I2039" i="1" l="1"/>
  <c r="L2038" i="7"/>
  <c r="I2040" i="1" l="1"/>
  <c r="L2039" i="7"/>
  <c r="I2041" i="1" l="1"/>
  <c r="L2040" i="7"/>
  <c r="I2042" i="1" l="1"/>
  <c r="L2041" i="7"/>
  <c r="I2043" i="1" l="1"/>
  <c r="L2042" i="7"/>
  <c r="I2044" i="1" l="1"/>
  <c r="L2043" i="7"/>
  <c r="I2045" i="1" l="1"/>
  <c r="L2044" i="7"/>
  <c r="I2046" i="1" l="1"/>
  <c r="L2045" i="7"/>
  <c r="I2047" i="1" l="1"/>
  <c r="L2046" i="7"/>
  <c r="I2048" i="1" l="1"/>
  <c r="L2047" i="7"/>
  <c r="I2049" i="1" l="1"/>
  <c r="L2048" i="7"/>
  <c r="I2050" i="1" l="1"/>
  <c r="L2049" i="7"/>
  <c r="I2051" i="1" l="1"/>
  <c r="L2050" i="7"/>
  <c r="I2052" i="1" l="1"/>
  <c r="L2051" i="7"/>
  <c r="I2053" i="1" l="1"/>
  <c r="L2052" i="7"/>
  <c r="I2054" i="1" l="1"/>
  <c r="L2053" i="7"/>
  <c r="I2055" i="1" l="1"/>
  <c r="L2054" i="7"/>
  <c r="I2056" i="1" l="1"/>
  <c r="L2055" i="7"/>
  <c r="I2057" i="1" l="1"/>
  <c r="L2056" i="7"/>
  <c r="I2058" i="1" l="1"/>
  <c r="L2057" i="7"/>
  <c r="I2059" i="1" l="1"/>
  <c r="L2058" i="7"/>
  <c r="I2060" i="1" l="1"/>
  <c r="L2059" i="7"/>
  <c r="I2061" i="1" l="1"/>
  <c r="L2060" i="7"/>
  <c r="I2062" i="1" l="1"/>
  <c r="L2061" i="7"/>
  <c r="I2063" i="1" l="1"/>
  <c r="L2062" i="7"/>
  <c r="I2064" i="1" l="1"/>
  <c r="L2063" i="7"/>
  <c r="I2065" i="1" l="1"/>
  <c r="L2064" i="7"/>
  <c r="I2066" i="1" l="1"/>
  <c r="L2065" i="7"/>
  <c r="I2067" i="1" l="1"/>
  <c r="L2066" i="7"/>
  <c r="I2068" i="1" l="1"/>
  <c r="L2067" i="7"/>
  <c r="I2069" i="1" l="1"/>
  <c r="L2068" i="7"/>
  <c r="I2070" i="1" l="1"/>
  <c r="L2069" i="7"/>
  <c r="I2071" i="1" l="1"/>
  <c r="L2070" i="7"/>
  <c r="I2072" i="1" l="1"/>
  <c r="L2071" i="7"/>
  <c r="I2073" i="1" l="1"/>
  <c r="L2072" i="7"/>
  <c r="I2074" i="1" l="1"/>
  <c r="L2073" i="7"/>
  <c r="I2075" i="1" l="1"/>
  <c r="L2074" i="7"/>
  <c r="I2076" i="1" l="1"/>
  <c r="L2075" i="7"/>
  <c r="I2077" i="1" l="1"/>
  <c r="L2076" i="7"/>
  <c r="I2078" i="1" l="1"/>
  <c r="L2077" i="7"/>
  <c r="I2079" i="1" l="1"/>
  <c r="L2078" i="7"/>
  <c r="I2080" i="1" l="1"/>
  <c r="L2079" i="7"/>
  <c r="I2081" i="1" l="1"/>
  <c r="L2080" i="7"/>
  <c r="I2082" i="1" l="1"/>
  <c r="L2081" i="7"/>
  <c r="I2083" i="1" l="1"/>
  <c r="L2082" i="7"/>
  <c r="I2084" i="1" l="1"/>
  <c r="L2083" i="7"/>
  <c r="I2085" i="1" l="1"/>
  <c r="L2084" i="7"/>
  <c r="I2086" i="1" l="1"/>
  <c r="L2085" i="7"/>
  <c r="I2087" i="1" l="1"/>
  <c r="L2086" i="7"/>
  <c r="I2088" i="1" l="1"/>
  <c r="L2087" i="7"/>
  <c r="I2089" i="1" l="1"/>
  <c r="L2088" i="7"/>
  <c r="I2090" i="1" l="1"/>
  <c r="L2089" i="7"/>
  <c r="I2091" i="1" l="1"/>
  <c r="L2090" i="7"/>
  <c r="I2092" i="1" l="1"/>
  <c r="L2091" i="7"/>
  <c r="L2092" i="7" l="1"/>
  <c r="I2093" i="1"/>
  <c r="I2094" i="1" l="1"/>
  <c r="L2093" i="7"/>
  <c r="I2095" i="1" l="1"/>
  <c r="L2094" i="7"/>
  <c r="I2096" i="1" l="1"/>
  <c r="L2095" i="7"/>
  <c r="I2097" i="1" l="1"/>
  <c r="L2096" i="7"/>
  <c r="I2098" i="1" l="1"/>
  <c r="L2097" i="7"/>
  <c r="I2099" i="1" l="1"/>
  <c r="L2098" i="7"/>
  <c r="I2100" i="1" l="1"/>
  <c r="L2099" i="7"/>
  <c r="I2101" i="1" l="1"/>
  <c r="L2100" i="7"/>
  <c r="I2102" i="1" l="1"/>
  <c r="L2101" i="7"/>
  <c r="I2103" i="1" l="1"/>
  <c r="L2102" i="7"/>
  <c r="I2104" i="1" l="1"/>
  <c r="L2103" i="7"/>
  <c r="I2105" i="1" l="1"/>
  <c r="L2104" i="7"/>
  <c r="L2105" i="7" l="1"/>
  <c r="I2106" i="1"/>
  <c r="I2107" i="1" l="1"/>
  <c r="L2106" i="7"/>
  <c r="I2108" i="1" l="1"/>
  <c r="L2107" i="7"/>
  <c r="I2109" i="1" l="1"/>
  <c r="L2108" i="7"/>
  <c r="I2110" i="1" l="1"/>
  <c r="L2109" i="7"/>
  <c r="I2111" i="1" l="1"/>
  <c r="L2110" i="7"/>
  <c r="I2112" i="1" l="1"/>
  <c r="L2111" i="7"/>
  <c r="I2113" i="1" l="1"/>
  <c r="L2112" i="7"/>
  <c r="I2114" i="1" l="1"/>
  <c r="L2113" i="7"/>
  <c r="I2115" i="1" l="1"/>
  <c r="L2114" i="7"/>
  <c r="I2116" i="1" l="1"/>
  <c r="L2115" i="7"/>
  <c r="I2117" i="1" l="1"/>
  <c r="L2116" i="7"/>
  <c r="I2118" i="1" l="1"/>
  <c r="L2117" i="7"/>
  <c r="I2119" i="1" l="1"/>
  <c r="L2118" i="7"/>
  <c r="I2120" i="1" l="1"/>
  <c r="L2119" i="7"/>
  <c r="I2121" i="1" l="1"/>
  <c r="L2120" i="7"/>
  <c r="I2122" i="1" l="1"/>
  <c r="L2121" i="7"/>
  <c r="L2122" i="7" l="1"/>
  <c r="I2123" i="1"/>
  <c r="L2123" i="7" l="1"/>
  <c r="I2124" i="1"/>
  <c r="L2124" i="7" l="1"/>
  <c r="I2125" i="1"/>
  <c r="I2126" i="1" l="1"/>
  <c r="L2125" i="7"/>
  <c r="L2126" i="7" l="1"/>
  <c r="I2127" i="1"/>
  <c r="L2127" i="7" l="1"/>
  <c r="I2128" i="1"/>
  <c r="I2129" i="1" l="1"/>
  <c r="L2128" i="7"/>
  <c r="I2130" i="1" l="1"/>
  <c r="L2129" i="7"/>
  <c r="L2130" i="7" l="1"/>
  <c r="I2131" i="1"/>
  <c r="I2132" i="1" l="1"/>
  <c r="L2131" i="7"/>
  <c r="I2133" i="1" l="1"/>
  <c r="L2132" i="7"/>
  <c r="L2133" i="7" l="1"/>
  <c r="I2134" i="1"/>
  <c r="I2135" i="1" l="1"/>
  <c r="L2134" i="7"/>
  <c r="L2135" i="7" l="1"/>
  <c r="I2136" i="1"/>
  <c r="I2137" i="1" l="1"/>
  <c r="L2136" i="7"/>
  <c r="I2138" i="1" l="1"/>
  <c r="L2137" i="7"/>
  <c r="I2139" i="1" l="1"/>
  <c r="L2138" i="7"/>
  <c r="I2140" i="1" l="1"/>
  <c r="L2139" i="7"/>
  <c r="I2141" i="1" l="1"/>
  <c r="L2140" i="7"/>
  <c r="I2142" i="1" l="1"/>
  <c r="L2141" i="7"/>
  <c r="L2142" i="7" l="1"/>
  <c r="I2143" i="1"/>
  <c r="I2144" i="1" l="1"/>
  <c r="L2143" i="7"/>
  <c r="I2145" i="1" l="1"/>
  <c r="L2144" i="7"/>
  <c r="I2146" i="1" l="1"/>
  <c r="L2145" i="7"/>
  <c r="I2147" i="1" l="1"/>
  <c r="L2146" i="7"/>
  <c r="I2148" i="1" l="1"/>
  <c r="L2147" i="7"/>
  <c r="I2149" i="1" l="1"/>
  <c r="L2148" i="7"/>
  <c r="L2149" i="7" l="1"/>
  <c r="I2150" i="1"/>
  <c r="L2150" i="7" l="1"/>
  <c r="I2151" i="1"/>
  <c r="I2152" i="1" l="1"/>
  <c r="L2151" i="7"/>
  <c r="I2153" i="1" l="1"/>
  <c r="L2152" i="7"/>
  <c r="I2154" i="1" l="1"/>
  <c r="L2153" i="7"/>
  <c r="L2154" i="7" l="1"/>
  <c r="I2155" i="1"/>
  <c r="I2156" i="1" l="1"/>
  <c r="L2155" i="7"/>
  <c r="I2157" i="1" l="1"/>
  <c r="L2156" i="7"/>
  <c r="I2158" i="1" l="1"/>
  <c r="L2157" i="7"/>
  <c r="L2158" i="7" l="1"/>
  <c r="I2159" i="1"/>
  <c r="I2160" i="1" l="1"/>
  <c r="L2159" i="7"/>
  <c r="L2160" i="7" l="1"/>
  <c r="I2161" i="1"/>
  <c r="I2162" i="1" l="1"/>
  <c r="L2161" i="7"/>
  <c r="I2163" i="1" l="1"/>
  <c r="L2162" i="7"/>
  <c r="I2164" i="1" l="1"/>
  <c r="L2163" i="7"/>
  <c r="I2165" i="1" l="1"/>
  <c r="L2164" i="7"/>
  <c r="I2166" i="1" l="1"/>
  <c r="L2165" i="7"/>
  <c r="I2167" i="1" l="1"/>
  <c r="L2166" i="7"/>
  <c r="I2168" i="1" l="1"/>
  <c r="L2167" i="7"/>
  <c r="I2169" i="1" l="1"/>
  <c r="L2168" i="7"/>
  <c r="I2170" i="1" l="1"/>
  <c r="L2169" i="7"/>
  <c r="I2171" i="1" l="1"/>
  <c r="L2170" i="7"/>
  <c r="I2172" i="1" l="1"/>
  <c r="L2171" i="7"/>
  <c r="I2173" i="1" l="1"/>
  <c r="L2172" i="7"/>
  <c r="I2174" i="1" l="1"/>
  <c r="L2173" i="7"/>
  <c r="I2175" i="1" l="1"/>
  <c r="L2174" i="7"/>
  <c r="I2176" i="1" l="1"/>
  <c r="L2175" i="7"/>
  <c r="I2177" i="1" l="1"/>
  <c r="L2176" i="7"/>
  <c r="I2178" i="1" l="1"/>
  <c r="L2177" i="7"/>
  <c r="I2179" i="1" l="1"/>
  <c r="L2178" i="7"/>
  <c r="I2180" i="1" l="1"/>
  <c r="L2179" i="7"/>
  <c r="I2181" i="1" l="1"/>
  <c r="L2180" i="7"/>
  <c r="I2182" i="1" l="1"/>
  <c r="L2181" i="7"/>
  <c r="I2183" i="1" l="1"/>
  <c r="L2182" i="7"/>
  <c r="I2184" i="1" l="1"/>
  <c r="L2183" i="7"/>
  <c r="I2185" i="1" l="1"/>
  <c r="L2184" i="7"/>
  <c r="I2186" i="1" l="1"/>
  <c r="L2185" i="7"/>
  <c r="I2187" i="1" l="1"/>
  <c r="L2186" i="7"/>
  <c r="I2188" i="1" l="1"/>
  <c r="L2187" i="7"/>
  <c r="I2189" i="1" l="1"/>
  <c r="L2188" i="7"/>
  <c r="I2190" i="1" l="1"/>
  <c r="L2189" i="7"/>
  <c r="I2191" i="1" l="1"/>
  <c r="L2190" i="7"/>
  <c r="I2192" i="1" l="1"/>
  <c r="L2191" i="7"/>
  <c r="L2192" i="7" l="1"/>
  <c r="I2193" i="1"/>
  <c r="I2194" i="1" l="1"/>
  <c r="L2193" i="7"/>
  <c r="I2195" i="1" l="1"/>
  <c r="L2194" i="7"/>
  <c r="I2196" i="1" l="1"/>
  <c r="L2195" i="7"/>
  <c r="I2197" i="1" l="1"/>
  <c r="L2196" i="7"/>
  <c r="I2198" i="1" l="1"/>
  <c r="L2197" i="7"/>
  <c r="L2198" i="7" l="1"/>
  <c r="I2199" i="1"/>
  <c r="I2200" i="1" l="1"/>
  <c r="L2199" i="7"/>
  <c r="I2201" i="1" l="1"/>
  <c r="L2200" i="7"/>
  <c r="I2202" i="1" l="1"/>
  <c r="L2201" i="7"/>
  <c r="I2203" i="1" l="1"/>
  <c r="L2202" i="7"/>
  <c r="I2204" i="1" l="1"/>
  <c r="L2203" i="7"/>
  <c r="I2205" i="1" l="1"/>
  <c r="L2204" i="7"/>
  <c r="L2205" i="7" l="1"/>
  <c r="I2206" i="1"/>
  <c r="L2206" i="7" l="1"/>
  <c r="I2207" i="1"/>
  <c r="I2208" i="1" l="1"/>
  <c r="L2207" i="7"/>
  <c r="I2209" i="1" l="1"/>
  <c r="L2208" i="7"/>
  <c r="I2210" i="1" l="1"/>
  <c r="L2209" i="7"/>
  <c r="I2211" i="1" l="1"/>
  <c r="L2210" i="7"/>
  <c r="I2212" i="1" l="1"/>
  <c r="L2211" i="7"/>
  <c r="L2212" i="7" l="1"/>
  <c r="I2213" i="1"/>
  <c r="I2214" i="1" l="1"/>
  <c r="L2213" i="7"/>
  <c r="I2215" i="1" l="1"/>
  <c r="L2214" i="7"/>
  <c r="L2215" i="7" l="1"/>
  <c r="I2216" i="1"/>
  <c r="I2217" i="1" l="1"/>
  <c r="L2216" i="7"/>
  <c r="L2217" i="7" l="1"/>
  <c r="I2218" i="1"/>
  <c r="I2219" i="1" l="1"/>
  <c r="L2218" i="7"/>
  <c r="I2220" i="1" l="1"/>
  <c r="L2219" i="7"/>
  <c r="I2221" i="1" l="1"/>
  <c r="L2220" i="7"/>
  <c r="I2222" i="1" l="1"/>
  <c r="L2221" i="7"/>
  <c r="L2222" i="7" l="1"/>
  <c r="I2223" i="1"/>
  <c r="I2224" i="1" l="1"/>
  <c r="L2223" i="7"/>
  <c r="L2224" i="7" l="1"/>
  <c r="I2225" i="1"/>
  <c r="I2226" i="1" l="1"/>
  <c r="L2225" i="7"/>
  <c r="I2227" i="1" l="1"/>
  <c r="L2226" i="7"/>
  <c r="I2228" i="1" l="1"/>
  <c r="L2227" i="7"/>
  <c r="I2229" i="1" l="1"/>
  <c r="L2228" i="7"/>
  <c r="I2230" i="1" l="1"/>
  <c r="L2229" i="7"/>
  <c r="L2230" i="7" l="1"/>
  <c r="I2231" i="1"/>
  <c r="I2232" i="1" l="1"/>
  <c r="L2231" i="7"/>
  <c r="I2233" i="1" l="1"/>
  <c r="L2232" i="7"/>
  <c r="I2234" i="1" l="1"/>
  <c r="L2233" i="7"/>
  <c r="I2235" i="1" l="1"/>
  <c r="L2234" i="7"/>
  <c r="I2236" i="1" l="1"/>
  <c r="L2235" i="7"/>
  <c r="L2236" i="7" l="1"/>
  <c r="I2237" i="1"/>
  <c r="I2238" i="1" l="1"/>
  <c r="L2237" i="7"/>
  <c r="I2239" i="1" l="1"/>
  <c r="L2238" i="7"/>
  <c r="I2240" i="1" l="1"/>
  <c r="L2239" i="7"/>
  <c r="L2240" i="7" l="1"/>
  <c r="I2241" i="1"/>
  <c r="I2242" i="1" l="1"/>
  <c r="L2241" i="7"/>
  <c r="I2243" i="1" l="1"/>
  <c r="L2242" i="7"/>
  <c r="I2244" i="1" l="1"/>
  <c r="L2243" i="7"/>
  <c r="I2245" i="1" l="1"/>
  <c r="L2244" i="7"/>
  <c r="I2246" i="1" l="1"/>
  <c r="L2245" i="7"/>
  <c r="I2247" i="1" l="1"/>
  <c r="L2246" i="7"/>
  <c r="I2248" i="1" l="1"/>
  <c r="L2247" i="7"/>
  <c r="I2249" i="1" l="1"/>
  <c r="L2248" i="7"/>
  <c r="I2250" i="1" l="1"/>
  <c r="L2249" i="7"/>
  <c r="I2251" i="1" l="1"/>
  <c r="L2250" i="7"/>
  <c r="I2252" i="1" l="1"/>
  <c r="L2251" i="7"/>
  <c r="I2253" i="1" l="1"/>
  <c r="L2252" i="7"/>
  <c r="I2254" i="1" l="1"/>
  <c r="L2253" i="7"/>
  <c r="I2255" i="1" l="1"/>
  <c r="L2254" i="7"/>
  <c r="I2256" i="1" l="1"/>
  <c r="L2255" i="7"/>
  <c r="L2256" i="7" l="1"/>
  <c r="I2257" i="1"/>
  <c r="I2258" i="1" l="1"/>
  <c r="L2257" i="7"/>
  <c r="I2259" i="1" l="1"/>
  <c r="L2258" i="7"/>
  <c r="I2260" i="1" l="1"/>
  <c r="L2259" i="7"/>
  <c r="L2260" i="7" l="1"/>
  <c r="I2261" i="1"/>
  <c r="I2262" i="1" l="1"/>
  <c r="L2261" i="7"/>
  <c r="I2263" i="1" l="1"/>
  <c r="L2262" i="7"/>
  <c r="I2264" i="1" l="1"/>
  <c r="L2263" i="7"/>
  <c r="L2264" i="7" l="1"/>
  <c r="I2265" i="1"/>
  <c r="I2266" i="1" l="1"/>
  <c r="L2265" i="7"/>
  <c r="I2267" i="1" l="1"/>
  <c r="L2266" i="7"/>
  <c r="L2267" i="7" l="1"/>
  <c r="I2268" i="1"/>
  <c r="I2269" i="1" l="1"/>
  <c r="L2268" i="7"/>
  <c r="I2270" i="1" l="1"/>
  <c r="L2269" i="7"/>
  <c r="I2271" i="1" l="1"/>
  <c r="L2270" i="7"/>
  <c r="I2272" i="1" l="1"/>
  <c r="L2271" i="7"/>
  <c r="I2273" i="1" l="1"/>
  <c r="L2272" i="7"/>
  <c r="L2273" i="7" l="1"/>
  <c r="I2274" i="1"/>
  <c r="L2274" i="7" l="1"/>
  <c r="I2275" i="1"/>
  <c r="I2276" i="1" l="1"/>
  <c r="L2275" i="7"/>
  <c r="I2277" i="1" l="1"/>
  <c r="L2276" i="7"/>
  <c r="I2278" i="1" l="1"/>
  <c r="L2277" i="7"/>
  <c r="I2279" i="1" l="1"/>
  <c r="L2278" i="7"/>
  <c r="I2280" i="1" l="1"/>
  <c r="L2279" i="7"/>
  <c r="I2281" i="1" l="1"/>
  <c r="L2280" i="7"/>
  <c r="L2281" i="7" l="1"/>
  <c r="I2282" i="1"/>
  <c r="I2283" i="1" l="1"/>
  <c r="L2282" i="7"/>
  <c r="I2284" i="1" l="1"/>
  <c r="L2283" i="7"/>
  <c r="I2285" i="1" l="1"/>
  <c r="L2284" i="7"/>
  <c r="I2286" i="1" l="1"/>
  <c r="L2285" i="7"/>
  <c r="I2287" i="1" l="1"/>
  <c r="L2286" i="7"/>
  <c r="I2288" i="1" l="1"/>
  <c r="L2287" i="7"/>
  <c r="I2289" i="1" l="1"/>
  <c r="L2288" i="7"/>
  <c r="I2290" i="1" l="1"/>
  <c r="L2289" i="7"/>
  <c r="I2291" i="1" l="1"/>
  <c r="L2290" i="7"/>
  <c r="L2291" i="7" l="1"/>
  <c r="I2292" i="1"/>
  <c r="I2293" i="1" l="1"/>
  <c r="L2292" i="7"/>
  <c r="I2294" i="1" l="1"/>
  <c r="L2293" i="7"/>
  <c r="I2295" i="1" l="1"/>
  <c r="L2294" i="7"/>
  <c r="L2295" i="7" l="1"/>
  <c r="I2296" i="1"/>
  <c r="L2296" i="7" l="1"/>
  <c r="I2297" i="1"/>
  <c r="I2298" i="1" l="1"/>
  <c r="L2297" i="7"/>
  <c r="L2298" i="7" l="1"/>
  <c r="I2299" i="1"/>
  <c r="I2300" i="1" l="1"/>
  <c r="L2299" i="7"/>
  <c r="I2301" i="1" l="1"/>
  <c r="L2300" i="7"/>
  <c r="I2302" i="1" l="1"/>
  <c r="L2301" i="7"/>
  <c r="I2303" i="1" l="1"/>
  <c r="L2302" i="7"/>
  <c r="I2304" i="1" l="1"/>
  <c r="L2303" i="7"/>
  <c r="I2305" i="1" l="1"/>
  <c r="L2304" i="7"/>
  <c r="I2306" i="1" l="1"/>
  <c r="L2305" i="7"/>
  <c r="I2307" i="1" l="1"/>
  <c r="L2306" i="7"/>
  <c r="I2308" i="1" l="1"/>
  <c r="L2307" i="7"/>
  <c r="I2309" i="1" l="1"/>
  <c r="L2308" i="7"/>
  <c r="I2310" i="1" l="1"/>
  <c r="L2309" i="7"/>
  <c r="I2311" i="1" l="1"/>
  <c r="L2310" i="7"/>
  <c r="I2312" i="1" l="1"/>
  <c r="L2311" i="7"/>
  <c r="L2312" i="7" l="1"/>
  <c r="I2313" i="1"/>
  <c r="I2314" i="1" l="1"/>
  <c r="L2313" i="7"/>
  <c r="L2314" i="7" l="1"/>
  <c r="I2315" i="1"/>
  <c r="I2316" i="1" l="1"/>
  <c r="L2315" i="7"/>
  <c r="I2317" i="1" l="1"/>
  <c r="L2316" i="7"/>
  <c r="I2318" i="1" l="1"/>
  <c r="L2317" i="7"/>
  <c r="I2319" i="1" l="1"/>
  <c r="L2318" i="7"/>
  <c r="I2320" i="1" l="1"/>
  <c r="L2319" i="7"/>
  <c r="I2321" i="1" l="1"/>
  <c r="L2320" i="7"/>
  <c r="I2322" i="1" l="1"/>
  <c r="L2321" i="7"/>
  <c r="I2323" i="1" l="1"/>
  <c r="L2322" i="7"/>
  <c r="I2324" i="1" l="1"/>
  <c r="L2323" i="7"/>
  <c r="L2324" i="7" l="1"/>
  <c r="I2325" i="1"/>
  <c r="I2326" i="1" l="1"/>
  <c r="L2325" i="7"/>
  <c r="I2327" i="1" l="1"/>
  <c r="L2326" i="7"/>
  <c r="I2328" i="1" l="1"/>
  <c r="L2327" i="7"/>
  <c r="I2329" i="1" l="1"/>
  <c r="L2328" i="7"/>
  <c r="I2330" i="1" l="1"/>
  <c r="L2329" i="7"/>
  <c r="I2331" i="1" l="1"/>
  <c r="L2330" i="7"/>
  <c r="L2331" i="7" l="1"/>
  <c r="I2332" i="1"/>
  <c r="I2333" i="1" l="1"/>
  <c r="L2332" i="7"/>
  <c r="I2334" i="1" l="1"/>
  <c r="L2333" i="7"/>
  <c r="I2335" i="1" l="1"/>
  <c r="L2334" i="7"/>
  <c r="I2336" i="1" l="1"/>
  <c r="L2335" i="7"/>
  <c r="I2337" i="1" l="1"/>
  <c r="L2336" i="7"/>
  <c r="I2338" i="1" l="1"/>
  <c r="L2337" i="7"/>
  <c r="I2339" i="1" l="1"/>
  <c r="L2338" i="7"/>
  <c r="I2340" i="1" l="1"/>
  <c r="L2339" i="7"/>
  <c r="I2341" i="1" l="1"/>
  <c r="L2340" i="7"/>
  <c r="I2342" i="1" l="1"/>
  <c r="L2341" i="7"/>
  <c r="I2343" i="1" l="1"/>
  <c r="L2342" i="7"/>
  <c r="I2344" i="1" l="1"/>
  <c r="L2343" i="7"/>
  <c r="I2345" i="1" l="1"/>
  <c r="L2344" i="7"/>
  <c r="I2346" i="1" l="1"/>
  <c r="L2345" i="7"/>
  <c r="I2347" i="1" l="1"/>
  <c r="L2346" i="7"/>
  <c r="L2347" i="7" l="1"/>
  <c r="I2348" i="1"/>
  <c r="I2349" i="1" l="1"/>
  <c r="L2348" i="7"/>
  <c r="I2350" i="1" l="1"/>
  <c r="L2349" i="7"/>
  <c r="I2351" i="1" l="1"/>
  <c r="L2350" i="7"/>
  <c r="I2352" i="1" l="1"/>
  <c r="L2351" i="7"/>
  <c r="L2352" i="7" l="1"/>
  <c r="I2353" i="1"/>
  <c r="I2354" i="1" l="1"/>
  <c r="L2353" i="7"/>
  <c r="I2355" i="1" l="1"/>
  <c r="L2354" i="7"/>
  <c r="I2356" i="1" l="1"/>
  <c r="L2355" i="7"/>
  <c r="I2357" i="1" l="1"/>
  <c r="L2356" i="7"/>
  <c r="I2358" i="1" l="1"/>
  <c r="L2357" i="7"/>
  <c r="I2359" i="1" l="1"/>
  <c r="L2358" i="7"/>
  <c r="I2360" i="1" l="1"/>
  <c r="L2359" i="7"/>
  <c r="I2361" i="1" l="1"/>
  <c r="L2360" i="7"/>
  <c r="I2362" i="1" l="1"/>
  <c r="L2361" i="7"/>
  <c r="I2363" i="1" l="1"/>
  <c r="L2362" i="7"/>
  <c r="I2364" i="1" l="1"/>
  <c r="L2363" i="7"/>
  <c r="I2365" i="1" l="1"/>
  <c r="L2364" i="7"/>
  <c r="I2366" i="1" l="1"/>
  <c r="L2365" i="7"/>
  <c r="L2366" i="7" l="1"/>
  <c r="I2367" i="1"/>
  <c r="I2368" i="1" l="1"/>
  <c r="L2367" i="7"/>
  <c r="L2368" i="7" l="1"/>
  <c r="I2369" i="1"/>
  <c r="I2370" i="1" l="1"/>
  <c r="L2369" i="7"/>
  <c r="L2370" i="7" l="1"/>
  <c r="I2371" i="1"/>
  <c r="I2372" i="1" l="1"/>
  <c r="L2371" i="7"/>
  <c r="I2373" i="1" l="1"/>
  <c r="L2372" i="7"/>
  <c r="L2373" i="7" l="1"/>
  <c r="I2374" i="1"/>
  <c r="L2374" i="7" l="1"/>
  <c r="I2375" i="1"/>
  <c r="I2376" i="1" l="1"/>
  <c r="L2375" i="7"/>
  <c r="I2377" i="1" l="1"/>
  <c r="L2376" i="7"/>
  <c r="I2378" i="1" l="1"/>
  <c r="L2377" i="7"/>
  <c r="I2379" i="1" l="1"/>
  <c r="L2378" i="7"/>
  <c r="I2380" i="1" l="1"/>
  <c r="L2379" i="7"/>
  <c r="L2380" i="7" l="1"/>
  <c r="I2381" i="1"/>
  <c r="L2381" i="7" l="1"/>
  <c r="I2382" i="1"/>
  <c r="I2383" i="1" l="1"/>
  <c r="L2382" i="7"/>
  <c r="L2383" i="7" l="1"/>
  <c r="I2384" i="1"/>
  <c r="L2384" i="7" l="1"/>
  <c r="I2385" i="1"/>
  <c r="I2386" i="1" l="1"/>
  <c r="L2385" i="7"/>
  <c r="I2387" i="1" l="1"/>
  <c r="L2386" i="7"/>
  <c r="I2388" i="1" l="1"/>
  <c r="L2387" i="7"/>
  <c r="I2389" i="1" l="1"/>
  <c r="L2388" i="7"/>
  <c r="I2390" i="1" l="1"/>
  <c r="L2389" i="7"/>
  <c r="I2391" i="1" l="1"/>
  <c r="L2390" i="7"/>
  <c r="L2391" i="7" l="1"/>
  <c r="I2392" i="1"/>
  <c r="I2393" i="1" l="1"/>
  <c r="L2392" i="7"/>
  <c r="I2394" i="1" l="1"/>
  <c r="L2393" i="7"/>
  <c r="I2395" i="1" l="1"/>
  <c r="L2394" i="7"/>
  <c r="L2395" i="7" l="1"/>
  <c r="I2396" i="1"/>
  <c r="L2396" i="7" l="1"/>
  <c r="I2397" i="1"/>
  <c r="I2398" i="1" l="1"/>
  <c r="L2397" i="7"/>
  <c r="I2399" i="1" l="1"/>
  <c r="L2398" i="7"/>
  <c r="I2400" i="1" l="1"/>
  <c r="L2399" i="7"/>
  <c r="I2401" i="1" l="1"/>
  <c r="L2400" i="7"/>
  <c r="I2402" i="1" l="1"/>
  <c r="L2401" i="7"/>
  <c r="L2402" i="7" l="1"/>
  <c r="I2403" i="1"/>
  <c r="I2404" i="1" l="1"/>
  <c r="L2403" i="7"/>
  <c r="I2405" i="1" l="1"/>
  <c r="L2404" i="7"/>
  <c r="I2406" i="1" l="1"/>
  <c r="L2405" i="7"/>
  <c r="I2407" i="1" l="1"/>
  <c r="L2406" i="7"/>
  <c r="I2408" i="1" l="1"/>
  <c r="L2407" i="7"/>
  <c r="I2409" i="1" l="1"/>
  <c r="L2408" i="7"/>
  <c r="I2410" i="1" l="1"/>
  <c r="L2409" i="7"/>
  <c r="L2410" i="7" l="1"/>
  <c r="I2411" i="1"/>
  <c r="I2412" i="1" l="1"/>
  <c r="L2411" i="7"/>
  <c r="I2413" i="1" l="1"/>
  <c r="L2412" i="7"/>
  <c r="I2414" i="1" l="1"/>
  <c r="L2413" i="7"/>
  <c r="I2415" i="1" l="1"/>
  <c r="L2414" i="7"/>
  <c r="I2416" i="1" l="1"/>
  <c r="L2415" i="7"/>
  <c r="I2417" i="1" l="1"/>
  <c r="L2416" i="7"/>
  <c r="I2418" i="1" l="1"/>
  <c r="L2417" i="7"/>
  <c r="I2419" i="1" l="1"/>
  <c r="L2418" i="7"/>
  <c r="I2420" i="1" l="1"/>
  <c r="L2419" i="7"/>
  <c r="I2421" i="1" l="1"/>
  <c r="L2420" i="7"/>
  <c r="I2422" i="1" l="1"/>
  <c r="L2421" i="7"/>
  <c r="I2423" i="1" l="1"/>
  <c r="L2422" i="7"/>
  <c r="L2423" i="7" l="1"/>
  <c r="I2424" i="1"/>
  <c r="I2425" i="1" l="1"/>
  <c r="L2424" i="7"/>
  <c r="I2426" i="1" l="1"/>
  <c r="L2425" i="7"/>
  <c r="L2426" i="7" l="1"/>
  <c r="I2427" i="1"/>
  <c r="L2427" i="7" l="1"/>
  <c r="I2428" i="1"/>
  <c r="I2429" i="1" l="1"/>
  <c r="L2428" i="7"/>
  <c r="I2430" i="1" l="1"/>
  <c r="L2429" i="7"/>
  <c r="I2431" i="1" l="1"/>
  <c r="L2430" i="7"/>
  <c r="I2432" i="1" l="1"/>
  <c r="L2431" i="7"/>
  <c r="L2432" i="7" l="1"/>
  <c r="I2433" i="1"/>
  <c r="I2434" i="1" l="1"/>
  <c r="L2433" i="7"/>
  <c r="I2435" i="1" l="1"/>
  <c r="L2434" i="7"/>
  <c r="L2435" i="7" l="1"/>
  <c r="I2436" i="1"/>
  <c r="I2437" i="1" l="1"/>
  <c r="L2436" i="7"/>
  <c r="I2438" i="1" l="1"/>
  <c r="L2437" i="7"/>
  <c r="I2439" i="1" l="1"/>
  <c r="L2438" i="7"/>
  <c r="I2440" i="1" l="1"/>
  <c r="L2439" i="7"/>
  <c r="I2441" i="1" l="1"/>
  <c r="L2440" i="7"/>
  <c r="I2442" i="1" l="1"/>
  <c r="L2441" i="7"/>
  <c r="I2443" i="1" l="1"/>
  <c r="L2442" i="7"/>
  <c r="I2444" i="1" l="1"/>
  <c r="L2443" i="7"/>
  <c r="I2445" i="1" l="1"/>
  <c r="L2444" i="7"/>
  <c r="I2446" i="1" l="1"/>
  <c r="L2445" i="7"/>
  <c r="I2447" i="1" l="1"/>
  <c r="L2446" i="7"/>
  <c r="I2448" i="1" l="1"/>
  <c r="L2447" i="7"/>
  <c r="I2449" i="1" l="1"/>
  <c r="L2448" i="7"/>
  <c r="I2450" i="1" l="1"/>
  <c r="L2449" i="7"/>
  <c r="I2451" i="1" l="1"/>
  <c r="L2450" i="7"/>
  <c r="L2451" i="7" l="1"/>
  <c r="I2452" i="1"/>
  <c r="I2453" i="1" l="1"/>
  <c r="L2452" i="7"/>
  <c r="I2454" i="1" l="1"/>
  <c r="L2453" i="7"/>
  <c r="I2455" i="1" l="1"/>
  <c r="L2454" i="7"/>
  <c r="L2455" i="7" l="1"/>
  <c r="I2456" i="1"/>
  <c r="I2457" i="1" l="1"/>
  <c r="L2456" i="7"/>
  <c r="L2457" i="7" l="1"/>
  <c r="I2458" i="1"/>
  <c r="L2458" i="7" l="1"/>
  <c r="I2459" i="1"/>
  <c r="I2460" i="1" l="1"/>
  <c r="L2459" i="7"/>
  <c r="I2461" i="1" l="1"/>
  <c r="L2460" i="7"/>
  <c r="I2462" i="1" l="1"/>
  <c r="L2461" i="7"/>
  <c r="L2462" i="7" l="1"/>
  <c r="I2463" i="1"/>
  <c r="L2463" i="7" l="1"/>
  <c r="I2464" i="1"/>
  <c r="I2465" i="1" l="1"/>
  <c r="L2464" i="7"/>
  <c r="I2466" i="1" l="1"/>
  <c r="L2465" i="7"/>
  <c r="I2467" i="1" l="1"/>
  <c r="L2466" i="7"/>
  <c r="I2468" i="1" l="1"/>
  <c r="L2467" i="7"/>
  <c r="I2469" i="1" l="1"/>
  <c r="L2468" i="7"/>
  <c r="L2469" i="7" l="1"/>
  <c r="I2470" i="1"/>
  <c r="I2471" i="1" l="1"/>
  <c r="L2470" i="7"/>
  <c r="I2472" i="1" l="1"/>
  <c r="L2471" i="7"/>
  <c r="I2473" i="1" l="1"/>
  <c r="L2472" i="7"/>
  <c r="L2473" i="7" l="1"/>
  <c r="I2474" i="1"/>
  <c r="I2475" i="1" l="1"/>
  <c r="L2474" i="7"/>
  <c r="L2475" i="7" l="1"/>
  <c r="I2476" i="1"/>
  <c r="I2477" i="1" l="1"/>
  <c r="L2476" i="7"/>
  <c r="I2478" i="1" l="1"/>
  <c r="L2477" i="7"/>
  <c r="L2478" i="7" l="1"/>
  <c r="I2479" i="1"/>
  <c r="I2480" i="1" l="1"/>
  <c r="L2479" i="7"/>
  <c r="I2481" i="1" l="1"/>
  <c r="L2480" i="7"/>
  <c r="I2482" i="1" l="1"/>
  <c r="L2481" i="7"/>
  <c r="L2482" i="7" l="1"/>
  <c r="I2483" i="1"/>
  <c r="I2484" i="1" l="1"/>
  <c r="L2483" i="7"/>
  <c r="L2484" i="7" l="1"/>
  <c r="I2485" i="1"/>
  <c r="I2486" i="1" l="1"/>
  <c r="L2485" i="7"/>
  <c r="I2487" i="1" l="1"/>
  <c r="L2486" i="7"/>
  <c r="I2488" i="1" l="1"/>
  <c r="L2487" i="7"/>
  <c r="L2488" i="7" l="1"/>
  <c r="I2489" i="1"/>
  <c r="I2490" i="1" l="1"/>
  <c r="L2489" i="7"/>
  <c r="I2491" i="1" l="1"/>
  <c r="L2490" i="7"/>
  <c r="I2492" i="1" l="1"/>
  <c r="L2491" i="7"/>
  <c r="I2493" i="1" l="1"/>
  <c r="L2492" i="7"/>
  <c r="I2494" i="1" l="1"/>
  <c r="L2493" i="7"/>
  <c r="I2495" i="1" l="1"/>
  <c r="L2494" i="7"/>
  <c r="I2496" i="1" l="1"/>
  <c r="L2495" i="7"/>
  <c r="I2497" i="1" l="1"/>
  <c r="L2496" i="7"/>
  <c r="L2497" i="7" l="1"/>
  <c r="I2498" i="1"/>
  <c r="I2499" i="1" l="1"/>
  <c r="L2498" i="7"/>
  <c r="L2499" i="7" l="1"/>
  <c r="I2500" i="1"/>
  <c r="I2501" i="1" l="1"/>
  <c r="L2500" i="7"/>
  <c r="I2502" i="1" l="1"/>
  <c r="L2501" i="7"/>
  <c r="I2503" i="1" l="1"/>
  <c r="L2502" i="7"/>
  <c r="I2504" i="1" l="1"/>
  <c r="L2503" i="7"/>
  <c r="I2505" i="1" l="1"/>
  <c r="L2504" i="7"/>
  <c r="I2506" i="1" l="1"/>
  <c r="L2505" i="7"/>
  <c r="I2507" i="1" l="1"/>
  <c r="L2506" i="7"/>
  <c r="I2508" i="1" l="1"/>
  <c r="L2507" i="7"/>
  <c r="I2509" i="1" l="1"/>
  <c r="L2508" i="7"/>
  <c r="L2509" i="7" l="1"/>
  <c r="I2510" i="1"/>
  <c r="I2511" i="1" l="1"/>
  <c r="L2510" i="7"/>
  <c r="L2511" i="7" l="1"/>
  <c r="I2512" i="1"/>
  <c r="I2513" i="1" l="1"/>
  <c r="L2512" i="7"/>
  <c r="L2513" i="7" l="1"/>
  <c r="I2514" i="1"/>
  <c r="I2515" i="1" l="1"/>
  <c r="L2514" i="7"/>
  <c r="I2516" i="1" l="1"/>
  <c r="L2515" i="7"/>
  <c r="I2517" i="1" l="1"/>
  <c r="L2516" i="7"/>
  <c r="I2518" i="1" l="1"/>
  <c r="L2517" i="7"/>
  <c r="I2519" i="1" l="1"/>
  <c r="L2518" i="7"/>
  <c r="I2520" i="1" l="1"/>
  <c r="L2519" i="7"/>
  <c r="I2521" i="1" l="1"/>
  <c r="L2520" i="7"/>
  <c r="I2522" i="1" l="1"/>
  <c r="L2521" i="7"/>
  <c r="I2523" i="1" l="1"/>
  <c r="L2522" i="7"/>
  <c r="L2523" i="7" l="1"/>
  <c r="I2524" i="1"/>
  <c r="L2524" i="7" l="1"/>
  <c r="I2525" i="1"/>
  <c r="I2526" i="1" l="1"/>
  <c r="L2525" i="7"/>
  <c r="I2527" i="1" l="1"/>
  <c r="L2526" i="7"/>
  <c r="I2528" i="1" l="1"/>
  <c r="L2527" i="7"/>
  <c r="I2529" i="1" l="1"/>
  <c r="L2528" i="7"/>
  <c r="L2529" i="7" l="1"/>
  <c r="I2530" i="1"/>
  <c r="I2531" i="1" l="1"/>
  <c r="L2530" i="7"/>
  <c r="I2532" i="1" l="1"/>
  <c r="L2531" i="7"/>
  <c r="I2533" i="1" l="1"/>
  <c r="L2532" i="7"/>
  <c r="I2534" i="1" l="1"/>
  <c r="L2533" i="7"/>
  <c r="L2534" i="7" l="1"/>
  <c r="I2535" i="1"/>
  <c r="L2535" i="7" l="1"/>
  <c r="I2536" i="1"/>
  <c r="I2537" i="1" l="1"/>
  <c r="L2536" i="7"/>
  <c r="L2537" i="7" l="1"/>
  <c r="I2538" i="1"/>
  <c r="I2539" i="1" l="1"/>
  <c r="L2538" i="7"/>
  <c r="I2540" i="1" l="1"/>
  <c r="L2539" i="7"/>
  <c r="I2541" i="1" l="1"/>
  <c r="L2540" i="7"/>
  <c r="I2542" i="1" l="1"/>
  <c r="L2541" i="7"/>
  <c r="I2543" i="1" l="1"/>
  <c r="L2542" i="7"/>
  <c r="I2544" i="1" l="1"/>
  <c r="L2543" i="7"/>
  <c r="I2545" i="1" l="1"/>
  <c r="L2544" i="7"/>
  <c r="L2545" i="7" l="1"/>
  <c r="I2546" i="1"/>
  <c r="I2547" i="1" l="1"/>
  <c r="L2546" i="7"/>
  <c r="I2548" i="1" l="1"/>
  <c r="L2547" i="7"/>
  <c r="L2548" i="7" l="1"/>
  <c r="I2549" i="1"/>
  <c r="I2550" i="1" l="1"/>
  <c r="L2549" i="7"/>
  <c r="I2551" i="1" l="1"/>
  <c r="L2550" i="7"/>
  <c r="I2552" i="1" l="1"/>
  <c r="L2551" i="7"/>
  <c r="I2553" i="1" l="1"/>
  <c r="L2552" i="7"/>
  <c r="I2554" i="1" l="1"/>
  <c r="L2553" i="7"/>
  <c r="I2555" i="1" l="1"/>
  <c r="L2554" i="7"/>
  <c r="I2556" i="1" l="1"/>
  <c r="L2555" i="7"/>
  <c r="I2557" i="1" l="1"/>
  <c r="L2556" i="7"/>
  <c r="I2558" i="1" l="1"/>
  <c r="L2557" i="7"/>
  <c r="L2558" i="7" l="1"/>
  <c r="I2559" i="1"/>
  <c r="I2560" i="1" l="1"/>
  <c r="L2559" i="7"/>
  <c r="I2561" i="1" l="1"/>
  <c r="L2560" i="7"/>
  <c r="I2562" i="1" l="1"/>
  <c r="L2561" i="7"/>
  <c r="I2563" i="1" l="1"/>
  <c r="L2562" i="7"/>
  <c r="I2564" i="1" l="1"/>
  <c r="L2563" i="7"/>
  <c r="L2564" i="7" l="1"/>
  <c r="I2565" i="1"/>
  <c r="I2566" i="1" l="1"/>
  <c r="L2565" i="7"/>
  <c r="I2567" i="1" l="1"/>
  <c r="L2566" i="7"/>
  <c r="L2567" i="7" l="1"/>
  <c r="I2568" i="1"/>
  <c r="I2569" i="1" l="1"/>
  <c r="L2568" i="7"/>
  <c r="I2570" i="1" l="1"/>
  <c r="L2569" i="7"/>
  <c r="L2570" i="7" l="1"/>
  <c r="I2571" i="1"/>
  <c r="I2572" i="1" l="1"/>
  <c r="L2571" i="7"/>
  <c r="I2573" i="1" l="1"/>
  <c r="L2572" i="7"/>
  <c r="L2573" i="7" l="1"/>
  <c r="I2574" i="1"/>
  <c r="I2575" i="1" l="1"/>
  <c r="L2574" i="7"/>
  <c r="L2575" i="7" l="1"/>
  <c r="I2576" i="1"/>
  <c r="I2577" i="1" l="1"/>
  <c r="L2576" i="7"/>
  <c r="I2578" i="1" l="1"/>
  <c r="L2577" i="7"/>
  <c r="L2578" i="7" l="1"/>
  <c r="I2579" i="1"/>
  <c r="I2580" i="1" l="1"/>
  <c r="L2579" i="7"/>
  <c r="I2581" i="1" l="1"/>
  <c r="L2580" i="7"/>
  <c r="I2582" i="1" l="1"/>
  <c r="L2581" i="7"/>
  <c r="I2583" i="1" l="1"/>
  <c r="L2582" i="7"/>
  <c r="I2584" i="1" l="1"/>
  <c r="L2583" i="7"/>
  <c r="I2585" i="1" l="1"/>
  <c r="L2584" i="7"/>
  <c r="I2586" i="1" l="1"/>
  <c r="L2585" i="7"/>
  <c r="I2587" i="1" l="1"/>
  <c r="L2586" i="7"/>
  <c r="I2588" i="1" l="1"/>
  <c r="L2587" i="7"/>
  <c r="I2589" i="1" l="1"/>
  <c r="L2588" i="7"/>
  <c r="I2590" i="1" l="1"/>
  <c r="L2589" i="7"/>
  <c r="I2591" i="1" l="1"/>
  <c r="L2590" i="7"/>
  <c r="I2592" i="1" l="1"/>
  <c r="L2591" i="7"/>
  <c r="I2593" i="1" l="1"/>
  <c r="L2592" i="7"/>
  <c r="I2594" i="1" l="1"/>
  <c r="L2593" i="7"/>
  <c r="I2595" i="1" l="1"/>
  <c r="L2594" i="7"/>
  <c r="I2596" i="1" l="1"/>
  <c r="L2595" i="7"/>
  <c r="I2597" i="1" l="1"/>
  <c r="L2596" i="7"/>
  <c r="I2598" i="1" l="1"/>
  <c r="L2597" i="7"/>
  <c r="I2599" i="1" l="1"/>
  <c r="L2598" i="7"/>
  <c r="I2600" i="1" l="1"/>
  <c r="L2599" i="7"/>
  <c r="I2601" i="1" l="1"/>
  <c r="L2600" i="7"/>
  <c r="I2602" i="1" l="1"/>
  <c r="L2601" i="7"/>
  <c r="L2602" i="7" l="1"/>
  <c r="I2603" i="1"/>
  <c r="L2603" i="7" l="1"/>
  <c r="I2604" i="1"/>
  <c r="I2605" i="1" l="1"/>
  <c r="L2604" i="7"/>
  <c r="I2606" i="1" l="1"/>
  <c r="L2605" i="7"/>
  <c r="I2607" i="1" l="1"/>
  <c r="L2606" i="7"/>
  <c r="I2608" i="1" l="1"/>
  <c r="L2607" i="7"/>
  <c r="I2609" i="1" l="1"/>
  <c r="L2608" i="7"/>
  <c r="I2610" i="1" l="1"/>
  <c r="L2609" i="7"/>
  <c r="I2611" i="1" l="1"/>
  <c r="L2610" i="7"/>
  <c r="I2612" i="1" l="1"/>
  <c r="L2611" i="7"/>
  <c r="I2613" i="1" l="1"/>
  <c r="L2612" i="7"/>
  <c r="I2614" i="1" l="1"/>
  <c r="L2613" i="7"/>
  <c r="I2615" i="1" l="1"/>
  <c r="L2614" i="7"/>
  <c r="I2616" i="1" l="1"/>
  <c r="L2615" i="7"/>
  <c r="I2617" i="1" l="1"/>
  <c r="L2616" i="7"/>
  <c r="I2618" i="1" l="1"/>
  <c r="L2617" i="7"/>
  <c r="I2619" i="1" l="1"/>
  <c r="L2618" i="7"/>
  <c r="I2620" i="1" l="1"/>
  <c r="L2619" i="7"/>
  <c r="I2621" i="1" l="1"/>
  <c r="L2620" i="7"/>
  <c r="I2622" i="1" l="1"/>
  <c r="L2621" i="7"/>
  <c r="I2623" i="1" l="1"/>
  <c r="L2622" i="7"/>
  <c r="I2624" i="1" l="1"/>
  <c r="L2623" i="7"/>
  <c r="I2625" i="1" l="1"/>
  <c r="L2624" i="7"/>
  <c r="L2625" i="7" l="1"/>
  <c r="I2626" i="1"/>
  <c r="I2627" i="1" l="1"/>
  <c r="L2626" i="7"/>
  <c r="L2627" i="7" l="1"/>
  <c r="I2628" i="1"/>
  <c r="I2629" i="1" l="1"/>
  <c r="L2628" i="7"/>
  <c r="I2630" i="1" l="1"/>
  <c r="L2629" i="7"/>
  <c r="I2631" i="1" l="1"/>
  <c r="L2630" i="7"/>
  <c r="I2632" i="1" l="1"/>
  <c r="L2631" i="7"/>
  <c r="I2633" i="1" l="1"/>
  <c r="L2632" i="7"/>
  <c r="I2634" i="1" l="1"/>
  <c r="L2633" i="7"/>
  <c r="I2635" i="1" l="1"/>
  <c r="L2634" i="7"/>
  <c r="I2636" i="1" l="1"/>
  <c r="L2635" i="7"/>
  <c r="I2637" i="1" l="1"/>
  <c r="L2636" i="7"/>
  <c r="I2638" i="1" l="1"/>
  <c r="L2637" i="7"/>
  <c r="I2639" i="1" l="1"/>
  <c r="L2638" i="7"/>
  <c r="L2639" i="7" l="1"/>
  <c r="I2640" i="1"/>
  <c r="I2641" i="1" l="1"/>
  <c r="L2640" i="7"/>
  <c r="L2641" i="7" l="1"/>
  <c r="I2642" i="1"/>
  <c r="I2643" i="1" l="1"/>
  <c r="L2642" i="7"/>
  <c r="I2644" i="1" l="1"/>
  <c r="L2643" i="7"/>
  <c r="I2645" i="1" l="1"/>
  <c r="L2644" i="7"/>
  <c r="I2646" i="1" l="1"/>
  <c r="L2645" i="7"/>
  <c r="I2647" i="1" l="1"/>
  <c r="L2646" i="7"/>
  <c r="I2648" i="1" l="1"/>
  <c r="L2647" i="7"/>
  <c r="L2648" i="7" l="1"/>
  <c r="I2649" i="1"/>
  <c r="I2650" i="1" l="1"/>
  <c r="L2649" i="7"/>
  <c r="I2651" i="1" l="1"/>
  <c r="L2650" i="7"/>
  <c r="I2652" i="1" l="1"/>
  <c r="L2651" i="7"/>
  <c r="L2652" i="7" l="1"/>
  <c r="I2653" i="1"/>
  <c r="I2654" i="1" l="1"/>
  <c r="L2653" i="7"/>
  <c r="I2655" i="1" l="1"/>
  <c r="L2654" i="7"/>
  <c r="I2656" i="1" l="1"/>
  <c r="L2655" i="7"/>
  <c r="I2657" i="1" l="1"/>
  <c r="L2656" i="7"/>
  <c r="I2658" i="1" l="1"/>
  <c r="L2657" i="7"/>
  <c r="I2659" i="1" l="1"/>
  <c r="L2658" i="7"/>
  <c r="I2660" i="1" l="1"/>
  <c r="L2659" i="7"/>
  <c r="L2660" i="7" l="1"/>
  <c r="I2661" i="1"/>
  <c r="L2661" i="7" l="1"/>
  <c r="I2662" i="1"/>
  <c r="I2663" i="1" l="1"/>
  <c r="L2662" i="7"/>
  <c r="I2664" i="1" l="1"/>
  <c r="L2663" i="7"/>
  <c r="L2664" i="7" l="1"/>
  <c r="I2665" i="1"/>
  <c r="I2666" i="1" l="1"/>
  <c r="L2665" i="7"/>
  <c r="I2667" i="1" l="1"/>
  <c r="L2666" i="7"/>
  <c r="L2667" i="7" l="1"/>
  <c r="I2668" i="1"/>
  <c r="I2669" i="1" l="1"/>
  <c r="L2668" i="7"/>
  <c r="L2669" i="7" l="1"/>
  <c r="I2670" i="1"/>
  <c r="I2671" i="1" l="1"/>
  <c r="L2670" i="7"/>
  <c r="I2672" i="1" l="1"/>
  <c r="L2671" i="7"/>
  <c r="I2673" i="1" l="1"/>
  <c r="L2672" i="7"/>
  <c r="I2674" i="1" l="1"/>
  <c r="L2673" i="7"/>
  <c r="I2675" i="1" l="1"/>
  <c r="L2674" i="7"/>
  <c r="I2676" i="1" l="1"/>
  <c r="L2675" i="7"/>
  <c r="I2677" i="1" l="1"/>
  <c r="L2676" i="7"/>
  <c r="I2678" i="1" l="1"/>
  <c r="L2677" i="7"/>
  <c r="I2679" i="1" l="1"/>
  <c r="L2678" i="7"/>
  <c r="I2680" i="1" l="1"/>
  <c r="L2679" i="7"/>
  <c r="I2681" i="1" l="1"/>
  <c r="L2680" i="7"/>
  <c r="L2681" i="7" l="1"/>
  <c r="I2682" i="1"/>
  <c r="I2683" i="1" l="1"/>
  <c r="L2682" i="7"/>
  <c r="I2684" i="1" l="1"/>
  <c r="L2683" i="7"/>
  <c r="I2685" i="1" l="1"/>
  <c r="L2684" i="7"/>
  <c r="L2685" i="7" l="1"/>
  <c r="I2686" i="1"/>
  <c r="I2687" i="1" l="1"/>
  <c r="L2686" i="7"/>
  <c r="I2688" i="1" l="1"/>
  <c r="L2687" i="7"/>
  <c r="I2689" i="1" l="1"/>
  <c r="L2688" i="7"/>
  <c r="L2689" i="7" l="1"/>
  <c r="I2690" i="1"/>
  <c r="L2690" i="7" l="1"/>
  <c r="I2691" i="1"/>
  <c r="I2692" i="1" l="1"/>
  <c r="L2691" i="7"/>
  <c r="I2693" i="1" l="1"/>
  <c r="L2692" i="7"/>
  <c r="I2694" i="1" l="1"/>
  <c r="L2693" i="7"/>
  <c r="L2694" i="7" l="1"/>
  <c r="I2695" i="1"/>
  <c r="I2696" i="1" l="1"/>
  <c r="L2695" i="7"/>
  <c r="L2696" i="7" l="1"/>
  <c r="I2697" i="1"/>
  <c r="L2697" i="7" l="1"/>
  <c r="I2698" i="1"/>
  <c r="I2699" i="1" l="1"/>
  <c r="L2698" i="7"/>
  <c r="I2700" i="1" l="1"/>
  <c r="L2699" i="7"/>
  <c r="I2701" i="1" l="1"/>
  <c r="L2700" i="7"/>
  <c r="I2702" i="1" l="1"/>
  <c r="L2701" i="7"/>
  <c r="I2703" i="1" l="1"/>
  <c r="L2702" i="7"/>
  <c r="I2704" i="1" l="1"/>
  <c r="L2703" i="7"/>
  <c r="L2704" i="7" l="1"/>
  <c r="I2705" i="1"/>
  <c r="I2706" i="1" l="1"/>
  <c r="L2705" i="7"/>
  <c r="I2707" i="1" l="1"/>
  <c r="L2706" i="7"/>
  <c r="I2708" i="1" l="1"/>
  <c r="L2707" i="7"/>
  <c r="I2709" i="1" l="1"/>
  <c r="L2708" i="7"/>
  <c r="I2710" i="1" l="1"/>
  <c r="L2709" i="7"/>
  <c r="I2711" i="1" l="1"/>
  <c r="L2710" i="7"/>
  <c r="L2711" i="7" l="1"/>
  <c r="I2712" i="1"/>
  <c r="I2713" i="1" l="1"/>
  <c r="L2712" i="7"/>
  <c r="L2713" i="7" l="1"/>
  <c r="I2714" i="1"/>
  <c r="I2715" i="1" l="1"/>
  <c r="L2714" i="7"/>
  <c r="I2716" i="1" l="1"/>
  <c r="L2715" i="7"/>
  <c r="L2716" i="7" l="1"/>
  <c r="I2717" i="1"/>
  <c r="I2718" i="1" l="1"/>
  <c r="L2717" i="7"/>
  <c r="I2719" i="1" l="1"/>
  <c r="L2718" i="7"/>
  <c r="L2719" i="7" l="1"/>
  <c r="I2720" i="1"/>
  <c r="I2721" i="1" l="1"/>
  <c r="L2720" i="7"/>
  <c r="L2721" i="7" l="1"/>
  <c r="I2722" i="1"/>
  <c r="I2723" i="1" l="1"/>
  <c r="L2722" i="7"/>
  <c r="I2724" i="1" l="1"/>
  <c r="L2723" i="7"/>
  <c r="L2724" i="7" l="1"/>
  <c r="I2725" i="1"/>
  <c r="I2726" i="1" l="1"/>
  <c r="L2725" i="7"/>
  <c r="L2726" i="7" l="1"/>
  <c r="I2727" i="1"/>
  <c r="I2728" i="1" l="1"/>
  <c r="L2727" i="7"/>
  <c r="L2728" i="7" l="1"/>
  <c r="I2729" i="1"/>
  <c r="I2730" i="1" l="1"/>
  <c r="L2729" i="7"/>
  <c r="I2731" i="1" l="1"/>
  <c r="L2730" i="7"/>
  <c r="L2731" i="7" l="1"/>
  <c r="I2732" i="1"/>
  <c r="I2733" i="1" l="1"/>
  <c r="L2732" i="7"/>
  <c r="I2734" i="1" l="1"/>
  <c r="L2733" i="7"/>
  <c r="I2735" i="1" l="1"/>
  <c r="L2734" i="7"/>
  <c r="I2736" i="1" l="1"/>
  <c r="L2735" i="7"/>
  <c r="I2737" i="1" l="1"/>
  <c r="L2736" i="7"/>
  <c r="I2738" i="1" l="1"/>
  <c r="L2737" i="7"/>
  <c r="I2739" i="1" l="1"/>
  <c r="L2738" i="7"/>
  <c r="L2739" i="7" l="1"/>
  <c r="I2740" i="1"/>
  <c r="I2741" i="1" l="1"/>
  <c r="L2740" i="7"/>
  <c r="I2742" i="1" l="1"/>
  <c r="L2741" i="7"/>
  <c r="I2743" i="1" l="1"/>
  <c r="L2742" i="7"/>
  <c r="I2744" i="1" l="1"/>
  <c r="L2743" i="7"/>
  <c r="L2744" i="7" l="1"/>
  <c r="I2745" i="1"/>
  <c r="I2746" i="1" l="1"/>
  <c r="L2745" i="7"/>
  <c r="I2747" i="1" l="1"/>
  <c r="L2746" i="7"/>
  <c r="I2748" i="1" l="1"/>
  <c r="L2747" i="7"/>
  <c r="I2749" i="1" l="1"/>
  <c r="L2748" i="7"/>
  <c r="I2750" i="1" l="1"/>
  <c r="L2749" i="7"/>
  <c r="I2751" i="1" l="1"/>
  <c r="L2750" i="7"/>
  <c r="I2752" i="1" l="1"/>
  <c r="L2751" i="7"/>
  <c r="I2753" i="1" l="1"/>
  <c r="L2752" i="7"/>
  <c r="I2754" i="1" l="1"/>
  <c r="L2753" i="7"/>
  <c r="I2755" i="1" l="1"/>
  <c r="L2754" i="7"/>
  <c r="I2756" i="1" l="1"/>
  <c r="L2755" i="7"/>
  <c r="I2757" i="1" l="1"/>
  <c r="L2756" i="7"/>
  <c r="I2758" i="1" l="1"/>
  <c r="L2757" i="7"/>
  <c r="I2759" i="1" l="1"/>
  <c r="L2758" i="7"/>
  <c r="I2760" i="1" l="1"/>
  <c r="L2759" i="7"/>
  <c r="I2761" i="1" l="1"/>
  <c r="L2760" i="7"/>
  <c r="I2762" i="1" l="1"/>
  <c r="L2761" i="7"/>
  <c r="I2763" i="1" l="1"/>
  <c r="L2762" i="7"/>
  <c r="I2764" i="1" l="1"/>
  <c r="L2763" i="7"/>
  <c r="L2764" i="7" l="1"/>
  <c r="I2765" i="1"/>
  <c r="I2766" i="1" l="1"/>
  <c r="L2765" i="7"/>
  <c r="L2766" i="7" l="1"/>
  <c r="I2767" i="1"/>
  <c r="I2768" i="1" l="1"/>
  <c r="L2767" i="7"/>
  <c r="I2769" i="1" l="1"/>
  <c r="L2768" i="7"/>
  <c r="I2770" i="1" l="1"/>
  <c r="L2769" i="7"/>
  <c r="I2771" i="1" l="1"/>
  <c r="L2770" i="7"/>
  <c r="I2772" i="1" l="1"/>
  <c r="L2771" i="7"/>
  <c r="I2773" i="1" l="1"/>
  <c r="L2772" i="7"/>
  <c r="I2774" i="1" l="1"/>
  <c r="L2773" i="7"/>
  <c r="I2775" i="1" l="1"/>
  <c r="L2774" i="7"/>
  <c r="I2776" i="1" l="1"/>
  <c r="L2775" i="7"/>
  <c r="I2777" i="1" l="1"/>
  <c r="L2776" i="7"/>
  <c r="I2778" i="1" l="1"/>
  <c r="L2777" i="7"/>
  <c r="I2779" i="1" l="1"/>
  <c r="L2778" i="7"/>
  <c r="I2780" i="1" l="1"/>
  <c r="L2779" i="7"/>
  <c r="L2780" i="7" l="1"/>
  <c r="I2781" i="1"/>
  <c r="I2782" i="1" l="1"/>
  <c r="L2781" i="7"/>
  <c r="L2782" i="7" l="1"/>
  <c r="I2783" i="1"/>
  <c r="I2784" i="1" l="1"/>
  <c r="L2783" i="7"/>
  <c r="I2785" i="1" l="1"/>
  <c r="L2784" i="7"/>
  <c r="I2786" i="1" l="1"/>
  <c r="L2785" i="7"/>
  <c r="I2787" i="1" l="1"/>
  <c r="L2786" i="7"/>
  <c r="I2788" i="1" l="1"/>
  <c r="L2787" i="7"/>
  <c r="I2789" i="1" l="1"/>
  <c r="L2788" i="7"/>
  <c r="I2790" i="1" l="1"/>
  <c r="L2789" i="7"/>
  <c r="I2791" i="1" l="1"/>
  <c r="L2790" i="7"/>
  <c r="L2791" i="7" l="1"/>
  <c r="I2792" i="1"/>
  <c r="I2793" i="1" l="1"/>
  <c r="L2792" i="7"/>
  <c r="I2794" i="1" l="1"/>
  <c r="L2793" i="7"/>
  <c r="I2795" i="1" l="1"/>
  <c r="L2794" i="7"/>
  <c r="L2795" i="7" l="1"/>
  <c r="I2796" i="1"/>
  <c r="I2797" i="1" l="1"/>
  <c r="L2796" i="7"/>
  <c r="I2798" i="1" l="1"/>
  <c r="L2797" i="7"/>
  <c r="I2799" i="1" l="1"/>
  <c r="L2798" i="7"/>
  <c r="I2800" i="1" l="1"/>
  <c r="L2799" i="7"/>
  <c r="I2801" i="1" l="1"/>
  <c r="L2800" i="7"/>
  <c r="I2802" i="1" l="1"/>
  <c r="L2801" i="7"/>
  <c r="I2803" i="1" l="1"/>
  <c r="L2802" i="7"/>
  <c r="I2804" i="1" l="1"/>
  <c r="L2803" i="7"/>
  <c r="I2805" i="1" l="1"/>
  <c r="L2804" i="7"/>
  <c r="I2806" i="1" l="1"/>
  <c r="L2805" i="7"/>
  <c r="L2806" i="7" l="1"/>
  <c r="I2807" i="1"/>
  <c r="L2807" i="7" l="1"/>
  <c r="I2808" i="1"/>
  <c r="I2809" i="1" l="1"/>
  <c r="L2808" i="7"/>
  <c r="I2810" i="1" l="1"/>
  <c r="L2809" i="7"/>
  <c r="I2811" i="1" l="1"/>
  <c r="L2810" i="7"/>
  <c r="I2812" i="1" l="1"/>
  <c r="L2811" i="7"/>
  <c r="I2813" i="1" l="1"/>
  <c r="L2812" i="7"/>
  <c r="I2814" i="1" l="1"/>
  <c r="L2813" i="7"/>
  <c r="I2815" i="1" l="1"/>
  <c r="L2814" i="7"/>
  <c r="L2815" i="7" l="1"/>
  <c r="I2816" i="1"/>
  <c r="I2817" i="1" l="1"/>
  <c r="L2816" i="7"/>
  <c r="L2817" i="7" l="1"/>
  <c r="I2818" i="1"/>
  <c r="L2818" i="7" l="1"/>
  <c r="I2819" i="1"/>
  <c r="I2820" i="1" l="1"/>
  <c r="L2819" i="7"/>
  <c r="I2821" i="1" l="1"/>
  <c r="L2820" i="7"/>
  <c r="L2821" i="7" l="1"/>
  <c r="I2822" i="1"/>
  <c r="I2823" i="1" l="1"/>
  <c r="L2822" i="7"/>
  <c r="L2823" i="7" l="1"/>
  <c r="I2824" i="1"/>
  <c r="L2824" i="7" l="1"/>
  <c r="I2825" i="1"/>
  <c r="L2825" i="7" l="1"/>
  <c r="I2826" i="1"/>
  <c r="L2826" i="7" l="1"/>
  <c r="I2827" i="1"/>
  <c r="I2828" i="1" l="1"/>
  <c r="L2827" i="7"/>
  <c r="I2829" i="1" l="1"/>
  <c r="L2828" i="7"/>
  <c r="I2830" i="1" l="1"/>
  <c r="L2829" i="7"/>
  <c r="I2831" i="1" l="1"/>
  <c r="L2830" i="7"/>
  <c r="I2832" i="1" l="1"/>
  <c r="L2831" i="7"/>
  <c r="I2833" i="1" l="1"/>
  <c r="L2832" i="7"/>
  <c r="I2834" i="1" l="1"/>
  <c r="L2833" i="7"/>
  <c r="I2835" i="1" l="1"/>
  <c r="L2834" i="7"/>
  <c r="I2836" i="1" l="1"/>
  <c r="L2835" i="7"/>
  <c r="L2836" i="7" l="1"/>
  <c r="I2837" i="1"/>
  <c r="I2838" i="1" l="1"/>
  <c r="L2837" i="7"/>
  <c r="I2839" i="1" l="1"/>
  <c r="L2838" i="7"/>
  <c r="I2840" i="1" l="1"/>
  <c r="L2839" i="7"/>
  <c r="I2841" i="1" l="1"/>
  <c r="L2840" i="7"/>
  <c r="I2842" i="1" l="1"/>
  <c r="L2841" i="7"/>
  <c r="I2843" i="1" l="1"/>
  <c r="L2842" i="7"/>
  <c r="I2844" i="1" l="1"/>
  <c r="L2843" i="7"/>
  <c r="I2845" i="1" l="1"/>
  <c r="L2844" i="7"/>
  <c r="I2846" i="1" l="1"/>
  <c r="L2845" i="7"/>
  <c r="I2847" i="1" l="1"/>
  <c r="L2846" i="7"/>
  <c r="I2848" i="1" l="1"/>
  <c r="L2847" i="7"/>
  <c r="I2849" i="1" l="1"/>
  <c r="L2848" i="7"/>
  <c r="I2850" i="1" l="1"/>
  <c r="L2849" i="7"/>
  <c r="I2851" i="1" l="1"/>
  <c r="L2850" i="7"/>
  <c r="I2852" i="1" l="1"/>
  <c r="L2851" i="7"/>
  <c r="I2853" i="1" l="1"/>
  <c r="L2852" i="7"/>
  <c r="I2854" i="1" l="1"/>
  <c r="L2853" i="7"/>
  <c r="I2855" i="1" l="1"/>
  <c r="L2854" i="7"/>
  <c r="I2856" i="1" l="1"/>
  <c r="L2855" i="7"/>
  <c r="I2857" i="1" l="1"/>
  <c r="L2856" i="7"/>
  <c r="L2857" i="7" l="1"/>
  <c r="I2858" i="1"/>
  <c r="I2859" i="1" l="1"/>
  <c r="L2858" i="7"/>
  <c r="I2860" i="1" l="1"/>
  <c r="L2859" i="7"/>
  <c r="L2860" i="7" l="1"/>
  <c r="I2861" i="1"/>
  <c r="I2862" i="1" l="1"/>
  <c r="L2861" i="7"/>
  <c r="I2863" i="1" l="1"/>
  <c r="L2862" i="7"/>
  <c r="L2863" i="7" l="1"/>
  <c r="I2864" i="1"/>
  <c r="I2865" i="1" l="1"/>
  <c r="L2864" i="7"/>
  <c r="L2865" i="7" l="1"/>
  <c r="I2866" i="1"/>
  <c r="I2867" i="1" l="1"/>
  <c r="L2866" i="7"/>
  <c r="I2868" i="1" l="1"/>
  <c r="L2867" i="7"/>
  <c r="I2869" i="1" l="1"/>
  <c r="L2868" i="7"/>
  <c r="L2869" i="7" l="1"/>
  <c r="I2870" i="1"/>
  <c r="I2871" i="1" l="1"/>
  <c r="L2870" i="7"/>
  <c r="I2872" i="1" l="1"/>
  <c r="L2871" i="7"/>
  <c r="I2873" i="1" l="1"/>
  <c r="L2872" i="7"/>
  <c r="I2874" i="1" l="1"/>
  <c r="L2873" i="7"/>
  <c r="I2875" i="1" l="1"/>
  <c r="L2874" i="7"/>
  <c r="I2876" i="1" l="1"/>
  <c r="L2875" i="7"/>
  <c r="I2877" i="1" l="1"/>
  <c r="L2876" i="7"/>
  <c r="I2878" i="1" l="1"/>
  <c r="L2877" i="7"/>
  <c r="I2879" i="1" l="1"/>
  <c r="L2878" i="7"/>
  <c r="I2880" i="1" l="1"/>
  <c r="L2879" i="7"/>
  <c r="I2881" i="1" l="1"/>
  <c r="L2880" i="7"/>
  <c r="I2882" i="1" l="1"/>
  <c r="L2881" i="7"/>
  <c r="I2883" i="1" l="1"/>
  <c r="L2882" i="7"/>
  <c r="L2883" i="7" l="1"/>
  <c r="I2884" i="1"/>
  <c r="I2885" i="1" l="1"/>
  <c r="L2884" i="7"/>
  <c r="I2886" i="1" l="1"/>
  <c r="L2885" i="7"/>
  <c r="I2887" i="1" l="1"/>
  <c r="L2886" i="7"/>
  <c r="I2888" i="1" l="1"/>
  <c r="L2887" i="7"/>
  <c r="I2889" i="1" l="1"/>
  <c r="L2888" i="7"/>
  <c r="I2890" i="1" l="1"/>
  <c r="L2889" i="7"/>
  <c r="I2891" i="1" l="1"/>
  <c r="L2890" i="7"/>
  <c r="L2891" i="7" l="1"/>
  <c r="I2892" i="1"/>
  <c r="I2893" i="1" l="1"/>
  <c r="L2892" i="7"/>
  <c r="I2894" i="1" l="1"/>
  <c r="L2893" i="7"/>
  <c r="I2895" i="1" l="1"/>
  <c r="L2894" i="7"/>
  <c r="I2896" i="1" l="1"/>
  <c r="L2895" i="7"/>
  <c r="I2897" i="1" l="1"/>
  <c r="L2896" i="7"/>
  <c r="I2898" i="1" l="1"/>
  <c r="L2897" i="7"/>
  <c r="I2899" i="1" l="1"/>
  <c r="L2898" i="7"/>
  <c r="I2900" i="1" l="1"/>
  <c r="L2899" i="7"/>
  <c r="I2901" i="1" l="1"/>
  <c r="L2900" i="7"/>
  <c r="I2902" i="1" l="1"/>
  <c r="L2901" i="7"/>
  <c r="I2903" i="1" l="1"/>
  <c r="L2902" i="7"/>
  <c r="L2903" i="7" l="1"/>
  <c r="I2904" i="1"/>
  <c r="I2905" i="1" l="1"/>
  <c r="L2904" i="7"/>
  <c r="I2906" i="1" l="1"/>
  <c r="L2905" i="7"/>
  <c r="I2907" i="1" l="1"/>
  <c r="L2906" i="7"/>
  <c r="L2907" i="7" l="1"/>
  <c r="I2908" i="1"/>
  <c r="I2909" i="1" l="1"/>
  <c r="L2908" i="7"/>
  <c r="I2910" i="1" l="1"/>
  <c r="L2909" i="7"/>
  <c r="I2911" i="1" l="1"/>
  <c r="L2910" i="7"/>
  <c r="L2911" i="7" l="1"/>
  <c r="I2912" i="1"/>
  <c r="I2913" i="1" l="1"/>
  <c r="L2912" i="7"/>
  <c r="I2914" i="1" l="1"/>
  <c r="L2913" i="7"/>
  <c r="I2915" i="1" l="1"/>
  <c r="L2914" i="7"/>
  <c r="I2916" i="1" l="1"/>
  <c r="L2915" i="7"/>
  <c r="I2917" i="1" l="1"/>
  <c r="L2916" i="7"/>
  <c r="I2918" i="1" l="1"/>
  <c r="L2917" i="7"/>
  <c r="I2919" i="1" l="1"/>
  <c r="L2918" i="7"/>
  <c r="L2919" i="7" l="1"/>
  <c r="I2920" i="1"/>
  <c r="I2921" i="1" l="1"/>
  <c r="L2920" i="7"/>
  <c r="L2921" i="7" l="1"/>
  <c r="I2922" i="1"/>
  <c r="I2923" i="1" l="1"/>
  <c r="L2922" i="7"/>
  <c r="L2923" i="7" l="1"/>
  <c r="I2924" i="1"/>
  <c r="L2924" i="7" l="1"/>
  <c r="I2925" i="1"/>
  <c r="I2926" i="1" l="1"/>
  <c r="L2925" i="7"/>
  <c r="L2926" i="7" l="1"/>
  <c r="I2927" i="1"/>
  <c r="L2927" i="7" l="1"/>
  <c r="I2928" i="1"/>
  <c r="I2929" i="1" l="1"/>
  <c r="L2928" i="7"/>
  <c r="I2930" i="1" l="1"/>
  <c r="L2929" i="7"/>
  <c r="I2931" i="1" l="1"/>
  <c r="L2930" i="7"/>
  <c r="L2931" i="7" l="1"/>
  <c r="I2932" i="1"/>
  <c r="L2932" i="7" l="1"/>
  <c r="I2933" i="1"/>
  <c r="L2933" i="7" l="1"/>
  <c r="I2934" i="1"/>
  <c r="L2934" i="7" l="1"/>
  <c r="I2935" i="1"/>
  <c r="I2936" i="1" l="1"/>
  <c r="L2935" i="7"/>
  <c r="L2936" i="7" l="1"/>
  <c r="I2937" i="1"/>
  <c r="L2937" i="7" l="1"/>
  <c r="I2938" i="1"/>
  <c r="L2938" i="7" l="1"/>
  <c r="I2939" i="1"/>
  <c r="I2940" i="1" l="1"/>
  <c r="L2939" i="7"/>
  <c r="I2941" i="1" l="1"/>
  <c r="L2940" i="7"/>
  <c r="I2942" i="1" l="1"/>
  <c r="L2941" i="7"/>
  <c r="I2943" i="1" l="1"/>
  <c r="L2942" i="7"/>
  <c r="L2943" i="7" l="1"/>
  <c r="I2944" i="1"/>
  <c r="I2945" i="1" l="1"/>
  <c r="L2944" i="7"/>
  <c r="I2946" i="1" l="1"/>
  <c r="L2945" i="7"/>
  <c r="I2947" i="1" l="1"/>
  <c r="L2946" i="7"/>
  <c r="L2947" i="7" l="1"/>
  <c r="I2948" i="1"/>
  <c r="I2949" i="1" l="1"/>
  <c r="L2948" i="7"/>
  <c r="L2949" i="7" l="1"/>
  <c r="I2950" i="1"/>
  <c r="L2950" i="7" l="1"/>
  <c r="I2951" i="1"/>
  <c r="I2952" i="1" l="1"/>
  <c r="L2951" i="7"/>
  <c r="I2953" i="1" l="1"/>
  <c r="L2952" i="7"/>
  <c r="L2953" i="7" l="1"/>
  <c r="I2954" i="1"/>
  <c r="L2954" i="7" l="1"/>
  <c r="I2955" i="1"/>
  <c r="I2956" i="1" l="1"/>
  <c r="L2955" i="7"/>
  <c r="L2956" i="7" l="1"/>
  <c r="I2957" i="1"/>
  <c r="I2958" i="1" l="1"/>
  <c r="L2957" i="7"/>
  <c r="I2959" i="1" l="1"/>
  <c r="L2958" i="7"/>
  <c r="I2960" i="1" l="1"/>
  <c r="L2959" i="7"/>
  <c r="I2961" i="1" l="1"/>
  <c r="L2960" i="7"/>
  <c r="I2962" i="1" l="1"/>
  <c r="L2961" i="7"/>
  <c r="L2962" i="7" l="1"/>
  <c r="I2963" i="1"/>
  <c r="I2964" i="1" l="1"/>
  <c r="L2963" i="7"/>
  <c r="I2965" i="1" l="1"/>
  <c r="L2964" i="7"/>
  <c r="I2966" i="1" l="1"/>
  <c r="L2965" i="7"/>
  <c r="I2967" i="1" l="1"/>
  <c r="L2966" i="7"/>
  <c r="I2968" i="1" l="1"/>
  <c r="L2967" i="7"/>
  <c r="I2969" i="1" l="1"/>
  <c r="L2968" i="7"/>
  <c r="I2970" i="1" l="1"/>
  <c r="L2969" i="7"/>
  <c r="L2970" i="7" l="1"/>
  <c r="I2971" i="1"/>
  <c r="I2972" i="1" l="1"/>
  <c r="L2971" i="7"/>
  <c r="I2973" i="1" l="1"/>
  <c r="L2972" i="7"/>
  <c r="I2974" i="1" l="1"/>
  <c r="L2973" i="7"/>
  <c r="I2975" i="1" l="1"/>
  <c r="L2974" i="7"/>
  <c r="L2975" i="7" l="1"/>
  <c r="I2976" i="1"/>
  <c r="I2977" i="1" l="1"/>
  <c r="L2976" i="7"/>
  <c r="I2978" i="1" l="1"/>
  <c r="L2977" i="7"/>
  <c r="L2978" i="7" l="1"/>
  <c r="I2979" i="1"/>
  <c r="I2980" i="1" l="1"/>
  <c r="L2979" i="7"/>
  <c r="I2981" i="1" l="1"/>
  <c r="L2980" i="7"/>
  <c r="I2982" i="1" l="1"/>
  <c r="L2981" i="7"/>
  <c r="L2982" i="7" l="1"/>
  <c r="I2983" i="1"/>
  <c r="I2984" i="1" l="1"/>
  <c r="L2983" i="7"/>
  <c r="I2985" i="1" l="1"/>
  <c r="L2984" i="7"/>
  <c r="I2986" i="1" l="1"/>
  <c r="L2985" i="7"/>
  <c r="L2986" i="7" l="1"/>
  <c r="I2987" i="1"/>
  <c r="L2987" i="7" l="1"/>
  <c r="I2988" i="1"/>
  <c r="I2989" i="1" l="1"/>
  <c r="L2988" i="7"/>
  <c r="I2990" i="1" l="1"/>
  <c r="L2989" i="7"/>
  <c r="I2991" i="1" l="1"/>
  <c r="L2990" i="7"/>
  <c r="I2992" i="1" l="1"/>
  <c r="L2991" i="7"/>
  <c r="I2993" i="1" l="1"/>
  <c r="L2992" i="7"/>
  <c r="L2993" i="7" l="1"/>
  <c r="I2994" i="1"/>
  <c r="L2994" i="7" l="1"/>
  <c r="I2995" i="1"/>
  <c r="I2996" i="1" l="1"/>
  <c r="L2995" i="7"/>
  <c r="L2996" i="7" l="1"/>
  <c r="I2997" i="1"/>
  <c r="I2998" i="1" l="1"/>
  <c r="L2997" i="7"/>
  <c r="I2999" i="1" l="1"/>
  <c r="L2998" i="7"/>
  <c r="L2999" i="7" l="1"/>
  <c r="I3000" i="1"/>
  <c r="I3001" i="1" l="1"/>
  <c r="L3000" i="7"/>
  <c r="L3001" i="7" l="1"/>
  <c r="I3002" i="1"/>
  <c r="L3002" i="7" l="1"/>
  <c r="I3003" i="1"/>
  <c r="L3003" i="7" l="1"/>
  <c r="I3004" i="1"/>
  <c r="I3005" i="1" l="1"/>
  <c r="L3004" i="7"/>
  <c r="I3006" i="1" l="1"/>
  <c r="L3005" i="7"/>
  <c r="I3007" i="1" l="1"/>
  <c r="L3006" i="7"/>
  <c r="I3008" i="1" l="1"/>
  <c r="L3007" i="7"/>
  <c r="I3009" i="1" l="1"/>
  <c r="L3008" i="7"/>
  <c r="I3010" i="1" l="1"/>
  <c r="L3009" i="7"/>
  <c r="L3010" i="7" l="1"/>
  <c r="I3011" i="1"/>
  <c r="I3012" i="1" l="1"/>
  <c r="L3011" i="7"/>
  <c r="L3012" i="7" l="1"/>
  <c r="I3013" i="1"/>
  <c r="I3014" i="1" l="1"/>
  <c r="L3013" i="7"/>
  <c r="I3015" i="1" l="1"/>
  <c r="L3014" i="7"/>
  <c r="I3016" i="1" l="1"/>
  <c r="L3015" i="7"/>
  <c r="I3017" i="1" l="1"/>
  <c r="L3016" i="7"/>
  <c r="I3018" i="1" l="1"/>
  <c r="L3017" i="7"/>
  <c r="I3019" i="1" l="1"/>
  <c r="L3018" i="7"/>
  <c r="I3020" i="1" l="1"/>
  <c r="L3019" i="7"/>
  <c r="I3021" i="1" l="1"/>
  <c r="L3020" i="7"/>
  <c r="I3022" i="1" l="1"/>
  <c r="L3021" i="7"/>
  <c r="I3023" i="1" l="1"/>
  <c r="L3022" i="7"/>
  <c r="L3023" i="7" l="1"/>
  <c r="I3024" i="1"/>
  <c r="I3025" i="1" l="1"/>
  <c r="L3024" i="7"/>
  <c r="I3026" i="1" l="1"/>
  <c r="L3025" i="7"/>
  <c r="I3027" i="1" l="1"/>
  <c r="L3026" i="7"/>
  <c r="I3028" i="1" l="1"/>
  <c r="L3027" i="7"/>
  <c r="I3029" i="1" l="1"/>
  <c r="L3028" i="7"/>
  <c r="I3030" i="1" l="1"/>
  <c r="L3029" i="7"/>
  <c r="I3031" i="1" l="1"/>
  <c r="L3030" i="7"/>
  <c r="I3032" i="1" l="1"/>
  <c r="L3031" i="7"/>
  <c r="I3033" i="1" l="1"/>
  <c r="L3032" i="7"/>
  <c r="I3034" i="1" l="1"/>
  <c r="L3033" i="7"/>
  <c r="L3034" i="7" l="1"/>
  <c r="I3035" i="1"/>
  <c r="I3036" i="1" l="1"/>
  <c r="L3035" i="7"/>
  <c r="I3037" i="1" l="1"/>
  <c r="L3036" i="7"/>
  <c r="I3038" i="1" l="1"/>
  <c r="L3037" i="7"/>
  <c r="I3039" i="1" l="1"/>
  <c r="L3038" i="7"/>
  <c r="L3039" i="7" l="1"/>
  <c r="I3040" i="1"/>
  <c r="I3041" i="1" l="1"/>
  <c r="L3040" i="7"/>
  <c r="I3042" i="1" l="1"/>
  <c r="L3041" i="7"/>
  <c r="L3042" i="7" l="1"/>
  <c r="I3043" i="1"/>
  <c r="L3043" i="7" l="1"/>
  <c r="I3044" i="1"/>
  <c r="I3045" i="1" l="1"/>
  <c r="L3044" i="7"/>
  <c r="L3045" i="7" l="1"/>
  <c r="I3046" i="1"/>
  <c r="L3046" i="7" l="1"/>
  <c r="I3047" i="1"/>
  <c r="L3047" i="7" l="1"/>
  <c r="I3048" i="1"/>
  <c r="I3049" i="1" l="1"/>
  <c r="L3048" i="7"/>
  <c r="L3049" i="7" l="1"/>
  <c r="I3050" i="1"/>
  <c r="I3051" i="1" l="1"/>
  <c r="L3050" i="7"/>
  <c r="I3052" i="1" l="1"/>
  <c r="L3051" i="7"/>
  <c r="L3052" i="7" l="1"/>
  <c r="I3053" i="1"/>
  <c r="I3054" i="1" l="1"/>
  <c r="L3053" i="7"/>
  <c r="L3054" i="7" l="1"/>
  <c r="I3055" i="1"/>
  <c r="L3055" i="7" l="1"/>
  <c r="I3056" i="1"/>
  <c r="I3057" i="1" l="1"/>
  <c r="L3056" i="7"/>
  <c r="I3058" i="1" l="1"/>
  <c r="L3057" i="7"/>
  <c r="I3059" i="1" l="1"/>
  <c r="L3058" i="7"/>
  <c r="I3060" i="1" l="1"/>
  <c r="L3059" i="7"/>
  <c r="L3060" i="7" l="1"/>
  <c r="I3061" i="1"/>
  <c r="L3061" i="7" l="1"/>
  <c r="I3062" i="1"/>
  <c r="I3063" i="1" l="1"/>
  <c r="L3062" i="7"/>
  <c r="L3063" i="7" l="1"/>
  <c r="I3064" i="1"/>
  <c r="I3065" i="1" l="1"/>
  <c r="L3064" i="7"/>
  <c r="I3066" i="1" l="1"/>
  <c r="L3065" i="7"/>
  <c r="L3066" i="7" l="1"/>
  <c r="I3067" i="1"/>
  <c r="I3068" i="1" l="1"/>
  <c r="L3067" i="7"/>
  <c r="L3068" i="7" l="1"/>
  <c r="I3069" i="1"/>
  <c r="I3070" i="1" l="1"/>
  <c r="L3069" i="7"/>
  <c r="I3071" i="1" l="1"/>
  <c r="L3070" i="7"/>
  <c r="L3071" i="7" l="1"/>
  <c r="I3072" i="1"/>
  <c r="I3073" i="1" l="1"/>
  <c r="L3072" i="7"/>
  <c r="I3074" i="1" l="1"/>
  <c r="L3073" i="7"/>
  <c r="I3075" i="1" l="1"/>
  <c r="L3074" i="7"/>
  <c r="I3076" i="1" l="1"/>
  <c r="L3075" i="7"/>
  <c r="I3077" i="1" l="1"/>
  <c r="L3076" i="7"/>
  <c r="I3078" i="1" l="1"/>
  <c r="L3077" i="7"/>
  <c r="I3079" i="1" l="1"/>
  <c r="L3078" i="7"/>
  <c r="I3080" i="1" l="1"/>
  <c r="L3079" i="7"/>
  <c r="I3081" i="1" l="1"/>
  <c r="L3080" i="7"/>
  <c r="I3082" i="1" l="1"/>
  <c r="L3081" i="7"/>
  <c r="I3083" i="1" l="1"/>
  <c r="L3082" i="7"/>
  <c r="I3084" i="1" l="1"/>
  <c r="L3083" i="7"/>
  <c r="I3085" i="1" l="1"/>
  <c r="L3084" i="7"/>
  <c r="L3085" i="7" l="1"/>
  <c r="I3086" i="1"/>
  <c r="I3087" i="1" l="1"/>
  <c r="L3086" i="7"/>
  <c r="I3088" i="1" l="1"/>
  <c r="L3087" i="7"/>
  <c r="I3089" i="1" l="1"/>
  <c r="L3088" i="7"/>
  <c r="I3090" i="1" l="1"/>
  <c r="L3089" i="7"/>
  <c r="I3091" i="1" l="1"/>
  <c r="L3090" i="7"/>
  <c r="I3092" i="1" l="1"/>
  <c r="L3091" i="7"/>
  <c r="I3093" i="1" l="1"/>
  <c r="L3092" i="7"/>
  <c r="I3094" i="1" l="1"/>
  <c r="L3093" i="7"/>
  <c r="I3095" i="1" l="1"/>
  <c r="L3094" i="7"/>
  <c r="I3096" i="1" l="1"/>
  <c r="L3095" i="7"/>
  <c r="I3097" i="1" l="1"/>
  <c r="L3096" i="7"/>
  <c r="I3098" i="1" l="1"/>
  <c r="L3097" i="7"/>
  <c r="I3099" i="1" l="1"/>
  <c r="L3098" i="7"/>
  <c r="I3100" i="1" l="1"/>
  <c r="L3099" i="7"/>
  <c r="I3101" i="1" l="1"/>
  <c r="L3100" i="7"/>
  <c r="I3102" i="1" l="1"/>
  <c r="L3101" i="7"/>
  <c r="L3102" i="7" l="1"/>
  <c r="I3103" i="1"/>
  <c r="I3104" i="1" l="1"/>
  <c r="L3103" i="7"/>
  <c r="I3105" i="1" l="1"/>
  <c r="L3104" i="7"/>
  <c r="L3105" i="7" l="1"/>
  <c r="I3106" i="1"/>
  <c r="I3107" i="1" l="1"/>
  <c r="L3106" i="7"/>
  <c r="I3108" i="1" l="1"/>
  <c r="L3107" i="7"/>
  <c r="I3109" i="1" l="1"/>
  <c r="L3108" i="7"/>
  <c r="I3110" i="1" l="1"/>
  <c r="L3109" i="7"/>
  <c r="I3111" i="1" l="1"/>
  <c r="L3110" i="7"/>
  <c r="I3112" i="1" l="1"/>
  <c r="L3111" i="7"/>
  <c r="L3112" i="7" l="1"/>
  <c r="I3113" i="1"/>
  <c r="I3114" i="1" l="1"/>
  <c r="L3113" i="7"/>
  <c r="I3115" i="1" l="1"/>
  <c r="L3114" i="7"/>
  <c r="I3116" i="1" l="1"/>
  <c r="L3115" i="7"/>
  <c r="I3117" i="1" l="1"/>
  <c r="L3116" i="7"/>
  <c r="I3118" i="1" l="1"/>
  <c r="L3117" i="7"/>
  <c r="I3119" i="1" l="1"/>
  <c r="L3118" i="7"/>
  <c r="I3120" i="1" l="1"/>
  <c r="L3119" i="7"/>
  <c r="I3121" i="1" l="1"/>
  <c r="L3120" i="7"/>
  <c r="I3122" i="1" l="1"/>
  <c r="L3121" i="7"/>
  <c r="I3123" i="1" l="1"/>
  <c r="L3122" i="7"/>
  <c r="I3124" i="1" l="1"/>
  <c r="L3123" i="7"/>
  <c r="I3125" i="1" l="1"/>
  <c r="L3124" i="7"/>
  <c r="I3126" i="1" l="1"/>
  <c r="L3125" i="7"/>
  <c r="I3127" i="1" l="1"/>
  <c r="L3126" i="7"/>
  <c r="I3128" i="1" l="1"/>
  <c r="L3127" i="7"/>
  <c r="L3128" i="7" l="1"/>
  <c r="I3129" i="1"/>
  <c r="L3129" i="7" l="1"/>
  <c r="I3130" i="1"/>
  <c r="I3131" i="1" l="1"/>
  <c r="L3130" i="7"/>
  <c r="I3132" i="1" l="1"/>
  <c r="L3131" i="7"/>
  <c r="L3132" i="7" l="1"/>
  <c r="I3133" i="1"/>
  <c r="I3134" i="1" l="1"/>
  <c r="L3133" i="7"/>
  <c r="I3135" i="1" l="1"/>
  <c r="L3134" i="7"/>
  <c r="I3136" i="1" l="1"/>
  <c r="L3135" i="7"/>
  <c r="I3137" i="1" l="1"/>
  <c r="L3136" i="7"/>
  <c r="L3137" i="7" l="1"/>
  <c r="I3138" i="1"/>
  <c r="L3138" i="7" l="1"/>
  <c r="I3139" i="1"/>
  <c r="I3140" i="1" l="1"/>
  <c r="L3139" i="7"/>
  <c r="I3141" i="1" l="1"/>
  <c r="L3140" i="7"/>
  <c r="L3141" i="7" l="1"/>
  <c r="I3142" i="1"/>
  <c r="I3143" i="1" l="1"/>
  <c r="L3142" i="7"/>
  <c r="I3144" i="1" l="1"/>
  <c r="L3143" i="7"/>
  <c r="I3145" i="1" l="1"/>
  <c r="L3144" i="7"/>
  <c r="I3146" i="1" l="1"/>
  <c r="L3145" i="7"/>
  <c r="I3147" i="1" l="1"/>
  <c r="L3146" i="7"/>
  <c r="I3148" i="1" l="1"/>
  <c r="L3147" i="7"/>
  <c r="I3149" i="1" l="1"/>
  <c r="L3148" i="7"/>
  <c r="I3150" i="1" l="1"/>
  <c r="L3149" i="7"/>
  <c r="L3150" i="7" l="1"/>
  <c r="I3151" i="1"/>
  <c r="I3152" i="1" l="1"/>
  <c r="L3151" i="7"/>
  <c r="I3153" i="1" l="1"/>
  <c r="L3152" i="7"/>
  <c r="I3154" i="1" l="1"/>
  <c r="L3153" i="7"/>
  <c r="I3155" i="1" l="1"/>
  <c r="L3154" i="7"/>
  <c r="L3155" i="7" l="1"/>
  <c r="I3156" i="1"/>
  <c r="I3157" i="1" l="1"/>
  <c r="L3156" i="7"/>
  <c r="L3157" i="7" l="1"/>
  <c r="I3158" i="1"/>
  <c r="I3159" i="1" l="1"/>
  <c r="L3158" i="7"/>
  <c r="I3160" i="1" l="1"/>
  <c r="L3159" i="7"/>
  <c r="I3161" i="1" l="1"/>
  <c r="L3160" i="7"/>
  <c r="I3162" i="1" l="1"/>
  <c r="L3161" i="7"/>
  <c r="I3163" i="1" l="1"/>
  <c r="L3162" i="7"/>
  <c r="I3164" i="1" l="1"/>
  <c r="L3163" i="7"/>
  <c r="I3165" i="1" l="1"/>
  <c r="L3164" i="7"/>
  <c r="I3166" i="1" l="1"/>
  <c r="L3165" i="7"/>
  <c r="I3167" i="1" l="1"/>
  <c r="L3166" i="7"/>
  <c r="L3167" i="7" l="1"/>
  <c r="I3168" i="1"/>
  <c r="I3169" i="1" l="1"/>
  <c r="L3168" i="7"/>
  <c r="I3170" i="1" l="1"/>
  <c r="L3169" i="7"/>
  <c r="I3171" i="1" l="1"/>
  <c r="L3170" i="7"/>
  <c r="L3171" i="7" l="1"/>
  <c r="I3172" i="1"/>
  <c r="L3172" i="7" l="1"/>
  <c r="I3173" i="1"/>
  <c r="I3174" i="1" l="1"/>
  <c r="L3173" i="7"/>
  <c r="I3175" i="1" l="1"/>
  <c r="L3174" i="7"/>
  <c r="I3176" i="1" l="1"/>
  <c r="L3175" i="7"/>
  <c r="L3176" i="7" l="1"/>
  <c r="I3177" i="1"/>
  <c r="I3178" i="1" l="1"/>
  <c r="L3177" i="7"/>
  <c r="I3179" i="1" l="1"/>
  <c r="L3178" i="7"/>
  <c r="L3179" i="7" l="1"/>
  <c r="I3180" i="1"/>
  <c r="I3181" i="1" l="1"/>
  <c r="L3180" i="7"/>
  <c r="I3182" i="1" l="1"/>
  <c r="L3181" i="7"/>
  <c r="I3183" i="1" l="1"/>
  <c r="L3182" i="7"/>
  <c r="I3184" i="1" l="1"/>
  <c r="L3183" i="7"/>
  <c r="L3184" i="7" l="1"/>
  <c r="I3185" i="1"/>
  <c r="I3186" i="1" l="1"/>
  <c r="L3185" i="7"/>
  <c r="I3187" i="1" l="1"/>
  <c r="L3186" i="7"/>
  <c r="I3188" i="1" l="1"/>
  <c r="L3187" i="7"/>
  <c r="I3189" i="1" l="1"/>
  <c r="L3188" i="7"/>
  <c r="I3190" i="1" l="1"/>
  <c r="L3189" i="7"/>
  <c r="I3191" i="1" l="1"/>
  <c r="L3190" i="7"/>
  <c r="I3192" i="1" l="1"/>
  <c r="L3191" i="7"/>
  <c r="I3193" i="1" l="1"/>
  <c r="L3192" i="7"/>
  <c r="I3194" i="1" l="1"/>
  <c r="L3193" i="7"/>
  <c r="I3195" i="1" l="1"/>
  <c r="L3194" i="7"/>
  <c r="I3196" i="1" l="1"/>
  <c r="L3195" i="7"/>
  <c r="I3197" i="1" l="1"/>
  <c r="L3196" i="7"/>
  <c r="I3198" i="1" l="1"/>
  <c r="L3197" i="7"/>
  <c r="I3199" i="1" l="1"/>
  <c r="L3198" i="7"/>
  <c r="I3200" i="1" l="1"/>
  <c r="L3199" i="7"/>
  <c r="I3201" i="1" l="1"/>
  <c r="L3200" i="7"/>
  <c r="I3202" i="1" l="1"/>
  <c r="L3201" i="7"/>
  <c r="I3203" i="1" l="1"/>
  <c r="L3202" i="7"/>
  <c r="I3204" i="1" l="1"/>
  <c r="L3203" i="7"/>
  <c r="I3205" i="1" l="1"/>
  <c r="L3204" i="7"/>
  <c r="I3206" i="1" l="1"/>
  <c r="L3205" i="7"/>
  <c r="I3207" i="1" l="1"/>
  <c r="L3206" i="7"/>
  <c r="I3208" i="1" l="1"/>
  <c r="L3207" i="7"/>
  <c r="I3209" i="1" l="1"/>
  <c r="L3208" i="7"/>
  <c r="I3210" i="1" l="1"/>
  <c r="L3209" i="7"/>
  <c r="I3211" i="1" l="1"/>
  <c r="L3210" i="7"/>
  <c r="I3212" i="1" l="1"/>
  <c r="L3211" i="7"/>
  <c r="I3213" i="1" l="1"/>
  <c r="L3212" i="7"/>
  <c r="I3214" i="1" l="1"/>
  <c r="L3213" i="7"/>
  <c r="I3215" i="1" l="1"/>
  <c r="L3214" i="7"/>
  <c r="I3216" i="1" l="1"/>
  <c r="L3215" i="7"/>
  <c r="I3217" i="1" l="1"/>
  <c r="L3216" i="7"/>
  <c r="I3218" i="1" l="1"/>
  <c r="L3217" i="7"/>
  <c r="I3219" i="1" l="1"/>
  <c r="L3218" i="7"/>
  <c r="I3220" i="1" l="1"/>
  <c r="L3219" i="7"/>
  <c r="I3221" i="1" l="1"/>
  <c r="L3220" i="7"/>
  <c r="I3222" i="1" l="1"/>
  <c r="L3221" i="7"/>
  <c r="L3222" i="7" l="1"/>
  <c r="I3223" i="1"/>
  <c r="I3224" i="1" l="1"/>
  <c r="L3223" i="7"/>
  <c r="I3225" i="1" l="1"/>
  <c r="L3224" i="7"/>
  <c r="I3226" i="1" l="1"/>
  <c r="L3225" i="7"/>
  <c r="I3227" i="1" l="1"/>
  <c r="L3226" i="7"/>
  <c r="L3227" i="7" l="1"/>
  <c r="I3228" i="1"/>
  <c r="I3229" i="1" l="1"/>
  <c r="L3228" i="7"/>
  <c r="I3230" i="1" l="1"/>
  <c r="L3229" i="7"/>
  <c r="I3231" i="1" l="1"/>
  <c r="L3230" i="7"/>
  <c r="I3232" i="1" l="1"/>
  <c r="L3231" i="7"/>
  <c r="I3233" i="1" l="1"/>
  <c r="L3232" i="7"/>
  <c r="L3233" i="7" l="1"/>
  <c r="I3234" i="1"/>
  <c r="I3235" i="1" l="1"/>
  <c r="L3234" i="7"/>
  <c r="L3235" i="7" l="1"/>
  <c r="I3236" i="1"/>
  <c r="I3237" i="1" l="1"/>
  <c r="L3236" i="7"/>
  <c r="L3237" i="7" l="1"/>
  <c r="I3238" i="1"/>
  <c r="L3238" i="7" l="1"/>
  <c r="I3239" i="1"/>
  <c r="I3240" i="1" l="1"/>
  <c r="L3239" i="7"/>
  <c r="L3240" i="7" l="1"/>
  <c r="I3241" i="1"/>
  <c r="I3242" i="1" l="1"/>
  <c r="L3241" i="7"/>
  <c r="L3242" i="7" l="1"/>
  <c r="I3243" i="1"/>
  <c r="I3244" i="1" l="1"/>
  <c r="L3243" i="7"/>
  <c r="I3245" i="1" l="1"/>
  <c r="L3244" i="7"/>
  <c r="I3246" i="1" l="1"/>
  <c r="L3245" i="7"/>
  <c r="I3247" i="1" l="1"/>
  <c r="L3246" i="7"/>
  <c r="L3247" i="7" l="1"/>
  <c r="I3248" i="1"/>
  <c r="I3249" i="1" l="1"/>
  <c r="L3248" i="7"/>
  <c r="I3250" i="1" l="1"/>
  <c r="L3249" i="7"/>
  <c r="I3251" i="1" l="1"/>
  <c r="L3250" i="7"/>
  <c r="I3252" i="1" l="1"/>
  <c r="L3251" i="7"/>
  <c r="I3253" i="1" l="1"/>
  <c r="L3252" i="7"/>
  <c r="L3253" i="7" l="1"/>
  <c r="I3254" i="1"/>
  <c r="L3254" i="7" l="1"/>
  <c r="I3255" i="1"/>
  <c r="I3256" i="1" l="1"/>
  <c r="L3255" i="7"/>
  <c r="I3257" i="1" l="1"/>
  <c r="L3256" i="7"/>
  <c r="L3257" i="7" l="1"/>
  <c r="I3258" i="1"/>
  <c r="I3259" i="1" l="1"/>
  <c r="L3258" i="7"/>
  <c r="I3260" i="1" l="1"/>
  <c r="L3259" i="7"/>
  <c r="I3261" i="1" l="1"/>
  <c r="L3260" i="7"/>
  <c r="L3261" i="7" l="1"/>
  <c r="I3262" i="1"/>
  <c r="I3263" i="1" l="1"/>
  <c r="L3262" i="7"/>
  <c r="I3264" i="1" l="1"/>
  <c r="L3263" i="7"/>
  <c r="I3265" i="1" l="1"/>
  <c r="L3264" i="7"/>
  <c r="I3266" i="1" l="1"/>
  <c r="L3265" i="7"/>
  <c r="I3267" i="1" l="1"/>
  <c r="L3266" i="7"/>
  <c r="I3268" i="1" l="1"/>
  <c r="L3267" i="7"/>
  <c r="I3269" i="1" l="1"/>
  <c r="L3268" i="7"/>
  <c r="I3270" i="1" l="1"/>
  <c r="L3269" i="7"/>
  <c r="I3271" i="1" l="1"/>
  <c r="L3270" i="7"/>
  <c r="I3272" i="1" l="1"/>
  <c r="L3271" i="7"/>
  <c r="I3273" i="1" l="1"/>
  <c r="L3272" i="7"/>
  <c r="I3274" i="1" l="1"/>
  <c r="L3273" i="7"/>
  <c r="I3275" i="1" l="1"/>
  <c r="L3274" i="7"/>
  <c r="L3275" i="7" l="1"/>
  <c r="I3276" i="1"/>
  <c r="I3277" i="1" l="1"/>
  <c r="L3276" i="7"/>
  <c r="I3278" i="1" l="1"/>
  <c r="L3277" i="7"/>
  <c r="I3279" i="1" l="1"/>
  <c r="L3278" i="7"/>
  <c r="I3280" i="1" l="1"/>
  <c r="L3279" i="7"/>
  <c r="I3281" i="1" l="1"/>
  <c r="L3280" i="7"/>
  <c r="L3281" i="7" l="1"/>
  <c r="I3282" i="1"/>
  <c r="L3282" i="7" l="1"/>
  <c r="I3283" i="1"/>
  <c r="I3284" i="1" l="1"/>
  <c r="L3283" i="7"/>
  <c r="I3285" i="1" l="1"/>
  <c r="L3284" i="7"/>
  <c r="L3285" i="7" l="1"/>
  <c r="I3286" i="1"/>
  <c r="I3287" i="1" l="1"/>
  <c r="L3286" i="7"/>
  <c r="L3287" i="7" l="1"/>
  <c r="I3288" i="1"/>
  <c r="I3289" i="1" l="1"/>
  <c r="L3288" i="7"/>
  <c r="I3290" i="1" l="1"/>
  <c r="L3289" i="7"/>
  <c r="L3290" i="7" l="1"/>
  <c r="I3291" i="1"/>
  <c r="I3292" i="1" l="1"/>
  <c r="L3291" i="7"/>
  <c r="I3293" i="1" l="1"/>
  <c r="L3292" i="7"/>
  <c r="I3294" i="1" l="1"/>
  <c r="L3293" i="7"/>
  <c r="I3295" i="1" l="1"/>
  <c r="L3294" i="7"/>
  <c r="L3295" i="7" l="1"/>
  <c r="I3296" i="1"/>
  <c r="I3297" i="1" l="1"/>
  <c r="L3296" i="7"/>
  <c r="I3298" i="1" l="1"/>
  <c r="L3297" i="7"/>
  <c r="L3298" i="7" l="1"/>
  <c r="I3299" i="1"/>
  <c r="L3299" i="7" l="1"/>
  <c r="I3300" i="1"/>
  <c r="I3301" i="1" l="1"/>
  <c r="L3300" i="7"/>
  <c r="I3302" i="1" l="1"/>
  <c r="L3301" i="7"/>
  <c r="I3303" i="1" l="1"/>
  <c r="L3302" i="7"/>
  <c r="I3304" i="1" l="1"/>
  <c r="L3303" i="7"/>
  <c r="I3305" i="1" l="1"/>
  <c r="L3304" i="7"/>
  <c r="I3306" i="1" l="1"/>
  <c r="L3305" i="7"/>
  <c r="I3307" i="1" l="1"/>
  <c r="L3306" i="7"/>
  <c r="I3308" i="1" l="1"/>
  <c r="L3307" i="7"/>
  <c r="I3309" i="1" l="1"/>
  <c r="L3308" i="7"/>
  <c r="I3310" i="1" l="1"/>
  <c r="L3309" i="7"/>
  <c r="I3311" i="1" l="1"/>
  <c r="L3310" i="7"/>
  <c r="I3312" i="1" l="1"/>
  <c r="L3311" i="7"/>
  <c r="I3313" i="1" l="1"/>
  <c r="L3312" i="7"/>
  <c r="I3314" i="1" l="1"/>
  <c r="L3313" i="7"/>
  <c r="I3315" i="1" l="1"/>
  <c r="L3314" i="7"/>
  <c r="L3315" i="7" l="1"/>
  <c r="I3316" i="1"/>
  <c r="I3317" i="1" l="1"/>
  <c r="L3316" i="7"/>
  <c r="I3318" i="1" l="1"/>
  <c r="L3317" i="7"/>
  <c r="I3319" i="1" l="1"/>
  <c r="L3318" i="7"/>
  <c r="L3319" i="7" l="1"/>
  <c r="I3320" i="1"/>
  <c r="I3321" i="1" l="1"/>
  <c r="L3320" i="7"/>
  <c r="L3321" i="7" l="1"/>
  <c r="I3322" i="1"/>
  <c r="I3323" i="1" l="1"/>
  <c r="L3322" i="7"/>
  <c r="I3324" i="1" l="1"/>
  <c r="L3323" i="7"/>
  <c r="L3324" i="7" l="1"/>
  <c r="I3325" i="1"/>
  <c r="L3325" i="7" l="1"/>
  <c r="I3326" i="1"/>
  <c r="I3327" i="1" l="1"/>
  <c r="L3326" i="7"/>
  <c r="I3328" i="1" l="1"/>
  <c r="L3327" i="7"/>
  <c r="L3328" i="7" l="1"/>
  <c r="I3329" i="1"/>
  <c r="I3330" i="1" l="1"/>
  <c r="L3329" i="7"/>
  <c r="I3331" i="1" l="1"/>
  <c r="L3330" i="7"/>
  <c r="I3332" i="1" l="1"/>
  <c r="L3331" i="7"/>
  <c r="I3333" i="1" l="1"/>
  <c r="L3332" i="7"/>
  <c r="I3334" i="1" l="1"/>
  <c r="L3333" i="7"/>
  <c r="I3335" i="1" l="1"/>
  <c r="L3334" i="7"/>
  <c r="L3335" i="7" l="1"/>
  <c r="I3336" i="1"/>
  <c r="I3337" i="1" l="1"/>
  <c r="L3336" i="7"/>
  <c r="L3337" i="7" l="1"/>
  <c r="I3338" i="1"/>
  <c r="I3339" i="1" l="1"/>
  <c r="L3338" i="7"/>
  <c r="I3340" i="1" l="1"/>
  <c r="L3339" i="7"/>
  <c r="I3341" i="1" l="1"/>
  <c r="L3340" i="7"/>
  <c r="I3342" i="1" l="1"/>
  <c r="L3341" i="7"/>
  <c r="L3342" i="7" l="1"/>
  <c r="I3343" i="1"/>
  <c r="I3344" i="1" l="1"/>
  <c r="L3343" i="7"/>
  <c r="I3345" i="1" l="1"/>
  <c r="L3344" i="7"/>
  <c r="I3346" i="1" l="1"/>
  <c r="L3345" i="7"/>
  <c r="I3347" i="1" l="1"/>
  <c r="L3346" i="7"/>
  <c r="I3348" i="1" l="1"/>
  <c r="L3347" i="7"/>
  <c r="I3349" i="1" l="1"/>
  <c r="L3348" i="7"/>
  <c r="L3349" i="7" l="1"/>
  <c r="I3350" i="1"/>
  <c r="L3350" i="7" l="1"/>
  <c r="I3351" i="1"/>
  <c r="L3351" i="7" l="1"/>
  <c r="I3352" i="1"/>
  <c r="L3352" i="7" l="1"/>
  <c r="I3353" i="1"/>
  <c r="I3354" i="1" l="1"/>
  <c r="L3353" i="7"/>
  <c r="I3355" i="1" l="1"/>
  <c r="L3354" i="7"/>
  <c r="I3356" i="1" l="1"/>
  <c r="L3355" i="7"/>
  <c r="I3357" i="1" l="1"/>
  <c r="L3356" i="7"/>
  <c r="I3358" i="1" l="1"/>
  <c r="L3357" i="7"/>
  <c r="I3359" i="1" l="1"/>
  <c r="L3358" i="7"/>
  <c r="I3360" i="1" l="1"/>
  <c r="L3359" i="7"/>
  <c r="I3361" i="1" l="1"/>
  <c r="L3360" i="7"/>
  <c r="I3362" i="1" l="1"/>
  <c r="L3361" i="7"/>
  <c r="I3363" i="1" l="1"/>
  <c r="L3362" i="7"/>
  <c r="I3364" i="1" l="1"/>
  <c r="L3363" i="7"/>
  <c r="L3364" i="7" l="1"/>
  <c r="I3365" i="1"/>
  <c r="I3366" i="1" l="1"/>
  <c r="L3365" i="7"/>
  <c r="L3366" i="7" l="1"/>
  <c r="I3367" i="1"/>
  <c r="L3367" i="7" l="1"/>
  <c r="I3368" i="1"/>
  <c r="L3368" i="7" l="1"/>
  <c r="I3369" i="1"/>
  <c r="I3370" i="1" l="1"/>
  <c r="L3369" i="7"/>
  <c r="I3371" i="1" l="1"/>
  <c r="L3370" i="7"/>
  <c r="I3372" i="1" l="1"/>
  <c r="L3371" i="7"/>
  <c r="L3372" i="7" l="1"/>
  <c r="I3373" i="1"/>
  <c r="L3373" i="7" l="1"/>
  <c r="I3374" i="1"/>
  <c r="I3375" i="1" l="1"/>
  <c r="L3374" i="7"/>
  <c r="I3376" i="1" l="1"/>
  <c r="L3375" i="7"/>
  <c r="I3377" i="1" l="1"/>
  <c r="L3376" i="7"/>
  <c r="I3378" i="1" l="1"/>
  <c r="L3377" i="7"/>
  <c r="L3378" i="7" l="1"/>
  <c r="I3379" i="1"/>
  <c r="I3380" i="1" l="1"/>
  <c r="L3379" i="7"/>
  <c r="L3380" i="7" l="1"/>
  <c r="I3381" i="1"/>
  <c r="I3382" i="1" l="1"/>
  <c r="L3381" i="7"/>
  <c r="I3383" i="1" l="1"/>
  <c r="L3382" i="7"/>
  <c r="I3384" i="1" l="1"/>
  <c r="L3383" i="7"/>
  <c r="L3384" i="7" l="1"/>
  <c r="I3385" i="1"/>
  <c r="I3386" i="1" l="1"/>
  <c r="L3385" i="7"/>
  <c r="I3387" i="1" l="1"/>
  <c r="L3386" i="7"/>
  <c r="I3388" i="1" l="1"/>
  <c r="L3387" i="7"/>
  <c r="L3388" i="7" l="1"/>
  <c r="I3389" i="1"/>
  <c r="I3390" i="1" l="1"/>
  <c r="L3389" i="7"/>
  <c r="I3391" i="1" l="1"/>
  <c r="L3390" i="7"/>
  <c r="I3392" i="1" l="1"/>
  <c r="L3391" i="7"/>
  <c r="I3393" i="1" l="1"/>
  <c r="L3392" i="7"/>
  <c r="L3393" i="7" l="1"/>
  <c r="I3394" i="1"/>
  <c r="I3395" i="1" l="1"/>
  <c r="L3394" i="7"/>
  <c r="I3396" i="1" l="1"/>
  <c r="L3395" i="7"/>
  <c r="L3396" i="7" l="1"/>
  <c r="I3397" i="1"/>
  <c r="I3398" i="1" l="1"/>
  <c r="L3397" i="7"/>
  <c r="I3399" i="1" l="1"/>
  <c r="L3398" i="7"/>
  <c r="L3399" i="7" l="1"/>
  <c r="I3400" i="1"/>
  <c r="L3400" i="7" l="1"/>
  <c r="I3401" i="1"/>
  <c r="I3402" i="1" l="1"/>
  <c r="L3401" i="7"/>
  <c r="I3403" i="1" l="1"/>
  <c r="L3402" i="7"/>
  <c r="I3404" i="1" l="1"/>
  <c r="L3403" i="7"/>
  <c r="L3404" i="7" l="1"/>
  <c r="I3405" i="1"/>
  <c r="I3406" i="1" l="1"/>
  <c r="L3405" i="7"/>
  <c r="L3406" i="7" l="1"/>
  <c r="I3407" i="1"/>
  <c r="L3407" i="7" l="1"/>
  <c r="I3408" i="1"/>
  <c r="I3409" i="1" l="1"/>
  <c r="L3408" i="7"/>
  <c r="L3409" i="7" l="1"/>
  <c r="I3410" i="1"/>
  <c r="I3411" i="1" l="1"/>
  <c r="L3410" i="7"/>
  <c r="I3412" i="1" l="1"/>
  <c r="L3411" i="7"/>
  <c r="L3412" i="7" l="1"/>
  <c r="I3413" i="1"/>
  <c r="I3414" i="1" l="1"/>
  <c r="L3413" i="7"/>
  <c r="L3414" i="7" l="1"/>
  <c r="I3415" i="1"/>
  <c r="I3416" i="1" l="1"/>
  <c r="L3415" i="7"/>
  <c r="I3417" i="1" l="1"/>
  <c r="L3416" i="7"/>
  <c r="I3418" i="1" l="1"/>
  <c r="L3417" i="7"/>
  <c r="I3419" i="1" l="1"/>
  <c r="L3418" i="7"/>
  <c r="I3420" i="1" l="1"/>
  <c r="L3419" i="7"/>
  <c r="I3421" i="1" l="1"/>
  <c r="L3420" i="7"/>
  <c r="I3422" i="1" l="1"/>
  <c r="L3421" i="7"/>
  <c r="L3422" i="7" l="1"/>
  <c r="I3423" i="1"/>
  <c r="I3424" i="1" l="1"/>
  <c r="L3423" i="7"/>
  <c r="I3425" i="1" l="1"/>
  <c r="L3424" i="7"/>
  <c r="I3426" i="1" l="1"/>
  <c r="L3425" i="7"/>
  <c r="L3426" i="7" l="1"/>
  <c r="I3427" i="1"/>
  <c r="I3428" i="1" l="1"/>
  <c r="L3427" i="7"/>
  <c r="I3429" i="1" l="1"/>
  <c r="L3428" i="7"/>
  <c r="I3430" i="1" l="1"/>
  <c r="L3429" i="7"/>
  <c r="I3431" i="1" l="1"/>
  <c r="L3430" i="7"/>
  <c r="L3431" i="7" l="1"/>
  <c r="I3432" i="1"/>
  <c r="I3433" i="1" l="1"/>
  <c r="L3432" i="7"/>
  <c r="L3433" i="7" l="1"/>
  <c r="I3434" i="1"/>
  <c r="I3435" i="1" l="1"/>
  <c r="L3434" i="7"/>
  <c r="I3436" i="1" l="1"/>
  <c r="L3435" i="7"/>
  <c r="I3437" i="1" l="1"/>
  <c r="L3436" i="7"/>
  <c r="I3438" i="1" l="1"/>
  <c r="L3437" i="7"/>
  <c r="I3439" i="1" l="1"/>
  <c r="L3438" i="7"/>
  <c r="L3439" i="7" l="1"/>
  <c r="I3440" i="1"/>
  <c r="I3441" i="1" l="1"/>
  <c r="L3440" i="7"/>
  <c r="L3441" i="7" l="1"/>
  <c r="I3442" i="1"/>
  <c r="L3442" i="7" l="1"/>
  <c r="I3443" i="1"/>
  <c r="I3444" i="1" l="1"/>
  <c r="L3443" i="7"/>
  <c r="L3444" i="7" l="1"/>
  <c r="I3445" i="1"/>
  <c r="I3446" i="1" l="1"/>
  <c r="L3445" i="7"/>
  <c r="I3447" i="1" l="1"/>
  <c r="L3446" i="7"/>
  <c r="I3448" i="1" l="1"/>
  <c r="L3447" i="7"/>
  <c r="I3449" i="1" l="1"/>
  <c r="L3448" i="7"/>
  <c r="L3449" i="7" l="1"/>
  <c r="I3450" i="1"/>
  <c r="I3451" i="1" l="1"/>
  <c r="L3450" i="7"/>
  <c r="L3451" i="7" l="1"/>
  <c r="I3452" i="1"/>
  <c r="I3453" i="1" l="1"/>
  <c r="L3452" i="7"/>
  <c r="L3453" i="7" l="1"/>
  <c r="I3454" i="1"/>
  <c r="I3455" i="1" l="1"/>
  <c r="L3454" i="7"/>
  <c r="I3456" i="1" l="1"/>
  <c r="L3455" i="7"/>
  <c r="I3457" i="1" l="1"/>
  <c r="L3456" i="7"/>
  <c r="I3458" i="1" l="1"/>
  <c r="L3457" i="7"/>
  <c r="I3459" i="1" l="1"/>
  <c r="L3458" i="7"/>
  <c r="L3459" i="7" l="1"/>
  <c r="I3460" i="1"/>
  <c r="I3461" i="1" l="1"/>
  <c r="L3460" i="7"/>
  <c r="I3462" i="1" l="1"/>
  <c r="L3461" i="7"/>
  <c r="L3462" i="7" l="1"/>
  <c r="I3463" i="1"/>
  <c r="L3463" i="7" l="1"/>
  <c r="I3464" i="1"/>
  <c r="L3464" i="7" l="1"/>
  <c r="I3465" i="1"/>
  <c r="I3466" i="1" l="1"/>
  <c r="L3465" i="7"/>
  <c r="I3467" i="1" l="1"/>
  <c r="L3466" i="7"/>
  <c r="L3467" i="7" l="1"/>
  <c r="I3468" i="1"/>
  <c r="I3469" i="1" l="1"/>
  <c r="L3468" i="7"/>
  <c r="I3470" i="1" l="1"/>
  <c r="L3469" i="7"/>
  <c r="L3470" i="7" l="1"/>
  <c r="I3471" i="1"/>
  <c r="I3472" i="1" l="1"/>
  <c r="L3471" i="7"/>
  <c r="I3473" i="1" l="1"/>
  <c r="L3472" i="7"/>
  <c r="I3474" i="1" l="1"/>
  <c r="L3473" i="7"/>
  <c r="L3474" i="7" l="1"/>
  <c r="I3475" i="1"/>
  <c r="I3476" i="1" l="1"/>
  <c r="L3475" i="7"/>
  <c r="I3477" i="1" l="1"/>
  <c r="L3476" i="7"/>
  <c r="I3478" i="1" l="1"/>
  <c r="L3477" i="7"/>
  <c r="L3478" i="7" l="1"/>
  <c r="I3479" i="1"/>
  <c r="L3479" i="7" l="1"/>
  <c r="I3480" i="1"/>
  <c r="I3481" i="1" l="1"/>
  <c r="L3480" i="7"/>
  <c r="I3482" i="1" l="1"/>
  <c r="L3481" i="7"/>
  <c r="I3483" i="1" l="1"/>
  <c r="L3482" i="7"/>
  <c r="I3484" i="1" l="1"/>
  <c r="L3483" i="7"/>
  <c r="I3485" i="1" l="1"/>
  <c r="L3484" i="7"/>
  <c r="L3485" i="7" l="1"/>
  <c r="I3486" i="1"/>
  <c r="I3487" i="1" l="1"/>
  <c r="L3486" i="7"/>
  <c r="I3488" i="1" l="1"/>
  <c r="L3487" i="7"/>
  <c r="I3489" i="1" l="1"/>
  <c r="L3488" i="7"/>
  <c r="L3489" i="7" l="1"/>
  <c r="I3490" i="1"/>
  <c r="I3491" i="1" l="1"/>
  <c r="L3490" i="7"/>
  <c r="I3492" i="1" l="1"/>
  <c r="L3491" i="7"/>
  <c r="L3492" i="7" l="1"/>
  <c r="I3493" i="1"/>
  <c r="I3494" i="1" l="1"/>
  <c r="L3493" i="7"/>
  <c r="I3495" i="1" l="1"/>
  <c r="L3494" i="7"/>
  <c r="L3495" i="7" l="1"/>
  <c r="I3496" i="1"/>
  <c r="I3497" i="1" l="1"/>
  <c r="L3496" i="7"/>
  <c r="I3498" i="1" l="1"/>
  <c r="L3497" i="7"/>
  <c r="I3499" i="1" l="1"/>
  <c r="L3498" i="7"/>
  <c r="I3500" i="1" l="1"/>
  <c r="L3499" i="7"/>
  <c r="I3501" i="1" l="1"/>
  <c r="L3500" i="7"/>
  <c r="I3502" i="1" l="1"/>
  <c r="L3501" i="7"/>
  <c r="I3503" i="1" l="1"/>
  <c r="L3502" i="7"/>
  <c r="L3503" i="7" l="1"/>
  <c r="I3504" i="1"/>
  <c r="L3504" i="7" s="1"/>
</calcChain>
</file>

<file path=xl/sharedStrings.xml><?xml version="1.0" encoding="utf-8"?>
<sst xmlns="http://schemas.openxmlformats.org/spreadsheetml/2006/main" count="1693" uniqueCount="256">
  <si>
    <t>Дата</t>
  </si>
  <si>
    <t>Объект</t>
  </si>
  <si>
    <t xml:space="preserve">Получатель </t>
  </si>
  <si>
    <t>Примечание</t>
  </si>
  <si>
    <t>Названия строк</t>
  </si>
  <si>
    <t>(пусто)</t>
  </si>
  <si>
    <t>Общий итог</t>
  </si>
  <si>
    <t>Дата:</t>
  </si>
  <si>
    <t>Всего по объекту</t>
  </si>
  <si>
    <t>Вид платежа</t>
  </si>
  <si>
    <t>остаток на начало</t>
  </si>
  <si>
    <t>Агаев</t>
  </si>
  <si>
    <t>КП</t>
  </si>
  <si>
    <t>Мост</t>
  </si>
  <si>
    <t>Володя Бур</t>
  </si>
  <si>
    <t>Ирина мед. Ушко</t>
  </si>
  <si>
    <t>Равиль дом 1</t>
  </si>
  <si>
    <t>Равиль дом 2</t>
  </si>
  <si>
    <t>ЗП</t>
  </si>
  <si>
    <t>Макс</t>
  </si>
  <si>
    <t>Эдик</t>
  </si>
  <si>
    <t xml:space="preserve">Артур </t>
  </si>
  <si>
    <t>Анна</t>
  </si>
  <si>
    <t>доставка арматуры</t>
  </si>
  <si>
    <t>бут</t>
  </si>
  <si>
    <t>(пусто) Итог</t>
  </si>
  <si>
    <t>Всего по получателю</t>
  </si>
  <si>
    <t>техника</t>
  </si>
  <si>
    <t>миксер</t>
  </si>
  <si>
    <t>продукты</t>
  </si>
  <si>
    <t>Юра магазин</t>
  </si>
  <si>
    <t>бетон</t>
  </si>
  <si>
    <t>Ольга</t>
  </si>
  <si>
    <t>топливо</t>
  </si>
  <si>
    <t>Макс электрик</t>
  </si>
  <si>
    <t>камни для шлифовки</t>
  </si>
  <si>
    <t>ЗАЙМ</t>
  </si>
  <si>
    <t>банк</t>
  </si>
  <si>
    <t>Движение</t>
  </si>
  <si>
    <t>Сегодня:</t>
  </si>
  <si>
    <t>Всего всего</t>
  </si>
  <si>
    <t>Равиль баня</t>
  </si>
  <si>
    <t>Объекты</t>
  </si>
  <si>
    <t>Получатели</t>
  </si>
  <si>
    <t>1</t>
  </si>
  <si>
    <t>Касса</t>
  </si>
  <si>
    <t>Другое</t>
  </si>
  <si>
    <t>Источники_ДС</t>
  </si>
  <si>
    <t>Сальдо на конец дня</t>
  </si>
  <si>
    <t>Остаток после операции</t>
  </si>
  <si>
    <t>Агаев Итог</t>
  </si>
  <si>
    <t>Володя Бур Итог</t>
  </si>
  <si>
    <t>Ирина мед. Ушко Итог</t>
  </si>
  <si>
    <t>КП Итог</t>
  </si>
  <si>
    <t>Мост Итог</t>
  </si>
  <si>
    <t>остаток на начало Итог</t>
  </si>
  <si>
    <t>Равиль баня Итог</t>
  </si>
  <si>
    <t>Равиль дом 1 Итог</t>
  </si>
  <si>
    <t>Равиль дом 2 Итог</t>
  </si>
  <si>
    <t>Движение денежных средств по дням</t>
  </si>
  <si>
    <t>Приход ДС</t>
  </si>
  <si>
    <t>Расход ДС</t>
  </si>
  <si>
    <t>пароль для защиты листа "Учет": 11</t>
  </si>
  <si>
    <t>Карта Макс</t>
  </si>
  <si>
    <t>Карта Эдик</t>
  </si>
  <si>
    <t>Карта Аня</t>
  </si>
  <si>
    <t>Ник Ник</t>
  </si>
  <si>
    <t>общие расходы</t>
  </si>
  <si>
    <t>личные Макс</t>
  </si>
  <si>
    <t>КП офис</t>
  </si>
  <si>
    <t>Аня</t>
  </si>
  <si>
    <t>обработка собак</t>
  </si>
  <si>
    <t>массаж Аня, Макс, артур</t>
  </si>
  <si>
    <t>перевод на карту Ани</t>
  </si>
  <si>
    <t>перевод на карту Макс</t>
  </si>
  <si>
    <t>пиво ИИ</t>
  </si>
  <si>
    <t>на машину</t>
  </si>
  <si>
    <t>доставкка Технониколь</t>
  </si>
  <si>
    <t>доставка бут</t>
  </si>
  <si>
    <t>вывоз мусора</t>
  </si>
  <si>
    <t>массаж Аня,Артур, Макс</t>
  </si>
  <si>
    <t>уборка дома</t>
  </si>
  <si>
    <t>перевоз патио манипулятор</t>
  </si>
  <si>
    <t>газ</t>
  </si>
  <si>
    <t>Рустем JCB</t>
  </si>
  <si>
    <t>Антон топливо</t>
  </si>
  <si>
    <t>ремонт автобуса</t>
  </si>
  <si>
    <t>Массаж Аня,Макс, Артур</t>
  </si>
  <si>
    <t>вывоз мусора мал. дом</t>
  </si>
  <si>
    <t>Макс электрик возврат</t>
  </si>
  <si>
    <t>заливка подбетонки</t>
  </si>
  <si>
    <t>плитка</t>
  </si>
  <si>
    <t>покраска, подшива</t>
  </si>
  <si>
    <t>дорога</t>
  </si>
  <si>
    <t>кровля</t>
  </si>
  <si>
    <t>гидроизоляция</t>
  </si>
  <si>
    <t>Анна Итог</t>
  </si>
  <si>
    <t>ЗП Итог</t>
  </si>
  <si>
    <t>КП офис Итог</t>
  </si>
  <si>
    <t>личные Макс Итог</t>
  </si>
  <si>
    <t>Ник Ник Итог</t>
  </si>
  <si>
    <t>общие расходы Итог</t>
  </si>
  <si>
    <t>Ольга Итог</t>
  </si>
  <si>
    <t>Движение денежных средств подробно (по всем источникам)</t>
  </si>
  <si>
    <t>Защита листа:</t>
  </si>
  <si>
    <t>В справочниках не надо оставлять пустые строки</t>
  </si>
  <si>
    <t>Сводные таблицы: нажимать "Обновить"</t>
  </si>
  <si>
    <t>Примечания:</t>
  </si>
  <si>
    <t>Стараться заполнить все поля таблицы (Объект, Откуда списано, Получатель), не оставлять пустые строки</t>
  </si>
  <si>
    <t>Чтобы узнать остаток на день:</t>
  </si>
  <si>
    <t>На листе  "Остатки" фильтром выбрать нужную дату, проверить последнюю строку.</t>
  </si>
  <si>
    <t>Если пропущена запись:</t>
  </si>
  <si>
    <t>Отсортировать таблицу на листе "Учет".</t>
  </si>
  <si>
    <t>Отметить колонки А-Р, выбрать "Данные"-"Сортировать"-"Сортировать по "Дата""-"Мои данные содержат заголовки", "от А до Я"</t>
  </si>
  <si>
    <t>Вставлять между строками не надо.</t>
  </si>
  <si>
    <t xml:space="preserve">Введено формул на 3500 строк. </t>
  </si>
  <si>
    <t>Если строки закончились, скопировать последнюю строку и вставить еще сколько нужно, но ниже.</t>
  </si>
  <si>
    <t>Сальдо по всем источникам</t>
  </si>
  <si>
    <t>налог Аня</t>
  </si>
  <si>
    <t>налог Эдик</t>
  </si>
  <si>
    <t>налог Антон</t>
  </si>
  <si>
    <t>Электрик М</t>
  </si>
  <si>
    <t xml:space="preserve">газ </t>
  </si>
  <si>
    <t>массаж</t>
  </si>
  <si>
    <t>манипулятор доставка арматуры</t>
  </si>
  <si>
    <t>манирулятор</t>
  </si>
  <si>
    <t xml:space="preserve">арматура </t>
  </si>
  <si>
    <t>перевоз вагончиков манипулятор</t>
  </si>
  <si>
    <t>расходники</t>
  </si>
  <si>
    <t>топливо Антон</t>
  </si>
  <si>
    <t>Антон</t>
  </si>
  <si>
    <t>Джони аванс</t>
  </si>
  <si>
    <t>аванс техника</t>
  </si>
  <si>
    <t>услуга</t>
  </si>
  <si>
    <t>материал</t>
  </si>
  <si>
    <t>аренда техники</t>
  </si>
  <si>
    <t>прочее</t>
  </si>
  <si>
    <t>внутреннее перемещение ДС</t>
  </si>
  <si>
    <t>Откуда списаны ДС</t>
  </si>
  <si>
    <t>Услуга</t>
  </si>
  <si>
    <t>Материал</t>
  </si>
  <si>
    <t>Прочее</t>
  </si>
  <si>
    <t>Внутреннее перемещение ДС</t>
  </si>
  <si>
    <t>Учет денежных средств</t>
  </si>
  <si>
    <t>Есть данные за период с:</t>
  </si>
  <si>
    <t>по</t>
  </si>
  <si>
    <t xml:space="preserve">Сделать выборку </t>
  </si>
  <si>
    <t>Заработная плата:</t>
  </si>
  <si>
    <t>Денежные средства:</t>
  </si>
  <si>
    <t>Материалы:</t>
  </si>
  <si>
    <t>Аренда оборудования:</t>
  </si>
  <si>
    <t>Аренда оборудования</t>
  </si>
  <si>
    <t>Все поступления:</t>
  </si>
  <si>
    <t>Все расходы:</t>
  </si>
  <si>
    <t>Аванс</t>
  </si>
  <si>
    <t>Налог</t>
  </si>
  <si>
    <t>Внутреннее перемещение</t>
  </si>
  <si>
    <t>Возврат ДС</t>
  </si>
  <si>
    <t>Аня Итог</t>
  </si>
  <si>
    <t>Артур  Итог</t>
  </si>
  <si>
    <t>Эдик Итог</t>
  </si>
  <si>
    <t>Зарплата по Получателям</t>
  </si>
  <si>
    <t>Зарплата по назначению (конечный получатель)</t>
  </si>
  <si>
    <t>Зарплата по Объектам</t>
  </si>
  <si>
    <t>Объекты:</t>
  </si>
  <si>
    <t>Все объекты</t>
  </si>
  <si>
    <t>Выбрать объект</t>
  </si>
  <si>
    <t>Весь список</t>
  </si>
  <si>
    <t>По объектам</t>
  </si>
  <si>
    <t>По получателям</t>
  </si>
  <si>
    <t>По конечным получателям</t>
  </si>
  <si>
    <t>Все материалы</t>
  </si>
  <si>
    <t>Выбрать период с:</t>
  </si>
  <si>
    <t>Выбрать вид выборки:</t>
  </si>
  <si>
    <t>Доработка 29.08.2023</t>
  </si>
  <si>
    <t>Если возврат денежных средств:</t>
  </si>
  <si>
    <t>Внести в графу "Приход" (выбрать нужную) с минусом, в графе "Вид платежа" выбрать "Возврат"</t>
  </si>
  <si>
    <t>Nr</t>
  </si>
  <si>
    <t>Кому</t>
  </si>
  <si>
    <t>Через кого</t>
  </si>
  <si>
    <t>Зарплата готова 29.08.2023</t>
  </si>
  <si>
    <t xml:space="preserve"> в 9:34:33</t>
  </si>
  <si>
    <t xml:space="preserve"> Артур</t>
  </si>
  <si>
    <t xml:space="preserve"> Бахрум</t>
  </si>
  <si>
    <t xml:space="preserve"> Аня</t>
  </si>
  <si>
    <t xml:space="preserve"> Джонни</t>
  </si>
  <si>
    <t xml:space="preserve"> Эдик Губернатор</t>
  </si>
  <si>
    <t xml:space="preserve"> Илья</t>
  </si>
  <si>
    <t xml:space="preserve"> Руслан </t>
  </si>
  <si>
    <t xml:space="preserve"> Эдик</t>
  </si>
  <si>
    <t xml:space="preserve"> Коляны</t>
  </si>
  <si>
    <t xml:space="preserve"> Джони</t>
  </si>
  <si>
    <t xml:space="preserve"> Илья </t>
  </si>
  <si>
    <t xml:space="preserve"> Антон</t>
  </si>
  <si>
    <t xml:space="preserve"> Саша Докуч</t>
  </si>
  <si>
    <t xml:space="preserve"> Алексей</t>
  </si>
  <si>
    <t xml:space="preserve"> Макс электрик</t>
  </si>
  <si>
    <t xml:space="preserve"> Жека</t>
  </si>
  <si>
    <t xml:space="preserve"> Руслан</t>
  </si>
  <si>
    <t xml:space="preserve"> Макс</t>
  </si>
  <si>
    <t xml:space="preserve"> Руслан бутовщик</t>
  </si>
  <si>
    <t>Уточнение платежа (кому , наим.материала или услуги и т.д.)</t>
  </si>
  <si>
    <t>Сумма зп</t>
  </si>
  <si>
    <t>Откуда выдано</t>
  </si>
  <si>
    <t>Дата формирования ведомости</t>
  </si>
  <si>
    <t xml:space="preserve"> в 9:38:12</t>
  </si>
  <si>
    <t>Зарплата</t>
  </si>
  <si>
    <t xml:space="preserve"> Алексей Итог</t>
  </si>
  <si>
    <t xml:space="preserve"> Антон Итог</t>
  </si>
  <si>
    <t xml:space="preserve"> Аня Итог</t>
  </si>
  <si>
    <t xml:space="preserve"> Артур Итог</t>
  </si>
  <si>
    <t xml:space="preserve"> Бахрум Итог</t>
  </si>
  <si>
    <t xml:space="preserve"> Джони Итог</t>
  </si>
  <si>
    <t xml:space="preserve"> Джонни Итог</t>
  </si>
  <si>
    <t xml:space="preserve"> Жека Итог</t>
  </si>
  <si>
    <t xml:space="preserve"> Илья Итог</t>
  </si>
  <si>
    <t xml:space="preserve"> Илья  Итог</t>
  </si>
  <si>
    <t xml:space="preserve"> Коляны Итог</t>
  </si>
  <si>
    <t xml:space="preserve"> Макс Итог</t>
  </si>
  <si>
    <t xml:space="preserve"> Макс электрик Итог</t>
  </si>
  <si>
    <t xml:space="preserve"> Руслан Итог</t>
  </si>
  <si>
    <t xml:space="preserve"> Руслан  Итог</t>
  </si>
  <si>
    <t xml:space="preserve"> Руслан бутовщик Итог</t>
  </si>
  <si>
    <t xml:space="preserve"> Саша Докуч Итог</t>
  </si>
  <si>
    <t xml:space="preserve"> Эдик Итог</t>
  </si>
  <si>
    <t xml:space="preserve"> Эдик Губернатор Итог</t>
  </si>
  <si>
    <t>Расход всего</t>
  </si>
  <si>
    <t>Приход касса</t>
  </si>
  <si>
    <t>Приход карта Макс</t>
  </si>
  <si>
    <t>Приход карта Эдик</t>
  </si>
  <si>
    <t>Приход карта Аня</t>
  </si>
  <si>
    <t>Приход другое</t>
  </si>
  <si>
    <t>Приход всего</t>
  </si>
  <si>
    <t>02.08.2023 Итог</t>
  </si>
  <si>
    <t>03.08.2023 Итог</t>
  </si>
  <si>
    <t>04.08.2023 Итог</t>
  </si>
  <si>
    <t>05.08.2023 Итог</t>
  </si>
  <si>
    <t>08.08.2023 Итог</t>
  </si>
  <si>
    <t>09.08.2023 Итог</t>
  </si>
  <si>
    <t>10.08.2023 Итог</t>
  </si>
  <si>
    <t>11.08.2023 Итог</t>
  </si>
  <si>
    <t>14.08.2023 Итог</t>
  </si>
  <si>
    <t>15.08.2023 Итог</t>
  </si>
  <si>
    <t>16.08.2023 Итог</t>
  </si>
  <si>
    <t>17.08.2023 Итог</t>
  </si>
  <si>
    <t>18.08.2023 Итог</t>
  </si>
  <si>
    <t>19.08.2023 Итог</t>
  </si>
  <si>
    <t>20.08.2023 Итог</t>
  </si>
  <si>
    <t>21.08.2023 Итог</t>
  </si>
  <si>
    <t>22.08.2023 Итог</t>
  </si>
  <si>
    <t>23.08.2023 Итог</t>
  </si>
  <si>
    <t xml:space="preserve"> в 10:47:16</t>
  </si>
  <si>
    <t>Статус</t>
  </si>
  <si>
    <t xml:space="preserve"> в 11:16:10</t>
  </si>
  <si>
    <t xml:space="preserve"> в 11:17:16</t>
  </si>
  <si>
    <t xml:space="preserve"> в 11:19:18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</si>
</sst>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_ ;[Red]\-#,##0.00\ "/>
    <numFmt numFmtId="165" formatCode="[$-419]d\ mmm\ yy;@"/>
  </numFmts>
  <fonts count="30" x14ac:knownFonts="1">
    <font>
      <sz val="11"/>
      <color theme="1"/>
      <name val="Calibri"/>
      <family val="2"/>
      <charset val="204"/>
      <scheme val="minor"/>
    </font>
    <font>
      <sz val="11"/>
      <color rgb="FF0000CC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b/>
      <sz val="11"/>
      <color rgb="FF0000CC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rgb="FF0000CC"/>
      <name val="Calibri"/>
      <family val="2"/>
      <charset val="204"/>
      <scheme val="minor"/>
    </font>
    <font>
      <sz val="10"/>
      <color rgb="FF0000CC"/>
      <name val="Calibri"/>
      <family val="2"/>
      <charset val="204"/>
      <scheme val="minor"/>
    </font>
    <font>
      <b/>
      <sz val="9"/>
      <color rgb="FFC00000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b/>
      <i/>
      <sz val="11"/>
      <color rgb="FF0000FF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i/>
      <sz val="18"/>
      <color rgb="FFC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u/>
      <sz val="14"/>
      <color rgb="FFC00000"/>
      <name val="Calibri"/>
      <family val="2"/>
      <charset val="204"/>
      <scheme val="minor"/>
    </font>
    <font>
      <b/>
      <u/>
      <sz val="11"/>
      <color rgb="FF7030A0"/>
      <name val="Calibri"/>
      <family val="2"/>
      <charset val="204"/>
      <scheme val="minor"/>
    </font>
    <font>
      <i/>
      <sz val="11"/>
      <color rgb="FF7030A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DF2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DotDot">
        <color rgb="FFC00000"/>
      </left>
      <right/>
      <top style="mediumDashDotDot">
        <color rgb="FFC00000"/>
      </top>
      <bottom/>
      <diagonal/>
    </border>
    <border>
      <left/>
      <right/>
      <top style="mediumDashDotDot">
        <color rgb="FFC00000"/>
      </top>
      <bottom/>
      <diagonal/>
    </border>
    <border>
      <left/>
      <right style="mediumDashDotDot">
        <color rgb="FFC00000"/>
      </right>
      <top style="mediumDashDotDot">
        <color rgb="FFC00000"/>
      </top>
      <bottom/>
      <diagonal/>
    </border>
    <border>
      <left style="mediumDashDotDot">
        <color rgb="FFC00000"/>
      </left>
      <right/>
      <top/>
      <bottom/>
      <diagonal/>
    </border>
    <border>
      <left/>
      <right style="mediumDashDotDot">
        <color rgb="FFC00000"/>
      </right>
      <top/>
      <bottom/>
      <diagonal/>
    </border>
    <border>
      <left style="mediumDashDotDot">
        <color rgb="FFC00000"/>
      </left>
      <right/>
      <top/>
      <bottom style="mediumDashDotDot">
        <color rgb="FFC00000"/>
      </bottom>
      <diagonal/>
    </border>
    <border>
      <left/>
      <right/>
      <top/>
      <bottom style="mediumDashDotDot">
        <color rgb="FFC00000"/>
      </bottom>
      <diagonal/>
    </border>
    <border>
      <left/>
      <right style="mediumDashDotDot">
        <color rgb="FFC00000"/>
      </right>
      <top/>
      <bottom style="mediumDashDotDot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0000CC"/>
      </left>
      <right/>
      <top style="thin">
        <color rgb="FF0000CC"/>
      </top>
      <bottom style="thin">
        <color rgb="FF0000CC"/>
      </bottom>
      <diagonal/>
    </border>
    <border>
      <left/>
      <right/>
      <top style="thin">
        <color rgb="FF0000CC"/>
      </top>
      <bottom style="thin">
        <color rgb="FF0000CC"/>
      </bottom>
      <diagonal/>
    </border>
    <border>
      <left/>
      <right style="thin">
        <color rgb="FF0000CC"/>
      </right>
      <top style="thin">
        <color rgb="FF0000CC"/>
      </top>
      <bottom style="thin">
        <color rgb="FF0000CC"/>
      </bottom>
      <diagonal/>
    </border>
  </borders>
  <cellStyleXfs count="1">
    <xf numFmtId="0" fontId="0" fillId="0" borderId="0"/>
  </cellStyleXfs>
  <cellXfs count="104">
    <xf numFmtId="0" fontId="0" fillId="0" borderId="0" xfId="0"/>
    <xf numFmtId="14" fontId="1" fillId="0" borderId="1" xfId="0" applyNumberFormat="1" applyFon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64" fontId="0" fillId="4" borderId="1" xfId="0" applyNumberFormat="1" applyFill="1" applyBorder="1"/>
    <xf numFmtId="0" fontId="4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0" borderId="2" xfId="0" applyBorder="1" applyAlignment="1">
      <alignment horizontal="right"/>
    </xf>
    <xf numFmtId="14" fontId="6" fillId="0" borderId="2" xfId="0" applyNumberFormat="1" applyFont="1" applyBorder="1"/>
    <xf numFmtId="165" fontId="0" fillId="0" borderId="0" xfId="0" applyNumberFormat="1"/>
    <xf numFmtId="165" fontId="0" fillId="0" borderId="0" xfId="0" pivotButton="1" applyNumberFormat="1"/>
    <xf numFmtId="165" fontId="0" fillId="0" borderId="0" xfId="0" applyNumberFormat="1" applyAlignment="1">
      <alignment horizontal="left"/>
    </xf>
    <xf numFmtId="0" fontId="7" fillId="0" borderId="0" xfId="0" applyFont="1"/>
    <xf numFmtId="164" fontId="11" fillId="3" borderId="1" xfId="0" applyNumberFormat="1" applyFont="1" applyFill="1" applyBorder="1" applyProtection="1">
      <protection locked="0"/>
    </xf>
    <xf numFmtId="14" fontId="12" fillId="5" borderId="1" xfId="0" applyNumberFormat="1" applyFont="1" applyFill="1" applyBorder="1" applyProtection="1">
      <protection locked="0"/>
    </xf>
    <xf numFmtId="164" fontId="13" fillId="5" borderId="1" xfId="0" applyNumberFormat="1" applyFont="1" applyFill="1" applyBorder="1" applyProtection="1">
      <protection locked="0"/>
    </xf>
    <xf numFmtId="164" fontId="12" fillId="5" borderId="1" xfId="0" applyNumberFormat="1" applyFont="1" applyFill="1" applyBorder="1"/>
    <xf numFmtId="0" fontId="12" fillId="5" borderId="1" xfId="0" applyFont="1" applyFill="1" applyBorder="1" applyProtection="1">
      <protection locked="0"/>
    </xf>
    <xf numFmtId="0" fontId="11" fillId="0" borderId="0" xfId="0" applyFont="1"/>
    <xf numFmtId="14" fontId="6" fillId="0" borderId="1" xfId="0" applyNumberFormat="1" applyFont="1" applyBorder="1" applyAlignment="1" applyProtection="1">
      <alignment horizontal="center" vertical="center" wrapText="1"/>
      <protection locked="0"/>
    </xf>
    <xf numFmtId="164" fontId="7" fillId="4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right"/>
    </xf>
    <xf numFmtId="0" fontId="14" fillId="0" borderId="0" xfId="0" applyFont="1"/>
    <xf numFmtId="164" fontId="7" fillId="4" borderId="1" xfId="0" applyNumberFormat="1" applyFont="1" applyFill="1" applyBorder="1"/>
    <xf numFmtId="164" fontId="7" fillId="0" borderId="0" xfId="0" applyNumberFormat="1" applyFont="1"/>
    <xf numFmtId="0" fontId="15" fillId="0" borderId="0" xfId="0" applyFont="1"/>
    <xf numFmtId="0" fontId="15" fillId="0" borderId="0" xfId="0" pivotButton="1" applyFont="1"/>
    <xf numFmtId="0" fontId="15" fillId="0" borderId="0" xfId="0" applyFont="1" applyAlignment="1">
      <alignment horizontal="left"/>
    </xf>
    <xf numFmtId="14" fontId="0" fillId="0" borderId="0" xfId="0" applyNumberFormat="1" applyProtection="1"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7" fillId="0" borderId="0" xfId="0" applyFont="1" applyAlignment="1">
      <alignment wrapText="1"/>
    </xf>
    <xf numFmtId="164" fontId="7" fillId="4" borderId="1" xfId="0" applyNumberFormat="1" applyFont="1" applyFill="1" applyBorder="1" applyAlignment="1" applyProtection="1">
      <alignment horizontal="center" vertical="center" wrapText="1"/>
    </xf>
    <xf numFmtId="164" fontId="0" fillId="4" borderId="1" xfId="0" applyNumberFormat="1" applyFill="1" applyBorder="1" applyProtection="1"/>
    <xf numFmtId="164" fontId="0" fillId="0" borderId="0" xfId="0" applyNumberFormat="1" applyProtection="1"/>
    <xf numFmtId="164" fontId="12" fillId="7" borderId="1" xfId="0" applyNumberFormat="1" applyFont="1" applyFill="1" applyBorder="1" applyProtection="1"/>
    <xf numFmtId="14" fontId="17" fillId="0" borderId="1" xfId="0" applyNumberFormat="1" applyFont="1" applyBorder="1" applyAlignment="1" applyProtection="1">
      <alignment horizontal="center" vertical="center" wrapText="1"/>
      <protection locked="0"/>
    </xf>
    <xf numFmtId="14" fontId="13" fillId="5" borderId="1" xfId="0" applyNumberFormat="1" applyFont="1" applyFill="1" applyBorder="1" applyAlignment="1" applyProtection="1">
      <alignment horizontal="center"/>
      <protection locked="0"/>
    </xf>
    <xf numFmtId="14" fontId="18" fillId="0" borderId="1" xfId="0" applyNumberFormat="1" applyFont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4" fontId="19" fillId="6" borderId="1" xfId="0" applyNumberFormat="1" applyFont="1" applyFill="1" applyBorder="1" applyAlignment="1" applyProtection="1">
      <alignment horizontal="center" vertical="center" wrapText="1"/>
    </xf>
    <xf numFmtId="164" fontId="19" fillId="7" borderId="1" xfId="0" applyNumberFormat="1" applyFont="1" applyFill="1" applyBorder="1" applyProtection="1"/>
    <xf numFmtId="164" fontId="20" fillId="6" borderId="1" xfId="0" applyNumberFormat="1" applyFont="1" applyFill="1" applyBorder="1" applyProtection="1"/>
    <xf numFmtId="164" fontId="20" fillId="6" borderId="0" xfId="0" applyNumberFormat="1" applyFont="1" applyFill="1" applyProtection="1"/>
    <xf numFmtId="0" fontId="21" fillId="0" borderId="0" xfId="0" applyFont="1"/>
    <xf numFmtId="0" fontId="0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16" fillId="0" borderId="0" xfId="0" applyFont="1" applyAlignment="1">
      <alignment horizontal="right"/>
    </xf>
    <xf numFmtId="164" fontId="7" fillId="7" borderId="1" xfId="0" applyNumberFormat="1" applyFont="1" applyFill="1" applyBorder="1" applyAlignment="1" applyProtection="1">
      <alignment horizontal="center" vertical="center" wrapText="1"/>
    </xf>
    <xf numFmtId="164" fontId="0" fillId="7" borderId="0" xfId="0" applyNumberFormat="1" applyFill="1" applyProtection="1"/>
    <xf numFmtId="0" fontId="0" fillId="0" borderId="3" xfId="0" applyFill="1" applyBorder="1" applyProtection="1">
      <protection locked="0"/>
    </xf>
    <xf numFmtId="0" fontId="0" fillId="0" borderId="0" xfId="0" applyBorder="1"/>
    <xf numFmtId="0" fontId="0" fillId="0" borderId="0" xfId="0" applyFill="1" applyBorder="1" applyProtection="1">
      <protection locked="0"/>
    </xf>
    <xf numFmtId="0" fontId="0" fillId="8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0" borderId="0" xfId="0" applyFont="1" applyBorder="1"/>
    <xf numFmtId="0" fontId="6" fillId="0" borderId="0" xfId="0" applyFont="1"/>
    <xf numFmtId="0" fontId="22" fillId="0" borderId="0" xfId="0" applyFont="1" applyBorder="1"/>
    <xf numFmtId="0" fontId="23" fillId="0" borderId="0" xfId="0" applyFont="1" applyBorder="1"/>
    <xf numFmtId="0" fontId="24" fillId="0" borderId="0" xfId="0" applyFont="1" applyBorder="1"/>
    <xf numFmtId="0" fontId="12" fillId="0" borderId="1" xfId="0" applyFont="1" applyBorder="1" applyAlignment="1" applyProtection="1">
      <alignment horizontal="center" vertical="center" wrapText="1"/>
      <protection locked="0"/>
    </xf>
    <xf numFmtId="0" fontId="25" fillId="0" borderId="1" xfId="0" applyFont="1" applyBorder="1" applyProtection="1">
      <protection locked="0"/>
    </xf>
    <xf numFmtId="0" fontId="25" fillId="0" borderId="0" xfId="0" applyFont="1" applyProtection="1">
      <protection locked="0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26" fillId="0" borderId="0" xfId="0" applyFont="1" applyBorder="1"/>
    <xf numFmtId="14" fontId="22" fillId="0" borderId="0" xfId="0" applyNumberFormat="1" applyFont="1" applyBorder="1" applyAlignment="1">
      <alignment horizontal="center"/>
    </xf>
    <xf numFmtId="14" fontId="1" fillId="0" borderId="0" xfId="0" applyNumberFormat="1" applyFont="1"/>
    <xf numFmtId="164" fontId="2" fillId="0" borderId="0" xfId="0" applyNumberFormat="1" applyFont="1"/>
    <xf numFmtId="14" fontId="22" fillId="0" borderId="12" xfId="0" applyNumberFormat="1" applyFont="1" applyBorder="1" applyAlignment="1">
      <alignment horizontal="center"/>
    </xf>
    <xf numFmtId="14" fontId="22" fillId="0" borderId="13" xfId="0" applyNumberFormat="1" applyFont="1" applyBorder="1" applyAlignment="1">
      <alignment horizontal="center"/>
    </xf>
    <xf numFmtId="14" fontId="22" fillId="0" borderId="14" xfId="0" applyNumberFormat="1" applyFont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6" borderId="0" xfId="0" applyFill="1" applyAlignment="1">
      <alignment horizontal="center" wrapText="1"/>
    </xf>
    <xf numFmtId="14" fontId="1" fillId="6" borderId="0" xfId="0" applyNumberFormat="1" applyFont="1" applyFill="1" applyAlignment="1">
      <alignment horizontal="center" wrapText="1"/>
    </xf>
    <xf numFmtId="164" fontId="2" fillId="6" borderId="0" xfId="0" applyNumberFormat="1" applyFont="1" applyFill="1" applyAlignment="1">
      <alignment horizontal="center" wrapText="1"/>
    </xf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27" fillId="0" borderId="0" xfId="0" applyFont="1"/>
    <xf numFmtId="0" fontId="4" fillId="0" borderId="0" xfId="0" applyFont="1"/>
    <xf numFmtId="0" fontId="28" fillId="0" borderId="0" xfId="0" applyFont="1"/>
    <xf numFmtId="0" fontId="29" fillId="0" borderId="0" xfId="0" applyFont="1" applyBorder="1"/>
  </cellXfs>
  <cellStyles count="1">
    <cellStyle name="Обычный" xfId="0" builtinId="0"/>
  </cellStyles>
  <dxfs count="14"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65" formatCode="[$-419]d\ mmm\ yy;@"/>
    </dxf>
    <dxf>
      <numFmt numFmtId="19" formatCode="dd/mm/yyyy"/>
    </dxf>
    <dxf>
      <numFmt numFmtId="165" formatCode="[$-419]d\ mmm\ yy;@"/>
    </dxf>
    <dxf>
      <numFmt numFmtId="165" formatCode="[$-419]d\ mmm\ yy;@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colors>
    <mruColors>
      <color rgb="FF0000CC"/>
      <color rgb="FFCCFFCC"/>
      <color rgb="FF0000FF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38100</xdr:colOff>
          <xdr:row>18</xdr:row>
          <xdr:rowOff>19050</xdr:rowOff>
        </xdr:from>
        <xdr:to>
          <xdr:col>36</xdr:col>
          <xdr:colOff>85725</xdr:colOff>
          <xdr:row>19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Рутковская Ольга Александровна" refreshedDate="45167.465525694446" createdVersion="7" refreshedVersion="7" minRefreshableVersion="3" recordCount="3504" xr:uid="{00000000-000A-0000-FFFF-FFFF00000000}">
  <cacheSource type="worksheet">
    <worksheetSource ref="A1:P1048576" sheet="Учет"/>
  </cacheSource>
  <cacheFields count="21">
    <cacheField name="Дата" numFmtId="14">
      <sharedItems containsNonDate="0" containsDate="1" containsString="0" containsBlank="1" minDate="2023-08-02T00:00:00" maxDate="2023-08-24T00:00:00" count="19">
        <d v="2023-08-02T00:00:00"/>
        <d v="2023-08-03T00:00:00"/>
        <d v="2023-08-04T00:00:00"/>
        <d v="2023-08-05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m/>
      </sharedItems>
    </cacheField>
    <cacheField name="Приход касса" numFmtId="0">
      <sharedItems containsString="0" containsBlank="1" containsNumber="1" containsInteger="1" minValue="200000" maxValue="1000000"/>
    </cacheField>
    <cacheField name="Приход карта Макс" numFmtId="0">
      <sharedItems containsString="0" containsBlank="1" containsNumber="1" containsInteger="1" minValue="86855" maxValue="150000"/>
    </cacheField>
    <cacheField name="Приход карта Эдик" numFmtId="0">
      <sharedItems containsString="0" containsBlank="1" containsNumber="1" containsInteger="1" minValue="7855" maxValue="300000"/>
    </cacheField>
    <cacheField name="Приход карта Аня" numFmtId="0">
      <sharedItems containsString="0" containsBlank="1" containsNumber="1" containsInteger="1" minValue="100000" maxValue="100000"/>
    </cacheField>
    <cacheField name="Приход другое" numFmtId="0">
      <sharedItems containsString="0" containsBlank="1" containsNumber="1" containsInteger="1" minValue="500000" maxValue="500000"/>
    </cacheField>
    <cacheField name="Приход всего" numFmtId="0">
      <sharedItems containsString="0" containsBlank="1" containsNumber="1" containsInteger="1" minValue="0" maxValue="1000000"/>
    </cacheField>
    <cacheField name="Расход всего" numFmtId="0">
      <sharedItems containsString="0" containsBlank="1" containsNumber="1" minValue="419" maxValue="707750"/>
    </cacheField>
    <cacheField name="Остаток после операции" numFmtId="164">
      <sharedItems containsString="0" containsBlank="1" containsNumber="1" minValue="349526.07999999996" maxValue="1794355"/>
    </cacheField>
    <cacheField name="Сальдо на конец дня" numFmtId="164">
      <sharedItems containsBlank="1" containsMixedTypes="1" containsNumber="1" minValue="349526.07999999996" maxValue="1403205"/>
    </cacheField>
    <cacheField name="Вид платежа" numFmtId="0">
      <sharedItems containsBlank="1" count="94">
        <s v="остаток на начало"/>
        <s v="Услуга"/>
        <s v="Материал"/>
        <s v="ЗП"/>
        <s v="Прочее"/>
        <s v="Аренда оборудования"/>
        <s v="Внутреннее перемещение"/>
        <s v="Возврат ДС"/>
        <s v="Налог"/>
        <s v="Аванс"/>
        <m/>
        <s v="топливо Антон" u="1"/>
        <s v="Аня на карту расчеты" u="1"/>
        <s v="Макс электрик возврат" u="1"/>
        <s v="газ " u="1"/>
        <s v="Бахрум" u="1"/>
        <s v="Артур на машину" u="1"/>
        <s v="Бахрум Равиль КП" u="1"/>
        <s v="ЗП Жека" u="1"/>
        <s v="Антон топливо" u="1"/>
        <s v="доставкка Технониколь" u="1"/>
        <s v="Юра магазин" u="1"/>
        <s v="доставка бут" u="1"/>
        <s v="расходники" u="1"/>
        <s v="массаж" u="1"/>
        <s v="ЗП Артур" u="1"/>
        <s v="ЗП Илья " u="1"/>
        <s v="Джони аванс" u="1"/>
        <s v="газ" u="1"/>
        <s v="Илья дорога" u="1"/>
        <s v="массаж Аня, Макс, артур" u="1"/>
        <s v="обработка собак" u="1"/>
        <s v="бетон" u="1"/>
        <s v="ЗП Макс" u="1"/>
        <s v="Рустем JCB" u="1"/>
        <s v="ЗП Руслан " u="1"/>
        <s v="Мост" u="1"/>
        <s v="арматура " u="1"/>
        <s v="на машину" u="1"/>
        <s v="Джонни" u="1"/>
        <s v="ЗП Макс электрик" u="1"/>
        <s v="Антон ЗП" u="1"/>
        <s v="Саша Докуч" u="1"/>
        <s v="налог Антон" u="1"/>
        <s v="манирулятор" u="1"/>
        <s v="массаж Аня,Артур, Макс" u="1"/>
        <s v="техника" u="1"/>
        <s v="перевоз вагончиков манипулятор" u="1"/>
        <s v="уборка дома" u="1"/>
        <s v="доставка Технониколь" u="1"/>
        <s v="Жека ЗП" u="1"/>
        <s v="ЗП Джони" u="1"/>
        <s v="Илья плитка" u="1"/>
        <s v="Макс электрик" u="1"/>
        <s v="продукты" u="1"/>
        <s v="Коляны ЗП" u="1"/>
        <s v="ЗП Эдик" u="1"/>
        <s v="ЗП Илья" u="1"/>
        <s v="ремонт автобуса" u="1"/>
        <s v="камни для шлифовки" u="1"/>
        <s v=" " u="1"/>
        <s v="Руслан бут" u="1"/>
        <s v="топливо" u="1"/>
        <s v="ЗП Руслан" u="1"/>
        <s v="Эдик ЗП" u="1"/>
        <s v="ЗП Эдик Губернатор" u="1"/>
        <s v="бут" u="1"/>
        <s v="налог Аня" u="1"/>
        <s v="ЗП Алексей" u="1"/>
        <s v="карта Макс" u="1"/>
        <s v="Аня ЗП" u="1"/>
        <s v="ЗП Саша Докуч" u="1"/>
        <s v="обработка для собак" u="1"/>
        <s v="ЗП Джонни" u="1"/>
        <s v="ЗП Аня" u="1"/>
        <s v="ЗП Руслан бутовщик" u="1"/>
        <s v="доставка арматуры" u="1"/>
        <s v="перевод на карту Ани" u="1"/>
        <s v="манипулятор доставка арматуры" u="1"/>
        <s v="миксер" u="1"/>
        <s v="пиво ИИ" u="1"/>
        <s v="налог Эдик" u="1"/>
        <s v="Эдик Губернатор" u="1"/>
        <s v="перевод на карту Макс" u="1"/>
        <s v="ЗП Коляны" u="1"/>
        <s v="Массаж Аня,Макс, Артур" u="1"/>
        <s v="перевоз патио манипулятор" u="1"/>
        <s v="вывоз мусора" u="1"/>
        <s v="Артур ЗП" u="1"/>
        <s v="ЗП Антон" u="1"/>
        <s v="аванс техника" u="1"/>
        <s v="ЗП Бахрум" u="1"/>
        <s v="вывоз мусора мал. дом" u="1"/>
        <s v="Джонни заливка подбет" u="1"/>
      </sharedItems>
    </cacheField>
    <cacheField name="Уточнение платежа (кому , наим.материала или услуги и т.д.)" numFmtId="0">
      <sharedItems containsBlank="1" count="61">
        <m/>
        <s v="доставка арматуры"/>
        <s v="бут"/>
        <s v=" Артур"/>
        <s v="обработка собак"/>
        <s v="техника"/>
        <s v=" Бахрум"/>
        <s v="массаж Аня, Макс, артур"/>
        <s v="миксер"/>
        <s v=" Аня"/>
        <s v="перевод на карту Ани"/>
        <s v="продукты"/>
        <s v="Юра магазин"/>
        <s v="бетон"/>
        <s v=" Джонни"/>
        <s v="перевод на карту Макс"/>
        <s v=" Эдик Губернатор"/>
        <s v=" Илья"/>
        <s v=" Руслан "/>
        <s v="пиво ИИ"/>
        <s v=" Эдик"/>
        <s v="на машину"/>
        <s v="топливо"/>
        <s v="доставкка Технониколь"/>
        <s v=" Коляны"/>
        <s v="доставка бут"/>
        <s v=" Джони"/>
        <s v=" Илья "/>
        <s v=" Антон"/>
        <s v=" Саша Докуч"/>
        <s v=" Алексей"/>
        <s v="вывоз мусора"/>
        <s v="массаж Аня,Артур, Макс"/>
        <s v=" Макс электрик"/>
        <s v="камни для шлифовки"/>
        <s v=" Жека"/>
        <s v="Макс электрик"/>
        <s v="уборка дома"/>
        <s v="перевоз патио манипулятор"/>
        <s v="газ"/>
        <s v="Рустем JCB"/>
        <s v="Антон топливо"/>
        <s v="ремонт автобуса"/>
        <s v="Массаж Аня,Макс, Артур"/>
        <s v="вывоз мусора мал. дом"/>
        <s v=" Руслан"/>
        <s v=" Макс"/>
        <s v="Макс электрик возврат"/>
        <s v="налог Аня"/>
        <s v="налог Эдик"/>
        <s v="налог Антон"/>
        <s v="газ "/>
        <s v="манипулятор доставка арматуры"/>
        <s v="манирулятор"/>
        <s v="арматура "/>
        <s v="перевоз вагончиков манипулятор"/>
        <s v="расходники"/>
        <s v="топливо Антон"/>
        <s v=" Руслан бутовщик"/>
        <s v="Джони аванс"/>
        <s v="аванс техника"/>
      </sharedItems>
    </cacheField>
    <cacheField name="Объект" numFmtId="0">
      <sharedItems containsBlank="1" containsMixedTypes="1" containsNumber="1" containsInteger="1" minValue="7855" maxValue="300000" count="20">
        <s v="остаток на начало"/>
        <s v="Агаев"/>
        <s v="КП"/>
        <s v="ЗП"/>
        <s v="Анна"/>
        <s v="Равиль дом 1"/>
        <m/>
        <s v="Ольга"/>
        <s v="Равиль баня"/>
        <s v="Мост"/>
        <s v="Володя Бур"/>
        <s v="Равиль дом 2"/>
        <s v="Ник Ник"/>
        <s v="Ирина мед. Ушко"/>
        <s v="общие расходы"/>
        <s v="личные Макс"/>
        <s v="КП офис"/>
        <n v="190500" u="1"/>
        <n v="7855" u="1"/>
        <n v="300000" u="1"/>
      </sharedItems>
    </cacheField>
    <cacheField name="Получатель " numFmtId="0">
      <sharedItems containsBlank="1" count="8">
        <m/>
        <s v="Артур "/>
        <s v="Аня"/>
        <s v="Макс"/>
        <s v="ЗАЙМ"/>
        <s v="Эдик"/>
        <s v="Электрик М"/>
        <s v="Антон"/>
      </sharedItems>
    </cacheField>
    <cacheField name="Откуда списаны ДС" numFmtId="0">
      <sharedItems containsBlank="1"/>
    </cacheField>
    <cacheField name="Примечание" numFmtId="0">
      <sharedItems containsBlank="1" containsMixedTypes="1" containsNumber="1" containsInteger="1" minValue="100000" maxValue="100000" count="10">
        <m/>
        <s v="заливка подбетонки"/>
        <s v="плитка"/>
        <s v="бут"/>
        <s v="покраска, подшива"/>
        <s v="дорога"/>
        <s v="кровля"/>
        <s v="гидроизоляция"/>
        <s v="массаж"/>
        <n v="100000" u="1"/>
      </sharedItems>
    </cacheField>
    <cacheField name="Поле1" numFmtId="0" formula="#NAME?-#NAME?" databaseField="0"/>
    <cacheField name="Сальдо" numFmtId="0" formula="#NAME?-#NAME?" databaseField="0"/>
    <cacheField name="Ldb;tybt gj j,]trne" numFmtId="0" formula="#NAME?-#NAME?" databaseField="0"/>
    <cacheField name="Движение по объекту" numFmtId="0" formula="#NAME?-#NAME?" databaseField="0"/>
    <cacheField name="Движение2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4">
  <r>
    <x v="0"/>
    <n v="470000"/>
    <m/>
    <n v="7855"/>
    <m/>
    <m/>
    <n v="477855"/>
    <m/>
    <n v="477855"/>
    <n v="477855"/>
    <x v="0"/>
    <x v="0"/>
    <x v="0"/>
    <x v="0"/>
    <m/>
    <x v="0"/>
  </r>
  <r>
    <x v="1"/>
    <m/>
    <m/>
    <m/>
    <m/>
    <m/>
    <n v="0"/>
    <n v="11000"/>
    <n v="466855"/>
    <s v=""/>
    <x v="1"/>
    <x v="1"/>
    <x v="1"/>
    <x v="1"/>
    <s v="Касса"/>
    <x v="0"/>
  </r>
  <r>
    <x v="1"/>
    <m/>
    <m/>
    <m/>
    <m/>
    <m/>
    <n v="0"/>
    <n v="63000"/>
    <n v="403855"/>
    <s v=""/>
    <x v="2"/>
    <x v="2"/>
    <x v="2"/>
    <x v="1"/>
    <s v="Касса"/>
    <x v="0"/>
  </r>
  <r>
    <x v="1"/>
    <m/>
    <m/>
    <m/>
    <m/>
    <m/>
    <n v="0"/>
    <n v="17000"/>
    <n v="386855"/>
    <s v=""/>
    <x v="3"/>
    <x v="3"/>
    <x v="3"/>
    <x v="1"/>
    <s v="Касса"/>
    <x v="0"/>
  </r>
  <r>
    <x v="1"/>
    <n v="500000"/>
    <m/>
    <m/>
    <m/>
    <m/>
    <n v="500000"/>
    <m/>
    <n v="886855"/>
    <s v=""/>
    <x v="4"/>
    <x v="0"/>
    <x v="4"/>
    <x v="0"/>
    <m/>
    <x v="0"/>
  </r>
  <r>
    <x v="1"/>
    <m/>
    <m/>
    <m/>
    <m/>
    <m/>
    <n v="0"/>
    <n v="19000"/>
    <n v="867855"/>
    <s v=""/>
    <x v="1"/>
    <x v="4"/>
    <x v="3"/>
    <x v="2"/>
    <s v="Касса"/>
    <x v="0"/>
  </r>
  <r>
    <x v="1"/>
    <m/>
    <m/>
    <m/>
    <m/>
    <m/>
    <n v="0"/>
    <n v="71500"/>
    <n v="796355"/>
    <s v=""/>
    <x v="5"/>
    <x v="5"/>
    <x v="1"/>
    <x v="1"/>
    <s v="Касса"/>
    <x v="0"/>
  </r>
  <r>
    <x v="1"/>
    <m/>
    <m/>
    <m/>
    <m/>
    <m/>
    <n v="0"/>
    <n v="2000"/>
    <n v="794355"/>
    <n v="794355"/>
    <x v="3"/>
    <x v="6"/>
    <x v="5"/>
    <x v="1"/>
    <s v="Касса"/>
    <x v="0"/>
  </r>
  <r>
    <x v="2"/>
    <n v="1000000"/>
    <m/>
    <m/>
    <m/>
    <m/>
    <n v="1000000"/>
    <m/>
    <n v="1794355"/>
    <s v=""/>
    <x v="4"/>
    <x v="0"/>
    <x v="1"/>
    <x v="0"/>
    <m/>
    <x v="0"/>
  </r>
  <r>
    <x v="2"/>
    <m/>
    <m/>
    <m/>
    <m/>
    <m/>
    <n v="0"/>
    <n v="7000"/>
    <n v="1787355"/>
    <s v=""/>
    <x v="1"/>
    <x v="7"/>
    <x v="3"/>
    <x v="0"/>
    <s v="Касса"/>
    <x v="0"/>
  </r>
  <r>
    <x v="2"/>
    <m/>
    <m/>
    <m/>
    <m/>
    <m/>
    <n v="0"/>
    <n v="18000"/>
    <n v="1769355"/>
    <s v=""/>
    <x v="2"/>
    <x v="8"/>
    <x v="1"/>
    <x v="1"/>
    <s v="Касса"/>
    <x v="0"/>
  </r>
  <r>
    <x v="2"/>
    <m/>
    <m/>
    <m/>
    <m/>
    <m/>
    <n v="0"/>
    <n v="200000"/>
    <n v="1569355"/>
    <s v=""/>
    <x v="3"/>
    <x v="9"/>
    <x v="3"/>
    <x v="2"/>
    <s v="Касса"/>
    <x v="0"/>
  </r>
  <r>
    <x v="2"/>
    <m/>
    <m/>
    <m/>
    <n v="100000"/>
    <m/>
    <n v="100000"/>
    <n v="100000"/>
    <n v="1569355"/>
    <s v=""/>
    <x v="6"/>
    <x v="10"/>
    <x v="6"/>
    <x v="2"/>
    <s v="Касса"/>
    <x v="0"/>
  </r>
  <r>
    <x v="2"/>
    <m/>
    <m/>
    <m/>
    <m/>
    <m/>
    <n v="0"/>
    <n v="20000"/>
    <n v="1549355"/>
    <s v=""/>
    <x v="2"/>
    <x v="11"/>
    <x v="3"/>
    <x v="0"/>
    <s v="Касса"/>
    <x v="0"/>
  </r>
  <r>
    <x v="2"/>
    <m/>
    <m/>
    <m/>
    <m/>
    <m/>
    <n v="0"/>
    <n v="70000"/>
    <n v="1479355"/>
    <s v=""/>
    <x v="2"/>
    <x v="12"/>
    <x v="6"/>
    <x v="0"/>
    <s v="Касса"/>
    <x v="0"/>
  </r>
  <r>
    <x v="2"/>
    <m/>
    <m/>
    <m/>
    <m/>
    <m/>
    <n v="0"/>
    <n v="707750"/>
    <n v="771605"/>
    <s v=""/>
    <x v="2"/>
    <x v="13"/>
    <x v="1"/>
    <x v="1"/>
    <s v="Касса"/>
    <x v="0"/>
  </r>
  <r>
    <x v="2"/>
    <m/>
    <m/>
    <m/>
    <m/>
    <m/>
    <n v="0"/>
    <n v="6000"/>
    <n v="765605"/>
    <s v=""/>
    <x v="3"/>
    <x v="14"/>
    <x v="1"/>
    <x v="1"/>
    <s v="Касса"/>
    <x v="1"/>
  </r>
  <r>
    <x v="2"/>
    <m/>
    <m/>
    <n v="300000"/>
    <m/>
    <m/>
    <n v="300000"/>
    <m/>
    <n v="1065605"/>
    <n v="1065605"/>
    <x v="4"/>
    <x v="0"/>
    <x v="7"/>
    <x v="0"/>
    <m/>
    <x v="0"/>
  </r>
  <r>
    <x v="3"/>
    <m/>
    <n v="100000"/>
    <m/>
    <m/>
    <m/>
    <n v="100000"/>
    <n v="100000"/>
    <n v="1065605"/>
    <s v=""/>
    <x v="6"/>
    <x v="15"/>
    <x v="6"/>
    <x v="3"/>
    <s v="Карта Эдик"/>
    <x v="0"/>
  </r>
  <r>
    <x v="3"/>
    <m/>
    <m/>
    <m/>
    <m/>
    <m/>
    <n v="0"/>
    <n v="7000"/>
    <n v="1058605"/>
    <s v=""/>
    <x v="3"/>
    <x v="16"/>
    <x v="6"/>
    <x v="0"/>
    <s v="Карта Эдик"/>
    <x v="0"/>
  </r>
  <r>
    <x v="3"/>
    <m/>
    <m/>
    <m/>
    <m/>
    <m/>
    <n v="0"/>
    <n v="30000"/>
    <n v="1028605"/>
    <s v=""/>
    <x v="3"/>
    <x v="17"/>
    <x v="8"/>
    <x v="0"/>
    <s v="Карта Эдик"/>
    <x v="2"/>
  </r>
  <r>
    <x v="3"/>
    <m/>
    <m/>
    <m/>
    <m/>
    <m/>
    <n v="0"/>
    <n v="26000"/>
    <n v="1002605"/>
    <s v=""/>
    <x v="3"/>
    <x v="18"/>
    <x v="2"/>
    <x v="0"/>
    <s v="Карта Эдик"/>
    <x v="3"/>
  </r>
  <r>
    <x v="3"/>
    <m/>
    <m/>
    <m/>
    <m/>
    <m/>
    <n v="0"/>
    <n v="50000"/>
    <n v="952605"/>
    <s v=""/>
    <x v="4"/>
    <x v="0"/>
    <x v="9"/>
    <x v="4"/>
    <s v="Карта Эдик"/>
    <x v="0"/>
  </r>
  <r>
    <x v="3"/>
    <m/>
    <m/>
    <m/>
    <m/>
    <m/>
    <n v="0"/>
    <n v="1500"/>
    <n v="951105"/>
    <s v=""/>
    <x v="2"/>
    <x v="19"/>
    <x v="6"/>
    <x v="5"/>
    <s v="Карта Эдик"/>
    <x v="0"/>
  </r>
  <r>
    <x v="3"/>
    <m/>
    <m/>
    <m/>
    <m/>
    <m/>
    <n v="0"/>
    <n v="1500"/>
    <n v="949605"/>
    <s v=""/>
    <x v="3"/>
    <x v="20"/>
    <x v="6"/>
    <x v="5"/>
    <s v="Карта Эдик"/>
    <x v="0"/>
  </r>
  <r>
    <x v="3"/>
    <m/>
    <m/>
    <m/>
    <m/>
    <m/>
    <n v="0"/>
    <n v="17000"/>
    <n v="932605"/>
    <s v=""/>
    <x v="5"/>
    <x v="21"/>
    <x v="6"/>
    <x v="1"/>
    <s v="Карта Эдик"/>
    <x v="0"/>
  </r>
  <r>
    <x v="3"/>
    <m/>
    <m/>
    <m/>
    <m/>
    <m/>
    <n v="0"/>
    <n v="11000"/>
    <n v="921605"/>
    <s v=""/>
    <x v="2"/>
    <x v="22"/>
    <x v="6"/>
    <x v="1"/>
    <s v="Карта Эдик"/>
    <x v="0"/>
  </r>
  <r>
    <x v="3"/>
    <m/>
    <m/>
    <n v="190500"/>
    <m/>
    <m/>
    <n v="190500"/>
    <m/>
    <n v="1112105"/>
    <n v="1112105"/>
    <x v="4"/>
    <x v="0"/>
    <x v="7"/>
    <x v="0"/>
    <m/>
    <x v="0"/>
  </r>
  <r>
    <x v="4"/>
    <m/>
    <m/>
    <m/>
    <m/>
    <m/>
    <n v="0"/>
    <n v="6500"/>
    <n v="1105605"/>
    <s v=""/>
    <x v="1"/>
    <x v="23"/>
    <x v="1"/>
    <x v="3"/>
    <s v="Касса"/>
    <x v="0"/>
  </r>
  <r>
    <x v="4"/>
    <m/>
    <m/>
    <m/>
    <m/>
    <m/>
    <n v="0"/>
    <n v="20000"/>
    <n v="1085605"/>
    <s v=""/>
    <x v="3"/>
    <x v="24"/>
    <x v="1"/>
    <x v="1"/>
    <s v="Касса"/>
    <x v="0"/>
  </r>
  <r>
    <x v="4"/>
    <m/>
    <m/>
    <m/>
    <m/>
    <m/>
    <n v="0"/>
    <n v="30000"/>
    <n v="1055605"/>
    <s v=""/>
    <x v="4"/>
    <x v="0"/>
    <x v="9"/>
    <x v="1"/>
    <s v="Касса"/>
    <x v="0"/>
  </r>
  <r>
    <x v="4"/>
    <m/>
    <m/>
    <m/>
    <m/>
    <m/>
    <n v="0"/>
    <n v="1000"/>
    <n v="1054605"/>
    <s v=""/>
    <x v="3"/>
    <x v="9"/>
    <x v="3"/>
    <x v="2"/>
    <s v="Касса"/>
    <x v="0"/>
  </r>
  <r>
    <x v="4"/>
    <m/>
    <n v="86855"/>
    <m/>
    <m/>
    <m/>
    <n v="86855"/>
    <n v="86855"/>
    <n v="1054605"/>
    <s v=""/>
    <x v="6"/>
    <x v="15"/>
    <x v="6"/>
    <x v="3"/>
    <s v="Карта Эдик"/>
    <x v="0"/>
  </r>
  <r>
    <x v="4"/>
    <m/>
    <n v="150000"/>
    <m/>
    <m/>
    <m/>
    <n v="150000"/>
    <n v="150000"/>
    <n v="1054605"/>
    <n v="1054605"/>
    <x v="6"/>
    <x v="15"/>
    <x v="6"/>
    <x v="3"/>
    <s v="Карта Эдик"/>
    <x v="0"/>
  </r>
  <r>
    <x v="5"/>
    <m/>
    <m/>
    <m/>
    <m/>
    <m/>
    <n v="0"/>
    <n v="39800"/>
    <n v="1014805"/>
    <s v=""/>
    <x v="1"/>
    <x v="25"/>
    <x v="2"/>
    <x v="2"/>
    <s v="Карта Аня"/>
    <x v="0"/>
  </r>
  <r>
    <x v="5"/>
    <n v="317200"/>
    <m/>
    <m/>
    <m/>
    <m/>
    <n v="317200"/>
    <m/>
    <n v="1332005"/>
    <s v=""/>
    <x v="4"/>
    <x v="0"/>
    <x v="10"/>
    <x v="0"/>
    <m/>
    <x v="4"/>
  </r>
  <r>
    <x v="5"/>
    <m/>
    <m/>
    <m/>
    <m/>
    <m/>
    <n v="0"/>
    <n v="143800"/>
    <n v="1188205"/>
    <s v=""/>
    <x v="3"/>
    <x v="6"/>
    <x v="5"/>
    <x v="1"/>
    <s v="Касса"/>
    <x v="0"/>
  </r>
  <r>
    <x v="5"/>
    <m/>
    <m/>
    <m/>
    <m/>
    <m/>
    <n v="0"/>
    <n v="100000"/>
    <n v="1088205"/>
    <s v=""/>
    <x v="3"/>
    <x v="26"/>
    <x v="11"/>
    <x v="1"/>
    <s v="Касса"/>
    <x v="0"/>
  </r>
  <r>
    <x v="5"/>
    <m/>
    <m/>
    <m/>
    <m/>
    <m/>
    <n v="0"/>
    <n v="15000"/>
    <n v="1073205"/>
    <s v=""/>
    <x v="3"/>
    <x v="6"/>
    <x v="5"/>
    <x v="1"/>
    <s v="Касса"/>
    <x v="0"/>
  </r>
  <r>
    <x v="5"/>
    <n v="330000"/>
    <m/>
    <m/>
    <m/>
    <m/>
    <n v="330000"/>
    <m/>
    <n v="1403205"/>
    <n v="1403205"/>
    <x v="4"/>
    <x v="0"/>
    <x v="1"/>
    <x v="0"/>
    <m/>
    <x v="0"/>
  </r>
  <r>
    <x v="6"/>
    <m/>
    <m/>
    <m/>
    <m/>
    <m/>
    <n v="0"/>
    <n v="3000"/>
    <n v="1400205"/>
    <s v=""/>
    <x v="3"/>
    <x v="27"/>
    <x v="6"/>
    <x v="0"/>
    <s v="Касса"/>
    <x v="5"/>
  </r>
  <r>
    <x v="6"/>
    <m/>
    <m/>
    <m/>
    <m/>
    <m/>
    <n v="0"/>
    <n v="10000"/>
    <n v="1390205"/>
    <s v=""/>
    <x v="3"/>
    <x v="28"/>
    <x v="6"/>
    <x v="0"/>
    <s v="Касса"/>
    <x v="0"/>
  </r>
  <r>
    <x v="6"/>
    <m/>
    <m/>
    <m/>
    <m/>
    <m/>
    <n v="0"/>
    <n v="250000"/>
    <n v="1140205"/>
    <s v=""/>
    <x v="3"/>
    <x v="29"/>
    <x v="6"/>
    <x v="0"/>
    <s v="Касса"/>
    <x v="0"/>
  </r>
  <r>
    <x v="6"/>
    <m/>
    <m/>
    <m/>
    <m/>
    <m/>
    <n v="0"/>
    <n v="5000"/>
    <n v="1135205"/>
    <s v=""/>
    <x v="3"/>
    <x v="30"/>
    <x v="12"/>
    <x v="0"/>
    <s v="Карта Эдик"/>
    <x v="6"/>
  </r>
  <r>
    <x v="6"/>
    <m/>
    <m/>
    <m/>
    <m/>
    <m/>
    <n v="0"/>
    <n v="2000"/>
    <n v="1133205"/>
    <s v=""/>
    <x v="1"/>
    <x v="31"/>
    <x v="8"/>
    <x v="0"/>
    <s v="Карта Эдик"/>
    <x v="0"/>
  </r>
  <r>
    <x v="6"/>
    <m/>
    <m/>
    <m/>
    <m/>
    <m/>
    <n v="0"/>
    <n v="10000"/>
    <n v="1123205"/>
    <n v="1123205"/>
    <x v="3"/>
    <x v="20"/>
    <x v="3"/>
    <x v="0"/>
    <s v="Карта Эдик"/>
    <x v="0"/>
  </r>
  <r>
    <x v="7"/>
    <m/>
    <m/>
    <m/>
    <m/>
    <m/>
    <n v="0"/>
    <n v="6000"/>
    <n v="1117205"/>
    <s v=""/>
    <x v="1"/>
    <x v="32"/>
    <x v="3"/>
    <x v="0"/>
    <s v="Касса"/>
    <x v="0"/>
  </r>
  <r>
    <x v="7"/>
    <m/>
    <m/>
    <m/>
    <m/>
    <m/>
    <n v="0"/>
    <n v="40000"/>
    <n v="1077205"/>
    <s v=""/>
    <x v="4"/>
    <x v="0"/>
    <x v="9"/>
    <x v="1"/>
    <s v="Касса"/>
    <x v="0"/>
  </r>
  <r>
    <x v="7"/>
    <m/>
    <m/>
    <m/>
    <m/>
    <m/>
    <n v="0"/>
    <n v="25000"/>
    <n v="1052205"/>
    <s v=""/>
    <x v="3"/>
    <x v="33"/>
    <x v="13"/>
    <x v="0"/>
    <s v="Касса"/>
    <x v="0"/>
  </r>
  <r>
    <x v="7"/>
    <m/>
    <m/>
    <m/>
    <m/>
    <m/>
    <n v="0"/>
    <n v="26500"/>
    <n v="1025705"/>
    <s v=""/>
    <x v="2"/>
    <x v="34"/>
    <x v="1"/>
    <x v="1"/>
    <s v="Касса"/>
    <x v="0"/>
  </r>
  <r>
    <x v="7"/>
    <m/>
    <m/>
    <m/>
    <m/>
    <m/>
    <n v="0"/>
    <n v="10000"/>
    <n v="1015705"/>
    <n v="1015705"/>
    <x v="3"/>
    <x v="35"/>
    <x v="10"/>
    <x v="0"/>
    <s v="Касса"/>
    <x v="0"/>
  </r>
  <r>
    <x v="8"/>
    <m/>
    <m/>
    <m/>
    <m/>
    <m/>
    <n v="0"/>
    <n v="10000"/>
    <n v="1005705"/>
    <s v=""/>
    <x v="3"/>
    <x v="16"/>
    <x v="6"/>
    <x v="0"/>
    <s v="Касса"/>
    <x v="0"/>
  </r>
  <r>
    <x v="8"/>
    <m/>
    <m/>
    <m/>
    <m/>
    <m/>
    <n v="0"/>
    <n v="30000"/>
    <n v="975705"/>
    <s v=""/>
    <x v="2"/>
    <x v="11"/>
    <x v="3"/>
    <x v="0"/>
    <s v="Касса"/>
    <x v="0"/>
  </r>
  <r>
    <x v="8"/>
    <m/>
    <m/>
    <m/>
    <m/>
    <m/>
    <n v="0"/>
    <n v="500000"/>
    <n v="475705"/>
    <n v="475705"/>
    <x v="1"/>
    <x v="36"/>
    <x v="6"/>
    <x v="4"/>
    <s v="Касса"/>
    <x v="0"/>
  </r>
  <r>
    <x v="9"/>
    <m/>
    <m/>
    <m/>
    <m/>
    <m/>
    <n v="0"/>
    <n v="2000"/>
    <n v="473705"/>
    <s v=""/>
    <x v="1"/>
    <x v="37"/>
    <x v="6"/>
    <x v="2"/>
    <s v="Касса"/>
    <x v="0"/>
  </r>
  <r>
    <x v="9"/>
    <m/>
    <m/>
    <m/>
    <m/>
    <m/>
    <n v="0"/>
    <n v="5000"/>
    <n v="468705"/>
    <s v=""/>
    <x v="2"/>
    <x v="22"/>
    <x v="14"/>
    <x v="1"/>
    <s v="Карта Аня"/>
    <x v="0"/>
  </r>
  <r>
    <x v="9"/>
    <m/>
    <m/>
    <m/>
    <m/>
    <m/>
    <n v="0"/>
    <n v="7000"/>
    <n v="461705"/>
    <n v="461705"/>
    <x v="1"/>
    <x v="38"/>
    <x v="2"/>
    <x v="0"/>
    <s v="Карта Аня"/>
    <x v="0"/>
  </r>
  <r>
    <x v="10"/>
    <m/>
    <m/>
    <m/>
    <m/>
    <m/>
    <n v="0"/>
    <n v="3500"/>
    <n v="458205"/>
    <s v=""/>
    <x v="2"/>
    <x v="39"/>
    <x v="1"/>
    <x v="1"/>
    <s v="Касса"/>
    <x v="0"/>
  </r>
  <r>
    <x v="10"/>
    <m/>
    <m/>
    <m/>
    <m/>
    <m/>
    <n v="0"/>
    <n v="16250"/>
    <n v="441955"/>
    <n v="441955"/>
    <x v="1"/>
    <x v="40"/>
    <x v="1"/>
    <x v="1"/>
    <s v="Карта Аня"/>
    <x v="0"/>
  </r>
  <r>
    <x v="11"/>
    <m/>
    <m/>
    <m/>
    <m/>
    <m/>
    <n v="0"/>
    <n v="2500"/>
    <n v="439455"/>
    <s v=""/>
    <x v="2"/>
    <x v="39"/>
    <x v="1"/>
    <x v="1"/>
    <s v="Касса"/>
    <x v="0"/>
  </r>
  <r>
    <x v="11"/>
    <n v="200000"/>
    <m/>
    <m/>
    <m/>
    <m/>
    <n v="200000"/>
    <m/>
    <n v="639455"/>
    <s v=""/>
    <x v="4"/>
    <x v="0"/>
    <x v="15"/>
    <x v="0"/>
    <m/>
    <x v="0"/>
  </r>
  <r>
    <x v="11"/>
    <m/>
    <m/>
    <m/>
    <m/>
    <m/>
    <n v="0"/>
    <n v="47258"/>
    <n v="592197"/>
    <s v=""/>
    <x v="3"/>
    <x v="33"/>
    <x v="1"/>
    <x v="2"/>
    <s v="Касса"/>
    <x v="0"/>
  </r>
  <r>
    <x v="11"/>
    <m/>
    <m/>
    <m/>
    <m/>
    <m/>
    <n v="0"/>
    <n v="2000"/>
    <n v="590197"/>
    <s v=""/>
    <x v="2"/>
    <x v="41"/>
    <x v="6"/>
    <x v="2"/>
    <s v="Касса"/>
    <x v="0"/>
  </r>
  <r>
    <x v="11"/>
    <m/>
    <m/>
    <m/>
    <m/>
    <m/>
    <n v="0"/>
    <n v="8200"/>
    <n v="581997"/>
    <s v=""/>
    <x v="1"/>
    <x v="42"/>
    <x v="14"/>
    <x v="1"/>
    <s v="Карта Аня"/>
    <x v="0"/>
  </r>
  <r>
    <x v="11"/>
    <m/>
    <m/>
    <m/>
    <m/>
    <m/>
    <n v="0"/>
    <n v="2200"/>
    <n v="579797"/>
    <n v="579797"/>
    <x v="3"/>
    <x v="9"/>
    <x v="3"/>
    <x v="2"/>
    <s v="Карта Аня"/>
    <x v="0"/>
  </r>
  <r>
    <x v="12"/>
    <m/>
    <m/>
    <m/>
    <m/>
    <m/>
    <n v="0"/>
    <n v="60000"/>
    <n v="519797"/>
    <s v=""/>
    <x v="3"/>
    <x v="24"/>
    <x v="1"/>
    <x v="1"/>
    <s v="Касса"/>
    <x v="7"/>
  </r>
  <r>
    <x v="12"/>
    <m/>
    <m/>
    <m/>
    <m/>
    <m/>
    <n v="0"/>
    <n v="6000"/>
    <n v="513797"/>
    <s v=""/>
    <x v="1"/>
    <x v="43"/>
    <x v="6"/>
    <x v="0"/>
    <s v="Касса"/>
    <x v="0"/>
  </r>
  <r>
    <x v="12"/>
    <m/>
    <m/>
    <m/>
    <m/>
    <m/>
    <n v="0"/>
    <n v="2000"/>
    <n v="511797"/>
    <n v="511797"/>
    <x v="1"/>
    <x v="44"/>
    <x v="6"/>
    <x v="0"/>
    <s v="Карта Аня"/>
    <x v="0"/>
  </r>
  <r>
    <x v="13"/>
    <m/>
    <m/>
    <m/>
    <m/>
    <m/>
    <n v="0"/>
    <n v="20000"/>
    <n v="491797"/>
    <s v=""/>
    <x v="3"/>
    <x v="45"/>
    <x v="2"/>
    <x v="0"/>
    <s v="Касса"/>
    <x v="3"/>
  </r>
  <r>
    <x v="13"/>
    <m/>
    <m/>
    <m/>
    <m/>
    <m/>
    <n v="0"/>
    <n v="4000"/>
    <n v="487797"/>
    <s v=""/>
    <x v="3"/>
    <x v="46"/>
    <x v="6"/>
    <x v="0"/>
    <s v="Касса"/>
    <x v="0"/>
  </r>
  <r>
    <x v="13"/>
    <m/>
    <m/>
    <m/>
    <m/>
    <m/>
    <n v="0"/>
    <n v="30000"/>
    <n v="457797"/>
    <n v="457797"/>
    <x v="3"/>
    <x v="27"/>
    <x v="6"/>
    <x v="0"/>
    <s v="Касса"/>
    <x v="0"/>
  </r>
  <r>
    <x v="14"/>
    <m/>
    <m/>
    <m/>
    <m/>
    <m/>
    <n v="0"/>
    <n v="5000"/>
    <n v="452797"/>
    <n v="452797"/>
    <x v="3"/>
    <x v="16"/>
    <x v="16"/>
    <x v="0"/>
    <s v="Касса"/>
    <x v="0"/>
  </r>
  <r>
    <x v="15"/>
    <m/>
    <m/>
    <m/>
    <m/>
    <n v="500000"/>
    <n v="500000"/>
    <m/>
    <n v="952797"/>
    <s v=""/>
    <x v="7"/>
    <x v="47"/>
    <x v="6"/>
    <x v="6"/>
    <m/>
    <x v="0"/>
  </r>
  <r>
    <x v="15"/>
    <m/>
    <m/>
    <m/>
    <m/>
    <m/>
    <n v="0"/>
    <n v="2800"/>
    <n v="949997"/>
    <s v=""/>
    <x v="8"/>
    <x v="48"/>
    <x v="9"/>
    <x v="0"/>
    <s v="Карта Аня"/>
    <x v="0"/>
  </r>
  <r>
    <x v="15"/>
    <m/>
    <m/>
    <m/>
    <m/>
    <m/>
    <n v="0"/>
    <n v="2800"/>
    <n v="947197"/>
    <s v=""/>
    <x v="8"/>
    <x v="49"/>
    <x v="9"/>
    <x v="2"/>
    <s v="Карта Аня"/>
    <x v="0"/>
  </r>
  <r>
    <x v="15"/>
    <m/>
    <m/>
    <m/>
    <m/>
    <m/>
    <n v="0"/>
    <n v="2800"/>
    <n v="944397"/>
    <s v=""/>
    <x v="8"/>
    <x v="50"/>
    <x v="9"/>
    <x v="0"/>
    <s v="Карта Аня"/>
    <x v="0"/>
  </r>
  <r>
    <x v="15"/>
    <m/>
    <m/>
    <m/>
    <m/>
    <m/>
    <n v="0"/>
    <n v="10000"/>
    <n v="934397"/>
    <s v=""/>
    <x v="3"/>
    <x v="3"/>
    <x v="3"/>
    <x v="1"/>
    <s v="Карта Аня"/>
    <x v="0"/>
  </r>
  <r>
    <x v="15"/>
    <m/>
    <m/>
    <m/>
    <m/>
    <m/>
    <n v="0"/>
    <n v="419"/>
    <n v="933978"/>
    <s v=""/>
    <x v="1"/>
    <x v="36"/>
    <x v="7"/>
    <x v="6"/>
    <s v="Касса"/>
    <x v="0"/>
  </r>
  <r>
    <x v="15"/>
    <m/>
    <m/>
    <m/>
    <m/>
    <m/>
    <n v="0"/>
    <n v="4689.75"/>
    <n v="929288.25"/>
    <s v=""/>
    <x v="1"/>
    <x v="36"/>
    <x v="16"/>
    <x v="6"/>
    <s v="Касса"/>
    <x v="0"/>
  </r>
  <r>
    <x v="15"/>
    <m/>
    <m/>
    <m/>
    <m/>
    <m/>
    <n v="0"/>
    <n v="1440"/>
    <n v="927848.25"/>
    <s v=""/>
    <x v="1"/>
    <x v="36"/>
    <x v="7"/>
    <x v="6"/>
    <s v="Касса"/>
    <x v="0"/>
  </r>
  <r>
    <x v="15"/>
    <m/>
    <m/>
    <m/>
    <m/>
    <m/>
    <n v="0"/>
    <n v="30000"/>
    <n v="897848.25"/>
    <n v="897848.25"/>
    <x v="1"/>
    <x v="36"/>
    <x v="16"/>
    <x v="6"/>
    <s v="Касса"/>
    <x v="0"/>
  </r>
  <r>
    <x v="16"/>
    <m/>
    <m/>
    <m/>
    <m/>
    <m/>
    <n v="0"/>
    <n v="2500"/>
    <n v="895348.25"/>
    <s v=""/>
    <x v="2"/>
    <x v="51"/>
    <x v="1"/>
    <x v="5"/>
    <s v="Касса"/>
    <x v="0"/>
  </r>
  <r>
    <x v="16"/>
    <m/>
    <m/>
    <m/>
    <m/>
    <m/>
    <n v="0"/>
    <n v="2000"/>
    <n v="893348.25"/>
    <n v="893348.25"/>
    <x v="3"/>
    <x v="9"/>
    <x v="3"/>
    <x v="2"/>
    <s v="Касса"/>
    <x v="8"/>
  </r>
  <r>
    <x v="17"/>
    <m/>
    <m/>
    <m/>
    <m/>
    <m/>
    <n v="0"/>
    <n v="6000"/>
    <n v="887348.25"/>
    <s v=""/>
    <x v="1"/>
    <x v="52"/>
    <x v="1"/>
    <x v="1"/>
    <s v="Касса"/>
    <x v="0"/>
  </r>
  <r>
    <x v="17"/>
    <m/>
    <m/>
    <m/>
    <m/>
    <m/>
    <n v="0"/>
    <n v="3000"/>
    <n v="884348.25"/>
    <s v=""/>
    <x v="5"/>
    <x v="53"/>
    <x v="1"/>
    <x v="1"/>
    <s v="Касса"/>
    <x v="0"/>
  </r>
  <r>
    <x v="17"/>
    <m/>
    <m/>
    <m/>
    <m/>
    <m/>
    <n v="0"/>
    <n v="218500"/>
    <n v="665848.25"/>
    <s v=""/>
    <x v="2"/>
    <x v="54"/>
    <x v="4"/>
    <x v="1"/>
    <s v="Касса"/>
    <x v="0"/>
  </r>
  <r>
    <x v="17"/>
    <m/>
    <m/>
    <m/>
    <m/>
    <m/>
    <n v="0"/>
    <n v="6000"/>
    <n v="659848.25"/>
    <s v=""/>
    <x v="1"/>
    <x v="1"/>
    <x v="4"/>
    <x v="1"/>
    <s v="Касса"/>
    <x v="0"/>
  </r>
  <r>
    <x v="17"/>
    <m/>
    <m/>
    <m/>
    <m/>
    <m/>
    <n v="0"/>
    <n v="3000"/>
    <n v="656848.25"/>
    <s v=""/>
    <x v="1"/>
    <x v="55"/>
    <x v="4"/>
    <x v="1"/>
    <s v="Касса"/>
    <x v="0"/>
  </r>
  <r>
    <x v="17"/>
    <m/>
    <m/>
    <m/>
    <m/>
    <m/>
    <n v="0"/>
    <n v="193322.17"/>
    <n v="463526.07999999996"/>
    <s v=""/>
    <x v="2"/>
    <x v="56"/>
    <x v="1"/>
    <x v="1"/>
    <s v="Касса"/>
    <x v="0"/>
  </r>
  <r>
    <x v="17"/>
    <m/>
    <m/>
    <m/>
    <m/>
    <m/>
    <n v="0"/>
    <n v="30000"/>
    <n v="433526.07999999996"/>
    <s v=""/>
    <x v="3"/>
    <x v="3"/>
    <x v="3"/>
    <x v="1"/>
    <s v="Касса"/>
    <x v="0"/>
  </r>
  <r>
    <x v="17"/>
    <m/>
    <m/>
    <m/>
    <m/>
    <m/>
    <n v="0"/>
    <n v="2000"/>
    <n v="431526.07999999996"/>
    <s v=""/>
    <x v="2"/>
    <x v="57"/>
    <x v="14"/>
    <x v="7"/>
    <s v="Касса"/>
    <x v="0"/>
  </r>
  <r>
    <x v="17"/>
    <m/>
    <m/>
    <m/>
    <m/>
    <m/>
    <n v="0"/>
    <n v="10000"/>
    <n v="421526.07999999996"/>
    <s v=""/>
    <x v="3"/>
    <x v="58"/>
    <x v="2"/>
    <x v="5"/>
    <s v="Касса"/>
    <x v="0"/>
  </r>
  <r>
    <x v="17"/>
    <m/>
    <m/>
    <m/>
    <m/>
    <m/>
    <n v="0"/>
    <n v="10000"/>
    <n v="411526.07999999996"/>
    <s v=""/>
    <x v="9"/>
    <x v="59"/>
    <x v="4"/>
    <x v="1"/>
    <s v="Касса"/>
    <x v="0"/>
  </r>
  <r>
    <x v="17"/>
    <m/>
    <m/>
    <m/>
    <m/>
    <m/>
    <n v="0"/>
    <n v="50000"/>
    <n v="361526.07999999996"/>
    <s v=""/>
    <x v="9"/>
    <x v="60"/>
    <x v="4"/>
    <x v="1"/>
    <s v="Касса"/>
    <x v="0"/>
  </r>
  <r>
    <x v="17"/>
    <m/>
    <m/>
    <m/>
    <m/>
    <m/>
    <n v="0"/>
    <n v="10000"/>
    <n v="351526.07999999996"/>
    <s v=""/>
    <x v="3"/>
    <x v="35"/>
    <x v="10"/>
    <x v="5"/>
    <s v="Касса"/>
    <x v="0"/>
  </r>
  <r>
    <x v="17"/>
    <m/>
    <m/>
    <m/>
    <m/>
    <m/>
    <n v="0"/>
    <n v="2000"/>
    <n v="349526.07999999996"/>
    <n v="349526.07999999996"/>
    <x v="3"/>
    <x v="17"/>
    <x v="6"/>
    <x v="5"/>
    <s v="Касса"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n v="0"/>
    <m/>
    <n v="349526.07999999996"/>
    <s v=""/>
    <x v="10"/>
    <x v="0"/>
    <x v="6"/>
    <x v="0"/>
    <m/>
    <x v="0"/>
  </r>
  <r>
    <x v="18"/>
    <m/>
    <m/>
    <m/>
    <m/>
    <m/>
    <m/>
    <m/>
    <m/>
    <m/>
    <x v="10"/>
    <x v="0"/>
    <x v="6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Сводная таблица3" cacheId="115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O4:R109" firstHeaderRow="1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sortType="ascending" defaultSubtotal="0">
      <items count="8">
        <item x="7"/>
        <item x="2"/>
        <item x="1"/>
        <item x="4"/>
        <item x="3"/>
        <item x="5"/>
        <item x="6"/>
        <item x="0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5">
    <i>
      <x/>
      <x v="19"/>
      <x v="7"/>
      <x v="36"/>
    </i>
    <i t="default">
      <x/>
    </i>
    <i>
      <x v="1"/>
      <x v="15"/>
      <x v="7"/>
      <x v="26"/>
    </i>
    <i t="default">
      <x v="1"/>
    </i>
    <i>
      <x v="2"/>
      <x v="3"/>
      <x v="2"/>
      <x v="85"/>
    </i>
    <i r="3">
      <x v="89"/>
    </i>
    <i r="1">
      <x v="4"/>
      <x v="7"/>
      <x v="88"/>
    </i>
    <i r="1">
      <x v="6"/>
      <x v="1"/>
      <x v="85"/>
    </i>
    <i r="2">
      <x v="2"/>
      <x v="87"/>
    </i>
    <i r="1">
      <x v="8"/>
      <x v="2"/>
      <x v="86"/>
    </i>
    <i r="1">
      <x v="17"/>
      <x v="2"/>
      <x v="87"/>
    </i>
    <i t="default">
      <x v="2"/>
    </i>
    <i>
      <x v="3"/>
      <x v="3"/>
      <x v="2"/>
      <x v="86"/>
    </i>
    <i r="3">
      <x v="87"/>
    </i>
    <i r="2">
      <x v="7"/>
      <x v="88"/>
    </i>
    <i r="1">
      <x v="6"/>
      <x v="1"/>
      <x v="87"/>
    </i>
    <i r="2">
      <x v="7"/>
      <x v="85"/>
    </i>
    <i r="3">
      <x v="86"/>
    </i>
    <i r="1">
      <x v="14"/>
      <x v="7"/>
      <x v="88"/>
    </i>
    <i r="1">
      <x v="19"/>
      <x v="1"/>
      <x v="90"/>
    </i>
    <i r="2">
      <x v="7"/>
      <x v="86"/>
    </i>
    <i t="default">
      <x v="3"/>
    </i>
    <i>
      <x v="4"/>
      <x v="8"/>
      <x v="7"/>
      <x v="87"/>
    </i>
    <i r="1">
      <x v="11"/>
      <x v="3"/>
      <x v="88"/>
    </i>
    <i r="1">
      <x v="14"/>
      <x v="7"/>
      <x v="88"/>
    </i>
    <i r="1">
      <x v="16"/>
      <x v="7"/>
      <x v="87"/>
    </i>
    <i r="1">
      <x v="19"/>
      <x v="2"/>
      <x v="86"/>
    </i>
    <i r="3">
      <x v="89"/>
    </i>
    <i r="2">
      <x v="4"/>
      <x v="90"/>
    </i>
    <i r="2">
      <x v="5"/>
      <x v="86"/>
    </i>
    <i r="3">
      <x v="87"/>
    </i>
    <i r="2">
      <x v="7"/>
      <x v="87"/>
    </i>
    <i t="default">
      <x v="4"/>
    </i>
    <i>
      <x v="5"/>
      <x v="3"/>
      <x v="2"/>
      <x v="87"/>
    </i>
    <i r="2">
      <x v="4"/>
      <x v="85"/>
    </i>
    <i r="1">
      <x v="6"/>
      <x v="1"/>
      <x v="87"/>
    </i>
    <i r="1">
      <x v="11"/>
      <x v="2"/>
      <x v="88"/>
    </i>
    <i r="1">
      <x v="19"/>
      <x v="4"/>
      <x v="90"/>
    </i>
    <i t="default">
      <x v="5"/>
    </i>
    <i>
      <x v="6"/>
      <x v="3"/>
      <x v="7"/>
      <x v="88"/>
    </i>
    <i r="1">
      <x v="5"/>
      <x v="7"/>
      <x v="88"/>
    </i>
    <i r="1">
      <x v="8"/>
      <x v="1"/>
      <x v="85"/>
    </i>
    <i r="1">
      <x v="17"/>
      <x v="2"/>
      <x v="87"/>
    </i>
    <i r="1">
      <x v="18"/>
      <x v="2"/>
      <x v="87"/>
    </i>
    <i t="default">
      <x v="6"/>
    </i>
    <i>
      <x v="7"/>
      <x v="6"/>
      <x v="7"/>
      <x v="87"/>
    </i>
    <i r="1">
      <x v="12"/>
      <x v="7"/>
      <x v="87"/>
    </i>
    <i r="1">
      <x v="16"/>
      <x v="7"/>
      <x v="85"/>
    </i>
    <i r="1">
      <x v="19"/>
      <x v="7"/>
      <x v="87"/>
    </i>
    <i t="default">
      <x v="7"/>
    </i>
    <i>
      <x v="8"/>
      <x v="3"/>
      <x v="2"/>
      <x v="86"/>
    </i>
    <i r="1">
      <x v="5"/>
      <x v="7"/>
      <x v="87"/>
    </i>
    <i r="1">
      <x v="6"/>
      <x v="7"/>
      <x v="85"/>
    </i>
    <i r="1">
      <x v="7"/>
      <x v="7"/>
      <x v="87"/>
    </i>
    <i r="1">
      <x v="11"/>
      <x v="2"/>
      <x v="88"/>
    </i>
    <i t="default">
      <x v="8"/>
    </i>
    <i>
      <x v="9"/>
      <x v="6"/>
      <x v="7"/>
      <x v="86"/>
    </i>
    <i r="1">
      <x v="19"/>
      <x v="3"/>
      <x v="85"/>
    </i>
    <i r="2">
      <x v="7"/>
      <x v="87"/>
    </i>
    <i t="default">
      <x v="9"/>
    </i>
    <i>
      <x v="10"/>
      <x v="8"/>
      <x v="7"/>
      <x v="85"/>
    </i>
    <i r="1">
      <x v="13"/>
      <x v="2"/>
      <x v="86"/>
    </i>
    <i r="1">
      <x v="19"/>
      <x v="1"/>
      <x v="85"/>
    </i>
    <i t="default">
      <x v="10"/>
    </i>
    <i>
      <x v="11"/>
      <x v="3"/>
      <x v="2"/>
      <x v="85"/>
    </i>
    <i r="3">
      <x v="86"/>
    </i>
    <i t="default">
      <x v="11"/>
    </i>
    <i>
      <x v="12"/>
      <x v="3"/>
      <x v="1"/>
      <x v="87"/>
    </i>
    <i r="2">
      <x v="2"/>
      <x v="86"/>
    </i>
    <i r="1">
      <x v="6"/>
      <x v="1"/>
      <x v="87"/>
    </i>
    <i r="1">
      <x v="10"/>
      <x v="7"/>
      <x v="88"/>
    </i>
    <i r="1">
      <x v="13"/>
      <x v="2"/>
      <x v="85"/>
    </i>
    <i r="1">
      <x v="19"/>
      <x v="1"/>
      <x v="86"/>
    </i>
    <i t="default">
      <x v="12"/>
    </i>
    <i>
      <x v="13"/>
      <x v="3"/>
      <x v="2"/>
      <x v="87"/>
    </i>
    <i r="1">
      <x v="19"/>
      <x v="7"/>
      <x v="85"/>
    </i>
    <i t="default">
      <x v="13"/>
    </i>
    <i>
      <x v="14"/>
      <x v="8"/>
      <x v="7"/>
      <x v="87"/>
    </i>
    <i r="1">
      <x v="19"/>
      <x v="7"/>
      <x v="87"/>
    </i>
    <i t="default">
      <x v="14"/>
    </i>
    <i>
      <x v="15"/>
      <x v="9"/>
      <x v="7"/>
      <x v="87"/>
    </i>
    <i t="default">
      <x v="15"/>
    </i>
    <i>
      <x v="16"/>
      <x v="6"/>
      <x v="2"/>
      <x v="87"/>
    </i>
    <i r="1">
      <x v="9"/>
      <x v="6"/>
      <x v="85"/>
    </i>
    <i r="1">
      <x v="11"/>
      <x v="1"/>
      <x v="92"/>
    </i>
    <i r="2">
      <x v="7"/>
      <x v="92"/>
    </i>
    <i r="1">
      <x v="14"/>
      <x v="6"/>
      <x v="85"/>
    </i>
    <i r="1">
      <x v="19"/>
      <x v="6"/>
      <x v="91"/>
    </i>
    <i t="default">
      <x v="16"/>
    </i>
    <i>
      <x v="17"/>
      <x v="3"/>
      <x v="5"/>
      <x v="86"/>
    </i>
    <i r="1">
      <x v="6"/>
      <x v="1"/>
      <x v="87"/>
    </i>
    <i t="default">
      <x v="17"/>
    </i>
    <i>
      <x v="18"/>
      <x v="3"/>
      <x v="2"/>
      <x v="85"/>
    </i>
    <i r="3">
      <x v="86"/>
    </i>
    <i r="3">
      <x v="89"/>
    </i>
    <i r="1">
      <x v="4"/>
      <x v="2"/>
      <x v="85"/>
    </i>
    <i r="3">
      <x v="86"/>
    </i>
    <i r="3">
      <x v="93"/>
    </i>
    <i r="1">
      <x v="5"/>
      <x v="5"/>
      <x v="87"/>
    </i>
    <i r="1">
      <x v="6"/>
      <x v="2"/>
      <x v="87"/>
    </i>
    <i r="1">
      <x v="8"/>
      <x v="5"/>
      <x v="87"/>
    </i>
    <i r="1">
      <x v="13"/>
      <x/>
      <x v="86"/>
    </i>
    <i r="1">
      <x v="19"/>
      <x v="5"/>
      <x v="87"/>
    </i>
    <i t="default">
      <x v="18"/>
    </i>
    <i t="grand">
      <x/>
    </i>
  </rowItems>
  <colItems count="1">
    <i/>
  </colItems>
  <formats count="6">
    <format dxfId="13">
      <pivotArea outline="0" collapsedLevelsAreSubtotals="1" fieldPosition="0"/>
    </format>
    <format dxfId="12">
      <pivotArea field="0" type="button" dataOnly="0" labelOnly="1" outline="0" axis="axisRow" fieldPosition="0"/>
    </format>
    <format dxfId="11">
      <pivotArea field="12" type="button" dataOnly="0" labelOnly="1" outline="0" axis="axisRow" fieldPosition="1"/>
    </format>
    <format dxfId="10">
      <pivotArea field="13" type="button" dataOnly="0" labelOnly="1" outline="0" axis="axisRow" fieldPosition="2"/>
    </format>
    <format dxfId="9">
      <pivotArea field="10" type="button" dataOnly="0" labelOnly="1" outline="0" axis="axisRow" fieldPosition="3"/>
    </format>
    <format dxfId="8">
      <pivotArea dataOnly="0" labelOnly="1" grandRow="1" outline="0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Сводная таблица2" cacheId="115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G4:J109" firstHeaderRow="1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outline="0" showAll="0" sortType="ascending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5">
    <i>
      <x/>
      <x v="19"/>
      <x v="2"/>
      <x v="36"/>
    </i>
    <i t="default">
      <x/>
    </i>
    <i>
      <x v="1"/>
      <x v="15"/>
      <x v="2"/>
      <x v="26"/>
    </i>
    <i t="default">
      <x v="1"/>
    </i>
    <i>
      <x v="2"/>
      <x v="3"/>
      <x v="3"/>
      <x v="85"/>
    </i>
    <i r="3">
      <x v="89"/>
    </i>
    <i r="1">
      <x v="4"/>
      <x v="2"/>
      <x v="88"/>
    </i>
    <i r="1">
      <x v="6"/>
      <x v="3"/>
      <x v="87"/>
    </i>
    <i r="2">
      <x v="4"/>
      <x v="85"/>
    </i>
    <i r="1">
      <x v="8"/>
      <x v="3"/>
      <x v="86"/>
    </i>
    <i r="1">
      <x v="17"/>
      <x v="3"/>
      <x v="87"/>
    </i>
    <i t="default">
      <x v="2"/>
    </i>
    <i>
      <x v="3"/>
      <x v="3"/>
      <x v="2"/>
      <x v="88"/>
    </i>
    <i r="2">
      <x v="3"/>
      <x v="86"/>
    </i>
    <i r="3">
      <x v="87"/>
    </i>
    <i r="1">
      <x v="6"/>
      <x v="2"/>
      <x v="85"/>
    </i>
    <i r="3">
      <x v="86"/>
    </i>
    <i r="2">
      <x v="4"/>
      <x v="87"/>
    </i>
    <i r="1">
      <x v="14"/>
      <x v="2"/>
      <x v="88"/>
    </i>
    <i r="1">
      <x v="19"/>
      <x v="2"/>
      <x v="86"/>
    </i>
    <i r="2">
      <x v="4"/>
      <x v="90"/>
    </i>
    <i t="default">
      <x v="3"/>
    </i>
    <i>
      <x v="4"/>
      <x v="8"/>
      <x v="2"/>
      <x v="87"/>
    </i>
    <i r="1">
      <x v="11"/>
      <x/>
      <x v="88"/>
    </i>
    <i r="1">
      <x v="14"/>
      <x v="2"/>
      <x v="88"/>
    </i>
    <i r="1">
      <x v="16"/>
      <x v="2"/>
      <x v="87"/>
    </i>
    <i r="1">
      <x v="19"/>
      <x v="1"/>
      <x v="90"/>
    </i>
    <i r="2">
      <x v="2"/>
      <x v="87"/>
    </i>
    <i r="2">
      <x v="3"/>
      <x v="86"/>
    </i>
    <i r="3">
      <x v="89"/>
    </i>
    <i r="2">
      <x v="5"/>
      <x v="86"/>
    </i>
    <i r="3">
      <x v="87"/>
    </i>
    <i t="default">
      <x v="4"/>
    </i>
    <i>
      <x v="5"/>
      <x v="3"/>
      <x v="1"/>
      <x v="85"/>
    </i>
    <i r="2">
      <x v="3"/>
      <x v="87"/>
    </i>
    <i r="1">
      <x v="6"/>
      <x v="4"/>
      <x v="87"/>
    </i>
    <i r="1">
      <x v="11"/>
      <x v="3"/>
      <x v="88"/>
    </i>
    <i r="1">
      <x v="19"/>
      <x v="1"/>
      <x v="90"/>
    </i>
    <i t="default">
      <x v="5"/>
    </i>
    <i>
      <x v="6"/>
      <x v="3"/>
      <x v="2"/>
      <x v="88"/>
    </i>
    <i r="1">
      <x v="5"/>
      <x v="2"/>
      <x v="88"/>
    </i>
    <i r="1">
      <x v="8"/>
      <x v="4"/>
      <x v="85"/>
    </i>
    <i r="1">
      <x v="17"/>
      <x v="3"/>
      <x v="87"/>
    </i>
    <i r="1">
      <x v="18"/>
      <x v="3"/>
      <x v="87"/>
    </i>
    <i t="default">
      <x v="6"/>
    </i>
    <i>
      <x v="7"/>
      <x v="6"/>
      <x v="2"/>
      <x v="87"/>
    </i>
    <i r="1">
      <x v="12"/>
      <x v="2"/>
      <x v="87"/>
    </i>
    <i r="1">
      <x v="16"/>
      <x v="2"/>
      <x v="85"/>
    </i>
    <i r="1">
      <x v="19"/>
      <x v="2"/>
      <x v="87"/>
    </i>
    <i t="default">
      <x v="7"/>
    </i>
    <i>
      <x v="8"/>
      <x v="3"/>
      <x v="3"/>
      <x v="86"/>
    </i>
    <i r="1">
      <x v="5"/>
      <x v="2"/>
      <x v="87"/>
    </i>
    <i r="1">
      <x v="6"/>
      <x v="2"/>
      <x v="85"/>
    </i>
    <i r="1">
      <x v="7"/>
      <x v="2"/>
      <x v="87"/>
    </i>
    <i r="1">
      <x v="11"/>
      <x v="3"/>
      <x v="88"/>
    </i>
    <i t="default">
      <x v="8"/>
    </i>
    <i>
      <x v="9"/>
      <x v="6"/>
      <x v="2"/>
      <x v="86"/>
    </i>
    <i r="1">
      <x v="19"/>
      <x/>
      <x v="85"/>
    </i>
    <i r="2">
      <x v="2"/>
      <x v="87"/>
    </i>
    <i t="default">
      <x v="9"/>
    </i>
    <i>
      <x v="10"/>
      <x v="8"/>
      <x v="2"/>
      <x v="85"/>
    </i>
    <i r="1">
      <x v="13"/>
      <x v="3"/>
      <x v="86"/>
    </i>
    <i r="1">
      <x v="19"/>
      <x v="4"/>
      <x v="85"/>
    </i>
    <i t="default">
      <x v="10"/>
    </i>
    <i>
      <x v="11"/>
      <x v="3"/>
      <x v="3"/>
      <x v="85"/>
    </i>
    <i r="3">
      <x v="86"/>
    </i>
    <i t="default">
      <x v="11"/>
    </i>
    <i>
      <x v="12"/>
      <x v="3"/>
      <x v="3"/>
      <x v="86"/>
    </i>
    <i r="2">
      <x v="4"/>
      <x v="87"/>
    </i>
    <i r="1">
      <x v="6"/>
      <x v="4"/>
      <x v="87"/>
    </i>
    <i r="1">
      <x v="10"/>
      <x v="2"/>
      <x v="88"/>
    </i>
    <i r="1">
      <x v="13"/>
      <x v="3"/>
      <x v="85"/>
    </i>
    <i r="1">
      <x v="19"/>
      <x v="4"/>
      <x v="86"/>
    </i>
    <i t="default">
      <x v="12"/>
    </i>
    <i>
      <x v="13"/>
      <x v="3"/>
      <x v="3"/>
      <x v="87"/>
    </i>
    <i r="1">
      <x v="19"/>
      <x v="2"/>
      <x v="85"/>
    </i>
    <i t="default">
      <x v="13"/>
    </i>
    <i>
      <x v="14"/>
      <x v="8"/>
      <x v="2"/>
      <x v="87"/>
    </i>
    <i r="1">
      <x v="19"/>
      <x v="2"/>
      <x v="87"/>
    </i>
    <i t="default">
      <x v="14"/>
    </i>
    <i>
      <x v="15"/>
      <x v="9"/>
      <x v="2"/>
      <x v="87"/>
    </i>
    <i t="default">
      <x v="15"/>
    </i>
    <i>
      <x v="16"/>
      <x v="6"/>
      <x v="3"/>
      <x v="87"/>
    </i>
    <i r="1">
      <x v="9"/>
      <x v="6"/>
      <x v="85"/>
    </i>
    <i r="1">
      <x v="11"/>
      <x v="2"/>
      <x v="92"/>
    </i>
    <i r="2">
      <x v="4"/>
      <x v="92"/>
    </i>
    <i r="1">
      <x v="14"/>
      <x v="6"/>
      <x v="85"/>
    </i>
    <i r="1">
      <x v="19"/>
      <x v="6"/>
      <x v="91"/>
    </i>
    <i t="default">
      <x v="16"/>
    </i>
    <i>
      <x v="17"/>
      <x v="3"/>
      <x v="5"/>
      <x v="86"/>
    </i>
    <i r="1">
      <x v="6"/>
      <x v="4"/>
      <x v="87"/>
    </i>
    <i t="default">
      <x v="17"/>
    </i>
    <i>
      <x v="18"/>
      <x v="3"/>
      <x v="3"/>
      <x v="85"/>
    </i>
    <i r="3">
      <x v="86"/>
    </i>
    <i r="3">
      <x v="89"/>
    </i>
    <i r="1">
      <x v="4"/>
      <x v="3"/>
      <x v="85"/>
    </i>
    <i r="3">
      <x v="86"/>
    </i>
    <i r="3">
      <x v="93"/>
    </i>
    <i r="1">
      <x v="5"/>
      <x v="5"/>
      <x v="87"/>
    </i>
    <i r="1">
      <x v="6"/>
      <x v="3"/>
      <x v="87"/>
    </i>
    <i r="1">
      <x v="8"/>
      <x v="5"/>
      <x v="87"/>
    </i>
    <i r="1">
      <x v="13"/>
      <x v="7"/>
      <x v="86"/>
    </i>
    <i r="1">
      <x v="19"/>
      <x v="5"/>
      <x v="87"/>
    </i>
    <i t="default">
      <x v="18"/>
    </i>
    <i t="grand">
      <x/>
    </i>
  </rowItems>
  <colItems count="1">
    <i/>
  </colItem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1" cacheId="115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B4:B24" firstHeaderRow="1" firstDataRow="1" firstDataCol="1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outline="0" showAll="0" defaultSubtotal="0"/>
    <pivotField outline="0" showAll="0" defaultSubtotal="0"/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Сводная таблица4" cacheId="115" applyNumberFormats="0" applyBorderFormats="0" applyFontFormats="0" applyPatternFormats="0" applyAlignmentFormats="0" applyWidthHeightFormats="1" dataCaption="Значения" updatedVersion="7" minRefreshableVersion="3" itemPrintTitles="1" createdVersion="6" indent="0" outline="1" outlineData="1" multipleFieldFilters="0" fieldListSortAscending="1">
  <location ref="Y4:AB109" firstHeaderRow="1" firstDataRow="1" firstDataCol="4"/>
  <pivotFields count="21">
    <pivotField axis="axisRow" outline="0" showAll="0">
      <items count="20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95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outline="0" showAll="0" defaultSubtotal="0">
      <items count="20">
        <item x="6"/>
        <item m="1" x="18"/>
        <item m="1" x="19"/>
        <item m="1" x="17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axis="axisRow" outline="0" showAll="0" defaultSubtotal="0">
      <items count="8">
        <item x="4"/>
        <item x="3"/>
        <item x="0"/>
        <item x="1"/>
        <item x="2"/>
        <item x="5"/>
        <item x="6"/>
        <item x="7"/>
      </items>
    </pivotField>
    <pivotField showAll="0"/>
    <pivotField outlin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0"/>
    <field x="12"/>
    <field x="13"/>
    <field x="10"/>
  </rowFields>
  <rowItems count="105">
    <i>
      <x/>
      <x/>
      <x v="2"/>
      <x v="36"/>
    </i>
    <i t="default">
      <x/>
    </i>
    <i>
      <x v="1"/>
      <x v="4"/>
      <x v="2"/>
      <x v="26"/>
    </i>
    <i t="default">
      <x v="1"/>
    </i>
    <i>
      <x v="2"/>
      <x v="5"/>
      <x v="3"/>
      <x v="85"/>
    </i>
    <i r="3">
      <x v="89"/>
    </i>
    <i r="1">
      <x v="6"/>
      <x v="3"/>
      <x v="86"/>
    </i>
    <i r="1">
      <x v="7"/>
      <x v="3"/>
      <x v="87"/>
    </i>
    <i r="2">
      <x v="4"/>
      <x v="85"/>
    </i>
    <i r="1">
      <x v="8"/>
      <x v="2"/>
      <x v="88"/>
    </i>
    <i r="1">
      <x v="9"/>
      <x v="3"/>
      <x v="87"/>
    </i>
    <i t="default">
      <x v="2"/>
    </i>
    <i>
      <x v="3"/>
      <x/>
      <x v="2"/>
      <x v="86"/>
    </i>
    <i r="2">
      <x v="4"/>
      <x v="90"/>
    </i>
    <i r="1">
      <x v="5"/>
      <x v="2"/>
      <x v="88"/>
    </i>
    <i r="2">
      <x v="3"/>
      <x v="86"/>
    </i>
    <i r="3">
      <x v="87"/>
    </i>
    <i r="1">
      <x v="7"/>
      <x v="2"/>
      <x v="85"/>
    </i>
    <i r="3">
      <x v="86"/>
    </i>
    <i r="2">
      <x v="4"/>
      <x v="87"/>
    </i>
    <i r="1">
      <x v="10"/>
      <x v="2"/>
      <x v="88"/>
    </i>
    <i t="default">
      <x v="3"/>
    </i>
    <i>
      <x v="4"/>
      <x/>
      <x v="1"/>
      <x v="90"/>
    </i>
    <i r="2">
      <x v="2"/>
      <x v="87"/>
    </i>
    <i r="2">
      <x v="3"/>
      <x v="86"/>
    </i>
    <i r="3">
      <x v="89"/>
    </i>
    <i r="2">
      <x v="5"/>
      <x v="86"/>
    </i>
    <i r="3">
      <x v="87"/>
    </i>
    <i r="1">
      <x v="6"/>
      <x v="2"/>
      <x v="87"/>
    </i>
    <i r="1">
      <x v="10"/>
      <x v="2"/>
      <x v="88"/>
    </i>
    <i r="1">
      <x v="11"/>
      <x v="2"/>
      <x v="87"/>
    </i>
    <i r="1">
      <x v="12"/>
      <x/>
      <x v="88"/>
    </i>
    <i t="default">
      <x v="4"/>
    </i>
    <i>
      <x v="5"/>
      <x/>
      <x v="1"/>
      <x v="90"/>
    </i>
    <i r="1">
      <x v="5"/>
      <x v="1"/>
      <x v="85"/>
    </i>
    <i r="2">
      <x v="3"/>
      <x v="87"/>
    </i>
    <i r="1">
      <x v="7"/>
      <x v="4"/>
      <x v="87"/>
    </i>
    <i r="1">
      <x v="12"/>
      <x v="3"/>
      <x v="88"/>
    </i>
    <i t="default">
      <x v="5"/>
    </i>
    <i>
      <x v="6"/>
      <x v="5"/>
      <x v="2"/>
      <x v="88"/>
    </i>
    <i r="1">
      <x v="6"/>
      <x v="4"/>
      <x v="85"/>
    </i>
    <i r="1">
      <x v="9"/>
      <x v="3"/>
      <x v="87"/>
    </i>
    <i r="1">
      <x v="13"/>
      <x v="2"/>
      <x v="88"/>
    </i>
    <i r="1">
      <x v="14"/>
      <x v="3"/>
      <x v="87"/>
    </i>
    <i t="default">
      <x v="6"/>
    </i>
    <i>
      <x v="7"/>
      <x/>
      <x v="2"/>
      <x v="87"/>
    </i>
    <i r="1">
      <x v="7"/>
      <x v="2"/>
      <x v="87"/>
    </i>
    <i r="1">
      <x v="11"/>
      <x v="2"/>
      <x v="85"/>
    </i>
    <i r="1">
      <x v="15"/>
      <x v="2"/>
      <x v="87"/>
    </i>
    <i t="default">
      <x v="7"/>
    </i>
    <i>
      <x v="8"/>
      <x v="5"/>
      <x v="3"/>
      <x v="86"/>
    </i>
    <i r="1">
      <x v="7"/>
      <x v="2"/>
      <x v="85"/>
    </i>
    <i r="1">
      <x v="12"/>
      <x v="3"/>
      <x v="88"/>
    </i>
    <i r="1">
      <x v="13"/>
      <x v="2"/>
      <x v="87"/>
    </i>
    <i r="1">
      <x v="16"/>
      <x v="2"/>
      <x v="87"/>
    </i>
    <i t="default">
      <x v="8"/>
    </i>
    <i>
      <x v="9"/>
      <x/>
      <x/>
      <x v="85"/>
    </i>
    <i r="2">
      <x v="2"/>
      <x v="87"/>
    </i>
    <i r="1">
      <x v="7"/>
      <x v="2"/>
      <x v="86"/>
    </i>
    <i t="default">
      <x v="9"/>
    </i>
    <i>
      <x v="10"/>
      <x/>
      <x v="4"/>
      <x v="85"/>
    </i>
    <i r="1">
      <x v="6"/>
      <x v="2"/>
      <x v="85"/>
    </i>
    <i r="1">
      <x v="17"/>
      <x v="3"/>
      <x v="86"/>
    </i>
    <i t="default">
      <x v="10"/>
    </i>
    <i>
      <x v="11"/>
      <x v="5"/>
      <x v="3"/>
      <x v="85"/>
    </i>
    <i r="3">
      <x v="86"/>
    </i>
    <i t="default">
      <x v="11"/>
    </i>
    <i>
      <x v="12"/>
      <x/>
      <x v="4"/>
      <x v="86"/>
    </i>
    <i r="1">
      <x v="5"/>
      <x v="3"/>
      <x v="86"/>
    </i>
    <i r="2">
      <x v="4"/>
      <x v="87"/>
    </i>
    <i r="1">
      <x v="7"/>
      <x v="4"/>
      <x v="87"/>
    </i>
    <i r="1">
      <x v="17"/>
      <x v="3"/>
      <x v="85"/>
    </i>
    <i r="1">
      <x v="18"/>
      <x v="2"/>
      <x v="88"/>
    </i>
    <i t="default">
      <x v="12"/>
    </i>
    <i>
      <x v="13"/>
      <x/>
      <x v="2"/>
      <x v="85"/>
    </i>
    <i r="1">
      <x v="5"/>
      <x v="3"/>
      <x v="87"/>
    </i>
    <i t="default">
      <x v="13"/>
    </i>
    <i>
      <x v="14"/>
      <x/>
      <x v="2"/>
      <x v="87"/>
    </i>
    <i r="1">
      <x v="6"/>
      <x v="2"/>
      <x v="87"/>
    </i>
    <i t="default">
      <x v="14"/>
    </i>
    <i>
      <x v="15"/>
      <x v="19"/>
      <x v="2"/>
      <x v="87"/>
    </i>
    <i t="default">
      <x v="15"/>
    </i>
    <i>
      <x v="16"/>
      <x/>
      <x v="6"/>
      <x v="91"/>
    </i>
    <i r="1">
      <x v="7"/>
      <x v="3"/>
      <x v="87"/>
    </i>
    <i r="1">
      <x v="10"/>
      <x v="6"/>
      <x v="85"/>
    </i>
    <i r="1">
      <x v="12"/>
      <x v="2"/>
      <x v="92"/>
    </i>
    <i r="2">
      <x v="4"/>
      <x v="92"/>
    </i>
    <i r="1">
      <x v="19"/>
      <x v="6"/>
      <x v="85"/>
    </i>
    <i t="default">
      <x v="16"/>
    </i>
    <i>
      <x v="17"/>
      <x v="5"/>
      <x v="5"/>
      <x v="86"/>
    </i>
    <i r="1">
      <x v="7"/>
      <x v="4"/>
      <x v="87"/>
    </i>
    <i t="default">
      <x v="17"/>
    </i>
    <i>
      <x v="18"/>
      <x/>
      <x v="5"/>
      <x v="87"/>
    </i>
    <i r="1">
      <x v="5"/>
      <x v="3"/>
      <x v="85"/>
    </i>
    <i r="3">
      <x v="86"/>
    </i>
    <i r="3">
      <x v="89"/>
    </i>
    <i r="1">
      <x v="6"/>
      <x v="5"/>
      <x v="87"/>
    </i>
    <i r="1">
      <x v="7"/>
      <x v="3"/>
      <x v="87"/>
    </i>
    <i r="1">
      <x v="8"/>
      <x v="3"/>
      <x v="85"/>
    </i>
    <i r="3">
      <x v="86"/>
    </i>
    <i r="3">
      <x v="93"/>
    </i>
    <i r="1">
      <x v="13"/>
      <x v="5"/>
      <x v="87"/>
    </i>
    <i r="1">
      <x v="17"/>
      <x v="7"/>
      <x v="86"/>
    </i>
    <i t="default">
      <x v="18"/>
    </i>
    <i t="grand">
      <x/>
    </i>
  </rowItems>
  <colItems count="1">
    <i/>
  </colItem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Сводная таблица2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C86" firstHeaderRow="1" firstDataRow="1" firstDataCol="2"/>
  <pivotFields count="21">
    <pivotField axis="axisRow" outline="0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axis="axisRow" outline="0" showAll="0" sortType="ascending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2"/>
    <field x="0"/>
  </rowFields>
  <rowItems count="82">
    <i>
      <x v="3"/>
      <x v="1"/>
    </i>
    <i r="1">
      <x v="2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6"/>
    </i>
    <i r="1">
      <x v="17"/>
    </i>
    <i t="default">
      <x v="3"/>
    </i>
    <i>
      <x v="4"/>
      <x v="1"/>
    </i>
    <i r="1">
      <x v="17"/>
    </i>
    <i t="default">
      <x v="4"/>
    </i>
    <i>
      <x v="5"/>
      <x v="5"/>
    </i>
    <i r="1">
      <x v="7"/>
    </i>
    <i r="1">
      <x v="17"/>
    </i>
    <i t="default">
      <x v="5"/>
    </i>
    <i>
      <x v="6"/>
      <x v="1"/>
    </i>
    <i r="1">
      <x v="2"/>
    </i>
    <i r="1">
      <x v="4"/>
    </i>
    <i r="1">
      <x v="6"/>
    </i>
    <i r="1">
      <x v="7"/>
    </i>
    <i r="1">
      <x v="8"/>
    </i>
    <i r="1">
      <x v="11"/>
    </i>
    <i r="1">
      <x v="15"/>
    </i>
    <i r="1">
      <x v="16"/>
    </i>
    <i r="1">
      <x v="17"/>
    </i>
    <i t="default">
      <x v="6"/>
    </i>
    <i>
      <x v="7"/>
      <x v="7"/>
    </i>
    <i t="default">
      <x v="7"/>
    </i>
    <i>
      <x v="8"/>
      <x v="1"/>
    </i>
    <i r="1">
      <x v="3"/>
    </i>
    <i r="1">
      <x v="5"/>
    </i>
    <i r="1">
      <x v="9"/>
    </i>
    <i r="1">
      <x v="13"/>
    </i>
    <i r="1">
      <x v="17"/>
    </i>
    <i t="default">
      <x v="8"/>
    </i>
    <i>
      <x v="9"/>
      <x v="14"/>
    </i>
    <i r="1">
      <x v="15"/>
    </i>
    <i t="default">
      <x v="9"/>
    </i>
    <i>
      <x v="10"/>
      <x v="11"/>
    </i>
    <i t="default">
      <x v="10"/>
    </i>
    <i>
      <x v="11"/>
      <x v="3"/>
    </i>
    <i r="1">
      <x v="4"/>
    </i>
    <i r="1">
      <x v="7"/>
    </i>
    <i r="1">
      <x v="15"/>
    </i>
    <i t="default">
      <x v="11"/>
    </i>
    <i>
      <x v="12"/>
      <x v="6"/>
    </i>
    <i t="default">
      <x v="12"/>
    </i>
    <i>
      <x v="13"/>
      <x v="9"/>
    </i>
    <i r="1">
      <x v="11"/>
    </i>
    <i r="1">
      <x v="17"/>
    </i>
    <i t="default">
      <x v="13"/>
    </i>
    <i>
      <x v="14"/>
      <x v="2"/>
    </i>
    <i r="1">
      <x v="3"/>
    </i>
    <i r="1">
      <x v="15"/>
    </i>
    <i t="default">
      <x v="14"/>
    </i>
    <i>
      <x v="15"/>
      <x/>
    </i>
    <i t="default">
      <x v="15"/>
    </i>
    <i>
      <x v="16"/>
      <x v="3"/>
    </i>
    <i r="1">
      <x v="6"/>
    </i>
    <i t="default">
      <x v="16"/>
    </i>
    <i>
      <x v="17"/>
      <x v="1"/>
    </i>
    <i r="1">
      <x v="5"/>
    </i>
    <i t="default">
      <x v="17"/>
    </i>
    <i>
      <x v="18"/>
      <x v="5"/>
    </i>
    <i t="default">
      <x v="18"/>
    </i>
    <i>
      <x v="19"/>
      <x v="2"/>
    </i>
    <i r="1">
      <x v="3"/>
    </i>
    <i r="1">
      <x v="4"/>
    </i>
    <i r="1">
      <x v="6"/>
    </i>
    <i r="1">
      <x v="8"/>
    </i>
    <i r="1">
      <x v="9"/>
    </i>
    <i r="1">
      <x v="11"/>
    </i>
    <i r="1">
      <x v="12"/>
    </i>
    <i r="1">
      <x v="13"/>
    </i>
    <i r="1">
      <x v="15"/>
    </i>
    <i r="1">
      <x v="17"/>
    </i>
    <i r="1">
      <x v="18"/>
    </i>
    <i t="default">
      <x v="19"/>
    </i>
    <i t="grand">
      <x/>
    </i>
  </rowItems>
  <colItems count="1">
    <i/>
  </colItems>
  <formats count="2">
    <format dxfId="7">
      <pivotArea field="0" type="button" dataOnly="0" labelOnly="1" outline="0" axis="axisRow" fieldPosition="1"/>
    </format>
    <format dxfId="6">
      <pivotArea dataOnly="0" labelOnly="1" grandRow="1" outline="0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 таблица1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D23" firstHeaderRow="1" firstDataRow="1" firstDataCol="2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showAll="0" defaultSubtotal="0">
      <items count="94">
        <item m="1" x="60"/>
        <item m="1" x="41"/>
        <item m="1" x="19"/>
        <item m="1" x="70"/>
        <item m="1" x="12"/>
        <item m="1" x="88"/>
        <item m="1" x="16"/>
        <item m="1" x="15"/>
        <item m="1" x="17"/>
        <item m="1" x="32"/>
        <item m="1" x="66"/>
        <item m="1" x="87"/>
        <item m="1" x="92"/>
        <item m="1" x="28"/>
        <item m="1" x="39"/>
        <item m="1" x="93"/>
        <item m="1" x="76"/>
        <item m="1" x="22"/>
        <item m="1" x="49"/>
        <item m="1" x="20"/>
        <item m="1" x="50"/>
        <item m="1" x="68"/>
        <item m="1" x="89"/>
        <item m="1" x="74"/>
        <item m="1" x="25"/>
        <item m="1" x="91"/>
        <item m="1" x="51"/>
        <item m="1" x="73"/>
        <item m="1" x="18"/>
        <item m="1" x="57"/>
        <item m="1" x="26"/>
        <item m="1" x="84"/>
        <item m="1" x="33"/>
        <item m="1" x="40"/>
        <item m="1" x="63"/>
        <item m="1" x="35"/>
        <item m="1" x="71"/>
        <item m="1" x="56"/>
        <item m="1" x="65"/>
        <item m="1" x="29"/>
        <item m="1" x="52"/>
        <item m="1" x="59"/>
        <item m="1" x="69"/>
        <item m="1" x="55"/>
        <item m="1" x="53"/>
        <item m="1" x="13"/>
        <item m="1" x="24"/>
        <item m="1" x="30"/>
        <item m="1" x="45"/>
        <item m="1" x="85"/>
        <item m="1" x="79"/>
        <item m="1" x="36"/>
        <item m="1" x="38"/>
        <item m="1" x="43"/>
        <item m="1" x="67"/>
        <item m="1" x="81"/>
        <item m="1" x="72"/>
        <item m="1" x="31"/>
        <item x="0"/>
        <item m="1" x="77"/>
        <item m="1" x="83"/>
        <item m="1" x="86"/>
        <item m="1" x="80"/>
        <item m="1" x="54"/>
        <item m="1" x="58"/>
        <item m="1" x="61"/>
        <item m="1" x="34"/>
        <item m="1" x="42"/>
        <item m="1" x="46"/>
        <item m="1" x="62"/>
        <item m="1" x="48"/>
        <item m="1" x="82"/>
        <item m="1" x="64"/>
        <item m="1" x="21"/>
        <item x="10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axis="axisPage" outline="0" multipleItemSelectionAllowed="1" showAll="0">
      <items count="21">
        <item x="6"/>
        <item h="1" m="1" x="18"/>
        <item h="1" m="1" x="19"/>
        <item h="1" m="1" x="17"/>
        <item h="1" x="0"/>
        <item h="1" x="1"/>
        <item h="1" x="2"/>
        <item h="1" x="3"/>
        <item h="1" x="4"/>
        <item h="1" x="5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t="default" sd="0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0"/>
    <field x="10"/>
  </rowFields>
  <rowItems count="18">
    <i>
      <x v="2"/>
      <x v="86"/>
    </i>
    <i r="1">
      <x v="90"/>
    </i>
    <i>
      <x v="3"/>
      <x v="86"/>
    </i>
    <i r="1">
      <x v="87"/>
    </i>
    <i r="1">
      <x v="89"/>
    </i>
    <i r="1">
      <x v="90"/>
    </i>
    <i>
      <x v="4"/>
      <x v="90"/>
    </i>
    <i>
      <x v="6"/>
      <x v="87"/>
    </i>
    <i>
      <x v="8"/>
      <x v="85"/>
    </i>
    <i r="1">
      <x v="87"/>
    </i>
    <i>
      <x v="9"/>
      <x v="85"/>
    </i>
    <i>
      <x v="11"/>
      <x v="86"/>
    </i>
    <i>
      <x v="12"/>
      <x v="85"/>
    </i>
    <i>
      <x v="13"/>
      <x v="87"/>
    </i>
    <i>
      <x v="15"/>
      <x v="91"/>
    </i>
    <i>
      <x v="17"/>
      <x v="87"/>
    </i>
    <i>
      <x v="18"/>
      <x v="74"/>
    </i>
    <i t="grand">
      <x/>
    </i>
  </rowItems>
  <colItems count="1">
    <i/>
  </colItems>
  <pageFields count="1">
    <pageField fld="12" hier="-1"/>
  </pageFields>
  <dataFields count="1">
    <dataField name="Движение" fld="19" baseField="0" baseItem="216" numFmtId="164"/>
  </dataFields>
  <formats count="4">
    <format dxfId="5">
      <pivotArea dataOnly="0" labelOnly="1" fieldPosition="0">
        <references count="1">
          <reference field="12" count="1">
            <x v="0"/>
          </reference>
        </references>
      </pivotArea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12" count="1">
            <x v="0"/>
          </reference>
        </references>
      </pivotArea>
    </format>
    <format dxfId="2">
      <pivotArea dataOnly="0" labelOnly="1" grandRow="1" outline="0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2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4:D8" firstHeaderRow="1" firstDataRow="1" firstDataCol="3" rowPageCount="1" colPageCount="1"/>
  <pivotFields count="21">
    <pivotField axis="axisRow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outline="0" showAll="0" defaultSubtotal="0">
      <items count="94">
        <item m="1" x="60"/>
        <item m="1" x="41"/>
        <item m="1" x="70"/>
        <item m="1" x="12"/>
        <item m="1" x="88"/>
        <item m="1" x="16"/>
        <item m="1" x="15"/>
        <item m="1" x="17"/>
        <item m="1" x="32"/>
        <item m="1" x="66"/>
        <item m="1" x="39"/>
        <item m="1" x="93"/>
        <item m="1" x="76"/>
        <item m="1" x="22"/>
        <item m="1" x="49"/>
        <item m="1" x="50"/>
        <item m="1" x="29"/>
        <item m="1" x="52"/>
        <item m="1" x="59"/>
        <item m="1" x="69"/>
        <item m="1" x="55"/>
        <item m="1" x="53"/>
        <item m="1" x="24"/>
        <item m="1" x="79"/>
        <item m="1" x="36"/>
        <item m="1" x="72"/>
        <item x="0"/>
        <item m="1" x="80"/>
        <item m="1" x="54"/>
        <item m="1" x="61"/>
        <item m="1" x="42"/>
        <item m="1" x="46"/>
        <item m="1" x="62"/>
        <item m="1" x="82"/>
        <item m="1" x="64"/>
        <item m="1" x="21"/>
        <item x="10"/>
        <item m="1" x="25"/>
        <item m="1" x="31"/>
        <item m="1" x="91"/>
        <item m="1" x="30"/>
        <item m="1" x="74"/>
        <item m="1" x="77"/>
        <item m="1" x="73"/>
        <item m="1" x="83"/>
        <item m="1" x="65"/>
        <item m="1" x="57"/>
        <item m="1" x="35"/>
        <item m="1" x="56"/>
        <item m="1" x="38"/>
        <item m="1" x="20"/>
        <item m="1" x="84"/>
        <item m="1" x="51"/>
        <item m="1" x="26"/>
        <item m="1" x="89"/>
        <item m="1" x="71"/>
        <item m="1" x="68"/>
        <item m="1" x="87"/>
        <item m="1" x="45"/>
        <item m="1" x="40"/>
        <item m="1" x="18"/>
        <item m="1" x="48"/>
        <item m="1" x="86"/>
        <item m="1" x="28"/>
        <item m="1" x="34"/>
        <item m="1" x="19"/>
        <item m="1" x="58"/>
        <item m="1" x="85"/>
        <item m="1" x="92"/>
        <item m="1" x="63"/>
        <item m="1" x="33"/>
        <item m="1" x="13"/>
        <item m="1" x="67"/>
        <item m="1" x="81"/>
        <item m="1" x="43"/>
        <item m="1" x="14"/>
        <item m="1" x="78"/>
        <item m="1" x="44"/>
        <item m="1" x="37"/>
        <item m="1" x="47"/>
        <item m="1" x="23"/>
        <item m="1" x="11"/>
        <item m="1" x="75"/>
        <item m="1" x="27"/>
        <item m="1" x="90"/>
        <item x="1"/>
        <item x="2"/>
        <item x="3"/>
        <item x="4"/>
        <item x="5"/>
        <item x="6"/>
        <item x="7"/>
        <item x="8"/>
        <item x="9"/>
      </items>
    </pivotField>
    <pivotField showAll="0"/>
    <pivotField outline="0" showAll="0"/>
    <pivotField axis="axisPage" showAll="0">
      <items count="9">
        <item x="0"/>
        <item x="4"/>
        <item x="3"/>
        <item x="1"/>
        <item x="2"/>
        <item x="5"/>
        <item x="6"/>
        <item x="7"/>
        <item t="default"/>
      </items>
    </pivotField>
    <pivotField showAll="0"/>
    <pivotField axis="axisRow" showAll="0">
      <items count="11">
        <item x="0"/>
        <item m="1" x="9"/>
        <item x="1"/>
        <item x="2"/>
        <item x="3"/>
        <item x="4"/>
        <item x="5"/>
        <item x="6"/>
        <item x="7"/>
        <item x="8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0"/>
    <field x="10"/>
    <field x="15"/>
  </rowFields>
  <rowItems count="4">
    <i>
      <x v="3"/>
      <x v="90"/>
      <x/>
    </i>
    <i>
      <x v="4"/>
      <x v="85"/>
      <x/>
    </i>
    <i r="1">
      <x v="90"/>
      <x/>
    </i>
    <i t="grand">
      <x/>
    </i>
  </rowItems>
  <colItems count="1">
    <i/>
  </colItems>
  <pageFields count="1">
    <pageField fld="13" item="2" hier="-1"/>
  </pageFields>
  <formats count="2">
    <format dxfId="1">
      <pivotArea field="0" type="button" dataOnly="0" labelOnly="1" outline="0" axis="axisRow" fieldPosition="0"/>
    </format>
    <format dxfId="0">
      <pivotArea dataOnly="0" labelOnly="1" grandRow="1" outline="0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14A4C-4301-4B5C-9A63-2B20A1C960FF}" name="Объекты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Q5:U50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61">
        <item x="30"/>
        <item x="28"/>
        <item x="9"/>
        <item x="3"/>
        <item x="6"/>
        <item x="26"/>
        <item x="14"/>
        <item x="35"/>
        <item x="17"/>
        <item x="27"/>
        <item x="24"/>
        <item x="46"/>
        <item x="33"/>
        <item x="45"/>
        <item x="18"/>
        <item x="58"/>
        <item x="29"/>
        <item x="20"/>
        <item x="16"/>
        <item x="60"/>
        <item x="41"/>
        <item x="54"/>
        <item x="13"/>
        <item x="2"/>
        <item x="31"/>
        <item x="44"/>
        <item x="39"/>
        <item x="51"/>
        <item x="59"/>
        <item x="1"/>
        <item x="25"/>
        <item x="23"/>
        <item x="34"/>
        <item x="36"/>
        <item x="47"/>
        <item x="52"/>
        <item x="53"/>
        <item x="7"/>
        <item x="32"/>
        <item x="43"/>
        <item x="8"/>
        <item x="21"/>
        <item x="50"/>
        <item x="48"/>
        <item x="49"/>
        <item x="4"/>
        <item x="10"/>
        <item x="15"/>
        <item x="55"/>
        <item x="38"/>
        <item x="19"/>
        <item x="11"/>
        <item x="56"/>
        <item x="42"/>
        <item x="40"/>
        <item x="5"/>
        <item x="22"/>
        <item x="57"/>
        <item x="37"/>
        <item x="12"/>
        <item x="0"/>
      </items>
    </pivotField>
    <pivotField axis="axisRow" outline="0" showAll="0">
      <items count="21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  <item t="default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</pivotFields>
  <rowFields count="4">
    <field x="12"/>
    <field x="11"/>
    <field x="15"/>
    <field x="0"/>
  </rowFields>
  <rowItems count="45">
    <i>
      <x v="3"/>
      <x v="6"/>
      <x v="4"/>
      <x v="2"/>
    </i>
    <i r="1">
      <x v="10"/>
      <x v="2"/>
      <x v="12"/>
    </i>
    <i r="2">
      <x v="9"/>
      <x v="4"/>
    </i>
    <i r="1">
      <x v="12"/>
      <x v="9"/>
      <x v="11"/>
    </i>
    <i t="default">
      <x v="3"/>
    </i>
    <i>
      <x v="5"/>
      <x v="7"/>
      <x v="9"/>
      <x v="7"/>
    </i>
    <i r="3">
      <x v="17"/>
    </i>
    <i t="default">
      <x v="5"/>
    </i>
    <i>
      <x v="6"/>
      <x v="2"/>
      <x v="6"/>
      <x v="16"/>
    </i>
    <i r="2">
      <x v="9"/>
      <x v="2"/>
    </i>
    <i r="3">
      <x v="4"/>
    </i>
    <i r="3">
      <x v="11"/>
    </i>
    <i r="1">
      <x v="3"/>
      <x v="9"/>
      <x v="1"/>
    </i>
    <i r="3">
      <x v="15"/>
    </i>
    <i r="3">
      <x v="17"/>
    </i>
    <i r="1">
      <x v="17"/>
      <x v="9"/>
      <x v="6"/>
    </i>
    <i t="default">
      <x v="6"/>
    </i>
    <i>
      <x v="7"/>
      <x v="12"/>
      <x v="9"/>
      <x v="7"/>
    </i>
    <i t="default">
      <x v="7"/>
    </i>
    <i>
      <x v="8"/>
      <x v="13"/>
      <x v="1"/>
      <x v="13"/>
    </i>
    <i r="1">
      <x v="14"/>
      <x v="1"/>
      <x v="3"/>
    </i>
    <i r="1">
      <x v="15"/>
      <x v="9"/>
      <x v="17"/>
    </i>
    <i t="default">
      <x v="8"/>
    </i>
    <i>
      <x v="9"/>
      <x v="18"/>
      <x v="9"/>
      <x v="14"/>
    </i>
    <i t="default">
      <x v="9"/>
    </i>
    <i>
      <x v="12"/>
      <x/>
      <x v="5"/>
      <x v="6"/>
    </i>
    <i t="default">
      <x v="12"/>
    </i>
    <i>
      <x v="16"/>
      <x v="8"/>
      <x v="7"/>
      <x v="3"/>
    </i>
    <i t="default">
      <x v="16"/>
    </i>
    <i>
      <x v="17"/>
      <x v="4"/>
      <x v="9"/>
      <x v="1"/>
    </i>
    <i r="3">
      <x v="5"/>
    </i>
    <i t="default">
      <x v="17"/>
    </i>
    <i>
      <x v="18"/>
      <x v="5"/>
      <x v="9"/>
      <x v="5"/>
    </i>
    <i t="default">
      <x v="18"/>
    </i>
    <i>
      <x v="19"/>
      <x v="1"/>
      <x v="9"/>
      <x v="6"/>
    </i>
    <i r="1">
      <x v="8"/>
      <x v="9"/>
      <x v="17"/>
    </i>
    <i r="1">
      <x v="9"/>
      <x v="3"/>
      <x v="6"/>
    </i>
    <i r="2">
      <x v="9"/>
      <x v="13"/>
    </i>
    <i r="1">
      <x v="11"/>
      <x v="9"/>
      <x v="13"/>
    </i>
    <i r="1">
      <x v="16"/>
      <x v="9"/>
      <x v="6"/>
    </i>
    <i r="1">
      <x v="17"/>
      <x v="9"/>
      <x v="3"/>
    </i>
    <i r="1">
      <x v="18"/>
      <x v="9"/>
      <x v="3"/>
    </i>
    <i r="3">
      <x v="8"/>
    </i>
    <i t="default">
      <x v="19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CE229-2BE8-4681-ABD6-2D6C47B7D41E}" name="Кому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J5:N58" firstHeaderRow="1" firstDataRow="1" firstDataCol="4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>
      <items count="62">
        <item x="30"/>
        <item x="28"/>
        <item x="9"/>
        <item x="3"/>
        <item x="6"/>
        <item x="26"/>
        <item x="14"/>
        <item x="35"/>
        <item x="17"/>
        <item x="27"/>
        <item x="24"/>
        <item x="46"/>
        <item x="33"/>
        <item x="45"/>
        <item x="18"/>
        <item x="58"/>
        <item x="29"/>
        <item x="20"/>
        <item x="16"/>
        <item x="60"/>
        <item x="41"/>
        <item x="54"/>
        <item x="13"/>
        <item x="2"/>
        <item x="31"/>
        <item x="44"/>
        <item x="39"/>
        <item x="51"/>
        <item x="59"/>
        <item x="1"/>
        <item x="25"/>
        <item x="23"/>
        <item x="34"/>
        <item x="36"/>
        <item x="47"/>
        <item x="52"/>
        <item x="53"/>
        <item x="7"/>
        <item x="32"/>
        <item x="43"/>
        <item x="8"/>
        <item x="21"/>
        <item x="50"/>
        <item x="48"/>
        <item x="49"/>
        <item x="4"/>
        <item x="10"/>
        <item x="15"/>
        <item x="55"/>
        <item x="38"/>
        <item x="19"/>
        <item x="11"/>
        <item x="56"/>
        <item x="42"/>
        <item x="40"/>
        <item x="5"/>
        <item x="22"/>
        <item x="57"/>
        <item x="37"/>
        <item x="12"/>
        <item x="0"/>
        <item t="default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outline="0" showAll="0"/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</pivotFields>
  <rowFields count="4">
    <field x="11"/>
    <field x="12"/>
    <field x="15"/>
    <field x="0"/>
  </rowFields>
  <rowItems count="53">
    <i>
      <x/>
      <x v="12"/>
      <x v="5"/>
      <x v="6"/>
    </i>
    <i t="default">
      <x/>
    </i>
    <i>
      <x v="1"/>
      <x v="19"/>
      <x v="9"/>
      <x v="6"/>
    </i>
    <i t="default">
      <x v="1"/>
    </i>
    <i>
      <x v="2"/>
      <x v="6"/>
      <x v="6"/>
      <x v="16"/>
    </i>
    <i r="2">
      <x v="9"/>
      <x v="2"/>
    </i>
    <i r="3">
      <x v="4"/>
    </i>
    <i r="3">
      <x v="11"/>
    </i>
    <i t="default">
      <x v="2"/>
    </i>
    <i>
      <x v="3"/>
      <x v="6"/>
      <x v="9"/>
      <x v="1"/>
    </i>
    <i r="3">
      <x v="15"/>
    </i>
    <i r="3">
      <x v="17"/>
    </i>
    <i t="default">
      <x v="3"/>
    </i>
    <i>
      <x v="4"/>
      <x v="17"/>
      <x v="9"/>
      <x v="1"/>
    </i>
    <i r="3">
      <x v="5"/>
    </i>
    <i t="default">
      <x v="4"/>
    </i>
    <i>
      <x v="5"/>
      <x v="18"/>
      <x v="9"/>
      <x v="5"/>
    </i>
    <i t="default">
      <x v="5"/>
    </i>
    <i>
      <x v="6"/>
      <x v="3"/>
      <x v="4"/>
      <x v="2"/>
    </i>
    <i t="default">
      <x v="6"/>
    </i>
    <i>
      <x v="7"/>
      <x v="5"/>
      <x v="9"/>
      <x v="7"/>
    </i>
    <i r="3">
      <x v="17"/>
    </i>
    <i t="default">
      <x v="7"/>
    </i>
    <i>
      <x v="8"/>
      <x v="16"/>
      <x v="7"/>
      <x v="3"/>
    </i>
    <i r="1">
      <x v="19"/>
      <x v="9"/>
      <x v="17"/>
    </i>
    <i t="default">
      <x v="8"/>
    </i>
    <i>
      <x v="9"/>
      <x v="19"/>
      <x v="3"/>
      <x v="6"/>
    </i>
    <i r="2">
      <x v="9"/>
      <x v="13"/>
    </i>
    <i t="default">
      <x v="9"/>
    </i>
    <i>
      <x v="10"/>
      <x v="3"/>
      <x v="2"/>
      <x v="12"/>
    </i>
    <i r="2">
      <x v="9"/>
      <x v="4"/>
    </i>
    <i t="default">
      <x v="10"/>
    </i>
    <i>
      <x v="11"/>
      <x v="19"/>
      <x v="9"/>
      <x v="13"/>
    </i>
    <i t="default">
      <x v="11"/>
    </i>
    <i>
      <x v="12"/>
      <x v="3"/>
      <x v="9"/>
      <x v="11"/>
    </i>
    <i r="1">
      <x v="7"/>
      <x v="9"/>
      <x v="7"/>
    </i>
    <i t="default">
      <x v="12"/>
    </i>
    <i>
      <x v="13"/>
      <x v="8"/>
      <x v="1"/>
      <x v="13"/>
    </i>
    <i t="default">
      <x v="13"/>
    </i>
    <i>
      <x v="14"/>
      <x v="8"/>
      <x v="1"/>
      <x v="3"/>
    </i>
    <i t="default">
      <x v="14"/>
    </i>
    <i>
      <x v="15"/>
      <x v="8"/>
      <x v="9"/>
      <x v="17"/>
    </i>
    <i t="default">
      <x v="15"/>
    </i>
    <i>
      <x v="16"/>
      <x v="19"/>
      <x v="9"/>
      <x v="6"/>
    </i>
    <i t="default">
      <x v="16"/>
    </i>
    <i>
      <x v="17"/>
      <x v="6"/>
      <x v="9"/>
      <x v="6"/>
    </i>
    <i r="1">
      <x v="19"/>
      <x v="9"/>
      <x v="3"/>
    </i>
    <i t="default">
      <x v="17"/>
    </i>
    <i>
      <x v="18"/>
      <x v="9"/>
      <x v="9"/>
      <x v="14"/>
    </i>
    <i r="1">
      <x v="19"/>
      <x v="9"/>
      <x v="3"/>
    </i>
    <i r="3">
      <x v="8"/>
    </i>
    <i t="default">
      <x v="18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B30B16-1D20-4279-8483-4D7F70813C77}" name="Получатели" cacheId="115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 fieldListSortAscending="1">
  <location ref="B5:G43" firstHeaderRow="1" firstDataRow="1" firstDataCol="5" rowPageCount="1" colPageCount="1"/>
  <pivotFields count="21">
    <pivotField axis="axisRow" showAll="0" sortType="ascending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95">
        <item h="1" x="0"/>
        <item h="1" x="10"/>
        <item h="1" m="1" x="76"/>
        <item h="1" m="1" x="66"/>
        <item h="1" m="1" x="25"/>
        <item h="1" m="1" x="31"/>
        <item h="1" m="1" x="46"/>
        <item h="1" m="1" x="91"/>
        <item h="1" m="1" x="30"/>
        <item h="1" m="1" x="79"/>
        <item h="1" m="1" x="74"/>
        <item h="1" m="1" x="77"/>
        <item h="1" m="1" x="54"/>
        <item h="1" m="1" x="21"/>
        <item h="1" m="1" x="32"/>
        <item h="1" m="1" x="73"/>
        <item h="1" m="1" x="83"/>
        <item h="1" m="1" x="65"/>
        <item h="1" m="1" x="57"/>
        <item h="1" m="1" x="35"/>
        <item h="1" m="1" x="80"/>
        <item h="1" m="1" x="56"/>
        <item h="1" m="1" x="38"/>
        <item h="1" m="1" x="62"/>
        <item h="1" m="1" x="20"/>
        <item h="1" m="1" x="84"/>
        <item h="1" m="1" x="22"/>
        <item h="1" m="1" x="51"/>
        <item h="1" m="1" x="26"/>
        <item h="1" m="1" x="89"/>
        <item h="1" m="1" x="71"/>
        <item h="1" m="1" x="68"/>
        <item h="1" m="1" x="87"/>
        <item h="1" m="1" x="45"/>
        <item h="1" m="1" x="40"/>
        <item h="1" m="1" x="59"/>
        <item h="1" m="1" x="18"/>
        <item h="1" m="1" x="53"/>
        <item h="1" m="1" x="48"/>
        <item h="1" m="1" x="86"/>
        <item h="1" m="1" x="28"/>
        <item h="1" m="1" x="34"/>
        <item h="1" m="1" x="19"/>
        <item h="1" m="1" x="58"/>
        <item h="1" m="1" x="85"/>
        <item h="1" m="1" x="92"/>
        <item h="1" m="1" x="63"/>
        <item h="1" m="1" x="33"/>
        <item h="1" m="1" x="13"/>
        <item h="1" m="1" x="67"/>
        <item h="1" m="1" x="81"/>
        <item h="1" m="1" x="43"/>
        <item h="1" m="1" x="14"/>
        <item h="1" m="1" x="78"/>
        <item h="1" m="1" x="44"/>
        <item h="1" m="1" x="37"/>
        <item h="1" m="1" x="47"/>
        <item h="1" m="1" x="23"/>
        <item h="1" m="1" x="11"/>
        <item h="1" m="1" x="75"/>
        <item h="1" m="1" x="27"/>
        <item h="1" m="1" x="90"/>
        <item h="1" m="1" x="12"/>
        <item h="1" m="1" x="15"/>
        <item h="1" m="1" x="16"/>
        <item h="1" m="1" x="17"/>
        <item h="1" m="1" x="24"/>
        <item h="1" m="1" x="29"/>
        <item h="1" m="1" x="36"/>
        <item h="1" m="1" x="39"/>
        <item h="1" m="1" x="41"/>
        <item h="1" m="1" x="42"/>
        <item h="1" m="1" x="49"/>
        <item h="1" m="1" x="50"/>
        <item h="1" m="1" x="52"/>
        <item h="1" m="1" x="55"/>
        <item h="1" m="1" x="60"/>
        <item h="1" m="1" x="61"/>
        <item h="1" m="1" x="64"/>
        <item h="1" m="1" x="69"/>
        <item h="1" m="1" x="70"/>
        <item h="1" m="1" x="72"/>
        <item h="1" m="1" x="82"/>
        <item h="1" m="1" x="88"/>
        <item h="1" m="1" x="93"/>
        <item h="1" x="1"/>
        <item h="1" x="2"/>
        <item x="3"/>
        <item h="1" x="4"/>
        <item h="1" x="5"/>
        <item h="1" x="6"/>
        <item h="1" x="7"/>
        <item h="1" x="8"/>
        <item h="1" x="9"/>
        <item t="default"/>
      </items>
    </pivotField>
    <pivotField axis="axisRow" outline="0" showAll="0" defaultSubtotal="0">
      <items count="61">
        <item x="30"/>
        <item x="28"/>
        <item x="9"/>
        <item x="3"/>
        <item x="6"/>
        <item x="26"/>
        <item x="14"/>
        <item x="35"/>
        <item x="17"/>
        <item x="27"/>
        <item x="24"/>
        <item x="46"/>
        <item x="33"/>
        <item x="45"/>
        <item x="18"/>
        <item x="58"/>
        <item x="29"/>
        <item x="20"/>
        <item x="16"/>
        <item x="60"/>
        <item x="41"/>
        <item x="54"/>
        <item x="13"/>
        <item x="2"/>
        <item x="31"/>
        <item x="44"/>
        <item x="39"/>
        <item x="51"/>
        <item x="59"/>
        <item x="1"/>
        <item x="25"/>
        <item x="23"/>
        <item x="34"/>
        <item x="36"/>
        <item x="47"/>
        <item x="52"/>
        <item x="53"/>
        <item x="7"/>
        <item x="32"/>
        <item x="43"/>
        <item x="8"/>
        <item x="21"/>
        <item x="50"/>
        <item x="48"/>
        <item x="49"/>
        <item x="4"/>
        <item x="10"/>
        <item x="15"/>
        <item x="55"/>
        <item x="38"/>
        <item x="19"/>
        <item x="11"/>
        <item x="56"/>
        <item x="42"/>
        <item x="40"/>
        <item x="5"/>
        <item x="22"/>
        <item x="57"/>
        <item x="37"/>
        <item x="12"/>
        <item x="0"/>
      </items>
    </pivotField>
    <pivotField axis="axisRow" outline="0" showAll="0" defaultSubtotal="0">
      <items count="20">
        <item m="1" x="18"/>
        <item m="1" x="17"/>
        <item m="1" x="19"/>
        <item x="1"/>
        <item x="4"/>
        <item x="10"/>
        <item x="3"/>
        <item x="13"/>
        <item x="2"/>
        <item x="16"/>
        <item x="15"/>
        <item x="9"/>
        <item x="12"/>
        <item x="14"/>
        <item x="7"/>
        <item x="0"/>
        <item x="8"/>
        <item x="5"/>
        <item x="11"/>
        <item x="6"/>
      </items>
    </pivotField>
    <pivotField axis="axisRow" outline="0" showAll="0">
      <items count="9">
        <item x="7"/>
        <item x="2"/>
        <item x="1"/>
        <item x="4"/>
        <item x="3"/>
        <item x="5"/>
        <item x="6"/>
        <item x="0"/>
        <item t="default"/>
      </items>
    </pivotField>
    <pivotField showAll="0"/>
    <pivotField axis="axisRow" outline="0" showAll="0" defaultSubtotal="0">
      <items count="10">
        <item m="1" x="9"/>
        <item x="3"/>
        <item x="7"/>
        <item x="5"/>
        <item x="1"/>
        <item x="6"/>
        <item x="8"/>
        <item x="2"/>
        <item x="4"/>
        <item x="0"/>
      </items>
    </pivotField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  <pivotField dragToRow="0" dragToCol="0" dragToPage="0" showAll="0"/>
  </pivotFields>
  <rowFields count="5">
    <field x="13"/>
    <field x="11"/>
    <field x="12"/>
    <field x="15"/>
    <field x="0"/>
  </rowFields>
  <rowItems count="38">
    <i>
      <x v="1"/>
      <x v="2"/>
      <x v="6"/>
      <x v="6"/>
      <x v="16"/>
    </i>
    <i r="3">
      <x v="9"/>
      <x v="2"/>
    </i>
    <i r="4">
      <x v="4"/>
    </i>
    <i r="4">
      <x v="11"/>
    </i>
    <i r="1">
      <x v="12"/>
      <x v="3"/>
      <x v="9"/>
      <x v="11"/>
    </i>
    <i t="default">
      <x v="1"/>
    </i>
    <i>
      <x v="2"/>
      <x v="3"/>
      <x v="6"/>
      <x v="9"/>
      <x v="1"/>
    </i>
    <i r="4">
      <x v="15"/>
    </i>
    <i r="4">
      <x v="17"/>
    </i>
    <i r="1">
      <x v="4"/>
      <x v="17"/>
      <x v="9"/>
      <x v="1"/>
    </i>
    <i r="4">
      <x v="5"/>
    </i>
    <i r="1">
      <x v="5"/>
      <x v="18"/>
      <x v="9"/>
      <x v="5"/>
    </i>
    <i r="1">
      <x v="6"/>
      <x v="3"/>
      <x v="4"/>
      <x v="2"/>
    </i>
    <i r="1">
      <x v="10"/>
      <x v="3"/>
      <x v="2"/>
      <x v="12"/>
    </i>
    <i r="3">
      <x v="9"/>
      <x v="4"/>
    </i>
    <i t="default">
      <x v="2"/>
    </i>
    <i>
      <x v="5"/>
      <x v="7"/>
      <x v="5"/>
      <x v="9"/>
      <x v="17"/>
    </i>
    <i r="1">
      <x v="8"/>
      <x v="19"/>
      <x v="9"/>
      <x v="17"/>
    </i>
    <i r="1">
      <x v="15"/>
      <x v="8"/>
      <x v="9"/>
      <x v="17"/>
    </i>
    <i r="1">
      <x v="17"/>
      <x v="19"/>
      <x v="9"/>
      <x v="3"/>
    </i>
    <i t="default">
      <x v="5"/>
    </i>
    <i>
      <x v="7"/>
      <x/>
      <x v="12"/>
      <x v="5"/>
      <x v="6"/>
    </i>
    <i r="1">
      <x v="1"/>
      <x v="19"/>
      <x v="9"/>
      <x v="6"/>
    </i>
    <i r="1">
      <x v="7"/>
      <x v="5"/>
      <x v="9"/>
      <x v="7"/>
    </i>
    <i r="1">
      <x v="8"/>
      <x v="16"/>
      <x v="7"/>
      <x v="3"/>
    </i>
    <i r="1">
      <x v="9"/>
      <x v="19"/>
      <x v="3"/>
      <x v="6"/>
    </i>
    <i r="3">
      <x v="9"/>
      <x v="13"/>
    </i>
    <i r="1">
      <x v="11"/>
      <x v="19"/>
      <x v="9"/>
      <x v="13"/>
    </i>
    <i r="1">
      <x v="12"/>
      <x v="7"/>
      <x v="9"/>
      <x v="7"/>
    </i>
    <i r="1">
      <x v="13"/>
      <x v="8"/>
      <x v="1"/>
      <x v="13"/>
    </i>
    <i r="1">
      <x v="14"/>
      <x v="8"/>
      <x v="1"/>
      <x v="3"/>
    </i>
    <i r="1">
      <x v="16"/>
      <x v="19"/>
      <x v="9"/>
      <x v="6"/>
    </i>
    <i r="1">
      <x v="17"/>
      <x v="6"/>
      <x v="9"/>
      <x v="6"/>
    </i>
    <i r="1">
      <x v="18"/>
      <x v="9"/>
      <x v="9"/>
      <x v="14"/>
    </i>
    <i r="2">
      <x v="19"/>
      <x v="9"/>
      <x v="3"/>
    </i>
    <i r="4">
      <x v="8"/>
    </i>
    <i t="default">
      <x v="7"/>
    </i>
    <i t="grand">
      <x/>
    </i>
  </rowItems>
  <colItems count="1">
    <i/>
  </colItems>
  <pageFields count="1">
    <pageField fld="10" hier="-1"/>
  </pageFields>
  <dataFields count="1">
    <dataField name="Зарплата" fld="7" baseField="5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Объекты" displayName="Объекты" ref="B1:B246" totalsRowShown="0">
  <autoFilter ref="B1:B246" xr:uid="{00000000-0009-0000-0100-000001000000}"/>
  <tableColumns count="1">
    <tableColumn id="2" xr3:uid="{00000000-0010-0000-0000-000002000000}" name="Объекты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олучатели" displayName="Получатели" ref="D1:D100" totalsRowShown="0">
  <autoFilter ref="D1:D100" xr:uid="{00000000-0009-0000-0100-000002000000}"/>
  <tableColumns count="1">
    <tableColumn id="1" xr3:uid="{00000000-0010-0000-0100-000001000000}" name="Получатели"/>
  </tableColumns>
  <tableStyleInfo name="TableStyleMedium13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Источники" displayName="Источники" ref="F1:F10" totalsRowShown="0">
  <autoFilter ref="F1:F10" xr:uid="{00000000-0009-0000-0100-000003000000}"/>
  <tableColumns count="1">
    <tableColumn id="1" xr3:uid="{00000000-0010-0000-0200-000001000000}" name="Источники_ДС"/>
  </tableColumns>
  <tableStyleInfo name="TableStyleMedium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Платеж" displayName="Платеж" ref="H1:H11" totalsRowShown="0">
  <autoFilter ref="H1:H11" xr:uid="{00000000-0009-0000-0100-000004000000}"/>
  <tableColumns count="1">
    <tableColumn id="1" xr3:uid="{00000000-0010-0000-0300-000001000000}" name="Вид платежа"/>
  </tableColumns>
  <tableStyleInfo name="TableStyleMedium1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V39"/>
  <sheetViews>
    <sheetView showGridLines="0" tabSelected="1" workbookViewId="0">
      <selection activeCell="AI30" sqref="AI29:AI30"/>
    </sheetView>
  </sheetViews>
  <sheetFormatPr defaultRowHeight="15" x14ac:dyDescent="0.25"/>
  <cols>
    <col min="1" max="1" width="1" customWidth="1"/>
    <col min="2" max="61" width="2.42578125" customWidth="1"/>
    <col min="62" max="69" width="1" customWidth="1"/>
    <col min="70" max="70" width="28.28515625" customWidth="1"/>
    <col min="71" max="71" width="2" customWidth="1"/>
  </cols>
  <sheetData>
    <row r="1" spans="1:74" ht="6" customHeight="1" thickBot="1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R1" s="8">
        <v>0</v>
      </c>
    </row>
    <row r="2" spans="1:74" x14ac:dyDescent="0.25">
      <c r="A2" s="64"/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7"/>
      <c r="BI2" s="64"/>
      <c r="BR2" s="100" t="s">
        <v>252</v>
      </c>
      <c r="BS2" s="101"/>
      <c r="BT2" s="101"/>
      <c r="BU2" s="101"/>
      <c r="BV2" s="101"/>
    </row>
    <row r="3" spans="1:74" ht="23.25" x14ac:dyDescent="0.35">
      <c r="A3" s="64"/>
      <c r="B3" s="68"/>
      <c r="C3" s="76" t="s">
        <v>143</v>
      </c>
      <c r="D3" s="76"/>
      <c r="E3" s="76"/>
      <c r="F3" s="76"/>
      <c r="G3" s="76"/>
      <c r="H3" s="76"/>
      <c r="I3" s="76"/>
      <c r="J3" s="76"/>
      <c r="K3" s="76"/>
      <c r="L3" s="77"/>
      <c r="M3" s="77"/>
      <c r="N3" s="77"/>
      <c r="O3" s="77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9"/>
      <c r="BI3" s="64"/>
      <c r="BR3" s="102" t="s">
        <v>180</v>
      </c>
      <c r="BS3" s="102" t="s">
        <v>181</v>
      </c>
      <c r="BT3" s="102"/>
      <c r="BU3" s="102"/>
      <c r="BV3" s="102"/>
    </row>
    <row r="4" spans="1:74" x14ac:dyDescent="0.25">
      <c r="A4" s="64"/>
      <c r="B4" s="68"/>
      <c r="C4" s="73"/>
      <c r="D4" s="73"/>
      <c r="E4" s="73"/>
      <c r="F4" s="73"/>
      <c r="G4" s="73"/>
      <c r="H4" s="73"/>
      <c r="I4" s="73"/>
      <c r="J4" s="73"/>
      <c r="K4" s="73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9"/>
      <c r="BI4" s="64"/>
      <c r="BR4" s="102" t="s">
        <v>180</v>
      </c>
      <c r="BS4" s="102" t="s">
        <v>205</v>
      </c>
      <c r="BT4" s="102"/>
      <c r="BU4" s="102"/>
      <c r="BV4" s="102"/>
    </row>
    <row r="5" spans="1:74" x14ac:dyDescent="0.25">
      <c r="A5" s="64"/>
      <c r="B5" s="68"/>
      <c r="C5" s="73" t="s">
        <v>39</v>
      </c>
      <c r="D5" s="73"/>
      <c r="E5" s="73"/>
      <c r="F5" s="73"/>
      <c r="G5" s="73"/>
      <c r="H5" s="73"/>
      <c r="I5" s="73"/>
      <c r="J5" s="73"/>
      <c r="K5" s="73"/>
      <c r="L5" s="62"/>
      <c r="M5" s="87">
        <f ca="1">TODAY()</f>
        <v>45167</v>
      </c>
      <c r="N5" s="88"/>
      <c r="O5" s="88"/>
      <c r="P5" s="88"/>
      <c r="Q5" s="88"/>
      <c r="R5" s="89"/>
      <c r="S5" s="75"/>
      <c r="T5" s="75"/>
      <c r="U5" s="75"/>
      <c r="V5" s="75"/>
      <c r="W5" s="75"/>
      <c r="X5" s="75"/>
      <c r="Y5" s="75"/>
      <c r="Z5" s="75"/>
      <c r="AA5" s="75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9"/>
      <c r="BI5" s="64"/>
      <c r="BR5" s="102" t="s">
        <v>180</v>
      </c>
      <c r="BS5" s="102" t="s">
        <v>251</v>
      </c>
      <c r="BT5" s="102"/>
      <c r="BU5" s="102"/>
      <c r="BV5" s="102"/>
    </row>
    <row r="6" spans="1:74" x14ac:dyDescent="0.25">
      <c r="A6" s="64"/>
      <c r="B6" s="68"/>
      <c r="C6" s="73"/>
      <c r="D6" s="73"/>
      <c r="E6" s="73"/>
      <c r="F6" s="73"/>
      <c r="G6" s="73"/>
      <c r="H6" s="73"/>
      <c r="I6" s="73"/>
      <c r="J6" s="73"/>
      <c r="K6" s="73"/>
      <c r="L6" s="62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9"/>
      <c r="BI6" s="64"/>
      <c r="BR6" s="101" t="s">
        <v>180</v>
      </c>
      <c r="BS6" s="101" t="s">
        <v>253</v>
      </c>
      <c r="BT6" s="101"/>
      <c r="BU6" s="101"/>
      <c r="BV6" s="101"/>
    </row>
    <row r="7" spans="1:74" x14ac:dyDescent="0.25">
      <c r="A7" s="64"/>
      <c r="B7" s="68"/>
      <c r="C7" s="73" t="s">
        <v>144</v>
      </c>
      <c r="D7" s="73"/>
      <c r="E7" s="73"/>
      <c r="F7" s="73"/>
      <c r="G7" s="73"/>
      <c r="H7" s="73"/>
      <c r="I7" s="73"/>
      <c r="J7" s="73"/>
      <c r="K7" s="73"/>
      <c r="L7" s="62"/>
      <c r="M7" s="87">
        <f>MIN(Учет!A:A)</f>
        <v>45140</v>
      </c>
      <c r="N7" s="88"/>
      <c r="O7" s="88"/>
      <c r="P7" s="88"/>
      <c r="Q7" s="88"/>
      <c r="R7" s="89"/>
      <c r="S7" s="75"/>
      <c r="T7" s="75" t="s">
        <v>145</v>
      </c>
      <c r="U7" s="75"/>
      <c r="V7" s="87">
        <f>MAX(Учет!A:A)</f>
        <v>45161</v>
      </c>
      <c r="W7" s="88"/>
      <c r="X7" s="88"/>
      <c r="Y7" s="88"/>
      <c r="Z7" s="88"/>
      <c r="AA7" s="89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9"/>
      <c r="BI7" s="64"/>
      <c r="BR7" s="101" t="s">
        <v>180</v>
      </c>
      <c r="BS7" s="101" t="s">
        <v>254</v>
      </c>
      <c r="BT7" s="101"/>
      <c r="BU7" s="101"/>
      <c r="BV7" s="101"/>
    </row>
    <row r="8" spans="1:74" x14ac:dyDescent="0.25">
      <c r="A8" s="64"/>
      <c r="B8" s="68"/>
      <c r="C8" s="73"/>
      <c r="D8" s="73"/>
      <c r="E8" s="73"/>
      <c r="F8" s="73"/>
      <c r="G8" s="73"/>
      <c r="H8" s="73"/>
      <c r="I8" s="73"/>
      <c r="J8" s="73"/>
      <c r="K8" s="73"/>
      <c r="L8" s="62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9"/>
      <c r="BI8" s="64"/>
      <c r="BR8" s="101" t="s">
        <v>180</v>
      </c>
      <c r="BS8" s="101" t="s">
        <v>255</v>
      </c>
      <c r="BT8" s="101"/>
      <c r="BU8" s="101"/>
      <c r="BV8" s="101"/>
    </row>
    <row r="9" spans="1:74" x14ac:dyDescent="0.25">
      <c r="A9" s="64"/>
      <c r="B9" s="68"/>
      <c r="C9" s="74"/>
      <c r="D9" s="73"/>
      <c r="E9" s="73"/>
      <c r="F9" s="73"/>
      <c r="G9" s="73"/>
      <c r="H9" s="73"/>
      <c r="I9" s="73"/>
      <c r="J9" s="73"/>
      <c r="K9" s="73"/>
      <c r="L9" s="62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9"/>
      <c r="BI9" s="64"/>
      <c r="BR9" s="101"/>
      <c r="BS9" s="101"/>
      <c r="BT9" s="101"/>
      <c r="BU9" s="101"/>
      <c r="BV9" s="101"/>
    </row>
    <row r="10" spans="1:74" ht="18.75" x14ac:dyDescent="0.3">
      <c r="A10" s="64"/>
      <c r="B10" s="68"/>
      <c r="C10" s="83" t="s">
        <v>146</v>
      </c>
      <c r="D10" s="73"/>
      <c r="E10" s="73"/>
      <c r="F10" s="73"/>
      <c r="G10" s="73"/>
      <c r="H10" s="73"/>
      <c r="I10" s="73"/>
      <c r="J10" s="73"/>
      <c r="K10" s="73"/>
      <c r="L10" s="62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9"/>
      <c r="BI10" s="64"/>
      <c r="BR10" s="101"/>
      <c r="BS10" s="101"/>
      <c r="BT10" s="101"/>
      <c r="BU10" s="101"/>
      <c r="BV10" s="101"/>
    </row>
    <row r="11" spans="1:74" x14ac:dyDescent="0.25">
      <c r="A11" s="64"/>
      <c r="B11" s="68"/>
      <c r="C11" s="74"/>
      <c r="D11" s="73" t="s">
        <v>172</v>
      </c>
      <c r="H11" s="73"/>
      <c r="I11" s="73"/>
      <c r="J11" s="73"/>
      <c r="K11" s="73"/>
      <c r="L11" s="62"/>
      <c r="M11" s="87">
        <v>45148</v>
      </c>
      <c r="N11" s="88"/>
      <c r="O11" s="88"/>
      <c r="P11" s="88"/>
      <c r="Q11" s="88"/>
      <c r="R11" s="89"/>
      <c r="S11" s="75"/>
      <c r="T11" s="75" t="s">
        <v>145</v>
      </c>
      <c r="U11" s="75"/>
      <c r="V11" s="87">
        <v>45158</v>
      </c>
      <c r="W11" s="88"/>
      <c r="X11" s="88"/>
      <c r="Y11" s="88"/>
      <c r="Z11" s="88"/>
      <c r="AA11" s="89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9"/>
      <c r="BI11" s="64"/>
      <c r="BR11" s="101"/>
      <c r="BS11" s="101"/>
      <c r="BT11" s="101"/>
      <c r="BU11" s="101"/>
      <c r="BV11" s="101"/>
    </row>
    <row r="12" spans="1:74" x14ac:dyDescent="0.25">
      <c r="A12" s="64"/>
      <c r="B12" s="68"/>
      <c r="C12" s="74"/>
      <c r="D12" s="73"/>
      <c r="H12" s="73"/>
      <c r="I12" s="73"/>
      <c r="J12" s="73"/>
      <c r="K12" s="73"/>
      <c r="L12" s="62"/>
      <c r="M12" s="84"/>
      <c r="N12" s="84"/>
      <c r="O12" s="84"/>
      <c r="P12" s="84"/>
      <c r="Q12" s="84"/>
      <c r="R12" s="84"/>
      <c r="S12" s="75"/>
      <c r="T12" s="75"/>
      <c r="U12" s="75"/>
      <c r="V12" s="84"/>
      <c r="W12" s="84"/>
      <c r="X12" s="84"/>
      <c r="Y12" s="84"/>
      <c r="Z12" s="84"/>
      <c r="AA12" s="8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9"/>
      <c r="BI12" s="64"/>
    </row>
    <row r="13" spans="1:74" x14ac:dyDescent="0.25">
      <c r="A13" s="64"/>
      <c r="B13" s="68"/>
      <c r="D13" s="73" t="s">
        <v>173</v>
      </c>
      <c r="F13" s="73"/>
      <c r="G13" s="73"/>
      <c r="H13" s="73"/>
      <c r="I13" s="73"/>
      <c r="J13" s="73"/>
      <c r="K13" s="73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9"/>
      <c r="BI13" s="64"/>
    </row>
    <row r="14" spans="1:74" x14ac:dyDescent="0.25">
      <c r="A14" s="64"/>
      <c r="B14" s="68"/>
      <c r="D14" s="73"/>
      <c r="F14" s="73"/>
      <c r="G14" s="73"/>
      <c r="H14" s="73"/>
      <c r="I14" s="73"/>
      <c r="J14" s="73"/>
      <c r="K14" s="73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9"/>
      <c r="BI14" s="64"/>
    </row>
    <row r="15" spans="1:74" x14ac:dyDescent="0.25">
      <c r="A15" s="64"/>
      <c r="B15" s="68"/>
      <c r="C15" s="73"/>
      <c r="D15" s="73"/>
      <c r="E15" s="73"/>
      <c r="F15" s="73"/>
      <c r="G15" s="73" t="s">
        <v>164</v>
      </c>
      <c r="H15" s="73"/>
      <c r="I15" s="73"/>
      <c r="J15" s="73"/>
      <c r="K15" s="73"/>
      <c r="L15" s="62"/>
      <c r="M15" s="62"/>
      <c r="N15" s="62"/>
      <c r="O15" s="62"/>
      <c r="P15" s="81" t="s">
        <v>165</v>
      </c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73" t="s">
        <v>148</v>
      </c>
      <c r="AQ15" s="82"/>
      <c r="AR15" s="82"/>
      <c r="AS15" s="82"/>
      <c r="AT15" s="82"/>
      <c r="AU15" s="8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9"/>
      <c r="BI15" s="64"/>
    </row>
    <row r="16" spans="1:74" x14ac:dyDescent="0.25">
      <c r="A16" s="64"/>
      <c r="B16" s="68"/>
      <c r="C16" s="73"/>
      <c r="D16" s="73"/>
      <c r="E16" s="73"/>
      <c r="F16" s="73"/>
      <c r="G16" s="73"/>
      <c r="H16" s="73"/>
      <c r="I16" s="73"/>
      <c r="J16" s="73"/>
      <c r="K16" s="73"/>
      <c r="L16" s="62"/>
      <c r="M16" s="62"/>
      <c r="N16" s="62"/>
      <c r="O16" s="6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73"/>
      <c r="AQ16" s="82"/>
      <c r="AR16" s="82"/>
      <c r="AS16" s="82"/>
      <c r="AT16" s="82"/>
      <c r="AU16" s="8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9"/>
      <c r="BI16" s="64"/>
    </row>
    <row r="17" spans="1:61" x14ac:dyDescent="0.25">
      <c r="A17" s="64"/>
      <c r="B17" s="68"/>
      <c r="C17" s="73"/>
      <c r="D17" s="73"/>
      <c r="E17" s="73"/>
      <c r="F17" s="73"/>
      <c r="G17" s="73"/>
      <c r="H17" s="73"/>
      <c r="I17" s="73"/>
      <c r="J17" s="73"/>
      <c r="K17" s="73"/>
      <c r="L17" s="62"/>
      <c r="M17" s="62"/>
      <c r="N17" s="62"/>
      <c r="O17" s="62"/>
      <c r="P17" s="82" t="s">
        <v>166</v>
      </c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73" t="s">
        <v>150</v>
      </c>
      <c r="AQ17" s="82"/>
      <c r="AR17" s="82"/>
      <c r="AS17" s="82"/>
      <c r="AT17" s="82"/>
      <c r="AU17" s="8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9"/>
      <c r="BI17" s="64"/>
    </row>
    <row r="18" spans="1:61" x14ac:dyDescent="0.25">
      <c r="A18" s="64"/>
      <c r="B18" s="68"/>
      <c r="C18" s="73"/>
      <c r="D18" s="73"/>
      <c r="E18" s="73"/>
      <c r="F18" s="73"/>
      <c r="G18" s="73"/>
      <c r="H18" s="73"/>
      <c r="I18" s="73"/>
      <c r="J18" s="73"/>
      <c r="K18" s="73"/>
      <c r="L18" s="62"/>
      <c r="M18" s="62"/>
      <c r="N18" s="62"/>
      <c r="O18" s="62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73"/>
      <c r="AQ18" s="82"/>
      <c r="AR18" s="82"/>
      <c r="AS18" s="82"/>
      <c r="AT18" s="82"/>
      <c r="AU18" s="8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9"/>
      <c r="BI18" s="64"/>
    </row>
    <row r="19" spans="1:61" x14ac:dyDescent="0.25">
      <c r="A19" s="64"/>
      <c r="B19" s="68"/>
      <c r="C19" s="73"/>
      <c r="D19" s="73"/>
      <c r="E19" s="73"/>
      <c r="F19" s="73"/>
      <c r="G19" s="73" t="s">
        <v>147</v>
      </c>
      <c r="H19" s="73"/>
      <c r="I19" s="73"/>
      <c r="J19" s="73"/>
      <c r="K19" s="73"/>
      <c r="L19" s="62"/>
      <c r="M19" s="62"/>
      <c r="N19" s="62"/>
      <c r="O19" s="62"/>
      <c r="P19" s="81" t="s">
        <v>167</v>
      </c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73" t="s">
        <v>152</v>
      </c>
      <c r="AQ19" s="82"/>
      <c r="AR19" s="82"/>
      <c r="AS19" s="82"/>
      <c r="AT19" s="82"/>
      <c r="AU19" s="8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9"/>
      <c r="BI19" s="64"/>
    </row>
    <row r="20" spans="1:61" x14ac:dyDescent="0.25">
      <c r="A20" s="64"/>
      <c r="B20" s="68"/>
      <c r="C20" s="73"/>
      <c r="D20" s="73"/>
      <c r="E20" s="73"/>
      <c r="F20" s="73"/>
      <c r="G20" s="73"/>
      <c r="H20" s="73"/>
      <c r="I20" s="73"/>
      <c r="J20" s="73"/>
      <c r="K20" s="73"/>
      <c r="L20" s="62"/>
      <c r="M20" s="62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73"/>
      <c r="AQ20" s="82"/>
      <c r="AR20" s="82"/>
      <c r="AS20" s="82"/>
      <c r="AT20" s="82"/>
      <c r="AU20" s="8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9"/>
      <c r="BI20" s="64"/>
    </row>
    <row r="21" spans="1:61" x14ac:dyDescent="0.25">
      <c r="A21" s="64"/>
      <c r="B21" s="68"/>
      <c r="C21" s="73"/>
      <c r="D21" s="73"/>
      <c r="E21" s="73"/>
      <c r="F21" s="73"/>
      <c r="G21" s="73"/>
      <c r="H21" s="73"/>
      <c r="I21" s="73"/>
      <c r="J21" s="73"/>
      <c r="K21" s="73"/>
      <c r="L21" s="62"/>
      <c r="M21" s="62"/>
      <c r="N21" s="62"/>
      <c r="O21" s="62"/>
      <c r="P21" s="81" t="s">
        <v>168</v>
      </c>
      <c r="Q21" s="81"/>
      <c r="R21" s="82"/>
      <c r="S21" s="82"/>
      <c r="T21" s="82"/>
      <c r="U21" s="82"/>
      <c r="V21" s="82"/>
      <c r="W21" s="97" t="s">
        <v>15</v>
      </c>
      <c r="X21" s="98"/>
      <c r="Y21" s="98"/>
      <c r="Z21" s="98"/>
      <c r="AA21" s="98"/>
      <c r="AB21" s="98"/>
      <c r="AC21" s="98"/>
      <c r="AD21" s="98"/>
      <c r="AE21" s="98"/>
      <c r="AF21" s="98"/>
      <c r="AG21" s="99"/>
      <c r="AH21" s="82"/>
      <c r="AI21" s="82"/>
      <c r="AJ21" s="82"/>
      <c r="AK21" s="82"/>
      <c r="AL21" s="82"/>
      <c r="AM21" s="82"/>
      <c r="AN21" s="82"/>
      <c r="AO21" s="82"/>
      <c r="AP21" s="73" t="s">
        <v>153</v>
      </c>
      <c r="AQ21" s="82"/>
      <c r="AR21" s="82"/>
      <c r="AS21" s="82"/>
      <c r="AT21" s="82"/>
      <c r="AU21" s="8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9"/>
      <c r="BI21" s="64"/>
    </row>
    <row r="22" spans="1:61" x14ac:dyDescent="0.25">
      <c r="A22" s="64"/>
      <c r="B22" s="68"/>
      <c r="C22" s="73"/>
      <c r="D22" s="73"/>
      <c r="E22" s="73"/>
      <c r="F22" s="73"/>
      <c r="H22" s="73"/>
      <c r="I22" s="73"/>
      <c r="J22" s="73"/>
      <c r="K22" s="73"/>
      <c r="L22" s="62"/>
      <c r="M22" s="62"/>
      <c r="N22" s="62"/>
      <c r="O22" s="62"/>
      <c r="P22" s="82"/>
      <c r="Q22" s="82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9"/>
      <c r="BI22" s="64"/>
    </row>
    <row r="23" spans="1:61" x14ac:dyDescent="0.25">
      <c r="A23" s="64"/>
      <c r="B23" s="68"/>
      <c r="C23" s="73"/>
      <c r="D23" s="73"/>
      <c r="E23" s="73"/>
      <c r="F23" s="73"/>
      <c r="H23" s="73"/>
      <c r="I23" s="73"/>
      <c r="J23" s="73"/>
      <c r="K23" s="73"/>
      <c r="L23" s="62"/>
      <c r="M23" s="62"/>
      <c r="N23" s="62"/>
      <c r="O23" s="62"/>
      <c r="P23" s="82" t="s">
        <v>169</v>
      </c>
      <c r="Q23" s="82"/>
      <c r="R23" s="82"/>
      <c r="S23" s="82"/>
      <c r="T23" s="82"/>
      <c r="U23" s="82"/>
      <c r="V23" s="82"/>
      <c r="W23" s="97" t="s">
        <v>19</v>
      </c>
      <c r="X23" s="98"/>
      <c r="Y23" s="98"/>
      <c r="Z23" s="98"/>
      <c r="AA23" s="98"/>
      <c r="AB23" s="98"/>
      <c r="AC23" s="98"/>
      <c r="AD23" s="98"/>
      <c r="AE23" s="98"/>
      <c r="AF23" s="98"/>
      <c r="AG23" s="99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9"/>
      <c r="BI23" s="64"/>
    </row>
    <row r="24" spans="1:61" x14ac:dyDescent="0.25">
      <c r="A24" s="64"/>
      <c r="B24" s="68"/>
      <c r="C24" s="73"/>
      <c r="D24" s="73"/>
      <c r="E24" s="73"/>
      <c r="F24" s="73"/>
      <c r="H24" s="73"/>
      <c r="I24" s="73"/>
      <c r="J24" s="73"/>
      <c r="K24" s="73"/>
      <c r="L24" s="62"/>
      <c r="M24" s="62"/>
      <c r="N24" s="62"/>
      <c r="O24" s="62"/>
      <c r="P24" s="82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9"/>
      <c r="BI24" s="64"/>
    </row>
    <row r="25" spans="1:61" x14ac:dyDescent="0.25">
      <c r="A25" s="64"/>
      <c r="B25" s="68"/>
      <c r="C25" s="73"/>
      <c r="D25" s="73"/>
      <c r="E25" s="73"/>
      <c r="F25" s="73"/>
      <c r="H25" s="73"/>
      <c r="I25" s="73"/>
      <c r="J25" s="73"/>
      <c r="K25" s="73"/>
      <c r="L25" s="62"/>
      <c r="M25" s="62"/>
      <c r="N25" s="62"/>
      <c r="O25" s="62"/>
      <c r="P25" s="82" t="s">
        <v>170</v>
      </c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9"/>
      <c r="BI25" s="64"/>
    </row>
    <row r="26" spans="1:61" x14ac:dyDescent="0.25">
      <c r="A26" s="64"/>
      <c r="B26" s="68"/>
      <c r="C26" s="73"/>
      <c r="D26" s="73"/>
      <c r="E26" s="73"/>
      <c r="F26" s="73"/>
      <c r="G26" s="73"/>
      <c r="H26" s="73"/>
      <c r="I26" s="73"/>
      <c r="J26" s="73"/>
      <c r="K26" s="73"/>
      <c r="L26" s="62"/>
      <c r="M26" s="62"/>
      <c r="N26" s="62"/>
      <c r="O26" s="62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9"/>
      <c r="BI26" s="64"/>
    </row>
    <row r="27" spans="1:61" x14ac:dyDescent="0.25">
      <c r="A27" s="64"/>
      <c r="B27" s="68"/>
      <c r="C27" s="73"/>
      <c r="D27" s="73"/>
      <c r="E27" s="73"/>
      <c r="F27" s="73"/>
      <c r="G27" s="73" t="s">
        <v>149</v>
      </c>
      <c r="H27" s="73"/>
      <c r="I27" s="73"/>
      <c r="J27" s="73"/>
      <c r="K27" s="73"/>
      <c r="L27" s="62"/>
      <c r="M27" s="62"/>
      <c r="N27" s="62"/>
      <c r="O27" s="62"/>
      <c r="P27" s="81" t="s">
        <v>171</v>
      </c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9"/>
      <c r="BI27" s="64"/>
    </row>
    <row r="28" spans="1:61" x14ac:dyDescent="0.25">
      <c r="A28" s="64"/>
      <c r="B28" s="68"/>
      <c r="C28" s="62"/>
      <c r="D28" s="62"/>
      <c r="E28" s="62"/>
      <c r="F28" s="62"/>
      <c r="G28" s="73"/>
      <c r="H28" s="73"/>
      <c r="I28" s="73"/>
      <c r="J28" s="73"/>
      <c r="K28" s="73"/>
      <c r="L28" s="62"/>
      <c r="M28" s="62"/>
      <c r="N28" s="62"/>
      <c r="O28" s="6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9"/>
      <c r="BI28" s="64"/>
    </row>
    <row r="29" spans="1:61" x14ac:dyDescent="0.25">
      <c r="A29" s="64"/>
      <c r="B29" s="68"/>
      <c r="C29" s="62"/>
      <c r="D29" s="62"/>
      <c r="E29" s="62"/>
      <c r="F29" s="62"/>
      <c r="H29" s="62"/>
      <c r="I29" s="62"/>
      <c r="J29" s="62"/>
      <c r="K29" s="62"/>
      <c r="L29" s="62"/>
      <c r="M29" s="62"/>
      <c r="N29" s="62"/>
      <c r="O29" s="62"/>
      <c r="P29" s="82" t="s">
        <v>168</v>
      </c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9"/>
      <c r="BI29" s="64"/>
    </row>
    <row r="30" spans="1:61" x14ac:dyDescent="0.25">
      <c r="A30" s="64"/>
      <c r="B30" s="6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9"/>
      <c r="BI30" s="64"/>
    </row>
    <row r="31" spans="1:61" x14ac:dyDescent="0.25">
      <c r="A31" s="64"/>
      <c r="B31" s="6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9"/>
      <c r="BI31" s="64"/>
    </row>
    <row r="32" spans="1:61" x14ac:dyDescent="0.25">
      <c r="A32" s="64"/>
      <c r="B32" s="68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9"/>
      <c r="BI32" s="64"/>
    </row>
    <row r="33" spans="1:61" x14ac:dyDescent="0.25">
      <c r="A33" s="64"/>
      <c r="B33" s="68"/>
      <c r="C33" s="62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  <c r="AQ33" s="103"/>
      <c r="AR33" s="103"/>
      <c r="AS33" s="103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9"/>
      <c r="BI33" s="64"/>
    </row>
    <row r="34" spans="1:61" x14ac:dyDescent="0.25">
      <c r="A34" s="64"/>
      <c r="B34" s="68"/>
      <c r="C34" s="62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9"/>
      <c r="BI34" s="64"/>
    </row>
    <row r="35" spans="1:61" x14ac:dyDescent="0.25">
      <c r="A35" s="64"/>
      <c r="B35" s="68"/>
      <c r="C35" s="62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9"/>
      <c r="BI35" s="64"/>
    </row>
    <row r="36" spans="1:61" x14ac:dyDescent="0.25">
      <c r="A36" s="64"/>
      <c r="B36" s="68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9"/>
      <c r="BI36" s="64"/>
    </row>
    <row r="37" spans="1:61" ht="15.75" thickBot="1" x14ac:dyDescent="0.3">
      <c r="A37" s="64"/>
      <c r="B37" s="70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2"/>
      <c r="BI37" s="64"/>
    </row>
    <row r="38" spans="1:61" x14ac:dyDescent="0.25">
      <c r="A38" s="64"/>
      <c r="BI38" s="64"/>
    </row>
    <row r="39" spans="1:61" x14ac:dyDescent="0.25">
      <c r="BI39" s="64"/>
    </row>
  </sheetData>
  <mergeCells count="7">
    <mergeCell ref="W21:AG21"/>
    <mergeCell ref="W23:AG23"/>
    <mergeCell ref="M5:R5"/>
    <mergeCell ref="M7:R7"/>
    <mergeCell ref="V7:AA7"/>
    <mergeCell ref="M11:R11"/>
    <mergeCell ref="V11:AA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lary">
                <anchor moveWithCells="1" sizeWithCells="1">
                  <from>
                    <xdr:col>33</xdr:col>
                    <xdr:colOff>38100</xdr:colOff>
                    <xdr:row>18</xdr:row>
                    <xdr:rowOff>19050</xdr:rowOff>
                  </from>
                  <to>
                    <xdr:col>36</xdr:col>
                    <xdr:colOff>85725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FF0EA5-6A8E-458D-8522-EEE16D102D9C}">
          <x14:formula1>
            <xm:f>Справочники!$B$2:$B$16</xm:f>
          </x14:formula1>
          <xm:sqref>W21</xm:sqref>
        </x14:dataValidation>
        <x14:dataValidation type="list" allowBlank="1" showInputMessage="1" showErrorMessage="1" xr:uid="{8220E4DE-8687-4069-A847-68CB76D2F2CB}">
          <x14:formula1>
            <xm:f>Справочники!$D$2:$D$9</xm:f>
          </x14:formula1>
          <xm:sqref>W23:AG23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Z3504"/>
  <sheetViews>
    <sheetView showGridLines="0" zoomScale="80" zoomScaleNormal="80" workbookViewId="0">
      <pane xSplit="1" ySplit="2" topLeftCell="B45" activePane="bottomRight" state="frozen"/>
      <selection pane="topRight" activeCell="B1" sqref="B1"/>
      <selection pane="bottomLeft" activeCell="A3" sqref="A3"/>
      <selection pane="bottomRight" activeCell="A42" sqref="A42"/>
    </sheetView>
  </sheetViews>
  <sheetFormatPr defaultRowHeight="15" x14ac:dyDescent="0.25"/>
  <cols>
    <col min="1" max="1" width="11.28515625" style="37" customWidth="1"/>
    <col min="2" max="2" width="14.5703125" style="38" customWidth="1"/>
    <col min="3" max="6" width="13.5703125" style="38" customWidth="1"/>
    <col min="7" max="7" width="14" customWidth="1"/>
    <col min="8" max="8" width="13.5703125" style="22" customWidth="1"/>
    <col min="9" max="9" width="14" style="9" customWidth="1"/>
    <col min="10" max="10" width="14.7109375" style="33" customWidth="1"/>
    <col min="11" max="12" width="25" style="80" customWidth="1"/>
    <col min="13" max="13" width="22.28515625" style="39" customWidth="1"/>
    <col min="14" max="14" width="22.85546875" style="39" customWidth="1"/>
    <col min="15" max="15" width="25" style="39" customWidth="1"/>
    <col min="16" max="16" width="30.42578125" style="39" customWidth="1"/>
    <col min="17" max="17" width="2.85546875" style="39" customWidth="1"/>
  </cols>
  <sheetData>
    <row r="1" spans="1:26" s="41" customFormat="1" ht="49.5" customHeight="1" x14ac:dyDescent="0.25">
      <c r="A1" s="23" t="s">
        <v>0</v>
      </c>
      <c r="B1" s="29" t="s">
        <v>227</v>
      </c>
      <c r="C1" s="29" t="s">
        <v>228</v>
      </c>
      <c r="D1" s="29" t="s">
        <v>229</v>
      </c>
      <c r="E1" s="29" t="s">
        <v>230</v>
      </c>
      <c r="F1" s="29" t="s">
        <v>231</v>
      </c>
      <c r="G1" s="24" t="s">
        <v>232</v>
      </c>
      <c r="H1" s="29" t="s">
        <v>226</v>
      </c>
      <c r="I1" s="24" t="s">
        <v>49</v>
      </c>
      <c r="J1" s="24" t="s">
        <v>48</v>
      </c>
      <c r="K1" s="25" t="s">
        <v>9</v>
      </c>
      <c r="L1" s="78" t="s">
        <v>201</v>
      </c>
      <c r="M1" s="26" t="s">
        <v>1</v>
      </c>
      <c r="N1" s="27" t="s">
        <v>2</v>
      </c>
      <c r="O1" s="25" t="s">
        <v>138</v>
      </c>
      <c r="P1" s="28" t="s">
        <v>3</v>
      </c>
      <c r="Q1" s="28" t="s">
        <v>18</v>
      </c>
      <c r="R1" s="41" t="s">
        <v>9</v>
      </c>
      <c r="V1" s="58" t="s">
        <v>107</v>
      </c>
      <c r="W1" s="55" t="s">
        <v>104</v>
      </c>
      <c r="X1" s="56"/>
      <c r="Y1" s="56">
        <v>11</v>
      </c>
      <c r="Z1" s="56"/>
    </row>
    <row r="2" spans="1:26" s="16" customFormat="1" ht="15" customHeight="1" x14ac:dyDescent="0.25">
      <c r="A2" s="18">
        <v>45140</v>
      </c>
      <c r="B2" s="19">
        <v>470000</v>
      </c>
      <c r="C2" s="19"/>
      <c r="D2" s="19">
        <v>7855</v>
      </c>
      <c r="E2" s="19"/>
      <c r="F2" s="19"/>
      <c r="G2" s="20">
        <f>SUM($B2:$F2)</f>
        <v>477855</v>
      </c>
      <c r="H2" s="19"/>
      <c r="I2" s="20">
        <f>$G2-$H2</f>
        <v>477855</v>
      </c>
      <c r="J2" s="20">
        <f>IF($A3&lt;&gt;$A2,$I2,"")</f>
        <v>477855</v>
      </c>
      <c r="K2" s="21" t="s">
        <v>10</v>
      </c>
      <c r="L2" s="21"/>
      <c r="M2" s="21" t="s">
        <v>10</v>
      </c>
      <c r="N2" s="21"/>
      <c r="O2" s="21"/>
      <c r="P2" s="21"/>
      <c r="Q2" s="21"/>
      <c r="W2" s="57" t="s">
        <v>105</v>
      </c>
      <c r="X2" s="57"/>
      <c r="Y2" s="57"/>
      <c r="Z2" s="57"/>
    </row>
    <row r="3" spans="1:26" ht="15" customHeight="1" x14ac:dyDescent="0.25">
      <c r="A3" s="1">
        <v>45141</v>
      </c>
      <c r="B3" s="17"/>
      <c r="C3" s="17"/>
      <c r="D3" s="17"/>
      <c r="E3" s="17"/>
      <c r="F3" s="17"/>
      <c r="G3" s="4">
        <f>SUM($B3:$F3)</f>
        <v>0</v>
      </c>
      <c r="H3" s="17">
        <v>11000</v>
      </c>
      <c r="I3" s="4">
        <f>$I2+$G3-$H3</f>
        <v>466855</v>
      </c>
      <c r="J3" s="32" t="str">
        <f>IF($A4&lt;&gt;$A3,$I3,"")</f>
        <v/>
      </c>
      <c r="K3" s="79" t="s">
        <v>139</v>
      </c>
      <c r="L3" s="79" t="s">
        <v>23</v>
      </c>
      <c r="M3" s="2" t="s">
        <v>11</v>
      </c>
      <c r="N3" s="5" t="s">
        <v>21</v>
      </c>
      <c r="O3" s="3" t="s">
        <v>45</v>
      </c>
      <c r="P3" s="6"/>
      <c r="Q3" s="6" t="str">
        <f>IFERROR(SEARCH("ЗП",#REF!,1),"")</f>
        <v/>
      </c>
      <c r="R3" t="s">
        <v>133</v>
      </c>
      <c r="W3" t="s">
        <v>106</v>
      </c>
    </row>
    <row r="4" spans="1:26" ht="15" customHeight="1" x14ac:dyDescent="0.25">
      <c r="A4" s="1">
        <v>45141</v>
      </c>
      <c r="B4" s="17"/>
      <c r="C4" s="17"/>
      <c r="D4" s="17"/>
      <c r="E4" s="17"/>
      <c r="F4" s="17"/>
      <c r="G4" s="4">
        <f>SUM($B4:$F4)</f>
        <v>0</v>
      </c>
      <c r="H4" s="17">
        <v>63000</v>
      </c>
      <c r="I4" s="4">
        <f>$I3+$G4-$H4</f>
        <v>403855</v>
      </c>
      <c r="J4" s="32" t="str">
        <f>IF($A5&lt;&gt;$A4,$I4,"")</f>
        <v/>
      </c>
      <c r="K4" s="79" t="s">
        <v>140</v>
      </c>
      <c r="L4" s="79" t="s">
        <v>24</v>
      </c>
      <c r="M4" s="2" t="s">
        <v>12</v>
      </c>
      <c r="N4" s="5" t="s">
        <v>21</v>
      </c>
      <c r="O4" s="3" t="s">
        <v>45</v>
      </c>
      <c r="P4" s="6"/>
      <c r="Q4" s="6" t="str">
        <f>IFERROR(SEARCH("ЗП",#REF!,1),"")</f>
        <v/>
      </c>
      <c r="R4" t="s">
        <v>134</v>
      </c>
      <c r="W4" t="s">
        <v>108</v>
      </c>
    </row>
    <row r="5" spans="1:26" ht="15" customHeight="1" x14ac:dyDescent="0.25">
      <c r="A5" s="1">
        <v>45141</v>
      </c>
      <c r="B5" s="17"/>
      <c r="C5" s="17"/>
      <c r="D5" s="17"/>
      <c r="E5" s="17"/>
      <c r="F5" s="17"/>
      <c r="G5" s="4">
        <f>SUM($B5:$F5)</f>
        <v>0</v>
      </c>
      <c r="H5" s="17">
        <v>17000</v>
      </c>
      <c r="I5" s="4">
        <f>$I4+$G5-$H5</f>
        <v>386855</v>
      </c>
      <c r="J5" s="32" t="str">
        <f>IF($A6&lt;&gt;$A5,$I5,"")</f>
        <v/>
      </c>
      <c r="K5" s="79" t="s">
        <v>18</v>
      </c>
      <c r="L5" s="79" t="s">
        <v>182</v>
      </c>
      <c r="M5" s="2" t="s">
        <v>18</v>
      </c>
      <c r="N5" s="5" t="s">
        <v>21</v>
      </c>
      <c r="O5" s="6" t="s">
        <v>45</v>
      </c>
      <c r="P5" s="6"/>
      <c r="Q5" s="6" t="str">
        <f>IFERROR(SEARCH("ЗП",#REF!,1),"")</f>
        <v/>
      </c>
      <c r="R5" s="61" t="s">
        <v>135</v>
      </c>
      <c r="W5" t="s">
        <v>109</v>
      </c>
    </row>
    <row r="6" spans="1:26" ht="15" customHeight="1" x14ac:dyDescent="0.25">
      <c r="A6" s="1">
        <v>45141</v>
      </c>
      <c r="B6" s="17">
        <v>500000</v>
      </c>
      <c r="C6" s="17"/>
      <c r="D6" s="17"/>
      <c r="E6" s="17"/>
      <c r="F6" s="17"/>
      <c r="G6" s="4">
        <f>SUM($B6:$F6)</f>
        <v>500000</v>
      </c>
      <c r="H6" s="17"/>
      <c r="I6" s="4">
        <f>$I5+$G6-$H6</f>
        <v>886855</v>
      </c>
      <c r="J6" s="32" t="str">
        <f>IF($A7&lt;&gt;$A6,$I6,"")</f>
        <v/>
      </c>
      <c r="K6" s="79" t="s">
        <v>141</v>
      </c>
      <c r="L6" s="79"/>
      <c r="M6" s="2" t="s">
        <v>22</v>
      </c>
      <c r="N6" s="5"/>
      <c r="O6" s="3"/>
      <c r="P6" s="6"/>
      <c r="Q6" s="6" t="str">
        <f>IFERROR(SEARCH("ЗП",#REF!,1),"")</f>
        <v/>
      </c>
      <c r="R6" t="s">
        <v>136</v>
      </c>
      <c r="X6" t="s">
        <v>110</v>
      </c>
    </row>
    <row r="7" spans="1:26" ht="15" customHeight="1" x14ac:dyDescent="0.25">
      <c r="A7" s="1">
        <v>45141</v>
      </c>
      <c r="B7" s="17"/>
      <c r="C7" s="17"/>
      <c r="D7" s="17"/>
      <c r="E7" s="17"/>
      <c r="F7" s="17"/>
      <c r="G7" s="4">
        <f>SUM($B7:$F7)</f>
        <v>0</v>
      </c>
      <c r="H7" s="17">
        <v>19000</v>
      </c>
      <c r="I7" s="4">
        <f>$I6+$G7-$H7</f>
        <v>867855</v>
      </c>
      <c r="J7" s="32" t="str">
        <f>IF($A8&lt;&gt;$A7,$I7,"")</f>
        <v/>
      </c>
      <c r="K7" s="79" t="s">
        <v>139</v>
      </c>
      <c r="L7" s="79" t="s">
        <v>71</v>
      </c>
      <c r="M7" s="2" t="s">
        <v>18</v>
      </c>
      <c r="N7" s="5" t="s">
        <v>70</v>
      </c>
      <c r="O7" s="6" t="s">
        <v>45</v>
      </c>
      <c r="P7" s="6"/>
      <c r="Q7" s="6" t="str">
        <f>IFERROR(SEARCH("ЗП",#REF!,1),"")</f>
        <v/>
      </c>
      <c r="R7" s="61" t="s">
        <v>18</v>
      </c>
      <c r="W7" t="s">
        <v>111</v>
      </c>
    </row>
    <row r="8" spans="1:26" ht="15" customHeight="1" x14ac:dyDescent="0.25">
      <c r="A8" s="1">
        <v>45141</v>
      </c>
      <c r="B8" s="17"/>
      <c r="C8" s="17"/>
      <c r="D8" s="17"/>
      <c r="E8" s="17"/>
      <c r="F8" s="17"/>
      <c r="G8" s="4">
        <f>SUM($B8:$F8)</f>
        <v>0</v>
      </c>
      <c r="H8" s="17">
        <v>71500</v>
      </c>
      <c r="I8" s="4">
        <f>$I7+$G8-$H8</f>
        <v>796355</v>
      </c>
      <c r="J8" s="32" t="str">
        <f>IF($A9&lt;&gt;$A8,$I8,"")</f>
        <v/>
      </c>
      <c r="K8" s="79" t="s">
        <v>151</v>
      </c>
      <c r="L8" s="79" t="s">
        <v>27</v>
      </c>
      <c r="M8" s="2" t="s">
        <v>11</v>
      </c>
      <c r="N8" s="5" t="s">
        <v>21</v>
      </c>
      <c r="O8" s="3" t="s">
        <v>45</v>
      </c>
      <c r="P8" s="6"/>
      <c r="Q8" s="6" t="str">
        <f>IFERROR(SEARCH("ЗП",#REF!,1),"")</f>
        <v/>
      </c>
      <c r="R8" t="s">
        <v>137</v>
      </c>
      <c r="X8" t="s">
        <v>112</v>
      </c>
    </row>
    <row r="9" spans="1:26" ht="15" customHeight="1" x14ac:dyDescent="0.25">
      <c r="A9" s="1">
        <v>45141</v>
      </c>
      <c r="B9" s="17"/>
      <c r="C9" s="17"/>
      <c r="D9" s="17"/>
      <c r="E9" s="17"/>
      <c r="F9" s="17"/>
      <c r="G9" s="4">
        <f>SUM($B9:$F9)</f>
        <v>0</v>
      </c>
      <c r="H9" s="17">
        <v>2000</v>
      </c>
      <c r="I9" s="4">
        <f>$I8+$G9-$H9</f>
        <v>794355</v>
      </c>
      <c r="J9" s="32">
        <f>IF($A10&lt;&gt;$A9,$I9,"")</f>
        <v>794355</v>
      </c>
      <c r="K9" s="79" t="s">
        <v>18</v>
      </c>
      <c r="L9" s="79" t="s">
        <v>183</v>
      </c>
      <c r="M9" s="2" t="s">
        <v>16</v>
      </c>
      <c r="N9" s="5" t="s">
        <v>21</v>
      </c>
      <c r="O9" s="3" t="s">
        <v>45</v>
      </c>
      <c r="P9" s="6"/>
      <c r="Q9" s="6" t="str">
        <f>IFERROR(SEARCH("ЗП",#REF!,1),"")</f>
        <v/>
      </c>
      <c r="X9" t="s">
        <v>113</v>
      </c>
    </row>
    <row r="10" spans="1:26" ht="15" customHeight="1" x14ac:dyDescent="0.25">
      <c r="A10" s="1">
        <v>45142</v>
      </c>
      <c r="B10" s="17">
        <v>1000000</v>
      </c>
      <c r="C10" s="17"/>
      <c r="D10" s="17"/>
      <c r="E10" s="17"/>
      <c r="F10" s="17"/>
      <c r="G10" s="4">
        <f>SUM($B10:$F10)</f>
        <v>1000000</v>
      </c>
      <c r="H10" s="17"/>
      <c r="I10" s="4">
        <f>$I9+$G10-$H10</f>
        <v>1794355</v>
      </c>
      <c r="J10" s="32" t="str">
        <f>IF($A11&lt;&gt;$A10,$I10,"")</f>
        <v/>
      </c>
      <c r="K10" s="79" t="s">
        <v>141</v>
      </c>
      <c r="L10" s="79"/>
      <c r="M10" s="2" t="s">
        <v>11</v>
      </c>
      <c r="N10" s="5"/>
      <c r="O10" s="3"/>
      <c r="P10" s="6"/>
      <c r="Q10" s="6" t="str">
        <f>IFERROR(SEARCH("ЗП",#REF!,1),"")</f>
        <v/>
      </c>
      <c r="W10" t="s">
        <v>115</v>
      </c>
    </row>
    <row r="11" spans="1:26" ht="15" customHeight="1" x14ac:dyDescent="0.25">
      <c r="A11" s="1">
        <v>45142</v>
      </c>
      <c r="B11" s="17"/>
      <c r="C11" s="17"/>
      <c r="D11" s="17"/>
      <c r="E11" s="17"/>
      <c r="F11" s="17"/>
      <c r="G11" s="4">
        <f>SUM($B11:$F11)</f>
        <v>0</v>
      </c>
      <c r="H11" s="17">
        <v>7000</v>
      </c>
      <c r="I11" s="4">
        <f>$I10+$G11-$H11</f>
        <v>1787355</v>
      </c>
      <c r="J11" s="32" t="str">
        <f>IF($A12&lt;&gt;$A11,$I11,"")</f>
        <v/>
      </c>
      <c r="K11" s="79" t="s">
        <v>139</v>
      </c>
      <c r="L11" s="79" t="s">
        <v>72</v>
      </c>
      <c r="M11" s="2" t="s">
        <v>18</v>
      </c>
      <c r="N11" s="5"/>
      <c r="O11" s="3" t="s">
        <v>45</v>
      </c>
      <c r="P11" s="6"/>
      <c r="Q11" s="6" t="str">
        <f>IFERROR(SEARCH("ЗП",#REF!,1),"")</f>
        <v/>
      </c>
      <c r="X11" t="s">
        <v>116</v>
      </c>
    </row>
    <row r="12" spans="1:26" ht="15" customHeight="1" x14ac:dyDescent="0.25">
      <c r="A12" s="1">
        <v>45142</v>
      </c>
      <c r="B12" s="17"/>
      <c r="C12" s="17"/>
      <c r="D12" s="17"/>
      <c r="E12" s="17"/>
      <c r="F12" s="17"/>
      <c r="G12" s="4">
        <f>SUM($B12:$F12)</f>
        <v>0</v>
      </c>
      <c r="H12" s="17">
        <v>18000</v>
      </c>
      <c r="I12" s="4">
        <f>$I11+$G12-$H12</f>
        <v>1769355</v>
      </c>
      <c r="J12" s="32" t="str">
        <f>IF($A13&lt;&gt;$A12,$I12,"")</f>
        <v/>
      </c>
      <c r="K12" s="79" t="s">
        <v>140</v>
      </c>
      <c r="L12" s="79" t="s">
        <v>28</v>
      </c>
      <c r="M12" s="2" t="s">
        <v>11</v>
      </c>
      <c r="N12" s="5" t="s">
        <v>21</v>
      </c>
      <c r="O12" s="3" t="s">
        <v>45</v>
      </c>
      <c r="P12" s="6"/>
      <c r="Q12" s="6" t="str">
        <f>IFERROR(SEARCH("ЗП",#REF!,1),"")</f>
        <v/>
      </c>
      <c r="X12" t="s">
        <v>114</v>
      </c>
    </row>
    <row r="13" spans="1:26" ht="15" customHeight="1" x14ac:dyDescent="0.25">
      <c r="A13" s="1">
        <v>45142</v>
      </c>
      <c r="B13" s="17"/>
      <c r="C13" s="17"/>
      <c r="D13" s="17"/>
      <c r="E13" s="17"/>
      <c r="F13" s="17"/>
      <c r="G13" s="4">
        <f>SUM($B13:$F13)</f>
        <v>0</v>
      </c>
      <c r="H13" s="17">
        <v>200000</v>
      </c>
      <c r="I13" s="4">
        <f>$I12+$G13-$H13</f>
        <v>1569355</v>
      </c>
      <c r="J13" s="32" t="str">
        <f>IF($A14&lt;&gt;$A13,$I13,"")</f>
        <v/>
      </c>
      <c r="K13" s="79" t="s">
        <v>18</v>
      </c>
      <c r="L13" s="79" t="s">
        <v>184</v>
      </c>
      <c r="M13" s="2" t="s">
        <v>18</v>
      </c>
      <c r="N13" s="5" t="s">
        <v>70</v>
      </c>
      <c r="O13" s="3" t="s">
        <v>45</v>
      </c>
      <c r="P13" s="6"/>
      <c r="Q13" s="6" t="str">
        <f>IFERROR(SEARCH("ЗП",#REF!,1),"")</f>
        <v/>
      </c>
    </row>
    <row r="14" spans="1:26" x14ac:dyDescent="0.25">
      <c r="A14" s="1">
        <v>45142</v>
      </c>
      <c r="B14" s="17"/>
      <c r="C14" s="17"/>
      <c r="D14" s="17"/>
      <c r="E14" s="17">
        <v>100000</v>
      </c>
      <c r="F14" s="17"/>
      <c r="G14" s="4">
        <f>SUM($B14:$F14)</f>
        <v>100000</v>
      </c>
      <c r="H14" s="17">
        <v>100000</v>
      </c>
      <c r="I14" s="4">
        <f>$I13+$G14-$H14</f>
        <v>1569355</v>
      </c>
      <c r="J14" s="32" t="str">
        <f>IF($A15&lt;&gt;$A14,$I14,"")</f>
        <v/>
      </c>
      <c r="K14" s="79" t="s">
        <v>156</v>
      </c>
      <c r="L14" s="79" t="s">
        <v>73</v>
      </c>
      <c r="M14" s="2"/>
      <c r="N14" s="5" t="s">
        <v>70</v>
      </c>
      <c r="O14" s="6" t="s">
        <v>45</v>
      </c>
      <c r="P14" s="6"/>
      <c r="Q14" s="6" t="str">
        <f>IFERROR(SEARCH("ЗП",#REF!,1),"")</f>
        <v/>
      </c>
    </row>
    <row r="15" spans="1:26" x14ac:dyDescent="0.25">
      <c r="A15" s="1">
        <v>45142</v>
      </c>
      <c r="B15" s="17"/>
      <c r="C15" s="17"/>
      <c r="D15" s="17"/>
      <c r="E15" s="17"/>
      <c r="F15" s="17"/>
      <c r="G15" s="4">
        <f>SUM($B15:$F15)</f>
        <v>0</v>
      </c>
      <c r="H15" s="17">
        <v>20000</v>
      </c>
      <c r="I15" s="4">
        <f>$I14+$G15-$H15</f>
        <v>1549355</v>
      </c>
      <c r="J15" s="32" t="str">
        <f>IF($A16&lt;&gt;$A15,$I15,"")</f>
        <v/>
      </c>
      <c r="K15" s="79" t="s">
        <v>140</v>
      </c>
      <c r="L15" s="79" t="s">
        <v>29</v>
      </c>
      <c r="M15" s="2" t="s">
        <v>18</v>
      </c>
      <c r="N15" s="5"/>
      <c r="O15" s="6" t="s">
        <v>45</v>
      </c>
      <c r="P15" s="6"/>
      <c r="Q15" s="6" t="str">
        <f>IFERROR(SEARCH("ЗП",#REF!,1),"")</f>
        <v/>
      </c>
      <c r="V15" t="s">
        <v>174</v>
      </c>
    </row>
    <row r="16" spans="1:26" ht="15" customHeight="1" x14ac:dyDescent="0.25">
      <c r="A16" s="1">
        <v>45142</v>
      </c>
      <c r="B16" s="17"/>
      <c r="C16" s="17"/>
      <c r="D16" s="17"/>
      <c r="E16" s="17"/>
      <c r="F16" s="17"/>
      <c r="G16" s="4">
        <f>SUM($B16:$F16)</f>
        <v>0</v>
      </c>
      <c r="H16" s="17">
        <v>70000</v>
      </c>
      <c r="I16" s="4">
        <f>$I15+$G16-$H16</f>
        <v>1479355</v>
      </c>
      <c r="J16" s="32" t="str">
        <f>IF($A17&lt;&gt;$A16,$I16,"")</f>
        <v/>
      </c>
      <c r="K16" s="79" t="s">
        <v>140</v>
      </c>
      <c r="L16" s="79" t="s">
        <v>30</v>
      </c>
      <c r="M16" s="2"/>
      <c r="N16" s="5"/>
      <c r="O16" s="6" t="s">
        <v>45</v>
      </c>
      <c r="P16" s="6"/>
      <c r="Q16" s="6" t="str">
        <f>IFERROR(SEARCH("ЗП",#REF!,1),"")</f>
        <v/>
      </c>
      <c r="W16" t="s">
        <v>175</v>
      </c>
    </row>
    <row r="17" spans="1:24" ht="15" customHeight="1" x14ac:dyDescent="0.25">
      <c r="A17" s="1">
        <v>45142</v>
      </c>
      <c r="B17" s="17"/>
      <c r="C17" s="17"/>
      <c r="D17" s="17"/>
      <c r="E17" s="17"/>
      <c r="F17" s="17"/>
      <c r="G17" s="4">
        <f>SUM($B17:$F17)</f>
        <v>0</v>
      </c>
      <c r="H17" s="17">
        <v>707750</v>
      </c>
      <c r="I17" s="4">
        <f>$I16+$G17-$H17</f>
        <v>771605</v>
      </c>
      <c r="J17" s="32" t="str">
        <f>IF($A18&lt;&gt;$A17,$I17,"")</f>
        <v/>
      </c>
      <c r="K17" s="79" t="s">
        <v>140</v>
      </c>
      <c r="L17" s="79" t="s">
        <v>31</v>
      </c>
      <c r="M17" s="2" t="s">
        <v>11</v>
      </c>
      <c r="N17" s="5" t="s">
        <v>21</v>
      </c>
      <c r="O17" s="6" t="s">
        <v>45</v>
      </c>
      <c r="P17" s="6"/>
      <c r="Q17" s="6" t="str">
        <f>IFERROR(SEARCH("ЗП",#REF!,1),"")</f>
        <v/>
      </c>
      <c r="X17" t="s">
        <v>176</v>
      </c>
    </row>
    <row r="18" spans="1:24" ht="15" customHeight="1" x14ac:dyDescent="0.25">
      <c r="A18" s="1">
        <v>45142</v>
      </c>
      <c r="B18" s="17"/>
      <c r="C18" s="17"/>
      <c r="D18" s="17"/>
      <c r="E18" s="17"/>
      <c r="F18" s="17"/>
      <c r="G18" s="4">
        <f>SUM($B18:$F18)</f>
        <v>0</v>
      </c>
      <c r="H18" s="17">
        <v>6000</v>
      </c>
      <c r="I18" s="4">
        <f>$I17+$G18-$H18</f>
        <v>765605</v>
      </c>
      <c r="J18" s="32" t="str">
        <f>IF($A19&lt;&gt;$A18,$I18,"")</f>
        <v/>
      </c>
      <c r="K18" s="79" t="s">
        <v>18</v>
      </c>
      <c r="L18" s="79" t="s">
        <v>185</v>
      </c>
      <c r="M18" s="2" t="s">
        <v>11</v>
      </c>
      <c r="N18" s="5" t="s">
        <v>21</v>
      </c>
      <c r="O18" s="6" t="s">
        <v>45</v>
      </c>
      <c r="P18" s="6" t="s">
        <v>90</v>
      </c>
      <c r="Q18" s="6" t="str">
        <f>IFERROR(SEARCH("ЗП",#REF!,1),"")</f>
        <v/>
      </c>
    </row>
    <row r="19" spans="1:24" ht="15" customHeight="1" x14ac:dyDescent="0.25">
      <c r="A19" s="1">
        <v>45142</v>
      </c>
      <c r="B19" s="17"/>
      <c r="C19" s="17"/>
      <c r="D19" s="17">
        <v>300000</v>
      </c>
      <c r="E19" s="17"/>
      <c r="F19" s="17"/>
      <c r="G19" s="4">
        <f>SUM($B19:$F19)</f>
        <v>300000</v>
      </c>
      <c r="H19" s="17"/>
      <c r="I19" s="4">
        <f>$I18+$G19-$H19</f>
        <v>1065605</v>
      </c>
      <c r="J19" s="32">
        <f>IF($A20&lt;&gt;$A19,$I19,"")</f>
        <v>1065605</v>
      </c>
      <c r="K19" s="79" t="s">
        <v>141</v>
      </c>
      <c r="L19" s="79"/>
      <c r="M19" s="2" t="s">
        <v>32</v>
      </c>
      <c r="N19" s="5"/>
      <c r="O19" s="6"/>
      <c r="P19" s="6"/>
      <c r="Q19" s="6" t="str">
        <f>IFERROR(SEARCH("ЗП",#REF!,1),"")</f>
        <v/>
      </c>
    </row>
    <row r="20" spans="1:24" x14ac:dyDescent="0.25">
      <c r="A20" s="1">
        <v>45143</v>
      </c>
      <c r="B20" s="17"/>
      <c r="C20" s="17">
        <v>100000</v>
      </c>
      <c r="D20" s="17"/>
      <c r="E20" s="17"/>
      <c r="F20" s="17"/>
      <c r="G20" s="4">
        <f>SUM($B20:$F20)</f>
        <v>100000</v>
      </c>
      <c r="H20" s="17">
        <v>100000</v>
      </c>
      <c r="I20" s="4">
        <f>$I19+$G20-$H20</f>
        <v>1065605</v>
      </c>
      <c r="J20" s="32" t="str">
        <f>IF($A21&lt;&gt;$A20,$I20,"")</f>
        <v/>
      </c>
      <c r="K20" s="79" t="s">
        <v>156</v>
      </c>
      <c r="L20" s="79" t="s">
        <v>74</v>
      </c>
      <c r="M20" s="2"/>
      <c r="N20" s="5" t="s">
        <v>19</v>
      </c>
      <c r="O20" s="6" t="s">
        <v>64</v>
      </c>
      <c r="P20" s="6"/>
      <c r="Q20" s="6" t="str">
        <f>IFERROR(SEARCH("ЗП",#REF!,1),"")</f>
        <v/>
      </c>
    </row>
    <row r="21" spans="1:24" ht="15" customHeight="1" x14ac:dyDescent="0.25">
      <c r="A21" s="1">
        <v>45143</v>
      </c>
      <c r="B21" s="17"/>
      <c r="C21" s="17"/>
      <c r="D21" s="17"/>
      <c r="E21" s="17"/>
      <c r="F21" s="17"/>
      <c r="G21" s="4">
        <f>SUM($B21:$F21)</f>
        <v>0</v>
      </c>
      <c r="H21" s="17">
        <v>7000</v>
      </c>
      <c r="I21" s="4">
        <f>$I20+$G21-$H21</f>
        <v>1058605</v>
      </c>
      <c r="J21" s="32" t="str">
        <f>IF($A22&lt;&gt;$A21,$I21,"")</f>
        <v/>
      </c>
      <c r="K21" s="79" t="s">
        <v>18</v>
      </c>
      <c r="L21" s="79" t="s">
        <v>186</v>
      </c>
      <c r="M21" s="2"/>
      <c r="N21" s="5"/>
      <c r="O21" s="6" t="s">
        <v>64</v>
      </c>
      <c r="P21" s="6"/>
      <c r="Q21" s="6" t="str">
        <f>IFERROR(SEARCH("ЗП",#REF!,1),"")</f>
        <v/>
      </c>
    </row>
    <row r="22" spans="1:24" ht="15" customHeight="1" x14ac:dyDescent="0.25">
      <c r="A22" s="1">
        <v>45143</v>
      </c>
      <c r="B22" s="17"/>
      <c r="C22" s="17"/>
      <c r="D22" s="17"/>
      <c r="E22" s="17"/>
      <c r="F22" s="17"/>
      <c r="G22" s="4">
        <f>SUM($B22:$F22)</f>
        <v>0</v>
      </c>
      <c r="H22" s="17">
        <v>30000</v>
      </c>
      <c r="I22" s="4">
        <f>$I21+$G22-$H22</f>
        <v>1028605</v>
      </c>
      <c r="J22" s="32" t="str">
        <f>IF($A23&lt;&gt;$A22,$I22,"")</f>
        <v/>
      </c>
      <c r="K22" s="79" t="s">
        <v>18</v>
      </c>
      <c r="L22" s="79" t="s">
        <v>187</v>
      </c>
      <c r="M22" s="2" t="s">
        <v>41</v>
      </c>
      <c r="N22" s="5"/>
      <c r="O22" s="6" t="s">
        <v>64</v>
      </c>
      <c r="P22" s="6" t="s">
        <v>91</v>
      </c>
      <c r="Q22" s="6" t="str">
        <f>IFERROR(SEARCH("ЗП",#REF!,1),"")</f>
        <v/>
      </c>
    </row>
    <row r="23" spans="1:24" ht="15" customHeight="1" x14ac:dyDescent="0.25">
      <c r="A23" s="1">
        <v>45143</v>
      </c>
      <c r="B23" s="17"/>
      <c r="C23" s="17"/>
      <c r="D23" s="17"/>
      <c r="E23" s="17"/>
      <c r="F23" s="17"/>
      <c r="G23" s="4">
        <f>SUM($B23:$F23)</f>
        <v>0</v>
      </c>
      <c r="H23" s="17">
        <v>26000</v>
      </c>
      <c r="I23" s="4">
        <f>$I22+$G23-$H23</f>
        <v>1002605</v>
      </c>
      <c r="J23" s="32" t="str">
        <f>IF($A24&lt;&gt;$A23,$I23,"")</f>
        <v/>
      </c>
      <c r="K23" s="79" t="s">
        <v>18</v>
      </c>
      <c r="L23" s="79" t="s">
        <v>188</v>
      </c>
      <c r="M23" s="2" t="s">
        <v>12</v>
      </c>
      <c r="N23" s="5"/>
      <c r="O23" s="6" t="s">
        <v>64</v>
      </c>
      <c r="P23" s="6" t="s">
        <v>24</v>
      </c>
      <c r="Q23" s="6" t="str">
        <f>IFERROR(SEARCH("ЗП",#REF!,1),"")</f>
        <v/>
      </c>
    </row>
    <row r="24" spans="1:24" ht="15" customHeight="1" x14ac:dyDescent="0.25">
      <c r="A24" s="1">
        <v>45143</v>
      </c>
      <c r="B24" s="17"/>
      <c r="C24" s="17"/>
      <c r="D24" s="17"/>
      <c r="E24" s="17"/>
      <c r="F24" s="17"/>
      <c r="G24" s="4">
        <f>SUM($B24:$F24)</f>
        <v>0</v>
      </c>
      <c r="H24" s="17">
        <v>50000</v>
      </c>
      <c r="I24" s="4">
        <f>$I23+$G24-$H24</f>
        <v>952605</v>
      </c>
      <c r="J24" s="32" t="str">
        <f>IF($A25&lt;&gt;$A24,$I24,"")</f>
        <v/>
      </c>
      <c r="K24" s="79" t="s">
        <v>141</v>
      </c>
      <c r="L24" s="79"/>
      <c r="M24" s="2" t="s">
        <v>13</v>
      </c>
      <c r="N24" s="5" t="s">
        <v>36</v>
      </c>
      <c r="O24" s="6" t="s">
        <v>64</v>
      </c>
      <c r="P24" s="6"/>
      <c r="Q24" s="6" t="str">
        <f>IFERROR(SEARCH("ЗП",#REF!,1),"")</f>
        <v/>
      </c>
    </row>
    <row r="25" spans="1:24" ht="15" customHeight="1" x14ac:dyDescent="0.25">
      <c r="A25" s="1">
        <v>45143</v>
      </c>
      <c r="B25" s="17"/>
      <c r="C25" s="17"/>
      <c r="D25" s="17"/>
      <c r="E25" s="17"/>
      <c r="F25" s="17"/>
      <c r="G25" s="4">
        <f>SUM($B25:$F25)</f>
        <v>0</v>
      </c>
      <c r="H25" s="17">
        <v>1500</v>
      </c>
      <c r="I25" s="4">
        <f>$I24+$G25-$H25</f>
        <v>951105</v>
      </c>
      <c r="J25" s="32" t="str">
        <f>IF($A26&lt;&gt;$A25,$I25,"")</f>
        <v/>
      </c>
      <c r="K25" s="79" t="s">
        <v>140</v>
      </c>
      <c r="L25" s="79" t="s">
        <v>75</v>
      </c>
      <c r="M25" s="2"/>
      <c r="N25" s="5" t="s">
        <v>20</v>
      </c>
      <c r="O25" s="6" t="s">
        <v>64</v>
      </c>
      <c r="P25" s="6"/>
      <c r="Q25" s="6" t="str">
        <f>IFERROR(SEARCH("ЗП",#REF!,1),"")</f>
        <v/>
      </c>
    </row>
    <row r="26" spans="1:24" ht="15" customHeight="1" x14ac:dyDescent="0.25">
      <c r="A26" s="1">
        <v>45143</v>
      </c>
      <c r="B26" s="17"/>
      <c r="C26" s="17"/>
      <c r="D26" s="17"/>
      <c r="E26" s="17"/>
      <c r="F26" s="17"/>
      <c r="G26" s="4">
        <f>SUM($B26:$F26)</f>
        <v>0</v>
      </c>
      <c r="H26" s="17">
        <v>1500</v>
      </c>
      <c r="I26" s="4">
        <f>$I25+$G26-$H26</f>
        <v>949605</v>
      </c>
      <c r="J26" s="32" t="str">
        <f>IF($A27&lt;&gt;$A26,$I26,"")</f>
        <v/>
      </c>
      <c r="K26" s="79" t="s">
        <v>18</v>
      </c>
      <c r="L26" s="79" t="s">
        <v>189</v>
      </c>
      <c r="M26" s="2"/>
      <c r="N26" s="5" t="s">
        <v>20</v>
      </c>
      <c r="O26" s="6" t="s">
        <v>64</v>
      </c>
      <c r="P26" s="6"/>
      <c r="Q26" s="6" t="str">
        <f>IFERROR(SEARCH("ЗП",#REF!,1),"")</f>
        <v/>
      </c>
    </row>
    <row r="27" spans="1:24" ht="15" customHeight="1" x14ac:dyDescent="0.25">
      <c r="A27" s="1">
        <v>45143</v>
      </c>
      <c r="B27" s="17"/>
      <c r="C27" s="17"/>
      <c r="D27" s="17"/>
      <c r="E27" s="17"/>
      <c r="F27" s="17"/>
      <c r="G27" s="4">
        <f>SUM($B27:$F27)</f>
        <v>0</v>
      </c>
      <c r="H27" s="17">
        <v>17000</v>
      </c>
      <c r="I27" s="4">
        <f>$I26+$G27-$H27</f>
        <v>932605</v>
      </c>
      <c r="J27" s="32" t="str">
        <f>IF($A28&lt;&gt;$A27,$I27,"")</f>
        <v/>
      </c>
      <c r="K27" s="79" t="s">
        <v>151</v>
      </c>
      <c r="L27" s="79" t="s">
        <v>76</v>
      </c>
      <c r="M27" s="2"/>
      <c r="N27" s="5" t="s">
        <v>21</v>
      </c>
      <c r="O27" s="6" t="s">
        <v>64</v>
      </c>
      <c r="P27" s="6"/>
      <c r="Q27" s="6" t="str">
        <f>IFERROR(SEARCH("ЗП",#REF!,1),"")</f>
        <v/>
      </c>
    </row>
    <row r="28" spans="1:24" ht="15" customHeight="1" x14ac:dyDescent="0.25">
      <c r="A28" s="1">
        <v>45143</v>
      </c>
      <c r="B28" s="17"/>
      <c r="C28" s="17"/>
      <c r="D28" s="17"/>
      <c r="E28" s="17"/>
      <c r="F28" s="17"/>
      <c r="G28" s="4">
        <f>SUM($B28:$F28)</f>
        <v>0</v>
      </c>
      <c r="H28" s="17">
        <v>11000</v>
      </c>
      <c r="I28" s="4">
        <f>$I27+$G28-$H28</f>
        <v>921605</v>
      </c>
      <c r="J28" s="32" t="str">
        <f>IF($A29&lt;&gt;$A28,$I28,"")</f>
        <v/>
      </c>
      <c r="K28" s="79" t="s">
        <v>140</v>
      </c>
      <c r="L28" s="79" t="s">
        <v>33</v>
      </c>
      <c r="M28" s="2"/>
      <c r="N28" s="5" t="s">
        <v>21</v>
      </c>
      <c r="O28" s="6" t="s">
        <v>64</v>
      </c>
      <c r="P28" s="6"/>
      <c r="Q28" s="6" t="str">
        <f>IFERROR(SEARCH("ЗП",#REF!,1),"")</f>
        <v/>
      </c>
    </row>
    <row r="29" spans="1:24" ht="15" customHeight="1" x14ac:dyDescent="0.25">
      <c r="A29" s="1">
        <v>45143</v>
      </c>
      <c r="B29" s="17"/>
      <c r="C29" s="17"/>
      <c r="D29" s="17">
        <v>190500</v>
      </c>
      <c r="E29" s="17"/>
      <c r="F29" s="17"/>
      <c r="G29" s="4">
        <f>SUM($B29:$F29)</f>
        <v>190500</v>
      </c>
      <c r="H29" s="17"/>
      <c r="I29" s="4">
        <f>$I28+$G29-$H29</f>
        <v>1112105</v>
      </c>
      <c r="J29" s="32">
        <f>IF($A30&lt;&gt;$A29,$I29,"")</f>
        <v>1112105</v>
      </c>
      <c r="K29" s="79" t="s">
        <v>141</v>
      </c>
      <c r="L29" s="79"/>
      <c r="M29" s="2" t="s">
        <v>32</v>
      </c>
      <c r="N29" s="5"/>
      <c r="O29" s="6"/>
      <c r="P29" s="6"/>
      <c r="Q29" s="6" t="str">
        <f>IFERROR(SEARCH("ЗП",#REF!,1),"")</f>
        <v/>
      </c>
    </row>
    <row r="30" spans="1:24" ht="15" customHeight="1" x14ac:dyDescent="0.25">
      <c r="A30" s="1">
        <v>45146</v>
      </c>
      <c r="B30" s="17"/>
      <c r="C30" s="17"/>
      <c r="D30" s="17"/>
      <c r="E30" s="17"/>
      <c r="F30" s="17"/>
      <c r="G30" s="4">
        <f>SUM($B30:$F30)</f>
        <v>0</v>
      </c>
      <c r="H30" s="17">
        <v>6500</v>
      </c>
      <c r="I30" s="4">
        <f>$I29+$G30-$H30</f>
        <v>1105605</v>
      </c>
      <c r="J30" s="32" t="str">
        <f>IF($A31&lt;&gt;$A30,$I30,"")</f>
        <v/>
      </c>
      <c r="K30" s="79" t="s">
        <v>139</v>
      </c>
      <c r="L30" s="79" t="s">
        <v>77</v>
      </c>
      <c r="M30" s="2" t="s">
        <v>11</v>
      </c>
      <c r="N30" s="5" t="s">
        <v>19</v>
      </c>
      <c r="O30" s="6" t="s">
        <v>45</v>
      </c>
      <c r="P30" s="6"/>
      <c r="Q30" s="6" t="str">
        <f>IFERROR(SEARCH("ЗП",#REF!,1),"")</f>
        <v/>
      </c>
    </row>
    <row r="31" spans="1:24" ht="15" customHeight="1" x14ac:dyDescent="0.25">
      <c r="A31" s="1">
        <v>45146</v>
      </c>
      <c r="B31" s="17"/>
      <c r="C31" s="17"/>
      <c r="D31" s="17"/>
      <c r="E31" s="17"/>
      <c r="F31" s="17"/>
      <c r="G31" s="4">
        <f>SUM($B31:$F31)</f>
        <v>0</v>
      </c>
      <c r="H31" s="17">
        <v>20000</v>
      </c>
      <c r="I31" s="4">
        <f>$I30+$G31-$H31</f>
        <v>1085605</v>
      </c>
      <c r="J31" s="32" t="str">
        <f>IF($A32&lt;&gt;$A31,$I31,"")</f>
        <v/>
      </c>
      <c r="K31" s="79" t="s">
        <v>18</v>
      </c>
      <c r="L31" s="79" t="s">
        <v>190</v>
      </c>
      <c r="M31" s="2" t="s">
        <v>11</v>
      </c>
      <c r="N31" s="5" t="s">
        <v>21</v>
      </c>
      <c r="O31" s="6" t="s">
        <v>45</v>
      </c>
      <c r="P31" s="6"/>
      <c r="Q31" s="6" t="str">
        <f>IFERROR(SEARCH("ЗП",#REF!,1),"")</f>
        <v/>
      </c>
    </row>
    <row r="32" spans="1:24" ht="15" customHeight="1" x14ac:dyDescent="0.25">
      <c r="A32" s="1">
        <v>45146</v>
      </c>
      <c r="B32" s="17"/>
      <c r="C32" s="17"/>
      <c r="D32" s="17"/>
      <c r="E32" s="17"/>
      <c r="F32" s="17"/>
      <c r="G32" s="4">
        <f>SUM($B32:$F32)</f>
        <v>0</v>
      </c>
      <c r="H32" s="17">
        <v>30000</v>
      </c>
      <c r="I32" s="4">
        <f>$I31+$G32-$H32</f>
        <v>1055605</v>
      </c>
      <c r="J32" s="32" t="str">
        <f>IF($A33&lt;&gt;$A32,$I32,"")</f>
        <v/>
      </c>
      <c r="K32" s="79" t="s">
        <v>141</v>
      </c>
      <c r="L32" s="79"/>
      <c r="M32" s="2" t="s">
        <v>13</v>
      </c>
      <c r="N32" s="5" t="s">
        <v>21</v>
      </c>
      <c r="O32" s="6" t="s">
        <v>45</v>
      </c>
      <c r="P32" s="6"/>
      <c r="Q32" s="6" t="str">
        <f>IFERROR(SEARCH("ЗП",#REF!,1),"")</f>
        <v/>
      </c>
    </row>
    <row r="33" spans="1:17" ht="15" customHeight="1" x14ac:dyDescent="0.25">
      <c r="A33" s="1">
        <v>45146</v>
      </c>
      <c r="B33" s="17"/>
      <c r="C33" s="17"/>
      <c r="D33" s="17"/>
      <c r="E33" s="17"/>
      <c r="F33" s="17"/>
      <c r="G33" s="4">
        <f>SUM($B33:$F33)</f>
        <v>0</v>
      </c>
      <c r="H33" s="17">
        <v>1000</v>
      </c>
      <c r="I33" s="4">
        <f>$I32+$G33-$H33</f>
        <v>1054605</v>
      </c>
      <c r="J33" s="32" t="str">
        <f>IF($A34&lt;&gt;$A33,$I33,"")</f>
        <v/>
      </c>
      <c r="K33" s="79" t="s">
        <v>18</v>
      </c>
      <c r="L33" s="79" t="s">
        <v>184</v>
      </c>
      <c r="M33" s="2" t="s">
        <v>18</v>
      </c>
      <c r="N33" s="5" t="s">
        <v>70</v>
      </c>
      <c r="O33" s="6" t="s">
        <v>45</v>
      </c>
      <c r="P33" s="6"/>
      <c r="Q33" s="6" t="str">
        <f>IFERROR(SEARCH("ЗП",#REF!,1),"")</f>
        <v/>
      </c>
    </row>
    <row r="34" spans="1:17" ht="15" customHeight="1" x14ac:dyDescent="0.25">
      <c r="A34" s="1">
        <v>45146</v>
      </c>
      <c r="B34" s="17"/>
      <c r="C34" s="17">
        <v>86855</v>
      </c>
      <c r="D34" s="17"/>
      <c r="E34" s="17"/>
      <c r="F34" s="17"/>
      <c r="G34" s="4">
        <f>SUM($B34:$F34)</f>
        <v>86855</v>
      </c>
      <c r="H34" s="17">
        <v>86855</v>
      </c>
      <c r="I34" s="4">
        <f>$I33+$G34-$H34</f>
        <v>1054605</v>
      </c>
      <c r="J34" s="32" t="str">
        <f>IF($A35&lt;&gt;$A34,$I34,"")</f>
        <v/>
      </c>
      <c r="K34" s="79" t="s">
        <v>156</v>
      </c>
      <c r="L34" s="79" t="s">
        <v>74</v>
      </c>
      <c r="M34" s="2"/>
      <c r="N34" s="5" t="s">
        <v>19</v>
      </c>
      <c r="O34" s="6" t="s">
        <v>64</v>
      </c>
      <c r="P34" s="6"/>
      <c r="Q34" s="6" t="str">
        <f>IFERROR(SEARCH("ЗП",#REF!,1),"")</f>
        <v/>
      </c>
    </row>
    <row r="35" spans="1:17" ht="15" customHeight="1" x14ac:dyDescent="0.25">
      <c r="A35" s="1">
        <v>45146</v>
      </c>
      <c r="B35" s="17"/>
      <c r="C35" s="17">
        <v>150000</v>
      </c>
      <c r="D35" s="17"/>
      <c r="E35" s="17"/>
      <c r="F35" s="17"/>
      <c r="G35" s="4">
        <f>SUM($B35:$F35)</f>
        <v>150000</v>
      </c>
      <c r="H35" s="17">
        <v>150000</v>
      </c>
      <c r="I35" s="4">
        <f>$I34+$G35-$H35</f>
        <v>1054605</v>
      </c>
      <c r="J35" s="32">
        <f>IF($A36&lt;&gt;$A35,$I35,"")</f>
        <v>1054605</v>
      </c>
      <c r="K35" s="79" t="s">
        <v>156</v>
      </c>
      <c r="L35" s="79" t="s">
        <v>74</v>
      </c>
      <c r="M35" s="2"/>
      <c r="N35" s="5" t="s">
        <v>19</v>
      </c>
      <c r="O35" s="6" t="s">
        <v>64</v>
      </c>
      <c r="P35" s="6"/>
      <c r="Q35" s="6" t="str">
        <f>IFERROR(SEARCH("ЗП",#REF!,1),"")</f>
        <v/>
      </c>
    </row>
    <row r="36" spans="1:17" ht="15" customHeight="1" x14ac:dyDescent="0.25">
      <c r="A36" s="1">
        <v>45147</v>
      </c>
      <c r="B36" s="17"/>
      <c r="C36" s="17"/>
      <c r="D36" s="17"/>
      <c r="E36" s="17"/>
      <c r="F36" s="17"/>
      <c r="G36" s="4">
        <f>SUM($B36:$F36)</f>
        <v>0</v>
      </c>
      <c r="H36" s="17">
        <v>39800</v>
      </c>
      <c r="I36" s="4">
        <f>$I35+$G36-$H36</f>
        <v>1014805</v>
      </c>
      <c r="J36" s="32" t="str">
        <f>IF($A37&lt;&gt;$A36,$I36,"")</f>
        <v/>
      </c>
      <c r="K36" s="79" t="s">
        <v>139</v>
      </c>
      <c r="L36" s="79" t="s">
        <v>78</v>
      </c>
      <c r="M36" s="2" t="s">
        <v>12</v>
      </c>
      <c r="N36" s="5" t="s">
        <v>70</v>
      </c>
      <c r="O36" s="6" t="s">
        <v>65</v>
      </c>
      <c r="P36" s="6"/>
      <c r="Q36" s="6" t="str">
        <f>IFERROR(SEARCH("ЗП",#REF!,1),"")</f>
        <v/>
      </c>
    </row>
    <row r="37" spans="1:17" ht="15" customHeight="1" x14ac:dyDescent="0.25">
      <c r="A37" s="1">
        <v>45147</v>
      </c>
      <c r="B37" s="17">
        <v>317200</v>
      </c>
      <c r="C37" s="17"/>
      <c r="D37" s="17"/>
      <c r="E37" s="17"/>
      <c r="F37" s="17"/>
      <c r="G37" s="4">
        <f>SUM($B37:$F37)</f>
        <v>317200</v>
      </c>
      <c r="H37" s="17"/>
      <c r="I37" s="4">
        <f>$I36+$G37-$H37</f>
        <v>1332005</v>
      </c>
      <c r="J37" s="32" t="str">
        <f>IF($A38&lt;&gt;$A37,$I37,"")</f>
        <v/>
      </c>
      <c r="K37" s="79" t="s">
        <v>141</v>
      </c>
      <c r="L37" s="79"/>
      <c r="M37" s="2" t="s">
        <v>14</v>
      </c>
      <c r="N37" s="5"/>
      <c r="O37" s="6"/>
      <c r="P37" s="6" t="s">
        <v>92</v>
      </c>
      <c r="Q37" s="6" t="str">
        <f>IFERROR(SEARCH("ЗП",#REF!,1),"")</f>
        <v/>
      </c>
    </row>
    <row r="38" spans="1:17" ht="15" customHeight="1" x14ac:dyDescent="0.25">
      <c r="A38" s="1">
        <v>45147</v>
      </c>
      <c r="B38" s="17"/>
      <c r="C38" s="17"/>
      <c r="D38" s="17"/>
      <c r="E38" s="17"/>
      <c r="F38" s="17"/>
      <c r="G38" s="4">
        <f>SUM($B38:$F38)</f>
        <v>0</v>
      </c>
      <c r="H38" s="17">
        <v>143800</v>
      </c>
      <c r="I38" s="4">
        <f>$I37+$G38-$H38</f>
        <v>1188205</v>
      </c>
      <c r="J38" s="32" t="str">
        <f>IF($A39&lt;&gt;$A38,$I38,"")</f>
        <v/>
      </c>
      <c r="K38" s="79" t="s">
        <v>18</v>
      </c>
      <c r="L38" s="79" t="s">
        <v>183</v>
      </c>
      <c r="M38" s="2" t="s">
        <v>16</v>
      </c>
      <c r="N38" s="5" t="s">
        <v>21</v>
      </c>
      <c r="O38" s="6" t="s">
        <v>45</v>
      </c>
      <c r="P38" s="6"/>
      <c r="Q38" s="6" t="str">
        <f>IFERROR(SEARCH("ЗП",#REF!,1),"")</f>
        <v/>
      </c>
    </row>
    <row r="39" spans="1:17" ht="15" customHeight="1" x14ac:dyDescent="0.25">
      <c r="A39" s="1">
        <v>45147</v>
      </c>
      <c r="B39" s="17"/>
      <c r="C39" s="17"/>
      <c r="D39" s="17"/>
      <c r="E39" s="17"/>
      <c r="F39" s="17"/>
      <c r="G39" s="4">
        <f>SUM($B39:$F39)</f>
        <v>0</v>
      </c>
      <c r="H39" s="17">
        <v>100000</v>
      </c>
      <c r="I39" s="4">
        <f>$I38+$G39-$H39</f>
        <v>1088205</v>
      </c>
      <c r="J39" s="32" t="str">
        <f>IF($A40&lt;&gt;$A39,$I39,"")</f>
        <v/>
      </c>
      <c r="K39" s="79" t="s">
        <v>18</v>
      </c>
      <c r="L39" s="79" t="s">
        <v>191</v>
      </c>
      <c r="M39" s="2" t="s">
        <v>17</v>
      </c>
      <c r="N39" s="5" t="s">
        <v>21</v>
      </c>
      <c r="O39" s="6" t="s">
        <v>45</v>
      </c>
      <c r="P39" s="6"/>
      <c r="Q39" s="6" t="str">
        <f>IFERROR(SEARCH("ЗП",#REF!,1),"")</f>
        <v/>
      </c>
    </row>
    <row r="40" spans="1:17" ht="15" customHeight="1" x14ac:dyDescent="0.25">
      <c r="A40" s="1">
        <v>45147</v>
      </c>
      <c r="B40" s="17"/>
      <c r="C40" s="17"/>
      <c r="D40" s="17"/>
      <c r="E40" s="17"/>
      <c r="F40" s="17"/>
      <c r="G40" s="4">
        <f>SUM($B40:$F40)</f>
        <v>0</v>
      </c>
      <c r="H40" s="17">
        <v>15000</v>
      </c>
      <c r="I40" s="4">
        <f>$I39+$G40-$H40</f>
        <v>1073205</v>
      </c>
      <c r="J40" s="32" t="str">
        <f>IF($A41&lt;&gt;$A40,$I40,"")</f>
        <v/>
      </c>
      <c r="K40" s="79" t="s">
        <v>18</v>
      </c>
      <c r="L40" s="79" t="s">
        <v>183</v>
      </c>
      <c r="M40" s="2" t="s">
        <v>16</v>
      </c>
      <c r="N40" s="5" t="s">
        <v>21</v>
      </c>
      <c r="O40" s="6" t="s">
        <v>45</v>
      </c>
      <c r="P40" s="6"/>
      <c r="Q40" s="6" t="str">
        <f>IFERROR(SEARCH("ЗП",#REF!,1),"")</f>
        <v/>
      </c>
    </row>
    <row r="41" spans="1:17" ht="15" customHeight="1" x14ac:dyDescent="0.25">
      <c r="A41" s="1">
        <v>45147</v>
      </c>
      <c r="B41" s="17">
        <v>330000</v>
      </c>
      <c r="C41" s="17"/>
      <c r="D41" s="17"/>
      <c r="E41" s="17"/>
      <c r="F41" s="17"/>
      <c r="G41" s="4">
        <f>SUM($B41:$F41)</f>
        <v>330000</v>
      </c>
      <c r="H41" s="17"/>
      <c r="I41" s="4">
        <f>$I40+$G41-$H41</f>
        <v>1403205</v>
      </c>
      <c r="J41" s="32">
        <f>IF($A42&lt;&gt;$A41,$I41,"")</f>
        <v>1403205</v>
      </c>
      <c r="K41" s="79" t="s">
        <v>141</v>
      </c>
      <c r="L41" s="79"/>
      <c r="M41" s="2" t="s">
        <v>11</v>
      </c>
      <c r="N41" s="5"/>
      <c r="O41" s="6"/>
      <c r="P41" s="6"/>
      <c r="Q41" s="6" t="str">
        <f>IFERROR(SEARCH("ЗП",#REF!,1),"")</f>
        <v/>
      </c>
    </row>
    <row r="42" spans="1:17" ht="15" customHeight="1" x14ac:dyDescent="0.25">
      <c r="A42" s="1">
        <v>45148</v>
      </c>
      <c r="B42" s="17"/>
      <c r="C42" s="17"/>
      <c r="D42" s="17"/>
      <c r="E42" s="17"/>
      <c r="F42" s="17"/>
      <c r="G42" s="4">
        <f>SUM($B42:$F42)</f>
        <v>0</v>
      </c>
      <c r="H42" s="17">
        <v>3000</v>
      </c>
      <c r="I42" s="4">
        <f>$I41+$G42-$H42</f>
        <v>1400205</v>
      </c>
      <c r="J42" s="32" t="str">
        <f>IF($A43&lt;&gt;$A42,$I42,"")</f>
        <v/>
      </c>
      <c r="K42" s="79" t="s">
        <v>18</v>
      </c>
      <c r="L42" s="79" t="s">
        <v>192</v>
      </c>
      <c r="M42" s="2"/>
      <c r="N42" s="5"/>
      <c r="O42" s="6" t="s">
        <v>45</v>
      </c>
      <c r="P42" s="6" t="s">
        <v>93</v>
      </c>
      <c r="Q42" s="6" t="str">
        <f>IFERROR(SEARCH("ЗП",#REF!,1),"")</f>
        <v/>
      </c>
    </row>
    <row r="43" spans="1:17" ht="15" customHeight="1" x14ac:dyDescent="0.25">
      <c r="A43" s="1">
        <v>45148</v>
      </c>
      <c r="B43" s="17"/>
      <c r="C43" s="17"/>
      <c r="D43" s="17"/>
      <c r="E43" s="17"/>
      <c r="F43" s="17"/>
      <c r="G43" s="4">
        <f>SUM($B43:$F43)</f>
        <v>0</v>
      </c>
      <c r="H43" s="17">
        <v>10000</v>
      </c>
      <c r="I43" s="4">
        <f>$I42+$G43-$H43</f>
        <v>1390205</v>
      </c>
      <c r="J43" s="32" t="str">
        <f>IF($A44&lt;&gt;$A43,$I43,"")</f>
        <v/>
      </c>
      <c r="K43" s="79" t="s">
        <v>18</v>
      </c>
      <c r="L43" s="79" t="s">
        <v>193</v>
      </c>
      <c r="M43" s="2"/>
      <c r="N43" s="5"/>
      <c r="O43" s="6" t="s">
        <v>45</v>
      </c>
      <c r="P43" s="6"/>
      <c r="Q43" s="6" t="str">
        <f>IFERROR(SEARCH("ЗП",#REF!,1),"")</f>
        <v/>
      </c>
    </row>
    <row r="44" spans="1:17" ht="15" customHeight="1" x14ac:dyDescent="0.25">
      <c r="A44" s="1">
        <v>45148</v>
      </c>
      <c r="B44" s="17"/>
      <c r="C44" s="17"/>
      <c r="D44" s="17"/>
      <c r="E44" s="17"/>
      <c r="F44" s="17"/>
      <c r="G44" s="4">
        <f>SUM($B44:$F44)</f>
        <v>0</v>
      </c>
      <c r="H44" s="17">
        <v>250000</v>
      </c>
      <c r="I44" s="4">
        <f>$I43+$G44-$H44</f>
        <v>1140205</v>
      </c>
      <c r="J44" s="32" t="str">
        <f>IF($A45&lt;&gt;$A44,$I44,"")</f>
        <v/>
      </c>
      <c r="K44" s="79" t="s">
        <v>18</v>
      </c>
      <c r="L44" s="79" t="s">
        <v>194</v>
      </c>
      <c r="M44" s="2"/>
      <c r="N44" s="5"/>
      <c r="O44" s="6" t="s">
        <v>45</v>
      </c>
      <c r="P44" s="6"/>
      <c r="Q44" s="6" t="str">
        <f>IFERROR(SEARCH("ЗП",#REF!,1),"")</f>
        <v/>
      </c>
    </row>
    <row r="45" spans="1:17" ht="15" customHeight="1" x14ac:dyDescent="0.25">
      <c r="A45" s="1">
        <v>45148</v>
      </c>
      <c r="B45" s="17"/>
      <c r="C45" s="17"/>
      <c r="D45" s="17"/>
      <c r="E45" s="17"/>
      <c r="F45" s="17"/>
      <c r="G45" s="4">
        <f>SUM($B45:$F45)</f>
        <v>0</v>
      </c>
      <c r="H45" s="17">
        <v>5000</v>
      </c>
      <c r="I45" s="4">
        <f>$I44+$G45-$H45</f>
        <v>1135205</v>
      </c>
      <c r="J45" s="32" t="str">
        <f>IF($A46&lt;&gt;$A45,$I45,"")</f>
        <v/>
      </c>
      <c r="K45" s="79" t="s">
        <v>18</v>
      </c>
      <c r="L45" s="79" t="s">
        <v>195</v>
      </c>
      <c r="M45" s="2" t="s">
        <v>66</v>
      </c>
      <c r="N45" s="5"/>
      <c r="O45" s="6" t="s">
        <v>64</v>
      </c>
      <c r="P45" s="6" t="s">
        <v>94</v>
      </c>
      <c r="Q45" s="6" t="str">
        <f>IFERROR(SEARCH("ЗП",#REF!,1),"")</f>
        <v/>
      </c>
    </row>
    <row r="46" spans="1:17" ht="15" customHeight="1" x14ac:dyDescent="0.25">
      <c r="A46" s="1">
        <v>45148</v>
      </c>
      <c r="B46" s="17"/>
      <c r="C46" s="17"/>
      <c r="D46" s="17"/>
      <c r="E46" s="17"/>
      <c r="F46" s="17"/>
      <c r="G46" s="4">
        <f>SUM($B46:$F46)</f>
        <v>0</v>
      </c>
      <c r="H46" s="17">
        <v>2000</v>
      </c>
      <c r="I46" s="4">
        <f>$I45+$G46-$H46</f>
        <v>1133205</v>
      </c>
      <c r="J46" s="32" t="str">
        <f>IF($A47&lt;&gt;$A46,$I46,"")</f>
        <v/>
      </c>
      <c r="K46" s="79" t="s">
        <v>139</v>
      </c>
      <c r="L46" s="79" t="s">
        <v>79</v>
      </c>
      <c r="M46" s="2" t="s">
        <v>41</v>
      </c>
      <c r="N46" s="5"/>
      <c r="O46" s="6" t="s">
        <v>64</v>
      </c>
      <c r="P46" s="6"/>
      <c r="Q46" s="6" t="str">
        <f>IFERROR(SEARCH("ЗП",#REF!,1),"")</f>
        <v/>
      </c>
    </row>
    <row r="47" spans="1:17" ht="15" customHeight="1" x14ac:dyDescent="0.25">
      <c r="A47" s="1">
        <v>45148</v>
      </c>
      <c r="B47" s="17"/>
      <c r="C47" s="17"/>
      <c r="D47" s="17"/>
      <c r="E47" s="17"/>
      <c r="F47" s="17"/>
      <c r="G47" s="4">
        <f>SUM($B47:$F47)</f>
        <v>0</v>
      </c>
      <c r="H47" s="17">
        <v>10000</v>
      </c>
      <c r="I47" s="4">
        <f>$I46+$G47-$H47</f>
        <v>1123205</v>
      </c>
      <c r="J47" s="32">
        <f>IF($A48&lt;&gt;$A47,$I47,"")</f>
        <v>1123205</v>
      </c>
      <c r="K47" s="79" t="s">
        <v>18</v>
      </c>
      <c r="L47" s="79" t="s">
        <v>189</v>
      </c>
      <c r="M47" s="2" t="s">
        <v>18</v>
      </c>
      <c r="N47" s="5"/>
      <c r="O47" s="6" t="s">
        <v>64</v>
      </c>
      <c r="P47" s="6"/>
      <c r="Q47" s="6" t="str">
        <f>IFERROR(SEARCH("ЗП",#REF!,1),"")</f>
        <v/>
      </c>
    </row>
    <row r="48" spans="1:17" ht="15" customHeight="1" x14ac:dyDescent="0.25">
      <c r="A48" s="1">
        <v>45149</v>
      </c>
      <c r="B48" s="17"/>
      <c r="C48" s="17"/>
      <c r="D48" s="17"/>
      <c r="E48" s="17"/>
      <c r="F48" s="17"/>
      <c r="G48" s="4">
        <f>SUM($B48:$F48)</f>
        <v>0</v>
      </c>
      <c r="H48" s="17">
        <v>6000</v>
      </c>
      <c r="I48" s="4">
        <f>$I47+$G48-$H48</f>
        <v>1117205</v>
      </c>
      <c r="J48" s="32" t="str">
        <f>IF($A49&lt;&gt;$A48,$I48,"")</f>
        <v/>
      </c>
      <c r="K48" s="79" t="s">
        <v>139</v>
      </c>
      <c r="L48" s="79" t="s">
        <v>80</v>
      </c>
      <c r="M48" s="2" t="s">
        <v>18</v>
      </c>
      <c r="N48" s="5"/>
      <c r="O48" s="3" t="s">
        <v>45</v>
      </c>
      <c r="P48" s="6"/>
      <c r="Q48" s="6" t="str">
        <f>IFERROR(SEARCH("ЗП",#REF!,1),"")</f>
        <v/>
      </c>
    </row>
    <row r="49" spans="1:17" ht="15" customHeight="1" x14ac:dyDescent="0.25">
      <c r="A49" s="1">
        <v>45149</v>
      </c>
      <c r="B49" s="17"/>
      <c r="C49" s="17"/>
      <c r="D49" s="17"/>
      <c r="E49" s="17"/>
      <c r="F49" s="17"/>
      <c r="G49" s="4">
        <f>SUM($B49:$F49)</f>
        <v>0</v>
      </c>
      <c r="H49" s="17">
        <v>40000</v>
      </c>
      <c r="I49" s="4">
        <f>$I48+$G49-$H49</f>
        <v>1077205</v>
      </c>
      <c r="J49" s="32" t="str">
        <f>IF($A50&lt;&gt;$A49,$I49,"")</f>
        <v/>
      </c>
      <c r="K49" s="79" t="s">
        <v>141</v>
      </c>
      <c r="L49" s="79"/>
      <c r="M49" s="2" t="s">
        <v>13</v>
      </c>
      <c r="N49" s="5" t="s">
        <v>21</v>
      </c>
      <c r="O49" s="3" t="s">
        <v>45</v>
      </c>
      <c r="P49" s="6"/>
      <c r="Q49" s="6" t="str">
        <f>IFERROR(SEARCH("ЗП",#REF!,1),"")</f>
        <v/>
      </c>
    </row>
    <row r="50" spans="1:17" ht="15" customHeight="1" x14ac:dyDescent="0.25">
      <c r="A50" s="1">
        <v>45149</v>
      </c>
      <c r="B50" s="17"/>
      <c r="C50" s="17"/>
      <c r="D50" s="17"/>
      <c r="E50" s="17"/>
      <c r="F50" s="17"/>
      <c r="G50" s="4">
        <f>SUM($B50:$F50)</f>
        <v>0</v>
      </c>
      <c r="H50" s="17">
        <v>25000</v>
      </c>
      <c r="I50" s="4">
        <f>$I49+$G50-$H50</f>
        <v>1052205</v>
      </c>
      <c r="J50" s="32" t="str">
        <f>IF($A51&lt;&gt;$A50,$I50,"")</f>
        <v/>
      </c>
      <c r="K50" s="79" t="s">
        <v>18</v>
      </c>
      <c r="L50" s="79" t="s">
        <v>196</v>
      </c>
      <c r="M50" s="2" t="s">
        <v>15</v>
      </c>
      <c r="N50" s="5"/>
      <c r="O50" s="3" t="s">
        <v>45</v>
      </c>
      <c r="P50" s="6"/>
      <c r="Q50" s="6" t="str">
        <f>IFERROR(SEARCH("ЗП",#REF!,1),"")</f>
        <v/>
      </c>
    </row>
    <row r="51" spans="1:17" ht="15" customHeight="1" x14ac:dyDescent="0.25">
      <c r="A51" s="1">
        <v>45149</v>
      </c>
      <c r="B51" s="17"/>
      <c r="C51" s="17"/>
      <c r="D51" s="17"/>
      <c r="E51" s="17"/>
      <c r="F51" s="17"/>
      <c r="G51" s="4">
        <f>SUM($B51:$F51)</f>
        <v>0</v>
      </c>
      <c r="H51" s="17">
        <v>26500</v>
      </c>
      <c r="I51" s="4">
        <f>$I50+$G51-$H51</f>
        <v>1025705</v>
      </c>
      <c r="J51" s="32" t="str">
        <f>IF($A52&lt;&gt;$A51,$I51,"")</f>
        <v/>
      </c>
      <c r="K51" s="79" t="s">
        <v>140</v>
      </c>
      <c r="L51" s="79" t="s">
        <v>35</v>
      </c>
      <c r="M51" s="2" t="s">
        <v>11</v>
      </c>
      <c r="N51" s="5" t="s">
        <v>21</v>
      </c>
      <c r="O51" s="3" t="s">
        <v>45</v>
      </c>
      <c r="P51" s="6"/>
      <c r="Q51" s="6" t="str">
        <f>IFERROR(SEARCH("ЗП",#REF!,1),"")</f>
        <v/>
      </c>
    </row>
    <row r="52" spans="1:17" ht="15" customHeight="1" x14ac:dyDescent="0.25">
      <c r="A52" s="1">
        <v>45149</v>
      </c>
      <c r="B52" s="17"/>
      <c r="C52" s="17"/>
      <c r="D52" s="17"/>
      <c r="E52" s="17"/>
      <c r="F52" s="17"/>
      <c r="G52" s="4">
        <f>SUM($B52:$F52)</f>
        <v>0</v>
      </c>
      <c r="H52" s="17">
        <v>10000</v>
      </c>
      <c r="I52" s="4">
        <f>$I51+$G52-$H52</f>
        <v>1015705</v>
      </c>
      <c r="J52" s="32">
        <f>IF($A53&lt;&gt;$A52,$I52,"")</f>
        <v>1015705</v>
      </c>
      <c r="K52" s="79" t="s">
        <v>18</v>
      </c>
      <c r="L52" s="79" t="s">
        <v>197</v>
      </c>
      <c r="M52" s="2" t="s">
        <v>14</v>
      </c>
      <c r="N52" s="5"/>
      <c r="O52" s="3" t="s">
        <v>45</v>
      </c>
      <c r="P52" s="6"/>
      <c r="Q52" s="6" t="str">
        <f>IFERROR(SEARCH("ЗП",#REF!,1),"")</f>
        <v/>
      </c>
    </row>
    <row r="53" spans="1:17" ht="15" customHeight="1" x14ac:dyDescent="0.25">
      <c r="A53" s="1">
        <v>45152</v>
      </c>
      <c r="B53" s="17"/>
      <c r="C53" s="17"/>
      <c r="D53" s="17"/>
      <c r="E53" s="17"/>
      <c r="F53" s="17"/>
      <c r="G53" s="4">
        <f>SUM($B53:$F53)</f>
        <v>0</v>
      </c>
      <c r="H53" s="17">
        <v>10000</v>
      </c>
      <c r="I53" s="4">
        <f>$I52+$G53-$H53</f>
        <v>1005705</v>
      </c>
      <c r="J53" s="32" t="str">
        <f>IF($A54&lt;&gt;$A53,$I53,"")</f>
        <v/>
      </c>
      <c r="K53" s="79" t="s">
        <v>18</v>
      </c>
      <c r="L53" s="79" t="s">
        <v>186</v>
      </c>
      <c r="M53" s="2"/>
      <c r="N53" s="5"/>
      <c r="O53" s="3" t="s">
        <v>45</v>
      </c>
      <c r="P53" s="6"/>
      <c r="Q53" s="6" t="str">
        <f>IFERROR(SEARCH("ЗП",#REF!,1),"")</f>
        <v/>
      </c>
    </row>
    <row r="54" spans="1:17" ht="15" customHeight="1" x14ac:dyDescent="0.25">
      <c r="A54" s="1">
        <v>45152</v>
      </c>
      <c r="B54" s="17"/>
      <c r="C54" s="17"/>
      <c r="D54" s="17"/>
      <c r="E54" s="17"/>
      <c r="F54" s="17"/>
      <c r="G54" s="4">
        <f>SUM($B54:$F54)</f>
        <v>0</v>
      </c>
      <c r="H54" s="17">
        <v>30000</v>
      </c>
      <c r="I54" s="4">
        <f>$I53+$G54-$H54</f>
        <v>975705</v>
      </c>
      <c r="J54" s="32" t="str">
        <f>IF($A55&lt;&gt;$A54,$I54,"")</f>
        <v/>
      </c>
      <c r="K54" s="79" t="s">
        <v>140</v>
      </c>
      <c r="L54" s="79" t="s">
        <v>29</v>
      </c>
      <c r="M54" s="2" t="s">
        <v>18</v>
      </c>
      <c r="N54" s="5"/>
      <c r="O54" s="3" t="s">
        <v>45</v>
      </c>
      <c r="P54" s="6"/>
      <c r="Q54" s="6" t="str">
        <f>IFERROR(SEARCH("ЗП",#REF!,1),"")</f>
        <v/>
      </c>
    </row>
    <row r="55" spans="1:17" ht="15" customHeight="1" x14ac:dyDescent="0.25">
      <c r="A55" s="1">
        <v>45152</v>
      </c>
      <c r="B55" s="17"/>
      <c r="C55" s="17"/>
      <c r="D55" s="17"/>
      <c r="E55" s="17"/>
      <c r="F55" s="17"/>
      <c r="G55" s="4">
        <f>SUM($B55:$F55)</f>
        <v>0</v>
      </c>
      <c r="H55" s="17">
        <v>500000</v>
      </c>
      <c r="I55" s="4">
        <f>$I54+$G55-$H55</f>
        <v>475705</v>
      </c>
      <c r="J55" s="32">
        <f>IF($A56&lt;&gt;$A55,$I55,"")</f>
        <v>475705</v>
      </c>
      <c r="K55" s="79" t="s">
        <v>139</v>
      </c>
      <c r="L55" s="79" t="s">
        <v>34</v>
      </c>
      <c r="M55" s="2"/>
      <c r="N55" s="5" t="s">
        <v>36</v>
      </c>
      <c r="O55" s="3" t="s">
        <v>45</v>
      </c>
      <c r="P55" s="6"/>
      <c r="Q55" s="6" t="str">
        <f>IFERROR(SEARCH("ЗП",#REF!,1),"")</f>
        <v/>
      </c>
    </row>
    <row r="56" spans="1:17" ht="15" customHeight="1" x14ac:dyDescent="0.25">
      <c r="A56" s="1">
        <v>45153</v>
      </c>
      <c r="B56" s="17"/>
      <c r="C56" s="17"/>
      <c r="D56" s="17"/>
      <c r="E56" s="17"/>
      <c r="F56" s="17"/>
      <c r="G56" s="4">
        <f>SUM($B56:$F56)</f>
        <v>0</v>
      </c>
      <c r="H56" s="17">
        <v>2000</v>
      </c>
      <c r="I56" s="4">
        <f>$I55+$G56-$H56</f>
        <v>473705</v>
      </c>
      <c r="J56" s="32" t="str">
        <f>IF($A57&lt;&gt;$A56,$I56,"")</f>
        <v/>
      </c>
      <c r="K56" s="79" t="s">
        <v>139</v>
      </c>
      <c r="L56" s="79" t="s">
        <v>81</v>
      </c>
      <c r="M56" s="2"/>
      <c r="N56" s="5" t="s">
        <v>70</v>
      </c>
      <c r="O56" s="3" t="s">
        <v>45</v>
      </c>
      <c r="P56" s="6"/>
      <c r="Q56" s="6" t="str">
        <f>IFERROR(SEARCH("ЗП",#REF!,1),"")</f>
        <v/>
      </c>
    </row>
    <row r="57" spans="1:17" ht="15" customHeight="1" x14ac:dyDescent="0.25">
      <c r="A57" s="1">
        <v>45153</v>
      </c>
      <c r="B57" s="17"/>
      <c r="C57" s="17"/>
      <c r="D57" s="17"/>
      <c r="E57" s="17"/>
      <c r="F57" s="17"/>
      <c r="G57" s="4">
        <f>SUM($B57:$F57)</f>
        <v>0</v>
      </c>
      <c r="H57" s="17">
        <v>5000</v>
      </c>
      <c r="I57" s="4">
        <f>$I56+$G57-$H57</f>
        <v>468705</v>
      </c>
      <c r="J57" s="32" t="str">
        <f>IF($A58&lt;&gt;$A57,$I57,"")</f>
        <v/>
      </c>
      <c r="K57" s="79" t="s">
        <v>140</v>
      </c>
      <c r="L57" s="79" t="s">
        <v>33</v>
      </c>
      <c r="M57" s="2" t="s">
        <v>67</v>
      </c>
      <c r="N57" s="5" t="s">
        <v>21</v>
      </c>
      <c r="O57" s="3" t="s">
        <v>65</v>
      </c>
      <c r="P57" s="6"/>
      <c r="Q57" s="6" t="str">
        <f>IFERROR(SEARCH("ЗП",#REF!,1),"")</f>
        <v/>
      </c>
    </row>
    <row r="58" spans="1:17" ht="15" customHeight="1" x14ac:dyDescent="0.25">
      <c r="A58" s="1">
        <v>45153</v>
      </c>
      <c r="B58" s="17"/>
      <c r="C58" s="17"/>
      <c r="D58" s="17"/>
      <c r="E58" s="17"/>
      <c r="F58" s="17"/>
      <c r="G58" s="4">
        <f>SUM($B58:$F58)</f>
        <v>0</v>
      </c>
      <c r="H58" s="17">
        <v>7000</v>
      </c>
      <c r="I58" s="4">
        <f>$I57+$G58-$H58</f>
        <v>461705</v>
      </c>
      <c r="J58" s="32">
        <f>IF($A59&lt;&gt;$A58,$I58,"")</f>
        <v>461705</v>
      </c>
      <c r="K58" s="79" t="s">
        <v>139</v>
      </c>
      <c r="L58" s="79" t="s">
        <v>82</v>
      </c>
      <c r="M58" s="2" t="s">
        <v>12</v>
      </c>
      <c r="N58" s="5"/>
      <c r="O58" s="3" t="s">
        <v>65</v>
      </c>
      <c r="P58" s="6"/>
      <c r="Q58" s="6" t="str">
        <f>IFERROR(SEARCH("ЗП",#REF!,1),"")</f>
        <v/>
      </c>
    </row>
    <row r="59" spans="1:17" ht="15" customHeight="1" x14ac:dyDescent="0.25">
      <c r="A59" s="1">
        <v>45154</v>
      </c>
      <c r="B59" s="17"/>
      <c r="C59" s="17"/>
      <c r="D59" s="17"/>
      <c r="E59" s="17"/>
      <c r="F59" s="17"/>
      <c r="G59" s="4">
        <f>SUM($B59:$F59)</f>
        <v>0</v>
      </c>
      <c r="H59" s="17">
        <v>3500</v>
      </c>
      <c r="I59" s="4">
        <f>$I58+$G59-$H59</f>
        <v>458205</v>
      </c>
      <c r="J59" s="32" t="str">
        <f>IF($A60&lt;&gt;$A59,$I59,"")</f>
        <v/>
      </c>
      <c r="K59" s="79" t="s">
        <v>140</v>
      </c>
      <c r="L59" s="79" t="s">
        <v>83</v>
      </c>
      <c r="M59" s="2" t="s">
        <v>11</v>
      </c>
      <c r="N59" s="5" t="s">
        <v>21</v>
      </c>
      <c r="O59" s="3" t="s">
        <v>45</v>
      </c>
      <c r="P59" s="6"/>
      <c r="Q59" s="6" t="str">
        <f>IFERROR(SEARCH("ЗП",#REF!,1),"")</f>
        <v/>
      </c>
    </row>
    <row r="60" spans="1:17" ht="15" customHeight="1" x14ac:dyDescent="0.25">
      <c r="A60" s="1">
        <v>45154</v>
      </c>
      <c r="B60" s="17"/>
      <c r="C60" s="17"/>
      <c r="D60" s="17"/>
      <c r="E60" s="17"/>
      <c r="F60" s="17"/>
      <c r="G60" s="4">
        <f>SUM($B60:$F60)</f>
        <v>0</v>
      </c>
      <c r="H60" s="17">
        <v>16250</v>
      </c>
      <c r="I60" s="4">
        <f>$I59+$G60-$H60</f>
        <v>441955</v>
      </c>
      <c r="J60" s="32">
        <f>IF($A61&lt;&gt;$A60,$I60,"")</f>
        <v>441955</v>
      </c>
      <c r="K60" s="79" t="s">
        <v>139</v>
      </c>
      <c r="L60" s="79" t="s">
        <v>84</v>
      </c>
      <c r="M60" s="2" t="s">
        <v>11</v>
      </c>
      <c r="N60" s="5" t="s">
        <v>21</v>
      </c>
      <c r="O60" s="3" t="s">
        <v>65</v>
      </c>
      <c r="P60" s="6"/>
      <c r="Q60" s="6" t="str">
        <f>IFERROR(SEARCH("ЗП",#REF!,1),"")</f>
        <v/>
      </c>
    </row>
    <row r="61" spans="1:17" ht="15" customHeight="1" x14ac:dyDescent="0.25">
      <c r="A61" s="1">
        <v>45155</v>
      </c>
      <c r="B61" s="17"/>
      <c r="C61" s="17"/>
      <c r="D61" s="17"/>
      <c r="E61" s="17"/>
      <c r="F61" s="17"/>
      <c r="G61" s="4">
        <f>SUM($B61:$F61)</f>
        <v>0</v>
      </c>
      <c r="H61" s="17">
        <v>2500</v>
      </c>
      <c r="I61" s="4">
        <f>$I60+$G61-$H61</f>
        <v>439455</v>
      </c>
      <c r="J61" s="32" t="str">
        <f>IF($A62&lt;&gt;$A61,$I61,"")</f>
        <v/>
      </c>
      <c r="K61" s="79" t="s">
        <v>140</v>
      </c>
      <c r="L61" s="79" t="s">
        <v>83</v>
      </c>
      <c r="M61" s="2" t="s">
        <v>11</v>
      </c>
      <c r="N61" s="5" t="s">
        <v>21</v>
      </c>
      <c r="O61" s="3" t="s">
        <v>45</v>
      </c>
      <c r="P61" s="6"/>
      <c r="Q61" s="6" t="str">
        <f>IFERROR(SEARCH("ЗП",#REF!,1),"")</f>
        <v/>
      </c>
    </row>
    <row r="62" spans="1:17" ht="15" customHeight="1" x14ac:dyDescent="0.25">
      <c r="A62" s="1">
        <v>45155</v>
      </c>
      <c r="B62" s="17">
        <v>200000</v>
      </c>
      <c r="C62" s="17"/>
      <c r="D62" s="17"/>
      <c r="E62" s="17"/>
      <c r="F62" s="17"/>
      <c r="G62" s="4">
        <f>SUM($B62:$F62)</f>
        <v>200000</v>
      </c>
      <c r="H62" s="17"/>
      <c r="I62" s="4">
        <f>$I61+$G62-$H62</f>
        <v>639455</v>
      </c>
      <c r="J62" s="32" t="str">
        <f>IF($A63&lt;&gt;$A62,$I62,"")</f>
        <v/>
      </c>
      <c r="K62" s="79" t="s">
        <v>141</v>
      </c>
      <c r="L62" s="79"/>
      <c r="M62" s="2" t="s">
        <v>68</v>
      </c>
      <c r="N62" s="5"/>
      <c r="O62" s="3"/>
      <c r="P62" s="6"/>
      <c r="Q62" s="6" t="str">
        <f>IFERROR(SEARCH("ЗП",#REF!,1),"")</f>
        <v/>
      </c>
    </row>
    <row r="63" spans="1:17" ht="15" customHeight="1" x14ac:dyDescent="0.25">
      <c r="A63" s="1">
        <v>45155</v>
      </c>
      <c r="B63" s="17"/>
      <c r="C63" s="17"/>
      <c r="D63" s="17"/>
      <c r="E63" s="17"/>
      <c r="F63" s="17"/>
      <c r="G63" s="4">
        <f>SUM($B63:$F63)</f>
        <v>0</v>
      </c>
      <c r="H63" s="17">
        <v>47258</v>
      </c>
      <c r="I63" s="4">
        <f>$I62+$G63-$H63</f>
        <v>592197</v>
      </c>
      <c r="J63" s="32" t="str">
        <f>IF($A64&lt;&gt;$A63,$I63,"")</f>
        <v/>
      </c>
      <c r="K63" s="79" t="s">
        <v>18</v>
      </c>
      <c r="L63" s="79" t="s">
        <v>196</v>
      </c>
      <c r="M63" s="2" t="s">
        <v>11</v>
      </c>
      <c r="N63" s="5" t="s">
        <v>70</v>
      </c>
      <c r="O63" s="3" t="s">
        <v>45</v>
      </c>
      <c r="P63" s="6"/>
      <c r="Q63" s="6" t="str">
        <f>IFERROR(SEARCH("ЗП",#REF!,1),"")</f>
        <v/>
      </c>
    </row>
    <row r="64" spans="1:17" ht="15" customHeight="1" x14ac:dyDescent="0.25">
      <c r="A64" s="1">
        <v>45155</v>
      </c>
      <c r="B64" s="17"/>
      <c r="C64" s="17"/>
      <c r="D64" s="17"/>
      <c r="E64" s="17"/>
      <c r="F64" s="17"/>
      <c r="G64" s="4">
        <f>SUM($B64:$F64)</f>
        <v>0</v>
      </c>
      <c r="H64" s="17">
        <v>2000</v>
      </c>
      <c r="I64" s="4">
        <f>$I63+$G64-$H64</f>
        <v>590197</v>
      </c>
      <c r="J64" s="32" t="str">
        <f>IF($A65&lt;&gt;$A64,$I64,"")</f>
        <v/>
      </c>
      <c r="K64" s="79" t="s">
        <v>140</v>
      </c>
      <c r="L64" s="79" t="s">
        <v>85</v>
      </c>
      <c r="M64" s="2"/>
      <c r="N64" s="5" t="s">
        <v>70</v>
      </c>
      <c r="O64" s="3" t="s">
        <v>45</v>
      </c>
      <c r="P64" s="6"/>
      <c r="Q64" s="6" t="str">
        <f>IFERROR(SEARCH("ЗП",#REF!,1),"")</f>
        <v/>
      </c>
    </row>
    <row r="65" spans="1:17" ht="15" customHeight="1" x14ac:dyDescent="0.25">
      <c r="A65" s="1">
        <v>45155</v>
      </c>
      <c r="B65" s="17"/>
      <c r="C65" s="17"/>
      <c r="D65" s="17"/>
      <c r="E65" s="17"/>
      <c r="F65" s="17"/>
      <c r="G65" s="4">
        <f>SUM($B65:$F65)</f>
        <v>0</v>
      </c>
      <c r="H65" s="17">
        <v>8200</v>
      </c>
      <c r="I65" s="4">
        <f>$I64+$G65-$H65</f>
        <v>581997</v>
      </c>
      <c r="J65" s="32" t="str">
        <f>IF($A66&lt;&gt;$A65,$I65,"")</f>
        <v/>
      </c>
      <c r="K65" s="79" t="s">
        <v>139</v>
      </c>
      <c r="L65" s="79" t="s">
        <v>86</v>
      </c>
      <c r="M65" s="2" t="s">
        <v>67</v>
      </c>
      <c r="N65" s="5" t="s">
        <v>21</v>
      </c>
      <c r="O65" s="3" t="s">
        <v>65</v>
      </c>
      <c r="P65" s="6"/>
      <c r="Q65" s="6" t="str">
        <f>IFERROR(SEARCH("ЗП",#REF!,1),"")</f>
        <v/>
      </c>
    </row>
    <row r="66" spans="1:17" ht="15" customHeight="1" x14ac:dyDescent="0.25">
      <c r="A66" s="1">
        <v>45155</v>
      </c>
      <c r="B66" s="17"/>
      <c r="C66" s="17"/>
      <c r="D66" s="17"/>
      <c r="E66" s="17"/>
      <c r="F66" s="17"/>
      <c r="G66" s="4">
        <f>SUM($B66:$F66)</f>
        <v>0</v>
      </c>
      <c r="H66" s="17">
        <v>2200</v>
      </c>
      <c r="I66" s="4">
        <f>$I65+$G66-$H66</f>
        <v>579797</v>
      </c>
      <c r="J66" s="32">
        <f>IF($A67&lt;&gt;$A66,$I66,"")</f>
        <v>579797</v>
      </c>
      <c r="K66" s="79" t="s">
        <v>18</v>
      </c>
      <c r="L66" s="79" t="s">
        <v>184</v>
      </c>
      <c r="M66" s="2" t="s">
        <v>18</v>
      </c>
      <c r="N66" s="5" t="s">
        <v>70</v>
      </c>
      <c r="O66" s="3" t="s">
        <v>65</v>
      </c>
      <c r="P66" s="6"/>
      <c r="Q66" s="6" t="str">
        <f>IFERROR(SEARCH("ЗП",#REF!,1),"")</f>
        <v/>
      </c>
    </row>
    <row r="67" spans="1:17" ht="15" customHeight="1" x14ac:dyDescent="0.25">
      <c r="A67" s="1">
        <v>45156</v>
      </c>
      <c r="B67" s="17"/>
      <c r="C67" s="17"/>
      <c r="D67" s="17"/>
      <c r="E67" s="17"/>
      <c r="F67" s="17"/>
      <c r="G67" s="4">
        <f>SUM($B67:$F67)</f>
        <v>0</v>
      </c>
      <c r="H67" s="17">
        <v>60000</v>
      </c>
      <c r="I67" s="4">
        <f>$I66+$G67-$H67</f>
        <v>519797</v>
      </c>
      <c r="J67" s="32" t="str">
        <f>IF($A68&lt;&gt;$A67,$I67,"")</f>
        <v/>
      </c>
      <c r="K67" s="79" t="s">
        <v>18</v>
      </c>
      <c r="L67" s="79" t="s">
        <v>190</v>
      </c>
      <c r="M67" s="2" t="s">
        <v>11</v>
      </c>
      <c r="N67" s="5" t="s">
        <v>21</v>
      </c>
      <c r="O67" s="3" t="s">
        <v>45</v>
      </c>
      <c r="P67" s="6" t="s">
        <v>95</v>
      </c>
      <c r="Q67" s="6" t="str">
        <f>IFERROR(SEARCH("ЗП",#REF!,1),"")</f>
        <v/>
      </c>
    </row>
    <row r="68" spans="1:17" ht="15" customHeight="1" x14ac:dyDescent="0.25">
      <c r="A68" s="1">
        <v>45156</v>
      </c>
      <c r="B68" s="17"/>
      <c r="C68" s="17"/>
      <c r="D68" s="17"/>
      <c r="E68" s="17"/>
      <c r="F68" s="17"/>
      <c r="G68" s="4">
        <f>SUM($B68:$F68)</f>
        <v>0</v>
      </c>
      <c r="H68" s="17">
        <v>6000</v>
      </c>
      <c r="I68" s="4">
        <f>$I67+$G68-$H68</f>
        <v>513797</v>
      </c>
      <c r="J68" s="32" t="str">
        <f>IF($A69&lt;&gt;$A68,$I68,"")</f>
        <v/>
      </c>
      <c r="K68" s="79" t="s">
        <v>139</v>
      </c>
      <c r="L68" s="79" t="s">
        <v>87</v>
      </c>
      <c r="M68" s="2"/>
      <c r="N68" s="5"/>
      <c r="O68" s="3" t="s">
        <v>45</v>
      </c>
      <c r="P68" s="6"/>
      <c r="Q68" s="6" t="str">
        <f>IFERROR(SEARCH("ЗП",#REF!,1),"")</f>
        <v/>
      </c>
    </row>
    <row r="69" spans="1:17" ht="15" customHeight="1" x14ac:dyDescent="0.25">
      <c r="A69" s="1">
        <v>45156</v>
      </c>
      <c r="B69" s="17"/>
      <c r="C69" s="17"/>
      <c r="D69" s="17"/>
      <c r="E69" s="17"/>
      <c r="F69" s="17"/>
      <c r="G69" s="4">
        <f>SUM($B69:$F69)</f>
        <v>0</v>
      </c>
      <c r="H69" s="17">
        <v>2000</v>
      </c>
      <c r="I69" s="4">
        <f>$I68+$G69-$H69</f>
        <v>511797</v>
      </c>
      <c r="J69" s="32">
        <f>IF($A70&lt;&gt;$A69,$I69,"")</f>
        <v>511797</v>
      </c>
      <c r="K69" s="79" t="s">
        <v>139</v>
      </c>
      <c r="L69" s="79" t="s">
        <v>88</v>
      </c>
      <c r="M69" s="2"/>
      <c r="N69" s="5"/>
      <c r="O69" s="3" t="s">
        <v>65</v>
      </c>
      <c r="P69" s="6"/>
      <c r="Q69" s="6" t="str">
        <f>IFERROR(SEARCH("ЗП",#REF!,1),"")</f>
        <v/>
      </c>
    </row>
    <row r="70" spans="1:17" ht="15" customHeight="1" x14ac:dyDescent="0.25">
      <c r="A70" s="1">
        <v>45157</v>
      </c>
      <c r="B70" s="17"/>
      <c r="C70" s="17"/>
      <c r="D70" s="17"/>
      <c r="E70" s="17"/>
      <c r="F70" s="17"/>
      <c r="G70" s="4">
        <f>SUM($B70:$F70)</f>
        <v>0</v>
      </c>
      <c r="H70" s="17">
        <v>20000</v>
      </c>
      <c r="I70" s="4">
        <f>$I69+$G70-$H70</f>
        <v>491797</v>
      </c>
      <c r="J70" s="32" t="str">
        <f>IF($A71&lt;&gt;$A70,$I70,"")</f>
        <v/>
      </c>
      <c r="K70" s="79" t="s">
        <v>18</v>
      </c>
      <c r="L70" s="79" t="s">
        <v>198</v>
      </c>
      <c r="M70" s="2" t="s">
        <v>12</v>
      </c>
      <c r="N70" s="5"/>
      <c r="O70" s="3" t="s">
        <v>45</v>
      </c>
      <c r="P70" s="6" t="s">
        <v>24</v>
      </c>
      <c r="Q70" s="6" t="str">
        <f>IFERROR(SEARCH("ЗП",#REF!,1),"")</f>
        <v/>
      </c>
    </row>
    <row r="71" spans="1:17" ht="15" customHeight="1" x14ac:dyDescent="0.25">
      <c r="A71" s="1">
        <v>45157</v>
      </c>
      <c r="B71" s="17"/>
      <c r="C71" s="17"/>
      <c r="D71" s="17"/>
      <c r="E71" s="17"/>
      <c r="F71" s="17"/>
      <c r="G71" s="4">
        <f>SUM($B71:$F71)</f>
        <v>0</v>
      </c>
      <c r="H71" s="17">
        <v>4000</v>
      </c>
      <c r="I71" s="4">
        <f>$I70+$G71-$H71</f>
        <v>487797</v>
      </c>
      <c r="J71" s="32" t="str">
        <f>IF($A72&lt;&gt;$A71,$I71,"")</f>
        <v/>
      </c>
      <c r="K71" s="79" t="s">
        <v>18</v>
      </c>
      <c r="L71" s="79" t="s">
        <v>199</v>
      </c>
      <c r="M71" s="2"/>
      <c r="N71" s="5"/>
      <c r="O71" s="3" t="s">
        <v>45</v>
      </c>
      <c r="P71" s="6"/>
      <c r="Q71" s="6" t="str">
        <f>IFERROR(SEARCH("ЗП",#REF!,1),"")</f>
        <v/>
      </c>
    </row>
    <row r="72" spans="1:17" ht="15" customHeight="1" x14ac:dyDescent="0.25">
      <c r="A72" s="1">
        <v>45157</v>
      </c>
      <c r="B72" s="17"/>
      <c r="C72" s="17"/>
      <c r="D72" s="17"/>
      <c r="E72" s="17"/>
      <c r="F72" s="17"/>
      <c r="G72" s="4">
        <f>SUM($B72:$F72)</f>
        <v>0</v>
      </c>
      <c r="H72" s="17">
        <v>30000</v>
      </c>
      <c r="I72" s="4">
        <f>$I71+$G72-$H72</f>
        <v>457797</v>
      </c>
      <c r="J72" s="32">
        <f>IF($A73&lt;&gt;$A72,$I72,"")</f>
        <v>457797</v>
      </c>
      <c r="K72" s="79" t="s">
        <v>18</v>
      </c>
      <c r="L72" s="79" t="s">
        <v>192</v>
      </c>
      <c r="M72" s="2"/>
      <c r="N72" s="5"/>
      <c r="O72" s="3" t="s">
        <v>45</v>
      </c>
      <c r="P72" s="6"/>
      <c r="Q72" s="6" t="str">
        <f>IFERROR(SEARCH("ЗП",#REF!,1),"")</f>
        <v/>
      </c>
    </row>
    <row r="73" spans="1:17" ht="15" customHeight="1" x14ac:dyDescent="0.25">
      <c r="A73" s="1">
        <v>45158</v>
      </c>
      <c r="B73" s="17"/>
      <c r="C73" s="17"/>
      <c r="D73" s="17"/>
      <c r="E73" s="17"/>
      <c r="F73" s="17"/>
      <c r="G73" s="4">
        <f>SUM($B73:$F73)</f>
        <v>0</v>
      </c>
      <c r="H73" s="17">
        <v>5000</v>
      </c>
      <c r="I73" s="4">
        <f>$I72+$G73-$H73</f>
        <v>452797</v>
      </c>
      <c r="J73" s="32">
        <f>IF($A74&lt;&gt;$A73,$I73,"")</f>
        <v>452797</v>
      </c>
      <c r="K73" s="79" t="s">
        <v>18</v>
      </c>
      <c r="L73" s="79" t="s">
        <v>186</v>
      </c>
      <c r="M73" s="2" t="s">
        <v>69</v>
      </c>
      <c r="N73" s="5"/>
      <c r="O73" s="3" t="s">
        <v>45</v>
      </c>
      <c r="P73" s="6"/>
      <c r="Q73" s="6" t="str">
        <f>IFERROR(SEARCH("ЗП",#REF!,1),"")</f>
        <v/>
      </c>
    </row>
    <row r="74" spans="1:17" ht="15" customHeight="1" x14ac:dyDescent="0.25">
      <c r="A74" s="1">
        <v>45159</v>
      </c>
      <c r="B74" s="17"/>
      <c r="C74" s="17"/>
      <c r="D74" s="17"/>
      <c r="E74" s="17"/>
      <c r="F74" s="17">
        <v>500000</v>
      </c>
      <c r="G74" s="4">
        <f>SUM($B74:$F74)</f>
        <v>500000</v>
      </c>
      <c r="H74" s="17"/>
      <c r="I74" s="4">
        <f>$I73+$G74-$H74</f>
        <v>952797</v>
      </c>
      <c r="J74" s="32" t="str">
        <f>IF($A75&lt;&gt;$A74,$I74,"")</f>
        <v/>
      </c>
      <c r="K74" s="79" t="s">
        <v>157</v>
      </c>
      <c r="L74" s="79" t="s">
        <v>89</v>
      </c>
      <c r="M74" s="2"/>
      <c r="N74" s="5" t="s">
        <v>121</v>
      </c>
      <c r="O74" s="3"/>
      <c r="P74" s="6"/>
      <c r="Q74" s="6" t="str">
        <f>IFERROR(SEARCH("ЗП",#REF!,1),"")</f>
        <v/>
      </c>
    </row>
    <row r="75" spans="1:17" ht="15" customHeight="1" x14ac:dyDescent="0.25">
      <c r="A75" s="1">
        <v>45159</v>
      </c>
      <c r="B75" s="17"/>
      <c r="C75" s="17"/>
      <c r="D75" s="17"/>
      <c r="E75" s="17"/>
      <c r="F75" s="17"/>
      <c r="G75" s="4">
        <f>SUM($B75:$F75)</f>
        <v>0</v>
      </c>
      <c r="H75" s="17">
        <v>2800</v>
      </c>
      <c r="I75" s="4">
        <f>$I74+$G75-$H75</f>
        <v>949997</v>
      </c>
      <c r="J75" s="32" t="str">
        <f>IF($A76&lt;&gt;$A75,$I75,"")</f>
        <v/>
      </c>
      <c r="K75" s="79" t="s">
        <v>155</v>
      </c>
      <c r="L75" s="79" t="s">
        <v>118</v>
      </c>
      <c r="M75" s="2" t="s">
        <v>13</v>
      </c>
      <c r="N75" s="5"/>
      <c r="O75" s="3" t="s">
        <v>65</v>
      </c>
      <c r="P75" s="6"/>
      <c r="Q75" s="6" t="str">
        <f>IFERROR(SEARCH("ЗП",#REF!,1),"")</f>
        <v/>
      </c>
    </row>
    <row r="76" spans="1:17" ht="15" customHeight="1" x14ac:dyDescent="0.25">
      <c r="A76" s="1">
        <v>45159</v>
      </c>
      <c r="B76" s="17"/>
      <c r="C76" s="17"/>
      <c r="D76" s="17"/>
      <c r="E76" s="17"/>
      <c r="F76" s="17"/>
      <c r="G76" s="4">
        <f>SUM($B76:$F76)</f>
        <v>0</v>
      </c>
      <c r="H76" s="17">
        <v>2800</v>
      </c>
      <c r="I76" s="4">
        <f>$I75+$G76-$H76</f>
        <v>947197</v>
      </c>
      <c r="J76" s="32" t="str">
        <f>IF($A77&lt;&gt;$A76,$I76,"")</f>
        <v/>
      </c>
      <c r="K76" s="79" t="s">
        <v>155</v>
      </c>
      <c r="L76" s="79" t="s">
        <v>119</v>
      </c>
      <c r="M76" s="2" t="s">
        <v>13</v>
      </c>
      <c r="N76" s="5" t="s">
        <v>70</v>
      </c>
      <c r="O76" s="3" t="s">
        <v>65</v>
      </c>
      <c r="P76" s="6"/>
      <c r="Q76" s="6" t="str">
        <f>IFERROR(SEARCH("ЗП",#REF!,1),"")</f>
        <v/>
      </c>
    </row>
    <row r="77" spans="1:17" ht="15" customHeight="1" x14ac:dyDescent="0.25">
      <c r="A77" s="1">
        <v>45159</v>
      </c>
      <c r="B77" s="17"/>
      <c r="C77" s="17"/>
      <c r="D77" s="17"/>
      <c r="E77" s="17"/>
      <c r="F77" s="17"/>
      <c r="G77" s="4">
        <f>SUM($B77:$F77)</f>
        <v>0</v>
      </c>
      <c r="H77" s="17">
        <v>2800</v>
      </c>
      <c r="I77" s="4">
        <f>$I76+$G77-$H77</f>
        <v>944397</v>
      </c>
      <c r="J77" s="32" t="str">
        <f>IF($A78&lt;&gt;$A77,$I77,"")</f>
        <v/>
      </c>
      <c r="K77" s="79" t="s">
        <v>155</v>
      </c>
      <c r="L77" s="79" t="s">
        <v>120</v>
      </c>
      <c r="M77" s="2" t="s">
        <v>13</v>
      </c>
      <c r="N77" s="5"/>
      <c r="O77" s="3" t="s">
        <v>65</v>
      </c>
      <c r="P77" s="6"/>
      <c r="Q77" s="6" t="str">
        <f>IFERROR(SEARCH("ЗП",#REF!,1),"")</f>
        <v/>
      </c>
    </row>
    <row r="78" spans="1:17" ht="15" customHeight="1" x14ac:dyDescent="0.25">
      <c r="A78" s="1">
        <v>45159</v>
      </c>
      <c r="B78" s="17"/>
      <c r="C78" s="17"/>
      <c r="D78" s="17"/>
      <c r="E78" s="17"/>
      <c r="F78" s="17"/>
      <c r="G78" s="4">
        <f>SUM($B78:$F78)</f>
        <v>0</v>
      </c>
      <c r="H78" s="17">
        <v>10000</v>
      </c>
      <c r="I78" s="4">
        <f>$I77+$G78-$H78</f>
        <v>934397</v>
      </c>
      <c r="J78" s="32" t="str">
        <f>IF($A79&lt;&gt;$A78,$I78,"")</f>
        <v/>
      </c>
      <c r="K78" s="79" t="s">
        <v>18</v>
      </c>
      <c r="L78" s="79" t="s">
        <v>182</v>
      </c>
      <c r="M78" s="2" t="s">
        <v>18</v>
      </c>
      <c r="N78" s="5" t="s">
        <v>21</v>
      </c>
      <c r="O78" s="3" t="s">
        <v>65</v>
      </c>
      <c r="P78" s="6"/>
      <c r="Q78" s="6" t="str">
        <f>IFERROR(SEARCH("ЗП",#REF!,1),"")</f>
        <v/>
      </c>
    </row>
    <row r="79" spans="1:17" ht="15" customHeight="1" x14ac:dyDescent="0.25">
      <c r="A79" s="1">
        <v>45159</v>
      </c>
      <c r="B79" s="17"/>
      <c r="C79" s="17"/>
      <c r="D79" s="17"/>
      <c r="E79" s="17"/>
      <c r="F79" s="17"/>
      <c r="G79" s="4">
        <f>SUM($B79:$F79)</f>
        <v>0</v>
      </c>
      <c r="H79" s="17">
        <v>419</v>
      </c>
      <c r="I79" s="4">
        <f>$I78+$G79-$H79</f>
        <v>933978</v>
      </c>
      <c r="J79" s="32" t="str">
        <f>IF($A80&lt;&gt;$A79,$I79,"")</f>
        <v/>
      </c>
      <c r="K79" s="79" t="s">
        <v>139</v>
      </c>
      <c r="L79" s="79" t="s">
        <v>34</v>
      </c>
      <c r="M79" s="2" t="s">
        <v>32</v>
      </c>
      <c r="N79" s="5" t="s">
        <v>121</v>
      </c>
      <c r="O79" s="3" t="s">
        <v>45</v>
      </c>
      <c r="P79" s="6"/>
      <c r="Q79" s="6" t="str">
        <f>IFERROR(SEARCH("ЗП",#REF!,1),"")</f>
        <v/>
      </c>
    </row>
    <row r="80" spans="1:17" ht="15" customHeight="1" x14ac:dyDescent="0.25">
      <c r="A80" s="1">
        <v>45159</v>
      </c>
      <c r="B80" s="17"/>
      <c r="C80" s="17"/>
      <c r="D80" s="17"/>
      <c r="E80" s="17"/>
      <c r="F80" s="17"/>
      <c r="G80" s="4">
        <f>SUM($B80:$F80)</f>
        <v>0</v>
      </c>
      <c r="H80" s="17">
        <v>4689.75</v>
      </c>
      <c r="I80" s="4">
        <f>$I79+$G80-$H80</f>
        <v>929288.25</v>
      </c>
      <c r="J80" s="32" t="str">
        <f>IF($A81&lt;&gt;$A80,$I80,"")</f>
        <v/>
      </c>
      <c r="K80" s="79" t="s">
        <v>139</v>
      </c>
      <c r="L80" s="79" t="s">
        <v>34</v>
      </c>
      <c r="M80" s="2" t="s">
        <v>69</v>
      </c>
      <c r="N80" s="5" t="s">
        <v>121</v>
      </c>
      <c r="O80" s="3" t="s">
        <v>45</v>
      </c>
      <c r="P80" s="6"/>
      <c r="Q80" s="6" t="str">
        <f>IFERROR(SEARCH("ЗП",#REF!,1),"")</f>
        <v/>
      </c>
    </row>
    <row r="81" spans="1:17" ht="15" customHeight="1" x14ac:dyDescent="0.25">
      <c r="A81" s="1">
        <v>45159</v>
      </c>
      <c r="B81" s="17"/>
      <c r="C81" s="17"/>
      <c r="D81" s="17"/>
      <c r="E81" s="17"/>
      <c r="F81" s="17"/>
      <c r="G81" s="4">
        <f>SUM($B81:$F81)</f>
        <v>0</v>
      </c>
      <c r="H81" s="17">
        <v>1440</v>
      </c>
      <c r="I81" s="4">
        <f>$I80+$G81-$H81</f>
        <v>927848.25</v>
      </c>
      <c r="J81" s="32" t="str">
        <f>IF($A82&lt;&gt;$A81,$I81,"")</f>
        <v/>
      </c>
      <c r="K81" s="79" t="s">
        <v>139</v>
      </c>
      <c r="L81" s="79" t="s">
        <v>34</v>
      </c>
      <c r="M81" s="2" t="s">
        <v>32</v>
      </c>
      <c r="N81" s="5" t="s">
        <v>121</v>
      </c>
      <c r="O81" s="3" t="s">
        <v>45</v>
      </c>
      <c r="P81" s="6"/>
      <c r="Q81" s="6" t="str">
        <f>IFERROR(SEARCH("ЗП",#REF!,1),"")</f>
        <v/>
      </c>
    </row>
    <row r="82" spans="1:17" ht="15" customHeight="1" x14ac:dyDescent="0.25">
      <c r="A82" s="1">
        <v>45159</v>
      </c>
      <c r="B82" s="17"/>
      <c r="C82" s="17"/>
      <c r="D82" s="17"/>
      <c r="E82" s="17"/>
      <c r="F82" s="17"/>
      <c r="G82" s="4">
        <f>SUM($B82:$F82)</f>
        <v>0</v>
      </c>
      <c r="H82" s="17">
        <v>30000</v>
      </c>
      <c r="I82" s="4">
        <f>$I81+$G82-$H82</f>
        <v>897848.25</v>
      </c>
      <c r="J82" s="32">
        <f>IF($A83&lt;&gt;$A82,$I82,"")</f>
        <v>897848.25</v>
      </c>
      <c r="K82" s="79" t="s">
        <v>139</v>
      </c>
      <c r="L82" s="79" t="s">
        <v>34</v>
      </c>
      <c r="M82" s="2" t="s">
        <v>69</v>
      </c>
      <c r="N82" s="5" t="s">
        <v>121</v>
      </c>
      <c r="O82" s="3" t="s">
        <v>45</v>
      </c>
      <c r="P82" s="6"/>
      <c r="Q82" s="6" t="str">
        <f>IFERROR(SEARCH("ЗП",#REF!,1),"")</f>
        <v/>
      </c>
    </row>
    <row r="83" spans="1:17" ht="15" customHeight="1" x14ac:dyDescent="0.25">
      <c r="A83" s="1">
        <v>45160</v>
      </c>
      <c r="B83" s="17"/>
      <c r="C83" s="17"/>
      <c r="D83" s="17"/>
      <c r="E83" s="17"/>
      <c r="F83" s="17"/>
      <c r="G83" s="4">
        <f>SUM($B83:$F83)</f>
        <v>0</v>
      </c>
      <c r="H83" s="17">
        <v>2500</v>
      </c>
      <c r="I83" s="4">
        <f>$I82+$G83-$H83</f>
        <v>895348.25</v>
      </c>
      <c r="J83" s="32" t="str">
        <f>IF($A84&lt;&gt;$A83,$I83,"")</f>
        <v/>
      </c>
      <c r="K83" s="79" t="s">
        <v>140</v>
      </c>
      <c r="L83" s="79" t="s">
        <v>122</v>
      </c>
      <c r="M83" s="2" t="s">
        <v>11</v>
      </c>
      <c r="N83" s="5" t="s">
        <v>20</v>
      </c>
      <c r="O83" s="3" t="s">
        <v>45</v>
      </c>
      <c r="P83" s="6"/>
      <c r="Q83" s="6" t="str">
        <f>IFERROR(SEARCH("ЗП",#REF!,1),"")</f>
        <v/>
      </c>
    </row>
    <row r="84" spans="1:17" ht="15" customHeight="1" x14ac:dyDescent="0.25">
      <c r="A84" s="1">
        <v>45160</v>
      </c>
      <c r="B84" s="17"/>
      <c r="C84" s="17"/>
      <c r="D84" s="17"/>
      <c r="E84" s="17"/>
      <c r="F84" s="17"/>
      <c r="G84" s="4">
        <f>SUM($B84:$F84)</f>
        <v>0</v>
      </c>
      <c r="H84" s="17">
        <v>2000</v>
      </c>
      <c r="I84" s="4">
        <f>$I83+$G84-$H84</f>
        <v>893348.25</v>
      </c>
      <c r="J84" s="32">
        <f>IF($A85&lt;&gt;$A84,$I84,"")</f>
        <v>893348.25</v>
      </c>
      <c r="K84" s="79" t="s">
        <v>18</v>
      </c>
      <c r="L84" s="79" t="s">
        <v>184</v>
      </c>
      <c r="M84" s="2" t="s">
        <v>18</v>
      </c>
      <c r="N84" s="5" t="s">
        <v>70</v>
      </c>
      <c r="O84" s="3" t="s">
        <v>45</v>
      </c>
      <c r="P84" s="6" t="s">
        <v>123</v>
      </c>
      <c r="Q84" s="6" t="str">
        <f>IFERROR(SEARCH("ЗП",#REF!,1),"")</f>
        <v/>
      </c>
    </row>
    <row r="85" spans="1:17" ht="15" customHeight="1" x14ac:dyDescent="0.25">
      <c r="A85" s="1">
        <v>45161</v>
      </c>
      <c r="B85" s="17"/>
      <c r="C85" s="17"/>
      <c r="D85" s="17"/>
      <c r="E85" s="17"/>
      <c r="F85" s="17"/>
      <c r="G85" s="4">
        <f>SUM($B85:$F85)</f>
        <v>0</v>
      </c>
      <c r="H85" s="17">
        <v>6000</v>
      </c>
      <c r="I85" s="4">
        <f>$I84+$G85-$H85</f>
        <v>887348.25</v>
      </c>
      <c r="J85" s="32" t="str">
        <f>IF($A86&lt;&gt;$A85,$I85,"")</f>
        <v/>
      </c>
      <c r="K85" s="79" t="s">
        <v>139</v>
      </c>
      <c r="L85" s="79" t="s">
        <v>124</v>
      </c>
      <c r="M85" s="2" t="s">
        <v>11</v>
      </c>
      <c r="N85" s="5" t="s">
        <v>21</v>
      </c>
      <c r="O85" s="3" t="s">
        <v>45</v>
      </c>
      <c r="P85" s="6"/>
      <c r="Q85" s="6" t="str">
        <f>IFERROR(SEARCH("ЗП",#REF!,1),"")</f>
        <v/>
      </c>
    </row>
    <row r="86" spans="1:17" ht="15" customHeight="1" x14ac:dyDescent="0.25">
      <c r="A86" s="1">
        <v>45161</v>
      </c>
      <c r="B86" s="17"/>
      <c r="C86" s="17"/>
      <c r="D86" s="17"/>
      <c r="E86" s="17"/>
      <c r="F86" s="17"/>
      <c r="G86" s="4">
        <f>SUM($B86:$F86)</f>
        <v>0</v>
      </c>
      <c r="H86" s="17">
        <v>3000</v>
      </c>
      <c r="I86" s="4">
        <f>$I85+$G86-$H86</f>
        <v>884348.25</v>
      </c>
      <c r="J86" s="32" t="str">
        <f>IF($A87&lt;&gt;$A86,$I86,"")</f>
        <v/>
      </c>
      <c r="K86" s="79" t="s">
        <v>151</v>
      </c>
      <c r="L86" s="79" t="s">
        <v>125</v>
      </c>
      <c r="M86" s="2" t="s">
        <v>11</v>
      </c>
      <c r="N86" s="5" t="s">
        <v>21</v>
      </c>
      <c r="O86" s="3" t="s">
        <v>45</v>
      </c>
      <c r="P86" s="6"/>
      <c r="Q86" s="6" t="str">
        <f>IFERROR(SEARCH("ЗП",#REF!,1),"")</f>
        <v/>
      </c>
    </row>
    <row r="87" spans="1:17" ht="15" customHeight="1" x14ac:dyDescent="0.25">
      <c r="A87" s="1">
        <v>45161</v>
      </c>
      <c r="B87" s="17"/>
      <c r="C87" s="17"/>
      <c r="D87" s="17"/>
      <c r="E87" s="17"/>
      <c r="F87" s="17"/>
      <c r="G87" s="4">
        <f>SUM($B87:$F87)</f>
        <v>0</v>
      </c>
      <c r="H87" s="17">
        <v>218500</v>
      </c>
      <c r="I87" s="4">
        <f>$I86+$G87-$H87</f>
        <v>665848.25</v>
      </c>
      <c r="J87" s="32" t="str">
        <f>IF($A88&lt;&gt;$A87,$I87,"")</f>
        <v/>
      </c>
      <c r="K87" s="79" t="s">
        <v>140</v>
      </c>
      <c r="L87" s="79" t="s">
        <v>126</v>
      </c>
      <c r="M87" s="2" t="s">
        <v>22</v>
      </c>
      <c r="N87" s="5" t="s">
        <v>21</v>
      </c>
      <c r="O87" s="3" t="s">
        <v>45</v>
      </c>
      <c r="P87" s="6"/>
      <c r="Q87" s="6" t="str">
        <f>IFERROR(SEARCH("ЗП",#REF!,1),"")</f>
        <v/>
      </c>
    </row>
    <row r="88" spans="1:17" ht="15" customHeight="1" x14ac:dyDescent="0.25">
      <c r="A88" s="1">
        <v>45161</v>
      </c>
      <c r="B88" s="17"/>
      <c r="C88" s="17"/>
      <c r="D88" s="17"/>
      <c r="E88" s="17"/>
      <c r="F88" s="17"/>
      <c r="G88" s="4">
        <f>SUM($B88:$F88)</f>
        <v>0</v>
      </c>
      <c r="H88" s="17">
        <v>6000</v>
      </c>
      <c r="I88" s="4">
        <f>$I87+$G88-$H88</f>
        <v>659848.25</v>
      </c>
      <c r="J88" s="32" t="str">
        <f>IF($A89&lt;&gt;$A88,$I88,"")</f>
        <v/>
      </c>
      <c r="K88" s="79" t="s">
        <v>139</v>
      </c>
      <c r="L88" s="79" t="s">
        <v>23</v>
      </c>
      <c r="M88" s="2" t="s">
        <v>22</v>
      </c>
      <c r="N88" s="5" t="s">
        <v>21</v>
      </c>
      <c r="O88" s="3" t="s">
        <v>45</v>
      </c>
      <c r="P88" s="6"/>
      <c r="Q88" s="6" t="str">
        <f>IFERROR(SEARCH("ЗП",#REF!,1),"")</f>
        <v/>
      </c>
    </row>
    <row r="89" spans="1:17" ht="15" customHeight="1" x14ac:dyDescent="0.25">
      <c r="A89" s="1">
        <v>45161</v>
      </c>
      <c r="B89" s="17"/>
      <c r="C89" s="17"/>
      <c r="D89" s="17"/>
      <c r="E89" s="17"/>
      <c r="F89" s="17"/>
      <c r="G89" s="4">
        <f>SUM($B89:$F89)</f>
        <v>0</v>
      </c>
      <c r="H89" s="17">
        <v>3000</v>
      </c>
      <c r="I89" s="4">
        <f>$I88+$G89-$H89</f>
        <v>656848.25</v>
      </c>
      <c r="J89" s="32" t="str">
        <f>IF($A90&lt;&gt;$A89,$I89,"")</f>
        <v/>
      </c>
      <c r="K89" s="79" t="s">
        <v>139</v>
      </c>
      <c r="L89" s="79" t="s">
        <v>127</v>
      </c>
      <c r="M89" s="2" t="s">
        <v>22</v>
      </c>
      <c r="N89" s="5" t="s">
        <v>21</v>
      </c>
      <c r="O89" s="3" t="s">
        <v>45</v>
      </c>
      <c r="P89" s="6"/>
      <c r="Q89" s="6" t="str">
        <f>IFERROR(SEARCH("ЗП",#REF!,1),"")</f>
        <v/>
      </c>
    </row>
    <row r="90" spans="1:17" ht="15" customHeight="1" x14ac:dyDescent="0.25">
      <c r="A90" s="1">
        <v>45161</v>
      </c>
      <c r="B90" s="17"/>
      <c r="C90" s="17"/>
      <c r="D90" s="17"/>
      <c r="E90" s="17"/>
      <c r="F90" s="17"/>
      <c r="G90" s="4">
        <f>SUM($B90:$F90)</f>
        <v>0</v>
      </c>
      <c r="H90" s="17">
        <v>193322.17</v>
      </c>
      <c r="I90" s="4">
        <f>$I89+$G90-$H90</f>
        <v>463526.07999999996</v>
      </c>
      <c r="J90" s="32" t="str">
        <f>IF($A91&lt;&gt;$A90,$I90,"")</f>
        <v/>
      </c>
      <c r="K90" s="79" t="s">
        <v>140</v>
      </c>
      <c r="L90" s="79" t="s">
        <v>128</v>
      </c>
      <c r="M90" s="2" t="s">
        <v>11</v>
      </c>
      <c r="N90" s="5" t="s">
        <v>21</v>
      </c>
      <c r="O90" s="3" t="s">
        <v>45</v>
      </c>
      <c r="P90" s="6"/>
      <c r="Q90" s="6" t="str">
        <f>IFERROR(SEARCH("ЗП",#REF!,1),"")</f>
        <v/>
      </c>
    </row>
    <row r="91" spans="1:17" ht="15" customHeight="1" x14ac:dyDescent="0.25">
      <c r="A91" s="1">
        <v>45161</v>
      </c>
      <c r="B91" s="17"/>
      <c r="C91" s="17"/>
      <c r="D91" s="17"/>
      <c r="E91" s="17"/>
      <c r="F91" s="17"/>
      <c r="G91" s="4">
        <f>SUM($B91:$F91)</f>
        <v>0</v>
      </c>
      <c r="H91" s="17">
        <v>30000</v>
      </c>
      <c r="I91" s="4">
        <f>$I90+$G91-$H91</f>
        <v>433526.07999999996</v>
      </c>
      <c r="J91" s="32" t="str">
        <f>IF($A92&lt;&gt;$A91,$I91,"")</f>
        <v/>
      </c>
      <c r="K91" s="79" t="s">
        <v>18</v>
      </c>
      <c r="L91" s="79" t="s">
        <v>182</v>
      </c>
      <c r="M91" s="2" t="s">
        <v>18</v>
      </c>
      <c r="N91" s="5" t="s">
        <v>21</v>
      </c>
      <c r="O91" s="3" t="s">
        <v>45</v>
      </c>
      <c r="P91" s="6"/>
      <c r="Q91" s="6" t="str">
        <f>IFERROR(SEARCH("ЗП",#REF!,1),"")</f>
        <v/>
      </c>
    </row>
    <row r="92" spans="1:17" ht="15" customHeight="1" x14ac:dyDescent="0.25">
      <c r="A92" s="1">
        <v>45161</v>
      </c>
      <c r="B92" s="17"/>
      <c r="C92" s="17"/>
      <c r="D92" s="17"/>
      <c r="E92" s="17"/>
      <c r="F92" s="17"/>
      <c r="G92" s="4">
        <f>SUM($B92:$F92)</f>
        <v>0</v>
      </c>
      <c r="H92" s="17">
        <v>2000</v>
      </c>
      <c r="I92" s="4">
        <f>$I91+$G92-$H92</f>
        <v>431526.07999999996</v>
      </c>
      <c r="J92" s="32" t="str">
        <f>IF($A93&lt;&gt;$A92,$I92,"")</f>
        <v/>
      </c>
      <c r="K92" s="79" t="s">
        <v>140</v>
      </c>
      <c r="L92" s="79" t="s">
        <v>129</v>
      </c>
      <c r="M92" s="2" t="s">
        <v>67</v>
      </c>
      <c r="N92" s="5" t="s">
        <v>130</v>
      </c>
      <c r="O92" s="3" t="s">
        <v>45</v>
      </c>
      <c r="P92" s="6"/>
      <c r="Q92" s="6" t="str">
        <f>IFERROR(SEARCH("ЗП",#REF!,1),"")</f>
        <v/>
      </c>
    </row>
    <row r="93" spans="1:17" ht="15" customHeight="1" x14ac:dyDescent="0.25">
      <c r="A93" s="1">
        <v>45161</v>
      </c>
      <c r="B93" s="17"/>
      <c r="C93" s="17"/>
      <c r="D93" s="17"/>
      <c r="E93" s="17"/>
      <c r="F93" s="17"/>
      <c r="G93" s="4">
        <f>SUM($B93:$F93)</f>
        <v>0</v>
      </c>
      <c r="H93" s="17">
        <v>10000</v>
      </c>
      <c r="I93" s="4">
        <f>$I92+$G93-$H93</f>
        <v>421526.07999999996</v>
      </c>
      <c r="J93" s="32" t="str">
        <f>IF($A94&lt;&gt;$A93,$I93,"")</f>
        <v/>
      </c>
      <c r="K93" s="79" t="s">
        <v>18</v>
      </c>
      <c r="L93" s="79" t="s">
        <v>200</v>
      </c>
      <c r="M93" s="2" t="s">
        <v>12</v>
      </c>
      <c r="N93" s="5" t="s">
        <v>20</v>
      </c>
      <c r="O93" s="3" t="s">
        <v>45</v>
      </c>
      <c r="P93" s="6"/>
      <c r="Q93" s="6" t="str">
        <f>IFERROR(SEARCH("ЗП",#REF!,1),"")</f>
        <v/>
      </c>
    </row>
    <row r="94" spans="1:17" ht="15" customHeight="1" x14ac:dyDescent="0.25">
      <c r="A94" s="1">
        <v>45161</v>
      </c>
      <c r="B94" s="17"/>
      <c r="C94" s="17"/>
      <c r="D94" s="17"/>
      <c r="E94" s="17"/>
      <c r="F94" s="17"/>
      <c r="G94" s="4">
        <f>SUM($B94:$F94)</f>
        <v>0</v>
      </c>
      <c r="H94" s="17">
        <v>10000</v>
      </c>
      <c r="I94" s="4">
        <f>$I93+$G94-$H94</f>
        <v>411526.07999999996</v>
      </c>
      <c r="J94" s="32" t="str">
        <f>IF($A95&lt;&gt;$A94,$I94,"")</f>
        <v/>
      </c>
      <c r="K94" s="79" t="s">
        <v>154</v>
      </c>
      <c r="L94" s="79" t="s">
        <v>131</v>
      </c>
      <c r="M94" s="2" t="s">
        <v>22</v>
      </c>
      <c r="N94" s="5" t="s">
        <v>21</v>
      </c>
      <c r="O94" s="3" t="s">
        <v>45</v>
      </c>
      <c r="P94" s="6"/>
      <c r="Q94" s="6" t="str">
        <f>IFERROR(SEARCH("ЗП",#REF!,1),"")</f>
        <v/>
      </c>
    </row>
    <row r="95" spans="1:17" ht="15" customHeight="1" x14ac:dyDescent="0.25">
      <c r="A95" s="1">
        <v>45161</v>
      </c>
      <c r="B95" s="17"/>
      <c r="C95" s="17"/>
      <c r="D95" s="17"/>
      <c r="E95" s="17"/>
      <c r="F95" s="17"/>
      <c r="G95" s="4">
        <f>SUM($B95:$F95)</f>
        <v>0</v>
      </c>
      <c r="H95" s="17">
        <v>50000</v>
      </c>
      <c r="I95" s="4">
        <f>$I94+$G95-$H95</f>
        <v>361526.07999999996</v>
      </c>
      <c r="J95" s="32" t="str">
        <f>IF($A96&lt;&gt;$A95,$I95,"")</f>
        <v/>
      </c>
      <c r="K95" s="79" t="s">
        <v>154</v>
      </c>
      <c r="L95" s="79" t="s">
        <v>132</v>
      </c>
      <c r="M95" s="2" t="s">
        <v>22</v>
      </c>
      <c r="N95" s="5" t="s">
        <v>21</v>
      </c>
      <c r="O95" s="3" t="s">
        <v>45</v>
      </c>
      <c r="P95" s="6"/>
      <c r="Q95" s="6" t="str">
        <f>IFERROR(SEARCH("ЗП",#REF!,1),"")</f>
        <v/>
      </c>
    </row>
    <row r="96" spans="1:17" ht="15" customHeight="1" x14ac:dyDescent="0.25">
      <c r="A96" s="1">
        <v>45161</v>
      </c>
      <c r="B96" s="17"/>
      <c r="C96" s="17"/>
      <c r="D96" s="17"/>
      <c r="E96" s="17"/>
      <c r="F96" s="17"/>
      <c r="G96" s="4">
        <f>SUM($B96:$F96)</f>
        <v>0</v>
      </c>
      <c r="H96" s="17">
        <v>10000</v>
      </c>
      <c r="I96" s="4">
        <f>$I95+$G96-$H96</f>
        <v>351526.07999999996</v>
      </c>
      <c r="J96" s="32" t="str">
        <f>IF($A97&lt;&gt;$A96,$I96,"")</f>
        <v/>
      </c>
      <c r="K96" s="79" t="s">
        <v>18</v>
      </c>
      <c r="L96" s="79" t="s">
        <v>197</v>
      </c>
      <c r="M96" s="2" t="s">
        <v>14</v>
      </c>
      <c r="N96" s="5" t="s">
        <v>20</v>
      </c>
      <c r="O96" s="3" t="s">
        <v>45</v>
      </c>
      <c r="P96" s="6"/>
      <c r="Q96" s="6" t="str">
        <f>IFERROR(SEARCH("ЗП",#REF!,1),"")</f>
        <v/>
      </c>
    </row>
    <row r="97" spans="1:17" ht="15" customHeight="1" x14ac:dyDescent="0.25">
      <c r="A97" s="1">
        <v>45161</v>
      </c>
      <c r="B97" s="17"/>
      <c r="C97" s="17"/>
      <c r="D97" s="17"/>
      <c r="E97" s="17"/>
      <c r="F97" s="17"/>
      <c r="G97" s="4">
        <f>SUM($B97:$F97)</f>
        <v>0</v>
      </c>
      <c r="H97" s="17">
        <v>2000</v>
      </c>
      <c r="I97" s="4">
        <f>$I96+$G97-$H97</f>
        <v>349526.07999999996</v>
      </c>
      <c r="J97" s="32">
        <f>IF($A98&lt;&gt;$A97,$I97,"")</f>
        <v>349526.07999999996</v>
      </c>
      <c r="K97" s="79" t="s">
        <v>18</v>
      </c>
      <c r="L97" s="79" t="s">
        <v>187</v>
      </c>
      <c r="M97" s="2"/>
      <c r="N97" s="5" t="s">
        <v>20</v>
      </c>
      <c r="O97" s="3" t="s">
        <v>45</v>
      </c>
      <c r="P97" s="6"/>
      <c r="Q97" s="6" t="str">
        <f>IFERROR(SEARCH("ЗП",#REF!,1),"")</f>
        <v/>
      </c>
    </row>
    <row r="98" spans="1:17" ht="15" customHeight="1" x14ac:dyDescent="0.25">
      <c r="A98" s="1"/>
      <c r="B98" s="17"/>
      <c r="C98" s="17"/>
      <c r="D98" s="17"/>
      <c r="E98" s="17"/>
      <c r="F98" s="17"/>
      <c r="G98" s="4">
        <f>SUM($B98:$F98)</f>
        <v>0</v>
      </c>
      <c r="H98" s="17"/>
      <c r="I98" s="4">
        <f>$I97+$G98-$H98</f>
        <v>349526.07999999996</v>
      </c>
      <c r="J98" s="32" t="str">
        <f>IF($A99&lt;&gt;$A98,$I98,"")</f>
        <v/>
      </c>
      <c r="K98" s="79"/>
      <c r="L98" s="79"/>
      <c r="M98" s="2"/>
      <c r="N98" s="5"/>
      <c r="O98" s="3"/>
      <c r="P98" s="6"/>
      <c r="Q98" s="6" t="str">
        <f>IFERROR(SEARCH("ЗП",#REF!,1),"")</f>
        <v/>
      </c>
    </row>
    <row r="99" spans="1:17" ht="15" customHeight="1" x14ac:dyDescent="0.25">
      <c r="A99" s="1"/>
      <c r="B99" s="17"/>
      <c r="C99" s="17"/>
      <c r="D99" s="17"/>
      <c r="E99" s="17"/>
      <c r="F99" s="17"/>
      <c r="G99" s="4">
        <f>SUM($B99:$F99)</f>
        <v>0</v>
      </c>
      <c r="H99" s="17"/>
      <c r="I99" s="4">
        <f>$I98+$G99-$H99</f>
        <v>349526.07999999996</v>
      </c>
      <c r="J99" s="32" t="str">
        <f>IF($A100&lt;&gt;$A99,$I99,"")</f>
        <v/>
      </c>
      <c r="K99" s="79"/>
      <c r="L99" s="79"/>
      <c r="M99" s="2"/>
      <c r="N99" s="5"/>
      <c r="O99" s="3"/>
      <c r="P99" s="6"/>
      <c r="Q99" s="6" t="str">
        <f>IFERROR(SEARCH("ЗП",#REF!,1),"")</f>
        <v/>
      </c>
    </row>
    <row r="100" spans="1:17" ht="15" customHeight="1" x14ac:dyDescent="0.25">
      <c r="A100" s="1"/>
      <c r="B100" s="17"/>
      <c r="C100" s="17"/>
      <c r="D100" s="17"/>
      <c r="E100" s="17"/>
      <c r="F100" s="17"/>
      <c r="G100" s="4">
        <f>SUM($B100:$F100)</f>
        <v>0</v>
      </c>
      <c r="H100" s="17"/>
      <c r="I100" s="4">
        <f>$I99+$G100-$H100</f>
        <v>349526.07999999996</v>
      </c>
      <c r="J100" s="32" t="str">
        <f>IF($A101&lt;&gt;$A100,$I100,"")</f>
        <v/>
      </c>
      <c r="K100" s="79"/>
      <c r="L100" s="79"/>
      <c r="M100" s="2"/>
      <c r="N100" s="5"/>
      <c r="O100" s="3"/>
      <c r="P100" s="6"/>
      <c r="Q100" s="6" t="str">
        <f>IFERROR(SEARCH("ЗП",#REF!,1),"")</f>
        <v/>
      </c>
    </row>
    <row r="101" spans="1:17" ht="15" customHeight="1" x14ac:dyDescent="0.25">
      <c r="A101" s="1"/>
      <c r="B101" s="17"/>
      <c r="C101" s="17"/>
      <c r="D101" s="17"/>
      <c r="E101" s="17"/>
      <c r="F101" s="17"/>
      <c r="G101" s="4">
        <f>SUM($B101:$F101)</f>
        <v>0</v>
      </c>
      <c r="H101" s="17"/>
      <c r="I101" s="4">
        <f>$I100+$G101-$H101</f>
        <v>349526.07999999996</v>
      </c>
      <c r="J101" s="32" t="str">
        <f>IF($A102&lt;&gt;$A101,$I101,"")</f>
        <v/>
      </c>
      <c r="K101" s="79"/>
      <c r="L101" s="79"/>
      <c r="M101" s="2"/>
      <c r="N101" s="5"/>
      <c r="O101" s="3"/>
      <c r="P101" s="6"/>
      <c r="Q101" s="6" t="str">
        <f>IFERROR(SEARCH("ЗП",#REF!,1),"")</f>
        <v/>
      </c>
    </row>
    <row r="102" spans="1:17" ht="15" customHeight="1" x14ac:dyDescent="0.25">
      <c r="A102" s="1"/>
      <c r="B102" s="17"/>
      <c r="C102" s="17"/>
      <c r="D102" s="17"/>
      <c r="E102" s="17"/>
      <c r="F102" s="17"/>
      <c r="G102" s="4">
        <f>SUM($B102:$F102)</f>
        <v>0</v>
      </c>
      <c r="H102" s="17"/>
      <c r="I102" s="4">
        <f>$I101+$G102-$H102</f>
        <v>349526.07999999996</v>
      </c>
      <c r="J102" s="32" t="str">
        <f>IF($A103&lt;&gt;$A102,$I102,"")</f>
        <v/>
      </c>
      <c r="K102" s="79"/>
      <c r="L102" s="79"/>
      <c r="M102" s="2"/>
      <c r="N102" s="5"/>
      <c r="O102" s="3"/>
      <c r="P102" s="6"/>
      <c r="Q102" s="6" t="str">
        <f>IFERROR(SEARCH("ЗП",#REF!,1),"")</f>
        <v/>
      </c>
    </row>
    <row r="103" spans="1:17" ht="15" customHeight="1" x14ac:dyDescent="0.25">
      <c r="A103" s="1"/>
      <c r="B103" s="17"/>
      <c r="C103" s="17"/>
      <c r="D103" s="17"/>
      <c r="E103" s="17"/>
      <c r="F103" s="17"/>
      <c r="G103" s="4">
        <f>SUM($B103:$F103)</f>
        <v>0</v>
      </c>
      <c r="H103" s="17"/>
      <c r="I103" s="4">
        <f>$I102+$G103-$H103</f>
        <v>349526.07999999996</v>
      </c>
      <c r="J103" s="32" t="str">
        <f>IF($A104&lt;&gt;$A103,$I103,"")</f>
        <v/>
      </c>
      <c r="K103" s="79"/>
      <c r="L103" s="79"/>
      <c r="M103" s="2"/>
      <c r="N103" s="5"/>
      <c r="O103" s="3"/>
      <c r="P103" s="6"/>
      <c r="Q103" s="6" t="str">
        <f>IFERROR(SEARCH("ЗП",#REF!,1),"")</f>
        <v/>
      </c>
    </row>
    <row r="104" spans="1:17" ht="15" customHeight="1" x14ac:dyDescent="0.25">
      <c r="A104" s="1"/>
      <c r="B104" s="17"/>
      <c r="C104" s="17"/>
      <c r="D104" s="17"/>
      <c r="E104" s="17"/>
      <c r="F104" s="17"/>
      <c r="G104" s="4">
        <f>SUM($B104:$F104)</f>
        <v>0</v>
      </c>
      <c r="H104" s="17"/>
      <c r="I104" s="4">
        <f>$I103+$G104-$H104</f>
        <v>349526.07999999996</v>
      </c>
      <c r="J104" s="32" t="str">
        <f>IF($A105&lt;&gt;$A104,$I104,"")</f>
        <v/>
      </c>
      <c r="K104" s="79"/>
      <c r="L104" s="79"/>
      <c r="M104" s="2"/>
      <c r="N104" s="5"/>
      <c r="O104" s="3"/>
      <c r="P104" s="6"/>
      <c r="Q104" s="6" t="str">
        <f>IFERROR(SEARCH("ЗП",#REF!,1),"")</f>
        <v/>
      </c>
    </row>
    <row r="105" spans="1:17" ht="15" customHeight="1" x14ac:dyDescent="0.25">
      <c r="A105" s="1"/>
      <c r="B105" s="17"/>
      <c r="C105" s="17"/>
      <c r="D105" s="17"/>
      <c r="E105" s="17"/>
      <c r="F105" s="17"/>
      <c r="G105" s="4">
        <f>SUM($B105:$F105)</f>
        <v>0</v>
      </c>
      <c r="H105" s="17"/>
      <c r="I105" s="4">
        <f>$I104+$G105-$H105</f>
        <v>349526.07999999996</v>
      </c>
      <c r="J105" s="32" t="str">
        <f>IF($A106&lt;&gt;$A105,$I105,"")</f>
        <v/>
      </c>
      <c r="K105" s="79"/>
      <c r="L105" s="79"/>
      <c r="M105" s="2"/>
      <c r="N105" s="5"/>
      <c r="O105" s="3"/>
      <c r="P105" s="6"/>
      <c r="Q105" s="6" t="str">
        <f>IFERROR(SEARCH("ЗП",#REF!,1),"")</f>
        <v/>
      </c>
    </row>
    <row r="106" spans="1:17" ht="15" customHeight="1" x14ac:dyDescent="0.25">
      <c r="A106" s="1"/>
      <c r="B106" s="17"/>
      <c r="C106" s="17"/>
      <c r="D106" s="17"/>
      <c r="E106" s="17"/>
      <c r="F106" s="17"/>
      <c r="G106" s="4">
        <f>SUM($B106:$F106)</f>
        <v>0</v>
      </c>
      <c r="H106" s="17"/>
      <c r="I106" s="4">
        <f>$I105+$G106-$H106</f>
        <v>349526.07999999996</v>
      </c>
      <c r="J106" s="32" t="str">
        <f>IF($A107&lt;&gt;$A106,$I106,"")</f>
        <v/>
      </c>
      <c r="K106" s="79"/>
      <c r="L106" s="79"/>
      <c r="M106" s="2"/>
      <c r="N106" s="5"/>
      <c r="O106" s="3"/>
      <c r="P106" s="6"/>
      <c r="Q106" s="6" t="str">
        <f>IFERROR(SEARCH("ЗП",#REF!,1),"")</f>
        <v/>
      </c>
    </row>
    <row r="107" spans="1:17" ht="15" customHeight="1" x14ac:dyDescent="0.25">
      <c r="A107" s="1"/>
      <c r="B107" s="17"/>
      <c r="C107" s="17"/>
      <c r="D107" s="17"/>
      <c r="E107" s="17"/>
      <c r="F107" s="17"/>
      <c r="G107" s="4">
        <f>SUM($B107:$F107)</f>
        <v>0</v>
      </c>
      <c r="H107" s="17"/>
      <c r="I107" s="4">
        <f>$I106+$G107-$H107</f>
        <v>349526.07999999996</v>
      </c>
      <c r="J107" s="32" t="str">
        <f>IF($A108&lt;&gt;$A107,$I107,"")</f>
        <v/>
      </c>
      <c r="K107" s="79"/>
      <c r="L107" s="79"/>
      <c r="M107" s="2"/>
      <c r="N107" s="5"/>
      <c r="O107" s="3"/>
      <c r="P107" s="6"/>
      <c r="Q107" s="6" t="str">
        <f>IFERROR(SEARCH("ЗП",#REF!,1),"")</f>
        <v/>
      </c>
    </row>
    <row r="108" spans="1:17" ht="15" customHeight="1" x14ac:dyDescent="0.25">
      <c r="A108" s="1"/>
      <c r="B108" s="17"/>
      <c r="C108" s="17"/>
      <c r="D108" s="17"/>
      <c r="E108" s="17"/>
      <c r="F108" s="17"/>
      <c r="G108" s="4">
        <f>SUM($B108:$F108)</f>
        <v>0</v>
      </c>
      <c r="H108" s="17"/>
      <c r="I108" s="4">
        <f>$I107+$G108-$H108</f>
        <v>349526.07999999996</v>
      </c>
      <c r="J108" s="32" t="str">
        <f>IF($A109&lt;&gt;$A108,$I108,"")</f>
        <v/>
      </c>
      <c r="K108" s="79"/>
      <c r="L108" s="79"/>
      <c r="M108" s="2"/>
      <c r="N108" s="5"/>
      <c r="O108" s="3"/>
      <c r="P108" s="6"/>
      <c r="Q108" s="6" t="str">
        <f>IFERROR(SEARCH("ЗП",#REF!,1),"")</f>
        <v/>
      </c>
    </row>
    <row r="109" spans="1:17" ht="15" customHeight="1" x14ac:dyDescent="0.25">
      <c r="A109" s="1"/>
      <c r="B109" s="17"/>
      <c r="C109" s="17"/>
      <c r="D109" s="17"/>
      <c r="E109" s="17"/>
      <c r="F109" s="17"/>
      <c r="G109" s="4">
        <f>SUM($B109:$F109)</f>
        <v>0</v>
      </c>
      <c r="H109" s="17"/>
      <c r="I109" s="4">
        <f>$I108+$G109-$H109</f>
        <v>349526.07999999996</v>
      </c>
      <c r="J109" s="32" t="str">
        <f>IF($A110&lt;&gt;$A109,$I109,"")</f>
        <v/>
      </c>
      <c r="K109" s="79"/>
      <c r="L109" s="79"/>
      <c r="M109" s="2"/>
      <c r="N109" s="5"/>
      <c r="O109" s="3"/>
      <c r="P109" s="6"/>
      <c r="Q109" s="6" t="str">
        <f>IFERROR(SEARCH("ЗП",#REF!,1),"")</f>
        <v/>
      </c>
    </row>
    <row r="110" spans="1:17" ht="15" customHeight="1" x14ac:dyDescent="0.25">
      <c r="A110" s="1"/>
      <c r="B110" s="17"/>
      <c r="C110" s="17"/>
      <c r="D110" s="17"/>
      <c r="E110" s="17"/>
      <c r="F110" s="17"/>
      <c r="G110" s="4">
        <f>SUM($B110:$F110)</f>
        <v>0</v>
      </c>
      <c r="H110" s="17"/>
      <c r="I110" s="4">
        <f>$I109+$G110-$H110</f>
        <v>349526.07999999996</v>
      </c>
      <c r="J110" s="32" t="str">
        <f>IF($A111&lt;&gt;$A110,$I110,"")</f>
        <v/>
      </c>
      <c r="K110" s="79"/>
      <c r="L110" s="79"/>
      <c r="M110" s="2"/>
      <c r="N110" s="5"/>
      <c r="O110" s="3"/>
      <c r="P110" s="6"/>
      <c r="Q110" s="6" t="str">
        <f>IFERROR(SEARCH("ЗП",#REF!,1),"")</f>
        <v/>
      </c>
    </row>
    <row r="111" spans="1:17" ht="15" customHeight="1" x14ac:dyDescent="0.25">
      <c r="A111" s="1"/>
      <c r="B111" s="17"/>
      <c r="C111" s="17"/>
      <c r="D111" s="17"/>
      <c r="E111" s="17"/>
      <c r="F111" s="17"/>
      <c r="G111" s="4">
        <f>SUM($B111:$F111)</f>
        <v>0</v>
      </c>
      <c r="H111" s="17"/>
      <c r="I111" s="4">
        <f>$I110+$G111-$H111</f>
        <v>349526.07999999996</v>
      </c>
      <c r="J111" s="32" t="str">
        <f>IF($A112&lt;&gt;$A111,$I111,"")</f>
        <v/>
      </c>
      <c r="K111" s="79"/>
      <c r="L111" s="79"/>
      <c r="M111" s="2"/>
      <c r="N111" s="5"/>
      <c r="O111" s="3"/>
      <c r="P111" s="6"/>
      <c r="Q111" s="6" t="str">
        <f>IFERROR(SEARCH("ЗП",#REF!,1),"")</f>
        <v/>
      </c>
    </row>
    <row r="112" spans="1:17" ht="15" customHeight="1" x14ac:dyDescent="0.25">
      <c r="A112" s="1"/>
      <c r="B112" s="17"/>
      <c r="C112" s="17"/>
      <c r="D112" s="17"/>
      <c r="E112" s="17"/>
      <c r="F112" s="17"/>
      <c r="G112" s="4">
        <f>SUM($B112:$F112)</f>
        <v>0</v>
      </c>
      <c r="H112" s="17"/>
      <c r="I112" s="4">
        <f>$I111+$G112-$H112</f>
        <v>349526.07999999996</v>
      </c>
      <c r="J112" s="32" t="str">
        <f>IF($A113&lt;&gt;$A112,$I112,"")</f>
        <v/>
      </c>
      <c r="K112" s="79"/>
      <c r="L112" s="79"/>
      <c r="M112" s="2"/>
      <c r="N112" s="5"/>
      <c r="O112" s="3"/>
      <c r="P112" s="6"/>
      <c r="Q112" s="6" t="str">
        <f>IFERROR(SEARCH("ЗП",#REF!,1),"")</f>
        <v/>
      </c>
    </row>
    <row r="113" spans="1:17" ht="15" customHeight="1" x14ac:dyDescent="0.25">
      <c r="A113" s="1"/>
      <c r="B113" s="17"/>
      <c r="C113" s="17"/>
      <c r="D113" s="17"/>
      <c r="E113" s="17"/>
      <c r="F113" s="17"/>
      <c r="G113" s="4">
        <f>SUM($B113:$F113)</f>
        <v>0</v>
      </c>
      <c r="H113" s="17"/>
      <c r="I113" s="4">
        <f>$I112+$G113-$H113</f>
        <v>349526.07999999996</v>
      </c>
      <c r="J113" s="32" t="str">
        <f>IF($A114&lt;&gt;$A113,$I113,"")</f>
        <v/>
      </c>
      <c r="K113" s="79"/>
      <c r="L113" s="79"/>
      <c r="M113" s="2"/>
      <c r="N113" s="5"/>
      <c r="O113" s="3"/>
      <c r="P113" s="6"/>
      <c r="Q113" s="6" t="str">
        <f>IFERROR(SEARCH("ЗП",#REF!,1),"")</f>
        <v/>
      </c>
    </row>
    <row r="114" spans="1:17" ht="15" customHeight="1" x14ac:dyDescent="0.25">
      <c r="A114" s="1"/>
      <c r="B114" s="17"/>
      <c r="C114" s="17"/>
      <c r="D114" s="17"/>
      <c r="E114" s="17"/>
      <c r="F114" s="17"/>
      <c r="G114" s="4">
        <f>SUM($B114:$F114)</f>
        <v>0</v>
      </c>
      <c r="H114" s="17"/>
      <c r="I114" s="4">
        <f>$I113+$G114-$H114</f>
        <v>349526.07999999996</v>
      </c>
      <c r="J114" s="32" t="str">
        <f>IF($A115&lt;&gt;$A114,$I114,"")</f>
        <v/>
      </c>
      <c r="K114" s="79"/>
      <c r="L114" s="79"/>
      <c r="M114" s="2"/>
      <c r="N114" s="5"/>
      <c r="O114" s="3"/>
      <c r="P114" s="6"/>
      <c r="Q114" s="6" t="str">
        <f>IFERROR(SEARCH("ЗП",#REF!,1),"")</f>
        <v/>
      </c>
    </row>
    <row r="115" spans="1:17" ht="15" customHeight="1" x14ac:dyDescent="0.25">
      <c r="A115" s="1"/>
      <c r="B115" s="17"/>
      <c r="C115" s="17"/>
      <c r="D115" s="17"/>
      <c r="E115" s="17"/>
      <c r="F115" s="17"/>
      <c r="G115" s="4">
        <f>SUM($B115:$F115)</f>
        <v>0</v>
      </c>
      <c r="H115" s="17"/>
      <c r="I115" s="4">
        <f>$I114+$G115-$H115</f>
        <v>349526.07999999996</v>
      </c>
      <c r="J115" s="32" t="str">
        <f>IF($A116&lt;&gt;$A115,$I115,"")</f>
        <v/>
      </c>
      <c r="K115" s="79"/>
      <c r="L115" s="79"/>
      <c r="M115" s="2"/>
      <c r="N115" s="5"/>
      <c r="O115" s="3"/>
      <c r="P115" s="6"/>
      <c r="Q115" s="6" t="str">
        <f>IFERROR(SEARCH("ЗП",#REF!,1),"")</f>
        <v/>
      </c>
    </row>
    <row r="116" spans="1:17" ht="15" customHeight="1" x14ac:dyDescent="0.25">
      <c r="A116" s="1"/>
      <c r="B116" s="17"/>
      <c r="C116" s="17"/>
      <c r="D116" s="17"/>
      <c r="E116" s="17"/>
      <c r="F116" s="17"/>
      <c r="G116" s="4">
        <f>SUM($B116:$F116)</f>
        <v>0</v>
      </c>
      <c r="H116" s="17"/>
      <c r="I116" s="4">
        <f>$I115+$G116-$H116</f>
        <v>349526.07999999996</v>
      </c>
      <c r="J116" s="32" t="str">
        <f>IF($A117&lt;&gt;$A116,$I116,"")</f>
        <v/>
      </c>
      <c r="K116" s="79"/>
      <c r="L116" s="79"/>
      <c r="M116" s="2"/>
      <c r="N116" s="5"/>
      <c r="O116" s="3"/>
      <c r="P116" s="6"/>
      <c r="Q116" s="6" t="str">
        <f>IFERROR(SEARCH("ЗП",#REF!,1),"")</f>
        <v/>
      </c>
    </row>
    <row r="117" spans="1:17" ht="15" customHeight="1" x14ac:dyDescent="0.25">
      <c r="A117" s="1"/>
      <c r="B117" s="17"/>
      <c r="C117" s="17"/>
      <c r="D117" s="17"/>
      <c r="E117" s="17"/>
      <c r="F117" s="17"/>
      <c r="G117" s="4">
        <f>SUM($B117:$F117)</f>
        <v>0</v>
      </c>
      <c r="H117" s="17"/>
      <c r="I117" s="4">
        <f>$I116+$G117-$H117</f>
        <v>349526.07999999996</v>
      </c>
      <c r="J117" s="32" t="str">
        <f>IF($A118&lt;&gt;$A117,$I117,"")</f>
        <v/>
      </c>
      <c r="K117" s="79"/>
      <c r="L117" s="79"/>
      <c r="M117" s="2"/>
      <c r="N117" s="5"/>
      <c r="O117" s="3"/>
      <c r="P117" s="6"/>
      <c r="Q117" s="6" t="str">
        <f>IFERROR(SEARCH("ЗП",#REF!,1),"")</f>
        <v/>
      </c>
    </row>
    <row r="118" spans="1:17" ht="15" customHeight="1" x14ac:dyDescent="0.25">
      <c r="A118" s="1"/>
      <c r="B118" s="17"/>
      <c r="C118" s="17"/>
      <c r="D118" s="17"/>
      <c r="E118" s="17"/>
      <c r="F118" s="17"/>
      <c r="G118" s="4">
        <f>SUM($B118:$F118)</f>
        <v>0</v>
      </c>
      <c r="H118" s="17"/>
      <c r="I118" s="4">
        <f>$I117+$G118-$H118</f>
        <v>349526.07999999996</v>
      </c>
      <c r="J118" s="32" t="str">
        <f>IF($A119&lt;&gt;$A118,$I118,"")</f>
        <v/>
      </c>
      <c r="K118" s="79"/>
      <c r="L118" s="79"/>
      <c r="M118" s="2"/>
      <c r="N118" s="5"/>
      <c r="O118" s="3"/>
      <c r="P118" s="6"/>
      <c r="Q118" s="6" t="str">
        <f>IFERROR(SEARCH("ЗП",#REF!,1),"")</f>
        <v/>
      </c>
    </row>
    <row r="119" spans="1:17" ht="15" customHeight="1" x14ac:dyDescent="0.25">
      <c r="A119" s="1"/>
      <c r="B119" s="17"/>
      <c r="C119" s="17"/>
      <c r="D119" s="17"/>
      <c r="E119" s="17"/>
      <c r="F119" s="17"/>
      <c r="G119" s="4">
        <f>SUM($B119:$F119)</f>
        <v>0</v>
      </c>
      <c r="H119" s="17"/>
      <c r="I119" s="4">
        <f>$I118+$G119-$H119</f>
        <v>349526.07999999996</v>
      </c>
      <c r="J119" s="32" t="str">
        <f>IF($A120&lt;&gt;$A119,$I119,"")</f>
        <v/>
      </c>
      <c r="K119" s="79"/>
      <c r="L119" s="79"/>
      <c r="M119" s="2"/>
      <c r="N119" s="5"/>
      <c r="O119" s="3"/>
      <c r="P119" s="6"/>
      <c r="Q119" s="6" t="str">
        <f>IFERROR(SEARCH("ЗП",#REF!,1),"")</f>
        <v/>
      </c>
    </row>
    <row r="120" spans="1:17" ht="15" customHeight="1" x14ac:dyDescent="0.25">
      <c r="A120" s="1"/>
      <c r="B120" s="17"/>
      <c r="C120" s="17"/>
      <c r="D120" s="17"/>
      <c r="E120" s="17"/>
      <c r="F120" s="17"/>
      <c r="G120" s="4">
        <f>SUM($B120:$F120)</f>
        <v>0</v>
      </c>
      <c r="H120" s="17"/>
      <c r="I120" s="4">
        <f>$I119+$G120-$H120</f>
        <v>349526.07999999996</v>
      </c>
      <c r="J120" s="32" t="str">
        <f>IF($A121&lt;&gt;$A120,$I120,"")</f>
        <v/>
      </c>
      <c r="K120" s="79"/>
      <c r="L120" s="79"/>
      <c r="M120" s="2"/>
      <c r="N120" s="5"/>
      <c r="O120" s="3"/>
      <c r="P120" s="6"/>
      <c r="Q120" s="6" t="str">
        <f>IFERROR(SEARCH("ЗП",#REF!,1),"")</f>
        <v/>
      </c>
    </row>
    <row r="121" spans="1:17" ht="15" customHeight="1" x14ac:dyDescent="0.25">
      <c r="A121" s="1"/>
      <c r="B121" s="17"/>
      <c r="C121" s="17"/>
      <c r="D121" s="17"/>
      <c r="E121" s="17"/>
      <c r="F121" s="17"/>
      <c r="G121" s="4">
        <f>SUM($B121:$F121)</f>
        <v>0</v>
      </c>
      <c r="H121" s="17"/>
      <c r="I121" s="4">
        <f>$I120+$G121-$H121</f>
        <v>349526.07999999996</v>
      </c>
      <c r="J121" s="32" t="str">
        <f>IF($A122&lt;&gt;$A121,$I121,"")</f>
        <v/>
      </c>
      <c r="K121" s="79"/>
      <c r="L121" s="79"/>
      <c r="M121" s="2"/>
      <c r="N121" s="5"/>
      <c r="O121" s="3"/>
      <c r="P121" s="6"/>
      <c r="Q121" s="6" t="str">
        <f>IFERROR(SEARCH("ЗП",#REF!,1),"")</f>
        <v/>
      </c>
    </row>
    <row r="122" spans="1:17" ht="15" customHeight="1" x14ac:dyDescent="0.25">
      <c r="A122" s="1"/>
      <c r="B122" s="17"/>
      <c r="C122" s="17"/>
      <c r="D122" s="17"/>
      <c r="E122" s="17"/>
      <c r="F122" s="17"/>
      <c r="G122" s="4">
        <f>SUM($B122:$F122)</f>
        <v>0</v>
      </c>
      <c r="H122" s="17"/>
      <c r="I122" s="4">
        <f>$I121+$G122-$H122</f>
        <v>349526.07999999996</v>
      </c>
      <c r="J122" s="32" t="str">
        <f>IF($A123&lt;&gt;$A122,$I122,"")</f>
        <v/>
      </c>
      <c r="K122" s="79"/>
      <c r="L122" s="79"/>
      <c r="M122" s="2"/>
      <c r="N122" s="5"/>
      <c r="O122" s="3"/>
      <c r="P122" s="6"/>
      <c r="Q122" s="6" t="str">
        <f>IFERROR(SEARCH("ЗП",#REF!,1),"")</f>
        <v/>
      </c>
    </row>
    <row r="123" spans="1:17" ht="15" customHeight="1" x14ac:dyDescent="0.25">
      <c r="A123" s="1"/>
      <c r="B123" s="17"/>
      <c r="C123" s="17"/>
      <c r="D123" s="17"/>
      <c r="E123" s="17"/>
      <c r="F123" s="17"/>
      <c r="G123" s="4">
        <f>SUM($B123:$F123)</f>
        <v>0</v>
      </c>
      <c r="H123" s="17"/>
      <c r="I123" s="4">
        <f>$I122+$G123-$H123</f>
        <v>349526.07999999996</v>
      </c>
      <c r="J123" s="32" t="str">
        <f>IF($A124&lt;&gt;$A123,$I123,"")</f>
        <v/>
      </c>
      <c r="K123" s="79"/>
      <c r="L123" s="79"/>
      <c r="M123" s="2"/>
      <c r="N123" s="5"/>
      <c r="O123" s="3"/>
      <c r="P123" s="6"/>
      <c r="Q123" s="6" t="str">
        <f>IFERROR(SEARCH("ЗП",#REF!,1),"")</f>
        <v/>
      </c>
    </row>
    <row r="124" spans="1:17" ht="15" customHeight="1" x14ac:dyDescent="0.25">
      <c r="A124" s="1"/>
      <c r="B124" s="17"/>
      <c r="C124" s="17"/>
      <c r="D124" s="17"/>
      <c r="E124" s="17"/>
      <c r="F124" s="17"/>
      <c r="G124" s="4">
        <f>SUM($B124:$F124)</f>
        <v>0</v>
      </c>
      <c r="H124" s="17"/>
      <c r="I124" s="4">
        <f>$I123+$G124-$H124</f>
        <v>349526.07999999996</v>
      </c>
      <c r="J124" s="32" t="str">
        <f>IF($A125&lt;&gt;$A124,$I124,"")</f>
        <v/>
      </c>
      <c r="K124" s="79"/>
      <c r="L124" s="79"/>
      <c r="M124" s="2"/>
      <c r="N124" s="5"/>
      <c r="O124" s="3"/>
      <c r="P124" s="6"/>
      <c r="Q124" s="6" t="str">
        <f>IFERROR(SEARCH("ЗП",#REF!,1),"")</f>
        <v/>
      </c>
    </row>
    <row r="125" spans="1:17" ht="15" customHeight="1" x14ac:dyDescent="0.25">
      <c r="A125" s="1"/>
      <c r="B125" s="17"/>
      <c r="C125" s="17"/>
      <c r="D125" s="17"/>
      <c r="E125" s="17"/>
      <c r="F125" s="17"/>
      <c r="G125" s="4">
        <f>SUM($B125:$F125)</f>
        <v>0</v>
      </c>
      <c r="H125" s="17"/>
      <c r="I125" s="4">
        <f>$I124+$G125-$H125</f>
        <v>349526.07999999996</v>
      </c>
      <c r="J125" s="32" t="str">
        <f>IF($A126&lt;&gt;$A125,$I125,"")</f>
        <v/>
      </c>
      <c r="K125" s="79"/>
      <c r="L125" s="79"/>
      <c r="M125" s="2"/>
      <c r="N125" s="5"/>
      <c r="O125" s="3"/>
      <c r="P125" s="6"/>
      <c r="Q125" s="6" t="str">
        <f>IFERROR(SEARCH("ЗП",#REF!,1),"")</f>
        <v/>
      </c>
    </row>
    <row r="126" spans="1:17" ht="15" customHeight="1" x14ac:dyDescent="0.25">
      <c r="A126" s="1"/>
      <c r="B126" s="17"/>
      <c r="C126" s="17"/>
      <c r="D126" s="17"/>
      <c r="E126" s="17"/>
      <c r="F126" s="17"/>
      <c r="G126" s="4">
        <f>SUM($B126:$F126)</f>
        <v>0</v>
      </c>
      <c r="H126" s="17"/>
      <c r="I126" s="4">
        <f>$I125+$G126-$H126</f>
        <v>349526.07999999996</v>
      </c>
      <c r="J126" s="32" t="str">
        <f>IF($A127&lt;&gt;$A126,$I126,"")</f>
        <v/>
      </c>
      <c r="K126" s="79"/>
      <c r="L126" s="79"/>
      <c r="M126" s="2"/>
      <c r="N126" s="5"/>
      <c r="O126" s="3"/>
      <c r="P126" s="6"/>
      <c r="Q126" s="6" t="str">
        <f>IFERROR(SEARCH("ЗП",#REF!,1),"")</f>
        <v/>
      </c>
    </row>
    <row r="127" spans="1:17" ht="15" customHeight="1" x14ac:dyDescent="0.25">
      <c r="A127" s="1"/>
      <c r="B127" s="17"/>
      <c r="C127" s="17"/>
      <c r="D127" s="17"/>
      <c r="E127" s="17"/>
      <c r="F127" s="17"/>
      <c r="G127" s="4">
        <f>SUM($B127:$F127)</f>
        <v>0</v>
      </c>
      <c r="H127" s="17"/>
      <c r="I127" s="4">
        <f>$I126+$G127-$H127</f>
        <v>349526.07999999996</v>
      </c>
      <c r="J127" s="32" t="str">
        <f>IF($A128&lt;&gt;$A127,$I127,"")</f>
        <v/>
      </c>
      <c r="K127" s="79"/>
      <c r="L127" s="79"/>
      <c r="M127" s="2"/>
      <c r="N127" s="5"/>
      <c r="O127" s="3"/>
      <c r="P127" s="6"/>
      <c r="Q127" s="6" t="str">
        <f>IFERROR(SEARCH("ЗП",#REF!,1),"")</f>
        <v/>
      </c>
    </row>
    <row r="128" spans="1:17" ht="15" customHeight="1" x14ac:dyDescent="0.25">
      <c r="A128" s="1"/>
      <c r="B128" s="17"/>
      <c r="C128" s="17"/>
      <c r="D128" s="17"/>
      <c r="E128" s="17"/>
      <c r="F128" s="17"/>
      <c r="G128" s="4">
        <f>SUM($B128:$F128)</f>
        <v>0</v>
      </c>
      <c r="H128" s="17"/>
      <c r="I128" s="4">
        <f>$I127+$G128-$H128</f>
        <v>349526.07999999996</v>
      </c>
      <c r="J128" s="32" t="str">
        <f>IF($A129&lt;&gt;$A128,$I128,"")</f>
        <v/>
      </c>
      <c r="K128" s="79"/>
      <c r="L128" s="79"/>
      <c r="M128" s="2"/>
      <c r="N128" s="5"/>
      <c r="O128" s="3"/>
      <c r="P128" s="6"/>
      <c r="Q128" s="6" t="str">
        <f>IFERROR(SEARCH("ЗП",#REF!,1),"")</f>
        <v/>
      </c>
    </row>
    <row r="129" spans="1:17" ht="15" customHeight="1" x14ac:dyDescent="0.25">
      <c r="A129" s="1"/>
      <c r="B129" s="17"/>
      <c r="C129" s="17"/>
      <c r="D129" s="17"/>
      <c r="E129" s="17"/>
      <c r="F129" s="17"/>
      <c r="G129" s="4">
        <f>SUM($B129:$F129)</f>
        <v>0</v>
      </c>
      <c r="H129" s="17"/>
      <c r="I129" s="4">
        <f>$I128+$G129-$H129</f>
        <v>349526.07999999996</v>
      </c>
      <c r="J129" s="32" t="str">
        <f>IF($A130&lt;&gt;$A129,$I129,"")</f>
        <v/>
      </c>
      <c r="K129" s="79"/>
      <c r="L129" s="79"/>
      <c r="M129" s="2"/>
      <c r="N129" s="5"/>
      <c r="O129" s="3"/>
      <c r="P129" s="6"/>
      <c r="Q129" s="6" t="str">
        <f>IFERROR(SEARCH("ЗП",#REF!,1),"")</f>
        <v/>
      </c>
    </row>
    <row r="130" spans="1:17" ht="15" customHeight="1" x14ac:dyDescent="0.25">
      <c r="A130" s="1"/>
      <c r="B130" s="17"/>
      <c r="C130" s="17"/>
      <c r="D130" s="17"/>
      <c r="E130" s="17"/>
      <c r="F130" s="17"/>
      <c r="G130" s="4">
        <f>SUM($B130:$F130)</f>
        <v>0</v>
      </c>
      <c r="H130" s="17"/>
      <c r="I130" s="4">
        <f>$I129+$G130-$H130</f>
        <v>349526.07999999996</v>
      </c>
      <c r="J130" s="32" t="str">
        <f>IF($A131&lt;&gt;$A130,$I130,"")</f>
        <v/>
      </c>
      <c r="K130" s="79"/>
      <c r="L130" s="79"/>
      <c r="M130" s="2"/>
      <c r="N130" s="5"/>
      <c r="O130" s="3"/>
      <c r="P130" s="6"/>
      <c r="Q130" s="6" t="str">
        <f>IFERROR(SEARCH("ЗП",#REF!,1),"")</f>
        <v/>
      </c>
    </row>
    <row r="131" spans="1:17" ht="15" customHeight="1" x14ac:dyDescent="0.25">
      <c r="A131" s="1"/>
      <c r="B131" s="17"/>
      <c r="C131" s="17"/>
      <c r="D131" s="17"/>
      <c r="E131" s="17"/>
      <c r="F131" s="17"/>
      <c r="G131" s="4">
        <f>SUM($B131:$F131)</f>
        <v>0</v>
      </c>
      <c r="H131" s="17"/>
      <c r="I131" s="4">
        <f>$I130+$G131-$H131</f>
        <v>349526.07999999996</v>
      </c>
      <c r="J131" s="32" t="str">
        <f>IF($A132&lt;&gt;$A131,$I131,"")</f>
        <v/>
      </c>
      <c r="K131" s="79"/>
      <c r="L131" s="79"/>
      <c r="M131" s="2"/>
      <c r="N131" s="5"/>
      <c r="O131" s="3"/>
      <c r="P131" s="6"/>
      <c r="Q131" s="6" t="str">
        <f>IFERROR(SEARCH("ЗП",#REF!,1),"")</f>
        <v/>
      </c>
    </row>
    <row r="132" spans="1:17" ht="15" customHeight="1" x14ac:dyDescent="0.25">
      <c r="A132" s="1"/>
      <c r="B132" s="17"/>
      <c r="C132" s="17"/>
      <c r="D132" s="17"/>
      <c r="E132" s="17"/>
      <c r="F132" s="17"/>
      <c r="G132" s="4">
        <f>SUM($B132:$F132)</f>
        <v>0</v>
      </c>
      <c r="H132" s="17"/>
      <c r="I132" s="4">
        <f>$I131+$G132-$H132</f>
        <v>349526.07999999996</v>
      </c>
      <c r="J132" s="32" t="str">
        <f>IF($A133&lt;&gt;$A132,$I132,"")</f>
        <v/>
      </c>
      <c r="K132" s="79"/>
      <c r="L132" s="79"/>
      <c r="M132" s="2"/>
      <c r="N132" s="5"/>
      <c r="O132" s="3"/>
      <c r="P132" s="6"/>
      <c r="Q132" s="6" t="str">
        <f>IFERROR(SEARCH("ЗП",#REF!,1),"")</f>
        <v/>
      </c>
    </row>
    <row r="133" spans="1:17" ht="15" customHeight="1" x14ac:dyDescent="0.25">
      <c r="A133" s="1"/>
      <c r="B133" s="17"/>
      <c r="C133" s="17"/>
      <c r="D133" s="17"/>
      <c r="E133" s="17"/>
      <c r="F133" s="17"/>
      <c r="G133" s="4">
        <f>SUM($B133:$F133)</f>
        <v>0</v>
      </c>
      <c r="H133" s="17"/>
      <c r="I133" s="4">
        <f>$I132+$G133-$H133</f>
        <v>349526.07999999996</v>
      </c>
      <c r="J133" s="32" t="str">
        <f>IF($A134&lt;&gt;$A133,$I133,"")</f>
        <v/>
      </c>
      <c r="K133" s="79"/>
      <c r="L133" s="79"/>
      <c r="M133" s="2"/>
      <c r="N133" s="5"/>
      <c r="O133" s="3"/>
      <c r="P133" s="6"/>
      <c r="Q133" s="6" t="str">
        <f>IFERROR(SEARCH("ЗП",#REF!,1),"")</f>
        <v/>
      </c>
    </row>
    <row r="134" spans="1:17" ht="15" customHeight="1" x14ac:dyDescent="0.25">
      <c r="A134" s="1"/>
      <c r="B134" s="17"/>
      <c r="C134" s="17"/>
      <c r="D134" s="17"/>
      <c r="E134" s="17"/>
      <c r="F134" s="17"/>
      <c r="G134" s="4">
        <f>SUM($B134:$F134)</f>
        <v>0</v>
      </c>
      <c r="H134" s="17"/>
      <c r="I134" s="4">
        <f>$I133+$G134-$H134</f>
        <v>349526.07999999996</v>
      </c>
      <c r="J134" s="32" t="str">
        <f>IF($A135&lt;&gt;$A134,$I134,"")</f>
        <v/>
      </c>
      <c r="K134" s="79"/>
      <c r="L134" s="79"/>
      <c r="M134" s="2"/>
      <c r="N134" s="5"/>
      <c r="O134" s="3"/>
      <c r="P134" s="6"/>
      <c r="Q134" s="6" t="str">
        <f>IFERROR(SEARCH("ЗП",#REF!,1),"")</f>
        <v/>
      </c>
    </row>
    <row r="135" spans="1:17" ht="15" customHeight="1" x14ac:dyDescent="0.25">
      <c r="A135" s="1"/>
      <c r="B135" s="17"/>
      <c r="C135" s="17"/>
      <c r="D135" s="17"/>
      <c r="E135" s="17"/>
      <c r="F135" s="17"/>
      <c r="G135" s="4">
        <f>SUM($B135:$F135)</f>
        <v>0</v>
      </c>
      <c r="H135" s="17"/>
      <c r="I135" s="4">
        <f>$I134+$G135-$H135</f>
        <v>349526.07999999996</v>
      </c>
      <c r="J135" s="32" t="str">
        <f>IF($A136&lt;&gt;$A135,$I135,"")</f>
        <v/>
      </c>
      <c r="K135" s="79"/>
      <c r="L135" s="79"/>
      <c r="M135" s="2"/>
      <c r="N135" s="5"/>
      <c r="O135" s="3"/>
      <c r="P135" s="6"/>
      <c r="Q135" s="6" t="str">
        <f>IFERROR(SEARCH("ЗП",#REF!,1),"")</f>
        <v/>
      </c>
    </row>
    <row r="136" spans="1:17" ht="15" customHeight="1" x14ac:dyDescent="0.25">
      <c r="A136" s="1"/>
      <c r="B136" s="17"/>
      <c r="C136" s="17"/>
      <c r="D136" s="17"/>
      <c r="E136" s="17"/>
      <c r="F136" s="17"/>
      <c r="G136" s="4">
        <f>SUM($B136:$F136)</f>
        <v>0</v>
      </c>
      <c r="H136" s="17"/>
      <c r="I136" s="4">
        <f>$I135+$G136-$H136</f>
        <v>349526.07999999996</v>
      </c>
      <c r="J136" s="32" t="str">
        <f>IF($A137&lt;&gt;$A136,$I136,"")</f>
        <v/>
      </c>
      <c r="K136" s="79"/>
      <c r="L136" s="79"/>
      <c r="M136" s="2"/>
      <c r="N136" s="5"/>
      <c r="O136" s="3"/>
      <c r="P136" s="6"/>
      <c r="Q136" s="6" t="str">
        <f>IFERROR(SEARCH("ЗП",#REF!,1),"")</f>
        <v/>
      </c>
    </row>
    <row r="137" spans="1:17" ht="15" customHeight="1" x14ac:dyDescent="0.25">
      <c r="A137" s="1"/>
      <c r="B137" s="17"/>
      <c r="C137" s="17"/>
      <c r="D137" s="17"/>
      <c r="E137" s="17"/>
      <c r="F137" s="17"/>
      <c r="G137" s="4">
        <f>SUM($B137:$F137)</f>
        <v>0</v>
      </c>
      <c r="H137" s="17"/>
      <c r="I137" s="4">
        <f>$I136+$G137-$H137</f>
        <v>349526.07999999996</v>
      </c>
      <c r="J137" s="32" t="str">
        <f>IF($A138&lt;&gt;$A137,$I137,"")</f>
        <v/>
      </c>
      <c r="K137" s="79"/>
      <c r="L137" s="79"/>
      <c r="M137" s="2"/>
      <c r="N137" s="5"/>
      <c r="O137" s="3"/>
      <c r="P137" s="6"/>
      <c r="Q137" s="6" t="str">
        <f>IFERROR(SEARCH("ЗП",#REF!,1),"")</f>
        <v/>
      </c>
    </row>
    <row r="138" spans="1:17" ht="15" customHeight="1" x14ac:dyDescent="0.25">
      <c r="A138" s="1"/>
      <c r="B138" s="17"/>
      <c r="C138" s="17"/>
      <c r="D138" s="17"/>
      <c r="E138" s="17"/>
      <c r="F138" s="17"/>
      <c r="G138" s="4">
        <f>SUM($B138:$F138)</f>
        <v>0</v>
      </c>
      <c r="H138" s="17"/>
      <c r="I138" s="4">
        <f>$I137+$G138-$H138</f>
        <v>349526.07999999996</v>
      </c>
      <c r="J138" s="32" t="str">
        <f>IF($A139&lt;&gt;$A138,$I138,"")</f>
        <v/>
      </c>
      <c r="K138" s="79"/>
      <c r="L138" s="79"/>
      <c r="M138" s="2"/>
      <c r="N138" s="5"/>
      <c r="O138" s="3"/>
      <c r="P138" s="6"/>
      <c r="Q138" s="6" t="str">
        <f>IFERROR(SEARCH("ЗП",#REF!,1),"")</f>
        <v/>
      </c>
    </row>
    <row r="139" spans="1:17" ht="15" customHeight="1" x14ac:dyDescent="0.25">
      <c r="A139" s="1"/>
      <c r="B139" s="17"/>
      <c r="C139" s="17"/>
      <c r="D139" s="17"/>
      <c r="E139" s="17"/>
      <c r="F139" s="17"/>
      <c r="G139" s="4">
        <f>SUM($B139:$F139)</f>
        <v>0</v>
      </c>
      <c r="H139" s="17"/>
      <c r="I139" s="4">
        <f>$I138+$G139-$H139</f>
        <v>349526.07999999996</v>
      </c>
      <c r="J139" s="32" t="str">
        <f>IF($A140&lt;&gt;$A139,$I139,"")</f>
        <v/>
      </c>
      <c r="K139" s="79"/>
      <c r="L139" s="79"/>
      <c r="M139" s="2"/>
      <c r="N139" s="5"/>
      <c r="O139" s="3"/>
      <c r="P139" s="6"/>
      <c r="Q139" s="6" t="str">
        <f>IFERROR(SEARCH("ЗП",#REF!,1),"")</f>
        <v/>
      </c>
    </row>
    <row r="140" spans="1:17" ht="15" customHeight="1" x14ac:dyDescent="0.25">
      <c r="A140" s="1"/>
      <c r="B140" s="17"/>
      <c r="C140" s="17"/>
      <c r="D140" s="17"/>
      <c r="E140" s="17"/>
      <c r="F140" s="17"/>
      <c r="G140" s="4">
        <f>SUM($B140:$F140)</f>
        <v>0</v>
      </c>
      <c r="H140" s="17"/>
      <c r="I140" s="4">
        <f>$I139+$G140-$H140</f>
        <v>349526.07999999996</v>
      </c>
      <c r="J140" s="32" t="str">
        <f>IF($A141&lt;&gt;$A140,$I140,"")</f>
        <v/>
      </c>
      <c r="K140" s="79"/>
      <c r="L140" s="79"/>
      <c r="M140" s="2"/>
      <c r="N140" s="5"/>
      <c r="O140" s="3"/>
      <c r="P140" s="6"/>
      <c r="Q140" s="6" t="str">
        <f>IFERROR(SEARCH("ЗП",#REF!,1),"")</f>
        <v/>
      </c>
    </row>
    <row r="141" spans="1:17" ht="15" customHeight="1" x14ac:dyDescent="0.25">
      <c r="A141" s="1"/>
      <c r="B141" s="17"/>
      <c r="C141" s="17"/>
      <c r="D141" s="17"/>
      <c r="E141" s="17"/>
      <c r="F141" s="17"/>
      <c r="G141" s="4">
        <f>SUM($B141:$F141)</f>
        <v>0</v>
      </c>
      <c r="H141" s="17"/>
      <c r="I141" s="4">
        <f>$I140+$G141-$H141</f>
        <v>349526.07999999996</v>
      </c>
      <c r="J141" s="32" t="str">
        <f>IF($A142&lt;&gt;$A141,$I141,"")</f>
        <v/>
      </c>
      <c r="K141" s="79"/>
      <c r="L141" s="79"/>
      <c r="M141" s="2"/>
      <c r="N141" s="5"/>
      <c r="O141" s="3"/>
      <c r="P141" s="6"/>
      <c r="Q141" s="6" t="str">
        <f>IFERROR(SEARCH("ЗП",#REF!,1),"")</f>
        <v/>
      </c>
    </row>
    <row r="142" spans="1:17" ht="15" customHeight="1" x14ac:dyDescent="0.25">
      <c r="A142" s="1"/>
      <c r="B142" s="17"/>
      <c r="C142" s="17"/>
      <c r="D142" s="17"/>
      <c r="E142" s="17"/>
      <c r="F142" s="17"/>
      <c r="G142" s="4">
        <f>SUM($B142:$F142)</f>
        <v>0</v>
      </c>
      <c r="H142" s="17"/>
      <c r="I142" s="4">
        <f>$I141+$G142-$H142</f>
        <v>349526.07999999996</v>
      </c>
      <c r="J142" s="32" t="str">
        <f>IF($A143&lt;&gt;$A142,$I142,"")</f>
        <v/>
      </c>
      <c r="K142" s="79"/>
      <c r="L142" s="79"/>
      <c r="M142" s="2"/>
      <c r="N142" s="5"/>
      <c r="O142" s="3"/>
      <c r="P142" s="6"/>
      <c r="Q142" s="6" t="str">
        <f>IFERROR(SEARCH("ЗП",#REF!,1),"")</f>
        <v/>
      </c>
    </row>
    <row r="143" spans="1:17" ht="15" customHeight="1" x14ac:dyDescent="0.25">
      <c r="A143" s="1"/>
      <c r="B143" s="17"/>
      <c r="C143" s="17"/>
      <c r="D143" s="17"/>
      <c r="E143" s="17"/>
      <c r="F143" s="17"/>
      <c r="G143" s="4">
        <f>SUM($B143:$F143)</f>
        <v>0</v>
      </c>
      <c r="H143" s="17"/>
      <c r="I143" s="4">
        <f>$I142+$G143-$H143</f>
        <v>349526.07999999996</v>
      </c>
      <c r="J143" s="32" t="str">
        <f>IF($A144&lt;&gt;$A143,$I143,"")</f>
        <v/>
      </c>
      <c r="K143" s="79"/>
      <c r="L143" s="79"/>
      <c r="M143" s="2"/>
      <c r="N143" s="5"/>
      <c r="O143" s="3"/>
      <c r="P143" s="6"/>
      <c r="Q143" s="6" t="str">
        <f>IFERROR(SEARCH("ЗП",#REF!,1),"")</f>
        <v/>
      </c>
    </row>
    <row r="144" spans="1:17" ht="15" customHeight="1" x14ac:dyDescent="0.25">
      <c r="A144" s="1"/>
      <c r="B144" s="17"/>
      <c r="C144" s="17"/>
      <c r="D144" s="17"/>
      <c r="E144" s="17"/>
      <c r="F144" s="17"/>
      <c r="G144" s="4">
        <f>SUM($B144:$F144)</f>
        <v>0</v>
      </c>
      <c r="H144" s="17"/>
      <c r="I144" s="4">
        <f>$I143+$G144-$H144</f>
        <v>349526.07999999996</v>
      </c>
      <c r="J144" s="32" t="str">
        <f>IF($A145&lt;&gt;$A144,$I144,"")</f>
        <v/>
      </c>
      <c r="K144" s="79"/>
      <c r="L144" s="79"/>
      <c r="M144" s="2"/>
      <c r="N144" s="5"/>
      <c r="O144" s="3"/>
      <c r="P144" s="6"/>
      <c r="Q144" s="6" t="str">
        <f>IFERROR(SEARCH("ЗП",#REF!,1),"")</f>
        <v/>
      </c>
    </row>
    <row r="145" spans="1:17" ht="15" customHeight="1" x14ac:dyDescent="0.25">
      <c r="A145" s="1"/>
      <c r="B145" s="17"/>
      <c r="C145" s="17"/>
      <c r="D145" s="17"/>
      <c r="E145" s="17"/>
      <c r="F145" s="17"/>
      <c r="G145" s="4">
        <f>SUM($B145:$F145)</f>
        <v>0</v>
      </c>
      <c r="H145" s="17"/>
      <c r="I145" s="4">
        <f>$I144+$G145-$H145</f>
        <v>349526.07999999996</v>
      </c>
      <c r="J145" s="32" t="str">
        <f>IF($A146&lt;&gt;$A145,$I145,"")</f>
        <v/>
      </c>
      <c r="K145" s="79"/>
      <c r="L145" s="79"/>
      <c r="M145" s="2"/>
      <c r="N145" s="5"/>
      <c r="O145" s="3"/>
      <c r="P145" s="6"/>
      <c r="Q145" s="6" t="str">
        <f>IFERROR(SEARCH("ЗП",#REF!,1),"")</f>
        <v/>
      </c>
    </row>
    <row r="146" spans="1:17" ht="15" customHeight="1" x14ac:dyDescent="0.25">
      <c r="A146" s="1"/>
      <c r="B146" s="17"/>
      <c r="C146" s="17"/>
      <c r="D146" s="17"/>
      <c r="E146" s="17"/>
      <c r="F146" s="17"/>
      <c r="G146" s="4">
        <f>SUM($B146:$F146)</f>
        <v>0</v>
      </c>
      <c r="H146" s="17"/>
      <c r="I146" s="4">
        <f>$I145+$G146-$H146</f>
        <v>349526.07999999996</v>
      </c>
      <c r="J146" s="32" t="str">
        <f>IF($A147&lt;&gt;$A146,$I146,"")</f>
        <v/>
      </c>
      <c r="K146" s="79"/>
      <c r="L146" s="79"/>
      <c r="M146" s="2"/>
      <c r="N146" s="5"/>
      <c r="O146" s="3"/>
      <c r="P146" s="6"/>
      <c r="Q146" s="6" t="str">
        <f>IFERROR(SEARCH("ЗП",#REF!,1),"")</f>
        <v/>
      </c>
    </row>
    <row r="147" spans="1:17" ht="15" customHeight="1" x14ac:dyDescent="0.25">
      <c r="A147" s="1"/>
      <c r="B147" s="17"/>
      <c r="C147" s="17"/>
      <c r="D147" s="17"/>
      <c r="E147" s="17"/>
      <c r="F147" s="17"/>
      <c r="G147" s="4">
        <f>SUM($B147:$F147)</f>
        <v>0</v>
      </c>
      <c r="H147" s="17"/>
      <c r="I147" s="4">
        <f>$I146+$G147-$H147</f>
        <v>349526.07999999996</v>
      </c>
      <c r="J147" s="32" t="str">
        <f>IF($A148&lt;&gt;$A147,$I147,"")</f>
        <v/>
      </c>
      <c r="K147" s="79"/>
      <c r="L147" s="79"/>
      <c r="M147" s="2"/>
      <c r="N147" s="5"/>
      <c r="O147" s="3"/>
      <c r="P147" s="6"/>
      <c r="Q147" s="6" t="str">
        <f>IFERROR(SEARCH("ЗП",#REF!,1),"")</f>
        <v/>
      </c>
    </row>
    <row r="148" spans="1:17" ht="15" customHeight="1" x14ac:dyDescent="0.25">
      <c r="A148" s="1"/>
      <c r="B148" s="17"/>
      <c r="C148" s="17"/>
      <c r="D148" s="17"/>
      <c r="E148" s="17"/>
      <c r="F148" s="17"/>
      <c r="G148" s="4">
        <f>SUM($B148:$F148)</f>
        <v>0</v>
      </c>
      <c r="H148" s="17"/>
      <c r="I148" s="4">
        <f>$I147+$G148-$H148</f>
        <v>349526.07999999996</v>
      </c>
      <c r="J148" s="32" t="str">
        <f>IF($A149&lt;&gt;$A148,$I148,"")</f>
        <v/>
      </c>
      <c r="K148" s="79"/>
      <c r="L148" s="79"/>
      <c r="M148" s="2"/>
      <c r="N148" s="5"/>
      <c r="O148" s="3"/>
      <c r="P148" s="6"/>
      <c r="Q148" s="6" t="str">
        <f>IFERROR(SEARCH("ЗП",#REF!,1),"")</f>
        <v/>
      </c>
    </row>
    <row r="149" spans="1:17" ht="15" customHeight="1" x14ac:dyDescent="0.25">
      <c r="A149" s="1"/>
      <c r="B149" s="17"/>
      <c r="C149" s="17"/>
      <c r="D149" s="17"/>
      <c r="E149" s="17"/>
      <c r="F149" s="17"/>
      <c r="G149" s="4">
        <f>SUM($B149:$F149)</f>
        <v>0</v>
      </c>
      <c r="H149" s="17"/>
      <c r="I149" s="4">
        <f>$I148+$G149-$H149</f>
        <v>349526.07999999996</v>
      </c>
      <c r="J149" s="32" t="str">
        <f>IF($A150&lt;&gt;$A149,$I149,"")</f>
        <v/>
      </c>
      <c r="K149" s="79"/>
      <c r="L149" s="79"/>
      <c r="M149" s="2"/>
      <c r="N149" s="5"/>
      <c r="O149" s="3"/>
      <c r="P149" s="6"/>
      <c r="Q149" s="6" t="str">
        <f>IFERROR(SEARCH("ЗП",#REF!,1),"")</f>
        <v/>
      </c>
    </row>
    <row r="150" spans="1:17" ht="15" customHeight="1" x14ac:dyDescent="0.25">
      <c r="A150" s="1"/>
      <c r="B150" s="17"/>
      <c r="C150" s="17"/>
      <c r="D150" s="17"/>
      <c r="E150" s="17"/>
      <c r="F150" s="17"/>
      <c r="G150" s="4">
        <f>SUM($B150:$F150)</f>
        <v>0</v>
      </c>
      <c r="H150" s="17"/>
      <c r="I150" s="4">
        <f>$I149+$G150-$H150</f>
        <v>349526.07999999996</v>
      </c>
      <c r="J150" s="32" t="str">
        <f>IF($A151&lt;&gt;$A150,$I150,"")</f>
        <v/>
      </c>
      <c r="K150" s="79"/>
      <c r="L150" s="79"/>
      <c r="M150" s="2"/>
      <c r="N150" s="5"/>
      <c r="O150" s="3"/>
      <c r="P150" s="6"/>
      <c r="Q150" s="6" t="str">
        <f>IFERROR(SEARCH("ЗП",#REF!,1),"")</f>
        <v/>
      </c>
    </row>
    <row r="151" spans="1:17" ht="15" customHeight="1" x14ac:dyDescent="0.25">
      <c r="A151" s="1"/>
      <c r="B151" s="17"/>
      <c r="C151" s="17"/>
      <c r="D151" s="17"/>
      <c r="E151" s="17"/>
      <c r="F151" s="17"/>
      <c r="G151" s="4">
        <f>SUM($B151:$F151)</f>
        <v>0</v>
      </c>
      <c r="H151" s="17"/>
      <c r="I151" s="4">
        <f>$I150+$G151-$H151</f>
        <v>349526.07999999996</v>
      </c>
      <c r="J151" s="32" t="str">
        <f>IF($A152&lt;&gt;$A151,$I151,"")</f>
        <v/>
      </c>
      <c r="K151" s="79"/>
      <c r="L151" s="79"/>
      <c r="M151" s="2"/>
      <c r="N151" s="5"/>
      <c r="O151" s="3"/>
      <c r="P151" s="6"/>
      <c r="Q151" s="6" t="str">
        <f>IFERROR(SEARCH("ЗП",#REF!,1),"")</f>
        <v/>
      </c>
    </row>
    <row r="152" spans="1:17" ht="15" customHeight="1" x14ac:dyDescent="0.25">
      <c r="A152" s="1"/>
      <c r="B152" s="17"/>
      <c r="C152" s="17"/>
      <c r="D152" s="17"/>
      <c r="E152" s="17"/>
      <c r="F152" s="17"/>
      <c r="G152" s="4">
        <f>SUM($B152:$F152)</f>
        <v>0</v>
      </c>
      <c r="H152" s="17"/>
      <c r="I152" s="4">
        <f>$I151+$G152-$H152</f>
        <v>349526.07999999996</v>
      </c>
      <c r="J152" s="32" t="str">
        <f>IF($A153&lt;&gt;$A152,$I152,"")</f>
        <v/>
      </c>
      <c r="K152" s="79"/>
      <c r="L152" s="79"/>
      <c r="M152" s="2"/>
      <c r="N152" s="5"/>
      <c r="O152" s="3"/>
      <c r="P152" s="6"/>
      <c r="Q152" s="6" t="str">
        <f>IFERROR(SEARCH("ЗП",#REF!,1),"")</f>
        <v/>
      </c>
    </row>
    <row r="153" spans="1:17" ht="15" customHeight="1" x14ac:dyDescent="0.25">
      <c r="A153" s="1"/>
      <c r="B153" s="17"/>
      <c r="C153" s="17"/>
      <c r="D153" s="17"/>
      <c r="E153" s="17"/>
      <c r="F153" s="17"/>
      <c r="G153" s="4">
        <f>SUM($B153:$F153)</f>
        <v>0</v>
      </c>
      <c r="H153" s="17"/>
      <c r="I153" s="4">
        <f>$I152+$G153-$H153</f>
        <v>349526.07999999996</v>
      </c>
      <c r="J153" s="32" t="str">
        <f>IF($A154&lt;&gt;$A153,$I153,"")</f>
        <v/>
      </c>
      <c r="K153" s="79"/>
      <c r="L153" s="79"/>
      <c r="M153" s="2"/>
      <c r="N153" s="5"/>
      <c r="O153" s="3"/>
      <c r="P153" s="6"/>
      <c r="Q153" s="6" t="str">
        <f>IFERROR(SEARCH("ЗП",#REF!,1),"")</f>
        <v/>
      </c>
    </row>
    <row r="154" spans="1:17" ht="15" customHeight="1" x14ac:dyDescent="0.25">
      <c r="A154" s="1"/>
      <c r="B154" s="17"/>
      <c r="C154" s="17"/>
      <c r="D154" s="17"/>
      <c r="E154" s="17"/>
      <c r="F154" s="17"/>
      <c r="G154" s="4">
        <f>SUM($B154:$F154)</f>
        <v>0</v>
      </c>
      <c r="H154" s="17"/>
      <c r="I154" s="4">
        <f>$I153+$G154-$H154</f>
        <v>349526.07999999996</v>
      </c>
      <c r="J154" s="32" t="str">
        <f>IF($A155&lt;&gt;$A154,$I154,"")</f>
        <v/>
      </c>
      <c r="K154" s="79"/>
      <c r="L154" s="79"/>
      <c r="M154" s="2"/>
      <c r="N154" s="5"/>
      <c r="O154" s="3"/>
      <c r="P154" s="6"/>
      <c r="Q154" s="6" t="str">
        <f>IFERROR(SEARCH("ЗП",#REF!,1),"")</f>
        <v/>
      </c>
    </row>
    <row r="155" spans="1:17" ht="15" customHeight="1" x14ac:dyDescent="0.25">
      <c r="A155" s="1"/>
      <c r="B155" s="17"/>
      <c r="C155" s="17"/>
      <c r="D155" s="17"/>
      <c r="E155" s="17"/>
      <c r="F155" s="17"/>
      <c r="G155" s="4">
        <f>SUM($B155:$F155)</f>
        <v>0</v>
      </c>
      <c r="H155" s="17"/>
      <c r="I155" s="4">
        <f>$I154+$G155-$H155</f>
        <v>349526.07999999996</v>
      </c>
      <c r="J155" s="32" t="str">
        <f>IF($A156&lt;&gt;$A155,$I155,"")</f>
        <v/>
      </c>
      <c r="K155" s="79"/>
      <c r="L155" s="79"/>
      <c r="M155" s="2"/>
      <c r="N155" s="5"/>
      <c r="O155" s="3"/>
      <c r="P155" s="6"/>
      <c r="Q155" s="6" t="str">
        <f>IFERROR(SEARCH("ЗП",#REF!,1),"")</f>
        <v/>
      </c>
    </row>
    <row r="156" spans="1:17" ht="15" customHeight="1" x14ac:dyDescent="0.25">
      <c r="A156" s="1"/>
      <c r="B156" s="17"/>
      <c r="C156" s="17"/>
      <c r="D156" s="17"/>
      <c r="E156" s="17"/>
      <c r="F156" s="17"/>
      <c r="G156" s="4">
        <f>SUM($B156:$F156)</f>
        <v>0</v>
      </c>
      <c r="H156" s="17"/>
      <c r="I156" s="4">
        <f>$I155+$G156-$H156</f>
        <v>349526.07999999996</v>
      </c>
      <c r="J156" s="32" t="str">
        <f>IF($A157&lt;&gt;$A156,$I156,"")</f>
        <v/>
      </c>
      <c r="K156" s="79"/>
      <c r="L156" s="79"/>
      <c r="M156" s="2"/>
      <c r="N156" s="5"/>
      <c r="O156" s="3"/>
      <c r="P156" s="6"/>
      <c r="Q156" s="6" t="str">
        <f>IFERROR(SEARCH("ЗП",#REF!,1),"")</f>
        <v/>
      </c>
    </row>
    <row r="157" spans="1:17" ht="15" customHeight="1" x14ac:dyDescent="0.25">
      <c r="A157" s="1"/>
      <c r="B157" s="17"/>
      <c r="C157" s="17"/>
      <c r="D157" s="17"/>
      <c r="E157" s="17"/>
      <c r="F157" s="17"/>
      <c r="G157" s="4">
        <f>SUM($B157:$F157)</f>
        <v>0</v>
      </c>
      <c r="H157" s="17"/>
      <c r="I157" s="4">
        <f>$I156+$G157-$H157</f>
        <v>349526.07999999996</v>
      </c>
      <c r="J157" s="32" t="str">
        <f>IF($A158&lt;&gt;$A157,$I157,"")</f>
        <v/>
      </c>
      <c r="K157" s="79"/>
      <c r="L157" s="79"/>
      <c r="M157" s="2"/>
      <c r="N157" s="5"/>
      <c r="O157" s="3"/>
      <c r="P157" s="6"/>
      <c r="Q157" s="6" t="str">
        <f>IFERROR(SEARCH("ЗП",#REF!,1),"")</f>
        <v/>
      </c>
    </row>
    <row r="158" spans="1:17" ht="15" customHeight="1" x14ac:dyDescent="0.25">
      <c r="A158" s="1"/>
      <c r="B158" s="17"/>
      <c r="C158" s="17"/>
      <c r="D158" s="17"/>
      <c r="E158" s="17"/>
      <c r="F158" s="17"/>
      <c r="G158" s="4">
        <f>SUM($B158:$F158)</f>
        <v>0</v>
      </c>
      <c r="H158" s="17"/>
      <c r="I158" s="4">
        <f>$I157+$G158-$H158</f>
        <v>349526.07999999996</v>
      </c>
      <c r="J158" s="32" t="str">
        <f>IF($A159&lt;&gt;$A158,$I158,"")</f>
        <v/>
      </c>
      <c r="K158" s="79"/>
      <c r="L158" s="79"/>
      <c r="M158" s="2"/>
      <c r="N158" s="5"/>
      <c r="O158" s="3"/>
      <c r="P158" s="6"/>
      <c r="Q158" s="6" t="str">
        <f>IFERROR(SEARCH("ЗП",#REF!,1),"")</f>
        <v/>
      </c>
    </row>
    <row r="159" spans="1:17" ht="15" customHeight="1" x14ac:dyDescent="0.25">
      <c r="A159" s="1"/>
      <c r="B159" s="17"/>
      <c r="C159" s="17"/>
      <c r="D159" s="17"/>
      <c r="E159" s="17"/>
      <c r="F159" s="17"/>
      <c r="G159" s="4">
        <f>SUM($B159:$F159)</f>
        <v>0</v>
      </c>
      <c r="H159" s="17"/>
      <c r="I159" s="4">
        <f>$I158+$G159-$H159</f>
        <v>349526.07999999996</v>
      </c>
      <c r="J159" s="32" t="str">
        <f>IF($A160&lt;&gt;$A159,$I159,"")</f>
        <v/>
      </c>
      <c r="K159" s="79"/>
      <c r="L159" s="79"/>
      <c r="M159" s="2"/>
      <c r="N159" s="5"/>
      <c r="O159" s="3"/>
      <c r="P159" s="6"/>
      <c r="Q159" s="6" t="str">
        <f>IFERROR(SEARCH("ЗП",#REF!,1),"")</f>
        <v/>
      </c>
    </row>
    <row r="160" spans="1:17" ht="15" customHeight="1" x14ac:dyDescent="0.25">
      <c r="A160" s="1"/>
      <c r="B160" s="17"/>
      <c r="C160" s="17"/>
      <c r="D160" s="17"/>
      <c r="E160" s="17"/>
      <c r="F160" s="17"/>
      <c r="G160" s="4">
        <f>SUM($B160:$F160)</f>
        <v>0</v>
      </c>
      <c r="H160" s="17"/>
      <c r="I160" s="4">
        <f>$I159+$G160-$H160</f>
        <v>349526.07999999996</v>
      </c>
      <c r="J160" s="32" t="str">
        <f>IF($A161&lt;&gt;$A160,$I160,"")</f>
        <v/>
      </c>
      <c r="K160" s="79"/>
      <c r="L160" s="79"/>
      <c r="M160" s="2"/>
      <c r="N160" s="5"/>
      <c r="O160" s="3"/>
      <c r="P160" s="6"/>
      <c r="Q160" s="6" t="str">
        <f>IFERROR(SEARCH("ЗП",#REF!,1),"")</f>
        <v/>
      </c>
    </row>
    <row r="161" spans="1:17" ht="15" customHeight="1" x14ac:dyDescent="0.25">
      <c r="A161" s="1"/>
      <c r="B161" s="17"/>
      <c r="C161" s="17"/>
      <c r="D161" s="17"/>
      <c r="E161" s="17"/>
      <c r="F161" s="17"/>
      <c r="G161" s="4">
        <f>SUM($B161:$F161)</f>
        <v>0</v>
      </c>
      <c r="H161" s="17"/>
      <c r="I161" s="4">
        <f>$I160+$G161-$H161</f>
        <v>349526.07999999996</v>
      </c>
      <c r="J161" s="32" t="str">
        <f>IF($A162&lt;&gt;$A161,$I161,"")</f>
        <v/>
      </c>
      <c r="K161" s="79"/>
      <c r="L161" s="79"/>
      <c r="M161" s="2"/>
      <c r="N161" s="5"/>
      <c r="O161" s="3"/>
      <c r="P161" s="6"/>
      <c r="Q161" s="6" t="str">
        <f>IFERROR(SEARCH("ЗП",#REF!,1),"")</f>
        <v/>
      </c>
    </row>
    <row r="162" spans="1:17" ht="15" customHeight="1" x14ac:dyDescent="0.25">
      <c r="A162" s="1"/>
      <c r="B162" s="17"/>
      <c r="C162" s="17"/>
      <c r="D162" s="17"/>
      <c r="E162" s="17"/>
      <c r="F162" s="17"/>
      <c r="G162" s="4">
        <f>SUM($B162:$F162)</f>
        <v>0</v>
      </c>
      <c r="H162" s="17"/>
      <c r="I162" s="4">
        <f>$I161+$G162-$H162</f>
        <v>349526.07999999996</v>
      </c>
      <c r="J162" s="32" t="str">
        <f>IF($A163&lt;&gt;$A162,$I162,"")</f>
        <v/>
      </c>
      <c r="K162" s="79"/>
      <c r="L162" s="79"/>
      <c r="M162" s="2"/>
      <c r="N162" s="5"/>
      <c r="O162" s="3"/>
      <c r="P162" s="6"/>
      <c r="Q162" s="6" t="str">
        <f>IFERROR(SEARCH("ЗП",#REF!,1),"")</f>
        <v/>
      </c>
    </row>
    <row r="163" spans="1:17" ht="15" customHeight="1" x14ac:dyDescent="0.25">
      <c r="A163" s="1"/>
      <c r="B163" s="17"/>
      <c r="C163" s="17"/>
      <c r="D163" s="17"/>
      <c r="E163" s="17"/>
      <c r="F163" s="17"/>
      <c r="G163" s="4">
        <f>SUM($B163:$F163)</f>
        <v>0</v>
      </c>
      <c r="H163" s="17"/>
      <c r="I163" s="4">
        <f>$I162+$G163-$H163</f>
        <v>349526.07999999996</v>
      </c>
      <c r="J163" s="32" t="str">
        <f>IF($A164&lt;&gt;$A163,$I163,"")</f>
        <v/>
      </c>
      <c r="K163" s="79"/>
      <c r="L163" s="79"/>
      <c r="M163" s="2"/>
      <c r="N163" s="5"/>
      <c r="O163" s="3"/>
      <c r="P163" s="6"/>
      <c r="Q163" s="6" t="str">
        <f>IFERROR(SEARCH("ЗП",#REF!,1),"")</f>
        <v/>
      </c>
    </row>
    <row r="164" spans="1:17" ht="15" customHeight="1" x14ac:dyDescent="0.25">
      <c r="A164" s="1"/>
      <c r="B164" s="17"/>
      <c r="C164" s="17"/>
      <c r="D164" s="17"/>
      <c r="E164" s="17"/>
      <c r="F164" s="17"/>
      <c r="G164" s="4">
        <f>SUM($B164:$F164)</f>
        <v>0</v>
      </c>
      <c r="H164" s="17"/>
      <c r="I164" s="4">
        <f>$I163+$G164-$H164</f>
        <v>349526.07999999996</v>
      </c>
      <c r="J164" s="32" t="str">
        <f>IF($A165&lt;&gt;$A164,$I164,"")</f>
        <v/>
      </c>
      <c r="K164" s="79"/>
      <c r="L164" s="79"/>
      <c r="M164" s="2"/>
      <c r="N164" s="5"/>
      <c r="O164" s="3"/>
      <c r="P164" s="6"/>
      <c r="Q164" s="6" t="str">
        <f>IFERROR(SEARCH("ЗП",#REF!,1),"")</f>
        <v/>
      </c>
    </row>
    <row r="165" spans="1:17" ht="15" customHeight="1" x14ac:dyDescent="0.25">
      <c r="A165" s="1"/>
      <c r="B165" s="17"/>
      <c r="C165" s="17"/>
      <c r="D165" s="17"/>
      <c r="E165" s="17"/>
      <c r="F165" s="17"/>
      <c r="G165" s="4">
        <f>SUM($B165:$F165)</f>
        <v>0</v>
      </c>
      <c r="H165" s="17"/>
      <c r="I165" s="4">
        <f>$I164+$G165-$H165</f>
        <v>349526.07999999996</v>
      </c>
      <c r="J165" s="32" t="str">
        <f>IF($A166&lt;&gt;$A165,$I165,"")</f>
        <v/>
      </c>
      <c r="K165" s="79"/>
      <c r="L165" s="79"/>
      <c r="M165" s="2"/>
      <c r="N165" s="5"/>
      <c r="O165" s="3"/>
      <c r="P165" s="6"/>
      <c r="Q165" s="6" t="str">
        <f>IFERROR(SEARCH("ЗП",#REF!,1),"")</f>
        <v/>
      </c>
    </row>
    <row r="166" spans="1:17" ht="15" customHeight="1" x14ac:dyDescent="0.25">
      <c r="A166" s="1"/>
      <c r="B166" s="17"/>
      <c r="C166" s="17"/>
      <c r="D166" s="17"/>
      <c r="E166" s="17"/>
      <c r="F166" s="17"/>
      <c r="G166" s="4">
        <f>SUM($B166:$F166)</f>
        <v>0</v>
      </c>
      <c r="H166" s="17"/>
      <c r="I166" s="4">
        <f>$I165+$G166-$H166</f>
        <v>349526.07999999996</v>
      </c>
      <c r="J166" s="32" t="str">
        <f>IF($A167&lt;&gt;$A166,$I166,"")</f>
        <v/>
      </c>
      <c r="K166" s="79"/>
      <c r="L166" s="79"/>
      <c r="M166" s="2"/>
      <c r="N166" s="5"/>
      <c r="O166" s="3"/>
      <c r="P166" s="6"/>
      <c r="Q166" s="6" t="str">
        <f>IFERROR(SEARCH("ЗП",#REF!,1),"")</f>
        <v/>
      </c>
    </row>
    <row r="167" spans="1:17" ht="15" customHeight="1" x14ac:dyDescent="0.25">
      <c r="A167" s="1"/>
      <c r="B167" s="17"/>
      <c r="C167" s="17"/>
      <c r="D167" s="17"/>
      <c r="E167" s="17"/>
      <c r="F167" s="17"/>
      <c r="G167" s="4">
        <f>SUM($B167:$F167)</f>
        <v>0</v>
      </c>
      <c r="H167" s="17"/>
      <c r="I167" s="4">
        <f>$I166+$G167-$H167</f>
        <v>349526.07999999996</v>
      </c>
      <c r="J167" s="32" t="str">
        <f>IF($A168&lt;&gt;$A167,$I167,"")</f>
        <v/>
      </c>
      <c r="K167" s="79"/>
      <c r="L167" s="79"/>
      <c r="M167" s="2"/>
      <c r="N167" s="5"/>
      <c r="O167" s="3"/>
      <c r="P167" s="6"/>
      <c r="Q167" s="6" t="str">
        <f>IFERROR(SEARCH("ЗП",#REF!,1),"")</f>
        <v/>
      </c>
    </row>
    <row r="168" spans="1:17" ht="15" customHeight="1" x14ac:dyDescent="0.25">
      <c r="A168" s="1"/>
      <c r="B168" s="17"/>
      <c r="C168" s="17"/>
      <c r="D168" s="17"/>
      <c r="E168" s="17"/>
      <c r="F168" s="17"/>
      <c r="G168" s="4">
        <f>SUM($B168:$F168)</f>
        <v>0</v>
      </c>
      <c r="H168" s="17"/>
      <c r="I168" s="4">
        <f>$I167+$G168-$H168</f>
        <v>349526.07999999996</v>
      </c>
      <c r="J168" s="32" t="str">
        <f>IF($A169&lt;&gt;$A168,$I168,"")</f>
        <v/>
      </c>
      <c r="K168" s="79"/>
      <c r="L168" s="79"/>
      <c r="M168" s="2"/>
      <c r="N168" s="5"/>
      <c r="O168" s="3"/>
      <c r="P168" s="6"/>
      <c r="Q168" s="6" t="str">
        <f>IFERROR(SEARCH("ЗП",#REF!,1),"")</f>
        <v/>
      </c>
    </row>
    <row r="169" spans="1:17" ht="15" customHeight="1" x14ac:dyDescent="0.25">
      <c r="A169" s="1"/>
      <c r="B169" s="17"/>
      <c r="C169" s="17"/>
      <c r="D169" s="17"/>
      <c r="E169" s="17"/>
      <c r="F169" s="17"/>
      <c r="G169" s="4">
        <f>SUM($B169:$F169)</f>
        <v>0</v>
      </c>
      <c r="H169" s="17"/>
      <c r="I169" s="4">
        <f>$I168+$G169-$H169</f>
        <v>349526.07999999996</v>
      </c>
      <c r="J169" s="32" t="str">
        <f>IF($A170&lt;&gt;$A169,$I169,"")</f>
        <v/>
      </c>
      <c r="K169" s="79"/>
      <c r="L169" s="79"/>
      <c r="M169" s="2"/>
      <c r="N169" s="5"/>
      <c r="O169" s="3"/>
      <c r="P169" s="6"/>
      <c r="Q169" s="6" t="str">
        <f>IFERROR(SEARCH("ЗП",#REF!,1),"")</f>
        <v/>
      </c>
    </row>
    <row r="170" spans="1:17" ht="15" customHeight="1" x14ac:dyDescent="0.25">
      <c r="A170" s="1"/>
      <c r="B170" s="17"/>
      <c r="C170" s="17"/>
      <c r="D170" s="17"/>
      <c r="E170" s="17"/>
      <c r="F170" s="17"/>
      <c r="G170" s="4">
        <f>SUM($B170:$F170)</f>
        <v>0</v>
      </c>
      <c r="H170" s="17"/>
      <c r="I170" s="4">
        <f>$I169+$G170-$H170</f>
        <v>349526.07999999996</v>
      </c>
      <c r="J170" s="32" t="str">
        <f>IF($A171&lt;&gt;$A170,$I170,"")</f>
        <v/>
      </c>
      <c r="K170" s="79"/>
      <c r="L170" s="79"/>
      <c r="M170" s="2"/>
      <c r="N170" s="5"/>
      <c r="O170" s="3"/>
      <c r="P170" s="6"/>
      <c r="Q170" s="6" t="str">
        <f>IFERROR(SEARCH("ЗП",#REF!,1),"")</f>
        <v/>
      </c>
    </row>
    <row r="171" spans="1:17" ht="15" customHeight="1" x14ac:dyDescent="0.25">
      <c r="A171" s="1"/>
      <c r="B171" s="17"/>
      <c r="C171" s="17"/>
      <c r="D171" s="17"/>
      <c r="E171" s="17"/>
      <c r="F171" s="17"/>
      <c r="G171" s="4">
        <f>SUM($B171:$F171)</f>
        <v>0</v>
      </c>
      <c r="H171" s="17"/>
      <c r="I171" s="4">
        <f>$I170+$G171-$H171</f>
        <v>349526.07999999996</v>
      </c>
      <c r="J171" s="32" t="str">
        <f>IF($A172&lt;&gt;$A171,$I171,"")</f>
        <v/>
      </c>
      <c r="K171" s="79"/>
      <c r="L171" s="79"/>
      <c r="M171" s="2"/>
      <c r="N171" s="5"/>
      <c r="O171" s="3"/>
      <c r="P171" s="6"/>
      <c r="Q171" s="6" t="str">
        <f>IFERROR(SEARCH("ЗП",#REF!,1),"")</f>
        <v/>
      </c>
    </row>
    <row r="172" spans="1:17" ht="15" customHeight="1" x14ac:dyDescent="0.25">
      <c r="A172" s="1"/>
      <c r="B172" s="17"/>
      <c r="C172" s="17"/>
      <c r="D172" s="17"/>
      <c r="E172" s="17"/>
      <c r="F172" s="17"/>
      <c r="G172" s="4">
        <f>SUM($B172:$F172)</f>
        <v>0</v>
      </c>
      <c r="H172" s="17"/>
      <c r="I172" s="4">
        <f>$I171+$G172-$H172</f>
        <v>349526.07999999996</v>
      </c>
      <c r="J172" s="32" t="str">
        <f>IF($A173&lt;&gt;$A172,$I172,"")</f>
        <v/>
      </c>
      <c r="K172" s="79"/>
      <c r="L172" s="79"/>
      <c r="M172" s="2"/>
      <c r="N172" s="5"/>
      <c r="O172" s="3"/>
      <c r="P172" s="6"/>
      <c r="Q172" s="6" t="str">
        <f>IFERROR(SEARCH("ЗП",#REF!,1),"")</f>
        <v/>
      </c>
    </row>
    <row r="173" spans="1:17" ht="15" customHeight="1" x14ac:dyDescent="0.25">
      <c r="A173" s="1"/>
      <c r="B173" s="17"/>
      <c r="C173" s="17"/>
      <c r="D173" s="17"/>
      <c r="E173" s="17"/>
      <c r="F173" s="17"/>
      <c r="G173" s="4">
        <f>SUM($B173:$F173)</f>
        <v>0</v>
      </c>
      <c r="H173" s="17"/>
      <c r="I173" s="4">
        <f>$I172+$G173-$H173</f>
        <v>349526.07999999996</v>
      </c>
      <c r="J173" s="32" t="str">
        <f>IF($A174&lt;&gt;$A173,$I173,"")</f>
        <v/>
      </c>
      <c r="K173" s="79"/>
      <c r="L173" s="79"/>
      <c r="M173" s="2"/>
      <c r="N173" s="5"/>
      <c r="O173" s="3"/>
      <c r="P173" s="6"/>
      <c r="Q173" s="6" t="str">
        <f>IFERROR(SEARCH("ЗП",#REF!,1),"")</f>
        <v/>
      </c>
    </row>
    <row r="174" spans="1:17" ht="15" customHeight="1" x14ac:dyDescent="0.25">
      <c r="A174" s="1"/>
      <c r="B174" s="17"/>
      <c r="C174" s="17"/>
      <c r="D174" s="17"/>
      <c r="E174" s="17"/>
      <c r="F174" s="17"/>
      <c r="G174" s="4">
        <f>SUM($B174:$F174)</f>
        <v>0</v>
      </c>
      <c r="H174" s="17"/>
      <c r="I174" s="4">
        <f>$I173+$G174-$H174</f>
        <v>349526.07999999996</v>
      </c>
      <c r="J174" s="32" t="str">
        <f>IF($A175&lt;&gt;$A174,$I174,"")</f>
        <v/>
      </c>
      <c r="K174" s="79"/>
      <c r="L174" s="79"/>
      <c r="M174" s="2"/>
      <c r="N174" s="5"/>
      <c r="O174" s="3"/>
      <c r="P174" s="6"/>
      <c r="Q174" s="6" t="str">
        <f>IFERROR(SEARCH("ЗП",#REF!,1),"")</f>
        <v/>
      </c>
    </row>
    <row r="175" spans="1:17" ht="15" customHeight="1" x14ac:dyDescent="0.25">
      <c r="A175" s="1"/>
      <c r="B175" s="17"/>
      <c r="C175" s="17"/>
      <c r="D175" s="17"/>
      <c r="E175" s="17"/>
      <c r="F175" s="17"/>
      <c r="G175" s="4">
        <f>SUM($B175:$F175)</f>
        <v>0</v>
      </c>
      <c r="H175" s="17"/>
      <c r="I175" s="4">
        <f>$I174+$G175-$H175</f>
        <v>349526.07999999996</v>
      </c>
      <c r="J175" s="32" t="str">
        <f>IF($A176&lt;&gt;$A175,$I175,"")</f>
        <v/>
      </c>
      <c r="K175" s="79"/>
      <c r="L175" s="79"/>
      <c r="M175" s="2"/>
      <c r="N175" s="5"/>
      <c r="O175" s="3"/>
      <c r="P175" s="6"/>
      <c r="Q175" s="6" t="str">
        <f>IFERROR(SEARCH("ЗП",#REF!,1),"")</f>
        <v/>
      </c>
    </row>
    <row r="176" spans="1:17" ht="15" customHeight="1" x14ac:dyDescent="0.25">
      <c r="A176" s="1"/>
      <c r="B176" s="17"/>
      <c r="C176" s="17"/>
      <c r="D176" s="17"/>
      <c r="E176" s="17"/>
      <c r="F176" s="17"/>
      <c r="G176" s="4">
        <f>SUM($B176:$F176)</f>
        <v>0</v>
      </c>
      <c r="H176" s="17"/>
      <c r="I176" s="4">
        <f>$I175+$G176-$H176</f>
        <v>349526.07999999996</v>
      </c>
      <c r="J176" s="32" t="str">
        <f>IF($A177&lt;&gt;$A176,$I176,"")</f>
        <v/>
      </c>
      <c r="K176" s="79"/>
      <c r="L176" s="79"/>
      <c r="M176" s="2"/>
      <c r="N176" s="5"/>
      <c r="O176" s="3"/>
      <c r="P176" s="6"/>
      <c r="Q176" s="6" t="str">
        <f>IFERROR(SEARCH("ЗП",#REF!,1),"")</f>
        <v/>
      </c>
    </row>
    <row r="177" spans="1:17" ht="15" customHeight="1" x14ac:dyDescent="0.25">
      <c r="A177" s="1"/>
      <c r="B177" s="17"/>
      <c r="C177" s="17"/>
      <c r="D177" s="17"/>
      <c r="E177" s="17"/>
      <c r="F177" s="17"/>
      <c r="G177" s="4">
        <f>SUM($B177:$F177)</f>
        <v>0</v>
      </c>
      <c r="H177" s="17"/>
      <c r="I177" s="4">
        <f>$I176+$G177-$H177</f>
        <v>349526.07999999996</v>
      </c>
      <c r="J177" s="32" t="str">
        <f>IF($A178&lt;&gt;$A177,$I177,"")</f>
        <v/>
      </c>
      <c r="K177" s="79"/>
      <c r="L177" s="79"/>
      <c r="M177" s="2"/>
      <c r="N177" s="5"/>
      <c r="O177" s="3"/>
      <c r="P177" s="6"/>
      <c r="Q177" s="6" t="str">
        <f>IFERROR(SEARCH("ЗП",#REF!,1),"")</f>
        <v/>
      </c>
    </row>
    <row r="178" spans="1:17" ht="15" customHeight="1" x14ac:dyDescent="0.25">
      <c r="A178" s="1"/>
      <c r="B178" s="17"/>
      <c r="C178" s="17"/>
      <c r="D178" s="17"/>
      <c r="E178" s="17"/>
      <c r="F178" s="17"/>
      <c r="G178" s="4">
        <f>SUM($B178:$F178)</f>
        <v>0</v>
      </c>
      <c r="H178" s="17"/>
      <c r="I178" s="4">
        <f>$I177+$G178-$H178</f>
        <v>349526.07999999996</v>
      </c>
      <c r="J178" s="32" t="str">
        <f>IF($A179&lt;&gt;$A178,$I178,"")</f>
        <v/>
      </c>
      <c r="K178" s="79"/>
      <c r="L178" s="79"/>
      <c r="M178" s="2"/>
      <c r="N178" s="5"/>
      <c r="O178" s="3"/>
      <c r="P178" s="6"/>
      <c r="Q178" s="6" t="str">
        <f>IFERROR(SEARCH("ЗП",#REF!,1),"")</f>
        <v/>
      </c>
    </row>
    <row r="179" spans="1:17" ht="15" customHeight="1" x14ac:dyDescent="0.25">
      <c r="A179" s="1"/>
      <c r="B179" s="17"/>
      <c r="C179" s="17"/>
      <c r="D179" s="17"/>
      <c r="E179" s="17"/>
      <c r="F179" s="17"/>
      <c r="G179" s="4">
        <f>SUM($B179:$F179)</f>
        <v>0</v>
      </c>
      <c r="H179" s="17"/>
      <c r="I179" s="4">
        <f>$I178+$G179-$H179</f>
        <v>349526.07999999996</v>
      </c>
      <c r="J179" s="32" t="str">
        <f>IF($A180&lt;&gt;$A179,$I179,"")</f>
        <v/>
      </c>
      <c r="K179" s="79"/>
      <c r="L179" s="79"/>
      <c r="M179" s="2"/>
      <c r="N179" s="5"/>
      <c r="O179" s="3"/>
      <c r="P179" s="6"/>
      <c r="Q179" s="6" t="str">
        <f>IFERROR(SEARCH("ЗП",#REF!,1),"")</f>
        <v/>
      </c>
    </row>
    <row r="180" spans="1:17" ht="15" customHeight="1" x14ac:dyDescent="0.25">
      <c r="A180" s="1"/>
      <c r="B180" s="17"/>
      <c r="C180" s="17"/>
      <c r="D180" s="17"/>
      <c r="E180" s="17"/>
      <c r="F180" s="17"/>
      <c r="G180" s="4">
        <f>SUM($B180:$F180)</f>
        <v>0</v>
      </c>
      <c r="H180" s="17"/>
      <c r="I180" s="4">
        <f>$I179+$G180-$H180</f>
        <v>349526.07999999996</v>
      </c>
      <c r="J180" s="32" t="str">
        <f>IF($A181&lt;&gt;$A180,$I180,"")</f>
        <v/>
      </c>
      <c r="K180" s="79"/>
      <c r="L180" s="79"/>
      <c r="M180" s="2"/>
      <c r="N180" s="5"/>
      <c r="O180" s="3"/>
      <c r="P180" s="6"/>
      <c r="Q180" s="6" t="str">
        <f>IFERROR(SEARCH("ЗП",#REF!,1),"")</f>
        <v/>
      </c>
    </row>
    <row r="181" spans="1:17" ht="15" customHeight="1" x14ac:dyDescent="0.25">
      <c r="A181" s="1"/>
      <c r="B181" s="17"/>
      <c r="C181" s="17"/>
      <c r="D181" s="17"/>
      <c r="E181" s="17"/>
      <c r="F181" s="17"/>
      <c r="G181" s="4">
        <f>SUM($B181:$F181)</f>
        <v>0</v>
      </c>
      <c r="H181" s="17"/>
      <c r="I181" s="4">
        <f>$I180+$G181-$H181</f>
        <v>349526.07999999996</v>
      </c>
      <c r="J181" s="32" t="str">
        <f>IF($A182&lt;&gt;$A181,$I181,"")</f>
        <v/>
      </c>
      <c r="K181" s="79"/>
      <c r="L181" s="79"/>
      <c r="M181" s="2"/>
      <c r="N181" s="5"/>
      <c r="O181" s="3"/>
      <c r="P181" s="6"/>
      <c r="Q181" s="6" t="str">
        <f>IFERROR(SEARCH("ЗП",#REF!,1),"")</f>
        <v/>
      </c>
    </row>
    <row r="182" spans="1:17" ht="15" customHeight="1" x14ac:dyDescent="0.25">
      <c r="A182" s="1"/>
      <c r="B182" s="17"/>
      <c r="C182" s="17"/>
      <c r="D182" s="17"/>
      <c r="E182" s="17"/>
      <c r="F182" s="17"/>
      <c r="G182" s="4">
        <f>SUM($B182:$F182)</f>
        <v>0</v>
      </c>
      <c r="H182" s="17"/>
      <c r="I182" s="4">
        <f>$I181+$G182-$H182</f>
        <v>349526.07999999996</v>
      </c>
      <c r="J182" s="32" t="str">
        <f>IF($A183&lt;&gt;$A182,$I182,"")</f>
        <v/>
      </c>
      <c r="K182" s="79"/>
      <c r="L182" s="79"/>
      <c r="M182" s="2"/>
      <c r="N182" s="5"/>
      <c r="O182" s="3"/>
      <c r="P182" s="6"/>
      <c r="Q182" s="6" t="str">
        <f>IFERROR(SEARCH("ЗП",#REF!,1),"")</f>
        <v/>
      </c>
    </row>
    <row r="183" spans="1:17" ht="15" customHeight="1" x14ac:dyDescent="0.25">
      <c r="A183" s="1"/>
      <c r="B183" s="17"/>
      <c r="C183" s="17"/>
      <c r="D183" s="17"/>
      <c r="E183" s="17"/>
      <c r="F183" s="17"/>
      <c r="G183" s="4">
        <f>SUM($B183:$F183)</f>
        <v>0</v>
      </c>
      <c r="H183" s="17"/>
      <c r="I183" s="4">
        <f>$I182+$G183-$H183</f>
        <v>349526.07999999996</v>
      </c>
      <c r="J183" s="32" t="str">
        <f>IF($A184&lt;&gt;$A183,$I183,"")</f>
        <v/>
      </c>
      <c r="K183" s="79"/>
      <c r="L183" s="79"/>
      <c r="M183" s="2"/>
      <c r="N183" s="5"/>
      <c r="O183" s="3"/>
      <c r="P183" s="6"/>
      <c r="Q183" s="6" t="str">
        <f>IFERROR(SEARCH("ЗП",#REF!,1),"")</f>
        <v/>
      </c>
    </row>
    <row r="184" spans="1:17" ht="15" customHeight="1" x14ac:dyDescent="0.25">
      <c r="A184" s="1"/>
      <c r="B184" s="17"/>
      <c r="C184" s="17"/>
      <c r="D184" s="17"/>
      <c r="E184" s="17"/>
      <c r="F184" s="17"/>
      <c r="G184" s="4">
        <f>SUM($B184:$F184)</f>
        <v>0</v>
      </c>
      <c r="H184" s="17"/>
      <c r="I184" s="4">
        <f>$I183+$G184-$H184</f>
        <v>349526.07999999996</v>
      </c>
      <c r="J184" s="32" t="str">
        <f>IF($A185&lt;&gt;$A184,$I184,"")</f>
        <v/>
      </c>
      <c r="K184" s="79"/>
      <c r="L184" s="79"/>
      <c r="M184" s="2"/>
      <c r="N184" s="5"/>
      <c r="O184" s="3"/>
      <c r="P184" s="6"/>
      <c r="Q184" s="6" t="str">
        <f>IFERROR(SEARCH("ЗП",#REF!,1),"")</f>
        <v/>
      </c>
    </row>
    <row r="185" spans="1:17" ht="15" customHeight="1" x14ac:dyDescent="0.25">
      <c r="A185" s="1"/>
      <c r="B185" s="17"/>
      <c r="C185" s="17"/>
      <c r="D185" s="17"/>
      <c r="E185" s="17"/>
      <c r="F185" s="17"/>
      <c r="G185" s="4">
        <f>SUM($B185:$F185)</f>
        <v>0</v>
      </c>
      <c r="H185" s="17"/>
      <c r="I185" s="4">
        <f>$I184+$G185-$H185</f>
        <v>349526.07999999996</v>
      </c>
      <c r="J185" s="32" t="str">
        <f>IF($A186&lt;&gt;$A185,$I185,"")</f>
        <v/>
      </c>
      <c r="K185" s="79"/>
      <c r="L185" s="79"/>
      <c r="M185" s="2"/>
      <c r="N185" s="5"/>
      <c r="O185" s="3"/>
      <c r="P185" s="6"/>
      <c r="Q185" s="6" t="str">
        <f>IFERROR(SEARCH("ЗП",#REF!,1),"")</f>
        <v/>
      </c>
    </row>
    <row r="186" spans="1:17" ht="15" customHeight="1" x14ac:dyDescent="0.25">
      <c r="A186" s="1"/>
      <c r="B186" s="17"/>
      <c r="C186" s="17"/>
      <c r="D186" s="17"/>
      <c r="E186" s="17"/>
      <c r="F186" s="17"/>
      <c r="G186" s="4">
        <f>SUM($B186:$F186)</f>
        <v>0</v>
      </c>
      <c r="H186" s="17"/>
      <c r="I186" s="4">
        <f>$I185+$G186-$H186</f>
        <v>349526.07999999996</v>
      </c>
      <c r="J186" s="32" t="str">
        <f>IF($A187&lt;&gt;$A186,$I186,"")</f>
        <v/>
      </c>
      <c r="K186" s="79"/>
      <c r="L186" s="79"/>
      <c r="M186" s="2"/>
      <c r="N186" s="5"/>
      <c r="O186" s="3"/>
      <c r="P186" s="6"/>
      <c r="Q186" s="6" t="str">
        <f>IFERROR(SEARCH("ЗП",#REF!,1),"")</f>
        <v/>
      </c>
    </row>
    <row r="187" spans="1:17" ht="15" customHeight="1" x14ac:dyDescent="0.25">
      <c r="A187" s="1"/>
      <c r="B187" s="17"/>
      <c r="C187" s="17"/>
      <c r="D187" s="17"/>
      <c r="E187" s="17"/>
      <c r="F187" s="17"/>
      <c r="G187" s="4">
        <f>SUM($B187:$F187)</f>
        <v>0</v>
      </c>
      <c r="H187" s="17"/>
      <c r="I187" s="4">
        <f>$I186+$G187-$H187</f>
        <v>349526.07999999996</v>
      </c>
      <c r="J187" s="32" t="str">
        <f>IF($A188&lt;&gt;$A187,$I187,"")</f>
        <v/>
      </c>
      <c r="K187" s="79"/>
      <c r="L187" s="79"/>
      <c r="M187" s="2"/>
      <c r="N187" s="5"/>
      <c r="O187" s="3"/>
      <c r="P187" s="6"/>
      <c r="Q187" s="6" t="str">
        <f>IFERROR(SEARCH("ЗП",#REF!,1),"")</f>
        <v/>
      </c>
    </row>
    <row r="188" spans="1:17" ht="15" customHeight="1" x14ac:dyDescent="0.25">
      <c r="A188" s="1"/>
      <c r="B188" s="17"/>
      <c r="C188" s="17"/>
      <c r="D188" s="17"/>
      <c r="E188" s="17"/>
      <c r="F188" s="17"/>
      <c r="G188" s="4">
        <f>SUM($B188:$F188)</f>
        <v>0</v>
      </c>
      <c r="H188" s="17"/>
      <c r="I188" s="4">
        <f>$I187+$G188-$H188</f>
        <v>349526.07999999996</v>
      </c>
      <c r="J188" s="32" t="str">
        <f>IF($A189&lt;&gt;$A188,$I188,"")</f>
        <v/>
      </c>
      <c r="K188" s="79"/>
      <c r="L188" s="79"/>
      <c r="M188" s="2"/>
      <c r="N188" s="5"/>
      <c r="O188" s="3"/>
      <c r="P188" s="6"/>
      <c r="Q188" s="6" t="str">
        <f>IFERROR(SEARCH("ЗП",#REF!,1),"")</f>
        <v/>
      </c>
    </row>
    <row r="189" spans="1:17" ht="15" customHeight="1" x14ac:dyDescent="0.25">
      <c r="A189" s="1"/>
      <c r="B189" s="17"/>
      <c r="C189" s="17"/>
      <c r="D189" s="17"/>
      <c r="E189" s="17"/>
      <c r="F189" s="17"/>
      <c r="G189" s="4">
        <f>SUM($B189:$F189)</f>
        <v>0</v>
      </c>
      <c r="H189" s="17"/>
      <c r="I189" s="4">
        <f>$I188+$G189-$H189</f>
        <v>349526.07999999996</v>
      </c>
      <c r="J189" s="32" t="str">
        <f>IF($A190&lt;&gt;$A189,$I189,"")</f>
        <v/>
      </c>
      <c r="K189" s="79"/>
      <c r="L189" s="79"/>
      <c r="M189" s="2"/>
      <c r="N189" s="5"/>
      <c r="O189" s="3"/>
      <c r="P189" s="6"/>
      <c r="Q189" s="6" t="str">
        <f>IFERROR(SEARCH("ЗП",#REF!,1),"")</f>
        <v/>
      </c>
    </row>
    <row r="190" spans="1:17" ht="15" customHeight="1" x14ac:dyDescent="0.25">
      <c r="A190" s="1"/>
      <c r="B190" s="17"/>
      <c r="C190" s="17"/>
      <c r="D190" s="17"/>
      <c r="E190" s="17"/>
      <c r="F190" s="17"/>
      <c r="G190" s="4">
        <f>SUM($B190:$F190)</f>
        <v>0</v>
      </c>
      <c r="H190" s="17"/>
      <c r="I190" s="4">
        <f>$I189+$G190-$H190</f>
        <v>349526.07999999996</v>
      </c>
      <c r="J190" s="32" t="str">
        <f>IF($A191&lt;&gt;$A190,$I190,"")</f>
        <v/>
      </c>
      <c r="K190" s="79"/>
      <c r="L190" s="79"/>
      <c r="M190" s="2"/>
      <c r="N190" s="5"/>
      <c r="O190" s="3"/>
      <c r="P190" s="6"/>
      <c r="Q190" s="6" t="str">
        <f>IFERROR(SEARCH("ЗП",#REF!,1),"")</f>
        <v/>
      </c>
    </row>
    <row r="191" spans="1:17" ht="15" customHeight="1" x14ac:dyDescent="0.25">
      <c r="A191" s="1"/>
      <c r="B191" s="17"/>
      <c r="C191" s="17"/>
      <c r="D191" s="17"/>
      <c r="E191" s="17"/>
      <c r="F191" s="17"/>
      <c r="G191" s="4">
        <f>SUM($B191:$F191)</f>
        <v>0</v>
      </c>
      <c r="H191" s="17"/>
      <c r="I191" s="4">
        <f>$I190+$G191-$H191</f>
        <v>349526.07999999996</v>
      </c>
      <c r="J191" s="32" t="str">
        <f>IF($A192&lt;&gt;$A191,$I191,"")</f>
        <v/>
      </c>
      <c r="K191" s="79"/>
      <c r="L191" s="79"/>
      <c r="M191" s="2"/>
      <c r="N191" s="5"/>
      <c r="O191" s="3"/>
      <c r="P191" s="6"/>
      <c r="Q191" s="6" t="str">
        <f>IFERROR(SEARCH("ЗП",#REF!,1),"")</f>
        <v/>
      </c>
    </row>
    <row r="192" spans="1:17" ht="15" customHeight="1" x14ac:dyDescent="0.25">
      <c r="A192" s="1"/>
      <c r="B192" s="17"/>
      <c r="C192" s="17"/>
      <c r="D192" s="17"/>
      <c r="E192" s="17"/>
      <c r="F192" s="17"/>
      <c r="G192" s="4">
        <f>SUM($B192:$F192)</f>
        <v>0</v>
      </c>
      <c r="H192" s="17"/>
      <c r="I192" s="4">
        <f>$I191+$G192-$H192</f>
        <v>349526.07999999996</v>
      </c>
      <c r="J192" s="32" t="str">
        <f>IF($A193&lt;&gt;$A192,$I192,"")</f>
        <v/>
      </c>
      <c r="K192" s="79"/>
      <c r="L192" s="79"/>
      <c r="M192" s="2"/>
      <c r="N192" s="5"/>
      <c r="O192" s="3"/>
      <c r="P192" s="6"/>
      <c r="Q192" s="6" t="str">
        <f>IFERROR(SEARCH("ЗП",#REF!,1),"")</f>
        <v/>
      </c>
    </row>
    <row r="193" spans="1:17" ht="15" customHeight="1" x14ac:dyDescent="0.25">
      <c r="A193" s="1"/>
      <c r="B193" s="17"/>
      <c r="C193" s="17"/>
      <c r="D193" s="17"/>
      <c r="E193" s="17"/>
      <c r="F193" s="17"/>
      <c r="G193" s="4">
        <f>SUM($B193:$F193)</f>
        <v>0</v>
      </c>
      <c r="H193" s="17"/>
      <c r="I193" s="4">
        <f>$I192+$G193-$H193</f>
        <v>349526.07999999996</v>
      </c>
      <c r="J193" s="32" t="str">
        <f>IF($A194&lt;&gt;$A193,$I193,"")</f>
        <v/>
      </c>
      <c r="K193" s="79"/>
      <c r="L193" s="79"/>
      <c r="M193" s="2"/>
      <c r="N193" s="5"/>
      <c r="O193" s="3"/>
      <c r="P193" s="6"/>
      <c r="Q193" s="6" t="str">
        <f>IFERROR(SEARCH("ЗП",#REF!,1),"")</f>
        <v/>
      </c>
    </row>
    <row r="194" spans="1:17" ht="15" customHeight="1" x14ac:dyDescent="0.25">
      <c r="A194" s="1"/>
      <c r="B194" s="17"/>
      <c r="C194" s="17"/>
      <c r="D194" s="17"/>
      <c r="E194" s="17"/>
      <c r="F194" s="17"/>
      <c r="G194" s="4">
        <f>SUM($B194:$F194)</f>
        <v>0</v>
      </c>
      <c r="H194" s="17"/>
      <c r="I194" s="4">
        <f>$I193+$G194-$H194</f>
        <v>349526.07999999996</v>
      </c>
      <c r="J194" s="32" t="str">
        <f>IF($A195&lt;&gt;$A194,$I194,"")</f>
        <v/>
      </c>
      <c r="K194" s="79"/>
      <c r="L194" s="79"/>
      <c r="M194" s="2"/>
      <c r="N194" s="5"/>
      <c r="O194" s="3"/>
      <c r="P194" s="6"/>
      <c r="Q194" s="6" t="str">
        <f>IFERROR(SEARCH("ЗП",#REF!,1),"")</f>
        <v/>
      </c>
    </row>
    <row r="195" spans="1:17" ht="15" customHeight="1" x14ac:dyDescent="0.25">
      <c r="A195" s="1"/>
      <c r="B195" s="17"/>
      <c r="C195" s="17"/>
      <c r="D195" s="17"/>
      <c r="E195" s="17"/>
      <c r="F195" s="17"/>
      <c r="G195" s="4">
        <f>SUM($B195:$F195)</f>
        <v>0</v>
      </c>
      <c r="H195" s="17"/>
      <c r="I195" s="4">
        <f>$I194+$G195-$H195</f>
        <v>349526.07999999996</v>
      </c>
      <c r="J195" s="32" t="str">
        <f>IF($A196&lt;&gt;$A195,$I195,"")</f>
        <v/>
      </c>
      <c r="K195" s="79"/>
      <c r="L195" s="79"/>
      <c r="M195" s="2"/>
      <c r="N195" s="5"/>
      <c r="O195" s="3"/>
      <c r="P195" s="6"/>
      <c r="Q195" s="6" t="str">
        <f>IFERROR(SEARCH("ЗП",#REF!,1),"")</f>
        <v/>
      </c>
    </row>
    <row r="196" spans="1:17" ht="15" customHeight="1" x14ac:dyDescent="0.25">
      <c r="A196" s="1"/>
      <c r="B196" s="17"/>
      <c r="C196" s="17"/>
      <c r="D196" s="17"/>
      <c r="E196" s="17"/>
      <c r="F196" s="17"/>
      <c r="G196" s="4">
        <f>SUM($B196:$F196)</f>
        <v>0</v>
      </c>
      <c r="H196" s="17"/>
      <c r="I196" s="4">
        <f>$I195+$G196-$H196</f>
        <v>349526.07999999996</v>
      </c>
      <c r="J196" s="32" t="str">
        <f>IF($A197&lt;&gt;$A196,$I196,"")</f>
        <v/>
      </c>
      <c r="K196" s="79"/>
      <c r="L196" s="79"/>
      <c r="M196" s="2"/>
      <c r="N196" s="5"/>
      <c r="O196" s="3"/>
      <c r="P196" s="6"/>
      <c r="Q196" s="6" t="str">
        <f>IFERROR(SEARCH("ЗП",#REF!,1),"")</f>
        <v/>
      </c>
    </row>
    <row r="197" spans="1:17" ht="15" customHeight="1" x14ac:dyDescent="0.25">
      <c r="A197" s="1"/>
      <c r="B197" s="17"/>
      <c r="C197" s="17"/>
      <c r="D197" s="17"/>
      <c r="E197" s="17"/>
      <c r="F197" s="17"/>
      <c r="G197" s="4">
        <f>SUM($B197:$F197)</f>
        <v>0</v>
      </c>
      <c r="H197" s="17"/>
      <c r="I197" s="4">
        <f>$I196+$G197-$H197</f>
        <v>349526.07999999996</v>
      </c>
      <c r="J197" s="32" t="str">
        <f>IF($A198&lt;&gt;$A197,$I197,"")</f>
        <v/>
      </c>
      <c r="K197" s="79"/>
      <c r="L197" s="79"/>
      <c r="M197" s="2"/>
      <c r="N197" s="5"/>
      <c r="O197" s="3"/>
      <c r="P197" s="6"/>
      <c r="Q197" s="6" t="str">
        <f>IFERROR(SEARCH("ЗП",#REF!,1),"")</f>
        <v/>
      </c>
    </row>
    <row r="198" spans="1:17" ht="15" customHeight="1" x14ac:dyDescent="0.25">
      <c r="A198" s="1"/>
      <c r="B198" s="17"/>
      <c r="C198" s="17"/>
      <c r="D198" s="17"/>
      <c r="E198" s="17"/>
      <c r="F198" s="17"/>
      <c r="G198" s="4">
        <f>SUM($B198:$F198)</f>
        <v>0</v>
      </c>
      <c r="H198" s="17"/>
      <c r="I198" s="4">
        <f>$I197+$G198-$H198</f>
        <v>349526.07999999996</v>
      </c>
      <c r="J198" s="32" t="str">
        <f>IF($A199&lt;&gt;$A198,$I198,"")</f>
        <v/>
      </c>
      <c r="K198" s="79"/>
      <c r="L198" s="79"/>
      <c r="M198" s="2"/>
      <c r="N198" s="5"/>
      <c r="O198" s="3"/>
      <c r="P198" s="6"/>
      <c r="Q198" s="6" t="str">
        <f>IFERROR(SEARCH("ЗП",#REF!,1),"")</f>
        <v/>
      </c>
    </row>
    <row r="199" spans="1:17" ht="15" customHeight="1" x14ac:dyDescent="0.25">
      <c r="A199" s="1"/>
      <c r="B199" s="17"/>
      <c r="C199" s="17"/>
      <c r="D199" s="17"/>
      <c r="E199" s="17"/>
      <c r="F199" s="17"/>
      <c r="G199" s="4">
        <f>SUM($B199:$F199)</f>
        <v>0</v>
      </c>
      <c r="H199" s="17"/>
      <c r="I199" s="4">
        <f>$I198+$G199-$H199</f>
        <v>349526.07999999996</v>
      </c>
      <c r="J199" s="32" t="str">
        <f>IF($A200&lt;&gt;$A199,$I199,"")</f>
        <v/>
      </c>
      <c r="K199" s="79"/>
      <c r="L199" s="79"/>
      <c r="M199" s="2"/>
      <c r="N199" s="5"/>
      <c r="O199" s="3"/>
      <c r="P199" s="6"/>
      <c r="Q199" s="6" t="str">
        <f>IFERROR(SEARCH("ЗП",#REF!,1),"")</f>
        <v/>
      </c>
    </row>
    <row r="200" spans="1:17" ht="15" customHeight="1" x14ac:dyDescent="0.25">
      <c r="A200" s="1"/>
      <c r="B200" s="17"/>
      <c r="C200" s="17"/>
      <c r="D200" s="17"/>
      <c r="E200" s="17"/>
      <c r="F200" s="17"/>
      <c r="G200" s="4">
        <f>SUM($B200:$F200)</f>
        <v>0</v>
      </c>
      <c r="H200" s="17"/>
      <c r="I200" s="4">
        <f>$I199+$G200-$H200</f>
        <v>349526.07999999996</v>
      </c>
      <c r="J200" s="32" t="str">
        <f>IF($A201&lt;&gt;$A200,$I200,"")</f>
        <v/>
      </c>
      <c r="K200" s="79"/>
      <c r="L200" s="79"/>
      <c r="M200" s="2"/>
      <c r="N200" s="5"/>
      <c r="O200" s="3"/>
      <c r="P200" s="6"/>
      <c r="Q200" s="6" t="str">
        <f>IFERROR(SEARCH("ЗП",#REF!,1),"")</f>
        <v/>
      </c>
    </row>
    <row r="201" spans="1:17" ht="15" customHeight="1" x14ac:dyDescent="0.25">
      <c r="A201" s="1"/>
      <c r="B201" s="17"/>
      <c r="C201" s="17"/>
      <c r="D201" s="17"/>
      <c r="E201" s="17"/>
      <c r="F201" s="17"/>
      <c r="G201" s="4">
        <f>SUM($B201:$F201)</f>
        <v>0</v>
      </c>
      <c r="H201" s="17"/>
      <c r="I201" s="4">
        <f>$I200+$G201-$H201</f>
        <v>349526.07999999996</v>
      </c>
      <c r="J201" s="32" t="str">
        <f>IF($A202&lt;&gt;$A201,$I201,"")</f>
        <v/>
      </c>
      <c r="K201" s="79"/>
      <c r="L201" s="79"/>
      <c r="M201" s="2"/>
      <c r="N201" s="5"/>
      <c r="O201" s="3"/>
      <c r="P201" s="6"/>
      <c r="Q201" s="6" t="str">
        <f>IFERROR(SEARCH("ЗП",#REF!,1),"")</f>
        <v/>
      </c>
    </row>
    <row r="202" spans="1:17" ht="15" customHeight="1" x14ac:dyDescent="0.25">
      <c r="A202" s="1"/>
      <c r="B202" s="17"/>
      <c r="C202" s="17"/>
      <c r="D202" s="17"/>
      <c r="E202" s="17"/>
      <c r="F202" s="17"/>
      <c r="G202" s="4">
        <f>SUM($B202:$F202)</f>
        <v>0</v>
      </c>
      <c r="H202" s="17"/>
      <c r="I202" s="4">
        <f>$I201+$G202-$H202</f>
        <v>349526.07999999996</v>
      </c>
      <c r="J202" s="32" t="str">
        <f>IF($A203&lt;&gt;$A202,$I202,"")</f>
        <v/>
      </c>
      <c r="K202" s="79"/>
      <c r="L202" s="79"/>
      <c r="M202" s="2"/>
      <c r="N202" s="5"/>
      <c r="O202" s="3"/>
      <c r="P202" s="6"/>
      <c r="Q202" s="6" t="str">
        <f>IFERROR(SEARCH("ЗП",#REF!,1),"")</f>
        <v/>
      </c>
    </row>
    <row r="203" spans="1:17" ht="15" customHeight="1" x14ac:dyDescent="0.25">
      <c r="A203" s="1"/>
      <c r="B203" s="17"/>
      <c r="C203" s="17"/>
      <c r="D203" s="17"/>
      <c r="E203" s="17"/>
      <c r="F203" s="17"/>
      <c r="G203" s="4">
        <f>SUM($B203:$F203)</f>
        <v>0</v>
      </c>
      <c r="H203" s="17"/>
      <c r="I203" s="4">
        <f>$I202+$G203-$H203</f>
        <v>349526.07999999996</v>
      </c>
      <c r="J203" s="32" t="str">
        <f>IF($A204&lt;&gt;$A203,$I203,"")</f>
        <v/>
      </c>
      <c r="K203" s="79"/>
      <c r="L203" s="79"/>
      <c r="M203" s="2"/>
      <c r="N203" s="5"/>
      <c r="O203" s="3"/>
      <c r="P203" s="6"/>
      <c r="Q203" s="6" t="str">
        <f>IFERROR(SEARCH("ЗП",#REF!,1),"")</f>
        <v/>
      </c>
    </row>
    <row r="204" spans="1:17" ht="15" customHeight="1" x14ac:dyDescent="0.25">
      <c r="A204" s="1"/>
      <c r="B204" s="17"/>
      <c r="C204" s="17"/>
      <c r="D204" s="17"/>
      <c r="E204" s="17"/>
      <c r="F204" s="17"/>
      <c r="G204" s="4">
        <f>SUM($B204:$F204)</f>
        <v>0</v>
      </c>
      <c r="H204" s="17"/>
      <c r="I204" s="4">
        <f>$I203+$G204-$H204</f>
        <v>349526.07999999996</v>
      </c>
      <c r="J204" s="32" t="str">
        <f>IF($A205&lt;&gt;$A204,$I204,"")</f>
        <v/>
      </c>
      <c r="K204" s="79"/>
      <c r="L204" s="79"/>
      <c r="M204" s="2"/>
      <c r="N204" s="5"/>
      <c r="O204" s="3"/>
      <c r="P204" s="6"/>
      <c r="Q204" s="6" t="str">
        <f>IFERROR(SEARCH("ЗП",#REF!,1),"")</f>
        <v/>
      </c>
    </row>
    <row r="205" spans="1:17" ht="15" customHeight="1" x14ac:dyDescent="0.25">
      <c r="A205" s="1"/>
      <c r="B205" s="17"/>
      <c r="C205" s="17"/>
      <c r="D205" s="17"/>
      <c r="E205" s="17"/>
      <c r="F205" s="17"/>
      <c r="G205" s="4">
        <f>SUM($B205:$F205)</f>
        <v>0</v>
      </c>
      <c r="H205" s="17"/>
      <c r="I205" s="4">
        <f>$I204+$G205-$H205</f>
        <v>349526.07999999996</v>
      </c>
      <c r="J205" s="32" t="str">
        <f>IF($A206&lt;&gt;$A205,$I205,"")</f>
        <v/>
      </c>
      <c r="K205" s="79"/>
      <c r="L205" s="79"/>
      <c r="M205" s="2"/>
      <c r="N205" s="5"/>
      <c r="O205" s="3"/>
      <c r="P205" s="6"/>
      <c r="Q205" s="6" t="str">
        <f>IFERROR(SEARCH("ЗП",#REF!,1),"")</f>
        <v/>
      </c>
    </row>
    <row r="206" spans="1:17" ht="15" customHeight="1" x14ac:dyDescent="0.25">
      <c r="A206" s="1"/>
      <c r="B206" s="17"/>
      <c r="C206" s="17"/>
      <c r="D206" s="17"/>
      <c r="E206" s="17"/>
      <c r="F206" s="17"/>
      <c r="G206" s="4">
        <f>SUM($B206:$F206)</f>
        <v>0</v>
      </c>
      <c r="H206" s="17"/>
      <c r="I206" s="4">
        <f>$I205+$G206-$H206</f>
        <v>349526.07999999996</v>
      </c>
      <c r="J206" s="32" t="str">
        <f>IF($A207&lt;&gt;$A206,$I206,"")</f>
        <v/>
      </c>
      <c r="K206" s="79"/>
      <c r="L206" s="79"/>
      <c r="M206" s="2"/>
      <c r="N206" s="5"/>
      <c r="O206" s="3"/>
      <c r="P206" s="6"/>
      <c r="Q206" s="6" t="str">
        <f>IFERROR(SEARCH("ЗП",#REF!,1),"")</f>
        <v/>
      </c>
    </row>
    <row r="207" spans="1:17" ht="15" customHeight="1" x14ac:dyDescent="0.25">
      <c r="A207" s="1"/>
      <c r="B207" s="17"/>
      <c r="C207" s="17"/>
      <c r="D207" s="17"/>
      <c r="E207" s="17"/>
      <c r="F207" s="17"/>
      <c r="G207" s="4">
        <f>SUM($B207:$F207)</f>
        <v>0</v>
      </c>
      <c r="H207" s="17"/>
      <c r="I207" s="4">
        <f>$I206+$G207-$H207</f>
        <v>349526.07999999996</v>
      </c>
      <c r="J207" s="32" t="str">
        <f>IF($A208&lt;&gt;$A207,$I207,"")</f>
        <v/>
      </c>
      <c r="K207" s="79"/>
      <c r="L207" s="79"/>
      <c r="M207" s="2"/>
      <c r="N207" s="5"/>
      <c r="O207" s="3"/>
      <c r="P207" s="6"/>
      <c r="Q207" s="6" t="str">
        <f>IFERROR(SEARCH("ЗП",#REF!,1),"")</f>
        <v/>
      </c>
    </row>
    <row r="208" spans="1:17" ht="15" customHeight="1" x14ac:dyDescent="0.25">
      <c r="A208" s="1"/>
      <c r="B208" s="17"/>
      <c r="C208" s="17"/>
      <c r="D208" s="17"/>
      <c r="E208" s="17"/>
      <c r="F208" s="17"/>
      <c r="G208" s="4">
        <f>SUM($B208:$F208)</f>
        <v>0</v>
      </c>
      <c r="H208" s="17"/>
      <c r="I208" s="4">
        <f>$I207+$G208-$H208</f>
        <v>349526.07999999996</v>
      </c>
      <c r="J208" s="32" t="str">
        <f>IF($A209&lt;&gt;$A208,$I208,"")</f>
        <v/>
      </c>
      <c r="K208" s="79"/>
      <c r="L208" s="79"/>
      <c r="M208" s="2"/>
      <c r="N208" s="5"/>
      <c r="O208" s="3"/>
      <c r="P208" s="6"/>
      <c r="Q208" s="6" t="str">
        <f>IFERROR(SEARCH("ЗП",#REF!,1),"")</f>
        <v/>
      </c>
    </row>
    <row r="209" spans="1:17" ht="15" customHeight="1" x14ac:dyDescent="0.25">
      <c r="A209" s="1"/>
      <c r="B209" s="17"/>
      <c r="C209" s="17"/>
      <c r="D209" s="17"/>
      <c r="E209" s="17"/>
      <c r="F209" s="17"/>
      <c r="G209" s="4">
        <f>SUM($B209:$F209)</f>
        <v>0</v>
      </c>
      <c r="H209" s="17"/>
      <c r="I209" s="4">
        <f>$I208+$G209-$H209</f>
        <v>349526.07999999996</v>
      </c>
      <c r="J209" s="32" t="str">
        <f>IF($A210&lt;&gt;$A209,$I209,"")</f>
        <v/>
      </c>
      <c r="K209" s="79"/>
      <c r="L209" s="79"/>
      <c r="M209" s="2"/>
      <c r="N209" s="5"/>
      <c r="O209" s="3"/>
      <c r="P209" s="6"/>
      <c r="Q209" s="6" t="str">
        <f>IFERROR(SEARCH("ЗП",#REF!,1),"")</f>
        <v/>
      </c>
    </row>
    <row r="210" spans="1:17" ht="15" customHeight="1" x14ac:dyDescent="0.25">
      <c r="A210" s="1"/>
      <c r="B210" s="17"/>
      <c r="C210" s="17"/>
      <c r="D210" s="17"/>
      <c r="E210" s="17"/>
      <c r="F210" s="17"/>
      <c r="G210" s="4">
        <f>SUM($B210:$F210)</f>
        <v>0</v>
      </c>
      <c r="H210" s="17"/>
      <c r="I210" s="4">
        <f>$I209+$G210-$H210</f>
        <v>349526.07999999996</v>
      </c>
      <c r="J210" s="32" t="str">
        <f>IF($A211&lt;&gt;$A210,$I210,"")</f>
        <v/>
      </c>
      <c r="K210" s="79"/>
      <c r="L210" s="79"/>
      <c r="M210" s="2"/>
      <c r="N210" s="5"/>
      <c r="O210" s="3"/>
      <c r="P210" s="6"/>
      <c r="Q210" s="6" t="str">
        <f>IFERROR(SEARCH("ЗП",#REF!,1),"")</f>
        <v/>
      </c>
    </row>
    <row r="211" spans="1:17" ht="15" customHeight="1" x14ac:dyDescent="0.25">
      <c r="A211" s="1"/>
      <c r="B211" s="17"/>
      <c r="C211" s="17"/>
      <c r="D211" s="17"/>
      <c r="E211" s="17"/>
      <c r="F211" s="17"/>
      <c r="G211" s="4">
        <f>SUM($B211:$F211)</f>
        <v>0</v>
      </c>
      <c r="H211" s="17"/>
      <c r="I211" s="4">
        <f>$I210+$G211-$H211</f>
        <v>349526.07999999996</v>
      </c>
      <c r="J211" s="32" t="str">
        <f>IF($A212&lt;&gt;$A211,$I211,"")</f>
        <v/>
      </c>
      <c r="K211" s="79"/>
      <c r="L211" s="79"/>
      <c r="M211" s="2"/>
      <c r="N211" s="5"/>
      <c r="O211" s="3"/>
      <c r="P211" s="6"/>
      <c r="Q211" s="6" t="str">
        <f>IFERROR(SEARCH("ЗП",#REF!,1),"")</f>
        <v/>
      </c>
    </row>
    <row r="212" spans="1:17" ht="15" customHeight="1" x14ac:dyDescent="0.25">
      <c r="A212" s="1"/>
      <c r="B212" s="17"/>
      <c r="C212" s="17"/>
      <c r="D212" s="17"/>
      <c r="E212" s="17"/>
      <c r="F212" s="17"/>
      <c r="G212" s="4">
        <f>SUM($B212:$F212)</f>
        <v>0</v>
      </c>
      <c r="H212" s="17"/>
      <c r="I212" s="4">
        <f>$I211+$G212-$H212</f>
        <v>349526.07999999996</v>
      </c>
      <c r="J212" s="32" t="str">
        <f>IF($A213&lt;&gt;$A212,$I212,"")</f>
        <v/>
      </c>
      <c r="K212" s="79"/>
      <c r="L212" s="79"/>
      <c r="M212" s="2"/>
      <c r="N212" s="5"/>
      <c r="O212" s="3"/>
      <c r="P212" s="6"/>
      <c r="Q212" s="6" t="str">
        <f>IFERROR(SEARCH("ЗП",#REF!,1),"")</f>
        <v/>
      </c>
    </row>
    <row r="213" spans="1:17" ht="15" customHeight="1" x14ac:dyDescent="0.25">
      <c r="A213" s="1"/>
      <c r="B213" s="17"/>
      <c r="C213" s="17"/>
      <c r="D213" s="17"/>
      <c r="E213" s="17"/>
      <c r="F213" s="17"/>
      <c r="G213" s="4">
        <f>SUM($B213:$F213)</f>
        <v>0</v>
      </c>
      <c r="H213" s="17"/>
      <c r="I213" s="4">
        <f>$I212+$G213-$H213</f>
        <v>349526.07999999996</v>
      </c>
      <c r="J213" s="32" t="str">
        <f>IF($A214&lt;&gt;$A213,$I213,"")</f>
        <v/>
      </c>
      <c r="K213" s="79"/>
      <c r="L213" s="79"/>
      <c r="M213" s="2"/>
      <c r="N213" s="5"/>
      <c r="O213" s="3"/>
      <c r="P213" s="6"/>
      <c r="Q213" s="6" t="str">
        <f>IFERROR(SEARCH("ЗП",#REF!,1),"")</f>
        <v/>
      </c>
    </row>
    <row r="214" spans="1:17" ht="15" customHeight="1" x14ac:dyDescent="0.25">
      <c r="A214" s="1"/>
      <c r="B214" s="17"/>
      <c r="C214" s="17"/>
      <c r="D214" s="17"/>
      <c r="E214" s="17"/>
      <c r="F214" s="17"/>
      <c r="G214" s="4">
        <f>SUM($B214:$F214)</f>
        <v>0</v>
      </c>
      <c r="H214" s="17"/>
      <c r="I214" s="4">
        <f>$I213+$G214-$H214</f>
        <v>349526.07999999996</v>
      </c>
      <c r="J214" s="32" t="str">
        <f>IF($A215&lt;&gt;$A214,$I214,"")</f>
        <v/>
      </c>
      <c r="K214" s="79"/>
      <c r="L214" s="79"/>
      <c r="M214" s="2"/>
      <c r="N214" s="5"/>
      <c r="O214" s="3"/>
      <c r="P214" s="6"/>
      <c r="Q214" s="6" t="str">
        <f>IFERROR(SEARCH("ЗП",#REF!,1),"")</f>
        <v/>
      </c>
    </row>
    <row r="215" spans="1:17" ht="15" customHeight="1" x14ac:dyDescent="0.25">
      <c r="A215" s="1"/>
      <c r="B215" s="17"/>
      <c r="C215" s="17"/>
      <c r="D215" s="17"/>
      <c r="E215" s="17"/>
      <c r="F215" s="17"/>
      <c r="G215" s="4">
        <f>SUM($B215:$F215)</f>
        <v>0</v>
      </c>
      <c r="H215" s="17"/>
      <c r="I215" s="4">
        <f>$I214+$G215-$H215</f>
        <v>349526.07999999996</v>
      </c>
      <c r="J215" s="32" t="str">
        <f>IF($A216&lt;&gt;$A215,$I215,"")</f>
        <v/>
      </c>
      <c r="K215" s="79"/>
      <c r="L215" s="79"/>
      <c r="M215" s="2"/>
      <c r="N215" s="5"/>
      <c r="O215" s="3"/>
      <c r="P215" s="6"/>
      <c r="Q215" s="6" t="str">
        <f>IFERROR(SEARCH("ЗП",#REF!,1),"")</f>
        <v/>
      </c>
    </row>
    <row r="216" spans="1:17" ht="15" customHeight="1" x14ac:dyDescent="0.25">
      <c r="A216" s="1"/>
      <c r="B216" s="17"/>
      <c r="C216" s="17"/>
      <c r="D216" s="17"/>
      <c r="E216" s="17"/>
      <c r="F216" s="17"/>
      <c r="G216" s="4">
        <f>SUM($B216:$F216)</f>
        <v>0</v>
      </c>
      <c r="H216" s="17"/>
      <c r="I216" s="4">
        <f>$I215+$G216-$H216</f>
        <v>349526.07999999996</v>
      </c>
      <c r="J216" s="32" t="str">
        <f>IF($A217&lt;&gt;$A216,$I216,"")</f>
        <v/>
      </c>
      <c r="K216" s="79"/>
      <c r="L216" s="79"/>
      <c r="M216" s="2"/>
      <c r="N216" s="5"/>
      <c r="O216" s="3"/>
      <c r="P216" s="6"/>
      <c r="Q216" s="6" t="str">
        <f>IFERROR(SEARCH("ЗП",#REF!,1),"")</f>
        <v/>
      </c>
    </row>
    <row r="217" spans="1:17" ht="15" customHeight="1" x14ac:dyDescent="0.25">
      <c r="A217" s="1"/>
      <c r="B217" s="17"/>
      <c r="C217" s="17"/>
      <c r="D217" s="17"/>
      <c r="E217" s="17"/>
      <c r="F217" s="17"/>
      <c r="G217" s="4">
        <f>SUM($B217:$F217)</f>
        <v>0</v>
      </c>
      <c r="H217" s="17"/>
      <c r="I217" s="4">
        <f>$I216+$G217-$H217</f>
        <v>349526.07999999996</v>
      </c>
      <c r="J217" s="32" t="str">
        <f>IF($A218&lt;&gt;$A217,$I217,"")</f>
        <v/>
      </c>
      <c r="K217" s="79"/>
      <c r="L217" s="79"/>
      <c r="M217" s="2"/>
      <c r="N217" s="5"/>
      <c r="O217" s="3"/>
      <c r="P217" s="6"/>
      <c r="Q217" s="6" t="str">
        <f>IFERROR(SEARCH("ЗП",#REF!,1),"")</f>
        <v/>
      </c>
    </row>
    <row r="218" spans="1:17" ht="15" customHeight="1" x14ac:dyDescent="0.25">
      <c r="A218" s="1"/>
      <c r="B218" s="17"/>
      <c r="C218" s="17"/>
      <c r="D218" s="17"/>
      <c r="E218" s="17"/>
      <c r="F218" s="17"/>
      <c r="G218" s="4">
        <f>SUM($B218:$F218)</f>
        <v>0</v>
      </c>
      <c r="H218" s="17"/>
      <c r="I218" s="4">
        <f>$I217+$G218-$H218</f>
        <v>349526.07999999996</v>
      </c>
      <c r="J218" s="32" t="str">
        <f>IF($A219&lt;&gt;$A218,$I218,"")</f>
        <v/>
      </c>
      <c r="K218" s="79"/>
      <c r="L218" s="79"/>
      <c r="M218" s="2"/>
      <c r="N218" s="5"/>
      <c r="O218" s="3"/>
      <c r="P218" s="6"/>
      <c r="Q218" s="6" t="str">
        <f>IFERROR(SEARCH("ЗП",#REF!,1),"")</f>
        <v/>
      </c>
    </row>
    <row r="219" spans="1:17" ht="15" customHeight="1" x14ac:dyDescent="0.25">
      <c r="A219" s="1"/>
      <c r="B219" s="17"/>
      <c r="C219" s="17"/>
      <c r="D219" s="17"/>
      <c r="E219" s="17"/>
      <c r="F219" s="17"/>
      <c r="G219" s="4">
        <f>SUM($B219:$F219)</f>
        <v>0</v>
      </c>
      <c r="H219" s="17"/>
      <c r="I219" s="4">
        <f>$I218+$G219-$H219</f>
        <v>349526.07999999996</v>
      </c>
      <c r="J219" s="32" t="str">
        <f>IF($A220&lt;&gt;$A219,$I219,"")</f>
        <v/>
      </c>
      <c r="K219" s="79"/>
      <c r="L219" s="79"/>
      <c r="M219" s="2"/>
      <c r="N219" s="5"/>
      <c r="O219" s="3"/>
      <c r="P219" s="6"/>
      <c r="Q219" s="6" t="str">
        <f>IFERROR(SEARCH("ЗП",#REF!,1),"")</f>
        <v/>
      </c>
    </row>
    <row r="220" spans="1:17" ht="15" customHeight="1" x14ac:dyDescent="0.25">
      <c r="A220" s="1"/>
      <c r="B220" s="17"/>
      <c r="C220" s="17"/>
      <c r="D220" s="17"/>
      <c r="E220" s="17"/>
      <c r="F220" s="17"/>
      <c r="G220" s="4">
        <f>SUM($B220:$F220)</f>
        <v>0</v>
      </c>
      <c r="H220" s="17"/>
      <c r="I220" s="4">
        <f>$I219+$G220-$H220</f>
        <v>349526.07999999996</v>
      </c>
      <c r="J220" s="32" t="str">
        <f>IF($A221&lt;&gt;$A220,$I220,"")</f>
        <v/>
      </c>
      <c r="K220" s="79"/>
      <c r="L220" s="79"/>
      <c r="M220" s="2"/>
      <c r="N220" s="5"/>
      <c r="O220" s="3"/>
      <c r="P220" s="6"/>
      <c r="Q220" s="6" t="str">
        <f>IFERROR(SEARCH("ЗП",#REF!,1),"")</f>
        <v/>
      </c>
    </row>
    <row r="221" spans="1:17" ht="15" customHeight="1" x14ac:dyDescent="0.25">
      <c r="A221" s="1"/>
      <c r="B221" s="17"/>
      <c r="C221" s="17"/>
      <c r="D221" s="17"/>
      <c r="E221" s="17"/>
      <c r="F221" s="17"/>
      <c r="G221" s="4">
        <f>SUM($B221:$F221)</f>
        <v>0</v>
      </c>
      <c r="H221" s="17"/>
      <c r="I221" s="4">
        <f>$I220+$G221-$H221</f>
        <v>349526.07999999996</v>
      </c>
      <c r="J221" s="32" t="str">
        <f>IF($A222&lt;&gt;$A221,$I221,"")</f>
        <v/>
      </c>
      <c r="K221" s="79"/>
      <c r="L221" s="79"/>
      <c r="M221" s="2"/>
      <c r="N221" s="5"/>
      <c r="O221" s="3"/>
      <c r="P221" s="6"/>
      <c r="Q221" s="6" t="str">
        <f>IFERROR(SEARCH("ЗП",#REF!,1),"")</f>
        <v/>
      </c>
    </row>
    <row r="222" spans="1:17" ht="15" customHeight="1" x14ac:dyDescent="0.25">
      <c r="A222" s="1"/>
      <c r="B222" s="17"/>
      <c r="C222" s="17"/>
      <c r="D222" s="17"/>
      <c r="E222" s="17"/>
      <c r="F222" s="17"/>
      <c r="G222" s="4">
        <f>SUM($B222:$F222)</f>
        <v>0</v>
      </c>
      <c r="H222" s="17"/>
      <c r="I222" s="4">
        <f>$I221+$G222-$H222</f>
        <v>349526.07999999996</v>
      </c>
      <c r="J222" s="32" t="str">
        <f>IF($A223&lt;&gt;$A222,$I222,"")</f>
        <v/>
      </c>
      <c r="K222" s="79"/>
      <c r="L222" s="79"/>
      <c r="M222" s="2"/>
      <c r="N222" s="5"/>
      <c r="O222" s="3"/>
      <c r="P222" s="6"/>
      <c r="Q222" s="6" t="str">
        <f>IFERROR(SEARCH("ЗП",#REF!,1),"")</f>
        <v/>
      </c>
    </row>
    <row r="223" spans="1:17" ht="15" customHeight="1" x14ac:dyDescent="0.25">
      <c r="A223" s="1"/>
      <c r="B223" s="17"/>
      <c r="C223" s="17"/>
      <c r="D223" s="17"/>
      <c r="E223" s="17"/>
      <c r="F223" s="17"/>
      <c r="G223" s="4">
        <f>SUM($B223:$F223)</f>
        <v>0</v>
      </c>
      <c r="H223" s="17"/>
      <c r="I223" s="4">
        <f>$I222+$G223-$H223</f>
        <v>349526.07999999996</v>
      </c>
      <c r="J223" s="32" t="str">
        <f>IF($A224&lt;&gt;$A223,$I223,"")</f>
        <v/>
      </c>
      <c r="K223" s="79"/>
      <c r="L223" s="79"/>
      <c r="M223" s="2"/>
      <c r="N223" s="5"/>
      <c r="O223" s="3"/>
      <c r="P223" s="6"/>
      <c r="Q223" s="6" t="str">
        <f>IFERROR(SEARCH("ЗП",#REF!,1),"")</f>
        <v/>
      </c>
    </row>
    <row r="224" spans="1:17" ht="15" customHeight="1" x14ac:dyDescent="0.25">
      <c r="A224" s="1"/>
      <c r="B224" s="17"/>
      <c r="C224" s="17"/>
      <c r="D224" s="17"/>
      <c r="E224" s="17"/>
      <c r="F224" s="17"/>
      <c r="G224" s="4">
        <f>SUM($B224:$F224)</f>
        <v>0</v>
      </c>
      <c r="H224" s="17"/>
      <c r="I224" s="4">
        <f>$I223+$G224-$H224</f>
        <v>349526.07999999996</v>
      </c>
      <c r="J224" s="32" t="str">
        <f>IF($A225&lt;&gt;$A224,$I224,"")</f>
        <v/>
      </c>
      <c r="K224" s="79"/>
      <c r="L224" s="79"/>
      <c r="M224" s="2"/>
      <c r="N224" s="5"/>
      <c r="O224" s="3"/>
      <c r="P224" s="6"/>
      <c r="Q224" s="6" t="str">
        <f>IFERROR(SEARCH("ЗП",#REF!,1),"")</f>
        <v/>
      </c>
    </row>
    <row r="225" spans="1:17" ht="15" customHeight="1" x14ac:dyDescent="0.25">
      <c r="A225" s="1"/>
      <c r="B225" s="17"/>
      <c r="C225" s="17"/>
      <c r="D225" s="17"/>
      <c r="E225" s="17"/>
      <c r="F225" s="17"/>
      <c r="G225" s="4">
        <f>SUM($B225:$F225)</f>
        <v>0</v>
      </c>
      <c r="H225" s="17"/>
      <c r="I225" s="4">
        <f>$I224+$G225-$H225</f>
        <v>349526.07999999996</v>
      </c>
      <c r="J225" s="32" t="str">
        <f>IF($A226&lt;&gt;$A225,$I225,"")</f>
        <v/>
      </c>
      <c r="K225" s="79"/>
      <c r="L225" s="79"/>
      <c r="M225" s="2"/>
      <c r="N225" s="5"/>
      <c r="O225" s="3"/>
      <c r="P225" s="6"/>
      <c r="Q225" s="6" t="str">
        <f>IFERROR(SEARCH("ЗП",#REF!,1),"")</f>
        <v/>
      </c>
    </row>
    <row r="226" spans="1:17" ht="15" customHeight="1" x14ac:dyDescent="0.25">
      <c r="A226" s="1"/>
      <c r="B226" s="17"/>
      <c r="C226" s="17"/>
      <c r="D226" s="17"/>
      <c r="E226" s="17"/>
      <c r="F226" s="17"/>
      <c r="G226" s="4">
        <f>SUM($B226:$F226)</f>
        <v>0</v>
      </c>
      <c r="H226" s="17"/>
      <c r="I226" s="4">
        <f>$I225+$G226-$H226</f>
        <v>349526.07999999996</v>
      </c>
      <c r="J226" s="32" t="str">
        <f>IF($A227&lt;&gt;$A226,$I226,"")</f>
        <v/>
      </c>
      <c r="K226" s="79"/>
      <c r="L226" s="79"/>
      <c r="M226" s="2"/>
      <c r="N226" s="5"/>
      <c r="O226" s="3"/>
      <c r="P226" s="6"/>
      <c r="Q226" s="6" t="str">
        <f>IFERROR(SEARCH("ЗП",#REF!,1),"")</f>
        <v/>
      </c>
    </row>
    <row r="227" spans="1:17" ht="15" customHeight="1" x14ac:dyDescent="0.25">
      <c r="A227" s="1"/>
      <c r="B227" s="17"/>
      <c r="C227" s="17"/>
      <c r="D227" s="17"/>
      <c r="E227" s="17"/>
      <c r="F227" s="17"/>
      <c r="G227" s="4">
        <f>SUM($B227:$F227)</f>
        <v>0</v>
      </c>
      <c r="H227" s="17"/>
      <c r="I227" s="4">
        <f>$I226+$G227-$H227</f>
        <v>349526.07999999996</v>
      </c>
      <c r="J227" s="32" t="str">
        <f>IF($A228&lt;&gt;$A227,$I227,"")</f>
        <v/>
      </c>
      <c r="K227" s="79"/>
      <c r="L227" s="79"/>
      <c r="M227" s="2"/>
      <c r="N227" s="5"/>
      <c r="O227" s="3"/>
      <c r="P227" s="6"/>
      <c r="Q227" s="6" t="str">
        <f>IFERROR(SEARCH("ЗП",#REF!,1),"")</f>
        <v/>
      </c>
    </row>
    <row r="228" spans="1:17" ht="15" customHeight="1" x14ac:dyDescent="0.25">
      <c r="A228" s="1"/>
      <c r="B228" s="17"/>
      <c r="C228" s="17"/>
      <c r="D228" s="17"/>
      <c r="E228" s="17"/>
      <c r="F228" s="17"/>
      <c r="G228" s="4">
        <f>SUM($B228:$F228)</f>
        <v>0</v>
      </c>
      <c r="H228" s="17"/>
      <c r="I228" s="4">
        <f>$I227+$G228-$H228</f>
        <v>349526.07999999996</v>
      </c>
      <c r="J228" s="32" t="str">
        <f>IF($A229&lt;&gt;$A228,$I228,"")</f>
        <v/>
      </c>
      <c r="K228" s="79"/>
      <c r="L228" s="79"/>
      <c r="M228" s="2"/>
      <c r="N228" s="5"/>
      <c r="O228" s="3"/>
      <c r="P228" s="6"/>
      <c r="Q228" s="6" t="str">
        <f>IFERROR(SEARCH("ЗП",#REF!,1),"")</f>
        <v/>
      </c>
    </row>
    <row r="229" spans="1:17" ht="15" customHeight="1" x14ac:dyDescent="0.25">
      <c r="A229" s="1"/>
      <c r="B229" s="17"/>
      <c r="C229" s="17"/>
      <c r="D229" s="17"/>
      <c r="E229" s="17"/>
      <c r="F229" s="17"/>
      <c r="G229" s="4">
        <f>SUM($B229:$F229)</f>
        <v>0</v>
      </c>
      <c r="H229" s="17"/>
      <c r="I229" s="4">
        <f>$I228+$G229-$H229</f>
        <v>349526.07999999996</v>
      </c>
      <c r="J229" s="32" t="str">
        <f>IF($A230&lt;&gt;$A229,$I229,"")</f>
        <v/>
      </c>
      <c r="K229" s="79"/>
      <c r="L229" s="79"/>
      <c r="M229" s="2"/>
      <c r="N229" s="5"/>
      <c r="O229" s="3"/>
      <c r="P229" s="6"/>
      <c r="Q229" s="6" t="str">
        <f>IFERROR(SEARCH("ЗП",#REF!,1),"")</f>
        <v/>
      </c>
    </row>
    <row r="230" spans="1:17" ht="15" customHeight="1" x14ac:dyDescent="0.25">
      <c r="A230" s="1"/>
      <c r="B230" s="17"/>
      <c r="C230" s="17"/>
      <c r="D230" s="17"/>
      <c r="E230" s="17"/>
      <c r="F230" s="17"/>
      <c r="G230" s="4">
        <f>SUM($B230:$F230)</f>
        <v>0</v>
      </c>
      <c r="H230" s="17"/>
      <c r="I230" s="4">
        <f>$I229+$G230-$H230</f>
        <v>349526.07999999996</v>
      </c>
      <c r="J230" s="32" t="str">
        <f>IF($A231&lt;&gt;$A230,$I230,"")</f>
        <v/>
      </c>
      <c r="K230" s="79"/>
      <c r="L230" s="79"/>
      <c r="M230" s="2"/>
      <c r="N230" s="5"/>
      <c r="O230" s="3"/>
      <c r="P230" s="6"/>
      <c r="Q230" s="6" t="str">
        <f>IFERROR(SEARCH("ЗП",#REF!,1),"")</f>
        <v/>
      </c>
    </row>
    <row r="231" spans="1:17" ht="15" customHeight="1" x14ac:dyDescent="0.25">
      <c r="A231" s="1"/>
      <c r="B231" s="17"/>
      <c r="C231" s="17"/>
      <c r="D231" s="17"/>
      <c r="E231" s="17"/>
      <c r="F231" s="17"/>
      <c r="G231" s="4">
        <f>SUM($B231:$F231)</f>
        <v>0</v>
      </c>
      <c r="H231" s="17"/>
      <c r="I231" s="4">
        <f>$I230+$G231-$H231</f>
        <v>349526.07999999996</v>
      </c>
      <c r="J231" s="32" t="str">
        <f>IF($A232&lt;&gt;$A231,$I231,"")</f>
        <v/>
      </c>
      <c r="K231" s="79"/>
      <c r="L231" s="79"/>
      <c r="M231" s="2"/>
      <c r="N231" s="5"/>
      <c r="O231" s="3"/>
      <c r="P231" s="6"/>
      <c r="Q231" s="6" t="str">
        <f>IFERROR(SEARCH("ЗП",#REF!,1),"")</f>
        <v/>
      </c>
    </row>
    <row r="232" spans="1:17" ht="15" customHeight="1" x14ac:dyDescent="0.25">
      <c r="A232" s="1"/>
      <c r="B232" s="17"/>
      <c r="C232" s="17"/>
      <c r="D232" s="17"/>
      <c r="E232" s="17"/>
      <c r="F232" s="17"/>
      <c r="G232" s="4">
        <f>SUM($B232:$F232)</f>
        <v>0</v>
      </c>
      <c r="H232" s="17"/>
      <c r="I232" s="4">
        <f>$I231+$G232-$H232</f>
        <v>349526.07999999996</v>
      </c>
      <c r="J232" s="32" t="str">
        <f>IF($A233&lt;&gt;$A232,$I232,"")</f>
        <v/>
      </c>
      <c r="K232" s="79"/>
      <c r="L232" s="79"/>
      <c r="M232" s="2"/>
      <c r="N232" s="5"/>
      <c r="O232" s="3"/>
      <c r="P232" s="6"/>
      <c r="Q232" s="6" t="str">
        <f>IFERROR(SEARCH("ЗП",#REF!,1),"")</f>
        <v/>
      </c>
    </row>
    <row r="233" spans="1:17" ht="15" customHeight="1" x14ac:dyDescent="0.25">
      <c r="A233" s="1"/>
      <c r="B233" s="17"/>
      <c r="C233" s="17"/>
      <c r="D233" s="17"/>
      <c r="E233" s="17"/>
      <c r="F233" s="17"/>
      <c r="G233" s="4">
        <f>SUM($B233:$F233)</f>
        <v>0</v>
      </c>
      <c r="H233" s="17"/>
      <c r="I233" s="4">
        <f>$I232+$G233-$H233</f>
        <v>349526.07999999996</v>
      </c>
      <c r="J233" s="32" t="str">
        <f>IF($A234&lt;&gt;$A233,$I233,"")</f>
        <v/>
      </c>
      <c r="K233" s="79"/>
      <c r="L233" s="79"/>
      <c r="M233" s="2"/>
      <c r="N233" s="5"/>
      <c r="O233" s="3"/>
      <c r="P233" s="6"/>
      <c r="Q233" s="6" t="str">
        <f>IFERROR(SEARCH("ЗП",#REF!,1),"")</f>
        <v/>
      </c>
    </row>
    <row r="234" spans="1:17" ht="15" customHeight="1" x14ac:dyDescent="0.25">
      <c r="A234" s="1"/>
      <c r="B234" s="17"/>
      <c r="C234" s="17"/>
      <c r="D234" s="17"/>
      <c r="E234" s="17"/>
      <c r="F234" s="17"/>
      <c r="G234" s="4">
        <f>SUM($B234:$F234)</f>
        <v>0</v>
      </c>
      <c r="H234" s="17"/>
      <c r="I234" s="4">
        <f>$I233+$G234-$H234</f>
        <v>349526.07999999996</v>
      </c>
      <c r="J234" s="32" t="str">
        <f>IF($A235&lt;&gt;$A234,$I234,"")</f>
        <v/>
      </c>
      <c r="K234" s="79"/>
      <c r="L234" s="79"/>
      <c r="M234" s="2"/>
      <c r="N234" s="5"/>
      <c r="O234" s="3"/>
      <c r="P234" s="6"/>
      <c r="Q234" s="6" t="str">
        <f>IFERROR(SEARCH("ЗП",#REF!,1),"")</f>
        <v/>
      </c>
    </row>
    <row r="235" spans="1:17" ht="15" customHeight="1" x14ac:dyDescent="0.25">
      <c r="A235" s="1"/>
      <c r="B235" s="17"/>
      <c r="C235" s="17"/>
      <c r="D235" s="17"/>
      <c r="E235" s="17"/>
      <c r="F235" s="17"/>
      <c r="G235" s="4">
        <f>SUM($B235:$F235)</f>
        <v>0</v>
      </c>
      <c r="H235" s="17"/>
      <c r="I235" s="4">
        <f>$I234+$G235-$H235</f>
        <v>349526.07999999996</v>
      </c>
      <c r="J235" s="32" t="str">
        <f>IF($A236&lt;&gt;$A235,$I235,"")</f>
        <v/>
      </c>
      <c r="K235" s="79"/>
      <c r="L235" s="79"/>
      <c r="M235" s="2"/>
      <c r="N235" s="5"/>
      <c r="O235" s="3"/>
      <c r="P235" s="6"/>
      <c r="Q235" s="6" t="str">
        <f>IFERROR(SEARCH("ЗП",#REF!,1),"")</f>
        <v/>
      </c>
    </row>
    <row r="236" spans="1:17" ht="15" customHeight="1" x14ac:dyDescent="0.25">
      <c r="A236" s="1"/>
      <c r="B236" s="17"/>
      <c r="C236" s="17"/>
      <c r="D236" s="17"/>
      <c r="E236" s="17"/>
      <c r="F236" s="17"/>
      <c r="G236" s="4">
        <f>SUM($B236:$F236)</f>
        <v>0</v>
      </c>
      <c r="H236" s="17"/>
      <c r="I236" s="4">
        <f>$I235+$G236-$H236</f>
        <v>349526.07999999996</v>
      </c>
      <c r="J236" s="32" t="str">
        <f>IF($A237&lt;&gt;$A236,$I236,"")</f>
        <v/>
      </c>
      <c r="K236" s="79"/>
      <c r="L236" s="79"/>
      <c r="M236" s="2"/>
      <c r="N236" s="5"/>
      <c r="O236" s="3"/>
      <c r="P236" s="6"/>
      <c r="Q236" s="6" t="str">
        <f>IFERROR(SEARCH("ЗП",#REF!,1),"")</f>
        <v/>
      </c>
    </row>
    <row r="237" spans="1:17" ht="15" customHeight="1" x14ac:dyDescent="0.25">
      <c r="A237" s="1"/>
      <c r="B237" s="17"/>
      <c r="C237" s="17"/>
      <c r="D237" s="17"/>
      <c r="E237" s="17"/>
      <c r="F237" s="17"/>
      <c r="G237" s="4">
        <f>SUM($B237:$F237)</f>
        <v>0</v>
      </c>
      <c r="H237" s="17"/>
      <c r="I237" s="4">
        <f>$I236+$G237-$H237</f>
        <v>349526.07999999996</v>
      </c>
      <c r="J237" s="32" t="str">
        <f>IF($A238&lt;&gt;$A237,$I237,"")</f>
        <v/>
      </c>
      <c r="K237" s="79"/>
      <c r="L237" s="79"/>
      <c r="M237" s="2"/>
      <c r="N237" s="5"/>
      <c r="O237" s="3"/>
      <c r="P237" s="6"/>
      <c r="Q237" s="6" t="str">
        <f>IFERROR(SEARCH("ЗП",#REF!,1),"")</f>
        <v/>
      </c>
    </row>
    <row r="238" spans="1:17" ht="15" customHeight="1" x14ac:dyDescent="0.25">
      <c r="A238" s="1"/>
      <c r="B238" s="17"/>
      <c r="C238" s="17"/>
      <c r="D238" s="17"/>
      <c r="E238" s="17"/>
      <c r="F238" s="17"/>
      <c r="G238" s="4">
        <f>SUM($B238:$F238)</f>
        <v>0</v>
      </c>
      <c r="H238" s="17"/>
      <c r="I238" s="4">
        <f>$I237+$G238-$H238</f>
        <v>349526.07999999996</v>
      </c>
      <c r="J238" s="32" t="str">
        <f>IF($A239&lt;&gt;$A238,$I238,"")</f>
        <v/>
      </c>
      <c r="K238" s="79"/>
      <c r="L238" s="79"/>
      <c r="M238" s="2"/>
      <c r="N238" s="5"/>
      <c r="O238" s="3"/>
      <c r="P238" s="6"/>
      <c r="Q238" s="6" t="str">
        <f>IFERROR(SEARCH("ЗП",#REF!,1),"")</f>
        <v/>
      </c>
    </row>
    <row r="239" spans="1:17" ht="15" customHeight="1" x14ac:dyDescent="0.25">
      <c r="A239" s="1"/>
      <c r="B239" s="17"/>
      <c r="C239" s="17"/>
      <c r="D239" s="17"/>
      <c r="E239" s="17"/>
      <c r="F239" s="17"/>
      <c r="G239" s="4">
        <f>SUM($B239:$F239)</f>
        <v>0</v>
      </c>
      <c r="H239" s="17"/>
      <c r="I239" s="4">
        <f>$I238+$G239-$H239</f>
        <v>349526.07999999996</v>
      </c>
      <c r="J239" s="32" t="str">
        <f>IF($A240&lt;&gt;$A239,$I239,"")</f>
        <v/>
      </c>
      <c r="K239" s="79"/>
      <c r="L239" s="79"/>
      <c r="M239" s="2"/>
      <c r="N239" s="5"/>
      <c r="O239" s="3"/>
      <c r="P239" s="6"/>
      <c r="Q239" s="6" t="str">
        <f>IFERROR(SEARCH("ЗП",#REF!,1),"")</f>
        <v/>
      </c>
    </row>
    <row r="240" spans="1:17" ht="15" customHeight="1" x14ac:dyDescent="0.25">
      <c r="A240" s="1"/>
      <c r="B240" s="17"/>
      <c r="C240" s="17"/>
      <c r="D240" s="17"/>
      <c r="E240" s="17"/>
      <c r="F240" s="17"/>
      <c r="G240" s="4">
        <f>SUM($B240:$F240)</f>
        <v>0</v>
      </c>
      <c r="H240" s="17"/>
      <c r="I240" s="4">
        <f>$I239+$G240-$H240</f>
        <v>349526.07999999996</v>
      </c>
      <c r="J240" s="32" t="str">
        <f>IF($A241&lt;&gt;$A240,$I240,"")</f>
        <v/>
      </c>
      <c r="K240" s="79"/>
      <c r="L240" s="79"/>
      <c r="M240" s="2"/>
      <c r="N240" s="5"/>
      <c r="O240" s="3"/>
      <c r="P240" s="6"/>
      <c r="Q240" s="6" t="str">
        <f>IFERROR(SEARCH("ЗП",#REF!,1),"")</f>
        <v/>
      </c>
    </row>
    <row r="241" spans="1:17" ht="15" customHeight="1" x14ac:dyDescent="0.25">
      <c r="A241" s="1"/>
      <c r="B241" s="17"/>
      <c r="C241" s="17"/>
      <c r="D241" s="17"/>
      <c r="E241" s="17"/>
      <c r="F241" s="17"/>
      <c r="G241" s="4">
        <f>SUM($B241:$F241)</f>
        <v>0</v>
      </c>
      <c r="H241" s="17"/>
      <c r="I241" s="4">
        <f>$I240+$G241-$H241</f>
        <v>349526.07999999996</v>
      </c>
      <c r="J241" s="32" t="str">
        <f>IF($A242&lt;&gt;$A241,$I241,"")</f>
        <v/>
      </c>
      <c r="K241" s="79"/>
      <c r="L241" s="79"/>
      <c r="M241" s="2"/>
      <c r="N241" s="5"/>
      <c r="O241" s="3"/>
      <c r="P241" s="6"/>
      <c r="Q241" s="6" t="str">
        <f>IFERROR(SEARCH("ЗП",#REF!,1),"")</f>
        <v/>
      </c>
    </row>
    <row r="242" spans="1:17" ht="15" customHeight="1" x14ac:dyDescent="0.25">
      <c r="A242" s="1"/>
      <c r="B242" s="17"/>
      <c r="C242" s="17"/>
      <c r="D242" s="17"/>
      <c r="E242" s="17"/>
      <c r="F242" s="17"/>
      <c r="G242" s="4">
        <f>SUM($B242:$F242)</f>
        <v>0</v>
      </c>
      <c r="H242" s="17"/>
      <c r="I242" s="4">
        <f>$I241+$G242-$H242</f>
        <v>349526.07999999996</v>
      </c>
      <c r="J242" s="32" t="str">
        <f>IF($A243&lt;&gt;$A242,$I242,"")</f>
        <v/>
      </c>
      <c r="K242" s="79"/>
      <c r="L242" s="79"/>
      <c r="M242" s="2"/>
      <c r="N242" s="5"/>
      <c r="O242" s="3"/>
      <c r="P242" s="6"/>
      <c r="Q242" s="6" t="str">
        <f>IFERROR(SEARCH("ЗП",#REF!,1),"")</f>
        <v/>
      </c>
    </row>
    <row r="243" spans="1:17" ht="15" customHeight="1" x14ac:dyDescent="0.25">
      <c r="A243" s="1"/>
      <c r="B243" s="17"/>
      <c r="C243" s="17"/>
      <c r="D243" s="17"/>
      <c r="E243" s="17"/>
      <c r="F243" s="17"/>
      <c r="G243" s="4">
        <f>SUM($B243:$F243)</f>
        <v>0</v>
      </c>
      <c r="H243" s="17"/>
      <c r="I243" s="4">
        <f>$I242+$G243-$H243</f>
        <v>349526.07999999996</v>
      </c>
      <c r="J243" s="32" t="str">
        <f>IF($A244&lt;&gt;$A243,$I243,"")</f>
        <v/>
      </c>
      <c r="K243" s="79"/>
      <c r="L243" s="79"/>
      <c r="M243" s="2"/>
      <c r="N243" s="5"/>
      <c r="O243" s="3"/>
      <c r="P243" s="6"/>
      <c r="Q243" s="6" t="str">
        <f>IFERROR(SEARCH("ЗП",#REF!,1),"")</f>
        <v/>
      </c>
    </row>
    <row r="244" spans="1:17" ht="15" customHeight="1" x14ac:dyDescent="0.25">
      <c r="A244" s="1"/>
      <c r="B244" s="17"/>
      <c r="C244" s="17"/>
      <c r="D244" s="17"/>
      <c r="E244" s="17"/>
      <c r="F244" s="17"/>
      <c r="G244" s="4">
        <f>SUM($B244:$F244)</f>
        <v>0</v>
      </c>
      <c r="H244" s="17"/>
      <c r="I244" s="4">
        <f>$I243+$G244-$H244</f>
        <v>349526.07999999996</v>
      </c>
      <c r="J244" s="32" t="str">
        <f>IF($A245&lt;&gt;$A244,$I244,"")</f>
        <v/>
      </c>
      <c r="K244" s="79"/>
      <c r="L244" s="79"/>
      <c r="M244" s="2"/>
      <c r="N244" s="5"/>
      <c r="O244" s="3"/>
      <c r="P244" s="6"/>
      <c r="Q244" s="6" t="str">
        <f>IFERROR(SEARCH("ЗП",#REF!,1),"")</f>
        <v/>
      </c>
    </row>
    <row r="245" spans="1:17" ht="15" customHeight="1" x14ac:dyDescent="0.25">
      <c r="A245" s="1"/>
      <c r="B245" s="17"/>
      <c r="C245" s="17"/>
      <c r="D245" s="17"/>
      <c r="E245" s="17"/>
      <c r="F245" s="17"/>
      <c r="G245" s="4">
        <f>SUM($B245:$F245)</f>
        <v>0</v>
      </c>
      <c r="H245" s="17"/>
      <c r="I245" s="4">
        <f>$I244+$G245-$H245</f>
        <v>349526.07999999996</v>
      </c>
      <c r="J245" s="32" t="str">
        <f>IF($A246&lt;&gt;$A245,$I245,"")</f>
        <v/>
      </c>
      <c r="K245" s="79"/>
      <c r="L245" s="79"/>
      <c r="M245" s="2"/>
      <c r="N245" s="5"/>
      <c r="O245" s="3"/>
      <c r="P245" s="6"/>
      <c r="Q245" s="6" t="str">
        <f>IFERROR(SEARCH("ЗП",#REF!,1),"")</f>
        <v/>
      </c>
    </row>
    <row r="246" spans="1:17" ht="15" customHeight="1" x14ac:dyDescent="0.25">
      <c r="A246" s="1"/>
      <c r="B246" s="17"/>
      <c r="C246" s="17"/>
      <c r="D246" s="17"/>
      <c r="E246" s="17"/>
      <c r="F246" s="17"/>
      <c r="G246" s="4">
        <f>SUM($B246:$F246)</f>
        <v>0</v>
      </c>
      <c r="H246" s="17"/>
      <c r="I246" s="4">
        <f>$I245+$G246-$H246</f>
        <v>349526.07999999996</v>
      </c>
      <c r="J246" s="32" t="str">
        <f>IF($A247&lt;&gt;$A246,$I246,"")</f>
        <v/>
      </c>
      <c r="K246" s="79"/>
      <c r="L246" s="79"/>
      <c r="M246" s="2"/>
      <c r="N246" s="5"/>
      <c r="O246" s="3"/>
      <c r="P246" s="6"/>
      <c r="Q246" s="6" t="str">
        <f>IFERROR(SEARCH("ЗП",#REF!,1),"")</f>
        <v/>
      </c>
    </row>
    <row r="247" spans="1:17" ht="15" customHeight="1" x14ac:dyDescent="0.25">
      <c r="A247" s="1"/>
      <c r="B247" s="17"/>
      <c r="C247" s="17"/>
      <c r="D247" s="17"/>
      <c r="E247" s="17"/>
      <c r="F247" s="17"/>
      <c r="G247" s="4">
        <f>SUM($B247:$F247)</f>
        <v>0</v>
      </c>
      <c r="H247" s="17"/>
      <c r="I247" s="4">
        <f>$I246+$G247-$H247</f>
        <v>349526.07999999996</v>
      </c>
      <c r="J247" s="32" t="str">
        <f>IF($A248&lt;&gt;$A247,$I247,"")</f>
        <v/>
      </c>
      <c r="K247" s="79"/>
      <c r="L247" s="79"/>
      <c r="M247" s="2"/>
      <c r="N247" s="5"/>
      <c r="O247" s="3"/>
      <c r="P247" s="6"/>
      <c r="Q247" s="6" t="str">
        <f>IFERROR(SEARCH("ЗП",#REF!,1),"")</f>
        <v/>
      </c>
    </row>
    <row r="248" spans="1:17" ht="15" customHeight="1" x14ac:dyDescent="0.25">
      <c r="A248" s="1"/>
      <c r="B248" s="17"/>
      <c r="C248" s="17"/>
      <c r="D248" s="17"/>
      <c r="E248" s="17"/>
      <c r="F248" s="17"/>
      <c r="G248" s="4">
        <f>SUM($B248:$F248)</f>
        <v>0</v>
      </c>
      <c r="H248" s="17"/>
      <c r="I248" s="4">
        <f>$I247+$G248-$H248</f>
        <v>349526.07999999996</v>
      </c>
      <c r="J248" s="32" t="str">
        <f>IF($A249&lt;&gt;$A248,$I248,"")</f>
        <v/>
      </c>
      <c r="K248" s="79"/>
      <c r="L248" s="79"/>
      <c r="M248" s="2"/>
      <c r="N248" s="5"/>
      <c r="O248" s="3"/>
      <c r="P248" s="6"/>
      <c r="Q248" s="6" t="str">
        <f>IFERROR(SEARCH("ЗП",#REF!,1),"")</f>
        <v/>
      </c>
    </row>
    <row r="249" spans="1:17" ht="15" customHeight="1" x14ac:dyDescent="0.25">
      <c r="A249" s="1"/>
      <c r="B249" s="17"/>
      <c r="C249" s="17"/>
      <c r="D249" s="17"/>
      <c r="E249" s="17"/>
      <c r="F249" s="17"/>
      <c r="G249" s="4">
        <f>SUM($B249:$F249)</f>
        <v>0</v>
      </c>
      <c r="H249" s="17"/>
      <c r="I249" s="4">
        <f>$I248+$G249-$H249</f>
        <v>349526.07999999996</v>
      </c>
      <c r="J249" s="32" t="str">
        <f>IF($A250&lt;&gt;$A249,$I249,"")</f>
        <v/>
      </c>
      <c r="K249" s="79"/>
      <c r="L249" s="79"/>
      <c r="M249" s="2"/>
      <c r="N249" s="5"/>
      <c r="O249" s="3"/>
      <c r="P249" s="6"/>
      <c r="Q249" s="6" t="str">
        <f>IFERROR(SEARCH("ЗП",#REF!,1),"")</f>
        <v/>
      </c>
    </row>
    <row r="250" spans="1:17" ht="15" customHeight="1" x14ac:dyDescent="0.25">
      <c r="A250" s="1"/>
      <c r="B250" s="17"/>
      <c r="C250" s="17"/>
      <c r="D250" s="17"/>
      <c r="E250" s="17"/>
      <c r="F250" s="17"/>
      <c r="G250" s="4">
        <f>SUM($B250:$F250)</f>
        <v>0</v>
      </c>
      <c r="H250" s="17"/>
      <c r="I250" s="4">
        <f>$I249+$G250-$H250</f>
        <v>349526.07999999996</v>
      </c>
      <c r="J250" s="32" t="str">
        <f>IF($A251&lt;&gt;$A250,$I250,"")</f>
        <v/>
      </c>
      <c r="K250" s="79"/>
      <c r="L250" s="79"/>
      <c r="M250" s="2"/>
      <c r="N250" s="5"/>
      <c r="O250" s="3"/>
      <c r="P250" s="6"/>
      <c r="Q250" s="6" t="str">
        <f>IFERROR(SEARCH("ЗП",#REF!,1),"")</f>
        <v/>
      </c>
    </row>
    <row r="251" spans="1:17" ht="15" customHeight="1" x14ac:dyDescent="0.25">
      <c r="A251" s="1"/>
      <c r="B251" s="17"/>
      <c r="C251" s="17"/>
      <c r="D251" s="17"/>
      <c r="E251" s="17"/>
      <c r="F251" s="17"/>
      <c r="G251" s="4">
        <f>SUM($B251:$F251)</f>
        <v>0</v>
      </c>
      <c r="H251" s="17"/>
      <c r="I251" s="4">
        <f>$I250+$G251-$H251</f>
        <v>349526.07999999996</v>
      </c>
      <c r="J251" s="32" t="str">
        <f>IF($A252&lt;&gt;$A251,$I251,"")</f>
        <v/>
      </c>
      <c r="K251" s="79"/>
      <c r="L251" s="79"/>
      <c r="M251" s="2"/>
      <c r="N251" s="5"/>
      <c r="O251" s="3"/>
      <c r="P251" s="6"/>
      <c r="Q251" s="6" t="str">
        <f>IFERROR(SEARCH("ЗП",#REF!,1),"")</f>
        <v/>
      </c>
    </row>
    <row r="252" spans="1:17" ht="15" customHeight="1" x14ac:dyDescent="0.25">
      <c r="A252" s="1"/>
      <c r="B252" s="17"/>
      <c r="C252" s="17"/>
      <c r="D252" s="17"/>
      <c r="E252" s="17"/>
      <c r="F252" s="17"/>
      <c r="G252" s="4">
        <f>SUM($B252:$F252)</f>
        <v>0</v>
      </c>
      <c r="H252" s="17"/>
      <c r="I252" s="4">
        <f>$I251+$G252-$H252</f>
        <v>349526.07999999996</v>
      </c>
      <c r="J252" s="32" t="str">
        <f>IF($A253&lt;&gt;$A252,$I252,"")</f>
        <v/>
      </c>
      <c r="K252" s="79"/>
      <c r="L252" s="79"/>
      <c r="M252" s="2"/>
      <c r="N252" s="5"/>
      <c r="O252" s="3"/>
      <c r="P252" s="6"/>
      <c r="Q252" s="6" t="str">
        <f>IFERROR(SEARCH("ЗП",#REF!,1),"")</f>
        <v/>
      </c>
    </row>
    <row r="253" spans="1:17" ht="15" customHeight="1" x14ac:dyDescent="0.25">
      <c r="A253" s="1"/>
      <c r="B253" s="17"/>
      <c r="C253" s="17"/>
      <c r="D253" s="17"/>
      <c r="E253" s="17"/>
      <c r="F253" s="17"/>
      <c r="G253" s="4">
        <f>SUM($B253:$F253)</f>
        <v>0</v>
      </c>
      <c r="H253" s="17"/>
      <c r="I253" s="4">
        <f>$I252+$G253-$H253</f>
        <v>349526.07999999996</v>
      </c>
      <c r="J253" s="32" t="str">
        <f>IF($A254&lt;&gt;$A253,$I253,"")</f>
        <v/>
      </c>
      <c r="K253" s="79"/>
      <c r="L253" s="79"/>
      <c r="M253" s="2"/>
      <c r="N253" s="5"/>
      <c r="O253" s="3"/>
      <c r="P253" s="6"/>
      <c r="Q253" s="6" t="str">
        <f>IFERROR(SEARCH("ЗП",#REF!,1),"")</f>
        <v/>
      </c>
    </row>
    <row r="254" spans="1:17" ht="15" customHeight="1" x14ac:dyDescent="0.25">
      <c r="A254" s="1"/>
      <c r="B254" s="17"/>
      <c r="C254" s="17"/>
      <c r="D254" s="17"/>
      <c r="E254" s="17"/>
      <c r="F254" s="17"/>
      <c r="G254" s="4">
        <f>SUM($B254:$F254)</f>
        <v>0</v>
      </c>
      <c r="H254" s="17"/>
      <c r="I254" s="4">
        <f>$I253+$G254-$H254</f>
        <v>349526.07999999996</v>
      </c>
      <c r="J254" s="32" t="str">
        <f>IF($A255&lt;&gt;$A254,$I254,"")</f>
        <v/>
      </c>
      <c r="K254" s="79"/>
      <c r="L254" s="79"/>
      <c r="M254" s="2"/>
      <c r="N254" s="5"/>
      <c r="O254" s="3"/>
      <c r="P254" s="6"/>
      <c r="Q254" s="6" t="str">
        <f>IFERROR(SEARCH("ЗП",#REF!,1),"")</f>
        <v/>
      </c>
    </row>
    <row r="255" spans="1:17" ht="15" customHeight="1" x14ac:dyDescent="0.25">
      <c r="A255" s="1"/>
      <c r="B255" s="17"/>
      <c r="C255" s="17"/>
      <c r="D255" s="17"/>
      <c r="E255" s="17"/>
      <c r="F255" s="17"/>
      <c r="G255" s="4">
        <f>SUM($B255:$F255)</f>
        <v>0</v>
      </c>
      <c r="H255" s="17"/>
      <c r="I255" s="4">
        <f>$I254+$G255-$H255</f>
        <v>349526.07999999996</v>
      </c>
      <c r="J255" s="32" t="str">
        <f>IF($A256&lt;&gt;$A255,$I255,"")</f>
        <v/>
      </c>
      <c r="K255" s="79"/>
      <c r="L255" s="79"/>
      <c r="M255" s="2"/>
      <c r="N255" s="5"/>
      <c r="O255" s="3"/>
      <c r="P255" s="6"/>
      <c r="Q255" s="6" t="str">
        <f>IFERROR(SEARCH("ЗП",#REF!,1),"")</f>
        <v/>
      </c>
    </row>
    <row r="256" spans="1:17" ht="15" customHeight="1" x14ac:dyDescent="0.25">
      <c r="A256" s="1"/>
      <c r="B256" s="17"/>
      <c r="C256" s="17"/>
      <c r="D256" s="17"/>
      <c r="E256" s="17"/>
      <c r="F256" s="17"/>
      <c r="G256" s="4">
        <f>SUM($B256:$F256)</f>
        <v>0</v>
      </c>
      <c r="H256" s="17"/>
      <c r="I256" s="4">
        <f>$I255+$G256-$H256</f>
        <v>349526.07999999996</v>
      </c>
      <c r="J256" s="32" t="str">
        <f>IF($A257&lt;&gt;$A256,$I256,"")</f>
        <v/>
      </c>
      <c r="K256" s="79"/>
      <c r="L256" s="79"/>
      <c r="M256" s="2"/>
      <c r="N256" s="5"/>
      <c r="O256" s="3"/>
      <c r="P256" s="6"/>
      <c r="Q256" s="6" t="str">
        <f>IFERROR(SEARCH("ЗП",#REF!,1),"")</f>
        <v/>
      </c>
    </row>
    <row r="257" spans="1:17" ht="15" customHeight="1" x14ac:dyDescent="0.25">
      <c r="A257" s="1"/>
      <c r="B257" s="17"/>
      <c r="C257" s="17"/>
      <c r="D257" s="17"/>
      <c r="E257" s="17"/>
      <c r="F257" s="17"/>
      <c r="G257" s="4">
        <f>SUM($B257:$F257)</f>
        <v>0</v>
      </c>
      <c r="H257" s="17"/>
      <c r="I257" s="4">
        <f>$I256+$G257-$H257</f>
        <v>349526.07999999996</v>
      </c>
      <c r="J257" s="32" t="str">
        <f>IF($A258&lt;&gt;$A257,$I257,"")</f>
        <v/>
      </c>
      <c r="K257" s="79"/>
      <c r="L257" s="79"/>
      <c r="M257" s="2"/>
      <c r="N257" s="5"/>
      <c r="O257" s="3"/>
      <c r="P257" s="6"/>
      <c r="Q257" s="6" t="str">
        <f>IFERROR(SEARCH("ЗП",#REF!,1),"")</f>
        <v/>
      </c>
    </row>
    <row r="258" spans="1:17" ht="15" customHeight="1" x14ac:dyDescent="0.25">
      <c r="A258" s="1"/>
      <c r="B258" s="17"/>
      <c r="C258" s="17"/>
      <c r="D258" s="17"/>
      <c r="E258" s="17"/>
      <c r="F258" s="17"/>
      <c r="G258" s="4">
        <f>SUM($B258:$F258)</f>
        <v>0</v>
      </c>
      <c r="H258" s="17"/>
      <c r="I258" s="4">
        <f>$I257+$G258-$H258</f>
        <v>349526.07999999996</v>
      </c>
      <c r="J258" s="32" t="str">
        <f>IF($A259&lt;&gt;$A258,$I258,"")</f>
        <v/>
      </c>
      <c r="K258" s="79"/>
      <c r="L258" s="79"/>
      <c r="M258" s="2"/>
      <c r="N258" s="5"/>
      <c r="O258" s="3"/>
      <c r="P258" s="6"/>
      <c r="Q258" s="6" t="str">
        <f>IFERROR(SEARCH("ЗП",#REF!,1),"")</f>
        <v/>
      </c>
    </row>
    <row r="259" spans="1:17" ht="15" customHeight="1" x14ac:dyDescent="0.25">
      <c r="A259" s="1"/>
      <c r="B259" s="17"/>
      <c r="C259" s="17"/>
      <c r="D259" s="17"/>
      <c r="E259" s="17"/>
      <c r="F259" s="17"/>
      <c r="G259" s="4">
        <f>SUM($B259:$F259)</f>
        <v>0</v>
      </c>
      <c r="H259" s="17"/>
      <c r="I259" s="4">
        <f>$I258+$G259-$H259</f>
        <v>349526.07999999996</v>
      </c>
      <c r="J259" s="32" t="str">
        <f>IF($A260&lt;&gt;$A259,$I259,"")</f>
        <v/>
      </c>
      <c r="K259" s="79"/>
      <c r="L259" s="79"/>
      <c r="M259" s="2"/>
      <c r="N259" s="5"/>
      <c r="O259" s="3"/>
      <c r="P259" s="6"/>
      <c r="Q259" s="6" t="str">
        <f>IFERROR(SEARCH("ЗП",#REF!,1),"")</f>
        <v/>
      </c>
    </row>
    <row r="260" spans="1:17" ht="15" customHeight="1" x14ac:dyDescent="0.25">
      <c r="A260" s="1"/>
      <c r="B260" s="17"/>
      <c r="C260" s="17"/>
      <c r="D260" s="17"/>
      <c r="E260" s="17"/>
      <c r="F260" s="17"/>
      <c r="G260" s="4">
        <f>SUM($B260:$F260)</f>
        <v>0</v>
      </c>
      <c r="H260" s="17"/>
      <c r="I260" s="4">
        <f>$I259+$G260-$H260</f>
        <v>349526.07999999996</v>
      </c>
      <c r="J260" s="32" t="str">
        <f>IF($A261&lt;&gt;$A260,$I260,"")</f>
        <v/>
      </c>
      <c r="K260" s="79"/>
      <c r="L260" s="79"/>
      <c r="M260" s="2"/>
      <c r="N260" s="5"/>
      <c r="O260" s="3"/>
      <c r="P260" s="6"/>
      <c r="Q260" s="6" t="str">
        <f>IFERROR(SEARCH("ЗП",#REF!,1),"")</f>
        <v/>
      </c>
    </row>
    <row r="261" spans="1:17" ht="15" customHeight="1" x14ac:dyDescent="0.25">
      <c r="A261" s="1"/>
      <c r="B261" s="17"/>
      <c r="C261" s="17"/>
      <c r="D261" s="17"/>
      <c r="E261" s="17"/>
      <c r="F261" s="17"/>
      <c r="G261" s="4">
        <f>SUM($B261:$F261)</f>
        <v>0</v>
      </c>
      <c r="H261" s="17"/>
      <c r="I261" s="4">
        <f>$I260+$G261-$H261</f>
        <v>349526.07999999996</v>
      </c>
      <c r="J261" s="32" t="str">
        <f>IF($A262&lt;&gt;$A261,$I261,"")</f>
        <v/>
      </c>
      <c r="K261" s="79"/>
      <c r="L261" s="79"/>
      <c r="M261" s="2"/>
      <c r="N261" s="5"/>
      <c r="O261" s="3"/>
      <c r="P261" s="6"/>
      <c r="Q261" s="6" t="str">
        <f>IFERROR(SEARCH("ЗП",#REF!,1),"")</f>
        <v/>
      </c>
    </row>
    <row r="262" spans="1:17" ht="15" customHeight="1" x14ac:dyDescent="0.25">
      <c r="A262" s="1"/>
      <c r="B262" s="17"/>
      <c r="C262" s="17"/>
      <c r="D262" s="17"/>
      <c r="E262" s="17"/>
      <c r="F262" s="17"/>
      <c r="G262" s="4">
        <f>SUM($B262:$F262)</f>
        <v>0</v>
      </c>
      <c r="H262" s="17"/>
      <c r="I262" s="4">
        <f>$I261+$G262-$H262</f>
        <v>349526.07999999996</v>
      </c>
      <c r="J262" s="32" t="str">
        <f>IF($A263&lt;&gt;$A262,$I262,"")</f>
        <v/>
      </c>
      <c r="K262" s="79"/>
      <c r="L262" s="79"/>
      <c r="M262" s="2"/>
      <c r="N262" s="5"/>
      <c r="O262" s="3"/>
      <c r="P262" s="6"/>
      <c r="Q262" s="6" t="str">
        <f>IFERROR(SEARCH("ЗП",#REF!,1),"")</f>
        <v/>
      </c>
    </row>
    <row r="263" spans="1:17" ht="15" customHeight="1" x14ac:dyDescent="0.25">
      <c r="A263" s="1"/>
      <c r="B263" s="17"/>
      <c r="C263" s="17"/>
      <c r="D263" s="17"/>
      <c r="E263" s="17"/>
      <c r="F263" s="17"/>
      <c r="G263" s="4">
        <f>SUM($B263:$F263)</f>
        <v>0</v>
      </c>
      <c r="H263" s="17"/>
      <c r="I263" s="4">
        <f>$I262+$G263-$H263</f>
        <v>349526.07999999996</v>
      </c>
      <c r="J263" s="32" t="str">
        <f>IF($A264&lt;&gt;$A263,$I263,"")</f>
        <v/>
      </c>
      <c r="K263" s="79"/>
      <c r="L263" s="79"/>
      <c r="M263" s="2"/>
      <c r="N263" s="5"/>
      <c r="O263" s="3"/>
      <c r="P263" s="6"/>
      <c r="Q263" s="6" t="str">
        <f>IFERROR(SEARCH("ЗП",#REF!,1),"")</f>
        <v/>
      </c>
    </row>
    <row r="264" spans="1:17" ht="15" customHeight="1" x14ac:dyDescent="0.25">
      <c r="A264" s="1"/>
      <c r="B264" s="17"/>
      <c r="C264" s="17"/>
      <c r="D264" s="17"/>
      <c r="E264" s="17"/>
      <c r="F264" s="17"/>
      <c r="G264" s="4">
        <f>SUM($B264:$F264)</f>
        <v>0</v>
      </c>
      <c r="H264" s="17"/>
      <c r="I264" s="4">
        <f>$I263+$G264-$H264</f>
        <v>349526.07999999996</v>
      </c>
      <c r="J264" s="32" t="str">
        <f>IF($A265&lt;&gt;$A264,$I264,"")</f>
        <v/>
      </c>
      <c r="K264" s="79"/>
      <c r="L264" s="79"/>
      <c r="M264" s="2"/>
      <c r="N264" s="5"/>
      <c r="O264" s="3"/>
      <c r="P264" s="6"/>
      <c r="Q264" s="6" t="str">
        <f>IFERROR(SEARCH("ЗП",#REF!,1),"")</f>
        <v/>
      </c>
    </row>
    <row r="265" spans="1:17" ht="15" customHeight="1" x14ac:dyDescent="0.25">
      <c r="A265" s="1"/>
      <c r="B265" s="17"/>
      <c r="C265" s="17"/>
      <c r="D265" s="17"/>
      <c r="E265" s="17"/>
      <c r="F265" s="17"/>
      <c r="G265" s="4">
        <f>SUM($B265:$F265)</f>
        <v>0</v>
      </c>
      <c r="H265" s="17"/>
      <c r="I265" s="4">
        <f>$I264+$G265-$H265</f>
        <v>349526.07999999996</v>
      </c>
      <c r="J265" s="32" t="str">
        <f>IF($A266&lt;&gt;$A265,$I265,"")</f>
        <v/>
      </c>
      <c r="K265" s="79"/>
      <c r="L265" s="79"/>
      <c r="M265" s="2"/>
      <c r="N265" s="5"/>
      <c r="O265" s="3"/>
      <c r="P265" s="6"/>
      <c r="Q265" s="6" t="str">
        <f>IFERROR(SEARCH("ЗП",#REF!,1),"")</f>
        <v/>
      </c>
    </row>
    <row r="266" spans="1:17" ht="15" customHeight="1" x14ac:dyDescent="0.25">
      <c r="A266" s="1"/>
      <c r="B266" s="17"/>
      <c r="C266" s="17"/>
      <c r="D266" s="17"/>
      <c r="E266" s="17"/>
      <c r="F266" s="17"/>
      <c r="G266" s="4">
        <f>SUM($B266:$F266)</f>
        <v>0</v>
      </c>
      <c r="H266" s="17"/>
      <c r="I266" s="4">
        <f>$I265+$G266-$H266</f>
        <v>349526.07999999996</v>
      </c>
      <c r="J266" s="32" t="str">
        <f>IF($A267&lt;&gt;$A266,$I266,"")</f>
        <v/>
      </c>
      <c r="K266" s="79"/>
      <c r="L266" s="79"/>
      <c r="M266" s="2"/>
      <c r="N266" s="5"/>
      <c r="O266" s="3"/>
      <c r="P266" s="6"/>
      <c r="Q266" s="6" t="str">
        <f>IFERROR(SEARCH("ЗП",#REF!,1),"")</f>
        <v/>
      </c>
    </row>
    <row r="267" spans="1:17" ht="15" customHeight="1" x14ac:dyDescent="0.25">
      <c r="A267" s="1"/>
      <c r="B267" s="17"/>
      <c r="C267" s="17"/>
      <c r="D267" s="17"/>
      <c r="E267" s="17"/>
      <c r="F267" s="17"/>
      <c r="G267" s="4">
        <f>SUM($B267:$F267)</f>
        <v>0</v>
      </c>
      <c r="H267" s="17"/>
      <c r="I267" s="4">
        <f>$I266+$G267-$H267</f>
        <v>349526.07999999996</v>
      </c>
      <c r="J267" s="32" t="str">
        <f>IF($A268&lt;&gt;$A267,$I267,"")</f>
        <v/>
      </c>
      <c r="K267" s="79"/>
      <c r="L267" s="79"/>
      <c r="M267" s="2"/>
      <c r="N267" s="5"/>
      <c r="O267" s="3"/>
      <c r="P267" s="6"/>
      <c r="Q267" s="6" t="str">
        <f>IFERROR(SEARCH("ЗП",#REF!,1),"")</f>
        <v/>
      </c>
    </row>
    <row r="268" spans="1:17" ht="15" customHeight="1" x14ac:dyDescent="0.25">
      <c r="A268" s="1"/>
      <c r="B268" s="17"/>
      <c r="C268" s="17"/>
      <c r="D268" s="17"/>
      <c r="E268" s="17"/>
      <c r="F268" s="17"/>
      <c r="G268" s="4">
        <f>SUM($B268:$F268)</f>
        <v>0</v>
      </c>
      <c r="H268" s="17"/>
      <c r="I268" s="4">
        <f>$I267+$G268-$H268</f>
        <v>349526.07999999996</v>
      </c>
      <c r="J268" s="32" t="str">
        <f>IF($A269&lt;&gt;$A268,$I268,"")</f>
        <v/>
      </c>
      <c r="K268" s="79"/>
      <c r="L268" s="79"/>
      <c r="M268" s="2"/>
      <c r="N268" s="5"/>
      <c r="O268" s="3"/>
      <c r="P268" s="6"/>
      <c r="Q268" s="6" t="str">
        <f>IFERROR(SEARCH("ЗП",#REF!,1),"")</f>
        <v/>
      </c>
    </row>
    <row r="269" spans="1:17" ht="15" customHeight="1" x14ac:dyDescent="0.25">
      <c r="A269" s="1"/>
      <c r="B269" s="17"/>
      <c r="C269" s="17"/>
      <c r="D269" s="17"/>
      <c r="E269" s="17"/>
      <c r="F269" s="17"/>
      <c r="G269" s="4">
        <f>SUM($B269:$F269)</f>
        <v>0</v>
      </c>
      <c r="H269" s="17"/>
      <c r="I269" s="4">
        <f>$I268+$G269-$H269</f>
        <v>349526.07999999996</v>
      </c>
      <c r="J269" s="32" t="str">
        <f>IF($A270&lt;&gt;$A269,$I269,"")</f>
        <v/>
      </c>
      <c r="K269" s="79"/>
      <c r="L269" s="79"/>
      <c r="M269" s="2"/>
      <c r="N269" s="5"/>
      <c r="O269" s="3"/>
      <c r="P269" s="6"/>
      <c r="Q269" s="6" t="str">
        <f>IFERROR(SEARCH("ЗП",#REF!,1),"")</f>
        <v/>
      </c>
    </row>
    <row r="270" spans="1:17" ht="15" customHeight="1" x14ac:dyDescent="0.25">
      <c r="A270" s="1"/>
      <c r="B270" s="17"/>
      <c r="C270" s="17"/>
      <c r="D270" s="17"/>
      <c r="E270" s="17"/>
      <c r="F270" s="17"/>
      <c r="G270" s="4">
        <f>SUM($B270:$F270)</f>
        <v>0</v>
      </c>
      <c r="H270" s="17"/>
      <c r="I270" s="4">
        <f>$I269+$G270-$H270</f>
        <v>349526.07999999996</v>
      </c>
      <c r="J270" s="32" t="str">
        <f>IF($A271&lt;&gt;$A270,$I270,"")</f>
        <v/>
      </c>
      <c r="K270" s="79"/>
      <c r="L270" s="79"/>
      <c r="M270" s="2"/>
      <c r="N270" s="5"/>
      <c r="O270" s="3"/>
      <c r="P270" s="6"/>
      <c r="Q270" s="6" t="str">
        <f>IFERROR(SEARCH("ЗП",#REF!,1),"")</f>
        <v/>
      </c>
    </row>
    <row r="271" spans="1:17" ht="15" customHeight="1" x14ac:dyDescent="0.25">
      <c r="A271" s="1"/>
      <c r="B271" s="17"/>
      <c r="C271" s="17"/>
      <c r="D271" s="17"/>
      <c r="E271" s="17"/>
      <c r="F271" s="17"/>
      <c r="G271" s="4">
        <f>SUM($B271:$F271)</f>
        <v>0</v>
      </c>
      <c r="H271" s="17"/>
      <c r="I271" s="4">
        <f>$I270+$G271-$H271</f>
        <v>349526.07999999996</v>
      </c>
      <c r="J271" s="32" t="str">
        <f>IF($A272&lt;&gt;$A271,$I271,"")</f>
        <v/>
      </c>
      <c r="K271" s="79"/>
      <c r="L271" s="79"/>
      <c r="M271" s="2"/>
      <c r="N271" s="5"/>
      <c r="O271" s="3"/>
      <c r="P271" s="6"/>
      <c r="Q271" s="6" t="str">
        <f>IFERROR(SEARCH("ЗП",#REF!,1),"")</f>
        <v/>
      </c>
    </row>
    <row r="272" spans="1:17" ht="15" customHeight="1" x14ac:dyDescent="0.25">
      <c r="A272" s="1"/>
      <c r="B272" s="17"/>
      <c r="C272" s="17"/>
      <c r="D272" s="17"/>
      <c r="E272" s="17"/>
      <c r="F272" s="17"/>
      <c r="G272" s="4">
        <f>SUM($B272:$F272)</f>
        <v>0</v>
      </c>
      <c r="H272" s="17"/>
      <c r="I272" s="4">
        <f>$I271+$G272-$H272</f>
        <v>349526.07999999996</v>
      </c>
      <c r="J272" s="32" t="str">
        <f>IF($A273&lt;&gt;$A272,$I272,"")</f>
        <v/>
      </c>
      <c r="K272" s="79"/>
      <c r="L272" s="79"/>
      <c r="M272" s="2"/>
      <c r="N272" s="5"/>
      <c r="O272" s="3"/>
      <c r="P272" s="6"/>
      <c r="Q272" s="6" t="str">
        <f>IFERROR(SEARCH("ЗП",#REF!,1),"")</f>
        <v/>
      </c>
    </row>
    <row r="273" spans="1:17" ht="15" customHeight="1" x14ac:dyDescent="0.25">
      <c r="A273" s="1"/>
      <c r="B273" s="17"/>
      <c r="C273" s="17"/>
      <c r="D273" s="17"/>
      <c r="E273" s="17"/>
      <c r="F273" s="17"/>
      <c r="G273" s="4">
        <f>SUM($B273:$F273)</f>
        <v>0</v>
      </c>
      <c r="H273" s="17"/>
      <c r="I273" s="4">
        <f>$I272+$G273-$H273</f>
        <v>349526.07999999996</v>
      </c>
      <c r="J273" s="32" t="str">
        <f>IF($A274&lt;&gt;$A273,$I273,"")</f>
        <v/>
      </c>
      <c r="K273" s="79"/>
      <c r="L273" s="79"/>
      <c r="M273" s="2"/>
      <c r="N273" s="5"/>
      <c r="O273" s="3"/>
      <c r="P273" s="6"/>
      <c r="Q273" s="6" t="str">
        <f>IFERROR(SEARCH("ЗП",#REF!,1),"")</f>
        <v/>
      </c>
    </row>
    <row r="274" spans="1:17" ht="15" customHeight="1" x14ac:dyDescent="0.25">
      <c r="A274" s="1"/>
      <c r="B274" s="17"/>
      <c r="C274" s="17"/>
      <c r="D274" s="17"/>
      <c r="E274" s="17"/>
      <c r="F274" s="17"/>
      <c r="G274" s="4">
        <f>SUM($B274:$F274)</f>
        <v>0</v>
      </c>
      <c r="H274" s="17"/>
      <c r="I274" s="4">
        <f>$I273+$G274-$H274</f>
        <v>349526.07999999996</v>
      </c>
      <c r="J274" s="32" t="str">
        <f>IF($A275&lt;&gt;$A274,$I274,"")</f>
        <v/>
      </c>
      <c r="K274" s="79"/>
      <c r="L274" s="79"/>
      <c r="M274" s="2"/>
      <c r="N274" s="5"/>
      <c r="O274" s="3"/>
      <c r="P274" s="6"/>
      <c r="Q274" s="6" t="str">
        <f>IFERROR(SEARCH("ЗП",#REF!,1),"")</f>
        <v/>
      </c>
    </row>
    <row r="275" spans="1:17" ht="15" customHeight="1" x14ac:dyDescent="0.25">
      <c r="A275" s="1"/>
      <c r="B275" s="17"/>
      <c r="C275" s="17"/>
      <c r="D275" s="17"/>
      <c r="E275" s="17"/>
      <c r="F275" s="17"/>
      <c r="G275" s="4">
        <f>SUM($B275:$F275)</f>
        <v>0</v>
      </c>
      <c r="H275" s="17"/>
      <c r="I275" s="4">
        <f>$I274+$G275-$H275</f>
        <v>349526.07999999996</v>
      </c>
      <c r="J275" s="32" t="str">
        <f>IF($A276&lt;&gt;$A275,$I275,"")</f>
        <v/>
      </c>
      <c r="K275" s="79"/>
      <c r="L275" s="79"/>
      <c r="M275" s="2"/>
      <c r="N275" s="5"/>
      <c r="O275" s="3"/>
      <c r="P275" s="6"/>
      <c r="Q275" s="6" t="str">
        <f>IFERROR(SEARCH("ЗП",#REF!,1),"")</f>
        <v/>
      </c>
    </row>
    <row r="276" spans="1:17" ht="15" customHeight="1" x14ac:dyDescent="0.25">
      <c r="A276" s="1"/>
      <c r="B276" s="17"/>
      <c r="C276" s="17"/>
      <c r="D276" s="17"/>
      <c r="E276" s="17"/>
      <c r="F276" s="17"/>
      <c r="G276" s="4">
        <f>SUM($B276:$F276)</f>
        <v>0</v>
      </c>
      <c r="H276" s="17"/>
      <c r="I276" s="4">
        <f>$I275+$G276-$H276</f>
        <v>349526.07999999996</v>
      </c>
      <c r="J276" s="32" t="str">
        <f>IF($A277&lt;&gt;$A276,$I276,"")</f>
        <v/>
      </c>
      <c r="K276" s="79"/>
      <c r="L276" s="79"/>
      <c r="M276" s="2"/>
      <c r="N276" s="5"/>
      <c r="O276" s="3"/>
      <c r="P276" s="6"/>
      <c r="Q276" s="6" t="str">
        <f>IFERROR(SEARCH("ЗП",#REF!,1),"")</f>
        <v/>
      </c>
    </row>
    <row r="277" spans="1:17" ht="15" customHeight="1" x14ac:dyDescent="0.25">
      <c r="A277" s="1"/>
      <c r="B277" s="17"/>
      <c r="C277" s="17"/>
      <c r="D277" s="17"/>
      <c r="E277" s="17"/>
      <c r="F277" s="17"/>
      <c r="G277" s="4">
        <f>SUM($B277:$F277)</f>
        <v>0</v>
      </c>
      <c r="H277" s="17"/>
      <c r="I277" s="4">
        <f>$I276+$G277-$H277</f>
        <v>349526.07999999996</v>
      </c>
      <c r="J277" s="32" t="str">
        <f>IF($A278&lt;&gt;$A277,$I277,"")</f>
        <v/>
      </c>
      <c r="K277" s="79"/>
      <c r="L277" s="79"/>
      <c r="M277" s="2"/>
      <c r="N277" s="5"/>
      <c r="O277" s="3"/>
      <c r="P277" s="6"/>
      <c r="Q277" s="6" t="str">
        <f>IFERROR(SEARCH("ЗП",#REF!,1),"")</f>
        <v/>
      </c>
    </row>
    <row r="278" spans="1:17" ht="15" customHeight="1" x14ac:dyDescent="0.25">
      <c r="A278" s="1"/>
      <c r="B278" s="17"/>
      <c r="C278" s="17"/>
      <c r="D278" s="17"/>
      <c r="E278" s="17"/>
      <c r="F278" s="17"/>
      <c r="G278" s="4">
        <f>SUM($B278:$F278)</f>
        <v>0</v>
      </c>
      <c r="H278" s="17"/>
      <c r="I278" s="4">
        <f>$I277+$G278-$H278</f>
        <v>349526.07999999996</v>
      </c>
      <c r="J278" s="32" t="str">
        <f>IF($A279&lt;&gt;$A278,$I278,"")</f>
        <v/>
      </c>
      <c r="K278" s="79"/>
      <c r="L278" s="79"/>
      <c r="M278" s="2"/>
      <c r="N278" s="5"/>
      <c r="O278" s="3"/>
      <c r="P278" s="6"/>
      <c r="Q278" s="6" t="str">
        <f>IFERROR(SEARCH("ЗП",#REF!,1),"")</f>
        <v/>
      </c>
    </row>
    <row r="279" spans="1:17" ht="15" customHeight="1" x14ac:dyDescent="0.25">
      <c r="A279" s="1"/>
      <c r="B279" s="17"/>
      <c r="C279" s="17"/>
      <c r="D279" s="17"/>
      <c r="E279" s="17"/>
      <c r="F279" s="17"/>
      <c r="G279" s="4">
        <f>SUM($B279:$F279)</f>
        <v>0</v>
      </c>
      <c r="H279" s="17"/>
      <c r="I279" s="4">
        <f>$I278+$G279-$H279</f>
        <v>349526.07999999996</v>
      </c>
      <c r="J279" s="32" t="str">
        <f>IF($A280&lt;&gt;$A279,$I279,"")</f>
        <v/>
      </c>
      <c r="K279" s="79"/>
      <c r="L279" s="79"/>
      <c r="M279" s="2"/>
      <c r="N279" s="5"/>
      <c r="O279" s="3"/>
      <c r="P279" s="6"/>
      <c r="Q279" s="6" t="str">
        <f>IFERROR(SEARCH("ЗП",#REF!,1),"")</f>
        <v/>
      </c>
    </row>
    <row r="280" spans="1:17" ht="15" customHeight="1" x14ac:dyDescent="0.25">
      <c r="A280" s="1"/>
      <c r="B280" s="17"/>
      <c r="C280" s="17"/>
      <c r="D280" s="17"/>
      <c r="E280" s="17"/>
      <c r="F280" s="17"/>
      <c r="G280" s="4">
        <f>SUM($B280:$F280)</f>
        <v>0</v>
      </c>
      <c r="H280" s="17"/>
      <c r="I280" s="4">
        <f>$I279+$G280-$H280</f>
        <v>349526.07999999996</v>
      </c>
      <c r="J280" s="32" t="str">
        <f>IF($A281&lt;&gt;$A280,$I280,"")</f>
        <v/>
      </c>
      <c r="K280" s="79"/>
      <c r="L280" s="79"/>
      <c r="M280" s="2"/>
      <c r="N280" s="5"/>
      <c r="O280" s="3"/>
      <c r="P280" s="6"/>
      <c r="Q280" s="6" t="str">
        <f>IFERROR(SEARCH("ЗП",#REF!,1),"")</f>
        <v/>
      </c>
    </row>
    <row r="281" spans="1:17" ht="15" customHeight="1" x14ac:dyDescent="0.25">
      <c r="A281" s="1"/>
      <c r="B281" s="17"/>
      <c r="C281" s="17"/>
      <c r="D281" s="17"/>
      <c r="E281" s="17"/>
      <c r="F281" s="17"/>
      <c r="G281" s="4">
        <f>SUM($B281:$F281)</f>
        <v>0</v>
      </c>
      <c r="H281" s="17"/>
      <c r="I281" s="4">
        <f>$I280+$G281-$H281</f>
        <v>349526.07999999996</v>
      </c>
      <c r="J281" s="32" t="str">
        <f>IF($A282&lt;&gt;$A281,$I281,"")</f>
        <v/>
      </c>
      <c r="K281" s="79"/>
      <c r="L281" s="79"/>
      <c r="M281" s="2"/>
      <c r="N281" s="5"/>
      <c r="O281" s="3"/>
      <c r="P281" s="6"/>
      <c r="Q281" s="6" t="str">
        <f>IFERROR(SEARCH("ЗП",#REF!,1),"")</f>
        <v/>
      </c>
    </row>
    <row r="282" spans="1:17" ht="15" customHeight="1" x14ac:dyDescent="0.25">
      <c r="A282" s="1"/>
      <c r="B282" s="17"/>
      <c r="C282" s="17"/>
      <c r="D282" s="17"/>
      <c r="E282" s="17"/>
      <c r="F282" s="17"/>
      <c r="G282" s="4">
        <f>SUM($B282:$F282)</f>
        <v>0</v>
      </c>
      <c r="H282" s="17"/>
      <c r="I282" s="4">
        <f>$I281+$G282-$H282</f>
        <v>349526.07999999996</v>
      </c>
      <c r="J282" s="32" t="str">
        <f>IF($A283&lt;&gt;$A282,$I282,"")</f>
        <v/>
      </c>
      <c r="K282" s="79"/>
      <c r="L282" s="79"/>
      <c r="M282" s="2"/>
      <c r="N282" s="5"/>
      <c r="O282" s="3"/>
      <c r="P282" s="6"/>
      <c r="Q282" s="6" t="str">
        <f>IFERROR(SEARCH("ЗП",#REF!,1),"")</f>
        <v/>
      </c>
    </row>
    <row r="283" spans="1:17" ht="15" customHeight="1" x14ac:dyDescent="0.25">
      <c r="A283" s="1"/>
      <c r="B283" s="17"/>
      <c r="C283" s="17"/>
      <c r="D283" s="17"/>
      <c r="E283" s="17"/>
      <c r="F283" s="17"/>
      <c r="G283" s="4">
        <f>SUM($B283:$F283)</f>
        <v>0</v>
      </c>
      <c r="H283" s="17"/>
      <c r="I283" s="4">
        <f>$I282+$G283-$H283</f>
        <v>349526.07999999996</v>
      </c>
      <c r="J283" s="32" t="str">
        <f>IF($A284&lt;&gt;$A283,$I283,"")</f>
        <v/>
      </c>
      <c r="K283" s="79"/>
      <c r="L283" s="79"/>
      <c r="M283" s="2"/>
      <c r="N283" s="5"/>
      <c r="O283" s="3"/>
      <c r="P283" s="6"/>
      <c r="Q283" s="6" t="str">
        <f>IFERROR(SEARCH("ЗП",#REF!,1),"")</f>
        <v/>
      </c>
    </row>
    <row r="284" spans="1:17" ht="15" customHeight="1" x14ac:dyDescent="0.25">
      <c r="A284" s="1"/>
      <c r="B284" s="17"/>
      <c r="C284" s="17"/>
      <c r="D284" s="17"/>
      <c r="E284" s="17"/>
      <c r="F284" s="17"/>
      <c r="G284" s="4">
        <f>SUM($B284:$F284)</f>
        <v>0</v>
      </c>
      <c r="H284" s="17"/>
      <c r="I284" s="4">
        <f>$I283+$G284-$H284</f>
        <v>349526.07999999996</v>
      </c>
      <c r="J284" s="32" t="str">
        <f>IF($A285&lt;&gt;$A284,$I284,"")</f>
        <v/>
      </c>
      <c r="K284" s="79"/>
      <c r="L284" s="79"/>
      <c r="M284" s="2"/>
      <c r="N284" s="5"/>
      <c r="O284" s="3"/>
      <c r="P284" s="6"/>
      <c r="Q284" s="6" t="str">
        <f>IFERROR(SEARCH("ЗП",#REF!,1),"")</f>
        <v/>
      </c>
    </row>
    <row r="285" spans="1:17" ht="15" customHeight="1" x14ac:dyDescent="0.25">
      <c r="A285" s="1"/>
      <c r="B285" s="17"/>
      <c r="C285" s="17"/>
      <c r="D285" s="17"/>
      <c r="E285" s="17"/>
      <c r="F285" s="17"/>
      <c r="G285" s="4">
        <f>SUM($B285:$F285)</f>
        <v>0</v>
      </c>
      <c r="H285" s="17"/>
      <c r="I285" s="4">
        <f>$I284+$G285-$H285</f>
        <v>349526.07999999996</v>
      </c>
      <c r="J285" s="32" t="str">
        <f>IF($A286&lt;&gt;$A285,$I285,"")</f>
        <v/>
      </c>
      <c r="K285" s="79"/>
      <c r="L285" s="79"/>
      <c r="M285" s="2"/>
      <c r="N285" s="5"/>
      <c r="O285" s="3"/>
      <c r="P285" s="6"/>
      <c r="Q285" s="6" t="str">
        <f>IFERROR(SEARCH("ЗП",#REF!,1),"")</f>
        <v/>
      </c>
    </row>
    <row r="286" spans="1:17" ht="15" customHeight="1" x14ac:dyDescent="0.25">
      <c r="A286" s="1"/>
      <c r="B286" s="17"/>
      <c r="C286" s="17"/>
      <c r="D286" s="17"/>
      <c r="E286" s="17"/>
      <c r="F286" s="17"/>
      <c r="G286" s="4">
        <f>SUM($B286:$F286)</f>
        <v>0</v>
      </c>
      <c r="H286" s="17"/>
      <c r="I286" s="4">
        <f>$I285+$G286-$H286</f>
        <v>349526.07999999996</v>
      </c>
      <c r="J286" s="32" t="str">
        <f>IF($A287&lt;&gt;$A286,$I286,"")</f>
        <v/>
      </c>
      <c r="K286" s="79"/>
      <c r="L286" s="79"/>
      <c r="M286" s="2"/>
      <c r="N286" s="5"/>
      <c r="O286" s="3"/>
      <c r="P286" s="6"/>
      <c r="Q286" s="6" t="str">
        <f>IFERROR(SEARCH("ЗП",#REF!,1),"")</f>
        <v/>
      </c>
    </row>
    <row r="287" spans="1:17" ht="15" customHeight="1" x14ac:dyDescent="0.25">
      <c r="A287" s="1"/>
      <c r="B287" s="17"/>
      <c r="C287" s="17"/>
      <c r="D287" s="17"/>
      <c r="E287" s="17"/>
      <c r="F287" s="17"/>
      <c r="G287" s="4">
        <f>SUM($B287:$F287)</f>
        <v>0</v>
      </c>
      <c r="H287" s="17"/>
      <c r="I287" s="4">
        <f>$I286+$G287-$H287</f>
        <v>349526.07999999996</v>
      </c>
      <c r="J287" s="32" t="str">
        <f>IF($A288&lt;&gt;$A287,$I287,"")</f>
        <v/>
      </c>
      <c r="K287" s="79"/>
      <c r="L287" s="79"/>
      <c r="M287" s="2"/>
      <c r="N287" s="5"/>
      <c r="O287" s="3"/>
      <c r="P287" s="6"/>
      <c r="Q287" s="6" t="str">
        <f>IFERROR(SEARCH("ЗП",#REF!,1),"")</f>
        <v/>
      </c>
    </row>
    <row r="288" spans="1:17" ht="15" customHeight="1" x14ac:dyDescent="0.25">
      <c r="A288" s="1"/>
      <c r="B288" s="17"/>
      <c r="C288" s="17"/>
      <c r="D288" s="17"/>
      <c r="E288" s="17"/>
      <c r="F288" s="17"/>
      <c r="G288" s="4">
        <f>SUM($B288:$F288)</f>
        <v>0</v>
      </c>
      <c r="H288" s="17"/>
      <c r="I288" s="4">
        <f>$I287+$G288-$H288</f>
        <v>349526.07999999996</v>
      </c>
      <c r="J288" s="32" t="str">
        <f>IF($A289&lt;&gt;$A288,$I288,"")</f>
        <v/>
      </c>
      <c r="K288" s="79"/>
      <c r="L288" s="79"/>
      <c r="M288" s="2"/>
      <c r="N288" s="5"/>
      <c r="O288" s="3"/>
      <c r="P288" s="6"/>
      <c r="Q288" s="6" t="str">
        <f>IFERROR(SEARCH("ЗП",#REF!,1),"")</f>
        <v/>
      </c>
    </row>
    <row r="289" spans="1:17" ht="15" customHeight="1" x14ac:dyDescent="0.25">
      <c r="A289" s="1"/>
      <c r="B289" s="17"/>
      <c r="C289" s="17"/>
      <c r="D289" s="17"/>
      <c r="E289" s="17"/>
      <c r="F289" s="17"/>
      <c r="G289" s="4">
        <f>SUM($B289:$F289)</f>
        <v>0</v>
      </c>
      <c r="H289" s="17"/>
      <c r="I289" s="4">
        <f>$I288+$G289-$H289</f>
        <v>349526.07999999996</v>
      </c>
      <c r="J289" s="32" t="str">
        <f>IF($A290&lt;&gt;$A289,$I289,"")</f>
        <v/>
      </c>
      <c r="K289" s="79"/>
      <c r="L289" s="79"/>
      <c r="M289" s="2"/>
      <c r="N289" s="5"/>
      <c r="O289" s="3"/>
      <c r="P289" s="6"/>
      <c r="Q289" s="6" t="str">
        <f>IFERROR(SEARCH("ЗП",#REF!,1),"")</f>
        <v/>
      </c>
    </row>
    <row r="290" spans="1:17" ht="15" customHeight="1" x14ac:dyDescent="0.25">
      <c r="A290" s="1"/>
      <c r="B290" s="17"/>
      <c r="C290" s="17"/>
      <c r="D290" s="17"/>
      <c r="E290" s="17"/>
      <c r="F290" s="17"/>
      <c r="G290" s="4">
        <f>SUM($B290:$F290)</f>
        <v>0</v>
      </c>
      <c r="H290" s="17"/>
      <c r="I290" s="4">
        <f>$I289+$G290-$H290</f>
        <v>349526.07999999996</v>
      </c>
      <c r="J290" s="32" t="str">
        <f>IF($A291&lt;&gt;$A290,$I290,"")</f>
        <v/>
      </c>
      <c r="K290" s="79"/>
      <c r="L290" s="79"/>
      <c r="M290" s="2"/>
      <c r="N290" s="5"/>
      <c r="O290" s="3"/>
      <c r="P290" s="6"/>
      <c r="Q290" s="6" t="str">
        <f>IFERROR(SEARCH("ЗП",#REF!,1),"")</f>
        <v/>
      </c>
    </row>
    <row r="291" spans="1:17" ht="15" customHeight="1" x14ac:dyDescent="0.25">
      <c r="A291" s="1"/>
      <c r="B291" s="17"/>
      <c r="C291" s="17"/>
      <c r="D291" s="17"/>
      <c r="E291" s="17"/>
      <c r="F291" s="17"/>
      <c r="G291" s="4">
        <f>SUM($B291:$F291)</f>
        <v>0</v>
      </c>
      <c r="H291" s="17"/>
      <c r="I291" s="4">
        <f>$I290+$G291-$H291</f>
        <v>349526.07999999996</v>
      </c>
      <c r="J291" s="32" t="str">
        <f>IF($A292&lt;&gt;$A291,$I291,"")</f>
        <v/>
      </c>
      <c r="K291" s="79"/>
      <c r="L291" s="79"/>
      <c r="M291" s="2"/>
      <c r="N291" s="5"/>
      <c r="O291" s="3"/>
      <c r="P291" s="6"/>
      <c r="Q291" s="6" t="str">
        <f>IFERROR(SEARCH("ЗП",#REF!,1),"")</f>
        <v/>
      </c>
    </row>
    <row r="292" spans="1:17" ht="15" customHeight="1" x14ac:dyDescent="0.25">
      <c r="A292" s="1"/>
      <c r="B292" s="17"/>
      <c r="C292" s="17"/>
      <c r="D292" s="17"/>
      <c r="E292" s="17"/>
      <c r="F292" s="17"/>
      <c r="G292" s="4">
        <f>SUM($B292:$F292)</f>
        <v>0</v>
      </c>
      <c r="H292" s="17"/>
      <c r="I292" s="4">
        <f>$I291+$G292-$H292</f>
        <v>349526.07999999996</v>
      </c>
      <c r="J292" s="32" t="str">
        <f>IF($A293&lt;&gt;$A292,$I292,"")</f>
        <v/>
      </c>
      <c r="K292" s="79"/>
      <c r="L292" s="79"/>
      <c r="M292" s="2"/>
      <c r="N292" s="5"/>
      <c r="O292" s="3"/>
      <c r="P292" s="6"/>
      <c r="Q292" s="6" t="str">
        <f>IFERROR(SEARCH("ЗП",#REF!,1),"")</f>
        <v/>
      </c>
    </row>
    <row r="293" spans="1:17" ht="15" customHeight="1" x14ac:dyDescent="0.25">
      <c r="A293" s="1"/>
      <c r="B293" s="17"/>
      <c r="C293" s="17"/>
      <c r="D293" s="17"/>
      <c r="E293" s="17"/>
      <c r="F293" s="17"/>
      <c r="G293" s="4">
        <f>SUM($B293:$F293)</f>
        <v>0</v>
      </c>
      <c r="H293" s="17"/>
      <c r="I293" s="4">
        <f>$I292+$G293-$H293</f>
        <v>349526.07999999996</v>
      </c>
      <c r="J293" s="32" t="str">
        <f>IF($A294&lt;&gt;$A293,$I293,"")</f>
        <v/>
      </c>
      <c r="K293" s="79"/>
      <c r="L293" s="79"/>
      <c r="M293" s="2"/>
      <c r="N293" s="5"/>
      <c r="O293" s="3"/>
      <c r="P293" s="6"/>
      <c r="Q293" s="6" t="str">
        <f>IFERROR(SEARCH("ЗП",#REF!,1),"")</f>
        <v/>
      </c>
    </row>
    <row r="294" spans="1:17" ht="15" customHeight="1" x14ac:dyDescent="0.25">
      <c r="A294" s="1"/>
      <c r="B294" s="17"/>
      <c r="C294" s="17"/>
      <c r="D294" s="17"/>
      <c r="E294" s="17"/>
      <c r="F294" s="17"/>
      <c r="G294" s="4">
        <f>SUM($B294:$F294)</f>
        <v>0</v>
      </c>
      <c r="H294" s="17"/>
      <c r="I294" s="4">
        <f>$I293+$G294-$H294</f>
        <v>349526.07999999996</v>
      </c>
      <c r="J294" s="32" t="str">
        <f>IF($A295&lt;&gt;$A294,$I294,"")</f>
        <v/>
      </c>
      <c r="K294" s="79"/>
      <c r="L294" s="79"/>
      <c r="M294" s="2"/>
      <c r="N294" s="5"/>
      <c r="O294" s="3"/>
      <c r="P294" s="6"/>
      <c r="Q294" s="6" t="str">
        <f>IFERROR(SEARCH("ЗП",#REF!,1),"")</f>
        <v/>
      </c>
    </row>
    <row r="295" spans="1:17" ht="15" customHeight="1" x14ac:dyDescent="0.25">
      <c r="A295" s="1"/>
      <c r="B295" s="17"/>
      <c r="C295" s="17"/>
      <c r="D295" s="17"/>
      <c r="E295" s="17"/>
      <c r="F295" s="17"/>
      <c r="G295" s="4">
        <f>SUM($B295:$F295)</f>
        <v>0</v>
      </c>
      <c r="H295" s="17"/>
      <c r="I295" s="4">
        <f>$I294+$G295-$H295</f>
        <v>349526.07999999996</v>
      </c>
      <c r="J295" s="32" t="str">
        <f>IF($A296&lt;&gt;$A295,$I295,"")</f>
        <v/>
      </c>
      <c r="K295" s="79"/>
      <c r="L295" s="79"/>
      <c r="M295" s="2"/>
      <c r="N295" s="5"/>
      <c r="O295" s="3"/>
      <c r="P295" s="6"/>
      <c r="Q295" s="6" t="str">
        <f>IFERROR(SEARCH("ЗП",#REF!,1),"")</f>
        <v/>
      </c>
    </row>
    <row r="296" spans="1:17" ht="15" customHeight="1" x14ac:dyDescent="0.25">
      <c r="A296" s="1"/>
      <c r="B296" s="17"/>
      <c r="C296" s="17"/>
      <c r="D296" s="17"/>
      <c r="E296" s="17"/>
      <c r="F296" s="17"/>
      <c r="G296" s="4">
        <f>SUM($B296:$F296)</f>
        <v>0</v>
      </c>
      <c r="H296" s="17"/>
      <c r="I296" s="4">
        <f>$I295+$G296-$H296</f>
        <v>349526.07999999996</v>
      </c>
      <c r="J296" s="32" t="str">
        <f>IF($A297&lt;&gt;$A296,$I296,"")</f>
        <v/>
      </c>
      <c r="K296" s="79"/>
      <c r="L296" s="79"/>
      <c r="M296" s="2"/>
      <c r="N296" s="5"/>
      <c r="O296" s="3"/>
      <c r="P296" s="6"/>
      <c r="Q296" s="6" t="str">
        <f>IFERROR(SEARCH("ЗП",#REF!,1),"")</f>
        <v/>
      </c>
    </row>
    <row r="297" spans="1:17" ht="15" customHeight="1" x14ac:dyDescent="0.25">
      <c r="A297" s="1"/>
      <c r="B297" s="17"/>
      <c r="C297" s="17"/>
      <c r="D297" s="17"/>
      <c r="E297" s="17"/>
      <c r="F297" s="17"/>
      <c r="G297" s="4">
        <f>SUM($B297:$F297)</f>
        <v>0</v>
      </c>
      <c r="H297" s="17"/>
      <c r="I297" s="4">
        <f>$I296+$G297-$H297</f>
        <v>349526.07999999996</v>
      </c>
      <c r="J297" s="32" t="str">
        <f>IF($A298&lt;&gt;$A297,$I297,"")</f>
        <v/>
      </c>
      <c r="K297" s="79"/>
      <c r="L297" s="79"/>
      <c r="M297" s="2"/>
      <c r="N297" s="5"/>
      <c r="O297" s="3"/>
      <c r="P297" s="6"/>
      <c r="Q297" s="6" t="str">
        <f>IFERROR(SEARCH("ЗП",#REF!,1),"")</f>
        <v/>
      </c>
    </row>
    <row r="298" spans="1:17" ht="15" customHeight="1" x14ac:dyDescent="0.25">
      <c r="A298" s="1"/>
      <c r="B298" s="17"/>
      <c r="C298" s="17"/>
      <c r="D298" s="17"/>
      <c r="E298" s="17"/>
      <c r="F298" s="17"/>
      <c r="G298" s="4">
        <f>SUM($B298:$F298)</f>
        <v>0</v>
      </c>
      <c r="H298" s="17"/>
      <c r="I298" s="4">
        <f>$I297+$G298-$H298</f>
        <v>349526.07999999996</v>
      </c>
      <c r="J298" s="32" t="str">
        <f>IF($A299&lt;&gt;$A298,$I298,"")</f>
        <v/>
      </c>
      <c r="K298" s="79"/>
      <c r="L298" s="79"/>
      <c r="M298" s="2"/>
      <c r="N298" s="5"/>
      <c r="O298" s="3"/>
      <c r="P298" s="6"/>
      <c r="Q298" s="6" t="str">
        <f>IFERROR(SEARCH("ЗП",#REF!,1),"")</f>
        <v/>
      </c>
    </row>
    <row r="299" spans="1:17" ht="15" customHeight="1" x14ac:dyDescent="0.25">
      <c r="A299" s="1"/>
      <c r="B299" s="17"/>
      <c r="C299" s="17"/>
      <c r="D299" s="17"/>
      <c r="E299" s="17"/>
      <c r="F299" s="17"/>
      <c r="G299" s="4">
        <f>SUM($B299:$F299)</f>
        <v>0</v>
      </c>
      <c r="H299" s="17"/>
      <c r="I299" s="4">
        <f>$I298+$G299-$H299</f>
        <v>349526.07999999996</v>
      </c>
      <c r="J299" s="32" t="str">
        <f>IF($A300&lt;&gt;$A299,$I299,"")</f>
        <v/>
      </c>
      <c r="K299" s="79"/>
      <c r="L299" s="79"/>
      <c r="M299" s="2"/>
      <c r="N299" s="5"/>
      <c r="O299" s="3"/>
      <c r="P299" s="6"/>
      <c r="Q299" s="6" t="str">
        <f>IFERROR(SEARCH("ЗП",#REF!,1),"")</f>
        <v/>
      </c>
    </row>
    <row r="300" spans="1:17" ht="15" customHeight="1" x14ac:dyDescent="0.25">
      <c r="A300" s="1"/>
      <c r="B300" s="17"/>
      <c r="C300" s="17"/>
      <c r="D300" s="17"/>
      <c r="E300" s="17"/>
      <c r="F300" s="17"/>
      <c r="G300" s="4">
        <f>SUM($B300:$F300)</f>
        <v>0</v>
      </c>
      <c r="H300" s="17"/>
      <c r="I300" s="4">
        <f>$I299+$G300-$H300</f>
        <v>349526.07999999996</v>
      </c>
      <c r="J300" s="32" t="str">
        <f>IF($A301&lt;&gt;$A300,$I300,"")</f>
        <v/>
      </c>
      <c r="K300" s="79"/>
      <c r="L300" s="79"/>
      <c r="M300" s="2"/>
      <c r="N300" s="5"/>
      <c r="O300" s="3"/>
      <c r="P300" s="6"/>
      <c r="Q300" s="6" t="str">
        <f>IFERROR(SEARCH("ЗП",#REF!,1),"")</f>
        <v/>
      </c>
    </row>
    <row r="301" spans="1:17" ht="15" customHeight="1" x14ac:dyDescent="0.25">
      <c r="A301" s="1"/>
      <c r="B301" s="17"/>
      <c r="C301" s="17"/>
      <c r="D301" s="17"/>
      <c r="E301" s="17"/>
      <c r="F301" s="17"/>
      <c r="G301" s="4">
        <f>SUM($B301:$F301)</f>
        <v>0</v>
      </c>
      <c r="H301" s="17"/>
      <c r="I301" s="4">
        <f>$I300+$G301-$H301</f>
        <v>349526.07999999996</v>
      </c>
      <c r="J301" s="32" t="str">
        <f>IF($A302&lt;&gt;$A301,$I301,"")</f>
        <v/>
      </c>
      <c r="K301" s="79"/>
      <c r="L301" s="79"/>
      <c r="M301" s="2"/>
      <c r="N301" s="5"/>
      <c r="O301" s="3"/>
      <c r="P301" s="6"/>
      <c r="Q301" s="6" t="str">
        <f>IFERROR(SEARCH("ЗП",#REF!,1),"")</f>
        <v/>
      </c>
    </row>
    <row r="302" spans="1:17" ht="15" customHeight="1" x14ac:dyDescent="0.25">
      <c r="A302" s="1"/>
      <c r="B302" s="17"/>
      <c r="C302" s="17"/>
      <c r="D302" s="17"/>
      <c r="E302" s="17"/>
      <c r="F302" s="17"/>
      <c r="G302" s="4">
        <f>SUM($B302:$F302)</f>
        <v>0</v>
      </c>
      <c r="H302" s="17"/>
      <c r="I302" s="4">
        <f>$I301+$G302-$H302</f>
        <v>349526.07999999996</v>
      </c>
      <c r="J302" s="32" t="str">
        <f>IF($A303&lt;&gt;$A302,$I302,"")</f>
        <v/>
      </c>
      <c r="K302" s="79"/>
      <c r="L302" s="79"/>
      <c r="M302" s="2"/>
      <c r="N302" s="5"/>
      <c r="O302" s="3"/>
      <c r="P302" s="6"/>
      <c r="Q302" s="6" t="str">
        <f>IFERROR(SEARCH("ЗП",#REF!,1),"")</f>
        <v/>
      </c>
    </row>
    <row r="303" spans="1:17" ht="15" customHeight="1" x14ac:dyDescent="0.25">
      <c r="A303" s="1"/>
      <c r="B303" s="17"/>
      <c r="C303" s="17"/>
      <c r="D303" s="17"/>
      <c r="E303" s="17"/>
      <c r="F303" s="17"/>
      <c r="G303" s="4">
        <f>SUM($B303:$F303)</f>
        <v>0</v>
      </c>
      <c r="H303" s="17"/>
      <c r="I303" s="4">
        <f>$I302+$G303-$H303</f>
        <v>349526.07999999996</v>
      </c>
      <c r="J303" s="32" t="str">
        <f>IF($A304&lt;&gt;$A303,$I303,"")</f>
        <v/>
      </c>
      <c r="K303" s="79"/>
      <c r="L303" s="79"/>
      <c r="M303" s="2"/>
      <c r="N303" s="5"/>
      <c r="O303" s="3"/>
      <c r="P303" s="6"/>
      <c r="Q303" s="6" t="str">
        <f>IFERROR(SEARCH("ЗП",#REF!,1),"")</f>
        <v/>
      </c>
    </row>
    <row r="304" spans="1:17" ht="15" customHeight="1" x14ac:dyDescent="0.25">
      <c r="A304" s="1"/>
      <c r="B304" s="17"/>
      <c r="C304" s="17"/>
      <c r="D304" s="17"/>
      <c r="E304" s="17"/>
      <c r="F304" s="17"/>
      <c r="G304" s="4">
        <f>SUM($B304:$F304)</f>
        <v>0</v>
      </c>
      <c r="H304" s="17"/>
      <c r="I304" s="4">
        <f>$I303+$G304-$H304</f>
        <v>349526.07999999996</v>
      </c>
      <c r="J304" s="32" t="str">
        <f>IF($A305&lt;&gt;$A304,$I304,"")</f>
        <v/>
      </c>
      <c r="K304" s="79"/>
      <c r="L304" s="79"/>
      <c r="M304" s="2"/>
      <c r="N304" s="5"/>
      <c r="O304" s="3"/>
      <c r="P304" s="6"/>
      <c r="Q304" s="6" t="str">
        <f>IFERROR(SEARCH("ЗП",#REF!,1),"")</f>
        <v/>
      </c>
    </row>
    <row r="305" spans="1:17" ht="15" customHeight="1" x14ac:dyDescent="0.25">
      <c r="A305" s="1"/>
      <c r="B305" s="17"/>
      <c r="C305" s="17"/>
      <c r="D305" s="17"/>
      <c r="E305" s="17"/>
      <c r="F305" s="17"/>
      <c r="G305" s="4">
        <f>SUM($B305:$F305)</f>
        <v>0</v>
      </c>
      <c r="H305" s="17"/>
      <c r="I305" s="4">
        <f>$I304+$G305-$H305</f>
        <v>349526.07999999996</v>
      </c>
      <c r="J305" s="32" t="str">
        <f>IF($A306&lt;&gt;$A305,$I305,"")</f>
        <v/>
      </c>
      <c r="K305" s="79"/>
      <c r="L305" s="79"/>
      <c r="M305" s="2"/>
      <c r="N305" s="5"/>
      <c r="O305" s="3"/>
      <c r="P305" s="6"/>
      <c r="Q305" s="6" t="str">
        <f>IFERROR(SEARCH("ЗП",#REF!,1),"")</f>
        <v/>
      </c>
    </row>
    <row r="306" spans="1:17" ht="15" customHeight="1" x14ac:dyDescent="0.25">
      <c r="A306" s="1"/>
      <c r="B306" s="17"/>
      <c r="C306" s="17"/>
      <c r="D306" s="17"/>
      <c r="E306" s="17"/>
      <c r="F306" s="17"/>
      <c r="G306" s="4">
        <f>SUM($B306:$F306)</f>
        <v>0</v>
      </c>
      <c r="H306" s="17"/>
      <c r="I306" s="4">
        <f>$I305+$G306-$H306</f>
        <v>349526.07999999996</v>
      </c>
      <c r="J306" s="32" t="str">
        <f>IF($A307&lt;&gt;$A306,$I306,"")</f>
        <v/>
      </c>
      <c r="K306" s="79"/>
      <c r="L306" s="79"/>
      <c r="M306" s="2"/>
      <c r="N306" s="5"/>
      <c r="O306" s="3"/>
      <c r="P306" s="6"/>
      <c r="Q306" s="6" t="str">
        <f>IFERROR(SEARCH("ЗП",#REF!,1),"")</f>
        <v/>
      </c>
    </row>
    <row r="307" spans="1:17" ht="15" customHeight="1" x14ac:dyDescent="0.25">
      <c r="A307" s="1"/>
      <c r="B307" s="17"/>
      <c r="C307" s="17"/>
      <c r="D307" s="17"/>
      <c r="E307" s="17"/>
      <c r="F307" s="17"/>
      <c r="G307" s="4">
        <f>SUM($B307:$F307)</f>
        <v>0</v>
      </c>
      <c r="H307" s="17"/>
      <c r="I307" s="4">
        <f>$I306+$G307-$H307</f>
        <v>349526.07999999996</v>
      </c>
      <c r="J307" s="32" t="str">
        <f>IF($A308&lt;&gt;$A307,$I307,"")</f>
        <v/>
      </c>
      <c r="K307" s="79"/>
      <c r="L307" s="79"/>
      <c r="M307" s="2"/>
      <c r="N307" s="5"/>
      <c r="O307" s="3"/>
      <c r="P307" s="6"/>
      <c r="Q307" s="6" t="str">
        <f>IFERROR(SEARCH("ЗП",#REF!,1),"")</f>
        <v/>
      </c>
    </row>
    <row r="308" spans="1:17" ht="15" customHeight="1" x14ac:dyDescent="0.25">
      <c r="A308" s="1"/>
      <c r="B308" s="17"/>
      <c r="C308" s="17"/>
      <c r="D308" s="17"/>
      <c r="E308" s="17"/>
      <c r="F308" s="17"/>
      <c r="G308" s="4">
        <f>SUM($B308:$F308)</f>
        <v>0</v>
      </c>
      <c r="H308" s="17"/>
      <c r="I308" s="4">
        <f>$I307+$G308-$H308</f>
        <v>349526.07999999996</v>
      </c>
      <c r="J308" s="32" t="str">
        <f>IF($A309&lt;&gt;$A308,$I308,"")</f>
        <v/>
      </c>
      <c r="K308" s="79"/>
      <c r="L308" s="79"/>
      <c r="M308" s="2"/>
      <c r="N308" s="5"/>
      <c r="O308" s="3"/>
      <c r="P308" s="6"/>
      <c r="Q308" s="6" t="str">
        <f>IFERROR(SEARCH("ЗП",#REF!,1),"")</f>
        <v/>
      </c>
    </row>
    <row r="309" spans="1:17" ht="15" customHeight="1" x14ac:dyDescent="0.25">
      <c r="A309" s="1"/>
      <c r="B309" s="17"/>
      <c r="C309" s="17"/>
      <c r="D309" s="17"/>
      <c r="E309" s="17"/>
      <c r="F309" s="17"/>
      <c r="G309" s="4">
        <f>SUM($B309:$F309)</f>
        <v>0</v>
      </c>
      <c r="H309" s="17"/>
      <c r="I309" s="4">
        <f>$I308+$G309-$H309</f>
        <v>349526.07999999996</v>
      </c>
      <c r="J309" s="32" t="str">
        <f>IF($A310&lt;&gt;$A309,$I309,"")</f>
        <v/>
      </c>
      <c r="K309" s="79"/>
      <c r="L309" s="79"/>
      <c r="M309" s="2"/>
      <c r="N309" s="5"/>
      <c r="O309" s="3"/>
      <c r="P309" s="6"/>
      <c r="Q309" s="6" t="str">
        <f>IFERROR(SEARCH("ЗП",#REF!,1),"")</f>
        <v/>
      </c>
    </row>
    <row r="310" spans="1:17" ht="15" customHeight="1" x14ac:dyDescent="0.25">
      <c r="A310" s="1"/>
      <c r="B310" s="17"/>
      <c r="C310" s="17"/>
      <c r="D310" s="17"/>
      <c r="E310" s="17"/>
      <c r="F310" s="17"/>
      <c r="G310" s="4">
        <f>SUM($B310:$F310)</f>
        <v>0</v>
      </c>
      <c r="H310" s="17"/>
      <c r="I310" s="4">
        <f>$I309+$G310-$H310</f>
        <v>349526.07999999996</v>
      </c>
      <c r="J310" s="32" t="str">
        <f>IF($A311&lt;&gt;$A310,$I310,"")</f>
        <v/>
      </c>
      <c r="K310" s="79"/>
      <c r="L310" s="79"/>
      <c r="M310" s="2"/>
      <c r="N310" s="5"/>
      <c r="O310" s="3"/>
      <c r="P310" s="6"/>
      <c r="Q310" s="6" t="str">
        <f>IFERROR(SEARCH("ЗП",#REF!,1),"")</f>
        <v/>
      </c>
    </row>
    <row r="311" spans="1:17" ht="15" customHeight="1" x14ac:dyDescent="0.25">
      <c r="A311" s="1"/>
      <c r="B311" s="17"/>
      <c r="C311" s="17"/>
      <c r="D311" s="17"/>
      <c r="E311" s="17"/>
      <c r="F311" s="17"/>
      <c r="G311" s="4">
        <f>SUM($B311:$F311)</f>
        <v>0</v>
      </c>
      <c r="H311" s="17"/>
      <c r="I311" s="4">
        <f>$I310+$G311-$H311</f>
        <v>349526.07999999996</v>
      </c>
      <c r="J311" s="32" t="str">
        <f>IF($A312&lt;&gt;$A311,$I311,"")</f>
        <v/>
      </c>
      <c r="K311" s="79"/>
      <c r="L311" s="79"/>
      <c r="M311" s="2"/>
      <c r="N311" s="5"/>
      <c r="O311" s="3"/>
      <c r="P311" s="6"/>
      <c r="Q311" s="6" t="str">
        <f>IFERROR(SEARCH("ЗП",#REF!,1),"")</f>
        <v/>
      </c>
    </row>
    <row r="312" spans="1:17" ht="15" customHeight="1" x14ac:dyDescent="0.25">
      <c r="A312" s="1"/>
      <c r="B312" s="17"/>
      <c r="C312" s="17"/>
      <c r="D312" s="17"/>
      <c r="E312" s="17"/>
      <c r="F312" s="17"/>
      <c r="G312" s="4">
        <f>SUM($B312:$F312)</f>
        <v>0</v>
      </c>
      <c r="H312" s="17"/>
      <c r="I312" s="4">
        <f>$I311+$G312-$H312</f>
        <v>349526.07999999996</v>
      </c>
      <c r="J312" s="32" t="str">
        <f>IF($A313&lt;&gt;$A312,$I312,"")</f>
        <v/>
      </c>
      <c r="K312" s="79"/>
      <c r="L312" s="79"/>
      <c r="M312" s="2"/>
      <c r="N312" s="5"/>
      <c r="O312" s="3"/>
      <c r="P312" s="6"/>
      <c r="Q312" s="6" t="str">
        <f>IFERROR(SEARCH("ЗП",#REF!,1),"")</f>
        <v/>
      </c>
    </row>
    <row r="313" spans="1:17" ht="15" customHeight="1" x14ac:dyDescent="0.25">
      <c r="A313" s="1"/>
      <c r="B313" s="17"/>
      <c r="C313" s="17"/>
      <c r="D313" s="17"/>
      <c r="E313" s="17"/>
      <c r="F313" s="17"/>
      <c r="G313" s="4">
        <f>SUM($B313:$F313)</f>
        <v>0</v>
      </c>
      <c r="H313" s="17"/>
      <c r="I313" s="4">
        <f>$I312+$G313-$H313</f>
        <v>349526.07999999996</v>
      </c>
      <c r="J313" s="32" t="str">
        <f>IF($A314&lt;&gt;$A313,$I313,"")</f>
        <v/>
      </c>
      <c r="K313" s="79"/>
      <c r="L313" s="79"/>
      <c r="M313" s="2"/>
      <c r="N313" s="5"/>
      <c r="O313" s="3"/>
      <c r="P313" s="6"/>
      <c r="Q313" s="6" t="str">
        <f>IFERROR(SEARCH("ЗП",#REF!,1),"")</f>
        <v/>
      </c>
    </row>
    <row r="314" spans="1:17" ht="15" customHeight="1" x14ac:dyDescent="0.25">
      <c r="A314" s="1"/>
      <c r="B314" s="17"/>
      <c r="C314" s="17"/>
      <c r="D314" s="17"/>
      <c r="E314" s="17"/>
      <c r="F314" s="17"/>
      <c r="G314" s="4">
        <f>SUM($B314:$F314)</f>
        <v>0</v>
      </c>
      <c r="H314" s="17"/>
      <c r="I314" s="4">
        <f>$I313+$G314-$H314</f>
        <v>349526.07999999996</v>
      </c>
      <c r="J314" s="32" t="str">
        <f>IF($A315&lt;&gt;$A314,$I314,"")</f>
        <v/>
      </c>
      <c r="K314" s="79"/>
      <c r="L314" s="79"/>
      <c r="M314" s="2"/>
      <c r="N314" s="5"/>
      <c r="O314" s="3"/>
      <c r="P314" s="6"/>
      <c r="Q314" s="6" t="str">
        <f>IFERROR(SEARCH("ЗП",#REF!,1),"")</f>
        <v/>
      </c>
    </row>
    <row r="315" spans="1:17" ht="15" customHeight="1" x14ac:dyDescent="0.25">
      <c r="A315" s="1"/>
      <c r="B315" s="17"/>
      <c r="C315" s="17"/>
      <c r="D315" s="17"/>
      <c r="E315" s="17"/>
      <c r="F315" s="17"/>
      <c r="G315" s="4">
        <f>SUM($B315:$F315)</f>
        <v>0</v>
      </c>
      <c r="H315" s="17"/>
      <c r="I315" s="4">
        <f>$I314+$G315-$H315</f>
        <v>349526.07999999996</v>
      </c>
      <c r="J315" s="32" t="str">
        <f>IF($A316&lt;&gt;$A315,$I315,"")</f>
        <v/>
      </c>
      <c r="K315" s="79"/>
      <c r="L315" s="79"/>
      <c r="M315" s="2"/>
      <c r="N315" s="5"/>
      <c r="O315" s="3"/>
      <c r="P315" s="6"/>
      <c r="Q315" s="6" t="str">
        <f>IFERROR(SEARCH("ЗП",#REF!,1),"")</f>
        <v/>
      </c>
    </row>
    <row r="316" spans="1:17" ht="15" customHeight="1" x14ac:dyDescent="0.25">
      <c r="A316" s="1"/>
      <c r="B316" s="17"/>
      <c r="C316" s="17"/>
      <c r="D316" s="17"/>
      <c r="E316" s="17"/>
      <c r="F316" s="17"/>
      <c r="G316" s="4">
        <f>SUM($B316:$F316)</f>
        <v>0</v>
      </c>
      <c r="H316" s="17"/>
      <c r="I316" s="4">
        <f>$I315+$G316-$H316</f>
        <v>349526.07999999996</v>
      </c>
      <c r="J316" s="32" t="str">
        <f>IF($A317&lt;&gt;$A316,$I316,"")</f>
        <v/>
      </c>
      <c r="K316" s="79"/>
      <c r="L316" s="79"/>
      <c r="M316" s="2"/>
      <c r="N316" s="5"/>
      <c r="O316" s="3"/>
      <c r="P316" s="6"/>
      <c r="Q316" s="6" t="str">
        <f>IFERROR(SEARCH("ЗП",#REF!,1),"")</f>
        <v/>
      </c>
    </row>
    <row r="317" spans="1:17" ht="15" customHeight="1" x14ac:dyDescent="0.25">
      <c r="A317" s="1"/>
      <c r="B317" s="17"/>
      <c r="C317" s="17"/>
      <c r="D317" s="17"/>
      <c r="E317" s="17"/>
      <c r="F317" s="17"/>
      <c r="G317" s="4">
        <f>SUM($B317:$F317)</f>
        <v>0</v>
      </c>
      <c r="H317" s="17"/>
      <c r="I317" s="4">
        <f>$I316+$G317-$H317</f>
        <v>349526.07999999996</v>
      </c>
      <c r="J317" s="32" t="str">
        <f>IF($A318&lt;&gt;$A317,$I317,"")</f>
        <v/>
      </c>
      <c r="K317" s="79"/>
      <c r="L317" s="79"/>
      <c r="M317" s="2"/>
      <c r="N317" s="5"/>
      <c r="O317" s="3"/>
      <c r="P317" s="6"/>
      <c r="Q317" s="6" t="str">
        <f>IFERROR(SEARCH("ЗП",#REF!,1),"")</f>
        <v/>
      </c>
    </row>
    <row r="318" spans="1:17" ht="15" customHeight="1" x14ac:dyDescent="0.25">
      <c r="A318" s="1"/>
      <c r="B318" s="17"/>
      <c r="C318" s="17"/>
      <c r="D318" s="17"/>
      <c r="E318" s="17"/>
      <c r="F318" s="17"/>
      <c r="G318" s="4">
        <f>SUM($B318:$F318)</f>
        <v>0</v>
      </c>
      <c r="H318" s="17"/>
      <c r="I318" s="4">
        <f>$I317+$G318-$H318</f>
        <v>349526.07999999996</v>
      </c>
      <c r="J318" s="32" t="str">
        <f>IF($A319&lt;&gt;$A318,$I318,"")</f>
        <v/>
      </c>
      <c r="K318" s="79"/>
      <c r="L318" s="79"/>
      <c r="M318" s="2"/>
      <c r="N318" s="5"/>
      <c r="O318" s="3"/>
      <c r="P318" s="6"/>
      <c r="Q318" s="6" t="str">
        <f>IFERROR(SEARCH("ЗП",#REF!,1),"")</f>
        <v/>
      </c>
    </row>
    <row r="319" spans="1:17" ht="15" customHeight="1" x14ac:dyDescent="0.25">
      <c r="A319" s="1"/>
      <c r="B319" s="17"/>
      <c r="C319" s="17"/>
      <c r="D319" s="17"/>
      <c r="E319" s="17"/>
      <c r="F319" s="17"/>
      <c r="G319" s="4">
        <f>SUM($B319:$F319)</f>
        <v>0</v>
      </c>
      <c r="H319" s="17"/>
      <c r="I319" s="4">
        <f>$I318+$G319-$H319</f>
        <v>349526.07999999996</v>
      </c>
      <c r="J319" s="32" t="str">
        <f>IF($A320&lt;&gt;$A319,$I319,"")</f>
        <v/>
      </c>
      <c r="K319" s="79"/>
      <c r="L319" s="79"/>
      <c r="M319" s="2"/>
      <c r="N319" s="5"/>
      <c r="O319" s="3"/>
      <c r="P319" s="6"/>
      <c r="Q319" s="6" t="str">
        <f>IFERROR(SEARCH("ЗП",#REF!,1),"")</f>
        <v/>
      </c>
    </row>
    <row r="320" spans="1:17" ht="15" customHeight="1" x14ac:dyDescent="0.25">
      <c r="A320" s="1"/>
      <c r="B320" s="17"/>
      <c r="C320" s="17"/>
      <c r="D320" s="17"/>
      <c r="E320" s="17"/>
      <c r="F320" s="17"/>
      <c r="G320" s="4">
        <f>SUM($B320:$F320)</f>
        <v>0</v>
      </c>
      <c r="H320" s="17"/>
      <c r="I320" s="4">
        <f>$I319+$G320-$H320</f>
        <v>349526.07999999996</v>
      </c>
      <c r="J320" s="32" t="str">
        <f>IF($A321&lt;&gt;$A320,$I320,"")</f>
        <v/>
      </c>
      <c r="K320" s="79"/>
      <c r="L320" s="79"/>
      <c r="M320" s="2"/>
      <c r="N320" s="5"/>
      <c r="O320" s="3"/>
      <c r="P320" s="6"/>
      <c r="Q320" s="6" t="str">
        <f>IFERROR(SEARCH("ЗП",#REF!,1),"")</f>
        <v/>
      </c>
    </row>
    <row r="321" spans="1:17" ht="15" customHeight="1" x14ac:dyDescent="0.25">
      <c r="A321" s="1"/>
      <c r="B321" s="17"/>
      <c r="C321" s="17"/>
      <c r="D321" s="17"/>
      <c r="E321" s="17"/>
      <c r="F321" s="17"/>
      <c r="G321" s="4">
        <f>SUM($B321:$F321)</f>
        <v>0</v>
      </c>
      <c r="H321" s="17"/>
      <c r="I321" s="4">
        <f>$I320+$G321-$H321</f>
        <v>349526.07999999996</v>
      </c>
      <c r="J321" s="32" t="str">
        <f>IF($A322&lt;&gt;$A321,$I321,"")</f>
        <v/>
      </c>
      <c r="K321" s="79"/>
      <c r="L321" s="79"/>
      <c r="M321" s="2"/>
      <c r="N321" s="5"/>
      <c r="O321" s="3"/>
      <c r="P321" s="6"/>
      <c r="Q321" s="6" t="str">
        <f>IFERROR(SEARCH("ЗП",#REF!,1),"")</f>
        <v/>
      </c>
    </row>
    <row r="322" spans="1:17" ht="15" customHeight="1" x14ac:dyDescent="0.25">
      <c r="A322" s="1"/>
      <c r="B322" s="17"/>
      <c r="C322" s="17"/>
      <c r="D322" s="17"/>
      <c r="E322" s="17"/>
      <c r="F322" s="17"/>
      <c r="G322" s="4">
        <f>SUM($B322:$F322)</f>
        <v>0</v>
      </c>
      <c r="H322" s="17"/>
      <c r="I322" s="4">
        <f>$I321+$G322-$H322</f>
        <v>349526.07999999996</v>
      </c>
      <c r="J322" s="32" t="str">
        <f>IF($A323&lt;&gt;$A322,$I322,"")</f>
        <v/>
      </c>
      <c r="K322" s="79"/>
      <c r="L322" s="79"/>
      <c r="M322" s="2"/>
      <c r="N322" s="5"/>
      <c r="O322" s="3"/>
      <c r="P322" s="6"/>
      <c r="Q322" s="6" t="str">
        <f>IFERROR(SEARCH("ЗП",#REF!,1),"")</f>
        <v/>
      </c>
    </row>
    <row r="323" spans="1:17" ht="15" customHeight="1" x14ac:dyDescent="0.25">
      <c r="A323" s="1"/>
      <c r="B323" s="17"/>
      <c r="C323" s="17"/>
      <c r="D323" s="17"/>
      <c r="E323" s="17"/>
      <c r="F323" s="17"/>
      <c r="G323" s="4">
        <f>SUM($B323:$F323)</f>
        <v>0</v>
      </c>
      <c r="H323" s="17"/>
      <c r="I323" s="4">
        <f>$I322+$G323-$H323</f>
        <v>349526.07999999996</v>
      </c>
      <c r="J323" s="32" t="str">
        <f>IF($A324&lt;&gt;$A323,$I323,"")</f>
        <v/>
      </c>
      <c r="K323" s="79"/>
      <c r="L323" s="79"/>
      <c r="M323" s="2"/>
      <c r="N323" s="5"/>
      <c r="O323" s="3"/>
      <c r="P323" s="6"/>
      <c r="Q323" s="6" t="str">
        <f>IFERROR(SEARCH("ЗП",#REF!,1),"")</f>
        <v/>
      </c>
    </row>
    <row r="324" spans="1:17" ht="15" customHeight="1" x14ac:dyDescent="0.25">
      <c r="A324" s="1"/>
      <c r="B324" s="17"/>
      <c r="C324" s="17"/>
      <c r="D324" s="17"/>
      <c r="E324" s="17"/>
      <c r="F324" s="17"/>
      <c r="G324" s="4">
        <f>SUM($B324:$F324)</f>
        <v>0</v>
      </c>
      <c r="H324" s="17"/>
      <c r="I324" s="4">
        <f>$I323+$G324-$H324</f>
        <v>349526.07999999996</v>
      </c>
      <c r="J324" s="32" t="str">
        <f>IF($A325&lt;&gt;$A324,$I324,"")</f>
        <v/>
      </c>
      <c r="K324" s="79"/>
      <c r="L324" s="79"/>
      <c r="M324" s="2"/>
      <c r="N324" s="5"/>
      <c r="O324" s="3"/>
      <c r="P324" s="6"/>
      <c r="Q324" s="6" t="str">
        <f>IFERROR(SEARCH("ЗП",#REF!,1),"")</f>
        <v/>
      </c>
    </row>
    <row r="325" spans="1:17" ht="15" customHeight="1" x14ac:dyDescent="0.25">
      <c r="A325" s="1"/>
      <c r="B325" s="17"/>
      <c r="C325" s="17"/>
      <c r="D325" s="17"/>
      <c r="E325" s="17"/>
      <c r="F325" s="17"/>
      <c r="G325" s="4">
        <f>SUM($B325:$F325)</f>
        <v>0</v>
      </c>
      <c r="H325" s="17"/>
      <c r="I325" s="4">
        <f>$I324+$G325-$H325</f>
        <v>349526.07999999996</v>
      </c>
      <c r="J325" s="32" t="str">
        <f>IF($A326&lt;&gt;$A325,$I325,"")</f>
        <v/>
      </c>
      <c r="K325" s="79"/>
      <c r="L325" s="79"/>
      <c r="M325" s="2"/>
      <c r="N325" s="5"/>
      <c r="O325" s="3"/>
      <c r="P325" s="6"/>
      <c r="Q325" s="6" t="str">
        <f>IFERROR(SEARCH("ЗП",#REF!,1),"")</f>
        <v/>
      </c>
    </row>
    <row r="326" spans="1:17" ht="15" customHeight="1" x14ac:dyDescent="0.25">
      <c r="A326" s="1"/>
      <c r="B326" s="17"/>
      <c r="C326" s="17"/>
      <c r="D326" s="17"/>
      <c r="E326" s="17"/>
      <c r="F326" s="17"/>
      <c r="G326" s="4">
        <f>SUM($B326:$F326)</f>
        <v>0</v>
      </c>
      <c r="H326" s="17"/>
      <c r="I326" s="4">
        <f>$I325+$G326-$H326</f>
        <v>349526.07999999996</v>
      </c>
      <c r="J326" s="32" t="str">
        <f>IF($A327&lt;&gt;$A326,$I326,"")</f>
        <v/>
      </c>
      <c r="K326" s="79"/>
      <c r="L326" s="79"/>
      <c r="M326" s="2"/>
      <c r="N326" s="5"/>
      <c r="O326" s="3"/>
      <c r="P326" s="6"/>
      <c r="Q326" s="6" t="str">
        <f>IFERROR(SEARCH("ЗП",#REF!,1),"")</f>
        <v/>
      </c>
    </row>
    <row r="327" spans="1:17" ht="15" customHeight="1" x14ac:dyDescent="0.25">
      <c r="A327" s="1"/>
      <c r="B327" s="17"/>
      <c r="C327" s="17"/>
      <c r="D327" s="17"/>
      <c r="E327" s="17"/>
      <c r="F327" s="17"/>
      <c r="G327" s="4">
        <f>SUM($B327:$F327)</f>
        <v>0</v>
      </c>
      <c r="H327" s="17"/>
      <c r="I327" s="4">
        <f>$I326+$G327-$H327</f>
        <v>349526.07999999996</v>
      </c>
      <c r="J327" s="32" t="str">
        <f>IF($A328&lt;&gt;$A327,$I327,"")</f>
        <v/>
      </c>
      <c r="K327" s="79"/>
      <c r="L327" s="79"/>
      <c r="M327" s="2"/>
      <c r="N327" s="5"/>
      <c r="O327" s="3"/>
      <c r="P327" s="6"/>
      <c r="Q327" s="6" t="str">
        <f>IFERROR(SEARCH("ЗП",#REF!,1),"")</f>
        <v/>
      </c>
    </row>
    <row r="328" spans="1:17" ht="15" customHeight="1" x14ac:dyDescent="0.25">
      <c r="A328" s="1"/>
      <c r="B328" s="17"/>
      <c r="C328" s="17"/>
      <c r="D328" s="17"/>
      <c r="E328" s="17"/>
      <c r="F328" s="17"/>
      <c r="G328" s="4">
        <f>SUM($B328:$F328)</f>
        <v>0</v>
      </c>
      <c r="H328" s="17"/>
      <c r="I328" s="4">
        <f>$I327+$G328-$H328</f>
        <v>349526.07999999996</v>
      </c>
      <c r="J328" s="32" t="str">
        <f>IF($A329&lt;&gt;$A328,$I328,"")</f>
        <v/>
      </c>
      <c r="K328" s="79"/>
      <c r="L328" s="79"/>
      <c r="M328" s="2"/>
      <c r="N328" s="5"/>
      <c r="O328" s="3"/>
      <c r="P328" s="6"/>
      <c r="Q328" s="6" t="str">
        <f>IFERROR(SEARCH("ЗП",#REF!,1),"")</f>
        <v/>
      </c>
    </row>
    <row r="329" spans="1:17" ht="15" customHeight="1" x14ac:dyDescent="0.25">
      <c r="A329" s="1"/>
      <c r="B329" s="17"/>
      <c r="C329" s="17"/>
      <c r="D329" s="17"/>
      <c r="E329" s="17"/>
      <c r="F329" s="17"/>
      <c r="G329" s="4">
        <f>SUM($B329:$F329)</f>
        <v>0</v>
      </c>
      <c r="H329" s="17"/>
      <c r="I329" s="4">
        <f>$I328+$G329-$H329</f>
        <v>349526.07999999996</v>
      </c>
      <c r="J329" s="32" t="str">
        <f>IF($A330&lt;&gt;$A329,$I329,"")</f>
        <v/>
      </c>
      <c r="K329" s="79"/>
      <c r="L329" s="79"/>
      <c r="M329" s="2"/>
      <c r="N329" s="5"/>
      <c r="O329" s="3"/>
      <c r="P329" s="6"/>
      <c r="Q329" s="6" t="str">
        <f>IFERROR(SEARCH("ЗП",#REF!,1),"")</f>
        <v/>
      </c>
    </row>
    <row r="330" spans="1:17" ht="15" customHeight="1" x14ac:dyDescent="0.25">
      <c r="A330" s="1"/>
      <c r="B330" s="17"/>
      <c r="C330" s="17"/>
      <c r="D330" s="17"/>
      <c r="E330" s="17"/>
      <c r="F330" s="17"/>
      <c r="G330" s="4">
        <f>SUM($B330:$F330)</f>
        <v>0</v>
      </c>
      <c r="H330" s="17"/>
      <c r="I330" s="4">
        <f>$I329+$G330-$H330</f>
        <v>349526.07999999996</v>
      </c>
      <c r="J330" s="32" t="str">
        <f>IF($A331&lt;&gt;$A330,$I330,"")</f>
        <v/>
      </c>
      <c r="K330" s="79"/>
      <c r="L330" s="79"/>
      <c r="M330" s="2"/>
      <c r="N330" s="5"/>
      <c r="O330" s="3"/>
      <c r="P330" s="6"/>
      <c r="Q330" s="6" t="str">
        <f>IFERROR(SEARCH("ЗП",#REF!,1),"")</f>
        <v/>
      </c>
    </row>
    <row r="331" spans="1:17" ht="15" customHeight="1" x14ac:dyDescent="0.25">
      <c r="A331" s="1"/>
      <c r="B331" s="17"/>
      <c r="C331" s="17"/>
      <c r="D331" s="17"/>
      <c r="E331" s="17"/>
      <c r="F331" s="17"/>
      <c r="G331" s="4">
        <f>SUM($B331:$F331)</f>
        <v>0</v>
      </c>
      <c r="H331" s="17"/>
      <c r="I331" s="4">
        <f>$I330+$G331-$H331</f>
        <v>349526.07999999996</v>
      </c>
      <c r="J331" s="32" t="str">
        <f>IF($A332&lt;&gt;$A331,$I331,"")</f>
        <v/>
      </c>
      <c r="K331" s="79"/>
      <c r="L331" s="79"/>
      <c r="M331" s="2"/>
      <c r="N331" s="5"/>
      <c r="O331" s="3"/>
      <c r="P331" s="6"/>
      <c r="Q331" s="6" t="str">
        <f>IFERROR(SEARCH("ЗП",#REF!,1),"")</f>
        <v/>
      </c>
    </row>
    <row r="332" spans="1:17" ht="15" customHeight="1" x14ac:dyDescent="0.25">
      <c r="A332" s="1"/>
      <c r="B332" s="17"/>
      <c r="C332" s="17"/>
      <c r="D332" s="17"/>
      <c r="E332" s="17"/>
      <c r="F332" s="17"/>
      <c r="G332" s="4">
        <f>SUM($B332:$F332)</f>
        <v>0</v>
      </c>
      <c r="H332" s="17"/>
      <c r="I332" s="4">
        <f>$I331+$G332-$H332</f>
        <v>349526.07999999996</v>
      </c>
      <c r="J332" s="32" t="str">
        <f>IF($A333&lt;&gt;$A332,$I332,"")</f>
        <v/>
      </c>
      <c r="K332" s="79"/>
      <c r="L332" s="79"/>
      <c r="M332" s="2"/>
      <c r="N332" s="5"/>
      <c r="O332" s="3"/>
      <c r="P332" s="6"/>
      <c r="Q332" s="6" t="str">
        <f>IFERROR(SEARCH("ЗП",#REF!,1),"")</f>
        <v/>
      </c>
    </row>
    <row r="333" spans="1:17" ht="15" customHeight="1" x14ac:dyDescent="0.25">
      <c r="A333" s="1"/>
      <c r="B333" s="17"/>
      <c r="C333" s="17"/>
      <c r="D333" s="17"/>
      <c r="E333" s="17"/>
      <c r="F333" s="17"/>
      <c r="G333" s="4">
        <f>SUM($B333:$F333)</f>
        <v>0</v>
      </c>
      <c r="H333" s="17"/>
      <c r="I333" s="4">
        <f>$I332+$G333-$H333</f>
        <v>349526.07999999996</v>
      </c>
      <c r="J333" s="32" t="str">
        <f>IF($A334&lt;&gt;$A333,$I333,"")</f>
        <v/>
      </c>
      <c r="K333" s="79"/>
      <c r="L333" s="79"/>
      <c r="M333" s="2"/>
      <c r="N333" s="5"/>
      <c r="O333" s="3"/>
      <c r="P333" s="6"/>
      <c r="Q333" s="6" t="str">
        <f>IFERROR(SEARCH("ЗП",#REF!,1),"")</f>
        <v/>
      </c>
    </row>
    <row r="334" spans="1:17" ht="15" customHeight="1" x14ac:dyDescent="0.25">
      <c r="A334" s="1"/>
      <c r="B334" s="17"/>
      <c r="C334" s="17"/>
      <c r="D334" s="17"/>
      <c r="E334" s="17"/>
      <c r="F334" s="17"/>
      <c r="G334" s="4">
        <f>SUM($B334:$F334)</f>
        <v>0</v>
      </c>
      <c r="H334" s="17"/>
      <c r="I334" s="4">
        <f>$I333+$G334-$H334</f>
        <v>349526.07999999996</v>
      </c>
      <c r="J334" s="32" t="str">
        <f>IF($A335&lt;&gt;$A334,$I334,"")</f>
        <v/>
      </c>
      <c r="K334" s="79"/>
      <c r="L334" s="79"/>
      <c r="M334" s="2"/>
      <c r="N334" s="5"/>
      <c r="O334" s="3"/>
      <c r="P334" s="6"/>
      <c r="Q334" s="6" t="str">
        <f>IFERROR(SEARCH("ЗП",#REF!,1),"")</f>
        <v/>
      </c>
    </row>
    <row r="335" spans="1:17" ht="15" customHeight="1" x14ac:dyDescent="0.25">
      <c r="A335" s="1"/>
      <c r="B335" s="17"/>
      <c r="C335" s="17"/>
      <c r="D335" s="17"/>
      <c r="E335" s="17"/>
      <c r="F335" s="17"/>
      <c r="G335" s="4">
        <f>SUM($B335:$F335)</f>
        <v>0</v>
      </c>
      <c r="H335" s="17"/>
      <c r="I335" s="4">
        <f>$I334+$G335-$H335</f>
        <v>349526.07999999996</v>
      </c>
      <c r="J335" s="32" t="str">
        <f>IF($A336&lt;&gt;$A335,$I335,"")</f>
        <v/>
      </c>
      <c r="K335" s="79"/>
      <c r="L335" s="79"/>
      <c r="M335" s="2"/>
      <c r="N335" s="5"/>
      <c r="O335" s="3"/>
      <c r="P335" s="6"/>
      <c r="Q335" s="6" t="str">
        <f>IFERROR(SEARCH("ЗП",#REF!,1),"")</f>
        <v/>
      </c>
    </row>
    <row r="336" spans="1:17" ht="15" customHeight="1" x14ac:dyDescent="0.25">
      <c r="A336" s="1"/>
      <c r="B336" s="17"/>
      <c r="C336" s="17"/>
      <c r="D336" s="17"/>
      <c r="E336" s="17"/>
      <c r="F336" s="17"/>
      <c r="G336" s="4">
        <f>SUM($B336:$F336)</f>
        <v>0</v>
      </c>
      <c r="H336" s="17"/>
      <c r="I336" s="4">
        <f>$I335+$G336-$H336</f>
        <v>349526.07999999996</v>
      </c>
      <c r="J336" s="32" t="str">
        <f>IF($A337&lt;&gt;$A336,$I336,"")</f>
        <v/>
      </c>
      <c r="K336" s="79"/>
      <c r="L336" s="79"/>
      <c r="M336" s="2"/>
      <c r="N336" s="5"/>
      <c r="O336" s="3"/>
      <c r="P336" s="6"/>
      <c r="Q336" s="6" t="str">
        <f>IFERROR(SEARCH("ЗП",#REF!,1),"")</f>
        <v/>
      </c>
    </row>
    <row r="337" spans="1:17" ht="15" customHeight="1" x14ac:dyDescent="0.25">
      <c r="A337" s="1"/>
      <c r="B337" s="17"/>
      <c r="C337" s="17"/>
      <c r="D337" s="17"/>
      <c r="E337" s="17"/>
      <c r="F337" s="17"/>
      <c r="G337" s="4">
        <f>SUM($B337:$F337)</f>
        <v>0</v>
      </c>
      <c r="H337" s="17"/>
      <c r="I337" s="4">
        <f>$I336+$G337-$H337</f>
        <v>349526.07999999996</v>
      </c>
      <c r="J337" s="32" t="str">
        <f>IF($A338&lt;&gt;$A337,$I337,"")</f>
        <v/>
      </c>
      <c r="K337" s="79"/>
      <c r="L337" s="79"/>
      <c r="M337" s="2"/>
      <c r="N337" s="5"/>
      <c r="O337" s="3"/>
      <c r="P337" s="6"/>
      <c r="Q337" s="6" t="str">
        <f>IFERROR(SEARCH("ЗП",#REF!,1),"")</f>
        <v/>
      </c>
    </row>
    <row r="338" spans="1:17" ht="15" customHeight="1" x14ac:dyDescent="0.25">
      <c r="A338" s="1"/>
      <c r="B338" s="17"/>
      <c r="C338" s="17"/>
      <c r="D338" s="17"/>
      <c r="E338" s="17"/>
      <c r="F338" s="17"/>
      <c r="G338" s="4">
        <f>SUM($B338:$F338)</f>
        <v>0</v>
      </c>
      <c r="H338" s="17"/>
      <c r="I338" s="4">
        <f>$I337+$G338-$H338</f>
        <v>349526.07999999996</v>
      </c>
      <c r="J338" s="32" t="str">
        <f>IF($A339&lt;&gt;$A338,$I338,"")</f>
        <v/>
      </c>
      <c r="K338" s="79"/>
      <c r="L338" s="79"/>
      <c r="M338" s="2"/>
      <c r="N338" s="5"/>
      <c r="O338" s="3"/>
      <c r="P338" s="6"/>
      <c r="Q338" s="6" t="str">
        <f>IFERROR(SEARCH("ЗП",#REF!,1),"")</f>
        <v/>
      </c>
    </row>
    <row r="339" spans="1:17" ht="15" customHeight="1" x14ac:dyDescent="0.25">
      <c r="A339" s="1"/>
      <c r="B339" s="17"/>
      <c r="C339" s="17"/>
      <c r="D339" s="17"/>
      <c r="E339" s="17"/>
      <c r="F339" s="17"/>
      <c r="G339" s="4">
        <f>SUM($B339:$F339)</f>
        <v>0</v>
      </c>
      <c r="H339" s="17"/>
      <c r="I339" s="4">
        <f>$I338+$G339-$H339</f>
        <v>349526.07999999996</v>
      </c>
      <c r="J339" s="32" t="str">
        <f>IF($A340&lt;&gt;$A339,$I339,"")</f>
        <v/>
      </c>
      <c r="K339" s="79"/>
      <c r="L339" s="79"/>
      <c r="M339" s="2"/>
      <c r="N339" s="5"/>
      <c r="O339" s="3"/>
      <c r="P339" s="6"/>
      <c r="Q339" s="6" t="str">
        <f>IFERROR(SEARCH("ЗП",#REF!,1),"")</f>
        <v/>
      </c>
    </row>
    <row r="340" spans="1:17" ht="15" customHeight="1" x14ac:dyDescent="0.25">
      <c r="A340" s="1"/>
      <c r="B340" s="17"/>
      <c r="C340" s="17"/>
      <c r="D340" s="17"/>
      <c r="E340" s="17"/>
      <c r="F340" s="17"/>
      <c r="G340" s="4">
        <f>SUM($B340:$F340)</f>
        <v>0</v>
      </c>
      <c r="H340" s="17"/>
      <c r="I340" s="4">
        <f>$I339+$G340-$H340</f>
        <v>349526.07999999996</v>
      </c>
      <c r="J340" s="32" t="str">
        <f>IF($A341&lt;&gt;$A340,$I340,"")</f>
        <v/>
      </c>
      <c r="K340" s="79"/>
      <c r="L340" s="79"/>
      <c r="M340" s="2"/>
      <c r="N340" s="5"/>
      <c r="O340" s="3"/>
      <c r="P340" s="6"/>
      <c r="Q340" s="6" t="str">
        <f>IFERROR(SEARCH("ЗП",#REF!,1),"")</f>
        <v/>
      </c>
    </row>
    <row r="341" spans="1:17" ht="15" customHeight="1" x14ac:dyDescent="0.25">
      <c r="A341" s="1"/>
      <c r="B341" s="17"/>
      <c r="C341" s="17"/>
      <c r="D341" s="17"/>
      <c r="E341" s="17"/>
      <c r="F341" s="17"/>
      <c r="G341" s="4">
        <f>SUM($B341:$F341)</f>
        <v>0</v>
      </c>
      <c r="H341" s="17"/>
      <c r="I341" s="4">
        <f>$I340+$G341-$H341</f>
        <v>349526.07999999996</v>
      </c>
      <c r="J341" s="32" t="str">
        <f>IF($A342&lt;&gt;$A341,$I341,"")</f>
        <v/>
      </c>
      <c r="K341" s="79"/>
      <c r="L341" s="79"/>
      <c r="M341" s="2"/>
      <c r="N341" s="5"/>
      <c r="O341" s="3"/>
      <c r="P341" s="6"/>
      <c r="Q341" s="6" t="str">
        <f>IFERROR(SEARCH("ЗП",#REF!,1),"")</f>
        <v/>
      </c>
    </row>
    <row r="342" spans="1:17" ht="15" customHeight="1" x14ac:dyDescent="0.25">
      <c r="A342" s="1"/>
      <c r="B342" s="17"/>
      <c r="C342" s="17"/>
      <c r="D342" s="17"/>
      <c r="E342" s="17"/>
      <c r="F342" s="17"/>
      <c r="G342" s="4">
        <f>SUM($B342:$F342)</f>
        <v>0</v>
      </c>
      <c r="H342" s="17"/>
      <c r="I342" s="4">
        <f>$I341+$G342-$H342</f>
        <v>349526.07999999996</v>
      </c>
      <c r="J342" s="32" t="str">
        <f>IF($A343&lt;&gt;$A342,$I342,"")</f>
        <v/>
      </c>
      <c r="K342" s="79"/>
      <c r="L342" s="79"/>
      <c r="M342" s="2"/>
      <c r="N342" s="5"/>
      <c r="O342" s="3"/>
      <c r="P342" s="6"/>
      <c r="Q342" s="6" t="str">
        <f>IFERROR(SEARCH("ЗП",#REF!,1),"")</f>
        <v/>
      </c>
    </row>
    <row r="343" spans="1:17" ht="15" customHeight="1" x14ac:dyDescent="0.25">
      <c r="A343" s="1"/>
      <c r="B343" s="17"/>
      <c r="C343" s="17"/>
      <c r="D343" s="17"/>
      <c r="E343" s="17"/>
      <c r="F343" s="17"/>
      <c r="G343" s="4">
        <f>SUM($B343:$F343)</f>
        <v>0</v>
      </c>
      <c r="H343" s="17"/>
      <c r="I343" s="4">
        <f>$I342+$G343-$H343</f>
        <v>349526.07999999996</v>
      </c>
      <c r="J343" s="32" t="str">
        <f>IF($A344&lt;&gt;$A343,$I343,"")</f>
        <v/>
      </c>
      <c r="K343" s="79"/>
      <c r="L343" s="79"/>
      <c r="M343" s="2"/>
      <c r="N343" s="5"/>
      <c r="O343" s="3"/>
      <c r="P343" s="6"/>
      <c r="Q343" s="6" t="str">
        <f>IFERROR(SEARCH("ЗП",#REF!,1),"")</f>
        <v/>
      </c>
    </row>
    <row r="344" spans="1:17" ht="15" customHeight="1" x14ac:dyDescent="0.25">
      <c r="A344" s="1"/>
      <c r="B344" s="17"/>
      <c r="C344" s="17"/>
      <c r="D344" s="17"/>
      <c r="E344" s="17"/>
      <c r="F344" s="17"/>
      <c r="G344" s="4">
        <f>SUM($B344:$F344)</f>
        <v>0</v>
      </c>
      <c r="H344" s="17"/>
      <c r="I344" s="4">
        <f>$I343+$G344-$H344</f>
        <v>349526.07999999996</v>
      </c>
      <c r="J344" s="32" t="str">
        <f>IF($A345&lt;&gt;$A344,$I344,"")</f>
        <v/>
      </c>
      <c r="K344" s="79"/>
      <c r="L344" s="79"/>
      <c r="M344" s="2"/>
      <c r="N344" s="5"/>
      <c r="O344" s="3"/>
      <c r="P344" s="6"/>
      <c r="Q344" s="6" t="str">
        <f>IFERROR(SEARCH("ЗП",#REF!,1),"")</f>
        <v/>
      </c>
    </row>
    <row r="345" spans="1:17" ht="15" customHeight="1" x14ac:dyDescent="0.25">
      <c r="A345" s="1"/>
      <c r="B345" s="17"/>
      <c r="C345" s="17"/>
      <c r="D345" s="17"/>
      <c r="E345" s="17"/>
      <c r="F345" s="17"/>
      <c r="G345" s="4">
        <f>SUM($B345:$F345)</f>
        <v>0</v>
      </c>
      <c r="H345" s="17"/>
      <c r="I345" s="4">
        <f>$I344+$G345-$H345</f>
        <v>349526.07999999996</v>
      </c>
      <c r="J345" s="32" t="str">
        <f>IF($A346&lt;&gt;$A345,$I345,"")</f>
        <v/>
      </c>
      <c r="K345" s="79"/>
      <c r="L345" s="79"/>
      <c r="M345" s="2"/>
      <c r="N345" s="5"/>
      <c r="O345" s="3"/>
      <c r="P345" s="6"/>
      <c r="Q345" s="6" t="str">
        <f>IFERROR(SEARCH("ЗП",#REF!,1),"")</f>
        <v/>
      </c>
    </row>
    <row r="346" spans="1:17" ht="15" customHeight="1" x14ac:dyDescent="0.25">
      <c r="A346" s="1"/>
      <c r="B346" s="17"/>
      <c r="C346" s="17"/>
      <c r="D346" s="17"/>
      <c r="E346" s="17"/>
      <c r="F346" s="17"/>
      <c r="G346" s="4">
        <f>SUM($B346:$F346)</f>
        <v>0</v>
      </c>
      <c r="H346" s="17"/>
      <c r="I346" s="4">
        <f>$I345+$G346-$H346</f>
        <v>349526.07999999996</v>
      </c>
      <c r="J346" s="32" t="str">
        <f>IF($A347&lt;&gt;$A346,$I346,"")</f>
        <v/>
      </c>
      <c r="K346" s="79"/>
      <c r="L346" s="79"/>
      <c r="M346" s="2"/>
      <c r="N346" s="5"/>
      <c r="O346" s="3"/>
      <c r="P346" s="6"/>
      <c r="Q346" s="6" t="str">
        <f>IFERROR(SEARCH("ЗП",#REF!,1),"")</f>
        <v/>
      </c>
    </row>
    <row r="347" spans="1:17" ht="15" customHeight="1" x14ac:dyDescent="0.25">
      <c r="A347" s="1"/>
      <c r="B347" s="17"/>
      <c r="C347" s="17"/>
      <c r="D347" s="17"/>
      <c r="E347" s="17"/>
      <c r="F347" s="17"/>
      <c r="G347" s="4">
        <f>SUM($B347:$F347)</f>
        <v>0</v>
      </c>
      <c r="H347" s="17"/>
      <c r="I347" s="4">
        <f>$I346+$G347-$H347</f>
        <v>349526.07999999996</v>
      </c>
      <c r="J347" s="32" t="str">
        <f>IF($A348&lt;&gt;$A347,$I347,"")</f>
        <v/>
      </c>
      <c r="K347" s="79"/>
      <c r="L347" s="79"/>
      <c r="M347" s="2"/>
      <c r="N347" s="5"/>
      <c r="O347" s="3"/>
      <c r="P347" s="6"/>
      <c r="Q347" s="6" t="str">
        <f>IFERROR(SEARCH("ЗП",#REF!,1),"")</f>
        <v/>
      </c>
    </row>
    <row r="348" spans="1:17" ht="15" customHeight="1" x14ac:dyDescent="0.25">
      <c r="A348" s="1"/>
      <c r="B348" s="17"/>
      <c r="C348" s="17"/>
      <c r="D348" s="17"/>
      <c r="E348" s="17"/>
      <c r="F348" s="17"/>
      <c r="G348" s="4">
        <f>SUM($B348:$F348)</f>
        <v>0</v>
      </c>
      <c r="H348" s="17"/>
      <c r="I348" s="4">
        <f>$I347+$G348-$H348</f>
        <v>349526.07999999996</v>
      </c>
      <c r="J348" s="32" t="str">
        <f>IF($A349&lt;&gt;$A348,$I348,"")</f>
        <v/>
      </c>
      <c r="K348" s="79"/>
      <c r="L348" s="79"/>
      <c r="M348" s="2"/>
      <c r="N348" s="5"/>
      <c r="O348" s="3"/>
      <c r="P348" s="6"/>
      <c r="Q348" s="6" t="str">
        <f>IFERROR(SEARCH("ЗП",#REF!,1),"")</f>
        <v/>
      </c>
    </row>
    <row r="349" spans="1:17" ht="15" customHeight="1" x14ac:dyDescent="0.25">
      <c r="A349" s="1"/>
      <c r="B349" s="17"/>
      <c r="C349" s="17"/>
      <c r="D349" s="17"/>
      <c r="E349" s="17"/>
      <c r="F349" s="17"/>
      <c r="G349" s="4">
        <f>SUM($B349:$F349)</f>
        <v>0</v>
      </c>
      <c r="H349" s="17"/>
      <c r="I349" s="4">
        <f>$I348+$G349-$H349</f>
        <v>349526.07999999996</v>
      </c>
      <c r="J349" s="32" t="str">
        <f>IF($A350&lt;&gt;$A349,$I349,"")</f>
        <v/>
      </c>
      <c r="K349" s="79"/>
      <c r="L349" s="79"/>
      <c r="M349" s="2"/>
      <c r="N349" s="5"/>
      <c r="O349" s="3"/>
      <c r="P349" s="6"/>
      <c r="Q349" s="6" t="str">
        <f>IFERROR(SEARCH("ЗП",#REF!,1),"")</f>
        <v/>
      </c>
    </row>
    <row r="350" spans="1:17" ht="15" customHeight="1" x14ac:dyDescent="0.25">
      <c r="A350" s="1"/>
      <c r="B350" s="17"/>
      <c r="C350" s="17"/>
      <c r="D350" s="17"/>
      <c r="E350" s="17"/>
      <c r="F350" s="17"/>
      <c r="G350" s="4">
        <f>SUM($B350:$F350)</f>
        <v>0</v>
      </c>
      <c r="H350" s="17"/>
      <c r="I350" s="4">
        <f>$I349+$G350-$H350</f>
        <v>349526.07999999996</v>
      </c>
      <c r="J350" s="32" t="str">
        <f>IF($A351&lt;&gt;$A350,$I350,"")</f>
        <v/>
      </c>
      <c r="K350" s="79"/>
      <c r="L350" s="79"/>
      <c r="M350" s="2"/>
      <c r="N350" s="5"/>
      <c r="O350" s="3"/>
      <c r="P350" s="6"/>
      <c r="Q350" s="6" t="str">
        <f>IFERROR(SEARCH("ЗП",#REF!,1),"")</f>
        <v/>
      </c>
    </row>
    <row r="351" spans="1:17" ht="15" customHeight="1" x14ac:dyDescent="0.25">
      <c r="A351" s="1"/>
      <c r="B351" s="17"/>
      <c r="C351" s="17"/>
      <c r="D351" s="17"/>
      <c r="E351" s="17"/>
      <c r="F351" s="17"/>
      <c r="G351" s="4">
        <f>SUM($B351:$F351)</f>
        <v>0</v>
      </c>
      <c r="H351" s="17"/>
      <c r="I351" s="4">
        <f>$I350+$G351-$H351</f>
        <v>349526.07999999996</v>
      </c>
      <c r="J351" s="32" t="str">
        <f>IF($A352&lt;&gt;$A351,$I351,"")</f>
        <v/>
      </c>
      <c r="K351" s="79"/>
      <c r="L351" s="79"/>
      <c r="M351" s="2"/>
      <c r="N351" s="5"/>
      <c r="O351" s="3"/>
      <c r="P351" s="6"/>
      <c r="Q351" s="6" t="str">
        <f>IFERROR(SEARCH("ЗП",#REF!,1),"")</f>
        <v/>
      </c>
    </row>
    <row r="352" spans="1:17" ht="15" customHeight="1" x14ac:dyDescent="0.25">
      <c r="A352" s="1"/>
      <c r="B352" s="17"/>
      <c r="C352" s="17"/>
      <c r="D352" s="17"/>
      <c r="E352" s="17"/>
      <c r="F352" s="17"/>
      <c r="G352" s="4">
        <f>SUM($B352:$F352)</f>
        <v>0</v>
      </c>
      <c r="H352" s="17"/>
      <c r="I352" s="4">
        <f>$I351+$G352-$H352</f>
        <v>349526.07999999996</v>
      </c>
      <c r="J352" s="32" t="str">
        <f>IF($A353&lt;&gt;$A352,$I352,"")</f>
        <v/>
      </c>
      <c r="K352" s="79"/>
      <c r="L352" s="79"/>
      <c r="M352" s="2"/>
      <c r="N352" s="5"/>
      <c r="O352" s="3"/>
      <c r="P352" s="6"/>
      <c r="Q352" s="6"/>
    </row>
    <row r="353" spans="1:17" ht="15" customHeight="1" x14ac:dyDescent="0.25">
      <c r="A353" s="1"/>
      <c r="B353" s="17"/>
      <c r="C353" s="17"/>
      <c r="D353" s="17"/>
      <c r="E353" s="17"/>
      <c r="F353" s="17"/>
      <c r="G353" s="4">
        <f>SUM($B353:$F353)</f>
        <v>0</v>
      </c>
      <c r="H353" s="17"/>
      <c r="I353" s="4">
        <f>$I352+$G353-$H353</f>
        <v>349526.07999999996</v>
      </c>
      <c r="J353" s="32" t="str">
        <f>IF($A354&lt;&gt;$A353,$I353,"")</f>
        <v/>
      </c>
      <c r="K353" s="79"/>
      <c r="L353" s="79"/>
      <c r="M353" s="2"/>
      <c r="N353" s="5"/>
      <c r="O353" s="3"/>
      <c r="P353" s="6"/>
      <c r="Q353" s="6"/>
    </row>
    <row r="354" spans="1:17" ht="15" customHeight="1" x14ac:dyDescent="0.25">
      <c r="A354" s="1"/>
      <c r="B354" s="17"/>
      <c r="C354" s="17"/>
      <c r="D354" s="17"/>
      <c r="E354" s="17"/>
      <c r="F354" s="17"/>
      <c r="G354" s="4">
        <f>SUM($B354:$F354)</f>
        <v>0</v>
      </c>
      <c r="H354" s="17"/>
      <c r="I354" s="4">
        <f>$I353+$G354-$H354</f>
        <v>349526.07999999996</v>
      </c>
      <c r="J354" s="32" t="str">
        <f>IF($A355&lt;&gt;$A354,$I354,"")</f>
        <v/>
      </c>
      <c r="K354" s="79"/>
      <c r="L354" s="79"/>
      <c r="M354" s="2"/>
      <c r="N354" s="5"/>
      <c r="O354" s="3"/>
      <c r="P354" s="6"/>
      <c r="Q354" s="6"/>
    </row>
    <row r="355" spans="1:17" ht="15" customHeight="1" x14ac:dyDescent="0.25">
      <c r="A355" s="1"/>
      <c r="B355" s="17"/>
      <c r="C355" s="17"/>
      <c r="D355" s="17"/>
      <c r="E355" s="17"/>
      <c r="F355" s="17"/>
      <c r="G355" s="4">
        <f>SUM($B355:$F355)</f>
        <v>0</v>
      </c>
      <c r="H355" s="17"/>
      <c r="I355" s="4">
        <f>$I354+$G355-$H355</f>
        <v>349526.07999999996</v>
      </c>
      <c r="J355" s="32" t="str">
        <f>IF($A356&lt;&gt;$A355,$I355,"")</f>
        <v/>
      </c>
      <c r="K355" s="79"/>
      <c r="L355" s="79"/>
      <c r="M355" s="2"/>
      <c r="N355" s="5"/>
      <c r="O355" s="3"/>
      <c r="P355" s="6"/>
      <c r="Q355" s="6"/>
    </row>
    <row r="356" spans="1:17" ht="15" customHeight="1" x14ac:dyDescent="0.25">
      <c r="A356" s="1"/>
      <c r="B356" s="17"/>
      <c r="C356" s="17"/>
      <c r="D356" s="17"/>
      <c r="E356" s="17"/>
      <c r="F356" s="17"/>
      <c r="G356" s="4">
        <f>SUM($B356:$F356)</f>
        <v>0</v>
      </c>
      <c r="H356" s="17"/>
      <c r="I356" s="4">
        <f>$I355+$G356-$H356</f>
        <v>349526.07999999996</v>
      </c>
      <c r="J356" s="32" t="str">
        <f>IF($A357&lt;&gt;$A356,$I356,"")</f>
        <v/>
      </c>
      <c r="K356" s="79"/>
      <c r="L356" s="79"/>
      <c r="M356" s="2"/>
      <c r="N356" s="5"/>
      <c r="O356" s="3"/>
      <c r="P356" s="6"/>
      <c r="Q356" s="6"/>
    </row>
    <row r="357" spans="1:17" ht="15" customHeight="1" x14ac:dyDescent="0.25">
      <c r="A357" s="1"/>
      <c r="B357" s="17"/>
      <c r="C357" s="17"/>
      <c r="D357" s="17"/>
      <c r="E357" s="17"/>
      <c r="F357" s="17"/>
      <c r="G357" s="4">
        <f>SUM($B357:$F357)</f>
        <v>0</v>
      </c>
      <c r="H357" s="17"/>
      <c r="I357" s="4">
        <f>$I356+$G357-$H357</f>
        <v>349526.07999999996</v>
      </c>
      <c r="J357" s="32" t="str">
        <f>IF($A358&lt;&gt;$A357,$I357,"")</f>
        <v/>
      </c>
      <c r="K357" s="79"/>
      <c r="L357" s="79"/>
      <c r="M357" s="2"/>
      <c r="N357" s="5"/>
      <c r="O357" s="3"/>
      <c r="P357" s="6"/>
      <c r="Q357" s="6"/>
    </row>
    <row r="358" spans="1:17" ht="15" customHeight="1" x14ac:dyDescent="0.25">
      <c r="A358" s="1"/>
      <c r="B358" s="17"/>
      <c r="C358" s="17"/>
      <c r="D358" s="17"/>
      <c r="E358" s="17"/>
      <c r="F358" s="17"/>
      <c r="G358" s="4">
        <f>SUM($B358:$F358)</f>
        <v>0</v>
      </c>
      <c r="H358" s="17"/>
      <c r="I358" s="4">
        <f>$I357+$G358-$H358</f>
        <v>349526.07999999996</v>
      </c>
      <c r="J358" s="32" t="str">
        <f>IF($A359&lt;&gt;$A358,$I358,"")</f>
        <v/>
      </c>
      <c r="K358" s="79"/>
      <c r="L358" s="79"/>
      <c r="M358" s="2"/>
      <c r="N358" s="5"/>
      <c r="O358" s="3"/>
      <c r="P358" s="6"/>
      <c r="Q358" s="6"/>
    </row>
    <row r="359" spans="1:17" ht="15" customHeight="1" x14ac:dyDescent="0.25">
      <c r="A359" s="1"/>
      <c r="B359" s="17"/>
      <c r="C359" s="17"/>
      <c r="D359" s="17"/>
      <c r="E359" s="17"/>
      <c r="F359" s="17"/>
      <c r="G359" s="4">
        <f>SUM($B359:$F359)</f>
        <v>0</v>
      </c>
      <c r="H359" s="17"/>
      <c r="I359" s="4">
        <f>$I358+$G359-$H359</f>
        <v>349526.07999999996</v>
      </c>
      <c r="J359" s="32" t="str">
        <f>IF($A360&lt;&gt;$A359,$I359,"")</f>
        <v/>
      </c>
      <c r="K359" s="79"/>
      <c r="L359" s="79"/>
      <c r="M359" s="2"/>
      <c r="N359" s="5"/>
      <c r="O359" s="3"/>
      <c r="P359" s="6"/>
      <c r="Q359" s="6"/>
    </row>
    <row r="360" spans="1:17" ht="15" customHeight="1" x14ac:dyDescent="0.25">
      <c r="A360" s="1"/>
      <c r="B360" s="17"/>
      <c r="C360" s="17"/>
      <c r="D360" s="17"/>
      <c r="E360" s="17"/>
      <c r="F360" s="17"/>
      <c r="G360" s="4">
        <f>SUM($B360:$F360)</f>
        <v>0</v>
      </c>
      <c r="H360" s="17"/>
      <c r="I360" s="4">
        <f>$I359+$G360-$H360</f>
        <v>349526.07999999996</v>
      </c>
      <c r="J360" s="32" t="str">
        <f>IF($A361&lt;&gt;$A360,$I360,"")</f>
        <v/>
      </c>
      <c r="K360" s="79"/>
      <c r="L360" s="79"/>
      <c r="M360" s="2"/>
      <c r="N360" s="5"/>
      <c r="O360" s="3"/>
      <c r="P360" s="6"/>
      <c r="Q360" s="6"/>
    </row>
    <row r="361" spans="1:17" ht="15" customHeight="1" x14ac:dyDescent="0.25">
      <c r="A361" s="1"/>
      <c r="B361" s="17"/>
      <c r="C361" s="17"/>
      <c r="D361" s="17"/>
      <c r="E361" s="17"/>
      <c r="F361" s="17"/>
      <c r="G361" s="4">
        <f>SUM($B361:$F361)</f>
        <v>0</v>
      </c>
      <c r="H361" s="17"/>
      <c r="I361" s="4">
        <f>$I360+$G361-$H361</f>
        <v>349526.07999999996</v>
      </c>
      <c r="J361" s="32" t="str">
        <f>IF($A362&lt;&gt;$A361,$I361,"")</f>
        <v/>
      </c>
      <c r="K361" s="79"/>
      <c r="L361" s="79"/>
      <c r="M361" s="2"/>
      <c r="N361" s="5"/>
      <c r="O361" s="3"/>
      <c r="P361" s="6"/>
      <c r="Q361" s="6"/>
    </row>
    <row r="362" spans="1:17" ht="15" customHeight="1" x14ac:dyDescent="0.25">
      <c r="A362" s="1"/>
      <c r="B362" s="17"/>
      <c r="C362" s="17"/>
      <c r="D362" s="17"/>
      <c r="E362" s="17"/>
      <c r="F362" s="17"/>
      <c r="G362" s="4">
        <f>SUM($B362:$F362)</f>
        <v>0</v>
      </c>
      <c r="H362" s="17"/>
      <c r="I362" s="4">
        <f>$I361+$G362-$H362</f>
        <v>349526.07999999996</v>
      </c>
      <c r="J362" s="32" t="str">
        <f>IF($A363&lt;&gt;$A362,$I362,"")</f>
        <v/>
      </c>
      <c r="K362" s="79"/>
      <c r="L362" s="79"/>
      <c r="M362" s="2"/>
      <c r="N362" s="5"/>
      <c r="O362" s="3"/>
      <c r="P362" s="6"/>
      <c r="Q362" s="6"/>
    </row>
    <row r="363" spans="1:17" ht="15" customHeight="1" x14ac:dyDescent="0.25">
      <c r="A363" s="1"/>
      <c r="B363" s="17"/>
      <c r="C363" s="17"/>
      <c r="D363" s="17"/>
      <c r="E363" s="17"/>
      <c r="F363" s="17"/>
      <c r="G363" s="4">
        <f>SUM($B363:$F363)</f>
        <v>0</v>
      </c>
      <c r="H363" s="17"/>
      <c r="I363" s="4">
        <f>$I362+$G363-$H363</f>
        <v>349526.07999999996</v>
      </c>
      <c r="J363" s="32" t="str">
        <f>IF($A364&lt;&gt;$A363,$I363,"")</f>
        <v/>
      </c>
      <c r="K363" s="79"/>
      <c r="L363" s="79"/>
      <c r="M363" s="2"/>
      <c r="N363" s="5"/>
      <c r="O363" s="3"/>
      <c r="P363" s="6"/>
      <c r="Q363" s="6"/>
    </row>
    <row r="364" spans="1:17" ht="15" customHeight="1" x14ac:dyDescent="0.25">
      <c r="A364" s="1"/>
      <c r="B364" s="17"/>
      <c r="C364" s="17"/>
      <c r="D364" s="17"/>
      <c r="E364" s="17"/>
      <c r="F364" s="17"/>
      <c r="G364" s="4">
        <f>SUM($B364:$F364)</f>
        <v>0</v>
      </c>
      <c r="H364" s="17"/>
      <c r="I364" s="4">
        <f>$I363+$G364-$H364</f>
        <v>349526.07999999996</v>
      </c>
      <c r="J364" s="32" t="str">
        <f>IF($A365&lt;&gt;$A364,$I364,"")</f>
        <v/>
      </c>
      <c r="K364" s="79"/>
      <c r="L364" s="79"/>
      <c r="M364" s="2"/>
      <c r="N364" s="5"/>
      <c r="O364" s="3"/>
      <c r="P364" s="6"/>
      <c r="Q364" s="6"/>
    </row>
    <row r="365" spans="1:17" ht="15" customHeight="1" x14ac:dyDescent="0.25">
      <c r="A365" s="1"/>
      <c r="B365" s="17"/>
      <c r="C365" s="17"/>
      <c r="D365" s="17"/>
      <c r="E365" s="17"/>
      <c r="F365" s="17"/>
      <c r="G365" s="4">
        <f>SUM($B365:$F365)</f>
        <v>0</v>
      </c>
      <c r="H365" s="17"/>
      <c r="I365" s="4">
        <f>$I364+$G365-$H365</f>
        <v>349526.07999999996</v>
      </c>
      <c r="J365" s="32" t="str">
        <f>IF($A366&lt;&gt;$A365,$I365,"")</f>
        <v/>
      </c>
      <c r="K365" s="79"/>
      <c r="L365" s="79"/>
      <c r="M365" s="2"/>
      <c r="N365" s="5"/>
      <c r="O365" s="3"/>
      <c r="P365" s="6"/>
      <c r="Q365" s="6"/>
    </row>
    <row r="366" spans="1:17" ht="15" customHeight="1" x14ac:dyDescent="0.25">
      <c r="A366" s="1"/>
      <c r="B366" s="17"/>
      <c r="C366" s="17"/>
      <c r="D366" s="17"/>
      <c r="E366" s="17"/>
      <c r="F366" s="17"/>
      <c r="G366" s="4">
        <f>SUM($B366:$F366)</f>
        <v>0</v>
      </c>
      <c r="H366" s="17"/>
      <c r="I366" s="4">
        <f>$I365+$G366-$H366</f>
        <v>349526.07999999996</v>
      </c>
      <c r="J366" s="32" t="str">
        <f>IF($A367&lt;&gt;$A366,$I366,"")</f>
        <v/>
      </c>
      <c r="K366" s="79"/>
      <c r="L366" s="79"/>
      <c r="M366" s="2"/>
      <c r="N366" s="5"/>
      <c r="O366" s="3"/>
      <c r="P366" s="6"/>
      <c r="Q366" s="6"/>
    </row>
    <row r="367" spans="1:17" ht="15" customHeight="1" x14ac:dyDescent="0.25">
      <c r="A367" s="1"/>
      <c r="B367" s="17"/>
      <c r="C367" s="17"/>
      <c r="D367" s="17"/>
      <c r="E367" s="17"/>
      <c r="F367" s="17"/>
      <c r="G367" s="4">
        <f>SUM($B367:$F367)</f>
        <v>0</v>
      </c>
      <c r="H367" s="17"/>
      <c r="I367" s="4">
        <f>$I366+$G367-$H367</f>
        <v>349526.07999999996</v>
      </c>
      <c r="J367" s="32" t="str">
        <f>IF($A368&lt;&gt;$A367,$I367,"")</f>
        <v/>
      </c>
      <c r="K367" s="79"/>
      <c r="L367" s="79"/>
      <c r="M367" s="2"/>
      <c r="N367" s="5"/>
      <c r="O367" s="3"/>
      <c r="P367" s="6"/>
      <c r="Q367" s="6"/>
    </row>
    <row r="368" spans="1:17" ht="15" customHeight="1" x14ac:dyDescent="0.25">
      <c r="A368" s="1"/>
      <c r="B368" s="17"/>
      <c r="C368" s="17"/>
      <c r="D368" s="17"/>
      <c r="E368" s="17"/>
      <c r="F368" s="17"/>
      <c r="G368" s="4">
        <f>SUM($B368:$F368)</f>
        <v>0</v>
      </c>
      <c r="H368" s="17"/>
      <c r="I368" s="4">
        <f>$I367+$G368-$H368</f>
        <v>349526.07999999996</v>
      </c>
      <c r="J368" s="32" t="str">
        <f>IF($A369&lt;&gt;$A368,$I368,"")</f>
        <v/>
      </c>
      <c r="K368" s="79"/>
      <c r="L368" s="79"/>
      <c r="M368" s="2"/>
      <c r="N368" s="5"/>
      <c r="O368" s="3"/>
      <c r="P368" s="6"/>
      <c r="Q368" s="6"/>
    </row>
    <row r="369" spans="1:17" ht="15" customHeight="1" x14ac:dyDescent="0.25">
      <c r="A369" s="1"/>
      <c r="B369" s="17"/>
      <c r="C369" s="17"/>
      <c r="D369" s="17"/>
      <c r="E369" s="17"/>
      <c r="F369" s="17"/>
      <c r="G369" s="4">
        <f>SUM($B369:$F369)</f>
        <v>0</v>
      </c>
      <c r="H369" s="17"/>
      <c r="I369" s="4">
        <f>$I368+$G369-$H369</f>
        <v>349526.07999999996</v>
      </c>
      <c r="J369" s="32" t="str">
        <f>IF($A370&lt;&gt;$A369,$I369,"")</f>
        <v/>
      </c>
      <c r="K369" s="79"/>
      <c r="L369" s="79"/>
      <c r="M369" s="2"/>
      <c r="N369" s="5"/>
      <c r="O369" s="3"/>
      <c r="P369" s="6"/>
      <c r="Q369" s="6"/>
    </row>
    <row r="370" spans="1:17" ht="15" customHeight="1" x14ac:dyDescent="0.25">
      <c r="A370" s="1"/>
      <c r="B370" s="17"/>
      <c r="C370" s="17"/>
      <c r="D370" s="17"/>
      <c r="E370" s="17"/>
      <c r="F370" s="17"/>
      <c r="G370" s="4">
        <f>SUM($B370:$F370)</f>
        <v>0</v>
      </c>
      <c r="H370" s="17"/>
      <c r="I370" s="4">
        <f>$I369+$G370-$H370</f>
        <v>349526.07999999996</v>
      </c>
      <c r="J370" s="32" t="str">
        <f>IF($A371&lt;&gt;$A370,$I370,"")</f>
        <v/>
      </c>
      <c r="K370" s="79"/>
      <c r="L370" s="79"/>
      <c r="M370" s="2"/>
      <c r="N370" s="5"/>
      <c r="O370" s="3"/>
      <c r="P370" s="6"/>
      <c r="Q370" s="6"/>
    </row>
    <row r="371" spans="1:17" ht="15" customHeight="1" x14ac:dyDescent="0.25">
      <c r="A371" s="1"/>
      <c r="B371" s="17"/>
      <c r="C371" s="17"/>
      <c r="D371" s="17"/>
      <c r="E371" s="17"/>
      <c r="F371" s="17"/>
      <c r="G371" s="4">
        <f>SUM($B371:$F371)</f>
        <v>0</v>
      </c>
      <c r="H371" s="17"/>
      <c r="I371" s="4">
        <f>$I370+$G371-$H371</f>
        <v>349526.07999999996</v>
      </c>
      <c r="J371" s="32" t="str">
        <f>IF($A372&lt;&gt;$A371,$I371,"")</f>
        <v/>
      </c>
      <c r="K371" s="79"/>
      <c r="L371" s="79"/>
      <c r="M371" s="2"/>
      <c r="N371" s="5"/>
      <c r="O371" s="3"/>
      <c r="P371" s="6"/>
      <c r="Q371" s="6"/>
    </row>
    <row r="372" spans="1:17" ht="15" customHeight="1" x14ac:dyDescent="0.25">
      <c r="A372" s="1"/>
      <c r="B372" s="17"/>
      <c r="C372" s="17"/>
      <c r="D372" s="17"/>
      <c r="E372" s="17"/>
      <c r="F372" s="17"/>
      <c r="G372" s="4">
        <f>SUM($B372:$F372)</f>
        <v>0</v>
      </c>
      <c r="H372" s="17"/>
      <c r="I372" s="4">
        <f>$I371+$G372-$H372</f>
        <v>349526.07999999996</v>
      </c>
      <c r="J372" s="32" t="str">
        <f>IF($A373&lt;&gt;$A372,$I372,"")</f>
        <v/>
      </c>
      <c r="K372" s="79"/>
      <c r="L372" s="79"/>
      <c r="M372" s="2"/>
      <c r="N372" s="5"/>
      <c r="O372" s="3"/>
      <c r="P372" s="6"/>
      <c r="Q372" s="6"/>
    </row>
    <row r="373" spans="1:17" ht="15" customHeight="1" x14ac:dyDescent="0.25">
      <c r="A373" s="1"/>
      <c r="B373" s="17"/>
      <c r="C373" s="17"/>
      <c r="D373" s="17"/>
      <c r="E373" s="17"/>
      <c r="F373" s="17"/>
      <c r="G373" s="4">
        <f>SUM($B373:$F373)</f>
        <v>0</v>
      </c>
      <c r="H373" s="17"/>
      <c r="I373" s="4">
        <f>$I372+$G373-$H373</f>
        <v>349526.07999999996</v>
      </c>
      <c r="J373" s="32" t="str">
        <f>IF($A374&lt;&gt;$A373,$I373,"")</f>
        <v/>
      </c>
      <c r="K373" s="79"/>
      <c r="L373" s="79"/>
      <c r="M373" s="2"/>
      <c r="N373" s="5"/>
      <c r="O373" s="3"/>
      <c r="P373" s="6"/>
      <c r="Q373" s="6"/>
    </row>
    <row r="374" spans="1:17" ht="15" customHeight="1" x14ac:dyDescent="0.25">
      <c r="A374" s="1"/>
      <c r="B374" s="17"/>
      <c r="C374" s="17"/>
      <c r="D374" s="17"/>
      <c r="E374" s="17"/>
      <c r="F374" s="17"/>
      <c r="G374" s="4">
        <f>SUM($B374:$F374)</f>
        <v>0</v>
      </c>
      <c r="H374" s="17"/>
      <c r="I374" s="4">
        <f>$I373+$G374-$H374</f>
        <v>349526.07999999996</v>
      </c>
      <c r="J374" s="32" t="str">
        <f>IF($A375&lt;&gt;$A374,$I374,"")</f>
        <v/>
      </c>
      <c r="K374" s="79"/>
      <c r="L374" s="79"/>
      <c r="M374" s="2"/>
      <c r="N374" s="5"/>
      <c r="O374" s="3"/>
      <c r="P374" s="6"/>
      <c r="Q374" s="6"/>
    </row>
    <row r="375" spans="1:17" ht="15" customHeight="1" x14ac:dyDescent="0.25">
      <c r="A375" s="1"/>
      <c r="B375" s="17"/>
      <c r="C375" s="17"/>
      <c r="D375" s="17"/>
      <c r="E375" s="17"/>
      <c r="F375" s="17"/>
      <c r="G375" s="4">
        <f>SUM($B375:$F375)</f>
        <v>0</v>
      </c>
      <c r="H375" s="17"/>
      <c r="I375" s="4">
        <f>$I374+$G375-$H375</f>
        <v>349526.07999999996</v>
      </c>
      <c r="J375" s="32" t="str">
        <f>IF($A376&lt;&gt;$A375,$I375,"")</f>
        <v/>
      </c>
      <c r="K375" s="79"/>
      <c r="L375" s="79"/>
      <c r="M375" s="2"/>
      <c r="N375" s="5"/>
      <c r="O375" s="3"/>
      <c r="P375" s="6"/>
      <c r="Q375" s="6"/>
    </row>
    <row r="376" spans="1:17" ht="15" customHeight="1" x14ac:dyDescent="0.25">
      <c r="A376" s="1"/>
      <c r="B376" s="17"/>
      <c r="C376" s="17"/>
      <c r="D376" s="17"/>
      <c r="E376" s="17"/>
      <c r="F376" s="17"/>
      <c r="G376" s="4">
        <f>SUM($B376:$F376)</f>
        <v>0</v>
      </c>
      <c r="H376" s="17"/>
      <c r="I376" s="4">
        <f>$I375+$G376-$H376</f>
        <v>349526.07999999996</v>
      </c>
      <c r="J376" s="32" t="str">
        <f>IF($A377&lt;&gt;$A376,$I376,"")</f>
        <v/>
      </c>
      <c r="K376" s="79"/>
      <c r="L376" s="79"/>
      <c r="M376" s="2"/>
      <c r="N376" s="5"/>
      <c r="O376" s="3"/>
      <c r="P376" s="6"/>
      <c r="Q376" s="6"/>
    </row>
    <row r="377" spans="1:17" ht="15" customHeight="1" x14ac:dyDescent="0.25">
      <c r="A377" s="1"/>
      <c r="B377" s="17"/>
      <c r="C377" s="17"/>
      <c r="D377" s="17"/>
      <c r="E377" s="17"/>
      <c r="F377" s="17"/>
      <c r="G377" s="4">
        <f>SUM($B377:$F377)</f>
        <v>0</v>
      </c>
      <c r="H377" s="17"/>
      <c r="I377" s="4">
        <f>$I376+$G377-$H377</f>
        <v>349526.07999999996</v>
      </c>
      <c r="J377" s="32" t="str">
        <f>IF($A378&lt;&gt;$A377,$I377,"")</f>
        <v/>
      </c>
      <c r="K377" s="79"/>
      <c r="L377" s="79"/>
      <c r="M377" s="2"/>
      <c r="N377" s="5"/>
      <c r="O377" s="3"/>
      <c r="P377" s="6"/>
      <c r="Q377" s="6"/>
    </row>
    <row r="378" spans="1:17" ht="15" customHeight="1" x14ac:dyDescent="0.25">
      <c r="A378" s="1"/>
      <c r="B378" s="17"/>
      <c r="C378" s="17"/>
      <c r="D378" s="17"/>
      <c r="E378" s="17"/>
      <c r="F378" s="17"/>
      <c r="G378" s="4">
        <f>SUM($B378:$F378)</f>
        <v>0</v>
      </c>
      <c r="H378" s="17"/>
      <c r="I378" s="4">
        <f>$I377+$G378-$H378</f>
        <v>349526.07999999996</v>
      </c>
      <c r="J378" s="32" t="str">
        <f>IF($A379&lt;&gt;$A378,$I378,"")</f>
        <v/>
      </c>
      <c r="K378" s="79"/>
      <c r="L378" s="79"/>
      <c r="M378" s="2"/>
      <c r="N378" s="5"/>
      <c r="O378" s="3"/>
      <c r="P378" s="6"/>
      <c r="Q378" s="6"/>
    </row>
    <row r="379" spans="1:17" ht="15" customHeight="1" x14ac:dyDescent="0.25">
      <c r="A379" s="1"/>
      <c r="B379" s="17"/>
      <c r="C379" s="17"/>
      <c r="D379" s="17"/>
      <c r="E379" s="17"/>
      <c r="F379" s="17"/>
      <c r="G379" s="4">
        <f>SUM($B379:$F379)</f>
        <v>0</v>
      </c>
      <c r="H379" s="17"/>
      <c r="I379" s="4">
        <f>$I378+$G379-$H379</f>
        <v>349526.07999999996</v>
      </c>
      <c r="J379" s="32" t="str">
        <f>IF($A380&lt;&gt;$A379,$I379,"")</f>
        <v/>
      </c>
      <c r="K379" s="79"/>
      <c r="L379" s="79"/>
      <c r="M379" s="2"/>
      <c r="N379" s="5"/>
      <c r="O379" s="3"/>
      <c r="P379" s="6"/>
      <c r="Q379" s="6"/>
    </row>
    <row r="380" spans="1:17" ht="15" customHeight="1" x14ac:dyDescent="0.25">
      <c r="A380" s="1"/>
      <c r="B380" s="17"/>
      <c r="C380" s="17"/>
      <c r="D380" s="17"/>
      <c r="E380" s="17"/>
      <c r="F380" s="17"/>
      <c r="G380" s="4">
        <f>SUM($B380:$F380)</f>
        <v>0</v>
      </c>
      <c r="H380" s="17"/>
      <c r="I380" s="4">
        <f>$I379+$G380-$H380</f>
        <v>349526.07999999996</v>
      </c>
      <c r="J380" s="32" t="str">
        <f>IF($A381&lt;&gt;$A380,$I380,"")</f>
        <v/>
      </c>
      <c r="K380" s="79"/>
      <c r="L380" s="79"/>
      <c r="M380" s="2"/>
      <c r="N380" s="5"/>
      <c r="O380" s="3"/>
      <c r="P380" s="6"/>
      <c r="Q380" s="6"/>
    </row>
    <row r="381" spans="1:17" ht="15" customHeight="1" x14ac:dyDescent="0.25">
      <c r="A381" s="1"/>
      <c r="B381" s="17"/>
      <c r="C381" s="17"/>
      <c r="D381" s="17"/>
      <c r="E381" s="17"/>
      <c r="F381" s="17"/>
      <c r="G381" s="4">
        <f>SUM($B381:$F381)</f>
        <v>0</v>
      </c>
      <c r="H381" s="17"/>
      <c r="I381" s="4">
        <f>$I380+$G381-$H381</f>
        <v>349526.07999999996</v>
      </c>
      <c r="J381" s="32" t="str">
        <f>IF($A382&lt;&gt;$A381,$I381,"")</f>
        <v/>
      </c>
      <c r="K381" s="79"/>
      <c r="L381" s="79"/>
      <c r="M381" s="2"/>
      <c r="N381" s="5"/>
      <c r="O381" s="3"/>
      <c r="P381" s="6"/>
      <c r="Q381" s="6"/>
    </row>
    <row r="382" spans="1:17" ht="15" customHeight="1" x14ac:dyDescent="0.25">
      <c r="A382" s="1"/>
      <c r="B382" s="17"/>
      <c r="C382" s="17"/>
      <c r="D382" s="17"/>
      <c r="E382" s="17"/>
      <c r="F382" s="17"/>
      <c r="G382" s="4">
        <f>SUM($B382:$F382)</f>
        <v>0</v>
      </c>
      <c r="H382" s="17"/>
      <c r="I382" s="4">
        <f>$I381+$G382-$H382</f>
        <v>349526.07999999996</v>
      </c>
      <c r="J382" s="32" t="str">
        <f>IF($A383&lt;&gt;$A382,$I382,"")</f>
        <v/>
      </c>
      <c r="K382" s="79"/>
      <c r="L382" s="79"/>
      <c r="M382" s="2"/>
      <c r="N382" s="5"/>
      <c r="O382" s="3"/>
      <c r="P382" s="6"/>
      <c r="Q382" s="6"/>
    </row>
    <row r="383" spans="1:17" ht="15" customHeight="1" x14ac:dyDescent="0.25">
      <c r="A383" s="1"/>
      <c r="B383" s="17"/>
      <c r="C383" s="17"/>
      <c r="D383" s="17"/>
      <c r="E383" s="17"/>
      <c r="F383" s="17"/>
      <c r="G383" s="4">
        <f>SUM($B383:$F383)</f>
        <v>0</v>
      </c>
      <c r="H383" s="17"/>
      <c r="I383" s="4">
        <f>$I382+$G383-$H383</f>
        <v>349526.07999999996</v>
      </c>
      <c r="J383" s="32" t="str">
        <f>IF($A384&lt;&gt;$A383,$I383,"")</f>
        <v/>
      </c>
      <c r="K383" s="79"/>
      <c r="L383" s="79"/>
      <c r="M383" s="2"/>
      <c r="N383" s="5"/>
      <c r="O383" s="3"/>
      <c r="P383" s="6"/>
      <c r="Q383" s="6"/>
    </row>
    <row r="384" spans="1:17" ht="15" customHeight="1" x14ac:dyDescent="0.25">
      <c r="A384" s="1"/>
      <c r="B384" s="17"/>
      <c r="C384" s="17"/>
      <c r="D384" s="17"/>
      <c r="E384" s="17"/>
      <c r="F384" s="17"/>
      <c r="G384" s="4">
        <f>SUM($B384:$F384)</f>
        <v>0</v>
      </c>
      <c r="H384" s="17"/>
      <c r="I384" s="4">
        <f>$I383+$G384-$H384</f>
        <v>349526.07999999996</v>
      </c>
      <c r="J384" s="32" t="str">
        <f>IF($A385&lt;&gt;$A384,$I384,"")</f>
        <v/>
      </c>
      <c r="K384" s="79"/>
      <c r="L384" s="79"/>
      <c r="M384" s="2"/>
      <c r="N384" s="5"/>
      <c r="O384" s="3"/>
      <c r="P384" s="6"/>
      <c r="Q384" s="6"/>
    </row>
    <row r="385" spans="1:17" ht="15" customHeight="1" x14ac:dyDescent="0.25">
      <c r="A385" s="1"/>
      <c r="B385" s="17"/>
      <c r="C385" s="17"/>
      <c r="D385" s="17"/>
      <c r="E385" s="17"/>
      <c r="F385" s="17"/>
      <c r="G385" s="4">
        <f>SUM($B385:$F385)</f>
        <v>0</v>
      </c>
      <c r="H385" s="17"/>
      <c r="I385" s="4">
        <f>$I384+$G385-$H385</f>
        <v>349526.07999999996</v>
      </c>
      <c r="J385" s="32" t="str">
        <f>IF($A386&lt;&gt;$A385,$I385,"")</f>
        <v/>
      </c>
      <c r="K385" s="79"/>
      <c r="L385" s="79"/>
      <c r="M385" s="2"/>
      <c r="N385" s="5"/>
      <c r="O385" s="3"/>
      <c r="P385" s="6"/>
      <c r="Q385" s="6"/>
    </row>
    <row r="386" spans="1:17" ht="15" customHeight="1" x14ac:dyDescent="0.25">
      <c r="A386" s="1"/>
      <c r="B386" s="17"/>
      <c r="C386" s="17"/>
      <c r="D386" s="17"/>
      <c r="E386" s="17"/>
      <c r="F386" s="17"/>
      <c r="G386" s="4">
        <f>SUM($B386:$F386)</f>
        <v>0</v>
      </c>
      <c r="H386" s="17"/>
      <c r="I386" s="4">
        <f>$I385+$G386-$H386</f>
        <v>349526.07999999996</v>
      </c>
      <c r="J386" s="32" t="str">
        <f>IF($A387&lt;&gt;$A386,$I386,"")</f>
        <v/>
      </c>
      <c r="K386" s="79"/>
      <c r="L386" s="79"/>
      <c r="M386" s="2"/>
      <c r="N386" s="5"/>
      <c r="O386" s="3"/>
      <c r="P386" s="6"/>
      <c r="Q386" s="6"/>
    </row>
    <row r="387" spans="1:17" ht="15" customHeight="1" x14ac:dyDescent="0.25">
      <c r="A387" s="1"/>
      <c r="B387" s="17"/>
      <c r="C387" s="17"/>
      <c r="D387" s="17"/>
      <c r="E387" s="17"/>
      <c r="F387" s="17"/>
      <c r="G387" s="4">
        <f>SUM($B387:$F387)</f>
        <v>0</v>
      </c>
      <c r="H387" s="17"/>
      <c r="I387" s="4">
        <f>$I386+$G387-$H387</f>
        <v>349526.07999999996</v>
      </c>
      <c r="J387" s="32" t="str">
        <f>IF($A388&lt;&gt;$A387,$I387,"")</f>
        <v/>
      </c>
      <c r="K387" s="79"/>
      <c r="L387" s="79"/>
      <c r="M387" s="2"/>
      <c r="N387" s="5"/>
      <c r="O387" s="3"/>
      <c r="P387" s="6"/>
      <c r="Q387" s="6"/>
    </row>
    <row r="388" spans="1:17" ht="15" customHeight="1" x14ac:dyDescent="0.25">
      <c r="A388" s="1"/>
      <c r="B388" s="17"/>
      <c r="C388" s="17"/>
      <c r="D388" s="17"/>
      <c r="E388" s="17"/>
      <c r="F388" s="17"/>
      <c r="G388" s="4">
        <f>SUM($B388:$F388)</f>
        <v>0</v>
      </c>
      <c r="H388" s="17"/>
      <c r="I388" s="4">
        <f>$I387+$G388-$H388</f>
        <v>349526.07999999996</v>
      </c>
      <c r="J388" s="32" t="str">
        <f>IF($A389&lt;&gt;$A388,$I388,"")</f>
        <v/>
      </c>
      <c r="K388" s="79"/>
      <c r="L388" s="79"/>
      <c r="M388" s="2"/>
      <c r="N388" s="5"/>
      <c r="O388" s="3"/>
      <c r="P388" s="6"/>
      <c r="Q388" s="6"/>
    </row>
    <row r="389" spans="1:17" ht="15" customHeight="1" x14ac:dyDescent="0.25">
      <c r="A389" s="1"/>
      <c r="B389" s="17"/>
      <c r="C389" s="17"/>
      <c r="D389" s="17"/>
      <c r="E389" s="17"/>
      <c r="F389" s="17"/>
      <c r="G389" s="4">
        <f>SUM($B389:$F389)</f>
        <v>0</v>
      </c>
      <c r="H389" s="17"/>
      <c r="I389" s="4">
        <f>$I388+$G389-$H389</f>
        <v>349526.07999999996</v>
      </c>
      <c r="J389" s="32" t="str">
        <f>IF($A390&lt;&gt;$A389,$I389,"")</f>
        <v/>
      </c>
      <c r="K389" s="79"/>
      <c r="L389" s="79"/>
      <c r="M389" s="2"/>
      <c r="N389" s="5"/>
      <c r="O389" s="3"/>
      <c r="P389" s="6"/>
      <c r="Q389" s="6"/>
    </row>
    <row r="390" spans="1:17" ht="15" customHeight="1" x14ac:dyDescent="0.25">
      <c r="A390" s="1"/>
      <c r="B390" s="17"/>
      <c r="C390" s="17"/>
      <c r="D390" s="17"/>
      <c r="E390" s="17"/>
      <c r="F390" s="17"/>
      <c r="G390" s="4">
        <f>SUM($B390:$F390)</f>
        <v>0</v>
      </c>
      <c r="H390" s="17"/>
      <c r="I390" s="4">
        <f>$I389+$G390-$H390</f>
        <v>349526.07999999996</v>
      </c>
      <c r="J390" s="32" t="str">
        <f>IF($A391&lt;&gt;$A390,$I390,"")</f>
        <v/>
      </c>
      <c r="K390" s="79"/>
      <c r="L390" s="79"/>
      <c r="M390" s="2"/>
      <c r="N390" s="5"/>
      <c r="O390" s="3"/>
      <c r="P390" s="6"/>
      <c r="Q390" s="6"/>
    </row>
    <row r="391" spans="1:17" ht="15" customHeight="1" x14ac:dyDescent="0.25">
      <c r="A391" s="1"/>
      <c r="B391" s="17"/>
      <c r="C391" s="17"/>
      <c r="D391" s="17"/>
      <c r="E391" s="17"/>
      <c r="F391" s="17"/>
      <c r="G391" s="4">
        <f>SUM($B391:$F391)</f>
        <v>0</v>
      </c>
      <c r="H391" s="17"/>
      <c r="I391" s="4">
        <f>$I390+$G391-$H391</f>
        <v>349526.07999999996</v>
      </c>
      <c r="J391" s="32" t="str">
        <f>IF($A392&lt;&gt;$A391,$I391,"")</f>
        <v/>
      </c>
      <c r="K391" s="79"/>
      <c r="L391" s="79"/>
      <c r="M391" s="2"/>
      <c r="N391" s="5"/>
      <c r="O391" s="3"/>
      <c r="P391" s="6"/>
      <c r="Q391" s="6"/>
    </row>
    <row r="392" spans="1:17" ht="15" customHeight="1" x14ac:dyDescent="0.25">
      <c r="A392" s="1"/>
      <c r="B392" s="17"/>
      <c r="C392" s="17"/>
      <c r="D392" s="17"/>
      <c r="E392" s="17"/>
      <c r="F392" s="17"/>
      <c r="G392" s="4">
        <f>SUM($B392:$F392)</f>
        <v>0</v>
      </c>
      <c r="H392" s="17"/>
      <c r="I392" s="4">
        <f>$I391+$G392-$H392</f>
        <v>349526.07999999996</v>
      </c>
      <c r="J392" s="32" t="str">
        <f>IF($A393&lt;&gt;$A392,$I392,"")</f>
        <v/>
      </c>
      <c r="K392" s="79"/>
      <c r="L392" s="79"/>
      <c r="M392" s="2"/>
      <c r="N392" s="5"/>
      <c r="O392" s="3"/>
      <c r="P392" s="6"/>
      <c r="Q392" s="6"/>
    </row>
    <row r="393" spans="1:17" ht="15" customHeight="1" x14ac:dyDescent="0.25">
      <c r="A393" s="1"/>
      <c r="B393" s="17"/>
      <c r="C393" s="17"/>
      <c r="D393" s="17"/>
      <c r="E393" s="17"/>
      <c r="F393" s="17"/>
      <c r="G393" s="4">
        <f>SUM($B393:$F393)</f>
        <v>0</v>
      </c>
      <c r="H393" s="17"/>
      <c r="I393" s="4">
        <f>$I392+$G393-$H393</f>
        <v>349526.07999999996</v>
      </c>
      <c r="J393" s="32" t="str">
        <f>IF($A394&lt;&gt;$A393,$I393,"")</f>
        <v/>
      </c>
      <c r="K393" s="79"/>
      <c r="L393" s="79"/>
      <c r="M393" s="2"/>
      <c r="N393" s="5"/>
      <c r="O393" s="3"/>
      <c r="P393" s="6"/>
      <c r="Q393" s="6"/>
    </row>
    <row r="394" spans="1:17" ht="15" customHeight="1" x14ac:dyDescent="0.25">
      <c r="A394" s="1"/>
      <c r="B394" s="17"/>
      <c r="C394" s="17"/>
      <c r="D394" s="17"/>
      <c r="E394" s="17"/>
      <c r="F394" s="17"/>
      <c r="G394" s="4">
        <f>SUM($B394:$F394)</f>
        <v>0</v>
      </c>
      <c r="H394" s="17"/>
      <c r="I394" s="4">
        <f>$I393+$G394-$H394</f>
        <v>349526.07999999996</v>
      </c>
      <c r="J394" s="32" t="str">
        <f>IF($A395&lt;&gt;$A394,$I394,"")</f>
        <v/>
      </c>
      <c r="K394" s="79"/>
      <c r="L394" s="79"/>
      <c r="M394" s="2"/>
      <c r="N394" s="5"/>
      <c r="O394" s="3"/>
      <c r="P394" s="6"/>
      <c r="Q394" s="6"/>
    </row>
    <row r="395" spans="1:17" ht="15" customHeight="1" x14ac:dyDescent="0.25">
      <c r="A395" s="1"/>
      <c r="B395" s="17"/>
      <c r="C395" s="17"/>
      <c r="D395" s="17"/>
      <c r="E395" s="17"/>
      <c r="F395" s="17"/>
      <c r="G395" s="4">
        <f>SUM($B395:$F395)</f>
        <v>0</v>
      </c>
      <c r="H395" s="17"/>
      <c r="I395" s="4">
        <f>$I394+$G395-$H395</f>
        <v>349526.07999999996</v>
      </c>
      <c r="J395" s="32" t="str">
        <f>IF($A396&lt;&gt;$A395,$I395,"")</f>
        <v/>
      </c>
      <c r="K395" s="79"/>
      <c r="L395" s="79"/>
      <c r="M395" s="2"/>
      <c r="N395" s="5"/>
      <c r="O395" s="3"/>
      <c r="P395" s="6"/>
      <c r="Q395" s="6"/>
    </row>
    <row r="396" spans="1:17" ht="15" customHeight="1" x14ac:dyDescent="0.25">
      <c r="A396" s="1"/>
      <c r="B396" s="17"/>
      <c r="C396" s="17"/>
      <c r="D396" s="17"/>
      <c r="E396" s="17"/>
      <c r="F396" s="17"/>
      <c r="G396" s="4">
        <f>SUM($B396:$F396)</f>
        <v>0</v>
      </c>
      <c r="H396" s="17"/>
      <c r="I396" s="4">
        <f>$I395+$G396-$H396</f>
        <v>349526.07999999996</v>
      </c>
      <c r="J396" s="32" t="str">
        <f>IF($A397&lt;&gt;$A396,$I396,"")</f>
        <v/>
      </c>
      <c r="K396" s="79"/>
      <c r="L396" s="79"/>
      <c r="M396" s="2"/>
      <c r="N396" s="5"/>
      <c r="O396" s="3"/>
      <c r="P396" s="6"/>
      <c r="Q396" s="6"/>
    </row>
    <row r="397" spans="1:17" ht="15" customHeight="1" x14ac:dyDescent="0.25">
      <c r="A397" s="1"/>
      <c r="B397" s="17"/>
      <c r="C397" s="17"/>
      <c r="D397" s="17"/>
      <c r="E397" s="17"/>
      <c r="F397" s="17"/>
      <c r="G397" s="4">
        <f>SUM($B397:$F397)</f>
        <v>0</v>
      </c>
      <c r="H397" s="17"/>
      <c r="I397" s="4">
        <f>$I396+$G397-$H397</f>
        <v>349526.07999999996</v>
      </c>
      <c r="J397" s="32" t="str">
        <f>IF($A398&lt;&gt;$A397,$I397,"")</f>
        <v/>
      </c>
      <c r="K397" s="79"/>
      <c r="L397" s="79"/>
      <c r="M397" s="2"/>
      <c r="N397" s="5"/>
      <c r="O397" s="3"/>
      <c r="P397" s="6"/>
      <c r="Q397" s="6"/>
    </row>
    <row r="398" spans="1:17" ht="15" customHeight="1" x14ac:dyDescent="0.25">
      <c r="A398" s="1"/>
      <c r="B398" s="17"/>
      <c r="C398" s="17"/>
      <c r="D398" s="17"/>
      <c r="E398" s="17"/>
      <c r="F398" s="17"/>
      <c r="G398" s="4">
        <f>SUM($B398:$F398)</f>
        <v>0</v>
      </c>
      <c r="H398" s="17"/>
      <c r="I398" s="4">
        <f>$I397+$G398-$H398</f>
        <v>349526.07999999996</v>
      </c>
      <c r="J398" s="32" t="str">
        <f>IF($A399&lt;&gt;$A398,$I398,"")</f>
        <v/>
      </c>
      <c r="K398" s="79"/>
      <c r="L398" s="79"/>
      <c r="M398" s="2"/>
      <c r="N398" s="5"/>
      <c r="O398" s="3"/>
      <c r="P398" s="6"/>
      <c r="Q398" s="6"/>
    </row>
    <row r="399" spans="1:17" ht="15" customHeight="1" x14ac:dyDescent="0.25">
      <c r="A399" s="1"/>
      <c r="B399" s="17"/>
      <c r="C399" s="17"/>
      <c r="D399" s="17"/>
      <c r="E399" s="17"/>
      <c r="F399" s="17"/>
      <c r="G399" s="4">
        <f>SUM($B399:$F399)</f>
        <v>0</v>
      </c>
      <c r="H399" s="17"/>
      <c r="I399" s="4">
        <f>$I398+$G399-$H399</f>
        <v>349526.07999999996</v>
      </c>
      <c r="J399" s="32" t="str">
        <f>IF($A400&lt;&gt;$A399,$I399,"")</f>
        <v/>
      </c>
      <c r="K399" s="79"/>
      <c r="L399" s="79"/>
      <c r="M399" s="2"/>
      <c r="N399" s="5"/>
      <c r="O399" s="3"/>
      <c r="P399" s="6"/>
      <c r="Q399" s="6"/>
    </row>
    <row r="400" spans="1:17" ht="15" customHeight="1" x14ac:dyDescent="0.25">
      <c r="A400" s="1"/>
      <c r="B400" s="17"/>
      <c r="C400" s="17"/>
      <c r="D400" s="17"/>
      <c r="E400" s="17"/>
      <c r="F400" s="17"/>
      <c r="G400" s="4">
        <f>SUM($B400:$F400)</f>
        <v>0</v>
      </c>
      <c r="H400" s="17"/>
      <c r="I400" s="4">
        <f>$I399+$G400-$H400</f>
        <v>349526.07999999996</v>
      </c>
      <c r="J400" s="32" t="str">
        <f>IF($A401&lt;&gt;$A400,$I400,"")</f>
        <v/>
      </c>
      <c r="K400" s="79"/>
      <c r="L400" s="79"/>
      <c r="M400" s="2"/>
      <c r="N400" s="5"/>
      <c r="O400" s="3"/>
      <c r="P400" s="6"/>
      <c r="Q400" s="6"/>
    </row>
    <row r="401" spans="1:17" ht="15" customHeight="1" x14ac:dyDescent="0.25">
      <c r="A401" s="1"/>
      <c r="B401" s="17"/>
      <c r="C401" s="17"/>
      <c r="D401" s="17"/>
      <c r="E401" s="17"/>
      <c r="F401" s="17"/>
      <c r="G401" s="4">
        <f>SUM($B401:$F401)</f>
        <v>0</v>
      </c>
      <c r="H401" s="17"/>
      <c r="I401" s="4">
        <f>$I400+$G401-$H401</f>
        <v>349526.07999999996</v>
      </c>
      <c r="J401" s="32" t="str">
        <f>IF($A402&lt;&gt;$A401,$I401,"")</f>
        <v/>
      </c>
      <c r="K401" s="79"/>
      <c r="L401" s="79"/>
      <c r="M401" s="2"/>
      <c r="N401" s="5"/>
      <c r="O401" s="3"/>
      <c r="P401" s="6"/>
      <c r="Q401" s="6"/>
    </row>
    <row r="402" spans="1:17" ht="15" customHeight="1" x14ac:dyDescent="0.25">
      <c r="A402" s="1"/>
      <c r="B402" s="17"/>
      <c r="C402" s="17"/>
      <c r="D402" s="17"/>
      <c r="E402" s="17"/>
      <c r="F402" s="17"/>
      <c r="G402" s="4">
        <f>SUM($B402:$F402)</f>
        <v>0</v>
      </c>
      <c r="H402" s="17"/>
      <c r="I402" s="4">
        <f>$I401+$G402-$H402</f>
        <v>349526.07999999996</v>
      </c>
      <c r="J402" s="32" t="str">
        <f>IF($A403&lt;&gt;$A402,$I402,"")</f>
        <v/>
      </c>
      <c r="K402" s="79"/>
      <c r="L402" s="79"/>
      <c r="M402" s="2"/>
      <c r="N402" s="5"/>
      <c r="O402" s="3"/>
      <c r="P402" s="6"/>
      <c r="Q402" s="6"/>
    </row>
    <row r="403" spans="1:17" ht="15" customHeight="1" x14ac:dyDescent="0.25">
      <c r="A403" s="1"/>
      <c r="B403" s="17"/>
      <c r="C403" s="17"/>
      <c r="D403" s="17"/>
      <c r="E403" s="17"/>
      <c r="F403" s="17"/>
      <c r="G403" s="4">
        <f>SUM($B403:$F403)</f>
        <v>0</v>
      </c>
      <c r="H403" s="17"/>
      <c r="I403" s="4">
        <f>$I402+$G403-$H403</f>
        <v>349526.07999999996</v>
      </c>
      <c r="J403" s="32" t="str">
        <f>IF($A404&lt;&gt;$A403,$I403,"")</f>
        <v/>
      </c>
      <c r="K403" s="79"/>
      <c r="L403" s="79"/>
      <c r="M403" s="2"/>
      <c r="N403" s="5"/>
      <c r="O403" s="3"/>
      <c r="P403" s="6"/>
      <c r="Q403" s="6"/>
    </row>
    <row r="404" spans="1:17" ht="15" customHeight="1" x14ac:dyDescent="0.25">
      <c r="A404" s="1"/>
      <c r="B404" s="17"/>
      <c r="C404" s="17"/>
      <c r="D404" s="17"/>
      <c r="E404" s="17"/>
      <c r="F404" s="17"/>
      <c r="G404" s="4">
        <f>SUM($B404:$F404)</f>
        <v>0</v>
      </c>
      <c r="H404" s="17"/>
      <c r="I404" s="4">
        <f>$I403+$G404-$H404</f>
        <v>349526.07999999996</v>
      </c>
      <c r="J404" s="32" t="str">
        <f>IF($A405&lt;&gt;$A404,$I404,"")</f>
        <v/>
      </c>
      <c r="K404" s="79"/>
      <c r="L404" s="79"/>
      <c r="M404" s="2"/>
      <c r="N404" s="5"/>
      <c r="O404" s="3"/>
      <c r="P404" s="6"/>
      <c r="Q404" s="6"/>
    </row>
    <row r="405" spans="1:17" ht="15" customHeight="1" x14ac:dyDescent="0.25">
      <c r="A405" s="1"/>
      <c r="B405" s="17"/>
      <c r="C405" s="17"/>
      <c r="D405" s="17"/>
      <c r="E405" s="17"/>
      <c r="F405" s="17"/>
      <c r="G405" s="4">
        <f>SUM($B405:$F405)</f>
        <v>0</v>
      </c>
      <c r="H405" s="17"/>
      <c r="I405" s="4">
        <f>$I404+$G405-$H405</f>
        <v>349526.07999999996</v>
      </c>
      <c r="J405" s="32" t="str">
        <f>IF($A406&lt;&gt;$A405,$I405,"")</f>
        <v/>
      </c>
      <c r="K405" s="79"/>
      <c r="L405" s="79"/>
      <c r="M405" s="2"/>
      <c r="N405" s="5"/>
      <c r="O405" s="3"/>
      <c r="P405" s="6"/>
      <c r="Q405" s="6"/>
    </row>
    <row r="406" spans="1:17" ht="15" customHeight="1" x14ac:dyDescent="0.25">
      <c r="A406" s="1"/>
      <c r="B406" s="17"/>
      <c r="C406" s="17"/>
      <c r="D406" s="17"/>
      <c r="E406" s="17"/>
      <c r="F406" s="17"/>
      <c r="G406" s="4">
        <f>SUM($B406:$F406)</f>
        <v>0</v>
      </c>
      <c r="H406" s="17"/>
      <c r="I406" s="4">
        <f>$I405+$G406-$H406</f>
        <v>349526.07999999996</v>
      </c>
      <c r="J406" s="32" t="str">
        <f>IF($A407&lt;&gt;$A406,$I406,"")</f>
        <v/>
      </c>
      <c r="K406" s="79"/>
      <c r="L406" s="79"/>
      <c r="M406" s="2"/>
      <c r="N406" s="5"/>
      <c r="O406" s="3"/>
      <c r="P406" s="6"/>
      <c r="Q406" s="6"/>
    </row>
    <row r="407" spans="1:17" ht="15" customHeight="1" x14ac:dyDescent="0.25">
      <c r="A407" s="1"/>
      <c r="B407" s="17"/>
      <c r="C407" s="17"/>
      <c r="D407" s="17"/>
      <c r="E407" s="17"/>
      <c r="F407" s="17"/>
      <c r="G407" s="4">
        <f>SUM($B407:$F407)</f>
        <v>0</v>
      </c>
      <c r="H407" s="17"/>
      <c r="I407" s="4">
        <f>$I406+$G407-$H407</f>
        <v>349526.07999999996</v>
      </c>
      <c r="J407" s="32" t="str">
        <f>IF($A408&lt;&gt;$A407,$I407,"")</f>
        <v/>
      </c>
      <c r="K407" s="79"/>
      <c r="L407" s="79"/>
      <c r="M407" s="2"/>
      <c r="N407" s="5"/>
      <c r="O407" s="3"/>
      <c r="P407" s="6"/>
      <c r="Q407" s="6"/>
    </row>
    <row r="408" spans="1:17" ht="15" customHeight="1" x14ac:dyDescent="0.25">
      <c r="A408" s="1"/>
      <c r="B408" s="17"/>
      <c r="C408" s="17"/>
      <c r="D408" s="17"/>
      <c r="E408" s="17"/>
      <c r="F408" s="17"/>
      <c r="G408" s="4">
        <f>SUM($B408:$F408)</f>
        <v>0</v>
      </c>
      <c r="H408" s="17"/>
      <c r="I408" s="4">
        <f>$I407+$G408-$H408</f>
        <v>349526.07999999996</v>
      </c>
      <c r="J408" s="32" t="str">
        <f>IF($A409&lt;&gt;$A408,$I408,"")</f>
        <v/>
      </c>
      <c r="K408" s="79"/>
      <c r="L408" s="79"/>
      <c r="M408" s="2"/>
      <c r="N408" s="5"/>
      <c r="O408" s="3"/>
      <c r="P408" s="6"/>
      <c r="Q408" s="6"/>
    </row>
    <row r="409" spans="1:17" ht="15" customHeight="1" x14ac:dyDescent="0.25">
      <c r="A409" s="1"/>
      <c r="B409" s="17"/>
      <c r="C409" s="17"/>
      <c r="D409" s="17"/>
      <c r="E409" s="17"/>
      <c r="F409" s="17"/>
      <c r="G409" s="4">
        <f>SUM($B409:$F409)</f>
        <v>0</v>
      </c>
      <c r="H409" s="17"/>
      <c r="I409" s="4">
        <f>$I408+$G409-$H409</f>
        <v>349526.07999999996</v>
      </c>
      <c r="J409" s="32" t="str">
        <f>IF($A410&lt;&gt;$A409,$I409,"")</f>
        <v/>
      </c>
      <c r="K409" s="79"/>
      <c r="L409" s="79"/>
      <c r="M409" s="2"/>
      <c r="N409" s="5"/>
      <c r="O409" s="3"/>
      <c r="P409" s="6"/>
      <c r="Q409" s="6"/>
    </row>
    <row r="410" spans="1:17" ht="15" customHeight="1" x14ac:dyDescent="0.25">
      <c r="A410" s="1"/>
      <c r="B410" s="17"/>
      <c r="C410" s="17"/>
      <c r="D410" s="17"/>
      <c r="E410" s="17"/>
      <c r="F410" s="17"/>
      <c r="G410" s="4">
        <f>SUM($B410:$F410)</f>
        <v>0</v>
      </c>
      <c r="H410" s="17"/>
      <c r="I410" s="4">
        <f>$I409+$G410-$H410</f>
        <v>349526.07999999996</v>
      </c>
      <c r="J410" s="32" t="str">
        <f>IF($A411&lt;&gt;$A410,$I410,"")</f>
        <v/>
      </c>
      <c r="K410" s="79"/>
      <c r="L410" s="79"/>
      <c r="M410" s="2"/>
      <c r="N410" s="5"/>
      <c r="O410" s="3"/>
      <c r="P410" s="6"/>
      <c r="Q410" s="6"/>
    </row>
    <row r="411" spans="1:17" ht="15" customHeight="1" x14ac:dyDescent="0.25">
      <c r="A411" s="1"/>
      <c r="B411" s="17"/>
      <c r="C411" s="17"/>
      <c r="D411" s="17"/>
      <c r="E411" s="17"/>
      <c r="F411" s="17"/>
      <c r="G411" s="4">
        <f>SUM($B411:$F411)</f>
        <v>0</v>
      </c>
      <c r="H411" s="17"/>
      <c r="I411" s="4">
        <f>$I410+$G411-$H411</f>
        <v>349526.07999999996</v>
      </c>
      <c r="J411" s="32" t="str">
        <f>IF($A412&lt;&gt;$A411,$I411,"")</f>
        <v/>
      </c>
      <c r="K411" s="79"/>
      <c r="L411" s="79"/>
      <c r="M411" s="2"/>
      <c r="N411" s="5"/>
      <c r="O411" s="3"/>
      <c r="P411" s="6"/>
      <c r="Q411" s="6"/>
    </row>
    <row r="412" spans="1:17" ht="15" customHeight="1" x14ac:dyDescent="0.25">
      <c r="A412" s="1"/>
      <c r="B412" s="17"/>
      <c r="C412" s="17"/>
      <c r="D412" s="17"/>
      <c r="E412" s="17"/>
      <c r="F412" s="17"/>
      <c r="G412" s="4">
        <f>SUM($B412:$F412)</f>
        <v>0</v>
      </c>
      <c r="H412" s="17"/>
      <c r="I412" s="4">
        <f>$I411+$G412-$H412</f>
        <v>349526.07999999996</v>
      </c>
      <c r="J412" s="32" t="str">
        <f>IF($A413&lt;&gt;$A412,$I412,"")</f>
        <v/>
      </c>
      <c r="K412" s="79"/>
      <c r="L412" s="79"/>
      <c r="M412" s="2"/>
      <c r="N412" s="5"/>
      <c r="O412" s="3"/>
      <c r="P412" s="6"/>
      <c r="Q412" s="6"/>
    </row>
    <row r="413" spans="1:17" ht="15" customHeight="1" x14ac:dyDescent="0.25">
      <c r="A413" s="1"/>
      <c r="B413" s="17"/>
      <c r="C413" s="17"/>
      <c r="D413" s="17"/>
      <c r="E413" s="17"/>
      <c r="F413" s="17"/>
      <c r="G413" s="4">
        <f>SUM($B413:$F413)</f>
        <v>0</v>
      </c>
      <c r="H413" s="17"/>
      <c r="I413" s="4">
        <f>$I412+$G413-$H413</f>
        <v>349526.07999999996</v>
      </c>
      <c r="J413" s="32" t="str">
        <f>IF($A414&lt;&gt;$A413,$I413,"")</f>
        <v/>
      </c>
      <c r="K413" s="79"/>
      <c r="L413" s="79"/>
      <c r="M413" s="2"/>
      <c r="N413" s="5"/>
      <c r="O413" s="3"/>
      <c r="P413" s="6"/>
      <c r="Q413" s="6"/>
    </row>
    <row r="414" spans="1:17" ht="15" customHeight="1" x14ac:dyDescent="0.25">
      <c r="A414" s="1"/>
      <c r="B414" s="17"/>
      <c r="C414" s="17"/>
      <c r="D414" s="17"/>
      <c r="E414" s="17"/>
      <c r="F414" s="17"/>
      <c r="G414" s="4">
        <f>SUM($B414:$F414)</f>
        <v>0</v>
      </c>
      <c r="H414" s="17"/>
      <c r="I414" s="4">
        <f>$I413+$G414-$H414</f>
        <v>349526.07999999996</v>
      </c>
      <c r="J414" s="32" t="str">
        <f>IF($A415&lt;&gt;$A414,$I414,"")</f>
        <v/>
      </c>
      <c r="K414" s="79"/>
      <c r="L414" s="79"/>
      <c r="M414" s="2"/>
      <c r="N414" s="5"/>
      <c r="O414" s="3"/>
      <c r="P414" s="6"/>
      <c r="Q414" s="6"/>
    </row>
    <row r="415" spans="1:17" ht="15" customHeight="1" x14ac:dyDescent="0.25">
      <c r="A415" s="1"/>
      <c r="B415" s="17"/>
      <c r="C415" s="17"/>
      <c r="D415" s="17"/>
      <c r="E415" s="17"/>
      <c r="F415" s="17"/>
      <c r="G415" s="4">
        <f>SUM($B415:$F415)</f>
        <v>0</v>
      </c>
      <c r="H415" s="17"/>
      <c r="I415" s="4">
        <f>$I414+$G415-$H415</f>
        <v>349526.07999999996</v>
      </c>
      <c r="J415" s="32" t="str">
        <f>IF($A416&lt;&gt;$A415,$I415,"")</f>
        <v/>
      </c>
      <c r="K415" s="79"/>
      <c r="L415" s="79"/>
      <c r="M415" s="2"/>
      <c r="N415" s="5"/>
      <c r="O415" s="3"/>
      <c r="P415" s="6"/>
      <c r="Q415" s="6"/>
    </row>
    <row r="416" spans="1:17" ht="15" customHeight="1" x14ac:dyDescent="0.25">
      <c r="A416" s="1"/>
      <c r="B416" s="17"/>
      <c r="C416" s="17"/>
      <c r="D416" s="17"/>
      <c r="E416" s="17"/>
      <c r="F416" s="17"/>
      <c r="G416" s="4">
        <f>SUM($B416:$F416)</f>
        <v>0</v>
      </c>
      <c r="H416" s="17"/>
      <c r="I416" s="4">
        <f>$I415+$G416-$H416</f>
        <v>349526.07999999996</v>
      </c>
      <c r="J416" s="32" t="str">
        <f>IF($A417&lt;&gt;$A416,$I416,"")</f>
        <v/>
      </c>
      <c r="K416" s="79"/>
      <c r="L416" s="79"/>
      <c r="M416" s="2"/>
      <c r="N416" s="5"/>
      <c r="O416" s="3"/>
      <c r="P416" s="6"/>
      <c r="Q416" s="6"/>
    </row>
    <row r="417" spans="1:17" ht="15" customHeight="1" x14ac:dyDescent="0.25">
      <c r="A417" s="1"/>
      <c r="B417" s="17"/>
      <c r="C417" s="17"/>
      <c r="D417" s="17"/>
      <c r="E417" s="17"/>
      <c r="F417" s="17"/>
      <c r="G417" s="4">
        <f>SUM($B417:$F417)</f>
        <v>0</v>
      </c>
      <c r="H417" s="17"/>
      <c r="I417" s="4">
        <f>$I416+$G417-$H417</f>
        <v>349526.07999999996</v>
      </c>
      <c r="J417" s="32" t="str">
        <f>IF($A418&lt;&gt;$A417,$I417,"")</f>
        <v/>
      </c>
      <c r="K417" s="79"/>
      <c r="L417" s="79"/>
      <c r="M417" s="2"/>
      <c r="N417" s="5"/>
      <c r="O417" s="3"/>
      <c r="P417" s="6"/>
      <c r="Q417" s="6"/>
    </row>
    <row r="418" spans="1:17" ht="15" customHeight="1" x14ac:dyDescent="0.25">
      <c r="A418" s="1"/>
      <c r="B418" s="17"/>
      <c r="C418" s="17"/>
      <c r="D418" s="17"/>
      <c r="E418" s="17"/>
      <c r="F418" s="17"/>
      <c r="G418" s="4">
        <f>SUM($B418:$F418)</f>
        <v>0</v>
      </c>
      <c r="H418" s="17"/>
      <c r="I418" s="4">
        <f>$I417+$G418-$H418</f>
        <v>349526.07999999996</v>
      </c>
      <c r="J418" s="32" t="str">
        <f>IF($A419&lt;&gt;$A418,$I418,"")</f>
        <v/>
      </c>
      <c r="K418" s="79"/>
      <c r="L418" s="79"/>
      <c r="M418" s="2"/>
      <c r="N418" s="5"/>
      <c r="O418" s="3"/>
      <c r="P418" s="6"/>
      <c r="Q418" s="6"/>
    </row>
    <row r="419" spans="1:17" ht="15" customHeight="1" x14ac:dyDescent="0.25">
      <c r="A419" s="1"/>
      <c r="B419" s="17"/>
      <c r="C419" s="17"/>
      <c r="D419" s="17"/>
      <c r="E419" s="17"/>
      <c r="F419" s="17"/>
      <c r="G419" s="4">
        <f>SUM($B419:$F419)</f>
        <v>0</v>
      </c>
      <c r="H419" s="17"/>
      <c r="I419" s="4">
        <f>$I418+$G419-$H419</f>
        <v>349526.07999999996</v>
      </c>
      <c r="J419" s="32" t="str">
        <f>IF($A420&lt;&gt;$A419,$I419,"")</f>
        <v/>
      </c>
      <c r="K419" s="79"/>
      <c r="L419" s="79"/>
      <c r="M419" s="2"/>
      <c r="N419" s="5"/>
      <c r="O419" s="3"/>
      <c r="P419" s="6"/>
      <c r="Q419" s="6"/>
    </row>
    <row r="420" spans="1:17" ht="15" customHeight="1" x14ac:dyDescent="0.25">
      <c r="A420" s="1"/>
      <c r="B420" s="17"/>
      <c r="C420" s="17"/>
      <c r="D420" s="17"/>
      <c r="E420" s="17"/>
      <c r="F420" s="17"/>
      <c r="G420" s="4">
        <f>SUM($B420:$F420)</f>
        <v>0</v>
      </c>
      <c r="H420" s="17"/>
      <c r="I420" s="4">
        <f>$I419+$G420-$H420</f>
        <v>349526.07999999996</v>
      </c>
      <c r="J420" s="32" t="str">
        <f>IF($A421&lt;&gt;$A420,$I420,"")</f>
        <v/>
      </c>
      <c r="K420" s="79"/>
      <c r="L420" s="79"/>
      <c r="M420" s="2"/>
      <c r="N420" s="5"/>
      <c r="O420" s="3"/>
      <c r="P420" s="6"/>
      <c r="Q420" s="6"/>
    </row>
    <row r="421" spans="1:17" ht="15" customHeight="1" x14ac:dyDescent="0.25">
      <c r="A421" s="1"/>
      <c r="B421" s="17"/>
      <c r="C421" s="17"/>
      <c r="D421" s="17"/>
      <c r="E421" s="17"/>
      <c r="F421" s="17"/>
      <c r="G421" s="4">
        <f>SUM($B421:$F421)</f>
        <v>0</v>
      </c>
      <c r="H421" s="17"/>
      <c r="I421" s="4">
        <f>$I420+$G421-$H421</f>
        <v>349526.07999999996</v>
      </c>
      <c r="J421" s="32" t="str">
        <f>IF($A422&lt;&gt;$A421,$I421,"")</f>
        <v/>
      </c>
      <c r="K421" s="79"/>
      <c r="L421" s="79"/>
      <c r="M421" s="2"/>
      <c r="N421" s="5"/>
      <c r="O421" s="3"/>
      <c r="P421" s="6"/>
      <c r="Q421" s="6"/>
    </row>
    <row r="422" spans="1:17" ht="15" customHeight="1" x14ac:dyDescent="0.25">
      <c r="A422" s="1"/>
      <c r="B422" s="17"/>
      <c r="C422" s="17"/>
      <c r="D422" s="17"/>
      <c r="E422" s="17"/>
      <c r="F422" s="17"/>
      <c r="G422" s="4">
        <f>SUM($B422:$F422)</f>
        <v>0</v>
      </c>
      <c r="H422" s="17"/>
      <c r="I422" s="4">
        <f>$I421+$G422-$H422</f>
        <v>349526.07999999996</v>
      </c>
      <c r="J422" s="32" t="str">
        <f>IF($A423&lt;&gt;$A422,$I422,"")</f>
        <v/>
      </c>
      <c r="K422" s="79"/>
      <c r="L422" s="79"/>
      <c r="M422" s="2"/>
      <c r="N422" s="5"/>
      <c r="O422" s="3"/>
      <c r="P422" s="6"/>
      <c r="Q422" s="6"/>
    </row>
    <row r="423" spans="1:17" ht="15" customHeight="1" x14ac:dyDescent="0.25">
      <c r="A423" s="1"/>
      <c r="B423" s="17"/>
      <c r="C423" s="17"/>
      <c r="D423" s="17"/>
      <c r="E423" s="17"/>
      <c r="F423" s="17"/>
      <c r="G423" s="4">
        <f>SUM($B423:$F423)</f>
        <v>0</v>
      </c>
      <c r="H423" s="17"/>
      <c r="I423" s="4">
        <f>$I422+$G423-$H423</f>
        <v>349526.07999999996</v>
      </c>
      <c r="J423" s="32" t="str">
        <f>IF($A424&lt;&gt;$A423,$I423,"")</f>
        <v/>
      </c>
      <c r="K423" s="79"/>
      <c r="L423" s="79"/>
      <c r="M423" s="2"/>
      <c r="N423" s="5"/>
      <c r="O423" s="3"/>
      <c r="P423" s="6"/>
      <c r="Q423" s="6"/>
    </row>
    <row r="424" spans="1:17" ht="15" customHeight="1" x14ac:dyDescent="0.25">
      <c r="A424" s="1"/>
      <c r="B424" s="17"/>
      <c r="C424" s="17"/>
      <c r="D424" s="17"/>
      <c r="E424" s="17"/>
      <c r="F424" s="17"/>
      <c r="G424" s="4">
        <f>SUM($B424:$F424)</f>
        <v>0</v>
      </c>
      <c r="H424" s="17"/>
      <c r="I424" s="4">
        <f>$I423+$G424-$H424</f>
        <v>349526.07999999996</v>
      </c>
      <c r="J424" s="32" t="str">
        <f>IF($A425&lt;&gt;$A424,$I424,"")</f>
        <v/>
      </c>
      <c r="K424" s="79"/>
      <c r="L424" s="79"/>
      <c r="M424" s="2"/>
      <c r="N424" s="5"/>
      <c r="O424" s="3"/>
      <c r="P424" s="6"/>
      <c r="Q424" s="6"/>
    </row>
    <row r="425" spans="1:17" ht="15" customHeight="1" x14ac:dyDescent="0.25">
      <c r="A425" s="1"/>
      <c r="B425" s="17"/>
      <c r="C425" s="17"/>
      <c r="D425" s="17"/>
      <c r="E425" s="17"/>
      <c r="F425" s="17"/>
      <c r="G425" s="4">
        <f>SUM($B425:$F425)</f>
        <v>0</v>
      </c>
      <c r="H425" s="17"/>
      <c r="I425" s="4">
        <f>$I424+$G425-$H425</f>
        <v>349526.07999999996</v>
      </c>
      <c r="J425" s="32" t="str">
        <f>IF($A426&lt;&gt;$A425,$I425,"")</f>
        <v/>
      </c>
      <c r="K425" s="79"/>
      <c r="L425" s="79"/>
      <c r="M425" s="2"/>
      <c r="N425" s="5"/>
      <c r="O425" s="3"/>
      <c r="P425" s="6"/>
      <c r="Q425" s="6"/>
    </row>
    <row r="426" spans="1:17" ht="15" customHeight="1" x14ac:dyDescent="0.25">
      <c r="A426" s="1"/>
      <c r="B426" s="17"/>
      <c r="C426" s="17"/>
      <c r="D426" s="17"/>
      <c r="E426" s="17"/>
      <c r="F426" s="17"/>
      <c r="G426" s="4">
        <f>SUM($B426:$F426)</f>
        <v>0</v>
      </c>
      <c r="H426" s="17"/>
      <c r="I426" s="4">
        <f>$I425+$G426-$H426</f>
        <v>349526.07999999996</v>
      </c>
      <c r="J426" s="32" t="str">
        <f>IF($A427&lt;&gt;$A426,$I426,"")</f>
        <v/>
      </c>
      <c r="K426" s="79"/>
      <c r="L426" s="79"/>
      <c r="M426" s="2"/>
      <c r="N426" s="5"/>
      <c r="O426" s="3"/>
      <c r="P426" s="6"/>
      <c r="Q426" s="6"/>
    </row>
    <row r="427" spans="1:17" ht="15" customHeight="1" x14ac:dyDescent="0.25">
      <c r="A427" s="1"/>
      <c r="B427" s="17"/>
      <c r="C427" s="17"/>
      <c r="D427" s="17"/>
      <c r="E427" s="17"/>
      <c r="F427" s="17"/>
      <c r="G427" s="4">
        <f>SUM($B427:$F427)</f>
        <v>0</v>
      </c>
      <c r="H427" s="17"/>
      <c r="I427" s="4">
        <f>$I426+$G427-$H427</f>
        <v>349526.07999999996</v>
      </c>
      <c r="J427" s="32" t="str">
        <f>IF($A428&lt;&gt;$A427,$I427,"")</f>
        <v/>
      </c>
      <c r="K427" s="79"/>
      <c r="L427" s="79"/>
      <c r="M427" s="2"/>
      <c r="N427" s="5"/>
      <c r="O427" s="3"/>
      <c r="P427" s="6"/>
      <c r="Q427" s="6"/>
    </row>
    <row r="428" spans="1:17" ht="15" customHeight="1" x14ac:dyDescent="0.25">
      <c r="A428" s="1"/>
      <c r="B428" s="17"/>
      <c r="C428" s="17"/>
      <c r="D428" s="17"/>
      <c r="E428" s="17"/>
      <c r="F428" s="17"/>
      <c r="G428" s="4">
        <f>SUM($B428:$F428)</f>
        <v>0</v>
      </c>
      <c r="H428" s="17"/>
      <c r="I428" s="4">
        <f>$I427+$G428-$H428</f>
        <v>349526.07999999996</v>
      </c>
      <c r="J428" s="32" t="str">
        <f>IF($A429&lt;&gt;$A428,$I428,"")</f>
        <v/>
      </c>
      <c r="K428" s="79"/>
      <c r="L428" s="79"/>
      <c r="M428" s="2"/>
      <c r="N428" s="5"/>
      <c r="O428" s="3"/>
      <c r="P428" s="6"/>
      <c r="Q428" s="6"/>
    </row>
    <row r="429" spans="1:17" ht="15" customHeight="1" x14ac:dyDescent="0.25">
      <c r="A429" s="1"/>
      <c r="B429" s="17"/>
      <c r="C429" s="17"/>
      <c r="D429" s="17"/>
      <c r="E429" s="17"/>
      <c r="F429" s="17"/>
      <c r="G429" s="4">
        <f>SUM($B429:$F429)</f>
        <v>0</v>
      </c>
      <c r="H429" s="17"/>
      <c r="I429" s="4">
        <f>$I428+$G429-$H429</f>
        <v>349526.07999999996</v>
      </c>
      <c r="J429" s="32" t="str">
        <f>IF($A430&lt;&gt;$A429,$I429,"")</f>
        <v/>
      </c>
      <c r="K429" s="79"/>
      <c r="L429" s="79"/>
      <c r="M429" s="2"/>
      <c r="N429" s="5"/>
      <c r="O429" s="3"/>
      <c r="P429" s="6"/>
      <c r="Q429" s="6"/>
    </row>
    <row r="430" spans="1:17" ht="15" customHeight="1" x14ac:dyDescent="0.25">
      <c r="A430" s="1"/>
      <c r="B430" s="17"/>
      <c r="C430" s="17"/>
      <c r="D430" s="17"/>
      <c r="E430" s="17"/>
      <c r="F430" s="17"/>
      <c r="G430" s="4">
        <f>SUM($B430:$F430)</f>
        <v>0</v>
      </c>
      <c r="H430" s="17"/>
      <c r="I430" s="4">
        <f>$I429+$G430-$H430</f>
        <v>349526.07999999996</v>
      </c>
      <c r="J430" s="32" t="str">
        <f>IF($A431&lt;&gt;$A430,$I430,"")</f>
        <v/>
      </c>
      <c r="K430" s="79"/>
      <c r="L430" s="79"/>
      <c r="M430" s="2"/>
      <c r="N430" s="5"/>
      <c r="O430" s="3"/>
      <c r="P430" s="6"/>
      <c r="Q430" s="6"/>
    </row>
    <row r="431" spans="1:17" ht="15" customHeight="1" x14ac:dyDescent="0.25">
      <c r="A431" s="1"/>
      <c r="B431" s="17"/>
      <c r="C431" s="17"/>
      <c r="D431" s="17"/>
      <c r="E431" s="17"/>
      <c r="F431" s="17"/>
      <c r="G431" s="4">
        <f>SUM($B431:$F431)</f>
        <v>0</v>
      </c>
      <c r="H431" s="17"/>
      <c r="I431" s="4">
        <f>$I430+$G431-$H431</f>
        <v>349526.07999999996</v>
      </c>
      <c r="J431" s="32" t="str">
        <f>IF($A432&lt;&gt;$A431,$I431,"")</f>
        <v/>
      </c>
      <c r="K431" s="79"/>
      <c r="L431" s="79"/>
      <c r="M431" s="2"/>
      <c r="N431" s="5"/>
      <c r="O431" s="3"/>
      <c r="P431" s="6"/>
      <c r="Q431" s="6"/>
    </row>
    <row r="432" spans="1:17" ht="15" customHeight="1" x14ac:dyDescent="0.25">
      <c r="A432" s="1"/>
      <c r="B432" s="17"/>
      <c r="C432" s="17"/>
      <c r="D432" s="17"/>
      <c r="E432" s="17"/>
      <c r="F432" s="17"/>
      <c r="G432" s="4">
        <f>SUM($B432:$F432)</f>
        <v>0</v>
      </c>
      <c r="H432" s="17"/>
      <c r="I432" s="4">
        <f>$I431+$G432-$H432</f>
        <v>349526.07999999996</v>
      </c>
      <c r="J432" s="32" t="str">
        <f>IF($A433&lt;&gt;$A432,$I432,"")</f>
        <v/>
      </c>
      <c r="K432" s="79"/>
      <c r="L432" s="79"/>
      <c r="M432" s="2"/>
      <c r="N432" s="5"/>
      <c r="O432" s="3"/>
      <c r="P432" s="6"/>
      <c r="Q432" s="6"/>
    </row>
    <row r="433" spans="1:17" ht="15" customHeight="1" x14ac:dyDescent="0.25">
      <c r="A433" s="1"/>
      <c r="B433" s="17"/>
      <c r="C433" s="17"/>
      <c r="D433" s="17"/>
      <c r="E433" s="17"/>
      <c r="F433" s="17"/>
      <c r="G433" s="4">
        <f>SUM($B433:$F433)</f>
        <v>0</v>
      </c>
      <c r="H433" s="17"/>
      <c r="I433" s="4">
        <f>$I432+$G433-$H433</f>
        <v>349526.07999999996</v>
      </c>
      <c r="J433" s="32" t="str">
        <f>IF($A434&lt;&gt;$A433,$I433,"")</f>
        <v/>
      </c>
      <c r="K433" s="79"/>
      <c r="L433" s="79"/>
      <c r="M433" s="2"/>
      <c r="N433" s="5"/>
      <c r="O433" s="3"/>
      <c r="P433" s="6"/>
      <c r="Q433" s="6"/>
    </row>
    <row r="434" spans="1:17" ht="15" customHeight="1" x14ac:dyDescent="0.25">
      <c r="A434" s="1"/>
      <c r="B434" s="17"/>
      <c r="C434" s="17"/>
      <c r="D434" s="17"/>
      <c r="E434" s="17"/>
      <c r="F434" s="17"/>
      <c r="G434" s="4">
        <f>SUM($B434:$F434)</f>
        <v>0</v>
      </c>
      <c r="H434" s="17"/>
      <c r="I434" s="4">
        <f>$I433+$G434-$H434</f>
        <v>349526.07999999996</v>
      </c>
      <c r="J434" s="32" t="str">
        <f>IF($A435&lt;&gt;$A434,$I434,"")</f>
        <v/>
      </c>
      <c r="K434" s="79"/>
      <c r="L434" s="79"/>
      <c r="M434" s="2"/>
      <c r="N434" s="5"/>
      <c r="O434" s="3"/>
      <c r="P434" s="6"/>
      <c r="Q434" s="6"/>
    </row>
    <row r="435" spans="1:17" ht="15" customHeight="1" x14ac:dyDescent="0.25">
      <c r="A435" s="1"/>
      <c r="B435" s="17"/>
      <c r="C435" s="17"/>
      <c r="D435" s="17"/>
      <c r="E435" s="17"/>
      <c r="F435" s="17"/>
      <c r="G435" s="4">
        <f>SUM($B435:$F435)</f>
        <v>0</v>
      </c>
      <c r="H435" s="17"/>
      <c r="I435" s="4">
        <f>$I434+$G435-$H435</f>
        <v>349526.07999999996</v>
      </c>
      <c r="J435" s="32" t="str">
        <f>IF($A436&lt;&gt;$A435,$I435,"")</f>
        <v/>
      </c>
      <c r="K435" s="79"/>
      <c r="L435" s="79"/>
      <c r="M435" s="2"/>
      <c r="N435" s="5"/>
      <c r="O435" s="3"/>
      <c r="P435" s="6"/>
      <c r="Q435" s="6"/>
    </row>
    <row r="436" spans="1:17" ht="15" customHeight="1" x14ac:dyDescent="0.25">
      <c r="A436" s="1"/>
      <c r="B436" s="17"/>
      <c r="C436" s="17"/>
      <c r="D436" s="17"/>
      <c r="E436" s="17"/>
      <c r="F436" s="17"/>
      <c r="G436" s="4">
        <f>SUM($B436:$F436)</f>
        <v>0</v>
      </c>
      <c r="H436" s="17"/>
      <c r="I436" s="4">
        <f>$I435+$G436-$H436</f>
        <v>349526.07999999996</v>
      </c>
      <c r="J436" s="32" t="str">
        <f>IF($A437&lt;&gt;$A436,$I436,"")</f>
        <v/>
      </c>
      <c r="K436" s="79"/>
      <c r="L436" s="79"/>
      <c r="M436" s="2"/>
      <c r="N436" s="5"/>
      <c r="O436" s="3"/>
      <c r="P436" s="6"/>
      <c r="Q436" s="6"/>
    </row>
    <row r="437" spans="1:17" ht="15" customHeight="1" x14ac:dyDescent="0.25">
      <c r="A437" s="1"/>
      <c r="B437" s="17"/>
      <c r="C437" s="17"/>
      <c r="D437" s="17"/>
      <c r="E437" s="17"/>
      <c r="F437" s="17"/>
      <c r="G437" s="4">
        <f>SUM($B437:$F437)</f>
        <v>0</v>
      </c>
      <c r="H437" s="17"/>
      <c r="I437" s="4">
        <f>$I436+$G437-$H437</f>
        <v>349526.07999999996</v>
      </c>
      <c r="J437" s="32" t="str">
        <f>IF($A438&lt;&gt;$A437,$I437,"")</f>
        <v/>
      </c>
      <c r="K437" s="79"/>
      <c r="L437" s="79"/>
      <c r="M437" s="2"/>
      <c r="N437" s="5"/>
      <c r="O437" s="3"/>
      <c r="P437" s="6"/>
      <c r="Q437" s="6"/>
    </row>
    <row r="438" spans="1:17" ht="15" customHeight="1" x14ac:dyDescent="0.25">
      <c r="A438" s="1"/>
      <c r="B438" s="17"/>
      <c r="C438" s="17"/>
      <c r="D438" s="17"/>
      <c r="E438" s="17"/>
      <c r="F438" s="17"/>
      <c r="G438" s="4">
        <f>SUM($B438:$F438)</f>
        <v>0</v>
      </c>
      <c r="H438" s="17"/>
      <c r="I438" s="4">
        <f>$I437+$G438-$H438</f>
        <v>349526.07999999996</v>
      </c>
      <c r="J438" s="32" t="str">
        <f>IF($A439&lt;&gt;$A438,$I438,"")</f>
        <v/>
      </c>
      <c r="K438" s="79"/>
      <c r="L438" s="79"/>
      <c r="M438" s="2"/>
      <c r="N438" s="5"/>
      <c r="O438" s="3"/>
      <c r="P438" s="6"/>
      <c r="Q438" s="6"/>
    </row>
    <row r="439" spans="1:17" ht="15" customHeight="1" x14ac:dyDescent="0.25">
      <c r="A439" s="1"/>
      <c r="B439" s="17"/>
      <c r="C439" s="17"/>
      <c r="D439" s="17"/>
      <c r="E439" s="17"/>
      <c r="F439" s="17"/>
      <c r="G439" s="4">
        <f>SUM($B439:$F439)</f>
        <v>0</v>
      </c>
      <c r="H439" s="17"/>
      <c r="I439" s="4">
        <f>$I438+$G439-$H439</f>
        <v>349526.07999999996</v>
      </c>
      <c r="J439" s="32" t="str">
        <f>IF($A440&lt;&gt;$A439,$I439,"")</f>
        <v/>
      </c>
      <c r="K439" s="79"/>
      <c r="L439" s="79"/>
      <c r="M439" s="2"/>
      <c r="N439" s="5"/>
      <c r="O439" s="3"/>
      <c r="P439" s="6"/>
      <c r="Q439" s="6"/>
    </row>
    <row r="440" spans="1:17" ht="15" customHeight="1" x14ac:dyDescent="0.25">
      <c r="A440" s="1"/>
      <c r="B440" s="17"/>
      <c r="C440" s="17"/>
      <c r="D440" s="17"/>
      <c r="E440" s="17"/>
      <c r="F440" s="17"/>
      <c r="G440" s="4">
        <f>SUM($B440:$F440)</f>
        <v>0</v>
      </c>
      <c r="H440" s="17"/>
      <c r="I440" s="4">
        <f>$I439+$G440-$H440</f>
        <v>349526.07999999996</v>
      </c>
      <c r="J440" s="32" t="str">
        <f>IF($A441&lt;&gt;$A440,$I440,"")</f>
        <v/>
      </c>
      <c r="K440" s="79"/>
      <c r="L440" s="79"/>
      <c r="M440" s="2"/>
      <c r="N440" s="5"/>
      <c r="O440" s="3"/>
      <c r="P440" s="6"/>
      <c r="Q440" s="6"/>
    </row>
    <row r="441" spans="1:17" ht="15" customHeight="1" x14ac:dyDescent="0.25">
      <c r="A441" s="1"/>
      <c r="B441" s="17"/>
      <c r="C441" s="17"/>
      <c r="D441" s="17"/>
      <c r="E441" s="17"/>
      <c r="F441" s="17"/>
      <c r="G441" s="4">
        <f>SUM($B441:$F441)</f>
        <v>0</v>
      </c>
      <c r="H441" s="17"/>
      <c r="I441" s="4">
        <f>$I440+$G441-$H441</f>
        <v>349526.07999999996</v>
      </c>
      <c r="J441" s="32" t="str">
        <f>IF($A442&lt;&gt;$A441,$I441,"")</f>
        <v/>
      </c>
      <c r="K441" s="79"/>
      <c r="L441" s="79"/>
      <c r="M441" s="2"/>
      <c r="N441" s="5"/>
      <c r="O441" s="3"/>
      <c r="P441" s="6"/>
      <c r="Q441" s="6"/>
    </row>
    <row r="442" spans="1:17" ht="15" customHeight="1" x14ac:dyDescent="0.25">
      <c r="A442" s="1"/>
      <c r="B442" s="17"/>
      <c r="C442" s="17"/>
      <c r="D442" s="17"/>
      <c r="E442" s="17"/>
      <c r="F442" s="17"/>
      <c r="G442" s="4">
        <f>SUM($B442:$F442)</f>
        <v>0</v>
      </c>
      <c r="H442" s="17"/>
      <c r="I442" s="4">
        <f>$I441+$G442-$H442</f>
        <v>349526.07999999996</v>
      </c>
      <c r="J442" s="32" t="str">
        <f>IF($A443&lt;&gt;$A442,$I442,"")</f>
        <v/>
      </c>
      <c r="K442" s="79"/>
      <c r="L442" s="79"/>
      <c r="M442" s="2"/>
      <c r="N442" s="5"/>
      <c r="O442" s="3"/>
      <c r="P442" s="6"/>
      <c r="Q442" s="6"/>
    </row>
    <row r="443" spans="1:17" ht="15" customHeight="1" x14ac:dyDescent="0.25">
      <c r="A443" s="1"/>
      <c r="B443" s="17"/>
      <c r="C443" s="17"/>
      <c r="D443" s="17"/>
      <c r="E443" s="17"/>
      <c r="F443" s="17"/>
      <c r="G443" s="4">
        <f>SUM($B443:$F443)</f>
        <v>0</v>
      </c>
      <c r="H443" s="17"/>
      <c r="I443" s="4">
        <f>$I442+$G443-$H443</f>
        <v>349526.07999999996</v>
      </c>
      <c r="J443" s="32" t="str">
        <f>IF($A444&lt;&gt;$A443,$I443,"")</f>
        <v/>
      </c>
      <c r="K443" s="79"/>
      <c r="L443" s="79"/>
      <c r="M443" s="2"/>
      <c r="N443" s="5"/>
      <c r="O443" s="3"/>
      <c r="P443" s="6"/>
      <c r="Q443" s="6"/>
    </row>
    <row r="444" spans="1:17" ht="15" customHeight="1" x14ac:dyDescent="0.25">
      <c r="A444" s="1"/>
      <c r="B444" s="17"/>
      <c r="C444" s="17"/>
      <c r="D444" s="17"/>
      <c r="E444" s="17"/>
      <c r="F444" s="17"/>
      <c r="G444" s="4">
        <f>SUM($B444:$F444)</f>
        <v>0</v>
      </c>
      <c r="H444" s="17"/>
      <c r="I444" s="4">
        <f>$I443+$G444-$H444</f>
        <v>349526.07999999996</v>
      </c>
      <c r="J444" s="32" t="str">
        <f>IF($A445&lt;&gt;$A444,$I444,"")</f>
        <v/>
      </c>
      <c r="K444" s="79"/>
      <c r="L444" s="79"/>
      <c r="M444" s="2"/>
      <c r="N444" s="5"/>
      <c r="O444" s="3"/>
      <c r="P444" s="6"/>
      <c r="Q444" s="6"/>
    </row>
    <row r="445" spans="1:17" ht="15" customHeight="1" x14ac:dyDescent="0.25">
      <c r="A445" s="1"/>
      <c r="B445" s="17"/>
      <c r="C445" s="17"/>
      <c r="D445" s="17"/>
      <c r="E445" s="17"/>
      <c r="F445" s="17"/>
      <c r="G445" s="4">
        <f>SUM($B445:$F445)</f>
        <v>0</v>
      </c>
      <c r="H445" s="17"/>
      <c r="I445" s="4">
        <f>$I444+$G445-$H445</f>
        <v>349526.07999999996</v>
      </c>
      <c r="J445" s="32" t="str">
        <f>IF($A446&lt;&gt;$A445,$I445,"")</f>
        <v/>
      </c>
      <c r="K445" s="79"/>
      <c r="L445" s="79"/>
      <c r="M445" s="2"/>
      <c r="N445" s="5"/>
      <c r="O445" s="3"/>
      <c r="P445" s="6"/>
      <c r="Q445" s="6"/>
    </row>
    <row r="446" spans="1:17" ht="15" customHeight="1" x14ac:dyDescent="0.25">
      <c r="A446" s="1"/>
      <c r="B446" s="17"/>
      <c r="C446" s="17"/>
      <c r="D446" s="17"/>
      <c r="E446" s="17"/>
      <c r="F446" s="17"/>
      <c r="G446" s="4">
        <f>SUM($B446:$F446)</f>
        <v>0</v>
      </c>
      <c r="H446" s="17"/>
      <c r="I446" s="4">
        <f>$I445+$G446-$H446</f>
        <v>349526.07999999996</v>
      </c>
      <c r="J446" s="32" t="str">
        <f>IF($A447&lt;&gt;$A446,$I446,"")</f>
        <v/>
      </c>
      <c r="K446" s="79"/>
      <c r="L446" s="79"/>
      <c r="M446" s="2"/>
      <c r="N446" s="5"/>
      <c r="O446" s="3"/>
      <c r="P446" s="6"/>
      <c r="Q446" s="6"/>
    </row>
    <row r="447" spans="1:17" ht="15" customHeight="1" x14ac:dyDescent="0.25">
      <c r="A447" s="1"/>
      <c r="B447" s="17"/>
      <c r="C447" s="17"/>
      <c r="D447" s="17"/>
      <c r="E447" s="17"/>
      <c r="F447" s="17"/>
      <c r="G447" s="4">
        <f>SUM($B447:$F447)</f>
        <v>0</v>
      </c>
      <c r="H447" s="17"/>
      <c r="I447" s="4">
        <f>$I446+$G447-$H447</f>
        <v>349526.07999999996</v>
      </c>
      <c r="J447" s="32" t="str">
        <f>IF($A448&lt;&gt;$A447,$I447,"")</f>
        <v/>
      </c>
      <c r="K447" s="79"/>
      <c r="L447" s="79"/>
      <c r="M447" s="2"/>
      <c r="N447" s="5"/>
      <c r="O447" s="3"/>
      <c r="P447" s="6"/>
      <c r="Q447" s="6"/>
    </row>
    <row r="448" spans="1:17" ht="15" customHeight="1" x14ac:dyDescent="0.25">
      <c r="A448" s="1"/>
      <c r="B448" s="17"/>
      <c r="C448" s="17"/>
      <c r="D448" s="17"/>
      <c r="E448" s="17"/>
      <c r="F448" s="17"/>
      <c r="G448" s="4">
        <f>SUM($B448:$F448)</f>
        <v>0</v>
      </c>
      <c r="H448" s="17"/>
      <c r="I448" s="4">
        <f>$I447+$G448-$H448</f>
        <v>349526.07999999996</v>
      </c>
      <c r="J448" s="32" t="str">
        <f>IF($A449&lt;&gt;$A448,$I448,"")</f>
        <v/>
      </c>
      <c r="K448" s="79"/>
      <c r="L448" s="79"/>
      <c r="M448" s="2"/>
      <c r="N448" s="5"/>
      <c r="O448" s="3"/>
      <c r="P448" s="6"/>
      <c r="Q448" s="6"/>
    </row>
    <row r="449" spans="1:17" ht="15" customHeight="1" x14ac:dyDescent="0.25">
      <c r="A449" s="1"/>
      <c r="B449" s="17"/>
      <c r="C449" s="17"/>
      <c r="D449" s="17"/>
      <c r="E449" s="17"/>
      <c r="F449" s="17"/>
      <c r="G449" s="4">
        <f>SUM($B449:$F449)</f>
        <v>0</v>
      </c>
      <c r="H449" s="17"/>
      <c r="I449" s="4">
        <f>$I448+$G449-$H449</f>
        <v>349526.07999999996</v>
      </c>
      <c r="J449" s="32" t="str">
        <f>IF($A450&lt;&gt;$A449,$I449,"")</f>
        <v/>
      </c>
      <c r="K449" s="79"/>
      <c r="L449" s="79"/>
      <c r="M449" s="2"/>
      <c r="N449" s="5"/>
      <c r="O449" s="3"/>
      <c r="P449" s="6"/>
      <c r="Q449" s="6"/>
    </row>
    <row r="450" spans="1:17" ht="15" customHeight="1" x14ac:dyDescent="0.25">
      <c r="A450" s="1"/>
      <c r="B450" s="17"/>
      <c r="C450" s="17"/>
      <c r="D450" s="17"/>
      <c r="E450" s="17"/>
      <c r="F450" s="17"/>
      <c r="G450" s="4">
        <f>SUM($B450:$F450)</f>
        <v>0</v>
      </c>
      <c r="H450" s="17"/>
      <c r="I450" s="4">
        <f>$I449+$G450-$H450</f>
        <v>349526.07999999996</v>
      </c>
      <c r="J450" s="32" t="str">
        <f>IF($A451&lt;&gt;$A450,$I450,"")</f>
        <v/>
      </c>
      <c r="K450" s="79"/>
      <c r="L450" s="79"/>
      <c r="M450" s="2"/>
      <c r="N450" s="5"/>
      <c r="O450" s="3"/>
      <c r="P450" s="6"/>
      <c r="Q450" s="6"/>
    </row>
    <row r="451" spans="1:17" ht="15" customHeight="1" x14ac:dyDescent="0.25">
      <c r="A451" s="1"/>
      <c r="B451" s="17"/>
      <c r="C451" s="17"/>
      <c r="D451" s="17"/>
      <c r="E451" s="17"/>
      <c r="F451" s="17"/>
      <c r="G451" s="4">
        <f>SUM($B451:$F451)</f>
        <v>0</v>
      </c>
      <c r="H451" s="17"/>
      <c r="I451" s="4">
        <f>$I450+$G451-$H451</f>
        <v>349526.07999999996</v>
      </c>
      <c r="J451" s="32" t="str">
        <f>IF($A452&lt;&gt;$A451,$I451,"")</f>
        <v/>
      </c>
      <c r="K451" s="79"/>
      <c r="L451" s="79"/>
      <c r="M451" s="2"/>
      <c r="N451" s="5"/>
      <c r="O451" s="3"/>
      <c r="P451" s="6"/>
      <c r="Q451" s="6"/>
    </row>
    <row r="452" spans="1:17" ht="15" customHeight="1" x14ac:dyDescent="0.25">
      <c r="A452" s="1"/>
      <c r="B452" s="17"/>
      <c r="C452" s="17"/>
      <c r="D452" s="17"/>
      <c r="E452" s="17"/>
      <c r="F452" s="17"/>
      <c r="G452" s="4">
        <f>SUM($B452:$F452)</f>
        <v>0</v>
      </c>
      <c r="H452" s="17"/>
      <c r="I452" s="4">
        <f>$I451+$G452-$H452</f>
        <v>349526.07999999996</v>
      </c>
      <c r="J452" s="32" t="str">
        <f>IF($A453&lt;&gt;$A452,$I452,"")</f>
        <v/>
      </c>
      <c r="K452" s="79"/>
      <c r="L452" s="79"/>
      <c r="M452" s="2"/>
      <c r="N452" s="5"/>
      <c r="O452" s="3"/>
      <c r="P452" s="6"/>
      <c r="Q452" s="6"/>
    </row>
    <row r="453" spans="1:17" ht="15" customHeight="1" x14ac:dyDescent="0.25">
      <c r="A453" s="1"/>
      <c r="B453" s="17"/>
      <c r="C453" s="17"/>
      <c r="D453" s="17"/>
      <c r="E453" s="17"/>
      <c r="F453" s="17"/>
      <c r="G453" s="4">
        <f>SUM($B453:$F453)</f>
        <v>0</v>
      </c>
      <c r="H453" s="17"/>
      <c r="I453" s="4">
        <f>$I452+$G453-$H453</f>
        <v>349526.07999999996</v>
      </c>
      <c r="J453" s="32" t="str">
        <f>IF($A454&lt;&gt;$A453,$I453,"")</f>
        <v/>
      </c>
      <c r="K453" s="79"/>
      <c r="L453" s="79"/>
      <c r="M453" s="2"/>
      <c r="N453" s="5"/>
      <c r="O453" s="3"/>
      <c r="P453" s="6"/>
      <c r="Q453" s="6"/>
    </row>
    <row r="454" spans="1:17" ht="15" customHeight="1" x14ac:dyDescent="0.25">
      <c r="A454" s="1"/>
      <c r="B454" s="17"/>
      <c r="C454" s="17"/>
      <c r="D454" s="17"/>
      <c r="E454" s="17"/>
      <c r="F454" s="17"/>
      <c r="G454" s="4">
        <f>SUM($B454:$F454)</f>
        <v>0</v>
      </c>
      <c r="H454" s="17"/>
      <c r="I454" s="4">
        <f>$I453+$G454-$H454</f>
        <v>349526.07999999996</v>
      </c>
      <c r="J454" s="32" t="str">
        <f>IF($A455&lt;&gt;$A454,$I454,"")</f>
        <v/>
      </c>
      <c r="K454" s="79"/>
      <c r="L454" s="79"/>
      <c r="M454" s="2"/>
      <c r="N454" s="5"/>
      <c r="O454" s="3"/>
      <c r="P454" s="6"/>
      <c r="Q454" s="6"/>
    </row>
    <row r="455" spans="1:17" ht="15" customHeight="1" x14ac:dyDescent="0.25">
      <c r="A455" s="1"/>
      <c r="B455" s="17"/>
      <c r="C455" s="17"/>
      <c r="D455" s="17"/>
      <c r="E455" s="17"/>
      <c r="F455" s="17"/>
      <c r="G455" s="4">
        <f>SUM($B455:$F455)</f>
        <v>0</v>
      </c>
      <c r="H455" s="17"/>
      <c r="I455" s="4">
        <f>$I454+$G455-$H455</f>
        <v>349526.07999999996</v>
      </c>
      <c r="J455" s="32" t="str">
        <f>IF($A456&lt;&gt;$A455,$I455,"")</f>
        <v/>
      </c>
      <c r="K455" s="79"/>
      <c r="L455" s="79"/>
      <c r="M455" s="2"/>
      <c r="N455" s="5"/>
      <c r="O455" s="3"/>
      <c r="P455" s="6"/>
      <c r="Q455" s="6"/>
    </row>
    <row r="456" spans="1:17" ht="15" customHeight="1" x14ac:dyDescent="0.25">
      <c r="A456" s="1"/>
      <c r="B456" s="17"/>
      <c r="C456" s="17"/>
      <c r="D456" s="17"/>
      <c r="E456" s="17"/>
      <c r="F456" s="17"/>
      <c r="G456" s="4">
        <f>SUM($B456:$F456)</f>
        <v>0</v>
      </c>
      <c r="H456" s="17"/>
      <c r="I456" s="4">
        <f>$I455+$G456-$H456</f>
        <v>349526.07999999996</v>
      </c>
      <c r="J456" s="32" t="str">
        <f>IF($A457&lt;&gt;$A456,$I456,"")</f>
        <v/>
      </c>
      <c r="K456" s="79"/>
      <c r="L456" s="79"/>
      <c r="M456" s="2"/>
      <c r="N456" s="5"/>
      <c r="O456" s="3"/>
      <c r="P456" s="6"/>
      <c r="Q456" s="6"/>
    </row>
    <row r="457" spans="1:17" ht="15" customHeight="1" x14ac:dyDescent="0.25">
      <c r="A457" s="1"/>
      <c r="B457" s="17"/>
      <c r="C457" s="17"/>
      <c r="D457" s="17"/>
      <c r="E457" s="17"/>
      <c r="F457" s="17"/>
      <c r="G457" s="4">
        <f>SUM($B457:$F457)</f>
        <v>0</v>
      </c>
      <c r="H457" s="17"/>
      <c r="I457" s="4">
        <f>$I456+$G457-$H457</f>
        <v>349526.07999999996</v>
      </c>
      <c r="J457" s="32" t="str">
        <f>IF($A458&lt;&gt;$A457,$I457,"")</f>
        <v/>
      </c>
      <c r="K457" s="79"/>
      <c r="L457" s="79"/>
      <c r="M457" s="2"/>
      <c r="N457" s="5"/>
      <c r="O457" s="3"/>
      <c r="P457" s="6"/>
      <c r="Q457" s="6"/>
    </row>
    <row r="458" spans="1:17" ht="15" customHeight="1" x14ac:dyDescent="0.25">
      <c r="A458" s="1"/>
      <c r="B458" s="17"/>
      <c r="C458" s="17"/>
      <c r="D458" s="17"/>
      <c r="E458" s="17"/>
      <c r="F458" s="17"/>
      <c r="G458" s="4">
        <f>SUM($B458:$F458)</f>
        <v>0</v>
      </c>
      <c r="H458" s="17"/>
      <c r="I458" s="4">
        <f>$I457+$G458-$H458</f>
        <v>349526.07999999996</v>
      </c>
      <c r="J458" s="32" t="str">
        <f>IF($A459&lt;&gt;$A458,$I458,"")</f>
        <v/>
      </c>
      <c r="K458" s="79"/>
      <c r="L458" s="79"/>
      <c r="M458" s="2"/>
      <c r="N458" s="5"/>
      <c r="O458" s="3"/>
      <c r="P458" s="6"/>
      <c r="Q458" s="6"/>
    </row>
    <row r="459" spans="1:17" ht="15" customHeight="1" x14ac:dyDescent="0.25">
      <c r="A459" s="1"/>
      <c r="B459" s="17"/>
      <c r="C459" s="17"/>
      <c r="D459" s="17"/>
      <c r="E459" s="17"/>
      <c r="F459" s="17"/>
      <c r="G459" s="4">
        <f>SUM($B459:$F459)</f>
        <v>0</v>
      </c>
      <c r="H459" s="17"/>
      <c r="I459" s="4">
        <f>$I458+$G459-$H459</f>
        <v>349526.07999999996</v>
      </c>
      <c r="J459" s="32" t="str">
        <f>IF($A460&lt;&gt;$A459,$I459,"")</f>
        <v/>
      </c>
      <c r="K459" s="79"/>
      <c r="L459" s="79"/>
      <c r="M459" s="2"/>
      <c r="N459" s="5"/>
      <c r="O459" s="3"/>
      <c r="P459" s="6"/>
      <c r="Q459" s="6"/>
    </row>
    <row r="460" spans="1:17" ht="15" customHeight="1" x14ac:dyDescent="0.25">
      <c r="A460" s="1"/>
      <c r="B460" s="17"/>
      <c r="C460" s="17"/>
      <c r="D460" s="17"/>
      <c r="E460" s="17"/>
      <c r="F460" s="17"/>
      <c r="G460" s="4">
        <f>SUM($B460:$F460)</f>
        <v>0</v>
      </c>
      <c r="H460" s="17"/>
      <c r="I460" s="4">
        <f>$I459+$G460-$H460</f>
        <v>349526.07999999996</v>
      </c>
      <c r="J460" s="32" t="str">
        <f>IF($A461&lt;&gt;$A460,$I460,"")</f>
        <v/>
      </c>
      <c r="K460" s="79"/>
      <c r="L460" s="79"/>
      <c r="M460" s="2"/>
      <c r="N460" s="5"/>
      <c r="O460" s="3"/>
      <c r="P460" s="6"/>
      <c r="Q460" s="6"/>
    </row>
    <row r="461" spans="1:17" ht="15" customHeight="1" x14ac:dyDescent="0.25">
      <c r="A461" s="1"/>
      <c r="B461" s="17"/>
      <c r="C461" s="17"/>
      <c r="D461" s="17"/>
      <c r="E461" s="17"/>
      <c r="F461" s="17"/>
      <c r="G461" s="4">
        <f>SUM($B461:$F461)</f>
        <v>0</v>
      </c>
      <c r="H461" s="17"/>
      <c r="I461" s="4">
        <f>$I460+$G461-$H461</f>
        <v>349526.07999999996</v>
      </c>
      <c r="J461" s="32" t="str">
        <f>IF($A462&lt;&gt;$A461,$I461,"")</f>
        <v/>
      </c>
      <c r="K461" s="79"/>
      <c r="L461" s="79"/>
      <c r="M461" s="2"/>
      <c r="N461" s="5"/>
      <c r="O461" s="3"/>
      <c r="P461" s="6"/>
      <c r="Q461" s="6"/>
    </row>
    <row r="462" spans="1:17" ht="15" customHeight="1" x14ac:dyDescent="0.25">
      <c r="A462" s="1"/>
      <c r="B462" s="17"/>
      <c r="C462" s="17"/>
      <c r="D462" s="17"/>
      <c r="E462" s="17"/>
      <c r="F462" s="17"/>
      <c r="G462" s="4">
        <f>SUM($B462:$F462)</f>
        <v>0</v>
      </c>
      <c r="H462" s="17"/>
      <c r="I462" s="4">
        <f>$I461+$G462-$H462</f>
        <v>349526.07999999996</v>
      </c>
      <c r="J462" s="32" t="str">
        <f>IF($A463&lt;&gt;$A462,$I462,"")</f>
        <v/>
      </c>
      <c r="K462" s="79"/>
      <c r="L462" s="79"/>
      <c r="M462" s="2"/>
      <c r="N462" s="5"/>
      <c r="O462" s="3"/>
      <c r="P462" s="6"/>
      <c r="Q462" s="6"/>
    </row>
    <row r="463" spans="1:17" ht="15" customHeight="1" x14ac:dyDescent="0.25">
      <c r="A463" s="1"/>
      <c r="B463" s="17"/>
      <c r="C463" s="17"/>
      <c r="D463" s="17"/>
      <c r="E463" s="17"/>
      <c r="F463" s="17"/>
      <c r="G463" s="4">
        <f>SUM($B463:$F463)</f>
        <v>0</v>
      </c>
      <c r="H463" s="17"/>
      <c r="I463" s="4">
        <f>$I462+$G463-$H463</f>
        <v>349526.07999999996</v>
      </c>
      <c r="J463" s="32" t="str">
        <f>IF($A464&lt;&gt;$A463,$I463,"")</f>
        <v/>
      </c>
      <c r="K463" s="79"/>
      <c r="L463" s="79"/>
      <c r="M463" s="2"/>
      <c r="N463" s="5"/>
      <c r="O463" s="3"/>
      <c r="P463" s="6"/>
      <c r="Q463" s="6"/>
    </row>
    <row r="464" spans="1:17" ht="15" customHeight="1" x14ac:dyDescent="0.25">
      <c r="A464" s="1"/>
      <c r="B464" s="17"/>
      <c r="C464" s="17"/>
      <c r="D464" s="17"/>
      <c r="E464" s="17"/>
      <c r="F464" s="17"/>
      <c r="G464" s="4">
        <f>SUM($B464:$F464)</f>
        <v>0</v>
      </c>
      <c r="H464" s="17"/>
      <c r="I464" s="4">
        <f>$I463+$G464-$H464</f>
        <v>349526.07999999996</v>
      </c>
      <c r="J464" s="32" t="str">
        <f>IF($A465&lt;&gt;$A464,$I464,"")</f>
        <v/>
      </c>
      <c r="K464" s="79"/>
      <c r="L464" s="79"/>
      <c r="M464" s="2"/>
      <c r="N464" s="5"/>
      <c r="O464" s="3"/>
      <c r="P464" s="6"/>
      <c r="Q464" s="6"/>
    </row>
    <row r="465" spans="1:17" ht="15" customHeight="1" x14ac:dyDescent="0.25">
      <c r="A465" s="1"/>
      <c r="B465" s="17"/>
      <c r="C465" s="17"/>
      <c r="D465" s="17"/>
      <c r="E465" s="17"/>
      <c r="F465" s="17"/>
      <c r="G465" s="4">
        <f>SUM($B465:$F465)</f>
        <v>0</v>
      </c>
      <c r="H465" s="17"/>
      <c r="I465" s="4">
        <f>$I464+$G465-$H465</f>
        <v>349526.07999999996</v>
      </c>
      <c r="J465" s="32" t="str">
        <f>IF($A466&lt;&gt;$A465,$I465,"")</f>
        <v/>
      </c>
      <c r="K465" s="79"/>
      <c r="L465" s="79"/>
      <c r="M465" s="2"/>
      <c r="N465" s="5"/>
      <c r="O465" s="3"/>
      <c r="P465" s="6"/>
      <c r="Q465" s="6"/>
    </row>
    <row r="466" spans="1:17" ht="15" customHeight="1" x14ac:dyDescent="0.25">
      <c r="A466" s="1"/>
      <c r="B466" s="17"/>
      <c r="C466" s="17"/>
      <c r="D466" s="17"/>
      <c r="E466" s="17"/>
      <c r="F466" s="17"/>
      <c r="G466" s="4">
        <f>SUM($B466:$F466)</f>
        <v>0</v>
      </c>
      <c r="H466" s="17"/>
      <c r="I466" s="4">
        <f>$I465+$G466-$H466</f>
        <v>349526.07999999996</v>
      </c>
      <c r="J466" s="32" t="str">
        <f>IF($A467&lt;&gt;$A466,$I466,"")</f>
        <v/>
      </c>
      <c r="K466" s="79"/>
      <c r="L466" s="79"/>
      <c r="M466" s="2"/>
      <c r="N466" s="5"/>
      <c r="O466" s="3"/>
      <c r="P466" s="6"/>
      <c r="Q466" s="6"/>
    </row>
    <row r="467" spans="1:17" ht="15" customHeight="1" x14ac:dyDescent="0.25">
      <c r="A467" s="1"/>
      <c r="B467" s="17"/>
      <c r="C467" s="17"/>
      <c r="D467" s="17"/>
      <c r="E467" s="17"/>
      <c r="F467" s="17"/>
      <c r="G467" s="4">
        <f>SUM($B467:$F467)</f>
        <v>0</v>
      </c>
      <c r="H467" s="17"/>
      <c r="I467" s="4">
        <f>$I466+$G467-$H467</f>
        <v>349526.07999999996</v>
      </c>
      <c r="J467" s="32" t="str">
        <f>IF($A468&lt;&gt;$A467,$I467,"")</f>
        <v/>
      </c>
      <c r="K467" s="79"/>
      <c r="L467" s="79"/>
      <c r="M467" s="2"/>
      <c r="N467" s="5"/>
      <c r="O467" s="3"/>
      <c r="P467" s="6"/>
      <c r="Q467" s="6"/>
    </row>
    <row r="468" spans="1:17" ht="15" customHeight="1" x14ac:dyDescent="0.25">
      <c r="A468" s="1"/>
      <c r="B468" s="17"/>
      <c r="C468" s="17"/>
      <c r="D468" s="17"/>
      <c r="E468" s="17"/>
      <c r="F468" s="17"/>
      <c r="G468" s="4">
        <f>SUM($B468:$F468)</f>
        <v>0</v>
      </c>
      <c r="H468" s="17"/>
      <c r="I468" s="4">
        <f>$I467+$G468-$H468</f>
        <v>349526.07999999996</v>
      </c>
      <c r="J468" s="32" t="str">
        <f>IF($A469&lt;&gt;$A468,$I468,"")</f>
        <v/>
      </c>
      <c r="K468" s="79"/>
      <c r="L468" s="79"/>
      <c r="M468" s="2"/>
      <c r="N468" s="5"/>
      <c r="O468" s="3"/>
      <c r="P468" s="6"/>
      <c r="Q468" s="6"/>
    </row>
    <row r="469" spans="1:17" ht="15" customHeight="1" x14ac:dyDescent="0.25">
      <c r="A469" s="1"/>
      <c r="B469" s="17"/>
      <c r="C469" s="17"/>
      <c r="D469" s="17"/>
      <c r="E469" s="17"/>
      <c r="F469" s="17"/>
      <c r="G469" s="4">
        <f>SUM($B469:$F469)</f>
        <v>0</v>
      </c>
      <c r="H469" s="17"/>
      <c r="I469" s="4">
        <f>$I468+$G469-$H469</f>
        <v>349526.07999999996</v>
      </c>
      <c r="J469" s="32" t="str">
        <f>IF($A470&lt;&gt;$A469,$I469,"")</f>
        <v/>
      </c>
      <c r="K469" s="79"/>
      <c r="L469" s="79"/>
      <c r="M469" s="2"/>
      <c r="N469" s="5"/>
      <c r="O469" s="3"/>
      <c r="P469" s="6"/>
      <c r="Q469" s="6"/>
    </row>
    <row r="470" spans="1:17" ht="15" customHeight="1" x14ac:dyDescent="0.25">
      <c r="A470" s="1"/>
      <c r="B470" s="17"/>
      <c r="C470" s="17"/>
      <c r="D470" s="17"/>
      <c r="E470" s="17"/>
      <c r="F470" s="17"/>
      <c r="G470" s="4">
        <f>SUM($B470:$F470)</f>
        <v>0</v>
      </c>
      <c r="H470" s="17"/>
      <c r="I470" s="4">
        <f>$I469+$G470-$H470</f>
        <v>349526.07999999996</v>
      </c>
      <c r="J470" s="32" t="str">
        <f>IF($A471&lt;&gt;$A470,$I470,"")</f>
        <v/>
      </c>
      <c r="K470" s="79"/>
      <c r="L470" s="79"/>
      <c r="M470" s="2"/>
      <c r="N470" s="5"/>
      <c r="O470" s="3"/>
      <c r="P470" s="6"/>
      <c r="Q470" s="6"/>
    </row>
    <row r="471" spans="1:17" ht="15" customHeight="1" x14ac:dyDescent="0.25">
      <c r="A471" s="1"/>
      <c r="B471" s="17"/>
      <c r="C471" s="17"/>
      <c r="D471" s="17"/>
      <c r="E471" s="17"/>
      <c r="F471" s="17"/>
      <c r="G471" s="4">
        <f>SUM($B471:$F471)</f>
        <v>0</v>
      </c>
      <c r="H471" s="17"/>
      <c r="I471" s="4">
        <f>$I470+$G471-$H471</f>
        <v>349526.07999999996</v>
      </c>
      <c r="J471" s="32" t="str">
        <f>IF($A472&lt;&gt;$A471,$I471,"")</f>
        <v/>
      </c>
      <c r="K471" s="79"/>
      <c r="L471" s="79"/>
      <c r="M471" s="2"/>
      <c r="N471" s="5"/>
      <c r="O471" s="3"/>
      <c r="P471" s="6"/>
      <c r="Q471" s="6"/>
    </row>
    <row r="472" spans="1:17" ht="15" customHeight="1" x14ac:dyDescent="0.25">
      <c r="A472" s="1"/>
      <c r="B472" s="17"/>
      <c r="C472" s="17"/>
      <c r="D472" s="17"/>
      <c r="E472" s="17"/>
      <c r="F472" s="17"/>
      <c r="G472" s="4">
        <f>SUM($B472:$F472)</f>
        <v>0</v>
      </c>
      <c r="H472" s="17"/>
      <c r="I472" s="4">
        <f>$I471+$G472-$H472</f>
        <v>349526.07999999996</v>
      </c>
      <c r="J472" s="32" t="str">
        <f>IF($A473&lt;&gt;$A472,$I472,"")</f>
        <v/>
      </c>
      <c r="K472" s="79"/>
      <c r="L472" s="79"/>
      <c r="M472" s="2"/>
      <c r="N472" s="5"/>
      <c r="O472" s="3"/>
      <c r="P472" s="6"/>
      <c r="Q472" s="6"/>
    </row>
    <row r="473" spans="1:17" ht="15" customHeight="1" x14ac:dyDescent="0.25">
      <c r="A473" s="1"/>
      <c r="B473" s="17"/>
      <c r="C473" s="17"/>
      <c r="D473" s="17"/>
      <c r="E473" s="17"/>
      <c r="F473" s="17"/>
      <c r="G473" s="4">
        <f>SUM($B473:$F473)</f>
        <v>0</v>
      </c>
      <c r="H473" s="17"/>
      <c r="I473" s="4">
        <f>$I472+$G473-$H473</f>
        <v>349526.07999999996</v>
      </c>
      <c r="J473" s="32" t="str">
        <f>IF($A474&lt;&gt;$A473,$I473,"")</f>
        <v/>
      </c>
      <c r="K473" s="79"/>
      <c r="L473" s="79"/>
      <c r="M473" s="2"/>
      <c r="N473" s="5"/>
      <c r="O473" s="3"/>
      <c r="P473" s="6"/>
      <c r="Q473" s="6"/>
    </row>
    <row r="474" spans="1:17" ht="15" customHeight="1" x14ac:dyDescent="0.25">
      <c r="A474" s="1"/>
      <c r="B474" s="17"/>
      <c r="C474" s="17"/>
      <c r="D474" s="17"/>
      <c r="E474" s="17"/>
      <c r="F474" s="17"/>
      <c r="G474" s="4">
        <f>SUM($B474:$F474)</f>
        <v>0</v>
      </c>
      <c r="H474" s="17"/>
      <c r="I474" s="4">
        <f>$I473+$G474-$H474</f>
        <v>349526.07999999996</v>
      </c>
      <c r="J474" s="32" t="str">
        <f>IF($A475&lt;&gt;$A474,$I474,"")</f>
        <v/>
      </c>
      <c r="K474" s="79"/>
      <c r="L474" s="79"/>
      <c r="M474" s="2"/>
      <c r="N474" s="5"/>
      <c r="O474" s="3"/>
      <c r="P474" s="6"/>
      <c r="Q474" s="6"/>
    </row>
    <row r="475" spans="1:17" ht="15" customHeight="1" x14ac:dyDescent="0.25">
      <c r="A475" s="1"/>
      <c r="B475" s="17"/>
      <c r="C475" s="17"/>
      <c r="D475" s="17"/>
      <c r="E475" s="17"/>
      <c r="F475" s="17"/>
      <c r="G475" s="4">
        <f>SUM($B475:$F475)</f>
        <v>0</v>
      </c>
      <c r="H475" s="17"/>
      <c r="I475" s="4">
        <f>$I474+$G475-$H475</f>
        <v>349526.07999999996</v>
      </c>
      <c r="J475" s="32" t="str">
        <f>IF($A476&lt;&gt;$A475,$I475,"")</f>
        <v/>
      </c>
      <c r="K475" s="79"/>
      <c r="L475" s="79"/>
      <c r="M475" s="2"/>
      <c r="N475" s="5"/>
      <c r="O475" s="3"/>
      <c r="P475" s="6"/>
      <c r="Q475" s="6"/>
    </row>
    <row r="476" spans="1:17" ht="15" customHeight="1" x14ac:dyDescent="0.25">
      <c r="A476" s="1"/>
      <c r="B476" s="17"/>
      <c r="C476" s="17"/>
      <c r="D476" s="17"/>
      <c r="E476" s="17"/>
      <c r="F476" s="17"/>
      <c r="G476" s="4">
        <f>SUM($B476:$F476)</f>
        <v>0</v>
      </c>
      <c r="H476" s="17"/>
      <c r="I476" s="4">
        <f>$I475+$G476-$H476</f>
        <v>349526.07999999996</v>
      </c>
      <c r="J476" s="32" t="str">
        <f>IF($A477&lt;&gt;$A476,$I476,"")</f>
        <v/>
      </c>
      <c r="K476" s="79"/>
      <c r="L476" s="79"/>
      <c r="M476" s="2"/>
      <c r="N476" s="5"/>
      <c r="O476" s="3"/>
      <c r="P476" s="6"/>
      <c r="Q476" s="6"/>
    </row>
    <row r="477" spans="1:17" ht="15" customHeight="1" x14ac:dyDescent="0.25">
      <c r="A477" s="1"/>
      <c r="B477" s="17"/>
      <c r="C477" s="17"/>
      <c r="D477" s="17"/>
      <c r="E477" s="17"/>
      <c r="F477" s="17"/>
      <c r="G477" s="4">
        <f>SUM($B477:$F477)</f>
        <v>0</v>
      </c>
      <c r="H477" s="17"/>
      <c r="I477" s="4">
        <f>$I476+$G477-$H477</f>
        <v>349526.07999999996</v>
      </c>
      <c r="J477" s="32" t="str">
        <f>IF($A478&lt;&gt;$A477,$I477,"")</f>
        <v/>
      </c>
      <c r="K477" s="79"/>
      <c r="L477" s="79"/>
      <c r="M477" s="2"/>
      <c r="N477" s="5"/>
      <c r="O477" s="3"/>
      <c r="P477" s="6"/>
      <c r="Q477" s="6"/>
    </row>
    <row r="478" spans="1:17" ht="15" customHeight="1" x14ac:dyDescent="0.25">
      <c r="A478" s="1"/>
      <c r="B478" s="17"/>
      <c r="C478" s="17"/>
      <c r="D478" s="17"/>
      <c r="E478" s="17"/>
      <c r="F478" s="17"/>
      <c r="G478" s="4">
        <f>SUM($B478:$F478)</f>
        <v>0</v>
      </c>
      <c r="H478" s="17"/>
      <c r="I478" s="4">
        <f>$I477+$G478-$H478</f>
        <v>349526.07999999996</v>
      </c>
      <c r="J478" s="32" t="str">
        <f>IF($A479&lt;&gt;$A478,$I478,"")</f>
        <v/>
      </c>
      <c r="K478" s="79"/>
      <c r="L478" s="79"/>
      <c r="M478" s="2"/>
      <c r="N478" s="5"/>
      <c r="O478" s="3"/>
      <c r="P478" s="6"/>
      <c r="Q478" s="6"/>
    </row>
    <row r="479" spans="1:17" ht="15" customHeight="1" x14ac:dyDescent="0.25">
      <c r="A479" s="1"/>
      <c r="B479" s="17"/>
      <c r="C479" s="17"/>
      <c r="D479" s="17"/>
      <c r="E479" s="17"/>
      <c r="F479" s="17"/>
      <c r="G479" s="4">
        <f>SUM($B479:$F479)</f>
        <v>0</v>
      </c>
      <c r="H479" s="17"/>
      <c r="I479" s="4">
        <f>$I478+$G479-$H479</f>
        <v>349526.07999999996</v>
      </c>
      <c r="J479" s="32" t="str">
        <f>IF($A480&lt;&gt;$A479,$I479,"")</f>
        <v/>
      </c>
      <c r="K479" s="79"/>
      <c r="L479" s="79"/>
      <c r="M479" s="2"/>
      <c r="N479" s="5"/>
      <c r="O479" s="3"/>
      <c r="P479" s="6"/>
      <c r="Q479" s="6"/>
    </row>
    <row r="480" spans="1:17" ht="15" customHeight="1" x14ac:dyDescent="0.25">
      <c r="A480" s="1"/>
      <c r="B480" s="17"/>
      <c r="C480" s="17"/>
      <c r="D480" s="17"/>
      <c r="E480" s="17"/>
      <c r="F480" s="17"/>
      <c r="G480" s="4">
        <f>SUM($B480:$F480)</f>
        <v>0</v>
      </c>
      <c r="H480" s="17"/>
      <c r="I480" s="4">
        <f>$I479+$G480-$H480</f>
        <v>349526.07999999996</v>
      </c>
      <c r="J480" s="32" t="str">
        <f>IF($A481&lt;&gt;$A480,$I480,"")</f>
        <v/>
      </c>
      <c r="K480" s="79"/>
      <c r="L480" s="79"/>
      <c r="M480" s="2"/>
      <c r="N480" s="5"/>
      <c r="O480" s="3"/>
      <c r="P480" s="6"/>
      <c r="Q480" s="6"/>
    </row>
    <row r="481" spans="1:17" ht="15" customHeight="1" x14ac:dyDescent="0.25">
      <c r="A481" s="1"/>
      <c r="B481" s="17"/>
      <c r="C481" s="17"/>
      <c r="D481" s="17"/>
      <c r="E481" s="17"/>
      <c r="F481" s="17"/>
      <c r="G481" s="4">
        <f>SUM($B481:$F481)</f>
        <v>0</v>
      </c>
      <c r="H481" s="17"/>
      <c r="I481" s="4">
        <f>$I480+$G481-$H481</f>
        <v>349526.07999999996</v>
      </c>
      <c r="J481" s="32" t="str">
        <f>IF($A482&lt;&gt;$A481,$I481,"")</f>
        <v/>
      </c>
      <c r="K481" s="79"/>
      <c r="L481" s="79"/>
      <c r="M481" s="2"/>
      <c r="N481" s="5"/>
      <c r="O481" s="3"/>
      <c r="P481" s="6"/>
      <c r="Q481" s="6"/>
    </row>
    <row r="482" spans="1:17" ht="15" customHeight="1" x14ac:dyDescent="0.25">
      <c r="A482" s="1"/>
      <c r="B482" s="17"/>
      <c r="C482" s="17"/>
      <c r="D482" s="17"/>
      <c r="E482" s="17"/>
      <c r="F482" s="17"/>
      <c r="G482" s="4">
        <f>SUM($B482:$F482)</f>
        <v>0</v>
      </c>
      <c r="H482" s="17"/>
      <c r="I482" s="4">
        <f>$I481+$G482-$H482</f>
        <v>349526.07999999996</v>
      </c>
      <c r="J482" s="32" t="str">
        <f>IF($A483&lt;&gt;$A482,$I482,"")</f>
        <v/>
      </c>
      <c r="K482" s="79"/>
      <c r="L482" s="79"/>
      <c r="M482" s="2"/>
      <c r="N482" s="5"/>
      <c r="O482" s="3"/>
      <c r="P482" s="6"/>
      <c r="Q482" s="6"/>
    </row>
    <row r="483" spans="1:17" ht="15" customHeight="1" x14ac:dyDescent="0.25">
      <c r="A483" s="1"/>
      <c r="B483" s="17"/>
      <c r="C483" s="17"/>
      <c r="D483" s="17"/>
      <c r="E483" s="17"/>
      <c r="F483" s="17"/>
      <c r="G483" s="4">
        <f>SUM($B483:$F483)</f>
        <v>0</v>
      </c>
      <c r="H483" s="17"/>
      <c r="I483" s="4">
        <f>$I482+$G483-$H483</f>
        <v>349526.07999999996</v>
      </c>
      <c r="J483" s="32" t="str">
        <f>IF($A484&lt;&gt;$A483,$I483,"")</f>
        <v/>
      </c>
      <c r="K483" s="79"/>
      <c r="L483" s="79"/>
      <c r="M483" s="2"/>
      <c r="N483" s="5"/>
      <c r="O483" s="3"/>
      <c r="P483" s="6"/>
      <c r="Q483" s="6"/>
    </row>
    <row r="484" spans="1:17" ht="15" customHeight="1" x14ac:dyDescent="0.25">
      <c r="A484" s="1"/>
      <c r="B484" s="17"/>
      <c r="C484" s="17"/>
      <c r="D484" s="17"/>
      <c r="E484" s="17"/>
      <c r="F484" s="17"/>
      <c r="G484" s="4">
        <f>SUM($B484:$F484)</f>
        <v>0</v>
      </c>
      <c r="H484" s="17"/>
      <c r="I484" s="4">
        <f>$I483+$G484-$H484</f>
        <v>349526.07999999996</v>
      </c>
      <c r="J484" s="32" t="str">
        <f>IF($A485&lt;&gt;$A484,$I484,"")</f>
        <v/>
      </c>
      <c r="K484" s="79"/>
      <c r="L484" s="79"/>
      <c r="M484" s="2"/>
      <c r="N484" s="5"/>
      <c r="O484" s="3"/>
      <c r="P484" s="6"/>
      <c r="Q484" s="6"/>
    </row>
    <row r="485" spans="1:17" ht="15" customHeight="1" x14ac:dyDescent="0.25">
      <c r="A485" s="1"/>
      <c r="B485" s="17"/>
      <c r="C485" s="17"/>
      <c r="D485" s="17"/>
      <c r="E485" s="17"/>
      <c r="F485" s="17"/>
      <c r="G485" s="4">
        <f>SUM($B485:$F485)</f>
        <v>0</v>
      </c>
      <c r="H485" s="17"/>
      <c r="I485" s="4">
        <f>$I484+$G485-$H485</f>
        <v>349526.07999999996</v>
      </c>
      <c r="J485" s="32" t="str">
        <f>IF($A486&lt;&gt;$A485,$I485,"")</f>
        <v/>
      </c>
      <c r="K485" s="79"/>
      <c r="L485" s="79"/>
      <c r="M485" s="2"/>
      <c r="N485" s="5"/>
      <c r="O485" s="3"/>
      <c r="P485" s="6"/>
      <c r="Q485" s="6"/>
    </row>
    <row r="486" spans="1:17" ht="15" customHeight="1" x14ac:dyDescent="0.25">
      <c r="A486" s="1"/>
      <c r="B486" s="17"/>
      <c r="C486" s="17"/>
      <c r="D486" s="17"/>
      <c r="E486" s="17"/>
      <c r="F486" s="17"/>
      <c r="G486" s="4">
        <f>SUM($B486:$F486)</f>
        <v>0</v>
      </c>
      <c r="H486" s="17"/>
      <c r="I486" s="4">
        <f>$I485+$G486-$H486</f>
        <v>349526.07999999996</v>
      </c>
      <c r="J486" s="32" t="str">
        <f>IF($A487&lt;&gt;$A486,$I486,"")</f>
        <v/>
      </c>
      <c r="K486" s="79"/>
      <c r="L486" s="79"/>
      <c r="M486" s="2"/>
      <c r="N486" s="5"/>
      <c r="O486" s="3"/>
      <c r="P486" s="6"/>
      <c r="Q486" s="6"/>
    </row>
    <row r="487" spans="1:17" ht="15" customHeight="1" x14ac:dyDescent="0.25">
      <c r="A487" s="1"/>
      <c r="B487" s="17"/>
      <c r="C487" s="17"/>
      <c r="D487" s="17"/>
      <c r="E487" s="17"/>
      <c r="F487" s="17"/>
      <c r="G487" s="4">
        <f>SUM($B487:$F487)</f>
        <v>0</v>
      </c>
      <c r="H487" s="17"/>
      <c r="I487" s="4">
        <f>$I486+$G487-$H487</f>
        <v>349526.07999999996</v>
      </c>
      <c r="J487" s="32" t="str">
        <f>IF($A488&lt;&gt;$A487,$I487,"")</f>
        <v/>
      </c>
      <c r="K487" s="79"/>
      <c r="L487" s="79"/>
      <c r="M487" s="2"/>
      <c r="N487" s="5"/>
      <c r="O487" s="3"/>
      <c r="P487" s="6"/>
      <c r="Q487" s="6"/>
    </row>
    <row r="488" spans="1:17" ht="15" customHeight="1" x14ac:dyDescent="0.25">
      <c r="A488" s="1"/>
      <c r="B488" s="17"/>
      <c r="C488" s="17"/>
      <c r="D488" s="17"/>
      <c r="E488" s="17"/>
      <c r="F488" s="17"/>
      <c r="G488" s="4">
        <f>SUM($B488:$F488)</f>
        <v>0</v>
      </c>
      <c r="H488" s="17"/>
      <c r="I488" s="4">
        <f>$I487+$G488-$H488</f>
        <v>349526.07999999996</v>
      </c>
      <c r="J488" s="32" t="str">
        <f>IF($A489&lt;&gt;$A488,$I488,"")</f>
        <v/>
      </c>
      <c r="K488" s="79"/>
      <c r="L488" s="79"/>
      <c r="M488" s="2"/>
      <c r="N488" s="5"/>
      <c r="O488" s="3"/>
      <c r="P488" s="6"/>
      <c r="Q488" s="6"/>
    </row>
    <row r="489" spans="1:17" ht="15" customHeight="1" x14ac:dyDescent="0.25">
      <c r="A489" s="1"/>
      <c r="B489" s="17"/>
      <c r="C489" s="17"/>
      <c r="D489" s="17"/>
      <c r="E489" s="17"/>
      <c r="F489" s="17"/>
      <c r="G489" s="4">
        <f>SUM($B489:$F489)</f>
        <v>0</v>
      </c>
      <c r="H489" s="17"/>
      <c r="I489" s="4">
        <f>$I488+$G489-$H489</f>
        <v>349526.07999999996</v>
      </c>
      <c r="J489" s="32" t="str">
        <f>IF($A490&lt;&gt;$A489,$I489,"")</f>
        <v/>
      </c>
      <c r="K489" s="79"/>
      <c r="L489" s="79"/>
      <c r="M489" s="2"/>
      <c r="N489" s="5"/>
      <c r="O489" s="3"/>
      <c r="P489" s="6"/>
      <c r="Q489" s="6"/>
    </row>
    <row r="490" spans="1:17" ht="15" customHeight="1" x14ac:dyDescent="0.25">
      <c r="A490" s="1"/>
      <c r="B490" s="17"/>
      <c r="C490" s="17"/>
      <c r="D490" s="17"/>
      <c r="E490" s="17"/>
      <c r="F490" s="17"/>
      <c r="G490" s="4">
        <f>SUM($B490:$F490)</f>
        <v>0</v>
      </c>
      <c r="H490" s="17"/>
      <c r="I490" s="4">
        <f>$I489+$G490-$H490</f>
        <v>349526.07999999996</v>
      </c>
      <c r="J490" s="32" t="str">
        <f>IF($A491&lt;&gt;$A490,$I490,"")</f>
        <v/>
      </c>
      <c r="K490" s="79"/>
      <c r="L490" s="79"/>
      <c r="M490" s="2"/>
      <c r="N490" s="5"/>
      <c r="O490" s="3"/>
      <c r="P490" s="6"/>
      <c r="Q490" s="6"/>
    </row>
    <row r="491" spans="1:17" ht="15" customHeight="1" x14ac:dyDescent="0.25">
      <c r="A491" s="1"/>
      <c r="B491" s="17"/>
      <c r="C491" s="17"/>
      <c r="D491" s="17"/>
      <c r="E491" s="17"/>
      <c r="F491" s="17"/>
      <c r="G491" s="4">
        <f>SUM($B491:$F491)</f>
        <v>0</v>
      </c>
      <c r="H491" s="17"/>
      <c r="I491" s="4">
        <f>$I490+$G491-$H491</f>
        <v>349526.07999999996</v>
      </c>
      <c r="J491" s="32" t="str">
        <f>IF($A492&lt;&gt;$A491,$I491,"")</f>
        <v/>
      </c>
      <c r="K491" s="79"/>
      <c r="L491" s="79"/>
      <c r="M491" s="2"/>
      <c r="N491" s="5"/>
      <c r="O491" s="3"/>
      <c r="P491" s="6"/>
      <c r="Q491" s="6"/>
    </row>
    <row r="492" spans="1:17" ht="15" customHeight="1" x14ac:dyDescent="0.25">
      <c r="A492" s="1"/>
      <c r="B492" s="17"/>
      <c r="C492" s="17"/>
      <c r="D492" s="17"/>
      <c r="E492" s="17"/>
      <c r="F492" s="17"/>
      <c r="G492" s="4">
        <f>SUM($B492:$F492)</f>
        <v>0</v>
      </c>
      <c r="H492" s="17"/>
      <c r="I492" s="4">
        <f>$I491+$G492-$H492</f>
        <v>349526.07999999996</v>
      </c>
      <c r="J492" s="32" t="str">
        <f>IF($A493&lt;&gt;$A492,$I492,"")</f>
        <v/>
      </c>
      <c r="K492" s="79"/>
      <c r="L492" s="79"/>
      <c r="M492" s="2"/>
      <c r="N492" s="5"/>
      <c r="O492" s="3"/>
      <c r="P492" s="6"/>
      <c r="Q492" s="6"/>
    </row>
    <row r="493" spans="1:17" ht="15" customHeight="1" x14ac:dyDescent="0.25">
      <c r="A493" s="1"/>
      <c r="B493" s="17"/>
      <c r="C493" s="17"/>
      <c r="D493" s="17"/>
      <c r="E493" s="17"/>
      <c r="F493" s="17"/>
      <c r="G493" s="4">
        <f>SUM($B493:$F493)</f>
        <v>0</v>
      </c>
      <c r="H493" s="17"/>
      <c r="I493" s="4">
        <f>$I492+$G493-$H493</f>
        <v>349526.07999999996</v>
      </c>
      <c r="J493" s="32" t="str">
        <f>IF($A494&lt;&gt;$A493,$I493,"")</f>
        <v/>
      </c>
      <c r="K493" s="79"/>
      <c r="L493" s="79"/>
      <c r="M493" s="2"/>
      <c r="N493" s="5"/>
      <c r="O493" s="3"/>
      <c r="P493" s="6"/>
      <c r="Q493" s="6"/>
    </row>
    <row r="494" spans="1:17" ht="15" customHeight="1" x14ac:dyDescent="0.25">
      <c r="A494" s="1"/>
      <c r="B494" s="17"/>
      <c r="C494" s="17"/>
      <c r="D494" s="17"/>
      <c r="E494" s="17"/>
      <c r="F494" s="17"/>
      <c r="G494" s="4">
        <f>SUM($B494:$F494)</f>
        <v>0</v>
      </c>
      <c r="H494" s="17"/>
      <c r="I494" s="4">
        <f>$I493+$G494-$H494</f>
        <v>349526.07999999996</v>
      </c>
      <c r="J494" s="32" t="str">
        <f>IF($A495&lt;&gt;$A494,$I494,"")</f>
        <v/>
      </c>
      <c r="K494" s="79"/>
      <c r="L494" s="79"/>
      <c r="M494" s="2"/>
      <c r="N494" s="5"/>
      <c r="O494" s="3"/>
      <c r="P494" s="6"/>
      <c r="Q494" s="6"/>
    </row>
    <row r="495" spans="1:17" ht="15" customHeight="1" x14ac:dyDescent="0.25">
      <c r="A495" s="1"/>
      <c r="B495" s="17"/>
      <c r="C495" s="17"/>
      <c r="D495" s="17"/>
      <c r="E495" s="17"/>
      <c r="F495" s="17"/>
      <c r="G495" s="4">
        <f>SUM($B495:$F495)</f>
        <v>0</v>
      </c>
      <c r="H495" s="17"/>
      <c r="I495" s="4">
        <f>$I494+$G495-$H495</f>
        <v>349526.07999999996</v>
      </c>
      <c r="J495" s="32" t="str">
        <f>IF($A496&lt;&gt;$A495,$I495,"")</f>
        <v/>
      </c>
      <c r="K495" s="79"/>
      <c r="L495" s="79"/>
      <c r="M495" s="2"/>
      <c r="N495" s="5"/>
      <c r="O495" s="3"/>
      <c r="P495" s="6"/>
      <c r="Q495" s="6"/>
    </row>
    <row r="496" spans="1:17" ht="15" customHeight="1" x14ac:dyDescent="0.25">
      <c r="A496" s="1"/>
      <c r="B496" s="17"/>
      <c r="C496" s="17"/>
      <c r="D496" s="17"/>
      <c r="E496" s="17"/>
      <c r="F496" s="17"/>
      <c r="G496" s="4">
        <f>SUM($B496:$F496)</f>
        <v>0</v>
      </c>
      <c r="H496" s="17"/>
      <c r="I496" s="4">
        <f>$I495+$G496-$H496</f>
        <v>349526.07999999996</v>
      </c>
      <c r="J496" s="32" t="str">
        <f>IF($A497&lt;&gt;$A496,$I496,"")</f>
        <v/>
      </c>
      <c r="K496" s="79"/>
      <c r="L496" s="79"/>
      <c r="M496" s="2"/>
      <c r="N496" s="5"/>
      <c r="O496" s="3"/>
      <c r="P496" s="6"/>
      <c r="Q496" s="6"/>
    </row>
    <row r="497" spans="1:17" ht="15" customHeight="1" x14ac:dyDescent="0.25">
      <c r="A497" s="1"/>
      <c r="B497" s="17"/>
      <c r="C497" s="17"/>
      <c r="D497" s="17"/>
      <c r="E497" s="17"/>
      <c r="F497" s="17"/>
      <c r="G497" s="4">
        <f>SUM($B497:$F497)</f>
        <v>0</v>
      </c>
      <c r="H497" s="17"/>
      <c r="I497" s="4">
        <f>$I496+$G497-$H497</f>
        <v>349526.07999999996</v>
      </c>
      <c r="J497" s="32" t="str">
        <f>IF($A498&lt;&gt;$A497,$I497,"")</f>
        <v/>
      </c>
      <c r="K497" s="79"/>
      <c r="L497" s="79"/>
      <c r="M497" s="2"/>
      <c r="N497" s="5"/>
      <c r="O497" s="3"/>
      <c r="P497" s="6"/>
      <c r="Q497" s="6"/>
    </row>
    <row r="498" spans="1:17" ht="15" customHeight="1" x14ac:dyDescent="0.25">
      <c r="A498" s="1"/>
      <c r="B498" s="17"/>
      <c r="C498" s="17"/>
      <c r="D498" s="17"/>
      <c r="E498" s="17"/>
      <c r="F498" s="17"/>
      <c r="G498" s="4">
        <f>SUM($B498:$F498)</f>
        <v>0</v>
      </c>
      <c r="H498" s="17"/>
      <c r="I498" s="4">
        <f>$I497+$G498-$H498</f>
        <v>349526.07999999996</v>
      </c>
      <c r="J498" s="32" t="str">
        <f>IF($A499&lt;&gt;$A498,$I498,"")</f>
        <v/>
      </c>
      <c r="K498" s="79"/>
      <c r="L498" s="79"/>
      <c r="M498" s="2"/>
      <c r="N498" s="5"/>
      <c r="O498" s="3"/>
      <c r="P498" s="6"/>
      <c r="Q498" s="6"/>
    </row>
    <row r="499" spans="1:17" ht="15" customHeight="1" x14ac:dyDescent="0.25">
      <c r="A499" s="1"/>
      <c r="B499" s="17"/>
      <c r="C499" s="17"/>
      <c r="D499" s="17"/>
      <c r="E499" s="17"/>
      <c r="F499" s="17"/>
      <c r="G499" s="4">
        <f>SUM($B499:$F499)</f>
        <v>0</v>
      </c>
      <c r="H499" s="17"/>
      <c r="I499" s="4">
        <f>$I498+$G499-$H499</f>
        <v>349526.07999999996</v>
      </c>
      <c r="J499" s="32" t="str">
        <f>IF($A500&lt;&gt;$A499,$I499,"")</f>
        <v/>
      </c>
      <c r="K499" s="79"/>
      <c r="L499" s="79"/>
      <c r="M499" s="2"/>
      <c r="N499" s="5"/>
      <c r="O499" s="3"/>
      <c r="P499" s="6"/>
      <c r="Q499" s="6"/>
    </row>
    <row r="500" spans="1:17" ht="15" customHeight="1" x14ac:dyDescent="0.25">
      <c r="A500" s="1"/>
      <c r="B500" s="17"/>
      <c r="C500" s="17"/>
      <c r="D500" s="17"/>
      <c r="E500" s="17"/>
      <c r="F500" s="17"/>
      <c r="G500" s="4">
        <f>SUM($B500:$F500)</f>
        <v>0</v>
      </c>
      <c r="H500" s="17"/>
      <c r="I500" s="4">
        <f>$I499+$G500-$H500</f>
        <v>349526.07999999996</v>
      </c>
      <c r="J500" s="32" t="str">
        <f>IF($A501&lt;&gt;$A500,$I500,"")</f>
        <v/>
      </c>
      <c r="K500" s="79"/>
      <c r="L500" s="79"/>
      <c r="M500" s="2"/>
      <c r="N500" s="5"/>
      <c r="O500" s="3"/>
      <c r="P500" s="6"/>
      <c r="Q500" s="6"/>
    </row>
    <row r="501" spans="1:17" ht="15" customHeight="1" x14ac:dyDescent="0.25">
      <c r="A501" s="1"/>
      <c r="B501" s="17"/>
      <c r="C501" s="17"/>
      <c r="D501" s="17"/>
      <c r="E501" s="17"/>
      <c r="F501" s="17"/>
      <c r="G501" s="4">
        <f>SUM($B501:$F501)</f>
        <v>0</v>
      </c>
      <c r="H501" s="17"/>
      <c r="I501" s="4">
        <f>$I500+$G501-$H501</f>
        <v>349526.07999999996</v>
      </c>
      <c r="J501" s="32" t="str">
        <f>IF($A502&lt;&gt;$A501,$I501,"")</f>
        <v/>
      </c>
      <c r="K501" s="79"/>
      <c r="L501" s="79"/>
      <c r="M501" s="2"/>
      <c r="N501" s="5"/>
      <c r="O501" s="3"/>
      <c r="P501" s="6"/>
      <c r="Q501" s="6"/>
    </row>
    <row r="502" spans="1:17" ht="15" customHeight="1" x14ac:dyDescent="0.25">
      <c r="A502" s="1"/>
      <c r="B502" s="17"/>
      <c r="C502" s="17"/>
      <c r="D502" s="17"/>
      <c r="E502" s="17"/>
      <c r="F502" s="17"/>
      <c r="G502" s="4">
        <f>SUM($B502:$F502)</f>
        <v>0</v>
      </c>
      <c r="H502" s="17"/>
      <c r="I502" s="4">
        <f>$I501+$G502-$H502</f>
        <v>349526.07999999996</v>
      </c>
      <c r="J502" s="32" t="str">
        <f>IF($A503&lt;&gt;$A502,$I502,"")</f>
        <v/>
      </c>
      <c r="K502" s="79"/>
      <c r="L502" s="79"/>
      <c r="M502" s="2"/>
      <c r="N502" s="5"/>
      <c r="O502" s="3"/>
      <c r="P502" s="6"/>
      <c r="Q502" s="6"/>
    </row>
    <row r="503" spans="1:17" ht="15" customHeight="1" x14ac:dyDescent="0.25">
      <c r="A503" s="1"/>
      <c r="B503" s="17"/>
      <c r="C503" s="17"/>
      <c r="D503" s="17"/>
      <c r="E503" s="17"/>
      <c r="F503" s="17"/>
      <c r="G503" s="4">
        <f>SUM($B503:$F503)</f>
        <v>0</v>
      </c>
      <c r="H503" s="17"/>
      <c r="I503" s="4">
        <f>$I502+$G503-$H503</f>
        <v>349526.07999999996</v>
      </c>
      <c r="J503" s="32" t="str">
        <f>IF($A504&lt;&gt;$A503,$I503,"")</f>
        <v/>
      </c>
      <c r="K503" s="79"/>
      <c r="L503" s="79"/>
      <c r="M503" s="2"/>
      <c r="N503" s="5"/>
      <c r="O503" s="3"/>
      <c r="P503" s="6"/>
      <c r="Q503" s="6"/>
    </row>
    <row r="504" spans="1:17" ht="15" customHeight="1" x14ac:dyDescent="0.25">
      <c r="A504" s="1"/>
      <c r="B504" s="17"/>
      <c r="C504" s="17"/>
      <c r="D504" s="17"/>
      <c r="E504" s="17"/>
      <c r="F504" s="17"/>
      <c r="G504" s="4">
        <f>SUM($B504:$F504)</f>
        <v>0</v>
      </c>
      <c r="H504" s="17"/>
      <c r="I504" s="4">
        <f>$I503+$G504-$H504</f>
        <v>349526.07999999996</v>
      </c>
      <c r="J504" s="32" t="str">
        <f>IF($A505&lt;&gt;$A504,$I504,"")</f>
        <v/>
      </c>
      <c r="K504" s="79"/>
      <c r="L504" s="79"/>
      <c r="M504" s="2"/>
      <c r="N504" s="5"/>
      <c r="O504" s="3"/>
      <c r="P504" s="6"/>
      <c r="Q504" s="6"/>
    </row>
    <row r="505" spans="1:17" ht="15" customHeight="1" x14ac:dyDescent="0.25">
      <c r="A505" s="1"/>
      <c r="B505" s="17"/>
      <c r="C505" s="17"/>
      <c r="D505" s="17"/>
      <c r="E505" s="17"/>
      <c r="F505" s="17"/>
      <c r="G505" s="4">
        <f>SUM($B505:$F505)</f>
        <v>0</v>
      </c>
      <c r="H505" s="17"/>
      <c r="I505" s="4">
        <f>$I504+$G505-$H505</f>
        <v>349526.07999999996</v>
      </c>
      <c r="J505" s="32" t="str">
        <f>IF($A506&lt;&gt;$A505,$I505,"")</f>
        <v/>
      </c>
      <c r="K505" s="79"/>
      <c r="L505" s="79"/>
      <c r="M505" s="2"/>
      <c r="N505" s="5"/>
      <c r="O505" s="3"/>
      <c r="P505" s="6"/>
      <c r="Q505" s="6"/>
    </row>
    <row r="506" spans="1:17" ht="15" customHeight="1" x14ac:dyDescent="0.25">
      <c r="A506" s="1"/>
      <c r="B506" s="17"/>
      <c r="C506" s="17"/>
      <c r="D506" s="17"/>
      <c r="E506" s="17"/>
      <c r="F506" s="17"/>
      <c r="G506" s="4">
        <f>SUM($B506:$F506)</f>
        <v>0</v>
      </c>
      <c r="H506" s="17"/>
      <c r="I506" s="4">
        <f>$I505+$G506-$H506</f>
        <v>349526.07999999996</v>
      </c>
      <c r="J506" s="32" t="str">
        <f>IF($A507&lt;&gt;$A506,$I506,"")</f>
        <v/>
      </c>
      <c r="K506" s="79"/>
      <c r="L506" s="79"/>
      <c r="M506" s="2"/>
      <c r="N506" s="5"/>
      <c r="O506" s="3"/>
      <c r="P506" s="6"/>
      <c r="Q506" s="6"/>
    </row>
    <row r="507" spans="1:17" ht="15" customHeight="1" x14ac:dyDescent="0.25">
      <c r="A507" s="1"/>
      <c r="B507" s="17"/>
      <c r="C507" s="17"/>
      <c r="D507" s="17"/>
      <c r="E507" s="17"/>
      <c r="F507" s="17"/>
      <c r="G507" s="4">
        <f>SUM($B507:$F507)</f>
        <v>0</v>
      </c>
      <c r="H507" s="17"/>
      <c r="I507" s="4">
        <f>$I506+$G507-$H507</f>
        <v>349526.07999999996</v>
      </c>
      <c r="J507" s="32" t="str">
        <f>IF($A508&lt;&gt;$A507,$I507,"")</f>
        <v/>
      </c>
      <c r="K507" s="79"/>
      <c r="L507" s="79"/>
      <c r="M507" s="2"/>
      <c r="N507" s="5"/>
      <c r="O507" s="3"/>
      <c r="P507" s="6"/>
      <c r="Q507" s="6"/>
    </row>
    <row r="508" spans="1:17" ht="15" customHeight="1" x14ac:dyDescent="0.25">
      <c r="A508" s="1"/>
      <c r="B508" s="17"/>
      <c r="C508" s="17"/>
      <c r="D508" s="17"/>
      <c r="E508" s="17"/>
      <c r="F508" s="17"/>
      <c r="G508" s="4">
        <f>SUM($B508:$F508)</f>
        <v>0</v>
      </c>
      <c r="H508" s="17"/>
      <c r="I508" s="4">
        <f>$I507+$G508-$H508</f>
        <v>349526.07999999996</v>
      </c>
      <c r="J508" s="32" t="str">
        <f>IF($A509&lt;&gt;$A508,$I508,"")</f>
        <v/>
      </c>
      <c r="K508" s="79"/>
      <c r="L508" s="79"/>
      <c r="M508" s="2"/>
      <c r="N508" s="5"/>
      <c r="O508" s="3"/>
      <c r="P508" s="6"/>
      <c r="Q508" s="6"/>
    </row>
    <row r="509" spans="1:17" ht="15" customHeight="1" x14ac:dyDescent="0.25">
      <c r="A509" s="1"/>
      <c r="B509" s="17"/>
      <c r="C509" s="17"/>
      <c r="D509" s="17"/>
      <c r="E509" s="17"/>
      <c r="F509" s="17"/>
      <c r="G509" s="4">
        <f>SUM($B509:$F509)</f>
        <v>0</v>
      </c>
      <c r="H509" s="17"/>
      <c r="I509" s="4">
        <f>$I508+$G509-$H509</f>
        <v>349526.07999999996</v>
      </c>
      <c r="J509" s="32" t="str">
        <f>IF($A510&lt;&gt;$A509,$I509,"")</f>
        <v/>
      </c>
      <c r="K509" s="79"/>
      <c r="L509" s="79"/>
      <c r="M509" s="2"/>
      <c r="N509" s="5"/>
      <c r="O509" s="3"/>
      <c r="P509" s="6"/>
      <c r="Q509" s="6"/>
    </row>
    <row r="510" spans="1:17" ht="15" customHeight="1" x14ac:dyDescent="0.25">
      <c r="A510" s="1"/>
      <c r="B510" s="17"/>
      <c r="C510" s="17"/>
      <c r="D510" s="17"/>
      <c r="E510" s="17"/>
      <c r="F510" s="17"/>
      <c r="G510" s="4">
        <f>SUM($B510:$F510)</f>
        <v>0</v>
      </c>
      <c r="H510" s="17"/>
      <c r="I510" s="4">
        <f>$I509+$G510-$H510</f>
        <v>349526.07999999996</v>
      </c>
      <c r="J510" s="32" t="str">
        <f>IF($A511&lt;&gt;$A510,$I510,"")</f>
        <v/>
      </c>
      <c r="K510" s="79"/>
      <c r="L510" s="79"/>
      <c r="M510" s="2"/>
      <c r="N510" s="5"/>
      <c r="O510" s="3"/>
      <c r="P510" s="6"/>
      <c r="Q510" s="6"/>
    </row>
    <row r="511" spans="1:17" ht="15" customHeight="1" x14ac:dyDescent="0.25">
      <c r="A511" s="1"/>
      <c r="B511" s="17"/>
      <c r="C511" s="17"/>
      <c r="D511" s="17"/>
      <c r="E511" s="17"/>
      <c r="F511" s="17"/>
      <c r="G511" s="4">
        <f>SUM($B511:$F511)</f>
        <v>0</v>
      </c>
      <c r="H511" s="17"/>
      <c r="I511" s="4">
        <f>$I510+$G511-$H511</f>
        <v>349526.07999999996</v>
      </c>
      <c r="J511" s="32" t="str">
        <f>IF($A512&lt;&gt;$A511,$I511,"")</f>
        <v/>
      </c>
      <c r="K511" s="79"/>
      <c r="L511" s="79"/>
      <c r="M511" s="2"/>
      <c r="N511" s="5"/>
      <c r="O511" s="3"/>
      <c r="P511" s="6"/>
      <c r="Q511" s="6"/>
    </row>
    <row r="512" spans="1:17" ht="15" customHeight="1" x14ac:dyDescent="0.25">
      <c r="A512" s="1"/>
      <c r="B512" s="17"/>
      <c r="C512" s="17"/>
      <c r="D512" s="17"/>
      <c r="E512" s="17"/>
      <c r="F512" s="17"/>
      <c r="G512" s="4">
        <f>SUM($B512:$F512)</f>
        <v>0</v>
      </c>
      <c r="H512" s="17"/>
      <c r="I512" s="4">
        <f>$I511+$G512-$H512</f>
        <v>349526.07999999996</v>
      </c>
      <c r="J512" s="32" t="str">
        <f>IF($A513&lt;&gt;$A512,$I512,"")</f>
        <v/>
      </c>
      <c r="K512" s="79"/>
      <c r="L512" s="79"/>
      <c r="M512" s="2"/>
      <c r="N512" s="5"/>
      <c r="O512" s="3"/>
      <c r="P512" s="6"/>
      <c r="Q512" s="6"/>
    </row>
    <row r="513" spans="1:17" ht="15" customHeight="1" x14ac:dyDescent="0.25">
      <c r="A513" s="1"/>
      <c r="B513" s="17"/>
      <c r="C513" s="17"/>
      <c r="D513" s="17"/>
      <c r="E513" s="17"/>
      <c r="F513" s="17"/>
      <c r="G513" s="4">
        <f>SUM($B513:$F513)</f>
        <v>0</v>
      </c>
      <c r="H513" s="17"/>
      <c r="I513" s="4">
        <f>$I512+$G513-$H513</f>
        <v>349526.07999999996</v>
      </c>
      <c r="J513" s="32" t="str">
        <f>IF($A514&lt;&gt;$A513,$I513,"")</f>
        <v/>
      </c>
      <c r="K513" s="79"/>
      <c r="L513" s="79"/>
      <c r="M513" s="2"/>
      <c r="N513" s="5"/>
      <c r="O513" s="3"/>
      <c r="P513" s="6"/>
      <c r="Q513" s="6"/>
    </row>
    <row r="514" spans="1:17" ht="15" customHeight="1" x14ac:dyDescent="0.25">
      <c r="A514" s="1"/>
      <c r="B514" s="17"/>
      <c r="C514" s="17"/>
      <c r="D514" s="17"/>
      <c r="E514" s="17"/>
      <c r="F514" s="17"/>
      <c r="G514" s="4">
        <f>SUM($B514:$F514)</f>
        <v>0</v>
      </c>
      <c r="H514" s="17"/>
      <c r="I514" s="4">
        <f>$I513+$G514-$H514</f>
        <v>349526.07999999996</v>
      </c>
      <c r="J514" s="32" t="str">
        <f>IF($A515&lt;&gt;$A514,$I514,"")</f>
        <v/>
      </c>
      <c r="K514" s="79"/>
      <c r="L514" s="79"/>
      <c r="M514" s="2"/>
      <c r="N514" s="5"/>
      <c r="O514" s="3"/>
      <c r="P514" s="6"/>
      <c r="Q514" s="6"/>
    </row>
    <row r="515" spans="1:17" ht="15" customHeight="1" x14ac:dyDescent="0.25">
      <c r="A515" s="1"/>
      <c r="B515" s="17"/>
      <c r="C515" s="17"/>
      <c r="D515" s="17"/>
      <c r="E515" s="17"/>
      <c r="F515" s="17"/>
      <c r="G515" s="4">
        <f>SUM($B515:$F515)</f>
        <v>0</v>
      </c>
      <c r="H515" s="17"/>
      <c r="I515" s="4">
        <f>$I514+$G515-$H515</f>
        <v>349526.07999999996</v>
      </c>
      <c r="J515" s="32" t="str">
        <f>IF($A516&lt;&gt;$A515,$I515,"")</f>
        <v/>
      </c>
      <c r="K515" s="79"/>
      <c r="L515" s="79"/>
      <c r="M515" s="2"/>
      <c r="N515" s="5"/>
      <c r="O515" s="3"/>
      <c r="P515" s="6"/>
      <c r="Q515" s="6"/>
    </row>
    <row r="516" spans="1:17" ht="15" customHeight="1" x14ac:dyDescent="0.25">
      <c r="A516" s="1"/>
      <c r="B516" s="17"/>
      <c r="C516" s="17"/>
      <c r="D516" s="17"/>
      <c r="E516" s="17"/>
      <c r="F516" s="17"/>
      <c r="G516" s="4">
        <f>SUM($B516:$F516)</f>
        <v>0</v>
      </c>
      <c r="H516" s="17"/>
      <c r="I516" s="4">
        <f>$I515+$G516-$H516</f>
        <v>349526.07999999996</v>
      </c>
      <c r="J516" s="32" t="str">
        <f>IF($A517&lt;&gt;$A516,$I516,"")</f>
        <v/>
      </c>
      <c r="K516" s="79"/>
      <c r="L516" s="79"/>
      <c r="M516" s="2"/>
      <c r="N516" s="5"/>
      <c r="O516" s="3"/>
      <c r="P516" s="6"/>
      <c r="Q516" s="6"/>
    </row>
    <row r="517" spans="1:17" ht="15" customHeight="1" x14ac:dyDescent="0.25">
      <c r="A517" s="1"/>
      <c r="B517" s="17"/>
      <c r="C517" s="17"/>
      <c r="D517" s="17"/>
      <c r="E517" s="17"/>
      <c r="F517" s="17"/>
      <c r="G517" s="4">
        <f>SUM($B517:$F517)</f>
        <v>0</v>
      </c>
      <c r="H517" s="17"/>
      <c r="I517" s="4">
        <f>$I516+$G517-$H517</f>
        <v>349526.07999999996</v>
      </c>
      <c r="J517" s="32" t="str">
        <f>IF($A518&lt;&gt;$A517,$I517,"")</f>
        <v/>
      </c>
      <c r="K517" s="79"/>
      <c r="L517" s="79"/>
      <c r="M517" s="2"/>
      <c r="N517" s="5"/>
      <c r="O517" s="3"/>
      <c r="P517" s="6"/>
      <c r="Q517" s="6"/>
    </row>
    <row r="518" spans="1:17" ht="15" customHeight="1" x14ac:dyDescent="0.25">
      <c r="A518" s="1"/>
      <c r="B518" s="17"/>
      <c r="C518" s="17"/>
      <c r="D518" s="17"/>
      <c r="E518" s="17"/>
      <c r="F518" s="17"/>
      <c r="G518" s="4">
        <f>SUM($B518:$F518)</f>
        <v>0</v>
      </c>
      <c r="H518" s="17"/>
      <c r="I518" s="4">
        <f>$I517+$G518-$H518</f>
        <v>349526.07999999996</v>
      </c>
      <c r="J518" s="32" t="str">
        <f>IF($A519&lt;&gt;$A518,$I518,"")</f>
        <v/>
      </c>
      <c r="K518" s="79"/>
      <c r="L518" s="79"/>
      <c r="M518" s="2"/>
      <c r="N518" s="5"/>
      <c r="O518" s="3"/>
      <c r="P518" s="6"/>
      <c r="Q518" s="6"/>
    </row>
    <row r="519" spans="1:17" ht="15" customHeight="1" x14ac:dyDescent="0.25">
      <c r="A519" s="1"/>
      <c r="B519" s="17"/>
      <c r="C519" s="17"/>
      <c r="D519" s="17"/>
      <c r="E519" s="17"/>
      <c r="F519" s="17"/>
      <c r="G519" s="4">
        <f>SUM($B519:$F519)</f>
        <v>0</v>
      </c>
      <c r="H519" s="17"/>
      <c r="I519" s="4">
        <f>$I518+$G519-$H519</f>
        <v>349526.07999999996</v>
      </c>
      <c r="J519" s="32" t="str">
        <f>IF($A520&lt;&gt;$A519,$I519,"")</f>
        <v/>
      </c>
      <c r="K519" s="79"/>
      <c r="L519" s="79"/>
      <c r="M519" s="2"/>
      <c r="N519" s="5"/>
      <c r="O519" s="3"/>
      <c r="P519" s="6"/>
      <c r="Q519" s="6"/>
    </row>
    <row r="520" spans="1:17" ht="15" customHeight="1" x14ac:dyDescent="0.25">
      <c r="A520" s="1"/>
      <c r="B520" s="17"/>
      <c r="C520" s="17"/>
      <c r="D520" s="17"/>
      <c r="E520" s="17"/>
      <c r="F520" s="17"/>
      <c r="G520" s="4">
        <f>SUM($B520:$F520)</f>
        <v>0</v>
      </c>
      <c r="H520" s="17"/>
      <c r="I520" s="4">
        <f>$I519+$G520-$H520</f>
        <v>349526.07999999996</v>
      </c>
      <c r="J520" s="32" t="str">
        <f>IF($A521&lt;&gt;$A520,$I520,"")</f>
        <v/>
      </c>
      <c r="K520" s="79"/>
      <c r="L520" s="79"/>
      <c r="M520" s="2"/>
      <c r="N520" s="5"/>
      <c r="O520" s="3"/>
      <c r="P520" s="6"/>
      <c r="Q520" s="6"/>
    </row>
    <row r="521" spans="1:17" ht="15" customHeight="1" x14ac:dyDescent="0.25">
      <c r="A521" s="1"/>
      <c r="B521" s="17"/>
      <c r="C521" s="17"/>
      <c r="D521" s="17"/>
      <c r="E521" s="17"/>
      <c r="F521" s="17"/>
      <c r="G521" s="4">
        <f>SUM($B521:$F521)</f>
        <v>0</v>
      </c>
      <c r="H521" s="17"/>
      <c r="I521" s="4">
        <f>$I520+$G521-$H521</f>
        <v>349526.07999999996</v>
      </c>
      <c r="J521" s="32" t="str">
        <f>IF($A522&lt;&gt;$A521,$I521,"")</f>
        <v/>
      </c>
      <c r="K521" s="79"/>
      <c r="L521" s="79"/>
      <c r="M521" s="2"/>
      <c r="N521" s="5"/>
      <c r="O521" s="3"/>
      <c r="P521" s="6"/>
      <c r="Q521" s="6"/>
    </row>
    <row r="522" spans="1:17" ht="15" customHeight="1" x14ac:dyDescent="0.25">
      <c r="A522" s="1"/>
      <c r="B522" s="17"/>
      <c r="C522" s="17"/>
      <c r="D522" s="17"/>
      <c r="E522" s="17"/>
      <c r="F522" s="17"/>
      <c r="G522" s="4">
        <f>SUM($B522:$F522)</f>
        <v>0</v>
      </c>
      <c r="H522" s="17"/>
      <c r="I522" s="4">
        <f>$I521+$G522-$H522</f>
        <v>349526.07999999996</v>
      </c>
      <c r="J522" s="32" t="str">
        <f>IF($A523&lt;&gt;$A522,$I522,"")</f>
        <v/>
      </c>
      <c r="K522" s="79"/>
      <c r="L522" s="79"/>
      <c r="M522" s="2"/>
      <c r="N522" s="5"/>
      <c r="O522" s="3"/>
      <c r="P522" s="6"/>
      <c r="Q522" s="6"/>
    </row>
    <row r="523" spans="1:17" ht="15" customHeight="1" x14ac:dyDescent="0.25">
      <c r="A523" s="1"/>
      <c r="B523" s="17"/>
      <c r="C523" s="17"/>
      <c r="D523" s="17"/>
      <c r="E523" s="17"/>
      <c r="F523" s="17"/>
      <c r="G523" s="4">
        <f>SUM($B523:$F523)</f>
        <v>0</v>
      </c>
      <c r="H523" s="17"/>
      <c r="I523" s="4">
        <f>$I522+$G523-$H523</f>
        <v>349526.07999999996</v>
      </c>
      <c r="J523" s="32" t="str">
        <f>IF($A524&lt;&gt;$A523,$I523,"")</f>
        <v/>
      </c>
      <c r="K523" s="79"/>
      <c r="L523" s="79"/>
      <c r="M523" s="2"/>
      <c r="N523" s="5"/>
      <c r="O523" s="3"/>
      <c r="P523" s="6"/>
      <c r="Q523" s="6"/>
    </row>
    <row r="524" spans="1:17" ht="15" customHeight="1" x14ac:dyDescent="0.25">
      <c r="A524" s="1"/>
      <c r="B524" s="17"/>
      <c r="C524" s="17"/>
      <c r="D524" s="17"/>
      <c r="E524" s="17"/>
      <c r="F524" s="17"/>
      <c r="G524" s="4">
        <f>SUM($B524:$F524)</f>
        <v>0</v>
      </c>
      <c r="H524" s="17"/>
      <c r="I524" s="4">
        <f>$I523+$G524-$H524</f>
        <v>349526.07999999996</v>
      </c>
      <c r="J524" s="32" t="str">
        <f>IF($A525&lt;&gt;$A524,$I524,"")</f>
        <v/>
      </c>
      <c r="K524" s="79"/>
      <c r="L524" s="79"/>
      <c r="M524" s="2"/>
      <c r="N524" s="5"/>
      <c r="O524" s="3"/>
      <c r="P524" s="6"/>
      <c r="Q524" s="6"/>
    </row>
    <row r="525" spans="1:17" ht="15" customHeight="1" x14ac:dyDescent="0.25">
      <c r="A525" s="1"/>
      <c r="B525" s="17"/>
      <c r="C525" s="17"/>
      <c r="D525" s="17"/>
      <c r="E525" s="17"/>
      <c r="F525" s="17"/>
      <c r="G525" s="4">
        <f>SUM($B525:$F525)</f>
        <v>0</v>
      </c>
      <c r="H525" s="17"/>
      <c r="I525" s="4">
        <f>$I524+$G525-$H525</f>
        <v>349526.07999999996</v>
      </c>
      <c r="J525" s="32" t="str">
        <f>IF($A526&lt;&gt;$A525,$I525,"")</f>
        <v/>
      </c>
      <c r="K525" s="79"/>
      <c r="L525" s="79"/>
      <c r="M525" s="2"/>
      <c r="N525" s="5"/>
      <c r="O525" s="3"/>
      <c r="P525" s="6"/>
      <c r="Q525" s="6"/>
    </row>
    <row r="526" spans="1:17" ht="15" customHeight="1" x14ac:dyDescent="0.25">
      <c r="A526" s="1"/>
      <c r="B526" s="17"/>
      <c r="C526" s="17"/>
      <c r="D526" s="17"/>
      <c r="E526" s="17"/>
      <c r="F526" s="17"/>
      <c r="G526" s="4">
        <f>SUM($B526:$F526)</f>
        <v>0</v>
      </c>
      <c r="H526" s="17"/>
      <c r="I526" s="4">
        <f>$I525+$G526-$H526</f>
        <v>349526.07999999996</v>
      </c>
      <c r="J526" s="32" t="str">
        <f>IF($A527&lt;&gt;$A526,$I526,"")</f>
        <v/>
      </c>
      <c r="K526" s="79"/>
      <c r="L526" s="79"/>
      <c r="M526" s="2"/>
      <c r="N526" s="5"/>
      <c r="O526" s="3"/>
      <c r="P526" s="6"/>
      <c r="Q526" s="6"/>
    </row>
    <row r="527" spans="1:17" ht="15" customHeight="1" x14ac:dyDescent="0.25">
      <c r="A527" s="1"/>
      <c r="B527" s="17"/>
      <c r="C527" s="17"/>
      <c r="D527" s="17"/>
      <c r="E527" s="17"/>
      <c r="F527" s="17"/>
      <c r="G527" s="4">
        <f>SUM($B527:$F527)</f>
        <v>0</v>
      </c>
      <c r="H527" s="17"/>
      <c r="I527" s="4">
        <f>$I526+$G527-$H527</f>
        <v>349526.07999999996</v>
      </c>
      <c r="J527" s="32" t="str">
        <f>IF($A528&lt;&gt;$A527,$I527,"")</f>
        <v/>
      </c>
      <c r="K527" s="79"/>
      <c r="L527" s="79"/>
      <c r="M527" s="2"/>
      <c r="N527" s="5"/>
      <c r="O527" s="3"/>
      <c r="P527" s="6"/>
      <c r="Q527" s="6"/>
    </row>
    <row r="528" spans="1:17" ht="15" customHeight="1" x14ac:dyDescent="0.25">
      <c r="A528" s="1"/>
      <c r="B528" s="17"/>
      <c r="C528" s="17"/>
      <c r="D528" s="17"/>
      <c r="E528" s="17"/>
      <c r="F528" s="17"/>
      <c r="G528" s="4">
        <f>SUM($B528:$F528)</f>
        <v>0</v>
      </c>
      <c r="H528" s="17"/>
      <c r="I528" s="4">
        <f>$I527+$G528-$H528</f>
        <v>349526.07999999996</v>
      </c>
      <c r="J528" s="32" t="str">
        <f>IF($A529&lt;&gt;$A528,$I528,"")</f>
        <v/>
      </c>
      <c r="K528" s="79"/>
      <c r="L528" s="79"/>
      <c r="M528" s="2"/>
      <c r="N528" s="5"/>
      <c r="O528" s="3"/>
      <c r="P528" s="6"/>
      <c r="Q528" s="6"/>
    </row>
    <row r="529" spans="1:17" ht="15" customHeight="1" x14ac:dyDescent="0.25">
      <c r="A529" s="1"/>
      <c r="B529" s="17"/>
      <c r="C529" s="17"/>
      <c r="D529" s="17"/>
      <c r="E529" s="17"/>
      <c r="F529" s="17"/>
      <c r="G529" s="4">
        <f>SUM($B529:$F529)</f>
        <v>0</v>
      </c>
      <c r="H529" s="17"/>
      <c r="I529" s="4">
        <f>$I528+$G529-$H529</f>
        <v>349526.07999999996</v>
      </c>
      <c r="J529" s="32" t="str">
        <f>IF($A530&lt;&gt;$A529,$I529,"")</f>
        <v/>
      </c>
      <c r="K529" s="79"/>
      <c r="L529" s="79"/>
      <c r="M529" s="2"/>
      <c r="N529" s="5"/>
      <c r="O529" s="3"/>
      <c r="P529" s="6"/>
      <c r="Q529" s="6"/>
    </row>
    <row r="530" spans="1:17" ht="15" customHeight="1" x14ac:dyDescent="0.25">
      <c r="A530" s="1"/>
      <c r="B530" s="17"/>
      <c r="C530" s="17"/>
      <c r="D530" s="17"/>
      <c r="E530" s="17"/>
      <c r="F530" s="17"/>
      <c r="G530" s="4">
        <f>SUM($B530:$F530)</f>
        <v>0</v>
      </c>
      <c r="H530" s="17"/>
      <c r="I530" s="4">
        <f>$I529+$G530-$H530</f>
        <v>349526.07999999996</v>
      </c>
      <c r="J530" s="32" t="str">
        <f>IF($A531&lt;&gt;$A530,$I530,"")</f>
        <v/>
      </c>
      <c r="K530" s="79"/>
      <c r="L530" s="79"/>
      <c r="M530" s="2"/>
      <c r="N530" s="5"/>
      <c r="O530" s="3"/>
      <c r="P530" s="6"/>
      <c r="Q530" s="6"/>
    </row>
    <row r="531" spans="1:17" ht="15" customHeight="1" x14ac:dyDescent="0.25">
      <c r="A531" s="1"/>
      <c r="B531" s="17"/>
      <c r="C531" s="17"/>
      <c r="D531" s="17"/>
      <c r="E531" s="17"/>
      <c r="F531" s="17"/>
      <c r="G531" s="4">
        <f>SUM($B531:$F531)</f>
        <v>0</v>
      </c>
      <c r="H531" s="17"/>
      <c r="I531" s="4">
        <f>$I530+$G531-$H531</f>
        <v>349526.07999999996</v>
      </c>
      <c r="J531" s="32" t="str">
        <f>IF($A532&lt;&gt;$A531,$I531,"")</f>
        <v/>
      </c>
      <c r="K531" s="79"/>
      <c r="L531" s="79"/>
      <c r="M531" s="2"/>
      <c r="N531" s="5"/>
      <c r="O531" s="3"/>
      <c r="P531" s="6"/>
      <c r="Q531" s="6"/>
    </row>
    <row r="532" spans="1:17" ht="15" customHeight="1" x14ac:dyDescent="0.25">
      <c r="A532" s="1"/>
      <c r="B532" s="17"/>
      <c r="C532" s="17"/>
      <c r="D532" s="17"/>
      <c r="E532" s="17"/>
      <c r="F532" s="17"/>
      <c r="G532" s="4">
        <f>SUM($B532:$F532)</f>
        <v>0</v>
      </c>
      <c r="H532" s="17"/>
      <c r="I532" s="4">
        <f>$I531+$G532-$H532</f>
        <v>349526.07999999996</v>
      </c>
      <c r="J532" s="32" t="str">
        <f>IF($A533&lt;&gt;$A532,$I532,"")</f>
        <v/>
      </c>
      <c r="K532" s="79"/>
      <c r="L532" s="79"/>
      <c r="M532" s="2"/>
      <c r="N532" s="5"/>
      <c r="O532" s="3"/>
      <c r="P532" s="6"/>
      <c r="Q532" s="6"/>
    </row>
    <row r="533" spans="1:17" ht="15" customHeight="1" x14ac:dyDescent="0.25">
      <c r="A533" s="1"/>
      <c r="B533" s="17"/>
      <c r="C533" s="17"/>
      <c r="D533" s="17"/>
      <c r="E533" s="17"/>
      <c r="F533" s="17"/>
      <c r="G533" s="4">
        <f>SUM($B533:$F533)</f>
        <v>0</v>
      </c>
      <c r="H533" s="17"/>
      <c r="I533" s="4">
        <f>$I532+$G533-$H533</f>
        <v>349526.07999999996</v>
      </c>
      <c r="J533" s="32" t="str">
        <f>IF($A534&lt;&gt;$A533,$I533,"")</f>
        <v/>
      </c>
      <c r="K533" s="79"/>
      <c r="L533" s="79"/>
      <c r="M533" s="2"/>
      <c r="N533" s="5"/>
      <c r="O533" s="3"/>
      <c r="P533" s="6"/>
      <c r="Q533" s="6"/>
    </row>
    <row r="534" spans="1:17" ht="15" customHeight="1" x14ac:dyDescent="0.25">
      <c r="A534" s="1"/>
      <c r="B534" s="17"/>
      <c r="C534" s="17"/>
      <c r="D534" s="17"/>
      <c r="E534" s="17"/>
      <c r="F534" s="17"/>
      <c r="G534" s="4">
        <f>SUM($B534:$F534)</f>
        <v>0</v>
      </c>
      <c r="H534" s="17"/>
      <c r="I534" s="4">
        <f>$I533+$G534-$H534</f>
        <v>349526.07999999996</v>
      </c>
      <c r="J534" s="32" t="str">
        <f>IF($A535&lt;&gt;$A534,$I534,"")</f>
        <v/>
      </c>
      <c r="K534" s="79"/>
      <c r="L534" s="79"/>
      <c r="M534" s="2"/>
      <c r="N534" s="5"/>
      <c r="O534" s="3"/>
      <c r="P534" s="6"/>
      <c r="Q534" s="6"/>
    </row>
    <row r="535" spans="1:17" ht="15" customHeight="1" x14ac:dyDescent="0.25">
      <c r="A535" s="1"/>
      <c r="B535" s="17"/>
      <c r="C535" s="17"/>
      <c r="D535" s="17"/>
      <c r="E535" s="17"/>
      <c r="F535" s="17"/>
      <c r="G535" s="4">
        <f>SUM($B535:$F535)</f>
        <v>0</v>
      </c>
      <c r="H535" s="17"/>
      <c r="I535" s="4">
        <f>$I534+$G535-$H535</f>
        <v>349526.07999999996</v>
      </c>
      <c r="J535" s="32" t="str">
        <f>IF($A536&lt;&gt;$A535,$I535,"")</f>
        <v/>
      </c>
      <c r="K535" s="79"/>
      <c r="L535" s="79"/>
      <c r="M535" s="2"/>
      <c r="N535" s="5"/>
      <c r="O535" s="3"/>
      <c r="P535" s="6"/>
      <c r="Q535" s="6"/>
    </row>
    <row r="536" spans="1:17" ht="15" customHeight="1" x14ac:dyDescent="0.25">
      <c r="A536" s="1"/>
      <c r="B536" s="17"/>
      <c r="C536" s="17"/>
      <c r="D536" s="17"/>
      <c r="E536" s="17"/>
      <c r="F536" s="17"/>
      <c r="G536" s="4">
        <f>SUM($B536:$F536)</f>
        <v>0</v>
      </c>
      <c r="H536" s="17"/>
      <c r="I536" s="4">
        <f>$I535+$G536-$H536</f>
        <v>349526.07999999996</v>
      </c>
      <c r="J536" s="32" t="str">
        <f>IF($A537&lt;&gt;$A536,$I536,"")</f>
        <v/>
      </c>
      <c r="K536" s="79"/>
      <c r="L536" s="79"/>
      <c r="M536" s="2"/>
      <c r="N536" s="5"/>
      <c r="O536" s="3"/>
      <c r="P536" s="6"/>
      <c r="Q536" s="6"/>
    </row>
    <row r="537" spans="1:17" ht="15" customHeight="1" x14ac:dyDescent="0.25">
      <c r="A537" s="1"/>
      <c r="B537" s="17"/>
      <c r="C537" s="17"/>
      <c r="D537" s="17"/>
      <c r="E537" s="17"/>
      <c r="F537" s="17"/>
      <c r="G537" s="4">
        <f>SUM($B537:$F537)</f>
        <v>0</v>
      </c>
      <c r="H537" s="17"/>
      <c r="I537" s="4">
        <f>$I536+$G537-$H537</f>
        <v>349526.07999999996</v>
      </c>
      <c r="J537" s="32" t="str">
        <f>IF($A538&lt;&gt;$A537,$I537,"")</f>
        <v/>
      </c>
      <c r="K537" s="79"/>
      <c r="L537" s="79"/>
      <c r="M537" s="2"/>
      <c r="N537" s="5"/>
      <c r="O537" s="3"/>
      <c r="P537" s="6"/>
      <c r="Q537" s="6"/>
    </row>
    <row r="538" spans="1:17" ht="15" customHeight="1" x14ac:dyDescent="0.25">
      <c r="A538" s="1"/>
      <c r="B538" s="17"/>
      <c r="C538" s="17"/>
      <c r="D538" s="17"/>
      <c r="E538" s="17"/>
      <c r="F538" s="17"/>
      <c r="G538" s="4">
        <f>SUM($B538:$F538)</f>
        <v>0</v>
      </c>
      <c r="H538" s="17"/>
      <c r="I538" s="4">
        <f>$I537+$G538-$H538</f>
        <v>349526.07999999996</v>
      </c>
      <c r="J538" s="32" t="str">
        <f>IF($A539&lt;&gt;$A538,$I538,"")</f>
        <v/>
      </c>
      <c r="K538" s="79"/>
      <c r="L538" s="79"/>
      <c r="M538" s="2"/>
      <c r="N538" s="5"/>
      <c r="O538" s="3"/>
      <c r="P538" s="6"/>
      <c r="Q538" s="6"/>
    </row>
    <row r="539" spans="1:17" ht="15" customHeight="1" x14ac:dyDescent="0.25">
      <c r="A539" s="1"/>
      <c r="B539" s="17"/>
      <c r="C539" s="17"/>
      <c r="D539" s="17"/>
      <c r="E539" s="17"/>
      <c r="F539" s="17"/>
      <c r="G539" s="4">
        <f>SUM($B539:$F539)</f>
        <v>0</v>
      </c>
      <c r="H539" s="17"/>
      <c r="I539" s="4">
        <f>$I538+$G539-$H539</f>
        <v>349526.07999999996</v>
      </c>
      <c r="J539" s="32" t="str">
        <f>IF($A540&lt;&gt;$A539,$I539,"")</f>
        <v/>
      </c>
      <c r="K539" s="79"/>
      <c r="L539" s="79"/>
      <c r="M539" s="2"/>
      <c r="N539" s="5"/>
      <c r="O539" s="3"/>
      <c r="P539" s="6"/>
      <c r="Q539" s="6"/>
    </row>
    <row r="540" spans="1:17" ht="15" customHeight="1" x14ac:dyDescent="0.25">
      <c r="A540" s="1"/>
      <c r="B540" s="17"/>
      <c r="C540" s="17"/>
      <c r="D540" s="17"/>
      <c r="E540" s="17"/>
      <c r="F540" s="17"/>
      <c r="G540" s="4">
        <f>SUM($B540:$F540)</f>
        <v>0</v>
      </c>
      <c r="H540" s="17"/>
      <c r="I540" s="4">
        <f>$I539+$G540-$H540</f>
        <v>349526.07999999996</v>
      </c>
      <c r="J540" s="32" t="str">
        <f>IF($A541&lt;&gt;$A540,$I540,"")</f>
        <v/>
      </c>
      <c r="K540" s="79"/>
      <c r="L540" s="79"/>
      <c r="M540" s="2"/>
      <c r="N540" s="5"/>
      <c r="O540" s="3"/>
      <c r="P540" s="6"/>
      <c r="Q540" s="6"/>
    </row>
    <row r="541" spans="1:17" ht="15" customHeight="1" x14ac:dyDescent="0.25">
      <c r="A541" s="1"/>
      <c r="B541" s="17"/>
      <c r="C541" s="17"/>
      <c r="D541" s="17"/>
      <c r="E541" s="17"/>
      <c r="F541" s="17"/>
      <c r="G541" s="4">
        <f>SUM($B541:$F541)</f>
        <v>0</v>
      </c>
      <c r="H541" s="17"/>
      <c r="I541" s="4">
        <f>$I540+$G541-$H541</f>
        <v>349526.07999999996</v>
      </c>
      <c r="J541" s="32" t="str">
        <f>IF($A542&lt;&gt;$A541,$I541,"")</f>
        <v/>
      </c>
      <c r="K541" s="79"/>
      <c r="L541" s="79"/>
      <c r="M541" s="2"/>
      <c r="N541" s="5"/>
      <c r="O541" s="3"/>
      <c r="P541" s="6"/>
      <c r="Q541" s="6"/>
    </row>
    <row r="542" spans="1:17" ht="15" customHeight="1" x14ac:dyDescent="0.25">
      <c r="A542" s="1"/>
      <c r="B542" s="17"/>
      <c r="C542" s="17"/>
      <c r="D542" s="17"/>
      <c r="E542" s="17"/>
      <c r="F542" s="17"/>
      <c r="G542" s="4">
        <f>SUM($B542:$F542)</f>
        <v>0</v>
      </c>
      <c r="H542" s="17"/>
      <c r="I542" s="4">
        <f>$I541+$G542-$H542</f>
        <v>349526.07999999996</v>
      </c>
      <c r="J542" s="32" t="str">
        <f>IF($A543&lt;&gt;$A542,$I542,"")</f>
        <v/>
      </c>
      <c r="K542" s="79"/>
      <c r="L542" s="79"/>
      <c r="M542" s="2"/>
      <c r="N542" s="5"/>
      <c r="O542" s="3"/>
      <c r="P542" s="6"/>
      <c r="Q542" s="6"/>
    </row>
    <row r="543" spans="1:17" ht="15" customHeight="1" x14ac:dyDescent="0.25">
      <c r="A543" s="1"/>
      <c r="B543" s="17"/>
      <c r="C543" s="17"/>
      <c r="D543" s="17"/>
      <c r="E543" s="17"/>
      <c r="F543" s="17"/>
      <c r="G543" s="4">
        <f>SUM($B543:$F543)</f>
        <v>0</v>
      </c>
      <c r="H543" s="17"/>
      <c r="I543" s="4">
        <f>$I542+$G543-$H543</f>
        <v>349526.07999999996</v>
      </c>
      <c r="J543" s="32" t="str">
        <f>IF($A544&lt;&gt;$A543,$I543,"")</f>
        <v/>
      </c>
      <c r="K543" s="79"/>
      <c r="L543" s="79"/>
      <c r="M543" s="2"/>
      <c r="N543" s="5"/>
      <c r="O543" s="3"/>
      <c r="P543" s="6"/>
      <c r="Q543" s="6"/>
    </row>
    <row r="544" spans="1:17" ht="15" customHeight="1" x14ac:dyDescent="0.25">
      <c r="A544" s="1"/>
      <c r="B544" s="17"/>
      <c r="C544" s="17"/>
      <c r="D544" s="17"/>
      <c r="E544" s="17"/>
      <c r="F544" s="17"/>
      <c r="G544" s="4">
        <f>SUM($B544:$F544)</f>
        <v>0</v>
      </c>
      <c r="H544" s="17"/>
      <c r="I544" s="4">
        <f>$I543+$G544-$H544</f>
        <v>349526.07999999996</v>
      </c>
      <c r="J544" s="32" t="str">
        <f>IF($A545&lt;&gt;$A544,$I544,"")</f>
        <v/>
      </c>
      <c r="K544" s="79"/>
      <c r="L544" s="79"/>
      <c r="M544" s="2"/>
      <c r="N544" s="5"/>
      <c r="O544" s="3"/>
      <c r="P544" s="6"/>
      <c r="Q544" s="6"/>
    </row>
    <row r="545" spans="1:17" ht="15" customHeight="1" x14ac:dyDescent="0.25">
      <c r="A545" s="1"/>
      <c r="B545" s="17"/>
      <c r="C545" s="17"/>
      <c r="D545" s="17"/>
      <c r="E545" s="17"/>
      <c r="F545" s="17"/>
      <c r="G545" s="4">
        <f>SUM($B545:$F545)</f>
        <v>0</v>
      </c>
      <c r="H545" s="17"/>
      <c r="I545" s="4">
        <f>$I544+$G545-$H545</f>
        <v>349526.07999999996</v>
      </c>
      <c r="J545" s="32" t="str">
        <f>IF($A546&lt;&gt;$A545,$I545,"")</f>
        <v/>
      </c>
      <c r="K545" s="79"/>
      <c r="L545" s="79"/>
      <c r="M545" s="2"/>
      <c r="N545" s="5"/>
      <c r="O545" s="3"/>
      <c r="P545" s="6"/>
      <c r="Q545" s="6"/>
    </row>
    <row r="546" spans="1:17" ht="15" customHeight="1" x14ac:dyDescent="0.25">
      <c r="A546" s="1"/>
      <c r="B546" s="17"/>
      <c r="C546" s="17"/>
      <c r="D546" s="17"/>
      <c r="E546" s="17"/>
      <c r="F546" s="17"/>
      <c r="G546" s="4">
        <f>SUM($B546:$F546)</f>
        <v>0</v>
      </c>
      <c r="H546" s="17"/>
      <c r="I546" s="4">
        <f>$I545+$G546-$H546</f>
        <v>349526.07999999996</v>
      </c>
      <c r="J546" s="32" t="str">
        <f>IF($A547&lt;&gt;$A546,$I546,"")</f>
        <v/>
      </c>
      <c r="K546" s="79"/>
      <c r="L546" s="79"/>
      <c r="M546" s="2"/>
      <c r="N546" s="5"/>
      <c r="O546" s="3"/>
      <c r="P546" s="6"/>
      <c r="Q546" s="6"/>
    </row>
    <row r="547" spans="1:17" ht="15" customHeight="1" x14ac:dyDescent="0.25">
      <c r="A547" s="1"/>
      <c r="B547" s="17"/>
      <c r="C547" s="17"/>
      <c r="D547" s="17"/>
      <c r="E547" s="17"/>
      <c r="F547" s="17"/>
      <c r="G547" s="4">
        <f>SUM($B547:$F547)</f>
        <v>0</v>
      </c>
      <c r="H547" s="17"/>
      <c r="I547" s="4">
        <f>$I546+$G547-$H547</f>
        <v>349526.07999999996</v>
      </c>
      <c r="J547" s="32" t="str">
        <f>IF($A548&lt;&gt;$A547,$I547,"")</f>
        <v/>
      </c>
      <c r="K547" s="79"/>
      <c r="L547" s="79"/>
      <c r="M547" s="2"/>
      <c r="N547" s="5"/>
      <c r="O547" s="3"/>
      <c r="P547" s="6"/>
      <c r="Q547" s="6"/>
    </row>
    <row r="548" spans="1:17" ht="15" customHeight="1" x14ac:dyDescent="0.25">
      <c r="A548" s="1"/>
      <c r="B548" s="17"/>
      <c r="C548" s="17"/>
      <c r="D548" s="17"/>
      <c r="E548" s="17"/>
      <c r="F548" s="17"/>
      <c r="G548" s="4">
        <f>SUM($B548:$F548)</f>
        <v>0</v>
      </c>
      <c r="H548" s="17"/>
      <c r="I548" s="4">
        <f>$I547+$G548-$H548</f>
        <v>349526.07999999996</v>
      </c>
      <c r="J548" s="32" t="str">
        <f>IF($A549&lt;&gt;$A548,$I548,"")</f>
        <v/>
      </c>
      <c r="K548" s="79"/>
      <c r="L548" s="79"/>
      <c r="M548" s="2"/>
      <c r="N548" s="5"/>
      <c r="O548" s="3"/>
      <c r="P548" s="6"/>
      <c r="Q548" s="6"/>
    </row>
    <row r="549" spans="1:17" ht="15" customHeight="1" x14ac:dyDescent="0.25">
      <c r="A549" s="1"/>
      <c r="B549" s="17"/>
      <c r="C549" s="17"/>
      <c r="D549" s="17"/>
      <c r="E549" s="17"/>
      <c r="F549" s="17"/>
      <c r="G549" s="4">
        <f>SUM($B549:$F549)</f>
        <v>0</v>
      </c>
      <c r="H549" s="17"/>
      <c r="I549" s="4">
        <f>$I548+$G549-$H549</f>
        <v>349526.07999999996</v>
      </c>
      <c r="J549" s="32" t="str">
        <f>IF($A550&lt;&gt;$A549,$I549,"")</f>
        <v/>
      </c>
      <c r="K549" s="79"/>
      <c r="L549" s="79"/>
      <c r="M549" s="2"/>
      <c r="N549" s="5"/>
      <c r="O549" s="3"/>
      <c r="P549" s="6"/>
      <c r="Q549" s="6"/>
    </row>
    <row r="550" spans="1:17" ht="15" customHeight="1" x14ac:dyDescent="0.25">
      <c r="A550" s="1"/>
      <c r="B550" s="17"/>
      <c r="C550" s="17"/>
      <c r="D550" s="17"/>
      <c r="E550" s="17"/>
      <c r="F550" s="17"/>
      <c r="G550" s="4">
        <f>SUM($B550:$F550)</f>
        <v>0</v>
      </c>
      <c r="H550" s="17"/>
      <c r="I550" s="4">
        <f>$I549+$G550-$H550</f>
        <v>349526.07999999996</v>
      </c>
      <c r="J550" s="32" t="str">
        <f>IF($A551&lt;&gt;$A550,$I550,"")</f>
        <v/>
      </c>
      <c r="K550" s="79"/>
      <c r="L550" s="79"/>
      <c r="M550" s="2"/>
      <c r="N550" s="5"/>
      <c r="O550" s="3"/>
      <c r="P550" s="6"/>
      <c r="Q550" s="6"/>
    </row>
    <row r="551" spans="1:17" ht="15" customHeight="1" x14ac:dyDescent="0.25">
      <c r="A551" s="1"/>
      <c r="B551" s="17"/>
      <c r="C551" s="17"/>
      <c r="D551" s="17"/>
      <c r="E551" s="17"/>
      <c r="F551" s="17"/>
      <c r="G551" s="4">
        <f>SUM($B551:$F551)</f>
        <v>0</v>
      </c>
      <c r="H551" s="17"/>
      <c r="I551" s="4">
        <f>$I550+$G551-$H551</f>
        <v>349526.07999999996</v>
      </c>
      <c r="J551" s="32" t="str">
        <f>IF($A552&lt;&gt;$A551,$I551,"")</f>
        <v/>
      </c>
      <c r="K551" s="79"/>
      <c r="L551" s="79"/>
      <c r="M551" s="2"/>
      <c r="N551" s="5"/>
      <c r="O551" s="3"/>
      <c r="P551" s="6"/>
      <c r="Q551" s="6"/>
    </row>
    <row r="552" spans="1:17" ht="15" customHeight="1" x14ac:dyDescent="0.25">
      <c r="A552" s="1"/>
      <c r="B552" s="17"/>
      <c r="C552" s="17"/>
      <c r="D552" s="17"/>
      <c r="E552" s="17"/>
      <c r="F552" s="17"/>
      <c r="G552" s="4">
        <f>SUM($B552:$F552)</f>
        <v>0</v>
      </c>
      <c r="H552" s="17"/>
      <c r="I552" s="4">
        <f>$I551+$G552-$H552</f>
        <v>349526.07999999996</v>
      </c>
      <c r="J552" s="32" t="str">
        <f>IF($A553&lt;&gt;$A552,$I552,"")</f>
        <v/>
      </c>
      <c r="K552" s="79"/>
      <c r="L552" s="79"/>
      <c r="M552" s="2"/>
      <c r="N552" s="5"/>
      <c r="O552" s="3"/>
      <c r="P552" s="6"/>
      <c r="Q552" s="6"/>
    </row>
    <row r="553" spans="1:17" ht="15" customHeight="1" x14ac:dyDescent="0.25">
      <c r="A553" s="1"/>
      <c r="B553" s="17"/>
      <c r="C553" s="17"/>
      <c r="D553" s="17"/>
      <c r="E553" s="17"/>
      <c r="F553" s="17"/>
      <c r="G553" s="4">
        <f>SUM($B553:$F553)</f>
        <v>0</v>
      </c>
      <c r="H553" s="17"/>
      <c r="I553" s="4">
        <f>$I552+$G553-$H553</f>
        <v>349526.07999999996</v>
      </c>
      <c r="J553" s="32" t="str">
        <f>IF($A554&lt;&gt;$A553,$I553,"")</f>
        <v/>
      </c>
      <c r="K553" s="79"/>
      <c r="L553" s="79"/>
      <c r="M553" s="2"/>
      <c r="N553" s="5"/>
      <c r="O553" s="3"/>
      <c r="P553" s="6"/>
      <c r="Q553" s="6"/>
    </row>
    <row r="554" spans="1:17" ht="15" customHeight="1" x14ac:dyDescent="0.25">
      <c r="A554" s="1"/>
      <c r="B554" s="17"/>
      <c r="C554" s="17"/>
      <c r="D554" s="17"/>
      <c r="E554" s="17"/>
      <c r="F554" s="17"/>
      <c r="G554" s="4">
        <f>SUM($B554:$F554)</f>
        <v>0</v>
      </c>
      <c r="H554" s="17"/>
      <c r="I554" s="4">
        <f>$I553+$G554-$H554</f>
        <v>349526.07999999996</v>
      </c>
      <c r="J554" s="32" t="str">
        <f>IF($A555&lt;&gt;$A554,$I554,"")</f>
        <v/>
      </c>
      <c r="K554" s="79"/>
      <c r="L554" s="79"/>
      <c r="M554" s="2"/>
      <c r="N554" s="5"/>
      <c r="O554" s="3"/>
      <c r="P554" s="6"/>
      <c r="Q554" s="6"/>
    </row>
    <row r="555" spans="1:17" ht="15" customHeight="1" x14ac:dyDescent="0.25">
      <c r="A555" s="1"/>
      <c r="B555" s="17"/>
      <c r="C555" s="17"/>
      <c r="D555" s="17"/>
      <c r="E555" s="17"/>
      <c r="F555" s="17"/>
      <c r="G555" s="4">
        <f>SUM($B555:$F555)</f>
        <v>0</v>
      </c>
      <c r="H555" s="17"/>
      <c r="I555" s="4">
        <f>$I554+$G555-$H555</f>
        <v>349526.07999999996</v>
      </c>
      <c r="J555" s="32" t="str">
        <f>IF($A556&lt;&gt;$A555,$I555,"")</f>
        <v/>
      </c>
      <c r="K555" s="79"/>
      <c r="L555" s="79"/>
      <c r="M555" s="2"/>
      <c r="N555" s="5"/>
      <c r="O555" s="3"/>
      <c r="P555" s="6"/>
      <c r="Q555" s="6"/>
    </row>
    <row r="556" spans="1:17" ht="15" customHeight="1" x14ac:dyDescent="0.25">
      <c r="A556" s="1"/>
      <c r="B556" s="17"/>
      <c r="C556" s="17"/>
      <c r="D556" s="17"/>
      <c r="E556" s="17"/>
      <c r="F556" s="17"/>
      <c r="G556" s="4">
        <f>SUM($B556:$F556)</f>
        <v>0</v>
      </c>
      <c r="H556" s="17"/>
      <c r="I556" s="4">
        <f>$I555+$G556-$H556</f>
        <v>349526.07999999996</v>
      </c>
      <c r="J556" s="32" t="str">
        <f>IF($A557&lt;&gt;$A556,$I556,"")</f>
        <v/>
      </c>
      <c r="K556" s="79"/>
      <c r="L556" s="79"/>
      <c r="M556" s="2"/>
      <c r="N556" s="5"/>
      <c r="O556" s="3"/>
      <c r="P556" s="6"/>
      <c r="Q556" s="6"/>
    </row>
    <row r="557" spans="1:17" ht="15" customHeight="1" x14ac:dyDescent="0.25">
      <c r="A557" s="1"/>
      <c r="B557" s="17"/>
      <c r="C557" s="17"/>
      <c r="D557" s="17"/>
      <c r="E557" s="17"/>
      <c r="F557" s="17"/>
      <c r="G557" s="4">
        <f>SUM($B557:$F557)</f>
        <v>0</v>
      </c>
      <c r="H557" s="17"/>
      <c r="I557" s="4">
        <f>$I556+$G557-$H557</f>
        <v>349526.07999999996</v>
      </c>
      <c r="J557" s="32" t="str">
        <f>IF($A558&lt;&gt;$A557,$I557,"")</f>
        <v/>
      </c>
      <c r="K557" s="79"/>
      <c r="L557" s="79"/>
      <c r="M557" s="2"/>
      <c r="N557" s="5"/>
      <c r="O557" s="3"/>
      <c r="P557" s="6"/>
      <c r="Q557" s="6"/>
    </row>
    <row r="558" spans="1:17" ht="15" customHeight="1" x14ac:dyDescent="0.25">
      <c r="A558" s="1"/>
      <c r="B558" s="17"/>
      <c r="C558" s="17"/>
      <c r="D558" s="17"/>
      <c r="E558" s="17"/>
      <c r="F558" s="17"/>
      <c r="G558" s="4">
        <f>SUM($B558:$F558)</f>
        <v>0</v>
      </c>
      <c r="H558" s="17"/>
      <c r="I558" s="4">
        <f>$I557+$G558-$H558</f>
        <v>349526.07999999996</v>
      </c>
      <c r="J558" s="32" t="str">
        <f>IF($A559&lt;&gt;$A558,$I558,"")</f>
        <v/>
      </c>
      <c r="K558" s="79"/>
      <c r="L558" s="79"/>
      <c r="M558" s="2"/>
      <c r="N558" s="5"/>
      <c r="O558" s="3"/>
      <c r="P558" s="6"/>
      <c r="Q558" s="6"/>
    </row>
    <row r="559" spans="1:17" ht="15" customHeight="1" x14ac:dyDescent="0.25">
      <c r="A559" s="1"/>
      <c r="B559" s="17"/>
      <c r="C559" s="17"/>
      <c r="D559" s="17"/>
      <c r="E559" s="17"/>
      <c r="F559" s="17"/>
      <c r="G559" s="4">
        <f>SUM($B559:$F559)</f>
        <v>0</v>
      </c>
      <c r="H559" s="17"/>
      <c r="I559" s="4">
        <f>$I558+$G559-$H559</f>
        <v>349526.07999999996</v>
      </c>
      <c r="J559" s="32" t="str">
        <f>IF($A560&lt;&gt;$A559,$I559,"")</f>
        <v/>
      </c>
      <c r="K559" s="79"/>
      <c r="L559" s="79"/>
      <c r="M559" s="2"/>
      <c r="N559" s="5"/>
      <c r="O559" s="3"/>
      <c r="P559" s="6"/>
      <c r="Q559" s="6"/>
    </row>
    <row r="560" spans="1:17" ht="15" customHeight="1" x14ac:dyDescent="0.25">
      <c r="A560" s="1"/>
      <c r="B560" s="17"/>
      <c r="C560" s="17"/>
      <c r="D560" s="17"/>
      <c r="E560" s="17"/>
      <c r="F560" s="17"/>
      <c r="G560" s="4">
        <f>SUM($B560:$F560)</f>
        <v>0</v>
      </c>
      <c r="H560" s="17"/>
      <c r="I560" s="4">
        <f>$I559+$G560-$H560</f>
        <v>349526.07999999996</v>
      </c>
      <c r="J560" s="32" t="str">
        <f>IF($A561&lt;&gt;$A560,$I560,"")</f>
        <v/>
      </c>
      <c r="K560" s="79"/>
      <c r="L560" s="79"/>
      <c r="M560" s="2"/>
      <c r="N560" s="5"/>
      <c r="O560" s="3"/>
      <c r="P560" s="6"/>
      <c r="Q560" s="6"/>
    </row>
    <row r="561" spans="1:17" ht="15" customHeight="1" x14ac:dyDescent="0.25">
      <c r="A561" s="1"/>
      <c r="B561" s="17"/>
      <c r="C561" s="17"/>
      <c r="D561" s="17"/>
      <c r="E561" s="17"/>
      <c r="F561" s="17"/>
      <c r="G561" s="4">
        <f>SUM($B561:$F561)</f>
        <v>0</v>
      </c>
      <c r="H561" s="17"/>
      <c r="I561" s="4">
        <f>$I560+$G561-$H561</f>
        <v>349526.07999999996</v>
      </c>
      <c r="J561" s="32" t="str">
        <f>IF($A562&lt;&gt;$A561,$I561,"")</f>
        <v/>
      </c>
      <c r="K561" s="79"/>
      <c r="L561" s="79"/>
      <c r="M561" s="2"/>
      <c r="N561" s="5"/>
      <c r="O561" s="3"/>
      <c r="P561" s="6"/>
      <c r="Q561" s="6"/>
    </row>
    <row r="562" spans="1:17" ht="15" customHeight="1" x14ac:dyDescent="0.25">
      <c r="A562" s="1"/>
      <c r="B562" s="17"/>
      <c r="C562" s="17"/>
      <c r="D562" s="17"/>
      <c r="E562" s="17"/>
      <c r="F562" s="17"/>
      <c r="G562" s="4">
        <f>SUM($B562:$F562)</f>
        <v>0</v>
      </c>
      <c r="H562" s="17"/>
      <c r="I562" s="4">
        <f>$I561+$G562-$H562</f>
        <v>349526.07999999996</v>
      </c>
      <c r="J562" s="32" t="str">
        <f>IF($A563&lt;&gt;$A562,$I562,"")</f>
        <v/>
      </c>
      <c r="K562" s="79"/>
      <c r="L562" s="79"/>
      <c r="M562" s="2"/>
      <c r="N562" s="5"/>
      <c r="O562" s="3"/>
      <c r="P562" s="6"/>
      <c r="Q562" s="6"/>
    </row>
    <row r="563" spans="1:17" ht="15" customHeight="1" x14ac:dyDescent="0.25">
      <c r="A563" s="1"/>
      <c r="B563" s="17"/>
      <c r="C563" s="17"/>
      <c r="D563" s="17"/>
      <c r="E563" s="17"/>
      <c r="F563" s="17"/>
      <c r="G563" s="4">
        <f>SUM($B563:$F563)</f>
        <v>0</v>
      </c>
      <c r="H563" s="17"/>
      <c r="I563" s="4">
        <f>$I562+$G563-$H563</f>
        <v>349526.07999999996</v>
      </c>
      <c r="J563" s="32" t="str">
        <f>IF($A564&lt;&gt;$A563,$I563,"")</f>
        <v/>
      </c>
      <c r="K563" s="79"/>
      <c r="L563" s="79"/>
      <c r="M563" s="2"/>
      <c r="N563" s="5"/>
      <c r="O563" s="3"/>
      <c r="P563" s="6"/>
      <c r="Q563" s="6"/>
    </row>
    <row r="564" spans="1:17" ht="15" customHeight="1" x14ac:dyDescent="0.25">
      <c r="A564" s="1"/>
      <c r="B564" s="17"/>
      <c r="C564" s="17"/>
      <c r="D564" s="17"/>
      <c r="E564" s="17"/>
      <c r="F564" s="17"/>
      <c r="G564" s="4">
        <f>SUM($B564:$F564)</f>
        <v>0</v>
      </c>
      <c r="H564" s="17"/>
      <c r="I564" s="4">
        <f>$I563+$G564-$H564</f>
        <v>349526.07999999996</v>
      </c>
      <c r="J564" s="32" t="str">
        <f>IF($A565&lt;&gt;$A564,$I564,"")</f>
        <v/>
      </c>
      <c r="K564" s="79"/>
      <c r="L564" s="79"/>
      <c r="M564" s="2"/>
      <c r="N564" s="5"/>
      <c r="O564" s="3"/>
      <c r="P564" s="6"/>
      <c r="Q564" s="6"/>
    </row>
    <row r="565" spans="1:17" ht="15" customHeight="1" x14ac:dyDescent="0.25">
      <c r="A565" s="1"/>
      <c r="B565" s="17"/>
      <c r="C565" s="17"/>
      <c r="D565" s="17"/>
      <c r="E565" s="17"/>
      <c r="F565" s="17"/>
      <c r="G565" s="4">
        <f>SUM($B565:$F565)</f>
        <v>0</v>
      </c>
      <c r="H565" s="17"/>
      <c r="I565" s="4">
        <f>$I564+$G565-$H565</f>
        <v>349526.07999999996</v>
      </c>
      <c r="J565" s="32" t="str">
        <f>IF($A566&lt;&gt;$A565,$I565,"")</f>
        <v/>
      </c>
      <c r="K565" s="79"/>
      <c r="L565" s="79"/>
      <c r="M565" s="2"/>
      <c r="N565" s="5"/>
      <c r="O565" s="3"/>
      <c r="P565" s="6"/>
      <c r="Q565" s="6"/>
    </row>
    <row r="566" spans="1:17" ht="15" customHeight="1" x14ac:dyDescent="0.25">
      <c r="A566" s="1"/>
      <c r="B566" s="17"/>
      <c r="C566" s="17"/>
      <c r="D566" s="17"/>
      <c r="E566" s="17"/>
      <c r="F566" s="17"/>
      <c r="G566" s="4">
        <f>SUM($B566:$F566)</f>
        <v>0</v>
      </c>
      <c r="H566" s="17"/>
      <c r="I566" s="4">
        <f>$I565+$G566-$H566</f>
        <v>349526.07999999996</v>
      </c>
      <c r="J566" s="32" t="str">
        <f>IF($A567&lt;&gt;$A566,$I566,"")</f>
        <v/>
      </c>
      <c r="K566" s="79"/>
      <c r="L566" s="79"/>
      <c r="M566" s="2"/>
      <c r="N566" s="5"/>
      <c r="O566" s="3"/>
      <c r="P566" s="6"/>
      <c r="Q566" s="6"/>
    </row>
    <row r="567" spans="1:17" ht="15" customHeight="1" x14ac:dyDescent="0.25">
      <c r="A567" s="1"/>
      <c r="B567" s="17"/>
      <c r="C567" s="17"/>
      <c r="D567" s="17"/>
      <c r="E567" s="17"/>
      <c r="F567" s="17"/>
      <c r="G567" s="4">
        <f>SUM($B567:$F567)</f>
        <v>0</v>
      </c>
      <c r="H567" s="17"/>
      <c r="I567" s="4">
        <f>$I566+$G567-$H567</f>
        <v>349526.07999999996</v>
      </c>
      <c r="J567" s="32" t="str">
        <f>IF($A568&lt;&gt;$A567,$I567,"")</f>
        <v/>
      </c>
      <c r="K567" s="79"/>
      <c r="L567" s="79"/>
      <c r="M567" s="2"/>
      <c r="N567" s="5"/>
      <c r="O567" s="3"/>
      <c r="P567" s="6"/>
      <c r="Q567" s="6"/>
    </row>
    <row r="568" spans="1:17" ht="15" customHeight="1" x14ac:dyDescent="0.25">
      <c r="A568" s="1"/>
      <c r="B568" s="17"/>
      <c r="C568" s="17"/>
      <c r="D568" s="17"/>
      <c r="E568" s="17"/>
      <c r="F568" s="17"/>
      <c r="G568" s="4">
        <f>SUM($B568:$F568)</f>
        <v>0</v>
      </c>
      <c r="H568" s="17"/>
      <c r="I568" s="4">
        <f>$I567+$G568-$H568</f>
        <v>349526.07999999996</v>
      </c>
      <c r="J568" s="32" t="str">
        <f>IF($A569&lt;&gt;$A568,$I568,"")</f>
        <v/>
      </c>
      <c r="K568" s="79"/>
      <c r="L568" s="79"/>
      <c r="M568" s="2"/>
      <c r="N568" s="5"/>
      <c r="O568" s="3"/>
      <c r="P568" s="6"/>
      <c r="Q568" s="6"/>
    </row>
    <row r="569" spans="1:17" ht="15" customHeight="1" x14ac:dyDescent="0.25">
      <c r="A569" s="1"/>
      <c r="B569" s="17"/>
      <c r="C569" s="17"/>
      <c r="D569" s="17"/>
      <c r="E569" s="17"/>
      <c r="F569" s="17"/>
      <c r="G569" s="4">
        <f>SUM($B569:$F569)</f>
        <v>0</v>
      </c>
      <c r="H569" s="17"/>
      <c r="I569" s="4">
        <f>$I568+$G569-$H569</f>
        <v>349526.07999999996</v>
      </c>
      <c r="J569" s="32" t="str">
        <f>IF($A570&lt;&gt;$A569,$I569,"")</f>
        <v/>
      </c>
      <c r="K569" s="79"/>
      <c r="L569" s="79"/>
      <c r="M569" s="2"/>
      <c r="N569" s="5"/>
      <c r="O569" s="3"/>
      <c r="P569" s="6"/>
      <c r="Q569" s="6"/>
    </row>
    <row r="570" spans="1:17" ht="15" customHeight="1" x14ac:dyDescent="0.25">
      <c r="A570" s="1"/>
      <c r="B570" s="17"/>
      <c r="C570" s="17"/>
      <c r="D570" s="17"/>
      <c r="E570" s="17"/>
      <c r="F570" s="17"/>
      <c r="G570" s="4">
        <f>SUM($B570:$F570)</f>
        <v>0</v>
      </c>
      <c r="H570" s="17"/>
      <c r="I570" s="4">
        <f>$I569+$G570-$H570</f>
        <v>349526.07999999996</v>
      </c>
      <c r="J570" s="32" t="str">
        <f>IF($A571&lt;&gt;$A570,$I570,"")</f>
        <v/>
      </c>
      <c r="K570" s="79"/>
      <c r="L570" s="79"/>
      <c r="M570" s="2"/>
      <c r="N570" s="5"/>
      <c r="O570" s="3"/>
      <c r="P570" s="6"/>
      <c r="Q570" s="6"/>
    </row>
    <row r="571" spans="1:17" ht="15" customHeight="1" x14ac:dyDescent="0.25">
      <c r="A571" s="1"/>
      <c r="B571" s="17"/>
      <c r="C571" s="17"/>
      <c r="D571" s="17"/>
      <c r="E571" s="17"/>
      <c r="F571" s="17"/>
      <c r="G571" s="4">
        <f>SUM($B571:$F571)</f>
        <v>0</v>
      </c>
      <c r="H571" s="17"/>
      <c r="I571" s="4">
        <f>$I570+$G571-$H571</f>
        <v>349526.07999999996</v>
      </c>
      <c r="J571" s="32" t="str">
        <f>IF($A572&lt;&gt;$A571,$I571,"")</f>
        <v/>
      </c>
      <c r="K571" s="79"/>
      <c r="L571" s="79"/>
      <c r="M571" s="2"/>
      <c r="N571" s="5"/>
      <c r="O571" s="3"/>
      <c r="P571" s="6"/>
      <c r="Q571" s="6"/>
    </row>
    <row r="572" spans="1:17" ht="15" customHeight="1" x14ac:dyDescent="0.25">
      <c r="A572" s="1"/>
      <c r="B572" s="17"/>
      <c r="C572" s="17"/>
      <c r="D572" s="17"/>
      <c r="E572" s="17"/>
      <c r="F572" s="17"/>
      <c r="G572" s="4">
        <f>SUM($B572:$F572)</f>
        <v>0</v>
      </c>
      <c r="H572" s="17"/>
      <c r="I572" s="4">
        <f>$I571+$G572-$H572</f>
        <v>349526.07999999996</v>
      </c>
      <c r="J572" s="32" t="str">
        <f>IF($A573&lt;&gt;$A572,$I572,"")</f>
        <v/>
      </c>
      <c r="K572" s="79"/>
      <c r="L572" s="79"/>
      <c r="M572" s="2"/>
      <c r="N572" s="5"/>
      <c r="O572" s="3"/>
      <c r="P572" s="6"/>
      <c r="Q572" s="6"/>
    </row>
    <row r="573" spans="1:17" ht="15" customHeight="1" x14ac:dyDescent="0.25">
      <c r="A573" s="1"/>
      <c r="B573" s="17"/>
      <c r="C573" s="17"/>
      <c r="D573" s="17"/>
      <c r="E573" s="17"/>
      <c r="F573" s="17"/>
      <c r="G573" s="4">
        <f>SUM($B573:$F573)</f>
        <v>0</v>
      </c>
      <c r="H573" s="17"/>
      <c r="I573" s="4">
        <f>$I572+$G573-$H573</f>
        <v>349526.07999999996</v>
      </c>
      <c r="J573" s="32" t="str">
        <f>IF($A574&lt;&gt;$A573,$I573,"")</f>
        <v/>
      </c>
      <c r="K573" s="79"/>
      <c r="L573" s="79"/>
      <c r="M573" s="2"/>
      <c r="N573" s="5"/>
      <c r="O573" s="3"/>
      <c r="P573" s="6"/>
      <c r="Q573" s="6"/>
    </row>
    <row r="574" spans="1:17" ht="15" customHeight="1" x14ac:dyDescent="0.25">
      <c r="A574" s="1"/>
      <c r="B574" s="17"/>
      <c r="C574" s="17"/>
      <c r="D574" s="17"/>
      <c r="E574" s="17"/>
      <c r="F574" s="17"/>
      <c r="G574" s="4">
        <f>SUM($B574:$F574)</f>
        <v>0</v>
      </c>
      <c r="H574" s="17"/>
      <c r="I574" s="4">
        <f>$I573+$G574-$H574</f>
        <v>349526.07999999996</v>
      </c>
      <c r="J574" s="32" t="str">
        <f>IF($A575&lt;&gt;$A574,$I574,"")</f>
        <v/>
      </c>
      <c r="K574" s="79"/>
      <c r="L574" s="79"/>
      <c r="M574" s="2"/>
      <c r="N574" s="5"/>
      <c r="O574" s="3"/>
      <c r="P574" s="6"/>
      <c r="Q574" s="6"/>
    </row>
    <row r="575" spans="1:17" ht="15" customHeight="1" x14ac:dyDescent="0.25">
      <c r="A575" s="1"/>
      <c r="B575" s="17"/>
      <c r="C575" s="17"/>
      <c r="D575" s="17"/>
      <c r="E575" s="17"/>
      <c r="F575" s="17"/>
      <c r="G575" s="4">
        <f>SUM($B575:$F575)</f>
        <v>0</v>
      </c>
      <c r="H575" s="17"/>
      <c r="I575" s="4">
        <f>$I574+$G575-$H575</f>
        <v>349526.07999999996</v>
      </c>
      <c r="J575" s="32" t="str">
        <f>IF($A576&lt;&gt;$A575,$I575,"")</f>
        <v/>
      </c>
      <c r="K575" s="79"/>
      <c r="L575" s="79"/>
      <c r="M575" s="2"/>
      <c r="N575" s="5"/>
      <c r="O575" s="3"/>
      <c r="P575" s="6"/>
      <c r="Q575" s="6"/>
    </row>
    <row r="576" spans="1:17" ht="15" customHeight="1" x14ac:dyDescent="0.25">
      <c r="A576" s="1"/>
      <c r="B576" s="17"/>
      <c r="C576" s="17"/>
      <c r="D576" s="17"/>
      <c r="E576" s="17"/>
      <c r="F576" s="17"/>
      <c r="G576" s="4">
        <f>SUM($B576:$F576)</f>
        <v>0</v>
      </c>
      <c r="H576" s="17"/>
      <c r="I576" s="4">
        <f>$I575+$G576-$H576</f>
        <v>349526.07999999996</v>
      </c>
      <c r="J576" s="32" t="str">
        <f>IF($A577&lt;&gt;$A576,$I576,"")</f>
        <v/>
      </c>
      <c r="K576" s="79"/>
      <c r="L576" s="79"/>
      <c r="M576" s="2"/>
      <c r="N576" s="5"/>
      <c r="O576" s="3"/>
      <c r="P576" s="6"/>
      <c r="Q576" s="6"/>
    </row>
    <row r="577" spans="1:17" ht="15" customHeight="1" x14ac:dyDescent="0.25">
      <c r="A577" s="1"/>
      <c r="B577" s="17"/>
      <c r="C577" s="17"/>
      <c r="D577" s="17"/>
      <c r="E577" s="17"/>
      <c r="F577" s="17"/>
      <c r="G577" s="4">
        <f>SUM($B577:$F577)</f>
        <v>0</v>
      </c>
      <c r="H577" s="17"/>
      <c r="I577" s="4">
        <f>$I576+$G577-$H577</f>
        <v>349526.07999999996</v>
      </c>
      <c r="J577" s="32" t="str">
        <f>IF($A578&lt;&gt;$A577,$I577,"")</f>
        <v/>
      </c>
      <c r="K577" s="79"/>
      <c r="L577" s="79"/>
      <c r="M577" s="2"/>
      <c r="N577" s="5"/>
      <c r="O577" s="3"/>
      <c r="P577" s="6"/>
      <c r="Q577" s="6"/>
    </row>
    <row r="578" spans="1:17" ht="15" customHeight="1" x14ac:dyDescent="0.25">
      <c r="A578" s="1"/>
      <c r="B578" s="17"/>
      <c r="C578" s="17"/>
      <c r="D578" s="17"/>
      <c r="E578" s="17"/>
      <c r="F578" s="17"/>
      <c r="G578" s="4">
        <f>SUM($B578:$F578)</f>
        <v>0</v>
      </c>
      <c r="H578" s="17"/>
      <c r="I578" s="4">
        <f>$I577+$G578-$H578</f>
        <v>349526.07999999996</v>
      </c>
      <c r="J578" s="32" t="str">
        <f>IF($A579&lt;&gt;$A578,$I578,"")</f>
        <v/>
      </c>
      <c r="K578" s="79"/>
      <c r="L578" s="79"/>
      <c r="M578" s="2"/>
      <c r="N578" s="5"/>
      <c r="O578" s="3"/>
      <c r="P578" s="6"/>
      <c r="Q578" s="6"/>
    </row>
    <row r="579" spans="1:17" ht="15" customHeight="1" x14ac:dyDescent="0.25">
      <c r="A579" s="1"/>
      <c r="B579" s="17"/>
      <c r="C579" s="17"/>
      <c r="D579" s="17"/>
      <c r="E579" s="17"/>
      <c r="F579" s="17"/>
      <c r="G579" s="4">
        <f>SUM($B579:$F579)</f>
        <v>0</v>
      </c>
      <c r="H579" s="17"/>
      <c r="I579" s="4">
        <f>$I578+$G579-$H579</f>
        <v>349526.07999999996</v>
      </c>
      <c r="J579" s="32" t="str">
        <f>IF($A580&lt;&gt;$A579,$I579,"")</f>
        <v/>
      </c>
      <c r="K579" s="79"/>
      <c r="L579" s="79"/>
      <c r="M579" s="2"/>
      <c r="N579" s="5"/>
      <c r="O579" s="3"/>
      <c r="P579" s="6"/>
      <c r="Q579" s="6"/>
    </row>
    <row r="580" spans="1:17" ht="15" customHeight="1" x14ac:dyDescent="0.25">
      <c r="A580" s="1"/>
      <c r="B580" s="17"/>
      <c r="C580" s="17"/>
      <c r="D580" s="17"/>
      <c r="E580" s="17"/>
      <c r="F580" s="17"/>
      <c r="G580" s="4">
        <f>SUM($B580:$F580)</f>
        <v>0</v>
      </c>
      <c r="H580" s="17"/>
      <c r="I580" s="4">
        <f>$I579+$G580-$H580</f>
        <v>349526.07999999996</v>
      </c>
      <c r="J580" s="32" t="str">
        <f>IF($A581&lt;&gt;$A580,$I580,"")</f>
        <v/>
      </c>
      <c r="K580" s="79"/>
      <c r="L580" s="79"/>
      <c r="M580" s="2"/>
      <c r="N580" s="5"/>
      <c r="O580" s="3"/>
      <c r="P580" s="6"/>
      <c r="Q580" s="6"/>
    </row>
    <row r="581" spans="1:17" ht="15" customHeight="1" x14ac:dyDescent="0.25">
      <c r="A581" s="1"/>
      <c r="B581" s="17"/>
      <c r="C581" s="17"/>
      <c r="D581" s="17"/>
      <c r="E581" s="17"/>
      <c r="F581" s="17"/>
      <c r="G581" s="4">
        <f>SUM($B581:$F581)</f>
        <v>0</v>
      </c>
      <c r="H581" s="17"/>
      <c r="I581" s="4">
        <f>$I580+$G581-$H581</f>
        <v>349526.07999999996</v>
      </c>
      <c r="J581" s="32" t="str">
        <f>IF($A582&lt;&gt;$A581,$I581,"")</f>
        <v/>
      </c>
      <c r="K581" s="79"/>
      <c r="L581" s="79"/>
      <c r="M581" s="2"/>
      <c r="N581" s="5"/>
      <c r="O581" s="3"/>
      <c r="P581" s="6"/>
      <c r="Q581" s="6"/>
    </row>
    <row r="582" spans="1:17" ht="15" customHeight="1" x14ac:dyDescent="0.25">
      <c r="A582" s="1"/>
      <c r="B582" s="17"/>
      <c r="C582" s="17"/>
      <c r="D582" s="17"/>
      <c r="E582" s="17"/>
      <c r="F582" s="17"/>
      <c r="G582" s="4">
        <f>SUM($B582:$F582)</f>
        <v>0</v>
      </c>
      <c r="H582" s="17"/>
      <c r="I582" s="4">
        <f>$I581+$G582-$H582</f>
        <v>349526.07999999996</v>
      </c>
      <c r="J582" s="32" t="str">
        <f>IF($A583&lt;&gt;$A582,$I582,"")</f>
        <v/>
      </c>
      <c r="K582" s="79"/>
      <c r="L582" s="79"/>
      <c r="M582" s="2"/>
      <c r="N582" s="5"/>
      <c r="O582" s="3"/>
      <c r="P582" s="6"/>
      <c r="Q582" s="6"/>
    </row>
    <row r="583" spans="1:17" ht="15" customHeight="1" x14ac:dyDescent="0.25">
      <c r="A583" s="1"/>
      <c r="B583" s="17"/>
      <c r="C583" s="17"/>
      <c r="D583" s="17"/>
      <c r="E583" s="17"/>
      <c r="F583" s="17"/>
      <c r="G583" s="4">
        <f>SUM($B583:$F583)</f>
        <v>0</v>
      </c>
      <c r="H583" s="17"/>
      <c r="I583" s="4">
        <f>$I582+$G583-$H583</f>
        <v>349526.07999999996</v>
      </c>
      <c r="J583" s="32" t="str">
        <f>IF($A584&lt;&gt;$A583,$I583,"")</f>
        <v/>
      </c>
      <c r="K583" s="79"/>
      <c r="L583" s="79"/>
      <c r="M583" s="2"/>
      <c r="N583" s="5"/>
      <c r="O583" s="3"/>
      <c r="P583" s="6"/>
      <c r="Q583" s="6"/>
    </row>
    <row r="584" spans="1:17" ht="15" customHeight="1" x14ac:dyDescent="0.25">
      <c r="A584" s="1"/>
      <c r="B584" s="17"/>
      <c r="C584" s="17"/>
      <c r="D584" s="17"/>
      <c r="E584" s="17"/>
      <c r="F584" s="17"/>
      <c r="G584" s="4">
        <f>SUM($B584:$F584)</f>
        <v>0</v>
      </c>
      <c r="H584" s="17"/>
      <c r="I584" s="4">
        <f>$I583+$G584-$H584</f>
        <v>349526.07999999996</v>
      </c>
      <c r="J584" s="32" t="str">
        <f>IF($A585&lt;&gt;$A584,$I584,"")</f>
        <v/>
      </c>
      <c r="K584" s="79"/>
      <c r="L584" s="79"/>
      <c r="M584" s="2"/>
      <c r="N584" s="5"/>
      <c r="O584" s="3"/>
      <c r="P584" s="6"/>
      <c r="Q584" s="6"/>
    </row>
    <row r="585" spans="1:17" ht="15" customHeight="1" x14ac:dyDescent="0.25">
      <c r="A585" s="1"/>
      <c r="B585" s="17"/>
      <c r="C585" s="17"/>
      <c r="D585" s="17"/>
      <c r="E585" s="17"/>
      <c r="F585" s="17"/>
      <c r="G585" s="4">
        <f>SUM($B585:$F585)</f>
        <v>0</v>
      </c>
      <c r="H585" s="17"/>
      <c r="I585" s="4">
        <f>$I584+$G585-$H585</f>
        <v>349526.07999999996</v>
      </c>
      <c r="J585" s="32" t="str">
        <f>IF($A586&lt;&gt;$A585,$I585,"")</f>
        <v/>
      </c>
      <c r="K585" s="79"/>
      <c r="L585" s="79"/>
      <c r="M585" s="2"/>
      <c r="N585" s="5"/>
      <c r="O585" s="3"/>
      <c r="P585" s="6"/>
      <c r="Q585" s="6"/>
    </row>
    <row r="586" spans="1:17" ht="15" customHeight="1" x14ac:dyDescent="0.25">
      <c r="A586" s="1"/>
      <c r="B586" s="17"/>
      <c r="C586" s="17"/>
      <c r="D586" s="17"/>
      <c r="E586" s="17"/>
      <c r="F586" s="17"/>
      <c r="G586" s="4">
        <f>SUM($B586:$F586)</f>
        <v>0</v>
      </c>
      <c r="H586" s="17"/>
      <c r="I586" s="4">
        <f>$I585+$G586-$H586</f>
        <v>349526.07999999996</v>
      </c>
      <c r="J586" s="32" t="str">
        <f>IF($A587&lt;&gt;$A586,$I586,"")</f>
        <v/>
      </c>
      <c r="K586" s="79"/>
      <c r="L586" s="79"/>
      <c r="M586" s="2"/>
      <c r="N586" s="5"/>
      <c r="O586" s="3"/>
      <c r="P586" s="6"/>
      <c r="Q586" s="6"/>
    </row>
    <row r="587" spans="1:17" ht="15" customHeight="1" x14ac:dyDescent="0.25">
      <c r="A587" s="1"/>
      <c r="B587" s="17"/>
      <c r="C587" s="17"/>
      <c r="D587" s="17"/>
      <c r="E587" s="17"/>
      <c r="F587" s="17"/>
      <c r="G587" s="4">
        <f>SUM($B587:$F587)</f>
        <v>0</v>
      </c>
      <c r="H587" s="17"/>
      <c r="I587" s="4">
        <f>$I586+$G587-$H587</f>
        <v>349526.07999999996</v>
      </c>
      <c r="J587" s="32" t="str">
        <f>IF($A588&lt;&gt;$A587,$I587,"")</f>
        <v/>
      </c>
      <c r="K587" s="79"/>
      <c r="L587" s="79"/>
      <c r="M587" s="2"/>
      <c r="N587" s="5"/>
      <c r="O587" s="3"/>
      <c r="P587" s="6"/>
      <c r="Q587" s="6"/>
    </row>
    <row r="588" spans="1:17" ht="15" customHeight="1" x14ac:dyDescent="0.25">
      <c r="A588" s="1"/>
      <c r="B588" s="17"/>
      <c r="C588" s="17"/>
      <c r="D588" s="17"/>
      <c r="E588" s="17"/>
      <c r="F588" s="17"/>
      <c r="G588" s="4">
        <f>SUM($B588:$F588)</f>
        <v>0</v>
      </c>
      <c r="H588" s="17"/>
      <c r="I588" s="4">
        <f>$I587+$G588-$H588</f>
        <v>349526.07999999996</v>
      </c>
      <c r="J588" s="32" t="str">
        <f>IF($A589&lt;&gt;$A588,$I588,"")</f>
        <v/>
      </c>
      <c r="K588" s="79"/>
      <c r="L588" s="79"/>
      <c r="M588" s="2"/>
      <c r="N588" s="5"/>
      <c r="O588" s="3"/>
      <c r="P588" s="6"/>
      <c r="Q588" s="6"/>
    </row>
    <row r="589" spans="1:17" ht="15" customHeight="1" x14ac:dyDescent="0.25">
      <c r="A589" s="1"/>
      <c r="B589" s="17"/>
      <c r="C589" s="17"/>
      <c r="D589" s="17"/>
      <c r="E589" s="17"/>
      <c r="F589" s="17"/>
      <c r="G589" s="4">
        <f>SUM($B589:$F589)</f>
        <v>0</v>
      </c>
      <c r="H589" s="17"/>
      <c r="I589" s="4">
        <f>$I588+$G589-$H589</f>
        <v>349526.07999999996</v>
      </c>
      <c r="J589" s="32" t="str">
        <f>IF($A590&lt;&gt;$A589,$I589,"")</f>
        <v/>
      </c>
      <c r="K589" s="79"/>
      <c r="L589" s="79"/>
      <c r="M589" s="2"/>
      <c r="N589" s="5"/>
      <c r="O589" s="3"/>
      <c r="P589" s="6"/>
      <c r="Q589" s="6"/>
    </row>
    <row r="590" spans="1:17" ht="15" customHeight="1" x14ac:dyDescent="0.25">
      <c r="A590" s="1"/>
      <c r="B590" s="17"/>
      <c r="C590" s="17"/>
      <c r="D590" s="17"/>
      <c r="E590" s="17"/>
      <c r="F590" s="17"/>
      <c r="G590" s="4">
        <f>SUM($B590:$F590)</f>
        <v>0</v>
      </c>
      <c r="H590" s="17"/>
      <c r="I590" s="4">
        <f>$I589+$G590-$H590</f>
        <v>349526.07999999996</v>
      </c>
      <c r="J590" s="32" t="str">
        <f>IF($A591&lt;&gt;$A590,$I590,"")</f>
        <v/>
      </c>
      <c r="K590" s="79"/>
      <c r="L590" s="79"/>
      <c r="M590" s="2"/>
      <c r="N590" s="5"/>
      <c r="O590" s="3"/>
      <c r="P590" s="6"/>
      <c r="Q590" s="6"/>
    </row>
    <row r="591" spans="1:17" ht="15" customHeight="1" x14ac:dyDescent="0.25">
      <c r="A591" s="1"/>
      <c r="B591" s="17"/>
      <c r="C591" s="17"/>
      <c r="D591" s="17"/>
      <c r="E591" s="17"/>
      <c r="F591" s="17"/>
      <c r="G591" s="4">
        <f>SUM($B591:$F591)</f>
        <v>0</v>
      </c>
      <c r="H591" s="17"/>
      <c r="I591" s="4">
        <f>$I590+$G591-$H591</f>
        <v>349526.07999999996</v>
      </c>
      <c r="J591" s="32" t="str">
        <f>IF($A592&lt;&gt;$A591,$I591,"")</f>
        <v/>
      </c>
      <c r="K591" s="79"/>
      <c r="L591" s="79"/>
      <c r="M591" s="2"/>
      <c r="N591" s="5"/>
      <c r="O591" s="3"/>
      <c r="P591" s="6"/>
      <c r="Q591" s="6"/>
    </row>
    <row r="592" spans="1:17" ht="15" customHeight="1" x14ac:dyDescent="0.25">
      <c r="A592" s="1"/>
      <c r="B592" s="17"/>
      <c r="C592" s="17"/>
      <c r="D592" s="17"/>
      <c r="E592" s="17"/>
      <c r="F592" s="17"/>
      <c r="G592" s="4">
        <f>SUM($B592:$F592)</f>
        <v>0</v>
      </c>
      <c r="H592" s="17"/>
      <c r="I592" s="4">
        <f>$I591+$G592-$H592</f>
        <v>349526.07999999996</v>
      </c>
      <c r="J592" s="32" t="str">
        <f>IF($A593&lt;&gt;$A592,$I592,"")</f>
        <v/>
      </c>
      <c r="K592" s="79"/>
      <c r="L592" s="79"/>
      <c r="M592" s="2"/>
      <c r="N592" s="5"/>
      <c r="O592" s="3"/>
      <c r="P592" s="6"/>
      <c r="Q592" s="6"/>
    </row>
    <row r="593" spans="1:17" ht="15" customHeight="1" x14ac:dyDescent="0.25">
      <c r="A593" s="1"/>
      <c r="B593" s="17"/>
      <c r="C593" s="17"/>
      <c r="D593" s="17"/>
      <c r="E593" s="17"/>
      <c r="F593" s="17"/>
      <c r="G593" s="4">
        <f>SUM($B593:$F593)</f>
        <v>0</v>
      </c>
      <c r="H593" s="17"/>
      <c r="I593" s="4">
        <f>$I592+$G593-$H593</f>
        <v>349526.07999999996</v>
      </c>
      <c r="J593" s="32" t="str">
        <f>IF($A594&lt;&gt;$A593,$I593,"")</f>
        <v/>
      </c>
      <c r="K593" s="79"/>
      <c r="L593" s="79"/>
      <c r="M593" s="2"/>
      <c r="N593" s="5"/>
      <c r="O593" s="3"/>
      <c r="P593" s="6"/>
      <c r="Q593" s="6"/>
    </row>
    <row r="594" spans="1:17" ht="15" customHeight="1" x14ac:dyDescent="0.25">
      <c r="A594" s="1"/>
      <c r="B594" s="17"/>
      <c r="C594" s="17"/>
      <c r="D594" s="17"/>
      <c r="E594" s="17"/>
      <c r="F594" s="17"/>
      <c r="G594" s="4">
        <f>SUM($B594:$F594)</f>
        <v>0</v>
      </c>
      <c r="H594" s="17"/>
      <c r="I594" s="4">
        <f>$I593+$G594-$H594</f>
        <v>349526.07999999996</v>
      </c>
      <c r="J594" s="32" t="str">
        <f>IF($A595&lt;&gt;$A594,$I594,"")</f>
        <v/>
      </c>
      <c r="K594" s="79"/>
      <c r="L594" s="79"/>
      <c r="M594" s="2"/>
      <c r="N594" s="5"/>
      <c r="O594" s="3"/>
      <c r="P594" s="6"/>
      <c r="Q594" s="6"/>
    </row>
    <row r="595" spans="1:17" ht="15" customHeight="1" x14ac:dyDescent="0.25">
      <c r="A595" s="1"/>
      <c r="B595" s="17"/>
      <c r="C595" s="17"/>
      <c r="D595" s="17"/>
      <c r="E595" s="17"/>
      <c r="F595" s="17"/>
      <c r="G595" s="4">
        <f>SUM($B595:$F595)</f>
        <v>0</v>
      </c>
      <c r="H595" s="17"/>
      <c r="I595" s="4">
        <f>$I594+$G595-$H595</f>
        <v>349526.07999999996</v>
      </c>
      <c r="J595" s="32" t="str">
        <f>IF($A596&lt;&gt;$A595,$I595,"")</f>
        <v/>
      </c>
      <c r="K595" s="79"/>
      <c r="L595" s="79"/>
      <c r="M595" s="2"/>
      <c r="N595" s="5"/>
      <c r="O595" s="3"/>
      <c r="P595" s="6"/>
      <c r="Q595" s="6"/>
    </row>
    <row r="596" spans="1:17" ht="15" customHeight="1" x14ac:dyDescent="0.25">
      <c r="A596" s="1"/>
      <c r="B596" s="17"/>
      <c r="C596" s="17"/>
      <c r="D596" s="17"/>
      <c r="E596" s="17"/>
      <c r="F596" s="17"/>
      <c r="G596" s="4">
        <f>SUM($B596:$F596)</f>
        <v>0</v>
      </c>
      <c r="H596" s="17"/>
      <c r="I596" s="4">
        <f>$I595+$G596-$H596</f>
        <v>349526.07999999996</v>
      </c>
      <c r="J596" s="32" t="str">
        <f>IF($A597&lt;&gt;$A596,$I596,"")</f>
        <v/>
      </c>
      <c r="K596" s="79"/>
      <c r="L596" s="79"/>
      <c r="M596" s="2"/>
      <c r="N596" s="5"/>
      <c r="O596" s="3"/>
      <c r="P596" s="6"/>
      <c r="Q596" s="6"/>
    </row>
    <row r="597" spans="1:17" ht="15" customHeight="1" x14ac:dyDescent="0.25">
      <c r="A597" s="1"/>
      <c r="B597" s="17"/>
      <c r="C597" s="17"/>
      <c r="D597" s="17"/>
      <c r="E597" s="17"/>
      <c r="F597" s="17"/>
      <c r="G597" s="4">
        <f>SUM($B597:$F597)</f>
        <v>0</v>
      </c>
      <c r="H597" s="17"/>
      <c r="I597" s="4">
        <f>$I596+$G597-$H597</f>
        <v>349526.07999999996</v>
      </c>
      <c r="J597" s="32" t="str">
        <f>IF($A598&lt;&gt;$A597,$I597,"")</f>
        <v/>
      </c>
      <c r="K597" s="79"/>
      <c r="L597" s="79"/>
      <c r="M597" s="2"/>
      <c r="N597" s="5"/>
      <c r="O597" s="3"/>
      <c r="P597" s="6"/>
      <c r="Q597" s="6"/>
    </row>
    <row r="598" spans="1:17" ht="15" customHeight="1" x14ac:dyDescent="0.25">
      <c r="A598" s="1"/>
      <c r="B598" s="17"/>
      <c r="C598" s="17"/>
      <c r="D598" s="17"/>
      <c r="E598" s="17"/>
      <c r="F598" s="17"/>
      <c r="G598" s="4">
        <f>SUM($B598:$F598)</f>
        <v>0</v>
      </c>
      <c r="H598" s="17"/>
      <c r="I598" s="4">
        <f>$I597+$G598-$H598</f>
        <v>349526.07999999996</v>
      </c>
      <c r="J598" s="32" t="str">
        <f>IF($A599&lt;&gt;$A598,$I598,"")</f>
        <v/>
      </c>
      <c r="K598" s="79"/>
      <c r="L598" s="79"/>
      <c r="M598" s="2"/>
      <c r="N598" s="5"/>
      <c r="O598" s="3"/>
      <c r="P598" s="6"/>
      <c r="Q598" s="6"/>
    </row>
    <row r="599" spans="1:17" ht="15" customHeight="1" x14ac:dyDescent="0.25">
      <c r="A599" s="1"/>
      <c r="B599" s="17"/>
      <c r="C599" s="17"/>
      <c r="D599" s="17"/>
      <c r="E599" s="17"/>
      <c r="F599" s="17"/>
      <c r="G599" s="4">
        <f>SUM($B599:$F599)</f>
        <v>0</v>
      </c>
      <c r="H599" s="17"/>
      <c r="I599" s="4">
        <f>$I598+$G599-$H599</f>
        <v>349526.07999999996</v>
      </c>
      <c r="J599" s="32" t="str">
        <f>IF($A600&lt;&gt;$A599,$I599,"")</f>
        <v/>
      </c>
      <c r="K599" s="79"/>
      <c r="L599" s="79"/>
      <c r="M599" s="2"/>
      <c r="N599" s="5"/>
      <c r="O599" s="3"/>
      <c r="P599" s="6"/>
      <c r="Q599" s="6"/>
    </row>
    <row r="600" spans="1:17" ht="15" customHeight="1" x14ac:dyDescent="0.25">
      <c r="A600" s="1"/>
      <c r="B600" s="17"/>
      <c r="C600" s="17"/>
      <c r="D600" s="17"/>
      <c r="E600" s="17"/>
      <c r="F600" s="17"/>
      <c r="G600" s="4">
        <f>SUM($B600:$F600)</f>
        <v>0</v>
      </c>
      <c r="H600" s="17"/>
      <c r="I600" s="4">
        <f>$I599+$G600-$H600</f>
        <v>349526.07999999996</v>
      </c>
      <c r="J600" s="32" t="str">
        <f>IF($A601&lt;&gt;$A600,$I600,"")</f>
        <v/>
      </c>
      <c r="K600" s="79"/>
      <c r="L600" s="79"/>
      <c r="M600" s="2"/>
      <c r="N600" s="5"/>
      <c r="O600" s="3"/>
      <c r="P600" s="6"/>
      <c r="Q600" s="6"/>
    </row>
    <row r="601" spans="1:17" ht="15" customHeight="1" x14ac:dyDescent="0.25">
      <c r="A601" s="1"/>
      <c r="B601" s="17"/>
      <c r="C601" s="17"/>
      <c r="D601" s="17"/>
      <c r="E601" s="17"/>
      <c r="F601" s="17"/>
      <c r="G601" s="4">
        <f>SUM($B601:$F601)</f>
        <v>0</v>
      </c>
      <c r="H601" s="17"/>
      <c r="I601" s="4">
        <f>$I600+$G601-$H601</f>
        <v>349526.07999999996</v>
      </c>
      <c r="J601" s="32" t="str">
        <f>IF($A602&lt;&gt;$A601,$I601,"")</f>
        <v/>
      </c>
      <c r="K601" s="79"/>
      <c r="L601" s="79"/>
      <c r="M601" s="2"/>
      <c r="N601" s="5"/>
      <c r="O601" s="3"/>
      <c r="P601" s="6"/>
      <c r="Q601" s="6"/>
    </row>
    <row r="602" spans="1:17" ht="15" customHeight="1" x14ac:dyDescent="0.25">
      <c r="A602" s="1"/>
      <c r="B602" s="17"/>
      <c r="C602" s="17"/>
      <c r="D602" s="17"/>
      <c r="E602" s="17"/>
      <c r="F602" s="17"/>
      <c r="G602" s="4">
        <f>SUM($B602:$F602)</f>
        <v>0</v>
      </c>
      <c r="H602" s="17"/>
      <c r="I602" s="4">
        <f>$I601+$G602-$H602</f>
        <v>349526.07999999996</v>
      </c>
      <c r="J602" s="32" t="str">
        <f>IF($A603&lt;&gt;$A602,$I602,"")</f>
        <v/>
      </c>
      <c r="K602" s="79"/>
      <c r="L602" s="79"/>
      <c r="M602" s="2"/>
      <c r="N602" s="5"/>
      <c r="O602" s="3"/>
      <c r="P602" s="6"/>
      <c r="Q602" s="6"/>
    </row>
    <row r="603" spans="1:17" ht="15" customHeight="1" x14ac:dyDescent="0.25">
      <c r="A603" s="1"/>
      <c r="B603" s="17"/>
      <c r="C603" s="17"/>
      <c r="D603" s="17"/>
      <c r="E603" s="17"/>
      <c r="F603" s="17"/>
      <c r="G603" s="4">
        <f>SUM($B603:$F603)</f>
        <v>0</v>
      </c>
      <c r="H603" s="17"/>
      <c r="I603" s="4">
        <f>$I602+$G603-$H603</f>
        <v>349526.07999999996</v>
      </c>
      <c r="J603" s="32" t="str">
        <f>IF($A604&lt;&gt;$A603,$I603,"")</f>
        <v/>
      </c>
      <c r="K603" s="79"/>
      <c r="L603" s="79"/>
      <c r="M603" s="2"/>
      <c r="N603" s="5"/>
      <c r="O603" s="3"/>
      <c r="P603" s="6"/>
      <c r="Q603" s="6"/>
    </row>
    <row r="604" spans="1:17" ht="15" customHeight="1" x14ac:dyDescent="0.25">
      <c r="A604" s="1"/>
      <c r="B604" s="17"/>
      <c r="C604" s="17"/>
      <c r="D604" s="17"/>
      <c r="E604" s="17"/>
      <c r="F604" s="17"/>
      <c r="G604" s="4">
        <f>SUM($B604:$F604)</f>
        <v>0</v>
      </c>
      <c r="H604" s="17"/>
      <c r="I604" s="4">
        <f>$I603+$G604-$H604</f>
        <v>349526.07999999996</v>
      </c>
      <c r="J604" s="32" t="str">
        <f>IF($A605&lt;&gt;$A604,$I604,"")</f>
        <v/>
      </c>
      <c r="K604" s="79"/>
      <c r="L604" s="79"/>
      <c r="M604" s="2"/>
      <c r="N604" s="5"/>
      <c r="O604" s="3"/>
      <c r="P604" s="6"/>
      <c r="Q604" s="6"/>
    </row>
    <row r="605" spans="1:17" ht="15" customHeight="1" x14ac:dyDescent="0.25">
      <c r="A605" s="1"/>
      <c r="B605" s="17"/>
      <c r="C605" s="17"/>
      <c r="D605" s="17"/>
      <c r="E605" s="17"/>
      <c r="F605" s="17"/>
      <c r="G605" s="4">
        <f>SUM($B605:$F605)</f>
        <v>0</v>
      </c>
      <c r="H605" s="17"/>
      <c r="I605" s="4">
        <f>$I604+$G605-$H605</f>
        <v>349526.07999999996</v>
      </c>
      <c r="J605" s="32" t="str">
        <f>IF($A606&lt;&gt;$A605,$I605,"")</f>
        <v/>
      </c>
      <c r="K605" s="79"/>
      <c r="L605" s="79"/>
      <c r="M605" s="2"/>
      <c r="N605" s="5"/>
      <c r="O605" s="3"/>
      <c r="P605" s="6"/>
      <c r="Q605" s="6"/>
    </row>
    <row r="606" spans="1:17" ht="15" customHeight="1" x14ac:dyDescent="0.25">
      <c r="A606" s="1"/>
      <c r="B606" s="17"/>
      <c r="C606" s="17"/>
      <c r="D606" s="17"/>
      <c r="E606" s="17"/>
      <c r="F606" s="17"/>
      <c r="G606" s="4">
        <f>SUM($B606:$F606)</f>
        <v>0</v>
      </c>
      <c r="H606" s="17"/>
      <c r="I606" s="4">
        <f>$I605+$G606-$H606</f>
        <v>349526.07999999996</v>
      </c>
      <c r="J606" s="32" t="str">
        <f>IF($A607&lt;&gt;$A606,$I606,"")</f>
        <v/>
      </c>
      <c r="K606" s="79"/>
      <c r="L606" s="79"/>
      <c r="M606" s="2"/>
      <c r="N606" s="5"/>
      <c r="O606" s="3"/>
      <c r="P606" s="6"/>
      <c r="Q606" s="6"/>
    </row>
    <row r="607" spans="1:17" ht="15" customHeight="1" x14ac:dyDescent="0.25">
      <c r="A607" s="1"/>
      <c r="B607" s="17"/>
      <c r="C607" s="17"/>
      <c r="D607" s="17"/>
      <c r="E607" s="17"/>
      <c r="F607" s="17"/>
      <c r="G607" s="4">
        <f>SUM($B607:$F607)</f>
        <v>0</v>
      </c>
      <c r="H607" s="17"/>
      <c r="I607" s="4">
        <f>$I606+$G607-$H607</f>
        <v>349526.07999999996</v>
      </c>
      <c r="J607" s="32" t="str">
        <f>IF($A608&lt;&gt;$A607,$I607,"")</f>
        <v/>
      </c>
      <c r="K607" s="79"/>
      <c r="L607" s="79"/>
      <c r="M607" s="2"/>
      <c r="N607" s="5"/>
      <c r="O607" s="3"/>
      <c r="P607" s="6"/>
      <c r="Q607" s="6"/>
    </row>
    <row r="608" spans="1:17" ht="15" customHeight="1" x14ac:dyDescent="0.25">
      <c r="A608" s="1"/>
      <c r="B608" s="17"/>
      <c r="C608" s="17"/>
      <c r="D608" s="17"/>
      <c r="E608" s="17"/>
      <c r="F608" s="17"/>
      <c r="G608" s="4">
        <f>SUM($B608:$F608)</f>
        <v>0</v>
      </c>
      <c r="H608" s="17"/>
      <c r="I608" s="4">
        <f>$I607+$G608-$H608</f>
        <v>349526.07999999996</v>
      </c>
      <c r="J608" s="32" t="str">
        <f>IF($A609&lt;&gt;$A608,$I608,"")</f>
        <v/>
      </c>
      <c r="K608" s="79"/>
      <c r="L608" s="79"/>
      <c r="M608" s="2"/>
      <c r="N608" s="5"/>
      <c r="O608" s="3"/>
      <c r="P608" s="6"/>
      <c r="Q608" s="6"/>
    </row>
    <row r="609" spans="1:17" ht="15" customHeight="1" x14ac:dyDescent="0.25">
      <c r="A609" s="1"/>
      <c r="B609" s="17"/>
      <c r="C609" s="17"/>
      <c r="D609" s="17"/>
      <c r="E609" s="17"/>
      <c r="F609" s="17"/>
      <c r="G609" s="4">
        <f>SUM($B609:$F609)</f>
        <v>0</v>
      </c>
      <c r="H609" s="17"/>
      <c r="I609" s="4">
        <f>$I608+$G609-$H609</f>
        <v>349526.07999999996</v>
      </c>
      <c r="J609" s="32" t="str">
        <f>IF($A610&lt;&gt;$A609,$I609,"")</f>
        <v/>
      </c>
      <c r="K609" s="79"/>
      <c r="L609" s="79"/>
      <c r="M609" s="2"/>
      <c r="N609" s="5"/>
      <c r="O609" s="3"/>
      <c r="P609" s="6"/>
      <c r="Q609" s="6"/>
    </row>
    <row r="610" spans="1:17" ht="15" customHeight="1" x14ac:dyDescent="0.25">
      <c r="A610" s="1"/>
      <c r="B610" s="17"/>
      <c r="C610" s="17"/>
      <c r="D610" s="17"/>
      <c r="E610" s="17"/>
      <c r="F610" s="17"/>
      <c r="G610" s="4">
        <f>SUM($B610:$F610)</f>
        <v>0</v>
      </c>
      <c r="H610" s="17"/>
      <c r="I610" s="4">
        <f>$I609+$G610-$H610</f>
        <v>349526.07999999996</v>
      </c>
      <c r="J610" s="32" t="str">
        <f>IF($A611&lt;&gt;$A610,$I610,"")</f>
        <v/>
      </c>
      <c r="K610" s="79"/>
      <c r="L610" s="79"/>
      <c r="M610" s="2"/>
      <c r="N610" s="5"/>
      <c r="O610" s="3"/>
      <c r="P610" s="6"/>
      <c r="Q610" s="6"/>
    </row>
    <row r="611" spans="1:17" ht="15" customHeight="1" x14ac:dyDescent="0.25">
      <c r="A611" s="1"/>
      <c r="B611" s="17"/>
      <c r="C611" s="17"/>
      <c r="D611" s="17"/>
      <c r="E611" s="17"/>
      <c r="F611" s="17"/>
      <c r="G611" s="4">
        <f>SUM($B611:$F611)</f>
        <v>0</v>
      </c>
      <c r="H611" s="17"/>
      <c r="I611" s="4">
        <f>$I610+$G611-$H611</f>
        <v>349526.07999999996</v>
      </c>
      <c r="J611" s="32" t="str">
        <f>IF($A612&lt;&gt;$A611,$I611,"")</f>
        <v/>
      </c>
      <c r="K611" s="79"/>
      <c r="L611" s="79"/>
      <c r="M611" s="2"/>
      <c r="N611" s="5"/>
      <c r="O611" s="3"/>
      <c r="P611" s="6"/>
      <c r="Q611" s="6"/>
    </row>
    <row r="612" spans="1:17" ht="15" customHeight="1" x14ac:dyDescent="0.25">
      <c r="A612" s="1"/>
      <c r="B612" s="17"/>
      <c r="C612" s="17"/>
      <c r="D612" s="17"/>
      <c r="E612" s="17"/>
      <c r="F612" s="17"/>
      <c r="G612" s="4">
        <f>SUM($B612:$F612)</f>
        <v>0</v>
      </c>
      <c r="H612" s="17"/>
      <c r="I612" s="4">
        <f>$I611+$G612-$H612</f>
        <v>349526.07999999996</v>
      </c>
      <c r="J612" s="32" t="str">
        <f>IF($A613&lt;&gt;$A612,$I612,"")</f>
        <v/>
      </c>
      <c r="K612" s="79"/>
      <c r="L612" s="79"/>
      <c r="M612" s="2"/>
      <c r="N612" s="5"/>
      <c r="O612" s="3"/>
      <c r="P612" s="6"/>
      <c r="Q612" s="6"/>
    </row>
    <row r="613" spans="1:17" ht="15" customHeight="1" x14ac:dyDescent="0.25">
      <c r="A613" s="1"/>
      <c r="B613" s="17"/>
      <c r="C613" s="17"/>
      <c r="D613" s="17"/>
      <c r="E613" s="17"/>
      <c r="F613" s="17"/>
      <c r="G613" s="4">
        <f>SUM($B613:$F613)</f>
        <v>0</v>
      </c>
      <c r="H613" s="17"/>
      <c r="I613" s="4">
        <f>$I612+$G613-$H613</f>
        <v>349526.07999999996</v>
      </c>
      <c r="J613" s="32" t="str">
        <f>IF($A614&lt;&gt;$A613,$I613,"")</f>
        <v/>
      </c>
      <c r="K613" s="79"/>
      <c r="L613" s="79"/>
      <c r="M613" s="2"/>
      <c r="N613" s="5"/>
      <c r="O613" s="3"/>
      <c r="P613" s="6"/>
      <c r="Q613" s="6"/>
    </row>
    <row r="614" spans="1:17" ht="15" customHeight="1" x14ac:dyDescent="0.25">
      <c r="A614" s="1"/>
      <c r="B614" s="17"/>
      <c r="C614" s="17"/>
      <c r="D614" s="17"/>
      <c r="E614" s="17"/>
      <c r="F614" s="17"/>
      <c r="G614" s="4">
        <f>SUM($B614:$F614)</f>
        <v>0</v>
      </c>
      <c r="H614" s="17"/>
      <c r="I614" s="4">
        <f>$I613+$G614-$H614</f>
        <v>349526.07999999996</v>
      </c>
      <c r="J614" s="32" t="str">
        <f>IF($A615&lt;&gt;$A614,$I614,"")</f>
        <v/>
      </c>
      <c r="K614" s="79"/>
      <c r="L614" s="79"/>
      <c r="M614" s="2"/>
      <c r="N614" s="5"/>
      <c r="O614" s="3"/>
      <c r="P614" s="6"/>
      <c r="Q614" s="6"/>
    </row>
    <row r="615" spans="1:17" ht="15" customHeight="1" x14ac:dyDescent="0.25">
      <c r="A615" s="1"/>
      <c r="B615" s="17"/>
      <c r="C615" s="17"/>
      <c r="D615" s="17"/>
      <c r="E615" s="17"/>
      <c r="F615" s="17"/>
      <c r="G615" s="4">
        <f>SUM($B615:$F615)</f>
        <v>0</v>
      </c>
      <c r="H615" s="17"/>
      <c r="I615" s="4">
        <f>$I614+$G615-$H615</f>
        <v>349526.07999999996</v>
      </c>
      <c r="J615" s="32" t="str">
        <f>IF($A616&lt;&gt;$A615,$I615,"")</f>
        <v/>
      </c>
      <c r="K615" s="79"/>
      <c r="L615" s="79"/>
      <c r="M615" s="2"/>
      <c r="N615" s="5"/>
      <c r="O615" s="3"/>
      <c r="P615" s="6"/>
      <c r="Q615" s="6"/>
    </row>
    <row r="616" spans="1:17" ht="15" customHeight="1" x14ac:dyDescent="0.25">
      <c r="A616" s="1"/>
      <c r="B616" s="17"/>
      <c r="C616" s="17"/>
      <c r="D616" s="17"/>
      <c r="E616" s="17"/>
      <c r="F616" s="17"/>
      <c r="G616" s="4">
        <f>SUM($B616:$F616)</f>
        <v>0</v>
      </c>
      <c r="H616" s="17"/>
      <c r="I616" s="4">
        <f>$I615+$G616-$H616</f>
        <v>349526.07999999996</v>
      </c>
      <c r="J616" s="32" t="str">
        <f>IF($A617&lt;&gt;$A616,$I616,"")</f>
        <v/>
      </c>
      <c r="K616" s="79"/>
      <c r="L616" s="79"/>
      <c r="M616" s="2"/>
      <c r="N616" s="5"/>
      <c r="O616" s="3"/>
      <c r="P616" s="6"/>
      <c r="Q616" s="6"/>
    </row>
    <row r="617" spans="1:17" ht="15" customHeight="1" x14ac:dyDescent="0.25">
      <c r="A617" s="1"/>
      <c r="B617" s="17"/>
      <c r="C617" s="17"/>
      <c r="D617" s="17"/>
      <c r="E617" s="17"/>
      <c r="F617" s="17"/>
      <c r="G617" s="4">
        <f>SUM($B617:$F617)</f>
        <v>0</v>
      </c>
      <c r="H617" s="17"/>
      <c r="I617" s="4">
        <f>$I616+$G617-$H617</f>
        <v>349526.07999999996</v>
      </c>
      <c r="J617" s="32" t="str">
        <f>IF($A618&lt;&gt;$A617,$I617,"")</f>
        <v/>
      </c>
      <c r="K617" s="79"/>
      <c r="L617" s="79"/>
      <c r="M617" s="2"/>
      <c r="N617" s="5"/>
      <c r="O617" s="3"/>
      <c r="P617" s="6"/>
      <c r="Q617" s="6"/>
    </row>
    <row r="618" spans="1:17" ht="15" customHeight="1" x14ac:dyDescent="0.25">
      <c r="A618" s="1"/>
      <c r="B618" s="17"/>
      <c r="C618" s="17"/>
      <c r="D618" s="17"/>
      <c r="E618" s="17"/>
      <c r="F618" s="17"/>
      <c r="G618" s="4">
        <f>SUM($B618:$F618)</f>
        <v>0</v>
      </c>
      <c r="H618" s="17"/>
      <c r="I618" s="4">
        <f>$I617+$G618-$H618</f>
        <v>349526.07999999996</v>
      </c>
      <c r="J618" s="32" t="str">
        <f>IF($A619&lt;&gt;$A618,$I618,"")</f>
        <v/>
      </c>
      <c r="K618" s="79"/>
      <c r="L618" s="79"/>
      <c r="M618" s="2"/>
      <c r="N618" s="5"/>
      <c r="O618" s="3"/>
      <c r="P618" s="6"/>
      <c r="Q618" s="6"/>
    </row>
    <row r="619" spans="1:17" ht="15" customHeight="1" x14ac:dyDescent="0.25">
      <c r="A619" s="1"/>
      <c r="B619" s="17"/>
      <c r="C619" s="17"/>
      <c r="D619" s="17"/>
      <c r="E619" s="17"/>
      <c r="F619" s="17"/>
      <c r="G619" s="4">
        <f>SUM($B619:$F619)</f>
        <v>0</v>
      </c>
      <c r="H619" s="17"/>
      <c r="I619" s="4">
        <f>$I618+$G619-$H619</f>
        <v>349526.07999999996</v>
      </c>
      <c r="J619" s="32" t="str">
        <f>IF($A620&lt;&gt;$A619,$I619,"")</f>
        <v/>
      </c>
      <c r="K619" s="79"/>
      <c r="L619" s="79"/>
      <c r="M619" s="2"/>
      <c r="N619" s="5"/>
      <c r="O619" s="3"/>
      <c r="P619" s="6"/>
      <c r="Q619" s="6"/>
    </row>
    <row r="620" spans="1:17" ht="15" customHeight="1" x14ac:dyDescent="0.25">
      <c r="A620" s="1"/>
      <c r="B620" s="17"/>
      <c r="C620" s="17"/>
      <c r="D620" s="17"/>
      <c r="E620" s="17"/>
      <c r="F620" s="17"/>
      <c r="G620" s="4">
        <f>SUM($B620:$F620)</f>
        <v>0</v>
      </c>
      <c r="H620" s="17"/>
      <c r="I620" s="4">
        <f>$I619+$G620-$H620</f>
        <v>349526.07999999996</v>
      </c>
      <c r="J620" s="32" t="str">
        <f>IF($A621&lt;&gt;$A620,$I620,"")</f>
        <v/>
      </c>
      <c r="K620" s="79"/>
      <c r="L620" s="79"/>
      <c r="M620" s="2"/>
      <c r="N620" s="5"/>
      <c r="O620" s="3"/>
      <c r="P620" s="6"/>
      <c r="Q620" s="6"/>
    </row>
    <row r="621" spans="1:17" ht="15" customHeight="1" x14ac:dyDescent="0.25">
      <c r="A621" s="1"/>
      <c r="B621" s="17"/>
      <c r="C621" s="17"/>
      <c r="D621" s="17"/>
      <c r="E621" s="17"/>
      <c r="F621" s="17"/>
      <c r="G621" s="4">
        <f>SUM($B621:$F621)</f>
        <v>0</v>
      </c>
      <c r="H621" s="17"/>
      <c r="I621" s="4">
        <f>$I620+$G621-$H621</f>
        <v>349526.07999999996</v>
      </c>
      <c r="J621" s="32" t="str">
        <f>IF($A622&lt;&gt;$A621,$I621,"")</f>
        <v/>
      </c>
      <c r="K621" s="79"/>
      <c r="L621" s="79"/>
      <c r="M621" s="2"/>
      <c r="N621" s="5"/>
      <c r="O621" s="3"/>
      <c r="P621" s="6"/>
      <c r="Q621" s="6"/>
    </row>
    <row r="622" spans="1:17" ht="15" customHeight="1" x14ac:dyDescent="0.25">
      <c r="A622" s="1"/>
      <c r="B622" s="17"/>
      <c r="C622" s="17"/>
      <c r="D622" s="17"/>
      <c r="E622" s="17"/>
      <c r="F622" s="17"/>
      <c r="G622" s="4">
        <f>SUM($B622:$F622)</f>
        <v>0</v>
      </c>
      <c r="H622" s="17"/>
      <c r="I622" s="4">
        <f>$I621+$G622-$H622</f>
        <v>349526.07999999996</v>
      </c>
      <c r="J622" s="32" t="str">
        <f>IF($A623&lt;&gt;$A622,$I622,"")</f>
        <v/>
      </c>
      <c r="K622" s="79"/>
      <c r="L622" s="79"/>
      <c r="M622" s="2"/>
      <c r="N622" s="5"/>
      <c r="O622" s="3"/>
      <c r="P622" s="6"/>
      <c r="Q622" s="6"/>
    </row>
    <row r="623" spans="1:17" ht="15" customHeight="1" x14ac:dyDescent="0.25">
      <c r="A623" s="1"/>
      <c r="B623" s="17"/>
      <c r="C623" s="17"/>
      <c r="D623" s="17"/>
      <c r="E623" s="17"/>
      <c r="F623" s="17"/>
      <c r="G623" s="4">
        <f>SUM($B623:$F623)</f>
        <v>0</v>
      </c>
      <c r="H623" s="17"/>
      <c r="I623" s="4">
        <f>$I622+$G623-$H623</f>
        <v>349526.07999999996</v>
      </c>
      <c r="J623" s="32" t="str">
        <f>IF($A624&lt;&gt;$A623,$I623,"")</f>
        <v/>
      </c>
      <c r="K623" s="79"/>
      <c r="L623" s="79"/>
      <c r="M623" s="2"/>
      <c r="N623" s="5"/>
      <c r="O623" s="3"/>
      <c r="P623" s="6"/>
      <c r="Q623" s="6"/>
    </row>
    <row r="624" spans="1:17" ht="15" customHeight="1" x14ac:dyDescent="0.25">
      <c r="A624" s="1"/>
      <c r="B624" s="17"/>
      <c r="C624" s="17"/>
      <c r="D624" s="17"/>
      <c r="E624" s="17"/>
      <c r="F624" s="17"/>
      <c r="G624" s="4">
        <f>SUM($B624:$F624)</f>
        <v>0</v>
      </c>
      <c r="H624" s="17"/>
      <c r="I624" s="4">
        <f>$I623+$G624-$H624</f>
        <v>349526.07999999996</v>
      </c>
      <c r="J624" s="32" t="str">
        <f>IF($A625&lt;&gt;$A624,$I624,"")</f>
        <v/>
      </c>
      <c r="K624" s="79"/>
      <c r="L624" s="79"/>
      <c r="M624" s="2"/>
      <c r="N624" s="5"/>
      <c r="O624" s="3"/>
      <c r="P624" s="6"/>
      <c r="Q624" s="6"/>
    </row>
    <row r="625" spans="1:17" ht="15" customHeight="1" x14ac:dyDescent="0.25">
      <c r="A625" s="1"/>
      <c r="B625" s="17"/>
      <c r="C625" s="17"/>
      <c r="D625" s="17"/>
      <c r="E625" s="17"/>
      <c r="F625" s="17"/>
      <c r="G625" s="4">
        <f>SUM($B625:$F625)</f>
        <v>0</v>
      </c>
      <c r="H625" s="17"/>
      <c r="I625" s="4">
        <f>$I624+$G625-$H625</f>
        <v>349526.07999999996</v>
      </c>
      <c r="J625" s="32" t="str">
        <f>IF($A626&lt;&gt;$A625,$I625,"")</f>
        <v/>
      </c>
      <c r="K625" s="79"/>
      <c r="L625" s="79"/>
      <c r="M625" s="2"/>
      <c r="N625" s="5"/>
      <c r="O625" s="3"/>
      <c r="P625" s="6"/>
      <c r="Q625" s="6"/>
    </row>
    <row r="626" spans="1:17" ht="15" customHeight="1" x14ac:dyDescent="0.25">
      <c r="A626" s="1"/>
      <c r="B626" s="17"/>
      <c r="C626" s="17"/>
      <c r="D626" s="17"/>
      <c r="E626" s="17"/>
      <c r="F626" s="17"/>
      <c r="G626" s="4">
        <f>SUM($B626:$F626)</f>
        <v>0</v>
      </c>
      <c r="H626" s="17"/>
      <c r="I626" s="4">
        <f>$I625+$G626-$H626</f>
        <v>349526.07999999996</v>
      </c>
      <c r="J626" s="32" t="str">
        <f>IF($A627&lt;&gt;$A626,$I626,"")</f>
        <v/>
      </c>
      <c r="K626" s="79"/>
      <c r="L626" s="79"/>
      <c r="M626" s="2"/>
      <c r="N626" s="5"/>
      <c r="O626" s="3"/>
      <c r="P626" s="6"/>
      <c r="Q626" s="6"/>
    </row>
    <row r="627" spans="1:17" ht="15" customHeight="1" x14ac:dyDescent="0.25">
      <c r="A627" s="1"/>
      <c r="B627" s="17"/>
      <c r="C627" s="17"/>
      <c r="D627" s="17"/>
      <c r="E627" s="17"/>
      <c r="F627" s="17"/>
      <c r="G627" s="4">
        <f>SUM($B627:$F627)</f>
        <v>0</v>
      </c>
      <c r="H627" s="17"/>
      <c r="I627" s="4">
        <f>$I626+$G627-$H627</f>
        <v>349526.07999999996</v>
      </c>
      <c r="J627" s="32" t="str">
        <f>IF($A628&lt;&gt;$A627,$I627,"")</f>
        <v/>
      </c>
      <c r="K627" s="79"/>
      <c r="L627" s="79"/>
      <c r="M627" s="2"/>
      <c r="N627" s="5"/>
      <c r="O627" s="3"/>
      <c r="P627" s="6"/>
      <c r="Q627" s="6"/>
    </row>
    <row r="628" spans="1:17" ht="15" customHeight="1" x14ac:dyDescent="0.25">
      <c r="A628" s="1"/>
      <c r="B628" s="17"/>
      <c r="C628" s="17"/>
      <c r="D628" s="17"/>
      <c r="E628" s="17"/>
      <c r="F628" s="17"/>
      <c r="G628" s="4">
        <f>SUM($B628:$F628)</f>
        <v>0</v>
      </c>
      <c r="H628" s="17"/>
      <c r="I628" s="4">
        <f>$I627+$G628-$H628</f>
        <v>349526.07999999996</v>
      </c>
      <c r="J628" s="32" t="str">
        <f>IF($A629&lt;&gt;$A628,$I628,"")</f>
        <v/>
      </c>
      <c r="K628" s="79"/>
      <c r="L628" s="79"/>
      <c r="M628" s="2"/>
      <c r="N628" s="5"/>
      <c r="O628" s="3"/>
      <c r="P628" s="6"/>
      <c r="Q628" s="6"/>
    </row>
    <row r="629" spans="1:17" ht="15" customHeight="1" x14ac:dyDescent="0.25">
      <c r="A629" s="1"/>
      <c r="B629" s="17"/>
      <c r="C629" s="17"/>
      <c r="D629" s="17"/>
      <c r="E629" s="17"/>
      <c r="F629" s="17"/>
      <c r="G629" s="4">
        <f>SUM($B629:$F629)</f>
        <v>0</v>
      </c>
      <c r="H629" s="17"/>
      <c r="I629" s="4">
        <f>$I628+$G629-$H629</f>
        <v>349526.07999999996</v>
      </c>
      <c r="J629" s="32" t="str">
        <f>IF($A630&lt;&gt;$A629,$I629,"")</f>
        <v/>
      </c>
      <c r="K629" s="79"/>
      <c r="L629" s="79"/>
      <c r="M629" s="2"/>
      <c r="N629" s="5"/>
      <c r="O629" s="3"/>
      <c r="P629" s="6"/>
      <c r="Q629" s="6"/>
    </row>
    <row r="630" spans="1:17" ht="15" customHeight="1" x14ac:dyDescent="0.25">
      <c r="A630" s="1"/>
      <c r="B630" s="17"/>
      <c r="C630" s="17"/>
      <c r="D630" s="17"/>
      <c r="E630" s="17"/>
      <c r="F630" s="17"/>
      <c r="G630" s="4">
        <f>SUM($B630:$F630)</f>
        <v>0</v>
      </c>
      <c r="H630" s="17"/>
      <c r="I630" s="4">
        <f>$I629+$G630-$H630</f>
        <v>349526.07999999996</v>
      </c>
      <c r="J630" s="32" t="str">
        <f>IF($A631&lt;&gt;$A630,$I630,"")</f>
        <v/>
      </c>
      <c r="K630" s="79"/>
      <c r="L630" s="79"/>
      <c r="M630" s="2"/>
      <c r="N630" s="5"/>
      <c r="O630" s="3"/>
      <c r="P630" s="6"/>
      <c r="Q630" s="6"/>
    </row>
    <row r="631" spans="1:17" ht="15" customHeight="1" x14ac:dyDescent="0.25">
      <c r="A631" s="1"/>
      <c r="B631" s="17"/>
      <c r="C631" s="17"/>
      <c r="D631" s="17"/>
      <c r="E631" s="17"/>
      <c r="F631" s="17"/>
      <c r="G631" s="4">
        <f>SUM($B631:$F631)</f>
        <v>0</v>
      </c>
      <c r="H631" s="17"/>
      <c r="I631" s="4">
        <f>$I630+$G631-$H631</f>
        <v>349526.07999999996</v>
      </c>
      <c r="J631" s="32" t="str">
        <f>IF($A632&lt;&gt;$A631,$I631,"")</f>
        <v/>
      </c>
      <c r="K631" s="79"/>
      <c r="L631" s="79"/>
      <c r="M631" s="2"/>
      <c r="N631" s="5"/>
      <c r="O631" s="3"/>
      <c r="P631" s="6"/>
      <c r="Q631" s="6"/>
    </row>
    <row r="632" spans="1:17" ht="15" customHeight="1" x14ac:dyDescent="0.25">
      <c r="A632" s="1"/>
      <c r="B632" s="17"/>
      <c r="C632" s="17"/>
      <c r="D632" s="17"/>
      <c r="E632" s="17"/>
      <c r="F632" s="17"/>
      <c r="G632" s="4">
        <f>SUM($B632:$F632)</f>
        <v>0</v>
      </c>
      <c r="H632" s="17"/>
      <c r="I632" s="4">
        <f>$I631+$G632-$H632</f>
        <v>349526.07999999996</v>
      </c>
      <c r="J632" s="32" t="str">
        <f>IF($A633&lt;&gt;$A632,$I632,"")</f>
        <v/>
      </c>
      <c r="K632" s="79"/>
      <c r="L632" s="79"/>
      <c r="M632" s="2"/>
      <c r="N632" s="5"/>
      <c r="O632" s="3"/>
      <c r="P632" s="6"/>
      <c r="Q632" s="6"/>
    </row>
    <row r="633" spans="1:17" ht="15" customHeight="1" x14ac:dyDescent="0.25">
      <c r="A633" s="1"/>
      <c r="B633" s="17"/>
      <c r="C633" s="17"/>
      <c r="D633" s="17"/>
      <c r="E633" s="17"/>
      <c r="F633" s="17"/>
      <c r="G633" s="4">
        <f>SUM($B633:$F633)</f>
        <v>0</v>
      </c>
      <c r="H633" s="17"/>
      <c r="I633" s="4">
        <f>$I632+$G633-$H633</f>
        <v>349526.07999999996</v>
      </c>
      <c r="J633" s="32" t="str">
        <f>IF($A634&lt;&gt;$A633,$I633,"")</f>
        <v/>
      </c>
      <c r="K633" s="79"/>
      <c r="L633" s="79"/>
      <c r="M633" s="2"/>
      <c r="N633" s="5"/>
      <c r="O633" s="3"/>
      <c r="P633" s="6"/>
      <c r="Q633" s="6"/>
    </row>
    <row r="634" spans="1:17" ht="15" customHeight="1" x14ac:dyDescent="0.25">
      <c r="A634" s="1"/>
      <c r="B634" s="17"/>
      <c r="C634" s="17"/>
      <c r="D634" s="17"/>
      <c r="E634" s="17"/>
      <c r="F634" s="17"/>
      <c r="G634" s="4">
        <f>SUM($B634:$F634)</f>
        <v>0</v>
      </c>
      <c r="H634" s="17"/>
      <c r="I634" s="4">
        <f>$I633+$G634-$H634</f>
        <v>349526.07999999996</v>
      </c>
      <c r="J634" s="32" t="str">
        <f>IF($A635&lt;&gt;$A634,$I634,"")</f>
        <v/>
      </c>
      <c r="K634" s="79"/>
      <c r="L634" s="79"/>
      <c r="M634" s="2"/>
      <c r="N634" s="5"/>
      <c r="O634" s="3"/>
      <c r="P634" s="6"/>
      <c r="Q634" s="6"/>
    </row>
    <row r="635" spans="1:17" ht="15" customHeight="1" x14ac:dyDescent="0.25">
      <c r="A635" s="1"/>
      <c r="B635" s="17"/>
      <c r="C635" s="17"/>
      <c r="D635" s="17"/>
      <c r="E635" s="17"/>
      <c r="F635" s="17"/>
      <c r="G635" s="4">
        <f>SUM($B635:$F635)</f>
        <v>0</v>
      </c>
      <c r="H635" s="17"/>
      <c r="I635" s="4">
        <f>$I634+$G635-$H635</f>
        <v>349526.07999999996</v>
      </c>
      <c r="J635" s="32" t="str">
        <f>IF($A636&lt;&gt;$A635,$I635,"")</f>
        <v/>
      </c>
      <c r="K635" s="79"/>
      <c r="L635" s="79"/>
      <c r="M635" s="2"/>
      <c r="N635" s="5"/>
      <c r="O635" s="3"/>
      <c r="P635" s="6"/>
      <c r="Q635" s="6"/>
    </row>
    <row r="636" spans="1:17" ht="15" customHeight="1" x14ac:dyDescent="0.25">
      <c r="A636" s="1"/>
      <c r="B636" s="17"/>
      <c r="C636" s="17"/>
      <c r="D636" s="17"/>
      <c r="E636" s="17"/>
      <c r="F636" s="17"/>
      <c r="G636" s="4">
        <f>SUM($B636:$F636)</f>
        <v>0</v>
      </c>
      <c r="H636" s="17"/>
      <c r="I636" s="4">
        <f>$I635+$G636-$H636</f>
        <v>349526.07999999996</v>
      </c>
      <c r="J636" s="32" t="str">
        <f>IF($A637&lt;&gt;$A636,$I636,"")</f>
        <v/>
      </c>
      <c r="K636" s="79"/>
      <c r="L636" s="79"/>
      <c r="M636" s="2"/>
      <c r="N636" s="5"/>
      <c r="O636" s="3"/>
      <c r="P636" s="6"/>
      <c r="Q636" s="6"/>
    </row>
    <row r="637" spans="1:17" ht="15" customHeight="1" x14ac:dyDescent="0.25">
      <c r="A637" s="1"/>
      <c r="B637" s="17"/>
      <c r="C637" s="17"/>
      <c r="D637" s="17"/>
      <c r="E637" s="17"/>
      <c r="F637" s="17"/>
      <c r="G637" s="4">
        <f>SUM($B637:$F637)</f>
        <v>0</v>
      </c>
      <c r="H637" s="17"/>
      <c r="I637" s="4">
        <f>$I636+$G637-$H637</f>
        <v>349526.07999999996</v>
      </c>
      <c r="J637" s="32" t="str">
        <f>IF($A638&lt;&gt;$A637,$I637,"")</f>
        <v/>
      </c>
      <c r="K637" s="79"/>
      <c r="L637" s="79"/>
      <c r="M637" s="2"/>
      <c r="N637" s="5"/>
      <c r="O637" s="3"/>
      <c r="P637" s="6"/>
      <c r="Q637" s="6"/>
    </row>
    <row r="638" spans="1:17" ht="15" customHeight="1" x14ac:dyDescent="0.25">
      <c r="A638" s="1"/>
      <c r="B638" s="17"/>
      <c r="C638" s="17"/>
      <c r="D638" s="17"/>
      <c r="E638" s="17"/>
      <c r="F638" s="17"/>
      <c r="G638" s="4">
        <f>SUM($B638:$F638)</f>
        <v>0</v>
      </c>
      <c r="H638" s="17"/>
      <c r="I638" s="4">
        <f>$I637+$G638-$H638</f>
        <v>349526.07999999996</v>
      </c>
      <c r="J638" s="32" t="str">
        <f>IF($A639&lt;&gt;$A638,$I638,"")</f>
        <v/>
      </c>
      <c r="K638" s="79"/>
      <c r="L638" s="79"/>
      <c r="M638" s="2"/>
      <c r="N638" s="5"/>
      <c r="O638" s="3"/>
      <c r="P638" s="6"/>
      <c r="Q638" s="6"/>
    </row>
    <row r="639" spans="1:17" ht="15" customHeight="1" x14ac:dyDescent="0.25">
      <c r="A639" s="1"/>
      <c r="B639" s="17"/>
      <c r="C639" s="17"/>
      <c r="D639" s="17"/>
      <c r="E639" s="17"/>
      <c r="F639" s="17"/>
      <c r="G639" s="4">
        <f>SUM($B639:$F639)</f>
        <v>0</v>
      </c>
      <c r="H639" s="17"/>
      <c r="I639" s="4">
        <f>$I638+$G639-$H639</f>
        <v>349526.07999999996</v>
      </c>
      <c r="J639" s="32" t="str">
        <f>IF($A640&lt;&gt;$A639,$I639,"")</f>
        <v/>
      </c>
      <c r="K639" s="79"/>
      <c r="L639" s="79"/>
      <c r="M639" s="2"/>
      <c r="N639" s="5"/>
      <c r="O639" s="3"/>
      <c r="P639" s="6"/>
      <c r="Q639" s="6"/>
    </row>
    <row r="640" spans="1:17" ht="15" customHeight="1" x14ac:dyDescent="0.25">
      <c r="A640" s="1"/>
      <c r="B640" s="17"/>
      <c r="C640" s="17"/>
      <c r="D640" s="17"/>
      <c r="E640" s="17"/>
      <c r="F640" s="17"/>
      <c r="G640" s="4">
        <f>SUM($B640:$F640)</f>
        <v>0</v>
      </c>
      <c r="H640" s="17"/>
      <c r="I640" s="4">
        <f>$I639+$G640-$H640</f>
        <v>349526.07999999996</v>
      </c>
      <c r="J640" s="32" t="str">
        <f>IF($A641&lt;&gt;$A640,$I640,"")</f>
        <v/>
      </c>
      <c r="K640" s="79"/>
      <c r="L640" s="79"/>
      <c r="M640" s="2"/>
      <c r="N640" s="5"/>
      <c r="O640" s="3"/>
      <c r="P640" s="6"/>
      <c r="Q640" s="6"/>
    </row>
    <row r="641" spans="1:17" ht="15" customHeight="1" x14ac:dyDescent="0.25">
      <c r="A641" s="1"/>
      <c r="B641" s="17"/>
      <c r="C641" s="17"/>
      <c r="D641" s="17"/>
      <c r="E641" s="17"/>
      <c r="F641" s="17"/>
      <c r="G641" s="4">
        <f>SUM($B641:$F641)</f>
        <v>0</v>
      </c>
      <c r="H641" s="17"/>
      <c r="I641" s="4">
        <f>$I640+$G641-$H641</f>
        <v>349526.07999999996</v>
      </c>
      <c r="J641" s="32" t="str">
        <f>IF($A642&lt;&gt;$A641,$I641,"")</f>
        <v/>
      </c>
      <c r="K641" s="79"/>
      <c r="L641" s="79"/>
      <c r="M641" s="2"/>
      <c r="N641" s="5"/>
      <c r="O641" s="3"/>
      <c r="P641" s="6"/>
      <c r="Q641" s="6"/>
    </row>
    <row r="642" spans="1:17" ht="15" customHeight="1" x14ac:dyDescent="0.25">
      <c r="A642" s="1"/>
      <c r="B642" s="17"/>
      <c r="C642" s="17"/>
      <c r="D642" s="17"/>
      <c r="E642" s="17"/>
      <c r="F642" s="17"/>
      <c r="G642" s="4">
        <f>SUM($B642:$F642)</f>
        <v>0</v>
      </c>
      <c r="H642" s="17"/>
      <c r="I642" s="4">
        <f>$I641+$G642-$H642</f>
        <v>349526.07999999996</v>
      </c>
      <c r="J642" s="32" t="str">
        <f>IF($A643&lt;&gt;$A642,$I642,"")</f>
        <v/>
      </c>
      <c r="K642" s="79"/>
      <c r="L642" s="79"/>
      <c r="M642" s="2"/>
      <c r="N642" s="5"/>
      <c r="O642" s="3"/>
      <c r="P642" s="6"/>
      <c r="Q642" s="6"/>
    </row>
    <row r="643" spans="1:17" ht="15" customHeight="1" x14ac:dyDescent="0.25">
      <c r="A643" s="1"/>
      <c r="B643" s="17"/>
      <c r="C643" s="17"/>
      <c r="D643" s="17"/>
      <c r="E643" s="17"/>
      <c r="F643" s="17"/>
      <c r="G643" s="4">
        <f>SUM($B643:$F643)</f>
        <v>0</v>
      </c>
      <c r="H643" s="17"/>
      <c r="I643" s="4">
        <f>$I642+$G643-$H643</f>
        <v>349526.07999999996</v>
      </c>
      <c r="J643" s="32" t="str">
        <f>IF($A644&lt;&gt;$A643,$I643,"")</f>
        <v/>
      </c>
      <c r="K643" s="79"/>
      <c r="L643" s="79"/>
      <c r="M643" s="2"/>
      <c r="N643" s="5"/>
      <c r="O643" s="3"/>
      <c r="P643" s="6"/>
      <c r="Q643" s="6"/>
    </row>
    <row r="644" spans="1:17" ht="15" customHeight="1" x14ac:dyDescent="0.25">
      <c r="A644" s="1"/>
      <c r="B644" s="17"/>
      <c r="C644" s="17"/>
      <c r="D644" s="17"/>
      <c r="E644" s="17"/>
      <c r="F644" s="17"/>
      <c r="G644" s="4">
        <f>SUM($B644:$F644)</f>
        <v>0</v>
      </c>
      <c r="H644" s="17"/>
      <c r="I644" s="4">
        <f>$I643+$G644-$H644</f>
        <v>349526.07999999996</v>
      </c>
      <c r="J644" s="32" t="str">
        <f>IF($A645&lt;&gt;$A644,$I644,"")</f>
        <v/>
      </c>
      <c r="K644" s="79"/>
      <c r="L644" s="79"/>
      <c r="M644" s="2"/>
      <c r="N644" s="5"/>
      <c r="O644" s="3"/>
      <c r="P644" s="6"/>
      <c r="Q644" s="6"/>
    </row>
    <row r="645" spans="1:17" ht="15" customHeight="1" x14ac:dyDescent="0.25">
      <c r="A645" s="1"/>
      <c r="B645" s="17"/>
      <c r="C645" s="17"/>
      <c r="D645" s="17"/>
      <c r="E645" s="17"/>
      <c r="F645" s="17"/>
      <c r="G645" s="4">
        <f>SUM($B645:$F645)</f>
        <v>0</v>
      </c>
      <c r="H645" s="17"/>
      <c r="I645" s="4">
        <f>$I644+$G645-$H645</f>
        <v>349526.07999999996</v>
      </c>
      <c r="J645" s="32" t="str">
        <f>IF($A646&lt;&gt;$A645,$I645,"")</f>
        <v/>
      </c>
      <c r="K645" s="79"/>
      <c r="L645" s="79"/>
      <c r="M645" s="2"/>
      <c r="N645" s="5"/>
      <c r="O645" s="3"/>
      <c r="P645" s="6"/>
      <c r="Q645" s="6"/>
    </row>
    <row r="646" spans="1:17" ht="15" customHeight="1" x14ac:dyDescent="0.25">
      <c r="A646" s="1"/>
      <c r="B646" s="17"/>
      <c r="C646" s="17"/>
      <c r="D646" s="17"/>
      <c r="E646" s="17"/>
      <c r="F646" s="17"/>
      <c r="G646" s="4">
        <f>SUM($B646:$F646)</f>
        <v>0</v>
      </c>
      <c r="H646" s="17"/>
      <c r="I646" s="4">
        <f>$I645+$G646-$H646</f>
        <v>349526.07999999996</v>
      </c>
      <c r="J646" s="32" t="str">
        <f>IF($A647&lt;&gt;$A646,$I646,"")</f>
        <v/>
      </c>
      <c r="K646" s="79"/>
      <c r="L646" s="79"/>
      <c r="M646" s="2"/>
      <c r="N646" s="5"/>
      <c r="O646" s="3"/>
      <c r="P646" s="6"/>
      <c r="Q646" s="6"/>
    </row>
    <row r="647" spans="1:17" ht="15" customHeight="1" x14ac:dyDescent="0.25">
      <c r="A647" s="1"/>
      <c r="B647" s="17"/>
      <c r="C647" s="17"/>
      <c r="D647" s="17"/>
      <c r="E647" s="17"/>
      <c r="F647" s="17"/>
      <c r="G647" s="4">
        <f>SUM($B647:$F647)</f>
        <v>0</v>
      </c>
      <c r="H647" s="17"/>
      <c r="I647" s="4">
        <f>$I646+$G647-$H647</f>
        <v>349526.07999999996</v>
      </c>
      <c r="J647" s="32" t="str">
        <f>IF($A648&lt;&gt;$A647,$I647,"")</f>
        <v/>
      </c>
      <c r="K647" s="79"/>
      <c r="L647" s="79"/>
      <c r="M647" s="2"/>
      <c r="N647" s="5"/>
      <c r="O647" s="3"/>
      <c r="P647" s="6"/>
      <c r="Q647" s="6"/>
    </row>
    <row r="648" spans="1:17" ht="15" customHeight="1" x14ac:dyDescent="0.25">
      <c r="A648" s="1"/>
      <c r="B648" s="17"/>
      <c r="C648" s="17"/>
      <c r="D648" s="17"/>
      <c r="E648" s="17"/>
      <c r="F648" s="17"/>
      <c r="G648" s="4">
        <f>SUM($B648:$F648)</f>
        <v>0</v>
      </c>
      <c r="H648" s="17"/>
      <c r="I648" s="4">
        <f>$I647+$G648-$H648</f>
        <v>349526.07999999996</v>
      </c>
      <c r="J648" s="32" t="str">
        <f>IF($A649&lt;&gt;$A648,$I648,"")</f>
        <v/>
      </c>
      <c r="K648" s="79"/>
      <c r="L648" s="79"/>
      <c r="M648" s="2"/>
      <c r="N648" s="5"/>
      <c r="O648" s="3"/>
      <c r="P648" s="6"/>
      <c r="Q648" s="6"/>
    </row>
    <row r="649" spans="1:17" ht="15" customHeight="1" x14ac:dyDescent="0.25">
      <c r="A649" s="1"/>
      <c r="B649" s="17"/>
      <c r="C649" s="17"/>
      <c r="D649" s="17"/>
      <c r="E649" s="17"/>
      <c r="F649" s="17"/>
      <c r="G649" s="4">
        <f>SUM($B649:$F649)</f>
        <v>0</v>
      </c>
      <c r="H649" s="17"/>
      <c r="I649" s="4">
        <f>$I648+$G649-$H649</f>
        <v>349526.07999999996</v>
      </c>
      <c r="J649" s="32" t="str">
        <f>IF($A650&lt;&gt;$A649,$I649,"")</f>
        <v/>
      </c>
      <c r="K649" s="79"/>
      <c r="L649" s="79"/>
      <c r="M649" s="2"/>
      <c r="N649" s="5"/>
      <c r="O649" s="3"/>
      <c r="P649" s="6"/>
      <c r="Q649" s="6"/>
    </row>
    <row r="650" spans="1:17" ht="15" customHeight="1" x14ac:dyDescent="0.25">
      <c r="A650" s="1"/>
      <c r="B650" s="17"/>
      <c r="C650" s="17"/>
      <c r="D650" s="17"/>
      <c r="E650" s="17"/>
      <c r="F650" s="17"/>
      <c r="G650" s="4">
        <f>SUM($B650:$F650)</f>
        <v>0</v>
      </c>
      <c r="H650" s="17"/>
      <c r="I650" s="4">
        <f>$I649+$G650-$H650</f>
        <v>349526.07999999996</v>
      </c>
      <c r="J650" s="32" t="str">
        <f>IF($A651&lt;&gt;$A650,$I650,"")</f>
        <v/>
      </c>
      <c r="K650" s="79"/>
      <c r="L650" s="79"/>
      <c r="M650" s="2"/>
      <c r="N650" s="5"/>
      <c r="O650" s="3"/>
      <c r="P650" s="6"/>
      <c r="Q650" s="6"/>
    </row>
    <row r="651" spans="1:17" ht="15" customHeight="1" x14ac:dyDescent="0.25">
      <c r="A651" s="1"/>
      <c r="B651" s="17"/>
      <c r="C651" s="17"/>
      <c r="D651" s="17"/>
      <c r="E651" s="17"/>
      <c r="F651" s="17"/>
      <c r="G651" s="4">
        <f>SUM($B651:$F651)</f>
        <v>0</v>
      </c>
      <c r="H651" s="17"/>
      <c r="I651" s="4">
        <f>$I650+$G651-$H651</f>
        <v>349526.07999999996</v>
      </c>
      <c r="J651" s="32" t="str">
        <f>IF($A652&lt;&gt;$A651,$I651,"")</f>
        <v/>
      </c>
      <c r="K651" s="79"/>
      <c r="L651" s="79"/>
      <c r="M651" s="2"/>
      <c r="N651" s="5"/>
      <c r="O651" s="3"/>
      <c r="P651" s="6"/>
      <c r="Q651" s="6"/>
    </row>
    <row r="652" spans="1:17" ht="15" customHeight="1" x14ac:dyDescent="0.25">
      <c r="A652" s="1"/>
      <c r="B652" s="17"/>
      <c r="C652" s="17"/>
      <c r="D652" s="17"/>
      <c r="E652" s="17"/>
      <c r="F652" s="17"/>
      <c r="G652" s="4">
        <f>SUM($B652:$F652)</f>
        <v>0</v>
      </c>
      <c r="H652" s="17"/>
      <c r="I652" s="4">
        <f>$I651+$G652-$H652</f>
        <v>349526.07999999996</v>
      </c>
      <c r="J652" s="32" t="str">
        <f>IF($A653&lt;&gt;$A652,$I652,"")</f>
        <v/>
      </c>
      <c r="K652" s="79"/>
      <c r="L652" s="79"/>
      <c r="M652" s="2"/>
      <c r="N652" s="5"/>
      <c r="O652" s="3"/>
      <c r="P652" s="6"/>
      <c r="Q652" s="6"/>
    </row>
    <row r="653" spans="1:17" ht="15" customHeight="1" x14ac:dyDescent="0.25">
      <c r="A653" s="1"/>
      <c r="B653" s="17"/>
      <c r="C653" s="17"/>
      <c r="D653" s="17"/>
      <c r="E653" s="17"/>
      <c r="F653" s="17"/>
      <c r="G653" s="4">
        <f>SUM($B653:$F653)</f>
        <v>0</v>
      </c>
      <c r="H653" s="17"/>
      <c r="I653" s="4">
        <f>$I652+$G653-$H653</f>
        <v>349526.07999999996</v>
      </c>
      <c r="J653" s="32" t="str">
        <f>IF($A654&lt;&gt;$A653,$I653,"")</f>
        <v/>
      </c>
      <c r="K653" s="79"/>
      <c r="L653" s="79"/>
      <c r="M653" s="2"/>
      <c r="N653" s="5"/>
      <c r="O653" s="3"/>
      <c r="P653" s="6"/>
      <c r="Q653" s="6"/>
    </row>
    <row r="654" spans="1:17" ht="15" customHeight="1" x14ac:dyDescent="0.25">
      <c r="A654" s="1"/>
      <c r="B654" s="17"/>
      <c r="C654" s="17"/>
      <c r="D654" s="17"/>
      <c r="E654" s="17"/>
      <c r="F654" s="17"/>
      <c r="G654" s="4">
        <f>SUM($B654:$F654)</f>
        <v>0</v>
      </c>
      <c r="H654" s="17"/>
      <c r="I654" s="4">
        <f>$I653+$G654-$H654</f>
        <v>349526.07999999996</v>
      </c>
      <c r="J654" s="32" t="str">
        <f>IF($A655&lt;&gt;$A654,$I654,"")</f>
        <v/>
      </c>
      <c r="K654" s="79"/>
      <c r="L654" s="79"/>
      <c r="M654" s="2"/>
      <c r="N654" s="5"/>
      <c r="O654" s="3"/>
      <c r="P654" s="6"/>
      <c r="Q654" s="6"/>
    </row>
    <row r="655" spans="1:17" ht="15" customHeight="1" x14ac:dyDescent="0.25">
      <c r="A655" s="1"/>
      <c r="B655" s="17"/>
      <c r="C655" s="17"/>
      <c r="D655" s="17"/>
      <c r="E655" s="17"/>
      <c r="F655" s="17"/>
      <c r="G655" s="4">
        <f>SUM($B655:$F655)</f>
        <v>0</v>
      </c>
      <c r="H655" s="17"/>
      <c r="I655" s="4">
        <f>$I654+$G655-$H655</f>
        <v>349526.07999999996</v>
      </c>
      <c r="J655" s="32" t="str">
        <f>IF($A656&lt;&gt;$A655,$I655,"")</f>
        <v/>
      </c>
      <c r="K655" s="79"/>
      <c r="L655" s="79"/>
      <c r="M655" s="2"/>
      <c r="N655" s="5"/>
      <c r="O655" s="3"/>
      <c r="P655" s="6"/>
      <c r="Q655" s="6"/>
    </row>
    <row r="656" spans="1:17" ht="15" customHeight="1" x14ac:dyDescent="0.25">
      <c r="A656" s="1"/>
      <c r="B656" s="17"/>
      <c r="C656" s="17"/>
      <c r="D656" s="17"/>
      <c r="E656" s="17"/>
      <c r="F656" s="17"/>
      <c r="G656" s="4">
        <f>SUM($B656:$F656)</f>
        <v>0</v>
      </c>
      <c r="H656" s="17"/>
      <c r="I656" s="4">
        <f>$I655+$G656-$H656</f>
        <v>349526.07999999996</v>
      </c>
      <c r="J656" s="32" t="str">
        <f>IF($A657&lt;&gt;$A656,$I656,"")</f>
        <v/>
      </c>
      <c r="K656" s="79"/>
      <c r="L656" s="79"/>
      <c r="M656" s="2"/>
      <c r="N656" s="5"/>
      <c r="O656" s="3"/>
      <c r="P656" s="6"/>
      <c r="Q656" s="6"/>
    </row>
    <row r="657" spans="1:17" ht="15" customHeight="1" x14ac:dyDescent="0.25">
      <c r="A657" s="1"/>
      <c r="B657" s="17"/>
      <c r="C657" s="17"/>
      <c r="D657" s="17"/>
      <c r="E657" s="17"/>
      <c r="F657" s="17"/>
      <c r="G657" s="4">
        <f>SUM($B657:$F657)</f>
        <v>0</v>
      </c>
      <c r="H657" s="17"/>
      <c r="I657" s="4">
        <f>$I656+$G657-$H657</f>
        <v>349526.07999999996</v>
      </c>
      <c r="J657" s="32" t="str">
        <f>IF($A658&lt;&gt;$A657,$I657,"")</f>
        <v/>
      </c>
      <c r="K657" s="79"/>
      <c r="L657" s="79"/>
      <c r="M657" s="2"/>
      <c r="N657" s="5"/>
      <c r="O657" s="3"/>
      <c r="P657" s="6"/>
      <c r="Q657" s="6"/>
    </row>
    <row r="658" spans="1:17" ht="15" customHeight="1" x14ac:dyDescent="0.25">
      <c r="A658" s="1"/>
      <c r="B658" s="17"/>
      <c r="C658" s="17"/>
      <c r="D658" s="17"/>
      <c r="E658" s="17"/>
      <c r="F658" s="17"/>
      <c r="G658" s="4">
        <f>SUM($B658:$F658)</f>
        <v>0</v>
      </c>
      <c r="H658" s="17"/>
      <c r="I658" s="4">
        <f>$I657+$G658-$H658</f>
        <v>349526.07999999996</v>
      </c>
      <c r="J658" s="32" t="str">
        <f>IF($A659&lt;&gt;$A658,$I658,"")</f>
        <v/>
      </c>
      <c r="K658" s="79"/>
      <c r="L658" s="79"/>
      <c r="M658" s="2"/>
      <c r="N658" s="5"/>
      <c r="O658" s="3"/>
      <c r="P658" s="6"/>
      <c r="Q658" s="6"/>
    </row>
    <row r="659" spans="1:17" ht="15" customHeight="1" x14ac:dyDescent="0.25">
      <c r="A659" s="1"/>
      <c r="B659" s="17"/>
      <c r="C659" s="17"/>
      <c r="D659" s="17"/>
      <c r="E659" s="17"/>
      <c r="F659" s="17"/>
      <c r="G659" s="4">
        <f>SUM($B659:$F659)</f>
        <v>0</v>
      </c>
      <c r="H659" s="17"/>
      <c r="I659" s="4">
        <f>$I658+$G659-$H659</f>
        <v>349526.07999999996</v>
      </c>
      <c r="J659" s="32" t="str">
        <f>IF($A660&lt;&gt;$A659,$I659,"")</f>
        <v/>
      </c>
      <c r="K659" s="79"/>
      <c r="L659" s="79"/>
      <c r="M659" s="2"/>
      <c r="N659" s="5"/>
      <c r="O659" s="3"/>
      <c r="P659" s="6"/>
      <c r="Q659" s="6"/>
    </row>
    <row r="660" spans="1:17" ht="15" customHeight="1" x14ac:dyDescent="0.25">
      <c r="A660" s="1"/>
      <c r="B660" s="17"/>
      <c r="C660" s="17"/>
      <c r="D660" s="17"/>
      <c r="E660" s="17"/>
      <c r="F660" s="17"/>
      <c r="G660" s="4">
        <f>SUM($B660:$F660)</f>
        <v>0</v>
      </c>
      <c r="H660" s="17"/>
      <c r="I660" s="4">
        <f>$I659+$G660-$H660</f>
        <v>349526.07999999996</v>
      </c>
      <c r="J660" s="32" t="str">
        <f>IF($A661&lt;&gt;$A660,$I660,"")</f>
        <v/>
      </c>
      <c r="K660" s="79"/>
      <c r="L660" s="79"/>
      <c r="M660" s="2"/>
      <c r="N660" s="5"/>
      <c r="O660" s="3"/>
      <c r="P660" s="6"/>
      <c r="Q660" s="6"/>
    </row>
    <row r="661" spans="1:17" ht="15" customHeight="1" x14ac:dyDescent="0.25">
      <c r="A661" s="1"/>
      <c r="B661" s="17"/>
      <c r="C661" s="17"/>
      <c r="D661" s="17"/>
      <c r="E661" s="17"/>
      <c r="F661" s="17"/>
      <c r="G661" s="4">
        <f>SUM($B661:$F661)</f>
        <v>0</v>
      </c>
      <c r="H661" s="17"/>
      <c r="I661" s="4">
        <f>$I660+$G661-$H661</f>
        <v>349526.07999999996</v>
      </c>
      <c r="J661" s="32" t="str">
        <f>IF($A662&lt;&gt;$A661,$I661,"")</f>
        <v/>
      </c>
      <c r="K661" s="79"/>
      <c r="L661" s="79"/>
      <c r="M661" s="2"/>
      <c r="N661" s="5"/>
      <c r="O661" s="3"/>
      <c r="P661" s="6"/>
      <c r="Q661" s="6"/>
    </row>
    <row r="662" spans="1:17" ht="15" customHeight="1" x14ac:dyDescent="0.25">
      <c r="A662" s="1"/>
      <c r="B662" s="17"/>
      <c r="C662" s="17"/>
      <c r="D662" s="17"/>
      <c r="E662" s="17"/>
      <c r="F662" s="17"/>
      <c r="G662" s="4">
        <f>SUM($B662:$F662)</f>
        <v>0</v>
      </c>
      <c r="H662" s="17"/>
      <c r="I662" s="4">
        <f>$I661+$G662-$H662</f>
        <v>349526.07999999996</v>
      </c>
      <c r="J662" s="32" t="str">
        <f>IF($A663&lt;&gt;$A662,$I662,"")</f>
        <v/>
      </c>
      <c r="K662" s="79"/>
      <c r="L662" s="79"/>
      <c r="M662" s="2"/>
      <c r="N662" s="5"/>
      <c r="O662" s="3"/>
      <c r="P662" s="6"/>
      <c r="Q662" s="6"/>
    </row>
    <row r="663" spans="1:17" ht="15" customHeight="1" x14ac:dyDescent="0.25">
      <c r="A663" s="1"/>
      <c r="B663" s="17"/>
      <c r="C663" s="17"/>
      <c r="D663" s="17"/>
      <c r="E663" s="17"/>
      <c r="F663" s="17"/>
      <c r="G663" s="4">
        <f>SUM($B663:$F663)</f>
        <v>0</v>
      </c>
      <c r="H663" s="17"/>
      <c r="I663" s="4">
        <f>$I662+$G663-$H663</f>
        <v>349526.07999999996</v>
      </c>
      <c r="J663" s="32" t="str">
        <f>IF($A664&lt;&gt;$A663,$I663,"")</f>
        <v/>
      </c>
      <c r="K663" s="79"/>
      <c r="L663" s="79"/>
      <c r="M663" s="2"/>
      <c r="N663" s="5"/>
      <c r="O663" s="3"/>
      <c r="P663" s="6"/>
      <c r="Q663" s="6"/>
    </row>
    <row r="664" spans="1:17" ht="15" customHeight="1" x14ac:dyDescent="0.25">
      <c r="A664" s="1"/>
      <c r="B664" s="17"/>
      <c r="C664" s="17"/>
      <c r="D664" s="17"/>
      <c r="E664" s="17"/>
      <c r="F664" s="17"/>
      <c r="G664" s="4">
        <f>SUM($B664:$F664)</f>
        <v>0</v>
      </c>
      <c r="H664" s="17"/>
      <c r="I664" s="4">
        <f>$I663+$G664-$H664</f>
        <v>349526.07999999996</v>
      </c>
      <c r="J664" s="32" t="str">
        <f>IF($A665&lt;&gt;$A664,$I664,"")</f>
        <v/>
      </c>
      <c r="K664" s="79"/>
      <c r="L664" s="79"/>
      <c r="M664" s="2"/>
      <c r="N664" s="5"/>
      <c r="O664" s="3"/>
      <c r="P664" s="6"/>
      <c r="Q664" s="6"/>
    </row>
    <row r="665" spans="1:17" ht="15" customHeight="1" x14ac:dyDescent="0.25">
      <c r="A665" s="1"/>
      <c r="B665" s="17"/>
      <c r="C665" s="17"/>
      <c r="D665" s="17"/>
      <c r="E665" s="17"/>
      <c r="F665" s="17"/>
      <c r="G665" s="4">
        <f>SUM($B665:$F665)</f>
        <v>0</v>
      </c>
      <c r="H665" s="17"/>
      <c r="I665" s="4">
        <f>$I664+$G665-$H665</f>
        <v>349526.07999999996</v>
      </c>
      <c r="J665" s="32" t="str">
        <f>IF($A666&lt;&gt;$A665,$I665,"")</f>
        <v/>
      </c>
      <c r="K665" s="79"/>
      <c r="L665" s="79"/>
      <c r="M665" s="2"/>
      <c r="N665" s="5"/>
      <c r="O665" s="3"/>
      <c r="P665" s="6"/>
      <c r="Q665" s="6"/>
    </row>
    <row r="666" spans="1:17" ht="15" customHeight="1" x14ac:dyDescent="0.25">
      <c r="A666" s="1"/>
      <c r="B666" s="17"/>
      <c r="C666" s="17"/>
      <c r="D666" s="17"/>
      <c r="E666" s="17"/>
      <c r="F666" s="17"/>
      <c r="G666" s="4">
        <f>SUM($B666:$F666)</f>
        <v>0</v>
      </c>
      <c r="H666" s="17"/>
      <c r="I666" s="4">
        <f>$I665+$G666-$H666</f>
        <v>349526.07999999996</v>
      </c>
      <c r="J666" s="32" t="str">
        <f>IF($A667&lt;&gt;$A666,$I666,"")</f>
        <v/>
      </c>
      <c r="K666" s="79"/>
      <c r="L666" s="79"/>
      <c r="M666" s="2"/>
      <c r="N666" s="5"/>
      <c r="O666" s="3"/>
      <c r="P666" s="6"/>
      <c r="Q666" s="6"/>
    </row>
    <row r="667" spans="1:17" ht="15" customHeight="1" x14ac:dyDescent="0.25">
      <c r="A667" s="1"/>
      <c r="B667" s="17"/>
      <c r="C667" s="17"/>
      <c r="D667" s="17"/>
      <c r="E667" s="17"/>
      <c r="F667" s="17"/>
      <c r="G667" s="4">
        <f>SUM($B667:$F667)</f>
        <v>0</v>
      </c>
      <c r="H667" s="17"/>
      <c r="I667" s="4">
        <f>$I666+$G667-$H667</f>
        <v>349526.07999999996</v>
      </c>
      <c r="J667" s="32" t="str">
        <f>IF($A668&lt;&gt;$A667,$I667,"")</f>
        <v/>
      </c>
      <c r="K667" s="79"/>
      <c r="L667" s="79"/>
      <c r="M667" s="2"/>
      <c r="N667" s="5"/>
      <c r="O667" s="3"/>
      <c r="P667" s="6"/>
      <c r="Q667" s="6"/>
    </row>
    <row r="668" spans="1:17" ht="15" customHeight="1" x14ac:dyDescent="0.25">
      <c r="A668" s="1"/>
      <c r="B668" s="17"/>
      <c r="C668" s="17"/>
      <c r="D668" s="17"/>
      <c r="E668" s="17"/>
      <c r="F668" s="17"/>
      <c r="G668" s="4">
        <f>SUM($B668:$F668)</f>
        <v>0</v>
      </c>
      <c r="H668" s="17"/>
      <c r="I668" s="4">
        <f>$I667+$G668-$H668</f>
        <v>349526.07999999996</v>
      </c>
      <c r="J668" s="32" t="str">
        <f>IF($A669&lt;&gt;$A668,$I668,"")</f>
        <v/>
      </c>
      <c r="K668" s="79"/>
      <c r="L668" s="79"/>
      <c r="M668" s="2"/>
      <c r="N668" s="5"/>
      <c r="O668" s="3"/>
      <c r="P668" s="6"/>
      <c r="Q668" s="6"/>
    </row>
    <row r="669" spans="1:17" ht="15" customHeight="1" x14ac:dyDescent="0.25">
      <c r="A669" s="1"/>
      <c r="B669" s="17"/>
      <c r="C669" s="17"/>
      <c r="D669" s="17"/>
      <c r="E669" s="17"/>
      <c r="F669" s="17"/>
      <c r="G669" s="4">
        <f>SUM($B669:$F669)</f>
        <v>0</v>
      </c>
      <c r="H669" s="17"/>
      <c r="I669" s="4">
        <f>$I668+$G669-$H669</f>
        <v>349526.07999999996</v>
      </c>
      <c r="J669" s="32" t="str">
        <f>IF($A670&lt;&gt;$A669,$I669,"")</f>
        <v/>
      </c>
      <c r="K669" s="79"/>
      <c r="L669" s="79"/>
      <c r="M669" s="2"/>
      <c r="N669" s="5"/>
      <c r="O669" s="3"/>
      <c r="P669" s="6"/>
      <c r="Q669" s="6"/>
    </row>
    <row r="670" spans="1:17" ht="15" customHeight="1" x14ac:dyDescent="0.25">
      <c r="A670" s="1"/>
      <c r="B670" s="17"/>
      <c r="C670" s="17"/>
      <c r="D670" s="17"/>
      <c r="E670" s="17"/>
      <c r="F670" s="17"/>
      <c r="G670" s="4">
        <f>SUM($B670:$F670)</f>
        <v>0</v>
      </c>
      <c r="H670" s="17"/>
      <c r="I670" s="4">
        <f>$I669+$G670-$H670</f>
        <v>349526.07999999996</v>
      </c>
      <c r="J670" s="32" t="str">
        <f>IF($A671&lt;&gt;$A670,$I670,"")</f>
        <v/>
      </c>
      <c r="K670" s="79"/>
      <c r="L670" s="79"/>
      <c r="M670" s="2"/>
      <c r="N670" s="5"/>
      <c r="O670" s="3"/>
      <c r="P670" s="6"/>
      <c r="Q670" s="6"/>
    </row>
    <row r="671" spans="1:17" ht="15" customHeight="1" x14ac:dyDescent="0.25">
      <c r="A671" s="1"/>
      <c r="B671" s="17"/>
      <c r="C671" s="17"/>
      <c r="D671" s="17"/>
      <c r="E671" s="17"/>
      <c r="F671" s="17"/>
      <c r="G671" s="4">
        <f>SUM($B671:$F671)</f>
        <v>0</v>
      </c>
      <c r="H671" s="17"/>
      <c r="I671" s="4">
        <f>$I670+$G671-$H671</f>
        <v>349526.07999999996</v>
      </c>
      <c r="J671" s="32" t="str">
        <f>IF($A672&lt;&gt;$A671,$I671,"")</f>
        <v/>
      </c>
      <c r="K671" s="79"/>
      <c r="L671" s="79"/>
      <c r="M671" s="2"/>
      <c r="N671" s="5"/>
      <c r="O671" s="3"/>
      <c r="P671" s="6"/>
      <c r="Q671" s="6"/>
    </row>
    <row r="672" spans="1:17" ht="15" customHeight="1" x14ac:dyDescent="0.25">
      <c r="A672" s="1"/>
      <c r="B672" s="17"/>
      <c r="C672" s="17"/>
      <c r="D672" s="17"/>
      <c r="E672" s="17"/>
      <c r="F672" s="17"/>
      <c r="G672" s="4">
        <f>SUM($B672:$F672)</f>
        <v>0</v>
      </c>
      <c r="H672" s="17"/>
      <c r="I672" s="4">
        <f>$I671+$G672-$H672</f>
        <v>349526.07999999996</v>
      </c>
      <c r="J672" s="32" t="str">
        <f>IF($A673&lt;&gt;$A672,$I672,"")</f>
        <v/>
      </c>
      <c r="K672" s="79"/>
      <c r="L672" s="79"/>
      <c r="M672" s="2"/>
      <c r="N672" s="5"/>
      <c r="O672" s="3"/>
      <c r="P672" s="6"/>
      <c r="Q672" s="6"/>
    </row>
    <row r="673" spans="1:17" ht="15" customHeight="1" x14ac:dyDescent="0.25">
      <c r="A673" s="1"/>
      <c r="B673" s="17"/>
      <c r="C673" s="17"/>
      <c r="D673" s="17"/>
      <c r="E673" s="17"/>
      <c r="F673" s="17"/>
      <c r="G673" s="4">
        <f>SUM($B673:$F673)</f>
        <v>0</v>
      </c>
      <c r="H673" s="17"/>
      <c r="I673" s="4">
        <f>$I672+$G673-$H673</f>
        <v>349526.07999999996</v>
      </c>
      <c r="J673" s="32" t="str">
        <f>IF($A674&lt;&gt;$A673,$I673,"")</f>
        <v/>
      </c>
      <c r="K673" s="79"/>
      <c r="L673" s="79"/>
      <c r="M673" s="2"/>
      <c r="N673" s="5"/>
      <c r="O673" s="3"/>
      <c r="P673" s="6"/>
      <c r="Q673" s="6"/>
    </row>
    <row r="674" spans="1:17" ht="15" customHeight="1" x14ac:dyDescent="0.25">
      <c r="A674" s="1"/>
      <c r="B674" s="17"/>
      <c r="C674" s="17"/>
      <c r="D674" s="17"/>
      <c r="E674" s="17"/>
      <c r="F674" s="17"/>
      <c r="G674" s="4">
        <f>SUM($B674:$F674)</f>
        <v>0</v>
      </c>
      <c r="H674" s="17"/>
      <c r="I674" s="4">
        <f>$I673+$G674-$H674</f>
        <v>349526.07999999996</v>
      </c>
      <c r="J674" s="32" t="str">
        <f>IF($A675&lt;&gt;$A674,$I674,"")</f>
        <v/>
      </c>
      <c r="K674" s="79"/>
      <c r="L674" s="79"/>
      <c r="M674" s="2"/>
      <c r="N674" s="5"/>
      <c r="O674" s="3"/>
      <c r="P674" s="6"/>
      <c r="Q674" s="6"/>
    </row>
    <row r="675" spans="1:17" ht="15" customHeight="1" x14ac:dyDescent="0.25">
      <c r="A675" s="1"/>
      <c r="B675" s="17"/>
      <c r="C675" s="17"/>
      <c r="D675" s="17"/>
      <c r="E675" s="17"/>
      <c r="F675" s="17"/>
      <c r="G675" s="4">
        <f>SUM($B675:$F675)</f>
        <v>0</v>
      </c>
      <c r="H675" s="17"/>
      <c r="I675" s="4">
        <f>$I674+$G675-$H675</f>
        <v>349526.07999999996</v>
      </c>
      <c r="J675" s="32" t="str">
        <f>IF($A676&lt;&gt;$A675,$I675,"")</f>
        <v/>
      </c>
      <c r="K675" s="79"/>
      <c r="L675" s="79"/>
      <c r="M675" s="2"/>
      <c r="N675" s="5"/>
      <c r="O675" s="3"/>
      <c r="P675" s="6"/>
      <c r="Q675" s="6"/>
    </row>
    <row r="676" spans="1:17" ht="15" customHeight="1" x14ac:dyDescent="0.25">
      <c r="A676" s="1"/>
      <c r="B676" s="17"/>
      <c r="C676" s="17"/>
      <c r="D676" s="17"/>
      <c r="E676" s="17"/>
      <c r="F676" s="17"/>
      <c r="G676" s="4">
        <f>SUM($B676:$F676)</f>
        <v>0</v>
      </c>
      <c r="H676" s="17"/>
      <c r="I676" s="4">
        <f>$I675+$G676-$H676</f>
        <v>349526.07999999996</v>
      </c>
      <c r="J676" s="32" t="str">
        <f>IF($A677&lt;&gt;$A676,$I676,"")</f>
        <v/>
      </c>
      <c r="K676" s="79"/>
      <c r="L676" s="79"/>
      <c r="M676" s="2"/>
      <c r="N676" s="5"/>
      <c r="O676" s="3"/>
      <c r="P676" s="6"/>
      <c r="Q676" s="6"/>
    </row>
    <row r="677" spans="1:17" ht="15" customHeight="1" x14ac:dyDescent="0.25">
      <c r="A677" s="1"/>
      <c r="B677" s="17"/>
      <c r="C677" s="17"/>
      <c r="D677" s="17"/>
      <c r="E677" s="17"/>
      <c r="F677" s="17"/>
      <c r="G677" s="4">
        <f>SUM($B677:$F677)</f>
        <v>0</v>
      </c>
      <c r="H677" s="17"/>
      <c r="I677" s="4">
        <f>$I676+$G677-$H677</f>
        <v>349526.07999999996</v>
      </c>
      <c r="J677" s="32" t="str">
        <f>IF($A678&lt;&gt;$A677,$I677,"")</f>
        <v/>
      </c>
      <c r="K677" s="79"/>
      <c r="L677" s="79"/>
      <c r="M677" s="2"/>
      <c r="N677" s="5"/>
      <c r="O677" s="3"/>
      <c r="P677" s="6"/>
      <c r="Q677" s="6"/>
    </row>
    <row r="678" spans="1:17" ht="15" customHeight="1" x14ac:dyDescent="0.25">
      <c r="A678" s="1"/>
      <c r="B678" s="17"/>
      <c r="C678" s="17"/>
      <c r="D678" s="17"/>
      <c r="E678" s="17"/>
      <c r="F678" s="17"/>
      <c r="G678" s="4">
        <f>SUM($B678:$F678)</f>
        <v>0</v>
      </c>
      <c r="H678" s="17"/>
      <c r="I678" s="4">
        <f>$I677+$G678-$H678</f>
        <v>349526.07999999996</v>
      </c>
      <c r="J678" s="32" t="str">
        <f>IF($A679&lt;&gt;$A678,$I678,"")</f>
        <v/>
      </c>
      <c r="K678" s="79"/>
      <c r="L678" s="79"/>
      <c r="M678" s="2"/>
      <c r="N678" s="5"/>
      <c r="O678" s="3"/>
      <c r="P678" s="6"/>
      <c r="Q678" s="6"/>
    </row>
    <row r="679" spans="1:17" ht="15" customHeight="1" x14ac:dyDescent="0.25">
      <c r="A679" s="1"/>
      <c r="B679" s="17"/>
      <c r="C679" s="17"/>
      <c r="D679" s="17"/>
      <c r="E679" s="17"/>
      <c r="F679" s="17"/>
      <c r="G679" s="4">
        <f>SUM($B679:$F679)</f>
        <v>0</v>
      </c>
      <c r="H679" s="17"/>
      <c r="I679" s="4">
        <f>$I678+$G679-$H679</f>
        <v>349526.07999999996</v>
      </c>
      <c r="J679" s="32" t="str">
        <f>IF($A680&lt;&gt;$A679,$I679,"")</f>
        <v/>
      </c>
      <c r="K679" s="79"/>
      <c r="L679" s="79"/>
      <c r="M679" s="2"/>
      <c r="N679" s="5"/>
      <c r="O679" s="3"/>
      <c r="P679" s="6"/>
      <c r="Q679" s="6"/>
    </row>
    <row r="680" spans="1:17" ht="15" customHeight="1" x14ac:dyDescent="0.25">
      <c r="A680" s="1"/>
      <c r="B680" s="17"/>
      <c r="C680" s="17"/>
      <c r="D680" s="17"/>
      <c r="E680" s="17"/>
      <c r="F680" s="17"/>
      <c r="G680" s="4">
        <f>SUM($B680:$F680)</f>
        <v>0</v>
      </c>
      <c r="H680" s="17"/>
      <c r="I680" s="4">
        <f>$I679+$G680-$H680</f>
        <v>349526.07999999996</v>
      </c>
      <c r="J680" s="32" t="str">
        <f>IF($A681&lt;&gt;$A680,$I680,"")</f>
        <v/>
      </c>
      <c r="K680" s="79"/>
      <c r="L680" s="79"/>
      <c r="M680" s="2"/>
      <c r="N680" s="5"/>
      <c r="O680" s="3"/>
      <c r="P680" s="6"/>
      <c r="Q680" s="6"/>
    </row>
    <row r="681" spans="1:17" ht="15" customHeight="1" x14ac:dyDescent="0.25">
      <c r="A681" s="1"/>
      <c r="B681" s="17"/>
      <c r="C681" s="17"/>
      <c r="D681" s="17"/>
      <c r="E681" s="17"/>
      <c r="F681" s="17"/>
      <c r="G681" s="4">
        <f>SUM($B681:$F681)</f>
        <v>0</v>
      </c>
      <c r="H681" s="17"/>
      <c r="I681" s="4">
        <f>$I680+$G681-$H681</f>
        <v>349526.07999999996</v>
      </c>
      <c r="J681" s="32" t="str">
        <f>IF($A682&lt;&gt;$A681,$I681,"")</f>
        <v/>
      </c>
      <c r="K681" s="79"/>
      <c r="L681" s="79"/>
      <c r="M681" s="2"/>
      <c r="N681" s="5"/>
      <c r="O681" s="3"/>
      <c r="P681" s="6"/>
      <c r="Q681" s="6"/>
    </row>
    <row r="682" spans="1:17" ht="15" customHeight="1" x14ac:dyDescent="0.25">
      <c r="A682" s="1"/>
      <c r="B682" s="17"/>
      <c r="C682" s="17"/>
      <c r="D682" s="17"/>
      <c r="E682" s="17"/>
      <c r="F682" s="17"/>
      <c r="G682" s="4">
        <f>SUM($B682:$F682)</f>
        <v>0</v>
      </c>
      <c r="H682" s="17"/>
      <c r="I682" s="4">
        <f>$I681+$G682-$H682</f>
        <v>349526.07999999996</v>
      </c>
      <c r="J682" s="32" t="str">
        <f>IF($A683&lt;&gt;$A682,$I682,"")</f>
        <v/>
      </c>
      <c r="K682" s="79"/>
      <c r="L682" s="79"/>
      <c r="M682" s="2"/>
      <c r="N682" s="5"/>
      <c r="O682" s="3"/>
      <c r="P682" s="6"/>
      <c r="Q682" s="6"/>
    </row>
    <row r="683" spans="1:17" ht="15" customHeight="1" x14ac:dyDescent="0.25">
      <c r="A683" s="1"/>
      <c r="B683" s="17"/>
      <c r="C683" s="17"/>
      <c r="D683" s="17"/>
      <c r="E683" s="17"/>
      <c r="F683" s="17"/>
      <c r="G683" s="4">
        <f>SUM($B683:$F683)</f>
        <v>0</v>
      </c>
      <c r="H683" s="17"/>
      <c r="I683" s="4">
        <f>$I682+$G683-$H683</f>
        <v>349526.07999999996</v>
      </c>
      <c r="J683" s="32" t="str">
        <f>IF($A684&lt;&gt;$A683,$I683,"")</f>
        <v/>
      </c>
      <c r="K683" s="79"/>
      <c r="L683" s="79"/>
      <c r="M683" s="2"/>
      <c r="N683" s="5"/>
      <c r="O683" s="3"/>
      <c r="P683" s="6"/>
      <c r="Q683" s="6"/>
    </row>
    <row r="684" spans="1:17" ht="15" customHeight="1" x14ac:dyDescent="0.25">
      <c r="A684" s="1"/>
      <c r="B684" s="17"/>
      <c r="C684" s="17"/>
      <c r="D684" s="17"/>
      <c r="E684" s="17"/>
      <c r="F684" s="17"/>
      <c r="G684" s="4">
        <f>SUM($B684:$F684)</f>
        <v>0</v>
      </c>
      <c r="H684" s="17"/>
      <c r="I684" s="4">
        <f>$I683+$G684-$H684</f>
        <v>349526.07999999996</v>
      </c>
      <c r="J684" s="32" t="str">
        <f>IF($A685&lt;&gt;$A684,$I684,"")</f>
        <v/>
      </c>
      <c r="K684" s="79"/>
      <c r="L684" s="79"/>
      <c r="M684" s="2"/>
      <c r="N684" s="5"/>
      <c r="O684" s="3"/>
      <c r="P684" s="6"/>
      <c r="Q684" s="6"/>
    </row>
    <row r="685" spans="1:17" ht="15" customHeight="1" x14ac:dyDescent="0.25">
      <c r="A685" s="1"/>
      <c r="B685" s="17"/>
      <c r="C685" s="17"/>
      <c r="D685" s="17"/>
      <c r="E685" s="17"/>
      <c r="F685" s="17"/>
      <c r="G685" s="4">
        <f>SUM($B685:$F685)</f>
        <v>0</v>
      </c>
      <c r="H685" s="17"/>
      <c r="I685" s="4">
        <f>$I684+$G685-$H685</f>
        <v>349526.07999999996</v>
      </c>
      <c r="J685" s="32" t="str">
        <f>IF($A686&lt;&gt;$A685,$I685,"")</f>
        <v/>
      </c>
      <c r="K685" s="79"/>
      <c r="L685" s="79"/>
      <c r="M685" s="2"/>
      <c r="N685" s="5"/>
      <c r="O685" s="3"/>
      <c r="P685" s="6"/>
      <c r="Q685" s="6"/>
    </row>
    <row r="686" spans="1:17" ht="15" customHeight="1" x14ac:dyDescent="0.25">
      <c r="A686" s="1"/>
      <c r="B686" s="17"/>
      <c r="C686" s="17"/>
      <c r="D686" s="17"/>
      <c r="E686" s="17"/>
      <c r="F686" s="17"/>
      <c r="G686" s="4">
        <f>SUM($B686:$F686)</f>
        <v>0</v>
      </c>
      <c r="H686" s="17"/>
      <c r="I686" s="4">
        <f>$I685+$G686-$H686</f>
        <v>349526.07999999996</v>
      </c>
      <c r="J686" s="32" t="str">
        <f>IF($A687&lt;&gt;$A686,$I686,"")</f>
        <v/>
      </c>
      <c r="K686" s="79"/>
      <c r="L686" s="79"/>
      <c r="M686" s="2"/>
      <c r="N686" s="5"/>
      <c r="O686" s="3"/>
      <c r="P686" s="6"/>
      <c r="Q686" s="6"/>
    </row>
    <row r="687" spans="1:17" ht="15" customHeight="1" x14ac:dyDescent="0.25">
      <c r="A687" s="1"/>
      <c r="B687" s="17"/>
      <c r="C687" s="17"/>
      <c r="D687" s="17"/>
      <c r="E687" s="17"/>
      <c r="F687" s="17"/>
      <c r="G687" s="4">
        <f>SUM($B687:$F687)</f>
        <v>0</v>
      </c>
      <c r="H687" s="17"/>
      <c r="I687" s="4">
        <f>$I686+$G687-$H687</f>
        <v>349526.07999999996</v>
      </c>
      <c r="J687" s="32" t="str">
        <f>IF($A688&lt;&gt;$A687,$I687,"")</f>
        <v/>
      </c>
      <c r="K687" s="79"/>
      <c r="L687" s="79"/>
      <c r="M687" s="2"/>
      <c r="N687" s="5"/>
      <c r="O687" s="3"/>
      <c r="P687" s="6"/>
      <c r="Q687" s="6"/>
    </row>
    <row r="688" spans="1:17" ht="15" customHeight="1" x14ac:dyDescent="0.25">
      <c r="A688" s="1"/>
      <c r="B688" s="17"/>
      <c r="C688" s="17"/>
      <c r="D688" s="17"/>
      <c r="E688" s="17"/>
      <c r="F688" s="17"/>
      <c r="G688" s="4">
        <f>SUM($B688:$F688)</f>
        <v>0</v>
      </c>
      <c r="H688" s="17"/>
      <c r="I688" s="4">
        <f>$I687+$G688-$H688</f>
        <v>349526.07999999996</v>
      </c>
      <c r="J688" s="32" t="str">
        <f>IF($A689&lt;&gt;$A688,$I688,"")</f>
        <v/>
      </c>
      <c r="K688" s="79"/>
      <c r="L688" s="79"/>
      <c r="M688" s="2"/>
      <c r="N688" s="5"/>
      <c r="O688" s="3"/>
      <c r="P688" s="6"/>
      <c r="Q688" s="6"/>
    </row>
    <row r="689" spans="1:17" ht="15" customHeight="1" x14ac:dyDescent="0.25">
      <c r="A689" s="1"/>
      <c r="B689" s="17"/>
      <c r="C689" s="17"/>
      <c r="D689" s="17"/>
      <c r="E689" s="17"/>
      <c r="F689" s="17"/>
      <c r="G689" s="4">
        <f>SUM($B689:$F689)</f>
        <v>0</v>
      </c>
      <c r="H689" s="17"/>
      <c r="I689" s="4">
        <f>$I688+$G689-$H689</f>
        <v>349526.07999999996</v>
      </c>
      <c r="J689" s="32" t="str">
        <f>IF($A690&lt;&gt;$A689,$I689,"")</f>
        <v/>
      </c>
      <c r="K689" s="79"/>
      <c r="L689" s="79"/>
      <c r="M689" s="2"/>
      <c r="N689" s="5"/>
      <c r="O689" s="3"/>
      <c r="P689" s="6"/>
      <c r="Q689" s="6"/>
    </row>
    <row r="690" spans="1:17" ht="15" customHeight="1" x14ac:dyDescent="0.25">
      <c r="A690" s="1"/>
      <c r="B690" s="17"/>
      <c r="C690" s="17"/>
      <c r="D690" s="17"/>
      <c r="E690" s="17"/>
      <c r="F690" s="17"/>
      <c r="G690" s="4">
        <f>SUM($B690:$F690)</f>
        <v>0</v>
      </c>
      <c r="H690" s="17"/>
      <c r="I690" s="4">
        <f>$I689+$G690-$H690</f>
        <v>349526.07999999996</v>
      </c>
      <c r="J690" s="32" t="str">
        <f>IF($A691&lt;&gt;$A690,$I690,"")</f>
        <v/>
      </c>
      <c r="K690" s="79"/>
      <c r="L690" s="79"/>
      <c r="M690" s="2"/>
      <c r="N690" s="5"/>
      <c r="O690" s="3"/>
      <c r="P690" s="6"/>
      <c r="Q690" s="6"/>
    </row>
    <row r="691" spans="1:17" ht="15" customHeight="1" x14ac:dyDescent="0.25">
      <c r="A691" s="1"/>
      <c r="B691" s="17"/>
      <c r="C691" s="17"/>
      <c r="D691" s="17"/>
      <c r="E691" s="17"/>
      <c r="F691" s="17"/>
      <c r="G691" s="4">
        <f>SUM($B691:$F691)</f>
        <v>0</v>
      </c>
      <c r="H691" s="17"/>
      <c r="I691" s="4">
        <f>$I690+$G691-$H691</f>
        <v>349526.07999999996</v>
      </c>
      <c r="J691" s="32" t="str">
        <f>IF($A692&lt;&gt;$A691,$I691,"")</f>
        <v/>
      </c>
      <c r="K691" s="79"/>
      <c r="L691" s="79"/>
      <c r="M691" s="2"/>
      <c r="N691" s="5"/>
      <c r="O691" s="3"/>
      <c r="P691" s="6"/>
      <c r="Q691" s="6"/>
    </row>
    <row r="692" spans="1:17" ht="15" customHeight="1" x14ac:dyDescent="0.25">
      <c r="A692" s="1"/>
      <c r="B692" s="17"/>
      <c r="C692" s="17"/>
      <c r="D692" s="17"/>
      <c r="E692" s="17"/>
      <c r="F692" s="17"/>
      <c r="G692" s="4">
        <f>SUM($B692:$F692)</f>
        <v>0</v>
      </c>
      <c r="H692" s="17"/>
      <c r="I692" s="4">
        <f>$I691+$G692-$H692</f>
        <v>349526.07999999996</v>
      </c>
      <c r="J692" s="32" t="str">
        <f>IF($A693&lt;&gt;$A692,$I692,"")</f>
        <v/>
      </c>
      <c r="K692" s="79"/>
      <c r="L692" s="79"/>
      <c r="M692" s="2"/>
      <c r="N692" s="5"/>
      <c r="O692" s="3"/>
      <c r="P692" s="6"/>
      <c r="Q692" s="6"/>
    </row>
    <row r="693" spans="1:17" ht="15" customHeight="1" x14ac:dyDescent="0.25">
      <c r="A693" s="1"/>
      <c r="B693" s="17"/>
      <c r="C693" s="17"/>
      <c r="D693" s="17"/>
      <c r="E693" s="17"/>
      <c r="F693" s="17"/>
      <c r="G693" s="4">
        <f>SUM($B693:$F693)</f>
        <v>0</v>
      </c>
      <c r="H693" s="17"/>
      <c r="I693" s="4">
        <f>$I692+$G693-$H693</f>
        <v>349526.07999999996</v>
      </c>
      <c r="J693" s="32" t="str">
        <f>IF($A694&lt;&gt;$A693,$I693,"")</f>
        <v/>
      </c>
      <c r="K693" s="79"/>
      <c r="L693" s="79"/>
      <c r="M693" s="2"/>
      <c r="N693" s="5"/>
      <c r="O693" s="3"/>
      <c r="P693" s="6"/>
      <c r="Q693" s="6"/>
    </row>
    <row r="694" spans="1:17" ht="15" customHeight="1" x14ac:dyDescent="0.25">
      <c r="A694" s="1"/>
      <c r="B694" s="17"/>
      <c r="C694" s="17"/>
      <c r="D694" s="17"/>
      <c r="E694" s="17"/>
      <c r="F694" s="17"/>
      <c r="G694" s="4">
        <f>SUM($B694:$F694)</f>
        <v>0</v>
      </c>
      <c r="H694" s="17"/>
      <c r="I694" s="4">
        <f>$I693+$G694-$H694</f>
        <v>349526.07999999996</v>
      </c>
      <c r="J694" s="32" t="str">
        <f>IF($A695&lt;&gt;$A694,$I694,"")</f>
        <v/>
      </c>
      <c r="K694" s="79"/>
      <c r="L694" s="79"/>
      <c r="M694" s="2"/>
      <c r="N694" s="5"/>
      <c r="O694" s="3"/>
      <c r="P694" s="6"/>
      <c r="Q694" s="6"/>
    </row>
    <row r="695" spans="1:17" ht="15" customHeight="1" x14ac:dyDescent="0.25">
      <c r="A695" s="1"/>
      <c r="B695" s="17"/>
      <c r="C695" s="17"/>
      <c r="D695" s="17"/>
      <c r="E695" s="17"/>
      <c r="F695" s="17"/>
      <c r="G695" s="4">
        <f>SUM($B695:$F695)</f>
        <v>0</v>
      </c>
      <c r="H695" s="17"/>
      <c r="I695" s="4">
        <f>$I694+$G695-$H695</f>
        <v>349526.07999999996</v>
      </c>
      <c r="J695" s="32" t="str">
        <f>IF($A696&lt;&gt;$A695,$I695,"")</f>
        <v/>
      </c>
      <c r="K695" s="79"/>
      <c r="L695" s="79"/>
      <c r="M695" s="2"/>
      <c r="N695" s="5"/>
      <c r="O695" s="3"/>
      <c r="P695" s="6"/>
      <c r="Q695" s="6"/>
    </row>
    <row r="696" spans="1:17" ht="15" customHeight="1" x14ac:dyDescent="0.25">
      <c r="A696" s="1"/>
      <c r="B696" s="17"/>
      <c r="C696" s="17"/>
      <c r="D696" s="17"/>
      <c r="E696" s="17"/>
      <c r="F696" s="17"/>
      <c r="G696" s="4">
        <f>SUM($B696:$F696)</f>
        <v>0</v>
      </c>
      <c r="H696" s="17"/>
      <c r="I696" s="4">
        <f>$I695+$G696-$H696</f>
        <v>349526.07999999996</v>
      </c>
      <c r="J696" s="32" t="str">
        <f>IF($A697&lt;&gt;$A696,$I696,"")</f>
        <v/>
      </c>
      <c r="K696" s="79"/>
      <c r="L696" s="79"/>
      <c r="M696" s="2"/>
      <c r="N696" s="5"/>
      <c r="O696" s="3"/>
      <c r="P696" s="6"/>
      <c r="Q696" s="6"/>
    </row>
    <row r="697" spans="1:17" ht="15" customHeight="1" x14ac:dyDescent="0.25">
      <c r="A697" s="1"/>
      <c r="B697" s="17"/>
      <c r="C697" s="17"/>
      <c r="D697" s="17"/>
      <c r="E697" s="17"/>
      <c r="F697" s="17"/>
      <c r="G697" s="4">
        <f>SUM($B697:$F697)</f>
        <v>0</v>
      </c>
      <c r="H697" s="17"/>
      <c r="I697" s="4">
        <f>$I696+$G697-$H697</f>
        <v>349526.07999999996</v>
      </c>
      <c r="J697" s="32" t="str">
        <f>IF($A698&lt;&gt;$A697,$I697,"")</f>
        <v/>
      </c>
      <c r="K697" s="79"/>
      <c r="L697" s="79"/>
      <c r="M697" s="2"/>
      <c r="N697" s="5"/>
      <c r="O697" s="3"/>
      <c r="P697" s="6"/>
      <c r="Q697" s="6"/>
    </row>
    <row r="698" spans="1:17" ht="15" customHeight="1" x14ac:dyDescent="0.25">
      <c r="A698" s="1"/>
      <c r="B698" s="17"/>
      <c r="C698" s="17"/>
      <c r="D698" s="17"/>
      <c r="E698" s="17"/>
      <c r="F698" s="17"/>
      <c r="G698" s="4">
        <f>SUM($B698:$F698)</f>
        <v>0</v>
      </c>
      <c r="H698" s="17"/>
      <c r="I698" s="4">
        <f>$I697+$G698-$H698</f>
        <v>349526.07999999996</v>
      </c>
      <c r="J698" s="32" t="str">
        <f>IF($A699&lt;&gt;$A698,$I698,"")</f>
        <v/>
      </c>
      <c r="K698" s="79"/>
      <c r="L698" s="79"/>
      <c r="M698" s="2"/>
      <c r="N698" s="5"/>
      <c r="O698" s="3"/>
      <c r="P698" s="6"/>
      <c r="Q698" s="6"/>
    </row>
    <row r="699" spans="1:17" ht="15" customHeight="1" x14ac:dyDescent="0.25">
      <c r="A699" s="1"/>
      <c r="B699" s="17"/>
      <c r="C699" s="17"/>
      <c r="D699" s="17"/>
      <c r="E699" s="17"/>
      <c r="F699" s="17"/>
      <c r="G699" s="4">
        <f>SUM($B699:$F699)</f>
        <v>0</v>
      </c>
      <c r="H699" s="17"/>
      <c r="I699" s="4">
        <f>$I698+$G699-$H699</f>
        <v>349526.07999999996</v>
      </c>
      <c r="J699" s="32" t="str">
        <f>IF($A700&lt;&gt;$A699,$I699,"")</f>
        <v/>
      </c>
      <c r="K699" s="79"/>
      <c r="L699" s="79"/>
      <c r="M699" s="2"/>
      <c r="N699" s="5"/>
      <c r="O699" s="3"/>
      <c r="P699" s="6"/>
      <c r="Q699" s="6"/>
    </row>
    <row r="700" spans="1:17" ht="15" customHeight="1" x14ac:dyDescent="0.25">
      <c r="A700" s="1"/>
      <c r="B700" s="17"/>
      <c r="C700" s="17"/>
      <c r="D700" s="17"/>
      <c r="E700" s="17"/>
      <c r="F700" s="17"/>
      <c r="G700" s="4">
        <f>SUM($B700:$F700)</f>
        <v>0</v>
      </c>
      <c r="H700" s="17"/>
      <c r="I700" s="4">
        <f>$I699+$G700-$H700</f>
        <v>349526.07999999996</v>
      </c>
      <c r="J700" s="32" t="str">
        <f>IF($A701&lt;&gt;$A700,$I700,"")</f>
        <v/>
      </c>
      <c r="K700" s="79"/>
      <c r="L700" s="79"/>
      <c r="M700" s="2"/>
      <c r="N700" s="5"/>
      <c r="O700" s="3"/>
      <c r="P700" s="6"/>
      <c r="Q700" s="6"/>
    </row>
    <row r="701" spans="1:17" ht="15" customHeight="1" x14ac:dyDescent="0.25">
      <c r="A701" s="1"/>
      <c r="B701" s="17"/>
      <c r="C701" s="17"/>
      <c r="D701" s="17"/>
      <c r="E701" s="17"/>
      <c r="F701" s="17"/>
      <c r="G701" s="4">
        <f>SUM($B701:$F701)</f>
        <v>0</v>
      </c>
      <c r="H701" s="17"/>
      <c r="I701" s="4">
        <f>$I700+$G701-$H701</f>
        <v>349526.07999999996</v>
      </c>
      <c r="J701" s="32" t="str">
        <f>IF($A702&lt;&gt;$A701,$I701,"")</f>
        <v/>
      </c>
      <c r="K701" s="79"/>
      <c r="L701" s="79"/>
      <c r="M701" s="2"/>
      <c r="N701" s="5"/>
      <c r="O701" s="3"/>
      <c r="P701" s="6"/>
      <c r="Q701" s="6"/>
    </row>
    <row r="702" spans="1:17" ht="15" customHeight="1" x14ac:dyDescent="0.25">
      <c r="A702" s="1"/>
      <c r="B702" s="17"/>
      <c r="C702" s="17"/>
      <c r="D702" s="17"/>
      <c r="E702" s="17"/>
      <c r="F702" s="17"/>
      <c r="G702" s="4">
        <f>SUM($B702:$F702)</f>
        <v>0</v>
      </c>
      <c r="H702" s="17"/>
      <c r="I702" s="4">
        <f>$I701+$G702-$H702</f>
        <v>349526.07999999996</v>
      </c>
      <c r="J702" s="32" t="str">
        <f>IF($A703&lt;&gt;$A702,$I702,"")</f>
        <v/>
      </c>
      <c r="K702" s="79"/>
      <c r="L702" s="79"/>
      <c r="M702" s="2"/>
      <c r="N702" s="5"/>
      <c r="O702" s="3"/>
      <c r="P702" s="6"/>
      <c r="Q702" s="6"/>
    </row>
    <row r="703" spans="1:17" ht="15" customHeight="1" x14ac:dyDescent="0.25">
      <c r="A703" s="1"/>
      <c r="B703" s="17"/>
      <c r="C703" s="17"/>
      <c r="D703" s="17"/>
      <c r="E703" s="17"/>
      <c r="F703" s="17"/>
      <c r="G703" s="4">
        <f>SUM($B703:$F703)</f>
        <v>0</v>
      </c>
      <c r="H703" s="17"/>
      <c r="I703" s="4">
        <f>$I702+$G703-$H703</f>
        <v>349526.07999999996</v>
      </c>
      <c r="J703" s="32" t="str">
        <f>IF($A704&lt;&gt;$A703,$I703,"")</f>
        <v/>
      </c>
      <c r="K703" s="79"/>
      <c r="L703" s="79"/>
      <c r="M703" s="2"/>
      <c r="N703" s="5"/>
      <c r="O703" s="3"/>
      <c r="P703" s="6"/>
      <c r="Q703" s="6"/>
    </row>
    <row r="704" spans="1:17" ht="15" customHeight="1" x14ac:dyDescent="0.25">
      <c r="A704" s="1"/>
      <c r="B704" s="17"/>
      <c r="C704" s="17"/>
      <c r="D704" s="17"/>
      <c r="E704" s="17"/>
      <c r="F704" s="17"/>
      <c r="G704" s="4">
        <f>SUM($B704:$F704)</f>
        <v>0</v>
      </c>
      <c r="H704" s="17"/>
      <c r="I704" s="4">
        <f>$I703+$G704-$H704</f>
        <v>349526.07999999996</v>
      </c>
      <c r="J704" s="32" t="str">
        <f>IF($A705&lt;&gt;$A704,$I704,"")</f>
        <v/>
      </c>
      <c r="K704" s="79"/>
      <c r="L704" s="79"/>
      <c r="M704" s="2"/>
      <c r="N704" s="5"/>
      <c r="O704" s="3"/>
      <c r="P704" s="6"/>
      <c r="Q704" s="6"/>
    </row>
    <row r="705" spans="1:17" ht="15" customHeight="1" x14ac:dyDescent="0.25">
      <c r="A705" s="1"/>
      <c r="B705" s="17"/>
      <c r="C705" s="17"/>
      <c r="D705" s="17"/>
      <c r="E705" s="17"/>
      <c r="F705" s="17"/>
      <c r="G705" s="4">
        <f>SUM($B705:$F705)</f>
        <v>0</v>
      </c>
      <c r="H705" s="17"/>
      <c r="I705" s="4">
        <f>$I704+$G705-$H705</f>
        <v>349526.07999999996</v>
      </c>
      <c r="J705" s="32" t="str">
        <f>IF($A706&lt;&gt;$A705,$I705,"")</f>
        <v/>
      </c>
      <c r="K705" s="79"/>
      <c r="L705" s="79"/>
      <c r="M705" s="2"/>
      <c r="N705" s="5"/>
      <c r="O705" s="3"/>
      <c r="P705" s="6"/>
      <c r="Q705" s="6"/>
    </row>
    <row r="706" spans="1:17" ht="15" customHeight="1" x14ac:dyDescent="0.25">
      <c r="A706" s="1"/>
      <c r="B706" s="17"/>
      <c r="C706" s="17"/>
      <c r="D706" s="17"/>
      <c r="E706" s="17"/>
      <c r="F706" s="17"/>
      <c r="G706" s="4">
        <f>SUM($B706:$F706)</f>
        <v>0</v>
      </c>
      <c r="H706" s="17"/>
      <c r="I706" s="4">
        <f>$I705+$G706-$H706</f>
        <v>349526.07999999996</v>
      </c>
      <c r="J706" s="32" t="str">
        <f>IF($A707&lt;&gt;$A706,$I706,"")</f>
        <v/>
      </c>
      <c r="K706" s="79"/>
      <c r="L706" s="79"/>
      <c r="M706" s="2"/>
      <c r="N706" s="5"/>
      <c r="O706" s="3"/>
      <c r="P706" s="6"/>
      <c r="Q706" s="6"/>
    </row>
    <row r="707" spans="1:17" ht="15" customHeight="1" x14ac:dyDescent="0.25">
      <c r="A707" s="1"/>
      <c r="B707" s="17"/>
      <c r="C707" s="17"/>
      <c r="D707" s="17"/>
      <c r="E707" s="17"/>
      <c r="F707" s="17"/>
      <c r="G707" s="4">
        <f>SUM($B707:$F707)</f>
        <v>0</v>
      </c>
      <c r="H707" s="17"/>
      <c r="I707" s="4">
        <f>$I706+$G707-$H707</f>
        <v>349526.07999999996</v>
      </c>
      <c r="J707" s="32" t="str">
        <f>IF($A708&lt;&gt;$A707,$I707,"")</f>
        <v/>
      </c>
      <c r="K707" s="79"/>
      <c r="L707" s="79"/>
      <c r="M707" s="2"/>
      <c r="N707" s="5"/>
      <c r="O707" s="3"/>
      <c r="P707" s="6"/>
      <c r="Q707" s="6"/>
    </row>
    <row r="708" spans="1:17" ht="15" customHeight="1" x14ac:dyDescent="0.25">
      <c r="A708" s="1"/>
      <c r="B708" s="17"/>
      <c r="C708" s="17"/>
      <c r="D708" s="17"/>
      <c r="E708" s="17"/>
      <c r="F708" s="17"/>
      <c r="G708" s="4">
        <f>SUM($B708:$F708)</f>
        <v>0</v>
      </c>
      <c r="H708" s="17"/>
      <c r="I708" s="4">
        <f>$I707+$G708-$H708</f>
        <v>349526.07999999996</v>
      </c>
      <c r="J708" s="32" t="str">
        <f>IF($A709&lt;&gt;$A708,$I708,"")</f>
        <v/>
      </c>
      <c r="K708" s="79"/>
      <c r="L708" s="79"/>
      <c r="M708" s="2"/>
      <c r="N708" s="5"/>
      <c r="O708" s="3"/>
      <c r="P708" s="6"/>
      <c r="Q708" s="6"/>
    </row>
    <row r="709" spans="1:17" ht="15" customHeight="1" x14ac:dyDescent="0.25">
      <c r="A709" s="1"/>
      <c r="B709" s="17"/>
      <c r="C709" s="17"/>
      <c r="D709" s="17"/>
      <c r="E709" s="17"/>
      <c r="F709" s="17"/>
      <c r="G709" s="4">
        <f>SUM($B709:$F709)</f>
        <v>0</v>
      </c>
      <c r="H709" s="17"/>
      <c r="I709" s="4">
        <f>$I708+$G709-$H709</f>
        <v>349526.07999999996</v>
      </c>
      <c r="J709" s="32" t="str">
        <f>IF($A710&lt;&gt;$A709,$I709,"")</f>
        <v/>
      </c>
      <c r="K709" s="79"/>
      <c r="L709" s="79"/>
      <c r="M709" s="2"/>
      <c r="N709" s="5"/>
      <c r="O709" s="3"/>
      <c r="P709" s="6"/>
      <c r="Q709" s="6"/>
    </row>
    <row r="710" spans="1:17" ht="15" customHeight="1" x14ac:dyDescent="0.25">
      <c r="A710" s="1"/>
      <c r="B710" s="17"/>
      <c r="C710" s="17"/>
      <c r="D710" s="17"/>
      <c r="E710" s="17"/>
      <c r="F710" s="17"/>
      <c r="G710" s="4">
        <f>SUM($B710:$F710)</f>
        <v>0</v>
      </c>
      <c r="H710" s="17"/>
      <c r="I710" s="4">
        <f>$I709+$G710-$H710</f>
        <v>349526.07999999996</v>
      </c>
      <c r="J710" s="32" t="str">
        <f>IF($A711&lt;&gt;$A710,$I710,"")</f>
        <v/>
      </c>
      <c r="K710" s="79"/>
      <c r="L710" s="79"/>
      <c r="M710" s="2"/>
      <c r="N710" s="5"/>
      <c r="O710" s="3"/>
      <c r="P710" s="6"/>
      <c r="Q710" s="6"/>
    </row>
    <row r="711" spans="1:17" ht="15" customHeight="1" x14ac:dyDescent="0.25">
      <c r="A711" s="1"/>
      <c r="B711" s="17"/>
      <c r="C711" s="17"/>
      <c r="D711" s="17"/>
      <c r="E711" s="17"/>
      <c r="F711" s="17"/>
      <c r="G711" s="4">
        <f>SUM($B711:$F711)</f>
        <v>0</v>
      </c>
      <c r="H711" s="17"/>
      <c r="I711" s="4">
        <f>$I710+$G711-$H711</f>
        <v>349526.07999999996</v>
      </c>
      <c r="J711" s="32" t="str">
        <f>IF($A712&lt;&gt;$A711,$I711,"")</f>
        <v/>
      </c>
      <c r="K711" s="79"/>
      <c r="L711" s="79"/>
      <c r="M711" s="2"/>
      <c r="N711" s="5"/>
      <c r="O711" s="3"/>
      <c r="P711" s="6"/>
      <c r="Q711" s="6"/>
    </row>
    <row r="712" spans="1:17" ht="15" customHeight="1" x14ac:dyDescent="0.25">
      <c r="A712" s="1"/>
      <c r="B712" s="17"/>
      <c r="C712" s="17"/>
      <c r="D712" s="17"/>
      <c r="E712" s="17"/>
      <c r="F712" s="17"/>
      <c r="G712" s="4">
        <f>SUM($B712:$F712)</f>
        <v>0</v>
      </c>
      <c r="H712" s="17"/>
      <c r="I712" s="4">
        <f>$I711+$G712-$H712</f>
        <v>349526.07999999996</v>
      </c>
      <c r="J712" s="32" t="str">
        <f>IF($A713&lt;&gt;$A712,$I712,"")</f>
        <v/>
      </c>
      <c r="K712" s="79"/>
      <c r="L712" s="79"/>
      <c r="M712" s="2"/>
      <c r="N712" s="5"/>
      <c r="O712" s="3"/>
      <c r="P712" s="6"/>
      <c r="Q712" s="6"/>
    </row>
    <row r="713" spans="1:17" ht="15" customHeight="1" x14ac:dyDescent="0.25">
      <c r="A713" s="1"/>
      <c r="B713" s="17"/>
      <c r="C713" s="17"/>
      <c r="D713" s="17"/>
      <c r="E713" s="17"/>
      <c r="F713" s="17"/>
      <c r="G713" s="4">
        <f>SUM($B713:$F713)</f>
        <v>0</v>
      </c>
      <c r="H713" s="17"/>
      <c r="I713" s="4">
        <f>$I712+$G713-$H713</f>
        <v>349526.07999999996</v>
      </c>
      <c r="J713" s="32" t="str">
        <f>IF($A714&lt;&gt;$A713,$I713,"")</f>
        <v/>
      </c>
      <c r="K713" s="79"/>
      <c r="L713" s="79"/>
      <c r="M713" s="2"/>
      <c r="N713" s="5"/>
      <c r="O713" s="3"/>
      <c r="P713" s="6"/>
      <c r="Q713" s="6"/>
    </row>
    <row r="714" spans="1:17" ht="15" customHeight="1" x14ac:dyDescent="0.25">
      <c r="A714" s="1"/>
      <c r="B714" s="17"/>
      <c r="C714" s="17"/>
      <c r="D714" s="17"/>
      <c r="E714" s="17"/>
      <c r="F714" s="17"/>
      <c r="G714" s="4">
        <f>SUM($B714:$F714)</f>
        <v>0</v>
      </c>
      <c r="H714" s="17"/>
      <c r="I714" s="4">
        <f>$I713+$G714-$H714</f>
        <v>349526.07999999996</v>
      </c>
      <c r="J714" s="32" t="str">
        <f>IF($A715&lt;&gt;$A714,$I714,"")</f>
        <v/>
      </c>
      <c r="K714" s="79"/>
      <c r="L714" s="79"/>
      <c r="M714" s="2"/>
      <c r="N714" s="5"/>
      <c r="O714" s="3"/>
      <c r="P714" s="6"/>
      <c r="Q714" s="6"/>
    </row>
    <row r="715" spans="1:17" ht="15" customHeight="1" x14ac:dyDescent="0.25">
      <c r="A715" s="1"/>
      <c r="B715" s="17"/>
      <c r="C715" s="17"/>
      <c r="D715" s="17"/>
      <c r="E715" s="17"/>
      <c r="F715" s="17"/>
      <c r="G715" s="4">
        <f>SUM($B715:$F715)</f>
        <v>0</v>
      </c>
      <c r="H715" s="17"/>
      <c r="I715" s="4">
        <f>$I714+$G715-$H715</f>
        <v>349526.07999999996</v>
      </c>
      <c r="J715" s="32" t="str">
        <f>IF($A716&lt;&gt;$A715,$I715,"")</f>
        <v/>
      </c>
      <c r="K715" s="79"/>
      <c r="L715" s="79"/>
      <c r="M715" s="2"/>
      <c r="N715" s="5"/>
      <c r="O715" s="3"/>
      <c r="P715" s="6"/>
      <c r="Q715" s="6"/>
    </row>
    <row r="716" spans="1:17" ht="15" customHeight="1" x14ac:dyDescent="0.25">
      <c r="A716" s="1"/>
      <c r="B716" s="17"/>
      <c r="C716" s="17"/>
      <c r="D716" s="17"/>
      <c r="E716" s="17"/>
      <c r="F716" s="17"/>
      <c r="G716" s="4">
        <f>SUM($B716:$F716)</f>
        <v>0</v>
      </c>
      <c r="H716" s="17"/>
      <c r="I716" s="4">
        <f>$I715+$G716-$H716</f>
        <v>349526.07999999996</v>
      </c>
      <c r="J716" s="32" t="str">
        <f>IF($A717&lt;&gt;$A716,$I716,"")</f>
        <v/>
      </c>
      <c r="K716" s="79"/>
      <c r="L716" s="79"/>
      <c r="M716" s="2"/>
      <c r="N716" s="5"/>
      <c r="O716" s="3"/>
      <c r="P716" s="6"/>
      <c r="Q716" s="6"/>
    </row>
    <row r="717" spans="1:17" ht="15" customHeight="1" x14ac:dyDescent="0.25">
      <c r="A717" s="1"/>
      <c r="B717" s="17"/>
      <c r="C717" s="17"/>
      <c r="D717" s="17"/>
      <c r="E717" s="17"/>
      <c r="F717" s="17"/>
      <c r="G717" s="4">
        <f>SUM($B717:$F717)</f>
        <v>0</v>
      </c>
      <c r="H717" s="17"/>
      <c r="I717" s="4">
        <f>$I716+$G717-$H717</f>
        <v>349526.07999999996</v>
      </c>
      <c r="J717" s="32" t="str">
        <f>IF($A718&lt;&gt;$A717,$I717,"")</f>
        <v/>
      </c>
      <c r="K717" s="79"/>
      <c r="L717" s="79"/>
      <c r="M717" s="2"/>
      <c r="N717" s="5"/>
      <c r="O717" s="3"/>
      <c r="P717" s="6"/>
      <c r="Q717" s="6"/>
    </row>
    <row r="718" spans="1:17" ht="15" customHeight="1" x14ac:dyDescent="0.25">
      <c r="A718" s="1"/>
      <c r="B718" s="17"/>
      <c r="C718" s="17"/>
      <c r="D718" s="17"/>
      <c r="E718" s="17"/>
      <c r="F718" s="17"/>
      <c r="G718" s="4">
        <f>SUM($B718:$F718)</f>
        <v>0</v>
      </c>
      <c r="H718" s="17"/>
      <c r="I718" s="4">
        <f>$I717+$G718-$H718</f>
        <v>349526.07999999996</v>
      </c>
      <c r="J718" s="32" t="str">
        <f>IF($A719&lt;&gt;$A718,$I718,"")</f>
        <v/>
      </c>
      <c r="K718" s="79"/>
      <c r="L718" s="79"/>
      <c r="M718" s="2"/>
      <c r="N718" s="5"/>
      <c r="O718" s="3"/>
      <c r="P718" s="6"/>
      <c r="Q718" s="6"/>
    </row>
    <row r="719" spans="1:17" ht="15" customHeight="1" x14ac:dyDescent="0.25">
      <c r="A719" s="1"/>
      <c r="B719" s="17"/>
      <c r="C719" s="17"/>
      <c r="D719" s="17"/>
      <c r="E719" s="17"/>
      <c r="F719" s="17"/>
      <c r="G719" s="4">
        <f>SUM($B719:$F719)</f>
        <v>0</v>
      </c>
      <c r="H719" s="17"/>
      <c r="I719" s="4">
        <f>$I718+$G719-$H719</f>
        <v>349526.07999999996</v>
      </c>
      <c r="J719" s="32" t="str">
        <f>IF($A720&lt;&gt;$A719,$I719,"")</f>
        <v/>
      </c>
      <c r="K719" s="79"/>
      <c r="L719" s="79"/>
      <c r="M719" s="2"/>
      <c r="N719" s="5"/>
      <c r="O719" s="3"/>
      <c r="P719" s="6"/>
      <c r="Q719" s="6"/>
    </row>
    <row r="720" spans="1:17" ht="15" customHeight="1" x14ac:dyDescent="0.25">
      <c r="A720" s="1"/>
      <c r="B720" s="17"/>
      <c r="C720" s="17"/>
      <c r="D720" s="17"/>
      <c r="E720" s="17"/>
      <c r="F720" s="17"/>
      <c r="G720" s="4">
        <f>SUM($B720:$F720)</f>
        <v>0</v>
      </c>
      <c r="H720" s="17"/>
      <c r="I720" s="4">
        <f>$I719+$G720-$H720</f>
        <v>349526.07999999996</v>
      </c>
      <c r="J720" s="32" t="str">
        <f>IF($A721&lt;&gt;$A720,$I720,"")</f>
        <v/>
      </c>
      <c r="K720" s="79"/>
      <c r="L720" s="79"/>
      <c r="M720" s="2"/>
      <c r="N720" s="5"/>
      <c r="O720" s="3"/>
      <c r="P720" s="6"/>
      <c r="Q720" s="6"/>
    </row>
    <row r="721" spans="1:17" ht="15" customHeight="1" x14ac:dyDescent="0.25">
      <c r="A721" s="1"/>
      <c r="B721" s="17"/>
      <c r="C721" s="17"/>
      <c r="D721" s="17"/>
      <c r="E721" s="17"/>
      <c r="F721" s="17"/>
      <c r="G721" s="4">
        <f>SUM($B721:$F721)</f>
        <v>0</v>
      </c>
      <c r="H721" s="17"/>
      <c r="I721" s="4">
        <f>$I720+$G721-$H721</f>
        <v>349526.07999999996</v>
      </c>
      <c r="J721" s="32" t="str">
        <f>IF($A722&lt;&gt;$A721,$I721,"")</f>
        <v/>
      </c>
      <c r="K721" s="79"/>
      <c r="L721" s="79"/>
      <c r="M721" s="2"/>
      <c r="N721" s="5"/>
      <c r="O721" s="3"/>
      <c r="P721" s="6"/>
      <c r="Q721" s="6"/>
    </row>
    <row r="722" spans="1:17" ht="15" customHeight="1" x14ac:dyDescent="0.25">
      <c r="A722" s="1"/>
      <c r="B722" s="17"/>
      <c r="C722" s="17"/>
      <c r="D722" s="17"/>
      <c r="E722" s="17"/>
      <c r="F722" s="17"/>
      <c r="G722" s="4">
        <f>SUM($B722:$F722)</f>
        <v>0</v>
      </c>
      <c r="H722" s="17"/>
      <c r="I722" s="4">
        <f>$I721+$G722-$H722</f>
        <v>349526.07999999996</v>
      </c>
      <c r="J722" s="32" t="str">
        <f>IF($A723&lt;&gt;$A722,$I722,"")</f>
        <v/>
      </c>
      <c r="K722" s="79"/>
      <c r="L722" s="79"/>
      <c r="M722" s="2"/>
      <c r="N722" s="5"/>
      <c r="O722" s="3"/>
      <c r="P722" s="6"/>
      <c r="Q722" s="6"/>
    </row>
    <row r="723" spans="1:17" ht="15" customHeight="1" x14ac:dyDescent="0.25">
      <c r="A723" s="1"/>
      <c r="B723" s="17"/>
      <c r="C723" s="17"/>
      <c r="D723" s="17"/>
      <c r="E723" s="17"/>
      <c r="F723" s="17"/>
      <c r="G723" s="4">
        <f>SUM($B723:$F723)</f>
        <v>0</v>
      </c>
      <c r="H723" s="17"/>
      <c r="I723" s="4">
        <f>$I722+$G723-$H723</f>
        <v>349526.07999999996</v>
      </c>
      <c r="J723" s="32" t="str">
        <f>IF($A724&lt;&gt;$A723,$I723,"")</f>
        <v/>
      </c>
      <c r="K723" s="79"/>
      <c r="L723" s="79"/>
      <c r="M723" s="2"/>
      <c r="N723" s="5"/>
      <c r="O723" s="3"/>
      <c r="P723" s="6"/>
      <c r="Q723" s="6"/>
    </row>
    <row r="724" spans="1:17" ht="15" customHeight="1" x14ac:dyDescent="0.25">
      <c r="A724" s="1"/>
      <c r="B724" s="17"/>
      <c r="C724" s="17"/>
      <c r="D724" s="17"/>
      <c r="E724" s="17"/>
      <c r="F724" s="17"/>
      <c r="G724" s="4">
        <f>SUM($B724:$F724)</f>
        <v>0</v>
      </c>
      <c r="H724" s="17"/>
      <c r="I724" s="4">
        <f>$I723+$G724-$H724</f>
        <v>349526.07999999996</v>
      </c>
      <c r="J724" s="32" t="str">
        <f>IF($A725&lt;&gt;$A724,$I724,"")</f>
        <v/>
      </c>
      <c r="K724" s="79"/>
      <c r="L724" s="79"/>
      <c r="M724" s="2"/>
      <c r="N724" s="5"/>
      <c r="O724" s="3"/>
      <c r="P724" s="6"/>
      <c r="Q724" s="6"/>
    </row>
    <row r="725" spans="1:17" ht="15" customHeight="1" x14ac:dyDescent="0.25">
      <c r="A725" s="1"/>
      <c r="B725" s="17"/>
      <c r="C725" s="17"/>
      <c r="D725" s="17"/>
      <c r="E725" s="17"/>
      <c r="F725" s="17"/>
      <c r="G725" s="4">
        <f>SUM($B725:$F725)</f>
        <v>0</v>
      </c>
      <c r="H725" s="17"/>
      <c r="I725" s="4">
        <f>$I724+$G725-$H725</f>
        <v>349526.07999999996</v>
      </c>
      <c r="J725" s="32" t="str">
        <f>IF($A726&lt;&gt;$A725,$I725,"")</f>
        <v/>
      </c>
      <c r="K725" s="79"/>
      <c r="L725" s="79"/>
      <c r="M725" s="2"/>
      <c r="N725" s="5"/>
      <c r="O725" s="3"/>
      <c r="P725" s="6"/>
      <c r="Q725" s="6"/>
    </row>
    <row r="726" spans="1:17" ht="15" customHeight="1" x14ac:dyDescent="0.25">
      <c r="A726" s="1"/>
      <c r="B726" s="17"/>
      <c r="C726" s="17"/>
      <c r="D726" s="17"/>
      <c r="E726" s="17"/>
      <c r="F726" s="17"/>
      <c r="G726" s="4">
        <f>SUM($B726:$F726)</f>
        <v>0</v>
      </c>
      <c r="H726" s="17"/>
      <c r="I726" s="4">
        <f>$I725+$G726-$H726</f>
        <v>349526.07999999996</v>
      </c>
      <c r="J726" s="32" t="str">
        <f>IF($A727&lt;&gt;$A726,$I726,"")</f>
        <v/>
      </c>
      <c r="K726" s="79"/>
      <c r="L726" s="79"/>
      <c r="M726" s="2"/>
      <c r="N726" s="5"/>
      <c r="O726" s="3"/>
      <c r="P726" s="6"/>
      <c r="Q726" s="6"/>
    </row>
    <row r="727" spans="1:17" ht="15" customHeight="1" x14ac:dyDescent="0.25">
      <c r="A727" s="1"/>
      <c r="B727" s="17"/>
      <c r="C727" s="17"/>
      <c r="D727" s="17"/>
      <c r="E727" s="17"/>
      <c r="F727" s="17"/>
      <c r="G727" s="4">
        <f>SUM($B727:$F727)</f>
        <v>0</v>
      </c>
      <c r="H727" s="17"/>
      <c r="I727" s="4">
        <f>$I726+$G727-$H727</f>
        <v>349526.07999999996</v>
      </c>
      <c r="J727" s="32" t="str">
        <f>IF($A728&lt;&gt;$A727,$I727,"")</f>
        <v/>
      </c>
      <c r="K727" s="79"/>
      <c r="L727" s="79"/>
      <c r="M727" s="2"/>
      <c r="N727" s="5"/>
      <c r="O727" s="3"/>
      <c r="P727" s="6"/>
      <c r="Q727" s="6"/>
    </row>
    <row r="728" spans="1:17" ht="15" customHeight="1" x14ac:dyDescent="0.25">
      <c r="A728" s="1"/>
      <c r="B728" s="17"/>
      <c r="C728" s="17"/>
      <c r="D728" s="17"/>
      <c r="E728" s="17"/>
      <c r="F728" s="17"/>
      <c r="G728" s="4">
        <f>SUM($B728:$F728)</f>
        <v>0</v>
      </c>
      <c r="H728" s="17"/>
      <c r="I728" s="4">
        <f>$I727+$G728-$H728</f>
        <v>349526.07999999996</v>
      </c>
      <c r="J728" s="32" t="str">
        <f>IF($A729&lt;&gt;$A728,$I728,"")</f>
        <v/>
      </c>
      <c r="K728" s="79"/>
      <c r="L728" s="79"/>
      <c r="M728" s="2"/>
      <c r="N728" s="5"/>
      <c r="O728" s="3"/>
      <c r="P728" s="6"/>
      <c r="Q728" s="6"/>
    </row>
    <row r="729" spans="1:17" ht="15" customHeight="1" x14ac:dyDescent="0.25">
      <c r="A729" s="1"/>
      <c r="B729" s="17"/>
      <c r="C729" s="17"/>
      <c r="D729" s="17"/>
      <c r="E729" s="17"/>
      <c r="F729" s="17"/>
      <c r="G729" s="4">
        <f>SUM($B729:$F729)</f>
        <v>0</v>
      </c>
      <c r="H729" s="17"/>
      <c r="I729" s="4">
        <f>$I728+$G729-$H729</f>
        <v>349526.07999999996</v>
      </c>
      <c r="J729" s="32" t="str">
        <f>IF($A730&lt;&gt;$A729,$I729,"")</f>
        <v/>
      </c>
      <c r="K729" s="79"/>
      <c r="L729" s="79"/>
      <c r="M729" s="2"/>
      <c r="N729" s="5"/>
      <c r="O729" s="3"/>
      <c r="P729" s="6"/>
      <c r="Q729" s="6"/>
    </row>
    <row r="730" spans="1:17" ht="15" customHeight="1" x14ac:dyDescent="0.25">
      <c r="A730" s="1"/>
      <c r="B730" s="17"/>
      <c r="C730" s="17"/>
      <c r="D730" s="17"/>
      <c r="E730" s="17"/>
      <c r="F730" s="17"/>
      <c r="G730" s="4">
        <f>SUM($B730:$F730)</f>
        <v>0</v>
      </c>
      <c r="H730" s="17"/>
      <c r="I730" s="4">
        <f>$I729+$G730-$H730</f>
        <v>349526.07999999996</v>
      </c>
      <c r="J730" s="32" t="str">
        <f>IF($A731&lt;&gt;$A730,$I730,"")</f>
        <v/>
      </c>
      <c r="K730" s="79"/>
      <c r="L730" s="79"/>
      <c r="M730" s="2"/>
      <c r="N730" s="5"/>
      <c r="O730" s="3"/>
      <c r="P730" s="6"/>
      <c r="Q730" s="6"/>
    </row>
    <row r="731" spans="1:17" ht="15" customHeight="1" x14ac:dyDescent="0.25">
      <c r="A731" s="1"/>
      <c r="B731" s="17"/>
      <c r="C731" s="17"/>
      <c r="D731" s="17"/>
      <c r="E731" s="17"/>
      <c r="F731" s="17"/>
      <c r="G731" s="4">
        <f>SUM($B731:$F731)</f>
        <v>0</v>
      </c>
      <c r="H731" s="17"/>
      <c r="I731" s="4">
        <f>$I730+$G731-$H731</f>
        <v>349526.07999999996</v>
      </c>
      <c r="J731" s="32" t="str">
        <f>IF($A732&lt;&gt;$A731,$I731,"")</f>
        <v/>
      </c>
      <c r="K731" s="79"/>
      <c r="L731" s="79"/>
      <c r="M731" s="2"/>
      <c r="N731" s="5"/>
      <c r="O731" s="3"/>
      <c r="P731" s="6"/>
      <c r="Q731" s="6"/>
    </row>
    <row r="732" spans="1:17" ht="15" customHeight="1" x14ac:dyDescent="0.25">
      <c r="A732" s="1"/>
      <c r="B732" s="17"/>
      <c r="C732" s="17"/>
      <c r="D732" s="17"/>
      <c r="E732" s="17"/>
      <c r="F732" s="17"/>
      <c r="G732" s="4">
        <f>SUM($B732:$F732)</f>
        <v>0</v>
      </c>
      <c r="H732" s="17"/>
      <c r="I732" s="4">
        <f>$I731+$G732-$H732</f>
        <v>349526.07999999996</v>
      </c>
      <c r="J732" s="32" t="str">
        <f>IF($A733&lt;&gt;$A732,$I732,"")</f>
        <v/>
      </c>
      <c r="K732" s="79"/>
      <c r="L732" s="79"/>
      <c r="M732" s="2"/>
      <c r="N732" s="5"/>
      <c r="O732" s="3"/>
      <c r="P732" s="6"/>
      <c r="Q732" s="6"/>
    </row>
    <row r="733" spans="1:17" ht="15" customHeight="1" x14ac:dyDescent="0.25">
      <c r="A733" s="1"/>
      <c r="B733" s="17"/>
      <c r="C733" s="17"/>
      <c r="D733" s="17"/>
      <c r="E733" s="17"/>
      <c r="F733" s="17"/>
      <c r="G733" s="4">
        <f>SUM($B733:$F733)</f>
        <v>0</v>
      </c>
      <c r="H733" s="17"/>
      <c r="I733" s="4">
        <f>$I732+$G733-$H733</f>
        <v>349526.07999999996</v>
      </c>
      <c r="J733" s="32" t="str">
        <f>IF($A734&lt;&gt;$A733,$I733,"")</f>
        <v/>
      </c>
      <c r="K733" s="79"/>
      <c r="L733" s="79"/>
      <c r="M733" s="2"/>
      <c r="N733" s="5"/>
      <c r="O733" s="3"/>
      <c r="P733" s="6"/>
      <c r="Q733" s="6"/>
    </row>
    <row r="734" spans="1:17" ht="15" customHeight="1" x14ac:dyDescent="0.25">
      <c r="A734" s="1"/>
      <c r="B734" s="17"/>
      <c r="C734" s="17"/>
      <c r="D734" s="17"/>
      <c r="E734" s="17"/>
      <c r="F734" s="17"/>
      <c r="G734" s="4">
        <f>SUM($B734:$F734)</f>
        <v>0</v>
      </c>
      <c r="H734" s="17"/>
      <c r="I734" s="4">
        <f>$I733+$G734-$H734</f>
        <v>349526.07999999996</v>
      </c>
      <c r="J734" s="32" t="str">
        <f>IF($A735&lt;&gt;$A734,$I734,"")</f>
        <v/>
      </c>
      <c r="K734" s="79"/>
      <c r="L734" s="79"/>
      <c r="M734" s="2"/>
      <c r="N734" s="5"/>
      <c r="O734" s="3"/>
      <c r="P734" s="6"/>
      <c r="Q734" s="6"/>
    </row>
    <row r="735" spans="1:17" ht="15" customHeight="1" x14ac:dyDescent="0.25">
      <c r="A735" s="1"/>
      <c r="B735" s="17"/>
      <c r="C735" s="17"/>
      <c r="D735" s="17"/>
      <c r="E735" s="17"/>
      <c r="F735" s="17"/>
      <c r="G735" s="4">
        <f>SUM($B735:$F735)</f>
        <v>0</v>
      </c>
      <c r="H735" s="17"/>
      <c r="I735" s="4">
        <f>$I734+$G735-$H735</f>
        <v>349526.07999999996</v>
      </c>
      <c r="J735" s="32" t="str">
        <f>IF($A736&lt;&gt;$A735,$I735,"")</f>
        <v/>
      </c>
      <c r="K735" s="79"/>
      <c r="L735" s="79"/>
      <c r="M735" s="2"/>
      <c r="N735" s="5"/>
      <c r="O735" s="3"/>
      <c r="P735" s="6"/>
      <c r="Q735" s="6"/>
    </row>
    <row r="736" spans="1:17" ht="15" customHeight="1" x14ac:dyDescent="0.25">
      <c r="A736" s="1"/>
      <c r="B736" s="17"/>
      <c r="C736" s="17"/>
      <c r="D736" s="17"/>
      <c r="E736" s="17"/>
      <c r="F736" s="17"/>
      <c r="G736" s="4">
        <f>SUM($B736:$F736)</f>
        <v>0</v>
      </c>
      <c r="H736" s="17"/>
      <c r="I736" s="4">
        <f>$I735+$G736-$H736</f>
        <v>349526.07999999996</v>
      </c>
      <c r="J736" s="32" t="str">
        <f>IF($A737&lt;&gt;$A736,$I736,"")</f>
        <v/>
      </c>
      <c r="K736" s="79"/>
      <c r="L736" s="79"/>
      <c r="M736" s="2"/>
      <c r="N736" s="5"/>
      <c r="O736" s="3"/>
      <c r="P736" s="6"/>
      <c r="Q736" s="6"/>
    </row>
    <row r="737" spans="1:17" ht="15" customHeight="1" x14ac:dyDescent="0.25">
      <c r="A737" s="1"/>
      <c r="B737" s="17"/>
      <c r="C737" s="17"/>
      <c r="D737" s="17"/>
      <c r="E737" s="17"/>
      <c r="F737" s="17"/>
      <c r="G737" s="4">
        <f>SUM($B737:$F737)</f>
        <v>0</v>
      </c>
      <c r="H737" s="17"/>
      <c r="I737" s="4">
        <f>$I736+$G737-$H737</f>
        <v>349526.07999999996</v>
      </c>
      <c r="J737" s="32" t="str">
        <f>IF($A738&lt;&gt;$A737,$I737,"")</f>
        <v/>
      </c>
      <c r="K737" s="79"/>
      <c r="L737" s="79"/>
      <c r="M737" s="2"/>
      <c r="N737" s="5"/>
      <c r="O737" s="3"/>
      <c r="P737" s="6"/>
      <c r="Q737" s="6"/>
    </row>
    <row r="738" spans="1:17" ht="15" customHeight="1" x14ac:dyDescent="0.25">
      <c r="A738" s="1"/>
      <c r="B738" s="17"/>
      <c r="C738" s="17"/>
      <c r="D738" s="17"/>
      <c r="E738" s="17"/>
      <c r="F738" s="17"/>
      <c r="G738" s="4">
        <f>SUM($B738:$F738)</f>
        <v>0</v>
      </c>
      <c r="H738" s="17"/>
      <c r="I738" s="4">
        <f>$I737+$G738-$H738</f>
        <v>349526.07999999996</v>
      </c>
      <c r="J738" s="32" t="str">
        <f>IF($A739&lt;&gt;$A738,$I738,"")</f>
        <v/>
      </c>
      <c r="K738" s="79"/>
      <c r="L738" s="79"/>
      <c r="M738" s="2"/>
      <c r="N738" s="5"/>
      <c r="O738" s="3"/>
      <c r="P738" s="6"/>
      <c r="Q738" s="6"/>
    </row>
    <row r="739" spans="1:17" ht="15" customHeight="1" x14ac:dyDescent="0.25">
      <c r="A739" s="1"/>
      <c r="B739" s="17"/>
      <c r="C739" s="17"/>
      <c r="D739" s="17"/>
      <c r="E739" s="17"/>
      <c r="F739" s="17"/>
      <c r="G739" s="4">
        <f>SUM($B739:$F739)</f>
        <v>0</v>
      </c>
      <c r="H739" s="17"/>
      <c r="I739" s="4">
        <f>$I738+$G739-$H739</f>
        <v>349526.07999999996</v>
      </c>
      <c r="J739" s="32" t="str">
        <f>IF($A740&lt;&gt;$A739,$I739,"")</f>
        <v/>
      </c>
      <c r="K739" s="79"/>
      <c r="L739" s="79"/>
      <c r="M739" s="2"/>
      <c r="N739" s="5"/>
      <c r="O739" s="3"/>
      <c r="P739" s="6"/>
      <c r="Q739" s="6"/>
    </row>
    <row r="740" spans="1:17" ht="15" customHeight="1" x14ac:dyDescent="0.25">
      <c r="A740" s="1"/>
      <c r="B740" s="17"/>
      <c r="C740" s="17"/>
      <c r="D740" s="17"/>
      <c r="E740" s="17"/>
      <c r="F740" s="17"/>
      <c r="G740" s="4">
        <f>SUM($B740:$F740)</f>
        <v>0</v>
      </c>
      <c r="H740" s="17"/>
      <c r="I740" s="4">
        <f>$I739+$G740-$H740</f>
        <v>349526.07999999996</v>
      </c>
      <c r="J740" s="32" t="str">
        <f>IF($A741&lt;&gt;$A740,$I740,"")</f>
        <v/>
      </c>
      <c r="K740" s="79"/>
      <c r="L740" s="79"/>
      <c r="M740" s="2"/>
      <c r="N740" s="5"/>
      <c r="O740" s="3"/>
      <c r="P740" s="6"/>
      <c r="Q740" s="6"/>
    </row>
    <row r="741" spans="1:17" ht="15" customHeight="1" x14ac:dyDescent="0.25">
      <c r="A741" s="1"/>
      <c r="B741" s="17"/>
      <c r="C741" s="17"/>
      <c r="D741" s="17"/>
      <c r="E741" s="17"/>
      <c r="F741" s="17"/>
      <c r="G741" s="4">
        <f>SUM($B741:$F741)</f>
        <v>0</v>
      </c>
      <c r="H741" s="17"/>
      <c r="I741" s="4">
        <f>$I740+$G741-$H741</f>
        <v>349526.07999999996</v>
      </c>
      <c r="J741" s="32" t="str">
        <f>IF($A742&lt;&gt;$A741,$I741,"")</f>
        <v/>
      </c>
      <c r="K741" s="79"/>
      <c r="L741" s="79"/>
      <c r="M741" s="2"/>
      <c r="N741" s="5"/>
      <c r="O741" s="3"/>
      <c r="P741" s="6"/>
      <c r="Q741" s="6"/>
    </row>
    <row r="742" spans="1:17" ht="15" customHeight="1" x14ac:dyDescent="0.25">
      <c r="A742" s="1"/>
      <c r="B742" s="17"/>
      <c r="C742" s="17"/>
      <c r="D742" s="17"/>
      <c r="E742" s="17"/>
      <c r="F742" s="17"/>
      <c r="G742" s="4">
        <f>SUM($B742:$F742)</f>
        <v>0</v>
      </c>
      <c r="H742" s="17"/>
      <c r="I742" s="4">
        <f>$I741+$G742-$H742</f>
        <v>349526.07999999996</v>
      </c>
      <c r="J742" s="32" t="str">
        <f>IF($A743&lt;&gt;$A742,$I742,"")</f>
        <v/>
      </c>
      <c r="K742" s="79"/>
      <c r="L742" s="79"/>
      <c r="M742" s="2"/>
      <c r="N742" s="5"/>
      <c r="O742" s="3"/>
      <c r="P742" s="6"/>
      <c r="Q742" s="6"/>
    </row>
    <row r="743" spans="1:17" ht="15" customHeight="1" x14ac:dyDescent="0.25">
      <c r="A743" s="1"/>
      <c r="B743" s="17"/>
      <c r="C743" s="17"/>
      <c r="D743" s="17"/>
      <c r="E743" s="17"/>
      <c r="F743" s="17"/>
      <c r="G743" s="4">
        <f>SUM($B743:$F743)</f>
        <v>0</v>
      </c>
      <c r="H743" s="17"/>
      <c r="I743" s="4">
        <f>$I742+$G743-$H743</f>
        <v>349526.07999999996</v>
      </c>
      <c r="J743" s="32" t="str">
        <f>IF($A744&lt;&gt;$A743,$I743,"")</f>
        <v/>
      </c>
      <c r="K743" s="79"/>
      <c r="L743" s="79"/>
      <c r="M743" s="2"/>
      <c r="N743" s="5"/>
      <c r="O743" s="3"/>
      <c r="P743" s="6"/>
      <c r="Q743" s="6"/>
    </row>
    <row r="744" spans="1:17" ht="15" customHeight="1" x14ac:dyDescent="0.25">
      <c r="A744" s="1"/>
      <c r="B744" s="17"/>
      <c r="C744" s="17"/>
      <c r="D744" s="17"/>
      <c r="E744" s="17"/>
      <c r="F744" s="17"/>
      <c r="G744" s="4">
        <f>SUM($B744:$F744)</f>
        <v>0</v>
      </c>
      <c r="H744" s="17"/>
      <c r="I744" s="4">
        <f>$I743+$G744-$H744</f>
        <v>349526.07999999996</v>
      </c>
      <c r="J744" s="32" t="str">
        <f>IF($A745&lt;&gt;$A744,$I744,"")</f>
        <v/>
      </c>
      <c r="K744" s="79"/>
      <c r="L744" s="79"/>
      <c r="M744" s="2"/>
      <c r="N744" s="5"/>
      <c r="O744" s="3"/>
      <c r="P744" s="6"/>
      <c r="Q744" s="6"/>
    </row>
    <row r="745" spans="1:17" ht="15" customHeight="1" x14ac:dyDescent="0.25">
      <c r="A745" s="1"/>
      <c r="B745" s="17"/>
      <c r="C745" s="17"/>
      <c r="D745" s="17"/>
      <c r="E745" s="17"/>
      <c r="F745" s="17"/>
      <c r="G745" s="4">
        <f>SUM($B745:$F745)</f>
        <v>0</v>
      </c>
      <c r="H745" s="17"/>
      <c r="I745" s="4">
        <f>$I744+$G745-$H745</f>
        <v>349526.07999999996</v>
      </c>
      <c r="J745" s="32" t="str">
        <f>IF($A746&lt;&gt;$A745,$I745,"")</f>
        <v/>
      </c>
      <c r="K745" s="79"/>
      <c r="L745" s="79"/>
      <c r="M745" s="2"/>
      <c r="N745" s="5"/>
      <c r="O745" s="3"/>
      <c r="P745" s="6"/>
      <c r="Q745" s="6"/>
    </row>
    <row r="746" spans="1:17" ht="15" customHeight="1" x14ac:dyDescent="0.25">
      <c r="A746" s="1"/>
      <c r="B746" s="17"/>
      <c r="C746" s="17"/>
      <c r="D746" s="17"/>
      <c r="E746" s="17"/>
      <c r="F746" s="17"/>
      <c r="G746" s="4">
        <f>SUM($B746:$F746)</f>
        <v>0</v>
      </c>
      <c r="H746" s="17"/>
      <c r="I746" s="4">
        <f>$I745+$G746-$H746</f>
        <v>349526.07999999996</v>
      </c>
      <c r="J746" s="32" t="str">
        <f>IF($A747&lt;&gt;$A746,$I746,"")</f>
        <v/>
      </c>
      <c r="K746" s="79"/>
      <c r="L746" s="79"/>
      <c r="M746" s="2"/>
      <c r="N746" s="5"/>
      <c r="O746" s="3"/>
      <c r="P746" s="6"/>
      <c r="Q746" s="6"/>
    </row>
    <row r="747" spans="1:17" ht="15" customHeight="1" x14ac:dyDescent="0.25">
      <c r="A747" s="1"/>
      <c r="B747" s="17"/>
      <c r="C747" s="17"/>
      <c r="D747" s="17"/>
      <c r="E747" s="17"/>
      <c r="F747" s="17"/>
      <c r="G747" s="4">
        <f>SUM($B747:$F747)</f>
        <v>0</v>
      </c>
      <c r="H747" s="17"/>
      <c r="I747" s="4">
        <f>$I746+$G747-$H747</f>
        <v>349526.07999999996</v>
      </c>
      <c r="J747" s="32" t="str">
        <f>IF($A748&lt;&gt;$A747,$I747,"")</f>
        <v/>
      </c>
      <c r="K747" s="79"/>
      <c r="L747" s="79"/>
      <c r="M747" s="2"/>
      <c r="N747" s="5"/>
      <c r="O747" s="3"/>
      <c r="P747" s="6"/>
      <c r="Q747" s="6"/>
    </row>
    <row r="748" spans="1:17" ht="15" customHeight="1" x14ac:dyDescent="0.25">
      <c r="A748" s="1"/>
      <c r="B748" s="17"/>
      <c r="C748" s="17"/>
      <c r="D748" s="17"/>
      <c r="E748" s="17"/>
      <c r="F748" s="17"/>
      <c r="G748" s="4">
        <f>SUM($B748:$F748)</f>
        <v>0</v>
      </c>
      <c r="H748" s="17"/>
      <c r="I748" s="4">
        <f>$I747+$G748-$H748</f>
        <v>349526.07999999996</v>
      </c>
      <c r="J748" s="32" t="str">
        <f>IF($A749&lt;&gt;$A748,$I748,"")</f>
        <v/>
      </c>
      <c r="K748" s="79"/>
      <c r="L748" s="79"/>
      <c r="M748" s="2"/>
      <c r="N748" s="5"/>
      <c r="O748" s="3"/>
      <c r="P748" s="6"/>
      <c r="Q748" s="6"/>
    </row>
    <row r="749" spans="1:17" ht="15" customHeight="1" x14ac:dyDescent="0.25">
      <c r="A749" s="1"/>
      <c r="B749" s="17"/>
      <c r="C749" s="17"/>
      <c r="D749" s="17"/>
      <c r="E749" s="17"/>
      <c r="F749" s="17"/>
      <c r="G749" s="4">
        <f>SUM($B749:$F749)</f>
        <v>0</v>
      </c>
      <c r="H749" s="17"/>
      <c r="I749" s="4">
        <f>$I748+$G749-$H749</f>
        <v>349526.07999999996</v>
      </c>
      <c r="J749" s="32" t="str">
        <f>IF($A750&lt;&gt;$A749,$I749,"")</f>
        <v/>
      </c>
      <c r="K749" s="79"/>
      <c r="L749" s="79"/>
      <c r="M749" s="2"/>
      <c r="N749" s="5"/>
      <c r="O749" s="3"/>
      <c r="P749" s="6"/>
      <c r="Q749" s="6"/>
    </row>
    <row r="750" spans="1:17" ht="15" customHeight="1" x14ac:dyDescent="0.25">
      <c r="A750" s="1"/>
      <c r="B750" s="17"/>
      <c r="C750" s="17"/>
      <c r="D750" s="17"/>
      <c r="E750" s="17"/>
      <c r="F750" s="17"/>
      <c r="G750" s="4">
        <f>SUM($B750:$F750)</f>
        <v>0</v>
      </c>
      <c r="H750" s="17"/>
      <c r="I750" s="4">
        <f>$I749+$G750-$H750</f>
        <v>349526.07999999996</v>
      </c>
      <c r="J750" s="32" t="str">
        <f>IF($A751&lt;&gt;$A750,$I750,"")</f>
        <v/>
      </c>
      <c r="K750" s="79"/>
      <c r="L750" s="79"/>
      <c r="M750" s="2"/>
      <c r="N750" s="5"/>
      <c r="O750" s="3"/>
      <c r="P750" s="6"/>
      <c r="Q750" s="6"/>
    </row>
    <row r="751" spans="1:17" ht="15" customHeight="1" x14ac:dyDescent="0.25">
      <c r="A751" s="1"/>
      <c r="B751" s="17"/>
      <c r="C751" s="17"/>
      <c r="D751" s="17"/>
      <c r="E751" s="17"/>
      <c r="F751" s="17"/>
      <c r="G751" s="4">
        <f>SUM($B751:$F751)</f>
        <v>0</v>
      </c>
      <c r="H751" s="17"/>
      <c r="I751" s="4">
        <f>$I750+$G751-$H751</f>
        <v>349526.07999999996</v>
      </c>
      <c r="J751" s="32" t="str">
        <f>IF($A752&lt;&gt;$A751,$I751,"")</f>
        <v/>
      </c>
      <c r="K751" s="79"/>
      <c r="L751" s="79"/>
      <c r="M751" s="2"/>
      <c r="N751" s="5"/>
      <c r="O751" s="3"/>
      <c r="P751" s="6"/>
      <c r="Q751" s="6"/>
    </row>
    <row r="752" spans="1:17" ht="15" customHeight="1" x14ac:dyDescent="0.25">
      <c r="A752" s="1"/>
      <c r="B752" s="17"/>
      <c r="C752" s="17"/>
      <c r="D752" s="17"/>
      <c r="E752" s="17"/>
      <c r="F752" s="17"/>
      <c r="G752" s="4">
        <f>SUM($B752:$F752)</f>
        <v>0</v>
      </c>
      <c r="H752" s="17"/>
      <c r="I752" s="4">
        <f>$I751+$G752-$H752</f>
        <v>349526.07999999996</v>
      </c>
      <c r="J752" s="32" t="str">
        <f>IF($A753&lt;&gt;$A752,$I752,"")</f>
        <v/>
      </c>
      <c r="K752" s="79"/>
      <c r="L752" s="79"/>
      <c r="M752" s="2"/>
      <c r="N752" s="5"/>
      <c r="O752" s="3"/>
      <c r="P752" s="6"/>
      <c r="Q752" s="6"/>
    </row>
    <row r="753" spans="1:17" ht="15" customHeight="1" x14ac:dyDescent="0.25">
      <c r="A753" s="1"/>
      <c r="B753" s="17"/>
      <c r="C753" s="17"/>
      <c r="D753" s="17"/>
      <c r="E753" s="17"/>
      <c r="F753" s="17"/>
      <c r="G753" s="4">
        <f>SUM($B753:$F753)</f>
        <v>0</v>
      </c>
      <c r="H753" s="17"/>
      <c r="I753" s="4">
        <f>$I752+$G753-$H753</f>
        <v>349526.07999999996</v>
      </c>
      <c r="J753" s="32" t="str">
        <f>IF($A754&lt;&gt;$A753,$I753,"")</f>
        <v/>
      </c>
      <c r="K753" s="79"/>
      <c r="L753" s="79"/>
      <c r="M753" s="2"/>
      <c r="N753" s="5"/>
      <c r="O753" s="3"/>
      <c r="P753" s="6"/>
      <c r="Q753" s="6"/>
    </row>
    <row r="754" spans="1:17" ht="15" customHeight="1" x14ac:dyDescent="0.25">
      <c r="A754" s="1"/>
      <c r="B754" s="17"/>
      <c r="C754" s="17"/>
      <c r="D754" s="17"/>
      <c r="E754" s="17"/>
      <c r="F754" s="17"/>
      <c r="G754" s="4">
        <f>SUM($B754:$F754)</f>
        <v>0</v>
      </c>
      <c r="H754" s="17"/>
      <c r="I754" s="4">
        <f>$I753+$G754-$H754</f>
        <v>349526.07999999996</v>
      </c>
      <c r="J754" s="32" t="str">
        <f>IF($A755&lt;&gt;$A754,$I754,"")</f>
        <v/>
      </c>
      <c r="K754" s="79"/>
      <c r="L754" s="79"/>
      <c r="M754" s="2"/>
      <c r="N754" s="5"/>
      <c r="O754" s="3"/>
      <c r="P754" s="6"/>
      <c r="Q754" s="6"/>
    </row>
    <row r="755" spans="1:17" ht="15" customHeight="1" x14ac:dyDescent="0.25">
      <c r="A755" s="1"/>
      <c r="B755" s="17"/>
      <c r="C755" s="17"/>
      <c r="D755" s="17"/>
      <c r="E755" s="17"/>
      <c r="F755" s="17"/>
      <c r="G755" s="4">
        <f>SUM($B755:$F755)</f>
        <v>0</v>
      </c>
      <c r="H755" s="17"/>
      <c r="I755" s="4">
        <f>$I754+$G755-$H755</f>
        <v>349526.07999999996</v>
      </c>
      <c r="J755" s="32" t="str">
        <f>IF($A756&lt;&gt;$A755,$I755,"")</f>
        <v/>
      </c>
      <c r="K755" s="79"/>
      <c r="L755" s="79"/>
      <c r="M755" s="2"/>
      <c r="N755" s="5"/>
      <c r="O755" s="3"/>
      <c r="P755" s="6"/>
      <c r="Q755" s="6"/>
    </row>
    <row r="756" spans="1:17" ht="15" customHeight="1" x14ac:dyDescent="0.25">
      <c r="A756" s="1"/>
      <c r="B756" s="17"/>
      <c r="C756" s="17"/>
      <c r="D756" s="17"/>
      <c r="E756" s="17"/>
      <c r="F756" s="17"/>
      <c r="G756" s="4">
        <f>SUM($B756:$F756)</f>
        <v>0</v>
      </c>
      <c r="H756" s="17"/>
      <c r="I756" s="4">
        <f>$I755+$G756-$H756</f>
        <v>349526.07999999996</v>
      </c>
      <c r="J756" s="32" t="str">
        <f>IF($A757&lt;&gt;$A756,$I756,"")</f>
        <v/>
      </c>
      <c r="K756" s="79"/>
      <c r="L756" s="79"/>
      <c r="M756" s="2"/>
      <c r="N756" s="5"/>
      <c r="O756" s="3"/>
      <c r="P756" s="6"/>
      <c r="Q756" s="6"/>
    </row>
    <row r="757" spans="1:17" ht="15" customHeight="1" x14ac:dyDescent="0.25">
      <c r="A757" s="1"/>
      <c r="B757" s="17"/>
      <c r="C757" s="17"/>
      <c r="D757" s="17"/>
      <c r="E757" s="17"/>
      <c r="F757" s="17"/>
      <c r="G757" s="4">
        <f>SUM($B757:$F757)</f>
        <v>0</v>
      </c>
      <c r="H757" s="17"/>
      <c r="I757" s="4">
        <f>$I756+$G757-$H757</f>
        <v>349526.07999999996</v>
      </c>
      <c r="J757" s="32" t="str">
        <f>IF($A758&lt;&gt;$A757,$I757,"")</f>
        <v/>
      </c>
      <c r="K757" s="79"/>
      <c r="L757" s="79"/>
      <c r="M757" s="2"/>
      <c r="N757" s="5"/>
      <c r="O757" s="3"/>
      <c r="P757" s="6"/>
      <c r="Q757" s="6"/>
    </row>
    <row r="758" spans="1:17" ht="15" customHeight="1" x14ac:dyDescent="0.25">
      <c r="A758" s="1"/>
      <c r="B758" s="17"/>
      <c r="C758" s="17"/>
      <c r="D758" s="17"/>
      <c r="E758" s="17"/>
      <c r="F758" s="17"/>
      <c r="G758" s="4">
        <f>SUM($B758:$F758)</f>
        <v>0</v>
      </c>
      <c r="H758" s="17"/>
      <c r="I758" s="4">
        <f>$I757+$G758-$H758</f>
        <v>349526.07999999996</v>
      </c>
      <c r="J758" s="32" t="str">
        <f>IF($A759&lt;&gt;$A758,$I758,"")</f>
        <v/>
      </c>
      <c r="K758" s="79"/>
      <c r="L758" s="79"/>
      <c r="M758" s="2"/>
      <c r="N758" s="5"/>
      <c r="O758" s="3"/>
      <c r="P758" s="6"/>
      <c r="Q758" s="6"/>
    </row>
    <row r="759" spans="1:17" ht="15" customHeight="1" x14ac:dyDescent="0.25">
      <c r="A759" s="1"/>
      <c r="B759" s="17"/>
      <c r="C759" s="17"/>
      <c r="D759" s="17"/>
      <c r="E759" s="17"/>
      <c r="F759" s="17"/>
      <c r="G759" s="4">
        <f>SUM($B759:$F759)</f>
        <v>0</v>
      </c>
      <c r="H759" s="17"/>
      <c r="I759" s="4">
        <f>$I758+$G759-$H759</f>
        <v>349526.07999999996</v>
      </c>
      <c r="J759" s="32" t="str">
        <f>IF($A760&lt;&gt;$A759,$I759,"")</f>
        <v/>
      </c>
      <c r="K759" s="79"/>
      <c r="L759" s="79"/>
      <c r="M759" s="2"/>
      <c r="N759" s="5"/>
      <c r="O759" s="3"/>
      <c r="P759" s="6"/>
      <c r="Q759" s="6"/>
    </row>
    <row r="760" spans="1:17" ht="15" customHeight="1" x14ac:dyDescent="0.25">
      <c r="A760" s="1"/>
      <c r="B760" s="17"/>
      <c r="C760" s="17"/>
      <c r="D760" s="17"/>
      <c r="E760" s="17"/>
      <c r="F760" s="17"/>
      <c r="G760" s="4">
        <f>SUM($B760:$F760)</f>
        <v>0</v>
      </c>
      <c r="H760" s="17"/>
      <c r="I760" s="4">
        <f>$I759+$G760-$H760</f>
        <v>349526.07999999996</v>
      </c>
      <c r="J760" s="32" t="str">
        <f>IF($A761&lt;&gt;$A760,$I760,"")</f>
        <v/>
      </c>
      <c r="K760" s="79"/>
      <c r="L760" s="79"/>
      <c r="M760" s="2"/>
      <c r="N760" s="5"/>
      <c r="O760" s="3"/>
      <c r="P760" s="6"/>
      <c r="Q760" s="6"/>
    </row>
    <row r="761" spans="1:17" ht="15" customHeight="1" x14ac:dyDescent="0.25">
      <c r="A761" s="1"/>
      <c r="B761" s="17"/>
      <c r="C761" s="17"/>
      <c r="D761" s="17"/>
      <c r="E761" s="17"/>
      <c r="F761" s="17"/>
      <c r="G761" s="4">
        <f>SUM($B761:$F761)</f>
        <v>0</v>
      </c>
      <c r="H761" s="17"/>
      <c r="I761" s="4">
        <f>$I760+$G761-$H761</f>
        <v>349526.07999999996</v>
      </c>
      <c r="J761" s="32" t="str">
        <f>IF($A762&lt;&gt;$A761,$I761,"")</f>
        <v/>
      </c>
      <c r="K761" s="79"/>
      <c r="L761" s="79"/>
      <c r="M761" s="2"/>
      <c r="N761" s="5"/>
      <c r="O761" s="3"/>
      <c r="P761" s="6"/>
      <c r="Q761" s="6"/>
    </row>
    <row r="762" spans="1:17" ht="15" customHeight="1" x14ac:dyDescent="0.25">
      <c r="A762" s="1"/>
      <c r="B762" s="17"/>
      <c r="C762" s="17"/>
      <c r="D762" s="17"/>
      <c r="E762" s="17"/>
      <c r="F762" s="17"/>
      <c r="G762" s="4">
        <f>SUM($B762:$F762)</f>
        <v>0</v>
      </c>
      <c r="H762" s="17"/>
      <c r="I762" s="4">
        <f>$I761+$G762-$H762</f>
        <v>349526.07999999996</v>
      </c>
      <c r="J762" s="32" t="str">
        <f>IF($A763&lt;&gt;$A762,$I762,"")</f>
        <v/>
      </c>
      <c r="K762" s="79"/>
      <c r="L762" s="79"/>
      <c r="M762" s="2"/>
      <c r="N762" s="5"/>
      <c r="O762" s="3"/>
      <c r="P762" s="6"/>
      <c r="Q762" s="6"/>
    </row>
    <row r="763" spans="1:17" ht="15" customHeight="1" x14ac:dyDescent="0.25">
      <c r="A763" s="1"/>
      <c r="B763" s="17"/>
      <c r="C763" s="17"/>
      <c r="D763" s="17"/>
      <c r="E763" s="17"/>
      <c r="F763" s="17"/>
      <c r="G763" s="4">
        <f>SUM($B763:$F763)</f>
        <v>0</v>
      </c>
      <c r="H763" s="17"/>
      <c r="I763" s="4">
        <f>$I762+$G763-$H763</f>
        <v>349526.07999999996</v>
      </c>
      <c r="J763" s="32" t="str">
        <f>IF($A764&lt;&gt;$A763,$I763,"")</f>
        <v/>
      </c>
      <c r="K763" s="79"/>
      <c r="L763" s="79"/>
      <c r="M763" s="2"/>
      <c r="N763" s="5"/>
      <c r="O763" s="3"/>
      <c r="P763" s="6"/>
      <c r="Q763" s="6"/>
    </row>
    <row r="764" spans="1:17" ht="15" customHeight="1" x14ac:dyDescent="0.25">
      <c r="A764" s="1"/>
      <c r="B764" s="17"/>
      <c r="C764" s="17"/>
      <c r="D764" s="17"/>
      <c r="E764" s="17"/>
      <c r="F764" s="17"/>
      <c r="G764" s="4">
        <f>SUM($B764:$F764)</f>
        <v>0</v>
      </c>
      <c r="H764" s="17"/>
      <c r="I764" s="4">
        <f>$I763+$G764-$H764</f>
        <v>349526.07999999996</v>
      </c>
      <c r="J764" s="32" t="str">
        <f>IF($A765&lt;&gt;$A764,$I764,"")</f>
        <v/>
      </c>
      <c r="K764" s="79"/>
      <c r="L764" s="79"/>
      <c r="M764" s="2"/>
      <c r="N764" s="5"/>
      <c r="O764" s="3"/>
      <c r="P764" s="6"/>
      <c r="Q764" s="6"/>
    </row>
    <row r="765" spans="1:17" ht="15" customHeight="1" x14ac:dyDescent="0.25">
      <c r="A765" s="1"/>
      <c r="B765" s="17"/>
      <c r="C765" s="17"/>
      <c r="D765" s="17"/>
      <c r="E765" s="17"/>
      <c r="F765" s="17"/>
      <c r="G765" s="4">
        <f>SUM($B765:$F765)</f>
        <v>0</v>
      </c>
      <c r="H765" s="17"/>
      <c r="I765" s="4">
        <f>$I764+$G765-$H765</f>
        <v>349526.07999999996</v>
      </c>
      <c r="J765" s="32" t="str">
        <f>IF($A766&lt;&gt;$A765,$I765,"")</f>
        <v/>
      </c>
      <c r="K765" s="79"/>
      <c r="L765" s="79"/>
      <c r="M765" s="2"/>
      <c r="N765" s="5"/>
      <c r="O765" s="3"/>
      <c r="P765" s="6"/>
      <c r="Q765" s="6"/>
    </row>
    <row r="766" spans="1:17" ht="15" customHeight="1" x14ac:dyDescent="0.25">
      <c r="A766" s="1"/>
      <c r="B766" s="17"/>
      <c r="C766" s="17"/>
      <c r="D766" s="17"/>
      <c r="E766" s="17"/>
      <c r="F766" s="17"/>
      <c r="G766" s="4">
        <f>SUM($B766:$F766)</f>
        <v>0</v>
      </c>
      <c r="H766" s="17"/>
      <c r="I766" s="4">
        <f>$I765+$G766-$H766</f>
        <v>349526.07999999996</v>
      </c>
      <c r="J766" s="32" t="str">
        <f>IF($A767&lt;&gt;$A766,$I766,"")</f>
        <v/>
      </c>
      <c r="K766" s="79"/>
      <c r="L766" s="79"/>
      <c r="M766" s="2"/>
      <c r="N766" s="5"/>
      <c r="O766" s="3"/>
      <c r="P766" s="6"/>
      <c r="Q766" s="6"/>
    </row>
    <row r="767" spans="1:17" ht="15" customHeight="1" x14ac:dyDescent="0.25">
      <c r="A767" s="1"/>
      <c r="B767" s="17"/>
      <c r="C767" s="17"/>
      <c r="D767" s="17"/>
      <c r="E767" s="17"/>
      <c r="F767" s="17"/>
      <c r="G767" s="4">
        <f>SUM($B767:$F767)</f>
        <v>0</v>
      </c>
      <c r="H767" s="17"/>
      <c r="I767" s="4">
        <f>$I766+$G767-$H767</f>
        <v>349526.07999999996</v>
      </c>
      <c r="J767" s="32" t="str">
        <f>IF($A768&lt;&gt;$A767,$I767,"")</f>
        <v/>
      </c>
      <c r="K767" s="79"/>
      <c r="L767" s="79"/>
      <c r="M767" s="2"/>
      <c r="N767" s="5"/>
      <c r="O767" s="3"/>
      <c r="P767" s="6"/>
      <c r="Q767" s="6"/>
    </row>
    <row r="768" spans="1:17" ht="15" customHeight="1" x14ac:dyDescent="0.25">
      <c r="A768" s="1"/>
      <c r="B768" s="17"/>
      <c r="C768" s="17"/>
      <c r="D768" s="17"/>
      <c r="E768" s="17"/>
      <c r="F768" s="17"/>
      <c r="G768" s="4">
        <f>SUM($B768:$F768)</f>
        <v>0</v>
      </c>
      <c r="H768" s="17"/>
      <c r="I768" s="4">
        <f>$I767+$G768-$H768</f>
        <v>349526.07999999996</v>
      </c>
      <c r="J768" s="32" t="str">
        <f>IF($A769&lt;&gt;$A768,$I768,"")</f>
        <v/>
      </c>
      <c r="K768" s="79"/>
      <c r="L768" s="79"/>
      <c r="M768" s="2"/>
      <c r="N768" s="5"/>
      <c r="O768" s="3"/>
      <c r="P768" s="6"/>
      <c r="Q768" s="6"/>
    </row>
    <row r="769" spans="1:17" ht="15" customHeight="1" x14ac:dyDescent="0.25">
      <c r="A769" s="1"/>
      <c r="B769" s="17"/>
      <c r="C769" s="17"/>
      <c r="D769" s="17"/>
      <c r="E769" s="17"/>
      <c r="F769" s="17"/>
      <c r="G769" s="4">
        <f>SUM($B769:$F769)</f>
        <v>0</v>
      </c>
      <c r="H769" s="17"/>
      <c r="I769" s="4">
        <f>$I768+$G769-$H769</f>
        <v>349526.07999999996</v>
      </c>
      <c r="J769" s="32" t="str">
        <f>IF($A770&lt;&gt;$A769,$I769,"")</f>
        <v/>
      </c>
      <c r="K769" s="79"/>
      <c r="L769" s="79"/>
      <c r="M769" s="2"/>
      <c r="N769" s="5"/>
      <c r="O769" s="3"/>
      <c r="P769" s="6"/>
      <c r="Q769" s="6"/>
    </row>
    <row r="770" spans="1:17" ht="15" customHeight="1" x14ac:dyDescent="0.25">
      <c r="A770" s="1"/>
      <c r="B770" s="17"/>
      <c r="C770" s="17"/>
      <c r="D770" s="17"/>
      <c r="E770" s="17"/>
      <c r="F770" s="17"/>
      <c r="G770" s="4">
        <f>SUM($B770:$F770)</f>
        <v>0</v>
      </c>
      <c r="H770" s="17"/>
      <c r="I770" s="4">
        <f>$I769+$G770-$H770</f>
        <v>349526.07999999996</v>
      </c>
      <c r="J770" s="32" t="str">
        <f>IF($A771&lt;&gt;$A770,$I770,"")</f>
        <v/>
      </c>
      <c r="K770" s="79"/>
      <c r="L770" s="79"/>
      <c r="M770" s="2"/>
      <c r="N770" s="5"/>
      <c r="O770" s="3"/>
      <c r="P770" s="6"/>
      <c r="Q770" s="6"/>
    </row>
    <row r="771" spans="1:17" ht="15" customHeight="1" x14ac:dyDescent="0.25">
      <c r="A771" s="1"/>
      <c r="B771" s="17"/>
      <c r="C771" s="17"/>
      <c r="D771" s="17"/>
      <c r="E771" s="17"/>
      <c r="F771" s="17"/>
      <c r="G771" s="4">
        <f>SUM($B771:$F771)</f>
        <v>0</v>
      </c>
      <c r="H771" s="17"/>
      <c r="I771" s="4">
        <f>$I770+$G771-$H771</f>
        <v>349526.07999999996</v>
      </c>
      <c r="J771" s="32" t="str">
        <f>IF($A772&lt;&gt;$A771,$I771,"")</f>
        <v/>
      </c>
      <c r="K771" s="79"/>
      <c r="L771" s="79"/>
      <c r="M771" s="2"/>
      <c r="N771" s="5"/>
      <c r="O771" s="3"/>
      <c r="P771" s="6"/>
      <c r="Q771" s="6"/>
    </row>
    <row r="772" spans="1:17" ht="15" customHeight="1" x14ac:dyDescent="0.25">
      <c r="A772" s="1"/>
      <c r="B772" s="17"/>
      <c r="C772" s="17"/>
      <c r="D772" s="17"/>
      <c r="E772" s="17"/>
      <c r="F772" s="17"/>
      <c r="G772" s="4">
        <f>SUM($B772:$F772)</f>
        <v>0</v>
      </c>
      <c r="H772" s="17"/>
      <c r="I772" s="4">
        <f>$I771+$G772-$H772</f>
        <v>349526.07999999996</v>
      </c>
      <c r="J772" s="32" t="str">
        <f>IF($A773&lt;&gt;$A772,$I772,"")</f>
        <v/>
      </c>
      <c r="K772" s="79"/>
      <c r="L772" s="79"/>
      <c r="M772" s="2"/>
      <c r="N772" s="5"/>
      <c r="O772" s="3"/>
      <c r="P772" s="6"/>
      <c r="Q772" s="6"/>
    </row>
    <row r="773" spans="1:17" ht="15" customHeight="1" x14ac:dyDescent="0.25">
      <c r="A773" s="1"/>
      <c r="B773" s="17"/>
      <c r="C773" s="17"/>
      <c r="D773" s="17"/>
      <c r="E773" s="17"/>
      <c r="F773" s="17"/>
      <c r="G773" s="4">
        <f>SUM($B773:$F773)</f>
        <v>0</v>
      </c>
      <c r="H773" s="17"/>
      <c r="I773" s="4">
        <f>$I772+$G773-$H773</f>
        <v>349526.07999999996</v>
      </c>
      <c r="J773" s="32" t="str">
        <f>IF($A774&lt;&gt;$A773,$I773,"")</f>
        <v/>
      </c>
      <c r="K773" s="79"/>
      <c r="L773" s="79"/>
      <c r="M773" s="2"/>
      <c r="N773" s="5"/>
      <c r="O773" s="3"/>
      <c r="P773" s="6"/>
      <c r="Q773" s="6"/>
    </row>
    <row r="774" spans="1:17" ht="15" customHeight="1" x14ac:dyDescent="0.25">
      <c r="A774" s="1"/>
      <c r="B774" s="17"/>
      <c r="C774" s="17"/>
      <c r="D774" s="17"/>
      <c r="E774" s="17"/>
      <c r="F774" s="17"/>
      <c r="G774" s="4">
        <f>SUM($B774:$F774)</f>
        <v>0</v>
      </c>
      <c r="H774" s="17"/>
      <c r="I774" s="4">
        <f>$I773+$G774-$H774</f>
        <v>349526.07999999996</v>
      </c>
      <c r="J774" s="32" t="str">
        <f>IF($A775&lt;&gt;$A774,$I774,"")</f>
        <v/>
      </c>
      <c r="K774" s="79"/>
      <c r="L774" s="79"/>
      <c r="M774" s="2"/>
      <c r="N774" s="5"/>
      <c r="O774" s="3"/>
      <c r="P774" s="6"/>
      <c r="Q774" s="6"/>
    </row>
    <row r="775" spans="1:17" ht="15" customHeight="1" x14ac:dyDescent="0.25">
      <c r="A775" s="1"/>
      <c r="B775" s="17"/>
      <c r="C775" s="17"/>
      <c r="D775" s="17"/>
      <c r="E775" s="17"/>
      <c r="F775" s="17"/>
      <c r="G775" s="4">
        <f>SUM($B775:$F775)</f>
        <v>0</v>
      </c>
      <c r="H775" s="17"/>
      <c r="I775" s="4">
        <f>$I774+$G775-$H775</f>
        <v>349526.07999999996</v>
      </c>
      <c r="J775" s="32" t="str">
        <f>IF($A776&lt;&gt;$A775,$I775,"")</f>
        <v/>
      </c>
      <c r="K775" s="79"/>
      <c r="L775" s="79"/>
      <c r="M775" s="2"/>
      <c r="N775" s="5"/>
      <c r="O775" s="3"/>
      <c r="P775" s="6"/>
      <c r="Q775" s="6"/>
    </row>
    <row r="776" spans="1:17" ht="15" customHeight="1" x14ac:dyDescent="0.25">
      <c r="A776" s="1"/>
      <c r="B776" s="17"/>
      <c r="C776" s="17"/>
      <c r="D776" s="17"/>
      <c r="E776" s="17"/>
      <c r="F776" s="17"/>
      <c r="G776" s="4">
        <f>SUM($B776:$F776)</f>
        <v>0</v>
      </c>
      <c r="H776" s="17"/>
      <c r="I776" s="4">
        <f>$I775+$G776-$H776</f>
        <v>349526.07999999996</v>
      </c>
      <c r="J776" s="32" t="str">
        <f>IF($A777&lt;&gt;$A776,$I776,"")</f>
        <v/>
      </c>
      <c r="K776" s="79"/>
      <c r="L776" s="79"/>
      <c r="M776" s="2"/>
      <c r="N776" s="5"/>
      <c r="O776" s="3"/>
      <c r="P776" s="6"/>
      <c r="Q776" s="6"/>
    </row>
    <row r="777" spans="1:17" ht="15" customHeight="1" x14ac:dyDescent="0.25">
      <c r="A777" s="1"/>
      <c r="B777" s="17"/>
      <c r="C777" s="17"/>
      <c r="D777" s="17"/>
      <c r="E777" s="17"/>
      <c r="F777" s="17"/>
      <c r="G777" s="4">
        <f>SUM($B777:$F777)</f>
        <v>0</v>
      </c>
      <c r="H777" s="17"/>
      <c r="I777" s="4">
        <f>$I776+$G777-$H777</f>
        <v>349526.07999999996</v>
      </c>
      <c r="J777" s="32" t="str">
        <f>IF($A778&lt;&gt;$A777,$I777,"")</f>
        <v/>
      </c>
      <c r="K777" s="79"/>
      <c r="L777" s="79"/>
      <c r="M777" s="2"/>
      <c r="N777" s="5"/>
      <c r="O777" s="3"/>
      <c r="P777" s="6"/>
      <c r="Q777" s="6"/>
    </row>
    <row r="778" spans="1:17" ht="15" customHeight="1" x14ac:dyDescent="0.25">
      <c r="A778" s="1"/>
      <c r="B778" s="17"/>
      <c r="C778" s="17"/>
      <c r="D778" s="17"/>
      <c r="E778" s="17"/>
      <c r="F778" s="17"/>
      <c r="G778" s="4">
        <f>SUM($B778:$F778)</f>
        <v>0</v>
      </c>
      <c r="H778" s="17"/>
      <c r="I778" s="4">
        <f>$I777+$G778-$H778</f>
        <v>349526.07999999996</v>
      </c>
      <c r="J778" s="32" t="str">
        <f>IF($A779&lt;&gt;$A778,$I778,"")</f>
        <v/>
      </c>
      <c r="K778" s="79"/>
      <c r="L778" s="79"/>
      <c r="M778" s="2"/>
      <c r="N778" s="5"/>
      <c r="O778" s="3"/>
      <c r="P778" s="6"/>
      <c r="Q778" s="6"/>
    </row>
    <row r="779" spans="1:17" ht="15" customHeight="1" x14ac:dyDescent="0.25">
      <c r="A779" s="1"/>
      <c r="B779" s="17"/>
      <c r="C779" s="17"/>
      <c r="D779" s="17"/>
      <c r="E779" s="17"/>
      <c r="F779" s="17"/>
      <c r="G779" s="4">
        <f>SUM($B779:$F779)</f>
        <v>0</v>
      </c>
      <c r="H779" s="17"/>
      <c r="I779" s="4">
        <f>$I778+$G779-$H779</f>
        <v>349526.07999999996</v>
      </c>
      <c r="J779" s="32" t="str">
        <f>IF($A780&lt;&gt;$A779,$I779,"")</f>
        <v/>
      </c>
      <c r="K779" s="79"/>
      <c r="L779" s="79"/>
      <c r="M779" s="2"/>
      <c r="N779" s="5"/>
      <c r="O779" s="3"/>
      <c r="P779" s="6"/>
      <c r="Q779" s="6"/>
    </row>
    <row r="780" spans="1:17" ht="15" customHeight="1" x14ac:dyDescent="0.25">
      <c r="A780" s="1"/>
      <c r="B780" s="17"/>
      <c r="C780" s="17"/>
      <c r="D780" s="17"/>
      <c r="E780" s="17"/>
      <c r="F780" s="17"/>
      <c r="G780" s="4">
        <f>SUM($B780:$F780)</f>
        <v>0</v>
      </c>
      <c r="H780" s="17"/>
      <c r="I780" s="4">
        <f>$I779+$G780-$H780</f>
        <v>349526.07999999996</v>
      </c>
      <c r="J780" s="32" t="str">
        <f>IF($A781&lt;&gt;$A780,$I780,"")</f>
        <v/>
      </c>
      <c r="K780" s="79"/>
      <c r="L780" s="79"/>
      <c r="M780" s="2"/>
      <c r="N780" s="5"/>
      <c r="O780" s="3"/>
      <c r="P780" s="6"/>
      <c r="Q780" s="6"/>
    </row>
    <row r="781" spans="1:17" ht="15" customHeight="1" x14ac:dyDescent="0.25">
      <c r="A781" s="1"/>
      <c r="B781" s="17"/>
      <c r="C781" s="17"/>
      <c r="D781" s="17"/>
      <c r="E781" s="17"/>
      <c r="F781" s="17"/>
      <c r="G781" s="4">
        <f>SUM($B781:$F781)</f>
        <v>0</v>
      </c>
      <c r="H781" s="17"/>
      <c r="I781" s="4">
        <f>$I780+$G781-$H781</f>
        <v>349526.07999999996</v>
      </c>
      <c r="J781" s="32" t="str">
        <f>IF($A782&lt;&gt;$A781,$I781,"")</f>
        <v/>
      </c>
      <c r="K781" s="79"/>
      <c r="L781" s="79"/>
      <c r="M781" s="2"/>
      <c r="N781" s="5"/>
      <c r="O781" s="3"/>
      <c r="P781" s="6"/>
      <c r="Q781" s="6"/>
    </row>
    <row r="782" spans="1:17" ht="15" customHeight="1" x14ac:dyDescent="0.25">
      <c r="A782" s="1"/>
      <c r="B782" s="17"/>
      <c r="C782" s="17"/>
      <c r="D782" s="17"/>
      <c r="E782" s="17"/>
      <c r="F782" s="17"/>
      <c r="G782" s="4">
        <f>SUM($B782:$F782)</f>
        <v>0</v>
      </c>
      <c r="H782" s="17"/>
      <c r="I782" s="4">
        <f>$I781+$G782-$H782</f>
        <v>349526.07999999996</v>
      </c>
      <c r="J782" s="32" t="str">
        <f>IF($A783&lt;&gt;$A782,$I782,"")</f>
        <v/>
      </c>
      <c r="K782" s="79"/>
      <c r="L782" s="79"/>
      <c r="M782" s="2"/>
      <c r="N782" s="5"/>
      <c r="O782" s="3"/>
      <c r="P782" s="6"/>
      <c r="Q782" s="6"/>
    </row>
    <row r="783" spans="1:17" ht="15" customHeight="1" x14ac:dyDescent="0.25">
      <c r="A783" s="1"/>
      <c r="B783" s="17"/>
      <c r="C783" s="17"/>
      <c r="D783" s="17"/>
      <c r="E783" s="17"/>
      <c r="F783" s="17"/>
      <c r="G783" s="4">
        <f>SUM($B783:$F783)</f>
        <v>0</v>
      </c>
      <c r="H783" s="17"/>
      <c r="I783" s="4">
        <f>$I782+$G783-$H783</f>
        <v>349526.07999999996</v>
      </c>
      <c r="J783" s="32" t="str">
        <f>IF($A784&lt;&gt;$A783,$I783,"")</f>
        <v/>
      </c>
      <c r="K783" s="79"/>
      <c r="L783" s="79"/>
      <c r="M783" s="2"/>
      <c r="N783" s="5"/>
      <c r="O783" s="3"/>
      <c r="P783" s="6"/>
      <c r="Q783" s="6"/>
    </row>
    <row r="784" spans="1:17" ht="15" customHeight="1" x14ac:dyDescent="0.25">
      <c r="A784" s="1"/>
      <c r="B784" s="17"/>
      <c r="C784" s="17"/>
      <c r="D784" s="17"/>
      <c r="E784" s="17"/>
      <c r="F784" s="17"/>
      <c r="G784" s="4">
        <f>SUM($B784:$F784)</f>
        <v>0</v>
      </c>
      <c r="H784" s="17"/>
      <c r="I784" s="4">
        <f>$I783+$G784-$H784</f>
        <v>349526.07999999996</v>
      </c>
      <c r="J784" s="32" t="str">
        <f>IF($A785&lt;&gt;$A784,$I784,"")</f>
        <v/>
      </c>
      <c r="K784" s="79"/>
      <c r="L784" s="79"/>
      <c r="M784" s="2"/>
      <c r="N784" s="5"/>
      <c r="O784" s="3"/>
      <c r="P784" s="6"/>
      <c r="Q784" s="6"/>
    </row>
    <row r="785" spans="1:17" ht="15" customHeight="1" x14ac:dyDescent="0.25">
      <c r="A785" s="1"/>
      <c r="B785" s="17"/>
      <c r="C785" s="17"/>
      <c r="D785" s="17"/>
      <c r="E785" s="17"/>
      <c r="F785" s="17"/>
      <c r="G785" s="4">
        <f>SUM($B785:$F785)</f>
        <v>0</v>
      </c>
      <c r="H785" s="17"/>
      <c r="I785" s="4">
        <f>$I784+$G785-$H785</f>
        <v>349526.07999999996</v>
      </c>
      <c r="J785" s="32" t="str">
        <f>IF($A786&lt;&gt;$A785,$I785,"")</f>
        <v/>
      </c>
      <c r="K785" s="79"/>
      <c r="L785" s="79"/>
      <c r="M785" s="2"/>
      <c r="N785" s="5"/>
      <c r="O785" s="3"/>
      <c r="P785" s="6"/>
      <c r="Q785" s="6"/>
    </row>
    <row r="786" spans="1:17" ht="15" customHeight="1" x14ac:dyDescent="0.25">
      <c r="A786" s="1"/>
      <c r="B786" s="17"/>
      <c r="C786" s="17"/>
      <c r="D786" s="17"/>
      <c r="E786" s="17"/>
      <c r="F786" s="17"/>
      <c r="G786" s="4">
        <f>SUM($B786:$F786)</f>
        <v>0</v>
      </c>
      <c r="H786" s="17"/>
      <c r="I786" s="4">
        <f>$I785+$G786-$H786</f>
        <v>349526.07999999996</v>
      </c>
      <c r="J786" s="32" t="str">
        <f>IF($A787&lt;&gt;$A786,$I786,"")</f>
        <v/>
      </c>
      <c r="K786" s="79"/>
      <c r="L786" s="79"/>
      <c r="M786" s="2"/>
      <c r="N786" s="5"/>
      <c r="O786" s="3"/>
      <c r="P786" s="6"/>
      <c r="Q786" s="6"/>
    </row>
    <row r="787" spans="1:17" ht="15" customHeight="1" x14ac:dyDescent="0.25">
      <c r="A787" s="1"/>
      <c r="B787" s="17"/>
      <c r="C787" s="17"/>
      <c r="D787" s="17"/>
      <c r="E787" s="17"/>
      <c r="F787" s="17"/>
      <c r="G787" s="4">
        <f>SUM($B787:$F787)</f>
        <v>0</v>
      </c>
      <c r="H787" s="17"/>
      <c r="I787" s="4">
        <f>$I786+$G787-$H787</f>
        <v>349526.07999999996</v>
      </c>
      <c r="J787" s="32" t="str">
        <f>IF($A788&lt;&gt;$A787,$I787,"")</f>
        <v/>
      </c>
      <c r="K787" s="79"/>
      <c r="L787" s="79"/>
      <c r="M787" s="2"/>
      <c r="N787" s="5"/>
      <c r="O787" s="3"/>
      <c r="P787" s="6"/>
      <c r="Q787" s="6"/>
    </row>
    <row r="788" spans="1:17" ht="15" customHeight="1" x14ac:dyDescent="0.25">
      <c r="A788" s="1"/>
      <c r="B788" s="17"/>
      <c r="C788" s="17"/>
      <c r="D788" s="17"/>
      <c r="E788" s="17"/>
      <c r="F788" s="17"/>
      <c r="G788" s="4">
        <f>SUM($B788:$F788)</f>
        <v>0</v>
      </c>
      <c r="H788" s="17"/>
      <c r="I788" s="4">
        <f>$I787+$G788-$H788</f>
        <v>349526.07999999996</v>
      </c>
      <c r="J788" s="32" t="str">
        <f>IF($A789&lt;&gt;$A788,$I788,"")</f>
        <v/>
      </c>
      <c r="K788" s="79"/>
      <c r="L788" s="79"/>
      <c r="M788" s="2"/>
      <c r="N788" s="5"/>
      <c r="O788" s="3"/>
      <c r="P788" s="6"/>
      <c r="Q788" s="6"/>
    </row>
    <row r="789" spans="1:17" ht="15" customHeight="1" x14ac:dyDescent="0.25">
      <c r="A789" s="1"/>
      <c r="B789" s="17"/>
      <c r="C789" s="17"/>
      <c r="D789" s="17"/>
      <c r="E789" s="17"/>
      <c r="F789" s="17"/>
      <c r="G789" s="4">
        <f>SUM($B789:$F789)</f>
        <v>0</v>
      </c>
      <c r="H789" s="17"/>
      <c r="I789" s="4">
        <f>$I788+$G789-$H789</f>
        <v>349526.07999999996</v>
      </c>
      <c r="J789" s="32" t="str">
        <f>IF($A790&lt;&gt;$A789,$I789,"")</f>
        <v/>
      </c>
      <c r="K789" s="79"/>
      <c r="L789" s="79"/>
      <c r="M789" s="2"/>
      <c r="N789" s="5"/>
      <c r="O789" s="3"/>
      <c r="P789" s="6"/>
      <c r="Q789" s="6"/>
    </row>
    <row r="790" spans="1:17" ht="15" customHeight="1" x14ac:dyDescent="0.25">
      <c r="A790" s="1"/>
      <c r="B790" s="17"/>
      <c r="C790" s="17"/>
      <c r="D790" s="17"/>
      <c r="E790" s="17"/>
      <c r="F790" s="17"/>
      <c r="G790" s="4">
        <f>SUM($B790:$F790)</f>
        <v>0</v>
      </c>
      <c r="H790" s="17"/>
      <c r="I790" s="4">
        <f>$I789+$G790-$H790</f>
        <v>349526.07999999996</v>
      </c>
      <c r="J790" s="32" t="str">
        <f>IF($A791&lt;&gt;$A790,$I790,"")</f>
        <v/>
      </c>
      <c r="K790" s="79"/>
      <c r="L790" s="79"/>
      <c r="M790" s="2"/>
      <c r="N790" s="5"/>
      <c r="O790" s="3"/>
      <c r="P790" s="6"/>
      <c r="Q790" s="6"/>
    </row>
    <row r="791" spans="1:17" ht="15" customHeight="1" x14ac:dyDescent="0.25">
      <c r="A791" s="1"/>
      <c r="B791" s="17"/>
      <c r="C791" s="17"/>
      <c r="D791" s="17"/>
      <c r="E791" s="17"/>
      <c r="F791" s="17"/>
      <c r="G791" s="4">
        <f>SUM($B791:$F791)</f>
        <v>0</v>
      </c>
      <c r="H791" s="17"/>
      <c r="I791" s="4">
        <f>$I790+$G791-$H791</f>
        <v>349526.07999999996</v>
      </c>
      <c r="J791" s="32" t="str">
        <f>IF($A792&lt;&gt;$A791,$I791,"")</f>
        <v/>
      </c>
      <c r="K791" s="79"/>
      <c r="L791" s="79"/>
      <c r="M791" s="2"/>
      <c r="N791" s="5"/>
      <c r="O791" s="3"/>
      <c r="P791" s="6"/>
      <c r="Q791" s="6"/>
    </row>
    <row r="792" spans="1:17" ht="15" customHeight="1" x14ac:dyDescent="0.25">
      <c r="A792" s="1"/>
      <c r="B792" s="17"/>
      <c r="C792" s="17"/>
      <c r="D792" s="17"/>
      <c r="E792" s="17"/>
      <c r="F792" s="17"/>
      <c r="G792" s="4">
        <f>SUM($B792:$F792)</f>
        <v>0</v>
      </c>
      <c r="H792" s="17"/>
      <c r="I792" s="4">
        <f>$I791+$G792-$H792</f>
        <v>349526.07999999996</v>
      </c>
      <c r="J792" s="32" t="str">
        <f>IF($A793&lt;&gt;$A792,$I792,"")</f>
        <v/>
      </c>
      <c r="K792" s="79"/>
      <c r="L792" s="79"/>
      <c r="M792" s="2"/>
      <c r="N792" s="5"/>
      <c r="O792" s="3"/>
      <c r="P792" s="6"/>
      <c r="Q792" s="6"/>
    </row>
    <row r="793" spans="1:17" ht="15" customHeight="1" x14ac:dyDescent="0.25">
      <c r="A793" s="1"/>
      <c r="B793" s="17"/>
      <c r="C793" s="17"/>
      <c r="D793" s="17"/>
      <c r="E793" s="17"/>
      <c r="F793" s="17"/>
      <c r="G793" s="4">
        <f>SUM($B793:$F793)</f>
        <v>0</v>
      </c>
      <c r="H793" s="17"/>
      <c r="I793" s="4">
        <f>$I792+$G793-$H793</f>
        <v>349526.07999999996</v>
      </c>
      <c r="J793" s="32" t="str">
        <f>IF($A794&lt;&gt;$A793,$I793,"")</f>
        <v/>
      </c>
      <c r="K793" s="79"/>
      <c r="L793" s="79"/>
      <c r="M793" s="2"/>
      <c r="N793" s="5"/>
      <c r="O793" s="3"/>
      <c r="P793" s="6"/>
      <c r="Q793" s="6"/>
    </row>
    <row r="794" spans="1:17" ht="15" customHeight="1" x14ac:dyDescent="0.25">
      <c r="A794" s="1"/>
      <c r="B794" s="17"/>
      <c r="C794" s="17"/>
      <c r="D794" s="17"/>
      <c r="E794" s="17"/>
      <c r="F794" s="17"/>
      <c r="G794" s="4">
        <f>SUM($B794:$F794)</f>
        <v>0</v>
      </c>
      <c r="H794" s="17"/>
      <c r="I794" s="4">
        <f>$I793+$G794-$H794</f>
        <v>349526.07999999996</v>
      </c>
      <c r="J794" s="32" t="str">
        <f>IF($A795&lt;&gt;$A794,$I794,"")</f>
        <v/>
      </c>
      <c r="K794" s="79"/>
      <c r="L794" s="79"/>
      <c r="M794" s="2"/>
      <c r="N794" s="5"/>
      <c r="O794" s="3"/>
      <c r="P794" s="6"/>
      <c r="Q794" s="6"/>
    </row>
    <row r="795" spans="1:17" ht="15" customHeight="1" x14ac:dyDescent="0.25">
      <c r="A795" s="1"/>
      <c r="B795" s="17"/>
      <c r="C795" s="17"/>
      <c r="D795" s="17"/>
      <c r="E795" s="17"/>
      <c r="F795" s="17"/>
      <c r="G795" s="4">
        <f>SUM($B795:$F795)</f>
        <v>0</v>
      </c>
      <c r="H795" s="17"/>
      <c r="I795" s="4">
        <f>$I794+$G795-$H795</f>
        <v>349526.07999999996</v>
      </c>
      <c r="J795" s="32" t="str">
        <f>IF($A796&lt;&gt;$A795,$I795,"")</f>
        <v/>
      </c>
      <c r="K795" s="79"/>
      <c r="L795" s="79"/>
      <c r="M795" s="2"/>
      <c r="N795" s="5"/>
      <c r="O795" s="3"/>
      <c r="P795" s="6"/>
      <c r="Q795" s="6"/>
    </row>
    <row r="796" spans="1:17" ht="15" customHeight="1" x14ac:dyDescent="0.25">
      <c r="A796" s="1"/>
      <c r="B796" s="17"/>
      <c r="C796" s="17"/>
      <c r="D796" s="17"/>
      <c r="E796" s="17"/>
      <c r="F796" s="17"/>
      <c r="G796" s="4">
        <f>SUM($B796:$F796)</f>
        <v>0</v>
      </c>
      <c r="H796" s="17"/>
      <c r="I796" s="4">
        <f>$I795+$G796-$H796</f>
        <v>349526.07999999996</v>
      </c>
      <c r="J796" s="32" t="str">
        <f>IF($A797&lt;&gt;$A796,$I796,"")</f>
        <v/>
      </c>
      <c r="K796" s="79"/>
      <c r="L796" s="79"/>
      <c r="M796" s="2"/>
      <c r="N796" s="5"/>
      <c r="O796" s="3"/>
      <c r="P796" s="6"/>
      <c r="Q796" s="6"/>
    </row>
    <row r="797" spans="1:17" ht="15" customHeight="1" x14ac:dyDescent="0.25">
      <c r="A797" s="1"/>
      <c r="B797" s="17"/>
      <c r="C797" s="17"/>
      <c r="D797" s="17"/>
      <c r="E797" s="17"/>
      <c r="F797" s="17"/>
      <c r="G797" s="4">
        <f>SUM($B797:$F797)</f>
        <v>0</v>
      </c>
      <c r="H797" s="17"/>
      <c r="I797" s="4">
        <f>$I796+$G797-$H797</f>
        <v>349526.07999999996</v>
      </c>
      <c r="J797" s="32" t="str">
        <f>IF($A798&lt;&gt;$A797,$I797,"")</f>
        <v/>
      </c>
      <c r="K797" s="79"/>
      <c r="L797" s="79"/>
      <c r="M797" s="2"/>
      <c r="N797" s="5"/>
      <c r="O797" s="3"/>
      <c r="P797" s="6"/>
      <c r="Q797" s="6"/>
    </row>
    <row r="798" spans="1:17" ht="15" customHeight="1" x14ac:dyDescent="0.25">
      <c r="A798" s="1"/>
      <c r="B798" s="17"/>
      <c r="C798" s="17"/>
      <c r="D798" s="17"/>
      <c r="E798" s="17"/>
      <c r="F798" s="17"/>
      <c r="G798" s="4">
        <f>SUM($B798:$F798)</f>
        <v>0</v>
      </c>
      <c r="H798" s="17"/>
      <c r="I798" s="4">
        <f>$I797+$G798-$H798</f>
        <v>349526.07999999996</v>
      </c>
      <c r="J798" s="32" t="str">
        <f>IF($A799&lt;&gt;$A798,$I798,"")</f>
        <v/>
      </c>
      <c r="K798" s="79"/>
      <c r="L798" s="79"/>
      <c r="M798" s="2"/>
      <c r="N798" s="5"/>
      <c r="O798" s="3"/>
      <c r="P798" s="6"/>
      <c r="Q798" s="6"/>
    </row>
    <row r="799" spans="1:17" ht="15" customHeight="1" x14ac:dyDescent="0.25">
      <c r="A799" s="1"/>
      <c r="B799" s="17"/>
      <c r="C799" s="17"/>
      <c r="D799" s="17"/>
      <c r="E799" s="17"/>
      <c r="F799" s="17"/>
      <c r="G799" s="4">
        <f>SUM($B799:$F799)</f>
        <v>0</v>
      </c>
      <c r="H799" s="17"/>
      <c r="I799" s="4">
        <f>$I798+$G799-$H799</f>
        <v>349526.07999999996</v>
      </c>
      <c r="J799" s="32" t="str">
        <f>IF($A800&lt;&gt;$A799,$I799,"")</f>
        <v/>
      </c>
      <c r="K799" s="79"/>
      <c r="L799" s="79"/>
      <c r="M799" s="2"/>
      <c r="N799" s="5"/>
      <c r="O799" s="3"/>
      <c r="P799" s="6"/>
      <c r="Q799" s="6"/>
    </row>
    <row r="800" spans="1:17" ht="15" customHeight="1" x14ac:dyDescent="0.25">
      <c r="A800" s="1"/>
      <c r="B800" s="17"/>
      <c r="C800" s="17"/>
      <c r="D800" s="17"/>
      <c r="E800" s="17"/>
      <c r="F800" s="17"/>
      <c r="G800" s="4">
        <f>SUM($B800:$F800)</f>
        <v>0</v>
      </c>
      <c r="H800" s="17"/>
      <c r="I800" s="4">
        <f>$I799+$G800-$H800</f>
        <v>349526.07999999996</v>
      </c>
      <c r="J800" s="32" t="str">
        <f>IF($A801&lt;&gt;$A800,$I800,"")</f>
        <v/>
      </c>
      <c r="K800" s="79"/>
      <c r="L800" s="79"/>
      <c r="M800" s="2"/>
      <c r="N800" s="5"/>
      <c r="O800" s="3"/>
      <c r="P800" s="6"/>
      <c r="Q800" s="6"/>
    </row>
    <row r="801" spans="1:17" ht="15" customHeight="1" x14ac:dyDescent="0.25">
      <c r="A801" s="1"/>
      <c r="B801" s="17"/>
      <c r="C801" s="17"/>
      <c r="D801" s="17"/>
      <c r="E801" s="17"/>
      <c r="F801" s="17"/>
      <c r="G801" s="4">
        <f>SUM($B801:$F801)</f>
        <v>0</v>
      </c>
      <c r="H801" s="17"/>
      <c r="I801" s="4">
        <f>$I800+$G801-$H801</f>
        <v>349526.07999999996</v>
      </c>
      <c r="J801" s="32" t="str">
        <f>IF($A802&lt;&gt;$A801,$I801,"")</f>
        <v/>
      </c>
      <c r="K801" s="79"/>
      <c r="L801" s="79"/>
      <c r="M801" s="2"/>
      <c r="N801" s="5"/>
      <c r="O801" s="3"/>
      <c r="P801" s="6"/>
      <c r="Q801" s="6"/>
    </row>
    <row r="802" spans="1:17" ht="15" customHeight="1" x14ac:dyDescent="0.25">
      <c r="A802" s="1"/>
      <c r="B802" s="17"/>
      <c r="C802" s="17"/>
      <c r="D802" s="17"/>
      <c r="E802" s="17"/>
      <c r="F802" s="17"/>
      <c r="G802" s="4">
        <f>SUM($B802:$F802)</f>
        <v>0</v>
      </c>
      <c r="H802" s="17"/>
      <c r="I802" s="4">
        <f>$I801+$G802-$H802</f>
        <v>349526.07999999996</v>
      </c>
      <c r="J802" s="32" t="str">
        <f>IF($A803&lt;&gt;$A802,$I802,"")</f>
        <v/>
      </c>
      <c r="K802" s="79"/>
      <c r="L802" s="79"/>
      <c r="M802" s="2"/>
      <c r="N802" s="5"/>
      <c r="O802" s="3"/>
      <c r="P802" s="6"/>
      <c r="Q802" s="6"/>
    </row>
    <row r="803" spans="1:17" ht="15" customHeight="1" x14ac:dyDescent="0.25">
      <c r="A803" s="1"/>
      <c r="B803" s="17"/>
      <c r="C803" s="17"/>
      <c r="D803" s="17"/>
      <c r="E803" s="17"/>
      <c r="F803" s="17"/>
      <c r="G803" s="4">
        <f>SUM($B803:$F803)</f>
        <v>0</v>
      </c>
      <c r="H803" s="17"/>
      <c r="I803" s="4">
        <f>$I802+$G803-$H803</f>
        <v>349526.07999999996</v>
      </c>
      <c r="J803" s="32" t="str">
        <f>IF($A804&lt;&gt;$A803,$I803,"")</f>
        <v/>
      </c>
      <c r="K803" s="79"/>
      <c r="L803" s="79"/>
      <c r="M803" s="2"/>
      <c r="N803" s="5"/>
      <c r="O803" s="3"/>
      <c r="P803" s="6"/>
      <c r="Q803" s="6"/>
    </row>
    <row r="804" spans="1:17" ht="15" customHeight="1" x14ac:dyDescent="0.25">
      <c r="A804" s="1"/>
      <c r="B804" s="17"/>
      <c r="C804" s="17"/>
      <c r="D804" s="17"/>
      <c r="E804" s="17"/>
      <c r="F804" s="17"/>
      <c r="G804" s="4">
        <f>SUM($B804:$F804)</f>
        <v>0</v>
      </c>
      <c r="H804" s="17"/>
      <c r="I804" s="4">
        <f>$I803+$G804-$H804</f>
        <v>349526.07999999996</v>
      </c>
      <c r="J804" s="32" t="str">
        <f>IF($A805&lt;&gt;$A804,$I804,"")</f>
        <v/>
      </c>
      <c r="K804" s="79"/>
      <c r="L804" s="79"/>
      <c r="M804" s="2"/>
      <c r="N804" s="5"/>
      <c r="O804" s="3"/>
      <c r="P804" s="6"/>
      <c r="Q804" s="6"/>
    </row>
    <row r="805" spans="1:17" ht="15" customHeight="1" x14ac:dyDescent="0.25">
      <c r="A805" s="1"/>
      <c r="B805" s="17"/>
      <c r="C805" s="17"/>
      <c r="D805" s="17"/>
      <c r="E805" s="17"/>
      <c r="F805" s="17"/>
      <c r="G805" s="4">
        <f>SUM($B805:$F805)</f>
        <v>0</v>
      </c>
      <c r="H805" s="17"/>
      <c r="I805" s="4">
        <f>$I804+$G805-$H805</f>
        <v>349526.07999999996</v>
      </c>
      <c r="J805" s="32" t="str">
        <f>IF($A806&lt;&gt;$A805,$I805,"")</f>
        <v/>
      </c>
      <c r="K805" s="79"/>
      <c r="L805" s="79"/>
      <c r="M805" s="2"/>
      <c r="N805" s="5"/>
      <c r="O805" s="3"/>
      <c r="P805" s="6"/>
      <c r="Q805" s="6"/>
    </row>
    <row r="806" spans="1:17" ht="15" customHeight="1" x14ac:dyDescent="0.25">
      <c r="A806" s="1"/>
      <c r="B806" s="17"/>
      <c r="C806" s="17"/>
      <c r="D806" s="17"/>
      <c r="E806" s="17"/>
      <c r="F806" s="17"/>
      <c r="G806" s="4">
        <f>SUM($B806:$F806)</f>
        <v>0</v>
      </c>
      <c r="H806" s="17"/>
      <c r="I806" s="4">
        <f>$I805+$G806-$H806</f>
        <v>349526.07999999996</v>
      </c>
      <c r="J806" s="32" t="str">
        <f>IF($A807&lt;&gt;$A806,$I806,"")</f>
        <v/>
      </c>
      <c r="K806" s="79"/>
      <c r="L806" s="79"/>
      <c r="M806" s="2"/>
      <c r="N806" s="5"/>
      <c r="O806" s="3"/>
      <c r="P806" s="6"/>
      <c r="Q806" s="6"/>
    </row>
    <row r="807" spans="1:17" ht="15" customHeight="1" x14ac:dyDescent="0.25">
      <c r="A807" s="1"/>
      <c r="B807" s="17"/>
      <c r="C807" s="17"/>
      <c r="D807" s="17"/>
      <c r="E807" s="17"/>
      <c r="F807" s="17"/>
      <c r="G807" s="4">
        <f>SUM($B807:$F807)</f>
        <v>0</v>
      </c>
      <c r="H807" s="17"/>
      <c r="I807" s="4">
        <f>$I806+$G807-$H807</f>
        <v>349526.07999999996</v>
      </c>
      <c r="J807" s="32" t="str">
        <f>IF($A808&lt;&gt;$A807,$I807,"")</f>
        <v/>
      </c>
      <c r="K807" s="79"/>
      <c r="L807" s="79"/>
      <c r="M807" s="2"/>
      <c r="N807" s="5"/>
      <c r="O807" s="3"/>
      <c r="P807" s="6"/>
      <c r="Q807" s="6"/>
    </row>
    <row r="808" spans="1:17" ht="15" customHeight="1" x14ac:dyDescent="0.25">
      <c r="A808" s="1"/>
      <c r="B808" s="17"/>
      <c r="C808" s="17"/>
      <c r="D808" s="17"/>
      <c r="E808" s="17"/>
      <c r="F808" s="17"/>
      <c r="G808" s="4">
        <f>SUM($B808:$F808)</f>
        <v>0</v>
      </c>
      <c r="H808" s="17"/>
      <c r="I808" s="4">
        <f>$I807+$G808-$H808</f>
        <v>349526.07999999996</v>
      </c>
      <c r="J808" s="32" t="str">
        <f>IF($A809&lt;&gt;$A808,$I808,"")</f>
        <v/>
      </c>
      <c r="K808" s="79"/>
      <c r="L808" s="79"/>
      <c r="M808" s="2"/>
      <c r="N808" s="5"/>
      <c r="O808" s="3"/>
      <c r="P808" s="6"/>
      <c r="Q808" s="6"/>
    </row>
    <row r="809" spans="1:17" ht="15" customHeight="1" x14ac:dyDescent="0.25">
      <c r="A809" s="1"/>
      <c r="B809" s="17"/>
      <c r="C809" s="17"/>
      <c r="D809" s="17"/>
      <c r="E809" s="17"/>
      <c r="F809" s="17"/>
      <c r="G809" s="4">
        <f t="shared" ref="G771:G834" si="0">SUM($B809:$F809)</f>
        <v>0</v>
      </c>
      <c r="H809" s="17"/>
      <c r="I809" s="4">
        <f t="shared" ref="I758:I821" si="1">$I808+$G809-$H809</f>
        <v>349526.07999999996</v>
      </c>
      <c r="J809" s="32" t="str">
        <f t="shared" ref="J758:J821" si="2">IF($A810&lt;&gt;$A809,$I809,"")</f>
        <v/>
      </c>
      <c r="K809" s="79"/>
      <c r="L809" s="79"/>
      <c r="M809" s="2"/>
      <c r="N809" s="5"/>
      <c r="O809" s="3"/>
      <c r="P809" s="6"/>
      <c r="Q809" s="6"/>
    </row>
    <row r="810" spans="1:17" ht="15" customHeight="1" x14ac:dyDescent="0.25">
      <c r="A810" s="1"/>
      <c r="B810" s="17"/>
      <c r="C810" s="17"/>
      <c r="D810" s="17"/>
      <c r="E810" s="17"/>
      <c r="F810" s="17"/>
      <c r="G810" s="4">
        <f t="shared" si="0"/>
        <v>0</v>
      </c>
      <c r="H810" s="17"/>
      <c r="I810" s="4">
        <f t="shared" si="1"/>
        <v>349526.07999999996</v>
      </c>
      <c r="J810" s="32" t="str">
        <f t="shared" si="2"/>
        <v/>
      </c>
      <c r="K810" s="79"/>
      <c r="L810" s="79"/>
      <c r="M810" s="2"/>
      <c r="N810" s="5"/>
      <c r="O810" s="3"/>
      <c r="P810" s="6"/>
      <c r="Q810" s="6"/>
    </row>
    <row r="811" spans="1:17" ht="15" customHeight="1" x14ac:dyDescent="0.25">
      <c r="A811" s="1"/>
      <c r="B811" s="17"/>
      <c r="C811" s="17"/>
      <c r="D811" s="17"/>
      <c r="E811" s="17"/>
      <c r="F811" s="17"/>
      <c r="G811" s="4">
        <f t="shared" si="0"/>
        <v>0</v>
      </c>
      <c r="H811" s="17"/>
      <c r="I811" s="4">
        <f t="shared" si="1"/>
        <v>349526.07999999996</v>
      </c>
      <c r="J811" s="32" t="str">
        <f t="shared" si="2"/>
        <v/>
      </c>
      <c r="K811" s="79"/>
      <c r="L811" s="79"/>
      <c r="M811" s="2"/>
      <c r="N811" s="5"/>
      <c r="O811" s="3"/>
      <c r="P811" s="6"/>
      <c r="Q811" s="6"/>
    </row>
    <row r="812" spans="1:17" ht="15" customHeight="1" x14ac:dyDescent="0.25">
      <c r="A812" s="1"/>
      <c r="B812" s="17"/>
      <c r="C812" s="17"/>
      <c r="D812" s="17"/>
      <c r="E812" s="17"/>
      <c r="F812" s="17"/>
      <c r="G812" s="4">
        <f t="shared" si="0"/>
        <v>0</v>
      </c>
      <c r="H812" s="17"/>
      <c r="I812" s="4">
        <f t="shared" si="1"/>
        <v>349526.07999999996</v>
      </c>
      <c r="J812" s="32" t="str">
        <f t="shared" si="2"/>
        <v/>
      </c>
      <c r="K812" s="79"/>
      <c r="L812" s="79"/>
      <c r="M812" s="2"/>
      <c r="N812" s="5"/>
      <c r="O812" s="3"/>
      <c r="P812" s="6"/>
      <c r="Q812" s="6"/>
    </row>
    <row r="813" spans="1:17" ht="15" customHeight="1" x14ac:dyDescent="0.25">
      <c r="A813" s="1"/>
      <c r="B813" s="17"/>
      <c r="C813" s="17"/>
      <c r="D813" s="17"/>
      <c r="E813" s="17"/>
      <c r="F813" s="17"/>
      <c r="G813" s="4">
        <f t="shared" si="0"/>
        <v>0</v>
      </c>
      <c r="H813" s="17"/>
      <c r="I813" s="4">
        <f t="shared" si="1"/>
        <v>349526.07999999996</v>
      </c>
      <c r="J813" s="32" t="str">
        <f t="shared" si="2"/>
        <v/>
      </c>
      <c r="K813" s="79"/>
      <c r="L813" s="79"/>
      <c r="M813" s="2"/>
      <c r="N813" s="5"/>
      <c r="O813" s="3"/>
      <c r="P813" s="6"/>
      <c r="Q813" s="6"/>
    </row>
    <row r="814" spans="1:17" ht="15" customHeight="1" x14ac:dyDescent="0.25">
      <c r="A814" s="1"/>
      <c r="B814" s="17"/>
      <c r="C814" s="17"/>
      <c r="D814" s="17"/>
      <c r="E814" s="17"/>
      <c r="F814" s="17"/>
      <c r="G814" s="4">
        <f t="shared" si="0"/>
        <v>0</v>
      </c>
      <c r="H814" s="17"/>
      <c r="I814" s="4">
        <f t="shared" si="1"/>
        <v>349526.07999999996</v>
      </c>
      <c r="J814" s="32" t="str">
        <f t="shared" si="2"/>
        <v/>
      </c>
      <c r="K814" s="79"/>
      <c r="L814" s="79"/>
      <c r="M814" s="2"/>
      <c r="N814" s="5"/>
      <c r="O814" s="3"/>
      <c r="P814" s="6"/>
      <c r="Q814" s="6"/>
    </row>
    <row r="815" spans="1:17" ht="15" customHeight="1" x14ac:dyDescent="0.25">
      <c r="A815" s="1"/>
      <c r="B815" s="17"/>
      <c r="C815" s="17"/>
      <c r="D815" s="17"/>
      <c r="E815" s="17"/>
      <c r="F815" s="17"/>
      <c r="G815" s="4">
        <f t="shared" si="0"/>
        <v>0</v>
      </c>
      <c r="H815" s="17"/>
      <c r="I815" s="4">
        <f t="shared" si="1"/>
        <v>349526.07999999996</v>
      </c>
      <c r="J815" s="32" t="str">
        <f t="shared" si="2"/>
        <v/>
      </c>
      <c r="K815" s="79"/>
      <c r="L815" s="79"/>
      <c r="M815" s="2"/>
      <c r="N815" s="5"/>
      <c r="O815" s="3"/>
      <c r="P815" s="6"/>
      <c r="Q815" s="6"/>
    </row>
    <row r="816" spans="1:17" ht="15" customHeight="1" x14ac:dyDescent="0.25">
      <c r="A816" s="1"/>
      <c r="B816" s="17"/>
      <c r="C816" s="17"/>
      <c r="D816" s="17"/>
      <c r="E816" s="17"/>
      <c r="F816" s="17"/>
      <c r="G816" s="4">
        <f t="shared" si="0"/>
        <v>0</v>
      </c>
      <c r="H816" s="17"/>
      <c r="I816" s="4">
        <f t="shared" si="1"/>
        <v>349526.07999999996</v>
      </c>
      <c r="J816" s="32" t="str">
        <f t="shared" si="2"/>
        <v/>
      </c>
      <c r="K816" s="79"/>
      <c r="L816" s="79"/>
      <c r="M816" s="2"/>
      <c r="N816" s="5"/>
      <c r="O816" s="3"/>
      <c r="P816" s="6"/>
      <c r="Q816" s="6"/>
    </row>
    <row r="817" spans="1:17" ht="15" customHeight="1" x14ac:dyDescent="0.25">
      <c r="A817" s="1"/>
      <c r="B817" s="17"/>
      <c r="C817" s="17"/>
      <c r="D817" s="17"/>
      <c r="E817" s="17"/>
      <c r="F817" s="17"/>
      <c r="G817" s="4">
        <f t="shared" si="0"/>
        <v>0</v>
      </c>
      <c r="H817" s="17"/>
      <c r="I817" s="4">
        <f t="shared" si="1"/>
        <v>349526.07999999996</v>
      </c>
      <c r="J817" s="32" t="str">
        <f t="shared" si="2"/>
        <v/>
      </c>
      <c r="K817" s="79"/>
      <c r="L817" s="79"/>
      <c r="M817" s="2"/>
      <c r="N817" s="5"/>
      <c r="O817" s="3"/>
      <c r="P817" s="6"/>
      <c r="Q817" s="6"/>
    </row>
    <row r="818" spans="1:17" ht="15" customHeight="1" x14ac:dyDescent="0.25">
      <c r="A818" s="1"/>
      <c r="B818" s="17"/>
      <c r="C818" s="17"/>
      <c r="D818" s="17"/>
      <c r="E818" s="17"/>
      <c r="F818" s="17"/>
      <c r="G818" s="4">
        <f t="shared" si="0"/>
        <v>0</v>
      </c>
      <c r="H818" s="17"/>
      <c r="I818" s="4">
        <f t="shared" si="1"/>
        <v>349526.07999999996</v>
      </c>
      <c r="J818" s="32" t="str">
        <f t="shared" si="2"/>
        <v/>
      </c>
      <c r="K818" s="79"/>
      <c r="L818" s="79"/>
      <c r="M818" s="2"/>
      <c r="N818" s="5"/>
      <c r="O818" s="3"/>
      <c r="P818" s="6"/>
      <c r="Q818" s="6"/>
    </row>
    <row r="819" spans="1:17" ht="15" customHeight="1" x14ac:dyDescent="0.25">
      <c r="A819" s="1"/>
      <c r="B819" s="17"/>
      <c r="C819" s="17"/>
      <c r="D819" s="17"/>
      <c r="E819" s="17"/>
      <c r="F819" s="17"/>
      <c r="G819" s="4">
        <f t="shared" si="0"/>
        <v>0</v>
      </c>
      <c r="H819" s="17"/>
      <c r="I819" s="4">
        <f t="shared" si="1"/>
        <v>349526.07999999996</v>
      </c>
      <c r="J819" s="32" t="str">
        <f t="shared" si="2"/>
        <v/>
      </c>
      <c r="K819" s="79"/>
      <c r="L819" s="79"/>
      <c r="M819" s="2"/>
      <c r="N819" s="5"/>
      <c r="O819" s="3"/>
      <c r="P819" s="6"/>
      <c r="Q819" s="6"/>
    </row>
    <row r="820" spans="1:17" ht="15" customHeight="1" x14ac:dyDescent="0.25">
      <c r="A820" s="1"/>
      <c r="B820" s="17"/>
      <c r="C820" s="17"/>
      <c r="D820" s="17"/>
      <c r="E820" s="17"/>
      <c r="F820" s="17"/>
      <c r="G820" s="4">
        <f t="shared" si="0"/>
        <v>0</v>
      </c>
      <c r="H820" s="17"/>
      <c r="I820" s="4">
        <f t="shared" si="1"/>
        <v>349526.07999999996</v>
      </c>
      <c r="J820" s="32" t="str">
        <f t="shared" si="2"/>
        <v/>
      </c>
      <c r="K820" s="79"/>
      <c r="L820" s="79"/>
      <c r="M820" s="2"/>
      <c r="N820" s="5"/>
      <c r="O820" s="3"/>
      <c r="P820" s="6"/>
      <c r="Q820" s="6"/>
    </row>
    <row r="821" spans="1:17" ht="15" customHeight="1" x14ac:dyDescent="0.25">
      <c r="A821" s="1"/>
      <c r="B821" s="17"/>
      <c r="C821" s="17"/>
      <c r="D821" s="17"/>
      <c r="E821" s="17"/>
      <c r="F821" s="17"/>
      <c r="G821" s="4">
        <f t="shared" si="0"/>
        <v>0</v>
      </c>
      <c r="H821" s="17"/>
      <c r="I821" s="4">
        <f t="shared" si="1"/>
        <v>349526.07999999996</v>
      </c>
      <c r="J821" s="32" t="str">
        <f t="shared" si="2"/>
        <v/>
      </c>
      <c r="K821" s="79"/>
      <c r="L821" s="79"/>
      <c r="M821" s="2"/>
      <c r="N821" s="5"/>
      <c r="O821" s="3"/>
      <c r="P821" s="6"/>
      <c r="Q821" s="6"/>
    </row>
    <row r="822" spans="1:17" ht="15" customHeight="1" x14ac:dyDescent="0.25">
      <c r="A822" s="1"/>
      <c r="B822" s="17"/>
      <c r="C822" s="17"/>
      <c r="D822" s="17"/>
      <c r="E822" s="17"/>
      <c r="F822" s="17"/>
      <c r="G822" s="4">
        <f t="shared" si="0"/>
        <v>0</v>
      </c>
      <c r="H822" s="17"/>
      <c r="I822" s="4">
        <f t="shared" ref="I822:I885" si="3">$I821+$G822-$H822</f>
        <v>349526.07999999996</v>
      </c>
      <c r="J822" s="32" t="str">
        <f t="shared" ref="J822:J885" si="4">IF($A823&lt;&gt;$A822,$I822,"")</f>
        <v/>
      </c>
      <c r="K822" s="79"/>
      <c r="L822" s="79"/>
      <c r="M822" s="2"/>
      <c r="N822" s="5"/>
      <c r="O822" s="3"/>
      <c r="P822" s="6"/>
      <c r="Q822" s="6"/>
    </row>
    <row r="823" spans="1:17" ht="15" customHeight="1" x14ac:dyDescent="0.25">
      <c r="A823" s="1"/>
      <c r="B823" s="17"/>
      <c r="C823" s="17"/>
      <c r="D823" s="17"/>
      <c r="E823" s="17"/>
      <c r="F823" s="17"/>
      <c r="G823" s="4">
        <f t="shared" si="0"/>
        <v>0</v>
      </c>
      <c r="H823" s="17"/>
      <c r="I823" s="4">
        <f t="shared" si="3"/>
        <v>349526.07999999996</v>
      </c>
      <c r="J823" s="32" t="str">
        <f t="shared" si="4"/>
        <v/>
      </c>
      <c r="K823" s="79"/>
      <c r="L823" s="79"/>
      <c r="M823" s="2"/>
      <c r="N823" s="5"/>
      <c r="O823" s="3"/>
      <c r="P823" s="6"/>
      <c r="Q823" s="6"/>
    </row>
    <row r="824" spans="1:17" ht="15" customHeight="1" x14ac:dyDescent="0.25">
      <c r="A824" s="1"/>
      <c r="B824" s="17"/>
      <c r="C824" s="17"/>
      <c r="D824" s="17"/>
      <c r="E824" s="17"/>
      <c r="F824" s="17"/>
      <c r="G824" s="4">
        <f t="shared" si="0"/>
        <v>0</v>
      </c>
      <c r="H824" s="17"/>
      <c r="I824" s="4">
        <f t="shared" si="3"/>
        <v>349526.07999999996</v>
      </c>
      <c r="J824" s="32" t="str">
        <f t="shared" si="4"/>
        <v/>
      </c>
      <c r="K824" s="79"/>
      <c r="L824" s="79"/>
      <c r="M824" s="2"/>
      <c r="N824" s="5"/>
      <c r="O824" s="3"/>
      <c r="P824" s="6"/>
      <c r="Q824" s="6"/>
    </row>
    <row r="825" spans="1:17" ht="15" customHeight="1" x14ac:dyDescent="0.25">
      <c r="A825" s="1"/>
      <c r="B825" s="17"/>
      <c r="C825" s="17"/>
      <c r="D825" s="17"/>
      <c r="E825" s="17"/>
      <c r="F825" s="17"/>
      <c r="G825" s="4">
        <f t="shared" si="0"/>
        <v>0</v>
      </c>
      <c r="H825" s="17"/>
      <c r="I825" s="4">
        <f t="shared" si="3"/>
        <v>349526.07999999996</v>
      </c>
      <c r="J825" s="32" t="str">
        <f t="shared" si="4"/>
        <v/>
      </c>
      <c r="K825" s="79"/>
      <c r="L825" s="79"/>
      <c r="M825" s="2"/>
      <c r="N825" s="5"/>
      <c r="O825" s="3"/>
      <c r="P825" s="6"/>
      <c r="Q825" s="6"/>
    </row>
    <row r="826" spans="1:17" ht="15" customHeight="1" x14ac:dyDescent="0.25">
      <c r="A826" s="1"/>
      <c r="B826" s="17"/>
      <c r="C826" s="17"/>
      <c r="D826" s="17"/>
      <c r="E826" s="17"/>
      <c r="F826" s="17"/>
      <c r="G826" s="4">
        <f t="shared" si="0"/>
        <v>0</v>
      </c>
      <c r="H826" s="17"/>
      <c r="I826" s="4">
        <f t="shared" si="3"/>
        <v>349526.07999999996</v>
      </c>
      <c r="J826" s="32" t="str">
        <f t="shared" si="4"/>
        <v/>
      </c>
      <c r="K826" s="79"/>
      <c r="L826" s="79"/>
      <c r="M826" s="2"/>
      <c r="N826" s="5"/>
      <c r="O826" s="3"/>
      <c r="P826" s="6"/>
      <c r="Q826" s="6"/>
    </row>
    <row r="827" spans="1:17" ht="15" customHeight="1" x14ac:dyDescent="0.25">
      <c r="A827" s="1"/>
      <c r="B827" s="17"/>
      <c r="C827" s="17"/>
      <c r="D827" s="17"/>
      <c r="E827" s="17"/>
      <c r="F827" s="17"/>
      <c r="G827" s="4">
        <f t="shared" si="0"/>
        <v>0</v>
      </c>
      <c r="H827" s="17"/>
      <c r="I827" s="4">
        <f t="shared" si="3"/>
        <v>349526.07999999996</v>
      </c>
      <c r="J827" s="32" t="str">
        <f t="shared" si="4"/>
        <v/>
      </c>
      <c r="K827" s="79"/>
      <c r="L827" s="79"/>
      <c r="M827" s="2"/>
      <c r="N827" s="5"/>
      <c r="O827" s="3"/>
      <c r="P827" s="6"/>
      <c r="Q827" s="6"/>
    </row>
    <row r="828" spans="1:17" ht="15" customHeight="1" x14ac:dyDescent="0.25">
      <c r="A828" s="1"/>
      <c r="B828" s="17"/>
      <c r="C828" s="17"/>
      <c r="D828" s="17"/>
      <c r="E828" s="17"/>
      <c r="F828" s="17"/>
      <c r="G828" s="4">
        <f t="shared" si="0"/>
        <v>0</v>
      </c>
      <c r="H828" s="17"/>
      <c r="I828" s="4">
        <f t="shared" si="3"/>
        <v>349526.07999999996</v>
      </c>
      <c r="J828" s="32" t="str">
        <f t="shared" si="4"/>
        <v/>
      </c>
      <c r="K828" s="79"/>
      <c r="L828" s="79"/>
      <c r="M828" s="2"/>
      <c r="N828" s="5"/>
      <c r="O828" s="3"/>
      <c r="P828" s="6"/>
      <c r="Q828" s="6"/>
    </row>
    <row r="829" spans="1:17" ht="15" customHeight="1" x14ac:dyDescent="0.25">
      <c r="A829" s="1"/>
      <c r="B829" s="17"/>
      <c r="C829" s="17"/>
      <c r="D829" s="17"/>
      <c r="E829" s="17"/>
      <c r="F829" s="17"/>
      <c r="G829" s="4">
        <f t="shared" si="0"/>
        <v>0</v>
      </c>
      <c r="H829" s="17"/>
      <c r="I829" s="4">
        <f t="shared" si="3"/>
        <v>349526.07999999996</v>
      </c>
      <c r="J829" s="32" t="str">
        <f t="shared" si="4"/>
        <v/>
      </c>
      <c r="K829" s="79"/>
      <c r="L829" s="79"/>
      <c r="M829" s="2"/>
      <c r="N829" s="5"/>
      <c r="O829" s="3"/>
      <c r="P829" s="6"/>
      <c r="Q829" s="6"/>
    </row>
    <row r="830" spans="1:17" ht="15" customHeight="1" x14ac:dyDescent="0.25">
      <c r="A830" s="1"/>
      <c r="B830" s="17"/>
      <c r="C830" s="17"/>
      <c r="D830" s="17"/>
      <c r="E830" s="17"/>
      <c r="F830" s="17"/>
      <c r="G830" s="4">
        <f t="shared" si="0"/>
        <v>0</v>
      </c>
      <c r="H830" s="17"/>
      <c r="I830" s="4">
        <f t="shared" si="3"/>
        <v>349526.07999999996</v>
      </c>
      <c r="J830" s="32" t="str">
        <f t="shared" si="4"/>
        <v/>
      </c>
      <c r="K830" s="79"/>
      <c r="L830" s="79"/>
      <c r="M830" s="2"/>
      <c r="N830" s="5"/>
      <c r="O830" s="3"/>
      <c r="P830" s="6"/>
      <c r="Q830" s="6"/>
    </row>
    <row r="831" spans="1:17" ht="15" customHeight="1" x14ac:dyDescent="0.25">
      <c r="A831" s="1"/>
      <c r="B831" s="17"/>
      <c r="C831" s="17"/>
      <c r="D831" s="17"/>
      <c r="E831" s="17"/>
      <c r="F831" s="17"/>
      <c r="G831" s="4">
        <f t="shared" si="0"/>
        <v>0</v>
      </c>
      <c r="H831" s="17"/>
      <c r="I831" s="4">
        <f t="shared" si="3"/>
        <v>349526.07999999996</v>
      </c>
      <c r="J831" s="32" t="str">
        <f t="shared" si="4"/>
        <v/>
      </c>
      <c r="K831" s="79"/>
      <c r="L831" s="79"/>
      <c r="M831" s="2"/>
      <c r="N831" s="5"/>
      <c r="O831" s="3"/>
      <c r="P831" s="6"/>
      <c r="Q831" s="6"/>
    </row>
    <row r="832" spans="1:17" ht="15" customHeight="1" x14ac:dyDescent="0.25">
      <c r="A832" s="1"/>
      <c r="B832" s="17"/>
      <c r="C832" s="17"/>
      <c r="D832" s="17"/>
      <c r="E832" s="17"/>
      <c r="F832" s="17"/>
      <c r="G832" s="4">
        <f t="shared" si="0"/>
        <v>0</v>
      </c>
      <c r="H832" s="17"/>
      <c r="I832" s="4">
        <f t="shared" si="3"/>
        <v>349526.07999999996</v>
      </c>
      <c r="J832" s="32" t="str">
        <f t="shared" si="4"/>
        <v/>
      </c>
      <c r="K832" s="79"/>
      <c r="L832" s="79"/>
      <c r="M832" s="2"/>
      <c r="N832" s="5"/>
      <c r="O832" s="3"/>
      <c r="P832" s="6"/>
      <c r="Q832" s="6"/>
    </row>
    <row r="833" spans="1:17" ht="15" customHeight="1" x14ac:dyDescent="0.25">
      <c r="A833" s="1"/>
      <c r="B833" s="17"/>
      <c r="C833" s="17"/>
      <c r="D833" s="17"/>
      <c r="E833" s="17"/>
      <c r="F833" s="17"/>
      <c r="G833" s="4">
        <f t="shared" si="0"/>
        <v>0</v>
      </c>
      <c r="H833" s="17"/>
      <c r="I833" s="4">
        <f t="shared" si="3"/>
        <v>349526.07999999996</v>
      </c>
      <c r="J833" s="32" t="str">
        <f t="shared" si="4"/>
        <v/>
      </c>
      <c r="K833" s="79"/>
      <c r="L833" s="79"/>
      <c r="M833" s="2"/>
      <c r="N833" s="5"/>
      <c r="O833" s="3"/>
      <c r="P833" s="6"/>
      <c r="Q833" s="6"/>
    </row>
    <row r="834" spans="1:17" ht="15" customHeight="1" x14ac:dyDescent="0.25">
      <c r="A834" s="1"/>
      <c r="B834" s="17"/>
      <c r="C834" s="17"/>
      <c r="D834" s="17"/>
      <c r="E834" s="17"/>
      <c r="F834" s="17"/>
      <c r="G834" s="4">
        <f t="shared" si="0"/>
        <v>0</v>
      </c>
      <c r="H834" s="17"/>
      <c r="I834" s="4">
        <f t="shared" si="3"/>
        <v>349526.07999999996</v>
      </c>
      <c r="J834" s="32" t="str">
        <f t="shared" si="4"/>
        <v/>
      </c>
      <c r="K834" s="79"/>
      <c r="L834" s="79"/>
      <c r="M834" s="2"/>
      <c r="N834" s="5"/>
      <c r="O834" s="3"/>
      <c r="P834" s="6"/>
      <c r="Q834" s="6"/>
    </row>
    <row r="835" spans="1:17" ht="15" customHeight="1" x14ac:dyDescent="0.25">
      <c r="A835" s="1"/>
      <c r="B835" s="17"/>
      <c r="C835" s="17"/>
      <c r="D835" s="17"/>
      <c r="E835" s="17"/>
      <c r="F835" s="17"/>
      <c r="G835" s="4">
        <f t="shared" ref="G835:G898" si="5">SUM($B835:$F835)</f>
        <v>0</v>
      </c>
      <c r="H835" s="17"/>
      <c r="I835" s="4">
        <f t="shared" si="3"/>
        <v>349526.07999999996</v>
      </c>
      <c r="J835" s="32" t="str">
        <f t="shared" si="4"/>
        <v/>
      </c>
      <c r="K835" s="79"/>
      <c r="L835" s="79"/>
      <c r="M835" s="2"/>
      <c r="N835" s="5"/>
      <c r="O835" s="3"/>
      <c r="P835" s="6"/>
      <c r="Q835" s="6"/>
    </row>
    <row r="836" spans="1:17" ht="15" customHeight="1" x14ac:dyDescent="0.25">
      <c r="A836" s="1"/>
      <c r="B836" s="17"/>
      <c r="C836" s="17"/>
      <c r="D836" s="17"/>
      <c r="E836" s="17"/>
      <c r="F836" s="17"/>
      <c r="G836" s="4">
        <f t="shared" si="5"/>
        <v>0</v>
      </c>
      <c r="H836" s="17"/>
      <c r="I836" s="4">
        <f t="shared" si="3"/>
        <v>349526.07999999996</v>
      </c>
      <c r="J836" s="32" t="str">
        <f t="shared" si="4"/>
        <v/>
      </c>
      <c r="K836" s="79"/>
      <c r="L836" s="79"/>
      <c r="M836" s="2"/>
      <c r="N836" s="5"/>
      <c r="O836" s="3"/>
      <c r="P836" s="6"/>
      <c r="Q836" s="6"/>
    </row>
    <row r="837" spans="1:17" ht="15" customHeight="1" x14ac:dyDescent="0.25">
      <c r="A837" s="1"/>
      <c r="B837" s="17"/>
      <c r="C837" s="17"/>
      <c r="D837" s="17"/>
      <c r="E837" s="17"/>
      <c r="F837" s="17"/>
      <c r="G837" s="4">
        <f t="shared" si="5"/>
        <v>0</v>
      </c>
      <c r="H837" s="17"/>
      <c r="I837" s="4">
        <f t="shared" si="3"/>
        <v>349526.07999999996</v>
      </c>
      <c r="J837" s="32" t="str">
        <f t="shared" si="4"/>
        <v/>
      </c>
      <c r="K837" s="79"/>
      <c r="L837" s="79"/>
      <c r="M837" s="2"/>
      <c r="N837" s="5"/>
      <c r="O837" s="3"/>
      <c r="P837" s="6"/>
      <c r="Q837" s="6"/>
    </row>
    <row r="838" spans="1:17" ht="15" customHeight="1" x14ac:dyDescent="0.25">
      <c r="A838" s="1"/>
      <c r="B838" s="17"/>
      <c r="C838" s="17"/>
      <c r="D838" s="17"/>
      <c r="E838" s="17"/>
      <c r="F838" s="17"/>
      <c r="G838" s="4">
        <f t="shared" si="5"/>
        <v>0</v>
      </c>
      <c r="H838" s="17"/>
      <c r="I838" s="4">
        <f t="shared" si="3"/>
        <v>349526.07999999996</v>
      </c>
      <c r="J838" s="32" t="str">
        <f t="shared" si="4"/>
        <v/>
      </c>
      <c r="K838" s="79"/>
      <c r="L838" s="79"/>
      <c r="M838" s="2"/>
      <c r="N838" s="5"/>
      <c r="O838" s="3"/>
      <c r="P838" s="6"/>
      <c r="Q838" s="6"/>
    </row>
    <row r="839" spans="1:17" ht="15" customHeight="1" x14ac:dyDescent="0.25">
      <c r="A839" s="1"/>
      <c r="B839" s="17"/>
      <c r="C839" s="17"/>
      <c r="D839" s="17"/>
      <c r="E839" s="17"/>
      <c r="F839" s="17"/>
      <c r="G839" s="4">
        <f t="shared" si="5"/>
        <v>0</v>
      </c>
      <c r="H839" s="17"/>
      <c r="I839" s="4">
        <f t="shared" si="3"/>
        <v>349526.07999999996</v>
      </c>
      <c r="J839" s="32" t="str">
        <f t="shared" si="4"/>
        <v/>
      </c>
      <c r="K839" s="79"/>
      <c r="L839" s="79"/>
      <c r="M839" s="2"/>
      <c r="N839" s="5"/>
      <c r="O839" s="3"/>
      <c r="P839" s="6"/>
      <c r="Q839" s="6"/>
    </row>
    <row r="840" spans="1:17" ht="15" customHeight="1" x14ac:dyDescent="0.25">
      <c r="A840" s="1"/>
      <c r="B840" s="17"/>
      <c r="C840" s="17"/>
      <c r="D840" s="17"/>
      <c r="E840" s="17"/>
      <c r="F840" s="17"/>
      <c r="G840" s="4">
        <f t="shared" si="5"/>
        <v>0</v>
      </c>
      <c r="H840" s="17"/>
      <c r="I840" s="4">
        <f t="shared" si="3"/>
        <v>349526.07999999996</v>
      </c>
      <c r="J840" s="32" t="str">
        <f t="shared" si="4"/>
        <v/>
      </c>
      <c r="K840" s="79"/>
      <c r="L840" s="79"/>
      <c r="M840" s="2"/>
      <c r="N840" s="5"/>
      <c r="O840" s="3"/>
      <c r="P840" s="6"/>
      <c r="Q840" s="6"/>
    </row>
    <row r="841" spans="1:17" ht="15" customHeight="1" x14ac:dyDescent="0.25">
      <c r="A841" s="1"/>
      <c r="B841" s="17"/>
      <c r="C841" s="17"/>
      <c r="D841" s="17"/>
      <c r="E841" s="17"/>
      <c r="F841" s="17"/>
      <c r="G841" s="4">
        <f t="shared" si="5"/>
        <v>0</v>
      </c>
      <c r="H841" s="17"/>
      <c r="I841" s="4">
        <f t="shared" si="3"/>
        <v>349526.07999999996</v>
      </c>
      <c r="J841" s="32" t="str">
        <f t="shared" si="4"/>
        <v/>
      </c>
      <c r="K841" s="79"/>
      <c r="L841" s="79"/>
      <c r="M841" s="2"/>
      <c r="N841" s="5"/>
      <c r="O841" s="3"/>
      <c r="P841" s="6"/>
      <c r="Q841" s="6"/>
    </row>
    <row r="842" spans="1:17" ht="15" customHeight="1" x14ac:dyDescent="0.25">
      <c r="A842" s="1"/>
      <c r="B842" s="17"/>
      <c r="C842" s="17"/>
      <c r="D842" s="17"/>
      <c r="E842" s="17"/>
      <c r="F842" s="17"/>
      <c r="G842" s="4">
        <f t="shared" si="5"/>
        <v>0</v>
      </c>
      <c r="H842" s="17"/>
      <c r="I842" s="4">
        <f t="shared" si="3"/>
        <v>349526.07999999996</v>
      </c>
      <c r="J842" s="32" t="str">
        <f t="shared" si="4"/>
        <v/>
      </c>
      <c r="K842" s="79"/>
      <c r="L842" s="79"/>
      <c r="M842" s="2"/>
      <c r="N842" s="5"/>
      <c r="O842" s="3"/>
      <c r="P842" s="6"/>
      <c r="Q842" s="6"/>
    </row>
    <row r="843" spans="1:17" ht="15" customHeight="1" x14ac:dyDescent="0.25">
      <c r="A843" s="1"/>
      <c r="B843" s="17"/>
      <c r="C843" s="17"/>
      <c r="D843" s="17"/>
      <c r="E843" s="17"/>
      <c r="F843" s="17"/>
      <c r="G843" s="4">
        <f t="shared" si="5"/>
        <v>0</v>
      </c>
      <c r="H843" s="17"/>
      <c r="I843" s="4">
        <f t="shared" si="3"/>
        <v>349526.07999999996</v>
      </c>
      <c r="J843" s="32" t="str">
        <f t="shared" si="4"/>
        <v/>
      </c>
      <c r="K843" s="79"/>
      <c r="L843" s="79"/>
      <c r="M843" s="2"/>
      <c r="N843" s="5"/>
      <c r="O843" s="3"/>
      <c r="P843" s="6"/>
      <c r="Q843" s="6"/>
    </row>
    <row r="844" spans="1:17" ht="15" customHeight="1" x14ac:dyDescent="0.25">
      <c r="A844" s="1"/>
      <c r="B844" s="17"/>
      <c r="C844" s="17"/>
      <c r="D844" s="17"/>
      <c r="E844" s="17"/>
      <c r="F844" s="17"/>
      <c r="G844" s="4">
        <f t="shared" si="5"/>
        <v>0</v>
      </c>
      <c r="H844" s="17"/>
      <c r="I844" s="4">
        <f t="shared" si="3"/>
        <v>349526.07999999996</v>
      </c>
      <c r="J844" s="32" t="str">
        <f t="shared" si="4"/>
        <v/>
      </c>
      <c r="K844" s="79"/>
      <c r="L844" s="79"/>
      <c r="M844" s="2"/>
      <c r="N844" s="5"/>
      <c r="O844" s="3"/>
      <c r="P844" s="6"/>
      <c r="Q844" s="6"/>
    </row>
    <row r="845" spans="1:17" ht="15" customHeight="1" x14ac:dyDescent="0.25">
      <c r="A845" s="1"/>
      <c r="B845" s="17"/>
      <c r="C845" s="17"/>
      <c r="D845" s="17"/>
      <c r="E845" s="17"/>
      <c r="F845" s="17"/>
      <c r="G845" s="4">
        <f t="shared" si="5"/>
        <v>0</v>
      </c>
      <c r="H845" s="17"/>
      <c r="I845" s="4">
        <f t="shared" si="3"/>
        <v>349526.07999999996</v>
      </c>
      <c r="J845" s="32" t="str">
        <f t="shared" si="4"/>
        <v/>
      </c>
      <c r="K845" s="79"/>
      <c r="L845" s="79"/>
      <c r="M845" s="2"/>
      <c r="N845" s="5"/>
      <c r="O845" s="3"/>
      <c r="P845" s="6"/>
      <c r="Q845" s="6"/>
    </row>
    <row r="846" spans="1:17" ht="15" customHeight="1" x14ac:dyDescent="0.25">
      <c r="A846" s="1"/>
      <c r="B846" s="17"/>
      <c r="C846" s="17"/>
      <c r="D846" s="17"/>
      <c r="E846" s="17"/>
      <c r="F846" s="17"/>
      <c r="G846" s="4">
        <f t="shared" si="5"/>
        <v>0</v>
      </c>
      <c r="H846" s="17"/>
      <c r="I846" s="4">
        <f t="shared" si="3"/>
        <v>349526.07999999996</v>
      </c>
      <c r="J846" s="32" t="str">
        <f t="shared" si="4"/>
        <v/>
      </c>
      <c r="K846" s="79"/>
      <c r="L846" s="79"/>
      <c r="M846" s="2"/>
      <c r="N846" s="5"/>
      <c r="O846" s="3"/>
      <c r="P846" s="6"/>
      <c r="Q846" s="6"/>
    </row>
    <row r="847" spans="1:17" ht="15" customHeight="1" x14ac:dyDescent="0.25">
      <c r="A847" s="1"/>
      <c r="B847" s="17"/>
      <c r="C847" s="17"/>
      <c r="D847" s="17"/>
      <c r="E847" s="17"/>
      <c r="F847" s="17"/>
      <c r="G847" s="4">
        <f t="shared" si="5"/>
        <v>0</v>
      </c>
      <c r="H847" s="17"/>
      <c r="I847" s="4">
        <f t="shared" si="3"/>
        <v>349526.07999999996</v>
      </c>
      <c r="J847" s="32" t="str">
        <f t="shared" si="4"/>
        <v/>
      </c>
      <c r="K847" s="79"/>
      <c r="L847" s="79"/>
      <c r="M847" s="2"/>
      <c r="N847" s="5"/>
      <c r="O847" s="3"/>
      <c r="P847" s="6"/>
      <c r="Q847" s="6"/>
    </row>
    <row r="848" spans="1:17" ht="15" customHeight="1" x14ac:dyDescent="0.25">
      <c r="A848" s="1"/>
      <c r="B848" s="17"/>
      <c r="C848" s="17"/>
      <c r="D848" s="17"/>
      <c r="E848" s="17"/>
      <c r="F848" s="17"/>
      <c r="G848" s="4">
        <f t="shared" si="5"/>
        <v>0</v>
      </c>
      <c r="H848" s="17"/>
      <c r="I848" s="4">
        <f t="shared" si="3"/>
        <v>349526.07999999996</v>
      </c>
      <c r="J848" s="32" t="str">
        <f t="shared" si="4"/>
        <v/>
      </c>
      <c r="K848" s="79"/>
      <c r="L848" s="79"/>
      <c r="M848" s="2"/>
      <c r="N848" s="5"/>
      <c r="O848" s="3"/>
      <c r="P848" s="6"/>
      <c r="Q848" s="6"/>
    </row>
    <row r="849" spans="1:17" ht="15" customHeight="1" x14ac:dyDescent="0.25">
      <c r="A849" s="1"/>
      <c r="B849" s="17"/>
      <c r="C849" s="17"/>
      <c r="D849" s="17"/>
      <c r="E849" s="17"/>
      <c r="F849" s="17"/>
      <c r="G849" s="4">
        <f t="shared" si="5"/>
        <v>0</v>
      </c>
      <c r="H849" s="17"/>
      <c r="I849" s="4">
        <f t="shared" si="3"/>
        <v>349526.07999999996</v>
      </c>
      <c r="J849" s="32" t="str">
        <f t="shared" si="4"/>
        <v/>
      </c>
      <c r="K849" s="79"/>
      <c r="L849" s="79"/>
      <c r="M849" s="2"/>
      <c r="N849" s="5"/>
      <c r="O849" s="3"/>
      <c r="P849" s="6"/>
      <c r="Q849" s="6"/>
    </row>
    <row r="850" spans="1:17" ht="15" customHeight="1" x14ac:dyDescent="0.25">
      <c r="A850" s="1"/>
      <c r="B850" s="17"/>
      <c r="C850" s="17"/>
      <c r="D850" s="17"/>
      <c r="E850" s="17"/>
      <c r="F850" s="17"/>
      <c r="G850" s="4">
        <f t="shared" si="5"/>
        <v>0</v>
      </c>
      <c r="H850" s="17"/>
      <c r="I850" s="4">
        <f t="shared" si="3"/>
        <v>349526.07999999996</v>
      </c>
      <c r="J850" s="32" t="str">
        <f t="shared" si="4"/>
        <v/>
      </c>
      <c r="K850" s="79"/>
      <c r="L850" s="79"/>
      <c r="M850" s="2"/>
      <c r="N850" s="5"/>
      <c r="O850" s="3"/>
      <c r="P850" s="6"/>
      <c r="Q850" s="6"/>
    </row>
    <row r="851" spans="1:17" ht="15" customHeight="1" x14ac:dyDescent="0.25">
      <c r="A851" s="1"/>
      <c r="B851" s="17"/>
      <c r="C851" s="17"/>
      <c r="D851" s="17"/>
      <c r="E851" s="17"/>
      <c r="F851" s="17"/>
      <c r="G851" s="4">
        <f t="shared" si="5"/>
        <v>0</v>
      </c>
      <c r="H851" s="17"/>
      <c r="I851" s="4">
        <f t="shared" si="3"/>
        <v>349526.07999999996</v>
      </c>
      <c r="J851" s="32" t="str">
        <f t="shared" si="4"/>
        <v/>
      </c>
      <c r="K851" s="79"/>
      <c r="L851" s="79"/>
      <c r="M851" s="2"/>
      <c r="N851" s="5"/>
      <c r="O851" s="3"/>
      <c r="P851" s="6"/>
      <c r="Q851" s="6"/>
    </row>
    <row r="852" spans="1:17" ht="15" customHeight="1" x14ac:dyDescent="0.25">
      <c r="A852" s="1"/>
      <c r="B852" s="17"/>
      <c r="C852" s="17"/>
      <c r="D852" s="17"/>
      <c r="E852" s="17"/>
      <c r="F852" s="17"/>
      <c r="G852" s="4">
        <f t="shared" si="5"/>
        <v>0</v>
      </c>
      <c r="H852" s="17"/>
      <c r="I852" s="4">
        <f t="shared" si="3"/>
        <v>349526.07999999996</v>
      </c>
      <c r="J852" s="32" t="str">
        <f t="shared" si="4"/>
        <v/>
      </c>
      <c r="K852" s="79"/>
      <c r="L852" s="79"/>
      <c r="M852" s="2"/>
      <c r="N852" s="5"/>
      <c r="O852" s="3"/>
      <c r="P852" s="6"/>
      <c r="Q852" s="6"/>
    </row>
    <row r="853" spans="1:17" ht="15" customHeight="1" x14ac:dyDescent="0.25">
      <c r="A853" s="1"/>
      <c r="B853" s="17"/>
      <c r="C853" s="17"/>
      <c r="D853" s="17"/>
      <c r="E853" s="17"/>
      <c r="F853" s="17"/>
      <c r="G853" s="4">
        <f t="shared" si="5"/>
        <v>0</v>
      </c>
      <c r="H853" s="17"/>
      <c r="I853" s="4">
        <f t="shared" si="3"/>
        <v>349526.07999999996</v>
      </c>
      <c r="J853" s="32" t="str">
        <f t="shared" si="4"/>
        <v/>
      </c>
      <c r="K853" s="79"/>
      <c r="L853" s="79"/>
      <c r="M853" s="2"/>
      <c r="N853" s="5"/>
      <c r="O853" s="3"/>
      <c r="P853" s="6"/>
      <c r="Q853" s="6"/>
    </row>
    <row r="854" spans="1:17" ht="15" customHeight="1" x14ac:dyDescent="0.25">
      <c r="A854" s="1"/>
      <c r="B854" s="17"/>
      <c r="C854" s="17"/>
      <c r="D854" s="17"/>
      <c r="E854" s="17"/>
      <c r="F854" s="17"/>
      <c r="G854" s="4">
        <f t="shared" si="5"/>
        <v>0</v>
      </c>
      <c r="H854" s="17"/>
      <c r="I854" s="4">
        <f t="shared" si="3"/>
        <v>349526.07999999996</v>
      </c>
      <c r="J854" s="32" t="str">
        <f t="shared" si="4"/>
        <v/>
      </c>
      <c r="K854" s="79"/>
      <c r="L854" s="79"/>
      <c r="M854" s="2"/>
      <c r="N854" s="5"/>
      <c r="O854" s="3"/>
      <c r="P854" s="6"/>
      <c r="Q854" s="6"/>
    </row>
    <row r="855" spans="1:17" ht="15" customHeight="1" x14ac:dyDescent="0.25">
      <c r="A855" s="1"/>
      <c r="B855" s="17"/>
      <c r="C855" s="17"/>
      <c r="D855" s="17"/>
      <c r="E855" s="17"/>
      <c r="F855" s="17"/>
      <c r="G855" s="4">
        <f t="shared" si="5"/>
        <v>0</v>
      </c>
      <c r="H855" s="17"/>
      <c r="I855" s="4">
        <f t="shared" si="3"/>
        <v>349526.07999999996</v>
      </c>
      <c r="J855" s="32" t="str">
        <f t="shared" si="4"/>
        <v/>
      </c>
      <c r="K855" s="79"/>
      <c r="L855" s="79"/>
      <c r="M855" s="2"/>
      <c r="N855" s="5"/>
      <c r="O855" s="3"/>
      <c r="P855" s="6"/>
      <c r="Q855" s="6"/>
    </row>
    <row r="856" spans="1:17" ht="15" customHeight="1" x14ac:dyDescent="0.25">
      <c r="A856" s="1"/>
      <c r="B856" s="17"/>
      <c r="C856" s="17"/>
      <c r="D856" s="17"/>
      <c r="E856" s="17"/>
      <c r="F856" s="17"/>
      <c r="G856" s="4">
        <f t="shared" si="5"/>
        <v>0</v>
      </c>
      <c r="H856" s="17"/>
      <c r="I856" s="4">
        <f t="shared" si="3"/>
        <v>349526.07999999996</v>
      </c>
      <c r="J856" s="32" t="str">
        <f t="shared" si="4"/>
        <v/>
      </c>
      <c r="K856" s="79"/>
      <c r="L856" s="79"/>
      <c r="M856" s="2"/>
      <c r="N856" s="5"/>
      <c r="O856" s="3"/>
      <c r="P856" s="6"/>
      <c r="Q856" s="6"/>
    </row>
    <row r="857" spans="1:17" ht="15" customHeight="1" x14ac:dyDescent="0.25">
      <c r="A857" s="1"/>
      <c r="B857" s="17"/>
      <c r="C857" s="17"/>
      <c r="D857" s="17"/>
      <c r="E857" s="17"/>
      <c r="F857" s="17"/>
      <c r="G857" s="4">
        <f t="shared" si="5"/>
        <v>0</v>
      </c>
      <c r="H857" s="17"/>
      <c r="I857" s="4">
        <f t="shared" si="3"/>
        <v>349526.07999999996</v>
      </c>
      <c r="J857" s="32" t="str">
        <f t="shared" si="4"/>
        <v/>
      </c>
      <c r="K857" s="79"/>
      <c r="L857" s="79"/>
      <c r="M857" s="2"/>
      <c r="N857" s="5"/>
      <c r="O857" s="3"/>
      <c r="P857" s="6"/>
      <c r="Q857" s="6"/>
    </row>
    <row r="858" spans="1:17" ht="15" customHeight="1" x14ac:dyDescent="0.25">
      <c r="A858" s="1"/>
      <c r="B858" s="17"/>
      <c r="C858" s="17"/>
      <c r="D858" s="17"/>
      <c r="E858" s="17"/>
      <c r="F858" s="17"/>
      <c r="G858" s="4">
        <f t="shared" si="5"/>
        <v>0</v>
      </c>
      <c r="H858" s="17"/>
      <c r="I858" s="4">
        <f t="shared" si="3"/>
        <v>349526.07999999996</v>
      </c>
      <c r="J858" s="32" t="str">
        <f t="shared" si="4"/>
        <v/>
      </c>
      <c r="K858" s="79"/>
      <c r="L858" s="79"/>
      <c r="M858" s="2"/>
      <c r="N858" s="5"/>
      <c r="O858" s="3"/>
      <c r="P858" s="6"/>
      <c r="Q858" s="6"/>
    </row>
    <row r="859" spans="1:17" ht="15" customHeight="1" x14ac:dyDescent="0.25">
      <c r="A859" s="1"/>
      <c r="B859" s="17"/>
      <c r="C859" s="17"/>
      <c r="D859" s="17"/>
      <c r="E859" s="17"/>
      <c r="F859" s="17"/>
      <c r="G859" s="4">
        <f t="shared" si="5"/>
        <v>0</v>
      </c>
      <c r="H859" s="17"/>
      <c r="I859" s="4">
        <f t="shared" si="3"/>
        <v>349526.07999999996</v>
      </c>
      <c r="J859" s="32" t="str">
        <f t="shared" si="4"/>
        <v/>
      </c>
      <c r="K859" s="79"/>
      <c r="L859" s="79"/>
      <c r="M859" s="2"/>
      <c r="N859" s="5"/>
      <c r="O859" s="3"/>
      <c r="P859" s="6"/>
      <c r="Q859" s="6"/>
    </row>
    <row r="860" spans="1:17" ht="15" customHeight="1" x14ac:dyDescent="0.25">
      <c r="A860" s="1"/>
      <c r="B860" s="17"/>
      <c r="C860" s="17"/>
      <c r="D860" s="17"/>
      <c r="E860" s="17"/>
      <c r="F860" s="17"/>
      <c r="G860" s="4">
        <f t="shared" si="5"/>
        <v>0</v>
      </c>
      <c r="H860" s="17"/>
      <c r="I860" s="4">
        <f t="shared" si="3"/>
        <v>349526.07999999996</v>
      </c>
      <c r="J860" s="32" t="str">
        <f t="shared" si="4"/>
        <v/>
      </c>
      <c r="K860" s="79"/>
      <c r="L860" s="79"/>
      <c r="M860" s="2"/>
      <c r="N860" s="5"/>
      <c r="O860" s="3"/>
      <c r="P860" s="6"/>
      <c r="Q860" s="6"/>
    </row>
    <row r="861" spans="1:17" ht="15" customHeight="1" x14ac:dyDescent="0.25">
      <c r="A861" s="1"/>
      <c r="B861" s="17"/>
      <c r="C861" s="17"/>
      <c r="D861" s="17"/>
      <c r="E861" s="17"/>
      <c r="F861" s="17"/>
      <c r="G861" s="4">
        <f t="shared" si="5"/>
        <v>0</v>
      </c>
      <c r="H861" s="17"/>
      <c r="I861" s="4">
        <f t="shared" si="3"/>
        <v>349526.07999999996</v>
      </c>
      <c r="J861" s="32" t="str">
        <f t="shared" si="4"/>
        <v/>
      </c>
      <c r="K861" s="79"/>
      <c r="L861" s="79"/>
      <c r="M861" s="2"/>
      <c r="N861" s="5"/>
      <c r="O861" s="3"/>
      <c r="P861" s="6"/>
      <c r="Q861" s="6"/>
    </row>
    <row r="862" spans="1:17" ht="15" customHeight="1" x14ac:dyDescent="0.25">
      <c r="A862" s="1"/>
      <c r="B862" s="17"/>
      <c r="C862" s="17"/>
      <c r="D862" s="17"/>
      <c r="E862" s="17"/>
      <c r="F862" s="17"/>
      <c r="G862" s="4">
        <f t="shared" si="5"/>
        <v>0</v>
      </c>
      <c r="H862" s="17"/>
      <c r="I862" s="4">
        <f t="shared" si="3"/>
        <v>349526.07999999996</v>
      </c>
      <c r="J862" s="32" t="str">
        <f t="shared" si="4"/>
        <v/>
      </c>
      <c r="K862" s="79"/>
      <c r="L862" s="79"/>
      <c r="M862" s="2"/>
      <c r="N862" s="5"/>
      <c r="O862" s="3"/>
      <c r="P862" s="6"/>
      <c r="Q862" s="6"/>
    </row>
    <row r="863" spans="1:17" ht="15" customHeight="1" x14ac:dyDescent="0.25">
      <c r="A863" s="1"/>
      <c r="B863" s="17"/>
      <c r="C863" s="17"/>
      <c r="D863" s="17"/>
      <c r="E863" s="17"/>
      <c r="F863" s="17"/>
      <c r="G863" s="4">
        <f t="shared" si="5"/>
        <v>0</v>
      </c>
      <c r="H863" s="17"/>
      <c r="I863" s="4">
        <f t="shared" si="3"/>
        <v>349526.07999999996</v>
      </c>
      <c r="J863" s="32" t="str">
        <f t="shared" si="4"/>
        <v/>
      </c>
      <c r="K863" s="79"/>
      <c r="L863" s="79"/>
      <c r="M863" s="2"/>
      <c r="N863" s="5"/>
      <c r="O863" s="3"/>
      <c r="P863" s="6"/>
      <c r="Q863" s="6"/>
    </row>
    <row r="864" spans="1:17" ht="15" customHeight="1" x14ac:dyDescent="0.25">
      <c r="A864" s="1"/>
      <c r="B864" s="17"/>
      <c r="C864" s="17"/>
      <c r="D864" s="17"/>
      <c r="E864" s="17"/>
      <c r="F864" s="17"/>
      <c r="G864" s="4">
        <f t="shared" si="5"/>
        <v>0</v>
      </c>
      <c r="H864" s="17"/>
      <c r="I864" s="4">
        <f t="shared" si="3"/>
        <v>349526.07999999996</v>
      </c>
      <c r="J864" s="32" t="str">
        <f t="shared" si="4"/>
        <v/>
      </c>
      <c r="K864" s="79"/>
      <c r="L864" s="79"/>
      <c r="M864" s="2"/>
      <c r="N864" s="5"/>
      <c r="O864" s="3"/>
      <c r="P864" s="6"/>
      <c r="Q864" s="6"/>
    </row>
    <row r="865" spans="1:17" ht="15" customHeight="1" x14ac:dyDescent="0.25">
      <c r="A865" s="1"/>
      <c r="B865" s="17"/>
      <c r="C865" s="17"/>
      <c r="D865" s="17"/>
      <c r="E865" s="17"/>
      <c r="F865" s="17"/>
      <c r="G865" s="4">
        <f t="shared" si="5"/>
        <v>0</v>
      </c>
      <c r="H865" s="17"/>
      <c r="I865" s="4">
        <f t="shared" si="3"/>
        <v>349526.07999999996</v>
      </c>
      <c r="J865" s="32" t="str">
        <f t="shared" si="4"/>
        <v/>
      </c>
      <c r="K865" s="79"/>
      <c r="L865" s="79"/>
      <c r="M865" s="2"/>
      <c r="N865" s="5"/>
      <c r="O865" s="3"/>
      <c r="P865" s="6"/>
      <c r="Q865" s="6"/>
    </row>
    <row r="866" spans="1:17" ht="15" customHeight="1" x14ac:dyDescent="0.25">
      <c r="A866" s="1"/>
      <c r="B866" s="17"/>
      <c r="C866" s="17"/>
      <c r="D866" s="17"/>
      <c r="E866" s="17"/>
      <c r="F866" s="17"/>
      <c r="G866" s="4">
        <f t="shared" si="5"/>
        <v>0</v>
      </c>
      <c r="H866" s="17"/>
      <c r="I866" s="4">
        <f t="shared" si="3"/>
        <v>349526.07999999996</v>
      </c>
      <c r="J866" s="32" t="str">
        <f t="shared" si="4"/>
        <v/>
      </c>
      <c r="K866" s="79"/>
      <c r="L866" s="79"/>
      <c r="M866" s="2"/>
      <c r="N866" s="5"/>
      <c r="O866" s="3"/>
      <c r="P866" s="6"/>
      <c r="Q866" s="6"/>
    </row>
    <row r="867" spans="1:17" ht="15" customHeight="1" x14ac:dyDescent="0.25">
      <c r="A867" s="1"/>
      <c r="B867" s="17"/>
      <c r="C867" s="17"/>
      <c r="D867" s="17"/>
      <c r="E867" s="17"/>
      <c r="F867" s="17"/>
      <c r="G867" s="4">
        <f t="shared" si="5"/>
        <v>0</v>
      </c>
      <c r="H867" s="17"/>
      <c r="I867" s="4">
        <f t="shared" si="3"/>
        <v>349526.07999999996</v>
      </c>
      <c r="J867" s="32" t="str">
        <f t="shared" si="4"/>
        <v/>
      </c>
      <c r="K867" s="79"/>
      <c r="L867" s="79"/>
      <c r="M867" s="2"/>
      <c r="N867" s="5"/>
      <c r="O867" s="3"/>
      <c r="P867" s="6"/>
      <c r="Q867" s="6"/>
    </row>
    <row r="868" spans="1:17" ht="15" customHeight="1" x14ac:dyDescent="0.25">
      <c r="A868" s="1"/>
      <c r="B868" s="17"/>
      <c r="C868" s="17"/>
      <c r="D868" s="17"/>
      <c r="E868" s="17"/>
      <c r="F868" s="17"/>
      <c r="G868" s="4">
        <f t="shared" si="5"/>
        <v>0</v>
      </c>
      <c r="H868" s="17"/>
      <c r="I868" s="4">
        <f t="shared" si="3"/>
        <v>349526.07999999996</v>
      </c>
      <c r="J868" s="32" t="str">
        <f t="shared" si="4"/>
        <v/>
      </c>
      <c r="K868" s="79"/>
      <c r="L868" s="79"/>
      <c r="M868" s="2"/>
      <c r="N868" s="5"/>
      <c r="O868" s="3"/>
      <c r="P868" s="6"/>
      <c r="Q868" s="6"/>
    </row>
    <row r="869" spans="1:17" ht="15" customHeight="1" x14ac:dyDescent="0.25">
      <c r="A869" s="1"/>
      <c r="B869" s="17"/>
      <c r="C869" s="17"/>
      <c r="D869" s="17"/>
      <c r="E869" s="17"/>
      <c r="F869" s="17"/>
      <c r="G869" s="4">
        <f t="shared" si="5"/>
        <v>0</v>
      </c>
      <c r="H869" s="17"/>
      <c r="I869" s="4">
        <f t="shared" si="3"/>
        <v>349526.07999999996</v>
      </c>
      <c r="J869" s="32" t="str">
        <f t="shared" si="4"/>
        <v/>
      </c>
      <c r="K869" s="79"/>
      <c r="L869" s="79"/>
      <c r="M869" s="2"/>
      <c r="N869" s="5"/>
      <c r="O869" s="3"/>
      <c r="P869" s="6"/>
      <c r="Q869" s="6"/>
    </row>
    <row r="870" spans="1:17" ht="15" customHeight="1" x14ac:dyDescent="0.25">
      <c r="A870" s="1"/>
      <c r="B870" s="17"/>
      <c r="C870" s="17"/>
      <c r="D870" s="17"/>
      <c r="E870" s="17"/>
      <c r="F870" s="17"/>
      <c r="G870" s="4">
        <f t="shared" si="5"/>
        <v>0</v>
      </c>
      <c r="H870" s="17"/>
      <c r="I870" s="4">
        <f t="shared" si="3"/>
        <v>349526.07999999996</v>
      </c>
      <c r="J870" s="32" t="str">
        <f t="shared" si="4"/>
        <v/>
      </c>
      <c r="K870" s="79"/>
      <c r="L870" s="79"/>
      <c r="M870" s="2"/>
      <c r="N870" s="5"/>
      <c r="O870" s="3"/>
      <c r="P870" s="6"/>
      <c r="Q870" s="6"/>
    </row>
    <row r="871" spans="1:17" ht="15" customHeight="1" x14ac:dyDescent="0.25">
      <c r="A871" s="1"/>
      <c r="B871" s="17"/>
      <c r="C871" s="17"/>
      <c r="D871" s="17"/>
      <c r="E871" s="17"/>
      <c r="F871" s="17"/>
      <c r="G871" s="4">
        <f t="shared" si="5"/>
        <v>0</v>
      </c>
      <c r="H871" s="17"/>
      <c r="I871" s="4">
        <f t="shared" si="3"/>
        <v>349526.07999999996</v>
      </c>
      <c r="J871" s="32" t="str">
        <f t="shared" si="4"/>
        <v/>
      </c>
      <c r="K871" s="79"/>
      <c r="L871" s="79"/>
      <c r="M871" s="2"/>
      <c r="N871" s="5"/>
      <c r="O871" s="3"/>
      <c r="P871" s="6"/>
      <c r="Q871" s="6"/>
    </row>
    <row r="872" spans="1:17" ht="15" customHeight="1" x14ac:dyDescent="0.25">
      <c r="A872" s="1"/>
      <c r="B872" s="17"/>
      <c r="C872" s="17"/>
      <c r="D872" s="17"/>
      <c r="E872" s="17"/>
      <c r="F872" s="17"/>
      <c r="G872" s="4">
        <f t="shared" si="5"/>
        <v>0</v>
      </c>
      <c r="H872" s="17"/>
      <c r="I872" s="4">
        <f t="shared" si="3"/>
        <v>349526.07999999996</v>
      </c>
      <c r="J872" s="32" t="str">
        <f t="shared" si="4"/>
        <v/>
      </c>
      <c r="K872" s="79"/>
      <c r="L872" s="79"/>
      <c r="M872" s="2"/>
      <c r="N872" s="5"/>
      <c r="O872" s="3"/>
      <c r="P872" s="6"/>
      <c r="Q872" s="6"/>
    </row>
    <row r="873" spans="1:17" ht="15" customHeight="1" x14ac:dyDescent="0.25">
      <c r="A873" s="1"/>
      <c r="B873" s="17"/>
      <c r="C873" s="17"/>
      <c r="D873" s="17"/>
      <c r="E873" s="17"/>
      <c r="F873" s="17"/>
      <c r="G873" s="4">
        <f t="shared" si="5"/>
        <v>0</v>
      </c>
      <c r="H873" s="17"/>
      <c r="I873" s="4">
        <f t="shared" si="3"/>
        <v>349526.07999999996</v>
      </c>
      <c r="J873" s="32" t="str">
        <f t="shared" si="4"/>
        <v/>
      </c>
      <c r="K873" s="79"/>
      <c r="L873" s="79"/>
      <c r="M873" s="2"/>
      <c r="N873" s="5"/>
      <c r="O873" s="3"/>
      <c r="P873" s="6"/>
      <c r="Q873" s="6"/>
    </row>
    <row r="874" spans="1:17" ht="15" customHeight="1" x14ac:dyDescent="0.25">
      <c r="A874" s="1"/>
      <c r="B874" s="17"/>
      <c r="C874" s="17"/>
      <c r="D874" s="17"/>
      <c r="E874" s="17"/>
      <c r="F874" s="17"/>
      <c r="G874" s="4">
        <f t="shared" si="5"/>
        <v>0</v>
      </c>
      <c r="H874" s="17"/>
      <c r="I874" s="4">
        <f t="shared" si="3"/>
        <v>349526.07999999996</v>
      </c>
      <c r="J874" s="32" t="str">
        <f t="shared" si="4"/>
        <v/>
      </c>
      <c r="K874" s="79"/>
      <c r="L874" s="79"/>
      <c r="M874" s="2"/>
      <c r="N874" s="5"/>
      <c r="O874" s="3"/>
      <c r="P874" s="6"/>
      <c r="Q874" s="6"/>
    </row>
    <row r="875" spans="1:17" ht="15" customHeight="1" x14ac:dyDescent="0.25">
      <c r="A875" s="1"/>
      <c r="B875" s="17"/>
      <c r="C875" s="17"/>
      <c r="D875" s="17"/>
      <c r="E875" s="17"/>
      <c r="F875" s="17"/>
      <c r="G875" s="4">
        <f t="shared" si="5"/>
        <v>0</v>
      </c>
      <c r="H875" s="17"/>
      <c r="I875" s="4">
        <f t="shared" si="3"/>
        <v>349526.07999999996</v>
      </c>
      <c r="J875" s="32" t="str">
        <f t="shared" si="4"/>
        <v/>
      </c>
      <c r="K875" s="79"/>
      <c r="L875" s="79"/>
      <c r="M875" s="2"/>
      <c r="N875" s="5"/>
      <c r="O875" s="3"/>
      <c r="P875" s="6"/>
      <c r="Q875" s="6"/>
    </row>
    <row r="876" spans="1:17" ht="15" customHeight="1" x14ac:dyDescent="0.25">
      <c r="A876" s="1"/>
      <c r="B876" s="17"/>
      <c r="C876" s="17"/>
      <c r="D876" s="17"/>
      <c r="E876" s="17"/>
      <c r="F876" s="17"/>
      <c r="G876" s="4">
        <f t="shared" si="5"/>
        <v>0</v>
      </c>
      <c r="H876" s="17"/>
      <c r="I876" s="4">
        <f t="shared" si="3"/>
        <v>349526.07999999996</v>
      </c>
      <c r="J876" s="32" t="str">
        <f t="shared" si="4"/>
        <v/>
      </c>
      <c r="K876" s="79"/>
      <c r="L876" s="79"/>
      <c r="M876" s="2"/>
      <c r="N876" s="5"/>
      <c r="O876" s="3"/>
      <c r="P876" s="6"/>
      <c r="Q876" s="6"/>
    </row>
    <row r="877" spans="1:17" ht="15" customHeight="1" x14ac:dyDescent="0.25">
      <c r="A877" s="1"/>
      <c r="B877" s="17"/>
      <c r="C877" s="17"/>
      <c r="D877" s="17"/>
      <c r="E877" s="17"/>
      <c r="F877" s="17"/>
      <c r="G877" s="4">
        <f t="shared" si="5"/>
        <v>0</v>
      </c>
      <c r="H877" s="17"/>
      <c r="I877" s="4">
        <f t="shared" si="3"/>
        <v>349526.07999999996</v>
      </c>
      <c r="J877" s="32" t="str">
        <f t="shared" si="4"/>
        <v/>
      </c>
      <c r="K877" s="79"/>
      <c r="L877" s="79"/>
      <c r="M877" s="2"/>
      <c r="N877" s="5"/>
      <c r="O877" s="3"/>
      <c r="P877" s="6"/>
      <c r="Q877" s="6"/>
    </row>
    <row r="878" spans="1:17" ht="15" customHeight="1" x14ac:dyDescent="0.25">
      <c r="A878" s="1"/>
      <c r="B878" s="17"/>
      <c r="C878" s="17"/>
      <c r="D878" s="17"/>
      <c r="E878" s="17"/>
      <c r="F878" s="17"/>
      <c r="G878" s="4">
        <f t="shared" si="5"/>
        <v>0</v>
      </c>
      <c r="H878" s="17"/>
      <c r="I878" s="4">
        <f t="shared" si="3"/>
        <v>349526.07999999996</v>
      </c>
      <c r="J878" s="32" t="str">
        <f t="shared" si="4"/>
        <v/>
      </c>
      <c r="K878" s="79"/>
      <c r="L878" s="79"/>
      <c r="M878" s="2"/>
      <c r="N878" s="5"/>
      <c r="O878" s="3"/>
      <c r="P878" s="6"/>
      <c r="Q878" s="6"/>
    </row>
    <row r="879" spans="1:17" ht="15" customHeight="1" x14ac:dyDescent="0.25">
      <c r="A879" s="1"/>
      <c r="B879" s="17"/>
      <c r="C879" s="17"/>
      <c r="D879" s="17"/>
      <c r="E879" s="17"/>
      <c r="F879" s="17"/>
      <c r="G879" s="4">
        <f t="shared" si="5"/>
        <v>0</v>
      </c>
      <c r="H879" s="17"/>
      <c r="I879" s="4">
        <f t="shared" si="3"/>
        <v>349526.07999999996</v>
      </c>
      <c r="J879" s="32" t="str">
        <f t="shared" si="4"/>
        <v/>
      </c>
      <c r="K879" s="79"/>
      <c r="L879" s="79"/>
      <c r="M879" s="2"/>
      <c r="N879" s="5"/>
      <c r="O879" s="3"/>
      <c r="P879" s="6"/>
      <c r="Q879" s="6"/>
    </row>
    <row r="880" spans="1:17" ht="15" customHeight="1" x14ac:dyDescent="0.25">
      <c r="A880" s="1"/>
      <c r="B880" s="17"/>
      <c r="C880" s="17"/>
      <c r="D880" s="17"/>
      <c r="E880" s="17"/>
      <c r="F880" s="17"/>
      <c r="G880" s="4">
        <f t="shared" si="5"/>
        <v>0</v>
      </c>
      <c r="H880" s="17"/>
      <c r="I880" s="4">
        <f t="shared" si="3"/>
        <v>349526.07999999996</v>
      </c>
      <c r="J880" s="32" t="str">
        <f t="shared" si="4"/>
        <v/>
      </c>
      <c r="K880" s="79"/>
      <c r="L880" s="79"/>
      <c r="M880" s="2"/>
      <c r="N880" s="5"/>
      <c r="O880" s="3"/>
      <c r="P880" s="6"/>
      <c r="Q880" s="6"/>
    </row>
    <row r="881" spans="1:17" ht="15" customHeight="1" x14ac:dyDescent="0.25">
      <c r="A881" s="1"/>
      <c r="B881" s="17"/>
      <c r="C881" s="17"/>
      <c r="D881" s="17"/>
      <c r="E881" s="17"/>
      <c r="F881" s="17"/>
      <c r="G881" s="4">
        <f t="shared" si="5"/>
        <v>0</v>
      </c>
      <c r="H881" s="17"/>
      <c r="I881" s="4">
        <f t="shared" si="3"/>
        <v>349526.07999999996</v>
      </c>
      <c r="J881" s="32" t="str">
        <f t="shared" si="4"/>
        <v/>
      </c>
      <c r="K881" s="79"/>
      <c r="L881" s="79"/>
      <c r="M881" s="2"/>
      <c r="N881" s="5"/>
      <c r="O881" s="3"/>
      <c r="P881" s="6"/>
      <c r="Q881" s="6"/>
    </row>
    <row r="882" spans="1:17" ht="15" customHeight="1" x14ac:dyDescent="0.25">
      <c r="A882" s="1"/>
      <c r="B882" s="17"/>
      <c r="C882" s="17"/>
      <c r="D882" s="17"/>
      <c r="E882" s="17"/>
      <c r="F882" s="17"/>
      <c r="G882" s="4">
        <f t="shared" si="5"/>
        <v>0</v>
      </c>
      <c r="H882" s="17"/>
      <c r="I882" s="4">
        <f t="shared" si="3"/>
        <v>349526.07999999996</v>
      </c>
      <c r="J882" s="32" t="str">
        <f t="shared" si="4"/>
        <v/>
      </c>
      <c r="K882" s="79"/>
      <c r="L882" s="79"/>
      <c r="M882" s="2"/>
      <c r="N882" s="5"/>
      <c r="O882" s="3"/>
      <c r="P882" s="6"/>
      <c r="Q882" s="6"/>
    </row>
    <row r="883" spans="1:17" ht="15" customHeight="1" x14ac:dyDescent="0.25">
      <c r="A883" s="1"/>
      <c r="B883" s="17"/>
      <c r="C883" s="17"/>
      <c r="D883" s="17"/>
      <c r="E883" s="17"/>
      <c r="F883" s="17"/>
      <c r="G883" s="4">
        <f t="shared" si="5"/>
        <v>0</v>
      </c>
      <c r="H883" s="17"/>
      <c r="I883" s="4">
        <f t="shared" si="3"/>
        <v>349526.07999999996</v>
      </c>
      <c r="J883" s="32" t="str">
        <f t="shared" si="4"/>
        <v/>
      </c>
      <c r="K883" s="79"/>
      <c r="L883" s="79"/>
      <c r="M883" s="2"/>
      <c r="N883" s="5"/>
      <c r="O883" s="3"/>
      <c r="P883" s="6"/>
      <c r="Q883" s="6"/>
    </row>
    <row r="884" spans="1:17" ht="15" customHeight="1" x14ac:dyDescent="0.25">
      <c r="A884" s="1"/>
      <c r="B884" s="17"/>
      <c r="C884" s="17"/>
      <c r="D884" s="17"/>
      <c r="E884" s="17"/>
      <c r="F884" s="17"/>
      <c r="G884" s="4">
        <f t="shared" si="5"/>
        <v>0</v>
      </c>
      <c r="H884" s="17"/>
      <c r="I884" s="4">
        <f t="shared" si="3"/>
        <v>349526.07999999996</v>
      </c>
      <c r="J884" s="32" t="str">
        <f t="shared" si="4"/>
        <v/>
      </c>
      <c r="K884" s="79"/>
      <c r="L884" s="79"/>
      <c r="M884" s="2"/>
      <c r="N884" s="5"/>
      <c r="O884" s="3"/>
      <c r="P884" s="6"/>
      <c r="Q884" s="6"/>
    </row>
    <row r="885" spans="1:17" ht="15" customHeight="1" x14ac:dyDescent="0.25">
      <c r="A885" s="1"/>
      <c r="B885" s="17"/>
      <c r="C885" s="17"/>
      <c r="D885" s="17"/>
      <c r="E885" s="17"/>
      <c r="F885" s="17"/>
      <c r="G885" s="4">
        <f t="shared" si="5"/>
        <v>0</v>
      </c>
      <c r="H885" s="17"/>
      <c r="I885" s="4">
        <f t="shared" si="3"/>
        <v>349526.07999999996</v>
      </c>
      <c r="J885" s="32" t="str">
        <f t="shared" si="4"/>
        <v/>
      </c>
      <c r="K885" s="79"/>
      <c r="L885" s="79"/>
      <c r="M885" s="2"/>
      <c r="N885" s="5"/>
      <c r="O885" s="3"/>
      <c r="P885" s="6"/>
      <c r="Q885" s="6"/>
    </row>
    <row r="886" spans="1:17" ht="15" customHeight="1" x14ac:dyDescent="0.25">
      <c r="A886" s="1"/>
      <c r="B886" s="17"/>
      <c r="C886" s="17"/>
      <c r="D886" s="17"/>
      <c r="E886" s="17"/>
      <c r="F886" s="17"/>
      <c r="G886" s="4">
        <f t="shared" si="5"/>
        <v>0</v>
      </c>
      <c r="H886" s="17"/>
      <c r="I886" s="4">
        <f t="shared" ref="I886:I949" si="6">$I885+$G886-$H886</f>
        <v>349526.07999999996</v>
      </c>
      <c r="J886" s="32" t="str">
        <f t="shared" ref="J886:J949" si="7">IF($A887&lt;&gt;$A886,$I886,"")</f>
        <v/>
      </c>
      <c r="K886" s="79"/>
      <c r="L886" s="79"/>
      <c r="M886" s="2"/>
      <c r="N886" s="5"/>
      <c r="O886" s="3"/>
      <c r="P886" s="6"/>
      <c r="Q886" s="6"/>
    </row>
    <row r="887" spans="1:17" ht="15" customHeight="1" x14ac:dyDescent="0.25">
      <c r="A887" s="1"/>
      <c r="B887" s="17"/>
      <c r="C887" s="17"/>
      <c r="D887" s="17"/>
      <c r="E887" s="17"/>
      <c r="F887" s="17"/>
      <c r="G887" s="4">
        <f t="shared" si="5"/>
        <v>0</v>
      </c>
      <c r="H887" s="17"/>
      <c r="I887" s="4">
        <f t="shared" si="6"/>
        <v>349526.07999999996</v>
      </c>
      <c r="J887" s="32" t="str">
        <f t="shared" si="7"/>
        <v/>
      </c>
      <c r="K887" s="79"/>
      <c r="L887" s="79"/>
      <c r="M887" s="2"/>
      <c r="N887" s="5"/>
      <c r="O887" s="3"/>
      <c r="P887" s="6"/>
      <c r="Q887" s="6"/>
    </row>
    <row r="888" spans="1:17" ht="15" customHeight="1" x14ac:dyDescent="0.25">
      <c r="A888" s="1"/>
      <c r="B888" s="17"/>
      <c r="C888" s="17"/>
      <c r="D888" s="17"/>
      <c r="E888" s="17"/>
      <c r="F888" s="17"/>
      <c r="G888" s="4">
        <f t="shared" si="5"/>
        <v>0</v>
      </c>
      <c r="H888" s="17"/>
      <c r="I888" s="4">
        <f t="shared" si="6"/>
        <v>349526.07999999996</v>
      </c>
      <c r="J888" s="32" t="str">
        <f t="shared" si="7"/>
        <v/>
      </c>
      <c r="K888" s="79"/>
      <c r="L888" s="79"/>
      <c r="M888" s="2"/>
      <c r="N888" s="5"/>
      <c r="O888" s="3"/>
      <c r="P888" s="6"/>
      <c r="Q888" s="6"/>
    </row>
    <row r="889" spans="1:17" ht="15" customHeight="1" x14ac:dyDescent="0.25">
      <c r="A889" s="1"/>
      <c r="B889" s="17"/>
      <c r="C889" s="17"/>
      <c r="D889" s="17"/>
      <c r="E889" s="17"/>
      <c r="F889" s="17"/>
      <c r="G889" s="4">
        <f t="shared" si="5"/>
        <v>0</v>
      </c>
      <c r="H889" s="17"/>
      <c r="I889" s="4">
        <f t="shared" si="6"/>
        <v>349526.07999999996</v>
      </c>
      <c r="J889" s="32" t="str">
        <f t="shared" si="7"/>
        <v/>
      </c>
      <c r="K889" s="79"/>
      <c r="L889" s="79"/>
      <c r="M889" s="2"/>
      <c r="N889" s="5"/>
      <c r="O889" s="3"/>
      <c r="P889" s="6"/>
      <c r="Q889" s="6"/>
    </row>
    <row r="890" spans="1:17" ht="15" customHeight="1" x14ac:dyDescent="0.25">
      <c r="A890" s="1"/>
      <c r="B890" s="17"/>
      <c r="C890" s="17"/>
      <c r="D890" s="17"/>
      <c r="E890" s="17"/>
      <c r="F890" s="17"/>
      <c r="G890" s="4">
        <f t="shared" si="5"/>
        <v>0</v>
      </c>
      <c r="H890" s="17"/>
      <c r="I890" s="4">
        <f t="shared" si="6"/>
        <v>349526.07999999996</v>
      </c>
      <c r="J890" s="32" t="str">
        <f t="shared" si="7"/>
        <v/>
      </c>
      <c r="K890" s="79"/>
      <c r="L890" s="79"/>
      <c r="M890" s="2"/>
      <c r="N890" s="5"/>
      <c r="O890" s="3"/>
      <c r="P890" s="6"/>
      <c r="Q890" s="6"/>
    </row>
    <row r="891" spans="1:17" ht="15" customHeight="1" x14ac:dyDescent="0.25">
      <c r="A891" s="1"/>
      <c r="B891" s="17"/>
      <c r="C891" s="17"/>
      <c r="D891" s="17"/>
      <c r="E891" s="17"/>
      <c r="F891" s="17"/>
      <c r="G891" s="4">
        <f t="shared" si="5"/>
        <v>0</v>
      </c>
      <c r="H891" s="17"/>
      <c r="I891" s="4">
        <f t="shared" si="6"/>
        <v>349526.07999999996</v>
      </c>
      <c r="J891" s="32" t="str">
        <f t="shared" si="7"/>
        <v/>
      </c>
      <c r="K891" s="79"/>
      <c r="L891" s="79"/>
      <c r="M891" s="2"/>
      <c r="N891" s="5"/>
      <c r="O891" s="3"/>
      <c r="P891" s="6"/>
      <c r="Q891" s="6"/>
    </row>
    <row r="892" spans="1:17" ht="15" customHeight="1" x14ac:dyDescent="0.25">
      <c r="A892" s="1"/>
      <c r="B892" s="17"/>
      <c r="C892" s="17"/>
      <c r="D892" s="17"/>
      <c r="E892" s="17"/>
      <c r="F892" s="17"/>
      <c r="G892" s="4">
        <f t="shared" si="5"/>
        <v>0</v>
      </c>
      <c r="H892" s="17"/>
      <c r="I892" s="4">
        <f t="shared" si="6"/>
        <v>349526.07999999996</v>
      </c>
      <c r="J892" s="32" t="str">
        <f t="shared" si="7"/>
        <v/>
      </c>
      <c r="K892" s="79"/>
      <c r="L892" s="79"/>
      <c r="M892" s="2"/>
      <c r="N892" s="5"/>
      <c r="O892" s="3"/>
      <c r="P892" s="6"/>
      <c r="Q892" s="6"/>
    </row>
    <row r="893" spans="1:17" ht="15" customHeight="1" x14ac:dyDescent="0.25">
      <c r="A893" s="1"/>
      <c r="B893" s="17"/>
      <c r="C893" s="17"/>
      <c r="D893" s="17"/>
      <c r="E893" s="17"/>
      <c r="F893" s="17"/>
      <c r="G893" s="4">
        <f t="shared" si="5"/>
        <v>0</v>
      </c>
      <c r="H893" s="17"/>
      <c r="I893" s="4">
        <f t="shared" si="6"/>
        <v>349526.07999999996</v>
      </c>
      <c r="J893" s="32" t="str">
        <f t="shared" si="7"/>
        <v/>
      </c>
      <c r="K893" s="79"/>
      <c r="L893" s="79"/>
      <c r="M893" s="2"/>
      <c r="N893" s="5"/>
      <c r="O893" s="3"/>
      <c r="P893" s="6"/>
      <c r="Q893" s="6"/>
    </row>
    <row r="894" spans="1:17" ht="15" customHeight="1" x14ac:dyDescent="0.25">
      <c r="A894" s="1"/>
      <c r="B894" s="17"/>
      <c r="C894" s="17"/>
      <c r="D894" s="17"/>
      <c r="E894" s="17"/>
      <c r="F894" s="17"/>
      <c r="G894" s="4">
        <f t="shared" si="5"/>
        <v>0</v>
      </c>
      <c r="H894" s="17"/>
      <c r="I894" s="4">
        <f t="shared" si="6"/>
        <v>349526.07999999996</v>
      </c>
      <c r="J894" s="32" t="str">
        <f t="shared" si="7"/>
        <v/>
      </c>
      <c r="K894" s="79"/>
      <c r="L894" s="79"/>
      <c r="M894" s="2"/>
      <c r="N894" s="5"/>
      <c r="O894" s="3"/>
      <c r="P894" s="6"/>
      <c r="Q894" s="6"/>
    </row>
    <row r="895" spans="1:17" ht="15" customHeight="1" x14ac:dyDescent="0.25">
      <c r="A895" s="1"/>
      <c r="B895" s="17"/>
      <c r="C895" s="17"/>
      <c r="D895" s="17"/>
      <c r="E895" s="17"/>
      <c r="F895" s="17"/>
      <c r="G895" s="4">
        <f t="shared" si="5"/>
        <v>0</v>
      </c>
      <c r="H895" s="17"/>
      <c r="I895" s="4">
        <f t="shared" si="6"/>
        <v>349526.07999999996</v>
      </c>
      <c r="J895" s="32" t="str">
        <f t="shared" si="7"/>
        <v/>
      </c>
      <c r="K895" s="79"/>
      <c r="L895" s="79"/>
      <c r="M895" s="2"/>
      <c r="N895" s="5"/>
      <c r="O895" s="3"/>
      <c r="P895" s="6"/>
      <c r="Q895" s="6"/>
    </row>
    <row r="896" spans="1:17" ht="15" customHeight="1" x14ac:dyDescent="0.25">
      <c r="A896" s="1"/>
      <c r="B896" s="17"/>
      <c r="C896" s="17"/>
      <c r="D896" s="17"/>
      <c r="E896" s="17"/>
      <c r="F896" s="17"/>
      <c r="G896" s="4">
        <f t="shared" si="5"/>
        <v>0</v>
      </c>
      <c r="H896" s="17"/>
      <c r="I896" s="4">
        <f t="shared" si="6"/>
        <v>349526.07999999996</v>
      </c>
      <c r="J896" s="32" t="str">
        <f t="shared" si="7"/>
        <v/>
      </c>
      <c r="K896" s="79"/>
      <c r="L896" s="79"/>
      <c r="M896" s="2"/>
      <c r="N896" s="5"/>
      <c r="O896" s="3"/>
      <c r="P896" s="6"/>
      <c r="Q896" s="6"/>
    </row>
    <row r="897" spans="1:17" ht="15" customHeight="1" x14ac:dyDescent="0.25">
      <c r="A897" s="1"/>
      <c r="B897" s="17"/>
      <c r="C897" s="17"/>
      <c r="D897" s="17"/>
      <c r="E897" s="17"/>
      <c r="F897" s="17"/>
      <c r="G897" s="4">
        <f t="shared" si="5"/>
        <v>0</v>
      </c>
      <c r="H897" s="17"/>
      <c r="I897" s="4">
        <f t="shared" si="6"/>
        <v>349526.07999999996</v>
      </c>
      <c r="J897" s="32" t="str">
        <f t="shared" si="7"/>
        <v/>
      </c>
      <c r="K897" s="79"/>
      <c r="L897" s="79"/>
      <c r="M897" s="2"/>
      <c r="N897" s="5"/>
      <c r="O897" s="3"/>
      <c r="P897" s="6"/>
      <c r="Q897" s="6"/>
    </row>
    <row r="898" spans="1:17" ht="15" customHeight="1" x14ac:dyDescent="0.25">
      <c r="A898" s="1"/>
      <c r="B898" s="17"/>
      <c r="C898" s="17"/>
      <c r="D898" s="17"/>
      <c r="E898" s="17"/>
      <c r="F898" s="17"/>
      <c r="G898" s="4">
        <f t="shared" si="5"/>
        <v>0</v>
      </c>
      <c r="H898" s="17"/>
      <c r="I898" s="4">
        <f t="shared" si="6"/>
        <v>349526.07999999996</v>
      </c>
      <c r="J898" s="32" t="str">
        <f t="shared" si="7"/>
        <v/>
      </c>
      <c r="K898" s="79"/>
      <c r="L898" s="79"/>
      <c r="M898" s="2"/>
      <c r="N898" s="5"/>
      <c r="O898" s="3"/>
      <c r="P898" s="6"/>
      <c r="Q898" s="6"/>
    </row>
    <row r="899" spans="1:17" ht="15" customHeight="1" x14ac:dyDescent="0.25">
      <c r="A899" s="1"/>
      <c r="B899" s="17"/>
      <c r="C899" s="17"/>
      <c r="D899" s="17"/>
      <c r="E899" s="17"/>
      <c r="F899" s="17"/>
      <c r="G899" s="4">
        <f t="shared" ref="G899:G962" si="8">SUM($B899:$F899)</f>
        <v>0</v>
      </c>
      <c r="H899" s="17"/>
      <c r="I899" s="4">
        <f t="shared" si="6"/>
        <v>349526.07999999996</v>
      </c>
      <c r="J899" s="32" t="str">
        <f t="shared" si="7"/>
        <v/>
      </c>
      <c r="K899" s="79"/>
      <c r="L899" s="79"/>
      <c r="M899" s="2"/>
      <c r="N899" s="5"/>
      <c r="O899" s="3"/>
      <c r="P899" s="6"/>
      <c r="Q899" s="6"/>
    </row>
    <row r="900" spans="1:17" ht="15" customHeight="1" x14ac:dyDescent="0.25">
      <c r="A900" s="1"/>
      <c r="B900" s="17"/>
      <c r="C900" s="17"/>
      <c r="D900" s="17"/>
      <c r="E900" s="17"/>
      <c r="F900" s="17"/>
      <c r="G900" s="4">
        <f t="shared" si="8"/>
        <v>0</v>
      </c>
      <c r="H900" s="17"/>
      <c r="I900" s="4">
        <f t="shared" si="6"/>
        <v>349526.07999999996</v>
      </c>
      <c r="J900" s="32" t="str">
        <f t="shared" si="7"/>
        <v/>
      </c>
      <c r="K900" s="79"/>
      <c r="L900" s="79"/>
      <c r="M900" s="2"/>
      <c r="N900" s="5"/>
      <c r="O900" s="3"/>
      <c r="P900" s="6"/>
      <c r="Q900" s="6"/>
    </row>
    <row r="901" spans="1:17" ht="15" customHeight="1" x14ac:dyDescent="0.25">
      <c r="A901" s="1"/>
      <c r="B901" s="17"/>
      <c r="C901" s="17"/>
      <c r="D901" s="17"/>
      <c r="E901" s="17"/>
      <c r="F901" s="17"/>
      <c r="G901" s="4">
        <f t="shared" si="8"/>
        <v>0</v>
      </c>
      <c r="H901" s="17"/>
      <c r="I901" s="4">
        <f t="shared" si="6"/>
        <v>349526.07999999996</v>
      </c>
      <c r="J901" s="32" t="str">
        <f t="shared" si="7"/>
        <v/>
      </c>
      <c r="K901" s="79"/>
      <c r="L901" s="79"/>
      <c r="M901" s="2"/>
      <c r="N901" s="5"/>
      <c r="O901" s="3"/>
      <c r="P901" s="6"/>
      <c r="Q901" s="6"/>
    </row>
    <row r="902" spans="1:17" ht="15" customHeight="1" x14ac:dyDescent="0.25">
      <c r="A902" s="1"/>
      <c r="B902" s="17"/>
      <c r="C902" s="17"/>
      <c r="D902" s="17"/>
      <c r="E902" s="17"/>
      <c r="F902" s="17"/>
      <c r="G902" s="4">
        <f t="shared" si="8"/>
        <v>0</v>
      </c>
      <c r="H902" s="17"/>
      <c r="I902" s="4">
        <f t="shared" si="6"/>
        <v>349526.07999999996</v>
      </c>
      <c r="J902" s="32" t="str">
        <f t="shared" si="7"/>
        <v/>
      </c>
      <c r="K902" s="79"/>
      <c r="L902" s="79"/>
      <c r="M902" s="2"/>
      <c r="N902" s="5"/>
      <c r="O902" s="3"/>
      <c r="P902" s="6"/>
      <c r="Q902" s="6"/>
    </row>
    <row r="903" spans="1:17" ht="15" customHeight="1" x14ac:dyDescent="0.25">
      <c r="A903" s="1"/>
      <c r="B903" s="17"/>
      <c r="C903" s="17"/>
      <c r="D903" s="17"/>
      <c r="E903" s="17"/>
      <c r="F903" s="17"/>
      <c r="G903" s="4">
        <f t="shared" si="8"/>
        <v>0</v>
      </c>
      <c r="H903" s="17"/>
      <c r="I903" s="4">
        <f t="shared" si="6"/>
        <v>349526.07999999996</v>
      </c>
      <c r="J903" s="32" t="str">
        <f t="shared" si="7"/>
        <v/>
      </c>
      <c r="K903" s="79"/>
      <c r="L903" s="79"/>
      <c r="M903" s="2"/>
      <c r="N903" s="5"/>
      <c r="O903" s="3"/>
      <c r="P903" s="6"/>
      <c r="Q903" s="6"/>
    </row>
    <row r="904" spans="1:17" ht="15" customHeight="1" x14ac:dyDescent="0.25">
      <c r="A904" s="1"/>
      <c r="B904" s="17"/>
      <c r="C904" s="17"/>
      <c r="D904" s="17"/>
      <c r="E904" s="17"/>
      <c r="F904" s="17"/>
      <c r="G904" s="4">
        <f t="shared" si="8"/>
        <v>0</v>
      </c>
      <c r="H904" s="17"/>
      <c r="I904" s="4">
        <f t="shared" si="6"/>
        <v>349526.07999999996</v>
      </c>
      <c r="J904" s="32" t="str">
        <f t="shared" si="7"/>
        <v/>
      </c>
      <c r="K904" s="79"/>
      <c r="L904" s="79"/>
      <c r="M904" s="2"/>
      <c r="N904" s="5"/>
      <c r="O904" s="3"/>
      <c r="P904" s="6"/>
      <c r="Q904" s="6"/>
    </row>
    <row r="905" spans="1:17" ht="15" customHeight="1" x14ac:dyDescent="0.25">
      <c r="A905" s="1"/>
      <c r="B905" s="17"/>
      <c r="C905" s="17"/>
      <c r="D905" s="17"/>
      <c r="E905" s="17"/>
      <c r="F905" s="17"/>
      <c r="G905" s="4">
        <f t="shared" si="8"/>
        <v>0</v>
      </c>
      <c r="H905" s="17"/>
      <c r="I905" s="4">
        <f t="shared" si="6"/>
        <v>349526.07999999996</v>
      </c>
      <c r="J905" s="32" t="str">
        <f t="shared" si="7"/>
        <v/>
      </c>
      <c r="K905" s="79"/>
      <c r="L905" s="79"/>
      <c r="M905" s="2"/>
      <c r="N905" s="5"/>
      <c r="O905" s="3"/>
      <c r="P905" s="6"/>
      <c r="Q905" s="6"/>
    </row>
    <row r="906" spans="1:17" ht="15" customHeight="1" x14ac:dyDescent="0.25">
      <c r="A906" s="1"/>
      <c r="B906" s="17"/>
      <c r="C906" s="17"/>
      <c r="D906" s="17"/>
      <c r="E906" s="17"/>
      <c r="F906" s="17"/>
      <c r="G906" s="4">
        <f t="shared" si="8"/>
        <v>0</v>
      </c>
      <c r="H906" s="17"/>
      <c r="I906" s="4">
        <f t="shared" si="6"/>
        <v>349526.07999999996</v>
      </c>
      <c r="J906" s="32" t="str">
        <f t="shared" si="7"/>
        <v/>
      </c>
      <c r="K906" s="79"/>
      <c r="L906" s="79"/>
      <c r="M906" s="2"/>
      <c r="N906" s="5"/>
      <c r="O906" s="3"/>
      <c r="P906" s="6"/>
      <c r="Q906" s="6"/>
    </row>
    <row r="907" spans="1:17" ht="15" customHeight="1" x14ac:dyDescent="0.25">
      <c r="A907" s="1"/>
      <c r="B907" s="17"/>
      <c r="C907" s="17"/>
      <c r="D907" s="17"/>
      <c r="E907" s="17"/>
      <c r="F907" s="17"/>
      <c r="G907" s="4">
        <f t="shared" si="8"/>
        <v>0</v>
      </c>
      <c r="H907" s="17"/>
      <c r="I907" s="4">
        <f t="shared" si="6"/>
        <v>349526.07999999996</v>
      </c>
      <c r="J907" s="32" t="str">
        <f t="shared" si="7"/>
        <v/>
      </c>
      <c r="K907" s="79"/>
      <c r="L907" s="79"/>
      <c r="M907" s="2"/>
      <c r="N907" s="5"/>
      <c r="O907" s="3"/>
      <c r="P907" s="6"/>
      <c r="Q907" s="6"/>
    </row>
    <row r="908" spans="1:17" ht="15" customHeight="1" x14ac:dyDescent="0.25">
      <c r="A908" s="1"/>
      <c r="B908" s="17"/>
      <c r="C908" s="17"/>
      <c r="D908" s="17"/>
      <c r="E908" s="17"/>
      <c r="F908" s="17"/>
      <c r="G908" s="4">
        <f t="shared" si="8"/>
        <v>0</v>
      </c>
      <c r="H908" s="17"/>
      <c r="I908" s="4">
        <f t="shared" si="6"/>
        <v>349526.07999999996</v>
      </c>
      <c r="J908" s="32" t="str">
        <f t="shared" si="7"/>
        <v/>
      </c>
      <c r="K908" s="79"/>
      <c r="L908" s="79"/>
      <c r="M908" s="2"/>
      <c r="N908" s="5"/>
      <c r="O908" s="3"/>
      <c r="P908" s="6"/>
      <c r="Q908" s="6"/>
    </row>
    <row r="909" spans="1:17" ht="15" customHeight="1" x14ac:dyDescent="0.25">
      <c r="A909" s="1"/>
      <c r="B909" s="17"/>
      <c r="C909" s="17"/>
      <c r="D909" s="17"/>
      <c r="E909" s="17"/>
      <c r="F909" s="17"/>
      <c r="G909" s="4">
        <f t="shared" si="8"/>
        <v>0</v>
      </c>
      <c r="H909" s="17"/>
      <c r="I909" s="4">
        <f t="shared" si="6"/>
        <v>349526.07999999996</v>
      </c>
      <c r="J909" s="32" t="str">
        <f t="shared" si="7"/>
        <v/>
      </c>
      <c r="K909" s="79"/>
      <c r="L909" s="79"/>
      <c r="M909" s="2"/>
      <c r="N909" s="5"/>
      <c r="O909" s="3"/>
      <c r="P909" s="6"/>
      <c r="Q909" s="6"/>
    </row>
    <row r="910" spans="1:17" ht="15" customHeight="1" x14ac:dyDescent="0.25">
      <c r="A910" s="1"/>
      <c r="B910" s="17"/>
      <c r="C910" s="17"/>
      <c r="D910" s="17"/>
      <c r="E910" s="17"/>
      <c r="F910" s="17"/>
      <c r="G910" s="4">
        <f t="shared" si="8"/>
        <v>0</v>
      </c>
      <c r="H910" s="17"/>
      <c r="I910" s="4">
        <f t="shared" si="6"/>
        <v>349526.07999999996</v>
      </c>
      <c r="J910" s="32" t="str">
        <f t="shared" si="7"/>
        <v/>
      </c>
      <c r="K910" s="79"/>
      <c r="L910" s="79"/>
      <c r="M910" s="2"/>
      <c r="N910" s="5"/>
      <c r="O910" s="3"/>
      <c r="P910" s="6"/>
      <c r="Q910" s="6"/>
    </row>
    <row r="911" spans="1:17" ht="15" customHeight="1" x14ac:dyDescent="0.25">
      <c r="A911" s="1"/>
      <c r="B911" s="17"/>
      <c r="C911" s="17"/>
      <c r="D911" s="17"/>
      <c r="E911" s="17"/>
      <c r="F911" s="17"/>
      <c r="G911" s="4">
        <f t="shared" si="8"/>
        <v>0</v>
      </c>
      <c r="H911" s="17"/>
      <c r="I911" s="4">
        <f t="shared" si="6"/>
        <v>349526.07999999996</v>
      </c>
      <c r="J911" s="32" t="str">
        <f t="shared" si="7"/>
        <v/>
      </c>
      <c r="K911" s="79"/>
      <c r="L911" s="79"/>
      <c r="M911" s="2"/>
      <c r="N911" s="5"/>
      <c r="O911" s="3"/>
      <c r="P911" s="6"/>
      <c r="Q911" s="6"/>
    </row>
    <row r="912" spans="1:17" ht="15" customHeight="1" x14ac:dyDescent="0.25">
      <c r="A912" s="1"/>
      <c r="B912" s="17"/>
      <c r="C912" s="17"/>
      <c r="D912" s="17"/>
      <c r="E912" s="17"/>
      <c r="F912" s="17"/>
      <c r="G912" s="4">
        <f t="shared" si="8"/>
        <v>0</v>
      </c>
      <c r="H912" s="17"/>
      <c r="I912" s="4">
        <f t="shared" si="6"/>
        <v>349526.07999999996</v>
      </c>
      <c r="J912" s="32" t="str">
        <f t="shared" si="7"/>
        <v/>
      </c>
      <c r="K912" s="79"/>
      <c r="L912" s="79"/>
      <c r="M912" s="2"/>
      <c r="N912" s="5"/>
      <c r="O912" s="3"/>
      <c r="P912" s="6"/>
      <c r="Q912" s="6"/>
    </row>
    <row r="913" spans="1:17" ht="15" customHeight="1" x14ac:dyDescent="0.25">
      <c r="A913" s="1"/>
      <c r="B913" s="17"/>
      <c r="C913" s="17"/>
      <c r="D913" s="17"/>
      <c r="E913" s="17"/>
      <c r="F913" s="17"/>
      <c r="G913" s="4">
        <f t="shared" si="8"/>
        <v>0</v>
      </c>
      <c r="H913" s="17"/>
      <c r="I913" s="4">
        <f t="shared" si="6"/>
        <v>349526.07999999996</v>
      </c>
      <c r="J913" s="32" t="str">
        <f t="shared" si="7"/>
        <v/>
      </c>
      <c r="K913" s="79"/>
      <c r="L913" s="79"/>
      <c r="M913" s="2"/>
      <c r="N913" s="5"/>
      <c r="O913" s="3"/>
      <c r="P913" s="6"/>
      <c r="Q913" s="6"/>
    </row>
    <row r="914" spans="1:17" ht="15" customHeight="1" x14ac:dyDescent="0.25">
      <c r="A914" s="1"/>
      <c r="B914" s="17"/>
      <c r="C914" s="17"/>
      <c r="D914" s="17"/>
      <c r="E914" s="17"/>
      <c r="F914" s="17"/>
      <c r="G914" s="4">
        <f t="shared" si="8"/>
        <v>0</v>
      </c>
      <c r="H914" s="17"/>
      <c r="I914" s="4">
        <f t="shared" si="6"/>
        <v>349526.07999999996</v>
      </c>
      <c r="J914" s="32" t="str">
        <f t="shared" si="7"/>
        <v/>
      </c>
      <c r="K914" s="79"/>
      <c r="L914" s="79"/>
      <c r="M914" s="2"/>
      <c r="N914" s="5"/>
      <c r="O914" s="3"/>
      <c r="P914" s="6"/>
      <c r="Q914" s="6"/>
    </row>
    <row r="915" spans="1:17" ht="15" customHeight="1" x14ac:dyDescent="0.25">
      <c r="A915" s="1"/>
      <c r="B915" s="17"/>
      <c r="C915" s="17"/>
      <c r="D915" s="17"/>
      <c r="E915" s="17"/>
      <c r="F915" s="17"/>
      <c r="G915" s="4">
        <f t="shared" si="8"/>
        <v>0</v>
      </c>
      <c r="H915" s="17"/>
      <c r="I915" s="4">
        <f t="shared" si="6"/>
        <v>349526.07999999996</v>
      </c>
      <c r="J915" s="32" t="str">
        <f t="shared" si="7"/>
        <v/>
      </c>
      <c r="K915" s="79"/>
      <c r="L915" s="79"/>
      <c r="M915" s="2"/>
      <c r="N915" s="5"/>
      <c r="O915" s="3"/>
      <c r="P915" s="6"/>
      <c r="Q915" s="6"/>
    </row>
    <row r="916" spans="1:17" ht="15" customHeight="1" x14ac:dyDescent="0.25">
      <c r="A916" s="1"/>
      <c r="B916" s="17"/>
      <c r="C916" s="17"/>
      <c r="D916" s="17"/>
      <c r="E916" s="17"/>
      <c r="F916" s="17"/>
      <c r="G916" s="4">
        <f t="shared" si="8"/>
        <v>0</v>
      </c>
      <c r="H916" s="17"/>
      <c r="I916" s="4">
        <f t="shared" si="6"/>
        <v>349526.07999999996</v>
      </c>
      <c r="J916" s="32" t="str">
        <f t="shared" si="7"/>
        <v/>
      </c>
      <c r="K916" s="79"/>
      <c r="L916" s="79"/>
      <c r="M916" s="2"/>
      <c r="N916" s="5"/>
      <c r="O916" s="3"/>
      <c r="P916" s="6"/>
      <c r="Q916" s="6"/>
    </row>
    <row r="917" spans="1:17" ht="15" customHeight="1" x14ac:dyDescent="0.25">
      <c r="A917" s="1"/>
      <c r="B917" s="17"/>
      <c r="C917" s="17"/>
      <c r="D917" s="17"/>
      <c r="E917" s="17"/>
      <c r="F917" s="17"/>
      <c r="G917" s="4">
        <f t="shared" si="8"/>
        <v>0</v>
      </c>
      <c r="H917" s="17"/>
      <c r="I917" s="4">
        <f t="shared" si="6"/>
        <v>349526.07999999996</v>
      </c>
      <c r="J917" s="32" t="str">
        <f t="shared" si="7"/>
        <v/>
      </c>
      <c r="K917" s="79"/>
      <c r="L917" s="79"/>
      <c r="M917" s="2"/>
      <c r="N917" s="5"/>
      <c r="O917" s="3"/>
      <c r="P917" s="6"/>
      <c r="Q917" s="6"/>
    </row>
    <row r="918" spans="1:17" ht="15" customHeight="1" x14ac:dyDescent="0.25">
      <c r="A918" s="1"/>
      <c r="B918" s="17"/>
      <c r="C918" s="17"/>
      <c r="D918" s="17"/>
      <c r="E918" s="17"/>
      <c r="F918" s="17"/>
      <c r="G918" s="4">
        <f t="shared" si="8"/>
        <v>0</v>
      </c>
      <c r="H918" s="17"/>
      <c r="I918" s="4">
        <f t="shared" si="6"/>
        <v>349526.07999999996</v>
      </c>
      <c r="J918" s="32" t="str">
        <f t="shared" si="7"/>
        <v/>
      </c>
      <c r="K918" s="79"/>
      <c r="L918" s="79"/>
      <c r="M918" s="2"/>
      <c r="N918" s="5"/>
      <c r="O918" s="3"/>
      <c r="P918" s="6"/>
      <c r="Q918" s="6"/>
    </row>
    <row r="919" spans="1:17" ht="15" customHeight="1" x14ac:dyDescent="0.25">
      <c r="A919" s="1"/>
      <c r="B919" s="17"/>
      <c r="C919" s="17"/>
      <c r="D919" s="17"/>
      <c r="E919" s="17"/>
      <c r="F919" s="17"/>
      <c r="G919" s="4">
        <f t="shared" si="8"/>
        <v>0</v>
      </c>
      <c r="H919" s="17"/>
      <c r="I919" s="4">
        <f t="shared" si="6"/>
        <v>349526.07999999996</v>
      </c>
      <c r="J919" s="32" t="str">
        <f t="shared" si="7"/>
        <v/>
      </c>
      <c r="K919" s="79"/>
      <c r="L919" s="79"/>
      <c r="M919" s="2"/>
      <c r="N919" s="5"/>
      <c r="O919" s="3"/>
      <c r="P919" s="6"/>
      <c r="Q919" s="6"/>
    </row>
    <row r="920" spans="1:17" ht="15" customHeight="1" x14ac:dyDescent="0.25">
      <c r="A920" s="1"/>
      <c r="B920" s="17"/>
      <c r="C920" s="17"/>
      <c r="D920" s="17"/>
      <c r="E920" s="17"/>
      <c r="F920" s="17"/>
      <c r="G920" s="4">
        <f t="shared" si="8"/>
        <v>0</v>
      </c>
      <c r="H920" s="17"/>
      <c r="I920" s="4">
        <f t="shared" si="6"/>
        <v>349526.07999999996</v>
      </c>
      <c r="J920" s="32" t="str">
        <f t="shared" si="7"/>
        <v/>
      </c>
      <c r="K920" s="79"/>
      <c r="L920" s="79"/>
      <c r="M920" s="2"/>
      <c r="N920" s="5"/>
      <c r="O920" s="3"/>
      <c r="P920" s="6"/>
      <c r="Q920" s="6"/>
    </row>
    <row r="921" spans="1:17" ht="15" customHeight="1" x14ac:dyDescent="0.25">
      <c r="A921" s="1"/>
      <c r="B921" s="17"/>
      <c r="C921" s="17"/>
      <c r="D921" s="17"/>
      <c r="E921" s="17"/>
      <c r="F921" s="17"/>
      <c r="G921" s="4">
        <f t="shared" si="8"/>
        <v>0</v>
      </c>
      <c r="H921" s="17"/>
      <c r="I921" s="4">
        <f t="shared" si="6"/>
        <v>349526.07999999996</v>
      </c>
      <c r="J921" s="32" t="str">
        <f t="shared" si="7"/>
        <v/>
      </c>
      <c r="K921" s="79"/>
      <c r="L921" s="79"/>
      <c r="M921" s="2"/>
      <c r="N921" s="5"/>
      <c r="O921" s="3"/>
      <c r="P921" s="6"/>
      <c r="Q921" s="6"/>
    </row>
    <row r="922" spans="1:17" ht="15" customHeight="1" x14ac:dyDescent="0.25">
      <c r="A922" s="1"/>
      <c r="B922" s="17"/>
      <c r="C922" s="17"/>
      <c r="D922" s="17"/>
      <c r="E922" s="17"/>
      <c r="F922" s="17"/>
      <c r="G922" s="4">
        <f t="shared" si="8"/>
        <v>0</v>
      </c>
      <c r="H922" s="17"/>
      <c r="I922" s="4">
        <f t="shared" si="6"/>
        <v>349526.07999999996</v>
      </c>
      <c r="J922" s="32" t="str">
        <f t="shared" si="7"/>
        <v/>
      </c>
      <c r="K922" s="79"/>
      <c r="L922" s="79"/>
      <c r="M922" s="2"/>
      <c r="N922" s="5"/>
      <c r="O922" s="3"/>
      <c r="P922" s="6"/>
      <c r="Q922" s="6"/>
    </row>
    <row r="923" spans="1:17" ht="15" customHeight="1" x14ac:dyDescent="0.25">
      <c r="A923" s="1"/>
      <c r="B923" s="17"/>
      <c r="C923" s="17"/>
      <c r="D923" s="17"/>
      <c r="E923" s="17"/>
      <c r="F923" s="17"/>
      <c r="G923" s="4">
        <f t="shared" si="8"/>
        <v>0</v>
      </c>
      <c r="H923" s="17"/>
      <c r="I923" s="4">
        <f t="shared" si="6"/>
        <v>349526.07999999996</v>
      </c>
      <c r="J923" s="32" t="str">
        <f t="shared" si="7"/>
        <v/>
      </c>
      <c r="K923" s="79"/>
      <c r="L923" s="79"/>
      <c r="M923" s="2"/>
      <c r="N923" s="5"/>
      <c r="O923" s="3"/>
      <c r="P923" s="6"/>
      <c r="Q923" s="6"/>
    </row>
    <row r="924" spans="1:17" ht="15" customHeight="1" x14ac:dyDescent="0.25">
      <c r="A924" s="1"/>
      <c r="B924" s="17"/>
      <c r="C924" s="17"/>
      <c r="D924" s="17"/>
      <c r="E924" s="17"/>
      <c r="F924" s="17"/>
      <c r="G924" s="4">
        <f t="shared" si="8"/>
        <v>0</v>
      </c>
      <c r="H924" s="17"/>
      <c r="I924" s="4">
        <f t="shared" si="6"/>
        <v>349526.07999999996</v>
      </c>
      <c r="J924" s="32" t="str">
        <f t="shared" si="7"/>
        <v/>
      </c>
      <c r="K924" s="79"/>
      <c r="L924" s="79"/>
      <c r="M924" s="2"/>
      <c r="N924" s="5"/>
      <c r="O924" s="3"/>
      <c r="P924" s="6"/>
      <c r="Q924" s="6"/>
    </row>
    <row r="925" spans="1:17" ht="15" customHeight="1" x14ac:dyDescent="0.25">
      <c r="A925" s="1"/>
      <c r="B925" s="17"/>
      <c r="C925" s="17"/>
      <c r="D925" s="17"/>
      <c r="E925" s="17"/>
      <c r="F925" s="17"/>
      <c r="G925" s="4">
        <f t="shared" si="8"/>
        <v>0</v>
      </c>
      <c r="H925" s="17"/>
      <c r="I925" s="4">
        <f t="shared" si="6"/>
        <v>349526.07999999996</v>
      </c>
      <c r="J925" s="32" t="str">
        <f t="shared" si="7"/>
        <v/>
      </c>
      <c r="K925" s="79"/>
      <c r="L925" s="79"/>
      <c r="M925" s="2"/>
      <c r="N925" s="5"/>
      <c r="O925" s="3"/>
      <c r="P925" s="6"/>
      <c r="Q925" s="6"/>
    </row>
    <row r="926" spans="1:17" ht="15" customHeight="1" x14ac:dyDescent="0.25">
      <c r="A926" s="1"/>
      <c r="B926" s="17"/>
      <c r="C926" s="17"/>
      <c r="D926" s="17"/>
      <c r="E926" s="17"/>
      <c r="F926" s="17"/>
      <c r="G926" s="4">
        <f t="shared" si="8"/>
        <v>0</v>
      </c>
      <c r="H926" s="17"/>
      <c r="I926" s="4">
        <f t="shared" si="6"/>
        <v>349526.07999999996</v>
      </c>
      <c r="J926" s="32" t="str">
        <f t="shared" si="7"/>
        <v/>
      </c>
      <c r="K926" s="79"/>
      <c r="L926" s="79"/>
      <c r="M926" s="2"/>
      <c r="N926" s="5"/>
      <c r="O926" s="3"/>
      <c r="P926" s="6"/>
      <c r="Q926" s="6"/>
    </row>
    <row r="927" spans="1:17" ht="15" customHeight="1" x14ac:dyDescent="0.25">
      <c r="A927" s="1"/>
      <c r="B927" s="17"/>
      <c r="C927" s="17"/>
      <c r="D927" s="17"/>
      <c r="E927" s="17"/>
      <c r="F927" s="17"/>
      <c r="G927" s="4">
        <f t="shared" si="8"/>
        <v>0</v>
      </c>
      <c r="H927" s="17"/>
      <c r="I927" s="4">
        <f t="shared" si="6"/>
        <v>349526.07999999996</v>
      </c>
      <c r="J927" s="32" t="str">
        <f t="shared" si="7"/>
        <v/>
      </c>
      <c r="K927" s="79"/>
      <c r="L927" s="79"/>
      <c r="M927" s="2"/>
      <c r="N927" s="5"/>
      <c r="O927" s="3"/>
      <c r="P927" s="6"/>
      <c r="Q927" s="6"/>
    </row>
    <row r="928" spans="1:17" ht="15" customHeight="1" x14ac:dyDescent="0.25">
      <c r="A928" s="1"/>
      <c r="B928" s="17"/>
      <c r="C928" s="17"/>
      <c r="D928" s="17"/>
      <c r="E928" s="17"/>
      <c r="F928" s="17"/>
      <c r="G928" s="4">
        <f t="shared" si="8"/>
        <v>0</v>
      </c>
      <c r="H928" s="17"/>
      <c r="I928" s="4">
        <f t="shared" si="6"/>
        <v>349526.07999999996</v>
      </c>
      <c r="J928" s="32" t="str">
        <f t="shared" si="7"/>
        <v/>
      </c>
      <c r="K928" s="79"/>
      <c r="L928" s="79"/>
      <c r="M928" s="2"/>
      <c r="N928" s="5"/>
      <c r="O928" s="3"/>
      <c r="P928" s="6"/>
      <c r="Q928" s="6"/>
    </row>
    <row r="929" spans="1:17" ht="15" customHeight="1" x14ac:dyDescent="0.25">
      <c r="A929" s="1"/>
      <c r="B929" s="17"/>
      <c r="C929" s="17"/>
      <c r="D929" s="17"/>
      <c r="E929" s="17"/>
      <c r="F929" s="17"/>
      <c r="G929" s="4">
        <f t="shared" si="8"/>
        <v>0</v>
      </c>
      <c r="H929" s="17"/>
      <c r="I929" s="4">
        <f t="shared" si="6"/>
        <v>349526.07999999996</v>
      </c>
      <c r="J929" s="32" t="str">
        <f t="shared" si="7"/>
        <v/>
      </c>
      <c r="K929" s="79"/>
      <c r="L929" s="79"/>
      <c r="M929" s="2"/>
      <c r="N929" s="5"/>
      <c r="O929" s="3"/>
      <c r="P929" s="6"/>
      <c r="Q929" s="6"/>
    </row>
    <row r="930" spans="1:17" ht="15" customHeight="1" x14ac:dyDescent="0.25">
      <c r="A930" s="1"/>
      <c r="B930" s="17"/>
      <c r="C930" s="17"/>
      <c r="D930" s="17"/>
      <c r="E930" s="17"/>
      <c r="F930" s="17"/>
      <c r="G930" s="4">
        <f t="shared" si="8"/>
        <v>0</v>
      </c>
      <c r="H930" s="17"/>
      <c r="I930" s="4">
        <f t="shared" si="6"/>
        <v>349526.07999999996</v>
      </c>
      <c r="J930" s="32" t="str">
        <f t="shared" si="7"/>
        <v/>
      </c>
      <c r="K930" s="79"/>
      <c r="L930" s="79"/>
      <c r="M930" s="2"/>
      <c r="N930" s="5"/>
      <c r="O930" s="3"/>
      <c r="P930" s="6"/>
      <c r="Q930" s="6"/>
    </row>
    <row r="931" spans="1:17" ht="15" customHeight="1" x14ac:dyDescent="0.25">
      <c r="A931" s="1"/>
      <c r="B931" s="17"/>
      <c r="C931" s="17"/>
      <c r="D931" s="17"/>
      <c r="E931" s="17"/>
      <c r="F931" s="17"/>
      <c r="G931" s="4">
        <f t="shared" si="8"/>
        <v>0</v>
      </c>
      <c r="H931" s="17"/>
      <c r="I931" s="4">
        <f t="shared" si="6"/>
        <v>349526.07999999996</v>
      </c>
      <c r="J931" s="32" t="str">
        <f t="shared" si="7"/>
        <v/>
      </c>
      <c r="K931" s="79"/>
      <c r="L931" s="79"/>
      <c r="M931" s="2"/>
      <c r="N931" s="5"/>
      <c r="O931" s="3"/>
      <c r="P931" s="6"/>
      <c r="Q931" s="6"/>
    </row>
    <row r="932" spans="1:17" ht="15" customHeight="1" x14ac:dyDescent="0.25">
      <c r="A932" s="1"/>
      <c r="B932" s="17"/>
      <c r="C932" s="17"/>
      <c r="D932" s="17"/>
      <c r="E932" s="17"/>
      <c r="F932" s="17"/>
      <c r="G932" s="4">
        <f t="shared" si="8"/>
        <v>0</v>
      </c>
      <c r="H932" s="17"/>
      <c r="I932" s="4">
        <f t="shared" si="6"/>
        <v>349526.07999999996</v>
      </c>
      <c r="J932" s="32" t="str">
        <f t="shared" si="7"/>
        <v/>
      </c>
      <c r="K932" s="79"/>
      <c r="L932" s="79"/>
      <c r="M932" s="2"/>
      <c r="N932" s="5"/>
      <c r="O932" s="3"/>
      <c r="P932" s="6"/>
      <c r="Q932" s="6"/>
    </row>
    <row r="933" spans="1:17" ht="15" customHeight="1" x14ac:dyDescent="0.25">
      <c r="A933" s="1"/>
      <c r="B933" s="17"/>
      <c r="C933" s="17"/>
      <c r="D933" s="17"/>
      <c r="E933" s="17"/>
      <c r="F933" s="17"/>
      <c r="G933" s="4">
        <f t="shared" si="8"/>
        <v>0</v>
      </c>
      <c r="H933" s="17"/>
      <c r="I933" s="4">
        <f t="shared" si="6"/>
        <v>349526.07999999996</v>
      </c>
      <c r="J933" s="32" t="str">
        <f t="shared" si="7"/>
        <v/>
      </c>
      <c r="K933" s="79"/>
      <c r="L933" s="79"/>
      <c r="M933" s="2"/>
      <c r="N933" s="5"/>
      <c r="O933" s="3"/>
      <c r="P933" s="6"/>
      <c r="Q933" s="6"/>
    </row>
    <row r="934" spans="1:17" ht="15" customHeight="1" x14ac:dyDescent="0.25">
      <c r="A934" s="1"/>
      <c r="B934" s="17"/>
      <c r="C934" s="17"/>
      <c r="D934" s="17"/>
      <c r="E934" s="17"/>
      <c r="F934" s="17"/>
      <c r="G934" s="4">
        <f t="shared" si="8"/>
        <v>0</v>
      </c>
      <c r="H934" s="17"/>
      <c r="I934" s="4">
        <f t="shared" si="6"/>
        <v>349526.07999999996</v>
      </c>
      <c r="J934" s="32" t="str">
        <f t="shared" si="7"/>
        <v/>
      </c>
      <c r="K934" s="79"/>
      <c r="L934" s="79"/>
      <c r="M934" s="2"/>
      <c r="N934" s="5"/>
      <c r="O934" s="3"/>
      <c r="P934" s="6"/>
      <c r="Q934" s="6"/>
    </row>
    <row r="935" spans="1:17" ht="15" customHeight="1" x14ac:dyDescent="0.25">
      <c r="A935" s="1"/>
      <c r="B935" s="17"/>
      <c r="C935" s="17"/>
      <c r="D935" s="17"/>
      <c r="E935" s="17"/>
      <c r="F935" s="17"/>
      <c r="G935" s="4">
        <f t="shared" si="8"/>
        <v>0</v>
      </c>
      <c r="H935" s="17"/>
      <c r="I935" s="4">
        <f t="shared" si="6"/>
        <v>349526.07999999996</v>
      </c>
      <c r="J935" s="32" t="str">
        <f t="shared" si="7"/>
        <v/>
      </c>
      <c r="K935" s="79"/>
      <c r="L935" s="79"/>
      <c r="M935" s="2"/>
      <c r="N935" s="5"/>
      <c r="O935" s="3"/>
      <c r="P935" s="6"/>
      <c r="Q935" s="6"/>
    </row>
    <row r="936" spans="1:17" ht="15" customHeight="1" x14ac:dyDescent="0.25">
      <c r="A936" s="1"/>
      <c r="B936" s="17"/>
      <c r="C936" s="17"/>
      <c r="D936" s="17"/>
      <c r="E936" s="17"/>
      <c r="F936" s="17"/>
      <c r="G936" s="4">
        <f t="shared" si="8"/>
        <v>0</v>
      </c>
      <c r="H936" s="17"/>
      <c r="I936" s="4">
        <f t="shared" si="6"/>
        <v>349526.07999999996</v>
      </c>
      <c r="J936" s="32" t="str">
        <f t="shared" si="7"/>
        <v/>
      </c>
      <c r="K936" s="79"/>
      <c r="L936" s="79"/>
      <c r="M936" s="2"/>
      <c r="N936" s="5"/>
      <c r="O936" s="3"/>
      <c r="P936" s="6"/>
      <c r="Q936" s="6"/>
    </row>
    <row r="937" spans="1:17" ht="15" customHeight="1" x14ac:dyDescent="0.25">
      <c r="A937" s="1"/>
      <c r="B937" s="17"/>
      <c r="C937" s="17"/>
      <c r="D937" s="17"/>
      <c r="E937" s="17"/>
      <c r="F937" s="17"/>
      <c r="G937" s="4">
        <f t="shared" si="8"/>
        <v>0</v>
      </c>
      <c r="H937" s="17"/>
      <c r="I937" s="4">
        <f t="shared" si="6"/>
        <v>349526.07999999996</v>
      </c>
      <c r="J937" s="32" t="str">
        <f t="shared" si="7"/>
        <v/>
      </c>
      <c r="K937" s="79"/>
      <c r="L937" s="79"/>
      <c r="M937" s="2"/>
      <c r="N937" s="5"/>
      <c r="O937" s="3"/>
      <c r="P937" s="6"/>
      <c r="Q937" s="6"/>
    </row>
    <row r="938" spans="1:17" ht="15" customHeight="1" x14ac:dyDescent="0.25">
      <c r="A938" s="1"/>
      <c r="B938" s="17"/>
      <c r="C938" s="17"/>
      <c r="D938" s="17"/>
      <c r="E938" s="17"/>
      <c r="F938" s="17"/>
      <c r="G938" s="4">
        <f t="shared" si="8"/>
        <v>0</v>
      </c>
      <c r="H938" s="17"/>
      <c r="I938" s="4">
        <f t="shared" si="6"/>
        <v>349526.07999999996</v>
      </c>
      <c r="J938" s="32" t="str">
        <f t="shared" si="7"/>
        <v/>
      </c>
      <c r="K938" s="79"/>
      <c r="L938" s="79"/>
      <c r="M938" s="2"/>
      <c r="N938" s="5"/>
      <c r="O938" s="3"/>
      <c r="P938" s="6"/>
      <c r="Q938" s="6"/>
    </row>
    <row r="939" spans="1:17" ht="15" customHeight="1" x14ac:dyDescent="0.25">
      <c r="A939" s="1"/>
      <c r="B939" s="17"/>
      <c r="C939" s="17"/>
      <c r="D939" s="17"/>
      <c r="E939" s="17"/>
      <c r="F939" s="17"/>
      <c r="G939" s="4">
        <f t="shared" si="8"/>
        <v>0</v>
      </c>
      <c r="H939" s="17"/>
      <c r="I939" s="4">
        <f t="shared" si="6"/>
        <v>349526.07999999996</v>
      </c>
      <c r="J939" s="32" t="str">
        <f t="shared" si="7"/>
        <v/>
      </c>
      <c r="K939" s="79"/>
      <c r="L939" s="79"/>
      <c r="M939" s="2"/>
      <c r="N939" s="5"/>
      <c r="O939" s="3"/>
      <c r="P939" s="6"/>
      <c r="Q939" s="6"/>
    </row>
    <row r="940" spans="1:17" ht="15" customHeight="1" x14ac:dyDescent="0.25">
      <c r="A940" s="1"/>
      <c r="B940" s="17"/>
      <c r="C940" s="17"/>
      <c r="D940" s="17"/>
      <c r="E940" s="17"/>
      <c r="F940" s="17"/>
      <c r="G940" s="4">
        <f t="shared" si="8"/>
        <v>0</v>
      </c>
      <c r="H940" s="17"/>
      <c r="I940" s="4">
        <f t="shared" si="6"/>
        <v>349526.07999999996</v>
      </c>
      <c r="J940" s="32" t="str">
        <f t="shared" si="7"/>
        <v/>
      </c>
      <c r="K940" s="79"/>
      <c r="L940" s="79"/>
      <c r="M940" s="2"/>
      <c r="N940" s="5"/>
      <c r="O940" s="3"/>
      <c r="P940" s="6"/>
      <c r="Q940" s="6"/>
    </row>
    <row r="941" spans="1:17" ht="15" customHeight="1" x14ac:dyDescent="0.25">
      <c r="A941" s="1"/>
      <c r="B941" s="17"/>
      <c r="C941" s="17"/>
      <c r="D941" s="17"/>
      <c r="E941" s="17"/>
      <c r="F941" s="17"/>
      <c r="G941" s="4">
        <f t="shared" si="8"/>
        <v>0</v>
      </c>
      <c r="H941" s="17"/>
      <c r="I941" s="4">
        <f t="shared" si="6"/>
        <v>349526.07999999996</v>
      </c>
      <c r="J941" s="32" t="str">
        <f t="shared" si="7"/>
        <v/>
      </c>
      <c r="K941" s="79"/>
      <c r="L941" s="79"/>
      <c r="M941" s="2"/>
      <c r="N941" s="5"/>
      <c r="O941" s="3"/>
      <c r="P941" s="6"/>
      <c r="Q941" s="6"/>
    </row>
    <row r="942" spans="1:17" ht="15" customHeight="1" x14ac:dyDescent="0.25">
      <c r="A942" s="1"/>
      <c r="B942" s="17"/>
      <c r="C942" s="17"/>
      <c r="D942" s="17"/>
      <c r="E942" s="17"/>
      <c r="F942" s="17"/>
      <c r="G942" s="4">
        <f t="shared" si="8"/>
        <v>0</v>
      </c>
      <c r="H942" s="17"/>
      <c r="I942" s="4">
        <f t="shared" si="6"/>
        <v>349526.07999999996</v>
      </c>
      <c r="J942" s="32" t="str">
        <f t="shared" si="7"/>
        <v/>
      </c>
      <c r="K942" s="79"/>
      <c r="L942" s="79"/>
      <c r="M942" s="2"/>
      <c r="N942" s="5"/>
      <c r="O942" s="3"/>
      <c r="P942" s="6"/>
      <c r="Q942" s="6"/>
    </row>
    <row r="943" spans="1:17" ht="15" customHeight="1" x14ac:dyDescent="0.25">
      <c r="A943" s="1"/>
      <c r="B943" s="17"/>
      <c r="C943" s="17"/>
      <c r="D943" s="17"/>
      <c r="E943" s="17"/>
      <c r="F943" s="17"/>
      <c r="G943" s="4">
        <f t="shared" si="8"/>
        <v>0</v>
      </c>
      <c r="H943" s="17"/>
      <c r="I943" s="4">
        <f t="shared" si="6"/>
        <v>349526.07999999996</v>
      </c>
      <c r="J943" s="32" t="str">
        <f t="shared" si="7"/>
        <v/>
      </c>
      <c r="K943" s="79"/>
      <c r="L943" s="79"/>
      <c r="M943" s="2"/>
      <c r="N943" s="5"/>
      <c r="O943" s="3"/>
      <c r="P943" s="6"/>
      <c r="Q943" s="6"/>
    </row>
    <row r="944" spans="1:17" ht="15" customHeight="1" x14ac:dyDescent="0.25">
      <c r="A944" s="1"/>
      <c r="B944" s="17"/>
      <c r="C944" s="17"/>
      <c r="D944" s="17"/>
      <c r="E944" s="17"/>
      <c r="F944" s="17"/>
      <c r="G944" s="4">
        <f t="shared" si="8"/>
        <v>0</v>
      </c>
      <c r="H944" s="17"/>
      <c r="I944" s="4">
        <f t="shared" si="6"/>
        <v>349526.07999999996</v>
      </c>
      <c r="J944" s="32" t="str">
        <f t="shared" si="7"/>
        <v/>
      </c>
      <c r="K944" s="79"/>
      <c r="L944" s="79"/>
      <c r="M944" s="2"/>
      <c r="N944" s="5"/>
      <c r="O944" s="3"/>
      <c r="P944" s="6"/>
      <c r="Q944" s="6"/>
    </row>
    <row r="945" spans="1:17" ht="15" customHeight="1" x14ac:dyDescent="0.25">
      <c r="A945" s="1"/>
      <c r="B945" s="17"/>
      <c r="C945" s="17"/>
      <c r="D945" s="17"/>
      <c r="E945" s="17"/>
      <c r="F945" s="17"/>
      <c r="G945" s="4">
        <f t="shared" si="8"/>
        <v>0</v>
      </c>
      <c r="H945" s="17"/>
      <c r="I945" s="4">
        <f t="shared" si="6"/>
        <v>349526.07999999996</v>
      </c>
      <c r="J945" s="32" t="str">
        <f t="shared" si="7"/>
        <v/>
      </c>
      <c r="K945" s="79"/>
      <c r="L945" s="79"/>
      <c r="M945" s="2"/>
      <c r="N945" s="5"/>
      <c r="O945" s="3"/>
      <c r="P945" s="6"/>
      <c r="Q945" s="6"/>
    </row>
    <row r="946" spans="1:17" ht="15" customHeight="1" x14ac:dyDescent="0.25">
      <c r="A946" s="1"/>
      <c r="B946" s="17"/>
      <c r="C946" s="17"/>
      <c r="D946" s="17"/>
      <c r="E946" s="17"/>
      <c r="F946" s="17"/>
      <c r="G946" s="4">
        <f t="shared" si="8"/>
        <v>0</v>
      </c>
      <c r="H946" s="17"/>
      <c r="I946" s="4">
        <f t="shared" si="6"/>
        <v>349526.07999999996</v>
      </c>
      <c r="J946" s="32" t="str">
        <f t="shared" si="7"/>
        <v/>
      </c>
      <c r="K946" s="79"/>
      <c r="L946" s="79"/>
      <c r="M946" s="2"/>
      <c r="N946" s="5"/>
      <c r="O946" s="3"/>
      <c r="P946" s="6"/>
      <c r="Q946" s="6"/>
    </row>
    <row r="947" spans="1:17" ht="15" customHeight="1" x14ac:dyDescent="0.25">
      <c r="A947" s="1"/>
      <c r="B947" s="17"/>
      <c r="C947" s="17"/>
      <c r="D947" s="17"/>
      <c r="E947" s="17"/>
      <c r="F947" s="17"/>
      <c r="G947" s="4">
        <f t="shared" si="8"/>
        <v>0</v>
      </c>
      <c r="H947" s="17"/>
      <c r="I947" s="4">
        <f t="shared" si="6"/>
        <v>349526.07999999996</v>
      </c>
      <c r="J947" s="32" t="str">
        <f t="shared" si="7"/>
        <v/>
      </c>
      <c r="K947" s="79"/>
      <c r="L947" s="79"/>
      <c r="M947" s="2"/>
      <c r="N947" s="5"/>
      <c r="O947" s="3"/>
      <c r="P947" s="6"/>
      <c r="Q947" s="6"/>
    </row>
    <row r="948" spans="1:17" ht="15" customHeight="1" x14ac:dyDescent="0.25">
      <c r="A948" s="1"/>
      <c r="B948" s="17"/>
      <c r="C948" s="17"/>
      <c r="D948" s="17"/>
      <c r="E948" s="17"/>
      <c r="F948" s="17"/>
      <c r="G948" s="4">
        <f t="shared" si="8"/>
        <v>0</v>
      </c>
      <c r="H948" s="17"/>
      <c r="I948" s="4">
        <f t="shared" si="6"/>
        <v>349526.07999999996</v>
      </c>
      <c r="J948" s="32" t="str">
        <f t="shared" si="7"/>
        <v/>
      </c>
      <c r="K948" s="79"/>
      <c r="L948" s="79"/>
      <c r="M948" s="2"/>
      <c r="N948" s="5"/>
      <c r="O948" s="3"/>
      <c r="P948" s="6"/>
      <c r="Q948" s="6"/>
    </row>
    <row r="949" spans="1:17" ht="15" customHeight="1" x14ac:dyDescent="0.25">
      <c r="A949" s="1"/>
      <c r="B949" s="17"/>
      <c r="C949" s="17"/>
      <c r="D949" s="17"/>
      <c r="E949" s="17"/>
      <c r="F949" s="17"/>
      <c r="G949" s="4">
        <f t="shared" si="8"/>
        <v>0</v>
      </c>
      <c r="H949" s="17"/>
      <c r="I949" s="4">
        <f t="shared" si="6"/>
        <v>349526.07999999996</v>
      </c>
      <c r="J949" s="32" t="str">
        <f t="shared" si="7"/>
        <v/>
      </c>
      <c r="K949" s="79"/>
      <c r="L949" s="79"/>
      <c r="M949" s="2"/>
      <c r="N949" s="5"/>
      <c r="O949" s="3"/>
      <c r="P949" s="6"/>
      <c r="Q949" s="6"/>
    </row>
    <row r="950" spans="1:17" ht="15" customHeight="1" x14ac:dyDescent="0.25">
      <c r="A950" s="1"/>
      <c r="B950" s="17"/>
      <c r="C950" s="17"/>
      <c r="D950" s="17"/>
      <c r="E950" s="17"/>
      <c r="F950" s="17"/>
      <c r="G950" s="4">
        <f t="shared" si="8"/>
        <v>0</v>
      </c>
      <c r="H950" s="17"/>
      <c r="I950" s="4">
        <f t="shared" ref="I950:I1013" si="9">$I949+$G950-$H950</f>
        <v>349526.07999999996</v>
      </c>
      <c r="J950" s="32" t="str">
        <f t="shared" ref="J950:J1013" si="10">IF($A951&lt;&gt;$A950,$I950,"")</f>
        <v/>
      </c>
      <c r="K950" s="79"/>
      <c r="L950" s="79"/>
      <c r="M950" s="2"/>
      <c r="N950" s="5"/>
      <c r="O950" s="3"/>
      <c r="P950" s="6"/>
      <c r="Q950" s="6"/>
    </row>
    <row r="951" spans="1:17" ht="15" customHeight="1" x14ac:dyDescent="0.25">
      <c r="A951" s="1"/>
      <c r="B951" s="17"/>
      <c r="C951" s="17"/>
      <c r="D951" s="17"/>
      <c r="E951" s="17"/>
      <c r="F951" s="17"/>
      <c r="G951" s="4">
        <f t="shared" si="8"/>
        <v>0</v>
      </c>
      <c r="H951" s="17"/>
      <c r="I951" s="4">
        <f t="shared" si="9"/>
        <v>349526.07999999996</v>
      </c>
      <c r="J951" s="32" t="str">
        <f t="shared" si="10"/>
        <v/>
      </c>
      <c r="K951" s="79"/>
      <c r="L951" s="79"/>
      <c r="M951" s="2"/>
      <c r="N951" s="5"/>
      <c r="O951" s="3"/>
      <c r="P951" s="6"/>
      <c r="Q951" s="6"/>
    </row>
    <row r="952" spans="1:17" ht="15" customHeight="1" x14ac:dyDescent="0.25">
      <c r="A952" s="1"/>
      <c r="B952" s="17"/>
      <c r="C952" s="17"/>
      <c r="D952" s="17"/>
      <c r="E952" s="17"/>
      <c r="F952" s="17"/>
      <c r="G952" s="4">
        <f t="shared" si="8"/>
        <v>0</v>
      </c>
      <c r="H952" s="17"/>
      <c r="I952" s="4">
        <f t="shared" si="9"/>
        <v>349526.07999999996</v>
      </c>
      <c r="J952" s="32" t="str">
        <f t="shared" si="10"/>
        <v/>
      </c>
      <c r="K952" s="79"/>
      <c r="L952" s="79"/>
      <c r="M952" s="2"/>
      <c r="N952" s="5"/>
      <c r="O952" s="3"/>
      <c r="P952" s="6"/>
      <c r="Q952" s="6"/>
    </row>
    <row r="953" spans="1:17" ht="15" customHeight="1" x14ac:dyDescent="0.25">
      <c r="A953" s="1"/>
      <c r="B953" s="17"/>
      <c r="C953" s="17"/>
      <c r="D953" s="17"/>
      <c r="E953" s="17"/>
      <c r="F953" s="17"/>
      <c r="G953" s="4">
        <f t="shared" si="8"/>
        <v>0</v>
      </c>
      <c r="H953" s="17"/>
      <c r="I953" s="4">
        <f t="shared" si="9"/>
        <v>349526.07999999996</v>
      </c>
      <c r="J953" s="32" t="str">
        <f t="shared" si="10"/>
        <v/>
      </c>
      <c r="K953" s="79"/>
      <c r="L953" s="79"/>
      <c r="M953" s="2"/>
      <c r="N953" s="5"/>
      <c r="O953" s="3"/>
      <c r="P953" s="6"/>
      <c r="Q953" s="6"/>
    </row>
    <row r="954" spans="1:17" ht="15" customHeight="1" x14ac:dyDescent="0.25">
      <c r="A954" s="1"/>
      <c r="B954" s="17"/>
      <c r="C954" s="17"/>
      <c r="D954" s="17"/>
      <c r="E954" s="17"/>
      <c r="F954" s="17"/>
      <c r="G954" s="4">
        <f t="shared" si="8"/>
        <v>0</v>
      </c>
      <c r="H954" s="17"/>
      <c r="I954" s="4">
        <f t="shared" si="9"/>
        <v>349526.07999999996</v>
      </c>
      <c r="J954" s="32" t="str">
        <f t="shared" si="10"/>
        <v/>
      </c>
      <c r="K954" s="79"/>
      <c r="L954" s="79"/>
      <c r="M954" s="2"/>
      <c r="N954" s="5"/>
      <c r="O954" s="3"/>
      <c r="P954" s="6"/>
      <c r="Q954" s="6"/>
    </row>
    <row r="955" spans="1:17" ht="15" customHeight="1" x14ac:dyDescent="0.25">
      <c r="A955" s="1"/>
      <c r="B955" s="17"/>
      <c r="C955" s="17"/>
      <c r="D955" s="17"/>
      <c r="E955" s="17"/>
      <c r="F955" s="17"/>
      <c r="G955" s="4">
        <f t="shared" si="8"/>
        <v>0</v>
      </c>
      <c r="H955" s="17"/>
      <c r="I955" s="4">
        <f t="shared" si="9"/>
        <v>349526.07999999996</v>
      </c>
      <c r="J955" s="32" t="str">
        <f t="shared" si="10"/>
        <v/>
      </c>
      <c r="K955" s="79"/>
      <c r="L955" s="79"/>
      <c r="M955" s="2"/>
      <c r="N955" s="5"/>
      <c r="O955" s="3"/>
      <c r="P955" s="6"/>
      <c r="Q955" s="6"/>
    </row>
    <row r="956" spans="1:17" ht="15" customHeight="1" x14ac:dyDescent="0.25">
      <c r="A956" s="1"/>
      <c r="B956" s="17"/>
      <c r="C956" s="17"/>
      <c r="D956" s="17"/>
      <c r="E956" s="17"/>
      <c r="F956" s="17"/>
      <c r="G956" s="4">
        <f t="shared" si="8"/>
        <v>0</v>
      </c>
      <c r="H956" s="17"/>
      <c r="I956" s="4">
        <f t="shared" si="9"/>
        <v>349526.07999999996</v>
      </c>
      <c r="J956" s="32" t="str">
        <f t="shared" si="10"/>
        <v/>
      </c>
      <c r="K956" s="79"/>
      <c r="L956" s="79"/>
      <c r="M956" s="2"/>
      <c r="N956" s="5"/>
      <c r="O956" s="3"/>
      <c r="P956" s="6"/>
      <c r="Q956" s="6"/>
    </row>
    <row r="957" spans="1:17" ht="15" customHeight="1" x14ac:dyDescent="0.25">
      <c r="A957" s="1"/>
      <c r="B957" s="17"/>
      <c r="C957" s="17"/>
      <c r="D957" s="17"/>
      <c r="E957" s="17"/>
      <c r="F957" s="17"/>
      <c r="G957" s="4">
        <f t="shared" si="8"/>
        <v>0</v>
      </c>
      <c r="H957" s="17"/>
      <c r="I957" s="4">
        <f t="shared" si="9"/>
        <v>349526.07999999996</v>
      </c>
      <c r="J957" s="32" t="str">
        <f t="shared" si="10"/>
        <v/>
      </c>
      <c r="K957" s="79"/>
      <c r="L957" s="79"/>
      <c r="M957" s="2"/>
      <c r="N957" s="5"/>
      <c r="O957" s="3"/>
      <c r="P957" s="6"/>
      <c r="Q957" s="6"/>
    </row>
    <row r="958" spans="1:17" ht="15" customHeight="1" x14ac:dyDescent="0.25">
      <c r="A958" s="1"/>
      <c r="B958" s="17"/>
      <c r="C958" s="17"/>
      <c r="D958" s="17"/>
      <c r="E958" s="17"/>
      <c r="F958" s="17"/>
      <c r="G958" s="4">
        <f t="shared" si="8"/>
        <v>0</v>
      </c>
      <c r="H958" s="17"/>
      <c r="I958" s="4">
        <f t="shared" si="9"/>
        <v>349526.07999999996</v>
      </c>
      <c r="J958" s="32" t="str">
        <f t="shared" si="10"/>
        <v/>
      </c>
      <c r="K958" s="79"/>
      <c r="L958" s="79"/>
      <c r="M958" s="2"/>
      <c r="N958" s="5"/>
      <c r="O958" s="3"/>
      <c r="P958" s="6"/>
      <c r="Q958" s="6"/>
    </row>
    <row r="959" spans="1:17" ht="15" customHeight="1" x14ac:dyDescent="0.25">
      <c r="A959" s="1"/>
      <c r="B959" s="17"/>
      <c r="C959" s="17"/>
      <c r="D959" s="17"/>
      <c r="E959" s="17"/>
      <c r="F959" s="17"/>
      <c r="G959" s="4">
        <f t="shared" si="8"/>
        <v>0</v>
      </c>
      <c r="H959" s="17"/>
      <c r="I959" s="4">
        <f t="shared" si="9"/>
        <v>349526.07999999996</v>
      </c>
      <c r="J959" s="32" t="str">
        <f t="shared" si="10"/>
        <v/>
      </c>
      <c r="K959" s="79"/>
      <c r="L959" s="79"/>
      <c r="M959" s="2"/>
      <c r="N959" s="5"/>
      <c r="O959" s="3"/>
      <c r="P959" s="6"/>
      <c r="Q959" s="6"/>
    </row>
    <row r="960" spans="1:17" ht="15" customHeight="1" x14ac:dyDescent="0.25">
      <c r="A960" s="1"/>
      <c r="B960" s="17"/>
      <c r="C960" s="17"/>
      <c r="D960" s="17"/>
      <c r="E960" s="17"/>
      <c r="F960" s="17"/>
      <c r="G960" s="4">
        <f t="shared" si="8"/>
        <v>0</v>
      </c>
      <c r="H960" s="17"/>
      <c r="I960" s="4">
        <f t="shared" si="9"/>
        <v>349526.07999999996</v>
      </c>
      <c r="J960" s="32" t="str">
        <f t="shared" si="10"/>
        <v/>
      </c>
      <c r="K960" s="79"/>
      <c r="L960" s="79"/>
      <c r="M960" s="2"/>
      <c r="N960" s="5"/>
      <c r="O960" s="3"/>
      <c r="P960" s="6"/>
      <c r="Q960" s="6"/>
    </row>
    <row r="961" spans="1:17" ht="15" customHeight="1" x14ac:dyDescent="0.25">
      <c r="A961" s="1"/>
      <c r="B961" s="17"/>
      <c r="C961" s="17"/>
      <c r="D961" s="17"/>
      <c r="E961" s="17"/>
      <c r="F961" s="17"/>
      <c r="G961" s="4">
        <f t="shared" si="8"/>
        <v>0</v>
      </c>
      <c r="H961" s="17"/>
      <c r="I961" s="4">
        <f t="shared" si="9"/>
        <v>349526.07999999996</v>
      </c>
      <c r="J961" s="32" t="str">
        <f t="shared" si="10"/>
        <v/>
      </c>
      <c r="K961" s="79"/>
      <c r="L961" s="79"/>
      <c r="M961" s="2"/>
      <c r="N961" s="5"/>
      <c r="O961" s="3"/>
      <c r="P961" s="6"/>
      <c r="Q961" s="6"/>
    </row>
    <row r="962" spans="1:17" ht="15" customHeight="1" x14ac:dyDescent="0.25">
      <c r="A962" s="1"/>
      <c r="B962" s="17"/>
      <c r="C962" s="17"/>
      <c r="D962" s="17"/>
      <c r="E962" s="17"/>
      <c r="F962" s="17"/>
      <c r="G962" s="4">
        <f t="shared" si="8"/>
        <v>0</v>
      </c>
      <c r="H962" s="17"/>
      <c r="I962" s="4">
        <f t="shared" si="9"/>
        <v>349526.07999999996</v>
      </c>
      <c r="J962" s="32" t="str">
        <f t="shared" si="10"/>
        <v/>
      </c>
      <c r="K962" s="79"/>
      <c r="L962" s="79"/>
      <c r="M962" s="2"/>
      <c r="N962" s="5"/>
      <c r="O962" s="3"/>
      <c r="P962" s="6"/>
      <c r="Q962" s="6"/>
    </row>
    <row r="963" spans="1:17" ht="15" customHeight="1" x14ac:dyDescent="0.25">
      <c r="A963" s="1"/>
      <c r="B963" s="17"/>
      <c r="C963" s="17"/>
      <c r="D963" s="17"/>
      <c r="E963" s="17"/>
      <c r="F963" s="17"/>
      <c r="G963" s="4">
        <f t="shared" ref="G963:G1026" si="11">SUM($B963:$F963)</f>
        <v>0</v>
      </c>
      <c r="H963" s="17"/>
      <c r="I963" s="4">
        <f t="shared" si="9"/>
        <v>349526.07999999996</v>
      </c>
      <c r="J963" s="32" t="str">
        <f t="shared" si="10"/>
        <v/>
      </c>
      <c r="K963" s="79"/>
      <c r="L963" s="79"/>
      <c r="M963" s="2"/>
      <c r="N963" s="5"/>
      <c r="O963" s="3"/>
      <c r="P963" s="6"/>
      <c r="Q963" s="6"/>
    </row>
    <row r="964" spans="1:17" ht="15" customHeight="1" x14ac:dyDescent="0.25">
      <c r="A964" s="1"/>
      <c r="B964" s="17"/>
      <c r="C964" s="17"/>
      <c r="D964" s="17"/>
      <c r="E964" s="17"/>
      <c r="F964" s="17"/>
      <c r="G964" s="4">
        <f t="shared" si="11"/>
        <v>0</v>
      </c>
      <c r="H964" s="17"/>
      <c r="I964" s="4">
        <f t="shared" si="9"/>
        <v>349526.07999999996</v>
      </c>
      <c r="J964" s="32" t="str">
        <f t="shared" si="10"/>
        <v/>
      </c>
      <c r="K964" s="79"/>
      <c r="L964" s="79"/>
      <c r="M964" s="2"/>
      <c r="N964" s="5"/>
      <c r="O964" s="3"/>
      <c r="P964" s="6"/>
      <c r="Q964" s="6"/>
    </row>
    <row r="965" spans="1:17" ht="15" customHeight="1" x14ac:dyDescent="0.25">
      <c r="A965" s="1"/>
      <c r="B965" s="17"/>
      <c r="C965" s="17"/>
      <c r="D965" s="17"/>
      <c r="E965" s="17"/>
      <c r="F965" s="17"/>
      <c r="G965" s="4">
        <f t="shared" si="11"/>
        <v>0</v>
      </c>
      <c r="H965" s="17"/>
      <c r="I965" s="4">
        <f t="shared" si="9"/>
        <v>349526.07999999996</v>
      </c>
      <c r="J965" s="32" t="str">
        <f t="shared" si="10"/>
        <v/>
      </c>
      <c r="K965" s="79"/>
      <c r="L965" s="79"/>
      <c r="M965" s="2"/>
      <c r="N965" s="5"/>
      <c r="O965" s="3"/>
      <c r="P965" s="6"/>
      <c r="Q965" s="6"/>
    </row>
    <row r="966" spans="1:17" ht="15" customHeight="1" x14ac:dyDescent="0.25">
      <c r="A966" s="1"/>
      <c r="B966" s="17"/>
      <c r="C966" s="17"/>
      <c r="D966" s="17"/>
      <c r="E966" s="17"/>
      <c r="F966" s="17"/>
      <c r="G966" s="4">
        <f t="shared" si="11"/>
        <v>0</v>
      </c>
      <c r="H966" s="17"/>
      <c r="I966" s="4">
        <f t="shared" si="9"/>
        <v>349526.07999999996</v>
      </c>
      <c r="J966" s="32" t="str">
        <f t="shared" si="10"/>
        <v/>
      </c>
      <c r="K966" s="79"/>
      <c r="L966" s="79"/>
      <c r="M966" s="2"/>
      <c r="N966" s="5"/>
      <c r="O966" s="3"/>
      <c r="P966" s="6"/>
      <c r="Q966" s="6"/>
    </row>
    <row r="967" spans="1:17" ht="15" customHeight="1" x14ac:dyDescent="0.25">
      <c r="A967" s="1"/>
      <c r="B967" s="17"/>
      <c r="C967" s="17"/>
      <c r="D967" s="17"/>
      <c r="E967" s="17"/>
      <c r="F967" s="17"/>
      <c r="G967" s="4">
        <f t="shared" si="11"/>
        <v>0</v>
      </c>
      <c r="H967" s="17"/>
      <c r="I967" s="4">
        <f t="shared" si="9"/>
        <v>349526.07999999996</v>
      </c>
      <c r="J967" s="32" t="str">
        <f t="shared" si="10"/>
        <v/>
      </c>
      <c r="K967" s="79"/>
      <c r="L967" s="79"/>
      <c r="M967" s="2"/>
      <c r="N967" s="5"/>
      <c r="O967" s="3"/>
      <c r="P967" s="6"/>
      <c r="Q967" s="6"/>
    </row>
    <row r="968" spans="1:17" ht="15" customHeight="1" x14ac:dyDescent="0.25">
      <c r="A968" s="1"/>
      <c r="B968" s="17"/>
      <c r="C968" s="17"/>
      <c r="D968" s="17"/>
      <c r="E968" s="17"/>
      <c r="F968" s="17"/>
      <c r="G968" s="4">
        <f t="shared" si="11"/>
        <v>0</v>
      </c>
      <c r="H968" s="17"/>
      <c r="I968" s="4">
        <f t="shared" si="9"/>
        <v>349526.07999999996</v>
      </c>
      <c r="J968" s="32" t="str">
        <f t="shared" si="10"/>
        <v/>
      </c>
      <c r="K968" s="79"/>
      <c r="L968" s="79"/>
      <c r="M968" s="2"/>
      <c r="N968" s="5"/>
      <c r="O968" s="3"/>
      <c r="P968" s="6"/>
      <c r="Q968" s="6"/>
    </row>
    <row r="969" spans="1:17" ht="15" customHeight="1" x14ac:dyDescent="0.25">
      <c r="A969" s="1"/>
      <c r="B969" s="17"/>
      <c r="C969" s="17"/>
      <c r="D969" s="17"/>
      <c r="E969" s="17"/>
      <c r="F969" s="17"/>
      <c r="G969" s="4">
        <f t="shared" si="11"/>
        <v>0</v>
      </c>
      <c r="H969" s="17"/>
      <c r="I969" s="4">
        <f t="shared" si="9"/>
        <v>349526.07999999996</v>
      </c>
      <c r="J969" s="32" t="str">
        <f t="shared" si="10"/>
        <v/>
      </c>
      <c r="K969" s="79"/>
      <c r="L969" s="79"/>
      <c r="M969" s="2"/>
      <c r="N969" s="5"/>
      <c r="O969" s="3"/>
      <c r="P969" s="6"/>
      <c r="Q969" s="6"/>
    </row>
    <row r="970" spans="1:17" ht="15" customHeight="1" x14ac:dyDescent="0.25">
      <c r="A970" s="1"/>
      <c r="B970" s="17"/>
      <c r="C970" s="17"/>
      <c r="D970" s="17"/>
      <c r="E970" s="17"/>
      <c r="F970" s="17"/>
      <c r="G970" s="4">
        <f t="shared" si="11"/>
        <v>0</v>
      </c>
      <c r="H970" s="17"/>
      <c r="I970" s="4">
        <f t="shared" si="9"/>
        <v>349526.07999999996</v>
      </c>
      <c r="J970" s="32" t="str">
        <f t="shared" si="10"/>
        <v/>
      </c>
      <c r="K970" s="79"/>
      <c r="L970" s="79"/>
      <c r="M970" s="2"/>
      <c r="N970" s="5"/>
      <c r="O970" s="3"/>
      <c r="P970" s="6"/>
      <c r="Q970" s="6"/>
    </row>
    <row r="971" spans="1:17" ht="15" customHeight="1" x14ac:dyDescent="0.25">
      <c r="A971" s="1"/>
      <c r="B971" s="17"/>
      <c r="C971" s="17"/>
      <c r="D971" s="17"/>
      <c r="E971" s="17"/>
      <c r="F971" s="17"/>
      <c r="G971" s="4">
        <f t="shared" si="11"/>
        <v>0</v>
      </c>
      <c r="H971" s="17"/>
      <c r="I971" s="4">
        <f t="shared" si="9"/>
        <v>349526.07999999996</v>
      </c>
      <c r="J971" s="32" t="str">
        <f t="shared" si="10"/>
        <v/>
      </c>
      <c r="K971" s="79"/>
      <c r="L971" s="79"/>
      <c r="M971" s="2"/>
      <c r="N971" s="5"/>
      <c r="O971" s="3"/>
      <c r="P971" s="6"/>
      <c r="Q971" s="6"/>
    </row>
    <row r="972" spans="1:17" ht="15" customHeight="1" x14ac:dyDescent="0.25">
      <c r="A972" s="1"/>
      <c r="B972" s="17"/>
      <c r="C972" s="17"/>
      <c r="D972" s="17"/>
      <c r="E972" s="17"/>
      <c r="F972" s="17"/>
      <c r="G972" s="4">
        <f t="shared" si="11"/>
        <v>0</v>
      </c>
      <c r="H972" s="17"/>
      <c r="I972" s="4">
        <f t="shared" si="9"/>
        <v>349526.07999999996</v>
      </c>
      <c r="J972" s="32" t="str">
        <f t="shared" si="10"/>
        <v/>
      </c>
      <c r="K972" s="79"/>
      <c r="L972" s="79"/>
      <c r="M972" s="2"/>
      <c r="N972" s="5"/>
      <c r="O972" s="3"/>
      <c r="P972" s="6"/>
      <c r="Q972" s="6"/>
    </row>
    <row r="973" spans="1:17" ht="15" customHeight="1" x14ac:dyDescent="0.25">
      <c r="A973" s="1"/>
      <c r="B973" s="17"/>
      <c r="C973" s="17"/>
      <c r="D973" s="17"/>
      <c r="E973" s="17"/>
      <c r="F973" s="17"/>
      <c r="G973" s="4">
        <f t="shared" si="11"/>
        <v>0</v>
      </c>
      <c r="H973" s="17"/>
      <c r="I973" s="4">
        <f t="shared" si="9"/>
        <v>349526.07999999996</v>
      </c>
      <c r="J973" s="32" t="str">
        <f t="shared" si="10"/>
        <v/>
      </c>
      <c r="K973" s="79"/>
      <c r="L973" s="79"/>
      <c r="M973" s="2"/>
      <c r="N973" s="5"/>
      <c r="O973" s="3"/>
      <c r="P973" s="6"/>
      <c r="Q973" s="6"/>
    </row>
    <row r="974" spans="1:17" ht="15" customHeight="1" x14ac:dyDescent="0.25">
      <c r="A974" s="1"/>
      <c r="B974" s="17"/>
      <c r="C974" s="17"/>
      <c r="D974" s="17"/>
      <c r="E974" s="17"/>
      <c r="F974" s="17"/>
      <c r="G974" s="4">
        <f t="shared" si="11"/>
        <v>0</v>
      </c>
      <c r="H974" s="17"/>
      <c r="I974" s="4">
        <f t="shared" si="9"/>
        <v>349526.07999999996</v>
      </c>
      <c r="J974" s="32" t="str">
        <f t="shared" si="10"/>
        <v/>
      </c>
      <c r="K974" s="79"/>
      <c r="L974" s="79"/>
      <c r="M974" s="2"/>
      <c r="N974" s="5"/>
      <c r="O974" s="3"/>
      <c r="P974" s="6"/>
      <c r="Q974" s="6"/>
    </row>
    <row r="975" spans="1:17" ht="15" customHeight="1" x14ac:dyDescent="0.25">
      <c r="A975" s="1"/>
      <c r="B975" s="17"/>
      <c r="C975" s="17"/>
      <c r="D975" s="17"/>
      <c r="E975" s="17"/>
      <c r="F975" s="17"/>
      <c r="G975" s="4">
        <f t="shared" si="11"/>
        <v>0</v>
      </c>
      <c r="H975" s="17"/>
      <c r="I975" s="4">
        <f t="shared" si="9"/>
        <v>349526.07999999996</v>
      </c>
      <c r="J975" s="32" t="str">
        <f t="shared" si="10"/>
        <v/>
      </c>
      <c r="K975" s="79"/>
      <c r="L975" s="79"/>
      <c r="M975" s="2"/>
      <c r="N975" s="5"/>
      <c r="O975" s="3"/>
      <c r="P975" s="6"/>
      <c r="Q975" s="6"/>
    </row>
    <row r="976" spans="1:17" ht="15" customHeight="1" x14ac:dyDescent="0.25">
      <c r="A976" s="1"/>
      <c r="B976" s="17"/>
      <c r="C976" s="17"/>
      <c r="D976" s="17"/>
      <c r="E976" s="17"/>
      <c r="F976" s="17"/>
      <c r="G976" s="4">
        <f t="shared" si="11"/>
        <v>0</v>
      </c>
      <c r="H976" s="17"/>
      <c r="I976" s="4">
        <f t="shared" si="9"/>
        <v>349526.07999999996</v>
      </c>
      <c r="J976" s="32" t="str">
        <f t="shared" si="10"/>
        <v/>
      </c>
      <c r="K976" s="79"/>
      <c r="L976" s="79"/>
      <c r="M976" s="2"/>
      <c r="N976" s="5"/>
      <c r="O976" s="3"/>
      <c r="P976" s="6"/>
      <c r="Q976" s="6"/>
    </row>
    <row r="977" spans="1:17" ht="15" customHeight="1" x14ac:dyDescent="0.25">
      <c r="A977" s="1"/>
      <c r="B977" s="17"/>
      <c r="C977" s="17"/>
      <c r="D977" s="17"/>
      <c r="E977" s="17"/>
      <c r="F977" s="17"/>
      <c r="G977" s="4">
        <f t="shared" si="11"/>
        <v>0</v>
      </c>
      <c r="H977" s="17"/>
      <c r="I977" s="4">
        <f t="shared" si="9"/>
        <v>349526.07999999996</v>
      </c>
      <c r="J977" s="32" t="str">
        <f t="shared" si="10"/>
        <v/>
      </c>
      <c r="K977" s="79"/>
      <c r="L977" s="79"/>
      <c r="M977" s="2"/>
      <c r="N977" s="5"/>
      <c r="O977" s="3"/>
      <c r="P977" s="6"/>
      <c r="Q977" s="6"/>
    </row>
    <row r="978" spans="1:17" ht="15" customHeight="1" x14ac:dyDescent="0.25">
      <c r="A978" s="1"/>
      <c r="B978" s="17"/>
      <c r="C978" s="17"/>
      <c r="D978" s="17"/>
      <c r="E978" s="17"/>
      <c r="F978" s="17"/>
      <c r="G978" s="4">
        <f t="shared" si="11"/>
        <v>0</v>
      </c>
      <c r="H978" s="17"/>
      <c r="I978" s="4">
        <f t="shared" si="9"/>
        <v>349526.07999999996</v>
      </c>
      <c r="J978" s="32" t="str">
        <f t="shared" si="10"/>
        <v/>
      </c>
      <c r="K978" s="79"/>
      <c r="L978" s="79"/>
      <c r="M978" s="2"/>
      <c r="N978" s="5"/>
      <c r="O978" s="3"/>
      <c r="P978" s="6"/>
      <c r="Q978" s="6"/>
    </row>
    <row r="979" spans="1:17" ht="15" customHeight="1" x14ac:dyDescent="0.25">
      <c r="A979" s="1"/>
      <c r="B979" s="17"/>
      <c r="C979" s="17"/>
      <c r="D979" s="17"/>
      <c r="E979" s="17"/>
      <c r="F979" s="17"/>
      <c r="G979" s="4">
        <f t="shared" si="11"/>
        <v>0</v>
      </c>
      <c r="H979" s="17"/>
      <c r="I979" s="4">
        <f t="shared" si="9"/>
        <v>349526.07999999996</v>
      </c>
      <c r="J979" s="32" t="str">
        <f t="shared" si="10"/>
        <v/>
      </c>
      <c r="K979" s="79"/>
      <c r="L979" s="79"/>
      <c r="M979" s="2"/>
      <c r="N979" s="5"/>
      <c r="O979" s="3"/>
      <c r="P979" s="6"/>
      <c r="Q979" s="6"/>
    </row>
    <row r="980" spans="1:17" ht="15" customHeight="1" x14ac:dyDescent="0.25">
      <c r="A980" s="1"/>
      <c r="B980" s="17"/>
      <c r="C980" s="17"/>
      <c r="D980" s="17"/>
      <c r="E980" s="17"/>
      <c r="F980" s="17"/>
      <c r="G980" s="4">
        <f t="shared" si="11"/>
        <v>0</v>
      </c>
      <c r="H980" s="17"/>
      <c r="I980" s="4">
        <f t="shared" si="9"/>
        <v>349526.07999999996</v>
      </c>
      <c r="J980" s="32" t="str">
        <f t="shared" si="10"/>
        <v/>
      </c>
      <c r="K980" s="79"/>
      <c r="L980" s="79"/>
      <c r="M980" s="2"/>
      <c r="N980" s="5"/>
      <c r="O980" s="3"/>
      <c r="P980" s="6"/>
      <c r="Q980" s="6"/>
    </row>
    <row r="981" spans="1:17" ht="15" customHeight="1" x14ac:dyDescent="0.25">
      <c r="A981" s="1"/>
      <c r="B981" s="17"/>
      <c r="C981" s="17"/>
      <c r="D981" s="17"/>
      <c r="E981" s="17"/>
      <c r="F981" s="17"/>
      <c r="G981" s="4">
        <f t="shared" si="11"/>
        <v>0</v>
      </c>
      <c r="H981" s="17"/>
      <c r="I981" s="4">
        <f t="shared" si="9"/>
        <v>349526.07999999996</v>
      </c>
      <c r="J981" s="32" t="str">
        <f t="shared" si="10"/>
        <v/>
      </c>
      <c r="K981" s="79"/>
      <c r="L981" s="79"/>
      <c r="M981" s="2"/>
      <c r="N981" s="5"/>
      <c r="O981" s="3"/>
      <c r="P981" s="6"/>
      <c r="Q981" s="6"/>
    </row>
    <row r="982" spans="1:17" ht="15" customHeight="1" x14ac:dyDescent="0.25">
      <c r="A982" s="1"/>
      <c r="B982" s="17"/>
      <c r="C982" s="17"/>
      <c r="D982" s="17"/>
      <c r="E982" s="17"/>
      <c r="F982" s="17"/>
      <c r="G982" s="4">
        <f t="shared" si="11"/>
        <v>0</v>
      </c>
      <c r="H982" s="17"/>
      <c r="I982" s="4">
        <f t="shared" si="9"/>
        <v>349526.07999999996</v>
      </c>
      <c r="J982" s="32" t="str">
        <f t="shared" si="10"/>
        <v/>
      </c>
      <c r="K982" s="79"/>
      <c r="L982" s="79"/>
      <c r="M982" s="2"/>
      <c r="N982" s="5"/>
      <c r="O982" s="3"/>
      <c r="P982" s="6"/>
      <c r="Q982" s="6"/>
    </row>
    <row r="983" spans="1:17" ht="15" customHeight="1" x14ac:dyDescent="0.25">
      <c r="A983" s="1"/>
      <c r="B983" s="17"/>
      <c r="C983" s="17"/>
      <c r="D983" s="17"/>
      <c r="E983" s="17"/>
      <c r="F983" s="17"/>
      <c r="G983" s="4">
        <f t="shared" si="11"/>
        <v>0</v>
      </c>
      <c r="H983" s="17"/>
      <c r="I983" s="4">
        <f t="shared" si="9"/>
        <v>349526.07999999996</v>
      </c>
      <c r="J983" s="32" t="str">
        <f t="shared" si="10"/>
        <v/>
      </c>
      <c r="K983" s="79"/>
      <c r="L983" s="79"/>
      <c r="M983" s="2"/>
      <c r="N983" s="5"/>
      <c r="O983" s="3"/>
      <c r="P983" s="6"/>
      <c r="Q983" s="6"/>
    </row>
    <row r="984" spans="1:17" ht="15" customHeight="1" x14ac:dyDescent="0.25">
      <c r="A984" s="1"/>
      <c r="B984" s="17"/>
      <c r="C984" s="17"/>
      <c r="D984" s="17"/>
      <c r="E984" s="17"/>
      <c r="F984" s="17"/>
      <c r="G984" s="4">
        <f t="shared" si="11"/>
        <v>0</v>
      </c>
      <c r="H984" s="17"/>
      <c r="I984" s="4">
        <f t="shared" si="9"/>
        <v>349526.07999999996</v>
      </c>
      <c r="J984" s="32" t="str">
        <f t="shared" si="10"/>
        <v/>
      </c>
      <c r="K984" s="79"/>
      <c r="L984" s="79"/>
      <c r="M984" s="2"/>
      <c r="N984" s="5"/>
      <c r="O984" s="3"/>
      <c r="P984" s="6"/>
      <c r="Q984" s="6"/>
    </row>
    <row r="985" spans="1:17" ht="15" customHeight="1" x14ac:dyDescent="0.25">
      <c r="A985" s="1"/>
      <c r="B985" s="17"/>
      <c r="C985" s="17"/>
      <c r="D985" s="17"/>
      <c r="E985" s="17"/>
      <c r="F985" s="17"/>
      <c r="G985" s="4">
        <f t="shared" si="11"/>
        <v>0</v>
      </c>
      <c r="H985" s="17"/>
      <c r="I985" s="4">
        <f t="shared" si="9"/>
        <v>349526.07999999996</v>
      </c>
      <c r="J985" s="32" t="str">
        <f t="shared" si="10"/>
        <v/>
      </c>
      <c r="K985" s="79"/>
      <c r="L985" s="79"/>
      <c r="M985" s="2"/>
      <c r="N985" s="5"/>
      <c r="O985" s="3"/>
      <c r="P985" s="6"/>
      <c r="Q985" s="6"/>
    </row>
    <row r="986" spans="1:17" ht="15" customHeight="1" x14ac:dyDescent="0.25">
      <c r="A986" s="1"/>
      <c r="B986" s="17"/>
      <c r="C986" s="17"/>
      <c r="D986" s="17"/>
      <c r="E986" s="17"/>
      <c r="F986" s="17"/>
      <c r="G986" s="4">
        <f t="shared" si="11"/>
        <v>0</v>
      </c>
      <c r="H986" s="17"/>
      <c r="I986" s="4">
        <f t="shared" si="9"/>
        <v>349526.07999999996</v>
      </c>
      <c r="J986" s="32" t="str">
        <f t="shared" si="10"/>
        <v/>
      </c>
      <c r="K986" s="79"/>
      <c r="L986" s="79"/>
      <c r="M986" s="2"/>
      <c r="N986" s="5"/>
      <c r="O986" s="3"/>
      <c r="P986" s="6"/>
      <c r="Q986" s="6"/>
    </row>
    <row r="987" spans="1:17" ht="15" customHeight="1" x14ac:dyDescent="0.25">
      <c r="A987" s="1"/>
      <c r="B987" s="17"/>
      <c r="C987" s="17"/>
      <c r="D987" s="17"/>
      <c r="E987" s="17"/>
      <c r="F987" s="17"/>
      <c r="G987" s="4">
        <f t="shared" si="11"/>
        <v>0</v>
      </c>
      <c r="H987" s="17"/>
      <c r="I987" s="4">
        <f t="shared" si="9"/>
        <v>349526.07999999996</v>
      </c>
      <c r="J987" s="32" t="str">
        <f t="shared" si="10"/>
        <v/>
      </c>
      <c r="K987" s="79"/>
      <c r="L987" s="79"/>
      <c r="M987" s="2"/>
      <c r="N987" s="5"/>
      <c r="O987" s="3"/>
      <c r="P987" s="6"/>
      <c r="Q987" s="6"/>
    </row>
    <row r="988" spans="1:17" ht="15" customHeight="1" x14ac:dyDescent="0.25">
      <c r="A988" s="1"/>
      <c r="B988" s="17"/>
      <c r="C988" s="17"/>
      <c r="D988" s="17"/>
      <c r="E988" s="17"/>
      <c r="F988" s="17"/>
      <c r="G988" s="4">
        <f t="shared" si="11"/>
        <v>0</v>
      </c>
      <c r="H988" s="17"/>
      <c r="I988" s="4">
        <f t="shared" si="9"/>
        <v>349526.07999999996</v>
      </c>
      <c r="J988" s="32" t="str">
        <f t="shared" si="10"/>
        <v/>
      </c>
      <c r="K988" s="79"/>
      <c r="L988" s="79"/>
      <c r="M988" s="2"/>
      <c r="N988" s="5"/>
      <c r="O988" s="3"/>
      <c r="P988" s="6"/>
      <c r="Q988" s="6"/>
    </row>
    <row r="989" spans="1:17" ht="15" customHeight="1" x14ac:dyDescent="0.25">
      <c r="A989" s="1"/>
      <c r="B989" s="17"/>
      <c r="C989" s="17"/>
      <c r="D989" s="17"/>
      <c r="E989" s="17"/>
      <c r="F989" s="17"/>
      <c r="G989" s="4">
        <f t="shared" si="11"/>
        <v>0</v>
      </c>
      <c r="H989" s="17"/>
      <c r="I989" s="4">
        <f t="shared" si="9"/>
        <v>349526.07999999996</v>
      </c>
      <c r="J989" s="32" t="str">
        <f t="shared" si="10"/>
        <v/>
      </c>
      <c r="K989" s="79"/>
      <c r="L989" s="79"/>
      <c r="M989" s="2"/>
      <c r="N989" s="5"/>
      <c r="O989" s="3"/>
      <c r="P989" s="6"/>
      <c r="Q989" s="6"/>
    </row>
    <row r="990" spans="1:17" ht="15" customHeight="1" x14ac:dyDescent="0.25">
      <c r="A990" s="1"/>
      <c r="B990" s="17"/>
      <c r="C990" s="17"/>
      <c r="D990" s="17"/>
      <c r="E990" s="17"/>
      <c r="F990" s="17"/>
      <c r="G990" s="4">
        <f t="shared" si="11"/>
        <v>0</v>
      </c>
      <c r="H990" s="17"/>
      <c r="I990" s="4">
        <f t="shared" si="9"/>
        <v>349526.07999999996</v>
      </c>
      <c r="J990" s="32" t="str">
        <f t="shared" si="10"/>
        <v/>
      </c>
      <c r="K990" s="79"/>
      <c r="L990" s="79"/>
      <c r="M990" s="2"/>
      <c r="N990" s="5"/>
      <c r="O990" s="3"/>
      <c r="P990" s="6"/>
      <c r="Q990" s="6"/>
    </row>
    <row r="991" spans="1:17" ht="15" customHeight="1" x14ac:dyDescent="0.25">
      <c r="A991" s="1"/>
      <c r="B991" s="17"/>
      <c r="C991" s="17"/>
      <c r="D991" s="17"/>
      <c r="E991" s="17"/>
      <c r="F991" s="17"/>
      <c r="G991" s="4">
        <f t="shared" si="11"/>
        <v>0</v>
      </c>
      <c r="H991" s="17"/>
      <c r="I991" s="4">
        <f t="shared" si="9"/>
        <v>349526.07999999996</v>
      </c>
      <c r="J991" s="32" t="str">
        <f t="shared" si="10"/>
        <v/>
      </c>
      <c r="K991" s="79"/>
      <c r="L991" s="79"/>
      <c r="M991" s="2"/>
      <c r="N991" s="5"/>
      <c r="O991" s="3"/>
      <c r="P991" s="6"/>
      <c r="Q991" s="6"/>
    </row>
    <row r="992" spans="1:17" ht="15" customHeight="1" x14ac:dyDescent="0.25">
      <c r="A992" s="1"/>
      <c r="B992" s="17"/>
      <c r="C992" s="17"/>
      <c r="D992" s="17"/>
      <c r="E992" s="17"/>
      <c r="F992" s="17"/>
      <c r="G992" s="4">
        <f t="shared" si="11"/>
        <v>0</v>
      </c>
      <c r="H992" s="17"/>
      <c r="I992" s="4">
        <f t="shared" si="9"/>
        <v>349526.07999999996</v>
      </c>
      <c r="J992" s="32" t="str">
        <f t="shared" si="10"/>
        <v/>
      </c>
      <c r="K992" s="79"/>
      <c r="L992" s="79"/>
      <c r="M992" s="2"/>
      <c r="N992" s="5"/>
      <c r="O992" s="3"/>
      <c r="P992" s="6"/>
      <c r="Q992" s="6"/>
    </row>
    <row r="993" spans="1:17" ht="15" customHeight="1" x14ac:dyDescent="0.25">
      <c r="A993" s="1"/>
      <c r="B993" s="17"/>
      <c r="C993" s="17"/>
      <c r="D993" s="17"/>
      <c r="E993" s="17"/>
      <c r="F993" s="17"/>
      <c r="G993" s="4">
        <f t="shared" si="11"/>
        <v>0</v>
      </c>
      <c r="H993" s="17"/>
      <c r="I993" s="4">
        <f t="shared" si="9"/>
        <v>349526.07999999996</v>
      </c>
      <c r="J993" s="32" t="str">
        <f t="shared" si="10"/>
        <v/>
      </c>
      <c r="K993" s="79"/>
      <c r="L993" s="79"/>
      <c r="M993" s="2"/>
      <c r="N993" s="5"/>
      <c r="O993" s="3"/>
      <c r="P993" s="6"/>
      <c r="Q993" s="6"/>
    </row>
    <row r="994" spans="1:17" ht="15" customHeight="1" x14ac:dyDescent="0.25">
      <c r="A994" s="1"/>
      <c r="B994" s="17"/>
      <c r="C994" s="17"/>
      <c r="D994" s="17"/>
      <c r="E994" s="17"/>
      <c r="F994" s="17"/>
      <c r="G994" s="4">
        <f t="shared" si="11"/>
        <v>0</v>
      </c>
      <c r="H994" s="17"/>
      <c r="I994" s="4">
        <f t="shared" si="9"/>
        <v>349526.07999999996</v>
      </c>
      <c r="J994" s="32" t="str">
        <f t="shared" si="10"/>
        <v/>
      </c>
      <c r="K994" s="79"/>
      <c r="L994" s="79"/>
      <c r="M994" s="2"/>
      <c r="N994" s="5"/>
      <c r="O994" s="3"/>
      <c r="P994" s="6"/>
      <c r="Q994" s="6"/>
    </row>
    <row r="995" spans="1:17" ht="15" customHeight="1" x14ac:dyDescent="0.25">
      <c r="A995" s="1"/>
      <c r="B995" s="17"/>
      <c r="C995" s="17"/>
      <c r="D995" s="17"/>
      <c r="E995" s="17"/>
      <c r="F995" s="17"/>
      <c r="G995" s="4">
        <f t="shared" si="11"/>
        <v>0</v>
      </c>
      <c r="H995" s="17"/>
      <c r="I995" s="4">
        <f t="shared" si="9"/>
        <v>349526.07999999996</v>
      </c>
      <c r="J995" s="32" t="str">
        <f t="shared" si="10"/>
        <v/>
      </c>
      <c r="K995" s="79"/>
      <c r="L995" s="79"/>
      <c r="M995" s="2"/>
      <c r="N995" s="5"/>
      <c r="O995" s="3"/>
      <c r="P995" s="6"/>
      <c r="Q995" s="6"/>
    </row>
    <row r="996" spans="1:17" ht="15" customHeight="1" x14ac:dyDescent="0.25">
      <c r="A996" s="1"/>
      <c r="B996" s="17"/>
      <c r="C996" s="17"/>
      <c r="D996" s="17"/>
      <c r="E996" s="17"/>
      <c r="F996" s="17"/>
      <c r="G996" s="4">
        <f t="shared" si="11"/>
        <v>0</v>
      </c>
      <c r="H996" s="17"/>
      <c r="I996" s="4">
        <f t="shared" si="9"/>
        <v>349526.07999999996</v>
      </c>
      <c r="J996" s="32" t="str">
        <f t="shared" si="10"/>
        <v/>
      </c>
      <c r="K996" s="79"/>
      <c r="L996" s="79"/>
      <c r="M996" s="2"/>
      <c r="N996" s="5"/>
      <c r="O996" s="3"/>
      <c r="P996" s="6"/>
      <c r="Q996" s="6"/>
    </row>
    <row r="997" spans="1:17" ht="15" customHeight="1" x14ac:dyDescent="0.25">
      <c r="A997" s="1"/>
      <c r="B997" s="17"/>
      <c r="C997" s="17"/>
      <c r="D997" s="17"/>
      <c r="E997" s="17"/>
      <c r="F997" s="17"/>
      <c r="G997" s="4">
        <f t="shared" si="11"/>
        <v>0</v>
      </c>
      <c r="H997" s="17"/>
      <c r="I997" s="4">
        <f t="shared" si="9"/>
        <v>349526.07999999996</v>
      </c>
      <c r="J997" s="32" t="str">
        <f t="shared" si="10"/>
        <v/>
      </c>
      <c r="K997" s="79"/>
      <c r="L997" s="79"/>
      <c r="M997" s="2"/>
      <c r="N997" s="5"/>
      <c r="O997" s="3"/>
      <c r="P997" s="6"/>
      <c r="Q997" s="6"/>
    </row>
    <row r="998" spans="1:17" ht="15" customHeight="1" x14ac:dyDescent="0.25">
      <c r="A998" s="1"/>
      <c r="B998" s="17"/>
      <c r="C998" s="17"/>
      <c r="D998" s="17"/>
      <c r="E998" s="17"/>
      <c r="F998" s="17"/>
      <c r="G998" s="4">
        <f t="shared" si="11"/>
        <v>0</v>
      </c>
      <c r="H998" s="17"/>
      <c r="I998" s="4">
        <f t="shared" si="9"/>
        <v>349526.07999999996</v>
      </c>
      <c r="J998" s="32" t="str">
        <f t="shared" si="10"/>
        <v/>
      </c>
      <c r="K998" s="79"/>
      <c r="L998" s="79"/>
      <c r="M998" s="2"/>
      <c r="N998" s="5"/>
      <c r="O998" s="3"/>
      <c r="P998" s="6"/>
      <c r="Q998" s="6"/>
    </row>
    <row r="999" spans="1:17" ht="15" customHeight="1" x14ac:dyDescent="0.25">
      <c r="A999" s="1"/>
      <c r="B999" s="17"/>
      <c r="C999" s="17"/>
      <c r="D999" s="17"/>
      <c r="E999" s="17"/>
      <c r="F999" s="17"/>
      <c r="G999" s="4">
        <f t="shared" si="11"/>
        <v>0</v>
      </c>
      <c r="H999" s="17"/>
      <c r="I999" s="4">
        <f t="shared" si="9"/>
        <v>349526.07999999996</v>
      </c>
      <c r="J999" s="32" t="str">
        <f t="shared" si="10"/>
        <v/>
      </c>
      <c r="K999" s="79"/>
      <c r="L999" s="79"/>
      <c r="M999" s="2"/>
      <c r="N999" s="5"/>
      <c r="O999" s="3"/>
      <c r="P999" s="6"/>
      <c r="Q999" s="6"/>
    </row>
    <row r="1000" spans="1:17" ht="15" customHeight="1" x14ac:dyDescent="0.25">
      <c r="A1000" s="1"/>
      <c r="B1000" s="17"/>
      <c r="C1000" s="17"/>
      <c r="D1000" s="17"/>
      <c r="E1000" s="17"/>
      <c r="F1000" s="17"/>
      <c r="G1000" s="4">
        <f t="shared" si="11"/>
        <v>0</v>
      </c>
      <c r="H1000" s="17"/>
      <c r="I1000" s="4">
        <f t="shared" si="9"/>
        <v>349526.07999999996</v>
      </c>
      <c r="J1000" s="32" t="str">
        <f t="shared" si="10"/>
        <v/>
      </c>
      <c r="K1000" s="79"/>
      <c r="L1000" s="79"/>
      <c r="M1000" s="2"/>
      <c r="N1000" s="5"/>
      <c r="O1000" s="3"/>
      <c r="P1000" s="6"/>
      <c r="Q1000" s="6"/>
    </row>
    <row r="1001" spans="1:17" ht="15" customHeight="1" x14ac:dyDescent="0.25">
      <c r="A1001" s="1"/>
      <c r="B1001" s="17"/>
      <c r="C1001" s="17"/>
      <c r="D1001" s="17"/>
      <c r="E1001" s="17"/>
      <c r="F1001" s="17"/>
      <c r="G1001" s="4">
        <f t="shared" si="11"/>
        <v>0</v>
      </c>
      <c r="H1001" s="17"/>
      <c r="I1001" s="4">
        <f t="shared" si="9"/>
        <v>349526.07999999996</v>
      </c>
      <c r="J1001" s="32" t="str">
        <f t="shared" si="10"/>
        <v/>
      </c>
      <c r="K1001" s="79"/>
      <c r="L1001" s="79"/>
      <c r="M1001" s="2"/>
      <c r="N1001" s="5"/>
      <c r="O1001" s="3"/>
      <c r="P1001" s="6"/>
      <c r="Q1001" s="6"/>
    </row>
    <row r="1002" spans="1:17" ht="15" customHeight="1" x14ac:dyDescent="0.25">
      <c r="A1002" s="1"/>
      <c r="B1002" s="17"/>
      <c r="C1002" s="17"/>
      <c r="D1002" s="17"/>
      <c r="E1002" s="17"/>
      <c r="F1002" s="17"/>
      <c r="G1002" s="4">
        <f t="shared" si="11"/>
        <v>0</v>
      </c>
      <c r="H1002" s="17"/>
      <c r="I1002" s="4">
        <f t="shared" si="9"/>
        <v>349526.07999999996</v>
      </c>
      <c r="J1002" s="32" t="str">
        <f t="shared" si="10"/>
        <v/>
      </c>
      <c r="K1002" s="79"/>
      <c r="L1002" s="79"/>
      <c r="M1002" s="2"/>
      <c r="N1002" s="5"/>
      <c r="O1002" s="3"/>
      <c r="P1002" s="6"/>
      <c r="Q1002" s="6"/>
    </row>
    <row r="1003" spans="1:17" ht="15" customHeight="1" x14ac:dyDescent="0.25">
      <c r="A1003" s="1"/>
      <c r="B1003" s="17"/>
      <c r="C1003" s="17"/>
      <c r="D1003" s="17"/>
      <c r="E1003" s="17"/>
      <c r="F1003" s="17"/>
      <c r="G1003" s="4">
        <f t="shared" si="11"/>
        <v>0</v>
      </c>
      <c r="H1003" s="17"/>
      <c r="I1003" s="4">
        <f t="shared" si="9"/>
        <v>349526.07999999996</v>
      </c>
      <c r="J1003" s="32" t="str">
        <f t="shared" si="10"/>
        <v/>
      </c>
      <c r="K1003" s="79"/>
      <c r="L1003" s="79"/>
      <c r="M1003" s="2"/>
      <c r="N1003" s="5"/>
      <c r="O1003" s="3"/>
      <c r="P1003" s="6"/>
      <c r="Q1003" s="6"/>
    </row>
    <row r="1004" spans="1:17" ht="15" customHeight="1" x14ac:dyDescent="0.25">
      <c r="A1004" s="1"/>
      <c r="B1004" s="17"/>
      <c r="C1004" s="17"/>
      <c r="D1004" s="17"/>
      <c r="E1004" s="17"/>
      <c r="F1004" s="17"/>
      <c r="G1004" s="4">
        <f t="shared" si="11"/>
        <v>0</v>
      </c>
      <c r="H1004" s="17"/>
      <c r="I1004" s="4">
        <f t="shared" si="9"/>
        <v>349526.07999999996</v>
      </c>
      <c r="J1004" s="32" t="str">
        <f t="shared" si="10"/>
        <v/>
      </c>
      <c r="K1004" s="79"/>
      <c r="L1004" s="79"/>
      <c r="M1004" s="2"/>
      <c r="N1004" s="5"/>
      <c r="O1004" s="3"/>
      <c r="P1004" s="6"/>
      <c r="Q1004" s="6"/>
    </row>
    <row r="1005" spans="1:17" ht="15" customHeight="1" x14ac:dyDescent="0.25">
      <c r="A1005" s="1"/>
      <c r="B1005" s="17"/>
      <c r="C1005" s="17"/>
      <c r="D1005" s="17"/>
      <c r="E1005" s="17"/>
      <c r="F1005" s="17"/>
      <c r="G1005" s="4">
        <f t="shared" si="11"/>
        <v>0</v>
      </c>
      <c r="H1005" s="17"/>
      <c r="I1005" s="4">
        <f t="shared" si="9"/>
        <v>349526.07999999996</v>
      </c>
      <c r="J1005" s="32" t="str">
        <f t="shared" si="10"/>
        <v/>
      </c>
      <c r="K1005" s="79"/>
      <c r="L1005" s="79"/>
      <c r="M1005" s="2"/>
      <c r="N1005" s="5"/>
      <c r="O1005" s="3"/>
      <c r="P1005" s="6"/>
      <c r="Q1005" s="6"/>
    </row>
    <row r="1006" spans="1:17" ht="15" customHeight="1" x14ac:dyDescent="0.25">
      <c r="A1006" s="1"/>
      <c r="B1006" s="17"/>
      <c r="C1006" s="17"/>
      <c r="D1006" s="17"/>
      <c r="E1006" s="17"/>
      <c r="F1006" s="17"/>
      <c r="G1006" s="4">
        <f t="shared" si="11"/>
        <v>0</v>
      </c>
      <c r="H1006" s="17"/>
      <c r="I1006" s="4">
        <f t="shared" si="9"/>
        <v>349526.07999999996</v>
      </c>
      <c r="J1006" s="32" t="str">
        <f t="shared" si="10"/>
        <v/>
      </c>
      <c r="K1006" s="79"/>
      <c r="L1006" s="79"/>
      <c r="M1006" s="2"/>
      <c r="N1006" s="5"/>
      <c r="O1006" s="3"/>
      <c r="P1006" s="6"/>
      <c r="Q1006" s="6"/>
    </row>
    <row r="1007" spans="1:17" ht="15" customHeight="1" x14ac:dyDescent="0.25">
      <c r="A1007" s="1"/>
      <c r="B1007" s="17"/>
      <c r="C1007" s="17"/>
      <c r="D1007" s="17"/>
      <c r="E1007" s="17"/>
      <c r="F1007" s="17"/>
      <c r="G1007" s="4">
        <f t="shared" si="11"/>
        <v>0</v>
      </c>
      <c r="H1007" s="17"/>
      <c r="I1007" s="4">
        <f t="shared" si="9"/>
        <v>349526.07999999996</v>
      </c>
      <c r="J1007" s="32" t="str">
        <f t="shared" si="10"/>
        <v/>
      </c>
      <c r="K1007" s="79"/>
      <c r="L1007" s="79"/>
      <c r="M1007" s="2"/>
      <c r="N1007" s="5"/>
      <c r="O1007" s="3"/>
      <c r="P1007" s="6"/>
      <c r="Q1007" s="6"/>
    </row>
    <row r="1008" spans="1:17" ht="15" customHeight="1" x14ac:dyDescent="0.25">
      <c r="A1008" s="1"/>
      <c r="B1008" s="17"/>
      <c r="C1008" s="17"/>
      <c r="D1008" s="17"/>
      <c r="E1008" s="17"/>
      <c r="F1008" s="17"/>
      <c r="G1008" s="4">
        <f t="shared" si="11"/>
        <v>0</v>
      </c>
      <c r="H1008" s="17"/>
      <c r="I1008" s="4">
        <f t="shared" si="9"/>
        <v>349526.07999999996</v>
      </c>
      <c r="J1008" s="32" t="str">
        <f t="shared" si="10"/>
        <v/>
      </c>
      <c r="K1008" s="79"/>
      <c r="L1008" s="79"/>
      <c r="M1008" s="2"/>
      <c r="N1008" s="5"/>
      <c r="O1008" s="3"/>
      <c r="P1008" s="6"/>
      <c r="Q1008" s="6"/>
    </row>
    <row r="1009" spans="1:17" ht="15" customHeight="1" x14ac:dyDescent="0.25">
      <c r="A1009" s="1"/>
      <c r="B1009" s="17"/>
      <c r="C1009" s="17"/>
      <c r="D1009" s="17"/>
      <c r="E1009" s="17"/>
      <c r="F1009" s="17"/>
      <c r="G1009" s="4">
        <f t="shared" si="11"/>
        <v>0</v>
      </c>
      <c r="H1009" s="17"/>
      <c r="I1009" s="4">
        <f t="shared" si="9"/>
        <v>349526.07999999996</v>
      </c>
      <c r="J1009" s="32" t="str">
        <f t="shared" si="10"/>
        <v/>
      </c>
      <c r="K1009" s="79"/>
      <c r="L1009" s="79"/>
      <c r="M1009" s="2"/>
      <c r="N1009" s="5"/>
      <c r="O1009" s="3"/>
      <c r="P1009" s="6"/>
      <c r="Q1009" s="6"/>
    </row>
    <row r="1010" spans="1:17" ht="15" customHeight="1" x14ac:dyDescent="0.25">
      <c r="A1010" s="1"/>
      <c r="B1010" s="17"/>
      <c r="C1010" s="17"/>
      <c r="D1010" s="17"/>
      <c r="E1010" s="17"/>
      <c r="F1010" s="17"/>
      <c r="G1010" s="4">
        <f t="shared" si="11"/>
        <v>0</v>
      </c>
      <c r="H1010" s="17"/>
      <c r="I1010" s="4">
        <f t="shared" si="9"/>
        <v>349526.07999999996</v>
      </c>
      <c r="J1010" s="32" t="str">
        <f t="shared" si="10"/>
        <v/>
      </c>
      <c r="K1010" s="79"/>
      <c r="L1010" s="79"/>
      <c r="M1010" s="2"/>
      <c r="N1010" s="5"/>
      <c r="O1010" s="3"/>
      <c r="P1010" s="6"/>
      <c r="Q1010" s="6"/>
    </row>
    <row r="1011" spans="1:17" ht="15" customHeight="1" x14ac:dyDescent="0.25">
      <c r="A1011" s="1"/>
      <c r="B1011" s="17"/>
      <c r="C1011" s="17"/>
      <c r="D1011" s="17"/>
      <c r="E1011" s="17"/>
      <c r="F1011" s="17"/>
      <c r="G1011" s="4">
        <f t="shared" si="11"/>
        <v>0</v>
      </c>
      <c r="H1011" s="17"/>
      <c r="I1011" s="4">
        <f t="shared" si="9"/>
        <v>349526.07999999996</v>
      </c>
      <c r="J1011" s="32" t="str">
        <f t="shared" si="10"/>
        <v/>
      </c>
      <c r="K1011" s="79"/>
      <c r="L1011" s="79"/>
      <c r="M1011" s="2"/>
      <c r="N1011" s="5"/>
      <c r="O1011" s="3"/>
      <c r="P1011" s="6"/>
      <c r="Q1011" s="6"/>
    </row>
    <row r="1012" spans="1:17" ht="15" customHeight="1" x14ac:dyDescent="0.25">
      <c r="A1012" s="1"/>
      <c r="B1012" s="17"/>
      <c r="C1012" s="17"/>
      <c r="D1012" s="17"/>
      <c r="E1012" s="17"/>
      <c r="F1012" s="17"/>
      <c r="G1012" s="4">
        <f t="shared" si="11"/>
        <v>0</v>
      </c>
      <c r="H1012" s="17"/>
      <c r="I1012" s="4">
        <f t="shared" si="9"/>
        <v>349526.07999999996</v>
      </c>
      <c r="J1012" s="32" t="str">
        <f t="shared" si="10"/>
        <v/>
      </c>
      <c r="K1012" s="79"/>
      <c r="L1012" s="79"/>
      <c r="M1012" s="2"/>
      <c r="N1012" s="5"/>
      <c r="O1012" s="3"/>
      <c r="P1012" s="6"/>
      <c r="Q1012" s="6"/>
    </row>
    <row r="1013" spans="1:17" ht="15" customHeight="1" x14ac:dyDescent="0.25">
      <c r="A1013" s="1"/>
      <c r="B1013" s="17"/>
      <c r="C1013" s="17"/>
      <c r="D1013" s="17"/>
      <c r="E1013" s="17"/>
      <c r="F1013" s="17"/>
      <c r="G1013" s="4">
        <f t="shared" si="11"/>
        <v>0</v>
      </c>
      <c r="H1013" s="17"/>
      <c r="I1013" s="4">
        <f t="shared" si="9"/>
        <v>349526.07999999996</v>
      </c>
      <c r="J1013" s="32" t="str">
        <f t="shared" si="10"/>
        <v/>
      </c>
      <c r="K1013" s="79"/>
      <c r="L1013" s="79"/>
      <c r="M1013" s="2"/>
      <c r="N1013" s="5"/>
      <c r="O1013" s="3"/>
      <c r="P1013" s="6"/>
      <c r="Q1013" s="6"/>
    </row>
    <row r="1014" spans="1:17" ht="15" customHeight="1" x14ac:dyDescent="0.25">
      <c r="A1014" s="1"/>
      <c r="B1014" s="17"/>
      <c r="C1014" s="17"/>
      <c r="D1014" s="17"/>
      <c r="E1014" s="17"/>
      <c r="F1014" s="17"/>
      <c r="G1014" s="4">
        <f t="shared" si="11"/>
        <v>0</v>
      </c>
      <c r="H1014" s="17"/>
      <c r="I1014" s="4">
        <f t="shared" ref="I1014:I1077" si="12">$I1013+$G1014-$H1014</f>
        <v>349526.07999999996</v>
      </c>
      <c r="J1014" s="32" t="str">
        <f t="shared" ref="J1014:J1077" si="13">IF($A1015&lt;&gt;$A1014,$I1014,"")</f>
        <v/>
      </c>
      <c r="K1014" s="79"/>
      <c r="L1014" s="79"/>
      <c r="M1014" s="2"/>
      <c r="N1014" s="5"/>
      <c r="O1014" s="3"/>
      <c r="P1014" s="6"/>
      <c r="Q1014" s="6"/>
    </row>
    <row r="1015" spans="1:17" ht="15" customHeight="1" x14ac:dyDescent="0.25">
      <c r="A1015" s="1"/>
      <c r="B1015" s="17"/>
      <c r="C1015" s="17"/>
      <c r="D1015" s="17"/>
      <c r="E1015" s="17"/>
      <c r="F1015" s="17"/>
      <c r="G1015" s="4">
        <f t="shared" si="11"/>
        <v>0</v>
      </c>
      <c r="H1015" s="17"/>
      <c r="I1015" s="4">
        <f t="shared" si="12"/>
        <v>349526.07999999996</v>
      </c>
      <c r="J1015" s="32" t="str">
        <f t="shared" si="13"/>
        <v/>
      </c>
      <c r="K1015" s="79"/>
      <c r="L1015" s="79"/>
      <c r="M1015" s="2"/>
      <c r="N1015" s="5"/>
      <c r="O1015" s="3"/>
      <c r="P1015" s="6"/>
      <c r="Q1015" s="6"/>
    </row>
    <row r="1016" spans="1:17" ht="15" customHeight="1" x14ac:dyDescent="0.25">
      <c r="A1016" s="1"/>
      <c r="B1016" s="17"/>
      <c r="C1016" s="17"/>
      <c r="D1016" s="17"/>
      <c r="E1016" s="17"/>
      <c r="F1016" s="17"/>
      <c r="G1016" s="4">
        <f t="shared" si="11"/>
        <v>0</v>
      </c>
      <c r="H1016" s="17"/>
      <c r="I1016" s="4">
        <f t="shared" si="12"/>
        <v>349526.07999999996</v>
      </c>
      <c r="J1016" s="32" t="str">
        <f t="shared" si="13"/>
        <v/>
      </c>
      <c r="K1016" s="79"/>
      <c r="L1016" s="79"/>
      <c r="M1016" s="2"/>
      <c r="N1016" s="5"/>
      <c r="O1016" s="3"/>
      <c r="P1016" s="6"/>
      <c r="Q1016" s="6"/>
    </row>
    <row r="1017" spans="1:17" ht="15" customHeight="1" x14ac:dyDescent="0.25">
      <c r="A1017" s="1"/>
      <c r="B1017" s="17"/>
      <c r="C1017" s="17"/>
      <c r="D1017" s="17"/>
      <c r="E1017" s="17"/>
      <c r="F1017" s="17"/>
      <c r="G1017" s="4">
        <f t="shared" si="11"/>
        <v>0</v>
      </c>
      <c r="H1017" s="17"/>
      <c r="I1017" s="4">
        <f t="shared" si="12"/>
        <v>349526.07999999996</v>
      </c>
      <c r="J1017" s="32" t="str">
        <f t="shared" si="13"/>
        <v/>
      </c>
      <c r="K1017" s="79"/>
      <c r="L1017" s="79"/>
      <c r="M1017" s="2"/>
      <c r="N1017" s="5"/>
      <c r="O1017" s="3"/>
      <c r="P1017" s="6"/>
      <c r="Q1017" s="6"/>
    </row>
    <row r="1018" spans="1:17" ht="15" customHeight="1" x14ac:dyDescent="0.25">
      <c r="A1018" s="1"/>
      <c r="B1018" s="17"/>
      <c r="C1018" s="17"/>
      <c r="D1018" s="17"/>
      <c r="E1018" s="17"/>
      <c r="F1018" s="17"/>
      <c r="G1018" s="4">
        <f t="shared" si="11"/>
        <v>0</v>
      </c>
      <c r="H1018" s="17"/>
      <c r="I1018" s="4">
        <f t="shared" si="12"/>
        <v>349526.07999999996</v>
      </c>
      <c r="J1018" s="32" t="str">
        <f t="shared" si="13"/>
        <v/>
      </c>
      <c r="K1018" s="79"/>
      <c r="L1018" s="79"/>
      <c r="M1018" s="2"/>
      <c r="N1018" s="5"/>
      <c r="O1018" s="3"/>
      <c r="P1018" s="6"/>
      <c r="Q1018" s="6"/>
    </row>
    <row r="1019" spans="1:17" ht="15" customHeight="1" x14ac:dyDescent="0.25">
      <c r="A1019" s="1"/>
      <c r="B1019" s="17"/>
      <c r="C1019" s="17"/>
      <c r="D1019" s="17"/>
      <c r="E1019" s="17"/>
      <c r="F1019" s="17"/>
      <c r="G1019" s="4">
        <f t="shared" si="11"/>
        <v>0</v>
      </c>
      <c r="H1019" s="17"/>
      <c r="I1019" s="4">
        <f t="shared" si="12"/>
        <v>349526.07999999996</v>
      </c>
      <c r="J1019" s="32" t="str">
        <f t="shared" si="13"/>
        <v/>
      </c>
      <c r="K1019" s="79"/>
      <c r="L1019" s="79"/>
      <c r="M1019" s="2"/>
      <c r="N1019" s="5"/>
      <c r="O1019" s="3"/>
      <c r="P1019" s="6"/>
      <c r="Q1019" s="6"/>
    </row>
    <row r="1020" spans="1:17" ht="15" customHeight="1" x14ac:dyDescent="0.25">
      <c r="A1020" s="1"/>
      <c r="B1020" s="17"/>
      <c r="C1020" s="17"/>
      <c r="D1020" s="17"/>
      <c r="E1020" s="17"/>
      <c r="F1020" s="17"/>
      <c r="G1020" s="4">
        <f t="shared" si="11"/>
        <v>0</v>
      </c>
      <c r="H1020" s="17"/>
      <c r="I1020" s="4">
        <f t="shared" si="12"/>
        <v>349526.07999999996</v>
      </c>
      <c r="J1020" s="32" t="str">
        <f t="shared" si="13"/>
        <v/>
      </c>
      <c r="K1020" s="79"/>
      <c r="L1020" s="79"/>
      <c r="M1020" s="2"/>
      <c r="N1020" s="5"/>
      <c r="O1020" s="3"/>
      <c r="P1020" s="6"/>
      <c r="Q1020" s="6"/>
    </row>
    <row r="1021" spans="1:17" ht="15" customHeight="1" x14ac:dyDescent="0.25">
      <c r="A1021" s="1"/>
      <c r="B1021" s="17"/>
      <c r="C1021" s="17"/>
      <c r="D1021" s="17"/>
      <c r="E1021" s="17"/>
      <c r="F1021" s="17"/>
      <c r="G1021" s="4">
        <f t="shared" si="11"/>
        <v>0</v>
      </c>
      <c r="H1021" s="17"/>
      <c r="I1021" s="4">
        <f t="shared" si="12"/>
        <v>349526.07999999996</v>
      </c>
      <c r="J1021" s="32" t="str">
        <f t="shared" si="13"/>
        <v/>
      </c>
      <c r="K1021" s="79"/>
      <c r="L1021" s="79"/>
      <c r="M1021" s="2"/>
      <c r="N1021" s="5"/>
      <c r="O1021" s="3"/>
      <c r="P1021" s="6"/>
      <c r="Q1021" s="6"/>
    </row>
    <row r="1022" spans="1:17" ht="15" customHeight="1" x14ac:dyDescent="0.25">
      <c r="A1022" s="1"/>
      <c r="B1022" s="17"/>
      <c r="C1022" s="17"/>
      <c r="D1022" s="17"/>
      <c r="E1022" s="17"/>
      <c r="F1022" s="17"/>
      <c r="G1022" s="4">
        <f t="shared" si="11"/>
        <v>0</v>
      </c>
      <c r="H1022" s="17"/>
      <c r="I1022" s="4">
        <f t="shared" si="12"/>
        <v>349526.07999999996</v>
      </c>
      <c r="J1022" s="32" t="str">
        <f t="shared" si="13"/>
        <v/>
      </c>
      <c r="K1022" s="79"/>
      <c r="L1022" s="79"/>
      <c r="M1022" s="2"/>
      <c r="N1022" s="5"/>
      <c r="O1022" s="3"/>
      <c r="P1022" s="6"/>
      <c r="Q1022" s="6"/>
    </row>
    <row r="1023" spans="1:17" ht="15" customHeight="1" x14ac:dyDescent="0.25">
      <c r="A1023" s="1"/>
      <c r="B1023" s="17"/>
      <c r="C1023" s="17"/>
      <c r="D1023" s="17"/>
      <c r="E1023" s="17"/>
      <c r="F1023" s="17"/>
      <c r="G1023" s="4">
        <f t="shared" si="11"/>
        <v>0</v>
      </c>
      <c r="H1023" s="17"/>
      <c r="I1023" s="4">
        <f t="shared" si="12"/>
        <v>349526.07999999996</v>
      </c>
      <c r="J1023" s="32" t="str">
        <f t="shared" si="13"/>
        <v/>
      </c>
      <c r="K1023" s="79"/>
      <c r="L1023" s="79"/>
      <c r="M1023" s="2"/>
      <c r="N1023" s="5"/>
      <c r="O1023" s="3"/>
      <c r="P1023" s="6"/>
      <c r="Q1023" s="6"/>
    </row>
    <row r="1024" spans="1:17" ht="15" customHeight="1" x14ac:dyDescent="0.25">
      <c r="A1024" s="1"/>
      <c r="B1024" s="17"/>
      <c r="C1024" s="17"/>
      <c r="D1024" s="17"/>
      <c r="E1024" s="17"/>
      <c r="F1024" s="17"/>
      <c r="G1024" s="4">
        <f t="shared" si="11"/>
        <v>0</v>
      </c>
      <c r="H1024" s="17"/>
      <c r="I1024" s="4">
        <f t="shared" si="12"/>
        <v>349526.07999999996</v>
      </c>
      <c r="J1024" s="32" t="str">
        <f t="shared" si="13"/>
        <v/>
      </c>
      <c r="K1024" s="79"/>
      <c r="L1024" s="79"/>
      <c r="M1024" s="2"/>
      <c r="N1024" s="5"/>
      <c r="O1024" s="3"/>
      <c r="P1024" s="6"/>
      <c r="Q1024" s="6"/>
    </row>
    <row r="1025" spans="1:17" ht="15" customHeight="1" x14ac:dyDescent="0.25">
      <c r="A1025" s="1"/>
      <c r="B1025" s="17"/>
      <c r="C1025" s="17"/>
      <c r="D1025" s="17"/>
      <c r="E1025" s="17"/>
      <c r="F1025" s="17"/>
      <c r="G1025" s="4">
        <f t="shared" si="11"/>
        <v>0</v>
      </c>
      <c r="H1025" s="17"/>
      <c r="I1025" s="4">
        <f t="shared" si="12"/>
        <v>349526.07999999996</v>
      </c>
      <c r="J1025" s="32" t="str">
        <f t="shared" si="13"/>
        <v/>
      </c>
      <c r="K1025" s="79"/>
      <c r="L1025" s="79"/>
      <c r="M1025" s="2"/>
      <c r="N1025" s="5"/>
      <c r="O1025" s="3"/>
      <c r="P1025" s="6"/>
      <c r="Q1025" s="6"/>
    </row>
    <row r="1026" spans="1:17" ht="15" customHeight="1" x14ac:dyDescent="0.25">
      <c r="A1026" s="1"/>
      <c r="B1026" s="17"/>
      <c r="C1026" s="17"/>
      <c r="D1026" s="17"/>
      <c r="E1026" s="17"/>
      <c r="F1026" s="17"/>
      <c r="G1026" s="4">
        <f t="shared" si="11"/>
        <v>0</v>
      </c>
      <c r="H1026" s="17"/>
      <c r="I1026" s="4">
        <f t="shared" si="12"/>
        <v>349526.07999999996</v>
      </c>
      <c r="J1026" s="32" t="str">
        <f t="shared" si="13"/>
        <v/>
      </c>
      <c r="K1026" s="79"/>
      <c r="L1026" s="79"/>
      <c r="M1026" s="2"/>
      <c r="N1026" s="5"/>
      <c r="O1026" s="3"/>
      <c r="P1026" s="6"/>
      <c r="Q1026" s="6"/>
    </row>
    <row r="1027" spans="1:17" ht="15" customHeight="1" x14ac:dyDescent="0.25">
      <c r="A1027" s="1"/>
      <c r="B1027" s="17"/>
      <c r="C1027" s="17"/>
      <c r="D1027" s="17"/>
      <c r="E1027" s="17"/>
      <c r="F1027" s="17"/>
      <c r="G1027" s="4">
        <f t="shared" ref="G1027:G1090" si="14">SUM($B1027:$F1027)</f>
        <v>0</v>
      </c>
      <c r="H1027" s="17"/>
      <c r="I1027" s="4">
        <f t="shared" si="12"/>
        <v>349526.07999999996</v>
      </c>
      <c r="J1027" s="32" t="str">
        <f t="shared" si="13"/>
        <v/>
      </c>
      <c r="K1027" s="79"/>
      <c r="L1027" s="79"/>
      <c r="M1027" s="2"/>
      <c r="N1027" s="5"/>
      <c r="O1027" s="3"/>
      <c r="P1027" s="6"/>
      <c r="Q1027" s="6"/>
    </row>
    <row r="1028" spans="1:17" ht="15" customHeight="1" x14ac:dyDescent="0.25">
      <c r="A1028" s="1"/>
      <c r="B1028" s="17"/>
      <c r="C1028" s="17"/>
      <c r="D1028" s="17"/>
      <c r="E1028" s="17"/>
      <c r="F1028" s="17"/>
      <c r="G1028" s="4">
        <f t="shared" si="14"/>
        <v>0</v>
      </c>
      <c r="H1028" s="17"/>
      <c r="I1028" s="4">
        <f t="shared" si="12"/>
        <v>349526.07999999996</v>
      </c>
      <c r="J1028" s="32" t="str">
        <f t="shared" si="13"/>
        <v/>
      </c>
      <c r="K1028" s="79"/>
      <c r="L1028" s="79"/>
      <c r="M1028" s="2"/>
      <c r="N1028" s="5"/>
      <c r="O1028" s="3"/>
      <c r="P1028" s="6"/>
      <c r="Q1028" s="6"/>
    </row>
    <row r="1029" spans="1:17" ht="15" customHeight="1" x14ac:dyDescent="0.25">
      <c r="A1029" s="1"/>
      <c r="B1029" s="17"/>
      <c r="C1029" s="17"/>
      <c r="D1029" s="17"/>
      <c r="E1029" s="17"/>
      <c r="F1029" s="17"/>
      <c r="G1029" s="4">
        <f t="shared" si="14"/>
        <v>0</v>
      </c>
      <c r="H1029" s="17"/>
      <c r="I1029" s="4">
        <f t="shared" si="12"/>
        <v>349526.07999999996</v>
      </c>
      <c r="J1029" s="32" t="str">
        <f t="shared" si="13"/>
        <v/>
      </c>
      <c r="K1029" s="79"/>
      <c r="L1029" s="79"/>
      <c r="M1029" s="2"/>
      <c r="N1029" s="5"/>
      <c r="O1029" s="3"/>
      <c r="P1029" s="6"/>
      <c r="Q1029" s="6"/>
    </row>
    <row r="1030" spans="1:17" ht="15" customHeight="1" x14ac:dyDescent="0.25">
      <c r="A1030" s="1"/>
      <c r="B1030" s="17"/>
      <c r="C1030" s="17"/>
      <c r="D1030" s="17"/>
      <c r="E1030" s="17"/>
      <c r="F1030" s="17"/>
      <c r="G1030" s="4">
        <f t="shared" si="14"/>
        <v>0</v>
      </c>
      <c r="H1030" s="17"/>
      <c r="I1030" s="4">
        <f t="shared" si="12"/>
        <v>349526.07999999996</v>
      </c>
      <c r="J1030" s="32" t="str">
        <f t="shared" si="13"/>
        <v/>
      </c>
      <c r="K1030" s="79"/>
      <c r="L1030" s="79"/>
      <c r="M1030" s="2"/>
      <c r="N1030" s="5"/>
      <c r="O1030" s="3"/>
      <c r="P1030" s="6"/>
      <c r="Q1030" s="6"/>
    </row>
    <row r="1031" spans="1:17" ht="15" customHeight="1" x14ac:dyDescent="0.25">
      <c r="A1031" s="1"/>
      <c r="B1031" s="17"/>
      <c r="C1031" s="17"/>
      <c r="D1031" s="17"/>
      <c r="E1031" s="17"/>
      <c r="F1031" s="17"/>
      <c r="G1031" s="4">
        <f t="shared" si="14"/>
        <v>0</v>
      </c>
      <c r="H1031" s="17"/>
      <c r="I1031" s="4">
        <f t="shared" si="12"/>
        <v>349526.07999999996</v>
      </c>
      <c r="J1031" s="32" t="str">
        <f t="shared" si="13"/>
        <v/>
      </c>
      <c r="K1031" s="79"/>
      <c r="L1031" s="79"/>
      <c r="M1031" s="2"/>
      <c r="N1031" s="5"/>
      <c r="O1031" s="3"/>
      <c r="P1031" s="6"/>
      <c r="Q1031" s="6"/>
    </row>
    <row r="1032" spans="1:17" ht="15" customHeight="1" x14ac:dyDescent="0.25">
      <c r="A1032" s="1"/>
      <c r="B1032" s="17"/>
      <c r="C1032" s="17"/>
      <c r="D1032" s="17"/>
      <c r="E1032" s="17"/>
      <c r="F1032" s="17"/>
      <c r="G1032" s="4">
        <f t="shared" si="14"/>
        <v>0</v>
      </c>
      <c r="H1032" s="17"/>
      <c r="I1032" s="4">
        <f t="shared" si="12"/>
        <v>349526.07999999996</v>
      </c>
      <c r="J1032" s="32" t="str">
        <f t="shared" si="13"/>
        <v/>
      </c>
      <c r="K1032" s="79"/>
      <c r="L1032" s="79"/>
      <c r="M1032" s="2"/>
      <c r="N1032" s="5"/>
      <c r="O1032" s="3"/>
      <c r="P1032" s="6"/>
      <c r="Q1032" s="6"/>
    </row>
    <row r="1033" spans="1:17" ht="15" customHeight="1" x14ac:dyDescent="0.25">
      <c r="A1033" s="1"/>
      <c r="B1033" s="17"/>
      <c r="C1033" s="17"/>
      <c r="D1033" s="17"/>
      <c r="E1033" s="17"/>
      <c r="F1033" s="17"/>
      <c r="G1033" s="4">
        <f t="shared" si="14"/>
        <v>0</v>
      </c>
      <c r="H1033" s="17"/>
      <c r="I1033" s="4">
        <f t="shared" si="12"/>
        <v>349526.07999999996</v>
      </c>
      <c r="J1033" s="32" t="str">
        <f t="shared" si="13"/>
        <v/>
      </c>
      <c r="K1033" s="79"/>
      <c r="L1033" s="79"/>
      <c r="M1033" s="2"/>
      <c r="N1033" s="5"/>
      <c r="O1033" s="3"/>
      <c r="P1033" s="6"/>
      <c r="Q1033" s="6"/>
    </row>
    <row r="1034" spans="1:17" ht="15" customHeight="1" x14ac:dyDescent="0.25">
      <c r="A1034" s="1"/>
      <c r="B1034" s="17"/>
      <c r="C1034" s="17"/>
      <c r="D1034" s="17"/>
      <c r="E1034" s="17"/>
      <c r="F1034" s="17"/>
      <c r="G1034" s="4">
        <f t="shared" si="14"/>
        <v>0</v>
      </c>
      <c r="H1034" s="17"/>
      <c r="I1034" s="4">
        <f t="shared" si="12"/>
        <v>349526.07999999996</v>
      </c>
      <c r="J1034" s="32" t="str">
        <f t="shared" si="13"/>
        <v/>
      </c>
      <c r="K1034" s="79"/>
      <c r="L1034" s="79"/>
      <c r="M1034" s="2"/>
      <c r="N1034" s="5"/>
      <c r="O1034" s="3"/>
      <c r="P1034" s="6"/>
      <c r="Q1034" s="6"/>
    </row>
    <row r="1035" spans="1:17" ht="15" customHeight="1" x14ac:dyDescent="0.25">
      <c r="A1035" s="1"/>
      <c r="B1035" s="17"/>
      <c r="C1035" s="17"/>
      <c r="D1035" s="17"/>
      <c r="E1035" s="17"/>
      <c r="F1035" s="17"/>
      <c r="G1035" s="4">
        <f t="shared" si="14"/>
        <v>0</v>
      </c>
      <c r="H1035" s="17"/>
      <c r="I1035" s="4">
        <f t="shared" si="12"/>
        <v>349526.07999999996</v>
      </c>
      <c r="J1035" s="32" t="str">
        <f t="shared" si="13"/>
        <v/>
      </c>
      <c r="K1035" s="79"/>
      <c r="L1035" s="79"/>
      <c r="M1035" s="2"/>
      <c r="N1035" s="5"/>
      <c r="O1035" s="3"/>
      <c r="P1035" s="6"/>
      <c r="Q1035" s="6"/>
    </row>
    <row r="1036" spans="1:17" ht="15" customHeight="1" x14ac:dyDescent="0.25">
      <c r="A1036" s="1"/>
      <c r="B1036" s="17"/>
      <c r="C1036" s="17"/>
      <c r="D1036" s="17"/>
      <c r="E1036" s="17"/>
      <c r="F1036" s="17"/>
      <c r="G1036" s="4">
        <f t="shared" si="14"/>
        <v>0</v>
      </c>
      <c r="H1036" s="17"/>
      <c r="I1036" s="4">
        <f t="shared" si="12"/>
        <v>349526.07999999996</v>
      </c>
      <c r="J1036" s="32" t="str">
        <f t="shared" si="13"/>
        <v/>
      </c>
      <c r="K1036" s="79"/>
      <c r="L1036" s="79"/>
      <c r="M1036" s="2"/>
      <c r="N1036" s="5"/>
      <c r="O1036" s="3"/>
      <c r="P1036" s="6"/>
      <c r="Q1036" s="6"/>
    </row>
    <row r="1037" spans="1:17" ht="15" customHeight="1" x14ac:dyDescent="0.25">
      <c r="A1037" s="1"/>
      <c r="B1037" s="17"/>
      <c r="C1037" s="17"/>
      <c r="D1037" s="17"/>
      <c r="E1037" s="17"/>
      <c r="F1037" s="17"/>
      <c r="G1037" s="4">
        <f t="shared" si="14"/>
        <v>0</v>
      </c>
      <c r="H1037" s="17"/>
      <c r="I1037" s="4">
        <f t="shared" si="12"/>
        <v>349526.07999999996</v>
      </c>
      <c r="J1037" s="32" t="str">
        <f t="shared" si="13"/>
        <v/>
      </c>
      <c r="K1037" s="79"/>
      <c r="L1037" s="79"/>
      <c r="M1037" s="2"/>
      <c r="N1037" s="5"/>
      <c r="O1037" s="3"/>
      <c r="P1037" s="6"/>
      <c r="Q1037" s="6"/>
    </row>
    <row r="1038" spans="1:17" ht="15" customHeight="1" x14ac:dyDescent="0.25">
      <c r="A1038" s="1"/>
      <c r="B1038" s="17"/>
      <c r="C1038" s="17"/>
      <c r="D1038" s="17"/>
      <c r="E1038" s="17"/>
      <c r="F1038" s="17"/>
      <c r="G1038" s="4">
        <f t="shared" si="14"/>
        <v>0</v>
      </c>
      <c r="H1038" s="17"/>
      <c r="I1038" s="4">
        <f t="shared" si="12"/>
        <v>349526.07999999996</v>
      </c>
      <c r="J1038" s="32" t="str">
        <f t="shared" si="13"/>
        <v/>
      </c>
      <c r="K1038" s="79"/>
      <c r="L1038" s="79"/>
      <c r="M1038" s="2"/>
      <c r="N1038" s="5"/>
      <c r="O1038" s="3"/>
      <c r="P1038" s="6"/>
      <c r="Q1038" s="6"/>
    </row>
    <row r="1039" spans="1:17" ht="15" customHeight="1" x14ac:dyDescent="0.25">
      <c r="A1039" s="1"/>
      <c r="B1039" s="17"/>
      <c r="C1039" s="17"/>
      <c r="D1039" s="17"/>
      <c r="E1039" s="17"/>
      <c r="F1039" s="17"/>
      <c r="G1039" s="4">
        <f t="shared" si="14"/>
        <v>0</v>
      </c>
      <c r="H1039" s="17"/>
      <c r="I1039" s="4">
        <f t="shared" si="12"/>
        <v>349526.07999999996</v>
      </c>
      <c r="J1039" s="32" t="str">
        <f t="shared" si="13"/>
        <v/>
      </c>
      <c r="K1039" s="79"/>
      <c r="L1039" s="79"/>
      <c r="M1039" s="2"/>
      <c r="N1039" s="5"/>
      <c r="O1039" s="3"/>
      <c r="P1039" s="6"/>
      <c r="Q1039" s="6"/>
    </row>
    <row r="1040" spans="1:17" ht="15" customHeight="1" x14ac:dyDescent="0.25">
      <c r="A1040" s="1"/>
      <c r="B1040" s="17"/>
      <c r="C1040" s="17"/>
      <c r="D1040" s="17"/>
      <c r="E1040" s="17"/>
      <c r="F1040" s="17"/>
      <c r="G1040" s="4">
        <f t="shared" si="14"/>
        <v>0</v>
      </c>
      <c r="H1040" s="17"/>
      <c r="I1040" s="4">
        <f t="shared" si="12"/>
        <v>349526.07999999996</v>
      </c>
      <c r="J1040" s="32" t="str">
        <f t="shared" si="13"/>
        <v/>
      </c>
      <c r="K1040" s="79"/>
      <c r="L1040" s="79"/>
      <c r="M1040" s="2"/>
      <c r="N1040" s="5"/>
      <c r="O1040" s="3"/>
      <c r="P1040" s="6"/>
      <c r="Q1040" s="6"/>
    </row>
    <row r="1041" spans="1:17" ht="15" customHeight="1" x14ac:dyDescent="0.25">
      <c r="A1041" s="1"/>
      <c r="B1041" s="17"/>
      <c r="C1041" s="17"/>
      <c r="D1041" s="17"/>
      <c r="E1041" s="17"/>
      <c r="F1041" s="17"/>
      <c r="G1041" s="4">
        <f t="shared" si="14"/>
        <v>0</v>
      </c>
      <c r="H1041" s="17"/>
      <c r="I1041" s="4">
        <f t="shared" si="12"/>
        <v>349526.07999999996</v>
      </c>
      <c r="J1041" s="32" t="str">
        <f t="shared" si="13"/>
        <v/>
      </c>
      <c r="K1041" s="79"/>
      <c r="L1041" s="79"/>
      <c r="M1041" s="2"/>
      <c r="N1041" s="5"/>
      <c r="O1041" s="3"/>
      <c r="P1041" s="6"/>
      <c r="Q1041" s="6"/>
    </row>
    <row r="1042" spans="1:17" ht="15" customHeight="1" x14ac:dyDescent="0.25">
      <c r="A1042" s="1"/>
      <c r="B1042" s="17"/>
      <c r="C1042" s="17"/>
      <c r="D1042" s="17"/>
      <c r="E1042" s="17"/>
      <c r="F1042" s="17"/>
      <c r="G1042" s="4">
        <f t="shared" si="14"/>
        <v>0</v>
      </c>
      <c r="H1042" s="17"/>
      <c r="I1042" s="4">
        <f t="shared" si="12"/>
        <v>349526.07999999996</v>
      </c>
      <c r="J1042" s="32" t="str">
        <f t="shared" si="13"/>
        <v/>
      </c>
      <c r="K1042" s="79"/>
      <c r="L1042" s="79"/>
      <c r="M1042" s="2"/>
      <c r="N1042" s="5"/>
      <c r="O1042" s="3"/>
      <c r="P1042" s="6"/>
      <c r="Q1042" s="6"/>
    </row>
    <row r="1043" spans="1:17" ht="15" customHeight="1" x14ac:dyDescent="0.25">
      <c r="A1043" s="1"/>
      <c r="B1043" s="17"/>
      <c r="C1043" s="17"/>
      <c r="D1043" s="17"/>
      <c r="E1043" s="17"/>
      <c r="F1043" s="17"/>
      <c r="G1043" s="4">
        <f t="shared" si="14"/>
        <v>0</v>
      </c>
      <c r="H1043" s="17"/>
      <c r="I1043" s="4">
        <f t="shared" si="12"/>
        <v>349526.07999999996</v>
      </c>
      <c r="J1043" s="32" t="str">
        <f t="shared" si="13"/>
        <v/>
      </c>
      <c r="K1043" s="79"/>
      <c r="L1043" s="79"/>
      <c r="M1043" s="2"/>
      <c r="N1043" s="5"/>
      <c r="O1043" s="3"/>
      <c r="P1043" s="6"/>
      <c r="Q1043" s="6"/>
    </row>
    <row r="1044" spans="1:17" ht="15" customHeight="1" x14ac:dyDescent="0.25">
      <c r="A1044" s="1"/>
      <c r="B1044" s="17"/>
      <c r="C1044" s="17"/>
      <c r="D1044" s="17"/>
      <c r="E1044" s="17"/>
      <c r="F1044" s="17"/>
      <c r="G1044" s="4">
        <f t="shared" si="14"/>
        <v>0</v>
      </c>
      <c r="H1044" s="17"/>
      <c r="I1044" s="4">
        <f t="shared" si="12"/>
        <v>349526.07999999996</v>
      </c>
      <c r="J1044" s="32" t="str">
        <f t="shared" si="13"/>
        <v/>
      </c>
      <c r="K1044" s="79"/>
      <c r="L1044" s="79"/>
      <c r="M1044" s="2"/>
      <c r="N1044" s="5"/>
      <c r="O1044" s="3"/>
      <c r="P1044" s="6"/>
      <c r="Q1044" s="6"/>
    </row>
    <row r="1045" spans="1:17" ht="15" customHeight="1" x14ac:dyDescent="0.25">
      <c r="A1045" s="1"/>
      <c r="B1045" s="17"/>
      <c r="C1045" s="17"/>
      <c r="D1045" s="17"/>
      <c r="E1045" s="17"/>
      <c r="F1045" s="17"/>
      <c r="G1045" s="4">
        <f t="shared" si="14"/>
        <v>0</v>
      </c>
      <c r="H1045" s="17"/>
      <c r="I1045" s="4">
        <f t="shared" si="12"/>
        <v>349526.07999999996</v>
      </c>
      <c r="J1045" s="32" t="str">
        <f t="shared" si="13"/>
        <v/>
      </c>
      <c r="K1045" s="79"/>
      <c r="L1045" s="79"/>
      <c r="M1045" s="2"/>
      <c r="N1045" s="5"/>
      <c r="O1045" s="3"/>
      <c r="P1045" s="6"/>
      <c r="Q1045" s="6"/>
    </row>
    <row r="1046" spans="1:17" ht="15" customHeight="1" x14ac:dyDescent="0.25">
      <c r="A1046" s="1"/>
      <c r="B1046" s="17"/>
      <c r="C1046" s="17"/>
      <c r="D1046" s="17"/>
      <c r="E1046" s="17"/>
      <c r="F1046" s="17"/>
      <c r="G1046" s="4">
        <f t="shared" si="14"/>
        <v>0</v>
      </c>
      <c r="H1046" s="17"/>
      <c r="I1046" s="4">
        <f t="shared" si="12"/>
        <v>349526.07999999996</v>
      </c>
      <c r="J1046" s="32" t="str">
        <f t="shared" si="13"/>
        <v/>
      </c>
      <c r="K1046" s="79"/>
      <c r="L1046" s="79"/>
      <c r="M1046" s="2"/>
      <c r="N1046" s="5"/>
      <c r="O1046" s="3"/>
      <c r="P1046" s="6"/>
      <c r="Q1046" s="6"/>
    </row>
    <row r="1047" spans="1:17" ht="15" customHeight="1" x14ac:dyDescent="0.25">
      <c r="A1047" s="1"/>
      <c r="B1047" s="17"/>
      <c r="C1047" s="17"/>
      <c r="D1047" s="17"/>
      <c r="E1047" s="17"/>
      <c r="F1047" s="17"/>
      <c r="G1047" s="4">
        <f t="shared" si="14"/>
        <v>0</v>
      </c>
      <c r="H1047" s="17"/>
      <c r="I1047" s="4">
        <f t="shared" si="12"/>
        <v>349526.07999999996</v>
      </c>
      <c r="J1047" s="32" t="str">
        <f t="shared" si="13"/>
        <v/>
      </c>
      <c r="K1047" s="79"/>
      <c r="L1047" s="79"/>
      <c r="M1047" s="2"/>
      <c r="N1047" s="5"/>
      <c r="O1047" s="3"/>
      <c r="P1047" s="6"/>
      <c r="Q1047" s="6"/>
    </row>
    <row r="1048" spans="1:17" ht="15" customHeight="1" x14ac:dyDescent="0.25">
      <c r="A1048" s="1"/>
      <c r="B1048" s="17"/>
      <c r="C1048" s="17"/>
      <c r="D1048" s="17"/>
      <c r="E1048" s="17"/>
      <c r="F1048" s="17"/>
      <c r="G1048" s="4">
        <f t="shared" si="14"/>
        <v>0</v>
      </c>
      <c r="H1048" s="17"/>
      <c r="I1048" s="4">
        <f t="shared" si="12"/>
        <v>349526.07999999996</v>
      </c>
      <c r="J1048" s="32" t="str">
        <f t="shared" si="13"/>
        <v/>
      </c>
      <c r="K1048" s="79"/>
      <c r="L1048" s="79"/>
      <c r="M1048" s="2"/>
      <c r="N1048" s="5"/>
      <c r="O1048" s="3"/>
      <c r="P1048" s="6"/>
      <c r="Q1048" s="6"/>
    </row>
    <row r="1049" spans="1:17" ht="15" customHeight="1" x14ac:dyDescent="0.25">
      <c r="A1049" s="1"/>
      <c r="B1049" s="17"/>
      <c r="C1049" s="17"/>
      <c r="D1049" s="17"/>
      <c r="E1049" s="17"/>
      <c r="F1049" s="17"/>
      <c r="G1049" s="4">
        <f t="shared" si="14"/>
        <v>0</v>
      </c>
      <c r="H1049" s="17"/>
      <c r="I1049" s="4">
        <f t="shared" si="12"/>
        <v>349526.07999999996</v>
      </c>
      <c r="J1049" s="32" t="str">
        <f t="shared" si="13"/>
        <v/>
      </c>
      <c r="K1049" s="79"/>
      <c r="L1049" s="79"/>
      <c r="M1049" s="2"/>
      <c r="N1049" s="5"/>
      <c r="O1049" s="3"/>
      <c r="P1049" s="6"/>
      <c r="Q1049" s="6"/>
    </row>
    <row r="1050" spans="1:17" ht="15" customHeight="1" x14ac:dyDescent="0.25">
      <c r="A1050" s="1"/>
      <c r="B1050" s="17"/>
      <c r="C1050" s="17"/>
      <c r="D1050" s="17"/>
      <c r="E1050" s="17"/>
      <c r="F1050" s="17"/>
      <c r="G1050" s="4">
        <f t="shared" si="14"/>
        <v>0</v>
      </c>
      <c r="H1050" s="17"/>
      <c r="I1050" s="4">
        <f t="shared" si="12"/>
        <v>349526.07999999996</v>
      </c>
      <c r="J1050" s="32" t="str">
        <f t="shared" si="13"/>
        <v/>
      </c>
      <c r="K1050" s="79"/>
      <c r="L1050" s="79"/>
      <c r="M1050" s="2"/>
      <c r="N1050" s="5"/>
      <c r="O1050" s="3"/>
      <c r="P1050" s="6"/>
      <c r="Q1050" s="6"/>
    </row>
    <row r="1051" spans="1:17" ht="15" customHeight="1" x14ac:dyDescent="0.25">
      <c r="A1051" s="1"/>
      <c r="B1051" s="17"/>
      <c r="C1051" s="17"/>
      <c r="D1051" s="17"/>
      <c r="E1051" s="17"/>
      <c r="F1051" s="17"/>
      <c r="G1051" s="4">
        <f t="shared" si="14"/>
        <v>0</v>
      </c>
      <c r="H1051" s="17"/>
      <c r="I1051" s="4">
        <f t="shared" si="12"/>
        <v>349526.07999999996</v>
      </c>
      <c r="J1051" s="32" t="str">
        <f t="shared" si="13"/>
        <v/>
      </c>
      <c r="K1051" s="79"/>
      <c r="L1051" s="79"/>
      <c r="M1051" s="2"/>
      <c r="N1051" s="5"/>
      <c r="O1051" s="3"/>
      <c r="P1051" s="6"/>
      <c r="Q1051" s="6"/>
    </row>
    <row r="1052" spans="1:17" ht="15" customHeight="1" x14ac:dyDescent="0.25">
      <c r="A1052" s="1"/>
      <c r="B1052" s="17"/>
      <c r="C1052" s="17"/>
      <c r="D1052" s="17"/>
      <c r="E1052" s="17"/>
      <c r="F1052" s="17"/>
      <c r="G1052" s="4">
        <f t="shared" si="14"/>
        <v>0</v>
      </c>
      <c r="H1052" s="17"/>
      <c r="I1052" s="4">
        <f t="shared" si="12"/>
        <v>349526.07999999996</v>
      </c>
      <c r="J1052" s="32" t="str">
        <f t="shared" si="13"/>
        <v/>
      </c>
      <c r="K1052" s="79"/>
      <c r="L1052" s="79"/>
      <c r="M1052" s="2"/>
      <c r="N1052" s="5"/>
      <c r="O1052" s="3"/>
      <c r="P1052" s="6"/>
      <c r="Q1052" s="6"/>
    </row>
    <row r="1053" spans="1:17" ht="15" customHeight="1" x14ac:dyDescent="0.25">
      <c r="A1053" s="1"/>
      <c r="B1053" s="17"/>
      <c r="C1053" s="17"/>
      <c r="D1053" s="17"/>
      <c r="E1053" s="17"/>
      <c r="F1053" s="17"/>
      <c r="G1053" s="4">
        <f t="shared" si="14"/>
        <v>0</v>
      </c>
      <c r="H1053" s="17"/>
      <c r="I1053" s="4">
        <f t="shared" si="12"/>
        <v>349526.07999999996</v>
      </c>
      <c r="J1053" s="32" t="str">
        <f t="shared" si="13"/>
        <v/>
      </c>
      <c r="K1053" s="79"/>
      <c r="L1053" s="79"/>
      <c r="M1053" s="2"/>
      <c r="N1053" s="5"/>
      <c r="O1053" s="3"/>
      <c r="P1053" s="6"/>
      <c r="Q1053" s="6"/>
    </row>
    <row r="1054" spans="1:17" ht="15" customHeight="1" x14ac:dyDescent="0.25">
      <c r="A1054" s="1"/>
      <c r="B1054" s="17"/>
      <c r="C1054" s="17"/>
      <c r="D1054" s="17"/>
      <c r="E1054" s="17"/>
      <c r="F1054" s="17"/>
      <c r="G1054" s="4">
        <f t="shared" si="14"/>
        <v>0</v>
      </c>
      <c r="H1054" s="17"/>
      <c r="I1054" s="4">
        <f t="shared" si="12"/>
        <v>349526.07999999996</v>
      </c>
      <c r="J1054" s="32" t="str">
        <f t="shared" si="13"/>
        <v/>
      </c>
      <c r="K1054" s="79"/>
      <c r="L1054" s="79"/>
      <c r="M1054" s="2"/>
      <c r="N1054" s="5"/>
      <c r="O1054" s="3"/>
      <c r="P1054" s="6"/>
      <c r="Q1054" s="6"/>
    </row>
    <row r="1055" spans="1:17" ht="15" customHeight="1" x14ac:dyDescent="0.25">
      <c r="A1055" s="1"/>
      <c r="B1055" s="17"/>
      <c r="C1055" s="17"/>
      <c r="D1055" s="17"/>
      <c r="E1055" s="17"/>
      <c r="F1055" s="17"/>
      <c r="G1055" s="4">
        <f t="shared" si="14"/>
        <v>0</v>
      </c>
      <c r="H1055" s="17"/>
      <c r="I1055" s="4">
        <f t="shared" si="12"/>
        <v>349526.07999999996</v>
      </c>
      <c r="J1055" s="32" t="str">
        <f t="shared" si="13"/>
        <v/>
      </c>
      <c r="K1055" s="79"/>
      <c r="L1055" s="79"/>
      <c r="M1055" s="2"/>
      <c r="N1055" s="5"/>
      <c r="O1055" s="3"/>
      <c r="P1055" s="6"/>
      <c r="Q1055" s="6"/>
    </row>
    <row r="1056" spans="1:17" ht="15" customHeight="1" x14ac:dyDescent="0.25">
      <c r="A1056" s="1"/>
      <c r="B1056" s="17"/>
      <c r="C1056" s="17"/>
      <c r="D1056" s="17"/>
      <c r="E1056" s="17"/>
      <c r="F1056" s="17"/>
      <c r="G1056" s="4">
        <f t="shared" si="14"/>
        <v>0</v>
      </c>
      <c r="H1056" s="17"/>
      <c r="I1056" s="4">
        <f t="shared" si="12"/>
        <v>349526.07999999996</v>
      </c>
      <c r="J1056" s="32" t="str">
        <f t="shared" si="13"/>
        <v/>
      </c>
      <c r="K1056" s="79"/>
      <c r="L1056" s="79"/>
      <c r="M1056" s="2"/>
      <c r="N1056" s="5"/>
      <c r="O1056" s="3"/>
      <c r="P1056" s="6"/>
      <c r="Q1056" s="6"/>
    </row>
    <row r="1057" spans="1:17" ht="15" customHeight="1" x14ac:dyDescent="0.25">
      <c r="A1057" s="1"/>
      <c r="B1057" s="17"/>
      <c r="C1057" s="17"/>
      <c r="D1057" s="17"/>
      <c r="E1057" s="17"/>
      <c r="F1057" s="17"/>
      <c r="G1057" s="4">
        <f t="shared" si="14"/>
        <v>0</v>
      </c>
      <c r="H1057" s="17"/>
      <c r="I1057" s="4">
        <f t="shared" si="12"/>
        <v>349526.07999999996</v>
      </c>
      <c r="J1057" s="32" t="str">
        <f t="shared" si="13"/>
        <v/>
      </c>
      <c r="K1057" s="79"/>
      <c r="L1057" s="79"/>
      <c r="M1057" s="2"/>
      <c r="N1057" s="5"/>
      <c r="O1057" s="3"/>
      <c r="P1057" s="6"/>
      <c r="Q1057" s="6"/>
    </row>
    <row r="1058" spans="1:17" ht="15" customHeight="1" x14ac:dyDescent="0.25">
      <c r="A1058" s="1"/>
      <c r="B1058" s="17"/>
      <c r="C1058" s="17"/>
      <c r="D1058" s="17"/>
      <c r="E1058" s="17"/>
      <c r="F1058" s="17"/>
      <c r="G1058" s="4">
        <f t="shared" si="14"/>
        <v>0</v>
      </c>
      <c r="H1058" s="17"/>
      <c r="I1058" s="4">
        <f t="shared" si="12"/>
        <v>349526.07999999996</v>
      </c>
      <c r="J1058" s="32" t="str">
        <f t="shared" si="13"/>
        <v/>
      </c>
      <c r="K1058" s="79"/>
      <c r="L1058" s="79"/>
      <c r="M1058" s="2"/>
      <c r="N1058" s="5"/>
      <c r="O1058" s="3"/>
      <c r="P1058" s="6"/>
      <c r="Q1058" s="6"/>
    </row>
    <row r="1059" spans="1:17" ht="15" customHeight="1" x14ac:dyDescent="0.25">
      <c r="A1059" s="1"/>
      <c r="B1059" s="17"/>
      <c r="C1059" s="17"/>
      <c r="D1059" s="17"/>
      <c r="E1059" s="17"/>
      <c r="F1059" s="17"/>
      <c r="G1059" s="4">
        <f t="shared" si="14"/>
        <v>0</v>
      </c>
      <c r="H1059" s="17"/>
      <c r="I1059" s="4">
        <f t="shared" si="12"/>
        <v>349526.07999999996</v>
      </c>
      <c r="J1059" s="32" t="str">
        <f t="shared" si="13"/>
        <v/>
      </c>
      <c r="K1059" s="79"/>
      <c r="L1059" s="79"/>
      <c r="M1059" s="2"/>
      <c r="N1059" s="5"/>
      <c r="O1059" s="3"/>
      <c r="P1059" s="6"/>
      <c r="Q1059" s="6"/>
    </row>
    <row r="1060" spans="1:17" ht="15" customHeight="1" x14ac:dyDescent="0.25">
      <c r="A1060" s="1"/>
      <c r="B1060" s="17"/>
      <c r="C1060" s="17"/>
      <c r="D1060" s="17"/>
      <c r="E1060" s="17"/>
      <c r="F1060" s="17"/>
      <c r="G1060" s="4">
        <f t="shared" si="14"/>
        <v>0</v>
      </c>
      <c r="H1060" s="17"/>
      <c r="I1060" s="4">
        <f t="shared" si="12"/>
        <v>349526.07999999996</v>
      </c>
      <c r="J1060" s="32" t="str">
        <f t="shared" si="13"/>
        <v/>
      </c>
      <c r="K1060" s="79"/>
      <c r="L1060" s="79"/>
      <c r="M1060" s="2"/>
      <c r="N1060" s="5"/>
      <c r="O1060" s="3"/>
      <c r="P1060" s="6"/>
      <c r="Q1060" s="6"/>
    </row>
    <row r="1061" spans="1:17" ht="15" customHeight="1" x14ac:dyDescent="0.25">
      <c r="A1061" s="1"/>
      <c r="B1061" s="17"/>
      <c r="C1061" s="17"/>
      <c r="D1061" s="17"/>
      <c r="E1061" s="17"/>
      <c r="F1061" s="17"/>
      <c r="G1061" s="4">
        <f t="shared" si="14"/>
        <v>0</v>
      </c>
      <c r="H1061" s="17"/>
      <c r="I1061" s="4">
        <f t="shared" si="12"/>
        <v>349526.07999999996</v>
      </c>
      <c r="J1061" s="32" t="str">
        <f t="shared" si="13"/>
        <v/>
      </c>
      <c r="K1061" s="79"/>
      <c r="L1061" s="79"/>
      <c r="M1061" s="2"/>
      <c r="N1061" s="5"/>
      <c r="O1061" s="3"/>
      <c r="P1061" s="6"/>
      <c r="Q1061" s="6"/>
    </row>
    <row r="1062" spans="1:17" ht="15" customHeight="1" x14ac:dyDescent="0.25">
      <c r="A1062" s="1"/>
      <c r="B1062" s="17"/>
      <c r="C1062" s="17"/>
      <c r="D1062" s="17"/>
      <c r="E1062" s="17"/>
      <c r="F1062" s="17"/>
      <c r="G1062" s="4">
        <f t="shared" si="14"/>
        <v>0</v>
      </c>
      <c r="H1062" s="17"/>
      <c r="I1062" s="4">
        <f t="shared" si="12"/>
        <v>349526.07999999996</v>
      </c>
      <c r="J1062" s="32" t="str">
        <f t="shared" si="13"/>
        <v/>
      </c>
      <c r="K1062" s="79"/>
      <c r="L1062" s="79"/>
      <c r="M1062" s="2"/>
      <c r="N1062" s="5"/>
      <c r="O1062" s="3"/>
      <c r="P1062" s="6"/>
      <c r="Q1062" s="6"/>
    </row>
    <row r="1063" spans="1:17" ht="15" customHeight="1" x14ac:dyDescent="0.25">
      <c r="A1063" s="1"/>
      <c r="B1063" s="17"/>
      <c r="C1063" s="17"/>
      <c r="D1063" s="17"/>
      <c r="E1063" s="17"/>
      <c r="F1063" s="17"/>
      <c r="G1063" s="4">
        <f t="shared" si="14"/>
        <v>0</v>
      </c>
      <c r="H1063" s="17"/>
      <c r="I1063" s="4">
        <f t="shared" si="12"/>
        <v>349526.07999999996</v>
      </c>
      <c r="J1063" s="32" t="str">
        <f t="shared" si="13"/>
        <v/>
      </c>
      <c r="K1063" s="79"/>
      <c r="L1063" s="79"/>
      <c r="M1063" s="2"/>
      <c r="N1063" s="5"/>
      <c r="O1063" s="3"/>
      <c r="P1063" s="6"/>
      <c r="Q1063" s="6"/>
    </row>
    <row r="1064" spans="1:17" ht="15" customHeight="1" x14ac:dyDescent="0.25">
      <c r="A1064" s="1"/>
      <c r="B1064" s="17"/>
      <c r="C1064" s="17"/>
      <c r="D1064" s="17"/>
      <c r="E1064" s="17"/>
      <c r="F1064" s="17"/>
      <c r="G1064" s="4">
        <f t="shared" si="14"/>
        <v>0</v>
      </c>
      <c r="H1064" s="17"/>
      <c r="I1064" s="4">
        <f t="shared" si="12"/>
        <v>349526.07999999996</v>
      </c>
      <c r="J1064" s="32" t="str">
        <f t="shared" si="13"/>
        <v/>
      </c>
      <c r="K1064" s="79"/>
      <c r="L1064" s="79"/>
      <c r="M1064" s="2"/>
      <c r="N1064" s="5"/>
      <c r="O1064" s="3"/>
      <c r="P1064" s="6"/>
      <c r="Q1064" s="6"/>
    </row>
    <row r="1065" spans="1:17" ht="15" customHeight="1" x14ac:dyDescent="0.25">
      <c r="A1065" s="1"/>
      <c r="B1065" s="17"/>
      <c r="C1065" s="17"/>
      <c r="D1065" s="17"/>
      <c r="E1065" s="17"/>
      <c r="F1065" s="17"/>
      <c r="G1065" s="4">
        <f t="shared" si="14"/>
        <v>0</v>
      </c>
      <c r="H1065" s="17"/>
      <c r="I1065" s="4">
        <f t="shared" si="12"/>
        <v>349526.07999999996</v>
      </c>
      <c r="J1065" s="32" t="str">
        <f t="shared" si="13"/>
        <v/>
      </c>
      <c r="K1065" s="79"/>
      <c r="L1065" s="79"/>
      <c r="M1065" s="2"/>
      <c r="N1065" s="5"/>
      <c r="O1065" s="3"/>
      <c r="P1065" s="6"/>
      <c r="Q1065" s="6"/>
    </row>
    <row r="1066" spans="1:17" ht="15" customHeight="1" x14ac:dyDescent="0.25">
      <c r="A1066" s="1"/>
      <c r="B1066" s="17"/>
      <c r="C1066" s="17"/>
      <c r="D1066" s="17"/>
      <c r="E1066" s="17"/>
      <c r="F1066" s="17"/>
      <c r="G1066" s="4">
        <f t="shared" si="14"/>
        <v>0</v>
      </c>
      <c r="H1066" s="17"/>
      <c r="I1066" s="4">
        <f t="shared" si="12"/>
        <v>349526.07999999996</v>
      </c>
      <c r="J1066" s="32" t="str">
        <f t="shared" si="13"/>
        <v/>
      </c>
      <c r="K1066" s="79"/>
      <c r="L1066" s="79"/>
      <c r="M1066" s="2"/>
      <c r="N1066" s="5"/>
      <c r="O1066" s="3"/>
      <c r="P1066" s="6"/>
      <c r="Q1066" s="6"/>
    </row>
    <row r="1067" spans="1:17" ht="15" customHeight="1" x14ac:dyDescent="0.25">
      <c r="A1067" s="1"/>
      <c r="B1067" s="17"/>
      <c r="C1067" s="17"/>
      <c r="D1067" s="17"/>
      <c r="E1067" s="17"/>
      <c r="F1067" s="17"/>
      <c r="G1067" s="4">
        <f t="shared" si="14"/>
        <v>0</v>
      </c>
      <c r="H1067" s="17"/>
      <c r="I1067" s="4">
        <f t="shared" si="12"/>
        <v>349526.07999999996</v>
      </c>
      <c r="J1067" s="32" t="str">
        <f t="shared" si="13"/>
        <v/>
      </c>
      <c r="K1067" s="79"/>
      <c r="L1067" s="79"/>
      <c r="M1067" s="2"/>
      <c r="N1067" s="5"/>
      <c r="O1067" s="3"/>
      <c r="P1067" s="6"/>
      <c r="Q1067" s="6"/>
    </row>
    <row r="1068" spans="1:17" ht="15" customHeight="1" x14ac:dyDescent="0.25">
      <c r="A1068" s="1"/>
      <c r="B1068" s="17"/>
      <c r="C1068" s="17"/>
      <c r="D1068" s="17"/>
      <c r="E1068" s="17"/>
      <c r="F1068" s="17"/>
      <c r="G1068" s="4">
        <f t="shared" si="14"/>
        <v>0</v>
      </c>
      <c r="H1068" s="17"/>
      <c r="I1068" s="4">
        <f t="shared" si="12"/>
        <v>349526.07999999996</v>
      </c>
      <c r="J1068" s="32" t="str">
        <f t="shared" si="13"/>
        <v/>
      </c>
      <c r="K1068" s="79"/>
      <c r="L1068" s="79"/>
      <c r="M1068" s="2"/>
      <c r="N1068" s="5"/>
      <c r="O1068" s="3"/>
      <c r="P1068" s="6"/>
      <c r="Q1068" s="6"/>
    </row>
    <row r="1069" spans="1:17" ht="15" customHeight="1" x14ac:dyDescent="0.25">
      <c r="A1069" s="1"/>
      <c r="B1069" s="17"/>
      <c r="C1069" s="17"/>
      <c r="D1069" s="17"/>
      <c r="E1069" s="17"/>
      <c r="F1069" s="17"/>
      <c r="G1069" s="4">
        <f t="shared" si="14"/>
        <v>0</v>
      </c>
      <c r="H1069" s="17"/>
      <c r="I1069" s="4">
        <f t="shared" si="12"/>
        <v>349526.07999999996</v>
      </c>
      <c r="J1069" s="32" t="str">
        <f t="shared" si="13"/>
        <v/>
      </c>
      <c r="K1069" s="79"/>
      <c r="L1069" s="79"/>
      <c r="M1069" s="2"/>
      <c r="N1069" s="5"/>
      <c r="O1069" s="3"/>
      <c r="P1069" s="6"/>
      <c r="Q1069" s="6"/>
    </row>
    <row r="1070" spans="1:17" ht="15" customHeight="1" x14ac:dyDescent="0.25">
      <c r="A1070" s="1"/>
      <c r="B1070" s="17"/>
      <c r="C1070" s="17"/>
      <c r="D1070" s="17"/>
      <c r="E1070" s="17"/>
      <c r="F1070" s="17"/>
      <c r="G1070" s="4">
        <f t="shared" si="14"/>
        <v>0</v>
      </c>
      <c r="H1070" s="17"/>
      <c r="I1070" s="4">
        <f t="shared" si="12"/>
        <v>349526.07999999996</v>
      </c>
      <c r="J1070" s="32" t="str">
        <f t="shared" si="13"/>
        <v/>
      </c>
      <c r="K1070" s="79"/>
      <c r="L1070" s="79"/>
      <c r="M1070" s="2"/>
      <c r="N1070" s="5"/>
      <c r="O1070" s="3"/>
      <c r="P1070" s="6"/>
      <c r="Q1070" s="6"/>
    </row>
    <row r="1071" spans="1:17" ht="15" customHeight="1" x14ac:dyDescent="0.25">
      <c r="A1071" s="1"/>
      <c r="B1071" s="17"/>
      <c r="C1071" s="17"/>
      <c r="D1071" s="17"/>
      <c r="E1071" s="17"/>
      <c r="F1071" s="17"/>
      <c r="G1071" s="4">
        <f t="shared" si="14"/>
        <v>0</v>
      </c>
      <c r="H1071" s="17"/>
      <c r="I1071" s="4">
        <f t="shared" si="12"/>
        <v>349526.07999999996</v>
      </c>
      <c r="J1071" s="32" t="str">
        <f t="shared" si="13"/>
        <v/>
      </c>
      <c r="K1071" s="79"/>
      <c r="L1071" s="79"/>
      <c r="M1071" s="2"/>
      <c r="N1071" s="5"/>
      <c r="O1071" s="3"/>
      <c r="P1071" s="6"/>
      <c r="Q1071" s="6"/>
    </row>
    <row r="1072" spans="1:17" ht="15" customHeight="1" x14ac:dyDescent="0.25">
      <c r="A1072" s="1"/>
      <c r="B1072" s="17"/>
      <c r="C1072" s="17"/>
      <c r="D1072" s="17"/>
      <c r="E1072" s="17"/>
      <c r="F1072" s="17"/>
      <c r="G1072" s="4">
        <f t="shared" si="14"/>
        <v>0</v>
      </c>
      <c r="H1072" s="17"/>
      <c r="I1072" s="4">
        <f t="shared" si="12"/>
        <v>349526.07999999996</v>
      </c>
      <c r="J1072" s="32" t="str">
        <f t="shared" si="13"/>
        <v/>
      </c>
      <c r="K1072" s="79"/>
      <c r="L1072" s="79"/>
      <c r="M1072" s="2"/>
      <c r="N1072" s="5"/>
      <c r="O1072" s="3"/>
      <c r="P1072" s="6"/>
      <c r="Q1072" s="6"/>
    </row>
    <row r="1073" spans="1:17" ht="15" customHeight="1" x14ac:dyDescent="0.25">
      <c r="A1073" s="1"/>
      <c r="B1073" s="17"/>
      <c r="C1073" s="17"/>
      <c r="D1073" s="17"/>
      <c r="E1073" s="17"/>
      <c r="F1073" s="17"/>
      <c r="G1073" s="4">
        <f t="shared" si="14"/>
        <v>0</v>
      </c>
      <c r="H1073" s="17"/>
      <c r="I1073" s="4">
        <f t="shared" si="12"/>
        <v>349526.07999999996</v>
      </c>
      <c r="J1073" s="32" t="str">
        <f t="shared" si="13"/>
        <v/>
      </c>
      <c r="K1073" s="79"/>
      <c r="L1073" s="79"/>
      <c r="M1073" s="2"/>
      <c r="N1073" s="5"/>
      <c r="O1073" s="3"/>
      <c r="P1073" s="6"/>
      <c r="Q1073" s="6"/>
    </row>
    <row r="1074" spans="1:17" ht="15" customHeight="1" x14ac:dyDescent="0.25">
      <c r="A1074" s="1"/>
      <c r="B1074" s="17"/>
      <c r="C1074" s="17"/>
      <c r="D1074" s="17"/>
      <c r="E1074" s="17"/>
      <c r="F1074" s="17"/>
      <c r="G1074" s="4">
        <f t="shared" si="14"/>
        <v>0</v>
      </c>
      <c r="H1074" s="17"/>
      <c r="I1074" s="4">
        <f t="shared" si="12"/>
        <v>349526.07999999996</v>
      </c>
      <c r="J1074" s="32" t="str">
        <f t="shared" si="13"/>
        <v/>
      </c>
      <c r="K1074" s="79"/>
      <c r="L1074" s="79"/>
      <c r="M1074" s="2"/>
      <c r="N1074" s="5"/>
      <c r="O1074" s="3"/>
      <c r="P1074" s="6"/>
      <c r="Q1074" s="6"/>
    </row>
    <row r="1075" spans="1:17" ht="15" customHeight="1" x14ac:dyDescent="0.25">
      <c r="A1075" s="1"/>
      <c r="B1075" s="17"/>
      <c r="C1075" s="17"/>
      <c r="D1075" s="17"/>
      <c r="E1075" s="17"/>
      <c r="F1075" s="17"/>
      <c r="G1075" s="4">
        <f t="shared" si="14"/>
        <v>0</v>
      </c>
      <c r="H1075" s="17"/>
      <c r="I1075" s="4">
        <f t="shared" si="12"/>
        <v>349526.07999999996</v>
      </c>
      <c r="J1075" s="32" t="str">
        <f t="shared" si="13"/>
        <v/>
      </c>
      <c r="K1075" s="79"/>
      <c r="L1075" s="79"/>
      <c r="M1075" s="2"/>
      <c r="N1075" s="5"/>
      <c r="O1075" s="3"/>
      <c r="P1075" s="6"/>
      <c r="Q1075" s="6"/>
    </row>
    <row r="1076" spans="1:17" ht="15" customHeight="1" x14ac:dyDescent="0.25">
      <c r="A1076" s="1"/>
      <c r="B1076" s="17"/>
      <c r="C1076" s="17"/>
      <c r="D1076" s="17"/>
      <c r="E1076" s="17"/>
      <c r="F1076" s="17"/>
      <c r="G1076" s="4">
        <f t="shared" si="14"/>
        <v>0</v>
      </c>
      <c r="H1076" s="17"/>
      <c r="I1076" s="4">
        <f t="shared" si="12"/>
        <v>349526.07999999996</v>
      </c>
      <c r="J1076" s="32" t="str">
        <f t="shared" si="13"/>
        <v/>
      </c>
      <c r="K1076" s="79"/>
      <c r="L1076" s="79"/>
      <c r="M1076" s="2"/>
      <c r="N1076" s="5"/>
      <c r="O1076" s="3"/>
      <c r="P1076" s="6"/>
      <c r="Q1076" s="6"/>
    </row>
    <row r="1077" spans="1:17" ht="15" customHeight="1" x14ac:dyDescent="0.25">
      <c r="A1077" s="1"/>
      <c r="B1077" s="17"/>
      <c r="C1077" s="17"/>
      <c r="D1077" s="17"/>
      <c r="E1077" s="17"/>
      <c r="F1077" s="17"/>
      <c r="G1077" s="4">
        <f t="shared" si="14"/>
        <v>0</v>
      </c>
      <c r="H1077" s="17"/>
      <c r="I1077" s="4">
        <f t="shared" si="12"/>
        <v>349526.07999999996</v>
      </c>
      <c r="J1077" s="32" t="str">
        <f t="shared" si="13"/>
        <v/>
      </c>
      <c r="K1077" s="79"/>
      <c r="L1077" s="79"/>
      <c r="M1077" s="2"/>
      <c r="N1077" s="5"/>
      <c r="O1077" s="3"/>
      <c r="P1077" s="6"/>
      <c r="Q1077" s="6"/>
    </row>
    <row r="1078" spans="1:17" ht="15" customHeight="1" x14ac:dyDescent="0.25">
      <c r="A1078" s="1"/>
      <c r="B1078" s="17"/>
      <c r="C1078" s="17"/>
      <c r="D1078" s="17"/>
      <c r="E1078" s="17"/>
      <c r="F1078" s="17"/>
      <c r="G1078" s="4">
        <f t="shared" si="14"/>
        <v>0</v>
      </c>
      <c r="H1078" s="17"/>
      <c r="I1078" s="4">
        <f t="shared" ref="I1078:I1141" si="15">$I1077+$G1078-$H1078</f>
        <v>349526.07999999996</v>
      </c>
      <c r="J1078" s="32" t="str">
        <f t="shared" ref="J1078:J1141" si="16">IF($A1079&lt;&gt;$A1078,$I1078,"")</f>
        <v/>
      </c>
      <c r="K1078" s="79"/>
      <c r="L1078" s="79"/>
      <c r="M1078" s="2"/>
      <c r="N1078" s="5"/>
      <c r="O1078" s="3"/>
      <c r="P1078" s="6"/>
      <c r="Q1078" s="6"/>
    </row>
    <row r="1079" spans="1:17" ht="15" customHeight="1" x14ac:dyDescent="0.25">
      <c r="A1079" s="1"/>
      <c r="B1079" s="17"/>
      <c r="C1079" s="17"/>
      <c r="D1079" s="17"/>
      <c r="E1079" s="17"/>
      <c r="F1079" s="17"/>
      <c r="G1079" s="4">
        <f t="shared" si="14"/>
        <v>0</v>
      </c>
      <c r="H1079" s="17"/>
      <c r="I1079" s="4">
        <f t="shared" si="15"/>
        <v>349526.07999999996</v>
      </c>
      <c r="J1079" s="32" t="str">
        <f t="shared" si="16"/>
        <v/>
      </c>
      <c r="K1079" s="79"/>
      <c r="L1079" s="79"/>
      <c r="M1079" s="2"/>
      <c r="N1079" s="5"/>
      <c r="O1079" s="3"/>
      <c r="P1079" s="6"/>
      <c r="Q1079" s="6"/>
    </row>
    <row r="1080" spans="1:17" ht="15" customHeight="1" x14ac:dyDescent="0.25">
      <c r="A1080" s="1"/>
      <c r="B1080" s="17"/>
      <c r="C1080" s="17"/>
      <c r="D1080" s="17"/>
      <c r="E1080" s="17"/>
      <c r="F1080" s="17"/>
      <c r="G1080" s="4">
        <f t="shared" si="14"/>
        <v>0</v>
      </c>
      <c r="H1080" s="17"/>
      <c r="I1080" s="4">
        <f t="shared" si="15"/>
        <v>349526.07999999996</v>
      </c>
      <c r="J1080" s="32" t="str">
        <f t="shared" si="16"/>
        <v/>
      </c>
      <c r="K1080" s="79"/>
      <c r="L1080" s="79"/>
      <c r="M1080" s="2"/>
      <c r="N1080" s="5"/>
      <c r="O1080" s="3"/>
      <c r="P1080" s="6"/>
      <c r="Q1080" s="6"/>
    </row>
    <row r="1081" spans="1:17" ht="15" customHeight="1" x14ac:dyDescent="0.25">
      <c r="A1081" s="1"/>
      <c r="B1081" s="17"/>
      <c r="C1081" s="17"/>
      <c r="D1081" s="17"/>
      <c r="E1081" s="17"/>
      <c r="F1081" s="17"/>
      <c r="G1081" s="4">
        <f t="shared" si="14"/>
        <v>0</v>
      </c>
      <c r="H1081" s="17"/>
      <c r="I1081" s="4">
        <f t="shared" si="15"/>
        <v>349526.07999999996</v>
      </c>
      <c r="J1081" s="32" t="str">
        <f t="shared" si="16"/>
        <v/>
      </c>
      <c r="K1081" s="79"/>
      <c r="L1081" s="79"/>
      <c r="M1081" s="2"/>
      <c r="N1081" s="5"/>
      <c r="O1081" s="3"/>
      <c r="P1081" s="6"/>
      <c r="Q1081" s="6"/>
    </row>
    <row r="1082" spans="1:17" ht="15" customHeight="1" x14ac:dyDescent="0.25">
      <c r="A1082" s="1"/>
      <c r="B1082" s="17"/>
      <c r="C1082" s="17"/>
      <c r="D1082" s="17"/>
      <c r="E1082" s="17"/>
      <c r="F1082" s="17"/>
      <c r="G1082" s="4">
        <f t="shared" si="14"/>
        <v>0</v>
      </c>
      <c r="H1082" s="17"/>
      <c r="I1082" s="4">
        <f t="shared" si="15"/>
        <v>349526.07999999996</v>
      </c>
      <c r="J1082" s="32" t="str">
        <f t="shared" si="16"/>
        <v/>
      </c>
      <c r="K1082" s="79"/>
      <c r="L1082" s="79"/>
      <c r="M1082" s="2"/>
      <c r="N1082" s="5"/>
      <c r="O1082" s="3"/>
      <c r="P1082" s="6"/>
      <c r="Q1082" s="6"/>
    </row>
    <row r="1083" spans="1:17" ht="15" customHeight="1" x14ac:dyDescent="0.25">
      <c r="A1083" s="1"/>
      <c r="B1083" s="17"/>
      <c r="C1083" s="17"/>
      <c r="D1083" s="17"/>
      <c r="E1083" s="17"/>
      <c r="F1083" s="17"/>
      <c r="G1083" s="4">
        <f t="shared" si="14"/>
        <v>0</v>
      </c>
      <c r="H1083" s="17"/>
      <c r="I1083" s="4">
        <f t="shared" si="15"/>
        <v>349526.07999999996</v>
      </c>
      <c r="J1083" s="32" t="str">
        <f t="shared" si="16"/>
        <v/>
      </c>
      <c r="K1083" s="79"/>
      <c r="L1083" s="79"/>
      <c r="M1083" s="2"/>
      <c r="N1083" s="5"/>
      <c r="O1083" s="3"/>
      <c r="P1083" s="6"/>
      <c r="Q1083" s="6"/>
    </row>
    <row r="1084" spans="1:17" ht="15" customHeight="1" x14ac:dyDescent="0.25">
      <c r="A1084" s="1"/>
      <c r="B1084" s="17"/>
      <c r="C1084" s="17"/>
      <c r="D1084" s="17"/>
      <c r="E1084" s="17"/>
      <c r="F1084" s="17"/>
      <c r="G1084" s="4">
        <f t="shared" si="14"/>
        <v>0</v>
      </c>
      <c r="H1084" s="17"/>
      <c r="I1084" s="4">
        <f t="shared" si="15"/>
        <v>349526.07999999996</v>
      </c>
      <c r="J1084" s="32" t="str">
        <f t="shared" si="16"/>
        <v/>
      </c>
      <c r="K1084" s="79"/>
      <c r="L1084" s="79"/>
      <c r="M1084" s="2"/>
      <c r="N1084" s="5"/>
      <c r="O1084" s="3"/>
      <c r="P1084" s="6"/>
      <c r="Q1084" s="6"/>
    </row>
    <row r="1085" spans="1:17" ht="15" customHeight="1" x14ac:dyDescent="0.25">
      <c r="A1085" s="1"/>
      <c r="B1085" s="17"/>
      <c r="C1085" s="17"/>
      <c r="D1085" s="17"/>
      <c r="E1085" s="17"/>
      <c r="F1085" s="17"/>
      <c r="G1085" s="4">
        <f t="shared" si="14"/>
        <v>0</v>
      </c>
      <c r="H1085" s="17"/>
      <c r="I1085" s="4">
        <f t="shared" si="15"/>
        <v>349526.07999999996</v>
      </c>
      <c r="J1085" s="32" t="str">
        <f t="shared" si="16"/>
        <v/>
      </c>
      <c r="K1085" s="79"/>
      <c r="L1085" s="79"/>
      <c r="M1085" s="2"/>
      <c r="N1085" s="5"/>
      <c r="O1085" s="3"/>
      <c r="P1085" s="6"/>
      <c r="Q1085" s="6"/>
    </row>
    <row r="1086" spans="1:17" ht="15" customHeight="1" x14ac:dyDescent="0.25">
      <c r="A1086" s="1"/>
      <c r="B1086" s="17"/>
      <c r="C1086" s="17"/>
      <c r="D1086" s="17"/>
      <c r="E1086" s="17"/>
      <c r="F1086" s="17"/>
      <c r="G1086" s="4">
        <f t="shared" si="14"/>
        <v>0</v>
      </c>
      <c r="H1086" s="17"/>
      <c r="I1086" s="4">
        <f t="shared" si="15"/>
        <v>349526.07999999996</v>
      </c>
      <c r="J1086" s="32" t="str">
        <f t="shared" si="16"/>
        <v/>
      </c>
      <c r="K1086" s="79"/>
      <c r="L1086" s="79"/>
      <c r="M1086" s="2"/>
      <c r="N1086" s="5"/>
      <c r="O1086" s="3"/>
      <c r="P1086" s="6"/>
      <c r="Q1086" s="6"/>
    </row>
    <row r="1087" spans="1:17" ht="15" customHeight="1" x14ac:dyDescent="0.25">
      <c r="A1087" s="1"/>
      <c r="B1087" s="17"/>
      <c r="C1087" s="17"/>
      <c r="D1087" s="17"/>
      <c r="E1087" s="17"/>
      <c r="F1087" s="17"/>
      <c r="G1087" s="4">
        <f t="shared" si="14"/>
        <v>0</v>
      </c>
      <c r="H1087" s="17"/>
      <c r="I1087" s="4">
        <f t="shared" si="15"/>
        <v>349526.07999999996</v>
      </c>
      <c r="J1087" s="32" t="str">
        <f t="shared" si="16"/>
        <v/>
      </c>
      <c r="K1087" s="79"/>
      <c r="L1087" s="79"/>
      <c r="M1087" s="2"/>
      <c r="N1087" s="5"/>
      <c r="O1087" s="3"/>
      <c r="P1087" s="6"/>
      <c r="Q1087" s="6"/>
    </row>
    <row r="1088" spans="1:17" ht="15" customHeight="1" x14ac:dyDescent="0.25">
      <c r="A1088" s="1"/>
      <c r="B1088" s="17"/>
      <c r="C1088" s="17"/>
      <c r="D1088" s="17"/>
      <c r="E1088" s="17"/>
      <c r="F1088" s="17"/>
      <c r="G1088" s="4">
        <f t="shared" si="14"/>
        <v>0</v>
      </c>
      <c r="H1088" s="17"/>
      <c r="I1088" s="4">
        <f t="shared" si="15"/>
        <v>349526.07999999996</v>
      </c>
      <c r="J1088" s="32" t="str">
        <f t="shared" si="16"/>
        <v/>
      </c>
      <c r="K1088" s="79"/>
      <c r="L1088" s="79"/>
      <c r="M1088" s="2"/>
      <c r="N1088" s="5"/>
      <c r="O1088" s="3"/>
      <c r="P1088" s="6"/>
      <c r="Q1088" s="6"/>
    </row>
    <row r="1089" spans="1:17" ht="15" customHeight="1" x14ac:dyDescent="0.25">
      <c r="A1089" s="1"/>
      <c r="B1089" s="17"/>
      <c r="C1089" s="17"/>
      <c r="D1089" s="17"/>
      <c r="E1089" s="17"/>
      <c r="F1089" s="17"/>
      <c r="G1089" s="4">
        <f t="shared" si="14"/>
        <v>0</v>
      </c>
      <c r="H1089" s="17"/>
      <c r="I1089" s="4">
        <f t="shared" si="15"/>
        <v>349526.07999999996</v>
      </c>
      <c r="J1089" s="32" t="str">
        <f t="shared" si="16"/>
        <v/>
      </c>
      <c r="K1089" s="79"/>
      <c r="L1089" s="79"/>
      <c r="M1089" s="2"/>
      <c r="N1089" s="5"/>
      <c r="O1089" s="3"/>
      <c r="P1089" s="6"/>
      <c r="Q1089" s="6"/>
    </row>
    <row r="1090" spans="1:17" ht="15" customHeight="1" x14ac:dyDescent="0.25">
      <c r="A1090" s="1"/>
      <c r="B1090" s="17"/>
      <c r="C1090" s="17"/>
      <c r="D1090" s="17"/>
      <c r="E1090" s="17"/>
      <c r="F1090" s="17"/>
      <c r="G1090" s="4">
        <f t="shared" si="14"/>
        <v>0</v>
      </c>
      <c r="H1090" s="17"/>
      <c r="I1090" s="4">
        <f t="shared" si="15"/>
        <v>349526.07999999996</v>
      </c>
      <c r="J1090" s="32" t="str">
        <f t="shared" si="16"/>
        <v/>
      </c>
      <c r="K1090" s="79"/>
      <c r="L1090" s="79"/>
      <c r="M1090" s="2"/>
      <c r="N1090" s="5"/>
      <c r="O1090" s="3"/>
      <c r="P1090" s="6"/>
      <c r="Q1090" s="6"/>
    </row>
    <row r="1091" spans="1:17" ht="15" customHeight="1" x14ac:dyDescent="0.25">
      <c r="A1091" s="1"/>
      <c r="B1091" s="17"/>
      <c r="C1091" s="17"/>
      <c r="D1091" s="17"/>
      <c r="E1091" s="17"/>
      <c r="F1091" s="17"/>
      <c r="G1091" s="4">
        <f t="shared" ref="G1091:G1154" si="17">SUM($B1091:$F1091)</f>
        <v>0</v>
      </c>
      <c r="H1091" s="17"/>
      <c r="I1091" s="4">
        <f t="shared" si="15"/>
        <v>349526.07999999996</v>
      </c>
      <c r="J1091" s="32" t="str">
        <f t="shared" si="16"/>
        <v/>
      </c>
      <c r="K1091" s="79"/>
      <c r="L1091" s="79"/>
      <c r="M1091" s="2"/>
      <c r="N1091" s="5"/>
      <c r="O1091" s="3"/>
      <c r="P1091" s="6"/>
      <c r="Q1091" s="6"/>
    </row>
    <row r="1092" spans="1:17" ht="15" customHeight="1" x14ac:dyDescent="0.25">
      <c r="A1092" s="1"/>
      <c r="B1092" s="17"/>
      <c r="C1092" s="17"/>
      <c r="D1092" s="17"/>
      <c r="E1092" s="17"/>
      <c r="F1092" s="17"/>
      <c r="G1092" s="4">
        <f t="shared" si="17"/>
        <v>0</v>
      </c>
      <c r="H1092" s="17"/>
      <c r="I1092" s="4">
        <f t="shared" si="15"/>
        <v>349526.07999999996</v>
      </c>
      <c r="J1092" s="32" t="str">
        <f t="shared" si="16"/>
        <v/>
      </c>
      <c r="K1092" s="79"/>
      <c r="L1092" s="79"/>
      <c r="M1092" s="2"/>
      <c r="N1092" s="5"/>
      <c r="O1092" s="3"/>
      <c r="P1092" s="6"/>
      <c r="Q1092" s="6"/>
    </row>
    <row r="1093" spans="1:17" ht="15" customHeight="1" x14ac:dyDescent="0.25">
      <c r="A1093" s="1"/>
      <c r="B1093" s="17"/>
      <c r="C1093" s="17"/>
      <c r="D1093" s="17"/>
      <c r="E1093" s="17"/>
      <c r="F1093" s="17"/>
      <c r="G1093" s="4">
        <f t="shared" si="17"/>
        <v>0</v>
      </c>
      <c r="H1093" s="17"/>
      <c r="I1093" s="4">
        <f t="shared" si="15"/>
        <v>349526.07999999996</v>
      </c>
      <c r="J1093" s="32" t="str">
        <f t="shared" si="16"/>
        <v/>
      </c>
      <c r="K1093" s="79"/>
      <c r="L1093" s="79"/>
      <c r="M1093" s="2"/>
      <c r="N1093" s="5"/>
      <c r="O1093" s="3"/>
      <c r="P1093" s="6"/>
      <c r="Q1093" s="6"/>
    </row>
    <row r="1094" spans="1:17" ht="15" customHeight="1" x14ac:dyDescent="0.25">
      <c r="A1094" s="1"/>
      <c r="B1094" s="17"/>
      <c r="C1094" s="17"/>
      <c r="D1094" s="17"/>
      <c r="E1094" s="17"/>
      <c r="F1094" s="17"/>
      <c r="G1094" s="4">
        <f t="shared" si="17"/>
        <v>0</v>
      </c>
      <c r="H1094" s="17"/>
      <c r="I1094" s="4">
        <f t="shared" si="15"/>
        <v>349526.07999999996</v>
      </c>
      <c r="J1094" s="32" t="str">
        <f t="shared" si="16"/>
        <v/>
      </c>
      <c r="K1094" s="79"/>
      <c r="L1094" s="79"/>
      <c r="M1094" s="2"/>
      <c r="N1094" s="5"/>
      <c r="O1094" s="3"/>
      <c r="P1094" s="6"/>
      <c r="Q1094" s="6"/>
    </row>
    <row r="1095" spans="1:17" ht="15" customHeight="1" x14ac:dyDescent="0.25">
      <c r="A1095" s="1"/>
      <c r="B1095" s="17"/>
      <c r="C1095" s="17"/>
      <c r="D1095" s="17"/>
      <c r="E1095" s="17"/>
      <c r="F1095" s="17"/>
      <c r="G1095" s="4">
        <f t="shared" si="17"/>
        <v>0</v>
      </c>
      <c r="H1095" s="17"/>
      <c r="I1095" s="4">
        <f t="shared" si="15"/>
        <v>349526.07999999996</v>
      </c>
      <c r="J1095" s="32" t="str">
        <f t="shared" si="16"/>
        <v/>
      </c>
      <c r="K1095" s="79"/>
      <c r="L1095" s="79"/>
      <c r="M1095" s="2"/>
      <c r="N1095" s="5"/>
      <c r="O1095" s="3"/>
      <c r="P1095" s="6"/>
      <c r="Q1095" s="6"/>
    </row>
    <row r="1096" spans="1:17" ht="15" customHeight="1" x14ac:dyDescent="0.25">
      <c r="A1096" s="1"/>
      <c r="B1096" s="17"/>
      <c r="C1096" s="17"/>
      <c r="D1096" s="17"/>
      <c r="E1096" s="17"/>
      <c r="F1096" s="17"/>
      <c r="G1096" s="4">
        <f t="shared" si="17"/>
        <v>0</v>
      </c>
      <c r="H1096" s="17"/>
      <c r="I1096" s="4">
        <f t="shared" si="15"/>
        <v>349526.07999999996</v>
      </c>
      <c r="J1096" s="32" t="str">
        <f t="shared" si="16"/>
        <v/>
      </c>
      <c r="K1096" s="79"/>
      <c r="L1096" s="79"/>
      <c r="M1096" s="2"/>
      <c r="N1096" s="5"/>
      <c r="O1096" s="3"/>
      <c r="P1096" s="6"/>
      <c r="Q1096" s="6"/>
    </row>
    <row r="1097" spans="1:17" ht="15" customHeight="1" x14ac:dyDescent="0.25">
      <c r="A1097" s="1"/>
      <c r="B1097" s="17"/>
      <c r="C1097" s="17"/>
      <c r="D1097" s="17"/>
      <c r="E1097" s="17"/>
      <c r="F1097" s="17"/>
      <c r="G1097" s="4">
        <f t="shared" si="17"/>
        <v>0</v>
      </c>
      <c r="H1097" s="17"/>
      <c r="I1097" s="4">
        <f t="shared" si="15"/>
        <v>349526.07999999996</v>
      </c>
      <c r="J1097" s="32" t="str">
        <f t="shared" si="16"/>
        <v/>
      </c>
      <c r="K1097" s="79"/>
      <c r="L1097" s="79"/>
      <c r="M1097" s="2"/>
      <c r="N1097" s="5"/>
      <c r="O1097" s="3"/>
      <c r="P1097" s="6"/>
      <c r="Q1097" s="6"/>
    </row>
    <row r="1098" spans="1:17" ht="15" customHeight="1" x14ac:dyDescent="0.25">
      <c r="A1098" s="1"/>
      <c r="B1098" s="17"/>
      <c r="C1098" s="17"/>
      <c r="D1098" s="17"/>
      <c r="E1098" s="17"/>
      <c r="F1098" s="17"/>
      <c r="G1098" s="4">
        <f t="shared" si="17"/>
        <v>0</v>
      </c>
      <c r="H1098" s="17"/>
      <c r="I1098" s="4">
        <f t="shared" si="15"/>
        <v>349526.07999999996</v>
      </c>
      <c r="J1098" s="32" t="str">
        <f t="shared" si="16"/>
        <v/>
      </c>
      <c r="K1098" s="79"/>
      <c r="L1098" s="79"/>
      <c r="M1098" s="2"/>
      <c r="N1098" s="5"/>
      <c r="O1098" s="3"/>
      <c r="P1098" s="6"/>
      <c r="Q1098" s="6"/>
    </row>
    <row r="1099" spans="1:17" ht="15" customHeight="1" x14ac:dyDescent="0.25">
      <c r="A1099" s="1"/>
      <c r="B1099" s="17"/>
      <c r="C1099" s="17"/>
      <c r="D1099" s="17"/>
      <c r="E1099" s="17"/>
      <c r="F1099" s="17"/>
      <c r="G1099" s="4">
        <f t="shared" si="17"/>
        <v>0</v>
      </c>
      <c r="H1099" s="17"/>
      <c r="I1099" s="4">
        <f t="shared" si="15"/>
        <v>349526.07999999996</v>
      </c>
      <c r="J1099" s="32" t="str">
        <f t="shared" si="16"/>
        <v/>
      </c>
      <c r="K1099" s="79"/>
      <c r="L1099" s="79"/>
      <c r="M1099" s="2"/>
      <c r="N1099" s="5"/>
      <c r="O1099" s="3"/>
      <c r="P1099" s="6"/>
      <c r="Q1099" s="6"/>
    </row>
    <row r="1100" spans="1:17" ht="15" customHeight="1" x14ac:dyDescent="0.25">
      <c r="A1100" s="1"/>
      <c r="B1100" s="17"/>
      <c r="C1100" s="17"/>
      <c r="D1100" s="17"/>
      <c r="E1100" s="17"/>
      <c r="F1100" s="17"/>
      <c r="G1100" s="4">
        <f t="shared" si="17"/>
        <v>0</v>
      </c>
      <c r="H1100" s="17"/>
      <c r="I1100" s="4">
        <f t="shared" si="15"/>
        <v>349526.07999999996</v>
      </c>
      <c r="J1100" s="32" t="str">
        <f t="shared" si="16"/>
        <v/>
      </c>
      <c r="K1100" s="79"/>
      <c r="L1100" s="79"/>
      <c r="M1100" s="2"/>
      <c r="N1100" s="5"/>
      <c r="O1100" s="3"/>
      <c r="P1100" s="6"/>
      <c r="Q1100" s="6"/>
    </row>
    <row r="1101" spans="1:17" ht="15" customHeight="1" x14ac:dyDescent="0.25">
      <c r="A1101" s="1"/>
      <c r="B1101" s="17"/>
      <c r="C1101" s="17"/>
      <c r="D1101" s="17"/>
      <c r="E1101" s="17"/>
      <c r="F1101" s="17"/>
      <c r="G1101" s="4">
        <f t="shared" si="17"/>
        <v>0</v>
      </c>
      <c r="H1101" s="17"/>
      <c r="I1101" s="4">
        <f t="shared" si="15"/>
        <v>349526.07999999996</v>
      </c>
      <c r="J1101" s="32" t="str">
        <f t="shared" si="16"/>
        <v/>
      </c>
      <c r="K1101" s="79"/>
      <c r="L1101" s="79"/>
      <c r="M1101" s="2"/>
      <c r="N1101" s="5"/>
      <c r="O1101" s="3"/>
      <c r="P1101" s="6"/>
      <c r="Q1101" s="6"/>
    </row>
    <row r="1102" spans="1:17" ht="15" customHeight="1" x14ac:dyDescent="0.25">
      <c r="A1102" s="1"/>
      <c r="B1102" s="17"/>
      <c r="C1102" s="17"/>
      <c r="D1102" s="17"/>
      <c r="E1102" s="17"/>
      <c r="F1102" s="17"/>
      <c r="G1102" s="4">
        <f t="shared" si="17"/>
        <v>0</v>
      </c>
      <c r="H1102" s="17"/>
      <c r="I1102" s="4">
        <f t="shared" si="15"/>
        <v>349526.07999999996</v>
      </c>
      <c r="J1102" s="32" t="str">
        <f t="shared" si="16"/>
        <v/>
      </c>
      <c r="K1102" s="79"/>
      <c r="L1102" s="79"/>
      <c r="M1102" s="2"/>
      <c r="N1102" s="5"/>
      <c r="O1102" s="3"/>
      <c r="P1102" s="6"/>
      <c r="Q1102" s="6"/>
    </row>
    <row r="1103" spans="1:17" ht="15" customHeight="1" x14ac:dyDescent="0.25">
      <c r="A1103" s="1"/>
      <c r="B1103" s="17"/>
      <c r="C1103" s="17"/>
      <c r="D1103" s="17"/>
      <c r="E1103" s="17"/>
      <c r="F1103" s="17"/>
      <c r="G1103" s="4">
        <f t="shared" si="17"/>
        <v>0</v>
      </c>
      <c r="H1103" s="17"/>
      <c r="I1103" s="4">
        <f t="shared" si="15"/>
        <v>349526.07999999996</v>
      </c>
      <c r="J1103" s="32" t="str">
        <f t="shared" si="16"/>
        <v/>
      </c>
      <c r="K1103" s="79"/>
      <c r="L1103" s="79"/>
      <c r="M1103" s="2"/>
      <c r="N1103" s="5"/>
      <c r="O1103" s="3"/>
      <c r="P1103" s="6"/>
      <c r="Q1103" s="6"/>
    </row>
    <row r="1104" spans="1:17" ht="15" customHeight="1" x14ac:dyDescent="0.25">
      <c r="A1104" s="1"/>
      <c r="B1104" s="17"/>
      <c r="C1104" s="17"/>
      <c r="D1104" s="17"/>
      <c r="E1104" s="17"/>
      <c r="F1104" s="17"/>
      <c r="G1104" s="4">
        <f t="shared" si="17"/>
        <v>0</v>
      </c>
      <c r="H1104" s="17"/>
      <c r="I1104" s="4">
        <f t="shared" si="15"/>
        <v>349526.07999999996</v>
      </c>
      <c r="J1104" s="32" t="str">
        <f t="shared" si="16"/>
        <v/>
      </c>
      <c r="K1104" s="79"/>
      <c r="L1104" s="79"/>
      <c r="M1104" s="2"/>
      <c r="N1104" s="5"/>
      <c r="O1104" s="3"/>
      <c r="P1104" s="6"/>
      <c r="Q1104" s="6"/>
    </row>
    <row r="1105" spans="1:17" ht="15" customHeight="1" x14ac:dyDescent="0.25">
      <c r="A1105" s="1"/>
      <c r="B1105" s="17"/>
      <c r="C1105" s="17"/>
      <c r="D1105" s="17"/>
      <c r="E1105" s="17"/>
      <c r="F1105" s="17"/>
      <c r="G1105" s="4">
        <f t="shared" si="17"/>
        <v>0</v>
      </c>
      <c r="H1105" s="17"/>
      <c r="I1105" s="4">
        <f t="shared" si="15"/>
        <v>349526.07999999996</v>
      </c>
      <c r="J1105" s="32" t="str">
        <f t="shared" si="16"/>
        <v/>
      </c>
      <c r="K1105" s="79"/>
      <c r="L1105" s="79"/>
      <c r="M1105" s="2"/>
      <c r="N1105" s="5"/>
      <c r="O1105" s="3"/>
      <c r="P1105" s="6"/>
      <c r="Q1105" s="6"/>
    </row>
    <row r="1106" spans="1:17" ht="15" customHeight="1" x14ac:dyDescent="0.25">
      <c r="A1106" s="1"/>
      <c r="B1106" s="17"/>
      <c r="C1106" s="17"/>
      <c r="D1106" s="17"/>
      <c r="E1106" s="17"/>
      <c r="F1106" s="17"/>
      <c r="G1106" s="4">
        <f t="shared" si="17"/>
        <v>0</v>
      </c>
      <c r="H1106" s="17"/>
      <c r="I1106" s="4">
        <f t="shared" si="15"/>
        <v>349526.07999999996</v>
      </c>
      <c r="J1106" s="32" t="str">
        <f t="shared" si="16"/>
        <v/>
      </c>
      <c r="K1106" s="79"/>
      <c r="L1106" s="79"/>
      <c r="M1106" s="2"/>
      <c r="N1106" s="5"/>
      <c r="O1106" s="3"/>
      <c r="P1106" s="6"/>
      <c r="Q1106" s="6"/>
    </row>
    <row r="1107" spans="1:17" ht="15" customHeight="1" x14ac:dyDescent="0.25">
      <c r="A1107" s="1"/>
      <c r="B1107" s="17"/>
      <c r="C1107" s="17"/>
      <c r="D1107" s="17"/>
      <c r="E1107" s="17"/>
      <c r="F1107" s="17"/>
      <c r="G1107" s="4">
        <f t="shared" si="17"/>
        <v>0</v>
      </c>
      <c r="H1107" s="17"/>
      <c r="I1107" s="4">
        <f t="shared" si="15"/>
        <v>349526.07999999996</v>
      </c>
      <c r="J1107" s="32" t="str">
        <f t="shared" si="16"/>
        <v/>
      </c>
      <c r="K1107" s="79"/>
      <c r="L1107" s="79"/>
      <c r="M1107" s="2"/>
      <c r="N1107" s="5"/>
      <c r="O1107" s="3"/>
      <c r="P1107" s="6"/>
      <c r="Q1107" s="6"/>
    </row>
    <row r="1108" spans="1:17" ht="15" customHeight="1" x14ac:dyDescent="0.25">
      <c r="A1108" s="1"/>
      <c r="B1108" s="17"/>
      <c r="C1108" s="17"/>
      <c r="D1108" s="17"/>
      <c r="E1108" s="17"/>
      <c r="F1108" s="17"/>
      <c r="G1108" s="4">
        <f t="shared" si="17"/>
        <v>0</v>
      </c>
      <c r="H1108" s="17"/>
      <c r="I1108" s="4">
        <f t="shared" si="15"/>
        <v>349526.07999999996</v>
      </c>
      <c r="J1108" s="32" t="str">
        <f t="shared" si="16"/>
        <v/>
      </c>
      <c r="K1108" s="79"/>
      <c r="L1108" s="79"/>
      <c r="M1108" s="2"/>
      <c r="N1108" s="5"/>
      <c r="O1108" s="3"/>
      <c r="P1108" s="6"/>
      <c r="Q1108" s="6"/>
    </row>
    <row r="1109" spans="1:17" ht="15" customHeight="1" x14ac:dyDescent="0.25">
      <c r="A1109" s="1"/>
      <c r="B1109" s="17"/>
      <c r="C1109" s="17"/>
      <c r="D1109" s="17"/>
      <c r="E1109" s="17"/>
      <c r="F1109" s="17"/>
      <c r="G1109" s="4">
        <f t="shared" si="17"/>
        <v>0</v>
      </c>
      <c r="H1109" s="17"/>
      <c r="I1109" s="4">
        <f t="shared" si="15"/>
        <v>349526.07999999996</v>
      </c>
      <c r="J1109" s="32" t="str">
        <f t="shared" si="16"/>
        <v/>
      </c>
      <c r="K1109" s="79"/>
      <c r="L1109" s="79"/>
      <c r="M1109" s="2"/>
      <c r="N1109" s="5"/>
      <c r="O1109" s="3"/>
      <c r="P1109" s="6"/>
      <c r="Q1109" s="6"/>
    </row>
    <row r="1110" spans="1:17" ht="15" customHeight="1" x14ac:dyDescent="0.25">
      <c r="A1110" s="1"/>
      <c r="B1110" s="17"/>
      <c r="C1110" s="17"/>
      <c r="D1110" s="17"/>
      <c r="E1110" s="17"/>
      <c r="F1110" s="17"/>
      <c r="G1110" s="4">
        <f t="shared" si="17"/>
        <v>0</v>
      </c>
      <c r="H1110" s="17"/>
      <c r="I1110" s="4">
        <f t="shared" si="15"/>
        <v>349526.07999999996</v>
      </c>
      <c r="J1110" s="32" t="str">
        <f t="shared" si="16"/>
        <v/>
      </c>
      <c r="K1110" s="79"/>
      <c r="L1110" s="79"/>
      <c r="M1110" s="2"/>
      <c r="N1110" s="5"/>
      <c r="O1110" s="3"/>
      <c r="P1110" s="6"/>
      <c r="Q1110" s="6"/>
    </row>
    <row r="1111" spans="1:17" ht="15" customHeight="1" x14ac:dyDescent="0.25">
      <c r="A1111" s="1"/>
      <c r="B1111" s="17"/>
      <c r="C1111" s="17"/>
      <c r="D1111" s="17"/>
      <c r="E1111" s="17"/>
      <c r="F1111" s="17"/>
      <c r="G1111" s="4">
        <f t="shared" si="17"/>
        <v>0</v>
      </c>
      <c r="H1111" s="17"/>
      <c r="I1111" s="4">
        <f t="shared" si="15"/>
        <v>349526.07999999996</v>
      </c>
      <c r="J1111" s="32" t="str">
        <f t="shared" si="16"/>
        <v/>
      </c>
      <c r="K1111" s="79"/>
      <c r="L1111" s="79"/>
      <c r="M1111" s="2"/>
      <c r="N1111" s="5"/>
      <c r="O1111" s="3"/>
      <c r="P1111" s="6"/>
      <c r="Q1111" s="6"/>
    </row>
    <row r="1112" spans="1:17" ht="15" customHeight="1" x14ac:dyDescent="0.25">
      <c r="A1112" s="1"/>
      <c r="B1112" s="17"/>
      <c r="C1112" s="17"/>
      <c r="D1112" s="17"/>
      <c r="E1112" s="17"/>
      <c r="F1112" s="17"/>
      <c r="G1112" s="4">
        <f t="shared" si="17"/>
        <v>0</v>
      </c>
      <c r="H1112" s="17"/>
      <c r="I1112" s="4">
        <f t="shared" si="15"/>
        <v>349526.07999999996</v>
      </c>
      <c r="J1112" s="32" t="str">
        <f t="shared" si="16"/>
        <v/>
      </c>
      <c r="K1112" s="79"/>
      <c r="L1112" s="79"/>
      <c r="M1112" s="2"/>
      <c r="N1112" s="5"/>
      <c r="O1112" s="3"/>
      <c r="P1112" s="6"/>
      <c r="Q1112" s="6"/>
    </row>
    <row r="1113" spans="1:17" ht="15" customHeight="1" x14ac:dyDescent="0.25">
      <c r="A1113" s="1"/>
      <c r="B1113" s="17"/>
      <c r="C1113" s="17"/>
      <c r="D1113" s="17"/>
      <c r="E1113" s="17"/>
      <c r="F1113" s="17"/>
      <c r="G1113" s="4">
        <f t="shared" si="17"/>
        <v>0</v>
      </c>
      <c r="H1113" s="17"/>
      <c r="I1113" s="4">
        <f t="shared" si="15"/>
        <v>349526.07999999996</v>
      </c>
      <c r="J1113" s="32" t="str">
        <f t="shared" si="16"/>
        <v/>
      </c>
      <c r="K1113" s="79"/>
      <c r="L1113" s="79"/>
      <c r="M1113" s="2"/>
      <c r="N1113" s="5"/>
      <c r="O1113" s="3"/>
      <c r="P1113" s="6"/>
      <c r="Q1113" s="6"/>
    </row>
    <row r="1114" spans="1:17" ht="15" customHeight="1" x14ac:dyDescent="0.25">
      <c r="A1114" s="1"/>
      <c r="B1114" s="17"/>
      <c r="C1114" s="17"/>
      <c r="D1114" s="17"/>
      <c r="E1114" s="17"/>
      <c r="F1114" s="17"/>
      <c r="G1114" s="4">
        <f t="shared" si="17"/>
        <v>0</v>
      </c>
      <c r="H1114" s="17"/>
      <c r="I1114" s="4">
        <f t="shared" si="15"/>
        <v>349526.07999999996</v>
      </c>
      <c r="J1114" s="32" t="str">
        <f t="shared" si="16"/>
        <v/>
      </c>
      <c r="K1114" s="79"/>
      <c r="L1114" s="79"/>
      <c r="M1114" s="2"/>
      <c r="N1114" s="5"/>
      <c r="O1114" s="3"/>
      <c r="P1114" s="6"/>
      <c r="Q1114" s="6"/>
    </row>
    <row r="1115" spans="1:17" ht="15" customHeight="1" x14ac:dyDescent="0.25">
      <c r="A1115" s="1"/>
      <c r="B1115" s="17"/>
      <c r="C1115" s="17"/>
      <c r="D1115" s="17"/>
      <c r="E1115" s="17"/>
      <c r="F1115" s="17"/>
      <c r="G1115" s="4">
        <f t="shared" si="17"/>
        <v>0</v>
      </c>
      <c r="H1115" s="17"/>
      <c r="I1115" s="4">
        <f t="shared" si="15"/>
        <v>349526.07999999996</v>
      </c>
      <c r="J1115" s="32" t="str">
        <f t="shared" si="16"/>
        <v/>
      </c>
      <c r="K1115" s="79"/>
      <c r="L1115" s="79"/>
      <c r="M1115" s="2"/>
      <c r="N1115" s="5"/>
      <c r="O1115" s="3"/>
      <c r="P1115" s="6"/>
      <c r="Q1115" s="6"/>
    </row>
    <row r="1116" spans="1:17" ht="15" customHeight="1" x14ac:dyDescent="0.25">
      <c r="A1116" s="1"/>
      <c r="B1116" s="17"/>
      <c r="C1116" s="17"/>
      <c r="D1116" s="17"/>
      <c r="E1116" s="17"/>
      <c r="F1116" s="17"/>
      <c r="G1116" s="4">
        <f t="shared" si="17"/>
        <v>0</v>
      </c>
      <c r="H1116" s="17"/>
      <c r="I1116" s="4">
        <f t="shared" si="15"/>
        <v>349526.07999999996</v>
      </c>
      <c r="J1116" s="32" t="str">
        <f t="shared" si="16"/>
        <v/>
      </c>
      <c r="K1116" s="79"/>
      <c r="L1116" s="79"/>
      <c r="M1116" s="2"/>
      <c r="N1116" s="5"/>
      <c r="O1116" s="3"/>
      <c r="P1116" s="6"/>
      <c r="Q1116" s="6"/>
    </row>
    <row r="1117" spans="1:17" ht="15" customHeight="1" x14ac:dyDescent="0.25">
      <c r="A1117" s="1"/>
      <c r="B1117" s="17"/>
      <c r="C1117" s="17"/>
      <c r="D1117" s="17"/>
      <c r="E1117" s="17"/>
      <c r="F1117" s="17"/>
      <c r="G1117" s="4">
        <f t="shared" si="17"/>
        <v>0</v>
      </c>
      <c r="H1117" s="17"/>
      <c r="I1117" s="4">
        <f t="shared" si="15"/>
        <v>349526.07999999996</v>
      </c>
      <c r="J1117" s="32" t="str">
        <f t="shared" si="16"/>
        <v/>
      </c>
      <c r="K1117" s="79"/>
      <c r="L1117" s="79"/>
      <c r="M1117" s="2"/>
      <c r="N1117" s="5"/>
      <c r="O1117" s="3"/>
      <c r="P1117" s="6"/>
      <c r="Q1117" s="6"/>
    </row>
    <row r="1118" spans="1:17" ht="15" customHeight="1" x14ac:dyDescent="0.25">
      <c r="A1118" s="1"/>
      <c r="B1118" s="17"/>
      <c r="C1118" s="17"/>
      <c r="D1118" s="17"/>
      <c r="E1118" s="17"/>
      <c r="F1118" s="17"/>
      <c r="G1118" s="4">
        <f t="shared" si="17"/>
        <v>0</v>
      </c>
      <c r="H1118" s="17"/>
      <c r="I1118" s="4">
        <f t="shared" si="15"/>
        <v>349526.07999999996</v>
      </c>
      <c r="J1118" s="32" t="str">
        <f t="shared" si="16"/>
        <v/>
      </c>
      <c r="K1118" s="79"/>
      <c r="L1118" s="79"/>
      <c r="M1118" s="2"/>
      <c r="N1118" s="5"/>
      <c r="O1118" s="3"/>
      <c r="P1118" s="6"/>
      <c r="Q1118" s="6"/>
    </row>
    <row r="1119" spans="1:17" ht="15" customHeight="1" x14ac:dyDescent="0.25">
      <c r="A1119" s="1"/>
      <c r="B1119" s="17"/>
      <c r="C1119" s="17"/>
      <c r="D1119" s="17"/>
      <c r="E1119" s="17"/>
      <c r="F1119" s="17"/>
      <c r="G1119" s="4">
        <f t="shared" si="17"/>
        <v>0</v>
      </c>
      <c r="H1119" s="17"/>
      <c r="I1119" s="4">
        <f t="shared" si="15"/>
        <v>349526.07999999996</v>
      </c>
      <c r="J1119" s="32" t="str">
        <f t="shared" si="16"/>
        <v/>
      </c>
      <c r="K1119" s="79"/>
      <c r="L1119" s="79"/>
      <c r="M1119" s="2"/>
      <c r="N1119" s="5"/>
      <c r="O1119" s="3"/>
      <c r="P1119" s="6"/>
      <c r="Q1119" s="6"/>
    </row>
    <row r="1120" spans="1:17" ht="15" customHeight="1" x14ac:dyDescent="0.25">
      <c r="A1120" s="1"/>
      <c r="B1120" s="17"/>
      <c r="C1120" s="17"/>
      <c r="D1120" s="17"/>
      <c r="E1120" s="17"/>
      <c r="F1120" s="17"/>
      <c r="G1120" s="4">
        <f t="shared" si="17"/>
        <v>0</v>
      </c>
      <c r="H1120" s="17"/>
      <c r="I1120" s="4">
        <f t="shared" si="15"/>
        <v>349526.07999999996</v>
      </c>
      <c r="J1120" s="32" t="str">
        <f t="shared" si="16"/>
        <v/>
      </c>
      <c r="K1120" s="79"/>
      <c r="L1120" s="79"/>
      <c r="M1120" s="2"/>
      <c r="N1120" s="5"/>
      <c r="O1120" s="3"/>
      <c r="P1120" s="6"/>
      <c r="Q1120" s="6"/>
    </row>
    <row r="1121" spans="1:17" ht="15" customHeight="1" x14ac:dyDescent="0.25">
      <c r="A1121" s="1"/>
      <c r="B1121" s="17"/>
      <c r="C1121" s="17"/>
      <c r="D1121" s="17"/>
      <c r="E1121" s="17"/>
      <c r="F1121" s="17"/>
      <c r="G1121" s="4">
        <f t="shared" si="17"/>
        <v>0</v>
      </c>
      <c r="H1121" s="17"/>
      <c r="I1121" s="4">
        <f t="shared" si="15"/>
        <v>349526.07999999996</v>
      </c>
      <c r="J1121" s="32" t="str">
        <f t="shared" si="16"/>
        <v/>
      </c>
      <c r="K1121" s="79"/>
      <c r="L1121" s="79"/>
      <c r="M1121" s="2"/>
      <c r="N1121" s="5"/>
      <c r="O1121" s="3"/>
      <c r="P1121" s="6"/>
      <c r="Q1121" s="6"/>
    </row>
    <row r="1122" spans="1:17" ht="15" customHeight="1" x14ac:dyDescent="0.25">
      <c r="A1122" s="1"/>
      <c r="B1122" s="17"/>
      <c r="C1122" s="17"/>
      <c r="D1122" s="17"/>
      <c r="E1122" s="17"/>
      <c r="F1122" s="17"/>
      <c r="G1122" s="4">
        <f t="shared" si="17"/>
        <v>0</v>
      </c>
      <c r="H1122" s="17"/>
      <c r="I1122" s="4">
        <f t="shared" si="15"/>
        <v>349526.07999999996</v>
      </c>
      <c r="J1122" s="32" t="str">
        <f t="shared" si="16"/>
        <v/>
      </c>
      <c r="K1122" s="79"/>
      <c r="L1122" s="79"/>
      <c r="M1122" s="2"/>
      <c r="N1122" s="5"/>
      <c r="O1122" s="3"/>
      <c r="P1122" s="6"/>
      <c r="Q1122" s="6"/>
    </row>
    <row r="1123" spans="1:17" ht="15" customHeight="1" x14ac:dyDescent="0.25">
      <c r="A1123" s="1"/>
      <c r="B1123" s="17"/>
      <c r="C1123" s="17"/>
      <c r="D1123" s="17"/>
      <c r="E1123" s="17"/>
      <c r="F1123" s="17"/>
      <c r="G1123" s="4">
        <f t="shared" si="17"/>
        <v>0</v>
      </c>
      <c r="H1123" s="17"/>
      <c r="I1123" s="4">
        <f t="shared" si="15"/>
        <v>349526.07999999996</v>
      </c>
      <c r="J1123" s="32" t="str">
        <f t="shared" si="16"/>
        <v/>
      </c>
      <c r="K1123" s="79"/>
      <c r="L1123" s="79"/>
      <c r="M1123" s="2"/>
      <c r="N1123" s="5"/>
      <c r="O1123" s="3"/>
      <c r="P1123" s="6"/>
      <c r="Q1123" s="6"/>
    </row>
    <row r="1124" spans="1:17" ht="15" customHeight="1" x14ac:dyDescent="0.25">
      <c r="A1124" s="1"/>
      <c r="B1124" s="17"/>
      <c r="C1124" s="17"/>
      <c r="D1124" s="17"/>
      <c r="E1124" s="17"/>
      <c r="F1124" s="17"/>
      <c r="G1124" s="4">
        <f t="shared" si="17"/>
        <v>0</v>
      </c>
      <c r="H1124" s="17"/>
      <c r="I1124" s="4">
        <f t="shared" si="15"/>
        <v>349526.07999999996</v>
      </c>
      <c r="J1124" s="32" t="str">
        <f t="shared" si="16"/>
        <v/>
      </c>
      <c r="K1124" s="79"/>
      <c r="L1124" s="79"/>
      <c r="M1124" s="2"/>
      <c r="N1124" s="5"/>
      <c r="O1124" s="3"/>
      <c r="P1124" s="6"/>
      <c r="Q1124" s="6"/>
    </row>
    <row r="1125" spans="1:17" ht="15" customHeight="1" x14ac:dyDescent="0.25">
      <c r="A1125" s="1"/>
      <c r="B1125" s="17"/>
      <c r="C1125" s="17"/>
      <c r="D1125" s="17"/>
      <c r="E1125" s="17"/>
      <c r="F1125" s="17"/>
      <c r="G1125" s="4">
        <f t="shared" si="17"/>
        <v>0</v>
      </c>
      <c r="H1125" s="17"/>
      <c r="I1125" s="4">
        <f t="shared" si="15"/>
        <v>349526.07999999996</v>
      </c>
      <c r="J1125" s="32" t="str">
        <f t="shared" si="16"/>
        <v/>
      </c>
      <c r="K1125" s="79"/>
      <c r="L1125" s="79"/>
      <c r="M1125" s="2"/>
      <c r="N1125" s="5"/>
      <c r="O1125" s="3"/>
      <c r="P1125" s="6"/>
      <c r="Q1125" s="6"/>
    </row>
    <row r="1126" spans="1:17" ht="15" customHeight="1" x14ac:dyDescent="0.25">
      <c r="A1126" s="1"/>
      <c r="B1126" s="17"/>
      <c r="C1126" s="17"/>
      <c r="D1126" s="17"/>
      <c r="E1126" s="17"/>
      <c r="F1126" s="17"/>
      <c r="G1126" s="4">
        <f t="shared" si="17"/>
        <v>0</v>
      </c>
      <c r="H1126" s="17"/>
      <c r="I1126" s="4">
        <f t="shared" si="15"/>
        <v>349526.07999999996</v>
      </c>
      <c r="J1126" s="32" t="str">
        <f t="shared" si="16"/>
        <v/>
      </c>
      <c r="K1126" s="79"/>
      <c r="L1126" s="79"/>
      <c r="M1126" s="2"/>
      <c r="N1126" s="5"/>
      <c r="O1126" s="3"/>
      <c r="P1126" s="6"/>
      <c r="Q1126" s="6"/>
    </row>
    <row r="1127" spans="1:17" ht="15" customHeight="1" x14ac:dyDescent="0.25">
      <c r="A1127" s="1"/>
      <c r="B1127" s="17"/>
      <c r="C1127" s="17"/>
      <c r="D1127" s="17"/>
      <c r="E1127" s="17"/>
      <c r="F1127" s="17"/>
      <c r="G1127" s="4">
        <f t="shared" si="17"/>
        <v>0</v>
      </c>
      <c r="H1127" s="17"/>
      <c r="I1127" s="4">
        <f t="shared" si="15"/>
        <v>349526.07999999996</v>
      </c>
      <c r="J1127" s="32" t="str">
        <f t="shared" si="16"/>
        <v/>
      </c>
      <c r="K1127" s="79"/>
      <c r="L1127" s="79"/>
      <c r="M1127" s="2"/>
      <c r="N1127" s="5"/>
      <c r="O1127" s="3"/>
      <c r="P1127" s="6"/>
      <c r="Q1127" s="6"/>
    </row>
    <row r="1128" spans="1:17" ht="15" customHeight="1" x14ac:dyDescent="0.25">
      <c r="A1128" s="1"/>
      <c r="B1128" s="17"/>
      <c r="C1128" s="17"/>
      <c r="D1128" s="17"/>
      <c r="E1128" s="17"/>
      <c r="F1128" s="17"/>
      <c r="G1128" s="4">
        <f t="shared" si="17"/>
        <v>0</v>
      </c>
      <c r="H1128" s="17"/>
      <c r="I1128" s="4">
        <f t="shared" si="15"/>
        <v>349526.07999999996</v>
      </c>
      <c r="J1128" s="32" t="str">
        <f t="shared" si="16"/>
        <v/>
      </c>
      <c r="K1128" s="79"/>
      <c r="L1128" s="79"/>
      <c r="M1128" s="2"/>
      <c r="N1128" s="5"/>
      <c r="O1128" s="3"/>
      <c r="P1128" s="6"/>
      <c r="Q1128" s="6"/>
    </row>
    <row r="1129" spans="1:17" ht="15" customHeight="1" x14ac:dyDescent="0.25">
      <c r="A1129" s="1"/>
      <c r="B1129" s="17"/>
      <c r="C1129" s="17"/>
      <c r="D1129" s="17"/>
      <c r="E1129" s="17"/>
      <c r="F1129" s="17"/>
      <c r="G1129" s="4">
        <f t="shared" si="17"/>
        <v>0</v>
      </c>
      <c r="H1129" s="17"/>
      <c r="I1129" s="4">
        <f t="shared" si="15"/>
        <v>349526.07999999996</v>
      </c>
      <c r="J1129" s="32" t="str">
        <f t="shared" si="16"/>
        <v/>
      </c>
      <c r="K1129" s="79"/>
      <c r="L1129" s="79"/>
      <c r="M1129" s="2"/>
      <c r="N1129" s="5"/>
      <c r="O1129" s="3"/>
      <c r="P1129" s="6"/>
      <c r="Q1129" s="6"/>
    </row>
    <row r="1130" spans="1:17" ht="15" customHeight="1" x14ac:dyDescent="0.25">
      <c r="A1130" s="1"/>
      <c r="B1130" s="17"/>
      <c r="C1130" s="17"/>
      <c r="D1130" s="17"/>
      <c r="E1130" s="17"/>
      <c r="F1130" s="17"/>
      <c r="G1130" s="4">
        <f t="shared" si="17"/>
        <v>0</v>
      </c>
      <c r="H1130" s="17"/>
      <c r="I1130" s="4">
        <f t="shared" si="15"/>
        <v>349526.07999999996</v>
      </c>
      <c r="J1130" s="32" t="str">
        <f t="shared" si="16"/>
        <v/>
      </c>
      <c r="K1130" s="79"/>
      <c r="L1130" s="79"/>
      <c r="M1130" s="2"/>
      <c r="N1130" s="5"/>
      <c r="O1130" s="3"/>
      <c r="P1130" s="6"/>
      <c r="Q1130" s="6"/>
    </row>
    <row r="1131" spans="1:17" ht="15" customHeight="1" x14ac:dyDescent="0.25">
      <c r="A1131" s="1"/>
      <c r="B1131" s="17"/>
      <c r="C1131" s="17"/>
      <c r="D1131" s="17"/>
      <c r="E1131" s="17"/>
      <c r="F1131" s="17"/>
      <c r="G1131" s="4">
        <f t="shared" si="17"/>
        <v>0</v>
      </c>
      <c r="H1131" s="17"/>
      <c r="I1131" s="4">
        <f t="shared" si="15"/>
        <v>349526.07999999996</v>
      </c>
      <c r="J1131" s="32" t="str">
        <f t="shared" si="16"/>
        <v/>
      </c>
      <c r="K1131" s="79"/>
      <c r="L1131" s="79"/>
      <c r="M1131" s="2"/>
      <c r="N1131" s="5"/>
      <c r="O1131" s="3"/>
      <c r="P1131" s="6"/>
      <c r="Q1131" s="6"/>
    </row>
    <row r="1132" spans="1:17" ht="15" customHeight="1" x14ac:dyDescent="0.25">
      <c r="A1132" s="1"/>
      <c r="B1132" s="17"/>
      <c r="C1132" s="17"/>
      <c r="D1132" s="17"/>
      <c r="E1132" s="17"/>
      <c r="F1132" s="17"/>
      <c r="G1132" s="4">
        <f t="shared" si="17"/>
        <v>0</v>
      </c>
      <c r="H1132" s="17"/>
      <c r="I1132" s="4">
        <f t="shared" si="15"/>
        <v>349526.07999999996</v>
      </c>
      <c r="J1132" s="32" t="str">
        <f t="shared" si="16"/>
        <v/>
      </c>
      <c r="K1132" s="79"/>
      <c r="L1132" s="79"/>
      <c r="M1132" s="2"/>
      <c r="N1132" s="5"/>
      <c r="O1132" s="3"/>
      <c r="P1132" s="6"/>
      <c r="Q1132" s="6"/>
    </row>
    <row r="1133" spans="1:17" ht="15" customHeight="1" x14ac:dyDescent="0.25">
      <c r="A1133" s="1"/>
      <c r="B1133" s="17"/>
      <c r="C1133" s="17"/>
      <c r="D1133" s="17"/>
      <c r="E1133" s="17"/>
      <c r="F1133" s="17"/>
      <c r="G1133" s="4">
        <f t="shared" si="17"/>
        <v>0</v>
      </c>
      <c r="H1133" s="17"/>
      <c r="I1133" s="4">
        <f t="shared" si="15"/>
        <v>349526.07999999996</v>
      </c>
      <c r="J1133" s="32" t="str">
        <f t="shared" si="16"/>
        <v/>
      </c>
      <c r="K1133" s="79"/>
      <c r="L1133" s="79"/>
      <c r="M1133" s="2"/>
      <c r="N1133" s="5"/>
      <c r="O1133" s="3"/>
      <c r="P1133" s="6"/>
      <c r="Q1133" s="6"/>
    </row>
    <row r="1134" spans="1:17" ht="15" customHeight="1" x14ac:dyDescent="0.25">
      <c r="A1134" s="1"/>
      <c r="B1134" s="17"/>
      <c r="C1134" s="17"/>
      <c r="D1134" s="17"/>
      <c r="E1134" s="17"/>
      <c r="F1134" s="17"/>
      <c r="G1134" s="4">
        <f t="shared" si="17"/>
        <v>0</v>
      </c>
      <c r="H1134" s="17"/>
      <c r="I1134" s="4">
        <f t="shared" si="15"/>
        <v>349526.07999999996</v>
      </c>
      <c r="J1134" s="32" t="str">
        <f t="shared" si="16"/>
        <v/>
      </c>
      <c r="K1134" s="79"/>
      <c r="L1134" s="79"/>
      <c r="M1134" s="2"/>
      <c r="N1134" s="5"/>
      <c r="O1134" s="3"/>
      <c r="P1134" s="6"/>
      <c r="Q1134" s="6"/>
    </row>
    <row r="1135" spans="1:17" ht="15" customHeight="1" x14ac:dyDescent="0.25">
      <c r="A1135" s="1"/>
      <c r="B1135" s="17"/>
      <c r="C1135" s="17"/>
      <c r="D1135" s="17"/>
      <c r="E1135" s="17"/>
      <c r="F1135" s="17"/>
      <c r="G1135" s="4">
        <f t="shared" si="17"/>
        <v>0</v>
      </c>
      <c r="H1135" s="17"/>
      <c r="I1135" s="4">
        <f t="shared" si="15"/>
        <v>349526.07999999996</v>
      </c>
      <c r="J1135" s="32" t="str">
        <f t="shared" si="16"/>
        <v/>
      </c>
      <c r="K1135" s="79"/>
      <c r="L1135" s="79"/>
      <c r="M1135" s="2"/>
      <c r="N1135" s="5"/>
      <c r="O1135" s="3"/>
      <c r="P1135" s="6"/>
      <c r="Q1135" s="6"/>
    </row>
    <row r="1136" spans="1:17" ht="15" customHeight="1" x14ac:dyDescent="0.25">
      <c r="A1136" s="1"/>
      <c r="B1136" s="17"/>
      <c r="C1136" s="17"/>
      <c r="D1136" s="17"/>
      <c r="E1136" s="17"/>
      <c r="F1136" s="17"/>
      <c r="G1136" s="4">
        <f t="shared" si="17"/>
        <v>0</v>
      </c>
      <c r="H1136" s="17"/>
      <c r="I1136" s="4">
        <f t="shared" si="15"/>
        <v>349526.07999999996</v>
      </c>
      <c r="J1136" s="32" t="str">
        <f t="shared" si="16"/>
        <v/>
      </c>
      <c r="K1136" s="79"/>
      <c r="L1136" s="79"/>
      <c r="M1136" s="2"/>
      <c r="N1136" s="5"/>
      <c r="O1136" s="3"/>
      <c r="P1136" s="6"/>
      <c r="Q1136" s="6"/>
    </row>
    <row r="1137" spans="1:17" ht="15" customHeight="1" x14ac:dyDescent="0.25">
      <c r="A1137" s="1"/>
      <c r="B1137" s="17"/>
      <c r="C1137" s="17"/>
      <c r="D1137" s="17"/>
      <c r="E1137" s="17"/>
      <c r="F1137" s="17"/>
      <c r="G1137" s="4">
        <f t="shared" si="17"/>
        <v>0</v>
      </c>
      <c r="H1137" s="17"/>
      <c r="I1137" s="4">
        <f t="shared" si="15"/>
        <v>349526.07999999996</v>
      </c>
      <c r="J1137" s="32" t="str">
        <f t="shared" si="16"/>
        <v/>
      </c>
      <c r="K1137" s="79"/>
      <c r="L1137" s="79"/>
      <c r="M1137" s="2"/>
      <c r="N1137" s="5"/>
      <c r="O1137" s="3"/>
      <c r="P1137" s="6"/>
      <c r="Q1137" s="6"/>
    </row>
    <row r="1138" spans="1:17" ht="15" customHeight="1" x14ac:dyDescent="0.25">
      <c r="A1138" s="1"/>
      <c r="B1138" s="17"/>
      <c r="C1138" s="17"/>
      <c r="D1138" s="17"/>
      <c r="E1138" s="17"/>
      <c r="F1138" s="17"/>
      <c r="G1138" s="4">
        <f t="shared" si="17"/>
        <v>0</v>
      </c>
      <c r="H1138" s="17"/>
      <c r="I1138" s="4">
        <f t="shared" si="15"/>
        <v>349526.07999999996</v>
      </c>
      <c r="J1138" s="32" t="str">
        <f t="shared" si="16"/>
        <v/>
      </c>
      <c r="K1138" s="79"/>
      <c r="L1138" s="79"/>
      <c r="M1138" s="2"/>
      <c r="N1138" s="5"/>
      <c r="O1138" s="3"/>
      <c r="P1138" s="6"/>
      <c r="Q1138" s="6"/>
    </row>
    <row r="1139" spans="1:17" ht="15" customHeight="1" x14ac:dyDescent="0.25">
      <c r="A1139" s="1"/>
      <c r="B1139" s="17"/>
      <c r="C1139" s="17"/>
      <c r="D1139" s="17"/>
      <c r="E1139" s="17"/>
      <c r="F1139" s="17"/>
      <c r="G1139" s="4">
        <f t="shared" si="17"/>
        <v>0</v>
      </c>
      <c r="H1139" s="17"/>
      <c r="I1139" s="4">
        <f t="shared" si="15"/>
        <v>349526.07999999996</v>
      </c>
      <c r="J1139" s="32" t="str">
        <f t="shared" si="16"/>
        <v/>
      </c>
      <c r="K1139" s="79"/>
      <c r="L1139" s="79"/>
      <c r="M1139" s="2"/>
      <c r="N1139" s="5"/>
      <c r="O1139" s="3"/>
      <c r="P1139" s="6"/>
      <c r="Q1139" s="6"/>
    </row>
    <row r="1140" spans="1:17" ht="15" customHeight="1" x14ac:dyDescent="0.25">
      <c r="A1140" s="1"/>
      <c r="B1140" s="17"/>
      <c r="C1140" s="17"/>
      <c r="D1140" s="17"/>
      <c r="E1140" s="17"/>
      <c r="F1140" s="17"/>
      <c r="G1140" s="4">
        <f t="shared" si="17"/>
        <v>0</v>
      </c>
      <c r="H1140" s="17"/>
      <c r="I1140" s="4">
        <f t="shared" si="15"/>
        <v>349526.07999999996</v>
      </c>
      <c r="J1140" s="32" t="str">
        <f t="shared" si="16"/>
        <v/>
      </c>
      <c r="K1140" s="79"/>
      <c r="L1140" s="79"/>
      <c r="M1140" s="2"/>
      <c r="N1140" s="5"/>
      <c r="O1140" s="3"/>
      <c r="P1140" s="6"/>
      <c r="Q1140" s="6"/>
    </row>
    <row r="1141" spans="1:17" ht="15" customHeight="1" x14ac:dyDescent="0.25">
      <c r="A1141" s="1"/>
      <c r="B1141" s="17"/>
      <c r="C1141" s="17"/>
      <c r="D1141" s="17"/>
      <c r="E1141" s="17"/>
      <c r="F1141" s="17"/>
      <c r="G1141" s="4">
        <f t="shared" si="17"/>
        <v>0</v>
      </c>
      <c r="H1141" s="17"/>
      <c r="I1141" s="4">
        <f t="shared" si="15"/>
        <v>349526.07999999996</v>
      </c>
      <c r="J1141" s="32" t="str">
        <f t="shared" si="16"/>
        <v/>
      </c>
      <c r="K1141" s="79"/>
      <c r="L1141" s="79"/>
      <c r="M1141" s="2"/>
      <c r="N1141" s="5"/>
      <c r="O1141" s="3"/>
      <c r="P1141" s="6"/>
      <c r="Q1141" s="6"/>
    </row>
    <row r="1142" spans="1:17" ht="15" customHeight="1" x14ac:dyDescent="0.25">
      <c r="A1142" s="1"/>
      <c r="B1142" s="17"/>
      <c r="C1142" s="17"/>
      <c r="D1142" s="17"/>
      <c r="E1142" s="17"/>
      <c r="F1142" s="17"/>
      <c r="G1142" s="4">
        <f t="shared" si="17"/>
        <v>0</v>
      </c>
      <c r="H1142" s="17"/>
      <c r="I1142" s="4">
        <f t="shared" ref="I1142:I1205" si="18">$I1141+$G1142-$H1142</f>
        <v>349526.07999999996</v>
      </c>
      <c r="J1142" s="32" t="str">
        <f t="shared" ref="J1142:J1205" si="19">IF($A1143&lt;&gt;$A1142,$I1142,"")</f>
        <v/>
      </c>
      <c r="K1142" s="79"/>
      <c r="L1142" s="79"/>
      <c r="M1142" s="2"/>
      <c r="N1142" s="5"/>
      <c r="O1142" s="3"/>
      <c r="P1142" s="6"/>
      <c r="Q1142" s="6"/>
    </row>
    <row r="1143" spans="1:17" ht="15" customHeight="1" x14ac:dyDescent="0.25">
      <c r="A1143" s="1"/>
      <c r="B1143" s="17"/>
      <c r="C1143" s="17"/>
      <c r="D1143" s="17"/>
      <c r="E1143" s="17"/>
      <c r="F1143" s="17"/>
      <c r="G1143" s="4">
        <f t="shared" si="17"/>
        <v>0</v>
      </c>
      <c r="H1143" s="17"/>
      <c r="I1143" s="4">
        <f t="shared" si="18"/>
        <v>349526.07999999996</v>
      </c>
      <c r="J1143" s="32" t="str">
        <f t="shared" si="19"/>
        <v/>
      </c>
      <c r="K1143" s="79"/>
      <c r="L1143" s="79"/>
      <c r="M1143" s="2"/>
      <c r="N1143" s="5"/>
      <c r="O1143" s="3"/>
      <c r="P1143" s="6"/>
      <c r="Q1143" s="6"/>
    </row>
    <row r="1144" spans="1:17" ht="15" customHeight="1" x14ac:dyDescent="0.25">
      <c r="A1144" s="1"/>
      <c r="B1144" s="17"/>
      <c r="C1144" s="17"/>
      <c r="D1144" s="17"/>
      <c r="E1144" s="17"/>
      <c r="F1144" s="17"/>
      <c r="G1144" s="4">
        <f t="shared" si="17"/>
        <v>0</v>
      </c>
      <c r="H1144" s="17"/>
      <c r="I1144" s="4">
        <f t="shared" si="18"/>
        <v>349526.07999999996</v>
      </c>
      <c r="J1144" s="32" t="str">
        <f t="shared" si="19"/>
        <v/>
      </c>
      <c r="K1144" s="79"/>
      <c r="L1144" s="79"/>
      <c r="M1144" s="2"/>
      <c r="N1144" s="5"/>
      <c r="O1144" s="3"/>
      <c r="P1144" s="6"/>
      <c r="Q1144" s="6"/>
    </row>
    <row r="1145" spans="1:17" ht="15" customHeight="1" x14ac:dyDescent="0.25">
      <c r="A1145" s="1"/>
      <c r="B1145" s="17"/>
      <c r="C1145" s="17"/>
      <c r="D1145" s="17"/>
      <c r="E1145" s="17"/>
      <c r="F1145" s="17"/>
      <c r="G1145" s="4">
        <f t="shared" si="17"/>
        <v>0</v>
      </c>
      <c r="H1145" s="17"/>
      <c r="I1145" s="4">
        <f t="shared" si="18"/>
        <v>349526.07999999996</v>
      </c>
      <c r="J1145" s="32" t="str">
        <f t="shared" si="19"/>
        <v/>
      </c>
      <c r="K1145" s="79"/>
      <c r="L1145" s="79"/>
      <c r="M1145" s="2"/>
      <c r="N1145" s="5"/>
      <c r="O1145" s="3"/>
      <c r="P1145" s="6"/>
      <c r="Q1145" s="6"/>
    </row>
    <row r="1146" spans="1:17" ht="15" customHeight="1" x14ac:dyDescent="0.25">
      <c r="A1146" s="1"/>
      <c r="B1146" s="17"/>
      <c r="C1146" s="17"/>
      <c r="D1146" s="17"/>
      <c r="E1146" s="17"/>
      <c r="F1146" s="17"/>
      <c r="G1146" s="4">
        <f t="shared" si="17"/>
        <v>0</v>
      </c>
      <c r="H1146" s="17"/>
      <c r="I1146" s="4">
        <f t="shared" si="18"/>
        <v>349526.07999999996</v>
      </c>
      <c r="J1146" s="32" t="str">
        <f t="shared" si="19"/>
        <v/>
      </c>
      <c r="K1146" s="79"/>
      <c r="L1146" s="79"/>
      <c r="M1146" s="2"/>
      <c r="N1146" s="5"/>
      <c r="O1146" s="3"/>
      <c r="P1146" s="6"/>
      <c r="Q1146" s="6"/>
    </row>
    <row r="1147" spans="1:17" ht="15" customHeight="1" x14ac:dyDescent="0.25">
      <c r="A1147" s="1"/>
      <c r="B1147" s="17"/>
      <c r="C1147" s="17"/>
      <c r="D1147" s="17"/>
      <c r="E1147" s="17"/>
      <c r="F1147" s="17"/>
      <c r="G1147" s="4">
        <f t="shared" si="17"/>
        <v>0</v>
      </c>
      <c r="H1147" s="17"/>
      <c r="I1147" s="4">
        <f t="shared" si="18"/>
        <v>349526.07999999996</v>
      </c>
      <c r="J1147" s="32" t="str">
        <f t="shared" si="19"/>
        <v/>
      </c>
      <c r="K1147" s="79"/>
      <c r="L1147" s="79"/>
      <c r="M1147" s="2"/>
      <c r="N1147" s="5"/>
      <c r="O1147" s="3"/>
      <c r="P1147" s="6"/>
      <c r="Q1147" s="6"/>
    </row>
    <row r="1148" spans="1:17" ht="15" customHeight="1" x14ac:dyDescent="0.25">
      <c r="A1148" s="1"/>
      <c r="B1148" s="17"/>
      <c r="C1148" s="17"/>
      <c r="D1148" s="17"/>
      <c r="E1148" s="17"/>
      <c r="F1148" s="17"/>
      <c r="G1148" s="4">
        <f t="shared" si="17"/>
        <v>0</v>
      </c>
      <c r="H1148" s="17"/>
      <c r="I1148" s="4">
        <f t="shared" si="18"/>
        <v>349526.07999999996</v>
      </c>
      <c r="J1148" s="32" t="str">
        <f t="shared" si="19"/>
        <v/>
      </c>
      <c r="K1148" s="79"/>
      <c r="L1148" s="79"/>
      <c r="M1148" s="2"/>
      <c r="N1148" s="5"/>
      <c r="O1148" s="3"/>
      <c r="P1148" s="6"/>
      <c r="Q1148" s="6"/>
    </row>
    <row r="1149" spans="1:17" ht="15" customHeight="1" x14ac:dyDescent="0.25">
      <c r="A1149" s="1"/>
      <c r="B1149" s="17"/>
      <c r="C1149" s="17"/>
      <c r="D1149" s="17"/>
      <c r="E1149" s="17"/>
      <c r="F1149" s="17"/>
      <c r="G1149" s="4">
        <f t="shared" si="17"/>
        <v>0</v>
      </c>
      <c r="H1149" s="17"/>
      <c r="I1149" s="4">
        <f t="shared" si="18"/>
        <v>349526.07999999996</v>
      </c>
      <c r="J1149" s="32" t="str">
        <f t="shared" si="19"/>
        <v/>
      </c>
      <c r="K1149" s="79"/>
      <c r="L1149" s="79"/>
      <c r="M1149" s="2"/>
      <c r="N1149" s="5"/>
      <c r="O1149" s="3"/>
      <c r="P1149" s="6"/>
      <c r="Q1149" s="6"/>
    </row>
    <row r="1150" spans="1:17" ht="15" customHeight="1" x14ac:dyDescent="0.25">
      <c r="A1150" s="1"/>
      <c r="B1150" s="17"/>
      <c r="C1150" s="17"/>
      <c r="D1150" s="17"/>
      <c r="E1150" s="17"/>
      <c r="F1150" s="17"/>
      <c r="G1150" s="4">
        <f t="shared" si="17"/>
        <v>0</v>
      </c>
      <c r="H1150" s="17"/>
      <c r="I1150" s="4">
        <f t="shared" si="18"/>
        <v>349526.07999999996</v>
      </c>
      <c r="J1150" s="32" t="str">
        <f t="shared" si="19"/>
        <v/>
      </c>
      <c r="K1150" s="79"/>
      <c r="L1150" s="79"/>
      <c r="M1150" s="2"/>
      <c r="N1150" s="5"/>
      <c r="O1150" s="3"/>
      <c r="P1150" s="6"/>
      <c r="Q1150" s="6"/>
    </row>
    <row r="1151" spans="1:17" ht="15" customHeight="1" x14ac:dyDescent="0.25">
      <c r="A1151" s="1"/>
      <c r="B1151" s="17"/>
      <c r="C1151" s="17"/>
      <c r="D1151" s="17"/>
      <c r="E1151" s="17"/>
      <c r="F1151" s="17"/>
      <c r="G1151" s="4">
        <f t="shared" si="17"/>
        <v>0</v>
      </c>
      <c r="H1151" s="17"/>
      <c r="I1151" s="4">
        <f t="shared" si="18"/>
        <v>349526.07999999996</v>
      </c>
      <c r="J1151" s="32" t="str">
        <f t="shared" si="19"/>
        <v/>
      </c>
      <c r="K1151" s="79"/>
      <c r="L1151" s="79"/>
      <c r="M1151" s="2"/>
      <c r="N1151" s="5"/>
      <c r="O1151" s="3"/>
      <c r="P1151" s="6"/>
      <c r="Q1151" s="6"/>
    </row>
    <row r="1152" spans="1:17" ht="15" customHeight="1" x14ac:dyDescent="0.25">
      <c r="A1152" s="1"/>
      <c r="B1152" s="17"/>
      <c r="C1152" s="17"/>
      <c r="D1152" s="17"/>
      <c r="E1152" s="17"/>
      <c r="F1152" s="17"/>
      <c r="G1152" s="4">
        <f t="shared" si="17"/>
        <v>0</v>
      </c>
      <c r="H1152" s="17"/>
      <c r="I1152" s="4">
        <f t="shared" si="18"/>
        <v>349526.07999999996</v>
      </c>
      <c r="J1152" s="32" t="str">
        <f t="shared" si="19"/>
        <v/>
      </c>
      <c r="K1152" s="79"/>
      <c r="L1152" s="79"/>
      <c r="M1152" s="2"/>
      <c r="N1152" s="5"/>
      <c r="O1152" s="3"/>
      <c r="P1152" s="6"/>
      <c r="Q1152" s="6"/>
    </row>
    <row r="1153" spans="1:17" ht="15" customHeight="1" x14ac:dyDescent="0.25">
      <c r="A1153" s="1"/>
      <c r="B1153" s="17"/>
      <c r="C1153" s="17"/>
      <c r="D1153" s="17"/>
      <c r="E1153" s="17"/>
      <c r="F1153" s="17"/>
      <c r="G1153" s="4">
        <f t="shared" si="17"/>
        <v>0</v>
      </c>
      <c r="H1153" s="17"/>
      <c r="I1153" s="4">
        <f t="shared" si="18"/>
        <v>349526.07999999996</v>
      </c>
      <c r="J1153" s="32" t="str">
        <f t="shared" si="19"/>
        <v/>
      </c>
      <c r="K1153" s="79"/>
      <c r="L1153" s="79"/>
      <c r="M1153" s="2"/>
      <c r="N1153" s="5"/>
      <c r="O1153" s="3"/>
      <c r="P1153" s="6"/>
      <c r="Q1153" s="6"/>
    </row>
    <row r="1154" spans="1:17" ht="15" customHeight="1" x14ac:dyDescent="0.25">
      <c r="A1154" s="1"/>
      <c r="B1154" s="17"/>
      <c r="C1154" s="17"/>
      <c r="D1154" s="17"/>
      <c r="E1154" s="17"/>
      <c r="F1154" s="17"/>
      <c r="G1154" s="4">
        <f t="shared" si="17"/>
        <v>0</v>
      </c>
      <c r="H1154" s="17"/>
      <c r="I1154" s="4">
        <f t="shared" si="18"/>
        <v>349526.07999999996</v>
      </c>
      <c r="J1154" s="32" t="str">
        <f t="shared" si="19"/>
        <v/>
      </c>
      <c r="K1154" s="79"/>
      <c r="L1154" s="79"/>
      <c r="M1154" s="2"/>
      <c r="N1154" s="5"/>
      <c r="O1154" s="3"/>
      <c r="P1154" s="6"/>
      <c r="Q1154" s="6"/>
    </row>
    <row r="1155" spans="1:17" ht="15" customHeight="1" x14ac:dyDescent="0.25">
      <c r="A1155" s="1"/>
      <c r="B1155" s="17"/>
      <c r="C1155" s="17"/>
      <c r="D1155" s="17"/>
      <c r="E1155" s="17"/>
      <c r="F1155" s="17"/>
      <c r="G1155" s="4">
        <f t="shared" ref="G1155:G1218" si="20">SUM($B1155:$F1155)</f>
        <v>0</v>
      </c>
      <c r="H1155" s="17"/>
      <c r="I1155" s="4">
        <f t="shared" si="18"/>
        <v>349526.07999999996</v>
      </c>
      <c r="J1155" s="32" t="str">
        <f t="shared" si="19"/>
        <v/>
      </c>
      <c r="K1155" s="79"/>
      <c r="L1155" s="79"/>
      <c r="M1155" s="2"/>
      <c r="N1155" s="5"/>
      <c r="O1155" s="3"/>
      <c r="P1155" s="6"/>
      <c r="Q1155" s="6"/>
    </row>
    <row r="1156" spans="1:17" ht="15" customHeight="1" x14ac:dyDescent="0.25">
      <c r="A1156" s="1"/>
      <c r="B1156" s="17"/>
      <c r="C1156" s="17"/>
      <c r="D1156" s="17"/>
      <c r="E1156" s="17"/>
      <c r="F1156" s="17"/>
      <c r="G1156" s="4">
        <f t="shared" si="20"/>
        <v>0</v>
      </c>
      <c r="H1156" s="17"/>
      <c r="I1156" s="4">
        <f t="shared" si="18"/>
        <v>349526.07999999996</v>
      </c>
      <c r="J1156" s="32" t="str">
        <f t="shared" si="19"/>
        <v/>
      </c>
      <c r="K1156" s="79"/>
      <c r="L1156" s="79"/>
      <c r="M1156" s="2"/>
      <c r="N1156" s="5"/>
      <c r="O1156" s="3"/>
      <c r="P1156" s="6"/>
      <c r="Q1156" s="6"/>
    </row>
    <row r="1157" spans="1:17" ht="15" customHeight="1" x14ac:dyDescent="0.25">
      <c r="A1157" s="1"/>
      <c r="B1157" s="17"/>
      <c r="C1157" s="17"/>
      <c r="D1157" s="17"/>
      <c r="E1157" s="17"/>
      <c r="F1157" s="17"/>
      <c r="G1157" s="4">
        <f t="shared" si="20"/>
        <v>0</v>
      </c>
      <c r="H1157" s="17"/>
      <c r="I1157" s="4">
        <f t="shared" si="18"/>
        <v>349526.07999999996</v>
      </c>
      <c r="J1157" s="32" t="str">
        <f t="shared" si="19"/>
        <v/>
      </c>
      <c r="K1157" s="79"/>
      <c r="L1157" s="79"/>
      <c r="M1157" s="2"/>
      <c r="N1157" s="5"/>
      <c r="O1157" s="3"/>
      <c r="P1157" s="6"/>
      <c r="Q1157" s="6"/>
    </row>
    <row r="1158" spans="1:17" ht="15" customHeight="1" x14ac:dyDescent="0.25">
      <c r="A1158" s="1"/>
      <c r="B1158" s="17"/>
      <c r="C1158" s="17"/>
      <c r="D1158" s="17"/>
      <c r="E1158" s="17"/>
      <c r="F1158" s="17"/>
      <c r="G1158" s="4">
        <f t="shared" si="20"/>
        <v>0</v>
      </c>
      <c r="H1158" s="17"/>
      <c r="I1158" s="4">
        <f t="shared" si="18"/>
        <v>349526.07999999996</v>
      </c>
      <c r="J1158" s="32" t="str">
        <f t="shared" si="19"/>
        <v/>
      </c>
      <c r="K1158" s="79"/>
      <c r="L1158" s="79"/>
      <c r="M1158" s="2"/>
      <c r="N1158" s="5"/>
      <c r="O1158" s="3"/>
      <c r="P1158" s="6"/>
      <c r="Q1158" s="6"/>
    </row>
    <row r="1159" spans="1:17" ht="15" customHeight="1" x14ac:dyDescent="0.25">
      <c r="A1159" s="1"/>
      <c r="B1159" s="17"/>
      <c r="C1159" s="17"/>
      <c r="D1159" s="17"/>
      <c r="E1159" s="17"/>
      <c r="F1159" s="17"/>
      <c r="G1159" s="4">
        <f t="shared" si="20"/>
        <v>0</v>
      </c>
      <c r="H1159" s="17"/>
      <c r="I1159" s="4">
        <f t="shared" si="18"/>
        <v>349526.07999999996</v>
      </c>
      <c r="J1159" s="32" t="str">
        <f t="shared" si="19"/>
        <v/>
      </c>
      <c r="K1159" s="79"/>
      <c r="L1159" s="79"/>
      <c r="M1159" s="2"/>
      <c r="N1159" s="5"/>
      <c r="O1159" s="3"/>
      <c r="P1159" s="6"/>
      <c r="Q1159" s="6"/>
    </row>
    <row r="1160" spans="1:17" ht="15" customHeight="1" x14ac:dyDescent="0.25">
      <c r="A1160" s="1"/>
      <c r="B1160" s="17"/>
      <c r="C1160" s="17"/>
      <c r="D1160" s="17"/>
      <c r="E1160" s="17"/>
      <c r="F1160" s="17"/>
      <c r="G1160" s="4">
        <f t="shared" si="20"/>
        <v>0</v>
      </c>
      <c r="H1160" s="17"/>
      <c r="I1160" s="4">
        <f t="shared" si="18"/>
        <v>349526.07999999996</v>
      </c>
      <c r="J1160" s="32" t="str">
        <f t="shared" si="19"/>
        <v/>
      </c>
      <c r="K1160" s="79"/>
      <c r="L1160" s="79"/>
      <c r="M1160" s="2"/>
      <c r="N1160" s="5"/>
      <c r="O1160" s="3"/>
      <c r="P1160" s="6"/>
      <c r="Q1160" s="6"/>
    </row>
    <row r="1161" spans="1:17" ht="15" customHeight="1" x14ac:dyDescent="0.25">
      <c r="A1161" s="1"/>
      <c r="B1161" s="17"/>
      <c r="C1161" s="17"/>
      <c r="D1161" s="17"/>
      <c r="E1161" s="17"/>
      <c r="F1161" s="17"/>
      <c r="G1161" s="4">
        <f t="shared" si="20"/>
        <v>0</v>
      </c>
      <c r="H1161" s="17"/>
      <c r="I1161" s="4">
        <f t="shared" si="18"/>
        <v>349526.07999999996</v>
      </c>
      <c r="J1161" s="32" t="str">
        <f t="shared" si="19"/>
        <v/>
      </c>
      <c r="K1161" s="79"/>
      <c r="L1161" s="79"/>
      <c r="M1161" s="2"/>
      <c r="N1161" s="5"/>
      <c r="O1161" s="3"/>
      <c r="P1161" s="6"/>
      <c r="Q1161" s="6"/>
    </row>
    <row r="1162" spans="1:17" ht="15" customHeight="1" x14ac:dyDescent="0.25">
      <c r="A1162" s="1"/>
      <c r="B1162" s="17"/>
      <c r="C1162" s="17"/>
      <c r="D1162" s="17"/>
      <c r="E1162" s="17"/>
      <c r="F1162" s="17"/>
      <c r="G1162" s="4">
        <f t="shared" si="20"/>
        <v>0</v>
      </c>
      <c r="H1162" s="17"/>
      <c r="I1162" s="4">
        <f t="shared" si="18"/>
        <v>349526.07999999996</v>
      </c>
      <c r="J1162" s="32" t="str">
        <f t="shared" si="19"/>
        <v/>
      </c>
      <c r="K1162" s="79"/>
      <c r="L1162" s="79"/>
      <c r="M1162" s="2"/>
      <c r="N1162" s="5"/>
      <c r="O1162" s="3"/>
      <c r="P1162" s="6"/>
      <c r="Q1162" s="6"/>
    </row>
    <row r="1163" spans="1:17" ht="15" customHeight="1" x14ac:dyDescent="0.25">
      <c r="A1163" s="1"/>
      <c r="B1163" s="17"/>
      <c r="C1163" s="17"/>
      <c r="D1163" s="17"/>
      <c r="E1163" s="17"/>
      <c r="F1163" s="17"/>
      <c r="G1163" s="4">
        <f t="shared" si="20"/>
        <v>0</v>
      </c>
      <c r="H1163" s="17"/>
      <c r="I1163" s="4">
        <f t="shared" si="18"/>
        <v>349526.07999999996</v>
      </c>
      <c r="J1163" s="32" t="str">
        <f t="shared" si="19"/>
        <v/>
      </c>
      <c r="K1163" s="79"/>
      <c r="L1163" s="79"/>
      <c r="M1163" s="2"/>
      <c r="N1163" s="5"/>
      <c r="O1163" s="3"/>
      <c r="P1163" s="6"/>
      <c r="Q1163" s="6"/>
    </row>
    <row r="1164" spans="1:17" ht="15" customHeight="1" x14ac:dyDescent="0.25">
      <c r="A1164" s="1"/>
      <c r="B1164" s="17"/>
      <c r="C1164" s="17"/>
      <c r="D1164" s="17"/>
      <c r="E1164" s="17"/>
      <c r="F1164" s="17"/>
      <c r="G1164" s="4">
        <f t="shared" si="20"/>
        <v>0</v>
      </c>
      <c r="H1164" s="17"/>
      <c r="I1164" s="4">
        <f t="shared" si="18"/>
        <v>349526.07999999996</v>
      </c>
      <c r="J1164" s="32" t="str">
        <f t="shared" si="19"/>
        <v/>
      </c>
      <c r="K1164" s="79"/>
      <c r="L1164" s="79"/>
      <c r="M1164" s="2"/>
      <c r="N1164" s="5"/>
      <c r="O1164" s="3"/>
      <c r="P1164" s="6"/>
      <c r="Q1164" s="6"/>
    </row>
    <row r="1165" spans="1:17" ht="15" customHeight="1" x14ac:dyDescent="0.25">
      <c r="A1165" s="1"/>
      <c r="B1165" s="17"/>
      <c r="C1165" s="17"/>
      <c r="D1165" s="17"/>
      <c r="E1165" s="17"/>
      <c r="F1165" s="17"/>
      <c r="G1165" s="4">
        <f t="shared" si="20"/>
        <v>0</v>
      </c>
      <c r="H1165" s="17"/>
      <c r="I1165" s="4">
        <f t="shared" si="18"/>
        <v>349526.07999999996</v>
      </c>
      <c r="J1165" s="32" t="str">
        <f t="shared" si="19"/>
        <v/>
      </c>
      <c r="K1165" s="79"/>
      <c r="L1165" s="79"/>
      <c r="M1165" s="2"/>
      <c r="N1165" s="5"/>
      <c r="O1165" s="3"/>
      <c r="P1165" s="6"/>
      <c r="Q1165" s="6"/>
    </row>
    <row r="1166" spans="1:17" ht="15" customHeight="1" x14ac:dyDescent="0.25">
      <c r="A1166" s="1"/>
      <c r="B1166" s="17"/>
      <c r="C1166" s="17"/>
      <c r="D1166" s="17"/>
      <c r="E1166" s="17"/>
      <c r="F1166" s="17"/>
      <c r="G1166" s="4">
        <f t="shared" si="20"/>
        <v>0</v>
      </c>
      <c r="H1166" s="17"/>
      <c r="I1166" s="4">
        <f t="shared" si="18"/>
        <v>349526.07999999996</v>
      </c>
      <c r="J1166" s="32" t="str">
        <f t="shared" si="19"/>
        <v/>
      </c>
      <c r="K1166" s="79"/>
      <c r="L1166" s="79"/>
      <c r="M1166" s="2"/>
      <c r="N1166" s="5"/>
      <c r="O1166" s="3"/>
      <c r="P1166" s="6"/>
      <c r="Q1166" s="6"/>
    </row>
    <row r="1167" spans="1:17" ht="15" customHeight="1" x14ac:dyDescent="0.25">
      <c r="A1167" s="1"/>
      <c r="B1167" s="17"/>
      <c r="C1167" s="17"/>
      <c r="D1167" s="17"/>
      <c r="E1167" s="17"/>
      <c r="F1167" s="17"/>
      <c r="G1167" s="4">
        <f t="shared" si="20"/>
        <v>0</v>
      </c>
      <c r="H1167" s="17"/>
      <c r="I1167" s="4">
        <f t="shared" si="18"/>
        <v>349526.07999999996</v>
      </c>
      <c r="J1167" s="32" t="str">
        <f t="shared" si="19"/>
        <v/>
      </c>
      <c r="K1167" s="79"/>
      <c r="L1167" s="79"/>
      <c r="M1167" s="2"/>
      <c r="N1167" s="5"/>
      <c r="O1167" s="3"/>
      <c r="P1167" s="6"/>
      <c r="Q1167" s="6"/>
    </row>
    <row r="1168" spans="1:17" ht="15" customHeight="1" x14ac:dyDescent="0.25">
      <c r="A1168" s="1"/>
      <c r="B1168" s="17"/>
      <c r="C1168" s="17"/>
      <c r="D1168" s="17"/>
      <c r="E1168" s="17"/>
      <c r="F1168" s="17"/>
      <c r="G1168" s="4">
        <f t="shared" si="20"/>
        <v>0</v>
      </c>
      <c r="H1168" s="17"/>
      <c r="I1168" s="4">
        <f t="shared" si="18"/>
        <v>349526.07999999996</v>
      </c>
      <c r="J1168" s="32" t="str">
        <f t="shared" si="19"/>
        <v/>
      </c>
      <c r="K1168" s="79"/>
      <c r="L1168" s="79"/>
      <c r="M1168" s="2"/>
      <c r="N1168" s="5"/>
      <c r="O1168" s="3"/>
      <c r="P1168" s="6"/>
      <c r="Q1168" s="6"/>
    </row>
    <row r="1169" spans="1:17" ht="15" customHeight="1" x14ac:dyDescent="0.25">
      <c r="A1169" s="1"/>
      <c r="B1169" s="17"/>
      <c r="C1169" s="17"/>
      <c r="D1169" s="17"/>
      <c r="E1169" s="17"/>
      <c r="F1169" s="17"/>
      <c r="G1169" s="4">
        <f t="shared" si="20"/>
        <v>0</v>
      </c>
      <c r="H1169" s="17"/>
      <c r="I1169" s="4">
        <f t="shared" si="18"/>
        <v>349526.07999999996</v>
      </c>
      <c r="J1169" s="32" t="str">
        <f t="shared" si="19"/>
        <v/>
      </c>
      <c r="K1169" s="79"/>
      <c r="L1169" s="79"/>
      <c r="M1169" s="2"/>
      <c r="N1169" s="5"/>
      <c r="O1169" s="3"/>
      <c r="P1169" s="6"/>
      <c r="Q1169" s="6"/>
    </row>
    <row r="1170" spans="1:17" ht="15" customHeight="1" x14ac:dyDescent="0.25">
      <c r="A1170" s="1"/>
      <c r="B1170" s="17"/>
      <c r="C1170" s="17"/>
      <c r="D1170" s="17"/>
      <c r="E1170" s="17"/>
      <c r="F1170" s="17"/>
      <c r="G1170" s="4">
        <f t="shared" si="20"/>
        <v>0</v>
      </c>
      <c r="H1170" s="17"/>
      <c r="I1170" s="4">
        <f t="shared" si="18"/>
        <v>349526.07999999996</v>
      </c>
      <c r="J1170" s="32" t="str">
        <f t="shared" si="19"/>
        <v/>
      </c>
      <c r="K1170" s="79"/>
      <c r="L1170" s="79"/>
      <c r="M1170" s="2"/>
      <c r="N1170" s="5"/>
      <c r="O1170" s="3"/>
      <c r="P1170" s="6"/>
      <c r="Q1170" s="6"/>
    </row>
    <row r="1171" spans="1:17" ht="15" customHeight="1" x14ac:dyDescent="0.25">
      <c r="A1171" s="1"/>
      <c r="B1171" s="17"/>
      <c r="C1171" s="17"/>
      <c r="D1171" s="17"/>
      <c r="E1171" s="17"/>
      <c r="F1171" s="17"/>
      <c r="G1171" s="4">
        <f t="shared" si="20"/>
        <v>0</v>
      </c>
      <c r="H1171" s="17"/>
      <c r="I1171" s="4">
        <f t="shared" si="18"/>
        <v>349526.07999999996</v>
      </c>
      <c r="J1171" s="32" t="str">
        <f t="shared" si="19"/>
        <v/>
      </c>
      <c r="K1171" s="79"/>
      <c r="L1171" s="79"/>
      <c r="M1171" s="2"/>
      <c r="N1171" s="5"/>
      <c r="O1171" s="3"/>
      <c r="P1171" s="6"/>
      <c r="Q1171" s="6"/>
    </row>
    <row r="1172" spans="1:17" ht="15" customHeight="1" x14ac:dyDescent="0.25">
      <c r="A1172" s="1"/>
      <c r="B1172" s="17"/>
      <c r="C1172" s="17"/>
      <c r="D1172" s="17"/>
      <c r="E1172" s="17"/>
      <c r="F1172" s="17"/>
      <c r="G1172" s="4">
        <f t="shared" si="20"/>
        <v>0</v>
      </c>
      <c r="H1172" s="17"/>
      <c r="I1172" s="4">
        <f t="shared" si="18"/>
        <v>349526.07999999996</v>
      </c>
      <c r="J1172" s="32" t="str">
        <f t="shared" si="19"/>
        <v/>
      </c>
      <c r="K1172" s="79"/>
      <c r="L1172" s="79"/>
      <c r="M1172" s="2"/>
      <c r="N1172" s="5"/>
      <c r="O1172" s="3"/>
      <c r="P1172" s="6"/>
      <c r="Q1172" s="6"/>
    </row>
    <row r="1173" spans="1:17" ht="15" customHeight="1" x14ac:dyDescent="0.25">
      <c r="A1173" s="1"/>
      <c r="B1173" s="17"/>
      <c r="C1173" s="17"/>
      <c r="D1173" s="17"/>
      <c r="E1173" s="17"/>
      <c r="F1173" s="17"/>
      <c r="G1173" s="4">
        <f t="shared" si="20"/>
        <v>0</v>
      </c>
      <c r="H1173" s="17"/>
      <c r="I1173" s="4">
        <f t="shared" si="18"/>
        <v>349526.07999999996</v>
      </c>
      <c r="J1173" s="32" t="str">
        <f t="shared" si="19"/>
        <v/>
      </c>
      <c r="K1173" s="79"/>
      <c r="L1173" s="79"/>
      <c r="M1173" s="2"/>
      <c r="N1173" s="5"/>
      <c r="O1173" s="3"/>
      <c r="P1173" s="6"/>
      <c r="Q1173" s="6"/>
    </row>
    <row r="1174" spans="1:17" ht="15" customHeight="1" x14ac:dyDescent="0.25">
      <c r="A1174" s="1"/>
      <c r="B1174" s="17"/>
      <c r="C1174" s="17"/>
      <c r="D1174" s="17"/>
      <c r="E1174" s="17"/>
      <c r="F1174" s="17"/>
      <c r="G1174" s="4">
        <f t="shared" si="20"/>
        <v>0</v>
      </c>
      <c r="H1174" s="17"/>
      <c r="I1174" s="4">
        <f t="shared" si="18"/>
        <v>349526.07999999996</v>
      </c>
      <c r="J1174" s="32" t="str">
        <f t="shared" si="19"/>
        <v/>
      </c>
      <c r="K1174" s="79"/>
      <c r="L1174" s="79"/>
      <c r="M1174" s="2"/>
      <c r="N1174" s="5"/>
      <c r="O1174" s="3"/>
      <c r="P1174" s="6"/>
      <c r="Q1174" s="6"/>
    </row>
    <row r="1175" spans="1:17" ht="15" customHeight="1" x14ac:dyDescent="0.25">
      <c r="A1175" s="1"/>
      <c r="B1175" s="17"/>
      <c r="C1175" s="17"/>
      <c r="D1175" s="17"/>
      <c r="E1175" s="17"/>
      <c r="F1175" s="17"/>
      <c r="G1175" s="4">
        <f t="shared" si="20"/>
        <v>0</v>
      </c>
      <c r="H1175" s="17"/>
      <c r="I1175" s="4">
        <f t="shared" si="18"/>
        <v>349526.07999999996</v>
      </c>
      <c r="J1175" s="32" t="str">
        <f t="shared" si="19"/>
        <v/>
      </c>
      <c r="K1175" s="79"/>
      <c r="L1175" s="79"/>
      <c r="M1175" s="2"/>
      <c r="N1175" s="5"/>
      <c r="O1175" s="3"/>
      <c r="P1175" s="6"/>
      <c r="Q1175" s="6"/>
    </row>
    <row r="1176" spans="1:17" ht="15" customHeight="1" x14ac:dyDescent="0.25">
      <c r="A1176" s="1"/>
      <c r="B1176" s="17"/>
      <c r="C1176" s="17"/>
      <c r="D1176" s="17"/>
      <c r="E1176" s="17"/>
      <c r="F1176" s="17"/>
      <c r="G1176" s="4">
        <f t="shared" si="20"/>
        <v>0</v>
      </c>
      <c r="H1176" s="17"/>
      <c r="I1176" s="4">
        <f t="shared" si="18"/>
        <v>349526.07999999996</v>
      </c>
      <c r="J1176" s="32" t="str">
        <f t="shared" si="19"/>
        <v/>
      </c>
      <c r="K1176" s="79"/>
      <c r="L1176" s="79"/>
      <c r="M1176" s="2"/>
      <c r="N1176" s="5"/>
      <c r="O1176" s="3"/>
      <c r="P1176" s="6"/>
      <c r="Q1176" s="6"/>
    </row>
    <row r="1177" spans="1:17" ht="15" customHeight="1" x14ac:dyDescent="0.25">
      <c r="A1177" s="1"/>
      <c r="B1177" s="17"/>
      <c r="C1177" s="17"/>
      <c r="D1177" s="17"/>
      <c r="E1177" s="17"/>
      <c r="F1177" s="17"/>
      <c r="G1177" s="4">
        <f t="shared" si="20"/>
        <v>0</v>
      </c>
      <c r="H1177" s="17"/>
      <c r="I1177" s="4">
        <f t="shared" si="18"/>
        <v>349526.07999999996</v>
      </c>
      <c r="J1177" s="32" t="str">
        <f t="shared" si="19"/>
        <v/>
      </c>
      <c r="K1177" s="79"/>
      <c r="L1177" s="79"/>
      <c r="M1177" s="2"/>
      <c r="N1177" s="5"/>
      <c r="O1177" s="3"/>
      <c r="P1177" s="6"/>
      <c r="Q1177" s="6"/>
    </row>
    <row r="1178" spans="1:17" ht="15" customHeight="1" x14ac:dyDescent="0.25">
      <c r="A1178" s="1"/>
      <c r="B1178" s="17"/>
      <c r="C1178" s="17"/>
      <c r="D1178" s="17"/>
      <c r="E1178" s="17"/>
      <c r="F1178" s="17"/>
      <c r="G1178" s="4">
        <f t="shared" si="20"/>
        <v>0</v>
      </c>
      <c r="H1178" s="17"/>
      <c r="I1178" s="4">
        <f t="shared" si="18"/>
        <v>349526.07999999996</v>
      </c>
      <c r="J1178" s="32" t="str">
        <f t="shared" si="19"/>
        <v/>
      </c>
      <c r="K1178" s="79"/>
      <c r="L1178" s="79"/>
      <c r="M1178" s="2"/>
      <c r="N1178" s="5"/>
      <c r="O1178" s="3"/>
      <c r="P1178" s="6"/>
      <c r="Q1178" s="6"/>
    </row>
    <row r="1179" spans="1:17" ht="15" customHeight="1" x14ac:dyDescent="0.25">
      <c r="A1179" s="1"/>
      <c r="B1179" s="17"/>
      <c r="C1179" s="17"/>
      <c r="D1179" s="17"/>
      <c r="E1179" s="17"/>
      <c r="F1179" s="17"/>
      <c r="G1179" s="4">
        <f t="shared" si="20"/>
        <v>0</v>
      </c>
      <c r="H1179" s="17"/>
      <c r="I1179" s="4">
        <f t="shared" si="18"/>
        <v>349526.07999999996</v>
      </c>
      <c r="J1179" s="32" t="str">
        <f t="shared" si="19"/>
        <v/>
      </c>
      <c r="K1179" s="79"/>
      <c r="L1179" s="79"/>
      <c r="M1179" s="2"/>
      <c r="N1179" s="5"/>
      <c r="O1179" s="3"/>
      <c r="P1179" s="6"/>
      <c r="Q1179" s="6"/>
    </row>
    <row r="1180" spans="1:17" ht="15" customHeight="1" x14ac:dyDescent="0.25">
      <c r="A1180" s="1"/>
      <c r="B1180" s="17"/>
      <c r="C1180" s="17"/>
      <c r="D1180" s="17"/>
      <c r="E1180" s="17"/>
      <c r="F1180" s="17"/>
      <c r="G1180" s="4">
        <f t="shared" si="20"/>
        <v>0</v>
      </c>
      <c r="H1180" s="17"/>
      <c r="I1180" s="4">
        <f t="shared" si="18"/>
        <v>349526.07999999996</v>
      </c>
      <c r="J1180" s="32" t="str">
        <f t="shared" si="19"/>
        <v/>
      </c>
      <c r="K1180" s="79"/>
      <c r="L1180" s="79"/>
      <c r="M1180" s="2"/>
      <c r="N1180" s="5"/>
      <c r="O1180" s="3"/>
      <c r="P1180" s="6"/>
      <c r="Q1180" s="6"/>
    </row>
    <row r="1181" spans="1:17" ht="15" customHeight="1" x14ac:dyDescent="0.25">
      <c r="A1181" s="1"/>
      <c r="B1181" s="17"/>
      <c r="C1181" s="17"/>
      <c r="D1181" s="17"/>
      <c r="E1181" s="17"/>
      <c r="F1181" s="17"/>
      <c r="G1181" s="4">
        <f t="shared" si="20"/>
        <v>0</v>
      </c>
      <c r="H1181" s="17"/>
      <c r="I1181" s="4">
        <f t="shared" si="18"/>
        <v>349526.07999999996</v>
      </c>
      <c r="J1181" s="32" t="str">
        <f t="shared" si="19"/>
        <v/>
      </c>
      <c r="K1181" s="79"/>
      <c r="L1181" s="79"/>
      <c r="M1181" s="2"/>
      <c r="N1181" s="5"/>
      <c r="O1181" s="3"/>
      <c r="P1181" s="6"/>
      <c r="Q1181" s="6"/>
    </row>
    <row r="1182" spans="1:17" ht="15" customHeight="1" x14ac:dyDescent="0.25">
      <c r="A1182" s="1"/>
      <c r="B1182" s="17"/>
      <c r="C1182" s="17"/>
      <c r="D1182" s="17"/>
      <c r="E1182" s="17"/>
      <c r="F1182" s="17"/>
      <c r="G1182" s="4">
        <f t="shared" si="20"/>
        <v>0</v>
      </c>
      <c r="H1182" s="17"/>
      <c r="I1182" s="4">
        <f t="shared" si="18"/>
        <v>349526.07999999996</v>
      </c>
      <c r="J1182" s="32" t="str">
        <f t="shared" si="19"/>
        <v/>
      </c>
      <c r="K1182" s="79"/>
      <c r="L1182" s="79"/>
      <c r="M1182" s="2"/>
      <c r="N1182" s="5"/>
      <c r="O1182" s="3"/>
      <c r="P1182" s="6"/>
      <c r="Q1182" s="6"/>
    </row>
    <row r="1183" spans="1:17" ht="15" customHeight="1" x14ac:dyDescent="0.25">
      <c r="A1183" s="1"/>
      <c r="B1183" s="17"/>
      <c r="C1183" s="17"/>
      <c r="D1183" s="17"/>
      <c r="E1183" s="17"/>
      <c r="F1183" s="17"/>
      <c r="G1183" s="4">
        <f t="shared" si="20"/>
        <v>0</v>
      </c>
      <c r="H1183" s="17"/>
      <c r="I1183" s="4">
        <f t="shared" si="18"/>
        <v>349526.07999999996</v>
      </c>
      <c r="J1183" s="32" t="str">
        <f t="shared" si="19"/>
        <v/>
      </c>
      <c r="K1183" s="79"/>
      <c r="L1183" s="79"/>
      <c r="M1183" s="2"/>
      <c r="N1183" s="5"/>
      <c r="O1183" s="3"/>
      <c r="P1183" s="6"/>
      <c r="Q1183" s="6"/>
    </row>
    <row r="1184" spans="1:17" ht="15" customHeight="1" x14ac:dyDescent="0.25">
      <c r="A1184" s="1"/>
      <c r="B1184" s="17"/>
      <c r="C1184" s="17"/>
      <c r="D1184" s="17"/>
      <c r="E1184" s="17"/>
      <c r="F1184" s="17"/>
      <c r="G1184" s="4">
        <f t="shared" si="20"/>
        <v>0</v>
      </c>
      <c r="H1184" s="17"/>
      <c r="I1184" s="4">
        <f t="shared" si="18"/>
        <v>349526.07999999996</v>
      </c>
      <c r="J1184" s="32" t="str">
        <f t="shared" si="19"/>
        <v/>
      </c>
      <c r="K1184" s="79"/>
      <c r="L1184" s="79"/>
      <c r="M1184" s="2"/>
      <c r="N1184" s="5"/>
      <c r="O1184" s="3"/>
      <c r="P1184" s="6"/>
      <c r="Q1184" s="6"/>
    </row>
    <row r="1185" spans="1:17" ht="15" customHeight="1" x14ac:dyDescent="0.25">
      <c r="A1185" s="1"/>
      <c r="B1185" s="17"/>
      <c r="C1185" s="17"/>
      <c r="D1185" s="17"/>
      <c r="E1185" s="17"/>
      <c r="F1185" s="17"/>
      <c r="G1185" s="4">
        <f t="shared" si="20"/>
        <v>0</v>
      </c>
      <c r="H1185" s="17"/>
      <c r="I1185" s="4">
        <f t="shared" si="18"/>
        <v>349526.07999999996</v>
      </c>
      <c r="J1185" s="32" t="str">
        <f t="shared" si="19"/>
        <v/>
      </c>
      <c r="K1185" s="79"/>
      <c r="L1185" s="79"/>
      <c r="M1185" s="2"/>
      <c r="N1185" s="5"/>
      <c r="O1185" s="3"/>
      <c r="P1185" s="6"/>
      <c r="Q1185" s="6"/>
    </row>
    <row r="1186" spans="1:17" ht="15" customHeight="1" x14ac:dyDescent="0.25">
      <c r="A1186" s="1"/>
      <c r="B1186" s="17"/>
      <c r="C1186" s="17"/>
      <c r="D1186" s="17"/>
      <c r="E1186" s="17"/>
      <c r="F1186" s="17"/>
      <c r="G1186" s="4">
        <f t="shared" si="20"/>
        <v>0</v>
      </c>
      <c r="H1186" s="17"/>
      <c r="I1186" s="4">
        <f t="shared" si="18"/>
        <v>349526.07999999996</v>
      </c>
      <c r="J1186" s="32" t="str">
        <f t="shared" si="19"/>
        <v/>
      </c>
      <c r="K1186" s="79"/>
      <c r="L1186" s="79"/>
      <c r="M1186" s="2"/>
      <c r="N1186" s="5"/>
      <c r="O1186" s="3"/>
      <c r="P1186" s="6"/>
      <c r="Q1186" s="6"/>
    </row>
    <row r="1187" spans="1:17" ht="15" customHeight="1" x14ac:dyDescent="0.25">
      <c r="A1187" s="1"/>
      <c r="B1187" s="17"/>
      <c r="C1187" s="17"/>
      <c r="D1187" s="17"/>
      <c r="E1187" s="17"/>
      <c r="F1187" s="17"/>
      <c r="G1187" s="4">
        <f t="shared" si="20"/>
        <v>0</v>
      </c>
      <c r="H1187" s="17"/>
      <c r="I1187" s="4">
        <f t="shared" si="18"/>
        <v>349526.07999999996</v>
      </c>
      <c r="J1187" s="32" t="str">
        <f t="shared" si="19"/>
        <v/>
      </c>
      <c r="K1187" s="79"/>
      <c r="L1187" s="79"/>
      <c r="M1187" s="2"/>
      <c r="N1187" s="5"/>
      <c r="O1187" s="3"/>
      <c r="P1187" s="6"/>
      <c r="Q1187" s="6"/>
    </row>
    <row r="1188" spans="1:17" ht="15" customHeight="1" x14ac:dyDescent="0.25">
      <c r="A1188" s="1"/>
      <c r="B1188" s="17"/>
      <c r="C1188" s="17"/>
      <c r="D1188" s="17"/>
      <c r="E1188" s="17"/>
      <c r="F1188" s="17"/>
      <c r="G1188" s="4">
        <f t="shared" si="20"/>
        <v>0</v>
      </c>
      <c r="H1188" s="17"/>
      <c r="I1188" s="4">
        <f t="shared" si="18"/>
        <v>349526.07999999996</v>
      </c>
      <c r="J1188" s="32" t="str">
        <f t="shared" si="19"/>
        <v/>
      </c>
      <c r="K1188" s="79"/>
      <c r="L1188" s="79"/>
      <c r="M1188" s="2"/>
      <c r="N1188" s="5"/>
      <c r="O1188" s="3"/>
      <c r="P1188" s="6"/>
      <c r="Q1188" s="6"/>
    </row>
    <row r="1189" spans="1:17" ht="15" customHeight="1" x14ac:dyDescent="0.25">
      <c r="A1189" s="1"/>
      <c r="B1189" s="17"/>
      <c r="C1189" s="17"/>
      <c r="D1189" s="17"/>
      <c r="E1189" s="17"/>
      <c r="F1189" s="17"/>
      <c r="G1189" s="4">
        <f t="shared" si="20"/>
        <v>0</v>
      </c>
      <c r="H1189" s="17"/>
      <c r="I1189" s="4">
        <f t="shared" si="18"/>
        <v>349526.07999999996</v>
      </c>
      <c r="J1189" s="32" t="str">
        <f t="shared" si="19"/>
        <v/>
      </c>
      <c r="K1189" s="79"/>
      <c r="L1189" s="79"/>
      <c r="M1189" s="2"/>
      <c r="N1189" s="5"/>
      <c r="O1189" s="3"/>
      <c r="P1189" s="6"/>
      <c r="Q1189" s="6"/>
    </row>
    <row r="1190" spans="1:17" ht="15" customHeight="1" x14ac:dyDescent="0.25">
      <c r="A1190" s="1"/>
      <c r="B1190" s="17"/>
      <c r="C1190" s="17"/>
      <c r="D1190" s="17"/>
      <c r="E1190" s="17"/>
      <c r="F1190" s="17"/>
      <c r="G1190" s="4">
        <f t="shared" si="20"/>
        <v>0</v>
      </c>
      <c r="H1190" s="17"/>
      <c r="I1190" s="4">
        <f t="shared" si="18"/>
        <v>349526.07999999996</v>
      </c>
      <c r="J1190" s="32" t="str">
        <f t="shared" si="19"/>
        <v/>
      </c>
      <c r="K1190" s="79"/>
      <c r="L1190" s="79"/>
      <c r="M1190" s="2"/>
      <c r="N1190" s="5"/>
      <c r="O1190" s="3"/>
      <c r="P1190" s="6"/>
      <c r="Q1190" s="6"/>
    </row>
    <row r="1191" spans="1:17" ht="15" customHeight="1" x14ac:dyDescent="0.25">
      <c r="A1191" s="1"/>
      <c r="B1191" s="17"/>
      <c r="C1191" s="17"/>
      <c r="D1191" s="17"/>
      <c r="E1191" s="17"/>
      <c r="F1191" s="17"/>
      <c r="G1191" s="4">
        <f t="shared" si="20"/>
        <v>0</v>
      </c>
      <c r="H1191" s="17"/>
      <c r="I1191" s="4">
        <f t="shared" si="18"/>
        <v>349526.07999999996</v>
      </c>
      <c r="J1191" s="32" t="str">
        <f t="shared" si="19"/>
        <v/>
      </c>
      <c r="K1191" s="79"/>
      <c r="L1191" s="79"/>
      <c r="M1191" s="2"/>
      <c r="N1191" s="5"/>
      <c r="O1191" s="3"/>
      <c r="P1191" s="6"/>
      <c r="Q1191" s="6"/>
    </row>
    <row r="1192" spans="1:17" ht="15" customHeight="1" x14ac:dyDescent="0.25">
      <c r="A1192" s="1"/>
      <c r="B1192" s="17"/>
      <c r="C1192" s="17"/>
      <c r="D1192" s="17"/>
      <c r="E1192" s="17"/>
      <c r="F1192" s="17"/>
      <c r="G1192" s="4">
        <f t="shared" si="20"/>
        <v>0</v>
      </c>
      <c r="H1192" s="17"/>
      <c r="I1192" s="4">
        <f t="shared" si="18"/>
        <v>349526.07999999996</v>
      </c>
      <c r="J1192" s="32" t="str">
        <f t="shared" si="19"/>
        <v/>
      </c>
      <c r="K1192" s="79"/>
      <c r="L1192" s="79"/>
      <c r="M1192" s="2"/>
      <c r="N1192" s="5"/>
      <c r="O1192" s="3"/>
      <c r="P1192" s="6"/>
      <c r="Q1192" s="6"/>
    </row>
    <row r="1193" spans="1:17" ht="15" customHeight="1" x14ac:dyDescent="0.25">
      <c r="A1193" s="1"/>
      <c r="B1193" s="17"/>
      <c r="C1193" s="17"/>
      <c r="D1193" s="17"/>
      <c r="E1193" s="17"/>
      <c r="F1193" s="17"/>
      <c r="G1193" s="4">
        <f t="shared" si="20"/>
        <v>0</v>
      </c>
      <c r="H1193" s="17"/>
      <c r="I1193" s="4">
        <f t="shared" si="18"/>
        <v>349526.07999999996</v>
      </c>
      <c r="J1193" s="32" t="str">
        <f t="shared" si="19"/>
        <v/>
      </c>
      <c r="K1193" s="79"/>
      <c r="L1193" s="79"/>
      <c r="M1193" s="2"/>
      <c r="N1193" s="5"/>
      <c r="O1193" s="3"/>
      <c r="P1193" s="6"/>
      <c r="Q1193" s="6"/>
    </row>
    <row r="1194" spans="1:17" ht="15" customHeight="1" x14ac:dyDescent="0.25">
      <c r="A1194" s="1"/>
      <c r="B1194" s="17"/>
      <c r="C1194" s="17"/>
      <c r="D1194" s="17"/>
      <c r="E1194" s="17"/>
      <c r="F1194" s="17"/>
      <c r="G1194" s="4">
        <f t="shared" si="20"/>
        <v>0</v>
      </c>
      <c r="H1194" s="17"/>
      <c r="I1194" s="4">
        <f t="shared" si="18"/>
        <v>349526.07999999996</v>
      </c>
      <c r="J1194" s="32" t="str">
        <f t="shared" si="19"/>
        <v/>
      </c>
      <c r="K1194" s="79"/>
      <c r="L1194" s="79"/>
      <c r="M1194" s="2"/>
      <c r="N1194" s="5"/>
      <c r="O1194" s="3"/>
      <c r="P1194" s="6"/>
      <c r="Q1194" s="6"/>
    </row>
    <row r="1195" spans="1:17" ht="15" customHeight="1" x14ac:dyDescent="0.25">
      <c r="A1195" s="1"/>
      <c r="B1195" s="17"/>
      <c r="C1195" s="17"/>
      <c r="D1195" s="17"/>
      <c r="E1195" s="17"/>
      <c r="F1195" s="17"/>
      <c r="G1195" s="4">
        <f t="shared" si="20"/>
        <v>0</v>
      </c>
      <c r="H1195" s="17"/>
      <c r="I1195" s="4">
        <f t="shared" si="18"/>
        <v>349526.07999999996</v>
      </c>
      <c r="J1195" s="32" t="str">
        <f t="shared" si="19"/>
        <v/>
      </c>
      <c r="K1195" s="79"/>
      <c r="L1195" s="79"/>
      <c r="M1195" s="2"/>
      <c r="N1195" s="5"/>
      <c r="O1195" s="3"/>
      <c r="P1195" s="6"/>
      <c r="Q1195" s="6"/>
    </row>
    <row r="1196" spans="1:17" ht="15" customHeight="1" x14ac:dyDescent="0.25">
      <c r="A1196" s="1"/>
      <c r="B1196" s="17"/>
      <c r="C1196" s="17"/>
      <c r="D1196" s="17"/>
      <c r="E1196" s="17"/>
      <c r="F1196" s="17"/>
      <c r="G1196" s="4">
        <f t="shared" si="20"/>
        <v>0</v>
      </c>
      <c r="H1196" s="17"/>
      <c r="I1196" s="4">
        <f t="shared" si="18"/>
        <v>349526.07999999996</v>
      </c>
      <c r="J1196" s="32" t="str">
        <f t="shared" si="19"/>
        <v/>
      </c>
      <c r="K1196" s="79"/>
      <c r="L1196" s="79"/>
      <c r="M1196" s="2"/>
      <c r="N1196" s="5"/>
      <c r="O1196" s="3"/>
      <c r="P1196" s="6"/>
      <c r="Q1196" s="6"/>
    </row>
    <row r="1197" spans="1:17" ht="15" customHeight="1" x14ac:dyDescent="0.25">
      <c r="A1197" s="1"/>
      <c r="B1197" s="17"/>
      <c r="C1197" s="17"/>
      <c r="D1197" s="17"/>
      <c r="E1197" s="17"/>
      <c r="F1197" s="17"/>
      <c r="G1197" s="4">
        <f t="shared" si="20"/>
        <v>0</v>
      </c>
      <c r="H1197" s="17"/>
      <c r="I1197" s="4">
        <f t="shared" si="18"/>
        <v>349526.07999999996</v>
      </c>
      <c r="J1197" s="32" t="str">
        <f t="shared" si="19"/>
        <v/>
      </c>
      <c r="K1197" s="79"/>
      <c r="L1197" s="79"/>
      <c r="M1197" s="2"/>
      <c r="N1197" s="5"/>
      <c r="O1197" s="3"/>
      <c r="P1197" s="6"/>
      <c r="Q1197" s="6"/>
    </row>
    <row r="1198" spans="1:17" ht="15" customHeight="1" x14ac:dyDescent="0.25">
      <c r="A1198" s="1"/>
      <c r="B1198" s="17"/>
      <c r="C1198" s="17"/>
      <c r="D1198" s="17"/>
      <c r="E1198" s="17"/>
      <c r="F1198" s="17"/>
      <c r="G1198" s="4">
        <f t="shared" si="20"/>
        <v>0</v>
      </c>
      <c r="H1198" s="17"/>
      <c r="I1198" s="4">
        <f t="shared" si="18"/>
        <v>349526.07999999996</v>
      </c>
      <c r="J1198" s="32" t="str">
        <f t="shared" si="19"/>
        <v/>
      </c>
      <c r="K1198" s="79"/>
      <c r="L1198" s="79"/>
      <c r="M1198" s="2"/>
      <c r="N1198" s="5"/>
      <c r="O1198" s="3"/>
      <c r="P1198" s="6"/>
      <c r="Q1198" s="6"/>
    </row>
    <row r="1199" spans="1:17" ht="15" customHeight="1" x14ac:dyDescent="0.25">
      <c r="A1199" s="1"/>
      <c r="B1199" s="17"/>
      <c r="C1199" s="17"/>
      <c r="D1199" s="17"/>
      <c r="E1199" s="17"/>
      <c r="F1199" s="17"/>
      <c r="G1199" s="4">
        <f t="shared" si="20"/>
        <v>0</v>
      </c>
      <c r="H1199" s="17"/>
      <c r="I1199" s="4">
        <f t="shared" si="18"/>
        <v>349526.07999999996</v>
      </c>
      <c r="J1199" s="32" t="str">
        <f t="shared" si="19"/>
        <v/>
      </c>
      <c r="K1199" s="79"/>
      <c r="L1199" s="79"/>
      <c r="M1199" s="2"/>
      <c r="N1199" s="5"/>
      <c r="O1199" s="3"/>
      <c r="P1199" s="6"/>
      <c r="Q1199" s="6"/>
    </row>
    <row r="1200" spans="1:17" ht="15" customHeight="1" x14ac:dyDescent="0.25">
      <c r="A1200" s="1"/>
      <c r="B1200" s="17"/>
      <c r="C1200" s="17"/>
      <c r="D1200" s="17"/>
      <c r="E1200" s="17"/>
      <c r="F1200" s="17"/>
      <c r="G1200" s="4">
        <f t="shared" si="20"/>
        <v>0</v>
      </c>
      <c r="H1200" s="17"/>
      <c r="I1200" s="4">
        <f t="shared" si="18"/>
        <v>349526.07999999996</v>
      </c>
      <c r="J1200" s="32" t="str">
        <f t="shared" si="19"/>
        <v/>
      </c>
      <c r="K1200" s="79"/>
      <c r="L1200" s="79"/>
      <c r="M1200" s="2"/>
      <c r="N1200" s="5"/>
      <c r="O1200" s="3"/>
      <c r="P1200" s="6"/>
      <c r="Q1200" s="6"/>
    </row>
    <row r="1201" spans="1:17" ht="15" customHeight="1" x14ac:dyDescent="0.25">
      <c r="A1201" s="1"/>
      <c r="B1201" s="17"/>
      <c r="C1201" s="17"/>
      <c r="D1201" s="17"/>
      <c r="E1201" s="17"/>
      <c r="F1201" s="17"/>
      <c r="G1201" s="4">
        <f t="shared" si="20"/>
        <v>0</v>
      </c>
      <c r="H1201" s="17"/>
      <c r="I1201" s="4">
        <f t="shared" si="18"/>
        <v>349526.07999999996</v>
      </c>
      <c r="J1201" s="32" t="str">
        <f t="shared" si="19"/>
        <v/>
      </c>
      <c r="K1201" s="79"/>
      <c r="L1201" s="79"/>
      <c r="M1201" s="2"/>
      <c r="N1201" s="5"/>
      <c r="O1201" s="3"/>
      <c r="P1201" s="6"/>
      <c r="Q1201" s="6"/>
    </row>
    <row r="1202" spans="1:17" ht="15" customHeight="1" x14ac:dyDescent="0.25">
      <c r="A1202" s="1"/>
      <c r="B1202" s="17"/>
      <c r="C1202" s="17"/>
      <c r="D1202" s="17"/>
      <c r="E1202" s="17"/>
      <c r="F1202" s="17"/>
      <c r="G1202" s="4">
        <f t="shared" si="20"/>
        <v>0</v>
      </c>
      <c r="H1202" s="17"/>
      <c r="I1202" s="4">
        <f t="shared" si="18"/>
        <v>349526.07999999996</v>
      </c>
      <c r="J1202" s="32" t="str">
        <f t="shared" si="19"/>
        <v/>
      </c>
      <c r="K1202" s="79"/>
      <c r="L1202" s="79"/>
      <c r="M1202" s="2"/>
      <c r="N1202" s="5"/>
      <c r="O1202" s="3"/>
      <c r="P1202" s="6"/>
      <c r="Q1202" s="6"/>
    </row>
    <row r="1203" spans="1:17" ht="15" customHeight="1" x14ac:dyDescent="0.25">
      <c r="A1203" s="1"/>
      <c r="B1203" s="17"/>
      <c r="C1203" s="17"/>
      <c r="D1203" s="17"/>
      <c r="E1203" s="17"/>
      <c r="F1203" s="17"/>
      <c r="G1203" s="4">
        <f t="shared" si="20"/>
        <v>0</v>
      </c>
      <c r="H1203" s="17"/>
      <c r="I1203" s="4">
        <f t="shared" si="18"/>
        <v>349526.07999999996</v>
      </c>
      <c r="J1203" s="32" t="str">
        <f t="shared" si="19"/>
        <v/>
      </c>
      <c r="K1203" s="79"/>
      <c r="L1203" s="79"/>
      <c r="M1203" s="2"/>
      <c r="N1203" s="5"/>
      <c r="O1203" s="3"/>
      <c r="P1203" s="6"/>
      <c r="Q1203" s="6"/>
    </row>
    <row r="1204" spans="1:17" ht="15" customHeight="1" x14ac:dyDescent="0.25">
      <c r="A1204" s="1"/>
      <c r="B1204" s="17"/>
      <c r="C1204" s="17"/>
      <c r="D1204" s="17"/>
      <c r="E1204" s="17"/>
      <c r="F1204" s="17"/>
      <c r="G1204" s="4">
        <f t="shared" si="20"/>
        <v>0</v>
      </c>
      <c r="H1204" s="17"/>
      <c r="I1204" s="4">
        <f t="shared" si="18"/>
        <v>349526.07999999996</v>
      </c>
      <c r="J1204" s="32" t="str">
        <f t="shared" si="19"/>
        <v/>
      </c>
      <c r="K1204" s="79"/>
      <c r="L1204" s="79"/>
      <c r="M1204" s="2"/>
      <c r="N1204" s="5"/>
      <c r="O1204" s="3"/>
      <c r="P1204" s="6"/>
      <c r="Q1204" s="6"/>
    </row>
    <row r="1205" spans="1:17" ht="15" customHeight="1" x14ac:dyDescent="0.25">
      <c r="A1205" s="1"/>
      <c r="B1205" s="17"/>
      <c r="C1205" s="17"/>
      <c r="D1205" s="17"/>
      <c r="E1205" s="17"/>
      <c r="F1205" s="17"/>
      <c r="G1205" s="4">
        <f t="shared" si="20"/>
        <v>0</v>
      </c>
      <c r="H1205" s="17"/>
      <c r="I1205" s="4">
        <f t="shared" si="18"/>
        <v>349526.07999999996</v>
      </c>
      <c r="J1205" s="32" t="str">
        <f t="shared" si="19"/>
        <v/>
      </c>
      <c r="K1205" s="79"/>
      <c r="L1205" s="79"/>
      <c r="M1205" s="2"/>
      <c r="N1205" s="5"/>
      <c r="O1205" s="3"/>
      <c r="P1205" s="6"/>
      <c r="Q1205" s="6"/>
    </row>
    <row r="1206" spans="1:17" ht="15" customHeight="1" x14ac:dyDescent="0.25">
      <c r="A1206" s="1"/>
      <c r="B1206" s="17"/>
      <c r="C1206" s="17"/>
      <c r="D1206" s="17"/>
      <c r="E1206" s="17"/>
      <c r="F1206" s="17"/>
      <c r="G1206" s="4">
        <f t="shared" si="20"/>
        <v>0</v>
      </c>
      <c r="H1206" s="17"/>
      <c r="I1206" s="4">
        <f t="shared" ref="I1206:I1269" si="21">$I1205+$G1206-$H1206</f>
        <v>349526.07999999996</v>
      </c>
      <c r="J1206" s="32" t="str">
        <f t="shared" ref="J1206:J1269" si="22">IF($A1207&lt;&gt;$A1206,$I1206,"")</f>
        <v/>
      </c>
      <c r="K1206" s="79"/>
      <c r="L1206" s="79"/>
      <c r="M1206" s="2"/>
      <c r="N1206" s="5"/>
      <c r="O1206" s="3"/>
      <c r="P1206" s="6"/>
      <c r="Q1206" s="6"/>
    </row>
    <row r="1207" spans="1:17" ht="15" customHeight="1" x14ac:dyDescent="0.25">
      <c r="A1207" s="1"/>
      <c r="B1207" s="17"/>
      <c r="C1207" s="17"/>
      <c r="D1207" s="17"/>
      <c r="E1207" s="17"/>
      <c r="F1207" s="17"/>
      <c r="G1207" s="4">
        <f t="shared" si="20"/>
        <v>0</v>
      </c>
      <c r="H1207" s="17"/>
      <c r="I1207" s="4">
        <f t="shared" si="21"/>
        <v>349526.07999999996</v>
      </c>
      <c r="J1207" s="32" t="str">
        <f t="shared" si="22"/>
        <v/>
      </c>
      <c r="K1207" s="79"/>
      <c r="L1207" s="79"/>
      <c r="M1207" s="2"/>
      <c r="N1207" s="5"/>
      <c r="O1207" s="3"/>
      <c r="P1207" s="6"/>
      <c r="Q1207" s="6"/>
    </row>
    <row r="1208" spans="1:17" ht="15" customHeight="1" x14ac:dyDescent="0.25">
      <c r="A1208" s="1"/>
      <c r="B1208" s="17"/>
      <c r="C1208" s="17"/>
      <c r="D1208" s="17"/>
      <c r="E1208" s="17"/>
      <c r="F1208" s="17"/>
      <c r="G1208" s="4">
        <f t="shared" si="20"/>
        <v>0</v>
      </c>
      <c r="H1208" s="17"/>
      <c r="I1208" s="4">
        <f t="shared" si="21"/>
        <v>349526.07999999996</v>
      </c>
      <c r="J1208" s="32" t="str">
        <f t="shared" si="22"/>
        <v/>
      </c>
      <c r="K1208" s="79"/>
      <c r="L1208" s="79"/>
      <c r="M1208" s="2"/>
      <c r="N1208" s="5"/>
      <c r="O1208" s="3"/>
      <c r="P1208" s="6"/>
      <c r="Q1208" s="6"/>
    </row>
    <row r="1209" spans="1:17" ht="15" customHeight="1" x14ac:dyDescent="0.25">
      <c r="A1209" s="1"/>
      <c r="B1209" s="17"/>
      <c r="C1209" s="17"/>
      <c r="D1209" s="17"/>
      <c r="E1209" s="17"/>
      <c r="F1209" s="17"/>
      <c r="G1209" s="4">
        <f t="shared" si="20"/>
        <v>0</v>
      </c>
      <c r="H1209" s="17"/>
      <c r="I1209" s="4">
        <f t="shared" si="21"/>
        <v>349526.07999999996</v>
      </c>
      <c r="J1209" s="32" t="str">
        <f t="shared" si="22"/>
        <v/>
      </c>
      <c r="K1209" s="79"/>
      <c r="L1209" s="79"/>
      <c r="M1209" s="2"/>
      <c r="N1209" s="5"/>
      <c r="O1209" s="3"/>
      <c r="P1209" s="6"/>
      <c r="Q1209" s="6"/>
    </row>
    <row r="1210" spans="1:17" ht="15" customHeight="1" x14ac:dyDescent="0.25">
      <c r="A1210" s="1"/>
      <c r="B1210" s="17"/>
      <c r="C1210" s="17"/>
      <c r="D1210" s="17"/>
      <c r="E1210" s="17"/>
      <c r="F1210" s="17"/>
      <c r="G1210" s="4">
        <f t="shared" si="20"/>
        <v>0</v>
      </c>
      <c r="H1210" s="17"/>
      <c r="I1210" s="4">
        <f t="shared" si="21"/>
        <v>349526.07999999996</v>
      </c>
      <c r="J1210" s="32" t="str">
        <f t="shared" si="22"/>
        <v/>
      </c>
      <c r="K1210" s="79"/>
      <c r="L1210" s="79"/>
      <c r="M1210" s="2"/>
      <c r="N1210" s="5"/>
      <c r="O1210" s="3"/>
      <c r="P1210" s="6"/>
      <c r="Q1210" s="6"/>
    </row>
    <row r="1211" spans="1:17" ht="15" customHeight="1" x14ac:dyDescent="0.25">
      <c r="A1211" s="1"/>
      <c r="B1211" s="17"/>
      <c r="C1211" s="17"/>
      <c r="D1211" s="17"/>
      <c r="E1211" s="17"/>
      <c r="F1211" s="17"/>
      <c r="G1211" s="4">
        <f t="shared" si="20"/>
        <v>0</v>
      </c>
      <c r="H1211" s="17"/>
      <c r="I1211" s="4">
        <f t="shared" si="21"/>
        <v>349526.07999999996</v>
      </c>
      <c r="J1211" s="32" t="str">
        <f t="shared" si="22"/>
        <v/>
      </c>
      <c r="K1211" s="79"/>
      <c r="L1211" s="79"/>
      <c r="M1211" s="2"/>
      <c r="N1211" s="5"/>
      <c r="O1211" s="3"/>
      <c r="P1211" s="6"/>
      <c r="Q1211" s="6"/>
    </row>
    <row r="1212" spans="1:17" ht="15" customHeight="1" x14ac:dyDescent="0.25">
      <c r="A1212" s="1"/>
      <c r="B1212" s="17"/>
      <c r="C1212" s="17"/>
      <c r="D1212" s="17"/>
      <c r="E1212" s="17"/>
      <c r="F1212" s="17"/>
      <c r="G1212" s="4">
        <f t="shared" si="20"/>
        <v>0</v>
      </c>
      <c r="H1212" s="17"/>
      <c r="I1212" s="4">
        <f t="shared" si="21"/>
        <v>349526.07999999996</v>
      </c>
      <c r="J1212" s="32" t="str">
        <f t="shared" si="22"/>
        <v/>
      </c>
      <c r="K1212" s="79"/>
      <c r="L1212" s="79"/>
      <c r="M1212" s="2"/>
      <c r="N1212" s="5"/>
      <c r="O1212" s="3"/>
      <c r="P1212" s="6"/>
      <c r="Q1212" s="6"/>
    </row>
    <row r="1213" spans="1:17" ht="15" customHeight="1" x14ac:dyDescent="0.25">
      <c r="A1213" s="1"/>
      <c r="B1213" s="17"/>
      <c r="C1213" s="17"/>
      <c r="D1213" s="17"/>
      <c r="E1213" s="17"/>
      <c r="F1213" s="17"/>
      <c r="G1213" s="4">
        <f t="shared" si="20"/>
        <v>0</v>
      </c>
      <c r="H1213" s="17"/>
      <c r="I1213" s="4">
        <f t="shared" si="21"/>
        <v>349526.07999999996</v>
      </c>
      <c r="J1213" s="32" t="str">
        <f t="shared" si="22"/>
        <v/>
      </c>
      <c r="K1213" s="79"/>
      <c r="L1213" s="79"/>
      <c r="M1213" s="2"/>
      <c r="N1213" s="5"/>
      <c r="O1213" s="3"/>
      <c r="P1213" s="6"/>
      <c r="Q1213" s="6"/>
    </row>
    <row r="1214" spans="1:17" ht="15" customHeight="1" x14ac:dyDescent="0.25">
      <c r="A1214" s="1"/>
      <c r="B1214" s="17"/>
      <c r="C1214" s="17"/>
      <c r="D1214" s="17"/>
      <c r="E1214" s="17"/>
      <c r="F1214" s="17"/>
      <c r="G1214" s="4">
        <f t="shared" si="20"/>
        <v>0</v>
      </c>
      <c r="H1214" s="17"/>
      <c r="I1214" s="4">
        <f t="shared" si="21"/>
        <v>349526.07999999996</v>
      </c>
      <c r="J1214" s="32" t="str">
        <f t="shared" si="22"/>
        <v/>
      </c>
      <c r="K1214" s="79"/>
      <c r="L1214" s="79"/>
      <c r="M1214" s="2"/>
      <c r="N1214" s="5"/>
      <c r="O1214" s="3"/>
      <c r="P1214" s="6"/>
      <c r="Q1214" s="6"/>
    </row>
    <row r="1215" spans="1:17" ht="15" customHeight="1" x14ac:dyDescent="0.25">
      <c r="A1215" s="1"/>
      <c r="B1215" s="17"/>
      <c r="C1215" s="17"/>
      <c r="D1215" s="17"/>
      <c r="E1215" s="17"/>
      <c r="F1215" s="17"/>
      <c r="G1215" s="4">
        <f t="shared" si="20"/>
        <v>0</v>
      </c>
      <c r="H1215" s="17"/>
      <c r="I1215" s="4">
        <f t="shared" si="21"/>
        <v>349526.07999999996</v>
      </c>
      <c r="J1215" s="32" t="str">
        <f t="shared" si="22"/>
        <v/>
      </c>
      <c r="K1215" s="79"/>
      <c r="L1215" s="79"/>
      <c r="M1215" s="2"/>
      <c r="N1215" s="5"/>
      <c r="O1215" s="3"/>
      <c r="P1215" s="6"/>
      <c r="Q1215" s="6"/>
    </row>
    <row r="1216" spans="1:17" ht="15" customHeight="1" x14ac:dyDescent="0.25">
      <c r="A1216" s="1"/>
      <c r="B1216" s="17"/>
      <c r="C1216" s="17"/>
      <c r="D1216" s="17"/>
      <c r="E1216" s="17"/>
      <c r="F1216" s="17"/>
      <c r="G1216" s="4">
        <f t="shared" si="20"/>
        <v>0</v>
      </c>
      <c r="H1216" s="17"/>
      <c r="I1216" s="4">
        <f t="shared" si="21"/>
        <v>349526.07999999996</v>
      </c>
      <c r="J1216" s="32" t="str">
        <f t="shared" si="22"/>
        <v/>
      </c>
      <c r="K1216" s="79"/>
      <c r="L1216" s="79"/>
      <c r="M1216" s="2"/>
      <c r="N1216" s="5"/>
      <c r="O1216" s="3"/>
      <c r="P1216" s="6"/>
      <c r="Q1216" s="6"/>
    </row>
    <row r="1217" spans="1:17" ht="15" customHeight="1" x14ac:dyDescent="0.25">
      <c r="A1217" s="1"/>
      <c r="B1217" s="17"/>
      <c r="C1217" s="17"/>
      <c r="D1217" s="17"/>
      <c r="E1217" s="17"/>
      <c r="F1217" s="17"/>
      <c r="G1217" s="4">
        <f t="shared" si="20"/>
        <v>0</v>
      </c>
      <c r="H1217" s="17"/>
      <c r="I1217" s="4">
        <f t="shared" si="21"/>
        <v>349526.07999999996</v>
      </c>
      <c r="J1217" s="32" t="str">
        <f t="shared" si="22"/>
        <v/>
      </c>
      <c r="K1217" s="79"/>
      <c r="L1217" s="79"/>
      <c r="M1217" s="2"/>
      <c r="N1217" s="5"/>
      <c r="O1217" s="3"/>
      <c r="P1217" s="6"/>
      <c r="Q1217" s="6"/>
    </row>
    <row r="1218" spans="1:17" ht="15" customHeight="1" x14ac:dyDescent="0.25">
      <c r="A1218" s="1"/>
      <c r="B1218" s="17"/>
      <c r="C1218" s="17"/>
      <c r="D1218" s="17"/>
      <c r="E1218" s="17"/>
      <c r="F1218" s="17"/>
      <c r="G1218" s="4">
        <f t="shared" si="20"/>
        <v>0</v>
      </c>
      <c r="H1218" s="17"/>
      <c r="I1218" s="4">
        <f t="shared" si="21"/>
        <v>349526.07999999996</v>
      </c>
      <c r="J1218" s="32" t="str">
        <f t="shared" si="22"/>
        <v/>
      </c>
      <c r="K1218" s="79"/>
      <c r="L1218" s="79"/>
      <c r="M1218" s="2"/>
      <c r="N1218" s="5"/>
      <c r="O1218" s="3"/>
      <c r="P1218" s="6"/>
      <c r="Q1218" s="6"/>
    </row>
    <row r="1219" spans="1:17" ht="15" customHeight="1" x14ac:dyDescent="0.25">
      <c r="A1219" s="1"/>
      <c r="B1219" s="17"/>
      <c r="C1219" s="17"/>
      <c r="D1219" s="17"/>
      <c r="E1219" s="17"/>
      <c r="F1219" s="17"/>
      <c r="G1219" s="4">
        <f t="shared" ref="G1219:G1282" si="23">SUM($B1219:$F1219)</f>
        <v>0</v>
      </c>
      <c r="H1219" s="17"/>
      <c r="I1219" s="4">
        <f t="shared" si="21"/>
        <v>349526.07999999996</v>
      </c>
      <c r="J1219" s="32" t="str">
        <f t="shared" si="22"/>
        <v/>
      </c>
      <c r="K1219" s="79"/>
      <c r="L1219" s="79"/>
      <c r="M1219" s="2"/>
      <c r="N1219" s="5"/>
      <c r="O1219" s="3"/>
      <c r="P1219" s="6"/>
      <c r="Q1219" s="6"/>
    </row>
    <row r="1220" spans="1:17" ht="15" customHeight="1" x14ac:dyDescent="0.25">
      <c r="A1220" s="1"/>
      <c r="B1220" s="17"/>
      <c r="C1220" s="17"/>
      <c r="D1220" s="17"/>
      <c r="E1220" s="17"/>
      <c r="F1220" s="17"/>
      <c r="G1220" s="4">
        <f t="shared" si="23"/>
        <v>0</v>
      </c>
      <c r="H1220" s="17"/>
      <c r="I1220" s="4">
        <f t="shared" si="21"/>
        <v>349526.07999999996</v>
      </c>
      <c r="J1220" s="32" t="str">
        <f t="shared" si="22"/>
        <v/>
      </c>
      <c r="K1220" s="79"/>
      <c r="L1220" s="79"/>
      <c r="M1220" s="2"/>
      <c r="N1220" s="5"/>
      <c r="O1220" s="3"/>
      <c r="P1220" s="6"/>
      <c r="Q1220" s="6"/>
    </row>
    <row r="1221" spans="1:17" ht="15" customHeight="1" x14ac:dyDescent="0.25">
      <c r="A1221" s="1"/>
      <c r="B1221" s="17"/>
      <c r="C1221" s="17"/>
      <c r="D1221" s="17"/>
      <c r="E1221" s="17"/>
      <c r="F1221" s="17"/>
      <c r="G1221" s="4">
        <f t="shared" si="23"/>
        <v>0</v>
      </c>
      <c r="H1221" s="17"/>
      <c r="I1221" s="4">
        <f t="shared" si="21"/>
        <v>349526.07999999996</v>
      </c>
      <c r="J1221" s="32" t="str">
        <f t="shared" si="22"/>
        <v/>
      </c>
      <c r="K1221" s="79"/>
      <c r="L1221" s="79"/>
      <c r="M1221" s="2"/>
      <c r="N1221" s="5"/>
      <c r="O1221" s="3"/>
      <c r="P1221" s="6"/>
      <c r="Q1221" s="6"/>
    </row>
    <row r="1222" spans="1:17" ht="15" customHeight="1" x14ac:dyDescent="0.25">
      <c r="A1222" s="1"/>
      <c r="B1222" s="17"/>
      <c r="C1222" s="17"/>
      <c r="D1222" s="17"/>
      <c r="E1222" s="17"/>
      <c r="F1222" s="17"/>
      <c r="G1222" s="4">
        <f t="shared" si="23"/>
        <v>0</v>
      </c>
      <c r="H1222" s="17"/>
      <c r="I1222" s="4">
        <f t="shared" si="21"/>
        <v>349526.07999999996</v>
      </c>
      <c r="J1222" s="32" t="str">
        <f t="shared" si="22"/>
        <v/>
      </c>
      <c r="K1222" s="79"/>
      <c r="L1222" s="79"/>
      <c r="M1222" s="2"/>
      <c r="N1222" s="5"/>
      <c r="O1222" s="3"/>
      <c r="P1222" s="6"/>
      <c r="Q1222" s="6"/>
    </row>
    <row r="1223" spans="1:17" ht="15" customHeight="1" x14ac:dyDescent="0.25">
      <c r="A1223" s="1"/>
      <c r="B1223" s="17"/>
      <c r="C1223" s="17"/>
      <c r="D1223" s="17"/>
      <c r="E1223" s="17"/>
      <c r="F1223" s="17"/>
      <c r="G1223" s="4">
        <f t="shared" si="23"/>
        <v>0</v>
      </c>
      <c r="H1223" s="17"/>
      <c r="I1223" s="4">
        <f t="shared" si="21"/>
        <v>349526.07999999996</v>
      </c>
      <c r="J1223" s="32" t="str">
        <f t="shared" si="22"/>
        <v/>
      </c>
      <c r="K1223" s="79"/>
      <c r="L1223" s="79"/>
      <c r="M1223" s="2"/>
      <c r="N1223" s="5"/>
      <c r="O1223" s="3"/>
      <c r="P1223" s="6"/>
      <c r="Q1223" s="6"/>
    </row>
    <row r="1224" spans="1:17" ht="15" customHeight="1" x14ac:dyDescent="0.25">
      <c r="A1224" s="1"/>
      <c r="B1224" s="17"/>
      <c r="C1224" s="17"/>
      <c r="D1224" s="17"/>
      <c r="E1224" s="17"/>
      <c r="F1224" s="17"/>
      <c r="G1224" s="4">
        <f t="shared" si="23"/>
        <v>0</v>
      </c>
      <c r="H1224" s="17"/>
      <c r="I1224" s="4">
        <f t="shared" si="21"/>
        <v>349526.07999999996</v>
      </c>
      <c r="J1224" s="32" t="str">
        <f t="shared" si="22"/>
        <v/>
      </c>
      <c r="K1224" s="79"/>
      <c r="L1224" s="79"/>
      <c r="M1224" s="2"/>
      <c r="N1224" s="5"/>
      <c r="O1224" s="3"/>
      <c r="P1224" s="6"/>
      <c r="Q1224" s="6"/>
    </row>
    <row r="1225" spans="1:17" ht="15" customHeight="1" x14ac:dyDescent="0.25">
      <c r="A1225" s="1"/>
      <c r="B1225" s="17"/>
      <c r="C1225" s="17"/>
      <c r="D1225" s="17"/>
      <c r="E1225" s="17"/>
      <c r="F1225" s="17"/>
      <c r="G1225" s="4">
        <f t="shared" si="23"/>
        <v>0</v>
      </c>
      <c r="H1225" s="17"/>
      <c r="I1225" s="4">
        <f t="shared" si="21"/>
        <v>349526.07999999996</v>
      </c>
      <c r="J1225" s="32" t="str">
        <f t="shared" si="22"/>
        <v/>
      </c>
      <c r="K1225" s="79"/>
      <c r="L1225" s="79"/>
      <c r="M1225" s="2"/>
      <c r="N1225" s="5"/>
      <c r="O1225" s="3"/>
      <c r="P1225" s="6"/>
      <c r="Q1225" s="6"/>
    </row>
    <row r="1226" spans="1:17" ht="15" customHeight="1" x14ac:dyDescent="0.25">
      <c r="A1226" s="1"/>
      <c r="B1226" s="17"/>
      <c r="C1226" s="17"/>
      <c r="D1226" s="17"/>
      <c r="E1226" s="17"/>
      <c r="F1226" s="17"/>
      <c r="G1226" s="4">
        <f t="shared" si="23"/>
        <v>0</v>
      </c>
      <c r="H1226" s="17"/>
      <c r="I1226" s="4">
        <f t="shared" si="21"/>
        <v>349526.07999999996</v>
      </c>
      <c r="J1226" s="32" t="str">
        <f t="shared" si="22"/>
        <v/>
      </c>
      <c r="K1226" s="79"/>
      <c r="L1226" s="79"/>
      <c r="M1226" s="2"/>
      <c r="N1226" s="5"/>
      <c r="O1226" s="3"/>
      <c r="P1226" s="6"/>
      <c r="Q1226" s="6"/>
    </row>
    <row r="1227" spans="1:17" ht="15" customHeight="1" x14ac:dyDescent="0.25">
      <c r="A1227" s="1"/>
      <c r="B1227" s="17"/>
      <c r="C1227" s="17"/>
      <c r="D1227" s="17"/>
      <c r="E1227" s="17"/>
      <c r="F1227" s="17"/>
      <c r="G1227" s="4">
        <f t="shared" si="23"/>
        <v>0</v>
      </c>
      <c r="H1227" s="17"/>
      <c r="I1227" s="4">
        <f t="shared" si="21"/>
        <v>349526.07999999996</v>
      </c>
      <c r="J1227" s="32" t="str">
        <f t="shared" si="22"/>
        <v/>
      </c>
      <c r="K1227" s="79"/>
      <c r="L1227" s="79"/>
      <c r="M1227" s="2"/>
      <c r="N1227" s="5"/>
      <c r="O1227" s="3"/>
      <c r="P1227" s="6"/>
      <c r="Q1227" s="6"/>
    </row>
    <row r="1228" spans="1:17" ht="15" customHeight="1" x14ac:dyDescent="0.25">
      <c r="A1228" s="1"/>
      <c r="B1228" s="17"/>
      <c r="C1228" s="17"/>
      <c r="D1228" s="17"/>
      <c r="E1228" s="17"/>
      <c r="F1228" s="17"/>
      <c r="G1228" s="4">
        <f t="shared" si="23"/>
        <v>0</v>
      </c>
      <c r="H1228" s="17"/>
      <c r="I1228" s="4">
        <f t="shared" si="21"/>
        <v>349526.07999999996</v>
      </c>
      <c r="J1228" s="32" t="str">
        <f t="shared" si="22"/>
        <v/>
      </c>
      <c r="K1228" s="79"/>
      <c r="L1228" s="79"/>
      <c r="M1228" s="2"/>
      <c r="N1228" s="5"/>
      <c r="O1228" s="3"/>
      <c r="P1228" s="6"/>
      <c r="Q1228" s="6"/>
    </row>
    <row r="1229" spans="1:17" ht="15" customHeight="1" x14ac:dyDescent="0.25">
      <c r="A1229" s="1"/>
      <c r="B1229" s="17"/>
      <c r="C1229" s="17"/>
      <c r="D1229" s="17"/>
      <c r="E1229" s="17"/>
      <c r="F1229" s="17"/>
      <c r="G1229" s="4">
        <f t="shared" si="23"/>
        <v>0</v>
      </c>
      <c r="H1229" s="17"/>
      <c r="I1229" s="4">
        <f t="shared" si="21"/>
        <v>349526.07999999996</v>
      </c>
      <c r="J1229" s="32" t="str">
        <f t="shared" si="22"/>
        <v/>
      </c>
      <c r="K1229" s="79"/>
      <c r="L1229" s="79"/>
      <c r="M1229" s="2"/>
      <c r="N1229" s="5"/>
      <c r="O1229" s="3"/>
      <c r="P1229" s="6"/>
      <c r="Q1229" s="6"/>
    </row>
    <row r="1230" spans="1:17" ht="15" customHeight="1" x14ac:dyDescent="0.25">
      <c r="A1230" s="1"/>
      <c r="B1230" s="17"/>
      <c r="C1230" s="17"/>
      <c r="D1230" s="17"/>
      <c r="E1230" s="17"/>
      <c r="F1230" s="17"/>
      <c r="G1230" s="4">
        <f t="shared" si="23"/>
        <v>0</v>
      </c>
      <c r="H1230" s="17"/>
      <c r="I1230" s="4">
        <f t="shared" si="21"/>
        <v>349526.07999999996</v>
      </c>
      <c r="J1230" s="32" t="str">
        <f t="shared" si="22"/>
        <v/>
      </c>
      <c r="K1230" s="79"/>
      <c r="L1230" s="79"/>
      <c r="M1230" s="2"/>
      <c r="N1230" s="5"/>
      <c r="O1230" s="3"/>
      <c r="P1230" s="6"/>
      <c r="Q1230" s="6"/>
    </row>
    <row r="1231" spans="1:17" ht="15" customHeight="1" x14ac:dyDescent="0.25">
      <c r="A1231" s="1"/>
      <c r="B1231" s="17"/>
      <c r="C1231" s="17"/>
      <c r="D1231" s="17"/>
      <c r="E1231" s="17"/>
      <c r="F1231" s="17"/>
      <c r="G1231" s="4">
        <f t="shared" si="23"/>
        <v>0</v>
      </c>
      <c r="H1231" s="17"/>
      <c r="I1231" s="4">
        <f t="shared" si="21"/>
        <v>349526.07999999996</v>
      </c>
      <c r="J1231" s="32" t="str">
        <f t="shared" si="22"/>
        <v/>
      </c>
      <c r="K1231" s="79"/>
      <c r="L1231" s="79"/>
      <c r="M1231" s="2"/>
      <c r="N1231" s="5"/>
      <c r="O1231" s="3"/>
      <c r="P1231" s="6"/>
      <c r="Q1231" s="6"/>
    </row>
    <row r="1232" spans="1:17" ht="15" customHeight="1" x14ac:dyDescent="0.25">
      <c r="A1232" s="1"/>
      <c r="B1232" s="17"/>
      <c r="C1232" s="17"/>
      <c r="D1232" s="17"/>
      <c r="E1232" s="17"/>
      <c r="F1232" s="17"/>
      <c r="G1232" s="4">
        <f t="shared" si="23"/>
        <v>0</v>
      </c>
      <c r="H1232" s="17"/>
      <c r="I1232" s="4">
        <f t="shared" si="21"/>
        <v>349526.07999999996</v>
      </c>
      <c r="J1232" s="32" t="str">
        <f t="shared" si="22"/>
        <v/>
      </c>
      <c r="K1232" s="79"/>
      <c r="L1232" s="79"/>
      <c r="M1232" s="2"/>
      <c r="N1232" s="5"/>
      <c r="O1232" s="3"/>
      <c r="P1232" s="6"/>
      <c r="Q1232" s="6"/>
    </row>
    <row r="1233" spans="1:17" ht="15" customHeight="1" x14ac:dyDescent="0.25">
      <c r="A1233" s="1"/>
      <c r="B1233" s="17"/>
      <c r="C1233" s="17"/>
      <c r="D1233" s="17"/>
      <c r="E1233" s="17"/>
      <c r="F1233" s="17"/>
      <c r="G1233" s="4">
        <f t="shared" si="23"/>
        <v>0</v>
      </c>
      <c r="H1233" s="17"/>
      <c r="I1233" s="4">
        <f t="shared" si="21"/>
        <v>349526.07999999996</v>
      </c>
      <c r="J1233" s="32" t="str">
        <f t="shared" si="22"/>
        <v/>
      </c>
      <c r="K1233" s="79"/>
      <c r="L1233" s="79"/>
      <c r="M1233" s="2"/>
      <c r="N1233" s="5"/>
      <c r="O1233" s="3"/>
      <c r="P1233" s="6"/>
      <c r="Q1233" s="6"/>
    </row>
    <row r="1234" spans="1:17" ht="15" customHeight="1" x14ac:dyDescent="0.25">
      <c r="A1234" s="1"/>
      <c r="B1234" s="17"/>
      <c r="C1234" s="17"/>
      <c r="D1234" s="17"/>
      <c r="E1234" s="17"/>
      <c r="F1234" s="17"/>
      <c r="G1234" s="4">
        <f t="shared" si="23"/>
        <v>0</v>
      </c>
      <c r="H1234" s="17"/>
      <c r="I1234" s="4">
        <f t="shared" si="21"/>
        <v>349526.07999999996</v>
      </c>
      <c r="J1234" s="32" t="str">
        <f t="shared" si="22"/>
        <v/>
      </c>
      <c r="K1234" s="79"/>
      <c r="L1234" s="79"/>
      <c r="M1234" s="2"/>
      <c r="N1234" s="5"/>
      <c r="O1234" s="3"/>
      <c r="P1234" s="6"/>
      <c r="Q1234" s="6"/>
    </row>
    <row r="1235" spans="1:17" ht="15" customHeight="1" x14ac:dyDescent="0.25">
      <c r="A1235" s="1"/>
      <c r="B1235" s="17"/>
      <c r="C1235" s="17"/>
      <c r="D1235" s="17"/>
      <c r="E1235" s="17"/>
      <c r="F1235" s="17"/>
      <c r="G1235" s="4">
        <f t="shared" si="23"/>
        <v>0</v>
      </c>
      <c r="H1235" s="17"/>
      <c r="I1235" s="4">
        <f t="shared" si="21"/>
        <v>349526.07999999996</v>
      </c>
      <c r="J1235" s="32" t="str">
        <f t="shared" si="22"/>
        <v/>
      </c>
      <c r="K1235" s="79"/>
      <c r="L1235" s="79"/>
      <c r="M1235" s="2"/>
      <c r="N1235" s="5"/>
      <c r="O1235" s="3"/>
      <c r="P1235" s="6"/>
      <c r="Q1235" s="6"/>
    </row>
    <row r="1236" spans="1:17" ht="15" customHeight="1" x14ac:dyDescent="0.25">
      <c r="A1236" s="1"/>
      <c r="B1236" s="17"/>
      <c r="C1236" s="17"/>
      <c r="D1236" s="17"/>
      <c r="E1236" s="17"/>
      <c r="F1236" s="17"/>
      <c r="G1236" s="4">
        <f t="shared" si="23"/>
        <v>0</v>
      </c>
      <c r="H1236" s="17"/>
      <c r="I1236" s="4">
        <f t="shared" si="21"/>
        <v>349526.07999999996</v>
      </c>
      <c r="J1236" s="32" t="str">
        <f t="shared" si="22"/>
        <v/>
      </c>
      <c r="K1236" s="79"/>
      <c r="L1236" s="79"/>
      <c r="M1236" s="2"/>
      <c r="N1236" s="5"/>
      <c r="O1236" s="3"/>
      <c r="P1236" s="6"/>
      <c r="Q1236" s="6"/>
    </row>
    <row r="1237" spans="1:17" ht="15" customHeight="1" x14ac:dyDescent="0.25">
      <c r="A1237" s="1"/>
      <c r="B1237" s="17"/>
      <c r="C1237" s="17"/>
      <c r="D1237" s="17"/>
      <c r="E1237" s="17"/>
      <c r="F1237" s="17"/>
      <c r="G1237" s="4">
        <f t="shared" si="23"/>
        <v>0</v>
      </c>
      <c r="H1237" s="17"/>
      <c r="I1237" s="4">
        <f t="shared" si="21"/>
        <v>349526.07999999996</v>
      </c>
      <c r="J1237" s="32" t="str">
        <f t="shared" si="22"/>
        <v/>
      </c>
      <c r="K1237" s="79"/>
      <c r="L1237" s="79"/>
      <c r="M1237" s="2"/>
      <c r="N1237" s="5"/>
      <c r="O1237" s="3"/>
      <c r="P1237" s="6"/>
      <c r="Q1237" s="6"/>
    </row>
    <row r="1238" spans="1:17" ht="15" customHeight="1" x14ac:dyDescent="0.25">
      <c r="A1238" s="1"/>
      <c r="B1238" s="17"/>
      <c r="C1238" s="17"/>
      <c r="D1238" s="17"/>
      <c r="E1238" s="17"/>
      <c r="F1238" s="17"/>
      <c r="G1238" s="4">
        <f t="shared" si="23"/>
        <v>0</v>
      </c>
      <c r="H1238" s="17"/>
      <c r="I1238" s="4">
        <f t="shared" si="21"/>
        <v>349526.07999999996</v>
      </c>
      <c r="J1238" s="32" t="str">
        <f t="shared" si="22"/>
        <v/>
      </c>
      <c r="K1238" s="79"/>
      <c r="L1238" s="79"/>
      <c r="M1238" s="2"/>
      <c r="N1238" s="5"/>
      <c r="O1238" s="3"/>
      <c r="P1238" s="6"/>
      <c r="Q1238" s="6"/>
    </row>
    <row r="1239" spans="1:17" ht="15" customHeight="1" x14ac:dyDescent="0.25">
      <c r="A1239" s="1"/>
      <c r="B1239" s="17"/>
      <c r="C1239" s="17"/>
      <c r="D1239" s="17"/>
      <c r="E1239" s="17"/>
      <c r="F1239" s="17"/>
      <c r="G1239" s="4">
        <f t="shared" si="23"/>
        <v>0</v>
      </c>
      <c r="H1239" s="17"/>
      <c r="I1239" s="4">
        <f t="shared" si="21"/>
        <v>349526.07999999996</v>
      </c>
      <c r="J1239" s="32" t="str">
        <f t="shared" si="22"/>
        <v/>
      </c>
      <c r="K1239" s="79"/>
      <c r="L1239" s="79"/>
      <c r="M1239" s="2"/>
      <c r="N1239" s="5"/>
      <c r="O1239" s="3"/>
      <c r="P1239" s="6"/>
      <c r="Q1239" s="6"/>
    </row>
    <row r="1240" spans="1:17" ht="15" customHeight="1" x14ac:dyDescent="0.25">
      <c r="A1240" s="1"/>
      <c r="B1240" s="17"/>
      <c r="C1240" s="17"/>
      <c r="D1240" s="17"/>
      <c r="E1240" s="17"/>
      <c r="F1240" s="17"/>
      <c r="G1240" s="4">
        <f t="shared" si="23"/>
        <v>0</v>
      </c>
      <c r="H1240" s="17"/>
      <c r="I1240" s="4">
        <f t="shared" si="21"/>
        <v>349526.07999999996</v>
      </c>
      <c r="J1240" s="32" t="str">
        <f t="shared" si="22"/>
        <v/>
      </c>
      <c r="K1240" s="79"/>
      <c r="L1240" s="79"/>
      <c r="M1240" s="2"/>
      <c r="N1240" s="5"/>
      <c r="O1240" s="3"/>
      <c r="P1240" s="6"/>
      <c r="Q1240" s="6"/>
    </row>
    <row r="1241" spans="1:17" ht="15" customHeight="1" x14ac:dyDescent="0.25">
      <c r="A1241" s="1"/>
      <c r="B1241" s="17"/>
      <c r="C1241" s="17"/>
      <c r="D1241" s="17"/>
      <c r="E1241" s="17"/>
      <c r="F1241" s="17"/>
      <c r="G1241" s="4">
        <f t="shared" si="23"/>
        <v>0</v>
      </c>
      <c r="H1241" s="17"/>
      <c r="I1241" s="4">
        <f t="shared" si="21"/>
        <v>349526.07999999996</v>
      </c>
      <c r="J1241" s="32" t="str">
        <f t="shared" si="22"/>
        <v/>
      </c>
      <c r="K1241" s="79"/>
      <c r="L1241" s="79"/>
      <c r="M1241" s="2"/>
      <c r="N1241" s="5"/>
      <c r="O1241" s="3"/>
      <c r="P1241" s="6"/>
      <c r="Q1241" s="6"/>
    </row>
    <row r="1242" spans="1:17" ht="15" customHeight="1" x14ac:dyDescent="0.25">
      <c r="A1242" s="1"/>
      <c r="B1242" s="17"/>
      <c r="C1242" s="17"/>
      <c r="D1242" s="17"/>
      <c r="E1242" s="17"/>
      <c r="F1242" s="17"/>
      <c r="G1242" s="4">
        <f t="shared" si="23"/>
        <v>0</v>
      </c>
      <c r="H1242" s="17"/>
      <c r="I1242" s="4">
        <f t="shared" si="21"/>
        <v>349526.07999999996</v>
      </c>
      <c r="J1242" s="32" t="str">
        <f t="shared" si="22"/>
        <v/>
      </c>
      <c r="K1242" s="79"/>
      <c r="L1242" s="79"/>
      <c r="M1242" s="2"/>
      <c r="N1242" s="5"/>
      <c r="O1242" s="3"/>
      <c r="P1242" s="6"/>
      <c r="Q1242" s="6"/>
    </row>
    <row r="1243" spans="1:17" ht="15" customHeight="1" x14ac:dyDescent="0.25">
      <c r="A1243" s="1"/>
      <c r="B1243" s="17"/>
      <c r="C1243" s="17"/>
      <c r="D1243" s="17"/>
      <c r="E1243" s="17"/>
      <c r="F1243" s="17"/>
      <c r="G1243" s="4">
        <f t="shared" si="23"/>
        <v>0</v>
      </c>
      <c r="H1243" s="17"/>
      <c r="I1243" s="4">
        <f t="shared" si="21"/>
        <v>349526.07999999996</v>
      </c>
      <c r="J1243" s="32" t="str">
        <f t="shared" si="22"/>
        <v/>
      </c>
      <c r="K1243" s="79"/>
      <c r="L1243" s="79"/>
      <c r="M1243" s="2"/>
      <c r="N1243" s="5"/>
      <c r="O1243" s="3"/>
      <c r="P1243" s="6"/>
      <c r="Q1243" s="6"/>
    </row>
    <row r="1244" spans="1:17" ht="15" customHeight="1" x14ac:dyDescent="0.25">
      <c r="A1244" s="1"/>
      <c r="B1244" s="17"/>
      <c r="C1244" s="17"/>
      <c r="D1244" s="17"/>
      <c r="E1244" s="17"/>
      <c r="F1244" s="17"/>
      <c r="G1244" s="4">
        <f t="shared" si="23"/>
        <v>0</v>
      </c>
      <c r="H1244" s="17"/>
      <c r="I1244" s="4">
        <f t="shared" si="21"/>
        <v>349526.07999999996</v>
      </c>
      <c r="J1244" s="32" t="str">
        <f t="shared" si="22"/>
        <v/>
      </c>
      <c r="K1244" s="79"/>
      <c r="L1244" s="79"/>
      <c r="M1244" s="2"/>
      <c r="N1244" s="5"/>
      <c r="O1244" s="3"/>
      <c r="P1244" s="6"/>
      <c r="Q1244" s="6"/>
    </row>
    <row r="1245" spans="1:17" ht="15" customHeight="1" x14ac:dyDescent="0.25">
      <c r="A1245" s="1"/>
      <c r="B1245" s="17"/>
      <c r="C1245" s="17"/>
      <c r="D1245" s="17"/>
      <c r="E1245" s="17"/>
      <c r="F1245" s="17"/>
      <c r="G1245" s="4">
        <f t="shared" si="23"/>
        <v>0</v>
      </c>
      <c r="H1245" s="17"/>
      <c r="I1245" s="4">
        <f t="shared" si="21"/>
        <v>349526.07999999996</v>
      </c>
      <c r="J1245" s="32" t="str">
        <f t="shared" si="22"/>
        <v/>
      </c>
      <c r="K1245" s="79"/>
      <c r="L1245" s="79"/>
      <c r="M1245" s="2"/>
      <c r="N1245" s="5"/>
      <c r="O1245" s="3"/>
      <c r="P1245" s="6"/>
      <c r="Q1245" s="6"/>
    </row>
    <row r="1246" spans="1:17" ht="15" customHeight="1" x14ac:dyDescent="0.25">
      <c r="A1246" s="1"/>
      <c r="B1246" s="17"/>
      <c r="C1246" s="17"/>
      <c r="D1246" s="17"/>
      <c r="E1246" s="17"/>
      <c r="F1246" s="17"/>
      <c r="G1246" s="4">
        <f t="shared" si="23"/>
        <v>0</v>
      </c>
      <c r="H1246" s="17"/>
      <c r="I1246" s="4">
        <f t="shared" si="21"/>
        <v>349526.07999999996</v>
      </c>
      <c r="J1246" s="32" t="str">
        <f t="shared" si="22"/>
        <v/>
      </c>
      <c r="K1246" s="79"/>
      <c r="L1246" s="79"/>
      <c r="M1246" s="2"/>
      <c r="N1246" s="5"/>
      <c r="O1246" s="3"/>
      <c r="P1246" s="6"/>
      <c r="Q1246" s="6"/>
    </row>
    <row r="1247" spans="1:17" ht="15" customHeight="1" x14ac:dyDescent="0.25">
      <c r="A1247" s="1"/>
      <c r="B1247" s="17"/>
      <c r="C1247" s="17"/>
      <c r="D1247" s="17"/>
      <c r="E1247" s="17"/>
      <c r="F1247" s="17"/>
      <c r="G1247" s="4">
        <f t="shared" si="23"/>
        <v>0</v>
      </c>
      <c r="H1247" s="17"/>
      <c r="I1247" s="4">
        <f t="shared" si="21"/>
        <v>349526.07999999996</v>
      </c>
      <c r="J1247" s="32" t="str">
        <f t="shared" si="22"/>
        <v/>
      </c>
      <c r="K1247" s="79"/>
      <c r="L1247" s="79"/>
      <c r="M1247" s="2"/>
      <c r="N1247" s="5"/>
      <c r="O1247" s="3"/>
      <c r="P1247" s="6"/>
      <c r="Q1247" s="6"/>
    </row>
    <row r="1248" spans="1:17" ht="15" customHeight="1" x14ac:dyDescent="0.25">
      <c r="A1248" s="1"/>
      <c r="B1248" s="17"/>
      <c r="C1248" s="17"/>
      <c r="D1248" s="17"/>
      <c r="E1248" s="17"/>
      <c r="F1248" s="17"/>
      <c r="G1248" s="4">
        <f t="shared" si="23"/>
        <v>0</v>
      </c>
      <c r="H1248" s="17"/>
      <c r="I1248" s="4">
        <f t="shared" si="21"/>
        <v>349526.07999999996</v>
      </c>
      <c r="J1248" s="32" t="str">
        <f t="shared" si="22"/>
        <v/>
      </c>
      <c r="K1248" s="79"/>
      <c r="L1248" s="79"/>
      <c r="M1248" s="2"/>
      <c r="N1248" s="5"/>
      <c r="O1248" s="3"/>
      <c r="P1248" s="6"/>
      <c r="Q1248" s="6"/>
    </row>
    <row r="1249" spans="1:17" ht="15" customHeight="1" x14ac:dyDescent="0.25">
      <c r="A1249" s="1"/>
      <c r="B1249" s="17"/>
      <c r="C1249" s="17"/>
      <c r="D1249" s="17"/>
      <c r="E1249" s="17"/>
      <c r="F1249" s="17"/>
      <c r="G1249" s="4">
        <f t="shared" si="23"/>
        <v>0</v>
      </c>
      <c r="H1249" s="17"/>
      <c r="I1249" s="4">
        <f t="shared" si="21"/>
        <v>349526.07999999996</v>
      </c>
      <c r="J1249" s="32" t="str">
        <f t="shared" si="22"/>
        <v/>
      </c>
      <c r="K1249" s="79"/>
      <c r="L1249" s="79"/>
      <c r="M1249" s="2"/>
      <c r="N1249" s="5"/>
      <c r="O1249" s="3"/>
      <c r="P1249" s="6"/>
      <c r="Q1249" s="6"/>
    </row>
    <row r="1250" spans="1:17" ht="15" customHeight="1" x14ac:dyDescent="0.25">
      <c r="A1250" s="1"/>
      <c r="B1250" s="17"/>
      <c r="C1250" s="17"/>
      <c r="D1250" s="17"/>
      <c r="E1250" s="17"/>
      <c r="F1250" s="17"/>
      <c r="G1250" s="4">
        <f t="shared" si="23"/>
        <v>0</v>
      </c>
      <c r="H1250" s="17"/>
      <c r="I1250" s="4">
        <f t="shared" si="21"/>
        <v>349526.07999999996</v>
      </c>
      <c r="J1250" s="32" t="str">
        <f t="shared" si="22"/>
        <v/>
      </c>
      <c r="K1250" s="79"/>
      <c r="L1250" s="79"/>
      <c r="M1250" s="2"/>
      <c r="N1250" s="5"/>
      <c r="O1250" s="3"/>
      <c r="P1250" s="6"/>
      <c r="Q1250" s="6"/>
    </row>
    <row r="1251" spans="1:17" ht="15" customHeight="1" x14ac:dyDescent="0.25">
      <c r="A1251" s="1"/>
      <c r="B1251" s="17"/>
      <c r="C1251" s="17"/>
      <c r="D1251" s="17"/>
      <c r="E1251" s="17"/>
      <c r="F1251" s="17"/>
      <c r="G1251" s="4">
        <f t="shared" si="23"/>
        <v>0</v>
      </c>
      <c r="H1251" s="17"/>
      <c r="I1251" s="4">
        <f t="shared" si="21"/>
        <v>349526.07999999996</v>
      </c>
      <c r="J1251" s="32" t="str">
        <f t="shared" si="22"/>
        <v/>
      </c>
      <c r="K1251" s="79"/>
      <c r="L1251" s="79"/>
      <c r="M1251" s="2"/>
      <c r="N1251" s="5"/>
      <c r="O1251" s="3"/>
      <c r="P1251" s="6"/>
      <c r="Q1251" s="6"/>
    </row>
    <row r="1252" spans="1:17" ht="15" customHeight="1" x14ac:dyDescent="0.25">
      <c r="A1252" s="1"/>
      <c r="B1252" s="17"/>
      <c r="C1252" s="17"/>
      <c r="D1252" s="17"/>
      <c r="E1252" s="17"/>
      <c r="F1252" s="17"/>
      <c r="G1252" s="4">
        <f t="shared" si="23"/>
        <v>0</v>
      </c>
      <c r="H1252" s="17"/>
      <c r="I1252" s="4">
        <f t="shared" si="21"/>
        <v>349526.07999999996</v>
      </c>
      <c r="J1252" s="32" t="str">
        <f t="shared" si="22"/>
        <v/>
      </c>
      <c r="K1252" s="79"/>
      <c r="L1252" s="79"/>
      <c r="M1252" s="2"/>
      <c r="N1252" s="5"/>
      <c r="O1252" s="3"/>
      <c r="P1252" s="6"/>
      <c r="Q1252" s="6"/>
    </row>
    <row r="1253" spans="1:17" ht="15" customHeight="1" x14ac:dyDescent="0.25">
      <c r="A1253" s="1"/>
      <c r="B1253" s="17"/>
      <c r="C1253" s="17"/>
      <c r="D1253" s="17"/>
      <c r="E1253" s="17"/>
      <c r="F1253" s="17"/>
      <c r="G1253" s="4">
        <f t="shared" si="23"/>
        <v>0</v>
      </c>
      <c r="H1253" s="17"/>
      <c r="I1253" s="4">
        <f t="shared" si="21"/>
        <v>349526.07999999996</v>
      </c>
      <c r="J1253" s="32" t="str">
        <f t="shared" si="22"/>
        <v/>
      </c>
      <c r="K1253" s="79"/>
      <c r="L1253" s="79"/>
      <c r="M1253" s="2"/>
      <c r="N1253" s="5"/>
      <c r="O1253" s="3"/>
      <c r="P1253" s="6"/>
      <c r="Q1253" s="6"/>
    </row>
    <row r="1254" spans="1:17" ht="15" customHeight="1" x14ac:dyDescent="0.25">
      <c r="A1254" s="1"/>
      <c r="B1254" s="17"/>
      <c r="C1254" s="17"/>
      <c r="D1254" s="17"/>
      <c r="E1254" s="17"/>
      <c r="F1254" s="17"/>
      <c r="G1254" s="4">
        <f t="shared" si="23"/>
        <v>0</v>
      </c>
      <c r="H1254" s="17"/>
      <c r="I1254" s="4">
        <f t="shared" si="21"/>
        <v>349526.07999999996</v>
      </c>
      <c r="J1254" s="32" t="str">
        <f t="shared" si="22"/>
        <v/>
      </c>
      <c r="K1254" s="79"/>
      <c r="L1254" s="79"/>
      <c r="M1254" s="2"/>
      <c r="N1254" s="5"/>
      <c r="O1254" s="3"/>
      <c r="P1254" s="6"/>
      <c r="Q1254" s="6"/>
    </row>
    <row r="1255" spans="1:17" ht="15" customHeight="1" x14ac:dyDescent="0.25">
      <c r="A1255" s="1"/>
      <c r="B1255" s="17"/>
      <c r="C1255" s="17"/>
      <c r="D1255" s="17"/>
      <c r="E1255" s="17"/>
      <c r="F1255" s="17"/>
      <c r="G1255" s="4">
        <f t="shared" si="23"/>
        <v>0</v>
      </c>
      <c r="H1255" s="17"/>
      <c r="I1255" s="4">
        <f t="shared" si="21"/>
        <v>349526.07999999996</v>
      </c>
      <c r="J1255" s="32" t="str">
        <f t="shared" si="22"/>
        <v/>
      </c>
      <c r="K1255" s="79"/>
      <c r="L1255" s="79"/>
      <c r="M1255" s="2"/>
      <c r="N1255" s="5"/>
      <c r="O1255" s="3"/>
      <c r="P1255" s="6"/>
      <c r="Q1255" s="6"/>
    </row>
    <row r="1256" spans="1:17" ht="15" customHeight="1" x14ac:dyDescent="0.25">
      <c r="A1256" s="1"/>
      <c r="B1256" s="17"/>
      <c r="C1256" s="17"/>
      <c r="D1256" s="17"/>
      <c r="E1256" s="17"/>
      <c r="F1256" s="17"/>
      <c r="G1256" s="4">
        <f t="shared" si="23"/>
        <v>0</v>
      </c>
      <c r="H1256" s="17"/>
      <c r="I1256" s="4">
        <f t="shared" si="21"/>
        <v>349526.07999999996</v>
      </c>
      <c r="J1256" s="32" t="str">
        <f t="shared" si="22"/>
        <v/>
      </c>
      <c r="K1256" s="79"/>
      <c r="L1256" s="79"/>
      <c r="M1256" s="2"/>
      <c r="N1256" s="5"/>
      <c r="O1256" s="3"/>
      <c r="P1256" s="6"/>
      <c r="Q1256" s="6"/>
    </row>
    <row r="1257" spans="1:17" ht="15" customHeight="1" x14ac:dyDescent="0.25">
      <c r="A1257" s="1"/>
      <c r="B1257" s="17"/>
      <c r="C1257" s="17"/>
      <c r="D1257" s="17"/>
      <c r="E1257" s="17"/>
      <c r="F1257" s="17"/>
      <c r="G1257" s="4">
        <f t="shared" si="23"/>
        <v>0</v>
      </c>
      <c r="H1257" s="17"/>
      <c r="I1257" s="4">
        <f t="shared" si="21"/>
        <v>349526.07999999996</v>
      </c>
      <c r="J1257" s="32" t="str">
        <f t="shared" si="22"/>
        <v/>
      </c>
      <c r="K1257" s="79"/>
      <c r="L1257" s="79"/>
      <c r="M1257" s="2"/>
      <c r="N1257" s="5"/>
      <c r="O1257" s="3"/>
      <c r="P1257" s="6"/>
      <c r="Q1257" s="6"/>
    </row>
    <row r="1258" spans="1:17" ht="15" customHeight="1" x14ac:dyDescent="0.25">
      <c r="A1258" s="1"/>
      <c r="B1258" s="17"/>
      <c r="C1258" s="17"/>
      <c r="D1258" s="17"/>
      <c r="E1258" s="17"/>
      <c r="F1258" s="17"/>
      <c r="G1258" s="4">
        <f t="shared" si="23"/>
        <v>0</v>
      </c>
      <c r="H1258" s="17"/>
      <c r="I1258" s="4">
        <f t="shared" si="21"/>
        <v>349526.07999999996</v>
      </c>
      <c r="J1258" s="32" t="str">
        <f t="shared" si="22"/>
        <v/>
      </c>
      <c r="K1258" s="79"/>
      <c r="L1258" s="79"/>
      <c r="M1258" s="2"/>
      <c r="N1258" s="5"/>
      <c r="O1258" s="3"/>
      <c r="P1258" s="6"/>
      <c r="Q1258" s="6"/>
    </row>
    <row r="1259" spans="1:17" ht="15" customHeight="1" x14ac:dyDescent="0.25">
      <c r="A1259" s="1"/>
      <c r="B1259" s="17"/>
      <c r="C1259" s="17"/>
      <c r="D1259" s="17"/>
      <c r="E1259" s="17"/>
      <c r="F1259" s="17"/>
      <c r="G1259" s="4">
        <f t="shared" si="23"/>
        <v>0</v>
      </c>
      <c r="H1259" s="17"/>
      <c r="I1259" s="4">
        <f t="shared" si="21"/>
        <v>349526.07999999996</v>
      </c>
      <c r="J1259" s="32" t="str">
        <f t="shared" si="22"/>
        <v/>
      </c>
      <c r="K1259" s="79"/>
      <c r="L1259" s="79"/>
      <c r="M1259" s="2"/>
      <c r="N1259" s="5"/>
      <c r="O1259" s="3"/>
      <c r="P1259" s="6"/>
      <c r="Q1259" s="6"/>
    </row>
    <row r="1260" spans="1:17" ht="15" customHeight="1" x14ac:dyDescent="0.25">
      <c r="A1260" s="1"/>
      <c r="B1260" s="17"/>
      <c r="C1260" s="17"/>
      <c r="D1260" s="17"/>
      <c r="E1260" s="17"/>
      <c r="F1260" s="17"/>
      <c r="G1260" s="4">
        <f t="shared" si="23"/>
        <v>0</v>
      </c>
      <c r="H1260" s="17"/>
      <c r="I1260" s="4">
        <f t="shared" si="21"/>
        <v>349526.07999999996</v>
      </c>
      <c r="J1260" s="32" t="str">
        <f t="shared" si="22"/>
        <v/>
      </c>
      <c r="K1260" s="79"/>
      <c r="L1260" s="79"/>
      <c r="M1260" s="2"/>
      <c r="N1260" s="5"/>
      <c r="O1260" s="3"/>
      <c r="P1260" s="6"/>
      <c r="Q1260" s="6"/>
    </row>
    <row r="1261" spans="1:17" ht="15" customHeight="1" x14ac:dyDescent="0.25">
      <c r="A1261" s="1"/>
      <c r="B1261" s="17"/>
      <c r="C1261" s="17"/>
      <c r="D1261" s="17"/>
      <c r="E1261" s="17"/>
      <c r="F1261" s="17"/>
      <c r="G1261" s="4">
        <f t="shared" si="23"/>
        <v>0</v>
      </c>
      <c r="H1261" s="17"/>
      <c r="I1261" s="4">
        <f t="shared" si="21"/>
        <v>349526.07999999996</v>
      </c>
      <c r="J1261" s="32" t="str">
        <f t="shared" si="22"/>
        <v/>
      </c>
      <c r="K1261" s="79"/>
      <c r="L1261" s="79"/>
      <c r="M1261" s="2"/>
      <c r="N1261" s="5"/>
      <c r="O1261" s="3"/>
      <c r="P1261" s="6"/>
      <c r="Q1261" s="6"/>
    </row>
    <row r="1262" spans="1:17" ht="15" customHeight="1" x14ac:dyDescent="0.25">
      <c r="A1262" s="1"/>
      <c r="B1262" s="17"/>
      <c r="C1262" s="17"/>
      <c r="D1262" s="17"/>
      <c r="E1262" s="17"/>
      <c r="F1262" s="17"/>
      <c r="G1262" s="4">
        <f t="shared" si="23"/>
        <v>0</v>
      </c>
      <c r="H1262" s="17"/>
      <c r="I1262" s="4">
        <f t="shared" si="21"/>
        <v>349526.07999999996</v>
      </c>
      <c r="J1262" s="32" t="str">
        <f t="shared" si="22"/>
        <v/>
      </c>
      <c r="K1262" s="79"/>
      <c r="L1262" s="79"/>
      <c r="M1262" s="2"/>
      <c r="N1262" s="5"/>
      <c r="O1262" s="3"/>
      <c r="P1262" s="6"/>
      <c r="Q1262" s="6"/>
    </row>
    <row r="1263" spans="1:17" ht="15" customHeight="1" x14ac:dyDescent="0.25">
      <c r="A1263" s="1"/>
      <c r="B1263" s="17"/>
      <c r="C1263" s="17"/>
      <c r="D1263" s="17"/>
      <c r="E1263" s="17"/>
      <c r="F1263" s="17"/>
      <c r="G1263" s="4">
        <f t="shared" si="23"/>
        <v>0</v>
      </c>
      <c r="H1263" s="17"/>
      <c r="I1263" s="4">
        <f t="shared" si="21"/>
        <v>349526.07999999996</v>
      </c>
      <c r="J1263" s="32" t="str">
        <f t="shared" si="22"/>
        <v/>
      </c>
      <c r="K1263" s="79"/>
      <c r="L1263" s="79"/>
      <c r="M1263" s="2"/>
      <c r="N1263" s="5"/>
      <c r="O1263" s="3"/>
      <c r="P1263" s="6"/>
      <c r="Q1263" s="6"/>
    </row>
    <row r="1264" spans="1:17" ht="15" customHeight="1" x14ac:dyDescent="0.25">
      <c r="A1264" s="1"/>
      <c r="B1264" s="17"/>
      <c r="C1264" s="17"/>
      <c r="D1264" s="17"/>
      <c r="E1264" s="17"/>
      <c r="F1264" s="17"/>
      <c r="G1264" s="4">
        <f t="shared" si="23"/>
        <v>0</v>
      </c>
      <c r="H1264" s="17"/>
      <c r="I1264" s="4">
        <f t="shared" si="21"/>
        <v>349526.07999999996</v>
      </c>
      <c r="J1264" s="32" t="str">
        <f t="shared" si="22"/>
        <v/>
      </c>
      <c r="K1264" s="79"/>
      <c r="L1264" s="79"/>
      <c r="M1264" s="2"/>
      <c r="N1264" s="5"/>
      <c r="O1264" s="3"/>
      <c r="P1264" s="6"/>
      <c r="Q1264" s="6"/>
    </row>
    <row r="1265" spans="1:17" ht="15" customHeight="1" x14ac:dyDescent="0.25">
      <c r="A1265" s="1"/>
      <c r="B1265" s="17"/>
      <c r="C1265" s="17"/>
      <c r="D1265" s="17"/>
      <c r="E1265" s="17"/>
      <c r="F1265" s="17"/>
      <c r="G1265" s="4">
        <f t="shared" si="23"/>
        <v>0</v>
      </c>
      <c r="H1265" s="17"/>
      <c r="I1265" s="4">
        <f t="shared" si="21"/>
        <v>349526.07999999996</v>
      </c>
      <c r="J1265" s="32" t="str">
        <f t="shared" si="22"/>
        <v/>
      </c>
      <c r="K1265" s="79"/>
      <c r="L1265" s="79"/>
      <c r="M1265" s="2"/>
      <c r="N1265" s="5"/>
      <c r="O1265" s="3"/>
      <c r="P1265" s="6"/>
      <c r="Q1265" s="6"/>
    </row>
    <row r="1266" spans="1:17" ht="15" customHeight="1" x14ac:dyDescent="0.25">
      <c r="A1266" s="1"/>
      <c r="B1266" s="17"/>
      <c r="C1266" s="17"/>
      <c r="D1266" s="17"/>
      <c r="E1266" s="17"/>
      <c r="F1266" s="17"/>
      <c r="G1266" s="4">
        <f t="shared" si="23"/>
        <v>0</v>
      </c>
      <c r="H1266" s="17"/>
      <c r="I1266" s="4">
        <f t="shared" si="21"/>
        <v>349526.07999999996</v>
      </c>
      <c r="J1266" s="32" t="str">
        <f t="shared" si="22"/>
        <v/>
      </c>
      <c r="K1266" s="79"/>
      <c r="L1266" s="79"/>
      <c r="M1266" s="2"/>
      <c r="N1266" s="5"/>
      <c r="O1266" s="3"/>
      <c r="P1266" s="6"/>
      <c r="Q1266" s="6"/>
    </row>
    <row r="1267" spans="1:17" ht="15" customHeight="1" x14ac:dyDescent="0.25">
      <c r="A1267" s="1"/>
      <c r="B1267" s="17"/>
      <c r="C1267" s="17"/>
      <c r="D1267" s="17"/>
      <c r="E1267" s="17"/>
      <c r="F1267" s="17"/>
      <c r="G1267" s="4">
        <f t="shared" si="23"/>
        <v>0</v>
      </c>
      <c r="H1267" s="17"/>
      <c r="I1267" s="4">
        <f t="shared" si="21"/>
        <v>349526.07999999996</v>
      </c>
      <c r="J1267" s="32" t="str">
        <f t="shared" si="22"/>
        <v/>
      </c>
      <c r="K1267" s="79"/>
      <c r="L1267" s="79"/>
      <c r="M1267" s="2"/>
      <c r="N1267" s="5"/>
      <c r="O1267" s="3"/>
      <c r="P1267" s="6"/>
      <c r="Q1267" s="6"/>
    </row>
    <row r="1268" spans="1:17" ht="15" customHeight="1" x14ac:dyDescent="0.25">
      <c r="A1268" s="1"/>
      <c r="B1268" s="17"/>
      <c r="C1268" s="17"/>
      <c r="D1268" s="17"/>
      <c r="E1268" s="17"/>
      <c r="F1268" s="17"/>
      <c r="G1268" s="4">
        <f t="shared" si="23"/>
        <v>0</v>
      </c>
      <c r="H1268" s="17"/>
      <c r="I1268" s="4">
        <f t="shared" si="21"/>
        <v>349526.07999999996</v>
      </c>
      <c r="J1268" s="32" t="str">
        <f t="shared" si="22"/>
        <v/>
      </c>
      <c r="K1268" s="79"/>
      <c r="L1268" s="79"/>
      <c r="M1268" s="2"/>
      <c r="N1268" s="5"/>
      <c r="O1268" s="3"/>
      <c r="P1268" s="6"/>
      <c r="Q1268" s="6"/>
    </row>
    <row r="1269" spans="1:17" ht="15" customHeight="1" x14ac:dyDescent="0.25">
      <c r="A1269" s="1"/>
      <c r="B1269" s="17"/>
      <c r="C1269" s="17"/>
      <c r="D1269" s="17"/>
      <c r="E1269" s="17"/>
      <c r="F1269" s="17"/>
      <c r="G1269" s="4">
        <f t="shared" si="23"/>
        <v>0</v>
      </c>
      <c r="H1269" s="17"/>
      <c r="I1269" s="4">
        <f t="shared" si="21"/>
        <v>349526.07999999996</v>
      </c>
      <c r="J1269" s="32" t="str">
        <f t="shared" si="22"/>
        <v/>
      </c>
      <c r="K1269" s="79"/>
      <c r="L1269" s="79"/>
      <c r="M1269" s="2"/>
      <c r="N1269" s="5"/>
      <c r="O1269" s="3"/>
      <c r="P1269" s="6"/>
      <c r="Q1269" s="6"/>
    </row>
    <row r="1270" spans="1:17" ht="15" customHeight="1" x14ac:dyDescent="0.25">
      <c r="A1270" s="1"/>
      <c r="B1270" s="17"/>
      <c r="C1270" s="17"/>
      <c r="D1270" s="17"/>
      <c r="E1270" s="17"/>
      <c r="F1270" s="17"/>
      <c r="G1270" s="4">
        <f t="shared" si="23"/>
        <v>0</v>
      </c>
      <c r="H1270" s="17"/>
      <c r="I1270" s="4">
        <f t="shared" ref="I1270:I1333" si="24">$I1269+$G1270-$H1270</f>
        <v>349526.07999999996</v>
      </c>
      <c r="J1270" s="32" t="str">
        <f t="shared" ref="J1270:J1333" si="25">IF($A1271&lt;&gt;$A1270,$I1270,"")</f>
        <v/>
      </c>
      <c r="K1270" s="79"/>
      <c r="L1270" s="79"/>
      <c r="M1270" s="2"/>
      <c r="N1270" s="5"/>
      <c r="O1270" s="3"/>
      <c r="P1270" s="6"/>
      <c r="Q1270" s="6"/>
    </row>
    <row r="1271" spans="1:17" ht="15" customHeight="1" x14ac:dyDescent="0.25">
      <c r="A1271" s="1"/>
      <c r="B1271" s="17"/>
      <c r="C1271" s="17"/>
      <c r="D1271" s="17"/>
      <c r="E1271" s="17"/>
      <c r="F1271" s="17"/>
      <c r="G1271" s="4">
        <f t="shared" si="23"/>
        <v>0</v>
      </c>
      <c r="H1271" s="17"/>
      <c r="I1271" s="4">
        <f t="shared" si="24"/>
        <v>349526.07999999996</v>
      </c>
      <c r="J1271" s="32" t="str">
        <f t="shared" si="25"/>
        <v/>
      </c>
      <c r="K1271" s="79"/>
      <c r="L1271" s="79"/>
      <c r="M1271" s="2"/>
      <c r="N1271" s="5"/>
      <c r="O1271" s="3"/>
      <c r="P1271" s="6"/>
      <c r="Q1271" s="6"/>
    </row>
    <row r="1272" spans="1:17" ht="15" customHeight="1" x14ac:dyDescent="0.25">
      <c r="A1272" s="1"/>
      <c r="B1272" s="17"/>
      <c r="C1272" s="17"/>
      <c r="D1272" s="17"/>
      <c r="E1272" s="17"/>
      <c r="F1272" s="17"/>
      <c r="G1272" s="4">
        <f t="shared" si="23"/>
        <v>0</v>
      </c>
      <c r="H1272" s="17"/>
      <c r="I1272" s="4">
        <f t="shared" si="24"/>
        <v>349526.07999999996</v>
      </c>
      <c r="J1272" s="32" t="str">
        <f t="shared" si="25"/>
        <v/>
      </c>
      <c r="K1272" s="79"/>
      <c r="L1272" s="79"/>
      <c r="M1272" s="2"/>
      <c r="N1272" s="5"/>
      <c r="O1272" s="3"/>
      <c r="P1272" s="6"/>
      <c r="Q1272" s="6"/>
    </row>
    <row r="1273" spans="1:17" ht="15" customHeight="1" x14ac:dyDescent="0.25">
      <c r="A1273" s="1"/>
      <c r="B1273" s="17"/>
      <c r="C1273" s="17"/>
      <c r="D1273" s="17"/>
      <c r="E1273" s="17"/>
      <c r="F1273" s="17"/>
      <c r="G1273" s="4">
        <f t="shared" si="23"/>
        <v>0</v>
      </c>
      <c r="H1273" s="17"/>
      <c r="I1273" s="4">
        <f t="shared" si="24"/>
        <v>349526.07999999996</v>
      </c>
      <c r="J1273" s="32" t="str">
        <f t="shared" si="25"/>
        <v/>
      </c>
      <c r="K1273" s="79"/>
      <c r="L1273" s="79"/>
      <c r="M1273" s="2"/>
      <c r="N1273" s="5"/>
      <c r="O1273" s="3"/>
      <c r="P1273" s="6"/>
      <c r="Q1273" s="6"/>
    </row>
    <row r="1274" spans="1:17" ht="15" customHeight="1" x14ac:dyDescent="0.25">
      <c r="A1274" s="1"/>
      <c r="B1274" s="17"/>
      <c r="C1274" s="17"/>
      <c r="D1274" s="17"/>
      <c r="E1274" s="17"/>
      <c r="F1274" s="17"/>
      <c r="G1274" s="4">
        <f t="shared" si="23"/>
        <v>0</v>
      </c>
      <c r="H1274" s="17"/>
      <c r="I1274" s="4">
        <f t="shared" si="24"/>
        <v>349526.07999999996</v>
      </c>
      <c r="J1274" s="32" t="str">
        <f t="shared" si="25"/>
        <v/>
      </c>
      <c r="K1274" s="79"/>
      <c r="L1274" s="79"/>
      <c r="M1274" s="2"/>
      <c r="N1274" s="5"/>
      <c r="O1274" s="3"/>
      <c r="P1274" s="6"/>
      <c r="Q1274" s="6"/>
    </row>
    <row r="1275" spans="1:17" ht="15" customHeight="1" x14ac:dyDescent="0.25">
      <c r="A1275" s="1"/>
      <c r="B1275" s="17"/>
      <c r="C1275" s="17"/>
      <c r="D1275" s="17"/>
      <c r="E1275" s="17"/>
      <c r="F1275" s="17"/>
      <c r="G1275" s="4">
        <f t="shared" si="23"/>
        <v>0</v>
      </c>
      <c r="H1275" s="17"/>
      <c r="I1275" s="4">
        <f t="shared" si="24"/>
        <v>349526.07999999996</v>
      </c>
      <c r="J1275" s="32" t="str">
        <f t="shared" si="25"/>
        <v/>
      </c>
      <c r="K1275" s="79"/>
      <c r="L1275" s="79"/>
      <c r="M1275" s="2"/>
      <c r="N1275" s="5"/>
      <c r="O1275" s="3"/>
      <c r="P1275" s="6"/>
      <c r="Q1275" s="6"/>
    </row>
    <row r="1276" spans="1:17" ht="15" customHeight="1" x14ac:dyDescent="0.25">
      <c r="A1276" s="1"/>
      <c r="B1276" s="17"/>
      <c r="C1276" s="17"/>
      <c r="D1276" s="17"/>
      <c r="E1276" s="17"/>
      <c r="F1276" s="17"/>
      <c r="G1276" s="4">
        <f t="shared" si="23"/>
        <v>0</v>
      </c>
      <c r="H1276" s="17"/>
      <c r="I1276" s="4">
        <f t="shared" si="24"/>
        <v>349526.07999999996</v>
      </c>
      <c r="J1276" s="32" t="str">
        <f t="shared" si="25"/>
        <v/>
      </c>
      <c r="K1276" s="79"/>
      <c r="L1276" s="79"/>
      <c r="M1276" s="2"/>
      <c r="N1276" s="5"/>
      <c r="O1276" s="3"/>
      <c r="P1276" s="6"/>
      <c r="Q1276" s="6"/>
    </row>
    <row r="1277" spans="1:17" ht="15" customHeight="1" x14ac:dyDescent="0.25">
      <c r="A1277" s="1"/>
      <c r="B1277" s="17"/>
      <c r="C1277" s="17"/>
      <c r="D1277" s="17"/>
      <c r="E1277" s="17"/>
      <c r="F1277" s="17"/>
      <c r="G1277" s="4">
        <f t="shared" si="23"/>
        <v>0</v>
      </c>
      <c r="H1277" s="17"/>
      <c r="I1277" s="4">
        <f t="shared" si="24"/>
        <v>349526.07999999996</v>
      </c>
      <c r="J1277" s="32" t="str">
        <f t="shared" si="25"/>
        <v/>
      </c>
      <c r="K1277" s="79"/>
      <c r="L1277" s="79"/>
      <c r="M1277" s="2"/>
      <c r="N1277" s="5"/>
      <c r="O1277" s="3"/>
      <c r="P1277" s="6"/>
      <c r="Q1277" s="6"/>
    </row>
    <row r="1278" spans="1:17" ht="15" customHeight="1" x14ac:dyDescent="0.25">
      <c r="A1278" s="1"/>
      <c r="B1278" s="17"/>
      <c r="C1278" s="17"/>
      <c r="D1278" s="17"/>
      <c r="E1278" s="17"/>
      <c r="F1278" s="17"/>
      <c r="G1278" s="4">
        <f t="shared" si="23"/>
        <v>0</v>
      </c>
      <c r="H1278" s="17"/>
      <c r="I1278" s="4">
        <f t="shared" si="24"/>
        <v>349526.07999999996</v>
      </c>
      <c r="J1278" s="32" t="str">
        <f t="shared" si="25"/>
        <v/>
      </c>
      <c r="K1278" s="79"/>
      <c r="L1278" s="79"/>
      <c r="M1278" s="2"/>
      <c r="N1278" s="5"/>
      <c r="O1278" s="3"/>
      <c r="P1278" s="6"/>
      <c r="Q1278" s="6"/>
    </row>
    <row r="1279" spans="1:17" ht="15" customHeight="1" x14ac:dyDescent="0.25">
      <c r="A1279" s="1"/>
      <c r="B1279" s="17"/>
      <c r="C1279" s="17"/>
      <c r="D1279" s="17"/>
      <c r="E1279" s="17"/>
      <c r="F1279" s="17"/>
      <c r="G1279" s="4">
        <f t="shared" si="23"/>
        <v>0</v>
      </c>
      <c r="H1279" s="17"/>
      <c r="I1279" s="4">
        <f t="shared" si="24"/>
        <v>349526.07999999996</v>
      </c>
      <c r="J1279" s="32" t="str">
        <f t="shared" si="25"/>
        <v/>
      </c>
      <c r="K1279" s="79"/>
      <c r="L1279" s="79"/>
      <c r="M1279" s="2"/>
      <c r="N1279" s="5"/>
      <c r="O1279" s="3"/>
      <c r="P1279" s="6"/>
      <c r="Q1279" s="6"/>
    </row>
    <row r="1280" spans="1:17" ht="15" customHeight="1" x14ac:dyDescent="0.25">
      <c r="A1280" s="1"/>
      <c r="B1280" s="17"/>
      <c r="C1280" s="17"/>
      <c r="D1280" s="17"/>
      <c r="E1280" s="17"/>
      <c r="F1280" s="17"/>
      <c r="G1280" s="4">
        <f t="shared" si="23"/>
        <v>0</v>
      </c>
      <c r="H1280" s="17"/>
      <c r="I1280" s="4">
        <f t="shared" si="24"/>
        <v>349526.07999999996</v>
      </c>
      <c r="J1280" s="32" t="str">
        <f t="shared" si="25"/>
        <v/>
      </c>
      <c r="K1280" s="79"/>
      <c r="L1280" s="79"/>
      <c r="M1280" s="2"/>
      <c r="N1280" s="5"/>
      <c r="O1280" s="3"/>
      <c r="P1280" s="6"/>
      <c r="Q1280" s="6"/>
    </row>
    <row r="1281" spans="1:17" ht="15" customHeight="1" x14ac:dyDescent="0.25">
      <c r="A1281" s="1"/>
      <c r="B1281" s="17"/>
      <c r="C1281" s="17"/>
      <c r="D1281" s="17"/>
      <c r="E1281" s="17"/>
      <c r="F1281" s="17"/>
      <c r="G1281" s="4">
        <f t="shared" si="23"/>
        <v>0</v>
      </c>
      <c r="H1281" s="17"/>
      <c r="I1281" s="4">
        <f t="shared" si="24"/>
        <v>349526.07999999996</v>
      </c>
      <c r="J1281" s="32" t="str">
        <f t="shared" si="25"/>
        <v/>
      </c>
      <c r="K1281" s="79"/>
      <c r="L1281" s="79"/>
      <c r="M1281" s="2"/>
      <c r="N1281" s="5"/>
      <c r="O1281" s="3"/>
      <c r="P1281" s="6"/>
      <c r="Q1281" s="6"/>
    </row>
    <row r="1282" spans="1:17" ht="15" customHeight="1" x14ac:dyDescent="0.25">
      <c r="A1282" s="1"/>
      <c r="B1282" s="17"/>
      <c r="C1282" s="17"/>
      <c r="D1282" s="17"/>
      <c r="E1282" s="17"/>
      <c r="F1282" s="17"/>
      <c r="G1282" s="4">
        <f t="shared" si="23"/>
        <v>0</v>
      </c>
      <c r="H1282" s="17"/>
      <c r="I1282" s="4">
        <f t="shared" si="24"/>
        <v>349526.07999999996</v>
      </c>
      <c r="J1282" s="32" t="str">
        <f t="shared" si="25"/>
        <v/>
      </c>
      <c r="K1282" s="79"/>
      <c r="L1282" s="79"/>
      <c r="M1282" s="2"/>
      <c r="N1282" s="5"/>
      <c r="O1282" s="3"/>
      <c r="P1282" s="6"/>
      <c r="Q1282" s="6"/>
    </row>
    <row r="1283" spans="1:17" ht="15" customHeight="1" x14ac:dyDescent="0.25">
      <c r="A1283" s="1"/>
      <c r="B1283" s="17"/>
      <c r="C1283" s="17"/>
      <c r="D1283" s="17"/>
      <c r="E1283" s="17"/>
      <c r="F1283" s="17"/>
      <c r="G1283" s="4">
        <f t="shared" ref="G1283:G1346" si="26">SUM($B1283:$F1283)</f>
        <v>0</v>
      </c>
      <c r="H1283" s="17"/>
      <c r="I1283" s="4">
        <f t="shared" si="24"/>
        <v>349526.07999999996</v>
      </c>
      <c r="J1283" s="32" t="str">
        <f t="shared" si="25"/>
        <v/>
      </c>
      <c r="K1283" s="79"/>
      <c r="L1283" s="79"/>
      <c r="M1283" s="2"/>
      <c r="N1283" s="5"/>
      <c r="O1283" s="3"/>
      <c r="P1283" s="6"/>
      <c r="Q1283" s="6"/>
    </row>
    <row r="1284" spans="1:17" ht="15" customHeight="1" x14ac:dyDescent="0.25">
      <c r="A1284" s="1"/>
      <c r="B1284" s="17"/>
      <c r="C1284" s="17"/>
      <c r="D1284" s="17"/>
      <c r="E1284" s="17"/>
      <c r="F1284" s="17"/>
      <c r="G1284" s="4">
        <f t="shared" si="26"/>
        <v>0</v>
      </c>
      <c r="H1284" s="17"/>
      <c r="I1284" s="4">
        <f t="shared" si="24"/>
        <v>349526.07999999996</v>
      </c>
      <c r="J1284" s="32" t="str">
        <f t="shared" si="25"/>
        <v/>
      </c>
      <c r="K1284" s="79"/>
      <c r="L1284" s="79"/>
      <c r="M1284" s="2"/>
      <c r="N1284" s="5"/>
      <c r="O1284" s="3"/>
      <c r="P1284" s="6"/>
      <c r="Q1284" s="6"/>
    </row>
    <row r="1285" spans="1:17" ht="15" customHeight="1" x14ac:dyDescent="0.25">
      <c r="A1285" s="1"/>
      <c r="B1285" s="17"/>
      <c r="C1285" s="17"/>
      <c r="D1285" s="17"/>
      <c r="E1285" s="17"/>
      <c r="F1285" s="17"/>
      <c r="G1285" s="4">
        <f t="shared" si="26"/>
        <v>0</v>
      </c>
      <c r="H1285" s="17"/>
      <c r="I1285" s="4">
        <f t="shared" si="24"/>
        <v>349526.07999999996</v>
      </c>
      <c r="J1285" s="32" t="str">
        <f t="shared" si="25"/>
        <v/>
      </c>
      <c r="K1285" s="79"/>
      <c r="L1285" s="79"/>
      <c r="M1285" s="2"/>
      <c r="N1285" s="5"/>
      <c r="O1285" s="3"/>
      <c r="P1285" s="6"/>
      <c r="Q1285" s="6"/>
    </row>
    <row r="1286" spans="1:17" ht="15" customHeight="1" x14ac:dyDescent="0.25">
      <c r="A1286" s="1"/>
      <c r="B1286" s="17"/>
      <c r="C1286" s="17"/>
      <c r="D1286" s="17"/>
      <c r="E1286" s="17"/>
      <c r="F1286" s="17"/>
      <c r="G1286" s="4">
        <f t="shared" si="26"/>
        <v>0</v>
      </c>
      <c r="H1286" s="17"/>
      <c r="I1286" s="4">
        <f t="shared" si="24"/>
        <v>349526.07999999996</v>
      </c>
      <c r="J1286" s="32" t="str">
        <f t="shared" si="25"/>
        <v/>
      </c>
      <c r="K1286" s="79"/>
      <c r="L1286" s="79"/>
      <c r="M1286" s="2"/>
      <c r="N1286" s="5"/>
      <c r="O1286" s="3"/>
      <c r="P1286" s="6"/>
      <c r="Q1286" s="6"/>
    </row>
    <row r="1287" spans="1:17" ht="15" customHeight="1" x14ac:dyDescent="0.25">
      <c r="A1287" s="1"/>
      <c r="B1287" s="17"/>
      <c r="C1287" s="17"/>
      <c r="D1287" s="17"/>
      <c r="E1287" s="17"/>
      <c r="F1287" s="17"/>
      <c r="G1287" s="4">
        <f t="shared" si="26"/>
        <v>0</v>
      </c>
      <c r="H1287" s="17"/>
      <c r="I1287" s="4">
        <f t="shared" si="24"/>
        <v>349526.07999999996</v>
      </c>
      <c r="J1287" s="32" t="str">
        <f t="shared" si="25"/>
        <v/>
      </c>
      <c r="K1287" s="79"/>
      <c r="L1287" s="79"/>
      <c r="M1287" s="2"/>
      <c r="N1287" s="5"/>
      <c r="O1287" s="3"/>
      <c r="P1287" s="6"/>
      <c r="Q1287" s="6"/>
    </row>
    <row r="1288" spans="1:17" ht="15" customHeight="1" x14ac:dyDescent="0.25">
      <c r="A1288" s="1"/>
      <c r="B1288" s="17"/>
      <c r="C1288" s="17"/>
      <c r="D1288" s="17"/>
      <c r="E1288" s="17"/>
      <c r="F1288" s="17"/>
      <c r="G1288" s="4">
        <f t="shared" si="26"/>
        <v>0</v>
      </c>
      <c r="H1288" s="17"/>
      <c r="I1288" s="4">
        <f t="shared" si="24"/>
        <v>349526.07999999996</v>
      </c>
      <c r="J1288" s="32" t="str">
        <f t="shared" si="25"/>
        <v/>
      </c>
      <c r="K1288" s="79"/>
      <c r="L1288" s="79"/>
      <c r="M1288" s="2"/>
      <c r="N1288" s="5"/>
      <c r="O1288" s="3"/>
      <c r="P1288" s="6"/>
      <c r="Q1288" s="6"/>
    </row>
    <row r="1289" spans="1:17" ht="15" customHeight="1" x14ac:dyDescent="0.25">
      <c r="A1289" s="1"/>
      <c r="B1289" s="17"/>
      <c r="C1289" s="17"/>
      <c r="D1289" s="17"/>
      <c r="E1289" s="17"/>
      <c r="F1289" s="17"/>
      <c r="G1289" s="4">
        <f t="shared" si="26"/>
        <v>0</v>
      </c>
      <c r="H1289" s="17"/>
      <c r="I1289" s="4">
        <f t="shared" si="24"/>
        <v>349526.07999999996</v>
      </c>
      <c r="J1289" s="32" t="str">
        <f t="shared" si="25"/>
        <v/>
      </c>
      <c r="K1289" s="79"/>
      <c r="L1289" s="79"/>
      <c r="M1289" s="2"/>
      <c r="N1289" s="5"/>
      <c r="O1289" s="3"/>
      <c r="P1289" s="6"/>
      <c r="Q1289" s="6"/>
    </row>
    <row r="1290" spans="1:17" ht="15" customHeight="1" x14ac:dyDescent="0.25">
      <c r="A1290" s="1"/>
      <c r="B1290" s="17"/>
      <c r="C1290" s="17"/>
      <c r="D1290" s="17"/>
      <c r="E1290" s="17"/>
      <c r="F1290" s="17"/>
      <c r="G1290" s="4">
        <f t="shared" si="26"/>
        <v>0</v>
      </c>
      <c r="H1290" s="17"/>
      <c r="I1290" s="4">
        <f t="shared" si="24"/>
        <v>349526.07999999996</v>
      </c>
      <c r="J1290" s="32" t="str">
        <f t="shared" si="25"/>
        <v/>
      </c>
      <c r="K1290" s="79"/>
      <c r="L1290" s="79"/>
      <c r="M1290" s="2"/>
      <c r="N1290" s="5"/>
      <c r="O1290" s="3"/>
      <c r="P1290" s="6"/>
      <c r="Q1290" s="6"/>
    </row>
    <row r="1291" spans="1:17" ht="15" customHeight="1" x14ac:dyDescent="0.25">
      <c r="A1291" s="1"/>
      <c r="B1291" s="17"/>
      <c r="C1291" s="17"/>
      <c r="D1291" s="17"/>
      <c r="E1291" s="17"/>
      <c r="F1291" s="17"/>
      <c r="G1291" s="4">
        <f t="shared" si="26"/>
        <v>0</v>
      </c>
      <c r="H1291" s="17"/>
      <c r="I1291" s="4">
        <f t="shared" si="24"/>
        <v>349526.07999999996</v>
      </c>
      <c r="J1291" s="32" t="str">
        <f t="shared" si="25"/>
        <v/>
      </c>
      <c r="K1291" s="79"/>
      <c r="L1291" s="79"/>
      <c r="M1291" s="2"/>
      <c r="N1291" s="5"/>
      <c r="O1291" s="3"/>
      <c r="P1291" s="6"/>
      <c r="Q1291" s="6"/>
    </row>
    <row r="1292" spans="1:17" ht="15" customHeight="1" x14ac:dyDescent="0.25">
      <c r="A1292" s="1"/>
      <c r="B1292" s="17"/>
      <c r="C1292" s="17"/>
      <c r="D1292" s="17"/>
      <c r="E1292" s="17"/>
      <c r="F1292" s="17"/>
      <c r="G1292" s="4">
        <f t="shared" si="26"/>
        <v>0</v>
      </c>
      <c r="H1292" s="17"/>
      <c r="I1292" s="4">
        <f t="shared" si="24"/>
        <v>349526.07999999996</v>
      </c>
      <c r="J1292" s="32" t="str">
        <f t="shared" si="25"/>
        <v/>
      </c>
      <c r="K1292" s="79"/>
      <c r="L1292" s="79"/>
      <c r="M1292" s="2"/>
      <c r="N1292" s="5"/>
      <c r="O1292" s="3"/>
      <c r="P1292" s="6"/>
      <c r="Q1292" s="6"/>
    </row>
    <row r="1293" spans="1:17" ht="15" customHeight="1" x14ac:dyDescent="0.25">
      <c r="A1293" s="1"/>
      <c r="B1293" s="17"/>
      <c r="C1293" s="17"/>
      <c r="D1293" s="17"/>
      <c r="E1293" s="17"/>
      <c r="F1293" s="17"/>
      <c r="G1293" s="4">
        <f t="shared" si="26"/>
        <v>0</v>
      </c>
      <c r="H1293" s="17"/>
      <c r="I1293" s="4">
        <f t="shared" si="24"/>
        <v>349526.07999999996</v>
      </c>
      <c r="J1293" s="32" t="str">
        <f t="shared" si="25"/>
        <v/>
      </c>
      <c r="K1293" s="79"/>
      <c r="L1293" s="79"/>
      <c r="M1293" s="2"/>
      <c r="N1293" s="5"/>
      <c r="O1293" s="3"/>
      <c r="P1293" s="6"/>
      <c r="Q1293" s="6"/>
    </row>
    <row r="1294" spans="1:17" ht="15" customHeight="1" x14ac:dyDescent="0.25">
      <c r="A1294" s="1"/>
      <c r="B1294" s="17"/>
      <c r="C1294" s="17"/>
      <c r="D1294" s="17"/>
      <c r="E1294" s="17"/>
      <c r="F1294" s="17"/>
      <c r="G1294" s="4">
        <f t="shared" si="26"/>
        <v>0</v>
      </c>
      <c r="H1294" s="17"/>
      <c r="I1294" s="4">
        <f t="shared" si="24"/>
        <v>349526.07999999996</v>
      </c>
      <c r="J1294" s="32" t="str">
        <f t="shared" si="25"/>
        <v/>
      </c>
      <c r="K1294" s="79"/>
      <c r="L1294" s="79"/>
      <c r="M1294" s="2"/>
      <c r="N1294" s="5"/>
      <c r="O1294" s="3"/>
      <c r="P1294" s="6"/>
      <c r="Q1294" s="6"/>
    </row>
    <row r="1295" spans="1:17" ht="15" customHeight="1" x14ac:dyDescent="0.25">
      <c r="A1295" s="1"/>
      <c r="B1295" s="17"/>
      <c r="C1295" s="17"/>
      <c r="D1295" s="17"/>
      <c r="E1295" s="17"/>
      <c r="F1295" s="17"/>
      <c r="G1295" s="4">
        <f t="shared" si="26"/>
        <v>0</v>
      </c>
      <c r="H1295" s="17"/>
      <c r="I1295" s="4">
        <f t="shared" si="24"/>
        <v>349526.07999999996</v>
      </c>
      <c r="J1295" s="32" t="str">
        <f t="shared" si="25"/>
        <v/>
      </c>
      <c r="K1295" s="79"/>
      <c r="L1295" s="79"/>
      <c r="M1295" s="2"/>
      <c r="N1295" s="5"/>
      <c r="O1295" s="3"/>
      <c r="P1295" s="6"/>
      <c r="Q1295" s="6"/>
    </row>
    <row r="1296" spans="1:17" ht="15" customHeight="1" x14ac:dyDescent="0.25">
      <c r="A1296" s="1"/>
      <c r="B1296" s="17"/>
      <c r="C1296" s="17"/>
      <c r="D1296" s="17"/>
      <c r="E1296" s="17"/>
      <c r="F1296" s="17"/>
      <c r="G1296" s="4">
        <f t="shared" si="26"/>
        <v>0</v>
      </c>
      <c r="H1296" s="17"/>
      <c r="I1296" s="4">
        <f t="shared" si="24"/>
        <v>349526.07999999996</v>
      </c>
      <c r="J1296" s="32" t="str">
        <f t="shared" si="25"/>
        <v/>
      </c>
      <c r="K1296" s="79"/>
      <c r="L1296" s="79"/>
      <c r="M1296" s="2"/>
      <c r="N1296" s="5"/>
      <c r="O1296" s="3"/>
      <c r="P1296" s="6"/>
      <c r="Q1296" s="6"/>
    </row>
    <row r="1297" spans="1:17" ht="15" customHeight="1" x14ac:dyDescent="0.25">
      <c r="A1297" s="1"/>
      <c r="B1297" s="17"/>
      <c r="C1297" s="17"/>
      <c r="D1297" s="17"/>
      <c r="E1297" s="17"/>
      <c r="F1297" s="17"/>
      <c r="G1297" s="4">
        <f t="shared" si="26"/>
        <v>0</v>
      </c>
      <c r="H1297" s="17"/>
      <c r="I1297" s="4">
        <f t="shared" si="24"/>
        <v>349526.07999999996</v>
      </c>
      <c r="J1297" s="32" t="str">
        <f t="shared" si="25"/>
        <v/>
      </c>
      <c r="K1297" s="79"/>
      <c r="L1297" s="79"/>
      <c r="M1297" s="2"/>
      <c r="N1297" s="5"/>
      <c r="O1297" s="3"/>
      <c r="P1297" s="6"/>
      <c r="Q1297" s="6"/>
    </row>
    <row r="1298" spans="1:17" ht="15" customHeight="1" x14ac:dyDescent="0.25">
      <c r="A1298" s="1"/>
      <c r="B1298" s="17"/>
      <c r="C1298" s="17"/>
      <c r="D1298" s="17"/>
      <c r="E1298" s="17"/>
      <c r="F1298" s="17"/>
      <c r="G1298" s="4">
        <f t="shared" si="26"/>
        <v>0</v>
      </c>
      <c r="H1298" s="17"/>
      <c r="I1298" s="4">
        <f t="shared" si="24"/>
        <v>349526.07999999996</v>
      </c>
      <c r="J1298" s="32" t="str">
        <f t="shared" si="25"/>
        <v/>
      </c>
      <c r="K1298" s="79"/>
      <c r="L1298" s="79"/>
      <c r="M1298" s="2"/>
      <c r="N1298" s="5"/>
      <c r="O1298" s="3"/>
      <c r="P1298" s="6"/>
      <c r="Q1298" s="6"/>
    </row>
    <row r="1299" spans="1:17" ht="15" customHeight="1" x14ac:dyDescent="0.25">
      <c r="A1299" s="1"/>
      <c r="B1299" s="17"/>
      <c r="C1299" s="17"/>
      <c r="D1299" s="17"/>
      <c r="E1299" s="17"/>
      <c r="F1299" s="17"/>
      <c r="G1299" s="4">
        <f t="shared" si="26"/>
        <v>0</v>
      </c>
      <c r="H1299" s="17"/>
      <c r="I1299" s="4">
        <f t="shared" si="24"/>
        <v>349526.07999999996</v>
      </c>
      <c r="J1299" s="32" t="str">
        <f t="shared" si="25"/>
        <v/>
      </c>
      <c r="K1299" s="79"/>
      <c r="L1299" s="79"/>
      <c r="M1299" s="2"/>
      <c r="N1299" s="5"/>
      <c r="O1299" s="3"/>
      <c r="P1299" s="6"/>
      <c r="Q1299" s="6"/>
    </row>
    <row r="1300" spans="1:17" ht="15" customHeight="1" x14ac:dyDescent="0.25">
      <c r="A1300" s="1"/>
      <c r="B1300" s="17"/>
      <c r="C1300" s="17"/>
      <c r="D1300" s="17"/>
      <c r="E1300" s="17"/>
      <c r="F1300" s="17"/>
      <c r="G1300" s="4">
        <f t="shared" si="26"/>
        <v>0</v>
      </c>
      <c r="H1300" s="17"/>
      <c r="I1300" s="4">
        <f t="shared" si="24"/>
        <v>349526.07999999996</v>
      </c>
      <c r="J1300" s="32" t="str">
        <f t="shared" si="25"/>
        <v/>
      </c>
      <c r="K1300" s="79"/>
      <c r="L1300" s="79"/>
      <c r="M1300" s="2"/>
      <c r="N1300" s="5"/>
      <c r="O1300" s="3"/>
      <c r="P1300" s="6"/>
      <c r="Q1300" s="6"/>
    </row>
    <row r="1301" spans="1:17" ht="15" customHeight="1" x14ac:dyDescent="0.25">
      <c r="A1301" s="1"/>
      <c r="B1301" s="17"/>
      <c r="C1301" s="17"/>
      <c r="D1301" s="17"/>
      <c r="E1301" s="17"/>
      <c r="F1301" s="17"/>
      <c r="G1301" s="4">
        <f t="shared" si="26"/>
        <v>0</v>
      </c>
      <c r="H1301" s="17"/>
      <c r="I1301" s="4">
        <f t="shared" si="24"/>
        <v>349526.07999999996</v>
      </c>
      <c r="J1301" s="32" t="str">
        <f t="shared" si="25"/>
        <v/>
      </c>
      <c r="K1301" s="79"/>
      <c r="L1301" s="79"/>
      <c r="M1301" s="2"/>
      <c r="N1301" s="5"/>
      <c r="O1301" s="3"/>
      <c r="P1301" s="6"/>
      <c r="Q1301" s="6"/>
    </row>
    <row r="1302" spans="1:17" ht="15" customHeight="1" x14ac:dyDescent="0.25">
      <c r="A1302" s="1"/>
      <c r="B1302" s="17"/>
      <c r="C1302" s="17"/>
      <c r="D1302" s="17"/>
      <c r="E1302" s="17"/>
      <c r="F1302" s="17"/>
      <c r="G1302" s="4">
        <f t="shared" si="26"/>
        <v>0</v>
      </c>
      <c r="H1302" s="17"/>
      <c r="I1302" s="4">
        <f t="shared" si="24"/>
        <v>349526.07999999996</v>
      </c>
      <c r="J1302" s="32" t="str">
        <f t="shared" si="25"/>
        <v/>
      </c>
      <c r="K1302" s="79"/>
      <c r="L1302" s="79"/>
      <c r="M1302" s="2"/>
      <c r="N1302" s="5"/>
      <c r="O1302" s="3"/>
      <c r="P1302" s="6"/>
      <c r="Q1302" s="6"/>
    </row>
    <row r="1303" spans="1:17" ht="15" customHeight="1" x14ac:dyDescent="0.25">
      <c r="A1303" s="1"/>
      <c r="B1303" s="17"/>
      <c r="C1303" s="17"/>
      <c r="D1303" s="17"/>
      <c r="E1303" s="17"/>
      <c r="F1303" s="17"/>
      <c r="G1303" s="4">
        <f t="shared" si="26"/>
        <v>0</v>
      </c>
      <c r="H1303" s="17"/>
      <c r="I1303" s="4">
        <f t="shared" si="24"/>
        <v>349526.07999999996</v>
      </c>
      <c r="J1303" s="32" t="str">
        <f t="shared" si="25"/>
        <v/>
      </c>
      <c r="K1303" s="79"/>
      <c r="L1303" s="79"/>
      <c r="M1303" s="2"/>
      <c r="N1303" s="5"/>
      <c r="O1303" s="3"/>
      <c r="P1303" s="6"/>
      <c r="Q1303" s="6"/>
    </row>
    <row r="1304" spans="1:17" ht="15" customHeight="1" x14ac:dyDescent="0.25">
      <c r="A1304" s="1"/>
      <c r="B1304" s="17"/>
      <c r="C1304" s="17"/>
      <c r="D1304" s="17"/>
      <c r="E1304" s="17"/>
      <c r="F1304" s="17"/>
      <c r="G1304" s="4">
        <f t="shared" si="26"/>
        <v>0</v>
      </c>
      <c r="H1304" s="17"/>
      <c r="I1304" s="4">
        <f t="shared" si="24"/>
        <v>349526.07999999996</v>
      </c>
      <c r="J1304" s="32" t="str">
        <f t="shared" si="25"/>
        <v/>
      </c>
      <c r="K1304" s="79"/>
      <c r="L1304" s="79"/>
      <c r="M1304" s="2"/>
      <c r="N1304" s="5"/>
      <c r="O1304" s="3"/>
      <c r="P1304" s="6"/>
      <c r="Q1304" s="6"/>
    </row>
    <row r="1305" spans="1:17" ht="15" customHeight="1" x14ac:dyDescent="0.25">
      <c r="A1305" s="1"/>
      <c r="B1305" s="17"/>
      <c r="C1305" s="17"/>
      <c r="D1305" s="17"/>
      <c r="E1305" s="17"/>
      <c r="F1305" s="17"/>
      <c r="G1305" s="4">
        <f t="shared" si="26"/>
        <v>0</v>
      </c>
      <c r="H1305" s="17"/>
      <c r="I1305" s="4">
        <f t="shared" si="24"/>
        <v>349526.07999999996</v>
      </c>
      <c r="J1305" s="32" t="str">
        <f t="shared" si="25"/>
        <v/>
      </c>
      <c r="K1305" s="79"/>
      <c r="L1305" s="79"/>
      <c r="M1305" s="2"/>
      <c r="N1305" s="5"/>
      <c r="O1305" s="3"/>
      <c r="P1305" s="6"/>
      <c r="Q1305" s="6"/>
    </row>
    <row r="1306" spans="1:17" ht="15" customHeight="1" x14ac:dyDescent="0.25">
      <c r="A1306" s="1"/>
      <c r="B1306" s="17"/>
      <c r="C1306" s="17"/>
      <c r="D1306" s="17"/>
      <c r="E1306" s="17"/>
      <c r="F1306" s="17"/>
      <c r="G1306" s="4">
        <f t="shared" si="26"/>
        <v>0</v>
      </c>
      <c r="H1306" s="17"/>
      <c r="I1306" s="4">
        <f t="shared" si="24"/>
        <v>349526.07999999996</v>
      </c>
      <c r="J1306" s="32" t="str">
        <f t="shared" si="25"/>
        <v/>
      </c>
      <c r="K1306" s="79"/>
      <c r="L1306" s="79"/>
      <c r="M1306" s="2"/>
      <c r="N1306" s="5"/>
      <c r="O1306" s="3"/>
      <c r="P1306" s="6"/>
      <c r="Q1306" s="6"/>
    </row>
    <row r="1307" spans="1:17" ht="15" customHeight="1" x14ac:dyDescent="0.25">
      <c r="A1307" s="1"/>
      <c r="B1307" s="17"/>
      <c r="C1307" s="17"/>
      <c r="D1307" s="17"/>
      <c r="E1307" s="17"/>
      <c r="F1307" s="17"/>
      <c r="G1307" s="4">
        <f t="shared" si="26"/>
        <v>0</v>
      </c>
      <c r="H1307" s="17"/>
      <c r="I1307" s="4">
        <f t="shared" si="24"/>
        <v>349526.07999999996</v>
      </c>
      <c r="J1307" s="32" t="str">
        <f t="shared" si="25"/>
        <v/>
      </c>
      <c r="K1307" s="79"/>
      <c r="L1307" s="79"/>
      <c r="M1307" s="2"/>
      <c r="N1307" s="5"/>
      <c r="O1307" s="3"/>
      <c r="P1307" s="6"/>
      <c r="Q1307" s="6"/>
    </row>
    <row r="1308" spans="1:17" ht="15" customHeight="1" x14ac:dyDescent="0.25">
      <c r="A1308" s="1"/>
      <c r="B1308" s="17"/>
      <c r="C1308" s="17"/>
      <c r="D1308" s="17"/>
      <c r="E1308" s="17"/>
      <c r="F1308" s="17"/>
      <c r="G1308" s="4">
        <f t="shared" si="26"/>
        <v>0</v>
      </c>
      <c r="H1308" s="17"/>
      <c r="I1308" s="4">
        <f t="shared" si="24"/>
        <v>349526.07999999996</v>
      </c>
      <c r="J1308" s="32" t="str">
        <f t="shared" si="25"/>
        <v/>
      </c>
      <c r="K1308" s="79"/>
      <c r="L1308" s="79"/>
      <c r="M1308" s="2"/>
      <c r="N1308" s="5"/>
      <c r="O1308" s="3"/>
      <c r="P1308" s="6"/>
      <c r="Q1308" s="6"/>
    </row>
    <row r="1309" spans="1:17" ht="15" customHeight="1" x14ac:dyDescent="0.25">
      <c r="A1309" s="1"/>
      <c r="B1309" s="17"/>
      <c r="C1309" s="17"/>
      <c r="D1309" s="17"/>
      <c r="E1309" s="17"/>
      <c r="F1309" s="17"/>
      <c r="G1309" s="4">
        <f t="shared" si="26"/>
        <v>0</v>
      </c>
      <c r="H1309" s="17"/>
      <c r="I1309" s="4">
        <f t="shared" si="24"/>
        <v>349526.07999999996</v>
      </c>
      <c r="J1309" s="32" t="str">
        <f t="shared" si="25"/>
        <v/>
      </c>
      <c r="K1309" s="79"/>
      <c r="L1309" s="79"/>
      <c r="M1309" s="2"/>
      <c r="N1309" s="5"/>
      <c r="O1309" s="3"/>
      <c r="P1309" s="6"/>
      <c r="Q1309" s="6"/>
    </row>
    <row r="1310" spans="1:17" ht="15" customHeight="1" x14ac:dyDescent="0.25">
      <c r="A1310" s="1"/>
      <c r="B1310" s="17"/>
      <c r="C1310" s="17"/>
      <c r="D1310" s="17"/>
      <c r="E1310" s="17"/>
      <c r="F1310" s="17"/>
      <c r="G1310" s="4">
        <f t="shared" si="26"/>
        <v>0</v>
      </c>
      <c r="H1310" s="17"/>
      <c r="I1310" s="4">
        <f t="shared" si="24"/>
        <v>349526.07999999996</v>
      </c>
      <c r="J1310" s="32" t="str">
        <f t="shared" si="25"/>
        <v/>
      </c>
      <c r="K1310" s="79"/>
      <c r="L1310" s="79"/>
      <c r="M1310" s="2"/>
      <c r="N1310" s="5"/>
      <c r="O1310" s="3"/>
      <c r="P1310" s="6"/>
      <c r="Q1310" s="6"/>
    </row>
    <row r="1311" spans="1:17" ht="15" customHeight="1" x14ac:dyDescent="0.25">
      <c r="A1311" s="1"/>
      <c r="B1311" s="17"/>
      <c r="C1311" s="17"/>
      <c r="D1311" s="17"/>
      <c r="E1311" s="17"/>
      <c r="F1311" s="17"/>
      <c r="G1311" s="4">
        <f t="shared" si="26"/>
        <v>0</v>
      </c>
      <c r="H1311" s="17"/>
      <c r="I1311" s="4">
        <f t="shared" si="24"/>
        <v>349526.07999999996</v>
      </c>
      <c r="J1311" s="32" t="str">
        <f t="shared" si="25"/>
        <v/>
      </c>
      <c r="K1311" s="79"/>
      <c r="L1311" s="79"/>
      <c r="M1311" s="2"/>
      <c r="N1311" s="5"/>
      <c r="O1311" s="3"/>
      <c r="P1311" s="6"/>
      <c r="Q1311" s="6"/>
    </row>
    <row r="1312" spans="1:17" ht="15" customHeight="1" x14ac:dyDescent="0.25">
      <c r="A1312" s="1"/>
      <c r="B1312" s="17"/>
      <c r="C1312" s="17"/>
      <c r="D1312" s="17"/>
      <c r="E1312" s="17"/>
      <c r="F1312" s="17"/>
      <c r="G1312" s="4">
        <f t="shared" si="26"/>
        <v>0</v>
      </c>
      <c r="H1312" s="17"/>
      <c r="I1312" s="4">
        <f t="shared" si="24"/>
        <v>349526.07999999996</v>
      </c>
      <c r="J1312" s="32" t="str">
        <f t="shared" si="25"/>
        <v/>
      </c>
      <c r="K1312" s="79"/>
      <c r="L1312" s="79"/>
      <c r="M1312" s="2"/>
      <c r="N1312" s="5"/>
      <c r="O1312" s="3"/>
      <c r="P1312" s="6"/>
      <c r="Q1312" s="6"/>
    </row>
    <row r="1313" spans="1:17" ht="15" customHeight="1" x14ac:dyDescent="0.25">
      <c r="A1313" s="1"/>
      <c r="B1313" s="17"/>
      <c r="C1313" s="17"/>
      <c r="D1313" s="17"/>
      <c r="E1313" s="17"/>
      <c r="F1313" s="17"/>
      <c r="G1313" s="4">
        <f t="shared" si="26"/>
        <v>0</v>
      </c>
      <c r="H1313" s="17"/>
      <c r="I1313" s="4">
        <f t="shared" si="24"/>
        <v>349526.07999999996</v>
      </c>
      <c r="J1313" s="32" t="str">
        <f t="shared" si="25"/>
        <v/>
      </c>
      <c r="K1313" s="79"/>
      <c r="L1313" s="79"/>
      <c r="M1313" s="2"/>
      <c r="N1313" s="5"/>
      <c r="O1313" s="3"/>
      <c r="P1313" s="6"/>
      <c r="Q1313" s="6"/>
    </row>
    <row r="1314" spans="1:17" ht="15" customHeight="1" x14ac:dyDescent="0.25">
      <c r="A1314" s="1"/>
      <c r="B1314" s="17"/>
      <c r="C1314" s="17"/>
      <c r="D1314" s="17"/>
      <c r="E1314" s="17"/>
      <c r="F1314" s="17"/>
      <c r="G1314" s="4">
        <f t="shared" si="26"/>
        <v>0</v>
      </c>
      <c r="H1314" s="17"/>
      <c r="I1314" s="4">
        <f t="shared" si="24"/>
        <v>349526.07999999996</v>
      </c>
      <c r="J1314" s="32" t="str">
        <f t="shared" si="25"/>
        <v/>
      </c>
      <c r="K1314" s="79"/>
      <c r="L1314" s="79"/>
      <c r="M1314" s="2"/>
      <c r="N1314" s="5"/>
      <c r="O1314" s="3"/>
      <c r="P1314" s="6"/>
      <c r="Q1314" s="6"/>
    </row>
    <row r="1315" spans="1:17" ht="15" customHeight="1" x14ac:dyDescent="0.25">
      <c r="A1315" s="1"/>
      <c r="B1315" s="17"/>
      <c r="C1315" s="17"/>
      <c r="D1315" s="17"/>
      <c r="E1315" s="17"/>
      <c r="F1315" s="17"/>
      <c r="G1315" s="4">
        <f t="shared" si="26"/>
        <v>0</v>
      </c>
      <c r="H1315" s="17"/>
      <c r="I1315" s="4">
        <f t="shared" si="24"/>
        <v>349526.07999999996</v>
      </c>
      <c r="J1315" s="32" t="str">
        <f t="shared" si="25"/>
        <v/>
      </c>
      <c r="K1315" s="79"/>
      <c r="L1315" s="79"/>
      <c r="M1315" s="2"/>
      <c r="N1315" s="5"/>
      <c r="O1315" s="3"/>
      <c r="P1315" s="6"/>
      <c r="Q1315" s="6"/>
    </row>
    <row r="1316" spans="1:17" ht="15" customHeight="1" x14ac:dyDescent="0.25">
      <c r="A1316" s="1"/>
      <c r="B1316" s="17"/>
      <c r="C1316" s="17"/>
      <c r="D1316" s="17"/>
      <c r="E1316" s="17"/>
      <c r="F1316" s="17"/>
      <c r="G1316" s="4">
        <f t="shared" si="26"/>
        <v>0</v>
      </c>
      <c r="H1316" s="17"/>
      <c r="I1316" s="4">
        <f t="shared" si="24"/>
        <v>349526.07999999996</v>
      </c>
      <c r="J1316" s="32" t="str">
        <f t="shared" si="25"/>
        <v/>
      </c>
      <c r="K1316" s="79"/>
      <c r="L1316" s="79"/>
      <c r="M1316" s="2"/>
      <c r="N1316" s="5"/>
      <c r="O1316" s="3"/>
      <c r="P1316" s="6"/>
      <c r="Q1316" s="6"/>
    </row>
    <row r="1317" spans="1:17" ht="15" customHeight="1" x14ac:dyDescent="0.25">
      <c r="A1317" s="1"/>
      <c r="B1317" s="17"/>
      <c r="C1317" s="17"/>
      <c r="D1317" s="17"/>
      <c r="E1317" s="17"/>
      <c r="F1317" s="17"/>
      <c r="G1317" s="4">
        <f t="shared" si="26"/>
        <v>0</v>
      </c>
      <c r="H1317" s="17"/>
      <c r="I1317" s="4">
        <f t="shared" si="24"/>
        <v>349526.07999999996</v>
      </c>
      <c r="J1317" s="32" t="str">
        <f t="shared" si="25"/>
        <v/>
      </c>
      <c r="K1317" s="79"/>
      <c r="L1317" s="79"/>
      <c r="M1317" s="2"/>
      <c r="N1317" s="5"/>
      <c r="O1317" s="3"/>
      <c r="P1317" s="6"/>
      <c r="Q1317" s="6"/>
    </row>
    <row r="1318" spans="1:17" ht="15" customHeight="1" x14ac:dyDescent="0.25">
      <c r="A1318" s="1"/>
      <c r="B1318" s="17"/>
      <c r="C1318" s="17"/>
      <c r="D1318" s="17"/>
      <c r="E1318" s="17"/>
      <c r="F1318" s="17"/>
      <c r="G1318" s="4">
        <f t="shared" si="26"/>
        <v>0</v>
      </c>
      <c r="H1318" s="17"/>
      <c r="I1318" s="4">
        <f t="shared" si="24"/>
        <v>349526.07999999996</v>
      </c>
      <c r="J1318" s="32" t="str">
        <f t="shared" si="25"/>
        <v/>
      </c>
      <c r="K1318" s="79"/>
      <c r="L1318" s="79"/>
      <c r="M1318" s="2"/>
      <c r="N1318" s="5"/>
      <c r="O1318" s="3"/>
      <c r="P1318" s="6"/>
      <c r="Q1318" s="6"/>
    </row>
    <row r="1319" spans="1:17" ht="15" customHeight="1" x14ac:dyDescent="0.25">
      <c r="A1319" s="1"/>
      <c r="B1319" s="17"/>
      <c r="C1319" s="17"/>
      <c r="D1319" s="17"/>
      <c r="E1319" s="17"/>
      <c r="F1319" s="17"/>
      <c r="G1319" s="4">
        <f t="shared" si="26"/>
        <v>0</v>
      </c>
      <c r="H1319" s="17"/>
      <c r="I1319" s="4">
        <f t="shared" si="24"/>
        <v>349526.07999999996</v>
      </c>
      <c r="J1319" s="32" t="str">
        <f t="shared" si="25"/>
        <v/>
      </c>
      <c r="K1319" s="79"/>
      <c r="L1319" s="79"/>
      <c r="M1319" s="2"/>
      <c r="N1319" s="5"/>
      <c r="O1319" s="3"/>
      <c r="P1319" s="6"/>
      <c r="Q1319" s="6"/>
    </row>
    <row r="1320" spans="1:17" ht="15" customHeight="1" x14ac:dyDescent="0.25">
      <c r="A1320" s="1"/>
      <c r="B1320" s="17"/>
      <c r="C1320" s="17"/>
      <c r="D1320" s="17"/>
      <c r="E1320" s="17"/>
      <c r="F1320" s="17"/>
      <c r="G1320" s="4">
        <f t="shared" si="26"/>
        <v>0</v>
      </c>
      <c r="H1320" s="17"/>
      <c r="I1320" s="4">
        <f t="shared" si="24"/>
        <v>349526.07999999996</v>
      </c>
      <c r="J1320" s="32" t="str">
        <f t="shared" si="25"/>
        <v/>
      </c>
      <c r="K1320" s="79"/>
      <c r="L1320" s="79"/>
      <c r="M1320" s="2"/>
      <c r="N1320" s="5"/>
      <c r="O1320" s="3"/>
      <c r="P1320" s="6"/>
      <c r="Q1320" s="6"/>
    </row>
    <row r="1321" spans="1:17" ht="15" customHeight="1" x14ac:dyDescent="0.25">
      <c r="A1321" s="1"/>
      <c r="B1321" s="17"/>
      <c r="C1321" s="17"/>
      <c r="D1321" s="17"/>
      <c r="E1321" s="17"/>
      <c r="F1321" s="17"/>
      <c r="G1321" s="4">
        <f t="shared" si="26"/>
        <v>0</v>
      </c>
      <c r="H1321" s="17"/>
      <c r="I1321" s="4">
        <f t="shared" si="24"/>
        <v>349526.07999999996</v>
      </c>
      <c r="J1321" s="32" t="str">
        <f t="shared" si="25"/>
        <v/>
      </c>
      <c r="K1321" s="79"/>
      <c r="L1321" s="79"/>
      <c r="M1321" s="2"/>
      <c r="N1321" s="5"/>
      <c r="O1321" s="3"/>
      <c r="P1321" s="6"/>
      <c r="Q1321" s="6"/>
    </row>
    <row r="1322" spans="1:17" ht="15" customHeight="1" x14ac:dyDescent="0.25">
      <c r="A1322" s="1"/>
      <c r="B1322" s="17"/>
      <c r="C1322" s="17"/>
      <c r="D1322" s="17"/>
      <c r="E1322" s="17"/>
      <c r="F1322" s="17"/>
      <c r="G1322" s="4">
        <f t="shared" si="26"/>
        <v>0</v>
      </c>
      <c r="H1322" s="17"/>
      <c r="I1322" s="4">
        <f t="shared" si="24"/>
        <v>349526.07999999996</v>
      </c>
      <c r="J1322" s="32" t="str">
        <f t="shared" si="25"/>
        <v/>
      </c>
      <c r="K1322" s="79"/>
      <c r="L1322" s="79"/>
      <c r="M1322" s="2"/>
      <c r="N1322" s="5"/>
      <c r="O1322" s="3"/>
      <c r="P1322" s="6"/>
      <c r="Q1322" s="6"/>
    </row>
    <row r="1323" spans="1:17" ht="15" customHeight="1" x14ac:dyDescent="0.25">
      <c r="A1323" s="1"/>
      <c r="B1323" s="17"/>
      <c r="C1323" s="17"/>
      <c r="D1323" s="17"/>
      <c r="E1323" s="17"/>
      <c r="F1323" s="17"/>
      <c r="G1323" s="4">
        <f t="shared" si="26"/>
        <v>0</v>
      </c>
      <c r="H1323" s="17"/>
      <c r="I1323" s="4">
        <f t="shared" si="24"/>
        <v>349526.07999999996</v>
      </c>
      <c r="J1323" s="32" t="str">
        <f t="shared" si="25"/>
        <v/>
      </c>
      <c r="K1323" s="79"/>
      <c r="L1323" s="79"/>
      <c r="M1323" s="2"/>
      <c r="N1323" s="5"/>
      <c r="O1323" s="3"/>
      <c r="P1323" s="6"/>
      <c r="Q1323" s="6"/>
    </row>
    <row r="1324" spans="1:17" ht="15" customHeight="1" x14ac:dyDescent="0.25">
      <c r="A1324" s="1"/>
      <c r="B1324" s="17"/>
      <c r="C1324" s="17"/>
      <c r="D1324" s="17"/>
      <c r="E1324" s="17"/>
      <c r="F1324" s="17"/>
      <c r="G1324" s="4">
        <f t="shared" si="26"/>
        <v>0</v>
      </c>
      <c r="H1324" s="17"/>
      <c r="I1324" s="4">
        <f t="shared" si="24"/>
        <v>349526.07999999996</v>
      </c>
      <c r="J1324" s="32" t="str">
        <f t="shared" si="25"/>
        <v/>
      </c>
      <c r="K1324" s="79"/>
      <c r="L1324" s="79"/>
      <c r="M1324" s="2"/>
      <c r="N1324" s="5"/>
      <c r="O1324" s="3"/>
      <c r="P1324" s="6"/>
      <c r="Q1324" s="6"/>
    </row>
    <row r="1325" spans="1:17" ht="15" customHeight="1" x14ac:dyDescent="0.25">
      <c r="A1325" s="1"/>
      <c r="B1325" s="17"/>
      <c r="C1325" s="17"/>
      <c r="D1325" s="17"/>
      <c r="E1325" s="17"/>
      <c r="F1325" s="17"/>
      <c r="G1325" s="4">
        <f t="shared" si="26"/>
        <v>0</v>
      </c>
      <c r="H1325" s="17"/>
      <c r="I1325" s="4">
        <f t="shared" si="24"/>
        <v>349526.07999999996</v>
      </c>
      <c r="J1325" s="32" t="str">
        <f t="shared" si="25"/>
        <v/>
      </c>
      <c r="K1325" s="79"/>
      <c r="L1325" s="79"/>
      <c r="M1325" s="2"/>
      <c r="N1325" s="5"/>
      <c r="O1325" s="3"/>
      <c r="P1325" s="6"/>
      <c r="Q1325" s="6"/>
    </row>
    <row r="1326" spans="1:17" ht="15" customHeight="1" x14ac:dyDescent="0.25">
      <c r="A1326" s="1"/>
      <c r="B1326" s="17"/>
      <c r="C1326" s="17"/>
      <c r="D1326" s="17"/>
      <c r="E1326" s="17"/>
      <c r="F1326" s="17"/>
      <c r="G1326" s="4">
        <f t="shared" si="26"/>
        <v>0</v>
      </c>
      <c r="H1326" s="17"/>
      <c r="I1326" s="4">
        <f t="shared" si="24"/>
        <v>349526.07999999996</v>
      </c>
      <c r="J1326" s="32" t="str">
        <f t="shared" si="25"/>
        <v/>
      </c>
      <c r="K1326" s="79"/>
      <c r="L1326" s="79"/>
      <c r="M1326" s="2"/>
      <c r="N1326" s="5"/>
      <c r="O1326" s="3"/>
      <c r="P1326" s="6"/>
      <c r="Q1326" s="6"/>
    </row>
    <row r="1327" spans="1:17" ht="15" customHeight="1" x14ac:dyDescent="0.25">
      <c r="A1327" s="1"/>
      <c r="B1327" s="17"/>
      <c r="C1327" s="17"/>
      <c r="D1327" s="17"/>
      <c r="E1327" s="17"/>
      <c r="F1327" s="17"/>
      <c r="G1327" s="4">
        <f t="shared" si="26"/>
        <v>0</v>
      </c>
      <c r="H1327" s="17"/>
      <c r="I1327" s="4">
        <f t="shared" si="24"/>
        <v>349526.07999999996</v>
      </c>
      <c r="J1327" s="32" t="str">
        <f t="shared" si="25"/>
        <v/>
      </c>
      <c r="K1327" s="79"/>
      <c r="L1327" s="79"/>
      <c r="M1327" s="2"/>
      <c r="N1327" s="5"/>
      <c r="O1327" s="3"/>
      <c r="P1327" s="6"/>
      <c r="Q1327" s="6"/>
    </row>
    <row r="1328" spans="1:17" ht="15" customHeight="1" x14ac:dyDescent="0.25">
      <c r="A1328" s="1"/>
      <c r="B1328" s="17"/>
      <c r="C1328" s="17"/>
      <c r="D1328" s="17"/>
      <c r="E1328" s="17"/>
      <c r="F1328" s="17"/>
      <c r="G1328" s="4">
        <f t="shared" si="26"/>
        <v>0</v>
      </c>
      <c r="H1328" s="17"/>
      <c r="I1328" s="4">
        <f t="shared" si="24"/>
        <v>349526.07999999996</v>
      </c>
      <c r="J1328" s="32" t="str">
        <f t="shared" si="25"/>
        <v/>
      </c>
      <c r="K1328" s="79"/>
      <c r="L1328" s="79"/>
      <c r="M1328" s="2"/>
      <c r="N1328" s="5"/>
      <c r="O1328" s="3"/>
      <c r="P1328" s="6"/>
      <c r="Q1328" s="6"/>
    </row>
    <row r="1329" spans="1:17" ht="15" customHeight="1" x14ac:dyDescent="0.25">
      <c r="A1329" s="1"/>
      <c r="B1329" s="17"/>
      <c r="C1329" s="17"/>
      <c r="D1329" s="17"/>
      <c r="E1329" s="17"/>
      <c r="F1329" s="17"/>
      <c r="G1329" s="4">
        <f t="shared" si="26"/>
        <v>0</v>
      </c>
      <c r="H1329" s="17"/>
      <c r="I1329" s="4">
        <f t="shared" si="24"/>
        <v>349526.07999999996</v>
      </c>
      <c r="J1329" s="32" t="str">
        <f t="shared" si="25"/>
        <v/>
      </c>
      <c r="K1329" s="79"/>
      <c r="L1329" s="79"/>
      <c r="M1329" s="2"/>
      <c r="N1329" s="5"/>
      <c r="O1329" s="3"/>
      <c r="P1329" s="6"/>
      <c r="Q1329" s="6"/>
    </row>
    <row r="1330" spans="1:17" ht="15" customHeight="1" x14ac:dyDescent="0.25">
      <c r="A1330" s="1"/>
      <c r="B1330" s="17"/>
      <c r="C1330" s="17"/>
      <c r="D1330" s="17"/>
      <c r="E1330" s="17"/>
      <c r="F1330" s="17"/>
      <c r="G1330" s="4">
        <f t="shared" si="26"/>
        <v>0</v>
      </c>
      <c r="H1330" s="17"/>
      <c r="I1330" s="4">
        <f t="shared" si="24"/>
        <v>349526.07999999996</v>
      </c>
      <c r="J1330" s="32" t="str">
        <f t="shared" si="25"/>
        <v/>
      </c>
      <c r="K1330" s="79"/>
      <c r="L1330" s="79"/>
      <c r="M1330" s="2"/>
      <c r="N1330" s="5"/>
      <c r="O1330" s="3"/>
      <c r="P1330" s="6"/>
      <c r="Q1330" s="6"/>
    </row>
    <row r="1331" spans="1:17" ht="15" customHeight="1" x14ac:dyDescent="0.25">
      <c r="A1331" s="1"/>
      <c r="B1331" s="17"/>
      <c r="C1331" s="17"/>
      <c r="D1331" s="17"/>
      <c r="E1331" s="17"/>
      <c r="F1331" s="17"/>
      <c r="G1331" s="4">
        <f t="shared" si="26"/>
        <v>0</v>
      </c>
      <c r="H1331" s="17"/>
      <c r="I1331" s="4">
        <f t="shared" si="24"/>
        <v>349526.07999999996</v>
      </c>
      <c r="J1331" s="32" t="str">
        <f t="shared" si="25"/>
        <v/>
      </c>
      <c r="K1331" s="79"/>
      <c r="L1331" s="79"/>
      <c r="M1331" s="2"/>
      <c r="N1331" s="5"/>
      <c r="O1331" s="3"/>
      <c r="P1331" s="6"/>
      <c r="Q1331" s="6"/>
    </row>
    <row r="1332" spans="1:17" ht="15" customHeight="1" x14ac:dyDescent="0.25">
      <c r="A1332" s="1"/>
      <c r="B1332" s="17"/>
      <c r="C1332" s="17"/>
      <c r="D1332" s="17"/>
      <c r="E1332" s="17"/>
      <c r="F1332" s="17"/>
      <c r="G1332" s="4">
        <f t="shared" si="26"/>
        <v>0</v>
      </c>
      <c r="H1332" s="17"/>
      <c r="I1332" s="4">
        <f t="shared" si="24"/>
        <v>349526.07999999996</v>
      </c>
      <c r="J1332" s="32" t="str">
        <f t="shared" si="25"/>
        <v/>
      </c>
      <c r="K1332" s="79"/>
      <c r="L1332" s="79"/>
      <c r="M1332" s="2"/>
      <c r="N1332" s="5"/>
      <c r="O1332" s="3"/>
      <c r="P1332" s="6"/>
      <c r="Q1332" s="6"/>
    </row>
    <row r="1333" spans="1:17" ht="15" customHeight="1" x14ac:dyDescent="0.25">
      <c r="A1333" s="1"/>
      <c r="B1333" s="17"/>
      <c r="C1333" s="17"/>
      <c r="D1333" s="17"/>
      <c r="E1333" s="17"/>
      <c r="F1333" s="17"/>
      <c r="G1333" s="4">
        <f t="shared" si="26"/>
        <v>0</v>
      </c>
      <c r="H1333" s="17"/>
      <c r="I1333" s="4">
        <f t="shared" si="24"/>
        <v>349526.07999999996</v>
      </c>
      <c r="J1333" s="32" t="str">
        <f t="shared" si="25"/>
        <v/>
      </c>
      <c r="K1333" s="79"/>
      <c r="L1333" s="79"/>
      <c r="M1333" s="2"/>
      <c r="N1333" s="5"/>
      <c r="O1333" s="3"/>
      <c r="P1333" s="6"/>
      <c r="Q1333" s="6"/>
    </row>
    <row r="1334" spans="1:17" ht="15" customHeight="1" x14ac:dyDescent="0.25">
      <c r="A1334" s="1"/>
      <c r="B1334" s="17"/>
      <c r="C1334" s="17"/>
      <c r="D1334" s="17"/>
      <c r="E1334" s="17"/>
      <c r="F1334" s="17"/>
      <c r="G1334" s="4">
        <f t="shared" si="26"/>
        <v>0</v>
      </c>
      <c r="H1334" s="17"/>
      <c r="I1334" s="4">
        <f t="shared" ref="I1334:I1397" si="27">$I1333+$G1334-$H1334</f>
        <v>349526.07999999996</v>
      </c>
      <c r="J1334" s="32" t="str">
        <f t="shared" ref="J1334:J1397" si="28">IF($A1335&lt;&gt;$A1334,$I1334,"")</f>
        <v/>
      </c>
      <c r="K1334" s="79"/>
      <c r="L1334" s="79"/>
      <c r="M1334" s="2"/>
      <c r="N1334" s="5"/>
      <c r="O1334" s="3"/>
      <c r="P1334" s="6"/>
      <c r="Q1334" s="6"/>
    </row>
    <row r="1335" spans="1:17" ht="15" customHeight="1" x14ac:dyDescent="0.25">
      <c r="A1335" s="1"/>
      <c r="B1335" s="17"/>
      <c r="C1335" s="17"/>
      <c r="D1335" s="17"/>
      <c r="E1335" s="17"/>
      <c r="F1335" s="17"/>
      <c r="G1335" s="4">
        <f t="shared" si="26"/>
        <v>0</v>
      </c>
      <c r="H1335" s="17"/>
      <c r="I1335" s="4">
        <f t="shared" si="27"/>
        <v>349526.07999999996</v>
      </c>
      <c r="J1335" s="32" t="str">
        <f t="shared" si="28"/>
        <v/>
      </c>
      <c r="K1335" s="79"/>
      <c r="L1335" s="79"/>
      <c r="M1335" s="2"/>
      <c r="N1335" s="5"/>
      <c r="O1335" s="3"/>
      <c r="P1335" s="6"/>
      <c r="Q1335" s="6"/>
    </row>
    <row r="1336" spans="1:17" ht="15" customHeight="1" x14ac:dyDescent="0.25">
      <c r="A1336" s="1"/>
      <c r="B1336" s="17"/>
      <c r="C1336" s="17"/>
      <c r="D1336" s="17"/>
      <c r="E1336" s="17"/>
      <c r="F1336" s="17"/>
      <c r="G1336" s="4">
        <f t="shared" si="26"/>
        <v>0</v>
      </c>
      <c r="H1336" s="17"/>
      <c r="I1336" s="4">
        <f t="shared" si="27"/>
        <v>349526.07999999996</v>
      </c>
      <c r="J1336" s="32" t="str">
        <f t="shared" si="28"/>
        <v/>
      </c>
      <c r="K1336" s="79"/>
      <c r="L1336" s="79"/>
      <c r="M1336" s="2"/>
      <c r="N1336" s="5"/>
      <c r="O1336" s="3"/>
      <c r="P1336" s="6"/>
      <c r="Q1336" s="6"/>
    </row>
    <row r="1337" spans="1:17" ht="15" customHeight="1" x14ac:dyDescent="0.25">
      <c r="A1337" s="1"/>
      <c r="B1337" s="17"/>
      <c r="C1337" s="17"/>
      <c r="D1337" s="17"/>
      <c r="E1337" s="17"/>
      <c r="F1337" s="17"/>
      <c r="G1337" s="4">
        <f t="shared" si="26"/>
        <v>0</v>
      </c>
      <c r="H1337" s="17"/>
      <c r="I1337" s="4">
        <f t="shared" si="27"/>
        <v>349526.07999999996</v>
      </c>
      <c r="J1337" s="32" t="str">
        <f t="shared" si="28"/>
        <v/>
      </c>
      <c r="K1337" s="79"/>
      <c r="L1337" s="79"/>
      <c r="M1337" s="2"/>
      <c r="N1337" s="5"/>
      <c r="O1337" s="3"/>
      <c r="P1337" s="6"/>
      <c r="Q1337" s="6"/>
    </row>
    <row r="1338" spans="1:17" ht="15" customHeight="1" x14ac:dyDescent="0.25">
      <c r="A1338" s="1"/>
      <c r="B1338" s="17"/>
      <c r="C1338" s="17"/>
      <c r="D1338" s="17"/>
      <c r="E1338" s="17"/>
      <c r="F1338" s="17"/>
      <c r="G1338" s="4">
        <f t="shared" si="26"/>
        <v>0</v>
      </c>
      <c r="H1338" s="17"/>
      <c r="I1338" s="4">
        <f t="shared" si="27"/>
        <v>349526.07999999996</v>
      </c>
      <c r="J1338" s="32" t="str">
        <f t="shared" si="28"/>
        <v/>
      </c>
      <c r="K1338" s="79"/>
      <c r="L1338" s="79"/>
      <c r="M1338" s="2"/>
      <c r="N1338" s="5"/>
      <c r="O1338" s="3"/>
      <c r="P1338" s="6"/>
      <c r="Q1338" s="6"/>
    </row>
    <row r="1339" spans="1:17" ht="15" customHeight="1" x14ac:dyDescent="0.25">
      <c r="A1339" s="1"/>
      <c r="B1339" s="17"/>
      <c r="C1339" s="17"/>
      <c r="D1339" s="17"/>
      <c r="E1339" s="17"/>
      <c r="F1339" s="17"/>
      <c r="G1339" s="4">
        <f t="shared" si="26"/>
        <v>0</v>
      </c>
      <c r="H1339" s="17"/>
      <c r="I1339" s="4">
        <f t="shared" si="27"/>
        <v>349526.07999999996</v>
      </c>
      <c r="J1339" s="32" t="str">
        <f t="shared" si="28"/>
        <v/>
      </c>
      <c r="K1339" s="79"/>
      <c r="L1339" s="79"/>
      <c r="M1339" s="2"/>
      <c r="N1339" s="5"/>
      <c r="O1339" s="3"/>
      <c r="P1339" s="6"/>
      <c r="Q1339" s="6"/>
    </row>
    <row r="1340" spans="1:17" ht="15" customHeight="1" x14ac:dyDescent="0.25">
      <c r="A1340" s="1"/>
      <c r="B1340" s="17"/>
      <c r="C1340" s="17"/>
      <c r="D1340" s="17"/>
      <c r="E1340" s="17"/>
      <c r="F1340" s="17"/>
      <c r="G1340" s="4">
        <f t="shared" si="26"/>
        <v>0</v>
      </c>
      <c r="H1340" s="17"/>
      <c r="I1340" s="4">
        <f t="shared" si="27"/>
        <v>349526.07999999996</v>
      </c>
      <c r="J1340" s="32" t="str">
        <f t="shared" si="28"/>
        <v/>
      </c>
      <c r="K1340" s="79"/>
      <c r="L1340" s="79"/>
      <c r="M1340" s="2"/>
      <c r="N1340" s="5"/>
      <c r="O1340" s="3"/>
      <c r="P1340" s="6"/>
      <c r="Q1340" s="6"/>
    </row>
    <row r="1341" spans="1:17" ht="15" customHeight="1" x14ac:dyDescent="0.25">
      <c r="A1341" s="1"/>
      <c r="B1341" s="17"/>
      <c r="C1341" s="17"/>
      <c r="D1341" s="17"/>
      <c r="E1341" s="17"/>
      <c r="F1341" s="17"/>
      <c r="G1341" s="4">
        <f t="shared" si="26"/>
        <v>0</v>
      </c>
      <c r="H1341" s="17"/>
      <c r="I1341" s="4">
        <f t="shared" si="27"/>
        <v>349526.07999999996</v>
      </c>
      <c r="J1341" s="32" t="str">
        <f t="shared" si="28"/>
        <v/>
      </c>
      <c r="K1341" s="79"/>
      <c r="L1341" s="79"/>
      <c r="M1341" s="2"/>
      <c r="N1341" s="5"/>
      <c r="O1341" s="3"/>
      <c r="P1341" s="6"/>
      <c r="Q1341" s="6"/>
    </row>
    <row r="1342" spans="1:17" ht="15" customHeight="1" x14ac:dyDescent="0.25">
      <c r="A1342" s="1"/>
      <c r="B1342" s="17"/>
      <c r="C1342" s="17"/>
      <c r="D1342" s="17"/>
      <c r="E1342" s="17"/>
      <c r="F1342" s="17"/>
      <c r="G1342" s="4">
        <f t="shared" si="26"/>
        <v>0</v>
      </c>
      <c r="H1342" s="17"/>
      <c r="I1342" s="4">
        <f t="shared" si="27"/>
        <v>349526.07999999996</v>
      </c>
      <c r="J1342" s="32" t="str">
        <f t="shared" si="28"/>
        <v/>
      </c>
      <c r="K1342" s="79"/>
      <c r="L1342" s="79"/>
      <c r="M1342" s="2"/>
      <c r="N1342" s="5"/>
      <c r="O1342" s="3"/>
      <c r="P1342" s="6"/>
      <c r="Q1342" s="6"/>
    </row>
    <row r="1343" spans="1:17" ht="15" customHeight="1" x14ac:dyDescent="0.25">
      <c r="A1343" s="1"/>
      <c r="B1343" s="17"/>
      <c r="C1343" s="17"/>
      <c r="D1343" s="17"/>
      <c r="E1343" s="17"/>
      <c r="F1343" s="17"/>
      <c r="G1343" s="4">
        <f t="shared" si="26"/>
        <v>0</v>
      </c>
      <c r="H1343" s="17"/>
      <c r="I1343" s="4">
        <f t="shared" si="27"/>
        <v>349526.07999999996</v>
      </c>
      <c r="J1343" s="32" t="str">
        <f t="shared" si="28"/>
        <v/>
      </c>
      <c r="K1343" s="79"/>
      <c r="L1343" s="79"/>
      <c r="M1343" s="2"/>
      <c r="N1343" s="5"/>
      <c r="O1343" s="3"/>
      <c r="P1343" s="6"/>
      <c r="Q1343" s="6"/>
    </row>
    <row r="1344" spans="1:17" ht="15" customHeight="1" x14ac:dyDescent="0.25">
      <c r="A1344" s="1"/>
      <c r="B1344" s="17"/>
      <c r="C1344" s="17"/>
      <c r="D1344" s="17"/>
      <c r="E1344" s="17"/>
      <c r="F1344" s="17"/>
      <c r="G1344" s="4">
        <f t="shared" si="26"/>
        <v>0</v>
      </c>
      <c r="H1344" s="17"/>
      <c r="I1344" s="4">
        <f t="shared" si="27"/>
        <v>349526.07999999996</v>
      </c>
      <c r="J1344" s="32" t="str">
        <f t="shared" si="28"/>
        <v/>
      </c>
      <c r="K1344" s="79"/>
      <c r="L1344" s="79"/>
      <c r="M1344" s="2"/>
      <c r="N1344" s="5"/>
      <c r="O1344" s="3"/>
      <c r="P1344" s="6"/>
      <c r="Q1344" s="6"/>
    </row>
    <row r="1345" spans="1:17" ht="15" customHeight="1" x14ac:dyDescent="0.25">
      <c r="A1345" s="1"/>
      <c r="B1345" s="17"/>
      <c r="C1345" s="17"/>
      <c r="D1345" s="17"/>
      <c r="E1345" s="17"/>
      <c r="F1345" s="17"/>
      <c r="G1345" s="4">
        <f t="shared" si="26"/>
        <v>0</v>
      </c>
      <c r="H1345" s="17"/>
      <c r="I1345" s="4">
        <f t="shared" si="27"/>
        <v>349526.07999999996</v>
      </c>
      <c r="J1345" s="32" t="str">
        <f t="shared" si="28"/>
        <v/>
      </c>
      <c r="K1345" s="79"/>
      <c r="L1345" s="79"/>
      <c r="M1345" s="2"/>
      <c r="N1345" s="5"/>
      <c r="O1345" s="3"/>
      <c r="P1345" s="6"/>
      <c r="Q1345" s="6"/>
    </row>
    <row r="1346" spans="1:17" ht="15" customHeight="1" x14ac:dyDescent="0.25">
      <c r="A1346" s="1"/>
      <c r="B1346" s="17"/>
      <c r="C1346" s="17"/>
      <c r="D1346" s="17"/>
      <c r="E1346" s="17"/>
      <c r="F1346" s="17"/>
      <c r="G1346" s="4">
        <f t="shared" si="26"/>
        <v>0</v>
      </c>
      <c r="H1346" s="17"/>
      <c r="I1346" s="4">
        <f t="shared" si="27"/>
        <v>349526.07999999996</v>
      </c>
      <c r="J1346" s="32" t="str">
        <f t="shared" si="28"/>
        <v/>
      </c>
      <c r="K1346" s="79"/>
      <c r="L1346" s="79"/>
      <c r="M1346" s="2"/>
      <c r="N1346" s="5"/>
      <c r="O1346" s="3"/>
      <c r="P1346" s="6"/>
      <c r="Q1346" s="6"/>
    </row>
    <row r="1347" spans="1:17" ht="15" customHeight="1" x14ac:dyDescent="0.25">
      <c r="A1347" s="1"/>
      <c r="B1347" s="17"/>
      <c r="C1347" s="17"/>
      <c r="D1347" s="17"/>
      <c r="E1347" s="17"/>
      <c r="F1347" s="17"/>
      <c r="G1347" s="4">
        <f t="shared" ref="G1347:G1410" si="29">SUM($B1347:$F1347)</f>
        <v>0</v>
      </c>
      <c r="H1347" s="17"/>
      <c r="I1347" s="4">
        <f t="shared" si="27"/>
        <v>349526.07999999996</v>
      </c>
      <c r="J1347" s="32" t="str">
        <f t="shared" si="28"/>
        <v/>
      </c>
      <c r="K1347" s="79"/>
      <c r="L1347" s="79"/>
      <c r="M1347" s="2"/>
      <c r="N1347" s="5"/>
      <c r="O1347" s="3"/>
      <c r="P1347" s="6"/>
      <c r="Q1347" s="6"/>
    </row>
    <row r="1348" spans="1:17" ht="15" customHeight="1" x14ac:dyDescent="0.25">
      <c r="A1348" s="1"/>
      <c r="B1348" s="17"/>
      <c r="C1348" s="17"/>
      <c r="D1348" s="17"/>
      <c r="E1348" s="17"/>
      <c r="F1348" s="17"/>
      <c r="G1348" s="4">
        <f t="shared" si="29"/>
        <v>0</v>
      </c>
      <c r="H1348" s="17"/>
      <c r="I1348" s="4">
        <f t="shared" si="27"/>
        <v>349526.07999999996</v>
      </c>
      <c r="J1348" s="32" t="str">
        <f t="shared" si="28"/>
        <v/>
      </c>
      <c r="K1348" s="79"/>
      <c r="L1348" s="79"/>
      <c r="M1348" s="2"/>
      <c r="N1348" s="5"/>
      <c r="O1348" s="3"/>
      <c r="P1348" s="6"/>
      <c r="Q1348" s="6"/>
    </row>
    <row r="1349" spans="1:17" ht="15" customHeight="1" x14ac:dyDescent="0.25">
      <c r="A1349" s="1"/>
      <c r="B1349" s="17"/>
      <c r="C1349" s="17"/>
      <c r="D1349" s="17"/>
      <c r="E1349" s="17"/>
      <c r="F1349" s="17"/>
      <c r="G1349" s="4">
        <f t="shared" si="29"/>
        <v>0</v>
      </c>
      <c r="H1349" s="17"/>
      <c r="I1349" s="4">
        <f t="shared" si="27"/>
        <v>349526.07999999996</v>
      </c>
      <c r="J1349" s="32" t="str">
        <f t="shared" si="28"/>
        <v/>
      </c>
      <c r="K1349" s="79"/>
      <c r="L1349" s="79"/>
      <c r="M1349" s="2"/>
      <c r="N1349" s="5"/>
      <c r="O1349" s="3"/>
      <c r="P1349" s="6"/>
      <c r="Q1349" s="6"/>
    </row>
    <row r="1350" spans="1:17" ht="15" customHeight="1" x14ac:dyDescent="0.25">
      <c r="A1350" s="1"/>
      <c r="B1350" s="17"/>
      <c r="C1350" s="17"/>
      <c r="D1350" s="17"/>
      <c r="E1350" s="17"/>
      <c r="F1350" s="17"/>
      <c r="G1350" s="4">
        <f t="shared" si="29"/>
        <v>0</v>
      </c>
      <c r="H1350" s="17"/>
      <c r="I1350" s="4">
        <f t="shared" si="27"/>
        <v>349526.07999999996</v>
      </c>
      <c r="J1350" s="32" t="str">
        <f t="shared" si="28"/>
        <v/>
      </c>
      <c r="K1350" s="79"/>
      <c r="L1350" s="79"/>
      <c r="M1350" s="2"/>
      <c r="N1350" s="5"/>
      <c r="O1350" s="3"/>
      <c r="P1350" s="6"/>
      <c r="Q1350" s="6"/>
    </row>
    <row r="1351" spans="1:17" ht="15" customHeight="1" x14ac:dyDescent="0.25">
      <c r="A1351" s="1"/>
      <c r="B1351" s="17"/>
      <c r="C1351" s="17"/>
      <c r="D1351" s="17"/>
      <c r="E1351" s="17"/>
      <c r="F1351" s="17"/>
      <c r="G1351" s="4">
        <f t="shared" si="29"/>
        <v>0</v>
      </c>
      <c r="H1351" s="17"/>
      <c r="I1351" s="4">
        <f t="shared" si="27"/>
        <v>349526.07999999996</v>
      </c>
      <c r="J1351" s="32" t="str">
        <f t="shared" si="28"/>
        <v/>
      </c>
      <c r="K1351" s="79"/>
      <c r="L1351" s="79"/>
      <c r="M1351" s="2"/>
      <c r="N1351" s="5"/>
      <c r="O1351" s="3"/>
      <c r="P1351" s="6"/>
      <c r="Q1351" s="6"/>
    </row>
    <row r="1352" spans="1:17" ht="15" customHeight="1" x14ac:dyDescent="0.25">
      <c r="A1352" s="1"/>
      <c r="B1352" s="17"/>
      <c r="C1352" s="17"/>
      <c r="D1352" s="17"/>
      <c r="E1352" s="17"/>
      <c r="F1352" s="17"/>
      <c r="G1352" s="4">
        <f t="shared" si="29"/>
        <v>0</v>
      </c>
      <c r="H1352" s="17"/>
      <c r="I1352" s="4">
        <f t="shared" si="27"/>
        <v>349526.07999999996</v>
      </c>
      <c r="J1352" s="32" t="str">
        <f t="shared" si="28"/>
        <v/>
      </c>
      <c r="K1352" s="79"/>
      <c r="L1352" s="79"/>
      <c r="M1352" s="2"/>
      <c r="N1352" s="5"/>
      <c r="O1352" s="3"/>
      <c r="P1352" s="6"/>
      <c r="Q1352" s="6"/>
    </row>
    <row r="1353" spans="1:17" ht="15" customHeight="1" x14ac:dyDescent="0.25">
      <c r="A1353" s="1"/>
      <c r="B1353" s="17"/>
      <c r="C1353" s="17"/>
      <c r="D1353" s="17"/>
      <c r="E1353" s="17"/>
      <c r="F1353" s="17"/>
      <c r="G1353" s="4">
        <f t="shared" si="29"/>
        <v>0</v>
      </c>
      <c r="H1353" s="17"/>
      <c r="I1353" s="4">
        <f t="shared" si="27"/>
        <v>349526.07999999996</v>
      </c>
      <c r="J1353" s="32" t="str">
        <f t="shared" si="28"/>
        <v/>
      </c>
      <c r="K1353" s="79"/>
      <c r="L1353" s="79"/>
      <c r="M1353" s="2"/>
      <c r="N1353" s="5"/>
      <c r="O1353" s="3"/>
      <c r="P1353" s="6"/>
      <c r="Q1353" s="6"/>
    </row>
    <row r="1354" spans="1:17" ht="15" customHeight="1" x14ac:dyDescent="0.25">
      <c r="A1354" s="1"/>
      <c r="B1354" s="17"/>
      <c r="C1354" s="17"/>
      <c r="D1354" s="17"/>
      <c r="E1354" s="17"/>
      <c r="F1354" s="17"/>
      <c r="G1354" s="4">
        <f t="shared" si="29"/>
        <v>0</v>
      </c>
      <c r="H1354" s="17"/>
      <c r="I1354" s="4">
        <f t="shared" si="27"/>
        <v>349526.07999999996</v>
      </c>
      <c r="J1354" s="32" t="str">
        <f t="shared" si="28"/>
        <v/>
      </c>
      <c r="K1354" s="79"/>
      <c r="L1354" s="79"/>
      <c r="M1354" s="2"/>
      <c r="N1354" s="5"/>
      <c r="O1354" s="3"/>
      <c r="P1354" s="6"/>
      <c r="Q1354" s="6"/>
    </row>
    <row r="1355" spans="1:17" ht="15" customHeight="1" x14ac:dyDescent="0.25">
      <c r="A1355" s="1"/>
      <c r="B1355" s="17"/>
      <c r="C1355" s="17"/>
      <c r="D1355" s="17"/>
      <c r="E1355" s="17"/>
      <c r="F1355" s="17"/>
      <c r="G1355" s="4">
        <f t="shared" si="29"/>
        <v>0</v>
      </c>
      <c r="H1355" s="17"/>
      <c r="I1355" s="4">
        <f t="shared" si="27"/>
        <v>349526.07999999996</v>
      </c>
      <c r="J1355" s="32" t="str">
        <f t="shared" si="28"/>
        <v/>
      </c>
      <c r="K1355" s="79"/>
      <c r="L1355" s="79"/>
      <c r="M1355" s="2"/>
      <c r="N1355" s="5"/>
      <c r="O1355" s="3"/>
      <c r="P1355" s="6"/>
      <c r="Q1355" s="6"/>
    </row>
    <row r="1356" spans="1:17" ht="15" customHeight="1" x14ac:dyDescent="0.25">
      <c r="A1356" s="1"/>
      <c r="B1356" s="17"/>
      <c r="C1356" s="17"/>
      <c r="D1356" s="17"/>
      <c r="E1356" s="17"/>
      <c r="F1356" s="17"/>
      <c r="G1356" s="4">
        <f t="shared" si="29"/>
        <v>0</v>
      </c>
      <c r="H1356" s="17"/>
      <c r="I1356" s="4">
        <f t="shared" si="27"/>
        <v>349526.07999999996</v>
      </c>
      <c r="J1356" s="32" t="str">
        <f t="shared" si="28"/>
        <v/>
      </c>
      <c r="K1356" s="79"/>
      <c r="L1356" s="79"/>
      <c r="M1356" s="2"/>
      <c r="N1356" s="5"/>
      <c r="O1356" s="3"/>
      <c r="P1356" s="6"/>
      <c r="Q1356" s="6"/>
    </row>
    <row r="1357" spans="1:17" ht="15" customHeight="1" x14ac:dyDescent="0.25">
      <c r="A1357" s="1"/>
      <c r="B1357" s="17"/>
      <c r="C1357" s="17"/>
      <c r="D1357" s="17"/>
      <c r="E1357" s="17"/>
      <c r="F1357" s="17"/>
      <c r="G1357" s="4">
        <f t="shared" si="29"/>
        <v>0</v>
      </c>
      <c r="H1357" s="17"/>
      <c r="I1357" s="4">
        <f t="shared" si="27"/>
        <v>349526.07999999996</v>
      </c>
      <c r="J1357" s="32" t="str">
        <f t="shared" si="28"/>
        <v/>
      </c>
      <c r="K1357" s="79"/>
      <c r="L1357" s="79"/>
      <c r="M1357" s="2"/>
      <c r="N1357" s="5"/>
      <c r="O1357" s="3"/>
      <c r="P1357" s="6"/>
      <c r="Q1357" s="6"/>
    </row>
    <row r="1358" spans="1:17" ht="15" customHeight="1" x14ac:dyDescent="0.25">
      <c r="A1358" s="1"/>
      <c r="B1358" s="17"/>
      <c r="C1358" s="17"/>
      <c r="D1358" s="17"/>
      <c r="E1358" s="17"/>
      <c r="F1358" s="17"/>
      <c r="G1358" s="4">
        <f t="shared" si="29"/>
        <v>0</v>
      </c>
      <c r="H1358" s="17"/>
      <c r="I1358" s="4">
        <f t="shared" si="27"/>
        <v>349526.07999999996</v>
      </c>
      <c r="J1358" s="32" t="str">
        <f t="shared" si="28"/>
        <v/>
      </c>
      <c r="K1358" s="79"/>
      <c r="L1358" s="79"/>
      <c r="M1358" s="2"/>
      <c r="N1358" s="5"/>
      <c r="O1358" s="3"/>
      <c r="P1358" s="6"/>
      <c r="Q1358" s="6"/>
    </row>
    <row r="1359" spans="1:17" ht="15" customHeight="1" x14ac:dyDescent="0.25">
      <c r="A1359" s="1"/>
      <c r="B1359" s="17"/>
      <c r="C1359" s="17"/>
      <c r="D1359" s="17"/>
      <c r="E1359" s="17"/>
      <c r="F1359" s="17"/>
      <c r="G1359" s="4">
        <f t="shared" si="29"/>
        <v>0</v>
      </c>
      <c r="H1359" s="17"/>
      <c r="I1359" s="4">
        <f t="shared" si="27"/>
        <v>349526.07999999996</v>
      </c>
      <c r="J1359" s="32" t="str">
        <f t="shared" si="28"/>
        <v/>
      </c>
      <c r="K1359" s="79"/>
      <c r="L1359" s="79"/>
      <c r="M1359" s="2"/>
      <c r="N1359" s="5"/>
      <c r="O1359" s="3"/>
      <c r="P1359" s="6"/>
      <c r="Q1359" s="6"/>
    </row>
    <row r="1360" spans="1:17" ht="15" customHeight="1" x14ac:dyDescent="0.25">
      <c r="A1360" s="1"/>
      <c r="B1360" s="17"/>
      <c r="C1360" s="17"/>
      <c r="D1360" s="17"/>
      <c r="E1360" s="17"/>
      <c r="F1360" s="17"/>
      <c r="G1360" s="4">
        <f t="shared" si="29"/>
        <v>0</v>
      </c>
      <c r="H1360" s="17"/>
      <c r="I1360" s="4">
        <f t="shared" si="27"/>
        <v>349526.07999999996</v>
      </c>
      <c r="J1360" s="32" t="str">
        <f t="shared" si="28"/>
        <v/>
      </c>
      <c r="K1360" s="79"/>
      <c r="L1360" s="79"/>
      <c r="M1360" s="2"/>
      <c r="N1360" s="5"/>
      <c r="O1360" s="3"/>
      <c r="P1360" s="6"/>
      <c r="Q1360" s="6"/>
    </row>
    <row r="1361" spans="1:17" ht="15" customHeight="1" x14ac:dyDescent="0.25">
      <c r="A1361" s="1"/>
      <c r="B1361" s="17"/>
      <c r="C1361" s="17"/>
      <c r="D1361" s="17"/>
      <c r="E1361" s="17"/>
      <c r="F1361" s="17"/>
      <c r="G1361" s="4">
        <f t="shared" si="29"/>
        <v>0</v>
      </c>
      <c r="H1361" s="17"/>
      <c r="I1361" s="4">
        <f t="shared" si="27"/>
        <v>349526.07999999996</v>
      </c>
      <c r="J1361" s="32" t="str">
        <f t="shared" si="28"/>
        <v/>
      </c>
      <c r="K1361" s="79"/>
      <c r="L1361" s="79"/>
      <c r="M1361" s="2"/>
      <c r="N1361" s="5"/>
      <c r="O1361" s="3"/>
      <c r="P1361" s="6"/>
      <c r="Q1361" s="6"/>
    </row>
    <row r="1362" spans="1:17" ht="15" customHeight="1" x14ac:dyDescent="0.25">
      <c r="A1362" s="1"/>
      <c r="B1362" s="17"/>
      <c r="C1362" s="17"/>
      <c r="D1362" s="17"/>
      <c r="E1362" s="17"/>
      <c r="F1362" s="17"/>
      <c r="G1362" s="4">
        <f t="shared" si="29"/>
        <v>0</v>
      </c>
      <c r="H1362" s="17"/>
      <c r="I1362" s="4">
        <f t="shared" si="27"/>
        <v>349526.07999999996</v>
      </c>
      <c r="J1362" s="32" t="str">
        <f t="shared" si="28"/>
        <v/>
      </c>
      <c r="K1362" s="79"/>
      <c r="L1362" s="79"/>
      <c r="M1362" s="2"/>
      <c r="N1362" s="5"/>
      <c r="O1362" s="3"/>
      <c r="P1362" s="6"/>
      <c r="Q1362" s="6"/>
    </row>
    <row r="1363" spans="1:17" ht="15" customHeight="1" x14ac:dyDescent="0.25">
      <c r="A1363" s="1"/>
      <c r="B1363" s="17"/>
      <c r="C1363" s="17"/>
      <c r="D1363" s="17"/>
      <c r="E1363" s="17"/>
      <c r="F1363" s="17"/>
      <c r="G1363" s="4">
        <f t="shared" si="29"/>
        <v>0</v>
      </c>
      <c r="H1363" s="17"/>
      <c r="I1363" s="4">
        <f t="shared" si="27"/>
        <v>349526.07999999996</v>
      </c>
      <c r="J1363" s="32" t="str">
        <f t="shared" si="28"/>
        <v/>
      </c>
      <c r="K1363" s="79"/>
      <c r="L1363" s="79"/>
      <c r="M1363" s="2"/>
      <c r="N1363" s="5"/>
      <c r="O1363" s="3"/>
      <c r="P1363" s="6"/>
      <c r="Q1363" s="6"/>
    </row>
    <row r="1364" spans="1:17" ht="15" customHeight="1" x14ac:dyDescent="0.25">
      <c r="A1364" s="1"/>
      <c r="B1364" s="17"/>
      <c r="C1364" s="17"/>
      <c r="D1364" s="17"/>
      <c r="E1364" s="17"/>
      <c r="F1364" s="17"/>
      <c r="G1364" s="4">
        <f t="shared" si="29"/>
        <v>0</v>
      </c>
      <c r="H1364" s="17"/>
      <c r="I1364" s="4">
        <f t="shared" si="27"/>
        <v>349526.07999999996</v>
      </c>
      <c r="J1364" s="32" t="str">
        <f t="shared" si="28"/>
        <v/>
      </c>
      <c r="K1364" s="79"/>
      <c r="L1364" s="79"/>
      <c r="M1364" s="2"/>
      <c r="N1364" s="5"/>
      <c r="O1364" s="3"/>
      <c r="P1364" s="6"/>
      <c r="Q1364" s="6"/>
    </row>
    <row r="1365" spans="1:17" ht="15" customHeight="1" x14ac:dyDescent="0.25">
      <c r="A1365" s="1"/>
      <c r="B1365" s="17"/>
      <c r="C1365" s="17"/>
      <c r="D1365" s="17"/>
      <c r="E1365" s="17"/>
      <c r="F1365" s="17"/>
      <c r="G1365" s="4">
        <f t="shared" si="29"/>
        <v>0</v>
      </c>
      <c r="H1365" s="17"/>
      <c r="I1365" s="4">
        <f t="shared" si="27"/>
        <v>349526.07999999996</v>
      </c>
      <c r="J1365" s="32" t="str">
        <f t="shared" si="28"/>
        <v/>
      </c>
      <c r="K1365" s="79"/>
      <c r="L1365" s="79"/>
      <c r="M1365" s="2"/>
      <c r="N1365" s="5"/>
      <c r="O1365" s="3"/>
      <c r="P1365" s="6"/>
      <c r="Q1365" s="6"/>
    </row>
    <row r="1366" spans="1:17" ht="15" customHeight="1" x14ac:dyDescent="0.25">
      <c r="A1366" s="1"/>
      <c r="B1366" s="17"/>
      <c r="C1366" s="17"/>
      <c r="D1366" s="17"/>
      <c r="E1366" s="17"/>
      <c r="F1366" s="17"/>
      <c r="G1366" s="4">
        <f t="shared" si="29"/>
        <v>0</v>
      </c>
      <c r="H1366" s="17"/>
      <c r="I1366" s="4">
        <f t="shared" si="27"/>
        <v>349526.07999999996</v>
      </c>
      <c r="J1366" s="32" t="str">
        <f t="shared" si="28"/>
        <v/>
      </c>
      <c r="K1366" s="79"/>
      <c r="L1366" s="79"/>
      <c r="M1366" s="2"/>
      <c r="N1366" s="5"/>
      <c r="O1366" s="3"/>
      <c r="P1366" s="6"/>
      <c r="Q1366" s="6"/>
    </row>
    <row r="1367" spans="1:17" ht="15" customHeight="1" x14ac:dyDescent="0.25">
      <c r="A1367" s="1"/>
      <c r="B1367" s="17"/>
      <c r="C1367" s="17"/>
      <c r="D1367" s="17"/>
      <c r="E1367" s="17"/>
      <c r="F1367" s="17"/>
      <c r="G1367" s="4">
        <f t="shared" si="29"/>
        <v>0</v>
      </c>
      <c r="H1367" s="17"/>
      <c r="I1367" s="4">
        <f t="shared" si="27"/>
        <v>349526.07999999996</v>
      </c>
      <c r="J1367" s="32" t="str">
        <f t="shared" si="28"/>
        <v/>
      </c>
      <c r="K1367" s="79"/>
      <c r="L1367" s="79"/>
      <c r="M1367" s="2"/>
      <c r="N1367" s="5"/>
      <c r="O1367" s="3"/>
      <c r="P1367" s="6"/>
      <c r="Q1367" s="6"/>
    </row>
    <row r="1368" spans="1:17" ht="15" customHeight="1" x14ac:dyDescent="0.25">
      <c r="A1368" s="1"/>
      <c r="B1368" s="17"/>
      <c r="C1368" s="17"/>
      <c r="D1368" s="17"/>
      <c r="E1368" s="17"/>
      <c r="F1368" s="17"/>
      <c r="G1368" s="4">
        <f t="shared" si="29"/>
        <v>0</v>
      </c>
      <c r="H1368" s="17"/>
      <c r="I1368" s="4">
        <f t="shared" si="27"/>
        <v>349526.07999999996</v>
      </c>
      <c r="J1368" s="32" t="str">
        <f t="shared" si="28"/>
        <v/>
      </c>
      <c r="K1368" s="79"/>
      <c r="L1368" s="79"/>
      <c r="M1368" s="2"/>
      <c r="N1368" s="5"/>
      <c r="O1368" s="3"/>
      <c r="P1368" s="6"/>
      <c r="Q1368" s="6"/>
    </row>
    <row r="1369" spans="1:17" ht="15" customHeight="1" x14ac:dyDescent="0.25">
      <c r="A1369" s="1"/>
      <c r="B1369" s="17"/>
      <c r="C1369" s="17"/>
      <c r="D1369" s="17"/>
      <c r="E1369" s="17"/>
      <c r="F1369" s="17"/>
      <c r="G1369" s="4">
        <f t="shared" si="29"/>
        <v>0</v>
      </c>
      <c r="H1369" s="17"/>
      <c r="I1369" s="4">
        <f t="shared" si="27"/>
        <v>349526.07999999996</v>
      </c>
      <c r="J1369" s="32" t="str">
        <f t="shared" si="28"/>
        <v/>
      </c>
      <c r="K1369" s="79"/>
      <c r="L1369" s="79"/>
      <c r="M1369" s="2"/>
      <c r="N1369" s="5"/>
      <c r="O1369" s="3"/>
      <c r="P1369" s="6"/>
      <c r="Q1369" s="6"/>
    </row>
    <row r="1370" spans="1:17" ht="15" customHeight="1" x14ac:dyDescent="0.25">
      <c r="A1370" s="1"/>
      <c r="B1370" s="17"/>
      <c r="C1370" s="17"/>
      <c r="D1370" s="17"/>
      <c r="E1370" s="17"/>
      <c r="F1370" s="17"/>
      <c r="G1370" s="4">
        <f t="shared" si="29"/>
        <v>0</v>
      </c>
      <c r="H1370" s="17"/>
      <c r="I1370" s="4">
        <f t="shared" si="27"/>
        <v>349526.07999999996</v>
      </c>
      <c r="J1370" s="32" t="str">
        <f t="shared" si="28"/>
        <v/>
      </c>
      <c r="K1370" s="79"/>
      <c r="L1370" s="79"/>
      <c r="M1370" s="2"/>
      <c r="N1370" s="5"/>
      <c r="O1370" s="3"/>
      <c r="P1370" s="6"/>
      <c r="Q1370" s="6"/>
    </row>
    <row r="1371" spans="1:17" ht="15" customHeight="1" x14ac:dyDescent="0.25">
      <c r="A1371" s="1"/>
      <c r="B1371" s="17"/>
      <c r="C1371" s="17"/>
      <c r="D1371" s="17"/>
      <c r="E1371" s="17"/>
      <c r="F1371" s="17"/>
      <c r="G1371" s="4">
        <f t="shared" si="29"/>
        <v>0</v>
      </c>
      <c r="H1371" s="17"/>
      <c r="I1371" s="4">
        <f t="shared" si="27"/>
        <v>349526.07999999996</v>
      </c>
      <c r="J1371" s="32" t="str">
        <f t="shared" si="28"/>
        <v/>
      </c>
      <c r="K1371" s="79"/>
      <c r="L1371" s="79"/>
      <c r="M1371" s="2"/>
      <c r="N1371" s="5"/>
      <c r="O1371" s="3"/>
      <c r="P1371" s="6"/>
      <c r="Q1371" s="6"/>
    </row>
    <row r="1372" spans="1:17" ht="15" customHeight="1" x14ac:dyDescent="0.25">
      <c r="A1372" s="1"/>
      <c r="B1372" s="17"/>
      <c r="C1372" s="17"/>
      <c r="D1372" s="17"/>
      <c r="E1372" s="17"/>
      <c r="F1372" s="17"/>
      <c r="G1372" s="4">
        <f t="shared" si="29"/>
        <v>0</v>
      </c>
      <c r="H1372" s="17"/>
      <c r="I1372" s="4">
        <f t="shared" si="27"/>
        <v>349526.07999999996</v>
      </c>
      <c r="J1372" s="32" t="str">
        <f t="shared" si="28"/>
        <v/>
      </c>
      <c r="K1372" s="79"/>
      <c r="L1372" s="79"/>
      <c r="M1372" s="2"/>
      <c r="N1372" s="5"/>
      <c r="O1372" s="3"/>
      <c r="P1372" s="6"/>
      <c r="Q1372" s="6"/>
    </row>
    <row r="1373" spans="1:17" ht="15" customHeight="1" x14ac:dyDescent="0.25">
      <c r="A1373" s="1"/>
      <c r="B1373" s="17"/>
      <c r="C1373" s="17"/>
      <c r="D1373" s="17"/>
      <c r="E1373" s="17"/>
      <c r="F1373" s="17"/>
      <c r="G1373" s="4">
        <f t="shared" si="29"/>
        <v>0</v>
      </c>
      <c r="H1373" s="17"/>
      <c r="I1373" s="4">
        <f t="shared" si="27"/>
        <v>349526.07999999996</v>
      </c>
      <c r="J1373" s="32" t="str">
        <f t="shared" si="28"/>
        <v/>
      </c>
      <c r="K1373" s="79"/>
      <c r="L1373" s="79"/>
      <c r="M1373" s="2"/>
      <c r="N1373" s="5"/>
      <c r="O1373" s="3"/>
      <c r="P1373" s="6"/>
      <c r="Q1373" s="6"/>
    </row>
    <row r="1374" spans="1:17" ht="15" customHeight="1" x14ac:dyDescent="0.25">
      <c r="A1374" s="1"/>
      <c r="B1374" s="17"/>
      <c r="C1374" s="17"/>
      <c r="D1374" s="17"/>
      <c r="E1374" s="17"/>
      <c r="F1374" s="17"/>
      <c r="G1374" s="4">
        <f t="shared" si="29"/>
        <v>0</v>
      </c>
      <c r="H1374" s="17"/>
      <c r="I1374" s="4">
        <f t="shared" si="27"/>
        <v>349526.07999999996</v>
      </c>
      <c r="J1374" s="32" t="str">
        <f t="shared" si="28"/>
        <v/>
      </c>
      <c r="K1374" s="79"/>
      <c r="L1374" s="79"/>
      <c r="M1374" s="2"/>
      <c r="N1374" s="5"/>
      <c r="O1374" s="3"/>
      <c r="P1374" s="6"/>
      <c r="Q1374" s="6"/>
    </row>
    <row r="1375" spans="1:17" ht="15" customHeight="1" x14ac:dyDescent="0.25">
      <c r="A1375" s="1"/>
      <c r="B1375" s="17"/>
      <c r="C1375" s="17"/>
      <c r="D1375" s="17"/>
      <c r="E1375" s="17"/>
      <c r="F1375" s="17"/>
      <c r="G1375" s="4">
        <f t="shared" si="29"/>
        <v>0</v>
      </c>
      <c r="H1375" s="17"/>
      <c r="I1375" s="4">
        <f t="shared" si="27"/>
        <v>349526.07999999996</v>
      </c>
      <c r="J1375" s="32" t="str">
        <f t="shared" si="28"/>
        <v/>
      </c>
      <c r="K1375" s="79"/>
      <c r="L1375" s="79"/>
      <c r="M1375" s="2"/>
      <c r="N1375" s="5"/>
      <c r="O1375" s="3"/>
      <c r="P1375" s="6"/>
      <c r="Q1375" s="6"/>
    </row>
    <row r="1376" spans="1:17" ht="15" customHeight="1" x14ac:dyDescent="0.25">
      <c r="A1376" s="1"/>
      <c r="B1376" s="17"/>
      <c r="C1376" s="17"/>
      <c r="D1376" s="17"/>
      <c r="E1376" s="17"/>
      <c r="F1376" s="17"/>
      <c r="G1376" s="4">
        <f t="shared" si="29"/>
        <v>0</v>
      </c>
      <c r="H1376" s="17"/>
      <c r="I1376" s="4">
        <f t="shared" si="27"/>
        <v>349526.07999999996</v>
      </c>
      <c r="J1376" s="32" t="str">
        <f t="shared" si="28"/>
        <v/>
      </c>
      <c r="K1376" s="79"/>
      <c r="L1376" s="79"/>
      <c r="M1376" s="2"/>
      <c r="N1376" s="5"/>
      <c r="O1376" s="3"/>
      <c r="P1376" s="6"/>
      <c r="Q1376" s="6"/>
    </row>
    <row r="1377" spans="1:17" ht="15" customHeight="1" x14ac:dyDescent="0.25">
      <c r="A1377" s="1"/>
      <c r="B1377" s="17"/>
      <c r="C1377" s="17"/>
      <c r="D1377" s="17"/>
      <c r="E1377" s="17"/>
      <c r="F1377" s="17"/>
      <c r="G1377" s="4">
        <f t="shared" si="29"/>
        <v>0</v>
      </c>
      <c r="H1377" s="17"/>
      <c r="I1377" s="4">
        <f t="shared" si="27"/>
        <v>349526.07999999996</v>
      </c>
      <c r="J1377" s="32" t="str">
        <f t="shared" si="28"/>
        <v/>
      </c>
      <c r="K1377" s="79"/>
      <c r="L1377" s="79"/>
      <c r="M1377" s="2"/>
      <c r="N1377" s="5"/>
      <c r="O1377" s="3"/>
      <c r="P1377" s="6"/>
      <c r="Q1377" s="6"/>
    </row>
    <row r="1378" spans="1:17" ht="15" customHeight="1" x14ac:dyDescent="0.25">
      <c r="A1378" s="1"/>
      <c r="B1378" s="17"/>
      <c r="C1378" s="17"/>
      <c r="D1378" s="17"/>
      <c r="E1378" s="17"/>
      <c r="F1378" s="17"/>
      <c r="G1378" s="4">
        <f t="shared" si="29"/>
        <v>0</v>
      </c>
      <c r="H1378" s="17"/>
      <c r="I1378" s="4">
        <f t="shared" si="27"/>
        <v>349526.07999999996</v>
      </c>
      <c r="J1378" s="32" t="str">
        <f t="shared" si="28"/>
        <v/>
      </c>
      <c r="K1378" s="79"/>
      <c r="L1378" s="79"/>
      <c r="M1378" s="2"/>
      <c r="N1378" s="5"/>
      <c r="O1378" s="3"/>
      <c r="P1378" s="6"/>
      <c r="Q1378" s="6"/>
    </row>
    <row r="1379" spans="1:17" ht="15" customHeight="1" x14ac:dyDescent="0.25">
      <c r="A1379" s="1"/>
      <c r="B1379" s="17"/>
      <c r="C1379" s="17"/>
      <c r="D1379" s="17"/>
      <c r="E1379" s="17"/>
      <c r="F1379" s="17"/>
      <c r="G1379" s="4">
        <f t="shared" si="29"/>
        <v>0</v>
      </c>
      <c r="H1379" s="17"/>
      <c r="I1379" s="4">
        <f t="shared" si="27"/>
        <v>349526.07999999996</v>
      </c>
      <c r="J1379" s="32" t="str">
        <f t="shared" si="28"/>
        <v/>
      </c>
      <c r="K1379" s="79"/>
      <c r="L1379" s="79"/>
      <c r="M1379" s="2"/>
      <c r="N1379" s="5"/>
      <c r="O1379" s="3"/>
      <c r="P1379" s="6"/>
      <c r="Q1379" s="6"/>
    </row>
    <row r="1380" spans="1:17" ht="15" customHeight="1" x14ac:dyDescent="0.25">
      <c r="A1380" s="1"/>
      <c r="B1380" s="17"/>
      <c r="C1380" s="17"/>
      <c r="D1380" s="17"/>
      <c r="E1380" s="17"/>
      <c r="F1380" s="17"/>
      <c r="G1380" s="4">
        <f t="shared" si="29"/>
        <v>0</v>
      </c>
      <c r="H1380" s="17"/>
      <c r="I1380" s="4">
        <f t="shared" si="27"/>
        <v>349526.07999999996</v>
      </c>
      <c r="J1380" s="32" t="str">
        <f t="shared" si="28"/>
        <v/>
      </c>
      <c r="K1380" s="79"/>
      <c r="L1380" s="79"/>
      <c r="M1380" s="2"/>
      <c r="N1380" s="5"/>
      <c r="O1380" s="3"/>
      <c r="P1380" s="6"/>
      <c r="Q1380" s="6"/>
    </row>
    <row r="1381" spans="1:17" ht="15" customHeight="1" x14ac:dyDescent="0.25">
      <c r="A1381" s="1"/>
      <c r="B1381" s="17"/>
      <c r="C1381" s="17"/>
      <c r="D1381" s="17"/>
      <c r="E1381" s="17"/>
      <c r="F1381" s="17"/>
      <c r="G1381" s="4">
        <f t="shared" si="29"/>
        <v>0</v>
      </c>
      <c r="H1381" s="17"/>
      <c r="I1381" s="4">
        <f t="shared" si="27"/>
        <v>349526.07999999996</v>
      </c>
      <c r="J1381" s="32" t="str">
        <f t="shared" si="28"/>
        <v/>
      </c>
      <c r="K1381" s="79"/>
      <c r="L1381" s="79"/>
      <c r="M1381" s="2"/>
      <c r="N1381" s="5"/>
      <c r="O1381" s="3"/>
      <c r="P1381" s="6"/>
      <c r="Q1381" s="6"/>
    </row>
    <row r="1382" spans="1:17" ht="15" customHeight="1" x14ac:dyDescent="0.25">
      <c r="A1382" s="1"/>
      <c r="B1382" s="17"/>
      <c r="C1382" s="17"/>
      <c r="D1382" s="17"/>
      <c r="E1382" s="17"/>
      <c r="F1382" s="17"/>
      <c r="G1382" s="4">
        <f t="shared" si="29"/>
        <v>0</v>
      </c>
      <c r="H1382" s="17"/>
      <c r="I1382" s="4">
        <f t="shared" si="27"/>
        <v>349526.07999999996</v>
      </c>
      <c r="J1382" s="32" t="str">
        <f t="shared" si="28"/>
        <v/>
      </c>
      <c r="K1382" s="79"/>
      <c r="L1382" s="79"/>
      <c r="M1382" s="2"/>
      <c r="N1382" s="5"/>
      <c r="O1382" s="3"/>
      <c r="P1382" s="6"/>
      <c r="Q1382" s="6"/>
    </row>
    <row r="1383" spans="1:17" ht="15" customHeight="1" x14ac:dyDescent="0.25">
      <c r="A1383" s="1"/>
      <c r="B1383" s="17"/>
      <c r="C1383" s="17"/>
      <c r="D1383" s="17"/>
      <c r="E1383" s="17"/>
      <c r="F1383" s="17"/>
      <c r="G1383" s="4">
        <f t="shared" si="29"/>
        <v>0</v>
      </c>
      <c r="H1383" s="17"/>
      <c r="I1383" s="4">
        <f t="shared" si="27"/>
        <v>349526.07999999996</v>
      </c>
      <c r="J1383" s="32" t="str">
        <f t="shared" si="28"/>
        <v/>
      </c>
      <c r="K1383" s="79"/>
      <c r="L1383" s="79"/>
      <c r="M1383" s="2"/>
      <c r="N1383" s="5"/>
      <c r="O1383" s="3"/>
      <c r="P1383" s="6"/>
      <c r="Q1383" s="6"/>
    </row>
    <row r="1384" spans="1:17" ht="15" customHeight="1" x14ac:dyDescent="0.25">
      <c r="A1384" s="1"/>
      <c r="B1384" s="17"/>
      <c r="C1384" s="17"/>
      <c r="D1384" s="17"/>
      <c r="E1384" s="17"/>
      <c r="F1384" s="17"/>
      <c r="G1384" s="4">
        <f t="shared" si="29"/>
        <v>0</v>
      </c>
      <c r="H1384" s="17"/>
      <c r="I1384" s="4">
        <f t="shared" si="27"/>
        <v>349526.07999999996</v>
      </c>
      <c r="J1384" s="32" t="str">
        <f t="shared" si="28"/>
        <v/>
      </c>
      <c r="K1384" s="79"/>
      <c r="L1384" s="79"/>
      <c r="M1384" s="2"/>
      <c r="N1384" s="5"/>
      <c r="O1384" s="3"/>
      <c r="P1384" s="6"/>
      <c r="Q1384" s="6"/>
    </row>
    <row r="1385" spans="1:17" ht="15" customHeight="1" x14ac:dyDescent="0.25">
      <c r="A1385" s="1"/>
      <c r="B1385" s="17"/>
      <c r="C1385" s="17"/>
      <c r="D1385" s="17"/>
      <c r="E1385" s="17"/>
      <c r="F1385" s="17"/>
      <c r="G1385" s="4">
        <f t="shared" si="29"/>
        <v>0</v>
      </c>
      <c r="H1385" s="17"/>
      <c r="I1385" s="4">
        <f t="shared" si="27"/>
        <v>349526.07999999996</v>
      </c>
      <c r="J1385" s="32" t="str">
        <f t="shared" si="28"/>
        <v/>
      </c>
      <c r="K1385" s="79"/>
      <c r="L1385" s="79"/>
      <c r="M1385" s="2"/>
      <c r="N1385" s="5"/>
      <c r="O1385" s="3"/>
      <c r="P1385" s="6"/>
      <c r="Q1385" s="6"/>
    </row>
    <row r="1386" spans="1:17" ht="15" customHeight="1" x14ac:dyDescent="0.25">
      <c r="A1386" s="1"/>
      <c r="B1386" s="17"/>
      <c r="C1386" s="17"/>
      <c r="D1386" s="17"/>
      <c r="E1386" s="17"/>
      <c r="F1386" s="17"/>
      <c r="G1386" s="4">
        <f t="shared" si="29"/>
        <v>0</v>
      </c>
      <c r="H1386" s="17"/>
      <c r="I1386" s="4">
        <f t="shared" si="27"/>
        <v>349526.07999999996</v>
      </c>
      <c r="J1386" s="32" t="str">
        <f t="shared" si="28"/>
        <v/>
      </c>
      <c r="K1386" s="79"/>
      <c r="L1386" s="79"/>
      <c r="M1386" s="2"/>
      <c r="N1386" s="5"/>
      <c r="O1386" s="3"/>
      <c r="P1386" s="6"/>
      <c r="Q1386" s="6"/>
    </row>
    <row r="1387" spans="1:17" ht="15" customHeight="1" x14ac:dyDescent="0.25">
      <c r="A1387" s="1"/>
      <c r="B1387" s="17"/>
      <c r="C1387" s="17"/>
      <c r="D1387" s="17"/>
      <c r="E1387" s="17"/>
      <c r="F1387" s="17"/>
      <c r="G1387" s="4">
        <f t="shared" si="29"/>
        <v>0</v>
      </c>
      <c r="H1387" s="17"/>
      <c r="I1387" s="4">
        <f t="shared" si="27"/>
        <v>349526.07999999996</v>
      </c>
      <c r="J1387" s="32" t="str">
        <f t="shared" si="28"/>
        <v/>
      </c>
      <c r="K1387" s="79"/>
      <c r="L1387" s="79"/>
      <c r="M1387" s="2"/>
      <c r="N1387" s="5"/>
      <c r="O1387" s="3"/>
      <c r="P1387" s="6"/>
      <c r="Q1387" s="6"/>
    </row>
    <row r="1388" spans="1:17" ht="15" customHeight="1" x14ac:dyDescent="0.25">
      <c r="A1388" s="1"/>
      <c r="B1388" s="17"/>
      <c r="C1388" s="17"/>
      <c r="D1388" s="17"/>
      <c r="E1388" s="17"/>
      <c r="F1388" s="17"/>
      <c r="G1388" s="4">
        <f t="shared" si="29"/>
        <v>0</v>
      </c>
      <c r="H1388" s="17"/>
      <c r="I1388" s="4">
        <f t="shared" si="27"/>
        <v>349526.07999999996</v>
      </c>
      <c r="J1388" s="32" t="str">
        <f t="shared" si="28"/>
        <v/>
      </c>
      <c r="K1388" s="79"/>
      <c r="L1388" s="79"/>
      <c r="M1388" s="2"/>
      <c r="N1388" s="5"/>
      <c r="O1388" s="3"/>
      <c r="P1388" s="6"/>
      <c r="Q1388" s="6"/>
    </row>
    <row r="1389" spans="1:17" ht="15" customHeight="1" x14ac:dyDescent="0.25">
      <c r="A1389" s="1"/>
      <c r="B1389" s="17"/>
      <c r="C1389" s="17"/>
      <c r="D1389" s="17"/>
      <c r="E1389" s="17"/>
      <c r="F1389" s="17"/>
      <c r="G1389" s="4">
        <f t="shared" si="29"/>
        <v>0</v>
      </c>
      <c r="H1389" s="17"/>
      <c r="I1389" s="4">
        <f t="shared" si="27"/>
        <v>349526.07999999996</v>
      </c>
      <c r="J1389" s="32" t="str">
        <f t="shared" si="28"/>
        <v/>
      </c>
      <c r="K1389" s="79"/>
      <c r="L1389" s="79"/>
      <c r="M1389" s="2"/>
      <c r="N1389" s="5"/>
      <c r="O1389" s="3"/>
      <c r="P1389" s="6"/>
      <c r="Q1389" s="6"/>
    </row>
    <row r="1390" spans="1:17" ht="15" customHeight="1" x14ac:dyDescent="0.25">
      <c r="A1390" s="1"/>
      <c r="B1390" s="17"/>
      <c r="C1390" s="17"/>
      <c r="D1390" s="17"/>
      <c r="E1390" s="17"/>
      <c r="F1390" s="17"/>
      <c r="G1390" s="4">
        <f t="shared" si="29"/>
        <v>0</v>
      </c>
      <c r="H1390" s="17"/>
      <c r="I1390" s="4">
        <f t="shared" si="27"/>
        <v>349526.07999999996</v>
      </c>
      <c r="J1390" s="32" t="str">
        <f t="shared" si="28"/>
        <v/>
      </c>
      <c r="K1390" s="79"/>
      <c r="L1390" s="79"/>
      <c r="M1390" s="2"/>
      <c r="N1390" s="5"/>
      <c r="O1390" s="3"/>
      <c r="P1390" s="6"/>
      <c r="Q1390" s="6"/>
    </row>
    <row r="1391" spans="1:17" ht="15" customHeight="1" x14ac:dyDescent="0.25">
      <c r="A1391" s="1"/>
      <c r="B1391" s="17"/>
      <c r="C1391" s="17"/>
      <c r="D1391" s="17"/>
      <c r="E1391" s="17"/>
      <c r="F1391" s="17"/>
      <c r="G1391" s="4">
        <f t="shared" si="29"/>
        <v>0</v>
      </c>
      <c r="H1391" s="17"/>
      <c r="I1391" s="4">
        <f t="shared" si="27"/>
        <v>349526.07999999996</v>
      </c>
      <c r="J1391" s="32" t="str">
        <f t="shared" si="28"/>
        <v/>
      </c>
      <c r="K1391" s="79"/>
      <c r="L1391" s="79"/>
      <c r="M1391" s="2"/>
      <c r="N1391" s="5"/>
      <c r="O1391" s="3"/>
      <c r="P1391" s="6"/>
      <c r="Q1391" s="6"/>
    </row>
    <row r="1392" spans="1:17" ht="15" customHeight="1" x14ac:dyDescent="0.25">
      <c r="A1392" s="1"/>
      <c r="B1392" s="17"/>
      <c r="C1392" s="17"/>
      <c r="D1392" s="17"/>
      <c r="E1392" s="17"/>
      <c r="F1392" s="17"/>
      <c r="G1392" s="4">
        <f t="shared" si="29"/>
        <v>0</v>
      </c>
      <c r="H1392" s="17"/>
      <c r="I1392" s="4">
        <f t="shared" si="27"/>
        <v>349526.07999999996</v>
      </c>
      <c r="J1392" s="32" t="str">
        <f t="shared" si="28"/>
        <v/>
      </c>
      <c r="K1392" s="79"/>
      <c r="L1392" s="79"/>
      <c r="M1392" s="2"/>
      <c r="N1392" s="5"/>
      <c r="O1392" s="3"/>
      <c r="P1392" s="6"/>
      <c r="Q1392" s="6"/>
    </row>
    <row r="1393" spans="1:17" ht="15" customHeight="1" x14ac:dyDescent="0.25">
      <c r="A1393" s="1"/>
      <c r="B1393" s="17"/>
      <c r="C1393" s="17"/>
      <c r="D1393" s="17"/>
      <c r="E1393" s="17"/>
      <c r="F1393" s="17"/>
      <c r="G1393" s="4">
        <f t="shared" si="29"/>
        <v>0</v>
      </c>
      <c r="H1393" s="17"/>
      <c r="I1393" s="4">
        <f t="shared" si="27"/>
        <v>349526.07999999996</v>
      </c>
      <c r="J1393" s="32" t="str">
        <f t="shared" si="28"/>
        <v/>
      </c>
      <c r="K1393" s="79"/>
      <c r="L1393" s="79"/>
      <c r="M1393" s="2"/>
      <c r="N1393" s="5"/>
      <c r="O1393" s="3"/>
      <c r="P1393" s="6"/>
      <c r="Q1393" s="6"/>
    </row>
    <row r="1394" spans="1:17" ht="15" customHeight="1" x14ac:dyDescent="0.25">
      <c r="A1394" s="1"/>
      <c r="B1394" s="17"/>
      <c r="C1394" s="17"/>
      <c r="D1394" s="17"/>
      <c r="E1394" s="17"/>
      <c r="F1394" s="17"/>
      <c r="G1394" s="4">
        <f t="shared" si="29"/>
        <v>0</v>
      </c>
      <c r="H1394" s="17"/>
      <c r="I1394" s="4">
        <f t="shared" si="27"/>
        <v>349526.07999999996</v>
      </c>
      <c r="J1394" s="32" t="str">
        <f t="shared" si="28"/>
        <v/>
      </c>
      <c r="K1394" s="79"/>
      <c r="L1394" s="79"/>
      <c r="M1394" s="2"/>
      <c r="N1394" s="5"/>
      <c r="O1394" s="3"/>
      <c r="P1394" s="6"/>
      <c r="Q1394" s="6"/>
    </row>
    <row r="1395" spans="1:17" ht="15" customHeight="1" x14ac:dyDescent="0.25">
      <c r="A1395" s="1"/>
      <c r="B1395" s="17"/>
      <c r="C1395" s="17"/>
      <c r="D1395" s="17"/>
      <c r="E1395" s="17"/>
      <c r="F1395" s="17"/>
      <c r="G1395" s="4">
        <f t="shared" si="29"/>
        <v>0</v>
      </c>
      <c r="H1395" s="17"/>
      <c r="I1395" s="4">
        <f t="shared" si="27"/>
        <v>349526.07999999996</v>
      </c>
      <c r="J1395" s="32" t="str">
        <f t="shared" si="28"/>
        <v/>
      </c>
      <c r="K1395" s="79"/>
      <c r="L1395" s="79"/>
      <c r="M1395" s="2"/>
      <c r="N1395" s="5"/>
      <c r="O1395" s="3"/>
      <c r="P1395" s="6"/>
      <c r="Q1395" s="6"/>
    </row>
    <row r="1396" spans="1:17" ht="15" customHeight="1" x14ac:dyDescent="0.25">
      <c r="A1396" s="1"/>
      <c r="B1396" s="17"/>
      <c r="C1396" s="17"/>
      <c r="D1396" s="17"/>
      <c r="E1396" s="17"/>
      <c r="F1396" s="17"/>
      <c r="G1396" s="4">
        <f t="shared" si="29"/>
        <v>0</v>
      </c>
      <c r="H1396" s="17"/>
      <c r="I1396" s="4">
        <f t="shared" si="27"/>
        <v>349526.07999999996</v>
      </c>
      <c r="J1396" s="32" t="str">
        <f t="shared" si="28"/>
        <v/>
      </c>
      <c r="K1396" s="79"/>
      <c r="L1396" s="79"/>
      <c r="M1396" s="2"/>
      <c r="N1396" s="5"/>
      <c r="O1396" s="3"/>
      <c r="P1396" s="6"/>
      <c r="Q1396" s="6"/>
    </row>
    <row r="1397" spans="1:17" ht="15" customHeight="1" x14ac:dyDescent="0.25">
      <c r="A1397" s="1"/>
      <c r="B1397" s="17"/>
      <c r="C1397" s="17"/>
      <c r="D1397" s="17"/>
      <c r="E1397" s="17"/>
      <c r="F1397" s="17"/>
      <c r="G1397" s="4">
        <f t="shared" si="29"/>
        <v>0</v>
      </c>
      <c r="H1397" s="17"/>
      <c r="I1397" s="4">
        <f t="shared" si="27"/>
        <v>349526.07999999996</v>
      </c>
      <c r="J1397" s="32" t="str">
        <f t="shared" si="28"/>
        <v/>
      </c>
      <c r="K1397" s="79"/>
      <c r="L1397" s="79"/>
      <c r="M1397" s="2"/>
      <c r="N1397" s="5"/>
      <c r="O1397" s="3"/>
      <c r="P1397" s="6"/>
      <c r="Q1397" s="6"/>
    </row>
    <row r="1398" spans="1:17" ht="15" customHeight="1" x14ac:dyDescent="0.25">
      <c r="A1398" s="1"/>
      <c r="B1398" s="17"/>
      <c r="C1398" s="17"/>
      <c r="D1398" s="17"/>
      <c r="E1398" s="17"/>
      <c r="F1398" s="17"/>
      <c r="G1398" s="4">
        <f t="shared" si="29"/>
        <v>0</v>
      </c>
      <c r="H1398" s="17"/>
      <c r="I1398" s="4">
        <f t="shared" ref="I1398:I1461" si="30">$I1397+$G1398-$H1398</f>
        <v>349526.07999999996</v>
      </c>
      <c r="J1398" s="32" t="str">
        <f t="shared" ref="J1398:J1461" si="31">IF($A1399&lt;&gt;$A1398,$I1398,"")</f>
        <v/>
      </c>
      <c r="K1398" s="79"/>
      <c r="L1398" s="79"/>
      <c r="M1398" s="2"/>
      <c r="N1398" s="5"/>
      <c r="O1398" s="3"/>
      <c r="P1398" s="6"/>
      <c r="Q1398" s="6"/>
    </row>
    <row r="1399" spans="1:17" ht="15" customHeight="1" x14ac:dyDescent="0.25">
      <c r="A1399" s="1"/>
      <c r="B1399" s="17"/>
      <c r="C1399" s="17"/>
      <c r="D1399" s="17"/>
      <c r="E1399" s="17"/>
      <c r="F1399" s="17"/>
      <c r="G1399" s="4">
        <f t="shared" si="29"/>
        <v>0</v>
      </c>
      <c r="H1399" s="17"/>
      <c r="I1399" s="4">
        <f t="shared" si="30"/>
        <v>349526.07999999996</v>
      </c>
      <c r="J1399" s="32" t="str">
        <f t="shared" si="31"/>
        <v/>
      </c>
      <c r="K1399" s="79"/>
      <c r="L1399" s="79"/>
      <c r="M1399" s="2"/>
      <c r="N1399" s="5"/>
      <c r="O1399" s="3"/>
      <c r="P1399" s="6"/>
      <c r="Q1399" s="6"/>
    </row>
    <row r="1400" spans="1:17" ht="15" customHeight="1" x14ac:dyDescent="0.25">
      <c r="A1400" s="1"/>
      <c r="B1400" s="17"/>
      <c r="C1400" s="17"/>
      <c r="D1400" s="17"/>
      <c r="E1400" s="17"/>
      <c r="F1400" s="17"/>
      <c r="G1400" s="4">
        <f t="shared" si="29"/>
        <v>0</v>
      </c>
      <c r="H1400" s="17"/>
      <c r="I1400" s="4">
        <f t="shared" si="30"/>
        <v>349526.07999999996</v>
      </c>
      <c r="J1400" s="32" t="str">
        <f t="shared" si="31"/>
        <v/>
      </c>
      <c r="K1400" s="79"/>
      <c r="L1400" s="79"/>
      <c r="M1400" s="2"/>
      <c r="N1400" s="5"/>
      <c r="O1400" s="3"/>
      <c r="P1400" s="6"/>
      <c r="Q1400" s="6"/>
    </row>
    <row r="1401" spans="1:17" ht="15" customHeight="1" x14ac:dyDescent="0.25">
      <c r="A1401" s="1"/>
      <c r="B1401" s="17"/>
      <c r="C1401" s="17"/>
      <c r="D1401" s="17"/>
      <c r="E1401" s="17"/>
      <c r="F1401" s="17"/>
      <c r="G1401" s="4">
        <f t="shared" si="29"/>
        <v>0</v>
      </c>
      <c r="H1401" s="17"/>
      <c r="I1401" s="4">
        <f t="shared" si="30"/>
        <v>349526.07999999996</v>
      </c>
      <c r="J1401" s="32" t="str">
        <f t="shared" si="31"/>
        <v/>
      </c>
      <c r="K1401" s="79"/>
      <c r="L1401" s="79"/>
      <c r="M1401" s="2"/>
      <c r="N1401" s="5"/>
      <c r="O1401" s="3"/>
      <c r="P1401" s="6"/>
      <c r="Q1401" s="6"/>
    </row>
    <row r="1402" spans="1:17" ht="15" customHeight="1" x14ac:dyDescent="0.25">
      <c r="A1402" s="1"/>
      <c r="B1402" s="17"/>
      <c r="C1402" s="17"/>
      <c r="D1402" s="17"/>
      <c r="E1402" s="17"/>
      <c r="F1402" s="17"/>
      <c r="G1402" s="4">
        <f t="shared" si="29"/>
        <v>0</v>
      </c>
      <c r="H1402" s="17"/>
      <c r="I1402" s="4">
        <f t="shared" si="30"/>
        <v>349526.07999999996</v>
      </c>
      <c r="J1402" s="32" t="str">
        <f t="shared" si="31"/>
        <v/>
      </c>
      <c r="K1402" s="79"/>
      <c r="L1402" s="79"/>
      <c r="M1402" s="2"/>
      <c r="N1402" s="5"/>
      <c r="O1402" s="3"/>
      <c r="P1402" s="6"/>
      <c r="Q1402" s="6"/>
    </row>
    <row r="1403" spans="1:17" ht="15" customHeight="1" x14ac:dyDescent="0.25">
      <c r="A1403" s="1"/>
      <c r="B1403" s="17"/>
      <c r="C1403" s="17"/>
      <c r="D1403" s="17"/>
      <c r="E1403" s="17"/>
      <c r="F1403" s="17"/>
      <c r="G1403" s="4">
        <f t="shared" si="29"/>
        <v>0</v>
      </c>
      <c r="H1403" s="17"/>
      <c r="I1403" s="4">
        <f t="shared" si="30"/>
        <v>349526.07999999996</v>
      </c>
      <c r="J1403" s="32" t="str">
        <f t="shared" si="31"/>
        <v/>
      </c>
      <c r="K1403" s="79"/>
      <c r="L1403" s="79"/>
      <c r="M1403" s="2"/>
      <c r="N1403" s="5"/>
      <c r="O1403" s="3"/>
      <c r="P1403" s="6"/>
      <c r="Q1403" s="6"/>
    </row>
    <row r="1404" spans="1:17" ht="15" customHeight="1" x14ac:dyDescent="0.25">
      <c r="A1404" s="1"/>
      <c r="B1404" s="17"/>
      <c r="C1404" s="17"/>
      <c r="D1404" s="17"/>
      <c r="E1404" s="17"/>
      <c r="F1404" s="17"/>
      <c r="G1404" s="4">
        <f t="shared" si="29"/>
        <v>0</v>
      </c>
      <c r="H1404" s="17"/>
      <c r="I1404" s="4">
        <f t="shared" si="30"/>
        <v>349526.07999999996</v>
      </c>
      <c r="J1404" s="32" t="str">
        <f t="shared" si="31"/>
        <v/>
      </c>
      <c r="K1404" s="79"/>
      <c r="L1404" s="79"/>
      <c r="M1404" s="2"/>
      <c r="N1404" s="5"/>
      <c r="O1404" s="3"/>
      <c r="P1404" s="6"/>
      <c r="Q1404" s="6"/>
    </row>
    <row r="1405" spans="1:17" ht="15" customHeight="1" x14ac:dyDescent="0.25">
      <c r="A1405" s="1"/>
      <c r="B1405" s="17"/>
      <c r="C1405" s="17"/>
      <c r="D1405" s="17"/>
      <c r="E1405" s="17"/>
      <c r="F1405" s="17"/>
      <c r="G1405" s="4">
        <f t="shared" si="29"/>
        <v>0</v>
      </c>
      <c r="H1405" s="17"/>
      <c r="I1405" s="4">
        <f t="shared" si="30"/>
        <v>349526.07999999996</v>
      </c>
      <c r="J1405" s="32" t="str">
        <f t="shared" si="31"/>
        <v/>
      </c>
      <c r="K1405" s="79"/>
      <c r="L1405" s="79"/>
      <c r="M1405" s="2"/>
      <c r="N1405" s="5"/>
      <c r="O1405" s="3"/>
      <c r="P1405" s="6"/>
      <c r="Q1405" s="6"/>
    </row>
    <row r="1406" spans="1:17" ht="15" customHeight="1" x14ac:dyDescent="0.25">
      <c r="A1406" s="1"/>
      <c r="B1406" s="17"/>
      <c r="C1406" s="17"/>
      <c r="D1406" s="17"/>
      <c r="E1406" s="17"/>
      <c r="F1406" s="17"/>
      <c r="G1406" s="4">
        <f t="shared" si="29"/>
        <v>0</v>
      </c>
      <c r="H1406" s="17"/>
      <c r="I1406" s="4">
        <f t="shared" si="30"/>
        <v>349526.07999999996</v>
      </c>
      <c r="J1406" s="32" t="str">
        <f t="shared" si="31"/>
        <v/>
      </c>
      <c r="K1406" s="79"/>
      <c r="L1406" s="79"/>
      <c r="M1406" s="2"/>
      <c r="N1406" s="5"/>
      <c r="O1406" s="3"/>
      <c r="P1406" s="6"/>
      <c r="Q1406" s="6"/>
    </row>
    <row r="1407" spans="1:17" ht="15" customHeight="1" x14ac:dyDescent="0.25">
      <c r="A1407" s="1"/>
      <c r="B1407" s="17"/>
      <c r="C1407" s="17"/>
      <c r="D1407" s="17"/>
      <c r="E1407" s="17"/>
      <c r="F1407" s="17"/>
      <c r="G1407" s="4">
        <f t="shared" si="29"/>
        <v>0</v>
      </c>
      <c r="H1407" s="17"/>
      <c r="I1407" s="4">
        <f t="shared" si="30"/>
        <v>349526.07999999996</v>
      </c>
      <c r="J1407" s="32" t="str">
        <f t="shared" si="31"/>
        <v/>
      </c>
      <c r="K1407" s="79"/>
      <c r="L1407" s="79"/>
      <c r="M1407" s="2"/>
      <c r="N1407" s="5"/>
      <c r="O1407" s="3"/>
      <c r="P1407" s="6"/>
      <c r="Q1407" s="6"/>
    </row>
    <row r="1408" spans="1:17" ht="15" customHeight="1" x14ac:dyDescent="0.25">
      <c r="A1408" s="1"/>
      <c r="B1408" s="17"/>
      <c r="C1408" s="17"/>
      <c r="D1408" s="17"/>
      <c r="E1408" s="17"/>
      <c r="F1408" s="17"/>
      <c r="G1408" s="4">
        <f t="shared" si="29"/>
        <v>0</v>
      </c>
      <c r="H1408" s="17"/>
      <c r="I1408" s="4">
        <f t="shared" si="30"/>
        <v>349526.07999999996</v>
      </c>
      <c r="J1408" s="32" t="str">
        <f t="shared" si="31"/>
        <v/>
      </c>
      <c r="K1408" s="79"/>
      <c r="L1408" s="79"/>
      <c r="M1408" s="2"/>
      <c r="N1408" s="5"/>
      <c r="O1408" s="3"/>
      <c r="P1408" s="6"/>
      <c r="Q1408" s="6"/>
    </row>
    <row r="1409" spans="1:17" ht="15" customHeight="1" x14ac:dyDescent="0.25">
      <c r="A1409" s="1"/>
      <c r="B1409" s="17"/>
      <c r="C1409" s="17"/>
      <c r="D1409" s="17"/>
      <c r="E1409" s="17"/>
      <c r="F1409" s="17"/>
      <c r="G1409" s="4">
        <f t="shared" si="29"/>
        <v>0</v>
      </c>
      <c r="H1409" s="17"/>
      <c r="I1409" s="4">
        <f t="shared" si="30"/>
        <v>349526.07999999996</v>
      </c>
      <c r="J1409" s="32" t="str">
        <f t="shared" si="31"/>
        <v/>
      </c>
      <c r="K1409" s="79"/>
      <c r="L1409" s="79"/>
      <c r="M1409" s="2"/>
      <c r="N1409" s="5"/>
      <c r="O1409" s="3"/>
      <c r="P1409" s="6"/>
      <c r="Q1409" s="6"/>
    </row>
    <row r="1410" spans="1:17" ht="15" customHeight="1" x14ac:dyDescent="0.25">
      <c r="A1410" s="1"/>
      <c r="B1410" s="17"/>
      <c r="C1410" s="17"/>
      <c r="D1410" s="17"/>
      <c r="E1410" s="17"/>
      <c r="F1410" s="17"/>
      <c r="G1410" s="4">
        <f t="shared" si="29"/>
        <v>0</v>
      </c>
      <c r="H1410" s="17"/>
      <c r="I1410" s="4">
        <f t="shared" si="30"/>
        <v>349526.07999999996</v>
      </c>
      <c r="J1410" s="32" t="str">
        <f t="shared" si="31"/>
        <v/>
      </c>
      <c r="K1410" s="79"/>
      <c r="L1410" s="79"/>
      <c r="M1410" s="2"/>
      <c r="N1410" s="5"/>
      <c r="O1410" s="3"/>
      <c r="P1410" s="6"/>
      <c r="Q1410" s="6"/>
    </row>
    <row r="1411" spans="1:17" ht="15" customHeight="1" x14ac:dyDescent="0.25">
      <c r="A1411" s="1"/>
      <c r="B1411" s="17"/>
      <c r="C1411" s="17"/>
      <c r="D1411" s="17"/>
      <c r="E1411" s="17"/>
      <c r="F1411" s="17"/>
      <c r="G1411" s="4">
        <f t="shared" ref="G1411:G1474" si="32">SUM($B1411:$F1411)</f>
        <v>0</v>
      </c>
      <c r="H1411" s="17"/>
      <c r="I1411" s="4">
        <f t="shared" si="30"/>
        <v>349526.07999999996</v>
      </c>
      <c r="J1411" s="32" t="str">
        <f t="shared" si="31"/>
        <v/>
      </c>
      <c r="K1411" s="79"/>
      <c r="L1411" s="79"/>
      <c r="M1411" s="2"/>
      <c r="N1411" s="5"/>
      <c r="O1411" s="3"/>
      <c r="P1411" s="6"/>
      <c r="Q1411" s="6"/>
    </row>
    <row r="1412" spans="1:17" ht="15" customHeight="1" x14ac:dyDescent="0.25">
      <c r="A1412" s="1"/>
      <c r="B1412" s="17"/>
      <c r="C1412" s="17"/>
      <c r="D1412" s="17"/>
      <c r="E1412" s="17"/>
      <c r="F1412" s="17"/>
      <c r="G1412" s="4">
        <f t="shared" si="32"/>
        <v>0</v>
      </c>
      <c r="H1412" s="17"/>
      <c r="I1412" s="4">
        <f t="shared" si="30"/>
        <v>349526.07999999996</v>
      </c>
      <c r="J1412" s="32" t="str">
        <f t="shared" si="31"/>
        <v/>
      </c>
      <c r="K1412" s="79"/>
      <c r="L1412" s="79"/>
      <c r="M1412" s="2"/>
      <c r="N1412" s="5"/>
      <c r="O1412" s="3"/>
      <c r="P1412" s="6"/>
      <c r="Q1412" s="6"/>
    </row>
    <row r="1413" spans="1:17" ht="15" customHeight="1" x14ac:dyDescent="0.25">
      <c r="A1413" s="1"/>
      <c r="B1413" s="17"/>
      <c r="C1413" s="17"/>
      <c r="D1413" s="17"/>
      <c r="E1413" s="17"/>
      <c r="F1413" s="17"/>
      <c r="G1413" s="4">
        <f t="shared" si="32"/>
        <v>0</v>
      </c>
      <c r="H1413" s="17"/>
      <c r="I1413" s="4">
        <f t="shared" si="30"/>
        <v>349526.07999999996</v>
      </c>
      <c r="J1413" s="32" t="str">
        <f t="shared" si="31"/>
        <v/>
      </c>
      <c r="K1413" s="79"/>
      <c r="L1413" s="79"/>
      <c r="M1413" s="2"/>
      <c r="N1413" s="5"/>
      <c r="O1413" s="3"/>
      <c r="P1413" s="6"/>
      <c r="Q1413" s="6"/>
    </row>
    <row r="1414" spans="1:17" ht="15" customHeight="1" x14ac:dyDescent="0.25">
      <c r="A1414" s="1"/>
      <c r="B1414" s="17"/>
      <c r="C1414" s="17"/>
      <c r="D1414" s="17"/>
      <c r="E1414" s="17"/>
      <c r="F1414" s="17"/>
      <c r="G1414" s="4">
        <f t="shared" si="32"/>
        <v>0</v>
      </c>
      <c r="H1414" s="17"/>
      <c r="I1414" s="4">
        <f t="shared" si="30"/>
        <v>349526.07999999996</v>
      </c>
      <c r="J1414" s="32" t="str">
        <f t="shared" si="31"/>
        <v/>
      </c>
      <c r="K1414" s="79"/>
      <c r="L1414" s="79"/>
      <c r="M1414" s="2"/>
      <c r="N1414" s="5"/>
      <c r="O1414" s="3"/>
      <c r="P1414" s="6"/>
      <c r="Q1414" s="6"/>
    </row>
    <row r="1415" spans="1:17" ht="15" customHeight="1" x14ac:dyDescent="0.25">
      <c r="A1415" s="1"/>
      <c r="B1415" s="17"/>
      <c r="C1415" s="17"/>
      <c r="D1415" s="17"/>
      <c r="E1415" s="17"/>
      <c r="F1415" s="17"/>
      <c r="G1415" s="4">
        <f t="shared" si="32"/>
        <v>0</v>
      </c>
      <c r="H1415" s="17"/>
      <c r="I1415" s="4">
        <f t="shared" si="30"/>
        <v>349526.07999999996</v>
      </c>
      <c r="J1415" s="32" t="str">
        <f t="shared" si="31"/>
        <v/>
      </c>
      <c r="K1415" s="79"/>
      <c r="L1415" s="79"/>
      <c r="M1415" s="2"/>
      <c r="N1415" s="5"/>
      <c r="O1415" s="3"/>
      <c r="P1415" s="6"/>
      <c r="Q1415" s="6"/>
    </row>
    <row r="1416" spans="1:17" ht="15" customHeight="1" x14ac:dyDescent="0.25">
      <c r="A1416" s="1"/>
      <c r="B1416" s="17"/>
      <c r="C1416" s="17"/>
      <c r="D1416" s="17"/>
      <c r="E1416" s="17"/>
      <c r="F1416" s="17"/>
      <c r="G1416" s="4">
        <f t="shared" si="32"/>
        <v>0</v>
      </c>
      <c r="H1416" s="17"/>
      <c r="I1416" s="4">
        <f t="shared" si="30"/>
        <v>349526.07999999996</v>
      </c>
      <c r="J1416" s="32" t="str">
        <f t="shared" si="31"/>
        <v/>
      </c>
      <c r="K1416" s="79"/>
      <c r="L1416" s="79"/>
      <c r="M1416" s="2"/>
      <c r="N1416" s="5"/>
      <c r="O1416" s="3"/>
      <c r="P1416" s="6"/>
      <c r="Q1416" s="6"/>
    </row>
    <row r="1417" spans="1:17" ht="15" customHeight="1" x14ac:dyDescent="0.25">
      <c r="A1417" s="1"/>
      <c r="B1417" s="17"/>
      <c r="C1417" s="17"/>
      <c r="D1417" s="17"/>
      <c r="E1417" s="17"/>
      <c r="F1417" s="17"/>
      <c r="G1417" s="4">
        <f t="shared" si="32"/>
        <v>0</v>
      </c>
      <c r="H1417" s="17"/>
      <c r="I1417" s="4">
        <f t="shared" si="30"/>
        <v>349526.07999999996</v>
      </c>
      <c r="J1417" s="32" t="str">
        <f t="shared" si="31"/>
        <v/>
      </c>
      <c r="K1417" s="79"/>
      <c r="L1417" s="79"/>
      <c r="M1417" s="2"/>
      <c r="N1417" s="5"/>
      <c r="O1417" s="3"/>
      <c r="P1417" s="6"/>
      <c r="Q1417" s="6"/>
    </row>
    <row r="1418" spans="1:17" ht="15" customHeight="1" x14ac:dyDescent="0.25">
      <c r="A1418" s="1"/>
      <c r="B1418" s="17"/>
      <c r="C1418" s="17"/>
      <c r="D1418" s="17"/>
      <c r="E1418" s="17"/>
      <c r="F1418" s="17"/>
      <c r="G1418" s="4">
        <f t="shared" si="32"/>
        <v>0</v>
      </c>
      <c r="H1418" s="17"/>
      <c r="I1418" s="4">
        <f t="shared" si="30"/>
        <v>349526.07999999996</v>
      </c>
      <c r="J1418" s="32" t="str">
        <f t="shared" si="31"/>
        <v/>
      </c>
      <c r="K1418" s="79"/>
      <c r="L1418" s="79"/>
      <c r="M1418" s="2"/>
      <c r="N1418" s="5"/>
      <c r="O1418" s="3"/>
      <c r="P1418" s="6"/>
      <c r="Q1418" s="6"/>
    </row>
    <row r="1419" spans="1:17" ht="15" customHeight="1" x14ac:dyDescent="0.25">
      <c r="A1419" s="1"/>
      <c r="B1419" s="17"/>
      <c r="C1419" s="17"/>
      <c r="D1419" s="17"/>
      <c r="E1419" s="17"/>
      <c r="F1419" s="17"/>
      <c r="G1419" s="4">
        <f t="shared" si="32"/>
        <v>0</v>
      </c>
      <c r="H1419" s="17"/>
      <c r="I1419" s="4">
        <f t="shared" si="30"/>
        <v>349526.07999999996</v>
      </c>
      <c r="J1419" s="32" t="str">
        <f t="shared" si="31"/>
        <v/>
      </c>
      <c r="K1419" s="79"/>
      <c r="L1419" s="79"/>
      <c r="M1419" s="2"/>
      <c r="N1419" s="5"/>
      <c r="O1419" s="3"/>
      <c r="P1419" s="6"/>
      <c r="Q1419" s="6"/>
    </row>
    <row r="1420" spans="1:17" ht="15" customHeight="1" x14ac:dyDescent="0.25">
      <c r="A1420" s="1"/>
      <c r="B1420" s="17"/>
      <c r="C1420" s="17"/>
      <c r="D1420" s="17"/>
      <c r="E1420" s="17"/>
      <c r="F1420" s="17"/>
      <c r="G1420" s="4">
        <f t="shared" si="32"/>
        <v>0</v>
      </c>
      <c r="H1420" s="17"/>
      <c r="I1420" s="4">
        <f t="shared" si="30"/>
        <v>349526.07999999996</v>
      </c>
      <c r="J1420" s="32" t="str">
        <f t="shared" si="31"/>
        <v/>
      </c>
      <c r="K1420" s="79"/>
      <c r="L1420" s="79"/>
      <c r="M1420" s="2"/>
      <c r="N1420" s="5"/>
      <c r="O1420" s="3"/>
      <c r="P1420" s="6"/>
      <c r="Q1420" s="6"/>
    </row>
    <row r="1421" spans="1:17" ht="15" customHeight="1" x14ac:dyDescent="0.25">
      <c r="A1421" s="1"/>
      <c r="B1421" s="17"/>
      <c r="C1421" s="17"/>
      <c r="D1421" s="17"/>
      <c r="E1421" s="17"/>
      <c r="F1421" s="17"/>
      <c r="G1421" s="4">
        <f t="shared" si="32"/>
        <v>0</v>
      </c>
      <c r="H1421" s="17"/>
      <c r="I1421" s="4">
        <f t="shared" si="30"/>
        <v>349526.07999999996</v>
      </c>
      <c r="J1421" s="32" t="str">
        <f t="shared" si="31"/>
        <v/>
      </c>
      <c r="K1421" s="79"/>
      <c r="L1421" s="79"/>
      <c r="M1421" s="2"/>
      <c r="N1421" s="5"/>
      <c r="O1421" s="3"/>
      <c r="P1421" s="6"/>
      <c r="Q1421" s="6"/>
    </row>
    <row r="1422" spans="1:17" ht="15" customHeight="1" x14ac:dyDescent="0.25">
      <c r="A1422" s="1"/>
      <c r="B1422" s="17"/>
      <c r="C1422" s="17"/>
      <c r="D1422" s="17"/>
      <c r="E1422" s="17"/>
      <c r="F1422" s="17"/>
      <c r="G1422" s="4">
        <f t="shared" si="32"/>
        <v>0</v>
      </c>
      <c r="H1422" s="17"/>
      <c r="I1422" s="4">
        <f t="shared" si="30"/>
        <v>349526.07999999996</v>
      </c>
      <c r="J1422" s="32" t="str">
        <f t="shared" si="31"/>
        <v/>
      </c>
      <c r="K1422" s="79"/>
      <c r="L1422" s="79"/>
      <c r="M1422" s="2"/>
      <c r="N1422" s="5"/>
      <c r="O1422" s="3"/>
      <c r="P1422" s="6"/>
      <c r="Q1422" s="6"/>
    </row>
    <row r="1423" spans="1:17" ht="15" customHeight="1" x14ac:dyDescent="0.25">
      <c r="A1423" s="1"/>
      <c r="B1423" s="17"/>
      <c r="C1423" s="17"/>
      <c r="D1423" s="17"/>
      <c r="E1423" s="17"/>
      <c r="F1423" s="17"/>
      <c r="G1423" s="4">
        <f t="shared" si="32"/>
        <v>0</v>
      </c>
      <c r="H1423" s="17"/>
      <c r="I1423" s="4">
        <f t="shared" si="30"/>
        <v>349526.07999999996</v>
      </c>
      <c r="J1423" s="32" t="str">
        <f t="shared" si="31"/>
        <v/>
      </c>
      <c r="K1423" s="79"/>
      <c r="L1423" s="79"/>
      <c r="M1423" s="2"/>
      <c r="N1423" s="5"/>
      <c r="O1423" s="3"/>
      <c r="P1423" s="6"/>
      <c r="Q1423" s="6"/>
    </row>
    <row r="1424" spans="1:17" ht="15" customHeight="1" x14ac:dyDescent="0.25">
      <c r="A1424" s="1"/>
      <c r="B1424" s="17"/>
      <c r="C1424" s="17"/>
      <c r="D1424" s="17"/>
      <c r="E1424" s="17"/>
      <c r="F1424" s="17"/>
      <c r="G1424" s="4">
        <f t="shared" si="32"/>
        <v>0</v>
      </c>
      <c r="H1424" s="17"/>
      <c r="I1424" s="4">
        <f t="shared" si="30"/>
        <v>349526.07999999996</v>
      </c>
      <c r="J1424" s="32" t="str">
        <f t="shared" si="31"/>
        <v/>
      </c>
      <c r="K1424" s="79"/>
      <c r="L1424" s="79"/>
      <c r="M1424" s="2"/>
      <c r="N1424" s="5"/>
      <c r="O1424" s="3"/>
      <c r="P1424" s="6"/>
      <c r="Q1424" s="6"/>
    </row>
    <row r="1425" spans="1:17" ht="15" customHeight="1" x14ac:dyDescent="0.25">
      <c r="A1425" s="1"/>
      <c r="B1425" s="17"/>
      <c r="C1425" s="17"/>
      <c r="D1425" s="17"/>
      <c r="E1425" s="17"/>
      <c r="F1425" s="17"/>
      <c r="G1425" s="4">
        <f t="shared" si="32"/>
        <v>0</v>
      </c>
      <c r="H1425" s="17"/>
      <c r="I1425" s="4">
        <f t="shared" si="30"/>
        <v>349526.07999999996</v>
      </c>
      <c r="J1425" s="32" t="str">
        <f t="shared" si="31"/>
        <v/>
      </c>
      <c r="K1425" s="79"/>
      <c r="L1425" s="79"/>
      <c r="M1425" s="2"/>
      <c r="N1425" s="5"/>
      <c r="O1425" s="3"/>
      <c r="P1425" s="6"/>
      <c r="Q1425" s="6"/>
    </row>
    <row r="1426" spans="1:17" ht="15" customHeight="1" x14ac:dyDescent="0.25">
      <c r="A1426" s="1"/>
      <c r="B1426" s="17"/>
      <c r="C1426" s="17"/>
      <c r="D1426" s="17"/>
      <c r="E1426" s="17"/>
      <c r="F1426" s="17"/>
      <c r="G1426" s="4">
        <f t="shared" si="32"/>
        <v>0</v>
      </c>
      <c r="H1426" s="17"/>
      <c r="I1426" s="4">
        <f t="shared" si="30"/>
        <v>349526.07999999996</v>
      </c>
      <c r="J1426" s="32" t="str">
        <f t="shared" si="31"/>
        <v/>
      </c>
      <c r="K1426" s="79"/>
      <c r="L1426" s="79"/>
      <c r="M1426" s="2"/>
      <c r="N1426" s="5"/>
      <c r="O1426" s="3"/>
      <c r="P1426" s="6"/>
      <c r="Q1426" s="6"/>
    </row>
    <row r="1427" spans="1:17" ht="15" customHeight="1" x14ac:dyDescent="0.25">
      <c r="A1427" s="1"/>
      <c r="B1427" s="17"/>
      <c r="C1427" s="17"/>
      <c r="D1427" s="17"/>
      <c r="E1427" s="17"/>
      <c r="F1427" s="17"/>
      <c r="G1427" s="4">
        <f t="shared" si="32"/>
        <v>0</v>
      </c>
      <c r="H1427" s="17"/>
      <c r="I1427" s="4">
        <f t="shared" si="30"/>
        <v>349526.07999999996</v>
      </c>
      <c r="J1427" s="32" t="str">
        <f t="shared" si="31"/>
        <v/>
      </c>
      <c r="K1427" s="79"/>
      <c r="L1427" s="79"/>
      <c r="M1427" s="2"/>
      <c r="N1427" s="5"/>
      <c r="O1427" s="3"/>
      <c r="P1427" s="6"/>
      <c r="Q1427" s="6"/>
    </row>
    <row r="1428" spans="1:17" ht="15" customHeight="1" x14ac:dyDescent="0.25">
      <c r="A1428" s="1"/>
      <c r="B1428" s="17"/>
      <c r="C1428" s="17"/>
      <c r="D1428" s="17"/>
      <c r="E1428" s="17"/>
      <c r="F1428" s="17"/>
      <c r="G1428" s="4">
        <f t="shared" si="32"/>
        <v>0</v>
      </c>
      <c r="H1428" s="17"/>
      <c r="I1428" s="4">
        <f t="shared" si="30"/>
        <v>349526.07999999996</v>
      </c>
      <c r="J1428" s="32" t="str">
        <f t="shared" si="31"/>
        <v/>
      </c>
      <c r="K1428" s="79"/>
      <c r="L1428" s="79"/>
      <c r="M1428" s="2"/>
      <c r="N1428" s="5"/>
      <c r="O1428" s="3"/>
      <c r="P1428" s="6"/>
      <c r="Q1428" s="6"/>
    </row>
    <row r="1429" spans="1:17" ht="15" customHeight="1" x14ac:dyDescent="0.25">
      <c r="A1429" s="1"/>
      <c r="B1429" s="17"/>
      <c r="C1429" s="17"/>
      <c r="D1429" s="17"/>
      <c r="E1429" s="17"/>
      <c r="F1429" s="17"/>
      <c r="G1429" s="4">
        <f t="shared" si="32"/>
        <v>0</v>
      </c>
      <c r="H1429" s="17"/>
      <c r="I1429" s="4">
        <f t="shared" si="30"/>
        <v>349526.07999999996</v>
      </c>
      <c r="J1429" s="32" t="str">
        <f t="shared" si="31"/>
        <v/>
      </c>
      <c r="K1429" s="79"/>
      <c r="L1429" s="79"/>
      <c r="M1429" s="2"/>
      <c r="N1429" s="5"/>
      <c r="O1429" s="3"/>
      <c r="P1429" s="6"/>
      <c r="Q1429" s="6"/>
    </row>
    <row r="1430" spans="1:17" ht="15" customHeight="1" x14ac:dyDescent="0.25">
      <c r="A1430" s="1"/>
      <c r="B1430" s="17"/>
      <c r="C1430" s="17"/>
      <c r="D1430" s="17"/>
      <c r="E1430" s="17"/>
      <c r="F1430" s="17"/>
      <c r="G1430" s="4">
        <f t="shared" si="32"/>
        <v>0</v>
      </c>
      <c r="H1430" s="17"/>
      <c r="I1430" s="4">
        <f t="shared" si="30"/>
        <v>349526.07999999996</v>
      </c>
      <c r="J1430" s="32" t="str">
        <f t="shared" si="31"/>
        <v/>
      </c>
      <c r="K1430" s="79"/>
      <c r="L1430" s="79"/>
      <c r="M1430" s="2"/>
      <c r="N1430" s="5"/>
      <c r="O1430" s="3"/>
      <c r="P1430" s="6"/>
      <c r="Q1430" s="6"/>
    </row>
    <row r="1431" spans="1:17" ht="15" customHeight="1" x14ac:dyDescent="0.25">
      <c r="A1431" s="1"/>
      <c r="B1431" s="17"/>
      <c r="C1431" s="17"/>
      <c r="D1431" s="17"/>
      <c r="E1431" s="17"/>
      <c r="F1431" s="17"/>
      <c r="G1431" s="4">
        <f t="shared" si="32"/>
        <v>0</v>
      </c>
      <c r="H1431" s="17"/>
      <c r="I1431" s="4">
        <f t="shared" si="30"/>
        <v>349526.07999999996</v>
      </c>
      <c r="J1431" s="32" t="str">
        <f t="shared" si="31"/>
        <v/>
      </c>
      <c r="K1431" s="79"/>
      <c r="L1431" s="79"/>
      <c r="M1431" s="2"/>
      <c r="N1431" s="5"/>
      <c r="O1431" s="3"/>
      <c r="P1431" s="6"/>
      <c r="Q1431" s="6"/>
    </row>
    <row r="1432" spans="1:17" ht="15" customHeight="1" x14ac:dyDescent="0.25">
      <c r="A1432" s="1"/>
      <c r="B1432" s="17"/>
      <c r="C1432" s="17"/>
      <c r="D1432" s="17"/>
      <c r="E1432" s="17"/>
      <c r="F1432" s="17"/>
      <c r="G1432" s="4">
        <f t="shared" si="32"/>
        <v>0</v>
      </c>
      <c r="H1432" s="17"/>
      <c r="I1432" s="4">
        <f t="shared" si="30"/>
        <v>349526.07999999996</v>
      </c>
      <c r="J1432" s="32" t="str">
        <f t="shared" si="31"/>
        <v/>
      </c>
      <c r="K1432" s="79"/>
      <c r="L1432" s="79"/>
      <c r="M1432" s="2"/>
      <c r="N1432" s="5"/>
      <c r="O1432" s="3"/>
      <c r="P1432" s="6"/>
      <c r="Q1432" s="6"/>
    </row>
    <row r="1433" spans="1:17" ht="15" customHeight="1" x14ac:dyDescent="0.25">
      <c r="A1433" s="1"/>
      <c r="B1433" s="17"/>
      <c r="C1433" s="17"/>
      <c r="D1433" s="17"/>
      <c r="E1433" s="17"/>
      <c r="F1433" s="17"/>
      <c r="G1433" s="4">
        <f t="shared" si="32"/>
        <v>0</v>
      </c>
      <c r="H1433" s="17"/>
      <c r="I1433" s="4">
        <f t="shared" si="30"/>
        <v>349526.07999999996</v>
      </c>
      <c r="J1433" s="32" t="str">
        <f t="shared" si="31"/>
        <v/>
      </c>
      <c r="K1433" s="79"/>
      <c r="L1433" s="79"/>
      <c r="M1433" s="2"/>
      <c r="N1433" s="5"/>
      <c r="O1433" s="3"/>
      <c r="P1433" s="6"/>
      <c r="Q1433" s="6"/>
    </row>
    <row r="1434" spans="1:17" ht="15" customHeight="1" x14ac:dyDescent="0.25">
      <c r="A1434" s="1"/>
      <c r="B1434" s="17"/>
      <c r="C1434" s="17"/>
      <c r="D1434" s="17"/>
      <c r="E1434" s="17"/>
      <c r="F1434" s="17"/>
      <c r="G1434" s="4">
        <f t="shared" si="32"/>
        <v>0</v>
      </c>
      <c r="H1434" s="17"/>
      <c r="I1434" s="4">
        <f t="shared" si="30"/>
        <v>349526.07999999996</v>
      </c>
      <c r="J1434" s="32" t="str">
        <f t="shared" si="31"/>
        <v/>
      </c>
      <c r="K1434" s="79"/>
      <c r="L1434" s="79"/>
      <c r="M1434" s="2"/>
      <c r="N1434" s="5"/>
      <c r="O1434" s="3"/>
      <c r="P1434" s="6"/>
      <c r="Q1434" s="6"/>
    </row>
    <row r="1435" spans="1:17" ht="15" customHeight="1" x14ac:dyDescent="0.25">
      <c r="A1435" s="1"/>
      <c r="B1435" s="17"/>
      <c r="C1435" s="17"/>
      <c r="D1435" s="17"/>
      <c r="E1435" s="17"/>
      <c r="F1435" s="17"/>
      <c r="G1435" s="4">
        <f t="shared" si="32"/>
        <v>0</v>
      </c>
      <c r="H1435" s="17"/>
      <c r="I1435" s="4">
        <f t="shared" si="30"/>
        <v>349526.07999999996</v>
      </c>
      <c r="J1435" s="32" t="str">
        <f t="shared" si="31"/>
        <v/>
      </c>
      <c r="K1435" s="79"/>
      <c r="L1435" s="79"/>
      <c r="M1435" s="2"/>
      <c r="N1435" s="5"/>
      <c r="O1435" s="3"/>
      <c r="P1435" s="6"/>
      <c r="Q1435" s="6"/>
    </row>
    <row r="1436" spans="1:17" ht="15" customHeight="1" x14ac:dyDescent="0.25">
      <c r="A1436" s="1"/>
      <c r="B1436" s="17"/>
      <c r="C1436" s="17"/>
      <c r="D1436" s="17"/>
      <c r="E1436" s="17"/>
      <c r="F1436" s="17"/>
      <c r="G1436" s="4">
        <f t="shared" si="32"/>
        <v>0</v>
      </c>
      <c r="H1436" s="17"/>
      <c r="I1436" s="4">
        <f t="shared" si="30"/>
        <v>349526.07999999996</v>
      </c>
      <c r="J1436" s="32" t="str">
        <f t="shared" si="31"/>
        <v/>
      </c>
      <c r="K1436" s="79"/>
      <c r="L1436" s="79"/>
      <c r="M1436" s="2"/>
      <c r="N1436" s="5"/>
      <c r="O1436" s="3"/>
      <c r="P1436" s="6"/>
      <c r="Q1436" s="6"/>
    </row>
    <row r="1437" spans="1:17" ht="15" customHeight="1" x14ac:dyDescent="0.25">
      <c r="A1437" s="1"/>
      <c r="B1437" s="17"/>
      <c r="C1437" s="17"/>
      <c r="D1437" s="17"/>
      <c r="E1437" s="17"/>
      <c r="F1437" s="17"/>
      <c r="G1437" s="4">
        <f t="shared" si="32"/>
        <v>0</v>
      </c>
      <c r="H1437" s="17"/>
      <c r="I1437" s="4">
        <f t="shared" si="30"/>
        <v>349526.07999999996</v>
      </c>
      <c r="J1437" s="32" t="str">
        <f t="shared" si="31"/>
        <v/>
      </c>
      <c r="K1437" s="79"/>
      <c r="L1437" s="79"/>
      <c r="M1437" s="2"/>
      <c r="N1437" s="5"/>
      <c r="O1437" s="3"/>
      <c r="P1437" s="6"/>
      <c r="Q1437" s="6"/>
    </row>
    <row r="1438" spans="1:17" ht="15" customHeight="1" x14ac:dyDescent="0.25">
      <c r="A1438" s="1"/>
      <c r="B1438" s="17"/>
      <c r="C1438" s="17"/>
      <c r="D1438" s="17"/>
      <c r="E1438" s="17"/>
      <c r="F1438" s="17"/>
      <c r="G1438" s="4">
        <f t="shared" si="32"/>
        <v>0</v>
      </c>
      <c r="H1438" s="17"/>
      <c r="I1438" s="4">
        <f t="shared" si="30"/>
        <v>349526.07999999996</v>
      </c>
      <c r="J1438" s="32" t="str">
        <f t="shared" si="31"/>
        <v/>
      </c>
      <c r="K1438" s="79"/>
      <c r="L1438" s="79"/>
      <c r="M1438" s="2"/>
      <c r="N1438" s="5"/>
      <c r="O1438" s="3"/>
      <c r="P1438" s="6"/>
      <c r="Q1438" s="6"/>
    </row>
    <row r="1439" spans="1:17" ht="15" customHeight="1" x14ac:dyDescent="0.25">
      <c r="A1439" s="1"/>
      <c r="B1439" s="17"/>
      <c r="C1439" s="17"/>
      <c r="D1439" s="17"/>
      <c r="E1439" s="17"/>
      <c r="F1439" s="17"/>
      <c r="G1439" s="4">
        <f t="shared" si="32"/>
        <v>0</v>
      </c>
      <c r="H1439" s="17"/>
      <c r="I1439" s="4">
        <f t="shared" si="30"/>
        <v>349526.07999999996</v>
      </c>
      <c r="J1439" s="32" t="str">
        <f t="shared" si="31"/>
        <v/>
      </c>
      <c r="K1439" s="79"/>
      <c r="L1439" s="79"/>
      <c r="M1439" s="2"/>
      <c r="N1439" s="5"/>
      <c r="O1439" s="3"/>
      <c r="P1439" s="6"/>
      <c r="Q1439" s="6"/>
    </row>
    <row r="1440" spans="1:17" ht="15" customHeight="1" x14ac:dyDescent="0.25">
      <c r="A1440" s="1"/>
      <c r="B1440" s="17"/>
      <c r="C1440" s="17"/>
      <c r="D1440" s="17"/>
      <c r="E1440" s="17"/>
      <c r="F1440" s="17"/>
      <c r="G1440" s="4">
        <f t="shared" si="32"/>
        <v>0</v>
      </c>
      <c r="H1440" s="17"/>
      <c r="I1440" s="4">
        <f t="shared" si="30"/>
        <v>349526.07999999996</v>
      </c>
      <c r="J1440" s="32" t="str">
        <f t="shared" si="31"/>
        <v/>
      </c>
      <c r="K1440" s="79"/>
      <c r="L1440" s="79"/>
      <c r="M1440" s="2"/>
      <c r="N1440" s="5"/>
      <c r="O1440" s="3"/>
      <c r="P1440" s="6"/>
      <c r="Q1440" s="6"/>
    </row>
    <row r="1441" spans="1:17" ht="15" customHeight="1" x14ac:dyDescent="0.25">
      <c r="A1441" s="1"/>
      <c r="B1441" s="17"/>
      <c r="C1441" s="17"/>
      <c r="D1441" s="17"/>
      <c r="E1441" s="17"/>
      <c r="F1441" s="17"/>
      <c r="G1441" s="4">
        <f t="shared" si="32"/>
        <v>0</v>
      </c>
      <c r="H1441" s="17"/>
      <c r="I1441" s="4">
        <f t="shared" si="30"/>
        <v>349526.07999999996</v>
      </c>
      <c r="J1441" s="32" t="str">
        <f t="shared" si="31"/>
        <v/>
      </c>
      <c r="K1441" s="79"/>
      <c r="L1441" s="79"/>
      <c r="M1441" s="2"/>
      <c r="N1441" s="5"/>
      <c r="O1441" s="3"/>
      <c r="P1441" s="6"/>
      <c r="Q1441" s="6"/>
    </row>
    <row r="1442" spans="1:17" ht="15" customHeight="1" x14ac:dyDescent="0.25">
      <c r="A1442" s="1"/>
      <c r="B1442" s="17"/>
      <c r="C1442" s="17"/>
      <c r="D1442" s="17"/>
      <c r="E1442" s="17"/>
      <c r="F1442" s="17"/>
      <c r="G1442" s="4">
        <f t="shared" si="32"/>
        <v>0</v>
      </c>
      <c r="H1442" s="17"/>
      <c r="I1442" s="4">
        <f t="shared" si="30"/>
        <v>349526.07999999996</v>
      </c>
      <c r="J1442" s="32" t="str">
        <f t="shared" si="31"/>
        <v/>
      </c>
      <c r="K1442" s="79"/>
      <c r="L1442" s="79"/>
      <c r="M1442" s="2"/>
      <c r="N1442" s="5"/>
      <c r="O1442" s="3"/>
      <c r="P1442" s="6"/>
      <c r="Q1442" s="6"/>
    </row>
    <row r="1443" spans="1:17" ht="15" customHeight="1" x14ac:dyDescent="0.25">
      <c r="A1443" s="1"/>
      <c r="B1443" s="17"/>
      <c r="C1443" s="17"/>
      <c r="D1443" s="17"/>
      <c r="E1443" s="17"/>
      <c r="F1443" s="17"/>
      <c r="G1443" s="4">
        <f t="shared" si="32"/>
        <v>0</v>
      </c>
      <c r="H1443" s="17"/>
      <c r="I1443" s="4">
        <f t="shared" si="30"/>
        <v>349526.07999999996</v>
      </c>
      <c r="J1443" s="32" t="str">
        <f t="shared" si="31"/>
        <v/>
      </c>
      <c r="K1443" s="79"/>
      <c r="L1443" s="79"/>
      <c r="M1443" s="2"/>
      <c r="N1443" s="5"/>
      <c r="O1443" s="3"/>
      <c r="P1443" s="6"/>
      <c r="Q1443" s="6"/>
    </row>
    <row r="1444" spans="1:17" ht="15" customHeight="1" x14ac:dyDescent="0.25">
      <c r="A1444" s="1"/>
      <c r="B1444" s="17"/>
      <c r="C1444" s="17"/>
      <c r="D1444" s="17"/>
      <c r="E1444" s="17"/>
      <c r="F1444" s="17"/>
      <c r="G1444" s="4">
        <f t="shared" si="32"/>
        <v>0</v>
      </c>
      <c r="H1444" s="17"/>
      <c r="I1444" s="4">
        <f t="shared" si="30"/>
        <v>349526.07999999996</v>
      </c>
      <c r="J1444" s="32" t="str">
        <f t="shared" si="31"/>
        <v/>
      </c>
      <c r="K1444" s="79"/>
      <c r="L1444" s="79"/>
      <c r="M1444" s="2"/>
      <c r="N1444" s="5"/>
      <c r="O1444" s="3"/>
      <c r="P1444" s="6"/>
      <c r="Q1444" s="6"/>
    </row>
    <row r="1445" spans="1:17" ht="15" customHeight="1" x14ac:dyDescent="0.25">
      <c r="A1445" s="1"/>
      <c r="B1445" s="17"/>
      <c r="C1445" s="17"/>
      <c r="D1445" s="17"/>
      <c r="E1445" s="17"/>
      <c r="F1445" s="17"/>
      <c r="G1445" s="4">
        <f t="shared" si="32"/>
        <v>0</v>
      </c>
      <c r="H1445" s="17"/>
      <c r="I1445" s="4">
        <f t="shared" si="30"/>
        <v>349526.07999999996</v>
      </c>
      <c r="J1445" s="32" t="str">
        <f t="shared" si="31"/>
        <v/>
      </c>
      <c r="K1445" s="79"/>
      <c r="L1445" s="79"/>
      <c r="M1445" s="2"/>
      <c r="N1445" s="5"/>
      <c r="O1445" s="3"/>
      <c r="P1445" s="6"/>
      <c r="Q1445" s="6"/>
    </row>
    <row r="1446" spans="1:17" ht="15" customHeight="1" x14ac:dyDescent="0.25">
      <c r="A1446" s="1"/>
      <c r="B1446" s="17"/>
      <c r="C1446" s="17"/>
      <c r="D1446" s="17"/>
      <c r="E1446" s="17"/>
      <c r="F1446" s="17"/>
      <c r="G1446" s="4">
        <f t="shared" si="32"/>
        <v>0</v>
      </c>
      <c r="H1446" s="17"/>
      <c r="I1446" s="4">
        <f t="shared" si="30"/>
        <v>349526.07999999996</v>
      </c>
      <c r="J1446" s="32" t="str">
        <f t="shared" si="31"/>
        <v/>
      </c>
      <c r="K1446" s="79"/>
      <c r="L1446" s="79"/>
      <c r="M1446" s="2"/>
      <c r="N1446" s="5"/>
      <c r="O1446" s="3"/>
      <c r="P1446" s="6"/>
      <c r="Q1446" s="6"/>
    </row>
    <row r="1447" spans="1:17" ht="15" customHeight="1" x14ac:dyDescent="0.25">
      <c r="A1447" s="1"/>
      <c r="B1447" s="17"/>
      <c r="C1447" s="17"/>
      <c r="D1447" s="17"/>
      <c r="E1447" s="17"/>
      <c r="F1447" s="17"/>
      <c r="G1447" s="4">
        <f t="shared" si="32"/>
        <v>0</v>
      </c>
      <c r="H1447" s="17"/>
      <c r="I1447" s="4">
        <f t="shared" si="30"/>
        <v>349526.07999999996</v>
      </c>
      <c r="J1447" s="32" t="str">
        <f t="shared" si="31"/>
        <v/>
      </c>
      <c r="K1447" s="79"/>
      <c r="L1447" s="79"/>
      <c r="M1447" s="2"/>
      <c r="N1447" s="5"/>
      <c r="O1447" s="3"/>
      <c r="P1447" s="6"/>
      <c r="Q1447" s="6"/>
    </row>
    <row r="1448" spans="1:17" ht="15" customHeight="1" x14ac:dyDescent="0.25">
      <c r="A1448" s="1"/>
      <c r="B1448" s="17"/>
      <c r="C1448" s="17"/>
      <c r="D1448" s="17"/>
      <c r="E1448" s="17"/>
      <c r="F1448" s="17"/>
      <c r="G1448" s="4">
        <f t="shared" si="32"/>
        <v>0</v>
      </c>
      <c r="H1448" s="17"/>
      <c r="I1448" s="4">
        <f t="shared" si="30"/>
        <v>349526.07999999996</v>
      </c>
      <c r="J1448" s="32" t="str">
        <f t="shared" si="31"/>
        <v/>
      </c>
      <c r="K1448" s="79"/>
      <c r="L1448" s="79"/>
      <c r="M1448" s="2"/>
      <c r="N1448" s="5"/>
      <c r="O1448" s="3"/>
      <c r="P1448" s="6"/>
      <c r="Q1448" s="6"/>
    </row>
    <row r="1449" spans="1:17" ht="15" customHeight="1" x14ac:dyDescent="0.25">
      <c r="A1449" s="1"/>
      <c r="B1449" s="17"/>
      <c r="C1449" s="17"/>
      <c r="D1449" s="17"/>
      <c r="E1449" s="17"/>
      <c r="F1449" s="17"/>
      <c r="G1449" s="4">
        <f t="shared" si="32"/>
        <v>0</v>
      </c>
      <c r="H1449" s="17"/>
      <c r="I1449" s="4">
        <f t="shared" si="30"/>
        <v>349526.07999999996</v>
      </c>
      <c r="J1449" s="32" t="str">
        <f t="shared" si="31"/>
        <v/>
      </c>
      <c r="K1449" s="79"/>
      <c r="L1449" s="79"/>
      <c r="M1449" s="2"/>
      <c r="N1449" s="5"/>
      <c r="O1449" s="3"/>
      <c r="P1449" s="6"/>
      <c r="Q1449" s="6"/>
    </row>
    <row r="1450" spans="1:17" ht="15" customHeight="1" x14ac:dyDescent="0.25">
      <c r="A1450" s="1"/>
      <c r="B1450" s="17"/>
      <c r="C1450" s="17"/>
      <c r="D1450" s="17"/>
      <c r="E1450" s="17"/>
      <c r="F1450" s="17"/>
      <c r="G1450" s="4">
        <f t="shared" si="32"/>
        <v>0</v>
      </c>
      <c r="H1450" s="17"/>
      <c r="I1450" s="4">
        <f t="shared" si="30"/>
        <v>349526.07999999996</v>
      </c>
      <c r="J1450" s="32" t="str">
        <f t="shared" si="31"/>
        <v/>
      </c>
      <c r="K1450" s="79"/>
      <c r="L1450" s="79"/>
      <c r="M1450" s="2"/>
      <c r="N1450" s="5"/>
      <c r="O1450" s="3"/>
      <c r="P1450" s="6"/>
      <c r="Q1450" s="6"/>
    </row>
    <row r="1451" spans="1:17" ht="15" customHeight="1" x14ac:dyDescent="0.25">
      <c r="A1451" s="1"/>
      <c r="B1451" s="17"/>
      <c r="C1451" s="17"/>
      <c r="D1451" s="17"/>
      <c r="E1451" s="17"/>
      <c r="F1451" s="17"/>
      <c r="G1451" s="4">
        <f t="shared" si="32"/>
        <v>0</v>
      </c>
      <c r="H1451" s="17"/>
      <c r="I1451" s="4">
        <f t="shared" si="30"/>
        <v>349526.07999999996</v>
      </c>
      <c r="J1451" s="32" t="str">
        <f t="shared" si="31"/>
        <v/>
      </c>
      <c r="K1451" s="79"/>
      <c r="L1451" s="79"/>
      <c r="M1451" s="2"/>
      <c r="N1451" s="5"/>
      <c r="O1451" s="3"/>
      <c r="P1451" s="6"/>
      <c r="Q1451" s="6"/>
    </row>
    <row r="1452" spans="1:17" ht="15" customHeight="1" x14ac:dyDescent="0.25">
      <c r="A1452" s="1"/>
      <c r="B1452" s="17"/>
      <c r="C1452" s="17"/>
      <c r="D1452" s="17"/>
      <c r="E1452" s="17"/>
      <c r="F1452" s="17"/>
      <c r="G1452" s="4">
        <f t="shared" si="32"/>
        <v>0</v>
      </c>
      <c r="H1452" s="17"/>
      <c r="I1452" s="4">
        <f t="shared" si="30"/>
        <v>349526.07999999996</v>
      </c>
      <c r="J1452" s="32" t="str">
        <f t="shared" si="31"/>
        <v/>
      </c>
      <c r="K1452" s="79"/>
      <c r="L1452" s="79"/>
      <c r="M1452" s="2"/>
      <c r="N1452" s="5"/>
      <c r="O1452" s="3"/>
      <c r="P1452" s="6"/>
      <c r="Q1452" s="6"/>
    </row>
    <row r="1453" spans="1:17" ht="15" customHeight="1" x14ac:dyDescent="0.25">
      <c r="A1453" s="1"/>
      <c r="B1453" s="17"/>
      <c r="C1453" s="17"/>
      <c r="D1453" s="17"/>
      <c r="E1453" s="17"/>
      <c r="F1453" s="17"/>
      <c r="G1453" s="4">
        <f t="shared" si="32"/>
        <v>0</v>
      </c>
      <c r="H1453" s="17"/>
      <c r="I1453" s="4">
        <f t="shared" si="30"/>
        <v>349526.07999999996</v>
      </c>
      <c r="J1453" s="32" t="str">
        <f t="shared" si="31"/>
        <v/>
      </c>
      <c r="K1453" s="79"/>
      <c r="L1453" s="79"/>
      <c r="M1453" s="2"/>
      <c r="N1453" s="5"/>
      <c r="O1453" s="3"/>
      <c r="P1453" s="6"/>
      <c r="Q1453" s="6"/>
    </row>
    <row r="1454" spans="1:17" ht="15" customHeight="1" x14ac:dyDescent="0.25">
      <c r="A1454" s="1"/>
      <c r="B1454" s="17"/>
      <c r="C1454" s="17"/>
      <c r="D1454" s="17"/>
      <c r="E1454" s="17"/>
      <c r="F1454" s="17"/>
      <c r="G1454" s="4">
        <f t="shared" si="32"/>
        <v>0</v>
      </c>
      <c r="H1454" s="17"/>
      <c r="I1454" s="4">
        <f t="shared" si="30"/>
        <v>349526.07999999996</v>
      </c>
      <c r="J1454" s="32" t="str">
        <f t="shared" si="31"/>
        <v/>
      </c>
      <c r="K1454" s="79"/>
      <c r="L1454" s="79"/>
      <c r="M1454" s="2"/>
      <c r="N1454" s="5"/>
      <c r="O1454" s="3"/>
      <c r="P1454" s="6"/>
      <c r="Q1454" s="6"/>
    </row>
    <row r="1455" spans="1:17" ht="15" customHeight="1" x14ac:dyDescent="0.25">
      <c r="A1455" s="1"/>
      <c r="B1455" s="17"/>
      <c r="C1455" s="17"/>
      <c r="D1455" s="17"/>
      <c r="E1455" s="17"/>
      <c r="F1455" s="17"/>
      <c r="G1455" s="4">
        <f t="shared" si="32"/>
        <v>0</v>
      </c>
      <c r="H1455" s="17"/>
      <c r="I1455" s="4">
        <f t="shared" si="30"/>
        <v>349526.07999999996</v>
      </c>
      <c r="J1455" s="32" t="str">
        <f t="shared" si="31"/>
        <v/>
      </c>
      <c r="K1455" s="79"/>
      <c r="L1455" s="79"/>
      <c r="M1455" s="2"/>
      <c r="N1455" s="5"/>
      <c r="O1455" s="3"/>
      <c r="P1455" s="6"/>
      <c r="Q1455" s="6"/>
    </row>
    <row r="1456" spans="1:17" ht="15" customHeight="1" x14ac:dyDescent="0.25">
      <c r="A1456" s="1"/>
      <c r="B1456" s="17"/>
      <c r="C1456" s="17"/>
      <c r="D1456" s="17"/>
      <c r="E1456" s="17"/>
      <c r="F1456" s="17"/>
      <c r="G1456" s="4">
        <f t="shared" si="32"/>
        <v>0</v>
      </c>
      <c r="H1456" s="17"/>
      <c r="I1456" s="4">
        <f t="shared" si="30"/>
        <v>349526.07999999996</v>
      </c>
      <c r="J1456" s="32" t="str">
        <f t="shared" si="31"/>
        <v/>
      </c>
      <c r="K1456" s="79"/>
      <c r="L1456" s="79"/>
      <c r="M1456" s="2"/>
      <c r="N1456" s="5"/>
      <c r="O1456" s="3"/>
      <c r="P1456" s="6"/>
      <c r="Q1456" s="6"/>
    </row>
    <row r="1457" spans="1:17" ht="15" customHeight="1" x14ac:dyDescent="0.25">
      <c r="A1457" s="1"/>
      <c r="B1457" s="17"/>
      <c r="C1457" s="17"/>
      <c r="D1457" s="17"/>
      <c r="E1457" s="17"/>
      <c r="F1457" s="17"/>
      <c r="G1457" s="4">
        <f t="shared" si="32"/>
        <v>0</v>
      </c>
      <c r="H1457" s="17"/>
      <c r="I1457" s="4">
        <f t="shared" si="30"/>
        <v>349526.07999999996</v>
      </c>
      <c r="J1457" s="32" t="str">
        <f t="shared" si="31"/>
        <v/>
      </c>
      <c r="K1457" s="79"/>
      <c r="L1457" s="79"/>
      <c r="M1457" s="2"/>
      <c r="N1457" s="5"/>
      <c r="O1457" s="3"/>
      <c r="P1457" s="6"/>
      <c r="Q1457" s="6"/>
    </row>
    <row r="1458" spans="1:17" ht="15" customHeight="1" x14ac:dyDescent="0.25">
      <c r="A1458" s="1"/>
      <c r="B1458" s="17"/>
      <c r="C1458" s="17"/>
      <c r="D1458" s="17"/>
      <c r="E1458" s="17"/>
      <c r="F1458" s="17"/>
      <c r="G1458" s="4">
        <f t="shared" si="32"/>
        <v>0</v>
      </c>
      <c r="H1458" s="17"/>
      <c r="I1458" s="4">
        <f t="shared" si="30"/>
        <v>349526.07999999996</v>
      </c>
      <c r="J1458" s="32" t="str">
        <f t="shared" si="31"/>
        <v/>
      </c>
      <c r="K1458" s="79"/>
      <c r="L1458" s="79"/>
      <c r="M1458" s="2"/>
      <c r="N1458" s="5"/>
      <c r="O1458" s="3"/>
      <c r="P1458" s="6"/>
      <c r="Q1458" s="6"/>
    </row>
    <row r="1459" spans="1:17" ht="15" customHeight="1" x14ac:dyDescent="0.25">
      <c r="A1459" s="1"/>
      <c r="B1459" s="17"/>
      <c r="C1459" s="17"/>
      <c r="D1459" s="17"/>
      <c r="E1459" s="17"/>
      <c r="F1459" s="17"/>
      <c r="G1459" s="4">
        <f t="shared" si="32"/>
        <v>0</v>
      </c>
      <c r="H1459" s="17"/>
      <c r="I1459" s="4">
        <f t="shared" si="30"/>
        <v>349526.07999999996</v>
      </c>
      <c r="J1459" s="32" t="str">
        <f t="shared" si="31"/>
        <v/>
      </c>
      <c r="K1459" s="79"/>
      <c r="L1459" s="79"/>
      <c r="M1459" s="2"/>
      <c r="N1459" s="5"/>
      <c r="O1459" s="3"/>
      <c r="P1459" s="6"/>
      <c r="Q1459" s="6"/>
    </row>
    <row r="1460" spans="1:17" ht="15" customHeight="1" x14ac:dyDescent="0.25">
      <c r="A1460" s="1"/>
      <c r="B1460" s="17"/>
      <c r="C1460" s="17"/>
      <c r="D1460" s="17"/>
      <c r="E1460" s="17"/>
      <c r="F1460" s="17"/>
      <c r="G1460" s="4">
        <f t="shared" si="32"/>
        <v>0</v>
      </c>
      <c r="H1460" s="17"/>
      <c r="I1460" s="4">
        <f t="shared" si="30"/>
        <v>349526.07999999996</v>
      </c>
      <c r="J1460" s="32" t="str">
        <f t="shared" si="31"/>
        <v/>
      </c>
      <c r="K1460" s="79"/>
      <c r="L1460" s="79"/>
      <c r="M1460" s="2"/>
      <c r="N1460" s="5"/>
      <c r="O1460" s="3"/>
      <c r="P1460" s="6"/>
      <c r="Q1460" s="6"/>
    </row>
    <row r="1461" spans="1:17" ht="15" customHeight="1" x14ac:dyDescent="0.25">
      <c r="A1461" s="1"/>
      <c r="B1461" s="17"/>
      <c r="C1461" s="17"/>
      <c r="D1461" s="17"/>
      <c r="E1461" s="17"/>
      <c r="F1461" s="17"/>
      <c r="G1461" s="4">
        <f t="shared" si="32"/>
        <v>0</v>
      </c>
      <c r="H1461" s="17"/>
      <c r="I1461" s="4">
        <f t="shared" si="30"/>
        <v>349526.07999999996</v>
      </c>
      <c r="J1461" s="32" t="str">
        <f t="shared" si="31"/>
        <v/>
      </c>
      <c r="K1461" s="79"/>
      <c r="L1461" s="79"/>
      <c r="M1461" s="2"/>
      <c r="N1461" s="5"/>
      <c r="O1461" s="3"/>
      <c r="P1461" s="6"/>
      <c r="Q1461" s="6"/>
    </row>
    <row r="1462" spans="1:17" ht="15" customHeight="1" x14ac:dyDescent="0.25">
      <c r="A1462" s="1"/>
      <c r="B1462" s="17"/>
      <c r="C1462" s="17"/>
      <c r="D1462" s="17"/>
      <c r="E1462" s="17"/>
      <c r="F1462" s="17"/>
      <c r="G1462" s="4">
        <f t="shared" si="32"/>
        <v>0</v>
      </c>
      <c r="H1462" s="17"/>
      <c r="I1462" s="4">
        <f t="shared" ref="I1462:I1525" si="33">$I1461+$G1462-$H1462</f>
        <v>349526.07999999996</v>
      </c>
      <c r="J1462" s="32" t="str">
        <f t="shared" ref="J1462:J1525" si="34">IF($A1463&lt;&gt;$A1462,$I1462,"")</f>
        <v/>
      </c>
      <c r="K1462" s="79"/>
      <c r="L1462" s="79"/>
      <c r="M1462" s="2"/>
      <c r="N1462" s="5"/>
      <c r="O1462" s="3"/>
      <c r="P1462" s="6"/>
      <c r="Q1462" s="6"/>
    </row>
    <row r="1463" spans="1:17" ht="15" customHeight="1" x14ac:dyDescent="0.25">
      <c r="A1463" s="1"/>
      <c r="B1463" s="17"/>
      <c r="C1463" s="17"/>
      <c r="D1463" s="17"/>
      <c r="E1463" s="17"/>
      <c r="F1463" s="17"/>
      <c r="G1463" s="4">
        <f t="shared" si="32"/>
        <v>0</v>
      </c>
      <c r="H1463" s="17"/>
      <c r="I1463" s="4">
        <f t="shared" si="33"/>
        <v>349526.07999999996</v>
      </c>
      <c r="J1463" s="32" t="str">
        <f t="shared" si="34"/>
        <v/>
      </c>
      <c r="K1463" s="79"/>
      <c r="L1463" s="79"/>
      <c r="M1463" s="2"/>
      <c r="N1463" s="5"/>
      <c r="O1463" s="3"/>
      <c r="P1463" s="6"/>
      <c r="Q1463" s="6"/>
    </row>
    <row r="1464" spans="1:17" ht="15" customHeight="1" x14ac:dyDescent="0.25">
      <c r="A1464" s="1"/>
      <c r="B1464" s="17"/>
      <c r="C1464" s="17"/>
      <c r="D1464" s="17"/>
      <c r="E1464" s="17"/>
      <c r="F1464" s="17"/>
      <c r="G1464" s="4">
        <f t="shared" si="32"/>
        <v>0</v>
      </c>
      <c r="H1464" s="17"/>
      <c r="I1464" s="4">
        <f t="shared" si="33"/>
        <v>349526.07999999996</v>
      </c>
      <c r="J1464" s="32" t="str">
        <f t="shared" si="34"/>
        <v/>
      </c>
      <c r="K1464" s="79"/>
      <c r="L1464" s="79"/>
      <c r="M1464" s="2"/>
      <c r="N1464" s="5"/>
      <c r="O1464" s="3"/>
      <c r="P1464" s="6"/>
      <c r="Q1464" s="6"/>
    </row>
    <row r="1465" spans="1:17" ht="15" customHeight="1" x14ac:dyDescent="0.25">
      <c r="A1465" s="1"/>
      <c r="B1465" s="17"/>
      <c r="C1465" s="17"/>
      <c r="D1465" s="17"/>
      <c r="E1465" s="17"/>
      <c r="F1465" s="17"/>
      <c r="G1465" s="4">
        <f t="shared" si="32"/>
        <v>0</v>
      </c>
      <c r="H1465" s="17"/>
      <c r="I1465" s="4">
        <f t="shared" si="33"/>
        <v>349526.07999999996</v>
      </c>
      <c r="J1465" s="32" t="str">
        <f t="shared" si="34"/>
        <v/>
      </c>
      <c r="K1465" s="79"/>
      <c r="L1465" s="79"/>
      <c r="M1465" s="2"/>
      <c r="N1465" s="5"/>
      <c r="O1465" s="3"/>
      <c r="P1465" s="6"/>
      <c r="Q1465" s="6"/>
    </row>
    <row r="1466" spans="1:17" ht="15" customHeight="1" x14ac:dyDescent="0.25">
      <c r="A1466" s="1"/>
      <c r="B1466" s="17"/>
      <c r="C1466" s="17"/>
      <c r="D1466" s="17"/>
      <c r="E1466" s="17"/>
      <c r="F1466" s="17"/>
      <c r="G1466" s="4">
        <f t="shared" si="32"/>
        <v>0</v>
      </c>
      <c r="H1466" s="17"/>
      <c r="I1466" s="4">
        <f t="shared" si="33"/>
        <v>349526.07999999996</v>
      </c>
      <c r="J1466" s="32" t="str">
        <f t="shared" si="34"/>
        <v/>
      </c>
      <c r="K1466" s="79"/>
      <c r="L1466" s="79"/>
      <c r="M1466" s="2"/>
      <c r="N1466" s="5"/>
      <c r="O1466" s="3"/>
      <c r="P1466" s="6"/>
      <c r="Q1466" s="6"/>
    </row>
    <row r="1467" spans="1:17" ht="15" customHeight="1" x14ac:dyDescent="0.25">
      <c r="A1467" s="1"/>
      <c r="B1467" s="17"/>
      <c r="C1467" s="17"/>
      <c r="D1467" s="17"/>
      <c r="E1467" s="17"/>
      <c r="F1467" s="17"/>
      <c r="G1467" s="4">
        <f t="shared" si="32"/>
        <v>0</v>
      </c>
      <c r="H1467" s="17"/>
      <c r="I1467" s="4">
        <f t="shared" si="33"/>
        <v>349526.07999999996</v>
      </c>
      <c r="J1467" s="32" t="str">
        <f t="shared" si="34"/>
        <v/>
      </c>
      <c r="K1467" s="79"/>
      <c r="L1467" s="79"/>
      <c r="M1467" s="2"/>
      <c r="N1467" s="5"/>
      <c r="O1467" s="3"/>
      <c r="P1467" s="6"/>
      <c r="Q1467" s="6"/>
    </row>
    <row r="1468" spans="1:17" ht="15" customHeight="1" x14ac:dyDescent="0.25">
      <c r="A1468" s="1"/>
      <c r="B1468" s="17"/>
      <c r="C1468" s="17"/>
      <c r="D1468" s="17"/>
      <c r="E1468" s="17"/>
      <c r="F1468" s="17"/>
      <c r="G1468" s="4">
        <f t="shared" si="32"/>
        <v>0</v>
      </c>
      <c r="H1468" s="17"/>
      <c r="I1468" s="4">
        <f t="shared" si="33"/>
        <v>349526.07999999996</v>
      </c>
      <c r="J1468" s="32" t="str">
        <f t="shared" si="34"/>
        <v/>
      </c>
      <c r="K1468" s="79"/>
      <c r="L1468" s="79"/>
      <c r="M1468" s="2"/>
      <c r="N1468" s="5"/>
      <c r="O1468" s="3"/>
      <c r="P1468" s="6"/>
      <c r="Q1468" s="6"/>
    </row>
    <row r="1469" spans="1:17" ht="15" customHeight="1" x14ac:dyDescent="0.25">
      <c r="A1469" s="1"/>
      <c r="B1469" s="17"/>
      <c r="C1469" s="17"/>
      <c r="D1469" s="17"/>
      <c r="E1469" s="17"/>
      <c r="F1469" s="17"/>
      <c r="G1469" s="4">
        <f t="shared" si="32"/>
        <v>0</v>
      </c>
      <c r="H1469" s="17"/>
      <c r="I1469" s="4">
        <f t="shared" si="33"/>
        <v>349526.07999999996</v>
      </c>
      <c r="J1469" s="32" t="str">
        <f t="shared" si="34"/>
        <v/>
      </c>
      <c r="K1469" s="79"/>
      <c r="L1469" s="79"/>
      <c r="M1469" s="2"/>
      <c r="N1469" s="5"/>
      <c r="O1469" s="3"/>
      <c r="P1469" s="6"/>
      <c r="Q1469" s="6"/>
    </row>
    <row r="1470" spans="1:17" ht="15" customHeight="1" x14ac:dyDescent="0.25">
      <c r="A1470" s="1"/>
      <c r="B1470" s="17"/>
      <c r="C1470" s="17"/>
      <c r="D1470" s="17"/>
      <c r="E1470" s="17"/>
      <c r="F1470" s="17"/>
      <c r="G1470" s="4">
        <f t="shared" si="32"/>
        <v>0</v>
      </c>
      <c r="H1470" s="17"/>
      <c r="I1470" s="4">
        <f t="shared" si="33"/>
        <v>349526.07999999996</v>
      </c>
      <c r="J1470" s="32" t="str">
        <f t="shared" si="34"/>
        <v/>
      </c>
      <c r="K1470" s="79"/>
      <c r="L1470" s="79"/>
      <c r="M1470" s="2"/>
      <c r="N1470" s="5"/>
      <c r="O1470" s="3"/>
      <c r="P1470" s="6"/>
      <c r="Q1470" s="6"/>
    </row>
    <row r="1471" spans="1:17" ht="15" customHeight="1" x14ac:dyDescent="0.25">
      <c r="A1471" s="1"/>
      <c r="B1471" s="17"/>
      <c r="C1471" s="17"/>
      <c r="D1471" s="17"/>
      <c r="E1471" s="17"/>
      <c r="F1471" s="17"/>
      <c r="G1471" s="4">
        <f t="shared" si="32"/>
        <v>0</v>
      </c>
      <c r="H1471" s="17"/>
      <c r="I1471" s="4">
        <f t="shared" si="33"/>
        <v>349526.07999999996</v>
      </c>
      <c r="J1471" s="32" t="str">
        <f t="shared" si="34"/>
        <v/>
      </c>
      <c r="K1471" s="79"/>
      <c r="L1471" s="79"/>
      <c r="M1471" s="2"/>
      <c r="N1471" s="5"/>
      <c r="O1471" s="3"/>
      <c r="P1471" s="6"/>
      <c r="Q1471" s="6"/>
    </row>
    <row r="1472" spans="1:17" ht="15" customHeight="1" x14ac:dyDescent="0.25">
      <c r="A1472" s="1"/>
      <c r="B1472" s="17"/>
      <c r="C1472" s="17"/>
      <c r="D1472" s="17"/>
      <c r="E1472" s="17"/>
      <c r="F1472" s="17"/>
      <c r="G1472" s="4">
        <f t="shared" si="32"/>
        <v>0</v>
      </c>
      <c r="H1472" s="17"/>
      <c r="I1472" s="4">
        <f t="shared" si="33"/>
        <v>349526.07999999996</v>
      </c>
      <c r="J1472" s="32" t="str">
        <f t="shared" si="34"/>
        <v/>
      </c>
      <c r="K1472" s="79"/>
      <c r="L1472" s="79"/>
      <c r="M1472" s="2"/>
      <c r="N1472" s="5"/>
      <c r="O1472" s="3"/>
      <c r="P1472" s="6"/>
      <c r="Q1472" s="6"/>
    </row>
    <row r="1473" spans="1:17" ht="15" customHeight="1" x14ac:dyDescent="0.25">
      <c r="A1473" s="1"/>
      <c r="B1473" s="17"/>
      <c r="C1473" s="17"/>
      <c r="D1473" s="17"/>
      <c r="E1473" s="17"/>
      <c r="F1473" s="17"/>
      <c r="G1473" s="4">
        <f t="shared" si="32"/>
        <v>0</v>
      </c>
      <c r="H1473" s="17"/>
      <c r="I1473" s="4">
        <f t="shared" si="33"/>
        <v>349526.07999999996</v>
      </c>
      <c r="J1473" s="32" t="str">
        <f t="shared" si="34"/>
        <v/>
      </c>
      <c r="K1473" s="79"/>
      <c r="L1473" s="79"/>
      <c r="M1473" s="2"/>
      <c r="N1473" s="5"/>
      <c r="O1473" s="3"/>
      <c r="P1473" s="6"/>
      <c r="Q1473" s="6"/>
    </row>
    <row r="1474" spans="1:17" ht="15" customHeight="1" x14ac:dyDescent="0.25">
      <c r="A1474" s="1"/>
      <c r="B1474" s="17"/>
      <c r="C1474" s="17"/>
      <c r="D1474" s="17"/>
      <c r="E1474" s="17"/>
      <c r="F1474" s="17"/>
      <c r="G1474" s="4">
        <f t="shared" si="32"/>
        <v>0</v>
      </c>
      <c r="H1474" s="17"/>
      <c r="I1474" s="4">
        <f t="shared" si="33"/>
        <v>349526.07999999996</v>
      </c>
      <c r="J1474" s="32" t="str">
        <f t="shared" si="34"/>
        <v/>
      </c>
      <c r="K1474" s="79"/>
      <c r="L1474" s="79"/>
      <c r="M1474" s="2"/>
      <c r="N1474" s="5"/>
      <c r="O1474" s="3"/>
      <c r="P1474" s="6"/>
      <c r="Q1474" s="6"/>
    </row>
    <row r="1475" spans="1:17" ht="15" customHeight="1" x14ac:dyDescent="0.25">
      <c r="A1475" s="1"/>
      <c r="B1475" s="17"/>
      <c r="C1475" s="17"/>
      <c r="D1475" s="17"/>
      <c r="E1475" s="17"/>
      <c r="F1475" s="17"/>
      <c r="G1475" s="4">
        <f t="shared" ref="G1475:G1538" si="35">SUM($B1475:$F1475)</f>
        <v>0</v>
      </c>
      <c r="H1475" s="17"/>
      <c r="I1475" s="4">
        <f t="shared" si="33"/>
        <v>349526.07999999996</v>
      </c>
      <c r="J1475" s="32" t="str">
        <f t="shared" si="34"/>
        <v/>
      </c>
      <c r="K1475" s="79"/>
      <c r="L1475" s="79"/>
      <c r="M1475" s="2"/>
      <c r="N1475" s="5"/>
      <c r="O1475" s="3"/>
      <c r="P1475" s="6"/>
      <c r="Q1475" s="6"/>
    </row>
    <row r="1476" spans="1:17" ht="15" customHeight="1" x14ac:dyDescent="0.25">
      <c r="A1476" s="1"/>
      <c r="B1476" s="17"/>
      <c r="C1476" s="17"/>
      <c r="D1476" s="17"/>
      <c r="E1476" s="17"/>
      <c r="F1476" s="17"/>
      <c r="G1476" s="4">
        <f t="shared" si="35"/>
        <v>0</v>
      </c>
      <c r="H1476" s="17"/>
      <c r="I1476" s="4">
        <f t="shared" si="33"/>
        <v>349526.07999999996</v>
      </c>
      <c r="J1476" s="32" t="str">
        <f t="shared" si="34"/>
        <v/>
      </c>
      <c r="K1476" s="79"/>
      <c r="L1476" s="79"/>
      <c r="M1476" s="2"/>
      <c r="N1476" s="5"/>
      <c r="O1476" s="3"/>
      <c r="P1476" s="6"/>
      <c r="Q1476" s="6"/>
    </row>
    <row r="1477" spans="1:17" ht="15" customHeight="1" x14ac:dyDescent="0.25">
      <c r="A1477" s="1"/>
      <c r="B1477" s="17"/>
      <c r="C1477" s="17"/>
      <c r="D1477" s="17"/>
      <c r="E1477" s="17"/>
      <c r="F1477" s="17"/>
      <c r="G1477" s="4">
        <f t="shared" si="35"/>
        <v>0</v>
      </c>
      <c r="H1477" s="17"/>
      <c r="I1477" s="4">
        <f t="shared" si="33"/>
        <v>349526.07999999996</v>
      </c>
      <c r="J1477" s="32" t="str">
        <f t="shared" si="34"/>
        <v/>
      </c>
      <c r="K1477" s="79"/>
      <c r="L1477" s="79"/>
      <c r="M1477" s="2"/>
      <c r="N1477" s="5"/>
      <c r="O1477" s="3"/>
      <c r="P1477" s="6"/>
      <c r="Q1477" s="6"/>
    </row>
    <row r="1478" spans="1:17" ht="15" customHeight="1" x14ac:dyDescent="0.25">
      <c r="A1478" s="1"/>
      <c r="B1478" s="17"/>
      <c r="C1478" s="17"/>
      <c r="D1478" s="17"/>
      <c r="E1478" s="17"/>
      <c r="F1478" s="17"/>
      <c r="G1478" s="4">
        <f t="shared" si="35"/>
        <v>0</v>
      </c>
      <c r="H1478" s="17"/>
      <c r="I1478" s="4">
        <f t="shared" si="33"/>
        <v>349526.07999999996</v>
      </c>
      <c r="J1478" s="32" t="str">
        <f t="shared" si="34"/>
        <v/>
      </c>
      <c r="K1478" s="79"/>
      <c r="L1478" s="79"/>
      <c r="M1478" s="2"/>
      <c r="N1478" s="5"/>
      <c r="O1478" s="3"/>
      <c r="P1478" s="6"/>
      <c r="Q1478" s="6"/>
    </row>
    <row r="1479" spans="1:17" ht="15" customHeight="1" x14ac:dyDescent="0.25">
      <c r="A1479" s="1"/>
      <c r="B1479" s="17"/>
      <c r="C1479" s="17"/>
      <c r="D1479" s="17"/>
      <c r="E1479" s="17"/>
      <c r="F1479" s="17"/>
      <c r="G1479" s="4">
        <f t="shared" si="35"/>
        <v>0</v>
      </c>
      <c r="H1479" s="17"/>
      <c r="I1479" s="4">
        <f t="shared" si="33"/>
        <v>349526.07999999996</v>
      </c>
      <c r="J1479" s="32" t="str">
        <f t="shared" si="34"/>
        <v/>
      </c>
      <c r="K1479" s="79"/>
      <c r="L1479" s="79"/>
      <c r="M1479" s="2"/>
      <c r="N1479" s="5"/>
      <c r="O1479" s="3"/>
      <c r="P1479" s="6"/>
      <c r="Q1479" s="6"/>
    </row>
    <row r="1480" spans="1:17" ht="15" customHeight="1" x14ac:dyDescent="0.25">
      <c r="A1480" s="1"/>
      <c r="B1480" s="17"/>
      <c r="C1480" s="17"/>
      <c r="D1480" s="17"/>
      <c r="E1480" s="17"/>
      <c r="F1480" s="17"/>
      <c r="G1480" s="4">
        <f t="shared" si="35"/>
        <v>0</v>
      </c>
      <c r="H1480" s="17"/>
      <c r="I1480" s="4">
        <f t="shared" si="33"/>
        <v>349526.07999999996</v>
      </c>
      <c r="J1480" s="32" t="str">
        <f t="shared" si="34"/>
        <v/>
      </c>
      <c r="K1480" s="79"/>
      <c r="L1480" s="79"/>
      <c r="M1480" s="2"/>
      <c r="N1480" s="5"/>
      <c r="O1480" s="3"/>
      <c r="P1480" s="6"/>
      <c r="Q1480" s="6"/>
    </row>
    <row r="1481" spans="1:17" ht="15" customHeight="1" x14ac:dyDescent="0.25">
      <c r="A1481" s="1"/>
      <c r="B1481" s="17"/>
      <c r="C1481" s="17"/>
      <c r="D1481" s="17"/>
      <c r="E1481" s="17"/>
      <c r="F1481" s="17"/>
      <c r="G1481" s="4">
        <f t="shared" si="35"/>
        <v>0</v>
      </c>
      <c r="H1481" s="17"/>
      <c r="I1481" s="4">
        <f t="shared" si="33"/>
        <v>349526.07999999996</v>
      </c>
      <c r="J1481" s="32" t="str">
        <f t="shared" si="34"/>
        <v/>
      </c>
      <c r="K1481" s="79"/>
      <c r="L1481" s="79"/>
      <c r="M1481" s="2"/>
      <c r="N1481" s="5"/>
      <c r="O1481" s="3"/>
      <c r="P1481" s="6"/>
      <c r="Q1481" s="6"/>
    </row>
    <row r="1482" spans="1:17" ht="15" customHeight="1" x14ac:dyDescent="0.25">
      <c r="A1482" s="1"/>
      <c r="B1482" s="17"/>
      <c r="C1482" s="17"/>
      <c r="D1482" s="17"/>
      <c r="E1482" s="17"/>
      <c r="F1482" s="17"/>
      <c r="G1482" s="4">
        <f t="shared" si="35"/>
        <v>0</v>
      </c>
      <c r="H1482" s="17"/>
      <c r="I1482" s="4">
        <f t="shared" si="33"/>
        <v>349526.07999999996</v>
      </c>
      <c r="J1482" s="32" t="str">
        <f t="shared" si="34"/>
        <v/>
      </c>
      <c r="K1482" s="79"/>
      <c r="L1482" s="79"/>
      <c r="M1482" s="2"/>
      <c r="N1482" s="5"/>
      <c r="O1482" s="3"/>
      <c r="P1482" s="6"/>
      <c r="Q1482" s="6"/>
    </row>
    <row r="1483" spans="1:17" ht="15" customHeight="1" x14ac:dyDescent="0.25">
      <c r="A1483" s="1"/>
      <c r="B1483" s="17"/>
      <c r="C1483" s="17"/>
      <c r="D1483" s="17"/>
      <c r="E1483" s="17"/>
      <c r="F1483" s="17"/>
      <c r="G1483" s="4">
        <f t="shared" si="35"/>
        <v>0</v>
      </c>
      <c r="H1483" s="17"/>
      <c r="I1483" s="4">
        <f t="shared" si="33"/>
        <v>349526.07999999996</v>
      </c>
      <c r="J1483" s="32" t="str">
        <f t="shared" si="34"/>
        <v/>
      </c>
      <c r="K1483" s="79"/>
      <c r="L1483" s="79"/>
      <c r="M1483" s="2"/>
      <c r="N1483" s="5"/>
      <c r="O1483" s="3"/>
      <c r="P1483" s="6"/>
      <c r="Q1483" s="6"/>
    </row>
    <row r="1484" spans="1:17" ht="15" customHeight="1" x14ac:dyDescent="0.25">
      <c r="A1484" s="1"/>
      <c r="B1484" s="17"/>
      <c r="C1484" s="17"/>
      <c r="D1484" s="17"/>
      <c r="E1484" s="17"/>
      <c r="F1484" s="17"/>
      <c r="G1484" s="4">
        <f t="shared" si="35"/>
        <v>0</v>
      </c>
      <c r="H1484" s="17"/>
      <c r="I1484" s="4">
        <f t="shared" si="33"/>
        <v>349526.07999999996</v>
      </c>
      <c r="J1484" s="32" t="str">
        <f t="shared" si="34"/>
        <v/>
      </c>
      <c r="K1484" s="79"/>
      <c r="L1484" s="79"/>
      <c r="M1484" s="2"/>
      <c r="N1484" s="5"/>
      <c r="O1484" s="3"/>
      <c r="P1484" s="6"/>
      <c r="Q1484" s="6"/>
    </row>
    <row r="1485" spans="1:17" ht="15" customHeight="1" x14ac:dyDescent="0.25">
      <c r="A1485" s="1"/>
      <c r="B1485" s="17"/>
      <c r="C1485" s="17"/>
      <c r="D1485" s="17"/>
      <c r="E1485" s="17"/>
      <c r="F1485" s="17"/>
      <c r="G1485" s="4">
        <f t="shared" si="35"/>
        <v>0</v>
      </c>
      <c r="H1485" s="17"/>
      <c r="I1485" s="4">
        <f t="shared" si="33"/>
        <v>349526.07999999996</v>
      </c>
      <c r="J1485" s="32" t="str">
        <f t="shared" si="34"/>
        <v/>
      </c>
      <c r="K1485" s="79"/>
      <c r="L1485" s="79"/>
      <c r="M1485" s="2"/>
      <c r="N1485" s="5"/>
      <c r="O1485" s="3"/>
      <c r="P1485" s="6"/>
      <c r="Q1485" s="6"/>
    </row>
    <row r="1486" spans="1:17" ht="15" customHeight="1" x14ac:dyDescent="0.25">
      <c r="A1486" s="1"/>
      <c r="B1486" s="17"/>
      <c r="C1486" s="17"/>
      <c r="D1486" s="17"/>
      <c r="E1486" s="17"/>
      <c r="F1486" s="17"/>
      <c r="G1486" s="4">
        <f t="shared" si="35"/>
        <v>0</v>
      </c>
      <c r="H1486" s="17"/>
      <c r="I1486" s="4">
        <f t="shared" si="33"/>
        <v>349526.07999999996</v>
      </c>
      <c r="J1486" s="32" t="str">
        <f t="shared" si="34"/>
        <v/>
      </c>
      <c r="K1486" s="79"/>
      <c r="L1486" s="79"/>
      <c r="M1486" s="2"/>
      <c r="N1486" s="5"/>
      <c r="O1486" s="3"/>
      <c r="P1486" s="6"/>
      <c r="Q1486" s="6"/>
    </row>
    <row r="1487" spans="1:17" ht="15" customHeight="1" x14ac:dyDescent="0.25">
      <c r="A1487" s="1"/>
      <c r="B1487" s="17"/>
      <c r="C1487" s="17"/>
      <c r="D1487" s="17"/>
      <c r="E1487" s="17"/>
      <c r="F1487" s="17"/>
      <c r="G1487" s="4">
        <f t="shared" si="35"/>
        <v>0</v>
      </c>
      <c r="H1487" s="17"/>
      <c r="I1487" s="4">
        <f t="shared" si="33"/>
        <v>349526.07999999996</v>
      </c>
      <c r="J1487" s="32" t="str">
        <f t="shared" si="34"/>
        <v/>
      </c>
      <c r="K1487" s="79"/>
      <c r="L1487" s="79"/>
      <c r="M1487" s="2"/>
      <c r="N1487" s="5"/>
      <c r="O1487" s="3"/>
      <c r="P1487" s="6"/>
      <c r="Q1487" s="6"/>
    </row>
    <row r="1488" spans="1:17" ht="15" customHeight="1" x14ac:dyDescent="0.25">
      <c r="A1488" s="1"/>
      <c r="B1488" s="17"/>
      <c r="C1488" s="17"/>
      <c r="D1488" s="17"/>
      <c r="E1488" s="17"/>
      <c r="F1488" s="17"/>
      <c r="G1488" s="4">
        <f t="shared" si="35"/>
        <v>0</v>
      </c>
      <c r="H1488" s="17"/>
      <c r="I1488" s="4">
        <f t="shared" si="33"/>
        <v>349526.07999999996</v>
      </c>
      <c r="J1488" s="32" t="str">
        <f t="shared" si="34"/>
        <v/>
      </c>
      <c r="K1488" s="79"/>
      <c r="L1488" s="79"/>
      <c r="M1488" s="2"/>
      <c r="N1488" s="5"/>
      <c r="O1488" s="3"/>
      <c r="P1488" s="6"/>
      <c r="Q1488" s="6"/>
    </row>
    <row r="1489" spans="1:17" ht="15" customHeight="1" x14ac:dyDescent="0.25">
      <c r="A1489" s="1"/>
      <c r="B1489" s="17"/>
      <c r="C1489" s="17"/>
      <c r="D1489" s="17"/>
      <c r="E1489" s="17"/>
      <c r="F1489" s="17"/>
      <c r="G1489" s="4">
        <f t="shared" si="35"/>
        <v>0</v>
      </c>
      <c r="H1489" s="17"/>
      <c r="I1489" s="4">
        <f t="shared" si="33"/>
        <v>349526.07999999996</v>
      </c>
      <c r="J1489" s="32" t="str">
        <f t="shared" si="34"/>
        <v/>
      </c>
      <c r="K1489" s="79"/>
      <c r="L1489" s="79"/>
      <c r="M1489" s="2"/>
      <c r="N1489" s="5"/>
      <c r="O1489" s="3"/>
      <c r="P1489" s="6"/>
      <c r="Q1489" s="6"/>
    </row>
    <row r="1490" spans="1:17" ht="15" customHeight="1" x14ac:dyDescent="0.25">
      <c r="A1490" s="1"/>
      <c r="B1490" s="17"/>
      <c r="C1490" s="17"/>
      <c r="D1490" s="17"/>
      <c r="E1490" s="17"/>
      <c r="F1490" s="17"/>
      <c r="G1490" s="4">
        <f t="shared" si="35"/>
        <v>0</v>
      </c>
      <c r="H1490" s="17"/>
      <c r="I1490" s="4">
        <f t="shared" si="33"/>
        <v>349526.07999999996</v>
      </c>
      <c r="J1490" s="32" t="str">
        <f t="shared" si="34"/>
        <v/>
      </c>
      <c r="K1490" s="79"/>
      <c r="L1490" s="79"/>
      <c r="M1490" s="2"/>
      <c r="N1490" s="5"/>
      <c r="O1490" s="3"/>
      <c r="P1490" s="6"/>
      <c r="Q1490" s="6"/>
    </row>
    <row r="1491" spans="1:17" ht="15" customHeight="1" x14ac:dyDescent="0.25">
      <c r="A1491" s="1"/>
      <c r="B1491" s="17"/>
      <c r="C1491" s="17"/>
      <c r="D1491" s="17"/>
      <c r="E1491" s="17"/>
      <c r="F1491" s="17"/>
      <c r="G1491" s="4">
        <f t="shared" si="35"/>
        <v>0</v>
      </c>
      <c r="H1491" s="17"/>
      <c r="I1491" s="4">
        <f t="shared" si="33"/>
        <v>349526.07999999996</v>
      </c>
      <c r="J1491" s="32" t="str">
        <f t="shared" si="34"/>
        <v/>
      </c>
      <c r="K1491" s="79"/>
      <c r="L1491" s="79"/>
      <c r="M1491" s="2"/>
      <c r="N1491" s="5"/>
      <c r="O1491" s="3"/>
      <c r="P1491" s="6"/>
      <c r="Q1491" s="6"/>
    </row>
    <row r="1492" spans="1:17" ht="15" customHeight="1" x14ac:dyDescent="0.25">
      <c r="A1492" s="1"/>
      <c r="B1492" s="17"/>
      <c r="C1492" s="17"/>
      <c r="D1492" s="17"/>
      <c r="E1492" s="17"/>
      <c r="F1492" s="17"/>
      <c r="G1492" s="4">
        <f t="shared" si="35"/>
        <v>0</v>
      </c>
      <c r="H1492" s="17"/>
      <c r="I1492" s="4">
        <f t="shared" si="33"/>
        <v>349526.07999999996</v>
      </c>
      <c r="J1492" s="32" t="str">
        <f t="shared" si="34"/>
        <v/>
      </c>
      <c r="K1492" s="79"/>
      <c r="L1492" s="79"/>
      <c r="M1492" s="2"/>
      <c r="N1492" s="5"/>
      <c r="O1492" s="3"/>
      <c r="P1492" s="6"/>
      <c r="Q1492" s="6"/>
    </row>
    <row r="1493" spans="1:17" ht="15" customHeight="1" x14ac:dyDescent="0.25">
      <c r="A1493" s="1"/>
      <c r="B1493" s="17"/>
      <c r="C1493" s="17"/>
      <c r="D1493" s="17"/>
      <c r="E1493" s="17"/>
      <c r="F1493" s="17"/>
      <c r="G1493" s="4">
        <f t="shared" si="35"/>
        <v>0</v>
      </c>
      <c r="H1493" s="17"/>
      <c r="I1493" s="4">
        <f t="shared" si="33"/>
        <v>349526.07999999996</v>
      </c>
      <c r="J1493" s="32" t="str">
        <f t="shared" si="34"/>
        <v/>
      </c>
      <c r="K1493" s="79"/>
      <c r="L1493" s="79"/>
      <c r="M1493" s="2"/>
      <c r="N1493" s="5"/>
      <c r="O1493" s="3"/>
      <c r="P1493" s="6"/>
      <c r="Q1493" s="6"/>
    </row>
    <row r="1494" spans="1:17" ht="15" customHeight="1" x14ac:dyDescent="0.25">
      <c r="A1494" s="1"/>
      <c r="B1494" s="17"/>
      <c r="C1494" s="17"/>
      <c r="D1494" s="17"/>
      <c r="E1494" s="17"/>
      <c r="F1494" s="17"/>
      <c r="G1494" s="4">
        <f t="shared" si="35"/>
        <v>0</v>
      </c>
      <c r="H1494" s="17"/>
      <c r="I1494" s="4">
        <f t="shared" si="33"/>
        <v>349526.07999999996</v>
      </c>
      <c r="J1494" s="32" t="str">
        <f t="shared" si="34"/>
        <v/>
      </c>
      <c r="K1494" s="79"/>
      <c r="L1494" s="79"/>
      <c r="M1494" s="2"/>
      <c r="N1494" s="5"/>
      <c r="O1494" s="3"/>
      <c r="P1494" s="6"/>
      <c r="Q1494" s="6"/>
    </row>
    <row r="1495" spans="1:17" ht="15" customHeight="1" x14ac:dyDescent="0.25">
      <c r="A1495" s="1"/>
      <c r="B1495" s="17"/>
      <c r="C1495" s="17"/>
      <c r="D1495" s="17"/>
      <c r="E1495" s="17"/>
      <c r="F1495" s="17"/>
      <c r="G1495" s="4">
        <f t="shared" si="35"/>
        <v>0</v>
      </c>
      <c r="H1495" s="17"/>
      <c r="I1495" s="4">
        <f t="shared" si="33"/>
        <v>349526.07999999996</v>
      </c>
      <c r="J1495" s="32" t="str">
        <f t="shared" si="34"/>
        <v/>
      </c>
      <c r="K1495" s="79"/>
      <c r="L1495" s="79"/>
      <c r="M1495" s="2"/>
      <c r="N1495" s="5"/>
      <c r="O1495" s="3"/>
      <c r="P1495" s="6"/>
      <c r="Q1495" s="6"/>
    </row>
    <row r="1496" spans="1:17" ht="15" customHeight="1" x14ac:dyDescent="0.25">
      <c r="A1496" s="1"/>
      <c r="B1496" s="17"/>
      <c r="C1496" s="17"/>
      <c r="D1496" s="17"/>
      <c r="E1496" s="17"/>
      <c r="F1496" s="17"/>
      <c r="G1496" s="4">
        <f t="shared" si="35"/>
        <v>0</v>
      </c>
      <c r="H1496" s="17"/>
      <c r="I1496" s="4">
        <f t="shared" si="33"/>
        <v>349526.07999999996</v>
      </c>
      <c r="J1496" s="32" t="str">
        <f t="shared" si="34"/>
        <v/>
      </c>
      <c r="K1496" s="79"/>
      <c r="L1496" s="79"/>
      <c r="M1496" s="2"/>
      <c r="N1496" s="5"/>
      <c r="O1496" s="3"/>
      <c r="P1496" s="6"/>
      <c r="Q1496" s="6"/>
    </row>
    <row r="1497" spans="1:17" ht="15" customHeight="1" x14ac:dyDescent="0.25">
      <c r="A1497" s="1"/>
      <c r="B1497" s="17"/>
      <c r="C1497" s="17"/>
      <c r="D1497" s="17"/>
      <c r="E1497" s="17"/>
      <c r="F1497" s="17"/>
      <c r="G1497" s="4">
        <f t="shared" si="35"/>
        <v>0</v>
      </c>
      <c r="H1497" s="17"/>
      <c r="I1497" s="4">
        <f t="shared" si="33"/>
        <v>349526.07999999996</v>
      </c>
      <c r="J1497" s="32" t="str">
        <f t="shared" si="34"/>
        <v/>
      </c>
      <c r="K1497" s="79"/>
      <c r="L1497" s="79"/>
      <c r="M1497" s="2"/>
      <c r="N1497" s="5"/>
      <c r="O1497" s="3"/>
      <c r="P1497" s="6"/>
      <c r="Q1497" s="6"/>
    </row>
    <row r="1498" spans="1:17" ht="15" customHeight="1" x14ac:dyDescent="0.25">
      <c r="A1498" s="1"/>
      <c r="B1498" s="17"/>
      <c r="C1498" s="17"/>
      <c r="D1498" s="17"/>
      <c r="E1498" s="17"/>
      <c r="F1498" s="17"/>
      <c r="G1498" s="4">
        <f t="shared" si="35"/>
        <v>0</v>
      </c>
      <c r="H1498" s="17"/>
      <c r="I1498" s="4">
        <f t="shared" si="33"/>
        <v>349526.07999999996</v>
      </c>
      <c r="J1498" s="32" t="str">
        <f t="shared" si="34"/>
        <v/>
      </c>
      <c r="K1498" s="79"/>
      <c r="L1498" s="79"/>
      <c r="M1498" s="2"/>
      <c r="N1498" s="5"/>
      <c r="O1498" s="3"/>
      <c r="P1498" s="6"/>
      <c r="Q1498" s="6"/>
    </row>
    <row r="1499" spans="1:17" ht="15" customHeight="1" x14ac:dyDescent="0.25">
      <c r="A1499" s="1"/>
      <c r="B1499" s="17"/>
      <c r="C1499" s="17"/>
      <c r="D1499" s="17"/>
      <c r="E1499" s="17"/>
      <c r="F1499" s="17"/>
      <c r="G1499" s="4">
        <f t="shared" si="35"/>
        <v>0</v>
      </c>
      <c r="H1499" s="17"/>
      <c r="I1499" s="4">
        <f t="shared" si="33"/>
        <v>349526.07999999996</v>
      </c>
      <c r="J1499" s="32" t="str">
        <f t="shared" si="34"/>
        <v/>
      </c>
      <c r="K1499" s="79"/>
      <c r="L1499" s="79"/>
      <c r="M1499" s="2"/>
      <c r="N1499" s="5"/>
      <c r="O1499" s="3"/>
      <c r="P1499" s="6"/>
      <c r="Q1499" s="6"/>
    </row>
    <row r="1500" spans="1:17" ht="15" customHeight="1" x14ac:dyDescent="0.25">
      <c r="A1500" s="1"/>
      <c r="B1500" s="17"/>
      <c r="C1500" s="17"/>
      <c r="D1500" s="17"/>
      <c r="E1500" s="17"/>
      <c r="F1500" s="17"/>
      <c r="G1500" s="4">
        <f t="shared" si="35"/>
        <v>0</v>
      </c>
      <c r="H1500" s="17"/>
      <c r="I1500" s="4">
        <f t="shared" si="33"/>
        <v>349526.07999999996</v>
      </c>
      <c r="J1500" s="32" t="str">
        <f t="shared" si="34"/>
        <v/>
      </c>
      <c r="K1500" s="79"/>
      <c r="L1500" s="79"/>
      <c r="M1500" s="2"/>
      <c r="N1500" s="5"/>
      <c r="O1500" s="3"/>
      <c r="P1500" s="6"/>
      <c r="Q1500" s="6"/>
    </row>
    <row r="1501" spans="1:17" ht="15" customHeight="1" x14ac:dyDescent="0.25">
      <c r="A1501" s="1"/>
      <c r="B1501" s="17"/>
      <c r="C1501" s="17"/>
      <c r="D1501" s="17"/>
      <c r="E1501" s="17"/>
      <c r="F1501" s="17"/>
      <c r="G1501" s="4">
        <f t="shared" si="35"/>
        <v>0</v>
      </c>
      <c r="H1501" s="17"/>
      <c r="I1501" s="4">
        <f t="shared" si="33"/>
        <v>349526.07999999996</v>
      </c>
      <c r="J1501" s="32" t="str">
        <f t="shared" si="34"/>
        <v/>
      </c>
      <c r="K1501" s="79"/>
      <c r="L1501" s="79"/>
      <c r="M1501" s="2"/>
      <c r="N1501" s="5"/>
      <c r="O1501" s="3"/>
      <c r="P1501" s="6"/>
      <c r="Q1501" s="6"/>
    </row>
    <row r="1502" spans="1:17" ht="15" customHeight="1" x14ac:dyDescent="0.25">
      <c r="A1502" s="1"/>
      <c r="B1502" s="17"/>
      <c r="C1502" s="17"/>
      <c r="D1502" s="17"/>
      <c r="E1502" s="17"/>
      <c r="F1502" s="17"/>
      <c r="G1502" s="4">
        <f t="shared" si="35"/>
        <v>0</v>
      </c>
      <c r="H1502" s="17"/>
      <c r="I1502" s="4">
        <f t="shared" si="33"/>
        <v>349526.07999999996</v>
      </c>
      <c r="J1502" s="32" t="str">
        <f t="shared" si="34"/>
        <v/>
      </c>
      <c r="K1502" s="79"/>
      <c r="L1502" s="79"/>
      <c r="M1502" s="2"/>
      <c r="N1502" s="5"/>
      <c r="O1502" s="3"/>
      <c r="P1502" s="6"/>
      <c r="Q1502" s="6"/>
    </row>
    <row r="1503" spans="1:17" ht="15" customHeight="1" x14ac:dyDescent="0.25">
      <c r="A1503" s="1"/>
      <c r="B1503" s="17"/>
      <c r="C1503" s="17"/>
      <c r="D1503" s="17"/>
      <c r="E1503" s="17"/>
      <c r="F1503" s="17"/>
      <c r="G1503" s="4">
        <f t="shared" si="35"/>
        <v>0</v>
      </c>
      <c r="H1503" s="17"/>
      <c r="I1503" s="4">
        <f t="shared" si="33"/>
        <v>349526.07999999996</v>
      </c>
      <c r="J1503" s="32" t="str">
        <f t="shared" si="34"/>
        <v/>
      </c>
      <c r="K1503" s="79"/>
      <c r="L1503" s="79"/>
      <c r="M1503" s="2"/>
      <c r="N1503" s="5"/>
      <c r="O1503" s="3"/>
      <c r="P1503" s="6"/>
      <c r="Q1503" s="6"/>
    </row>
    <row r="1504" spans="1:17" ht="15" customHeight="1" x14ac:dyDescent="0.25">
      <c r="A1504" s="1"/>
      <c r="B1504" s="17"/>
      <c r="C1504" s="17"/>
      <c r="D1504" s="17"/>
      <c r="E1504" s="17"/>
      <c r="F1504" s="17"/>
      <c r="G1504" s="4">
        <f t="shared" si="35"/>
        <v>0</v>
      </c>
      <c r="H1504" s="17"/>
      <c r="I1504" s="4">
        <f t="shared" si="33"/>
        <v>349526.07999999996</v>
      </c>
      <c r="J1504" s="32" t="str">
        <f t="shared" si="34"/>
        <v/>
      </c>
      <c r="K1504" s="79"/>
      <c r="L1504" s="79"/>
      <c r="M1504" s="2"/>
      <c r="N1504" s="5"/>
      <c r="O1504" s="3"/>
      <c r="P1504" s="6"/>
      <c r="Q1504" s="6"/>
    </row>
    <row r="1505" spans="1:17" ht="15" customHeight="1" x14ac:dyDescent="0.25">
      <c r="A1505" s="1"/>
      <c r="B1505" s="17"/>
      <c r="C1505" s="17"/>
      <c r="D1505" s="17"/>
      <c r="E1505" s="17"/>
      <c r="F1505" s="17"/>
      <c r="G1505" s="4">
        <f t="shared" si="35"/>
        <v>0</v>
      </c>
      <c r="H1505" s="17"/>
      <c r="I1505" s="4">
        <f t="shared" si="33"/>
        <v>349526.07999999996</v>
      </c>
      <c r="J1505" s="32" t="str">
        <f t="shared" si="34"/>
        <v/>
      </c>
      <c r="K1505" s="79"/>
      <c r="L1505" s="79"/>
      <c r="M1505" s="2"/>
      <c r="N1505" s="5"/>
      <c r="O1505" s="3"/>
      <c r="P1505" s="6"/>
      <c r="Q1505" s="6"/>
    </row>
    <row r="1506" spans="1:17" ht="15" customHeight="1" x14ac:dyDescent="0.25">
      <c r="A1506" s="1"/>
      <c r="B1506" s="17"/>
      <c r="C1506" s="17"/>
      <c r="D1506" s="17"/>
      <c r="E1506" s="17"/>
      <c r="F1506" s="17"/>
      <c r="G1506" s="4">
        <f t="shared" si="35"/>
        <v>0</v>
      </c>
      <c r="H1506" s="17"/>
      <c r="I1506" s="4">
        <f t="shared" si="33"/>
        <v>349526.07999999996</v>
      </c>
      <c r="J1506" s="32" t="str">
        <f t="shared" si="34"/>
        <v/>
      </c>
      <c r="K1506" s="79"/>
      <c r="L1506" s="79"/>
      <c r="M1506" s="2"/>
      <c r="N1506" s="5"/>
      <c r="O1506" s="3"/>
      <c r="P1506" s="6"/>
      <c r="Q1506" s="6"/>
    </row>
    <row r="1507" spans="1:17" ht="15" customHeight="1" x14ac:dyDescent="0.25">
      <c r="A1507" s="1"/>
      <c r="B1507" s="17"/>
      <c r="C1507" s="17"/>
      <c r="D1507" s="17"/>
      <c r="E1507" s="17"/>
      <c r="F1507" s="17"/>
      <c r="G1507" s="4">
        <f t="shared" si="35"/>
        <v>0</v>
      </c>
      <c r="H1507" s="17"/>
      <c r="I1507" s="4">
        <f t="shared" si="33"/>
        <v>349526.07999999996</v>
      </c>
      <c r="J1507" s="32" t="str">
        <f t="shared" si="34"/>
        <v/>
      </c>
      <c r="K1507" s="79"/>
      <c r="L1507" s="79"/>
      <c r="M1507" s="2"/>
      <c r="N1507" s="5"/>
      <c r="O1507" s="3"/>
      <c r="P1507" s="6"/>
      <c r="Q1507" s="6"/>
    </row>
    <row r="1508" spans="1:17" ht="15" customHeight="1" x14ac:dyDescent="0.25">
      <c r="A1508" s="1"/>
      <c r="B1508" s="17"/>
      <c r="C1508" s="17"/>
      <c r="D1508" s="17"/>
      <c r="E1508" s="17"/>
      <c r="F1508" s="17"/>
      <c r="G1508" s="4">
        <f t="shared" si="35"/>
        <v>0</v>
      </c>
      <c r="H1508" s="17"/>
      <c r="I1508" s="4">
        <f t="shared" si="33"/>
        <v>349526.07999999996</v>
      </c>
      <c r="J1508" s="32" t="str">
        <f t="shared" si="34"/>
        <v/>
      </c>
      <c r="K1508" s="79"/>
      <c r="L1508" s="79"/>
      <c r="M1508" s="2"/>
      <c r="N1508" s="5"/>
      <c r="O1508" s="3"/>
      <c r="P1508" s="6"/>
      <c r="Q1508" s="6"/>
    </row>
    <row r="1509" spans="1:17" ht="15" customHeight="1" x14ac:dyDescent="0.25">
      <c r="A1509" s="1"/>
      <c r="B1509" s="17"/>
      <c r="C1509" s="17"/>
      <c r="D1509" s="17"/>
      <c r="E1509" s="17"/>
      <c r="F1509" s="17"/>
      <c r="G1509" s="4">
        <f t="shared" si="35"/>
        <v>0</v>
      </c>
      <c r="H1509" s="17"/>
      <c r="I1509" s="4">
        <f t="shared" si="33"/>
        <v>349526.07999999996</v>
      </c>
      <c r="J1509" s="32" t="str">
        <f t="shared" si="34"/>
        <v/>
      </c>
      <c r="K1509" s="79"/>
      <c r="L1509" s="79"/>
      <c r="M1509" s="2"/>
      <c r="N1509" s="5"/>
      <c r="O1509" s="3"/>
      <c r="P1509" s="6"/>
      <c r="Q1509" s="6"/>
    </row>
    <row r="1510" spans="1:17" ht="15" customHeight="1" x14ac:dyDescent="0.25">
      <c r="A1510" s="1"/>
      <c r="B1510" s="17"/>
      <c r="C1510" s="17"/>
      <c r="D1510" s="17"/>
      <c r="E1510" s="17"/>
      <c r="F1510" s="17"/>
      <c r="G1510" s="4">
        <f t="shared" si="35"/>
        <v>0</v>
      </c>
      <c r="H1510" s="17"/>
      <c r="I1510" s="4">
        <f t="shared" si="33"/>
        <v>349526.07999999996</v>
      </c>
      <c r="J1510" s="32" t="str">
        <f t="shared" si="34"/>
        <v/>
      </c>
      <c r="K1510" s="79"/>
      <c r="L1510" s="79"/>
      <c r="M1510" s="2"/>
      <c r="N1510" s="5"/>
      <c r="O1510" s="3"/>
      <c r="P1510" s="6"/>
      <c r="Q1510" s="6"/>
    </row>
    <row r="1511" spans="1:17" ht="15" customHeight="1" x14ac:dyDescent="0.25">
      <c r="A1511" s="1"/>
      <c r="B1511" s="17"/>
      <c r="C1511" s="17"/>
      <c r="D1511" s="17"/>
      <c r="E1511" s="17"/>
      <c r="F1511" s="17"/>
      <c r="G1511" s="4">
        <f t="shared" si="35"/>
        <v>0</v>
      </c>
      <c r="H1511" s="17"/>
      <c r="I1511" s="4">
        <f t="shared" si="33"/>
        <v>349526.07999999996</v>
      </c>
      <c r="J1511" s="32" t="str">
        <f t="shared" si="34"/>
        <v/>
      </c>
      <c r="K1511" s="79"/>
      <c r="L1511" s="79"/>
      <c r="M1511" s="2"/>
      <c r="N1511" s="5"/>
      <c r="O1511" s="3"/>
      <c r="P1511" s="6"/>
      <c r="Q1511" s="6"/>
    </row>
    <row r="1512" spans="1:17" ht="15" customHeight="1" x14ac:dyDescent="0.25">
      <c r="A1512" s="1"/>
      <c r="B1512" s="17"/>
      <c r="C1512" s="17"/>
      <c r="D1512" s="17"/>
      <c r="E1512" s="17"/>
      <c r="F1512" s="17"/>
      <c r="G1512" s="4">
        <f t="shared" si="35"/>
        <v>0</v>
      </c>
      <c r="H1512" s="17"/>
      <c r="I1512" s="4">
        <f t="shared" si="33"/>
        <v>349526.07999999996</v>
      </c>
      <c r="J1512" s="32" t="str">
        <f t="shared" si="34"/>
        <v/>
      </c>
      <c r="K1512" s="79"/>
      <c r="L1512" s="79"/>
      <c r="M1512" s="2"/>
      <c r="N1512" s="5"/>
      <c r="O1512" s="3"/>
      <c r="P1512" s="6"/>
      <c r="Q1512" s="6"/>
    </row>
    <row r="1513" spans="1:17" ht="15" customHeight="1" x14ac:dyDescent="0.25">
      <c r="A1513" s="1"/>
      <c r="B1513" s="17"/>
      <c r="C1513" s="17"/>
      <c r="D1513" s="17"/>
      <c r="E1513" s="17"/>
      <c r="F1513" s="17"/>
      <c r="G1513" s="4">
        <f t="shared" si="35"/>
        <v>0</v>
      </c>
      <c r="H1513" s="17"/>
      <c r="I1513" s="4">
        <f t="shared" si="33"/>
        <v>349526.07999999996</v>
      </c>
      <c r="J1513" s="32" t="str">
        <f t="shared" si="34"/>
        <v/>
      </c>
      <c r="K1513" s="79"/>
      <c r="L1513" s="79"/>
      <c r="M1513" s="2"/>
      <c r="N1513" s="5"/>
      <c r="O1513" s="3"/>
      <c r="P1513" s="6"/>
      <c r="Q1513" s="6"/>
    </row>
    <row r="1514" spans="1:17" ht="15" customHeight="1" x14ac:dyDescent="0.25">
      <c r="A1514" s="1"/>
      <c r="B1514" s="17"/>
      <c r="C1514" s="17"/>
      <c r="D1514" s="17"/>
      <c r="E1514" s="17"/>
      <c r="F1514" s="17"/>
      <c r="G1514" s="4">
        <f t="shared" si="35"/>
        <v>0</v>
      </c>
      <c r="H1514" s="17"/>
      <c r="I1514" s="4">
        <f t="shared" si="33"/>
        <v>349526.07999999996</v>
      </c>
      <c r="J1514" s="32" t="str">
        <f t="shared" si="34"/>
        <v/>
      </c>
      <c r="K1514" s="79"/>
      <c r="L1514" s="79"/>
      <c r="M1514" s="2"/>
      <c r="N1514" s="5"/>
      <c r="O1514" s="3"/>
      <c r="P1514" s="6"/>
      <c r="Q1514" s="6"/>
    </row>
    <row r="1515" spans="1:17" ht="15" customHeight="1" x14ac:dyDescent="0.25">
      <c r="A1515" s="1"/>
      <c r="B1515" s="17"/>
      <c r="C1515" s="17"/>
      <c r="D1515" s="17"/>
      <c r="E1515" s="17"/>
      <c r="F1515" s="17"/>
      <c r="G1515" s="4">
        <f t="shared" si="35"/>
        <v>0</v>
      </c>
      <c r="H1515" s="17"/>
      <c r="I1515" s="4">
        <f t="shared" si="33"/>
        <v>349526.07999999996</v>
      </c>
      <c r="J1515" s="32" t="str">
        <f t="shared" si="34"/>
        <v/>
      </c>
      <c r="K1515" s="79"/>
      <c r="L1515" s="79"/>
      <c r="M1515" s="2"/>
      <c r="N1515" s="5"/>
      <c r="O1515" s="3"/>
      <c r="P1515" s="6"/>
      <c r="Q1515" s="6"/>
    </row>
    <row r="1516" spans="1:17" ht="15" customHeight="1" x14ac:dyDescent="0.25">
      <c r="A1516" s="1"/>
      <c r="B1516" s="17"/>
      <c r="C1516" s="17"/>
      <c r="D1516" s="17"/>
      <c r="E1516" s="17"/>
      <c r="F1516" s="17"/>
      <c r="G1516" s="4">
        <f t="shared" si="35"/>
        <v>0</v>
      </c>
      <c r="H1516" s="17"/>
      <c r="I1516" s="4">
        <f t="shared" si="33"/>
        <v>349526.07999999996</v>
      </c>
      <c r="J1516" s="32" t="str">
        <f t="shared" si="34"/>
        <v/>
      </c>
      <c r="K1516" s="79"/>
      <c r="L1516" s="79"/>
      <c r="M1516" s="2"/>
      <c r="N1516" s="5"/>
      <c r="O1516" s="3"/>
      <c r="P1516" s="6"/>
      <c r="Q1516" s="6"/>
    </row>
    <row r="1517" spans="1:17" ht="15" customHeight="1" x14ac:dyDescent="0.25">
      <c r="A1517" s="1"/>
      <c r="B1517" s="17"/>
      <c r="C1517" s="17"/>
      <c r="D1517" s="17"/>
      <c r="E1517" s="17"/>
      <c r="F1517" s="17"/>
      <c r="G1517" s="4">
        <f t="shared" si="35"/>
        <v>0</v>
      </c>
      <c r="H1517" s="17"/>
      <c r="I1517" s="4">
        <f t="shared" si="33"/>
        <v>349526.07999999996</v>
      </c>
      <c r="J1517" s="32" t="str">
        <f t="shared" si="34"/>
        <v/>
      </c>
      <c r="K1517" s="79"/>
      <c r="L1517" s="79"/>
      <c r="M1517" s="2"/>
      <c r="N1517" s="5"/>
      <c r="O1517" s="3"/>
      <c r="P1517" s="6"/>
      <c r="Q1517" s="6"/>
    </row>
    <row r="1518" spans="1:17" ht="15" customHeight="1" x14ac:dyDescent="0.25">
      <c r="A1518" s="1"/>
      <c r="B1518" s="17"/>
      <c r="C1518" s="17"/>
      <c r="D1518" s="17"/>
      <c r="E1518" s="17"/>
      <c r="F1518" s="17"/>
      <c r="G1518" s="4">
        <f t="shared" si="35"/>
        <v>0</v>
      </c>
      <c r="H1518" s="17"/>
      <c r="I1518" s="4">
        <f t="shared" si="33"/>
        <v>349526.07999999996</v>
      </c>
      <c r="J1518" s="32" t="str">
        <f t="shared" si="34"/>
        <v/>
      </c>
      <c r="K1518" s="79"/>
      <c r="L1518" s="79"/>
      <c r="M1518" s="2"/>
      <c r="N1518" s="5"/>
      <c r="O1518" s="3"/>
      <c r="P1518" s="6"/>
      <c r="Q1518" s="6"/>
    </row>
    <row r="1519" spans="1:17" ht="15" customHeight="1" x14ac:dyDescent="0.25">
      <c r="A1519" s="1"/>
      <c r="B1519" s="17"/>
      <c r="C1519" s="17"/>
      <c r="D1519" s="17"/>
      <c r="E1519" s="17"/>
      <c r="F1519" s="17"/>
      <c r="G1519" s="4">
        <f t="shared" si="35"/>
        <v>0</v>
      </c>
      <c r="H1519" s="17"/>
      <c r="I1519" s="4">
        <f t="shared" si="33"/>
        <v>349526.07999999996</v>
      </c>
      <c r="J1519" s="32" t="str">
        <f t="shared" si="34"/>
        <v/>
      </c>
      <c r="K1519" s="79"/>
      <c r="L1519" s="79"/>
      <c r="M1519" s="2"/>
      <c r="N1519" s="5"/>
      <c r="O1519" s="3"/>
      <c r="P1519" s="6"/>
      <c r="Q1519" s="6"/>
    </row>
    <row r="1520" spans="1:17" ht="15" customHeight="1" x14ac:dyDescent="0.25">
      <c r="A1520" s="1"/>
      <c r="B1520" s="17"/>
      <c r="C1520" s="17"/>
      <c r="D1520" s="17"/>
      <c r="E1520" s="17"/>
      <c r="F1520" s="17"/>
      <c r="G1520" s="4">
        <f t="shared" si="35"/>
        <v>0</v>
      </c>
      <c r="H1520" s="17"/>
      <c r="I1520" s="4">
        <f t="shared" si="33"/>
        <v>349526.07999999996</v>
      </c>
      <c r="J1520" s="32" t="str">
        <f t="shared" si="34"/>
        <v/>
      </c>
      <c r="K1520" s="79"/>
      <c r="L1520" s="79"/>
      <c r="M1520" s="2"/>
      <c r="N1520" s="5"/>
      <c r="O1520" s="3"/>
      <c r="P1520" s="6"/>
      <c r="Q1520" s="6"/>
    </row>
    <row r="1521" spans="1:17" ht="15" customHeight="1" x14ac:dyDescent="0.25">
      <c r="A1521" s="1"/>
      <c r="B1521" s="17"/>
      <c r="C1521" s="17"/>
      <c r="D1521" s="17"/>
      <c r="E1521" s="17"/>
      <c r="F1521" s="17"/>
      <c r="G1521" s="4">
        <f t="shared" si="35"/>
        <v>0</v>
      </c>
      <c r="H1521" s="17"/>
      <c r="I1521" s="4">
        <f t="shared" si="33"/>
        <v>349526.07999999996</v>
      </c>
      <c r="J1521" s="32" t="str">
        <f t="shared" si="34"/>
        <v/>
      </c>
      <c r="K1521" s="79"/>
      <c r="L1521" s="79"/>
      <c r="M1521" s="2"/>
      <c r="N1521" s="5"/>
      <c r="O1521" s="3"/>
      <c r="P1521" s="6"/>
      <c r="Q1521" s="6"/>
    </row>
    <row r="1522" spans="1:17" ht="15" customHeight="1" x14ac:dyDescent="0.25">
      <c r="A1522" s="1"/>
      <c r="B1522" s="17"/>
      <c r="C1522" s="17"/>
      <c r="D1522" s="17"/>
      <c r="E1522" s="17"/>
      <c r="F1522" s="17"/>
      <c r="G1522" s="4">
        <f t="shared" si="35"/>
        <v>0</v>
      </c>
      <c r="H1522" s="17"/>
      <c r="I1522" s="4">
        <f t="shared" si="33"/>
        <v>349526.07999999996</v>
      </c>
      <c r="J1522" s="32" t="str">
        <f t="shared" si="34"/>
        <v/>
      </c>
      <c r="K1522" s="79"/>
      <c r="L1522" s="79"/>
      <c r="M1522" s="2"/>
      <c r="N1522" s="5"/>
      <c r="O1522" s="3"/>
      <c r="P1522" s="6"/>
      <c r="Q1522" s="6"/>
    </row>
    <row r="1523" spans="1:17" ht="15" customHeight="1" x14ac:dyDescent="0.25">
      <c r="A1523" s="1"/>
      <c r="B1523" s="17"/>
      <c r="C1523" s="17"/>
      <c r="D1523" s="17"/>
      <c r="E1523" s="17"/>
      <c r="F1523" s="17"/>
      <c r="G1523" s="4">
        <f t="shared" si="35"/>
        <v>0</v>
      </c>
      <c r="H1523" s="17"/>
      <c r="I1523" s="4">
        <f t="shared" si="33"/>
        <v>349526.07999999996</v>
      </c>
      <c r="J1523" s="32" t="str">
        <f t="shared" si="34"/>
        <v/>
      </c>
      <c r="K1523" s="79"/>
      <c r="L1523" s="79"/>
      <c r="M1523" s="2"/>
      <c r="N1523" s="5"/>
      <c r="O1523" s="3"/>
      <c r="P1523" s="6"/>
      <c r="Q1523" s="6"/>
    </row>
    <row r="1524" spans="1:17" ht="15" customHeight="1" x14ac:dyDescent="0.25">
      <c r="A1524" s="1"/>
      <c r="B1524" s="17"/>
      <c r="C1524" s="17"/>
      <c r="D1524" s="17"/>
      <c r="E1524" s="17"/>
      <c r="F1524" s="17"/>
      <c r="G1524" s="4">
        <f t="shared" si="35"/>
        <v>0</v>
      </c>
      <c r="H1524" s="17"/>
      <c r="I1524" s="4">
        <f t="shared" si="33"/>
        <v>349526.07999999996</v>
      </c>
      <c r="J1524" s="32" t="str">
        <f t="shared" si="34"/>
        <v/>
      </c>
      <c r="K1524" s="79"/>
      <c r="L1524" s="79"/>
      <c r="M1524" s="2"/>
      <c r="N1524" s="5"/>
      <c r="O1524" s="3"/>
      <c r="P1524" s="6"/>
      <c r="Q1524" s="6"/>
    </row>
    <row r="1525" spans="1:17" ht="15" customHeight="1" x14ac:dyDescent="0.25">
      <c r="A1525" s="1"/>
      <c r="B1525" s="17"/>
      <c r="C1525" s="17"/>
      <c r="D1525" s="17"/>
      <c r="E1525" s="17"/>
      <c r="F1525" s="17"/>
      <c r="G1525" s="4">
        <f t="shared" si="35"/>
        <v>0</v>
      </c>
      <c r="H1525" s="17"/>
      <c r="I1525" s="4">
        <f t="shared" si="33"/>
        <v>349526.07999999996</v>
      </c>
      <c r="J1525" s="32" t="str">
        <f t="shared" si="34"/>
        <v/>
      </c>
      <c r="K1525" s="79"/>
      <c r="L1525" s="79"/>
      <c r="M1525" s="2"/>
      <c r="N1525" s="5"/>
      <c r="O1525" s="3"/>
      <c r="P1525" s="6"/>
      <c r="Q1525" s="6"/>
    </row>
    <row r="1526" spans="1:17" ht="15" customHeight="1" x14ac:dyDescent="0.25">
      <c r="A1526" s="1"/>
      <c r="B1526" s="17"/>
      <c r="C1526" s="17"/>
      <c r="D1526" s="17"/>
      <c r="E1526" s="17"/>
      <c r="F1526" s="17"/>
      <c r="G1526" s="4">
        <f t="shared" si="35"/>
        <v>0</v>
      </c>
      <c r="H1526" s="17"/>
      <c r="I1526" s="4">
        <f t="shared" ref="I1526:I1589" si="36">$I1525+$G1526-$H1526</f>
        <v>349526.07999999996</v>
      </c>
      <c r="J1526" s="32" t="str">
        <f t="shared" ref="J1526:J1589" si="37">IF($A1527&lt;&gt;$A1526,$I1526,"")</f>
        <v/>
      </c>
      <c r="K1526" s="79"/>
      <c r="L1526" s="79"/>
      <c r="M1526" s="2"/>
      <c r="N1526" s="5"/>
      <c r="O1526" s="3"/>
      <c r="P1526" s="6"/>
      <c r="Q1526" s="6"/>
    </row>
    <row r="1527" spans="1:17" ht="15" customHeight="1" x14ac:dyDescent="0.25">
      <c r="A1527" s="1"/>
      <c r="B1527" s="17"/>
      <c r="C1527" s="17"/>
      <c r="D1527" s="17"/>
      <c r="E1527" s="17"/>
      <c r="F1527" s="17"/>
      <c r="G1527" s="4">
        <f t="shared" si="35"/>
        <v>0</v>
      </c>
      <c r="H1527" s="17"/>
      <c r="I1527" s="4">
        <f t="shared" si="36"/>
        <v>349526.07999999996</v>
      </c>
      <c r="J1527" s="32" t="str">
        <f t="shared" si="37"/>
        <v/>
      </c>
      <c r="K1527" s="79"/>
      <c r="L1527" s="79"/>
      <c r="M1527" s="2"/>
      <c r="N1527" s="5"/>
      <c r="O1527" s="3"/>
      <c r="P1527" s="6"/>
      <c r="Q1527" s="6"/>
    </row>
    <row r="1528" spans="1:17" ht="15" customHeight="1" x14ac:dyDescent="0.25">
      <c r="A1528" s="1"/>
      <c r="B1528" s="17"/>
      <c r="C1528" s="17"/>
      <c r="D1528" s="17"/>
      <c r="E1528" s="17"/>
      <c r="F1528" s="17"/>
      <c r="G1528" s="4">
        <f t="shared" si="35"/>
        <v>0</v>
      </c>
      <c r="H1528" s="17"/>
      <c r="I1528" s="4">
        <f t="shared" si="36"/>
        <v>349526.07999999996</v>
      </c>
      <c r="J1528" s="32" t="str">
        <f t="shared" si="37"/>
        <v/>
      </c>
      <c r="K1528" s="79"/>
      <c r="L1528" s="79"/>
      <c r="M1528" s="2"/>
      <c r="N1528" s="5"/>
      <c r="O1528" s="3"/>
      <c r="P1528" s="6"/>
      <c r="Q1528" s="6"/>
    </row>
    <row r="1529" spans="1:17" ht="15" customHeight="1" x14ac:dyDescent="0.25">
      <c r="A1529" s="1"/>
      <c r="B1529" s="17"/>
      <c r="C1529" s="17"/>
      <c r="D1529" s="17"/>
      <c r="E1529" s="17"/>
      <c r="F1529" s="17"/>
      <c r="G1529" s="4">
        <f t="shared" si="35"/>
        <v>0</v>
      </c>
      <c r="H1529" s="17"/>
      <c r="I1529" s="4">
        <f t="shared" si="36"/>
        <v>349526.07999999996</v>
      </c>
      <c r="J1529" s="32" t="str">
        <f t="shared" si="37"/>
        <v/>
      </c>
      <c r="K1529" s="79"/>
      <c r="L1529" s="79"/>
      <c r="M1529" s="2"/>
      <c r="N1529" s="5"/>
      <c r="O1529" s="3"/>
      <c r="P1529" s="6"/>
      <c r="Q1529" s="6"/>
    </row>
    <row r="1530" spans="1:17" ht="15" customHeight="1" x14ac:dyDescent="0.25">
      <c r="A1530" s="1"/>
      <c r="B1530" s="17"/>
      <c r="C1530" s="17"/>
      <c r="D1530" s="17"/>
      <c r="E1530" s="17"/>
      <c r="F1530" s="17"/>
      <c r="G1530" s="4">
        <f t="shared" si="35"/>
        <v>0</v>
      </c>
      <c r="H1530" s="17"/>
      <c r="I1530" s="4">
        <f t="shared" si="36"/>
        <v>349526.07999999996</v>
      </c>
      <c r="J1530" s="32" t="str">
        <f t="shared" si="37"/>
        <v/>
      </c>
      <c r="K1530" s="79"/>
      <c r="L1530" s="79"/>
      <c r="M1530" s="2"/>
      <c r="N1530" s="5"/>
      <c r="O1530" s="3"/>
      <c r="P1530" s="6"/>
      <c r="Q1530" s="6"/>
    </row>
    <row r="1531" spans="1:17" ht="15" customHeight="1" x14ac:dyDescent="0.25">
      <c r="A1531" s="1"/>
      <c r="B1531" s="17"/>
      <c r="C1531" s="17"/>
      <c r="D1531" s="17"/>
      <c r="E1531" s="17"/>
      <c r="F1531" s="17"/>
      <c r="G1531" s="4">
        <f t="shared" si="35"/>
        <v>0</v>
      </c>
      <c r="H1531" s="17"/>
      <c r="I1531" s="4">
        <f t="shared" si="36"/>
        <v>349526.07999999996</v>
      </c>
      <c r="J1531" s="32" t="str">
        <f t="shared" si="37"/>
        <v/>
      </c>
      <c r="K1531" s="79"/>
      <c r="L1531" s="79"/>
      <c r="M1531" s="2"/>
      <c r="N1531" s="5"/>
      <c r="O1531" s="3"/>
      <c r="P1531" s="6"/>
      <c r="Q1531" s="6"/>
    </row>
    <row r="1532" spans="1:17" ht="15" customHeight="1" x14ac:dyDescent="0.25">
      <c r="A1532" s="1"/>
      <c r="B1532" s="17"/>
      <c r="C1532" s="17"/>
      <c r="D1532" s="17"/>
      <c r="E1532" s="17"/>
      <c r="F1532" s="17"/>
      <c r="G1532" s="4">
        <f t="shared" si="35"/>
        <v>0</v>
      </c>
      <c r="H1532" s="17"/>
      <c r="I1532" s="4">
        <f t="shared" si="36"/>
        <v>349526.07999999996</v>
      </c>
      <c r="J1532" s="32" t="str">
        <f t="shared" si="37"/>
        <v/>
      </c>
      <c r="K1532" s="79"/>
      <c r="L1532" s="79"/>
      <c r="M1532" s="2"/>
      <c r="N1532" s="5"/>
      <c r="O1532" s="3"/>
      <c r="P1532" s="6"/>
      <c r="Q1532" s="6"/>
    </row>
    <row r="1533" spans="1:17" ht="15" customHeight="1" x14ac:dyDescent="0.25">
      <c r="A1533" s="1"/>
      <c r="B1533" s="17"/>
      <c r="C1533" s="17"/>
      <c r="D1533" s="17"/>
      <c r="E1533" s="17"/>
      <c r="F1533" s="17"/>
      <c r="G1533" s="4">
        <f t="shared" si="35"/>
        <v>0</v>
      </c>
      <c r="H1533" s="17"/>
      <c r="I1533" s="4">
        <f t="shared" si="36"/>
        <v>349526.07999999996</v>
      </c>
      <c r="J1533" s="32" t="str">
        <f t="shared" si="37"/>
        <v/>
      </c>
      <c r="K1533" s="79"/>
      <c r="L1533" s="79"/>
      <c r="M1533" s="2"/>
      <c r="N1533" s="5"/>
      <c r="O1533" s="3"/>
      <c r="P1533" s="6"/>
      <c r="Q1533" s="6"/>
    </row>
    <row r="1534" spans="1:17" ht="15" customHeight="1" x14ac:dyDescent="0.25">
      <c r="A1534" s="1"/>
      <c r="B1534" s="17"/>
      <c r="C1534" s="17"/>
      <c r="D1534" s="17"/>
      <c r="E1534" s="17"/>
      <c r="F1534" s="17"/>
      <c r="G1534" s="4">
        <f t="shared" si="35"/>
        <v>0</v>
      </c>
      <c r="H1534" s="17"/>
      <c r="I1534" s="4">
        <f t="shared" si="36"/>
        <v>349526.07999999996</v>
      </c>
      <c r="J1534" s="32" t="str">
        <f t="shared" si="37"/>
        <v/>
      </c>
      <c r="K1534" s="79"/>
      <c r="L1534" s="79"/>
      <c r="M1534" s="2"/>
      <c r="N1534" s="5"/>
      <c r="O1534" s="3"/>
      <c r="P1534" s="6"/>
      <c r="Q1534" s="6"/>
    </row>
    <row r="1535" spans="1:17" ht="15" customHeight="1" x14ac:dyDescent="0.25">
      <c r="A1535" s="1"/>
      <c r="B1535" s="17"/>
      <c r="C1535" s="17"/>
      <c r="D1535" s="17"/>
      <c r="E1535" s="17"/>
      <c r="F1535" s="17"/>
      <c r="G1535" s="4">
        <f t="shared" si="35"/>
        <v>0</v>
      </c>
      <c r="H1535" s="17"/>
      <c r="I1535" s="4">
        <f t="shared" si="36"/>
        <v>349526.07999999996</v>
      </c>
      <c r="J1535" s="32" t="str">
        <f t="shared" si="37"/>
        <v/>
      </c>
      <c r="K1535" s="79"/>
      <c r="L1535" s="79"/>
      <c r="M1535" s="2"/>
      <c r="N1535" s="5"/>
      <c r="O1535" s="3"/>
      <c r="P1535" s="6"/>
      <c r="Q1535" s="6"/>
    </row>
    <row r="1536" spans="1:17" ht="15" customHeight="1" x14ac:dyDescent="0.25">
      <c r="A1536" s="1"/>
      <c r="B1536" s="17"/>
      <c r="C1536" s="17"/>
      <c r="D1536" s="17"/>
      <c r="E1536" s="17"/>
      <c r="F1536" s="17"/>
      <c r="G1536" s="4">
        <f t="shared" si="35"/>
        <v>0</v>
      </c>
      <c r="H1536" s="17"/>
      <c r="I1536" s="4">
        <f t="shared" si="36"/>
        <v>349526.07999999996</v>
      </c>
      <c r="J1536" s="32" t="str">
        <f t="shared" si="37"/>
        <v/>
      </c>
      <c r="K1536" s="79"/>
      <c r="L1536" s="79"/>
      <c r="M1536" s="2"/>
      <c r="N1536" s="5"/>
      <c r="O1536" s="3"/>
      <c r="P1536" s="6"/>
      <c r="Q1536" s="6"/>
    </row>
    <row r="1537" spans="1:17" ht="15" customHeight="1" x14ac:dyDescent="0.25">
      <c r="A1537" s="1"/>
      <c r="B1537" s="17"/>
      <c r="C1537" s="17"/>
      <c r="D1537" s="17"/>
      <c r="E1537" s="17"/>
      <c r="F1537" s="17"/>
      <c r="G1537" s="4">
        <f t="shared" si="35"/>
        <v>0</v>
      </c>
      <c r="H1537" s="17"/>
      <c r="I1537" s="4">
        <f t="shared" si="36"/>
        <v>349526.07999999996</v>
      </c>
      <c r="J1537" s="32" t="str">
        <f t="shared" si="37"/>
        <v/>
      </c>
      <c r="K1537" s="79"/>
      <c r="L1537" s="79"/>
      <c r="M1537" s="2"/>
      <c r="N1537" s="5"/>
      <c r="O1537" s="3"/>
      <c r="P1537" s="6"/>
      <c r="Q1537" s="6"/>
    </row>
    <row r="1538" spans="1:17" ht="15" customHeight="1" x14ac:dyDescent="0.25">
      <c r="A1538" s="1"/>
      <c r="B1538" s="17"/>
      <c r="C1538" s="17"/>
      <c r="D1538" s="17"/>
      <c r="E1538" s="17"/>
      <c r="F1538" s="17"/>
      <c r="G1538" s="4">
        <f t="shared" si="35"/>
        <v>0</v>
      </c>
      <c r="H1538" s="17"/>
      <c r="I1538" s="4">
        <f t="shared" si="36"/>
        <v>349526.07999999996</v>
      </c>
      <c r="J1538" s="32" t="str">
        <f t="shared" si="37"/>
        <v/>
      </c>
      <c r="K1538" s="79"/>
      <c r="L1538" s="79"/>
      <c r="M1538" s="2"/>
      <c r="N1538" s="5"/>
      <c r="O1538" s="3"/>
      <c r="P1538" s="6"/>
      <c r="Q1538" s="6"/>
    </row>
    <row r="1539" spans="1:17" ht="15" customHeight="1" x14ac:dyDescent="0.25">
      <c r="A1539" s="1"/>
      <c r="B1539" s="17"/>
      <c r="C1539" s="17"/>
      <c r="D1539" s="17"/>
      <c r="E1539" s="17"/>
      <c r="F1539" s="17"/>
      <c r="G1539" s="4">
        <f t="shared" ref="G1539:G1602" si="38">SUM($B1539:$F1539)</f>
        <v>0</v>
      </c>
      <c r="H1539" s="17"/>
      <c r="I1539" s="4">
        <f t="shared" si="36"/>
        <v>349526.07999999996</v>
      </c>
      <c r="J1539" s="32" t="str">
        <f t="shared" si="37"/>
        <v/>
      </c>
      <c r="K1539" s="79"/>
      <c r="L1539" s="79"/>
      <c r="M1539" s="2"/>
      <c r="N1539" s="5"/>
      <c r="O1539" s="3"/>
      <c r="P1539" s="6"/>
      <c r="Q1539" s="6"/>
    </row>
    <row r="1540" spans="1:17" ht="15" customHeight="1" x14ac:dyDescent="0.25">
      <c r="A1540" s="1"/>
      <c r="B1540" s="17"/>
      <c r="C1540" s="17"/>
      <c r="D1540" s="17"/>
      <c r="E1540" s="17"/>
      <c r="F1540" s="17"/>
      <c r="G1540" s="4">
        <f t="shared" si="38"/>
        <v>0</v>
      </c>
      <c r="H1540" s="17"/>
      <c r="I1540" s="4">
        <f t="shared" si="36"/>
        <v>349526.07999999996</v>
      </c>
      <c r="J1540" s="32" t="str">
        <f t="shared" si="37"/>
        <v/>
      </c>
      <c r="K1540" s="79"/>
      <c r="L1540" s="79"/>
      <c r="M1540" s="2"/>
      <c r="N1540" s="5"/>
      <c r="O1540" s="3"/>
      <c r="P1540" s="6"/>
      <c r="Q1540" s="6"/>
    </row>
    <row r="1541" spans="1:17" ht="15" customHeight="1" x14ac:dyDescent="0.25">
      <c r="A1541" s="1"/>
      <c r="B1541" s="17"/>
      <c r="C1541" s="17"/>
      <c r="D1541" s="17"/>
      <c r="E1541" s="17"/>
      <c r="F1541" s="17"/>
      <c r="G1541" s="4">
        <f t="shared" si="38"/>
        <v>0</v>
      </c>
      <c r="H1541" s="17"/>
      <c r="I1541" s="4">
        <f t="shared" si="36"/>
        <v>349526.07999999996</v>
      </c>
      <c r="J1541" s="32" t="str">
        <f t="shared" si="37"/>
        <v/>
      </c>
      <c r="K1541" s="79"/>
      <c r="L1541" s="79"/>
      <c r="M1541" s="2"/>
      <c r="N1541" s="5"/>
      <c r="O1541" s="3"/>
      <c r="P1541" s="6"/>
      <c r="Q1541" s="6"/>
    </row>
    <row r="1542" spans="1:17" ht="15" customHeight="1" x14ac:dyDescent="0.25">
      <c r="A1542" s="1"/>
      <c r="B1542" s="17"/>
      <c r="C1542" s="17"/>
      <c r="D1542" s="17"/>
      <c r="E1542" s="17"/>
      <c r="F1542" s="17"/>
      <c r="G1542" s="4">
        <f t="shared" si="38"/>
        <v>0</v>
      </c>
      <c r="H1542" s="17"/>
      <c r="I1542" s="4">
        <f t="shared" si="36"/>
        <v>349526.07999999996</v>
      </c>
      <c r="J1542" s="32" t="str">
        <f t="shared" si="37"/>
        <v/>
      </c>
      <c r="K1542" s="79"/>
      <c r="L1542" s="79"/>
      <c r="M1542" s="2"/>
      <c r="N1542" s="5"/>
      <c r="O1542" s="3"/>
      <c r="P1542" s="6"/>
      <c r="Q1542" s="6"/>
    </row>
    <row r="1543" spans="1:17" ht="15" customHeight="1" x14ac:dyDescent="0.25">
      <c r="A1543" s="1"/>
      <c r="B1543" s="17"/>
      <c r="C1543" s="17"/>
      <c r="D1543" s="17"/>
      <c r="E1543" s="17"/>
      <c r="F1543" s="17"/>
      <c r="G1543" s="4">
        <f t="shared" si="38"/>
        <v>0</v>
      </c>
      <c r="H1543" s="17"/>
      <c r="I1543" s="4">
        <f t="shared" si="36"/>
        <v>349526.07999999996</v>
      </c>
      <c r="J1543" s="32" t="str">
        <f t="shared" si="37"/>
        <v/>
      </c>
      <c r="K1543" s="79"/>
      <c r="L1543" s="79"/>
      <c r="M1543" s="2"/>
      <c r="N1543" s="5"/>
      <c r="O1543" s="3"/>
      <c r="P1543" s="6"/>
      <c r="Q1543" s="6"/>
    </row>
    <row r="1544" spans="1:17" ht="15" customHeight="1" x14ac:dyDescent="0.25">
      <c r="A1544" s="1"/>
      <c r="B1544" s="17"/>
      <c r="C1544" s="17"/>
      <c r="D1544" s="17"/>
      <c r="E1544" s="17"/>
      <c r="F1544" s="17"/>
      <c r="G1544" s="4">
        <f t="shared" si="38"/>
        <v>0</v>
      </c>
      <c r="H1544" s="17"/>
      <c r="I1544" s="4">
        <f t="shared" si="36"/>
        <v>349526.07999999996</v>
      </c>
      <c r="J1544" s="32" t="str">
        <f t="shared" si="37"/>
        <v/>
      </c>
      <c r="K1544" s="79"/>
      <c r="L1544" s="79"/>
      <c r="M1544" s="2"/>
      <c r="N1544" s="5"/>
      <c r="O1544" s="3"/>
      <c r="P1544" s="6"/>
      <c r="Q1544" s="6"/>
    </row>
    <row r="1545" spans="1:17" ht="15" customHeight="1" x14ac:dyDescent="0.25">
      <c r="A1545" s="1"/>
      <c r="B1545" s="17"/>
      <c r="C1545" s="17"/>
      <c r="D1545" s="17"/>
      <c r="E1545" s="17"/>
      <c r="F1545" s="17"/>
      <c r="G1545" s="4">
        <f t="shared" si="38"/>
        <v>0</v>
      </c>
      <c r="H1545" s="17"/>
      <c r="I1545" s="4">
        <f t="shared" si="36"/>
        <v>349526.07999999996</v>
      </c>
      <c r="J1545" s="32" t="str">
        <f t="shared" si="37"/>
        <v/>
      </c>
      <c r="K1545" s="79"/>
      <c r="L1545" s="79"/>
      <c r="M1545" s="2"/>
      <c r="N1545" s="5"/>
      <c r="O1545" s="3"/>
      <c r="P1545" s="6"/>
      <c r="Q1545" s="6"/>
    </row>
    <row r="1546" spans="1:17" ht="15" customHeight="1" x14ac:dyDescent="0.25">
      <c r="A1546" s="1"/>
      <c r="B1546" s="17"/>
      <c r="C1546" s="17"/>
      <c r="D1546" s="17"/>
      <c r="E1546" s="17"/>
      <c r="F1546" s="17"/>
      <c r="G1546" s="4">
        <f t="shared" si="38"/>
        <v>0</v>
      </c>
      <c r="H1546" s="17"/>
      <c r="I1546" s="4">
        <f t="shared" si="36"/>
        <v>349526.07999999996</v>
      </c>
      <c r="J1546" s="32" t="str">
        <f t="shared" si="37"/>
        <v/>
      </c>
      <c r="K1546" s="79"/>
      <c r="L1546" s="79"/>
      <c r="M1546" s="2"/>
      <c r="N1546" s="5"/>
      <c r="O1546" s="3"/>
      <c r="P1546" s="6"/>
      <c r="Q1546" s="6"/>
    </row>
    <row r="1547" spans="1:17" ht="15" customHeight="1" x14ac:dyDescent="0.25">
      <c r="A1547" s="1"/>
      <c r="B1547" s="17"/>
      <c r="C1547" s="17"/>
      <c r="D1547" s="17"/>
      <c r="E1547" s="17"/>
      <c r="F1547" s="17"/>
      <c r="G1547" s="4">
        <f t="shared" si="38"/>
        <v>0</v>
      </c>
      <c r="H1547" s="17"/>
      <c r="I1547" s="4">
        <f t="shared" si="36"/>
        <v>349526.07999999996</v>
      </c>
      <c r="J1547" s="32" t="str">
        <f t="shared" si="37"/>
        <v/>
      </c>
      <c r="K1547" s="79"/>
      <c r="L1547" s="79"/>
      <c r="M1547" s="2"/>
      <c r="N1547" s="5"/>
      <c r="O1547" s="3"/>
      <c r="P1547" s="6"/>
      <c r="Q1547" s="6"/>
    </row>
    <row r="1548" spans="1:17" ht="15" customHeight="1" x14ac:dyDescent="0.25">
      <c r="A1548" s="1"/>
      <c r="B1548" s="17"/>
      <c r="C1548" s="17"/>
      <c r="D1548" s="17"/>
      <c r="E1548" s="17"/>
      <c r="F1548" s="17"/>
      <c r="G1548" s="4">
        <f t="shared" si="38"/>
        <v>0</v>
      </c>
      <c r="H1548" s="17"/>
      <c r="I1548" s="4">
        <f t="shared" si="36"/>
        <v>349526.07999999996</v>
      </c>
      <c r="J1548" s="32" t="str">
        <f t="shared" si="37"/>
        <v/>
      </c>
      <c r="K1548" s="79"/>
      <c r="L1548" s="79"/>
      <c r="M1548" s="2"/>
      <c r="N1548" s="5"/>
      <c r="O1548" s="3"/>
      <c r="P1548" s="6"/>
      <c r="Q1548" s="6"/>
    </row>
    <row r="1549" spans="1:17" ht="15" customHeight="1" x14ac:dyDescent="0.25">
      <c r="A1549" s="1"/>
      <c r="B1549" s="17"/>
      <c r="C1549" s="17"/>
      <c r="D1549" s="17"/>
      <c r="E1549" s="17"/>
      <c r="F1549" s="17"/>
      <c r="G1549" s="4">
        <f t="shared" si="38"/>
        <v>0</v>
      </c>
      <c r="H1549" s="17"/>
      <c r="I1549" s="4">
        <f t="shared" si="36"/>
        <v>349526.07999999996</v>
      </c>
      <c r="J1549" s="32" t="str">
        <f t="shared" si="37"/>
        <v/>
      </c>
      <c r="K1549" s="79"/>
      <c r="L1549" s="79"/>
      <c r="M1549" s="2"/>
      <c r="N1549" s="5"/>
      <c r="O1549" s="3"/>
      <c r="P1549" s="6"/>
      <c r="Q1549" s="6"/>
    </row>
    <row r="1550" spans="1:17" ht="15" customHeight="1" x14ac:dyDescent="0.25">
      <c r="A1550" s="1"/>
      <c r="B1550" s="17"/>
      <c r="C1550" s="17"/>
      <c r="D1550" s="17"/>
      <c r="E1550" s="17"/>
      <c r="F1550" s="17"/>
      <c r="G1550" s="4">
        <f t="shared" si="38"/>
        <v>0</v>
      </c>
      <c r="H1550" s="17"/>
      <c r="I1550" s="4">
        <f t="shared" si="36"/>
        <v>349526.07999999996</v>
      </c>
      <c r="J1550" s="32" t="str">
        <f t="shared" si="37"/>
        <v/>
      </c>
      <c r="K1550" s="79"/>
      <c r="L1550" s="79"/>
      <c r="M1550" s="2"/>
      <c r="N1550" s="5"/>
      <c r="O1550" s="3"/>
      <c r="P1550" s="6"/>
      <c r="Q1550" s="6"/>
    </row>
    <row r="1551" spans="1:17" ht="15" customHeight="1" x14ac:dyDescent="0.25">
      <c r="A1551" s="1"/>
      <c r="B1551" s="17"/>
      <c r="C1551" s="17"/>
      <c r="D1551" s="17"/>
      <c r="E1551" s="17"/>
      <c r="F1551" s="17"/>
      <c r="G1551" s="4">
        <f t="shared" si="38"/>
        <v>0</v>
      </c>
      <c r="H1551" s="17"/>
      <c r="I1551" s="4">
        <f t="shared" si="36"/>
        <v>349526.07999999996</v>
      </c>
      <c r="J1551" s="32" t="str">
        <f t="shared" si="37"/>
        <v/>
      </c>
      <c r="K1551" s="79"/>
      <c r="L1551" s="79"/>
      <c r="M1551" s="2"/>
      <c r="N1551" s="5"/>
      <c r="O1551" s="3"/>
      <c r="P1551" s="6"/>
      <c r="Q1551" s="6"/>
    </row>
    <row r="1552" spans="1:17" ht="15" customHeight="1" x14ac:dyDescent="0.25">
      <c r="A1552" s="1"/>
      <c r="B1552" s="17"/>
      <c r="C1552" s="17"/>
      <c r="D1552" s="17"/>
      <c r="E1552" s="17"/>
      <c r="F1552" s="17"/>
      <c r="G1552" s="4">
        <f t="shared" si="38"/>
        <v>0</v>
      </c>
      <c r="H1552" s="17"/>
      <c r="I1552" s="4">
        <f t="shared" si="36"/>
        <v>349526.07999999996</v>
      </c>
      <c r="J1552" s="32" t="str">
        <f t="shared" si="37"/>
        <v/>
      </c>
      <c r="K1552" s="79"/>
      <c r="L1552" s="79"/>
      <c r="M1552" s="2"/>
      <c r="N1552" s="5"/>
      <c r="O1552" s="3"/>
      <c r="P1552" s="6"/>
      <c r="Q1552" s="6"/>
    </row>
    <row r="1553" spans="1:17" ht="15" customHeight="1" x14ac:dyDescent="0.25">
      <c r="A1553" s="1"/>
      <c r="B1553" s="17"/>
      <c r="C1553" s="17"/>
      <c r="D1553" s="17"/>
      <c r="E1553" s="17"/>
      <c r="F1553" s="17"/>
      <c r="G1553" s="4">
        <f t="shared" si="38"/>
        <v>0</v>
      </c>
      <c r="H1553" s="17"/>
      <c r="I1553" s="4">
        <f t="shared" si="36"/>
        <v>349526.07999999996</v>
      </c>
      <c r="J1553" s="32" t="str">
        <f t="shared" si="37"/>
        <v/>
      </c>
      <c r="K1553" s="79"/>
      <c r="L1553" s="79"/>
      <c r="M1553" s="2"/>
      <c r="N1553" s="5"/>
      <c r="O1553" s="3"/>
      <c r="P1553" s="6"/>
      <c r="Q1553" s="6"/>
    </row>
    <row r="1554" spans="1:17" ht="15" customHeight="1" x14ac:dyDescent="0.25">
      <c r="A1554" s="1"/>
      <c r="B1554" s="17"/>
      <c r="C1554" s="17"/>
      <c r="D1554" s="17"/>
      <c r="E1554" s="17"/>
      <c r="F1554" s="17"/>
      <c r="G1554" s="4">
        <f t="shared" si="38"/>
        <v>0</v>
      </c>
      <c r="H1554" s="17"/>
      <c r="I1554" s="4">
        <f t="shared" si="36"/>
        <v>349526.07999999996</v>
      </c>
      <c r="J1554" s="32" t="str">
        <f t="shared" si="37"/>
        <v/>
      </c>
      <c r="K1554" s="79"/>
      <c r="L1554" s="79"/>
      <c r="M1554" s="2"/>
      <c r="N1554" s="5"/>
      <c r="O1554" s="3"/>
      <c r="P1554" s="6"/>
      <c r="Q1554" s="6"/>
    </row>
    <row r="1555" spans="1:17" ht="15" customHeight="1" x14ac:dyDescent="0.25">
      <c r="A1555" s="1"/>
      <c r="B1555" s="17"/>
      <c r="C1555" s="17"/>
      <c r="D1555" s="17"/>
      <c r="E1555" s="17"/>
      <c r="F1555" s="17"/>
      <c r="G1555" s="4">
        <f t="shared" si="38"/>
        <v>0</v>
      </c>
      <c r="H1555" s="17"/>
      <c r="I1555" s="4">
        <f t="shared" si="36"/>
        <v>349526.07999999996</v>
      </c>
      <c r="J1555" s="32" t="str">
        <f t="shared" si="37"/>
        <v/>
      </c>
      <c r="K1555" s="79"/>
      <c r="L1555" s="79"/>
      <c r="M1555" s="2"/>
      <c r="N1555" s="5"/>
      <c r="O1555" s="3"/>
      <c r="P1555" s="6"/>
      <c r="Q1555" s="6"/>
    </row>
    <row r="1556" spans="1:17" ht="15" customHeight="1" x14ac:dyDescent="0.25">
      <c r="A1556" s="1"/>
      <c r="B1556" s="17"/>
      <c r="C1556" s="17"/>
      <c r="D1556" s="17"/>
      <c r="E1556" s="17"/>
      <c r="F1556" s="17"/>
      <c r="G1556" s="4">
        <f t="shared" si="38"/>
        <v>0</v>
      </c>
      <c r="H1556" s="17"/>
      <c r="I1556" s="4">
        <f t="shared" si="36"/>
        <v>349526.07999999996</v>
      </c>
      <c r="J1556" s="32" t="str">
        <f t="shared" si="37"/>
        <v/>
      </c>
      <c r="K1556" s="79"/>
      <c r="L1556" s="79"/>
      <c r="M1556" s="2"/>
      <c r="N1556" s="5"/>
      <c r="O1556" s="3"/>
      <c r="P1556" s="6"/>
      <c r="Q1556" s="6"/>
    </row>
    <row r="1557" spans="1:17" ht="15" customHeight="1" x14ac:dyDescent="0.25">
      <c r="A1557" s="1"/>
      <c r="B1557" s="17"/>
      <c r="C1557" s="17"/>
      <c r="D1557" s="17"/>
      <c r="E1557" s="17"/>
      <c r="F1557" s="17"/>
      <c r="G1557" s="4">
        <f t="shared" si="38"/>
        <v>0</v>
      </c>
      <c r="H1557" s="17"/>
      <c r="I1557" s="4">
        <f t="shared" si="36"/>
        <v>349526.07999999996</v>
      </c>
      <c r="J1557" s="32" t="str">
        <f t="shared" si="37"/>
        <v/>
      </c>
      <c r="K1557" s="79"/>
      <c r="L1557" s="79"/>
      <c r="M1557" s="2"/>
      <c r="N1557" s="5"/>
      <c r="O1557" s="3"/>
      <c r="P1557" s="6"/>
      <c r="Q1557" s="6"/>
    </row>
    <row r="1558" spans="1:17" ht="15" customHeight="1" x14ac:dyDescent="0.25">
      <c r="A1558" s="1"/>
      <c r="B1558" s="17"/>
      <c r="C1558" s="17"/>
      <c r="D1558" s="17"/>
      <c r="E1558" s="17"/>
      <c r="F1558" s="17"/>
      <c r="G1558" s="4">
        <f t="shared" si="38"/>
        <v>0</v>
      </c>
      <c r="H1558" s="17"/>
      <c r="I1558" s="4">
        <f t="shared" si="36"/>
        <v>349526.07999999996</v>
      </c>
      <c r="J1558" s="32" t="str">
        <f t="shared" si="37"/>
        <v/>
      </c>
      <c r="K1558" s="79"/>
      <c r="L1558" s="79"/>
      <c r="M1558" s="2"/>
      <c r="N1558" s="5"/>
      <c r="O1558" s="3"/>
      <c r="P1558" s="6"/>
      <c r="Q1558" s="6"/>
    </row>
    <row r="1559" spans="1:17" ht="15" customHeight="1" x14ac:dyDescent="0.25">
      <c r="A1559" s="1"/>
      <c r="B1559" s="17"/>
      <c r="C1559" s="17"/>
      <c r="D1559" s="17"/>
      <c r="E1559" s="17"/>
      <c r="F1559" s="17"/>
      <c r="G1559" s="4">
        <f t="shared" si="38"/>
        <v>0</v>
      </c>
      <c r="H1559" s="17"/>
      <c r="I1559" s="4">
        <f t="shared" si="36"/>
        <v>349526.07999999996</v>
      </c>
      <c r="J1559" s="32" t="str">
        <f t="shared" si="37"/>
        <v/>
      </c>
      <c r="K1559" s="79"/>
      <c r="L1559" s="79"/>
      <c r="M1559" s="2"/>
      <c r="N1559" s="5"/>
      <c r="O1559" s="3"/>
      <c r="P1559" s="6"/>
      <c r="Q1559" s="6"/>
    </row>
    <row r="1560" spans="1:17" ht="15" customHeight="1" x14ac:dyDescent="0.25">
      <c r="A1560" s="1"/>
      <c r="B1560" s="17"/>
      <c r="C1560" s="17"/>
      <c r="D1560" s="17"/>
      <c r="E1560" s="17"/>
      <c r="F1560" s="17"/>
      <c r="G1560" s="4">
        <f t="shared" si="38"/>
        <v>0</v>
      </c>
      <c r="H1560" s="17"/>
      <c r="I1560" s="4">
        <f t="shared" si="36"/>
        <v>349526.07999999996</v>
      </c>
      <c r="J1560" s="32" t="str">
        <f t="shared" si="37"/>
        <v/>
      </c>
      <c r="K1560" s="79"/>
      <c r="L1560" s="79"/>
      <c r="M1560" s="2"/>
      <c r="N1560" s="5"/>
      <c r="O1560" s="3"/>
      <c r="P1560" s="6"/>
      <c r="Q1560" s="6"/>
    </row>
    <row r="1561" spans="1:17" ht="15" customHeight="1" x14ac:dyDescent="0.25">
      <c r="A1561" s="1"/>
      <c r="B1561" s="17"/>
      <c r="C1561" s="17"/>
      <c r="D1561" s="17"/>
      <c r="E1561" s="17"/>
      <c r="F1561" s="17"/>
      <c r="G1561" s="4">
        <f t="shared" si="38"/>
        <v>0</v>
      </c>
      <c r="H1561" s="17"/>
      <c r="I1561" s="4">
        <f t="shared" si="36"/>
        <v>349526.07999999996</v>
      </c>
      <c r="J1561" s="32" t="str">
        <f t="shared" si="37"/>
        <v/>
      </c>
      <c r="K1561" s="79"/>
      <c r="L1561" s="79"/>
      <c r="M1561" s="2"/>
      <c r="N1561" s="5"/>
      <c r="O1561" s="3"/>
      <c r="P1561" s="6"/>
      <c r="Q1561" s="6"/>
    </row>
    <row r="1562" spans="1:17" ht="15" customHeight="1" x14ac:dyDescent="0.25">
      <c r="A1562" s="1"/>
      <c r="B1562" s="17"/>
      <c r="C1562" s="17"/>
      <c r="D1562" s="17"/>
      <c r="E1562" s="17"/>
      <c r="F1562" s="17"/>
      <c r="G1562" s="4">
        <f t="shared" si="38"/>
        <v>0</v>
      </c>
      <c r="H1562" s="17"/>
      <c r="I1562" s="4">
        <f t="shared" si="36"/>
        <v>349526.07999999996</v>
      </c>
      <c r="J1562" s="32" t="str">
        <f t="shared" si="37"/>
        <v/>
      </c>
      <c r="K1562" s="79"/>
      <c r="L1562" s="79"/>
      <c r="M1562" s="2"/>
      <c r="N1562" s="5"/>
      <c r="O1562" s="3"/>
      <c r="P1562" s="6"/>
      <c r="Q1562" s="6"/>
    </row>
    <row r="1563" spans="1:17" ht="15" customHeight="1" x14ac:dyDescent="0.25">
      <c r="A1563" s="1"/>
      <c r="B1563" s="17"/>
      <c r="C1563" s="17"/>
      <c r="D1563" s="17"/>
      <c r="E1563" s="17"/>
      <c r="F1563" s="17"/>
      <c r="G1563" s="4">
        <f t="shared" si="38"/>
        <v>0</v>
      </c>
      <c r="H1563" s="17"/>
      <c r="I1563" s="4">
        <f t="shared" si="36"/>
        <v>349526.07999999996</v>
      </c>
      <c r="J1563" s="32" t="str">
        <f t="shared" si="37"/>
        <v/>
      </c>
      <c r="K1563" s="79"/>
      <c r="L1563" s="79"/>
      <c r="M1563" s="2"/>
      <c r="N1563" s="5"/>
      <c r="O1563" s="3"/>
      <c r="P1563" s="6"/>
      <c r="Q1563" s="6"/>
    </row>
    <row r="1564" spans="1:17" ht="15" customHeight="1" x14ac:dyDescent="0.25">
      <c r="A1564" s="1"/>
      <c r="B1564" s="17"/>
      <c r="C1564" s="17"/>
      <c r="D1564" s="17"/>
      <c r="E1564" s="17"/>
      <c r="F1564" s="17"/>
      <c r="G1564" s="4">
        <f t="shared" si="38"/>
        <v>0</v>
      </c>
      <c r="H1564" s="17"/>
      <c r="I1564" s="4">
        <f t="shared" si="36"/>
        <v>349526.07999999996</v>
      </c>
      <c r="J1564" s="32" t="str">
        <f t="shared" si="37"/>
        <v/>
      </c>
      <c r="K1564" s="79"/>
      <c r="L1564" s="79"/>
      <c r="M1564" s="2"/>
      <c r="N1564" s="5"/>
      <c r="O1564" s="3"/>
      <c r="P1564" s="6"/>
      <c r="Q1564" s="6"/>
    </row>
    <row r="1565" spans="1:17" ht="15" customHeight="1" x14ac:dyDescent="0.25">
      <c r="A1565" s="1"/>
      <c r="B1565" s="17"/>
      <c r="C1565" s="17"/>
      <c r="D1565" s="17"/>
      <c r="E1565" s="17"/>
      <c r="F1565" s="17"/>
      <c r="G1565" s="4">
        <f t="shared" si="38"/>
        <v>0</v>
      </c>
      <c r="H1565" s="17"/>
      <c r="I1565" s="4">
        <f t="shared" si="36"/>
        <v>349526.07999999996</v>
      </c>
      <c r="J1565" s="32" t="str">
        <f t="shared" si="37"/>
        <v/>
      </c>
      <c r="K1565" s="79"/>
      <c r="L1565" s="79"/>
      <c r="M1565" s="2"/>
      <c r="N1565" s="5"/>
      <c r="O1565" s="3"/>
      <c r="P1565" s="6"/>
      <c r="Q1565" s="6"/>
    </row>
    <row r="1566" spans="1:17" ht="15" customHeight="1" x14ac:dyDescent="0.25">
      <c r="A1566" s="1"/>
      <c r="B1566" s="17"/>
      <c r="C1566" s="17"/>
      <c r="D1566" s="17"/>
      <c r="E1566" s="17"/>
      <c r="F1566" s="17"/>
      <c r="G1566" s="4">
        <f t="shared" si="38"/>
        <v>0</v>
      </c>
      <c r="H1566" s="17"/>
      <c r="I1566" s="4">
        <f t="shared" si="36"/>
        <v>349526.07999999996</v>
      </c>
      <c r="J1566" s="32" t="str">
        <f t="shared" si="37"/>
        <v/>
      </c>
      <c r="K1566" s="79"/>
      <c r="L1566" s="79"/>
      <c r="M1566" s="2"/>
      <c r="N1566" s="5"/>
      <c r="O1566" s="3"/>
      <c r="P1566" s="6"/>
      <c r="Q1566" s="6"/>
    </row>
    <row r="1567" spans="1:17" ht="15" customHeight="1" x14ac:dyDescent="0.25">
      <c r="A1567" s="1"/>
      <c r="B1567" s="17"/>
      <c r="C1567" s="17"/>
      <c r="D1567" s="17"/>
      <c r="E1567" s="17"/>
      <c r="F1567" s="17"/>
      <c r="G1567" s="4">
        <f t="shared" si="38"/>
        <v>0</v>
      </c>
      <c r="H1567" s="17"/>
      <c r="I1567" s="4">
        <f t="shared" si="36"/>
        <v>349526.07999999996</v>
      </c>
      <c r="J1567" s="32" t="str">
        <f t="shared" si="37"/>
        <v/>
      </c>
      <c r="K1567" s="79"/>
      <c r="L1567" s="79"/>
      <c r="M1567" s="2"/>
      <c r="N1567" s="5"/>
      <c r="O1567" s="3"/>
      <c r="P1567" s="6"/>
      <c r="Q1567" s="6"/>
    </row>
    <row r="1568" spans="1:17" ht="15" customHeight="1" x14ac:dyDescent="0.25">
      <c r="A1568" s="1"/>
      <c r="B1568" s="17"/>
      <c r="C1568" s="17"/>
      <c r="D1568" s="17"/>
      <c r="E1568" s="17"/>
      <c r="F1568" s="17"/>
      <c r="G1568" s="4">
        <f t="shared" si="38"/>
        <v>0</v>
      </c>
      <c r="H1568" s="17"/>
      <c r="I1568" s="4">
        <f t="shared" si="36"/>
        <v>349526.07999999996</v>
      </c>
      <c r="J1568" s="32" t="str">
        <f t="shared" si="37"/>
        <v/>
      </c>
      <c r="K1568" s="79"/>
      <c r="L1568" s="79"/>
      <c r="M1568" s="2"/>
      <c r="N1568" s="5"/>
      <c r="O1568" s="3"/>
      <c r="P1568" s="6"/>
      <c r="Q1568" s="6"/>
    </row>
    <row r="1569" spans="1:17" ht="15" customHeight="1" x14ac:dyDescent="0.25">
      <c r="A1569" s="1"/>
      <c r="B1569" s="17"/>
      <c r="C1569" s="17"/>
      <c r="D1569" s="17"/>
      <c r="E1569" s="17"/>
      <c r="F1569" s="17"/>
      <c r="G1569" s="4">
        <f t="shared" si="38"/>
        <v>0</v>
      </c>
      <c r="H1569" s="17"/>
      <c r="I1569" s="4">
        <f t="shared" si="36"/>
        <v>349526.07999999996</v>
      </c>
      <c r="J1569" s="32" t="str">
        <f t="shared" si="37"/>
        <v/>
      </c>
      <c r="K1569" s="79"/>
      <c r="L1569" s="79"/>
      <c r="M1569" s="2"/>
      <c r="N1569" s="5"/>
      <c r="O1569" s="3"/>
      <c r="P1569" s="6"/>
      <c r="Q1569" s="6"/>
    </row>
    <row r="1570" spans="1:17" ht="15" customHeight="1" x14ac:dyDescent="0.25">
      <c r="A1570" s="1"/>
      <c r="B1570" s="17"/>
      <c r="C1570" s="17"/>
      <c r="D1570" s="17"/>
      <c r="E1570" s="17"/>
      <c r="F1570" s="17"/>
      <c r="G1570" s="4">
        <f t="shared" si="38"/>
        <v>0</v>
      </c>
      <c r="H1570" s="17"/>
      <c r="I1570" s="4">
        <f t="shared" si="36"/>
        <v>349526.07999999996</v>
      </c>
      <c r="J1570" s="32" t="str">
        <f t="shared" si="37"/>
        <v/>
      </c>
      <c r="K1570" s="79"/>
      <c r="L1570" s="79"/>
      <c r="M1570" s="2"/>
      <c r="N1570" s="5"/>
      <c r="O1570" s="3"/>
      <c r="P1570" s="6"/>
      <c r="Q1570" s="6"/>
    </row>
    <row r="1571" spans="1:17" ht="15" customHeight="1" x14ac:dyDescent="0.25">
      <c r="A1571" s="1"/>
      <c r="B1571" s="17"/>
      <c r="C1571" s="17"/>
      <c r="D1571" s="17"/>
      <c r="E1571" s="17"/>
      <c r="F1571" s="17"/>
      <c r="G1571" s="4">
        <f t="shared" si="38"/>
        <v>0</v>
      </c>
      <c r="H1571" s="17"/>
      <c r="I1571" s="4">
        <f t="shared" si="36"/>
        <v>349526.07999999996</v>
      </c>
      <c r="J1571" s="32" t="str">
        <f t="shared" si="37"/>
        <v/>
      </c>
      <c r="K1571" s="79"/>
      <c r="L1571" s="79"/>
      <c r="M1571" s="2"/>
      <c r="N1571" s="5"/>
      <c r="O1571" s="3"/>
      <c r="P1571" s="6"/>
      <c r="Q1571" s="6"/>
    </row>
    <row r="1572" spans="1:17" ht="15" customHeight="1" x14ac:dyDescent="0.25">
      <c r="A1572" s="1"/>
      <c r="B1572" s="17"/>
      <c r="C1572" s="17"/>
      <c r="D1572" s="17"/>
      <c r="E1572" s="17"/>
      <c r="F1572" s="17"/>
      <c r="G1572" s="4">
        <f t="shared" si="38"/>
        <v>0</v>
      </c>
      <c r="H1572" s="17"/>
      <c r="I1572" s="4">
        <f t="shared" si="36"/>
        <v>349526.07999999996</v>
      </c>
      <c r="J1572" s="32" t="str">
        <f t="shared" si="37"/>
        <v/>
      </c>
      <c r="K1572" s="79"/>
      <c r="L1572" s="79"/>
      <c r="M1572" s="2"/>
      <c r="N1572" s="5"/>
      <c r="O1572" s="3"/>
      <c r="P1572" s="6"/>
      <c r="Q1572" s="6"/>
    </row>
    <row r="1573" spans="1:17" ht="15" customHeight="1" x14ac:dyDescent="0.25">
      <c r="A1573" s="1"/>
      <c r="B1573" s="17"/>
      <c r="C1573" s="17"/>
      <c r="D1573" s="17"/>
      <c r="E1573" s="17"/>
      <c r="F1573" s="17"/>
      <c r="G1573" s="4">
        <f t="shared" si="38"/>
        <v>0</v>
      </c>
      <c r="H1573" s="17"/>
      <c r="I1573" s="4">
        <f t="shared" si="36"/>
        <v>349526.07999999996</v>
      </c>
      <c r="J1573" s="32" t="str">
        <f t="shared" si="37"/>
        <v/>
      </c>
      <c r="K1573" s="79"/>
      <c r="L1573" s="79"/>
      <c r="M1573" s="2"/>
      <c r="N1573" s="5"/>
      <c r="O1573" s="3"/>
      <c r="P1573" s="6"/>
      <c r="Q1573" s="6"/>
    </row>
    <row r="1574" spans="1:17" ht="15" customHeight="1" x14ac:dyDescent="0.25">
      <c r="A1574" s="1"/>
      <c r="B1574" s="17"/>
      <c r="C1574" s="17"/>
      <c r="D1574" s="17"/>
      <c r="E1574" s="17"/>
      <c r="F1574" s="17"/>
      <c r="G1574" s="4">
        <f t="shared" si="38"/>
        <v>0</v>
      </c>
      <c r="H1574" s="17"/>
      <c r="I1574" s="4">
        <f t="shared" si="36"/>
        <v>349526.07999999996</v>
      </c>
      <c r="J1574" s="32" t="str">
        <f t="shared" si="37"/>
        <v/>
      </c>
      <c r="K1574" s="79"/>
      <c r="L1574" s="79"/>
      <c r="M1574" s="2"/>
      <c r="N1574" s="5"/>
      <c r="O1574" s="3"/>
      <c r="P1574" s="6"/>
      <c r="Q1574" s="6"/>
    </row>
    <row r="1575" spans="1:17" ht="15" customHeight="1" x14ac:dyDescent="0.25">
      <c r="A1575" s="1"/>
      <c r="B1575" s="17"/>
      <c r="C1575" s="17"/>
      <c r="D1575" s="17"/>
      <c r="E1575" s="17"/>
      <c r="F1575" s="17"/>
      <c r="G1575" s="4">
        <f t="shared" si="38"/>
        <v>0</v>
      </c>
      <c r="H1575" s="17"/>
      <c r="I1575" s="4">
        <f t="shared" si="36"/>
        <v>349526.07999999996</v>
      </c>
      <c r="J1575" s="32" t="str">
        <f t="shared" si="37"/>
        <v/>
      </c>
      <c r="K1575" s="79"/>
      <c r="L1575" s="79"/>
      <c r="M1575" s="2"/>
      <c r="N1575" s="5"/>
      <c r="O1575" s="3"/>
      <c r="P1575" s="6"/>
      <c r="Q1575" s="6"/>
    </row>
    <row r="1576" spans="1:17" ht="15" customHeight="1" x14ac:dyDescent="0.25">
      <c r="A1576" s="1"/>
      <c r="B1576" s="17"/>
      <c r="C1576" s="17"/>
      <c r="D1576" s="17"/>
      <c r="E1576" s="17"/>
      <c r="F1576" s="17"/>
      <c r="G1576" s="4">
        <f t="shared" si="38"/>
        <v>0</v>
      </c>
      <c r="H1576" s="17"/>
      <c r="I1576" s="4">
        <f t="shared" si="36"/>
        <v>349526.07999999996</v>
      </c>
      <c r="J1576" s="32" t="str">
        <f t="shared" si="37"/>
        <v/>
      </c>
      <c r="K1576" s="79"/>
      <c r="L1576" s="79"/>
      <c r="M1576" s="2"/>
      <c r="N1576" s="5"/>
      <c r="O1576" s="3"/>
      <c r="P1576" s="6"/>
      <c r="Q1576" s="6"/>
    </row>
    <row r="1577" spans="1:17" ht="15" customHeight="1" x14ac:dyDescent="0.25">
      <c r="A1577" s="1"/>
      <c r="B1577" s="17"/>
      <c r="C1577" s="17"/>
      <c r="D1577" s="17"/>
      <c r="E1577" s="17"/>
      <c r="F1577" s="17"/>
      <c r="G1577" s="4">
        <f t="shared" si="38"/>
        <v>0</v>
      </c>
      <c r="H1577" s="17"/>
      <c r="I1577" s="4">
        <f t="shared" si="36"/>
        <v>349526.07999999996</v>
      </c>
      <c r="J1577" s="32" t="str">
        <f t="shared" si="37"/>
        <v/>
      </c>
      <c r="K1577" s="79"/>
      <c r="L1577" s="79"/>
      <c r="M1577" s="2"/>
      <c r="N1577" s="5"/>
      <c r="O1577" s="3"/>
      <c r="P1577" s="6"/>
      <c r="Q1577" s="6"/>
    </row>
    <row r="1578" spans="1:17" ht="15" customHeight="1" x14ac:dyDescent="0.25">
      <c r="A1578" s="1"/>
      <c r="B1578" s="17"/>
      <c r="C1578" s="17"/>
      <c r="D1578" s="17"/>
      <c r="E1578" s="17"/>
      <c r="F1578" s="17"/>
      <c r="G1578" s="4">
        <f t="shared" si="38"/>
        <v>0</v>
      </c>
      <c r="H1578" s="17"/>
      <c r="I1578" s="4">
        <f t="shared" si="36"/>
        <v>349526.07999999996</v>
      </c>
      <c r="J1578" s="32" t="str">
        <f t="shared" si="37"/>
        <v/>
      </c>
      <c r="K1578" s="79"/>
      <c r="L1578" s="79"/>
      <c r="M1578" s="2"/>
      <c r="N1578" s="5"/>
      <c r="O1578" s="3"/>
      <c r="P1578" s="6"/>
      <c r="Q1578" s="6"/>
    </row>
    <row r="1579" spans="1:17" ht="15" customHeight="1" x14ac:dyDescent="0.25">
      <c r="A1579" s="1"/>
      <c r="B1579" s="17"/>
      <c r="C1579" s="17"/>
      <c r="D1579" s="17"/>
      <c r="E1579" s="17"/>
      <c r="F1579" s="17"/>
      <c r="G1579" s="4">
        <f t="shared" si="38"/>
        <v>0</v>
      </c>
      <c r="H1579" s="17"/>
      <c r="I1579" s="4">
        <f t="shared" si="36"/>
        <v>349526.07999999996</v>
      </c>
      <c r="J1579" s="32" t="str">
        <f t="shared" si="37"/>
        <v/>
      </c>
      <c r="K1579" s="79"/>
      <c r="L1579" s="79"/>
      <c r="M1579" s="2"/>
      <c r="N1579" s="5"/>
      <c r="O1579" s="3"/>
      <c r="P1579" s="6"/>
      <c r="Q1579" s="6"/>
    </row>
    <row r="1580" spans="1:17" ht="15" customHeight="1" x14ac:dyDescent="0.25">
      <c r="A1580" s="1"/>
      <c r="B1580" s="17"/>
      <c r="C1580" s="17"/>
      <c r="D1580" s="17"/>
      <c r="E1580" s="17"/>
      <c r="F1580" s="17"/>
      <c r="G1580" s="4">
        <f t="shared" si="38"/>
        <v>0</v>
      </c>
      <c r="H1580" s="17"/>
      <c r="I1580" s="4">
        <f t="shared" si="36"/>
        <v>349526.07999999996</v>
      </c>
      <c r="J1580" s="32" t="str">
        <f t="shared" si="37"/>
        <v/>
      </c>
      <c r="K1580" s="79"/>
      <c r="L1580" s="79"/>
      <c r="M1580" s="2"/>
      <c r="N1580" s="5"/>
      <c r="O1580" s="3"/>
      <c r="P1580" s="6"/>
      <c r="Q1580" s="6"/>
    </row>
    <row r="1581" spans="1:17" ht="15" customHeight="1" x14ac:dyDescent="0.25">
      <c r="A1581" s="1"/>
      <c r="B1581" s="17"/>
      <c r="C1581" s="17"/>
      <c r="D1581" s="17"/>
      <c r="E1581" s="17"/>
      <c r="F1581" s="17"/>
      <c r="G1581" s="4">
        <f t="shared" si="38"/>
        <v>0</v>
      </c>
      <c r="H1581" s="17"/>
      <c r="I1581" s="4">
        <f t="shared" si="36"/>
        <v>349526.07999999996</v>
      </c>
      <c r="J1581" s="32" t="str">
        <f t="shared" si="37"/>
        <v/>
      </c>
      <c r="K1581" s="79"/>
      <c r="L1581" s="79"/>
      <c r="M1581" s="2"/>
      <c r="N1581" s="5"/>
      <c r="O1581" s="3"/>
      <c r="P1581" s="6"/>
      <c r="Q1581" s="6"/>
    </row>
    <row r="1582" spans="1:17" ht="15" customHeight="1" x14ac:dyDescent="0.25">
      <c r="A1582" s="1"/>
      <c r="B1582" s="17"/>
      <c r="C1582" s="17"/>
      <c r="D1582" s="17"/>
      <c r="E1582" s="17"/>
      <c r="F1582" s="17"/>
      <c r="G1582" s="4">
        <f t="shared" si="38"/>
        <v>0</v>
      </c>
      <c r="H1582" s="17"/>
      <c r="I1582" s="4">
        <f t="shared" si="36"/>
        <v>349526.07999999996</v>
      </c>
      <c r="J1582" s="32" t="str">
        <f t="shared" si="37"/>
        <v/>
      </c>
      <c r="K1582" s="79"/>
      <c r="L1582" s="79"/>
      <c r="M1582" s="2"/>
      <c r="N1582" s="5"/>
      <c r="O1582" s="3"/>
      <c r="P1582" s="6"/>
      <c r="Q1582" s="6"/>
    </row>
    <row r="1583" spans="1:17" ht="15" customHeight="1" x14ac:dyDescent="0.25">
      <c r="A1583" s="1"/>
      <c r="B1583" s="17"/>
      <c r="C1583" s="17"/>
      <c r="D1583" s="17"/>
      <c r="E1583" s="17"/>
      <c r="F1583" s="17"/>
      <c r="G1583" s="4">
        <f t="shared" si="38"/>
        <v>0</v>
      </c>
      <c r="H1583" s="17"/>
      <c r="I1583" s="4">
        <f t="shared" si="36"/>
        <v>349526.07999999996</v>
      </c>
      <c r="J1583" s="32" t="str">
        <f t="shared" si="37"/>
        <v/>
      </c>
      <c r="K1583" s="79"/>
      <c r="L1583" s="79"/>
      <c r="M1583" s="2"/>
      <c r="N1583" s="5"/>
      <c r="O1583" s="3"/>
      <c r="P1583" s="6"/>
      <c r="Q1583" s="6"/>
    </row>
    <row r="1584" spans="1:17" ht="15" customHeight="1" x14ac:dyDescent="0.25">
      <c r="A1584" s="1"/>
      <c r="B1584" s="17"/>
      <c r="C1584" s="17"/>
      <c r="D1584" s="17"/>
      <c r="E1584" s="17"/>
      <c r="F1584" s="17"/>
      <c r="G1584" s="4">
        <f t="shared" si="38"/>
        <v>0</v>
      </c>
      <c r="H1584" s="17"/>
      <c r="I1584" s="4">
        <f t="shared" si="36"/>
        <v>349526.07999999996</v>
      </c>
      <c r="J1584" s="32" t="str">
        <f t="shared" si="37"/>
        <v/>
      </c>
      <c r="K1584" s="79"/>
      <c r="L1584" s="79"/>
      <c r="M1584" s="2"/>
      <c r="N1584" s="5"/>
      <c r="O1584" s="3"/>
      <c r="P1584" s="6"/>
      <c r="Q1584" s="6"/>
    </row>
    <row r="1585" spans="1:17" ht="15" customHeight="1" x14ac:dyDescent="0.25">
      <c r="A1585" s="1"/>
      <c r="B1585" s="17"/>
      <c r="C1585" s="17"/>
      <c r="D1585" s="17"/>
      <c r="E1585" s="17"/>
      <c r="F1585" s="17"/>
      <c r="G1585" s="4">
        <f t="shared" si="38"/>
        <v>0</v>
      </c>
      <c r="H1585" s="17"/>
      <c r="I1585" s="4">
        <f t="shared" si="36"/>
        <v>349526.07999999996</v>
      </c>
      <c r="J1585" s="32" t="str">
        <f t="shared" si="37"/>
        <v/>
      </c>
      <c r="K1585" s="79"/>
      <c r="L1585" s="79"/>
      <c r="M1585" s="2"/>
      <c r="N1585" s="5"/>
      <c r="O1585" s="3"/>
      <c r="P1585" s="6"/>
      <c r="Q1585" s="6"/>
    </row>
    <row r="1586" spans="1:17" ht="15" customHeight="1" x14ac:dyDescent="0.25">
      <c r="A1586" s="1"/>
      <c r="B1586" s="17"/>
      <c r="C1586" s="17"/>
      <c r="D1586" s="17"/>
      <c r="E1586" s="17"/>
      <c r="F1586" s="17"/>
      <c r="G1586" s="4">
        <f t="shared" si="38"/>
        <v>0</v>
      </c>
      <c r="H1586" s="17"/>
      <c r="I1586" s="4">
        <f t="shared" si="36"/>
        <v>349526.07999999996</v>
      </c>
      <c r="J1586" s="32" t="str">
        <f t="shared" si="37"/>
        <v/>
      </c>
      <c r="K1586" s="79"/>
      <c r="L1586" s="79"/>
      <c r="M1586" s="2"/>
      <c r="N1586" s="5"/>
      <c r="O1586" s="3"/>
      <c r="P1586" s="6"/>
      <c r="Q1586" s="6"/>
    </row>
    <row r="1587" spans="1:17" ht="15" customHeight="1" x14ac:dyDescent="0.25">
      <c r="A1587" s="1"/>
      <c r="B1587" s="17"/>
      <c r="C1587" s="17"/>
      <c r="D1587" s="17"/>
      <c r="E1587" s="17"/>
      <c r="F1587" s="17"/>
      <c r="G1587" s="4">
        <f t="shared" si="38"/>
        <v>0</v>
      </c>
      <c r="H1587" s="17"/>
      <c r="I1587" s="4">
        <f t="shared" si="36"/>
        <v>349526.07999999996</v>
      </c>
      <c r="J1587" s="32" t="str">
        <f t="shared" si="37"/>
        <v/>
      </c>
      <c r="K1587" s="79"/>
      <c r="L1587" s="79"/>
      <c r="M1587" s="2"/>
      <c r="N1587" s="5"/>
      <c r="O1587" s="3"/>
      <c r="P1587" s="6"/>
      <c r="Q1587" s="6"/>
    </row>
    <row r="1588" spans="1:17" ht="15" customHeight="1" x14ac:dyDescent="0.25">
      <c r="A1588" s="1"/>
      <c r="B1588" s="17"/>
      <c r="C1588" s="17"/>
      <c r="D1588" s="17"/>
      <c r="E1588" s="17"/>
      <c r="F1588" s="17"/>
      <c r="G1588" s="4">
        <f t="shared" si="38"/>
        <v>0</v>
      </c>
      <c r="H1588" s="17"/>
      <c r="I1588" s="4">
        <f t="shared" si="36"/>
        <v>349526.07999999996</v>
      </c>
      <c r="J1588" s="32" t="str">
        <f t="shared" si="37"/>
        <v/>
      </c>
      <c r="K1588" s="79"/>
      <c r="L1588" s="79"/>
      <c r="M1588" s="2"/>
      <c r="N1588" s="5"/>
      <c r="O1588" s="3"/>
      <c r="P1588" s="6"/>
      <c r="Q1588" s="6"/>
    </row>
    <row r="1589" spans="1:17" ht="15" customHeight="1" x14ac:dyDescent="0.25">
      <c r="A1589" s="1"/>
      <c r="B1589" s="17"/>
      <c r="C1589" s="17"/>
      <c r="D1589" s="17"/>
      <c r="E1589" s="17"/>
      <c r="F1589" s="17"/>
      <c r="G1589" s="4">
        <f t="shared" si="38"/>
        <v>0</v>
      </c>
      <c r="H1589" s="17"/>
      <c r="I1589" s="4">
        <f t="shared" si="36"/>
        <v>349526.07999999996</v>
      </c>
      <c r="J1589" s="32" t="str">
        <f t="shared" si="37"/>
        <v/>
      </c>
      <c r="K1589" s="79"/>
      <c r="L1589" s="79"/>
      <c r="M1589" s="2"/>
      <c r="N1589" s="5"/>
      <c r="O1589" s="3"/>
      <c r="P1589" s="6"/>
      <c r="Q1589" s="6"/>
    </row>
    <row r="1590" spans="1:17" ht="15" customHeight="1" x14ac:dyDescent="0.25">
      <c r="A1590" s="1"/>
      <c r="B1590" s="17"/>
      <c r="C1590" s="17"/>
      <c r="D1590" s="17"/>
      <c r="E1590" s="17"/>
      <c r="F1590" s="17"/>
      <c r="G1590" s="4">
        <f t="shared" si="38"/>
        <v>0</v>
      </c>
      <c r="H1590" s="17"/>
      <c r="I1590" s="4">
        <f t="shared" ref="I1590:I1653" si="39">$I1589+$G1590-$H1590</f>
        <v>349526.07999999996</v>
      </c>
      <c r="J1590" s="32" t="str">
        <f t="shared" ref="J1590:J1653" si="40">IF($A1591&lt;&gt;$A1590,$I1590,"")</f>
        <v/>
      </c>
      <c r="K1590" s="79"/>
      <c r="L1590" s="79"/>
      <c r="M1590" s="2"/>
      <c r="N1590" s="5"/>
      <c r="O1590" s="3"/>
      <c r="P1590" s="6"/>
      <c r="Q1590" s="6"/>
    </row>
    <row r="1591" spans="1:17" ht="15" customHeight="1" x14ac:dyDescent="0.25">
      <c r="A1591" s="1"/>
      <c r="B1591" s="17"/>
      <c r="C1591" s="17"/>
      <c r="D1591" s="17"/>
      <c r="E1591" s="17"/>
      <c r="F1591" s="17"/>
      <c r="G1591" s="4">
        <f t="shared" si="38"/>
        <v>0</v>
      </c>
      <c r="H1591" s="17"/>
      <c r="I1591" s="4">
        <f t="shared" si="39"/>
        <v>349526.07999999996</v>
      </c>
      <c r="J1591" s="32" t="str">
        <f t="shared" si="40"/>
        <v/>
      </c>
      <c r="K1591" s="79"/>
      <c r="L1591" s="79"/>
      <c r="M1591" s="2"/>
      <c r="N1591" s="5"/>
      <c r="O1591" s="3"/>
      <c r="P1591" s="6"/>
      <c r="Q1591" s="6"/>
    </row>
    <row r="1592" spans="1:17" ht="15" customHeight="1" x14ac:dyDescent="0.25">
      <c r="A1592" s="1"/>
      <c r="B1592" s="17"/>
      <c r="C1592" s="17"/>
      <c r="D1592" s="17"/>
      <c r="E1592" s="17"/>
      <c r="F1592" s="17"/>
      <c r="G1592" s="4">
        <f t="shared" si="38"/>
        <v>0</v>
      </c>
      <c r="H1592" s="17"/>
      <c r="I1592" s="4">
        <f t="shared" si="39"/>
        <v>349526.07999999996</v>
      </c>
      <c r="J1592" s="32" t="str">
        <f t="shared" si="40"/>
        <v/>
      </c>
      <c r="K1592" s="79"/>
      <c r="L1592" s="79"/>
      <c r="M1592" s="2"/>
      <c r="N1592" s="5"/>
      <c r="O1592" s="3"/>
      <c r="P1592" s="6"/>
      <c r="Q1592" s="6"/>
    </row>
    <row r="1593" spans="1:17" ht="15" customHeight="1" x14ac:dyDescent="0.25">
      <c r="A1593" s="1"/>
      <c r="B1593" s="17"/>
      <c r="C1593" s="17"/>
      <c r="D1593" s="17"/>
      <c r="E1593" s="17"/>
      <c r="F1593" s="17"/>
      <c r="G1593" s="4">
        <f t="shared" si="38"/>
        <v>0</v>
      </c>
      <c r="H1593" s="17"/>
      <c r="I1593" s="4">
        <f t="shared" si="39"/>
        <v>349526.07999999996</v>
      </c>
      <c r="J1593" s="32" t="str">
        <f t="shared" si="40"/>
        <v/>
      </c>
      <c r="K1593" s="79"/>
      <c r="L1593" s="79"/>
      <c r="M1593" s="2"/>
      <c r="N1593" s="5"/>
      <c r="O1593" s="3"/>
      <c r="P1593" s="6"/>
      <c r="Q1593" s="6"/>
    </row>
    <row r="1594" spans="1:17" ht="15" customHeight="1" x14ac:dyDescent="0.25">
      <c r="A1594" s="1"/>
      <c r="B1594" s="17"/>
      <c r="C1594" s="17"/>
      <c r="D1594" s="17"/>
      <c r="E1594" s="17"/>
      <c r="F1594" s="17"/>
      <c r="G1594" s="4">
        <f t="shared" si="38"/>
        <v>0</v>
      </c>
      <c r="H1594" s="17"/>
      <c r="I1594" s="4">
        <f t="shared" si="39"/>
        <v>349526.07999999996</v>
      </c>
      <c r="J1594" s="32" t="str">
        <f t="shared" si="40"/>
        <v/>
      </c>
      <c r="K1594" s="79"/>
      <c r="L1594" s="79"/>
      <c r="M1594" s="2"/>
      <c r="N1594" s="5"/>
      <c r="O1594" s="3"/>
      <c r="P1594" s="6"/>
      <c r="Q1594" s="6"/>
    </row>
    <row r="1595" spans="1:17" ht="15" customHeight="1" x14ac:dyDescent="0.25">
      <c r="A1595" s="1"/>
      <c r="B1595" s="17"/>
      <c r="C1595" s="17"/>
      <c r="D1595" s="17"/>
      <c r="E1595" s="17"/>
      <c r="F1595" s="17"/>
      <c r="G1595" s="4">
        <f t="shared" si="38"/>
        <v>0</v>
      </c>
      <c r="H1595" s="17"/>
      <c r="I1595" s="4">
        <f t="shared" si="39"/>
        <v>349526.07999999996</v>
      </c>
      <c r="J1595" s="32" t="str">
        <f t="shared" si="40"/>
        <v/>
      </c>
      <c r="K1595" s="79"/>
      <c r="L1595" s="79"/>
      <c r="M1595" s="2"/>
      <c r="N1595" s="5"/>
      <c r="O1595" s="3"/>
      <c r="P1595" s="6"/>
      <c r="Q1595" s="6"/>
    </row>
    <row r="1596" spans="1:17" ht="15" customHeight="1" x14ac:dyDescent="0.25">
      <c r="A1596" s="1"/>
      <c r="B1596" s="17"/>
      <c r="C1596" s="17"/>
      <c r="D1596" s="17"/>
      <c r="E1596" s="17"/>
      <c r="F1596" s="17"/>
      <c r="G1596" s="4">
        <f t="shared" si="38"/>
        <v>0</v>
      </c>
      <c r="H1596" s="17"/>
      <c r="I1596" s="4">
        <f t="shared" si="39"/>
        <v>349526.07999999996</v>
      </c>
      <c r="J1596" s="32" t="str">
        <f t="shared" si="40"/>
        <v/>
      </c>
      <c r="K1596" s="79"/>
      <c r="L1596" s="79"/>
      <c r="M1596" s="2"/>
      <c r="N1596" s="5"/>
      <c r="O1596" s="3"/>
      <c r="P1596" s="6"/>
      <c r="Q1596" s="6"/>
    </row>
    <row r="1597" spans="1:17" ht="15" customHeight="1" x14ac:dyDescent="0.25">
      <c r="A1597" s="1"/>
      <c r="B1597" s="17"/>
      <c r="C1597" s="17"/>
      <c r="D1597" s="17"/>
      <c r="E1597" s="17"/>
      <c r="F1597" s="17"/>
      <c r="G1597" s="4">
        <f t="shared" si="38"/>
        <v>0</v>
      </c>
      <c r="H1597" s="17"/>
      <c r="I1597" s="4">
        <f t="shared" si="39"/>
        <v>349526.07999999996</v>
      </c>
      <c r="J1597" s="32" t="str">
        <f t="shared" si="40"/>
        <v/>
      </c>
      <c r="K1597" s="79"/>
      <c r="L1597" s="79"/>
      <c r="M1597" s="2"/>
      <c r="N1597" s="5"/>
      <c r="O1597" s="3"/>
      <c r="P1597" s="6"/>
      <c r="Q1597" s="6"/>
    </row>
    <row r="1598" spans="1:17" ht="15" customHeight="1" x14ac:dyDescent="0.25">
      <c r="A1598" s="1"/>
      <c r="B1598" s="17"/>
      <c r="C1598" s="17"/>
      <c r="D1598" s="17"/>
      <c r="E1598" s="17"/>
      <c r="F1598" s="17"/>
      <c r="G1598" s="4">
        <f t="shared" si="38"/>
        <v>0</v>
      </c>
      <c r="H1598" s="17"/>
      <c r="I1598" s="4">
        <f t="shared" si="39"/>
        <v>349526.07999999996</v>
      </c>
      <c r="J1598" s="32" t="str">
        <f t="shared" si="40"/>
        <v/>
      </c>
      <c r="K1598" s="79"/>
      <c r="L1598" s="79"/>
      <c r="M1598" s="2"/>
      <c r="N1598" s="5"/>
      <c r="O1598" s="3"/>
      <c r="P1598" s="6"/>
      <c r="Q1598" s="6"/>
    </row>
    <row r="1599" spans="1:17" ht="15" customHeight="1" x14ac:dyDescent="0.25">
      <c r="A1599" s="1"/>
      <c r="B1599" s="17"/>
      <c r="C1599" s="17"/>
      <c r="D1599" s="17"/>
      <c r="E1599" s="17"/>
      <c r="F1599" s="17"/>
      <c r="G1599" s="4">
        <f t="shared" si="38"/>
        <v>0</v>
      </c>
      <c r="H1599" s="17"/>
      <c r="I1599" s="4">
        <f t="shared" si="39"/>
        <v>349526.07999999996</v>
      </c>
      <c r="J1599" s="32" t="str">
        <f t="shared" si="40"/>
        <v/>
      </c>
      <c r="K1599" s="79"/>
      <c r="L1599" s="79"/>
      <c r="M1599" s="2"/>
      <c r="N1599" s="5"/>
      <c r="O1599" s="3"/>
      <c r="P1599" s="6"/>
      <c r="Q1599" s="6"/>
    </row>
    <row r="1600" spans="1:17" ht="15" customHeight="1" x14ac:dyDescent="0.25">
      <c r="A1600" s="1"/>
      <c r="B1600" s="17"/>
      <c r="C1600" s="17"/>
      <c r="D1600" s="17"/>
      <c r="E1600" s="17"/>
      <c r="F1600" s="17"/>
      <c r="G1600" s="4">
        <f t="shared" si="38"/>
        <v>0</v>
      </c>
      <c r="H1600" s="17"/>
      <c r="I1600" s="4">
        <f t="shared" si="39"/>
        <v>349526.07999999996</v>
      </c>
      <c r="J1600" s="32" t="str">
        <f t="shared" si="40"/>
        <v/>
      </c>
      <c r="K1600" s="79"/>
      <c r="L1600" s="79"/>
      <c r="M1600" s="2"/>
      <c r="N1600" s="5"/>
      <c r="O1600" s="3"/>
      <c r="P1600" s="6"/>
      <c r="Q1600" s="6"/>
    </row>
    <row r="1601" spans="1:17" ht="15" customHeight="1" x14ac:dyDescent="0.25">
      <c r="A1601" s="1"/>
      <c r="B1601" s="17"/>
      <c r="C1601" s="17"/>
      <c r="D1601" s="17"/>
      <c r="E1601" s="17"/>
      <c r="F1601" s="17"/>
      <c r="G1601" s="4">
        <f t="shared" si="38"/>
        <v>0</v>
      </c>
      <c r="H1601" s="17"/>
      <c r="I1601" s="4">
        <f t="shared" si="39"/>
        <v>349526.07999999996</v>
      </c>
      <c r="J1601" s="32" t="str">
        <f t="shared" si="40"/>
        <v/>
      </c>
      <c r="K1601" s="79"/>
      <c r="L1601" s="79"/>
      <c r="M1601" s="2"/>
      <c r="N1601" s="5"/>
      <c r="O1601" s="3"/>
      <c r="P1601" s="6"/>
      <c r="Q1601" s="6"/>
    </row>
    <row r="1602" spans="1:17" ht="15" customHeight="1" x14ac:dyDescent="0.25">
      <c r="A1602" s="1"/>
      <c r="B1602" s="17"/>
      <c r="C1602" s="17"/>
      <c r="D1602" s="17"/>
      <c r="E1602" s="17"/>
      <c r="F1602" s="17"/>
      <c r="G1602" s="4">
        <f t="shared" si="38"/>
        <v>0</v>
      </c>
      <c r="H1602" s="17"/>
      <c r="I1602" s="4">
        <f t="shared" si="39"/>
        <v>349526.07999999996</v>
      </c>
      <c r="J1602" s="32" t="str">
        <f t="shared" si="40"/>
        <v/>
      </c>
      <c r="K1602" s="79"/>
      <c r="L1602" s="79"/>
      <c r="M1602" s="2"/>
      <c r="N1602" s="5"/>
      <c r="O1602" s="3"/>
      <c r="P1602" s="6"/>
      <c r="Q1602" s="6"/>
    </row>
    <row r="1603" spans="1:17" ht="15" customHeight="1" x14ac:dyDescent="0.25">
      <c r="A1603" s="1"/>
      <c r="B1603" s="17"/>
      <c r="C1603" s="17"/>
      <c r="D1603" s="17"/>
      <c r="E1603" s="17"/>
      <c r="F1603" s="17"/>
      <c r="G1603" s="4">
        <f t="shared" ref="G1603:G1666" si="41">SUM($B1603:$F1603)</f>
        <v>0</v>
      </c>
      <c r="H1603" s="17"/>
      <c r="I1603" s="4">
        <f t="shared" si="39"/>
        <v>349526.07999999996</v>
      </c>
      <c r="J1603" s="32" t="str">
        <f t="shared" si="40"/>
        <v/>
      </c>
      <c r="K1603" s="79"/>
      <c r="L1603" s="79"/>
      <c r="M1603" s="2"/>
      <c r="N1603" s="5"/>
      <c r="O1603" s="3"/>
      <c r="P1603" s="6"/>
      <c r="Q1603" s="6"/>
    </row>
    <row r="1604" spans="1:17" ht="15" customHeight="1" x14ac:dyDescent="0.25">
      <c r="A1604" s="1"/>
      <c r="B1604" s="17"/>
      <c r="C1604" s="17"/>
      <c r="D1604" s="17"/>
      <c r="E1604" s="17"/>
      <c r="F1604" s="17"/>
      <c r="G1604" s="4">
        <f t="shared" si="41"/>
        <v>0</v>
      </c>
      <c r="H1604" s="17"/>
      <c r="I1604" s="4">
        <f t="shared" si="39"/>
        <v>349526.07999999996</v>
      </c>
      <c r="J1604" s="32" t="str">
        <f t="shared" si="40"/>
        <v/>
      </c>
      <c r="K1604" s="79"/>
      <c r="L1604" s="79"/>
      <c r="M1604" s="2"/>
      <c r="N1604" s="5"/>
      <c r="O1604" s="3"/>
      <c r="P1604" s="6"/>
      <c r="Q1604" s="6"/>
    </row>
    <row r="1605" spans="1:17" ht="15" customHeight="1" x14ac:dyDescent="0.25">
      <c r="A1605" s="1"/>
      <c r="B1605" s="17"/>
      <c r="C1605" s="17"/>
      <c r="D1605" s="17"/>
      <c r="E1605" s="17"/>
      <c r="F1605" s="17"/>
      <c r="G1605" s="4">
        <f t="shared" si="41"/>
        <v>0</v>
      </c>
      <c r="H1605" s="17"/>
      <c r="I1605" s="4">
        <f t="shared" si="39"/>
        <v>349526.07999999996</v>
      </c>
      <c r="J1605" s="32" t="str">
        <f t="shared" si="40"/>
        <v/>
      </c>
      <c r="K1605" s="79"/>
      <c r="L1605" s="79"/>
      <c r="M1605" s="2"/>
      <c r="N1605" s="5"/>
      <c r="O1605" s="3"/>
      <c r="P1605" s="6"/>
      <c r="Q1605" s="6"/>
    </row>
    <row r="1606" spans="1:17" ht="15" customHeight="1" x14ac:dyDescent="0.25">
      <c r="A1606" s="1"/>
      <c r="B1606" s="17"/>
      <c r="C1606" s="17"/>
      <c r="D1606" s="17"/>
      <c r="E1606" s="17"/>
      <c r="F1606" s="17"/>
      <c r="G1606" s="4">
        <f t="shared" si="41"/>
        <v>0</v>
      </c>
      <c r="H1606" s="17"/>
      <c r="I1606" s="4">
        <f t="shared" si="39"/>
        <v>349526.07999999996</v>
      </c>
      <c r="J1606" s="32" t="str">
        <f t="shared" si="40"/>
        <v/>
      </c>
      <c r="K1606" s="79"/>
      <c r="L1606" s="79"/>
      <c r="M1606" s="2"/>
      <c r="N1606" s="5"/>
      <c r="O1606" s="3"/>
      <c r="P1606" s="6"/>
      <c r="Q1606" s="6"/>
    </row>
    <row r="1607" spans="1:17" ht="15" customHeight="1" x14ac:dyDescent="0.25">
      <c r="A1607" s="1"/>
      <c r="B1607" s="17"/>
      <c r="C1607" s="17"/>
      <c r="D1607" s="17"/>
      <c r="E1607" s="17"/>
      <c r="F1607" s="17"/>
      <c r="G1607" s="4">
        <f t="shared" si="41"/>
        <v>0</v>
      </c>
      <c r="H1607" s="17"/>
      <c r="I1607" s="4">
        <f t="shared" si="39"/>
        <v>349526.07999999996</v>
      </c>
      <c r="J1607" s="32" t="str">
        <f t="shared" si="40"/>
        <v/>
      </c>
      <c r="K1607" s="79"/>
      <c r="L1607" s="79"/>
      <c r="M1607" s="2"/>
      <c r="N1607" s="5"/>
      <c r="O1607" s="3"/>
      <c r="P1607" s="6"/>
      <c r="Q1607" s="6"/>
    </row>
    <row r="1608" spans="1:17" ht="15" customHeight="1" x14ac:dyDescent="0.25">
      <c r="A1608" s="1"/>
      <c r="B1608" s="17"/>
      <c r="C1608" s="17"/>
      <c r="D1608" s="17"/>
      <c r="E1608" s="17"/>
      <c r="F1608" s="17"/>
      <c r="G1608" s="4">
        <f t="shared" si="41"/>
        <v>0</v>
      </c>
      <c r="H1608" s="17"/>
      <c r="I1608" s="4">
        <f t="shared" si="39"/>
        <v>349526.07999999996</v>
      </c>
      <c r="J1608" s="32" t="str">
        <f t="shared" si="40"/>
        <v/>
      </c>
      <c r="K1608" s="79"/>
      <c r="L1608" s="79"/>
      <c r="M1608" s="2"/>
      <c r="N1608" s="5"/>
      <c r="O1608" s="3"/>
      <c r="P1608" s="6"/>
      <c r="Q1608" s="6"/>
    </row>
    <row r="1609" spans="1:17" ht="15" customHeight="1" x14ac:dyDescent="0.25">
      <c r="A1609" s="1"/>
      <c r="B1609" s="17"/>
      <c r="C1609" s="17"/>
      <c r="D1609" s="17"/>
      <c r="E1609" s="17"/>
      <c r="F1609" s="17"/>
      <c r="G1609" s="4">
        <f t="shared" si="41"/>
        <v>0</v>
      </c>
      <c r="H1609" s="17"/>
      <c r="I1609" s="4">
        <f t="shared" si="39"/>
        <v>349526.07999999996</v>
      </c>
      <c r="J1609" s="32" t="str">
        <f t="shared" si="40"/>
        <v/>
      </c>
      <c r="K1609" s="79"/>
      <c r="L1609" s="79"/>
      <c r="M1609" s="2"/>
      <c r="N1609" s="5"/>
      <c r="O1609" s="3"/>
      <c r="P1609" s="6"/>
      <c r="Q1609" s="6"/>
    </row>
    <row r="1610" spans="1:17" ht="15" customHeight="1" x14ac:dyDescent="0.25">
      <c r="A1610" s="1"/>
      <c r="B1610" s="17"/>
      <c r="C1610" s="17"/>
      <c r="D1610" s="17"/>
      <c r="E1610" s="17"/>
      <c r="F1610" s="17"/>
      <c r="G1610" s="4">
        <f t="shared" si="41"/>
        <v>0</v>
      </c>
      <c r="H1610" s="17"/>
      <c r="I1610" s="4">
        <f t="shared" si="39"/>
        <v>349526.07999999996</v>
      </c>
      <c r="J1610" s="32" t="str">
        <f t="shared" si="40"/>
        <v/>
      </c>
      <c r="K1610" s="79"/>
      <c r="L1610" s="79"/>
      <c r="M1610" s="2"/>
      <c r="N1610" s="5"/>
      <c r="O1610" s="3"/>
      <c r="P1610" s="6"/>
      <c r="Q1610" s="6"/>
    </row>
    <row r="1611" spans="1:17" ht="15" customHeight="1" x14ac:dyDescent="0.25">
      <c r="A1611" s="1"/>
      <c r="B1611" s="17"/>
      <c r="C1611" s="17"/>
      <c r="D1611" s="17"/>
      <c r="E1611" s="17"/>
      <c r="F1611" s="17"/>
      <c r="G1611" s="4">
        <f t="shared" si="41"/>
        <v>0</v>
      </c>
      <c r="H1611" s="17"/>
      <c r="I1611" s="4">
        <f t="shared" si="39"/>
        <v>349526.07999999996</v>
      </c>
      <c r="J1611" s="32" t="str">
        <f t="shared" si="40"/>
        <v/>
      </c>
      <c r="K1611" s="79"/>
      <c r="L1611" s="79"/>
      <c r="M1611" s="2"/>
      <c r="N1611" s="5"/>
      <c r="O1611" s="3"/>
      <c r="P1611" s="6"/>
      <c r="Q1611" s="6"/>
    </row>
    <row r="1612" spans="1:17" ht="15" customHeight="1" x14ac:dyDescent="0.25">
      <c r="A1612" s="1"/>
      <c r="B1612" s="17"/>
      <c r="C1612" s="17"/>
      <c r="D1612" s="17"/>
      <c r="E1612" s="17"/>
      <c r="F1612" s="17"/>
      <c r="G1612" s="4">
        <f t="shared" si="41"/>
        <v>0</v>
      </c>
      <c r="H1612" s="17"/>
      <c r="I1612" s="4">
        <f t="shared" si="39"/>
        <v>349526.07999999996</v>
      </c>
      <c r="J1612" s="32" t="str">
        <f t="shared" si="40"/>
        <v/>
      </c>
      <c r="K1612" s="79"/>
      <c r="L1612" s="79"/>
      <c r="M1612" s="2"/>
      <c r="N1612" s="5"/>
      <c r="O1612" s="3"/>
      <c r="P1612" s="6"/>
      <c r="Q1612" s="6"/>
    </row>
    <row r="1613" spans="1:17" ht="15" customHeight="1" x14ac:dyDescent="0.25">
      <c r="A1613" s="1"/>
      <c r="B1613" s="17"/>
      <c r="C1613" s="17"/>
      <c r="D1613" s="17"/>
      <c r="E1613" s="17"/>
      <c r="F1613" s="17"/>
      <c r="G1613" s="4">
        <f t="shared" si="41"/>
        <v>0</v>
      </c>
      <c r="H1613" s="17"/>
      <c r="I1613" s="4">
        <f t="shared" si="39"/>
        <v>349526.07999999996</v>
      </c>
      <c r="J1613" s="32" t="str">
        <f t="shared" si="40"/>
        <v/>
      </c>
      <c r="K1613" s="79"/>
      <c r="L1613" s="79"/>
      <c r="M1613" s="2"/>
      <c r="N1613" s="5"/>
      <c r="O1613" s="3"/>
      <c r="P1613" s="6"/>
      <c r="Q1613" s="6"/>
    </row>
    <row r="1614" spans="1:17" ht="15" customHeight="1" x14ac:dyDescent="0.25">
      <c r="A1614" s="1"/>
      <c r="B1614" s="17"/>
      <c r="C1614" s="17"/>
      <c r="D1614" s="17"/>
      <c r="E1614" s="17"/>
      <c r="F1614" s="17"/>
      <c r="G1614" s="4">
        <f t="shared" si="41"/>
        <v>0</v>
      </c>
      <c r="H1614" s="17"/>
      <c r="I1614" s="4">
        <f t="shared" si="39"/>
        <v>349526.07999999996</v>
      </c>
      <c r="J1614" s="32" t="str">
        <f t="shared" si="40"/>
        <v/>
      </c>
      <c r="K1614" s="79"/>
      <c r="L1614" s="79"/>
      <c r="M1614" s="2"/>
      <c r="N1614" s="5"/>
      <c r="O1614" s="3"/>
      <c r="P1614" s="6"/>
      <c r="Q1614" s="6"/>
    </row>
    <row r="1615" spans="1:17" ht="15" customHeight="1" x14ac:dyDescent="0.25">
      <c r="A1615" s="1"/>
      <c r="B1615" s="17"/>
      <c r="C1615" s="17"/>
      <c r="D1615" s="17"/>
      <c r="E1615" s="17"/>
      <c r="F1615" s="17"/>
      <c r="G1615" s="4">
        <f t="shared" si="41"/>
        <v>0</v>
      </c>
      <c r="H1615" s="17"/>
      <c r="I1615" s="4">
        <f t="shared" si="39"/>
        <v>349526.07999999996</v>
      </c>
      <c r="J1615" s="32" t="str">
        <f t="shared" si="40"/>
        <v/>
      </c>
      <c r="K1615" s="79"/>
      <c r="L1615" s="79"/>
      <c r="M1615" s="2"/>
      <c r="N1615" s="5"/>
      <c r="O1615" s="3"/>
      <c r="P1615" s="6"/>
      <c r="Q1615" s="6"/>
    </row>
    <row r="1616" spans="1:17" ht="15" customHeight="1" x14ac:dyDescent="0.25">
      <c r="A1616" s="1"/>
      <c r="B1616" s="17"/>
      <c r="C1616" s="17"/>
      <c r="D1616" s="17"/>
      <c r="E1616" s="17"/>
      <c r="F1616" s="17"/>
      <c r="G1616" s="4">
        <f t="shared" si="41"/>
        <v>0</v>
      </c>
      <c r="H1616" s="17"/>
      <c r="I1616" s="4">
        <f t="shared" si="39"/>
        <v>349526.07999999996</v>
      </c>
      <c r="J1616" s="32" t="str">
        <f t="shared" si="40"/>
        <v/>
      </c>
      <c r="K1616" s="79"/>
      <c r="L1616" s="79"/>
      <c r="M1616" s="2"/>
      <c r="N1616" s="5"/>
      <c r="O1616" s="3"/>
      <c r="P1616" s="6"/>
      <c r="Q1616" s="6"/>
    </row>
    <row r="1617" spans="1:17" ht="15" customHeight="1" x14ac:dyDescent="0.25">
      <c r="A1617" s="1"/>
      <c r="B1617" s="17"/>
      <c r="C1617" s="17"/>
      <c r="D1617" s="17"/>
      <c r="E1617" s="17"/>
      <c r="F1617" s="17"/>
      <c r="G1617" s="4">
        <f t="shared" si="41"/>
        <v>0</v>
      </c>
      <c r="H1617" s="17"/>
      <c r="I1617" s="4">
        <f t="shared" si="39"/>
        <v>349526.07999999996</v>
      </c>
      <c r="J1617" s="32" t="str">
        <f t="shared" si="40"/>
        <v/>
      </c>
      <c r="K1617" s="79"/>
      <c r="L1617" s="79"/>
      <c r="M1617" s="2"/>
      <c r="N1617" s="5"/>
      <c r="O1617" s="3"/>
      <c r="P1617" s="6"/>
      <c r="Q1617" s="6"/>
    </row>
    <row r="1618" spans="1:17" ht="15" customHeight="1" x14ac:dyDescent="0.25">
      <c r="A1618" s="1"/>
      <c r="B1618" s="17"/>
      <c r="C1618" s="17"/>
      <c r="D1618" s="17"/>
      <c r="E1618" s="17"/>
      <c r="F1618" s="17"/>
      <c r="G1618" s="4">
        <f t="shared" si="41"/>
        <v>0</v>
      </c>
      <c r="H1618" s="17"/>
      <c r="I1618" s="4">
        <f t="shared" si="39"/>
        <v>349526.07999999996</v>
      </c>
      <c r="J1618" s="32" t="str">
        <f t="shared" si="40"/>
        <v/>
      </c>
      <c r="K1618" s="79"/>
      <c r="L1618" s="79"/>
      <c r="M1618" s="2"/>
      <c r="N1618" s="5"/>
      <c r="O1618" s="3"/>
      <c r="P1618" s="6"/>
      <c r="Q1618" s="6"/>
    </row>
    <row r="1619" spans="1:17" ht="15" customHeight="1" x14ac:dyDescent="0.25">
      <c r="A1619" s="1"/>
      <c r="B1619" s="17"/>
      <c r="C1619" s="17"/>
      <c r="D1619" s="17"/>
      <c r="E1619" s="17"/>
      <c r="F1619" s="17"/>
      <c r="G1619" s="4">
        <f t="shared" si="41"/>
        <v>0</v>
      </c>
      <c r="H1619" s="17"/>
      <c r="I1619" s="4">
        <f t="shared" si="39"/>
        <v>349526.07999999996</v>
      </c>
      <c r="J1619" s="32" t="str">
        <f t="shared" si="40"/>
        <v/>
      </c>
      <c r="K1619" s="79"/>
      <c r="L1619" s="79"/>
      <c r="M1619" s="2"/>
      <c r="N1619" s="5"/>
      <c r="O1619" s="3"/>
      <c r="P1619" s="6"/>
      <c r="Q1619" s="6"/>
    </row>
    <row r="1620" spans="1:17" ht="15" customHeight="1" x14ac:dyDescent="0.25">
      <c r="A1620" s="1"/>
      <c r="B1620" s="17"/>
      <c r="C1620" s="17"/>
      <c r="D1620" s="17"/>
      <c r="E1620" s="17"/>
      <c r="F1620" s="17"/>
      <c r="G1620" s="4">
        <f t="shared" si="41"/>
        <v>0</v>
      </c>
      <c r="H1620" s="17"/>
      <c r="I1620" s="4">
        <f t="shared" si="39"/>
        <v>349526.07999999996</v>
      </c>
      <c r="J1620" s="32" t="str">
        <f t="shared" si="40"/>
        <v/>
      </c>
      <c r="K1620" s="79"/>
      <c r="L1620" s="79"/>
      <c r="M1620" s="2"/>
      <c r="N1620" s="5"/>
      <c r="O1620" s="3"/>
      <c r="P1620" s="6"/>
      <c r="Q1620" s="6"/>
    </row>
    <row r="1621" spans="1:17" ht="15" customHeight="1" x14ac:dyDescent="0.25">
      <c r="A1621" s="1"/>
      <c r="B1621" s="17"/>
      <c r="C1621" s="17"/>
      <c r="D1621" s="17"/>
      <c r="E1621" s="17"/>
      <c r="F1621" s="17"/>
      <c r="G1621" s="4">
        <f t="shared" si="41"/>
        <v>0</v>
      </c>
      <c r="H1621" s="17"/>
      <c r="I1621" s="4">
        <f t="shared" si="39"/>
        <v>349526.07999999996</v>
      </c>
      <c r="J1621" s="32" t="str">
        <f t="shared" si="40"/>
        <v/>
      </c>
      <c r="K1621" s="79"/>
      <c r="L1621" s="79"/>
      <c r="M1621" s="2"/>
      <c r="N1621" s="5"/>
      <c r="O1621" s="3"/>
      <c r="P1621" s="6"/>
      <c r="Q1621" s="6"/>
    </row>
    <row r="1622" spans="1:17" ht="15" customHeight="1" x14ac:dyDescent="0.25">
      <c r="A1622" s="1"/>
      <c r="B1622" s="17"/>
      <c r="C1622" s="17"/>
      <c r="D1622" s="17"/>
      <c r="E1622" s="17"/>
      <c r="F1622" s="17"/>
      <c r="G1622" s="4">
        <f t="shared" si="41"/>
        <v>0</v>
      </c>
      <c r="H1622" s="17"/>
      <c r="I1622" s="4">
        <f t="shared" si="39"/>
        <v>349526.07999999996</v>
      </c>
      <c r="J1622" s="32" t="str">
        <f t="shared" si="40"/>
        <v/>
      </c>
      <c r="K1622" s="79"/>
      <c r="L1622" s="79"/>
      <c r="M1622" s="2"/>
      <c r="N1622" s="5"/>
      <c r="O1622" s="3"/>
      <c r="P1622" s="6"/>
      <c r="Q1622" s="6"/>
    </row>
    <row r="1623" spans="1:17" ht="15" customHeight="1" x14ac:dyDescent="0.25">
      <c r="A1623" s="1"/>
      <c r="B1623" s="17"/>
      <c r="C1623" s="17"/>
      <c r="D1623" s="17"/>
      <c r="E1623" s="17"/>
      <c r="F1623" s="17"/>
      <c r="G1623" s="4">
        <f t="shared" si="41"/>
        <v>0</v>
      </c>
      <c r="H1623" s="17"/>
      <c r="I1623" s="4">
        <f t="shared" si="39"/>
        <v>349526.07999999996</v>
      </c>
      <c r="J1623" s="32" t="str">
        <f t="shared" si="40"/>
        <v/>
      </c>
      <c r="K1623" s="79"/>
      <c r="L1623" s="79"/>
      <c r="M1623" s="2"/>
      <c r="N1623" s="5"/>
      <c r="O1623" s="3"/>
      <c r="P1623" s="6"/>
      <c r="Q1623" s="6"/>
    </row>
    <row r="1624" spans="1:17" ht="15" customHeight="1" x14ac:dyDescent="0.25">
      <c r="A1624" s="1"/>
      <c r="B1624" s="17"/>
      <c r="C1624" s="17"/>
      <c r="D1624" s="17"/>
      <c r="E1624" s="17"/>
      <c r="F1624" s="17"/>
      <c r="G1624" s="4">
        <f t="shared" si="41"/>
        <v>0</v>
      </c>
      <c r="H1624" s="17"/>
      <c r="I1624" s="4">
        <f t="shared" si="39"/>
        <v>349526.07999999996</v>
      </c>
      <c r="J1624" s="32" t="str">
        <f t="shared" si="40"/>
        <v/>
      </c>
      <c r="K1624" s="79"/>
      <c r="L1624" s="79"/>
      <c r="M1624" s="2"/>
      <c r="N1624" s="5"/>
      <c r="O1624" s="3"/>
      <c r="P1624" s="6"/>
      <c r="Q1624" s="6"/>
    </row>
    <row r="1625" spans="1:17" ht="15" customHeight="1" x14ac:dyDescent="0.25">
      <c r="A1625" s="1"/>
      <c r="B1625" s="17"/>
      <c r="C1625" s="17"/>
      <c r="D1625" s="17"/>
      <c r="E1625" s="17"/>
      <c r="F1625" s="17"/>
      <c r="G1625" s="4">
        <f t="shared" si="41"/>
        <v>0</v>
      </c>
      <c r="H1625" s="17"/>
      <c r="I1625" s="4">
        <f t="shared" si="39"/>
        <v>349526.07999999996</v>
      </c>
      <c r="J1625" s="32" t="str">
        <f t="shared" si="40"/>
        <v/>
      </c>
      <c r="K1625" s="79"/>
      <c r="L1625" s="79"/>
      <c r="M1625" s="2"/>
      <c r="N1625" s="5"/>
      <c r="O1625" s="3"/>
      <c r="P1625" s="6"/>
      <c r="Q1625" s="6"/>
    </row>
    <row r="1626" spans="1:17" ht="15" customHeight="1" x14ac:dyDescent="0.25">
      <c r="A1626" s="1"/>
      <c r="B1626" s="17"/>
      <c r="C1626" s="17"/>
      <c r="D1626" s="17"/>
      <c r="E1626" s="17"/>
      <c r="F1626" s="17"/>
      <c r="G1626" s="4">
        <f t="shared" si="41"/>
        <v>0</v>
      </c>
      <c r="H1626" s="17"/>
      <c r="I1626" s="4">
        <f t="shared" si="39"/>
        <v>349526.07999999996</v>
      </c>
      <c r="J1626" s="32" t="str">
        <f t="shared" si="40"/>
        <v/>
      </c>
      <c r="K1626" s="79"/>
      <c r="L1626" s="79"/>
      <c r="M1626" s="2"/>
      <c r="N1626" s="5"/>
      <c r="O1626" s="3"/>
      <c r="P1626" s="6"/>
      <c r="Q1626" s="6"/>
    </row>
    <row r="1627" spans="1:17" ht="15" customHeight="1" x14ac:dyDescent="0.25">
      <c r="A1627" s="1"/>
      <c r="B1627" s="17"/>
      <c r="C1627" s="17"/>
      <c r="D1627" s="17"/>
      <c r="E1627" s="17"/>
      <c r="F1627" s="17"/>
      <c r="G1627" s="4">
        <f t="shared" si="41"/>
        <v>0</v>
      </c>
      <c r="H1627" s="17"/>
      <c r="I1627" s="4">
        <f t="shared" si="39"/>
        <v>349526.07999999996</v>
      </c>
      <c r="J1627" s="32" t="str">
        <f t="shared" si="40"/>
        <v/>
      </c>
      <c r="K1627" s="79"/>
      <c r="L1627" s="79"/>
      <c r="M1627" s="2"/>
      <c r="N1627" s="5"/>
      <c r="O1627" s="3"/>
      <c r="P1627" s="6"/>
      <c r="Q1627" s="6"/>
    </row>
    <row r="1628" spans="1:17" ht="15" customHeight="1" x14ac:dyDescent="0.25">
      <c r="A1628" s="1"/>
      <c r="B1628" s="17"/>
      <c r="C1628" s="17"/>
      <c r="D1628" s="17"/>
      <c r="E1628" s="17"/>
      <c r="F1628" s="17"/>
      <c r="G1628" s="4">
        <f t="shared" si="41"/>
        <v>0</v>
      </c>
      <c r="H1628" s="17"/>
      <c r="I1628" s="4">
        <f t="shared" si="39"/>
        <v>349526.07999999996</v>
      </c>
      <c r="J1628" s="32" t="str">
        <f t="shared" si="40"/>
        <v/>
      </c>
      <c r="K1628" s="79"/>
      <c r="L1628" s="79"/>
      <c r="M1628" s="2"/>
      <c r="N1628" s="5"/>
      <c r="O1628" s="3"/>
      <c r="P1628" s="6"/>
      <c r="Q1628" s="6"/>
    </row>
    <row r="1629" spans="1:17" ht="15" customHeight="1" x14ac:dyDescent="0.25">
      <c r="A1629" s="1"/>
      <c r="B1629" s="17"/>
      <c r="C1629" s="17"/>
      <c r="D1629" s="17"/>
      <c r="E1629" s="17"/>
      <c r="F1629" s="17"/>
      <c r="G1629" s="4">
        <f t="shared" si="41"/>
        <v>0</v>
      </c>
      <c r="H1629" s="17"/>
      <c r="I1629" s="4">
        <f t="shared" si="39"/>
        <v>349526.07999999996</v>
      </c>
      <c r="J1629" s="32" t="str">
        <f t="shared" si="40"/>
        <v/>
      </c>
      <c r="K1629" s="79"/>
      <c r="L1629" s="79"/>
      <c r="M1629" s="2"/>
      <c r="N1629" s="5"/>
      <c r="O1629" s="3"/>
      <c r="P1629" s="6"/>
      <c r="Q1629" s="6"/>
    </row>
    <row r="1630" spans="1:17" ht="15" customHeight="1" x14ac:dyDescent="0.25">
      <c r="A1630" s="1"/>
      <c r="B1630" s="17"/>
      <c r="C1630" s="17"/>
      <c r="D1630" s="17"/>
      <c r="E1630" s="17"/>
      <c r="F1630" s="17"/>
      <c r="G1630" s="4">
        <f t="shared" si="41"/>
        <v>0</v>
      </c>
      <c r="H1630" s="17"/>
      <c r="I1630" s="4">
        <f t="shared" si="39"/>
        <v>349526.07999999996</v>
      </c>
      <c r="J1630" s="32" t="str">
        <f t="shared" si="40"/>
        <v/>
      </c>
      <c r="K1630" s="79"/>
      <c r="L1630" s="79"/>
      <c r="M1630" s="2"/>
      <c r="N1630" s="5"/>
      <c r="O1630" s="3"/>
      <c r="P1630" s="6"/>
      <c r="Q1630" s="6"/>
    </row>
    <row r="1631" spans="1:17" ht="15" customHeight="1" x14ac:dyDescent="0.25">
      <c r="A1631" s="1"/>
      <c r="B1631" s="17"/>
      <c r="C1631" s="17"/>
      <c r="D1631" s="17"/>
      <c r="E1631" s="17"/>
      <c r="F1631" s="17"/>
      <c r="G1631" s="4">
        <f t="shared" si="41"/>
        <v>0</v>
      </c>
      <c r="H1631" s="17"/>
      <c r="I1631" s="4">
        <f t="shared" si="39"/>
        <v>349526.07999999996</v>
      </c>
      <c r="J1631" s="32" t="str">
        <f t="shared" si="40"/>
        <v/>
      </c>
      <c r="K1631" s="79"/>
      <c r="L1631" s="79"/>
      <c r="M1631" s="2"/>
      <c r="N1631" s="5"/>
      <c r="O1631" s="3"/>
      <c r="P1631" s="6"/>
      <c r="Q1631" s="6"/>
    </row>
    <row r="1632" spans="1:17" ht="15" customHeight="1" x14ac:dyDescent="0.25">
      <c r="A1632" s="1"/>
      <c r="B1632" s="17"/>
      <c r="C1632" s="17"/>
      <c r="D1632" s="17"/>
      <c r="E1632" s="17"/>
      <c r="F1632" s="17"/>
      <c r="G1632" s="4">
        <f t="shared" si="41"/>
        <v>0</v>
      </c>
      <c r="H1632" s="17"/>
      <c r="I1632" s="4">
        <f t="shared" si="39"/>
        <v>349526.07999999996</v>
      </c>
      <c r="J1632" s="32" t="str">
        <f t="shared" si="40"/>
        <v/>
      </c>
      <c r="K1632" s="79"/>
      <c r="L1632" s="79"/>
      <c r="M1632" s="2"/>
      <c r="N1632" s="5"/>
      <c r="O1632" s="3"/>
      <c r="P1632" s="6"/>
      <c r="Q1632" s="6"/>
    </row>
    <row r="1633" spans="1:17" ht="15" customHeight="1" x14ac:dyDescent="0.25">
      <c r="A1633" s="1"/>
      <c r="B1633" s="17"/>
      <c r="C1633" s="17"/>
      <c r="D1633" s="17"/>
      <c r="E1633" s="17"/>
      <c r="F1633" s="17"/>
      <c r="G1633" s="4">
        <f t="shared" si="41"/>
        <v>0</v>
      </c>
      <c r="H1633" s="17"/>
      <c r="I1633" s="4">
        <f t="shared" si="39"/>
        <v>349526.07999999996</v>
      </c>
      <c r="J1633" s="32" t="str">
        <f t="shared" si="40"/>
        <v/>
      </c>
      <c r="K1633" s="79"/>
      <c r="L1633" s="79"/>
      <c r="M1633" s="2"/>
      <c r="N1633" s="5"/>
      <c r="O1633" s="3"/>
      <c r="P1633" s="6"/>
      <c r="Q1633" s="6"/>
    </row>
    <row r="1634" spans="1:17" ht="15" customHeight="1" x14ac:dyDescent="0.25">
      <c r="A1634" s="1"/>
      <c r="B1634" s="17"/>
      <c r="C1634" s="17"/>
      <c r="D1634" s="17"/>
      <c r="E1634" s="17"/>
      <c r="F1634" s="17"/>
      <c r="G1634" s="4">
        <f t="shared" si="41"/>
        <v>0</v>
      </c>
      <c r="H1634" s="17"/>
      <c r="I1634" s="4">
        <f t="shared" si="39"/>
        <v>349526.07999999996</v>
      </c>
      <c r="J1634" s="32" t="str">
        <f t="shared" si="40"/>
        <v/>
      </c>
      <c r="K1634" s="79"/>
      <c r="L1634" s="79"/>
      <c r="M1634" s="2"/>
      <c r="N1634" s="5"/>
      <c r="O1634" s="3"/>
      <c r="P1634" s="6"/>
      <c r="Q1634" s="6"/>
    </row>
    <row r="1635" spans="1:17" ht="15" customHeight="1" x14ac:dyDescent="0.25">
      <c r="A1635" s="1"/>
      <c r="B1635" s="17"/>
      <c r="C1635" s="17"/>
      <c r="D1635" s="17"/>
      <c r="E1635" s="17"/>
      <c r="F1635" s="17"/>
      <c r="G1635" s="4">
        <f t="shared" si="41"/>
        <v>0</v>
      </c>
      <c r="H1635" s="17"/>
      <c r="I1635" s="4">
        <f t="shared" si="39"/>
        <v>349526.07999999996</v>
      </c>
      <c r="J1635" s="32" t="str">
        <f t="shared" si="40"/>
        <v/>
      </c>
      <c r="K1635" s="79"/>
      <c r="L1635" s="79"/>
      <c r="M1635" s="2"/>
      <c r="N1635" s="5"/>
      <c r="O1635" s="3"/>
      <c r="P1635" s="6"/>
      <c r="Q1635" s="6"/>
    </row>
    <row r="1636" spans="1:17" ht="15" customHeight="1" x14ac:dyDescent="0.25">
      <c r="A1636" s="1"/>
      <c r="B1636" s="17"/>
      <c r="C1636" s="17"/>
      <c r="D1636" s="17"/>
      <c r="E1636" s="17"/>
      <c r="F1636" s="17"/>
      <c r="G1636" s="4">
        <f t="shared" si="41"/>
        <v>0</v>
      </c>
      <c r="H1636" s="17"/>
      <c r="I1636" s="4">
        <f t="shared" si="39"/>
        <v>349526.07999999996</v>
      </c>
      <c r="J1636" s="32" t="str">
        <f t="shared" si="40"/>
        <v/>
      </c>
      <c r="K1636" s="79"/>
      <c r="L1636" s="79"/>
      <c r="M1636" s="2"/>
      <c r="N1636" s="5"/>
      <c r="O1636" s="3"/>
      <c r="P1636" s="6"/>
      <c r="Q1636" s="6"/>
    </row>
    <row r="1637" spans="1:17" ht="15" customHeight="1" x14ac:dyDescent="0.25">
      <c r="A1637" s="1"/>
      <c r="B1637" s="17"/>
      <c r="C1637" s="17"/>
      <c r="D1637" s="17"/>
      <c r="E1637" s="17"/>
      <c r="F1637" s="17"/>
      <c r="G1637" s="4">
        <f t="shared" si="41"/>
        <v>0</v>
      </c>
      <c r="H1637" s="17"/>
      <c r="I1637" s="4">
        <f t="shared" si="39"/>
        <v>349526.07999999996</v>
      </c>
      <c r="J1637" s="32" t="str">
        <f t="shared" si="40"/>
        <v/>
      </c>
      <c r="K1637" s="79"/>
      <c r="L1637" s="79"/>
      <c r="M1637" s="2"/>
      <c r="N1637" s="5"/>
      <c r="O1637" s="3"/>
      <c r="P1637" s="6"/>
      <c r="Q1637" s="6"/>
    </row>
    <row r="1638" spans="1:17" ht="15" customHeight="1" x14ac:dyDescent="0.25">
      <c r="A1638" s="1"/>
      <c r="B1638" s="17"/>
      <c r="C1638" s="17"/>
      <c r="D1638" s="17"/>
      <c r="E1638" s="17"/>
      <c r="F1638" s="17"/>
      <c r="G1638" s="4">
        <f t="shared" si="41"/>
        <v>0</v>
      </c>
      <c r="H1638" s="17"/>
      <c r="I1638" s="4">
        <f t="shared" si="39"/>
        <v>349526.07999999996</v>
      </c>
      <c r="J1638" s="32" t="str">
        <f t="shared" si="40"/>
        <v/>
      </c>
      <c r="K1638" s="79"/>
      <c r="L1638" s="79"/>
      <c r="M1638" s="2"/>
      <c r="N1638" s="5"/>
      <c r="O1638" s="3"/>
      <c r="P1638" s="6"/>
      <c r="Q1638" s="6"/>
    </row>
    <row r="1639" spans="1:17" ht="15" customHeight="1" x14ac:dyDescent="0.25">
      <c r="A1639" s="1"/>
      <c r="B1639" s="17"/>
      <c r="C1639" s="17"/>
      <c r="D1639" s="17"/>
      <c r="E1639" s="17"/>
      <c r="F1639" s="17"/>
      <c r="G1639" s="4">
        <f t="shared" si="41"/>
        <v>0</v>
      </c>
      <c r="H1639" s="17"/>
      <c r="I1639" s="4">
        <f t="shared" si="39"/>
        <v>349526.07999999996</v>
      </c>
      <c r="J1639" s="32" t="str">
        <f t="shared" si="40"/>
        <v/>
      </c>
      <c r="K1639" s="79"/>
      <c r="L1639" s="79"/>
      <c r="M1639" s="2"/>
      <c r="N1639" s="5"/>
      <c r="O1639" s="3"/>
      <c r="P1639" s="6"/>
      <c r="Q1639" s="6"/>
    </row>
    <row r="1640" spans="1:17" ht="15" customHeight="1" x14ac:dyDescent="0.25">
      <c r="A1640" s="1"/>
      <c r="B1640" s="17"/>
      <c r="C1640" s="17"/>
      <c r="D1640" s="17"/>
      <c r="E1640" s="17"/>
      <c r="F1640" s="17"/>
      <c r="G1640" s="4">
        <f t="shared" si="41"/>
        <v>0</v>
      </c>
      <c r="H1640" s="17"/>
      <c r="I1640" s="4">
        <f t="shared" si="39"/>
        <v>349526.07999999996</v>
      </c>
      <c r="J1640" s="32" t="str">
        <f t="shared" si="40"/>
        <v/>
      </c>
      <c r="K1640" s="79"/>
      <c r="L1640" s="79"/>
      <c r="M1640" s="2"/>
      <c r="N1640" s="5"/>
      <c r="O1640" s="3"/>
      <c r="P1640" s="6"/>
      <c r="Q1640" s="6"/>
    </row>
    <row r="1641" spans="1:17" ht="15" customHeight="1" x14ac:dyDescent="0.25">
      <c r="A1641" s="1"/>
      <c r="B1641" s="17"/>
      <c r="C1641" s="17"/>
      <c r="D1641" s="17"/>
      <c r="E1641" s="17"/>
      <c r="F1641" s="17"/>
      <c r="G1641" s="4">
        <f t="shared" si="41"/>
        <v>0</v>
      </c>
      <c r="H1641" s="17"/>
      <c r="I1641" s="4">
        <f t="shared" si="39"/>
        <v>349526.07999999996</v>
      </c>
      <c r="J1641" s="32" t="str">
        <f t="shared" si="40"/>
        <v/>
      </c>
      <c r="K1641" s="79"/>
      <c r="L1641" s="79"/>
      <c r="M1641" s="2"/>
      <c r="N1641" s="5"/>
      <c r="O1641" s="3"/>
      <c r="P1641" s="6"/>
      <c r="Q1641" s="6"/>
    </row>
    <row r="1642" spans="1:17" ht="15" customHeight="1" x14ac:dyDescent="0.25">
      <c r="A1642" s="1"/>
      <c r="B1642" s="17"/>
      <c r="C1642" s="17"/>
      <c r="D1642" s="17"/>
      <c r="E1642" s="17"/>
      <c r="F1642" s="17"/>
      <c r="G1642" s="4">
        <f t="shared" si="41"/>
        <v>0</v>
      </c>
      <c r="H1642" s="17"/>
      <c r="I1642" s="4">
        <f t="shared" si="39"/>
        <v>349526.07999999996</v>
      </c>
      <c r="J1642" s="32" t="str">
        <f t="shared" si="40"/>
        <v/>
      </c>
      <c r="K1642" s="79"/>
      <c r="L1642" s="79"/>
      <c r="M1642" s="2"/>
      <c r="N1642" s="5"/>
      <c r="O1642" s="3"/>
      <c r="P1642" s="6"/>
      <c r="Q1642" s="6"/>
    </row>
    <row r="1643" spans="1:17" ht="15" customHeight="1" x14ac:dyDescent="0.25">
      <c r="A1643" s="1"/>
      <c r="B1643" s="17"/>
      <c r="C1643" s="17"/>
      <c r="D1643" s="17"/>
      <c r="E1643" s="17"/>
      <c r="F1643" s="17"/>
      <c r="G1643" s="4">
        <f t="shared" si="41"/>
        <v>0</v>
      </c>
      <c r="H1643" s="17"/>
      <c r="I1643" s="4">
        <f t="shared" si="39"/>
        <v>349526.07999999996</v>
      </c>
      <c r="J1643" s="32" t="str">
        <f t="shared" si="40"/>
        <v/>
      </c>
      <c r="K1643" s="79"/>
      <c r="L1643" s="79"/>
      <c r="M1643" s="2"/>
      <c r="N1643" s="5"/>
      <c r="O1643" s="3"/>
      <c r="P1643" s="6"/>
      <c r="Q1643" s="6"/>
    </row>
    <row r="1644" spans="1:17" ht="15" customHeight="1" x14ac:dyDescent="0.25">
      <c r="A1644" s="1"/>
      <c r="B1644" s="17"/>
      <c r="C1644" s="17"/>
      <c r="D1644" s="17"/>
      <c r="E1644" s="17"/>
      <c r="F1644" s="17"/>
      <c r="G1644" s="4">
        <f t="shared" si="41"/>
        <v>0</v>
      </c>
      <c r="H1644" s="17"/>
      <c r="I1644" s="4">
        <f t="shared" si="39"/>
        <v>349526.07999999996</v>
      </c>
      <c r="J1644" s="32" t="str">
        <f t="shared" si="40"/>
        <v/>
      </c>
      <c r="K1644" s="79"/>
      <c r="L1644" s="79"/>
      <c r="M1644" s="2"/>
      <c r="N1644" s="5"/>
      <c r="O1644" s="3"/>
      <c r="P1644" s="6"/>
      <c r="Q1644" s="6"/>
    </row>
    <row r="1645" spans="1:17" ht="15" customHeight="1" x14ac:dyDescent="0.25">
      <c r="A1645" s="1"/>
      <c r="B1645" s="17"/>
      <c r="C1645" s="17"/>
      <c r="D1645" s="17"/>
      <c r="E1645" s="17"/>
      <c r="F1645" s="17"/>
      <c r="G1645" s="4">
        <f t="shared" si="41"/>
        <v>0</v>
      </c>
      <c r="H1645" s="17"/>
      <c r="I1645" s="4">
        <f t="shared" si="39"/>
        <v>349526.07999999996</v>
      </c>
      <c r="J1645" s="32" t="str">
        <f t="shared" si="40"/>
        <v/>
      </c>
      <c r="K1645" s="79"/>
      <c r="L1645" s="79"/>
      <c r="M1645" s="2"/>
      <c r="N1645" s="5"/>
      <c r="O1645" s="3"/>
      <c r="P1645" s="6"/>
      <c r="Q1645" s="6"/>
    </row>
    <row r="1646" spans="1:17" ht="15" customHeight="1" x14ac:dyDescent="0.25">
      <c r="A1646" s="1"/>
      <c r="B1646" s="17"/>
      <c r="C1646" s="17"/>
      <c r="D1646" s="17"/>
      <c r="E1646" s="17"/>
      <c r="F1646" s="17"/>
      <c r="G1646" s="4">
        <f t="shared" si="41"/>
        <v>0</v>
      </c>
      <c r="H1646" s="17"/>
      <c r="I1646" s="4">
        <f t="shared" si="39"/>
        <v>349526.07999999996</v>
      </c>
      <c r="J1646" s="32" t="str">
        <f t="shared" si="40"/>
        <v/>
      </c>
      <c r="K1646" s="79"/>
      <c r="L1646" s="79"/>
      <c r="M1646" s="2"/>
      <c r="N1646" s="5"/>
      <c r="O1646" s="3"/>
      <c r="P1646" s="6"/>
      <c r="Q1646" s="6"/>
    </row>
    <row r="1647" spans="1:17" ht="15" customHeight="1" x14ac:dyDescent="0.25">
      <c r="A1647" s="1"/>
      <c r="B1647" s="17"/>
      <c r="C1647" s="17"/>
      <c r="D1647" s="17"/>
      <c r="E1647" s="17"/>
      <c r="F1647" s="17"/>
      <c r="G1647" s="4">
        <f t="shared" si="41"/>
        <v>0</v>
      </c>
      <c r="H1647" s="17"/>
      <c r="I1647" s="4">
        <f t="shared" si="39"/>
        <v>349526.07999999996</v>
      </c>
      <c r="J1647" s="32" t="str">
        <f t="shared" si="40"/>
        <v/>
      </c>
      <c r="K1647" s="79"/>
      <c r="L1647" s="79"/>
      <c r="M1647" s="2"/>
      <c r="N1647" s="5"/>
      <c r="O1647" s="3"/>
      <c r="P1647" s="6"/>
      <c r="Q1647" s="6"/>
    </row>
    <row r="1648" spans="1:17" ht="15" customHeight="1" x14ac:dyDescent="0.25">
      <c r="A1648" s="1"/>
      <c r="B1648" s="17"/>
      <c r="C1648" s="17"/>
      <c r="D1648" s="17"/>
      <c r="E1648" s="17"/>
      <c r="F1648" s="17"/>
      <c r="G1648" s="4">
        <f t="shared" si="41"/>
        <v>0</v>
      </c>
      <c r="H1648" s="17"/>
      <c r="I1648" s="4">
        <f t="shared" si="39"/>
        <v>349526.07999999996</v>
      </c>
      <c r="J1648" s="32" t="str">
        <f t="shared" si="40"/>
        <v/>
      </c>
      <c r="K1648" s="79"/>
      <c r="L1648" s="79"/>
      <c r="M1648" s="2"/>
      <c r="N1648" s="5"/>
      <c r="O1648" s="3"/>
      <c r="P1648" s="6"/>
      <c r="Q1648" s="6"/>
    </row>
    <row r="1649" spans="1:17" ht="15" customHeight="1" x14ac:dyDescent="0.25">
      <c r="A1649" s="1"/>
      <c r="B1649" s="17"/>
      <c r="C1649" s="17"/>
      <c r="D1649" s="17"/>
      <c r="E1649" s="17"/>
      <c r="F1649" s="17"/>
      <c r="G1649" s="4">
        <f t="shared" si="41"/>
        <v>0</v>
      </c>
      <c r="H1649" s="17"/>
      <c r="I1649" s="4">
        <f t="shared" si="39"/>
        <v>349526.07999999996</v>
      </c>
      <c r="J1649" s="32" t="str">
        <f t="shared" si="40"/>
        <v/>
      </c>
      <c r="K1649" s="79"/>
      <c r="L1649" s="79"/>
      <c r="M1649" s="2"/>
      <c r="N1649" s="5"/>
      <c r="O1649" s="3"/>
      <c r="P1649" s="6"/>
      <c r="Q1649" s="6"/>
    </row>
    <row r="1650" spans="1:17" ht="15" customHeight="1" x14ac:dyDescent="0.25">
      <c r="A1650" s="1"/>
      <c r="B1650" s="17"/>
      <c r="C1650" s="17"/>
      <c r="D1650" s="17"/>
      <c r="E1650" s="17"/>
      <c r="F1650" s="17"/>
      <c r="G1650" s="4">
        <f t="shared" si="41"/>
        <v>0</v>
      </c>
      <c r="H1650" s="17"/>
      <c r="I1650" s="4">
        <f t="shared" si="39"/>
        <v>349526.07999999996</v>
      </c>
      <c r="J1650" s="32" t="str">
        <f t="shared" si="40"/>
        <v/>
      </c>
      <c r="K1650" s="79"/>
      <c r="L1650" s="79"/>
      <c r="M1650" s="2"/>
      <c r="N1650" s="5"/>
      <c r="O1650" s="3"/>
      <c r="P1650" s="6"/>
      <c r="Q1650" s="6"/>
    </row>
    <row r="1651" spans="1:17" ht="15" customHeight="1" x14ac:dyDescent="0.25">
      <c r="A1651" s="1"/>
      <c r="B1651" s="17"/>
      <c r="C1651" s="17"/>
      <c r="D1651" s="17"/>
      <c r="E1651" s="17"/>
      <c r="F1651" s="17"/>
      <c r="G1651" s="4">
        <f t="shared" si="41"/>
        <v>0</v>
      </c>
      <c r="H1651" s="17"/>
      <c r="I1651" s="4">
        <f t="shared" si="39"/>
        <v>349526.07999999996</v>
      </c>
      <c r="J1651" s="32" t="str">
        <f t="shared" si="40"/>
        <v/>
      </c>
      <c r="K1651" s="79"/>
      <c r="L1651" s="79"/>
      <c r="M1651" s="2"/>
      <c r="N1651" s="5"/>
      <c r="O1651" s="3"/>
      <c r="P1651" s="6"/>
      <c r="Q1651" s="6"/>
    </row>
    <row r="1652" spans="1:17" ht="15" customHeight="1" x14ac:dyDescent="0.25">
      <c r="A1652" s="1"/>
      <c r="B1652" s="17"/>
      <c r="C1652" s="17"/>
      <c r="D1652" s="17"/>
      <c r="E1652" s="17"/>
      <c r="F1652" s="17"/>
      <c r="G1652" s="4">
        <f t="shared" si="41"/>
        <v>0</v>
      </c>
      <c r="H1652" s="17"/>
      <c r="I1652" s="4">
        <f t="shared" si="39"/>
        <v>349526.07999999996</v>
      </c>
      <c r="J1652" s="32" t="str">
        <f t="shared" si="40"/>
        <v/>
      </c>
      <c r="K1652" s="79"/>
      <c r="L1652" s="79"/>
      <c r="M1652" s="2"/>
      <c r="N1652" s="5"/>
      <c r="O1652" s="3"/>
      <c r="P1652" s="6"/>
      <c r="Q1652" s="6"/>
    </row>
    <row r="1653" spans="1:17" ht="15" customHeight="1" x14ac:dyDescent="0.25">
      <c r="A1653" s="1"/>
      <c r="B1653" s="17"/>
      <c r="C1653" s="17"/>
      <c r="D1653" s="17"/>
      <c r="E1653" s="17"/>
      <c r="F1653" s="17"/>
      <c r="G1653" s="4">
        <f t="shared" si="41"/>
        <v>0</v>
      </c>
      <c r="H1653" s="17"/>
      <c r="I1653" s="4">
        <f t="shared" si="39"/>
        <v>349526.07999999996</v>
      </c>
      <c r="J1653" s="32" t="str">
        <f t="shared" si="40"/>
        <v/>
      </c>
      <c r="K1653" s="79"/>
      <c r="L1653" s="79"/>
      <c r="M1653" s="2"/>
      <c r="N1653" s="5"/>
      <c r="O1653" s="3"/>
      <c r="P1653" s="6"/>
      <c r="Q1653" s="6"/>
    </row>
    <row r="1654" spans="1:17" ht="15" customHeight="1" x14ac:dyDescent="0.25">
      <c r="A1654" s="1"/>
      <c r="B1654" s="17"/>
      <c r="C1654" s="17"/>
      <c r="D1654" s="17"/>
      <c r="E1654" s="17"/>
      <c r="F1654" s="17"/>
      <c r="G1654" s="4">
        <f t="shared" si="41"/>
        <v>0</v>
      </c>
      <c r="H1654" s="17"/>
      <c r="I1654" s="4">
        <f t="shared" ref="I1654:I1717" si="42">$I1653+$G1654-$H1654</f>
        <v>349526.07999999996</v>
      </c>
      <c r="J1654" s="32" t="str">
        <f t="shared" ref="J1654:J1717" si="43">IF($A1655&lt;&gt;$A1654,$I1654,"")</f>
        <v/>
      </c>
      <c r="K1654" s="79"/>
      <c r="L1654" s="79"/>
      <c r="M1654" s="2"/>
      <c r="N1654" s="5"/>
      <c r="O1654" s="3"/>
      <c r="P1654" s="6"/>
      <c r="Q1654" s="6"/>
    </row>
    <row r="1655" spans="1:17" ht="15" customHeight="1" x14ac:dyDescent="0.25">
      <c r="A1655" s="1"/>
      <c r="B1655" s="17"/>
      <c r="C1655" s="17"/>
      <c r="D1655" s="17"/>
      <c r="E1655" s="17"/>
      <c r="F1655" s="17"/>
      <c r="G1655" s="4">
        <f t="shared" si="41"/>
        <v>0</v>
      </c>
      <c r="H1655" s="17"/>
      <c r="I1655" s="4">
        <f t="shared" si="42"/>
        <v>349526.07999999996</v>
      </c>
      <c r="J1655" s="32" t="str">
        <f t="shared" si="43"/>
        <v/>
      </c>
      <c r="K1655" s="79"/>
      <c r="L1655" s="79"/>
      <c r="M1655" s="2"/>
      <c r="N1655" s="5"/>
      <c r="O1655" s="3"/>
      <c r="P1655" s="6"/>
      <c r="Q1655" s="6"/>
    </row>
    <row r="1656" spans="1:17" ht="15" customHeight="1" x14ac:dyDescent="0.25">
      <c r="A1656" s="1"/>
      <c r="B1656" s="17"/>
      <c r="C1656" s="17"/>
      <c r="D1656" s="17"/>
      <c r="E1656" s="17"/>
      <c r="F1656" s="17"/>
      <c r="G1656" s="4">
        <f t="shared" si="41"/>
        <v>0</v>
      </c>
      <c r="H1656" s="17"/>
      <c r="I1656" s="4">
        <f t="shared" si="42"/>
        <v>349526.07999999996</v>
      </c>
      <c r="J1656" s="32" t="str">
        <f t="shared" si="43"/>
        <v/>
      </c>
      <c r="K1656" s="79"/>
      <c r="L1656" s="79"/>
      <c r="M1656" s="2"/>
      <c r="N1656" s="5"/>
      <c r="O1656" s="3"/>
      <c r="P1656" s="6"/>
      <c r="Q1656" s="6"/>
    </row>
    <row r="1657" spans="1:17" ht="15" customHeight="1" x14ac:dyDescent="0.25">
      <c r="A1657" s="1"/>
      <c r="B1657" s="17"/>
      <c r="C1657" s="17"/>
      <c r="D1657" s="17"/>
      <c r="E1657" s="17"/>
      <c r="F1657" s="17"/>
      <c r="G1657" s="4">
        <f t="shared" si="41"/>
        <v>0</v>
      </c>
      <c r="H1657" s="17"/>
      <c r="I1657" s="4">
        <f t="shared" si="42"/>
        <v>349526.07999999996</v>
      </c>
      <c r="J1657" s="32" t="str">
        <f t="shared" si="43"/>
        <v/>
      </c>
      <c r="K1657" s="79"/>
      <c r="L1657" s="79"/>
      <c r="M1657" s="2"/>
      <c r="N1657" s="5"/>
      <c r="O1657" s="3"/>
      <c r="P1657" s="6"/>
      <c r="Q1657" s="6"/>
    </row>
    <row r="1658" spans="1:17" ht="15" customHeight="1" x14ac:dyDescent="0.25">
      <c r="A1658" s="1"/>
      <c r="B1658" s="17"/>
      <c r="C1658" s="17"/>
      <c r="D1658" s="17"/>
      <c r="E1658" s="17"/>
      <c r="F1658" s="17"/>
      <c r="G1658" s="4">
        <f t="shared" si="41"/>
        <v>0</v>
      </c>
      <c r="H1658" s="17"/>
      <c r="I1658" s="4">
        <f t="shared" si="42"/>
        <v>349526.07999999996</v>
      </c>
      <c r="J1658" s="32" t="str">
        <f t="shared" si="43"/>
        <v/>
      </c>
      <c r="K1658" s="79"/>
      <c r="L1658" s="79"/>
      <c r="M1658" s="2"/>
      <c r="N1658" s="5"/>
      <c r="O1658" s="3"/>
      <c r="P1658" s="6"/>
      <c r="Q1658" s="6"/>
    </row>
    <row r="1659" spans="1:17" ht="15" customHeight="1" x14ac:dyDescent="0.25">
      <c r="A1659" s="1"/>
      <c r="B1659" s="17"/>
      <c r="C1659" s="17"/>
      <c r="D1659" s="17"/>
      <c r="E1659" s="17"/>
      <c r="F1659" s="17"/>
      <c r="G1659" s="4">
        <f t="shared" si="41"/>
        <v>0</v>
      </c>
      <c r="H1659" s="17"/>
      <c r="I1659" s="4">
        <f t="shared" si="42"/>
        <v>349526.07999999996</v>
      </c>
      <c r="J1659" s="32" t="str">
        <f t="shared" si="43"/>
        <v/>
      </c>
      <c r="K1659" s="79"/>
      <c r="L1659" s="79"/>
      <c r="M1659" s="2"/>
      <c r="N1659" s="5"/>
      <c r="O1659" s="3"/>
      <c r="P1659" s="6"/>
      <c r="Q1659" s="6"/>
    </row>
    <row r="1660" spans="1:17" ht="15" customHeight="1" x14ac:dyDescent="0.25">
      <c r="A1660" s="1"/>
      <c r="B1660" s="17"/>
      <c r="C1660" s="17"/>
      <c r="D1660" s="17"/>
      <c r="E1660" s="17"/>
      <c r="F1660" s="17"/>
      <c r="G1660" s="4">
        <f t="shared" si="41"/>
        <v>0</v>
      </c>
      <c r="H1660" s="17"/>
      <c r="I1660" s="4">
        <f t="shared" si="42"/>
        <v>349526.07999999996</v>
      </c>
      <c r="J1660" s="32" t="str">
        <f t="shared" si="43"/>
        <v/>
      </c>
      <c r="K1660" s="79"/>
      <c r="L1660" s="79"/>
      <c r="M1660" s="2"/>
      <c r="N1660" s="5"/>
      <c r="O1660" s="3"/>
      <c r="P1660" s="6"/>
      <c r="Q1660" s="6"/>
    </row>
    <row r="1661" spans="1:17" ht="15" customHeight="1" x14ac:dyDescent="0.25">
      <c r="A1661" s="1"/>
      <c r="B1661" s="17"/>
      <c r="C1661" s="17"/>
      <c r="D1661" s="17"/>
      <c r="E1661" s="17"/>
      <c r="F1661" s="17"/>
      <c r="G1661" s="4">
        <f t="shared" si="41"/>
        <v>0</v>
      </c>
      <c r="H1661" s="17"/>
      <c r="I1661" s="4">
        <f t="shared" si="42"/>
        <v>349526.07999999996</v>
      </c>
      <c r="J1661" s="32" t="str">
        <f t="shared" si="43"/>
        <v/>
      </c>
      <c r="K1661" s="79"/>
      <c r="L1661" s="79"/>
      <c r="M1661" s="2"/>
      <c r="N1661" s="5"/>
      <c r="O1661" s="3"/>
      <c r="P1661" s="6"/>
      <c r="Q1661" s="6"/>
    </row>
    <row r="1662" spans="1:17" ht="15" customHeight="1" x14ac:dyDescent="0.25">
      <c r="A1662" s="1"/>
      <c r="B1662" s="17"/>
      <c r="C1662" s="17"/>
      <c r="D1662" s="17"/>
      <c r="E1662" s="17"/>
      <c r="F1662" s="17"/>
      <c r="G1662" s="4">
        <f t="shared" si="41"/>
        <v>0</v>
      </c>
      <c r="H1662" s="17"/>
      <c r="I1662" s="4">
        <f t="shared" si="42"/>
        <v>349526.07999999996</v>
      </c>
      <c r="J1662" s="32" t="str">
        <f t="shared" si="43"/>
        <v/>
      </c>
      <c r="K1662" s="79"/>
      <c r="L1662" s="79"/>
      <c r="M1662" s="2"/>
      <c r="N1662" s="5"/>
      <c r="O1662" s="3"/>
      <c r="P1662" s="6"/>
      <c r="Q1662" s="6"/>
    </row>
    <row r="1663" spans="1:17" ht="15" customHeight="1" x14ac:dyDescent="0.25">
      <c r="A1663" s="1"/>
      <c r="B1663" s="17"/>
      <c r="C1663" s="17"/>
      <c r="D1663" s="17"/>
      <c r="E1663" s="17"/>
      <c r="F1663" s="17"/>
      <c r="G1663" s="4">
        <f t="shared" si="41"/>
        <v>0</v>
      </c>
      <c r="H1663" s="17"/>
      <c r="I1663" s="4">
        <f t="shared" si="42"/>
        <v>349526.07999999996</v>
      </c>
      <c r="J1663" s="32" t="str">
        <f t="shared" si="43"/>
        <v/>
      </c>
      <c r="K1663" s="79"/>
      <c r="L1663" s="79"/>
      <c r="M1663" s="2"/>
      <c r="N1663" s="5"/>
      <c r="O1663" s="3"/>
      <c r="P1663" s="6"/>
      <c r="Q1663" s="6"/>
    </row>
    <row r="1664" spans="1:17" ht="15" customHeight="1" x14ac:dyDescent="0.25">
      <c r="A1664" s="1"/>
      <c r="B1664" s="17"/>
      <c r="C1664" s="17"/>
      <c r="D1664" s="17"/>
      <c r="E1664" s="17"/>
      <c r="F1664" s="17"/>
      <c r="G1664" s="4">
        <f t="shared" si="41"/>
        <v>0</v>
      </c>
      <c r="H1664" s="17"/>
      <c r="I1664" s="4">
        <f t="shared" si="42"/>
        <v>349526.07999999996</v>
      </c>
      <c r="J1664" s="32" t="str">
        <f t="shared" si="43"/>
        <v/>
      </c>
      <c r="K1664" s="79"/>
      <c r="L1664" s="79"/>
      <c r="M1664" s="2"/>
      <c r="N1664" s="5"/>
      <c r="O1664" s="3"/>
      <c r="P1664" s="6"/>
      <c r="Q1664" s="6"/>
    </row>
    <row r="1665" spans="1:17" ht="15" customHeight="1" x14ac:dyDescent="0.25">
      <c r="A1665" s="1"/>
      <c r="B1665" s="17"/>
      <c r="C1665" s="17"/>
      <c r="D1665" s="17"/>
      <c r="E1665" s="17"/>
      <c r="F1665" s="17"/>
      <c r="G1665" s="4">
        <f t="shared" si="41"/>
        <v>0</v>
      </c>
      <c r="H1665" s="17"/>
      <c r="I1665" s="4">
        <f t="shared" si="42"/>
        <v>349526.07999999996</v>
      </c>
      <c r="J1665" s="32" t="str">
        <f t="shared" si="43"/>
        <v/>
      </c>
      <c r="K1665" s="79"/>
      <c r="L1665" s="79"/>
      <c r="M1665" s="2"/>
      <c r="N1665" s="5"/>
      <c r="O1665" s="3"/>
      <c r="P1665" s="6"/>
      <c r="Q1665" s="6"/>
    </row>
    <row r="1666" spans="1:17" ht="15" customHeight="1" x14ac:dyDescent="0.25">
      <c r="A1666" s="1"/>
      <c r="B1666" s="17"/>
      <c r="C1666" s="17"/>
      <c r="D1666" s="17"/>
      <c r="E1666" s="17"/>
      <c r="F1666" s="17"/>
      <c r="G1666" s="4">
        <f t="shared" si="41"/>
        <v>0</v>
      </c>
      <c r="H1666" s="17"/>
      <c r="I1666" s="4">
        <f t="shared" si="42"/>
        <v>349526.07999999996</v>
      </c>
      <c r="J1666" s="32" t="str">
        <f t="shared" si="43"/>
        <v/>
      </c>
      <c r="K1666" s="79"/>
      <c r="L1666" s="79"/>
      <c r="M1666" s="2"/>
      <c r="N1666" s="5"/>
      <c r="O1666" s="3"/>
      <c r="P1666" s="6"/>
      <c r="Q1666" s="6"/>
    </row>
    <row r="1667" spans="1:17" ht="15" customHeight="1" x14ac:dyDescent="0.25">
      <c r="A1667" s="1"/>
      <c r="B1667" s="17"/>
      <c r="C1667" s="17"/>
      <c r="D1667" s="17"/>
      <c r="E1667" s="17"/>
      <c r="F1667" s="17"/>
      <c r="G1667" s="4">
        <f t="shared" ref="G1667:G1730" si="44">SUM($B1667:$F1667)</f>
        <v>0</v>
      </c>
      <c r="H1667" s="17"/>
      <c r="I1667" s="4">
        <f t="shared" si="42"/>
        <v>349526.07999999996</v>
      </c>
      <c r="J1667" s="32" t="str">
        <f t="shared" si="43"/>
        <v/>
      </c>
      <c r="K1667" s="79"/>
      <c r="L1667" s="79"/>
      <c r="M1667" s="2"/>
      <c r="N1667" s="5"/>
      <c r="O1667" s="3"/>
      <c r="P1667" s="6"/>
      <c r="Q1667" s="6"/>
    </row>
    <row r="1668" spans="1:17" ht="15" customHeight="1" x14ac:dyDescent="0.25">
      <c r="A1668" s="1"/>
      <c r="B1668" s="17"/>
      <c r="C1668" s="17"/>
      <c r="D1668" s="17"/>
      <c r="E1668" s="17"/>
      <c r="F1668" s="17"/>
      <c r="G1668" s="4">
        <f t="shared" si="44"/>
        <v>0</v>
      </c>
      <c r="H1668" s="17"/>
      <c r="I1668" s="4">
        <f t="shared" si="42"/>
        <v>349526.07999999996</v>
      </c>
      <c r="J1668" s="32" t="str">
        <f t="shared" si="43"/>
        <v/>
      </c>
      <c r="K1668" s="79"/>
      <c r="L1668" s="79"/>
      <c r="M1668" s="2"/>
      <c r="N1668" s="5"/>
      <c r="O1668" s="3"/>
      <c r="P1668" s="6"/>
      <c r="Q1668" s="6"/>
    </row>
    <row r="1669" spans="1:17" ht="15" customHeight="1" x14ac:dyDescent="0.25">
      <c r="A1669" s="1"/>
      <c r="B1669" s="17"/>
      <c r="C1669" s="17"/>
      <c r="D1669" s="17"/>
      <c r="E1669" s="17"/>
      <c r="F1669" s="17"/>
      <c r="G1669" s="4">
        <f t="shared" si="44"/>
        <v>0</v>
      </c>
      <c r="H1669" s="17"/>
      <c r="I1669" s="4">
        <f t="shared" si="42"/>
        <v>349526.07999999996</v>
      </c>
      <c r="J1669" s="32" t="str">
        <f t="shared" si="43"/>
        <v/>
      </c>
      <c r="K1669" s="79"/>
      <c r="L1669" s="79"/>
      <c r="M1669" s="2"/>
      <c r="N1669" s="5"/>
      <c r="O1669" s="3"/>
      <c r="P1669" s="6"/>
      <c r="Q1669" s="6"/>
    </row>
    <row r="1670" spans="1:17" ht="15" customHeight="1" x14ac:dyDescent="0.25">
      <c r="A1670" s="1"/>
      <c r="B1670" s="17"/>
      <c r="C1670" s="17"/>
      <c r="D1670" s="17"/>
      <c r="E1670" s="17"/>
      <c r="F1670" s="17"/>
      <c r="G1670" s="4">
        <f t="shared" si="44"/>
        <v>0</v>
      </c>
      <c r="H1670" s="17"/>
      <c r="I1670" s="4">
        <f t="shared" si="42"/>
        <v>349526.07999999996</v>
      </c>
      <c r="J1670" s="32" t="str">
        <f t="shared" si="43"/>
        <v/>
      </c>
      <c r="K1670" s="79"/>
      <c r="L1670" s="79"/>
      <c r="M1670" s="2"/>
      <c r="N1670" s="5"/>
      <c r="O1670" s="3"/>
      <c r="P1670" s="6"/>
      <c r="Q1670" s="6"/>
    </row>
    <row r="1671" spans="1:17" ht="15" customHeight="1" x14ac:dyDescent="0.25">
      <c r="A1671" s="1"/>
      <c r="B1671" s="17"/>
      <c r="C1671" s="17"/>
      <c r="D1671" s="17"/>
      <c r="E1671" s="17"/>
      <c r="F1671" s="17"/>
      <c r="G1671" s="4">
        <f t="shared" si="44"/>
        <v>0</v>
      </c>
      <c r="H1671" s="17"/>
      <c r="I1671" s="4">
        <f t="shared" si="42"/>
        <v>349526.07999999996</v>
      </c>
      <c r="J1671" s="32" t="str">
        <f t="shared" si="43"/>
        <v/>
      </c>
      <c r="K1671" s="79"/>
      <c r="L1671" s="79"/>
      <c r="M1671" s="2"/>
      <c r="N1671" s="5"/>
      <c r="O1671" s="3"/>
      <c r="P1671" s="6"/>
      <c r="Q1671" s="6"/>
    </row>
    <row r="1672" spans="1:17" ht="15" customHeight="1" x14ac:dyDescent="0.25">
      <c r="A1672" s="1"/>
      <c r="B1672" s="17"/>
      <c r="C1672" s="17"/>
      <c r="D1672" s="17"/>
      <c r="E1672" s="17"/>
      <c r="F1672" s="17"/>
      <c r="G1672" s="4">
        <f t="shared" si="44"/>
        <v>0</v>
      </c>
      <c r="H1672" s="17"/>
      <c r="I1672" s="4">
        <f t="shared" si="42"/>
        <v>349526.07999999996</v>
      </c>
      <c r="J1672" s="32" t="str">
        <f t="shared" si="43"/>
        <v/>
      </c>
      <c r="K1672" s="79"/>
      <c r="L1672" s="79"/>
      <c r="M1672" s="2"/>
      <c r="N1672" s="5"/>
      <c r="O1672" s="3"/>
      <c r="P1672" s="6"/>
      <c r="Q1672" s="6"/>
    </row>
    <row r="1673" spans="1:17" ht="15" customHeight="1" x14ac:dyDescent="0.25">
      <c r="A1673" s="1"/>
      <c r="B1673" s="17"/>
      <c r="C1673" s="17"/>
      <c r="D1673" s="17"/>
      <c r="E1673" s="17"/>
      <c r="F1673" s="17"/>
      <c r="G1673" s="4">
        <f t="shared" si="44"/>
        <v>0</v>
      </c>
      <c r="H1673" s="17"/>
      <c r="I1673" s="4">
        <f t="shared" si="42"/>
        <v>349526.07999999996</v>
      </c>
      <c r="J1673" s="32" t="str">
        <f t="shared" si="43"/>
        <v/>
      </c>
      <c r="K1673" s="79"/>
      <c r="L1673" s="79"/>
      <c r="M1673" s="2"/>
      <c r="N1673" s="5"/>
      <c r="O1673" s="3"/>
      <c r="P1673" s="6"/>
      <c r="Q1673" s="6"/>
    </row>
    <row r="1674" spans="1:17" ht="15" customHeight="1" x14ac:dyDescent="0.25">
      <c r="A1674" s="1"/>
      <c r="B1674" s="17"/>
      <c r="C1674" s="17"/>
      <c r="D1674" s="17"/>
      <c r="E1674" s="17"/>
      <c r="F1674" s="17"/>
      <c r="G1674" s="4">
        <f t="shared" si="44"/>
        <v>0</v>
      </c>
      <c r="H1674" s="17"/>
      <c r="I1674" s="4">
        <f t="shared" si="42"/>
        <v>349526.07999999996</v>
      </c>
      <c r="J1674" s="32" t="str">
        <f t="shared" si="43"/>
        <v/>
      </c>
      <c r="K1674" s="79"/>
      <c r="L1674" s="79"/>
      <c r="M1674" s="2"/>
      <c r="N1674" s="5"/>
      <c r="O1674" s="3"/>
      <c r="P1674" s="6"/>
      <c r="Q1674" s="6"/>
    </row>
    <row r="1675" spans="1:17" ht="15" customHeight="1" x14ac:dyDescent="0.25">
      <c r="A1675" s="1"/>
      <c r="B1675" s="17"/>
      <c r="C1675" s="17"/>
      <c r="D1675" s="17"/>
      <c r="E1675" s="17"/>
      <c r="F1675" s="17"/>
      <c r="G1675" s="4">
        <f t="shared" si="44"/>
        <v>0</v>
      </c>
      <c r="H1675" s="17"/>
      <c r="I1675" s="4">
        <f t="shared" si="42"/>
        <v>349526.07999999996</v>
      </c>
      <c r="J1675" s="32" t="str">
        <f t="shared" si="43"/>
        <v/>
      </c>
      <c r="K1675" s="79"/>
      <c r="L1675" s="79"/>
      <c r="M1675" s="2"/>
      <c r="N1675" s="5"/>
      <c r="O1675" s="3"/>
      <c r="P1675" s="6"/>
      <c r="Q1675" s="6"/>
    </row>
    <row r="1676" spans="1:17" ht="15" customHeight="1" x14ac:dyDescent="0.25">
      <c r="A1676" s="1"/>
      <c r="B1676" s="17"/>
      <c r="C1676" s="17"/>
      <c r="D1676" s="17"/>
      <c r="E1676" s="17"/>
      <c r="F1676" s="17"/>
      <c r="G1676" s="4">
        <f t="shared" si="44"/>
        <v>0</v>
      </c>
      <c r="H1676" s="17"/>
      <c r="I1676" s="4">
        <f t="shared" si="42"/>
        <v>349526.07999999996</v>
      </c>
      <c r="J1676" s="32" t="str">
        <f t="shared" si="43"/>
        <v/>
      </c>
      <c r="K1676" s="79"/>
      <c r="L1676" s="79"/>
      <c r="M1676" s="2"/>
      <c r="N1676" s="5"/>
      <c r="O1676" s="3"/>
      <c r="P1676" s="6"/>
      <c r="Q1676" s="6"/>
    </row>
    <row r="1677" spans="1:17" ht="15" customHeight="1" x14ac:dyDescent="0.25">
      <c r="A1677" s="1"/>
      <c r="B1677" s="17"/>
      <c r="C1677" s="17"/>
      <c r="D1677" s="17"/>
      <c r="E1677" s="17"/>
      <c r="F1677" s="17"/>
      <c r="G1677" s="4">
        <f t="shared" si="44"/>
        <v>0</v>
      </c>
      <c r="H1677" s="17"/>
      <c r="I1677" s="4">
        <f t="shared" si="42"/>
        <v>349526.07999999996</v>
      </c>
      <c r="J1677" s="32" t="str">
        <f t="shared" si="43"/>
        <v/>
      </c>
      <c r="K1677" s="79"/>
      <c r="L1677" s="79"/>
      <c r="M1677" s="2"/>
      <c r="N1677" s="5"/>
      <c r="O1677" s="3"/>
      <c r="P1677" s="6"/>
      <c r="Q1677" s="6"/>
    </row>
    <row r="1678" spans="1:17" ht="15" customHeight="1" x14ac:dyDescent="0.25">
      <c r="A1678" s="1"/>
      <c r="B1678" s="17"/>
      <c r="C1678" s="17"/>
      <c r="D1678" s="17"/>
      <c r="E1678" s="17"/>
      <c r="F1678" s="17"/>
      <c r="G1678" s="4">
        <f t="shared" si="44"/>
        <v>0</v>
      </c>
      <c r="H1678" s="17"/>
      <c r="I1678" s="4">
        <f t="shared" si="42"/>
        <v>349526.07999999996</v>
      </c>
      <c r="J1678" s="32" t="str">
        <f t="shared" si="43"/>
        <v/>
      </c>
      <c r="K1678" s="79"/>
      <c r="L1678" s="79"/>
      <c r="M1678" s="2"/>
      <c r="N1678" s="5"/>
      <c r="O1678" s="3"/>
      <c r="P1678" s="6"/>
      <c r="Q1678" s="6"/>
    </row>
    <row r="1679" spans="1:17" ht="15" customHeight="1" x14ac:dyDescent="0.25">
      <c r="A1679" s="1"/>
      <c r="B1679" s="17"/>
      <c r="C1679" s="17"/>
      <c r="D1679" s="17"/>
      <c r="E1679" s="17"/>
      <c r="F1679" s="17"/>
      <c r="G1679" s="4">
        <f t="shared" si="44"/>
        <v>0</v>
      </c>
      <c r="H1679" s="17"/>
      <c r="I1679" s="4">
        <f t="shared" si="42"/>
        <v>349526.07999999996</v>
      </c>
      <c r="J1679" s="32" t="str">
        <f t="shared" si="43"/>
        <v/>
      </c>
      <c r="K1679" s="79"/>
      <c r="L1679" s="79"/>
      <c r="M1679" s="2"/>
      <c r="N1679" s="5"/>
      <c r="O1679" s="3"/>
      <c r="P1679" s="6"/>
      <c r="Q1679" s="6"/>
    </row>
    <row r="1680" spans="1:17" ht="15" customHeight="1" x14ac:dyDescent="0.25">
      <c r="A1680" s="1"/>
      <c r="B1680" s="17"/>
      <c r="C1680" s="17"/>
      <c r="D1680" s="17"/>
      <c r="E1680" s="17"/>
      <c r="F1680" s="17"/>
      <c r="G1680" s="4">
        <f t="shared" si="44"/>
        <v>0</v>
      </c>
      <c r="H1680" s="17"/>
      <c r="I1680" s="4">
        <f t="shared" si="42"/>
        <v>349526.07999999996</v>
      </c>
      <c r="J1680" s="32" t="str">
        <f t="shared" si="43"/>
        <v/>
      </c>
      <c r="K1680" s="79"/>
      <c r="L1680" s="79"/>
      <c r="M1680" s="2"/>
      <c r="N1680" s="5"/>
      <c r="O1680" s="3"/>
      <c r="P1680" s="6"/>
      <c r="Q1680" s="6"/>
    </row>
    <row r="1681" spans="1:17" ht="15" customHeight="1" x14ac:dyDescent="0.25">
      <c r="A1681" s="1"/>
      <c r="B1681" s="17"/>
      <c r="C1681" s="17"/>
      <c r="D1681" s="17"/>
      <c r="E1681" s="17"/>
      <c r="F1681" s="17"/>
      <c r="G1681" s="4">
        <f t="shared" si="44"/>
        <v>0</v>
      </c>
      <c r="H1681" s="17"/>
      <c r="I1681" s="4">
        <f t="shared" si="42"/>
        <v>349526.07999999996</v>
      </c>
      <c r="J1681" s="32" t="str">
        <f t="shared" si="43"/>
        <v/>
      </c>
      <c r="K1681" s="79"/>
      <c r="L1681" s="79"/>
      <c r="M1681" s="2"/>
      <c r="N1681" s="5"/>
      <c r="O1681" s="3"/>
      <c r="P1681" s="6"/>
      <c r="Q1681" s="6"/>
    </row>
    <row r="1682" spans="1:17" ht="15" customHeight="1" x14ac:dyDescent="0.25">
      <c r="A1682" s="1"/>
      <c r="B1682" s="17"/>
      <c r="C1682" s="17"/>
      <c r="D1682" s="17"/>
      <c r="E1682" s="17"/>
      <c r="F1682" s="17"/>
      <c r="G1682" s="4">
        <f t="shared" si="44"/>
        <v>0</v>
      </c>
      <c r="H1682" s="17"/>
      <c r="I1682" s="4">
        <f t="shared" si="42"/>
        <v>349526.07999999996</v>
      </c>
      <c r="J1682" s="32" t="str">
        <f t="shared" si="43"/>
        <v/>
      </c>
      <c r="K1682" s="79"/>
      <c r="L1682" s="79"/>
      <c r="M1682" s="2"/>
      <c r="N1682" s="5"/>
      <c r="O1682" s="3"/>
      <c r="P1682" s="6"/>
      <c r="Q1682" s="6"/>
    </row>
    <row r="1683" spans="1:17" ht="15" customHeight="1" x14ac:dyDescent="0.25">
      <c r="A1683" s="1"/>
      <c r="B1683" s="17"/>
      <c r="C1683" s="17"/>
      <c r="D1683" s="17"/>
      <c r="E1683" s="17"/>
      <c r="F1683" s="17"/>
      <c r="G1683" s="4">
        <f t="shared" si="44"/>
        <v>0</v>
      </c>
      <c r="H1683" s="17"/>
      <c r="I1683" s="4">
        <f t="shared" si="42"/>
        <v>349526.07999999996</v>
      </c>
      <c r="J1683" s="32" t="str">
        <f t="shared" si="43"/>
        <v/>
      </c>
      <c r="K1683" s="79"/>
      <c r="L1683" s="79"/>
      <c r="M1683" s="2"/>
      <c r="N1683" s="5"/>
      <c r="O1683" s="3"/>
      <c r="P1683" s="6"/>
      <c r="Q1683" s="6"/>
    </row>
    <row r="1684" spans="1:17" ht="15" customHeight="1" x14ac:dyDescent="0.25">
      <c r="A1684" s="1"/>
      <c r="B1684" s="17"/>
      <c r="C1684" s="17"/>
      <c r="D1684" s="17"/>
      <c r="E1684" s="17"/>
      <c r="F1684" s="17"/>
      <c r="G1684" s="4">
        <f t="shared" si="44"/>
        <v>0</v>
      </c>
      <c r="H1684" s="17"/>
      <c r="I1684" s="4">
        <f t="shared" si="42"/>
        <v>349526.07999999996</v>
      </c>
      <c r="J1684" s="32" t="str">
        <f t="shared" si="43"/>
        <v/>
      </c>
      <c r="K1684" s="79"/>
      <c r="L1684" s="79"/>
      <c r="M1684" s="2"/>
      <c r="N1684" s="5"/>
      <c r="O1684" s="3"/>
      <c r="P1684" s="6"/>
      <c r="Q1684" s="6"/>
    </row>
    <row r="1685" spans="1:17" ht="15" customHeight="1" x14ac:dyDescent="0.25">
      <c r="A1685" s="1"/>
      <c r="B1685" s="17"/>
      <c r="C1685" s="17"/>
      <c r="D1685" s="17"/>
      <c r="E1685" s="17"/>
      <c r="F1685" s="17"/>
      <c r="G1685" s="4">
        <f t="shared" si="44"/>
        <v>0</v>
      </c>
      <c r="H1685" s="17"/>
      <c r="I1685" s="4">
        <f t="shared" si="42"/>
        <v>349526.07999999996</v>
      </c>
      <c r="J1685" s="32" t="str">
        <f t="shared" si="43"/>
        <v/>
      </c>
      <c r="K1685" s="79"/>
      <c r="L1685" s="79"/>
      <c r="M1685" s="2"/>
      <c r="N1685" s="5"/>
      <c r="O1685" s="3"/>
      <c r="P1685" s="6"/>
      <c r="Q1685" s="6"/>
    </row>
    <row r="1686" spans="1:17" ht="15" customHeight="1" x14ac:dyDescent="0.25">
      <c r="A1686" s="1"/>
      <c r="B1686" s="17"/>
      <c r="C1686" s="17"/>
      <c r="D1686" s="17"/>
      <c r="E1686" s="17"/>
      <c r="F1686" s="17"/>
      <c r="G1686" s="4">
        <f t="shared" si="44"/>
        <v>0</v>
      </c>
      <c r="H1686" s="17"/>
      <c r="I1686" s="4">
        <f t="shared" si="42"/>
        <v>349526.07999999996</v>
      </c>
      <c r="J1686" s="32" t="str">
        <f t="shared" si="43"/>
        <v/>
      </c>
      <c r="K1686" s="79"/>
      <c r="L1686" s="79"/>
      <c r="M1686" s="2"/>
      <c r="N1686" s="5"/>
      <c r="O1686" s="3"/>
      <c r="P1686" s="6"/>
      <c r="Q1686" s="6"/>
    </row>
    <row r="1687" spans="1:17" ht="15" customHeight="1" x14ac:dyDescent="0.25">
      <c r="A1687" s="1"/>
      <c r="B1687" s="17"/>
      <c r="C1687" s="17"/>
      <c r="D1687" s="17"/>
      <c r="E1687" s="17"/>
      <c r="F1687" s="17"/>
      <c r="G1687" s="4">
        <f t="shared" si="44"/>
        <v>0</v>
      </c>
      <c r="H1687" s="17"/>
      <c r="I1687" s="4">
        <f t="shared" si="42"/>
        <v>349526.07999999996</v>
      </c>
      <c r="J1687" s="32" t="str">
        <f t="shared" si="43"/>
        <v/>
      </c>
      <c r="K1687" s="79"/>
      <c r="L1687" s="79"/>
      <c r="M1687" s="2"/>
      <c r="N1687" s="5"/>
      <c r="O1687" s="3"/>
      <c r="P1687" s="6"/>
      <c r="Q1687" s="6"/>
    </row>
    <row r="1688" spans="1:17" ht="15" customHeight="1" x14ac:dyDescent="0.25">
      <c r="A1688" s="1"/>
      <c r="B1688" s="17"/>
      <c r="C1688" s="17"/>
      <c r="D1688" s="17"/>
      <c r="E1688" s="17"/>
      <c r="F1688" s="17"/>
      <c r="G1688" s="4">
        <f t="shared" si="44"/>
        <v>0</v>
      </c>
      <c r="H1688" s="17"/>
      <c r="I1688" s="4">
        <f t="shared" si="42"/>
        <v>349526.07999999996</v>
      </c>
      <c r="J1688" s="32" t="str">
        <f t="shared" si="43"/>
        <v/>
      </c>
      <c r="K1688" s="79"/>
      <c r="L1688" s="79"/>
      <c r="M1688" s="2"/>
      <c r="N1688" s="5"/>
      <c r="O1688" s="3"/>
      <c r="P1688" s="6"/>
      <c r="Q1688" s="6"/>
    </row>
    <row r="1689" spans="1:17" ht="15" customHeight="1" x14ac:dyDescent="0.25">
      <c r="A1689" s="1"/>
      <c r="B1689" s="17"/>
      <c r="C1689" s="17"/>
      <c r="D1689" s="17"/>
      <c r="E1689" s="17"/>
      <c r="F1689" s="17"/>
      <c r="G1689" s="4">
        <f t="shared" si="44"/>
        <v>0</v>
      </c>
      <c r="H1689" s="17"/>
      <c r="I1689" s="4">
        <f t="shared" si="42"/>
        <v>349526.07999999996</v>
      </c>
      <c r="J1689" s="32" t="str">
        <f t="shared" si="43"/>
        <v/>
      </c>
      <c r="K1689" s="79"/>
      <c r="L1689" s="79"/>
      <c r="M1689" s="2"/>
      <c r="N1689" s="5"/>
      <c r="O1689" s="3"/>
      <c r="P1689" s="6"/>
      <c r="Q1689" s="6"/>
    </row>
    <row r="1690" spans="1:17" ht="15" customHeight="1" x14ac:dyDescent="0.25">
      <c r="A1690" s="1"/>
      <c r="B1690" s="17"/>
      <c r="C1690" s="17"/>
      <c r="D1690" s="17"/>
      <c r="E1690" s="17"/>
      <c r="F1690" s="17"/>
      <c r="G1690" s="4">
        <f t="shared" si="44"/>
        <v>0</v>
      </c>
      <c r="H1690" s="17"/>
      <c r="I1690" s="4">
        <f t="shared" si="42"/>
        <v>349526.07999999996</v>
      </c>
      <c r="J1690" s="32" t="str">
        <f t="shared" si="43"/>
        <v/>
      </c>
      <c r="K1690" s="79"/>
      <c r="L1690" s="79"/>
      <c r="M1690" s="2"/>
      <c r="N1690" s="5"/>
      <c r="O1690" s="3"/>
      <c r="P1690" s="6"/>
      <c r="Q1690" s="6"/>
    </row>
    <row r="1691" spans="1:17" ht="15" customHeight="1" x14ac:dyDescent="0.25">
      <c r="A1691" s="1"/>
      <c r="B1691" s="17"/>
      <c r="C1691" s="17"/>
      <c r="D1691" s="17"/>
      <c r="E1691" s="17"/>
      <c r="F1691" s="17"/>
      <c r="G1691" s="4">
        <f t="shared" si="44"/>
        <v>0</v>
      </c>
      <c r="H1691" s="17"/>
      <c r="I1691" s="4">
        <f t="shared" si="42"/>
        <v>349526.07999999996</v>
      </c>
      <c r="J1691" s="32" t="str">
        <f t="shared" si="43"/>
        <v/>
      </c>
      <c r="K1691" s="79"/>
      <c r="L1691" s="79"/>
      <c r="M1691" s="2"/>
      <c r="N1691" s="5"/>
      <c r="O1691" s="3"/>
      <c r="P1691" s="6"/>
      <c r="Q1691" s="6"/>
    </row>
    <row r="1692" spans="1:17" ht="15" customHeight="1" x14ac:dyDescent="0.25">
      <c r="A1692" s="1"/>
      <c r="B1692" s="17"/>
      <c r="C1692" s="17"/>
      <c r="D1692" s="17"/>
      <c r="E1692" s="17"/>
      <c r="F1692" s="17"/>
      <c r="G1692" s="4">
        <f t="shared" si="44"/>
        <v>0</v>
      </c>
      <c r="H1692" s="17"/>
      <c r="I1692" s="4">
        <f t="shared" si="42"/>
        <v>349526.07999999996</v>
      </c>
      <c r="J1692" s="32" t="str">
        <f t="shared" si="43"/>
        <v/>
      </c>
      <c r="K1692" s="79"/>
      <c r="L1692" s="79"/>
      <c r="M1692" s="2"/>
      <c r="N1692" s="5"/>
      <c r="O1692" s="3"/>
      <c r="P1692" s="6"/>
      <c r="Q1692" s="6"/>
    </row>
    <row r="1693" spans="1:17" ht="15" customHeight="1" x14ac:dyDescent="0.25">
      <c r="A1693" s="1"/>
      <c r="B1693" s="17"/>
      <c r="C1693" s="17"/>
      <c r="D1693" s="17"/>
      <c r="E1693" s="17"/>
      <c r="F1693" s="17"/>
      <c r="G1693" s="4">
        <f t="shared" si="44"/>
        <v>0</v>
      </c>
      <c r="H1693" s="17"/>
      <c r="I1693" s="4">
        <f t="shared" si="42"/>
        <v>349526.07999999996</v>
      </c>
      <c r="J1693" s="32" t="str">
        <f t="shared" si="43"/>
        <v/>
      </c>
      <c r="K1693" s="79"/>
      <c r="L1693" s="79"/>
      <c r="M1693" s="2"/>
      <c r="N1693" s="5"/>
      <c r="O1693" s="3"/>
      <c r="P1693" s="6"/>
      <c r="Q1693" s="6"/>
    </row>
    <row r="1694" spans="1:17" ht="15" customHeight="1" x14ac:dyDescent="0.25">
      <c r="A1694" s="1"/>
      <c r="B1694" s="17"/>
      <c r="C1694" s="17"/>
      <c r="D1694" s="17"/>
      <c r="E1694" s="17"/>
      <c r="F1694" s="17"/>
      <c r="G1694" s="4">
        <f t="shared" si="44"/>
        <v>0</v>
      </c>
      <c r="H1694" s="17"/>
      <c r="I1694" s="4">
        <f t="shared" si="42"/>
        <v>349526.07999999996</v>
      </c>
      <c r="J1694" s="32" t="str">
        <f t="shared" si="43"/>
        <v/>
      </c>
      <c r="K1694" s="79"/>
      <c r="L1694" s="79"/>
      <c r="M1694" s="2"/>
      <c r="N1694" s="5"/>
      <c r="O1694" s="3"/>
      <c r="P1694" s="6"/>
      <c r="Q1694" s="6"/>
    </row>
    <row r="1695" spans="1:17" ht="15" customHeight="1" x14ac:dyDescent="0.25">
      <c r="A1695" s="1"/>
      <c r="B1695" s="17"/>
      <c r="C1695" s="17"/>
      <c r="D1695" s="17"/>
      <c r="E1695" s="17"/>
      <c r="F1695" s="17"/>
      <c r="G1695" s="4">
        <f t="shared" si="44"/>
        <v>0</v>
      </c>
      <c r="H1695" s="17"/>
      <c r="I1695" s="4">
        <f t="shared" si="42"/>
        <v>349526.07999999996</v>
      </c>
      <c r="J1695" s="32" t="str">
        <f t="shared" si="43"/>
        <v/>
      </c>
      <c r="K1695" s="79"/>
      <c r="L1695" s="79"/>
      <c r="M1695" s="2"/>
      <c r="N1695" s="5"/>
      <c r="O1695" s="3"/>
      <c r="P1695" s="6"/>
      <c r="Q1695" s="6"/>
    </row>
    <row r="1696" spans="1:17" ht="15" customHeight="1" x14ac:dyDescent="0.25">
      <c r="A1696" s="1"/>
      <c r="B1696" s="17"/>
      <c r="C1696" s="17"/>
      <c r="D1696" s="17"/>
      <c r="E1696" s="17"/>
      <c r="F1696" s="17"/>
      <c r="G1696" s="4">
        <f t="shared" si="44"/>
        <v>0</v>
      </c>
      <c r="H1696" s="17"/>
      <c r="I1696" s="4">
        <f t="shared" si="42"/>
        <v>349526.07999999996</v>
      </c>
      <c r="J1696" s="32" t="str">
        <f t="shared" si="43"/>
        <v/>
      </c>
      <c r="K1696" s="79"/>
      <c r="L1696" s="79"/>
      <c r="M1696" s="2"/>
      <c r="N1696" s="5"/>
      <c r="O1696" s="3"/>
      <c r="P1696" s="6"/>
      <c r="Q1696" s="6"/>
    </row>
    <row r="1697" spans="1:17" ht="15" customHeight="1" x14ac:dyDescent="0.25">
      <c r="A1697" s="1"/>
      <c r="B1697" s="17"/>
      <c r="C1697" s="17"/>
      <c r="D1697" s="17"/>
      <c r="E1697" s="17"/>
      <c r="F1697" s="17"/>
      <c r="G1697" s="4">
        <f t="shared" si="44"/>
        <v>0</v>
      </c>
      <c r="H1697" s="17"/>
      <c r="I1697" s="4">
        <f t="shared" si="42"/>
        <v>349526.07999999996</v>
      </c>
      <c r="J1697" s="32" t="str">
        <f t="shared" si="43"/>
        <v/>
      </c>
      <c r="K1697" s="79"/>
      <c r="L1697" s="79"/>
      <c r="M1697" s="2"/>
      <c r="N1697" s="5"/>
      <c r="O1697" s="3"/>
      <c r="P1697" s="6"/>
      <c r="Q1697" s="6"/>
    </row>
    <row r="1698" spans="1:17" ht="15" customHeight="1" x14ac:dyDescent="0.25">
      <c r="A1698" s="1"/>
      <c r="B1698" s="17"/>
      <c r="C1698" s="17"/>
      <c r="D1698" s="17"/>
      <c r="E1698" s="17"/>
      <c r="F1698" s="17"/>
      <c r="G1698" s="4">
        <f t="shared" si="44"/>
        <v>0</v>
      </c>
      <c r="H1698" s="17"/>
      <c r="I1698" s="4">
        <f t="shared" si="42"/>
        <v>349526.07999999996</v>
      </c>
      <c r="J1698" s="32" t="str">
        <f t="shared" si="43"/>
        <v/>
      </c>
      <c r="K1698" s="79"/>
      <c r="L1698" s="79"/>
      <c r="M1698" s="2"/>
      <c r="N1698" s="5"/>
      <c r="O1698" s="3"/>
      <c r="P1698" s="6"/>
      <c r="Q1698" s="6"/>
    </row>
    <row r="1699" spans="1:17" ht="15" customHeight="1" x14ac:dyDescent="0.25">
      <c r="A1699" s="1"/>
      <c r="B1699" s="17"/>
      <c r="C1699" s="17"/>
      <c r="D1699" s="17"/>
      <c r="E1699" s="17"/>
      <c r="F1699" s="17"/>
      <c r="G1699" s="4">
        <f t="shared" si="44"/>
        <v>0</v>
      </c>
      <c r="H1699" s="17"/>
      <c r="I1699" s="4">
        <f t="shared" si="42"/>
        <v>349526.07999999996</v>
      </c>
      <c r="J1699" s="32" t="str">
        <f t="shared" si="43"/>
        <v/>
      </c>
      <c r="K1699" s="79"/>
      <c r="L1699" s="79"/>
      <c r="M1699" s="2"/>
      <c r="N1699" s="5"/>
      <c r="O1699" s="3"/>
      <c r="P1699" s="6"/>
      <c r="Q1699" s="6"/>
    </row>
    <row r="1700" spans="1:17" ht="15" customHeight="1" x14ac:dyDescent="0.25">
      <c r="A1700" s="1"/>
      <c r="B1700" s="17"/>
      <c r="C1700" s="17"/>
      <c r="D1700" s="17"/>
      <c r="E1700" s="17"/>
      <c r="F1700" s="17"/>
      <c r="G1700" s="4">
        <f t="shared" si="44"/>
        <v>0</v>
      </c>
      <c r="H1700" s="17"/>
      <c r="I1700" s="4">
        <f t="shared" si="42"/>
        <v>349526.07999999996</v>
      </c>
      <c r="J1700" s="32" t="str">
        <f t="shared" si="43"/>
        <v/>
      </c>
      <c r="K1700" s="79"/>
      <c r="L1700" s="79"/>
      <c r="M1700" s="2"/>
      <c r="N1700" s="5"/>
      <c r="O1700" s="3"/>
      <c r="P1700" s="6"/>
      <c r="Q1700" s="6"/>
    </row>
    <row r="1701" spans="1:17" ht="15" customHeight="1" x14ac:dyDescent="0.25">
      <c r="A1701" s="1"/>
      <c r="B1701" s="17"/>
      <c r="C1701" s="17"/>
      <c r="D1701" s="17"/>
      <c r="E1701" s="17"/>
      <c r="F1701" s="17"/>
      <c r="G1701" s="4">
        <f t="shared" si="44"/>
        <v>0</v>
      </c>
      <c r="H1701" s="17"/>
      <c r="I1701" s="4">
        <f t="shared" si="42"/>
        <v>349526.07999999996</v>
      </c>
      <c r="J1701" s="32" t="str">
        <f t="shared" si="43"/>
        <v/>
      </c>
      <c r="K1701" s="79"/>
      <c r="L1701" s="79"/>
      <c r="M1701" s="2"/>
      <c r="N1701" s="5"/>
      <c r="O1701" s="3"/>
      <c r="P1701" s="6"/>
      <c r="Q1701" s="6"/>
    </row>
    <row r="1702" spans="1:17" ht="15" customHeight="1" x14ac:dyDescent="0.25">
      <c r="A1702" s="1"/>
      <c r="B1702" s="17"/>
      <c r="C1702" s="17"/>
      <c r="D1702" s="17"/>
      <c r="E1702" s="17"/>
      <c r="F1702" s="17"/>
      <c r="G1702" s="4">
        <f t="shared" si="44"/>
        <v>0</v>
      </c>
      <c r="H1702" s="17"/>
      <c r="I1702" s="4">
        <f t="shared" si="42"/>
        <v>349526.07999999996</v>
      </c>
      <c r="J1702" s="32" t="str">
        <f t="shared" si="43"/>
        <v/>
      </c>
      <c r="K1702" s="79"/>
      <c r="L1702" s="79"/>
      <c r="M1702" s="2"/>
      <c r="N1702" s="5"/>
      <c r="O1702" s="3"/>
      <c r="P1702" s="6"/>
      <c r="Q1702" s="6"/>
    </row>
    <row r="1703" spans="1:17" ht="15" customHeight="1" x14ac:dyDescent="0.25">
      <c r="A1703" s="1"/>
      <c r="B1703" s="17"/>
      <c r="C1703" s="17"/>
      <c r="D1703" s="17"/>
      <c r="E1703" s="17"/>
      <c r="F1703" s="17"/>
      <c r="G1703" s="4">
        <f t="shared" si="44"/>
        <v>0</v>
      </c>
      <c r="H1703" s="17"/>
      <c r="I1703" s="4">
        <f t="shared" si="42"/>
        <v>349526.07999999996</v>
      </c>
      <c r="J1703" s="32" t="str">
        <f t="shared" si="43"/>
        <v/>
      </c>
      <c r="K1703" s="79"/>
      <c r="L1703" s="79"/>
      <c r="M1703" s="2"/>
      <c r="N1703" s="5"/>
      <c r="O1703" s="3"/>
      <c r="P1703" s="6"/>
      <c r="Q1703" s="6"/>
    </row>
    <row r="1704" spans="1:17" ht="15" customHeight="1" x14ac:dyDescent="0.25">
      <c r="A1704" s="1"/>
      <c r="B1704" s="17"/>
      <c r="C1704" s="17"/>
      <c r="D1704" s="17"/>
      <c r="E1704" s="17"/>
      <c r="F1704" s="17"/>
      <c r="G1704" s="4">
        <f t="shared" si="44"/>
        <v>0</v>
      </c>
      <c r="H1704" s="17"/>
      <c r="I1704" s="4">
        <f t="shared" si="42"/>
        <v>349526.07999999996</v>
      </c>
      <c r="J1704" s="32" t="str">
        <f t="shared" si="43"/>
        <v/>
      </c>
      <c r="K1704" s="79"/>
      <c r="L1704" s="79"/>
      <c r="M1704" s="2"/>
      <c r="N1704" s="5"/>
      <c r="O1704" s="3"/>
      <c r="P1704" s="6"/>
      <c r="Q1704" s="6"/>
    </row>
    <row r="1705" spans="1:17" ht="15" customHeight="1" x14ac:dyDescent="0.25">
      <c r="A1705" s="1"/>
      <c r="B1705" s="17"/>
      <c r="C1705" s="17"/>
      <c r="D1705" s="17"/>
      <c r="E1705" s="17"/>
      <c r="F1705" s="17"/>
      <c r="G1705" s="4">
        <f t="shared" si="44"/>
        <v>0</v>
      </c>
      <c r="H1705" s="17"/>
      <c r="I1705" s="4">
        <f t="shared" si="42"/>
        <v>349526.07999999996</v>
      </c>
      <c r="J1705" s="32" t="str">
        <f t="shared" si="43"/>
        <v/>
      </c>
      <c r="K1705" s="79"/>
      <c r="L1705" s="79"/>
      <c r="M1705" s="2"/>
      <c r="N1705" s="5"/>
      <c r="O1705" s="3"/>
      <c r="P1705" s="6"/>
      <c r="Q1705" s="6"/>
    </row>
    <row r="1706" spans="1:17" ht="15" customHeight="1" x14ac:dyDescent="0.25">
      <c r="A1706" s="1"/>
      <c r="B1706" s="17"/>
      <c r="C1706" s="17"/>
      <c r="D1706" s="17"/>
      <c r="E1706" s="17"/>
      <c r="F1706" s="17"/>
      <c r="G1706" s="4">
        <f t="shared" si="44"/>
        <v>0</v>
      </c>
      <c r="H1706" s="17"/>
      <c r="I1706" s="4">
        <f t="shared" si="42"/>
        <v>349526.07999999996</v>
      </c>
      <c r="J1706" s="32" t="str">
        <f t="shared" si="43"/>
        <v/>
      </c>
      <c r="K1706" s="79"/>
      <c r="L1706" s="79"/>
      <c r="M1706" s="2"/>
      <c r="N1706" s="5"/>
      <c r="O1706" s="3"/>
      <c r="P1706" s="6"/>
      <c r="Q1706" s="6"/>
    </row>
    <row r="1707" spans="1:17" ht="15" customHeight="1" x14ac:dyDescent="0.25">
      <c r="A1707" s="1"/>
      <c r="B1707" s="17"/>
      <c r="C1707" s="17"/>
      <c r="D1707" s="17"/>
      <c r="E1707" s="17"/>
      <c r="F1707" s="17"/>
      <c r="G1707" s="4">
        <f t="shared" si="44"/>
        <v>0</v>
      </c>
      <c r="H1707" s="17"/>
      <c r="I1707" s="4">
        <f t="shared" si="42"/>
        <v>349526.07999999996</v>
      </c>
      <c r="J1707" s="32" t="str">
        <f t="shared" si="43"/>
        <v/>
      </c>
      <c r="K1707" s="79"/>
      <c r="L1707" s="79"/>
      <c r="M1707" s="2"/>
      <c r="N1707" s="5"/>
      <c r="O1707" s="3"/>
      <c r="P1707" s="6"/>
      <c r="Q1707" s="6"/>
    </row>
    <row r="1708" spans="1:17" ht="15" customHeight="1" x14ac:dyDescent="0.25">
      <c r="A1708" s="1"/>
      <c r="B1708" s="17"/>
      <c r="C1708" s="17"/>
      <c r="D1708" s="17"/>
      <c r="E1708" s="17"/>
      <c r="F1708" s="17"/>
      <c r="G1708" s="4">
        <f t="shared" si="44"/>
        <v>0</v>
      </c>
      <c r="H1708" s="17"/>
      <c r="I1708" s="4">
        <f t="shared" si="42"/>
        <v>349526.07999999996</v>
      </c>
      <c r="J1708" s="32" t="str">
        <f t="shared" si="43"/>
        <v/>
      </c>
      <c r="K1708" s="79"/>
      <c r="L1708" s="79"/>
      <c r="M1708" s="2"/>
      <c r="N1708" s="5"/>
      <c r="O1708" s="3"/>
      <c r="P1708" s="6"/>
      <c r="Q1708" s="6"/>
    </row>
    <row r="1709" spans="1:17" ht="15" customHeight="1" x14ac:dyDescent="0.25">
      <c r="A1709" s="1"/>
      <c r="B1709" s="17"/>
      <c r="C1709" s="17"/>
      <c r="D1709" s="17"/>
      <c r="E1709" s="17"/>
      <c r="F1709" s="17"/>
      <c r="G1709" s="4">
        <f t="shared" si="44"/>
        <v>0</v>
      </c>
      <c r="H1709" s="17"/>
      <c r="I1709" s="4">
        <f t="shared" si="42"/>
        <v>349526.07999999996</v>
      </c>
      <c r="J1709" s="32" t="str">
        <f t="shared" si="43"/>
        <v/>
      </c>
      <c r="K1709" s="79"/>
      <c r="L1709" s="79"/>
      <c r="M1709" s="2"/>
      <c r="N1709" s="5"/>
      <c r="O1709" s="3"/>
      <c r="P1709" s="6"/>
      <c r="Q1709" s="6"/>
    </row>
    <row r="1710" spans="1:17" ht="15" customHeight="1" x14ac:dyDescent="0.25">
      <c r="A1710" s="1"/>
      <c r="B1710" s="17"/>
      <c r="C1710" s="17"/>
      <c r="D1710" s="17"/>
      <c r="E1710" s="17"/>
      <c r="F1710" s="17"/>
      <c r="G1710" s="4">
        <f t="shared" si="44"/>
        <v>0</v>
      </c>
      <c r="H1710" s="17"/>
      <c r="I1710" s="4">
        <f t="shared" si="42"/>
        <v>349526.07999999996</v>
      </c>
      <c r="J1710" s="32" t="str">
        <f t="shared" si="43"/>
        <v/>
      </c>
      <c r="K1710" s="79"/>
      <c r="L1710" s="79"/>
      <c r="M1710" s="2"/>
      <c r="N1710" s="5"/>
      <c r="O1710" s="3"/>
      <c r="P1710" s="6"/>
      <c r="Q1710" s="6"/>
    </row>
    <row r="1711" spans="1:17" ht="15" customHeight="1" x14ac:dyDescent="0.25">
      <c r="A1711" s="1"/>
      <c r="B1711" s="17"/>
      <c r="C1711" s="17"/>
      <c r="D1711" s="17"/>
      <c r="E1711" s="17"/>
      <c r="F1711" s="17"/>
      <c r="G1711" s="4">
        <f t="shared" si="44"/>
        <v>0</v>
      </c>
      <c r="H1711" s="17"/>
      <c r="I1711" s="4">
        <f t="shared" si="42"/>
        <v>349526.07999999996</v>
      </c>
      <c r="J1711" s="32" t="str">
        <f t="shared" si="43"/>
        <v/>
      </c>
      <c r="K1711" s="79"/>
      <c r="L1711" s="79"/>
      <c r="M1711" s="2"/>
      <c r="N1711" s="5"/>
      <c r="O1711" s="3"/>
      <c r="P1711" s="6"/>
      <c r="Q1711" s="6"/>
    </row>
    <row r="1712" spans="1:17" ht="15" customHeight="1" x14ac:dyDescent="0.25">
      <c r="A1712" s="1"/>
      <c r="B1712" s="17"/>
      <c r="C1712" s="17"/>
      <c r="D1712" s="17"/>
      <c r="E1712" s="17"/>
      <c r="F1712" s="17"/>
      <c r="G1712" s="4">
        <f t="shared" si="44"/>
        <v>0</v>
      </c>
      <c r="H1712" s="17"/>
      <c r="I1712" s="4">
        <f t="shared" si="42"/>
        <v>349526.07999999996</v>
      </c>
      <c r="J1712" s="32" t="str">
        <f t="shared" si="43"/>
        <v/>
      </c>
      <c r="K1712" s="79"/>
      <c r="L1712" s="79"/>
      <c r="M1712" s="2"/>
      <c r="N1712" s="5"/>
      <c r="O1712" s="3"/>
      <c r="P1712" s="6"/>
      <c r="Q1712" s="6"/>
    </row>
    <row r="1713" spans="1:17" ht="15" customHeight="1" x14ac:dyDescent="0.25">
      <c r="A1713" s="1"/>
      <c r="B1713" s="17"/>
      <c r="C1713" s="17"/>
      <c r="D1713" s="17"/>
      <c r="E1713" s="17"/>
      <c r="F1713" s="17"/>
      <c r="G1713" s="4">
        <f t="shared" si="44"/>
        <v>0</v>
      </c>
      <c r="H1713" s="17"/>
      <c r="I1713" s="4">
        <f t="shared" si="42"/>
        <v>349526.07999999996</v>
      </c>
      <c r="J1713" s="32" t="str">
        <f t="shared" si="43"/>
        <v/>
      </c>
      <c r="K1713" s="79"/>
      <c r="L1713" s="79"/>
      <c r="M1713" s="2"/>
      <c r="N1713" s="5"/>
      <c r="O1713" s="3"/>
      <c r="P1713" s="6"/>
      <c r="Q1713" s="6"/>
    </row>
    <row r="1714" spans="1:17" ht="15" customHeight="1" x14ac:dyDescent="0.25">
      <c r="A1714" s="1"/>
      <c r="B1714" s="17"/>
      <c r="C1714" s="17"/>
      <c r="D1714" s="17"/>
      <c r="E1714" s="17"/>
      <c r="F1714" s="17"/>
      <c r="G1714" s="4">
        <f t="shared" si="44"/>
        <v>0</v>
      </c>
      <c r="H1714" s="17"/>
      <c r="I1714" s="4">
        <f t="shared" si="42"/>
        <v>349526.07999999996</v>
      </c>
      <c r="J1714" s="32" t="str">
        <f t="shared" si="43"/>
        <v/>
      </c>
      <c r="K1714" s="79"/>
      <c r="L1714" s="79"/>
      <c r="M1714" s="2"/>
      <c r="N1714" s="5"/>
      <c r="O1714" s="3"/>
      <c r="P1714" s="6"/>
      <c r="Q1714" s="6"/>
    </row>
    <row r="1715" spans="1:17" ht="15" customHeight="1" x14ac:dyDescent="0.25">
      <c r="A1715" s="1"/>
      <c r="B1715" s="17"/>
      <c r="C1715" s="17"/>
      <c r="D1715" s="17"/>
      <c r="E1715" s="17"/>
      <c r="F1715" s="17"/>
      <c r="G1715" s="4">
        <f t="shared" si="44"/>
        <v>0</v>
      </c>
      <c r="H1715" s="17"/>
      <c r="I1715" s="4">
        <f t="shared" si="42"/>
        <v>349526.07999999996</v>
      </c>
      <c r="J1715" s="32" t="str">
        <f t="shared" si="43"/>
        <v/>
      </c>
      <c r="K1715" s="79"/>
      <c r="L1715" s="79"/>
      <c r="M1715" s="2"/>
      <c r="N1715" s="5"/>
      <c r="O1715" s="3"/>
      <c r="P1715" s="6"/>
      <c r="Q1715" s="6"/>
    </row>
    <row r="1716" spans="1:17" ht="15" customHeight="1" x14ac:dyDescent="0.25">
      <c r="A1716" s="1"/>
      <c r="B1716" s="17"/>
      <c r="C1716" s="17"/>
      <c r="D1716" s="17"/>
      <c r="E1716" s="17"/>
      <c r="F1716" s="17"/>
      <c r="G1716" s="4">
        <f t="shared" si="44"/>
        <v>0</v>
      </c>
      <c r="H1716" s="17"/>
      <c r="I1716" s="4">
        <f t="shared" si="42"/>
        <v>349526.07999999996</v>
      </c>
      <c r="J1716" s="32" t="str">
        <f t="shared" si="43"/>
        <v/>
      </c>
      <c r="K1716" s="79"/>
      <c r="L1716" s="79"/>
      <c r="M1716" s="2"/>
      <c r="N1716" s="5"/>
      <c r="O1716" s="3"/>
      <c r="P1716" s="6"/>
      <c r="Q1716" s="6"/>
    </row>
    <row r="1717" spans="1:17" ht="15" customHeight="1" x14ac:dyDescent="0.25">
      <c r="A1717" s="1"/>
      <c r="B1717" s="17"/>
      <c r="C1717" s="17"/>
      <c r="D1717" s="17"/>
      <c r="E1717" s="17"/>
      <c r="F1717" s="17"/>
      <c r="G1717" s="4">
        <f t="shared" si="44"/>
        <v>0</v>
      </c>
      <c r="H1717" s="17"/>
      <c r="I1717" s="4">
        <f t="shared" si="42"/>
        <v>349526.07999999996</v>
      </c>
      <c r="J1717" s="32" t="str">
        <f t="shared" si="43"/>
        <v/>
      </c>
      <c r="K1717" s="79"/>
      <c r="L1717" s="79"/>
      <c r="M1717" s="2"/>
      <c r="N1717" s="5"/>
      <c r="O1717" s="3"/>
      <c r="P1717" s="6"/>
      <c r="Q1717" s="6"/>
    </row>
    <row r="1718" spans="1:17" ht="15" customHeight="1" x14ac:dyDescent="0.25">
      <c r="A1718" s="1"/>
      <c r="B1718" s="17"/>
      <c r="C1718" s="17"/>
      <c r="D1718" s="17"/>
      <c r="E1718" s="17"/>
      <c r="F1718" s="17"/>
      <c r="G1718" s="4">
        <f t="shared" si="44"/>
        <v>0</v>
      </c>
      <c r="H1718" s="17"/>
      <c r="I1718" s="4">
        <f t="shared" ref="I1718:I1781" si="45">$I1717+$G1718-$H1718</f>
        <v>349526.07999999996</v>
      </c>
      <c r="J1718" s="32" t="str">
        <f t="shared" ref="J1718:J1781" si="46">IF($A1719&lt;&gt;$A1718,$I1718,"")</f>
        <v/>
      </c>
      <c r="K1718" s="79"/>
      <c r="L1718" s="79"/>
      <c r="M1718" s="2"/>
      <c r="N1718" s="5"/>
      <c r="O1718" s="3"/>
      <c r="P1718" s="6"/>
      <c r="Q1718" s="6"/>
    </row>
    <row r="1719" spans="1:17" ht="15" customHeight="1" x14ac:dyDescent="0.25">
      <c r="A1719" s="1"/>
      <c r="B1719" s="17"/>
      <c r="C1719" s="17"/>
      <c r="D1719" s="17"/>
      <c r="E1719" s="17"/>
      <c r="F1719" s="17"/>
      <c r="G1719" s="4">
        <f t="shared" si="44"/>
        <v>0</v>
      </c>
      <c r="H1719" s="17"/>
      <c r="I1719" s="4">
        <f t="shared" si="45"/>
        <v>349526.07999999996</v>
      </c>
      <c r="J1719" s="32" t="str">
        <f t="shared" si="46"/>
        <v/>
      </c>
      <c r="K1719" s="79"/>
      <c r="L1719" s="79"/>
      <c r="M1719" s="2"/>
      <c r="N1719" s="5"/>
      <c r="O1719" s="3"/>
      <c r="P1719" s="6"/>
      <c r="Q1719" s="6"/>
    </row>
    <row r="1720" spans="1:17" ht="15" customHeight="1" x14ac:dyDescent="0.25">
      <c r="A1720" s="1"/>
      <c r="B1720" s="17"/>
      <c r="C1720" s="17"/>
      <c r="D1720" s="17"/>
      <c r="E1720" s="17"/>
      <c r="F1720" s="17"/>
      <c r="G1720" s="4">
        <f t="shared" si="44"/>
        <v>0</v>
      </c>
      <c r="H1720" s="17"/>
      <c r="I1720" s="4">
        <f t="shared" si="45"/>
        <v>349526.07999999996</v>
      </c>
      <c r="J1720" s="32" t="str">
        <f t="shared" si="46"/>
        <v/>
      </c>
      <c r="K1720" s="79"/>
      <c r="L1720" s="79"/>
      <c r="M1720" s="2"/>
      <c r="N1720" s="5"/>
      <c r="O1720" s="3"/>
      <c r="P1720" s="6"/>
      <c r="Q1720" s="6"/>
    </row>
    <row r="1721" spans="1:17" ht="15" customHeight="1" x14ac:dyDescent="0.25">
      <c r="A1721" s="1"/>
      <c r="B1721" s="17"/>
      <c r="C1721" s="17"/>
      <c r="D1721" s="17"/>
      <c r="E1721" s="17"/>
      <c r="F1721" s="17"/>
      <c r="G1721" s="4">
        <f t="shared" si="44"/>
        <v>0</v>
      </c>
      <c r="H1721" s="17"/>
      <c r="I1721" s="4">
        <f t="shared" si="45"/>
        <v>349526.07999999996</v>
      </c>
      <c r="J1721" s="32" t="str">
        <f t="shared" si="46"/>
        <v/>
      </c>
      <c r="K1721" s="79"/>
      <c r="L1721" s="79"/>
      <c r="M1721" s="2"/>
      <c r="N1721" s="5"/>
      <c r="O1721" s="3"/>
      <c r="P1721" s="6"/>
      <c r="Q1721" s="6"/>
    </row>
    <row r="1722" spans="1:17" ht="15" customHeight="1" x14ac:dyDescent="0.25">
      <c r="A1722" s="1"/>
      <c r="B1722" s="17"/>
      <c r="C1722" s="17"/>
      <c r="D1722" s="17"/>
      <c r="E1722" s="17"/>
      <c r="F1722" s="17"/>
      <c r="G1722" s="4">
        <f t="shared" si="44"/>
        <v>0</v>
      </c>
      <c r="H1722" s="17"/>
      <c r="I1722" s="4">
        <f t="shared" si="45"/>
        <v>349526.07999999996</v>
      </c>
      <c r="J1722" s="32" t="str">
        <f t="shared" si="46"/>
        <v/>
      </c>
      <c r="K1722" s="79"/>
      <c r="L1722" s="79"/>
      <c r="M1722" s="2"/>
      <c r="N1722" s="5"/>
      <c r="O1722" s="3"/>
      <c r="P1722" s="6"/>
      <c r="Q1722" s="6"/>
    </row>
    <row r="1723" spans="1:17" ht="15" customHeight="1" x14ac:dyDescent="0.25">
      <c r="A1723" s="1"/>
      <c r="B1723" s="17"/>
      <c r="C1723" s="17"/>
      <c r="D1723" s="17"/>
      <c r="E1723" s="17"/>
      <c r="F1723" s="17"/>
      <c r="G1723" s="4">
        <f t="shared" si="44"/>
        <v>0</v>
      </c>
      <c r="H1723" s="17"/>
      <c r="I1723" s="4">
        <f t="shared" si="45"/>
        <v>349526.07999999996</v>
      </c>
      <c r="J1723" s="32" t="str">
        <f t="shared" si="46"/>
        <v/>
      </c>
      <c r="K1723" s="79"/>
      <c r="L1723" s="79"/>
      <c r="M1723" s="2"/>
      <c r="N1723" s="5"/>
      <c r="O1723" s="3"/>
      <c r="P1723" s="6"/>
      <c r="Q1723" s="6"/>
    </row>
    <row r="1724" spans="1:17" ht="15" customHeight="1" x14ac:dyDescent="0.25">
      <c r="A1724" s="1"/>
      <c r="B1724" s="17"/>
      <c r="C1724" s="17"/>
      <c r="D1724" s="17"/>
      <c r="E1724" s="17"/>
      <c r="F1724" s="17"/>
      <c r="G1724" s="4">
        <f t="shared" si="44"/>
        <v>0</v>
      </c>
      <c r="H1724" s="17"/>
      <c r="I1724" s="4">
        <f t="shared" si="45"/>
        <v>349526.07999999996</v>
      </c>
      <c r="J1724" s="32" t="str">
        <f t="shared" si="46"/>
        <v/>
      </c>
      <c r="K1724" s="79"/>
      <c r="L1724" s="79"/>
      <c r="M1724" s="2"/>
      <c r="N1724" s="5"/>
      <c r="O1724" s="3"/>
      <c r="P1724" s="6"/>
      <c r="Q1724" s="6"/>
    </row>
    <row r="1725" spans="1:17" ht="15" customHeight="1" x14ac:dyDescent="0.25">
      <c r="A1725" s="1"/>
      <c r="B1725" s="17"/>
      <c r="C1725" s="17"/>
      <c r="D1725" s="17"/>
      <c r="E1725" s="17"/>
      <c r="F1725" s="17"/>
      <c r="G1725" s="4">
        <f t="shared" si="44"/>
        <v>0</v>
      </c>
      <c r="H1725" s="17"/>
      <c r="I1725" s="4">
        <f t="shared" si="45"/>
        <v>349526.07999999996</v>
      </c>
      <c r="J1725" s="32" t="str">
        <f t="shared" si="46"/>
        <v/>
      </c>
      <c r="K1725" s="79"/>
      <c r="L1725" s="79"/>
      <c r="M1725" s="2"/>
      <c r="N1725" s="5"/>
      <c r="O1725" s="3"/>
      <c r="P1725" s="6"/>
      <c r="Q1725" s="6"/>
    </row>
    <row r="1726" spans="1:17" ht="15" customHeight="1" x14ac:dyDescent="0.25">
      <c r="A1726" s="1"/>
      <c r="B1726" s="17"/>
      <c r="C1726" s="17"/>
      <c r="D1726" s="17"/>
      <c r="E1726" s="17"/>
      <c r="F1726" s="17"/>
      <c r="G1726" s="4">
        <f t="shared" si="44"/>
        <v>0</v>
      </c>
      <c r="H1726" s="17"/>
      <c r="I1726" s="4">
        <f t="shared" si="45"/>
        <v>349526.07999999996</v>
      </c>
      <c r="J1726" s="32" t="str">
        <f t="shared" si="46"/>
        <v/>
      </c>
      <c r="K1726" s="79"/>
      <c r="L1726" s="79"/>
      <c r="M1726" s="2"/>
      <c r="N1726" s="5"/>
      <c r="O1726" s="3"/>
      <c r="P1726" s="6"/>
      <c r="Q1726" s="6"/>
    </row>
    <row r="1727" spans="1:17" ht="15" customHeight="1" x14ac:dyDescent="0.25">
      <c r="A1727" s="1"/>
      <c r="B1727" s="17"/>
      <c r="C1727" s="17"/>
      <c r="D1727" s="17"/>
      <c r="E1727" s="17"/>
      <c r="F1727" s="17"/>
      <c r="G1727" s="4">
        <f t="shared" si="44"/>
        <v>0</v>
      </c>
      <c r="H1727" s="17"/>
      <c r="I1727" s="4">
        <f t="shared" si="45"/>
        <v>349526.07999999996</v>
      </c>
      <c r="J1727" s="32" t="str">
        <f t="shared" si="46"/>
        <v/>
      </c>
      <c r="K1727" s="79"/>
      <c r="L1727" s="79"/>
      <c r="M1727" s="2"/>
      <c r="N1727" s="5"/>
      <c r="O1727" s="3"/>
      <c r="P1727" s="6"/>
      <c r="Q1727" s="6"/>
    </row>
    <row r="1728" spans="1:17" ht="15" customHeight="1" x14ac:dyDescent="0.25">
      <c r="A1728" s="1"/>
      <c r="B1728" s="17"/>
      <c r="C1728" s="17"/>
      <c r="D1728" s="17"/>
      <c r="E1728" s="17"/>
      <c r="F1728" s="17"/>
      <c r="G1728" s="4">
        <f t="shared" si="44"/>
        <v>0</v>
      </c>
      <c r="H1728" s="17"/>
      <c r="I1728" s="4">
        <f t="shared" si="45"/>
        <v>349526.07999999996</v>
      </c>
      <c r="J1728" s="32" t="str">
        <f t="shared" si="46"/>
        <v/>
      </c>
      <c r="K1728" s="79"/>
      <c r="L1728" s="79"/>
      <c r="M1728" s="2"/>
      <c r="N1728" s="5"/>
      <c r="O1728" s="3"/>
      <c r="P1728" s="6"/>
      <c r="Q1728" s="6"/>
    </row>
    <row r="1729" spans="1:17" ht="15" customHeight="1" x14ac:dyDescent="0.25">
      <c r="A1729" s="1"/>
      <c r="B1729" s="17"/>
      <c r="C1729" s="17"/>
      <c r="D1729" s="17"/>
      <c r="E1729" s="17"/>
      <c r="F1729" s="17"/>
      <c r="G1729" s="4">
        <f t="shared" si="44"/>
        <v>0</v>
      </c>
      <c r="H1729" s="17"/>
      <c r="I1729" s="4">
        <f t="shared" si="45"/>
        <v>349526.07999999996</v>
      </c>
      <c r="J1729" s="32" t="str">
        <f t="shared" si="46"/>
        <v/>
      </c>
      <c r="K1729" s="79"/>
      <c r="L1729" s="79"/>
      <c r="M1729" s="2"/>
      <c r="N1729" s="5"/>
      <c r="O1729" s="3"/>
      <c r="P1729" s="6"/>
      <c r="Q1729" s="6"/>
    </row>
    <row r="1730" spans="1:17" ht="15" customHeight="1" x14ac:dyDescent="0.25">
      <c r="A1730" s="1"/>
      <c r="B1730" s="17"/>
      <c r="C1730" s="17"/>
      <c r="D1730" s="17"/>
      <c r="E1730" s="17"/>
      <c r="F1730" s="17"/>
      <c r="G1730" s="4">
        <f t="shared" si="44"/>
        <v>0</v>
      </c>
      <c r="H1730" s="17"/>
      <c r="I1730" s="4">
        <f t="shared" si="45"/>
        <v>349526.07999999996</v>
      </c>
      <c r="J1730" s="32" t="str">
        <f t="shared" si="46"/>
        <v/>
      </c>
      <c r="K1730" s="79"/>
      <c r="L1730" s="79"/>
      <c r="M1730" s="2"/>
      <c r="N1730" s="5"/>
      <c r="O1730" s="3"/>
      <c r="P1730" s="6"/>
      <c r="Q1730" s="6"/>
    </row>
    <row r="1731" spans="1:17" ht="15" customHeight="1" x14ac:dyDescent="0.25">
      <c r="A1731" s="1"/>
      <c r="B1731" s="17"/>
      <c r="C1731" s="17"/>
      <c r="D1731" s="17"/>
      <c r="E1731" s="17"/>
      <c r="F1731" s="17"/>
      <c r="G1731" s="4">
        <f t="shared" ref="G1731:G1794" si="47">SUM($B1731:$F1731)</f>
        <v>0</v>
      </c>
      <c r="H1731" s="17"/>
      <c r="I1731" s="4">
        <f t="shared" si="45"/>
        <v>349526.07999999996</v>
      </c>
      <c r="J1731" s="32" t="str">
        <f t="shared" si="46"/>
        <v/>
      </c>
      <c r="K1731" s="79"/>
      <c r="L1731" s="79"/>
      <c r="M1731" s="2"/>
      <c r="N1731" s="5"/>
      <c r="O1731" s="3"/>
      <c r="P1731" s="6"/>
      <c r="Q1731" s="6"/>
    </row>
    <row r="1732" spans="1:17" ht="15" customHeight="1" x14ac:dyDescent="0.25">
      <c r="A1732" s="1"/>
      <c r="B1732" s="17"/>
      <c r="C1732" s="17"/>
      <c r="D1732" s="17"/>
      <c r="E1732" s="17"/>
      <c r="F1732" s="17"/>
      <c r="G1732" s="4">
        <f t="shared" si="47"/>
        <v>0</v>
      </c>
      <c r="H1732" s="17"/>
      <c r="I1732" s="4">
        <f t="shared" si="45"/>
        <v>349526.07999999996</v>
      </c>
      <c r="J1732" s="32" t="str">
        <f t="shared" si="46"/>
        <v/>
      </c>
      <c r="K1732" s="79"/>
      <c r="L1732" s="79"/>
      <c r="M1732" s="2"/>
      <c r="N1732" s="5"/>
      <c r="O1732" s="3"/>
      <c r="P1732" s="6"/>
      <c r="Q1732" s="6"/>
    </row>
    <row r="1733" spans="1:17" ht="15" customHeight="1" x14ac:dyDescent="0.25">
      <c r="A1733" s="1"/>
      <c r="B1733" s="17"/>
      <c r="C1733" s="17"/>
      <c r="D1733" s="17"/>
      <c r="E1733" s="17"/>
      <c r="F1733" s="17"/>
      <c r="G1733" s="4">
        <f t="shared" si="47"/>
        <v>0</v>
      </c>
      <c r="H1733" s="17"/>
      <c r="I1733" s="4">
        <f t="shared" si="45"/>
        <v>349526.07999999996</v>
      </c>
      <c r="J1733" s="32" t="str">
        <f t="shared" si="46"/>
        <v/>
      </c>
      <c r="K1733" s="79"/>
      <c r="L1733" s="79"/>
      <c r="M1733" s="2"/>
      <c r="N1733" s="5"/>
      <c r="O1733" s="3"/>
      <c r="P1733" s="6"/>
      <c r="Q1733" s="6"/>
    </row>
    <row r="1734" spans="1:17" ht="15" customHeight="1" x14ac:dyDescent="0.25">
      <c r="A1734" s="1"/>
      <c r="B1734" s="17"/>
      <c r="C1734" s="17"/>
      <c r="D1734" s="17"/>
      <c r="E1734" s="17"/>
      <c r="F1734" s="17"/>
      <c r="G1734" s="4">
        <f t="shared" si="47"/>
        <v>0</v>
      </c>
      <c r="H1734" s="17"/>
      <c r="I1734" s="4">
        <f t="shared" si="45"/>
        <v>349526.07999999996</v>
      </c>
      <c r="J1734" s="32" t="str">
        <f t="shared" si="46"/>
        <v/>
      </c>
      <c r="K1734" s="79"/>
      <c r="L1734" s="79"/>
      <c r="M1734" s="2"/>
      <c r="N1734" s="5"/>
      <c r="O1734" s="3"/>
      <c r="P1734" s="6"/>
      <c r="Q1734" s="6"/>
    </row>
    <row r="1735" spans="1:17" ht="15" customHeight="1" x14ac:dyDescent="0.25">
      <c r="A1735" s="1"/>
      <c r="B1735" s="17"/>
      <c r="C1735" s="17"/>
      <c r="D1735" s="17"/>
      <c r="E1735" s="17"/>
      <c r="F1735" s="17"/>
      <c r="G1735" s="4">
        <f t="shared" si="47"/>
        <v>0</v>
      </c>
      <c r="H1735" s="17"/>
      <c r="I1735" s="4">
        <f t="shared" si="45"/>
        <v>349526.07999999996</v>
      </c>
      <c r="J1735" s="32" t="str">
        <f t="shared" si="46"/>
        <v/>
      </c>
      <c r="K1735" s="79"/>
      <c r="L1735" s="79"/>
      <c r="M1735" s="2"/>
      <c r="N1735" s="5"/>
      <c r="O1735" s="3"/>
      <c r="P1735" s="6"/>
      <c r="Q1735" s="6"/>
    </row>
    <row r="1736" spans="1:17" ht="15" customHeight="1" x14ac:dyDescent="0.25">
      <c r="A1736" s="1"/>
      <c r="B1736" s="17"/>
      <c r="C1736" s="17"/>
      <c r="D1736" s="17"/>
      <c r="E1736" s="17"/>
      <c r="F1736" s="17"/>
      <c r="G1736" s="4">
        <f t="shared" si="47"/>
        <v>0</v>
      </c>
      <c r="H1736" s="17"/>
      <c r="I1736" s="4">
        <f t="shared" si="45"/>
        <v>349526.07999999996</v>
      </c>
      <c r="J1736" s="32" t="str">
        <f t="shared" si="46"/>
        <v/>
      </c>
      <c r="K1736" s="79"/>
      <c r="L1736" s="79"/>
      <c r="M1736" s="2"/>
      <c r="N1736" s="5"/>
      <c r="O1736" s="3"/>
      <c r="P1736" s="6"/>
      <c r="Q1736" s="6"/>
    </row>
    <row r="1737" spans="1:17" ht="15" customHeight="1" x14ac:dyDescent="0.25">
      <c r="A1737" s="1"/>
      <c r="B1737" s="17"/>
      <c r="C1737" s="17"/>
      <c r="D1737" s="17"/>
      <c r="E1737" s="17"/>
      <c r="F1737" s="17"/>
      <c r="G1737" s="4">
        <f t="shared" si="47"/>
        <v>0</v>
      </c>
      <c r="H1737" s="17"/>
      <c r="I1737" s="4">
        <f t="shared" si="45"/>
        <v>349526.07999999996</v>
      </c>
      <c r="J1737" s="32" t="str">
        <f t="shared" si="46"/>
        <v/>
      </c>
      <c r="K1737" s="79"/>
      <c r="L1737" s="79"/>
      <c r="M1737" s="2"/>
      <c r="N1737" s="5"/>
      <c r="O1737" s="3"/>
      <c r="P1737" s="6"/>
      <c r="Q1737" s="6"/>
    </row>
    <row r="1738" spans="1:17" ht="15" customHeight="1" x14ac:dyDescent="0.25">
      <c r="A1738" s="1"/>
      <c r="B1738" s="17"/>
      <c r="C1738" s="17"/>
      <c r="D1738" s="17"/>
      <c r="E1738" s="17"/>
      <c r="F1738" s="17"/>
      <c r="G1738" s="4">
        <f t="shared" si="47"/>
        <v>0</v>
      </c>
      <c r="H1738" s="17"/>
      <c r="I1738" s="4">
        <f t="shared" si="45"/>
        <v>349526.07999999996</v>
      </c>
      <c r="J1738" s="32" t="str">
        <f t="shared" si="46"/>
        <v/>
      </c>
      <c r="K1738" s="79"/>
      <c r="L1738" s="79"/>
      <c r="M1738" s="2"/>
      <c r="N1738" s="5"/>
      <c r="O1738" s="3"/>
      <c r="P1738" s="6"/>
      <c r="Q1738" s="6"/>
    </row>
    <row r="1739" spans="1:17" ht="15" customHeight="1" x14ac:dyDescent="0.25">
      <c r="A1739" s="1"/>
      <c r="B1739" s="17"/>
      <c r="C1739" s="17"/>
      <c r="D1739" s="17"/>
      <c r="E1739" s="17"/>
      <c r="F1739" s="17"/>
      <c r="G1739" s="4">
        <f t="shared" si="47"/>
        <v>0</v>
      </c>
      <c r="H1739" s="17"/>
      <c r="I1739" s="4">
        <f t="shared" si="45"/>
        <v>349526.07999999996</v>
      </c>
      <c r="J1739" s="32" t="str">
        <f t="shared" si="46"/>
        <v/>
      </c>
      <c r="K1739" s="79"/>
      <c r="L1739" s="79"/>
      <c r="M1739" s="2"/>
      <c r="N1739" s="5"/>
      <c r="O1739" s="3"/>
      <c r="P1739" s="6"/>
      <c r="Q1739" s="6"/>
    </row>
    <row r="1740" spans="1:17" ht="15" customHeight="1" x14ac:dyDescent="0.25">
      <c r="A1740" s="1"/>
      <c r="B1740" s="17"/>
      <c r="C1740" s="17"/>
      <c r="D1740" s="17"/>
      <c r="E1740" s="17"/>
      <c r="F1740" s="17"/>
      <c r="G1740" s="4">
        <f t="shared" si="47"/>
        <v>0</v>
      </c>
      <c r="H1740" s="17"/>
      <c r="I1740" s="4">
        <f t="shared" si="45"/>
        <v>349526.07999999996</v>
      </c>
      <c r="J1740" s="32" t="str">
        <f t="shared" si="46"/>
        <v/>
      </c>
      <c r="K1740" s="79"/>
      <c r="L1740" s="79"/>
      <c r="M1740" s="2"/>
      <c r="N1740" s="5"/>
      <c r="O1740" s="3"/>
      <c r="P1740" s="6"/>
      <c r="Q1740" s="6"/>
    </row>
    <row r="1741" spans="1:17" ht="15" customHeight="1" x14ac:dyDescent="0.25">
      <c r="A1741" s="1"/>
      <c r="B1741" s="17"/>
      <c r="C1741" s="17"/>
      <c r="D1741" s="17"/>
      <c r="E1741" s="17"/>
      <c r="F1741" s="17"/>
      <c r="G1741" s="4">
        <f t="shared" si="47"/>
        <v>0</v>
      </c>
      <c r="H1741" s="17"/>
      <c r="I1741" s="4">
        <f t="shared" si="45"/>
        <v>349526.07999999996</v>
      </c>
      <c r="J1741" s="32" t="str">
        <f t="shared" si="46"/>
        <v/>
      </c>
      <c r="K1741" s="79"/>
      <c r="L1741" s="79"/>
      <c r="M1741" s="2"/>
      <c r="N1741" s="5"/>
      <c r="O1741" s="3"/>
      <c r="P1741" s="6"/>
      <c r="Q1741" s="6"/>
    </row>
    <row r="1742" spans="1:17" ht="15" customHeight="1" x14ac:dyDescent="0.25">
      <c r="A1742" s="1"/>
      <c r="B1742" s="17"/>
      <c r="C1742" s="17"/>
      <c r="D1742" s="17"/>
      <c r="E1742" s="17"/>
      <c r="F1742" s="17"/>
      <c r="G1742" s="4">
        <f t="shared" si="47"/>
        <v>0</v>
      </c>
      <c r="H1742" s="17"/>
      <c r="I1742" s="4">
        <f t="shared" si="45"/>
        <v>349526.07999999996</v>
      </c>
      <c r="J1742" s="32" t="str">
        <f t="shared" si="46"/>
        <v/>
      </c>
      <c r="K1742" s="79"/>
      <c r="L1742" s="79"/>
      <c r="M1742" s="2"/>
      <c r="N1742" s="5"/>
      <c r="O1742" s="3"/>
      <c r="P1742" s="6"/>
      <c r="Q1742" s="6"/>
    </row>
    <row r="1743" spans="1:17" ht="15" customHeight="1" x14ac:dyDescent="0.25">
      <c r="A1743" s="1"/>
      <c r="B1743" s="17"/>
      <c r="C1743" s="17"/>
      <c r="D1743" s="17"/>
      <c r="E1743" s="17"/>
      <c r="F1743" s="17"/>
      <c r="G1743" s="4">
        <f t="shared" si="47"/>
        <v>0</v>
      </c>
      <c r="H1743" s="17"/>
      <c r="I1743" s="4">
        <f t="shared" si="45"/>
        <v>349526.07999999996</v>
      </c>
      <c r="J1743" s="32" t="str">
        <f t="shared" si="46"/>
        <v/>
      </c>
      <c r="K1743" s="79"/>
      <c r="L1743" s="79"/>
      <c r="M1743" s="2"/>
      <c r="N1743" s="5"/>
      <c r="O1743" s="3"/>
      <c r="P1743" s="6"/>
      <c r="Q1743" s="6"/>
    </row>
    <row r="1744" spans="1:17" ht="15" customHeight="1" x14ac:dyDescent="0.25">
      <c r="A1744" s="1"/>
      <c r="B1744" s="17"/>
      <c r="C1744" s="17"/>
      <c r="D1744" s="17"/>
      <c r="E1744" s="17"/>
      <c r="F1744" s="17"/>
      <c r="G1744" s="4">
        <f t="shared" si="47"/>
        <v>0</v>
      </c>
      <c r="H1744" s="17"/>
      <c r="I1744" s="4">
        <f t="shared" si="45"/>
        <v>349526.07999999996</v>
      </c>
      <c r="J1744" s="32" t="str">
        <f t="shared" si="46"/>
        <v/>
      </c>
      <c r="K1744" s="79"/>
      <c r="L1744" s="79"/>
      <c r="M1744" s="2"/>
      <c r="N1744" s="5"/>
      <c r="O1744" s="3"/>
      <c r="P1744" s="6"/>
      <c r="Q1744" s="6"/>
    </row>
    <row r="1745" spans="1:17" ht="15" customHeight="1" x14ac:dyDescent="0.25">
      <c r="A1745" s="1"/>
      <c r="B1745" s="17"/>
      <c r="C1745" s="17"/>
      <c r="D1745" s="17"/>
      <c r="E1745" s="17"/>
      <c r="F1745" s="17"/>
      <c r="G1745" s="4">
        <f t="shared" si="47"/>
        <v>0</v>
      </c>
      <c r="H1745" s="17"/>
      <c r="I1745" s="4">
        <f t="shared" si="45"/>
        <v>349526.07999999996</v>
      </c>
      <c r="J1745" s="32" t="str">
        <f t="shared" si="46"/>
        <v/>
      </c>
      <c r="K1745" s="79"/>
      <c r="L1745" s="79"/>
      <c r="M1745" s="2"/>
      <c r="N1745" s="5"/>
      <c r="O1745" s="3"/>
      <c r="P1745" s="6"/>
      <c r="Q1745" s="6"/>
    </row>
    <row r="1746" spans="1:17" ht="15" customHeight="1" x14ac:dyDescent="0.25">
      <c r="A1746" s="1"/>
      <c r="B1746" s="17"/>
      <c r="C1746" s="17"/>
      <c r="D1746" s="17"/>
      <c r="E1746" s="17"/>
      <c r="F1746" s="17"/>
      <c r="G1746" s="4">
        <f t="shared" si="47"/>
        <v>0</v>
      </c>
      <c r="H1746" s="17"/>
      <c r="I1746" s="4">
        <f t="shared" si="45"/>
        <v>349526.07999999996</v>
      </c>
      <c r="J1746" s="32" t="str">
        <f t="shared" si="46"/>
        <v/>
      </c>
      <c r="K1746" s="79"/>
      <c r="L1746" s="79"/>
      <c r="M1746" s="2"/>
      <c r="N1746" s="5"/>
      <c r="O1746" s="3"/>
      <c r="P1746" s="6"/>
      <c r="Q1746" s="6"/>
    </row>
    <row r="1747" spans="1:17" ht="15" customHeight="1" x14ac:dyDescent="0.25">
      <c r="A1747" s="1"/>
      <c r="B1747" s="17"/>
      <c r="C1747" s="17"/>
      <c r="D1747" s="17"/>
      <c r="E1747" s="17"/>
      <c r="F1747" s="17"/>
      <c r="G1747" s="4">
        <f t="shared" si="47"/>
        <v>0</v>
      </c>
      <c r="H1747" s="17"/>
      <c r="I1747" s="4">
        <f t="shared" si="45"/>
        <v>349526.07999999996</v>
      </c>
      <c r="J1747" s="32" t="str">
        <f t="shared" si="46"/>
        <v/>
      </c>
      <c r="K1747" s="79"/>
      <c r="L1747" s="79"/>
      <c r="M1747" s="2"/>
      <c r="N1747" s="5"/>
      <c r="O1747" s="3"/>
      <c r="P1747" s="6"/>
      <c r="Q1747" s="6"/>
    </row>
    <row r="1748" spans="1:17" ht="15" customHeight="1" x14ac:dyDescent="0.25">
      <c r="A1748" s="1"/>
      <c r="B1748" s="17"/>
      <c r="C1748" s="17"/>
      <c r="D1748" s="17"/>
      <c r="E1748" s="17"/>
      <c r="F1748" s="17"/>
      <c r="G1748" s="4">
        <f t="shared" si="47"/>
        <v>0</v>
      </c>
      <c r="H1748" s="17"/>
      <c r="I1748" s="4">
        <f t="shared" si="45"/>
        <v>349526.07999999996</v>
      </c>
      <c r="J1748" s="32" t="str">
        <f t="shared" si="46"/>
        <v/>
      </c>
      <c r="K1748" s="79"/>
      <c r="L1748" s="79"/>
      <c r="M1748" s="2"/>
      <c r="N1748" s="5"/>
      <c r="O1748" s="3"/>
      <c r="P1748" s="6"/>
      <c r="Q1748" s="6"/>
    </row>
    <row r="1749" spans="1:17" ht="15" customHeight="1" x14ac:dyDescent="0.25">
      <c r="A1749" s="1"/>
      <c r="B1749" s="17"/>
      <c r="C1749" s="17"/>
      <c r="D1749" s="17"/>
      <c r="E1749" s="17"/>
      <c r="F1749" s="17"/>
      <c r="G1749" s="4">
        <f t="shared" si="47"/>
        <v>0</v>
      </c>
      <c r="H1749" s="17"/>
      <c r="I1749" s="4">
        <f t="shared" si="45"/>
        <v>349526.07999999996</v>
      </c>
      <c r="J1749" s="32" t="str">
        <f t="shared" si="46"/>
        <v/>
      </c>
      <c r="K1749" s="79"/>
      <c r="L1749" s="79"/>
      <c r="M1749" s="2"/>
      <c r="N1749" s="5"/>
      <c r="O1749" s="3"/>
      <c r="P1749" s="6"/>
      <c r="Q1749" s="6"/>
    </row>
    <row r="1750" spans="1:17" ht="15" customHeight="1" x14ac:dyDescent="0.25">
      <c r="A1750" s="1"/>
      <c r="B1750" s="17"/>
      <c r="C1750" s="17"/>
      <c r="D1750" s="17"/>
      <c r="E1750" s="17"/>
      <c r="F1750" s="17"/>
      <c r="G1750" s="4">
        <f t="shared" si="47"/>
        <v>0</v>
      </c>
      <c r="H1750" s="17"/>
      <c r="I1750" s="4">
        <f t="shared" si="45"/>
        <v>349526.07999999996</v>
      </c>
      <c r="J1750" s="32" t="str">
        <f t="shared" si="46"/>
        <v/>
      </c>
      <c r="K1750" s="79"/>
      <c r="L1750" s="79"/>
      <c r="M1750" s="2"/>
      <c r="N1750" s="5"/>
      <c r="O1750" s="3"/>
      <c r="P1750" s="6"/>
      <c r="Q1750" s="6"/>
    </row>
    <row r="1751" spans="1:17" ht="15" customHeight="1" x14ac:dyDescent="0.25">
      <c r="A1751" s="1"/>
      <c r="B1751" s="17"/>
      <c r="C1751" s="17"/>
      <c r="D1751" s="17"/>
      <c r="E1751" s="17"/>
      <c r="F1751" s="17"/>
      <c r="G1751" s="4">
        <f t="shared" si="47"/>
        <v>0</v>
      </c>
      <c r="H1751" s="17"/>
      <c r="I1751" s="4">
        <f t="shared" si="45"/>
        <v>349526.07999999996</v>
      </c>
      <c r="J1751" s="32" t="str">
        <f t="shared" si="46"/>
        <v/>
      </c>
      <c r="K1751" s="79"/>
      <c r="L1751" s="79"/>
      <c r="M1751" s="2"/>
      <c r="N1751" s="5"/>
      <c r="O1751" s="3"/>
      <c r="P1751" s="6"/>
      <c r="Q1751" s="6"/>
    </row>
    <row r="1752" spans="1:17" ht="15" customHeight="1" x14ac:dyDescent="0.25">
      <c r="A1752" s="1"/>
      <c r="B1752" s="17"/>
      <c r="C1752" s="17"/>
      <c r="D1752" s="17"/>
      <c r="E1752" s="17"/>
      <c r="F1752" s="17"/>
      <c r="G1752" s="4">
        <f t="shared" si="47"/>
        <v>0</v>
      </c>
      <c r="H1752" s="17"/>
      <c r="I1752" s="4">
        <f t="shared" si="45"/>
        <v>349526.07999999996</v>
      </c>
      <c r="J1752" s="32" t="str">
        <f t="shared" si="46"/>
        <v/>
      </c>
      <c r="K1752" s="79"/>
      <c r="L1752" s="79"/>
      <c r="M1752" s="2"/>
      <c r="N1752" s="5"/>
      <c r="O1752" s="3"/>
      <c r="P1752" s="6"/>
      <c r="Q1752" s="6"/>
    </row>
    <row r="1753" spans="1:17" ht="15" customHeight="1" x14ac:dyDescent="0.25">
      <c r="A1753" s="1"/>
      <c r="B1753" s="17"/>
      <c r="C1753" s="17"/>
      <c r="D1753" s="17"/>
      <c r="E1753" s="17"/>
      <c r="F1753" s="17"/>
      <c r="G1753" s="4">
        <f t="shared" si="47"/>
        <v>0</v>
      </c>
      <c r="H1753" s="17"/>
      <c r="I1753" s="4">
        <f t="shared" si="45"/>
        <v>349526.07999999996</v>
      </c>
      <c r="J1753" s="32" t="str">
        <f t="shared" si="46"/>
        <v/>
      </c>
      <c r="K1753" s="79"/>
      <c r="L1753" s="79"/>
      <c r="M1753" s="2"/>
      <c r="N1753" s="5"/>
      <c r="O1753" s="3"/>
      <c r="P1753" s="6"/>
      <c r="Q1753" s="6"/>
    </row>
    <row r="1754" spans="1:17" ht="15" customHeight="1" x14ac:dyDescent="0.25">
      <c r="A1754" s="1"/>
      <c r="B1754" s="17"/>
      <c r="C1754" s="17"/>
      <c r="D1754" s="17"/>
      <c r="E1754" s="17"/>
      <c r="F1754" s="17"/>
      <c r="G1754" s="4">
        <f t="shared" si="47"/>
        <v>0</v>
      </c>
      <c r="H1754" s="17"/>
      <c r="I1754" s="4">
        <f t="shared" si="45"/>
        <v>349526.07999999996</v>
      </c>
      <c r="J1754" s="32" t="str">
        <f t="shared" si="46"/>
        <v/>
      </c>
      <c r="K1754" s="79"/>
      <c r="L1754" s="79"/>
      <c r="M1754" s="2"/>
      <c r="N1754" s="5"/>
      <c r="O1754" s="3"/>
      <c r="P1754" s="6"/>
      <c r="Q1754" s="6"/>
    </row>
    <row r="1755" spans="1:17" ht="15" customHeight="1" x14ac:dyDescent="0.25">
      <c r="A1755" s="1"/>
      <c r="B1755" s="17"/>
      <c r="C1755" s="17"/>
      <c r="D1755" s="17"/>
      <c r="E1755" s="17"/>
      <c r="F1755" s="17"/>
      <c r="G1755" s="4">
        <f t="shared" si="47"/>
        <v>0</v>
      </c>
      <c r="H1755" s="17"/>
      <c r="I1755" s="4">
        <f t="shared" si="45"/>
        <v>349526.07999999996</v>
      </c>
      <c r="J1755" s="32" t="str">
        <f t="shared" si="46"/>
        <v/>
      </c>
      <c r="K1755" s="79"/>
      <c r="L1755" s="79"/>
      <c r="M1755" s="2"/>
      <c r="N1755" s="5"/>
      <c r="O1755" s="3"/>
      <c r="P1755" s="6"/>
      <c r="Q1755" s="6"/>
    </row>
    <row r="1756" spans="1:17" ht="15" customHeight="1" x14ac:dyDescent="0.25">
      <c r="A1756" s="1"/>
      <c r="B1756" s="17"/>
      <c r="C1756" s="17"/>
      <c r="D1756" s="17"/>
      <c r="E1756" s="17"/>
      <c r="F1756" s="17"/>
      <c r="G1756" s="4">
        <f t="shared" si="47"/>
        <v>0</v>
      </c>
      <c r="H1756" s="17"/>
      <c r="I1756" s="4">
        <f t="shared" si="45"/>
        <v>349526.07999999996</v>
      </c>
      <c r="J1756" s="32" t="str">
        <f t="shared" si="46"/>
        <v/>
      </c>
      <c r="K1756" s="79"/>
      <c r="L1756" s="79"/>
      <c r="M1756" s="2"/>
      <c r="N1756" s="5"/>
      <c r="O1756" s="3"/>
      <c r="P1756" s="6"/>
      <c r="Q1756" s="6"/>
    </row>
    <row r="1757" spans="1:17" ht="15" customHeight="1" x14ac:dyDescent="0.25">
      <c r="A1757" s="1"/>
      <c r="B1757" s="17"/>
      <c r="C1757" s="17"/>
      <c r="D1757" s="17"/>
      <c r="E1757" s="17"/>
      <c r="F1757" s="17"/>
      <c r="G1757" s="4">
        <f t="shared" si="47"/>
        <v>0</v>
      </c>
      <c r="H1757" s="17"/>
      <c r="I1757" s="4">
        <f t="shared" si="45"/>
        <v>349526.07999999996</v>
      </c>
      <c r="J1757" s="32" t="str">
        <f t="shared" si="46"/>
        <v/>
      </c>
      <c r="K1757" s="79"/>
      <c r="L1757" s="79"/>
      <c r="M1757" s="2"/>
      <c r="N1757" s="5"/>
      <c r="O1757" s="3"/>
      <c r="P1757" s="6"/>
      <c r="Q1757" s="6"/>
    </row>
    <row r="1758" spans="1:17" ht="15" customHeight="1" x14ac:dyDescent="0.25">
      <c r="A1758" s="1"/>
      <c r="B1758" s="17"/>
      <c r="C1758" s="17"/>
      <c r="D1758" s="17"/>
      <c r="E1758" s="17"/>
      <c r="F1758" s="17"/>
      <c r="G1758" s="4">
        <f t="shared" si="47"/>
        <v>0</v>
      </c>
      <c r="H1758" s="17"/>
      <c r="I1758" s="4">
        <f t="shared" si="45"/>
        <v>349526.07999999996</v>
      </c>
      <c r="J1758" s="32" t="str">
        <f t="shared" si="46"/>
        <v/>
      </c>
      <c r="K1758" s="79"/>
      <c r="L1758" s="79"/>
      <c r="M1758" s="2"/>
      <c r="N1758" s="5"/>
      <c r="O1758" s="3"/>
      <c r="P1758" s="6"/>
      <c r="Q1758" s="6"/>
    </row>
    <row r="1759" spans="1:17" ht="15" customHeight="1" x14ac:dyDescent="0.25">
      <c r="A1759" s="1"/>
      <c r="B1759" s="17"/>
      <c r="C1759" s="17"/>
      <c r="D1759" s="17"/>
      <c r="E1759" s="17"/>
      <c r="F1759" s="17"/>
      <c r="G1759" s="4">
        <f t="shared" si="47"/>
        <v>0</v>
      </c>
      <c r="H1759" s="17"/>
      <c r="I1759" s="4">
        <f t="shared" si="45"/>
        <v>349526.07999999996</v>
      </c>
      <c r="J1759" s="32" t="str">
        <f t="shared" si="46"/>
        <v/>
      </c>
      <c r="K1759" s="79"/>
      <c r="L1759" s="79"/>
      <c r="M1759" s="2"/>
      <c r="N1759" s="5"/>
      <c r="O1759" s="3"/>
      <c r="P1759" s="6"/>
      <c r="Q1759" s="6"/>
    </row>
    <row r="1760" spans="1:17" ht="15" customHeight="1" x14ac:dyDescent="0.25">
      <c r="A1760" s="1"/>
      <c r="B1760" s="17"/>
      <c r="C1760" s="17"/>
      <c r="D1760" s="17"/>
      <c r="E1760" s="17"/>
      <c r="F1760" s="17"/>
      <c r="G1760" s="4">
        <f t="shared" si="47"/>
        <v>0</v>
      </c>
      <c r="H1760" s="17"/>
      <c r="I1760" s="4">
        <f t="shared" si="45"/>
        <v>349526.07999999996</v>
      </c>
      <c r="J1760" s="32" t="str">
        <f t="shared" si="46"/>
        <v/>
      </c>
      <c r="K1760" s="79"/>
      <c r="L1760" s="79"/>
      <c r="M1760" s="2"/>
      <c r="N1760" s="5"/>
      <c r="O1760" s="3"/>
      <c r="P1760" s="6"/>
      <c r="Q1760" s="6"/>
    </row>
    <row r="1761" spans="1:17" ht="15" customHeight="1" x14ac:dyDescent="0.25">
      <c r="A1761" s="1"/>
      <c r="B1761" s="17"/>
      <c r="C1761" s="17"/>
      <c r="D1761" s="17"/>
      <c r="E1761" s="17"/>
      <c r="F1761" s="17"/>
      <c r="G1761" s="4">
        <f t="shared" si="47"/>
        <v>0</v>
      </c>
      <c r="H1761" s="17"/>
      <c r="I1761" s="4">
        <f t="shared" si="45"/>
        <v>349526.07999999996</v>
      </c>
      <c r="J1761" s="32" t="str">
        <f t="shared" si="46"/>
        <v/>
      </c>
      <c r="K1761" s="79"/>
      <c r="L1761" s="79"/>
      <c r="M1761" s="2"/>
      <c r="N1761" s="5"/>
      <c r="O1761" s="3"/>
      <c r="P1761" s="6"/>
      <c r="Q1761" s="6"/>
    </row>
    <row r="1762" spans="1:17" ht="15" customHeight="1" x14ac:dyDescent="0.25">
      <c r="A1762" s="1"/>
      <c r="B1762" s="17"/>
      <c r="C1762" s="17"/>
      <c r="D1762" s="17"/>
      <c r="E1762" s="17"/>
      <c r="F1762" s="17"/>
      <c r="G1762" s="4">
        <f t="shared" si="47"/>
        <v>0</v>
      </c>
      <c r="H1762" s="17"/>
      <c r="I1762" s="4">
        <f t="shared" si="45"/>
        <v>349526.07999999996</v>
      </c>
      <c r="J1762" s="32" t="str">
        <f t="shared" si="46"/>
        <v/>
      </c>
      <c r="K1762" s="79"/>
      <c r="L1762" s="79"/>
      <c r="M1762" s="2"/>
      <c r="N1762" s="5"/>
      <c r="O1762" s="3"/>
      <c r="P1762" s="6"/>
      <c r="Q1762" s="6"/>
    </row>
    <row r="1763" spans="1:17" ht="15" customHeight="1" x14ac:dyDescent="0.25">
      <c r="A1763" s="1"/>
      <c r="B1763" s="17"/>
      <c r="C1763" s="17"/>
      <c r="D1763" s="17"/>
      <c r="E1763" s="17"/>
      <c r="F1763" s="17"/>
      <c r="G1763" s="4">
        <f t="shared" si="47"/>
        <v>0</v>
      </c>
      <c r="H1763" s="17"/>
      <c r="I1763" s="4">
        <f t="shared" si="45"/>
        <v>349526.07999999996</v>
      </c>
      <c r="J1763" s="32" t="str">
        <f t="shared" si="46"/>
        <v/>
      </c>
      <c r="K1763" s="79"/>
      <c r="L1763" s="79"/>
      <c r="M1763" s="2"/>
      <c r="N1763" s="5"/>
      <c r="O1763" s="3"/>
      <c r="P1763" s="6"/>
      <c r="Q1763" s="6"/>
    </row>
    <row r="1764" spans="1:17" ht="15" customHeight="1" x14ac:dyDescent="0.25">
      <c r="A1764" s="1"/>
      <c r="B1764" s="17"/>
      <c r="C1764" s="17"/>
      <c r="D1764" s="17"/>
      <c r="E1764" s="17"/>
      <c r="F1764" s="17"/>
      <c r="G1764" s="4">
        <f t="shared" si="47"/>
        <v>0</v>
      </c>
      <c r="H1764" s="17"/>
      <c r="I1764" s="4">
        <f t="shared" si="45"/>
        <v>349526.07999999996</v>
      </c>
      <c r="J1764" s="32" t="str">
        <f t="shared" si="46"/>
        <v/>
      </c>
      <c r="K1764" s="79"/>
      <c r="L1764" s="79"/>
      <c r="M1764" s="2"/>
      <c r="N1764" s="5"/>
      <c r="O1764" s="3"/>
      <c r="P1764" s="6"/>
      <c r="Q1764" s="6"/>
    </row>
    <row r="1765" spans="1:17" ht="15" customHeight="1" x14ac:dyDescent="0.25">
      <c r="A1765" s="1"/>
      <c r="B1765" s="17"/>
      <c r="C1765" s="17"/>
      <c r="D1765" s="17"/>
      <c r="E1765" s="17"/>
      <c r="F1765" s="17"/>
      <c r="G1765" s="4">
        <f t="shared" si="47"/>
        <v>0</v>
      </c>
      <c r="H1765" s="17"/>
      <c r="I1765" s="4">
        <f t="shared" si="45"/>
        <v>349526.07999999996</v>
      </c>
      <c r="J1765" s="32" t="str">
        <f t="shared" si="46"/>
        <v/>
      </c>
      <c r="K1765" s="79"/>
      <c r="L1765" s="79"/>
      <c r="M1765" s="2"/>
      <c r="N1765" s="5"/>
      <c r="O1765" s="3"/>
      <c r="P1765" s="6"/>
      <c r="Q1765" s="6"/>
    </row>
    <row r="1766" spans="1:17" ht="15" customHeight="1" x14ac:dyDescent="0.25">
      <c r="A1766" s="1"/>
      <c r="B1766" s="17"/>
      <c r="C1766" s="17"/>
      <c r="D1766" s="17"/>
      <c r="E1766" s="17"/>
      <c r="F1766" s="17"/>
      <c r="G1766" s="4">
        <f t="shared" si="47"/>
        <v>0</v>
      </c>
      <c r="H1766" s="17"/>
      <c r="I1766" s="4">
        <f t="shared" si="45"/>
        <v>349526.07999999996</v>
      </c>
      <c r="J1766" s="32" t="str">
        <f t="shared" si="46"/>
        <v/>
      </c>
      <c r="K1766" s="79"/>
      <c r="L1766" s="79"/>
      <c r="M1766" s="2"/>
      <c r="N1766" s="5"/>
      <c r="O1766" s="3"/>
      <c r="P1766" s="6"/>
      <c r="Q1766" s="6"/>
    </row>
    <row r="1767" spans="1:17" ht="15" customHeight="1" x14ac:dyDescent="0.25">
      <c r="A1767" s="1"/>
      <c r="B1767" s="17"/>
      <c r="C1767" s="17"/>
      <c r="D1767" s="17"/>
      <c r="E1767" s="17"/>
      <c r="F1767" s="17"/>
      <c r="G1767" s="4">
        <f t="shared" si="47"/>
        <v>0</v>
      </c>
      <c r="H1767" s="17"/>
      <c r="I1767" s="4">
        <f t="shared" si="45"/>
        <v>349526.07999999996</v>
      </c>
      <c r="J1767" s="32" t="str">
        <f t="shared" si="46"/>
        <v/>
      </c>
      <c r="K1767" s="79"/>
      <c r="L1767" s="79"/>
      <c r="M1767" s="2"/>
      <c r="N1767" s="5"/>
      <c r="O1767" s="3"/>
      <c r="P1767" s="6"/>
      <c r="Q1767" s="6"/>
    </row>
    <row r="1768" spans="1:17" ht="15" customHeight="1" x14ac:dyDescent="0.25">
      <c r="A1768" s="1"/>
      <c r="B1768" s="17"/>
      <c r="C1768" s="17"/>
      <c r="D1768" s="17"/>
      <c r="E1768" s="17"/>
      <c r="F1768" s="17"/>
      <c r="G1768" s="4">
        <f t="shared" si="47"/>
        <v>0</v>
      </c>
      <c r="H1768" s="17"/>
      <c r="I1768" s="4">
        <f t="shared" si="45"/>
        <v>349526.07999999996</v>
      </c>
      <c r="J1768" s="32" t="str">
        <f t="shared" si="46"/>
        <v/>
      </c>
      <c r="K1768" s="79"/>
      <c r="L1768" s="79"/>
      <c r="M1768" s="2"/>
      <c r="N1768" s="5"/>
      <c r="O1768" s="3"/>
      <c r="P1768" s="6"/>
      <c r="Q1768" s="6"/>
    </row>
    <row r="1769" spans="1:17" ht="15" customHeight="1" x14ac:dyDescent="0.25">
      <c r="A1769" s="1"/>
      <c r="B1769" s="17"/>
      <c r="C1769" s="17"/>
      <c r="D1769" s="17"/>
      <c r="E1769" s="17"/>
      <c r="F1769" s="17"/>
      <c r="G1769" s="4">
        <f t="shared" si="47"/>
        <v>0</v>
      </c>
      <c r="H1769" s="17"/>
      <c r="I1769" s="4">
        <f t="shared" si="45"/>
        <v>349526.07999999996</v>
      </c>
      <c r="J1769" s="32" t="str">
        <f t="shared" si="46"/>
        <v/>
      </c>
      <c r="K1769" s="79"/>
      <c r="L1769" s="79"/>
      <c r="M1769" s="2"/>
      <c r="N1769" s="5"/>
      <c r="O1769" s="3"/>
      <c r="P1769" s="6"/>
      <c r="Q1769" s="6"/>
    </row>
    <row r="1770" spans="1:17" ht="15" customHeight="1" x14ac:dyDescent="0.25">
      <c r="A1770" s="1"/>
      <c r="B1770" s="17"/>
      <c r="C1770" s="17"/>
      <c r="D1770" s="17"/>
      <c r="E1770" s="17"/>
      <c r="F1770" s="17"/>
      <c r="G1770" s="4">
        <f t="shared" si="47"/>
        <v>0</v>
      </c>
      <c r="H1770" s="17"/>
      <c r="I1770" s="4">
        <f t="shared" si="45"/>
        <v>349526.07999999996</v>
      </c>
      <c r="J1770" s="32" t="str">
        <f t="shared" si="46"/>
        <v/>
      </c>
      <c r="K1770" s="79"/>
      <c r="L1770" s="79"/>
      <c r="M1770" s="2"/>
      <c r="N1770" s="5"/>
      <c r="O1770" s="3"/>
      <c r="P1770" s="6"/>
      <c r="Q1770" s="6"/>
    </row>
    <row r="1771" spans="1:17" ht="15" customHeight="1" x14ac:dyDescent="0.25">
      <c r="A1771" s="1"/>
      <c r="B1771" s="17"/>
      <c r="C1771" s="17"/>
      <c r="D1771" s="17"/>
      <c r="E1771" s="17"/>
      <c r="F1771" s="17"/>
      <c r="G1771" s="4">
        <f t="shared" si="47"/>
        <v>0</v>
      </c>
      <c r="H1771" s="17"/>
      <c r="I1771" s="4">
        <f t="shared" si="45"/>
        <v>349526.07999999996</v>
      </c>
      <c r="J1771" s="32" t="str">
        <f t="shared" si="46"/>
        <v/>
      </c>
      <c r="K1771" s="79"/>
      <c r="L1771" s="79"/>
      <c r="M1771" s="2"/>
      <c r="N1771" s="5"/>
      <c r="O1771" s="3"/>
      <c r="P1771" s="6"/>
      <c r="Q1771" s="6"/>
    </row>
    <row r="1772" spans="1:17" ht="15" customHeight="1" x14ac:dyDescent="0.25">
      <c r="A1772" s="1"/>
      <c r="B1772" s="17"/>
      <c r="C1772" s="17"/>
      <c r="D1772" s="17"/>
      <c r="E1772" s="17"/>
      <c r="F1772" s="17"/>
      <c r="G1772" s="4">
        <f t="shared" si="47"/>
        <v>0</v>
      </c>
      <c r="H1772" s="17"/>
      <c r="I1772" s="4">
        <f t="shared" si="45"/>
        <v>349526.07999999996</v>
      </c>
      <c r="J1772" s="32" t="str">
        <f t="shared" si="46"/>
        <v/>
      </c>
      <c r="K1772" s="79"/>
      <c r="L1772" s="79"/>
      <c r="M1772" s="2"/>
      <c r="N1772" s="5"/>
      <c r="O1772" s="3"/>
      <c r="P1772" s="6"/>
      <c r="Q1772" s="6"/>
    </row>
    <row r="1773" spans="1:17" ht="15" customHeight="1" x14ac:dyDescent="0.25">
      <c r="A1773" s="1"/>
      <c r="B1773" s="17"/>
      <c r="C1773" s="17"/>
      <c r="D1773" s="17"/>
      <c r="E1773" s="17"/>
      <c r="F1773" s="17"/>
      <c r="G1773" s="4">
        <f t="shared" si="47"/>
        <v>0</v>
      </c>
      <c r="H1773" s="17"/>
      <c r="I1773" s="4">
        <f t="shared" si="45"/>
        <v>349526.07999999996</v>
      </c>
      <c r="J1773" s="32" t="str">
        <f t="shared" si="46"/>
        <v/>
      </c>
      <c r="K1773" s="79"/>
      <c r="L1773" s="79"/>
      <c r="M1773" s="2"/>
      <c r="N1773" s="5"/>
      <c r="O1773" s="3"/>
      <c r="P1773" s="6"/>
      <c r="Q1773" s="6"/>
    </row>
    <row r="1774" spans="1:17" ht="15" customHeight="1" x14ac:dyDescent="0.25">
      <c r="A1774" s="1"/>
      <c r="B1774" s="17"/>
      <c r="C1774" s="17"/>
      <c r="D1774" s="17"/>
      <c r="E1774" s="17"/>
      <c r="F1774" s="17"/>
      <c r="G1774" s="4">
        <f t="shared" si="47"/>
        <v>0</v>
      </c>
      <c r="H1774" s="17"/>
      <c r="I1774" s="4">
        <f t="shared" si="45"/>
        <v>349526.07999999996</v>
      </c>
      <c r="J1774" s="32" t="str">
        <f t="shared" si="46"/>
        <v/>
      </c>
      <c r="K1774" s="79"/>
      <c r="L1774" s="79"/>
      <c r="M1774" s="2"/>
      <c r="N1774" s="5"/>
      <c r="O1774" s="3"/>
      <c r="P1774" s="6"/>
      <c r="Q1774" s="6"/>
    </row>
    <row r="1775" spans="1:17" ht="15" customHeight="1" x14ac:dyDescent="0.25">
      <c r="A1775" s="1"/>
      <c r="B1775" s="17"/>
      <c r="C1775" s="17"/>
      <c r="D1775" s="17"/>
      <c r="E1775" s="17"/>
      <c r="F1775" s="17"/>
      <c r="G1775" s="4">
        <f t="shared" si="47"/>
        <v>0</v>
      </c>
      <c r="H1775" s="17"/>
      <c r="I1775" s="4">
        <f t="shared" si="45"/>
        <v>349526.07999999996</v>
      </c>
      <c r="J1775" s="32" t="str">
        <f t="shared" si="46"/>
        <v/>
      </c>
      <c r="K1775" s="79"/>
      <c r="L1775" s="79"/>
      <c r="M1775" s="2"/>
      <c r="N1775" s="5"/>
      <c r="O1775" s="3"/>
      <c r="P1775" s="6"/>
      <c r="Q1775" s="6"/>
    </row>
    <row r="1776" spans="1:17" ht="15" customHeight="1" x14ac:dyDescent="0.25">
      <c r="A1776" s="1"/>
      <c r="B1776" s="17"/>
      <c r="C1776" s="17"/>
      <c r="D1776" s="17"/>
      <c r="E1776" s="17"/>
      <c r="F1776" s="17"/>
      <c r="G1776" s="4">
        <f t="shared" si="47"/>
        <v>0</v>
      </c>
      <c r="H1776" s="17"/>
      <c r="I1776" s="4">
        <f t="shared" si="45"/>
        <v>349526.07999999996</v>
      </c>
      <c r="J1776" s="32" t="str">
        <f t="shared" si="46"/>
        <v/>
      </c>
      <c r="K1776" s="79"/>
      <c r="L1776" s="79"/>
      <c r="M1776" s="2"/>
      <c r="N1776" s="5"/>
      <c r="O1776" s="3"/>
      <c r="P1776" s="6"/>
      <c r="Q1776" s="6"/>
    </row>
    <row r="1777" spans="1:17" ht="15" customHeight="1" x14ac:dyDescent="0.25">
      <c r="A1777" s="1"/>
      <c r="B1777" s="17"/>
      <c r="C1777" s="17"/>
      <c r="D1777" s="17"/>
      <c r="E1777" s="17"/>
      <c r="F1777" s="17"/>
      <c r="G1777" s="4">
        <f t="shared" si="47"/>
        <v>0</v>
      </c>
      <c r="H1777" s="17"/>
      <c r="I1777" s="4">
        <f t="shared" si="45"/>
        <v>349526.07999999996</v>
      </c>
      <c r="J1777" s="32" t="str">
        <f t="shared" si="46"/>
        <v/>
      </c>
      <c r="K1777" s="79"/>
      <c r="L1777" s="79"/>
      <c r="M1777" s="2"/>
      <c r="N1777" s="5"/>
      <c r="O1777" s="3"/>
      <c r="P1777" s="6"/>
      <c r="Q1777" s="6"/>
    </row>
    <row r="1778" spans="1:17" ht="15" customHeight="1" x14ac:dyDescent="0.25">
      <c r="A1778" s="1"/>
      <c r="B1778" s="17"/>
      <c r="C1778" s="17"/>
      <c r="D1778" s="17"/>
      <c r="E1778" s="17"/>
      <c r="F1778" s="17"/>
      <c r="G1778" s="4">
        <f t="shared" si="47"/>
        <v>0</v>
      </c>
      <c r="H1778" s="17"/>
      <c r="I1778" s="4">
        <f t="shared" si="45"/>
        <v>349526.07999999996</v>
      </c>
      <c r="J1778" s="32" t="str">
        <f t="shared" si="46"/>
        <v/>
      </c>
      <c r="K1778" s="79"/>
      <c r="L1778" s="79"/>
      <c r="M1778" s="2"/>
      <c r="N1778" s="5"/>
      <c r="O1778" s="3"/>
      <c r="P1778" s="6"/>
      <c r="Q1778" s="6"/>
    </row>
    <row r="1779" spans="1:17" ht="15" customHeight="1" x14ac:dyDescent="0.25">
      <c r="A1779" s="1"/>
      <c r="B1779" s="17"/>
      <c r="C1779" s="17"/>
      <c r="D1779" s="17"/>
      <c r="E1779" s="17"/>
      <c r="F1779" s="17"/>
      <c r="G1779" s="4">
        <f t="shared" si="47"/>
        <v>0</v>
      </c>
      <c r="H1779" s="17"/>
      <c r="I1779" s="4">
        <f t="shared" si="45"/>
        <v>349526.07999999996</v>
      </c>
      <c r="J1779" s="32" t="str">
        <f t="shared" si="46"/>
        <v/>
      </c>
      <c r="K1779" s="79"/>
      <c r="L1779" s="79"/>
      <c r="M1779" s="2"/>
      <c r="N1779" s="5"/>
      <c r="O1779" s="3"/>
      <c r="P1779" s="6"/>
      <c r="Q1779" s="6"/>
    </row>
    <row r="1780" spans="1:17" ht="15" customHeight="1" x14ac:dyDescent="0.25">
      <c r="A1780" s="1"/>
      <c r="B1780" s="17"/>
      <c r="C1780" s="17"/>
      <c r="D1780" s="17"/>
      <c r="E1780" s="17"/>
      <c r="F1780" s="17"/>
      <c r="G1780" s="4">
        <f t="shared" si="47"/>
        <v>0</v>
      </c>
      <c r="H1780" s="17"/>
      <c r="I1780" s="4">
        <f t="shared" si="45"/>
        <v>349526.07999999996</v>
      </c>
      <c r="J1780" s="32" t="str">
        <f t="shared" si="46"/>
        <v/>
      </c>
      <c r="K1780" s="79"/>
      <c r="L1780" s="79"/>
      <c r="M1780" s="2"/>
      <c r="N1780" s="5"/>
      <c r="O1780" s="3"/>
      <c r="P1780" s="6"/>
      <c r="Q1780" s="6"/>
    </row>
    <row r="1781" spans="1:17" ht="15" customHeight="1" x14ac:dyDescent="0.25">
      <c r="A1781" s="1"/>
      <c r="B1781" s="17"/>
      <c r="C1781" s="17"/>
      <c r="D1781" s="17"/>
      <c r="E1781" s="17"/>
      <c r="F1781" s="17"/>
      <c r="G1781" s="4">
        <f t="shared" si="47"/>
        <v>0</v>
      </c>
      <c r="H1781" s="17"/>
      <c r="I1781" s="4">
        <f t="shared" si="45"/>
        <v>349526.07999999996</v>
      </c>
      <c r="J1781" s="32" t="str">
        <f t="shared" si="46"/>
        <v/>
      </c>
      <c r="K1781" s="79"/>
      <c r="L1781" s="79"/>
      <c r="M1781" s="2"/>
      <c r="N1781" s="5"/>
      <c r="O1781" s="3"/>
      <c r="P1781" s="6"/>
      <c r="Q1781" s="6"/>
    </row>
    <row r="1782" spans="1:17" ht="15" customHeight="1" x14ac:dyDescent="0.25">
      <c r="A1782" s="1"/>
      <c r="B1782" s="17"/>
      <c r="C1782" s="17"/>
      <c r="D1782" s="17"/>
      <c r="E1782" s="17"/>
      <c r="F1782" s="17"/>
      <c r="G1782" s="4">
        <f t="shared" si="47"/>
        <v>0</v>
      </c>
      <c r="H1782" s="17"/>
      <c r="I1782" s="4">
        <f t="shared" ref="I1782:I1845" si="48">$I1781+$G1782-$H1782</f>
        <v>349526.07999999996</v>
      </c>
      <c r="J1782" s="32" t="str">
        <f t="shared" ref="J1782:J1845" si="49">IF($A1783&lt;&gt;$A1782,$I1782,"")</f>
        <v/>
      </c>
      <c r="K1782" s="79"/>
      <c r="L1782" s="79"/>
      <c r="M1782" s="2"/>
      <c r="N1782" s="5"/>
      <c r="O1782" s="3"/>
      <c r="P1782" s="6"/>
      <c r="Q1782" s="6"/>
    </row>
    <row r="1783" spans="1:17" ht="15" customHeight="1" x14ac:dyDescent="0.25">
      <c r="A1783" s="1"/>
      <c r="B1783" s="17"/>
      <c r="C1783" s="17"/>
      <c r="D1783" s="17"/>
      <c r="E1783" s="17"/>
      <c r="F1783" s="17"/>
      <c r="G1783" s="4">
        <f t="shared" si="47"/>
        <v>0</v>
      </c>
      <c r="H1783" s="17"/>
      <c r="I1783" s="4">
        <f t="shared" si="48"/>
        <v>349526.07999999996</v>
      </c>
      <c r="J1783" s="32" t="str">
        <f t="shared" si="49"/>
        <v/>
      </c>
      <c r="K1783" s="79"/>
      <c r="L1783" s="79"/>
      <c r="M1783" s="2"/>
      <c r="N1783" s="5"/>
      <c r="O1783" s="3"/>
      <c r="P1783" s="6"/>
      <c r="Q1783" s="6"/>
    </row>
    <row r="1784" spans="1:17" ht="15" customHeight="1" x14ac:dyDescent="0.25">
      <c r="A1784" s="1"/>
      <c r="B1784" s="17"/>
      <c r="C1784" s="17"/>
      <c r="D1784" s="17"/>
      <c r="E1784" s="17"/>
      <c r="F1784" s="17"/>
      <c r="G1784" s="4">
        <f t="shared" si="47"/>
        <v>0</v>
      </c>
      <c r="H1784" s="17"/>
      <c r="I1784" s="4">
        <f t="shared" si="48"/>
        <v>349526.07999999996</v>
      </c>
      <c r="J1784" s="32" t="str">
        <f t="shared" si="49"/>
        <v/>
      </c>
      <c r="K1784" s="79"/>
      <c r="L1784" s="79"/>
      <c r="M1784" s="2"/>
      <c r="N1784" s="5"/>
      <c r="O1784" s="3"/>
      <c r="P1784" s="6"/>
      <c r="Q1784" s="6"/>
    </row>
    <row r="1785" spans="1:17" ht="15" customHeight="1" x14ac:dyDescent="0.25">
      <c r="A1785" s="1"/>
      <c r="B1785" s="17"/>
      <c r="C1785" s="17"/>
      <c r="D1785" s="17"/>
      <c r="E1785" s="17"/>
      <c r="F1785" s="17"/>
      <c r="G1785" s="4">
        <f t="shared" si="47"/>
        <v>0</v>
      </c>
      <c r="H1785" s="17"/>
      <c r="I1785" s="4">
        <f t="shared" si="48"/>
        <v>349526.07999999996</v>
      </c>
      <c r="J1785" s="32" t="str">
        <f t="shared" si="49"/>
        <v/>
      </c>
      <c r="K1785" s="79"/>
      <c r="L1785" s="79"/>
      <c r="M1785" s="2"/>
      <c r="N1785" s="5"/>
      <c r="O1785" s="3"/>
      <c r="P1785" s="6"/>
      <c r="Q1785" s="6"/>
    </row>
    <row r="1786" spans="1:17" ht="15" customHeight="1" x14ac:dyDescent="0.25">
      <c r="A1786" s="1"/>
      <c r="B1786" s="17"/>
      <c r="C1786" s="17"/>
      <c r="D1786" s="17"/>
      <c r="E1786" s="17"/>
      <c r="F1786" s="17"/>
      <c r="G1786" s="4">
        <f t="shared" si="47"/>
        <v>0</v>
      </c>
      <c r="H1786" s="17"/>
      <c r="I1786" s="4">
        <f t="shared" si="48"/>
        <v>349526.07999999996</v>
      </c>
      <c r="J1786" s="32" t="str">
        <f t="shared" si="49"/>
        <v/>
      </c>
      <c r="K1786" s="79"/>
      <c r="L1786" s="79"/>
      <c r="M1786" s="2"/>
      <c r="N1786" s="5"/>
      <c r="O1786" s="3"/>
      <c r="P1786" s="6"/>
      <c r="Q1786" s="6"/>
    </row>
    <row r="1787" spans="1:17" ht="15" customHeight="1" x14ac:dyDescent="0.25">
      <c r="A1787" s="1"/>
      <c r="B1787" s="17"/>
      <c r="C1787" s="17"/>
      <c r="D1787" s="17"/>
      <c r="E1787" s="17"/>
      <c r="F1787" s="17"/>
      <c r="G1787" s="4">
        <f t="shared" si="47"/>
        <v>0</v>
      </c>
      <c r="H1787" s="17"/>
      <c r="I1787" s="4">
        <f t="shared" si="48"/>
        <v>349526.07999999996</v>
      </c>
      <c r="J1787" s="32" t="str">
        <f t="shared" si="49"/>
        <v/>
      </c>
      <c r="K1787" s="79"/>
      <c r="L1787" s="79"/>
      <c r="M1787" s="2"/>
      <c r="N1787" s="5"/>
      <c r="O1787" s="3"/>
      <c r="P1787" s="6"/>
      <c r="Q1787" s="6"/>
    </row>
    <row r="1788" spans="1:17" ht="15" customHeight="1" x14ac:dyDescent="0.25">
      <c r="A1788" s="1"/>
      <c r="B1788" s="17"/>
      <c r="C1788" s="17"/>
      <c r="D1788" s="17"/>
      <c r="E1788" s="17"/>
      <c r="F1788" s="17"/>
      <c r="G1788" s="4">
        <f t="shared" si="47"/>
        <v>0</v>
      </c>
      <c r="H1788" s="17"/>
      <c r="I1788" s="4">
        <f t="shared" si="48"/>
        <v>349526.07999999996</v>
      </c>
      <c r="J1788" s="32" t="str">
        <f t="shared" si="49"/>
        <v/>
      </c>
      <c r="K1788" s="79"/>
      <c r="L1788" s="79"/>
      <c r="M1788" s="2"/>
      <c r="N1788" s="5"/>
      <c r="O1788" s="3"/>
      <c r="P1788" s="6"/>
      <c r="Q1788" s="6"/>
    </row>
    <row r="1789" spans="1:17" ht="15" customHeight="1" x14ac:dyDescent="0.25">
      <c r="A1789" s="1"/>
      <c r="B1789" s="17"/>
      <c r="C1789" s="17"/>
      <c r="D1789" s="17"/>
      <c r="E1789" s="17"/>
      <c r="F1789" s="17"/>
      <c r="G1789" s="4">
        <f t="shared" si="47"/>
        <v>0</v>
      </c>
      <c r="H1789" s="17"/>
      <c r="I1789" s="4">
        <f t="shared" si="48"/>
        <v>349526.07999999996</v>
      </c>
      <c r="J1789" s="32" t="str">
        <f t="shared" si="49"/>
        <v/>
      </c>
      <c r="K1789" s="79"/>
      <c r="L1789" s="79"/>
      <c r="M1789" s="2"/>
      <c r="N1789" s="5"/>
      <c r="O1789" s="3"/>
      <c r="P1789" s="6"/>
      <c r="Q1789" s="6"/>
    </row>
    <row r="1790" spans="1:17" ht="15" customHeight="1" x14ac:dyDescent="0.25">
      <c r="A1790" s="1"/>
      <c r="B1790" s="17"/>
      <c r="C1790" s="17"/>
      <c r="D1790" s="17"/>
      <c r="E1790" s="17"/>
      <c r="F1790" s="17"/>
      <c r="G1790" s="4">
        <f t="shared" si="47"/>
        <v>0</v>
      </c>
      <c r="H1790" s="17"/>
      <c r="I1790" s="4">
        <f t="shared" si="48"/>
        <v>349526.07999999996</v>
      </c>
      <c r="J1790" s="32" t="str">
        <f t="shared" si="49"/>
        <v/>
      </c>
      <c r="K1790" s="79"/>
      <c r="L1790" s="79"/>
      <c r="M1790" s="2"/>
      <c r="N1790" s="5"/>
      <c r="O1790" s="3"/>
      <c r="P1790" s="6"/>
      <c r="Q1790" s="6"/>
    </row>
    <row r="1791" spans="1:17" ht="15" customHeight="1" x14ac:dyDescent="0.25">
      <c r="A1791" s="1"/>
      <c r="B1791" s="17"/>
      <c r="C1791" s="17"/>
      <c r="D1791" s="17"/>
      <c r="E1791" s="17"/>
      <c r="F1791" s="17"/>
      <c r="G1791" s="4">
        <f t="shared" si="47"/>
        <v>0</v>
      </c>
      <c r="H1791" s="17"/>
      <c r="I1791" s="4">
        <f t="shared" si="48"/>
        <v>349526.07999999996</v>
      </c>
      <c r="J1791" s="32" t="str">
        <f t="shared" si="49"/>
        <v/>
      </c>
      <c r="K1791" s="79"/>
      <c r="L1791" s="79"/>
      <c r="M1791" s="2"/>
      <c r="N1791" s="5"/>
      <c r="O1791" s="3"/>
      <c r="P1791" s="6"/>
      <c r="Q1791" s="6"/>
    </row>
    <row r="1792" spans="1:17" ht="15" customHeight="1" x14ac:dyDescent="0.25">
      <c r="A1792" s="1"/>
      <c r="B1792" s="17"/>
      <c r="C1792" s="17"/>
      <c r="D1792" s="17"/>
      <c r="E1792" s="17"/>
      <c r="F1792" s="17"/>
      <c r="G1792" s="4">
        <f t="shared" si="47"/>
        <v>0</v>
      </c>
      <c r="H1792" s="17"/>
      <c r="I1792" s="4">
        <f t="shared" si="48"/>
        <v>349526.07999999996</v>
      </c>
      <c r="J1792" s="32" t="str">
        <f t="shared" si="49"/>
        <v/>
      </c>
      <c r="K1792" s="79"/>
      <c r="L1792" s="79"/>
      <c r="M1792" s="2"/>
      <c r="N1792" s="5"/>
      <c r="O1792" s="3"/>
      <c r="P1792" s="6"/>
      <c r="Q1792" s="6"/>
    </row>
    <row r="1793" spans="1:17" ht="15" customHeight="1" x14ac:dyDescent="0.25">
      <c r="A1793" s="1"/>
      <c r="B1793" s="17"/>
      <c r="C1793" s="17"/>
      <c r="D1793" s="17"/>
      <c r="E1793" s="17"/>
      <c r="F1793" s="17"/>
      <c r="G1793" s="4">
        <f t="shared" si="47"/>
        <v>0</v>
      </c>
      <c r="H1793" s="17"/>
      <c r="I1793" s="4">
        <f t="shared" si="48"/>
        <v>349526.07999999996</v>
      </c>
      <c r="J1793" s="32" t="str">
        <f t="shared" si="49"/>
        <v/>
      </c>
      <c r="K1793" s="79"/>
      <c r="L1793" s="79"/>
      <c r="M1793" s="2"/>
      <c r="N1793" s="5"/>
      <c r="O1793" s="3"/>
      <c r="P1793" s="6"/>
      <c r="Q1793" s="6"/>
    </row>
    <row r="1794" spans="1:17" ht="15" customHeight="1" x14ac:dyDescent="0.25">
      <c r="A1794" s="1"/>
      <c r="B1794" s="17"/>
      <c r="C1794" s="17"/>
      <c r="D1794" s="17"/>
      <c r="E1794" s="17"/>
      <c r="F1794" s="17"/>
      <c r="G1794" s="4">
        <f t="shared" si="47"/>
        <v>0</v>
      </c>
      <c r="H1794" s="17"/>
      <c r="I1794" s="4">
        <f t="shared" si="48"/>
        <v>349526.07999999996</v>
      </c>
      <c r="J1794" s="32" t="str">
        <f t="shared" si="49"/>
        <v/>
      </c>
      <c r="K1794" s="79"/>
      <c r="L1794" s="79"/>
      <c r="M1794" s="2"/>
      <c r="N1794" s="5"/>
      <c r="O1794" s="3"/>
      <c r="P1794" s="6"/>
      <c r="Q1794" s="6"/>
    </row>
    <row r="1795" spans="1:17" ht="15" customHeight="1" x14ac:dyDescent="0.25">
      <c r="A1795" s="1"/>
      <c r="B1795" s="17"/>
      <c r="C1795" s="17"/>
      <c r="D1795" s="17"/>
      <c r="E1795" s="17"/>
      <c r="F1795" s="17"/>
      <c r="G1795" s="4">
        <f t="shared" ref="G1795:G1858" si="50">SUM($B1795:$F1795)</f>
        <v>0</v>
      </c>
      <c r="H1795" s="17"/>
      <c r="I1795" s="4">
        <f t="shared" si="48"/>
        <v>349526.07999999996</v>
      </c>
      <c r="J1795" s="32" t="str">
        <f t="shared" si="49"/>
        <v/>
      </c>
      <c r="K1795" s="79"/>
      <c r="L1795" s="79"/>
      <c r="M1795" s="2"/>
      <c r="N1795" s="5"/>
      <c r="O1795" s="3"/>
      <c r="P1795" s="6"/>
      <c r="Q1795" s="6"/>
    </row>
    <row r="1796" spans="1:17" ht="15" customHeight="1" x14ac:dyDescent="0.25">
      <c r="A1796" s="1"/>
      <c r="B1796" s="17"/>
      <c r="C1796" s="17"/>
      <c r="D1796" s="17"/>
      <c r="E1796" s="17"/>
      <c r="F1796" s="17"/>
      <c r="G1796" s="4">
        <f t="shared" si="50"/>
        <v>0</v>
      </c>
      <c r="H1796" s="17"/>
      <c r="I1796" s="4">
        <f t="shared" si="48"/>
        <v>349526.07999999996</v>
      </c>
      <c r="J1796" s="32" t="str">
        <f t="shared" si="49"/>
        <v/>
      </c>
      <c r="K1796" s="79"/>
      <c r="L1796" s="79"/>
      <c r="M1796" s="2"/>
      <c r="N1796" s="5"/>
      <c r="O1796" s="3"/>
      <c r="P1796" s="6"/>
      <c r="Q1796" s="6"/>
    </row>
    <row r="1797" spans="1:17" ht="15" customHeight="1" x14ac:dyDescent="0.25">
      <c r="A1797" s="1"/>
      <c r="B1797" s="17"/>
      <c r="C1797" s="17"/>
      <c r="D1797" s="17"/>
      <c r="E1797" s="17"/>
      <c r="F1797" s="17"/>
      <c r="G1797" s="4">
        <f t="shared" si="50"/>
        <v>0</v>
      </c>
      <c r="H1797" s="17"/>
      <c r="I1797" s="4">
        <f t="shared" si="48"/>
        <v>349526.07999999996</v>
      </c>
      <c r="J1797" s="32" t="str">
        <f t="shared" si="49"/>
        <v/>
      </c>
      <c r="K1797" s="79"/>
      <c r="L1797" s="79"/>
      <c r="M1797" s="2"/>
      <c r="N1797" s="5"/>
      <c r="O1797" s="3"/>
      <c r="P1797" s="6"/>
      <c r="Q1797" s="6"/>
    </row>
    <row r="1798" spans="1:17" ht="15" customHeight="1" x14ac:dyDescent="0.25">
      <c r="A1798" s="1"/>
      <c r="B1798" s="17"/>
      <c r="C1798" s="17"/>
      <c r="D1798" s="17"/>
      <c r="E1798" s="17"/>
      <c r="F1798" s="17"/>
      <c r="G1798" s="4">
        <f t="shared" si="50"/>
        <v>0</v>
      </c>
      <c r="H1798" s="17"/>
      <c r="I1798" s="4">
        <f t="shared" si="48"/>
        <v>349526.07999999996</v>
      </c>
      <c r="J1798" s="32" t="str">
        <f t="shared" si="49"/>
        <v/>
      </c>
      <c r="K1798" s="79"/>
      <c r="L1798" s="79"/>
      <c r="M1798" s="2"/>
      <c r="N1798" s="5"/>
      <c r="O1798" s="3"/>
      <c r="P1798" s="6"/>
      <c r="Q1798" s="6"/>
    </row>
    <row r="1799" spans="1:17" ht="15" customHeight="1" x14ac:dyDescent="0.25">
      <c r="A1799" s="1"/>
      <c r="B1799" s="17"/>
      <c r="C1799" s="17"/>
      <c r="D1799" s="17"/>
      <c r="E1799" s="17"/>
      <c r="F1799" s="17"/>
      <c r="G1799" s="4">
        <f t="shared" si="50"/>
        <v>0</v>
      </c>
      <c r="H1799" s="17"/>
      <c r="I1799" s="4">
        <f t="shared" si="48"/>
        <v>349526.07999999996</v>
      </c>
      <c r="J1799" s="32" t="str">
        <f t="shared" si="49"/>
        <v/>
      </c>
      <c r="K1799" s="79"/>
      <c r="L1799" s="79"/>
      <c r="M1799" s="2"/>
      <c r="N1799" s="5"/>
      <c r="O1799" s="3"/>
      <c r="P1799" s="6"/>
      <c r="Q1799" s="6"/>
    </row>
    <row r="1800" spans="1:17" ht="15" customHeight="1" x14ac:dyDescent="0.25">
      <c r="A1800" s="1"/>
      <c r="B1800" s="17"/>
      <c r="C1800" s="17"/>
      <c r="D1800" s="17"/>
      <c r="E1800" s="17"/>
      <c r="F1800" s="17"/>
      <c r="G1800" s="4">
        <f t="shared" si="50"/>
        <v>0</v>
      </c>
      <c r="H1800" s="17"/>
      <c r="I1800" s="4">
        <f t="shared" si="48"/>
        <v>349526.07999999996</v>
      </c>
      <c r="J1800" s="32" t="str">
        <f t="shared" si="49"/>
        <v/>
      </c>
      <c r="K1800" s="79"/>
      <c r="L1800" s="79"/>
      <c r="M1800" s="2"/>
      <c r="N1800" s="5"/>
      <c r="O1800" s="3"/>
      <c r="P1800" s="6"/>
      <c r="Q1800" s="6"/>
    </row>
    <row r="1801" spans="1:17" ht="15" customHeight="1" x14ac:dyDescent="0.25">
      <c r="A1801" s="1"/>
      <c r="B1801" s="17"/>
      <c r="C1801" s="17"/>
      <c r="D1801" s="17"/>
      <c r="E1801" s="17"/>
      <c r="F1801" s="17"/>
      <c r="G1801" s="4">
        <f t="shared" si="50"/>
        <v>0</v>
      </c>
      <c r="H1801" s="17"/>
      <c r="I1801" s="4">
        <f t="shared" si="48"/>
        <v>349526.07999999996</v>
      </c>
      <c r="J1801" s="32" t="str">
        <f t="shared" si="49"/>
        <v/>
      </c>
      <c r="K1801" s="79"/>
      <c r="L1801" s="79"/>
      <c r="M1801" s="2"/>
      <c r="N1801" s="5"/>
      <c r="O1801" s="3"/>
      <c r="P1801" s="6"/>
      <c r="Q1801" s="6"/>
    </row>
    <row r="1802" spans="1:17" ht="15" customHeight="1" x14ac:dyDescent="0.25">
      <c r="A1802" s="1"/>
      <c r="B1802" s="17"/>
      <c r="C1802" s="17"/>
      <c r="D1802" s="17"/>
      <c r="E1802" s="17"/>
      <c r="F1802" s="17"/>
      <c r="G1802" s="4">
        <f t="shared" si="50"/>
        <v>0</v>
      </c>
      <c r="H1802" s="17"/>
      <c r="I1802" s="4">
        <f t="shared" si="48"/>
        <v>349526.07999999996</v>
      </c>
      <c r="J1802" s="32" t="str">
        <f t="shared" si="49"/>
        <v/>
      </c>
      <c r="K1802" s="79"/>
      <c r="L1802" s="79"/>
      <c r="M1802" s="2"/>
      <c r="N1802" s="5"/>
      <c r="O1802" s="3"/>
      <c r="P1802" s="6"/>
      <c r="Q1802" s="6"/>
    </row>
    <row r="1803" spans="1:17" ht="15" customHeight="1" x14ac:dyDescent="0.25">
      <c r="A1803" s="1"/>
      <c r="B1803" s="17"/>
      <c r="C1803" s="17"/>
      <c r="D1803" s="17"/>
      <c r="E1803" s="17"/>
      <c r="F1803" s="17"/>
      <c r="G1803" s="4">
        <f t="shared" si="50"/>
        <v>0</v>
      </c>
      <c r="H1803" s="17"/>
      <c r="I1803" s="4">
        <f t="shared" si="48"/>
        <v>349526.07999999996</v>
      </c>
      <c r="J1803" s="32" t="str">
        <f t="shared" si="49"/>
        <v/>
      </c>
      <c r="K1803" s="79"/>
      <c r="L1803" s="79"/>
      <c r="M1803" s="2"/>
      <c r="N1803" s="5"/>
      <c r="O1803" s="3"/>
      <c r="P1803" s="6"/>
      <c r="Q1803" s="6"/>
    </row>
    <row r="1804" spans="1:17" ht="15" customHeight="1" x14ac:dyDescent="0.25">
      <c r="A1804" s="1"/>
      <c r="B1804" s="17"/>
      <c r="C1804" s="17"/>
      <c r="D1804" s="17"/>
      <c r="E1804" s="17"/>
      <c r="F1804" s="17"/>
      <c r="G1804" s="4">
        <f t="shared" si="50"/>
        <v>0</v>
      </c>
      <c r="H1804" s="17"/>
      <c r="I1804" s="4">
        <f t="shared" si="48"/>
        <v>349526.07999999996</v>
      </c>
      <c r="J1804" s="32" t="str">
        <f t="shared" si="49"/>
        <v/>
      </c>
      <c r="K1804" s="79"/>
      <c r="L1804" s="79"/>
      <c r="M1804" s="2"/>
      <c r="N1804" s="5"/>
      <c r="O1804" s="3"/>
      <c r="P1804" s="6"/>
      <c r="Q1804" s="6"/>
    </row>
    <row r="1805" spans="1:17" ht="15" customHeight="1" x14ac:dyDescent="0.25">
      <c r="A1805" s="1"/>
      <c r="B1805" s="17"/>
      <c r="C1805" s="17"/>
      <c r="D1805" s="17"/>
      <c r="E1805" s="17"/>
      <c r="F1805" s="17"/>
      <c r="G1805" s="4">
        <f t="shared" si="50"/>
        <v>0</v>
      </c>
      <c r="H1805" s="17"/>
      <c r="I1805" s="4">
        <f t="shared" si="48"/>
        <v>349526.07999999996</v>
      </c>
      <c r="J1805" s="32" t="str">
        <f t="shared" si="49"/>
        <v/>
      </c>
      <c r="K1805" s="79"/>
      <c r="L1805" s="79"/>
      <c r="M1805" s="2"/>
      <c r="N1805" s="5"/>
      <c r="O1805" s="3"/>
      <c r="P1805" s="6"/>
      <c r="Q1805" s="6"/>
    </row>
    <row r="1806" spans="1:17" ht="15" customHeight="1" x14ac:dyDescent="0.25">
      <c r="A1806" s="1"/>
      <c r="B1806" s="17"/>
      <c r="C1806" s="17"/>
      <c r="D1806" s="17"/>
      <c r="E1806" s="17"/>
      <c r="F1806" s="17"/>
      <c r="G1806" s="4">
        <f t="shared" si="50"/>
        <v>0</v>
      </c>
      <c r="H1806" s="17"/>
      <c r="I1806" s="4">
        <f t="shared" si="48"/>
        <v>349526.07999999996</v>
      </c>
      <c r="J1806" s="32" t="str">
        <f t="shared" si="49"/>
        <v/>
      </c>
      <c r="K1806" s="79"/>
      <c r="L1806" s="79"/>
      <c r="M1806" s="2"/>
      <c r="N1806" s="5"/>
      <c r="O1806" s="3"/>
      <c r="P1806" s="6"/>
      <c r="Q1806" s="6"/>
    </row>
    <row r="1807" spans="1:17" ht="15" customHeight="1" x14ac:dyDescent="0.25">
      <c r="A1807" s="1"/>
      <c r="B1807" s="17"/>
      <c r="C1807" s="17"/>
      <c r="D1807" s="17"/>
      <c r="E1807" s="17"/>
      <c r="F1807" s="17"/>
      <c r="G1807" s="4">
        <f t="shared" si="50"/>
        <v>0</v>
      </c>
      <c r="H1807" s="17"/>
      <c r="I1807" s="4">
        <f t="shared" si="48"/>
        <v>349526.07999999996</v>
      </c>
      <c r="J1807" s="32" t="str">
        <f t="shared" si="49"/>
        <v/>
      </c>
      <c r="K1807" s="79"/>
      <c r="L1807" s="79"/>
      <c r="M1807" s="2"/>
      <c r="N1807" s="5"/>
      <c r="O1807" s="3"/>
      <c r="P1807" s="6"/>
      <c r="Q1807" s="6"/>
    </row>
    <row r="1808" spans="1:17" ht="15" customHeight="1" x14ac:dyDescent="0.25">
      <c r="A1808" s="1"/>
      <c r="B1808" s="17"/>
      <c r="C1808" s="17"/>
      <c r="D1808" s="17"/>
      <c r="E1808" s="17"/>
      <c r="F1808" s="17"/>
      <c r="G1808" s="4">
        <f t="shared" si="50"/>
        <v>0</v>
      </c>
      <c r="H1808" s="17"/>
      <c r="I1808" s="4">
        <f t="shared" si="48"/>
        <v>349526.07999999996</v>
      </c>
      <c r="J1808" s="32" t="str">
        <f t="shared" si="49"/>
        <v/>
      </c>
      <c r="K1808" s="79"/>
      <c r="L1808" s="79"/>
      <c r="M1808" s="2"/>
      <c r="N1808" s="5"/>
      <c r="O1808" s="3"/>
      <c r="P1808" s="6"/>
      <c r="Q1808" s="6"/>
    </row>
    <row r="1809" spans="1:17" ht="15" customHeight="1" x14ac:dyDescent="0.25">
      <c r="A1809" s="1"/>
      <c r="B1809" s="17"/>
      <c r="C1809" s="17"/>
      <c r="D1809" s="17"/>
      <c r="E1809" s="17"/>
      <c r="F1809" s="17"/>
      <c r="G1809" s="4">
        <f t="shared" si="50"/>
        <v>0</v>
      </c>
      <c r="H1809" s="17"/>
      <c r="I1809" s="4">
        <f t="shared" si="48"/>
        <v>349526.07999999996</v>
      </c>
      <c r="J1809" s="32" t="str">
        <f t="shared" si="49"/>
        <v/>
      </c>
      <c r="K1809" s="79"/>
      <c r="L1809" s="79"/>
      <c r="M1809" s="2"/>
      <c r="N1809" s="5"/>
      <c r="O1809" s="3"/>
      <c r="P1809" s="6"/>
      <c r="Q1809" s="6"/>
    </row>
    <row r="1810" spans="1:17" ht="15" customHeight="1" x14ac:dyDescent="0.25">
      <c r="A1810" s="1"/>
      <c r="B1810" s="17"/>
      <c r="C1810" s="17"/>
      <c r="D1810" s="17"/>
      <c r="E1810" s="17"/>
      <c r="F1810" s="17"/>
      <c r="G1810" s="4">
        <f t="shared" si="50"/>
        <v>0</v>
      </c>
      <c r="H1810" s="17"/>
      <c r="I1810" s="4">
        <f t="shared" si="48"/>
        <v>349526.07999999996</v>
      </c>
      <c r="J1810" s="32" t="str">
        <f t="shared" si="49"/>
        <v/>
      </c>
      <c r="K1810" s="79"/>
      <c r="L1810" s="79"/>
      <c r="M1810" s="2"/>
      <c r="N1810" s="5"/>
      <c r="O1810" s="3"/>
      <c r="P1810" s="6"/>
      <c r="Q1810" s="6"/>
    </row>
    <row r="1811" spans="1:17" ht="15" customHeight="1" x14ac:dyDescent="0.25">
      <c r="A1811" s="1"/>
      <c r="B1811" s="17"/>
      <c r="C1811" s="17"/>
      <c r="D1811" s="17"/>
      <c r="E1811" s="17"/>
      <c r="F1811" s="17"/>
      <c r="G1811" s="4">
        <f t="shared" si="50"/>
        <v>0</v>
      </c>
      <c r="H1811" s="17"/>
      <c r="I1811" s="4">
        <f t="shared" si="48"/>
        <v>349526.07999999996</v>
      </c>
      <c r="J1811" s="32" t="str">
        <f t="shared" si="49"/>
        <v/>
      </c>
      <c r="K1811" s="79"/>
      <c r="L1811" s="79"/>
      <c r="M1811" s="2"/>
      <c r="N1811" s="5"/>
      <c r="O1811" s="3"/>
      <c r="P1811" s="6"/>
      <c r="Q1811" s="6"/>
    </row>
    <row r="1812" spans="1:17" ht="15" customHeight="1" x14ac:dyDescent="0.25">
      <c r="A1812" s="1"/>
      <c r="B1812" s="17"/>
      <c r="C1812" s="17"/>
      <c r="D1812" s="17"/>
      <c r="E1812" s="17"/>
      <c r="F1812" s="17"/>
      <c r="G1812" s="4">
        <f t="shared" si="50"/>
        <v>0</v>
      </c>
      <c r="H1812" s="17"/>
      <c r="I1812" s="4">
        <f t="shared" si="48"/>
        <v>349526.07999999996</v>
      </c>
      <c r="J1812" s="32" t="str">
        <f t="shared" si="49"/>
        <v/>
      </c>
      <c r="K1812" s="79"/>
      <c r="L1812" s="79"/>
      <c r="M1812" s="2"/>
      <c r="N1812" s="5"/>
      <c r="O1812" s="3"/>
      <c r="P1812" s="6"/>
      <c r="Q1812" s="6"/>
    </row>
    <row r="1813" spans="1:17" ht="15" customHeight="1" x14ac:dyDescent="0.25">
      <c r="A1813" s="1"/>
      <c r="B1813" s="17"/>
      <c r="C1813" s="17"/>
      <c r="D1813" s="17"/>
      <c r="E1813" s="17"/>
      <c r="F1813" s="17"/>
      <c r="G1813" s="4">
        <f t="shared" si="50"/>
        <v>0</v>
      </c>
      <c r="H1813" s="17"/>
      <c r="I1813" s="4">
        <f t="shared" si="48"/>
        <v>349526.07999999996</v>
      </c>
      <c r="J1813" s="32" t="str">
        <f t="shared" si="49"/>
        <v/>
      </c>
      <c r="K1813" s="79"/>
      <c r="L1813" s="79"/>
      <c r="M1813" s="2"/>
      <c r="N1813" s="5"/>
      <c r="O1813" s="3"/>
      <c r="P1813" s="6"/>
      <c r="Q1813" s="6"/>
    </row>
    <row r="1814" spans="1:17" ht="15" customHeight="1" x14ac:dyDescent="0.25">
      <c r="A1814" s="1"/>
      <c r="B1814" s="17"/>
      <c r="C1814" s="17"/>
      <c r="D1814" s="17"/>
      <c r="E1814" s="17"/>
      <c r="F1814" s="17"/>
      <c r="G1814" s="4">
        <f t="shared" si="50"/>
        <v>0</v>
      </c>
      <c r="H1814" s="17"/>
      <c r="I1814" s="4">
        <f t="shared" si="48"/>
        <v>349526.07999999996</v>
      </c>
      <c r="J1814" s="32" t="str">
        <f t="shared" si="49"/>
        <v/>
      </c>
      <c r="K1814" s="79"/>
      <c r="L1814" s="79"/>
      <c r="M1814" s="2"/>
      <c r="N1814" s="5"/>
      <c r="O1814" s="3"/>
      <c r="P1814" s="6"/>
      <c r="Q1814" s="6"/>
    </row>
    <row r="1815" spans="1:17" ht="15" customHeight="1" x14ac:dyDescent="0.25">
      <c r="A1815" s="1"/>
      <c r="B1815" s="17"/>
      <c r="C1815" s="17"/>
      <c r="D1815" s="17"/>
      <c r="E1815" s="17"/>
      <c r="F1815" s="17"/>
      <c r="G1815" s="4">
        <f t="shared" si="50"/>
        <v>0</v>
      </c>
      <c r="H1815" s="17"/>
      <c r="I1815" s="4">
        <f t="shared" si="48"/>
        <v>349526.07999999996</v>
      </c>
      <c r="J1815" s="32" t="str">
        <f t="shared" si="49"/>
        <v/>
      </c>
      <c r="K1815" s="79"/>
      <c r="L1815" s="79"/>
      <c r="M1815" s="2"/>
      <c r="N1815" s="5"/>
      <c r="O1815" s="3"/>
      <c r="P1815" s="6"/>
      <c r="Q1815" s="6"/>
    </row>
    <row r="1816" spans="1:17" ht="15" customHeight="1" x14ac:dyDescent="0.25">
      <c r="A1816" s="1"/>
      <c r="B1816" s="17"/>
      <c r="C1816" s="17"/>
      <c r="D1816" s="17"/>
      <c r="E1816" s="17"/>
      <c r="F1816" s="17"/>
      <c r="G1816" s="4">
        <f t="shared" si="50"/>
        <v>0</v>
      </c>
      <c r="H1816" s="17"/>
      <c r="I1816" s="4">
        <f t="shared" si="48"/>
        <v>349526.07999999996</v>
      </c>
      <c r="J1816" s="32" t="str">
        <f t="shared" si="49"/>
        <v/>
      </c>
      <c r="K1816" s="79"/>
      <c r="L1816" s="79"/>
      <c r="M1816" s="2"/>
      <c r="N1816" s="5"/>
      <c r="O1816" s="3"/>
      <c r="P1816" s="6"/>
      <c r="Q1816" s="6"/>
    </row>
    <row r="1817" spans="1:17" ht="15" customHeight="1" x14ac:dyDescent="0.25">
      <c r="A1817" s="1"/>
      <c r="B1817" s="17"/>
      <c r="C1817" s="17"/>
      <c r="D1817" s="17"/>
      <c r="E1817" s="17"/>
      <c r="F1817" s="17"/>
      <c r="G1817" s="4">
        <f t="shared" si="50"/>
        <v>0</v>
      </c>
      <c r="H1817" s="17"/>
      <c r="I1817" s="4">
        <f t="shared" si="48"/>
        <v>349526.07999999996</v>
      </c>
      <c r="J1817" s="32" t="str">
        <f t="shared" si="49"/>
        <v/>
      </c>
      <c r="K1817" s="79"/>
      <c r="L1817" s="79"/>
      <c r="M1817" s="2"/>
      <c r="N1817" s="5"/>
      <c r="O1817" s="3"/>
      <c r="P1817" s="6"/>
      <c r="Q1817" s="6"/>
    </row>
    <row r="1818" spans="1:17" ht="15" customHeight="1" x14ac:dyDescent="0.25">
      <c r="A1818" s="1"/>
      <c r="B1818" s="17"/>
      <c r="C1818" s="17"/>
      <c r="D1818" s="17"/>
      <c r="E1818" s="17"/>
      <c r="F1818" s="17"/>
      <c r="G1818" s="4">
        <f t="shared" si="50"/>
        <v>0</v>
      </c>
      <c r="H1818" s="17"/>
      <c r="I1818" s="4">
        <f t="shared" si="48"/>
        <v>349526.07999999996</v>
      </c>
      <c r="J1818" s="32" t="str">
        <f t="shared" si="49"/>
        <v/>
      </c>
      <c r="K1818" s="79"/>
      <c r="L1818" s="79"/>
      <c r="M1818" s="2"/>
      <c r="N1818" s="5"/>
      <c r="O1818" s="3"/>
      <c r="P1818" s="6"/>
      <c r="Q1818" s="6"/>
    </row>
    <row r="1819" spans="1:17" ht="15" customHeight="1" x14ac:dyDescent="0.25">
      <c r="A1819" s="1"/>
      <c r="B1819" s="17"/>
      <c r="C1819" s="17"/>
      <c r="D1819" s="17"/>
      <c r="E1819" s="17"/>
      <c r="F1819" s="17"/>
      <c r="G1819" s="4">
        <f t="shared" si="50"/>
        <v>0</v>
      </c>
      <c r="H1819" s="17"/>
      <c r="I1819" s="4">
        <f t="shared" si="48"/>
        <v>349526.07999999996</v>
      </c>
      <c r="J1819" s="32" t="str">
        <f t="shared" si="49"/>
        <v/>
      </c>
      <c r="K1819" s="79"/>
      <c r="L1819" s="79"/>
      <c r="M1819" s="2"/>
      <c r="N1819" s="5"/>
      <c r="O1819" s="3"/>
      <c r="P1819" s="6"/>
      <c r="Q1819" s="6"/>
    </row>
    <row r="1820" spans="1:17" ht="15" customHeight="1" x14ac:dyDescent="0.25">
      <c r="A1820" s="1"/>
      <c r="B1820" s="17"/>
      <c r="C1820" s="17"/>
      <c r="D1820" s="17"/>
      <c r="E1820" s="17"/>
      <c r="F1820" s="17"/>
      <c r="G1820" s="4">
        <f t="shared" si="50"/>
        <v>0</v>
      </c>
      <c r="H1820" s="17"/>
      <c r="I1820" s="4">
        <f t="shared" si="48"/>
        <v>349526.07999999996</v>
      </c>
      <c r="J1820" s="32" t="str">
        <f t="shared" si="49"/>
        <v/>
      </c>
      <c r="K1820" s="79"/>
      <c r="L1820" s="79"/>
      <c r="M1820" s="2"/>
      <c r="N1820" s="5"/>
      <c r="O1820" s="3"/>
      <c r="P1820" s="6"/>
      <c r="Q1820" s="6"/>
    </row>
    <row r="1821" spans="1:17" ht="15" customHeight="1" x14ac:dyDescent="0.25">
      <c r="A1821" s="1"/>
      <c r="B1821" s="17"/>
      <c r="C1821" s="17"/>
      <c r="D1821" s="17"/>
      <c r="E1821" s="17"/>
      <c r="F1821" s="17"/>
      <c r="G1821" s="4">
        <f t="shared" si="50"/>
        <v>0</v>
      </c>
      <c r="H1821" s="17"/>
      <c r="I1821" s="4">
        <f t="shared" si="48"/>
        <v>349526.07999999996</v>
      </c>
      <c r="J1821" s="32" t="str">
        <f t="shared" si="49"/>
        <v/>
      </c>
      <c r="K1821" s="79"/>
      <c r="L1821" s="79"/>
      <c r="M1821" s="2"/>
      <c r="N1821" s="5"/>
      <c r="O1821" s="3"/>
      <c r="P1821" s="6"/>
      <c r="Q1821" s="6"/>
    </row>
    <row r="1822" spans="1:17" ht="15" customHeight="1" x14ac:dyDescent="0.25">
      <c r="A1822" s="1"/>
      <c r="B1822" s="17"/>
      <c r="C1822" s="17"/>
      <c r="D1822" s="17"/>
      <c r="E1822" s="17"/>
      <c r="F1822" s="17"/>
      <c r="G1822" s="4">
        <f t="shared" si="50"/>
        <v>0</v>
      </c>
      <c r="H1822" s="17"/>
      <c r="I1822" s="4">
        <f t="shared" si="48"/>
        <v>349526.07999999996</v>
      </c>
      <c r="J1822" s="32" t="str">
        <f t="shared" si="49"/>
        <v/>
      </c>
      <c r="K1822" s="79"/>
      <c r="L1822" s="79"/>
      <c r="M1822" s="2"/>
      <c r="N1822" s="5"/>
      <c r="O1822" s="3"/>
      <c r="P1822" s="6"/>
      <c r="Q1822" s="6"/>
    </row>
    <row r="1823" spans="1:17" ht="15" customHeight="1" x14ac:dyDescent="0.25">
      <c r="A1823" s="1"/>
      <c r="B1823" s="17"/>
      <c r="C1823" s="17"/>
      <c r="D1823" s="17"/>
      <c r="E1823" s="17"/>
      <c r="F1823" s="17"/>
      <c r="G1823" s="4">
        <f t="shared" si="50"/>
        <v>0</v>
      </c>
      <c r="H1823" s="17"/>
      <c r="I1823" s="4">
        <f t="shared" si="48"/>
        <v>349526.07999999996</v>
      </c>
      <c r="J1823" s="32" t="str">
        <f t="shared" si="49"/>
        <v/>
      </c>
      <c r="K1823" s="79"/>
      <c r="L1823" s="79"/>
      <c r="M1823" s="2"/>
      <c r="N1823" s="5"/>
      <c r="O1823" s="3"/>
      <c r="P1823" s="6"/>
      <c r="Q1823" s="6"/>
    </row>
    <row r="1824" spans="1:17" ht="15" customHeight="1" x14ac:dyDescent="0.25">
      <c r="A1824" s="1"/>
      <c r="B1824" s="17"/>
      <c r="C1824" s="17"/>
      <c r="D1824" s="17"/>
      <c r="E1824" s="17"/>
      <c r="F1824" s="17"/>
      <c r="G1824" s="4">
        <f t="shared" si="50"/>
        <v>0</v>
      </c>
      <c r="H1824" s="17"/>
      <c r="I1824" s="4">
        <f t="shared" si="48"/>
        <v>349526.07999999996</v>
      </c>
      <c r="J1824" s="32" t="str">
        <f t="shared" si="49"/>
        <v/>
      </c>
      <c r="K1824" s="79"/>
      <c r="L1824" s="79"/>
      <c r="M1824" s="2"/>
      <c r="N1824" s="5"/>
      <c r="O1824" s="3"/>
      <c r="P1824" s="6"/>
      <c r="Q1824" s="6"/>
    </row>
    <row r="1825" spans="1:17" ht="15" customHeight="1" x14ac:dyDescent="0.25">
      <c r="A1825" s="1"/>
      <c r="B1825" s="17"/>
      <c r="C1825" s="17"/>
      <c r="D1825" s="17"/>
      <c r="E1825" s="17"/>
      <c r="F1825" s="17"/>
      <c r="G1825" s="4">
        <f t="shared" si="50"/>
        <v>0</v>
      </c>
      <c r="H1825" s="17"/>
      <c r="I1825" s="4">
        <f t="shared" si="48"/>
        <v>349526.07999999996</v>
      </c>
      <c r="J1825" s="32" t="str">
        <f t="shared" si="49"/>
        <v/>
      </c>
      <c r="K1825" s="79"/>
      <c r="L1825" s="79"/>
      <c r="M1825" s="2"/>
      <c r="N1825" s="5"/>
      <c r="O1825" s="3"/>
      <c r="P1825" s="6"/>
      <c r="Q1825" s="6"/>
    </row>
    <row r="1826" spans="1:17" ht="15" customHeight="1" x14ac:dyDescent="0.25">
      <c r="A1826" s="1"/>
      <c r="B1826" s="17"/>
      <c r="C1826" s="17"/>
      <c r="D1826" s="17"/>
      <c r="E1826" s="17"/>
      <c r="F1826" s="17"/>
      <c r="G1826" s="4">
        <f t="shared" si="50"/>
        <v>0</v>
      </c>
      <c r="H1826" s="17"/>
      <c r="I1826" s="4">
        <f t="shared" si="48"/>
        <v>349526.07999999996</v>
      </c>
      <c r="J1826" s="32" t="str">
        <f t="shared" si="49"/>
        <v/>
      </c>
      <c r="K1826" s="79"/>
      <c r="L1826" s="79"/>
      <c r="M1826" s="2"/>
      <c r="N1826" s="5"/>
      <c r="O1826" s="3"/>
      <c r="P1826" s="6"/>
      <c r="Q1826" s="6"/>
    </row>
    <row r="1827" spans="1:17" ht="15" customHeight="1" x14ac:dyDescent="0.25">
      <c r="A1827" s="1"/>
      <c r="B1827" s="17"/>
      <c r="C1827" s="17"/>
      <c r="D1827" s="17"/>
      <c r="E1827" s="17"/>
      <c r="F1827" s="17"/>
      <c r="G1827" s="4">
        <f t="shared" si="50"/>
        <v>0</v>
      </c>
      <c r="H1827" s="17"/>
      <c r="I1827" s="4">
        <f t="shared" si="48"/>
        <v>349526.07999999996</v>
      </c>
      <c r="J1827" s="32" t="str">
        <f t="shared" si="49"/>
        <v/>
      </c>
      <c r="K1827" s="79"/>
      <c r="L1827" s="79"/>
      <c r="M1827" s="2"/>
      <c r="N1827" s="5"/>
      <c r="O1827" s="3"/>
      <c r="P1827" s="6"/>
      <c r="Q1827" s="6"/>
    </row>
    <row r="1828" spans="1:17" ht="15" customHeight="1" x14ac:dyDescent="0.25">
      <c r="A1828" s="1"/>
      <c r="B1828" s="17"/>
      <c r="C1828" s="17"/>
      <c r="D1828" s="17"/>
      <c r="E1828" s="17"/>
      <c r="F1828" s="17"/>
      <c r="G1828" s="4">
        <f t="shared" si="50"/>
        <v>0</v>
      </c>
      <c r="H1828" s="17"/>
      <c r="I1828" s="4">
        <f t="shared" si="48"/>
        <v>349526.07999999996</v>
      </c>
      <c r="J1828" s="32" t="str">
        <f t="shared" si="49"/>
        <v/>
      </c>
      <c r="K1828" s="79"/>
      <c r="L1828" s="79"/>
      <c r="M1828" s="2"/>
      <c r="N1828" s="5"/>
      <c r="O1828" s="3"/>
      <c r="P1828" s="6"/>
      <c r="Q1828" s="6"/>
    </row>
    <row r="1829" spans="1:17" ht="15" customHeight="1" x14ac:dyDescent="0.25">
      <c r="A1829" s="1"/>
      <c r="B1829" s="17"/>
      <c r="C1829" s="17"/>
      <c r="D1829" s="17"/>
      <c r="E1829" s="17"/>
      <c r="F1829" s="17"/>
      <c r="G1829" s="4">
        <f t="shared" si="50"/>
        <v>0</v>
      </c>
      <c r="H1829" s="17"/>
      <c r="I1829" s="4">
        <f t="shared" si="48"/>
        <v>349526.07999999996</v>
      </c>
      <c r="J1829" s="32" t="str">
        <f t="shared" si="49"/>
        <v/>
      </c>
      <c r="K1829" s="79"/>
      <c r="L1829" s="79"/>
      <c r="M1829" s="2"/>
      <c r="N1829" s="5"/>
      <c r="O1829" s="3"/>
      <c r="P1829" s="6"/>
      <c r="Q1829" s="6"/>
    </row>
    <row r="1830" spans="1:17" ht="15" customHeight="1" x14ac:dyDescent="0.25">
      <c r="A1830" s="1"/>
      <c r="B1830" s="17"/>
      <c r="C1830" s="17"/>
      <c r="D1830" s="17"/>
      <c r="E1830" s="17"/>
      <c r="F1830" s="17"/>
      <c r="G1830" s="4">
        <f t="shared" si="50"/>
        <v>0</v>
      </c>
      <c r="H1830" s="17"/>
      <c r="I1830" s="4">
        <f t="shared" si="48"/>
        <v>349526.07999999996</v>
      </c>
      <c r="J1830" s="32" t="str">
        <f t="shared" si="49"/>
        <v/>
      </c>
      <c r="K1830" s="79"/>
      <c r="L1830" s="79"/>
      <c r="M1830" s="2"/>
      <c r="N1830" s="5"/>
      <c r="O1830" s="3"/>
      <c r="P1830" s="6"/>
      <c r="Q1830" s="6"/>
    </row>
    <row r="1831" spans="1:17" ht="15" customHeight="1" x14ac:dyDescent="0.25">
      <c r="A1831" s="1"/>
      <c r="B1831" s="17"/>
      <c r="C1831" s="17"/>
      <c r="D1831" s="17"/>
      <c r="E1831" s="17"/>
      <c r="F1831" s="17"/>
      <c r="G1831" s="4">
        <f t="shared" si="50"/>
        <v>0</v>
      </c>
      <c r="H1831" s="17"/>
      <c r="I1831" s="4">
        <f t="shared" si="48"/>
        <v>349526.07999999996</v>
      </c>
      <c r="J1831" s="32" t="str">
        <f t="shared" si="49"/>
        <v/>
      </c>
      <c r="K1831" s="79"/>
      <c r="L1831" s="79"/>
      <c r="M1831" s="2"/>
      <c r="N1831" s="5"/>
      <c r="O1831" s="3"/>
      <c r="P1831" s="6"/>
      <c r="Q1831" s="6"/>
    </row>
    <row r="1832" spans="1:17" ht="15" customHeight="1" x14ac:dyDescent="0.25">
      <c r="A1832" s="1"/>
      <c r="B1832" s="17"/>
      <c r="C1832" s="17"/>
      <c r="D1832" s="17"/>
      <c r="E1832" s="17"/>
      <c r="F1832" s="17"/>
      <c r="G1832" s="4">
        <f t="shared" si="50"/>
        <v>0</v>
      </c>
      <c r="H1832" s="17"/>
      <c r="I1832" s="4">
        <f t="shared" si="48"/>
        <v>349526.07999999996</v>
      </c>
      <c r="J1832" s="32" t="str">
        <f t="shared" si="49"/>
        <v/>
      </c>
      <c r="K1832" s="79"/>
      <c r="L1832" s="79"/>
      <c r="M1832" s="2"/>
      <c r="N1832" s="5"/>
      <c r="O1832" s="3"/>
      <c r="P1832" s="6"/>
      <c r="Q1832" s="6"/>
    </row>
    <row r="1833" spans="1:17" ht="15" customHeight="1" x14ac:dyDescent="0.25">
      <c r="A1833" s="1"/>
      <c r="B1833" s="17"/>
      <c r="C1833" s="17"/>
      <c r="D1833" s="17"/>
      <c r="E1833" s="17"/>
      <c r="F1833" s="17"/>
      <c r="G1833" s="4">
        <f t="shared" si="50"/>
        <v>0</v>
      </c>
      <c r="H1833" s="17"/>
      <c r="I1833" s="4">
        <f t="shared" si="48"/>
        <v>349526.07999999996</v>
      </c>
      <c r="J1833" s="32" t="str">
        <f t="shared" si="49"/>
        <v/>
      </c>
      <c r="K1833" s="79"/>
      <c r="L1833" s="79"/>
      <c r="M1833" s="2"/>
      <c r="N1833" s="5"/>
      <c r="O1833" s="3"/>
      <c r="P1833" s="6"/>
      <c r="Q1833" s="6"/>
    </row>
    <row r="1834" spans="1:17" ht="15" customHeight="1" x14ac:dyDescent="0.25">
      <c r="A1834" s="1"/>
      <c r="B1834" s="17"/>
      <c r="C1834" s="17"/>
      <c r="D1834" s="17"/>
      <c r="E1834" s="17"/>
      <c r="F1834" s="17"/>
      <c r="G1834" s="4">
        <f t="shared" si="50"/>
        <v>0</v>
      </c>
      <c r="H1834" s="17"/>
      <c r="I1834" s="4">
        <f t="shared" si="48"/>
        <v>349526.07999999996</v>
      </c>
      <c r="J1834" s="32" t="str">
        <f t="shared" si="49"/>
        <v/>
      </c>
      <c r="K1834" s="79"/>
      <c r="L1834" s="79"/>
      <c r="M1834" s="2"/>
      <c r="N1834" s="5"/>
      <c r="O1834" s="3"/>
      <c r="P1834" s="6"/>
      <c r="Q1834" s="6"/>
    </row>
    <row r="1835" spans="1:17" ht="15" customHeight="1" x14ac:dyDescent="0.25">
      <c r="A1835" s="1"/>
      <c r="B1835" s="17"/>
      <c r="C1835" s="17"/>
      <c r="D1835" s="17"/>
      <c r="E1835" s="17"/>
      <c r="F1835" s="17"/>
      <c r="G1835" s="4">
        <f t="shared" si="50"/>
        <v>0</v>
      </c>
      <c r="H1835" s="17"/>
      <c r="I1835" s="4">
        <f t="shared" si="48"/>
        <v>349526.07999999996</v>
      </c>
      <c r="J1835" s="32" t="str">
        <f t="shared" si="49"/>
        <v/>
      </c>
      <c r="K1835" s="79"/>
      <c r="L1835" s="79"/>
      <c r="M1835" s="2"/>
      <c r="N1835" s="5"/>
      <c r="O1835" s="3"/>
      <c r="P1835" s="6"/>
      <c r="Q1835" s="6"/>
    </row>
    <row r="1836" spans="1:17" ht="15" customHeight="1" x14ac:dyDescent="0.25">
      <c r="A1836" s="1"/>
      <c r="B1836" s="17"/>
      <c r="C1836" s="17"/>
      <c r="D1836" s="17"/>
      <c r="E1836" s="17"/>
      <c r="F1836" s="17"/>
      <c r="G1836" s="4">
        <f t="shared" si="50"/>
        <v>0</v>
      </c>
      <c r="H1836" s="17"/>
      <c r="I1836" s="4">
        <f t="shared" si="48"/>
        <v>349526.07999999996</v>
      </c>
      <c r="J1836" s="32" t="str">
        <f t="shared" si="49"/>
        <v/>
      </c>
      <c r="K1836" s="79"/>
      <c r="L1836" s="79"/>
      <c r="M1836" s="2"/>
      <c r="N1836" s="5"/>
      <c r="O1836" s="3"/>
      <c r="P1836" s="6"/>
      <c r="Q1836" s="6"/>
    </row>
    <row r="1837" spans="1:17" ht="15" customHeight="1" x14ac:dyDescent="0.25">
      <c r="A1837" s="1"/>
      <c r="B1837" s="17"/>
      <c r="C1837" s="17"/>
      <c r="D1837" s="17"/>
      <c r="E1837" s="17"/>
      <c r="F1837" s="17"/>
      <c r="G1837" s="4">
        <f t="shared" si="50"/>
        <v>0</v>
      </c>
      <c r="H1837" s="17"/>
      <c r="I1837" s="4">
        <f t="shared" si="48"/>
        <v>349526.07999999996</v>
      </c>
      <c r="J1837" s="32" t="str">
        <f t="shared" si="49"/>
        <v/>
      </c>
      <c r="K1837" s="79"/>
      <c r="L1837" s="79"/>
      <c r="M1837" s="2"/>
      <c r="N1837" s="5"/>
      <c r="O1837" s="3"/>
      <c r="P1837" s="6"/>
      <c r="Q1837" s="6"/>
    </row>
    <row r="1838" spans="1:17" ht="15" customHeight="1" x14ac:dyDescent="0.25">
      <c r="A1838" s="1"/>
      <c r="B1838" s="17"/>
      <c r="C1838" s="17"/>
      <c r="D1838" s="17"/>
      <c r="E1838" s="17"/>
      <c r="F1838" s="17"/>
      <c r="G1838" s="4">
        <f t="shared" si="50"/>
        <v>0</v>
      </c>
      <c r="H1838" s="17"/>
      <c r="I1838" s="4">
        <f t="shared" si="48"/>
        <v>349526.07999999996</v>
      </c>
      <c r="J1838" s="32" t="str">
        <f t="shared" si="49"/>
        <v/>
      </c>
      <c r="K1838" s="79"/>
      <c r="L1838" s="79"/>
      <c r="M1838" s="2"/>
      <c r="N1838" s="5"/>
      <c r="O1838" s="3"/>
      <c r="P1838" s="6"/>
      <c r="Q1838" s="6"/>
    </row>
    <row r="1839" spans="1:17" ht="15" customHeight="1" x14ac:dyDescent="0.25">
      <c r="A1839" s="1"/>
      <c r="B1839" s="17"/>
      <c r="C1839" s="17"/>
      <c r="D1839" s="17"/>
      <c r="E1839" s="17"/>
      <c r="F1839" s="17"/>
      <c r="G1839" s="4">
        <f t="shared" si="50"/>
        <v>0</v>
      </c>
      <c r="H1839" s="17"/>
      <c r="I1839" s="4">
        <f t="shared" si="48"/>
        <v>349526.07999999996</v>
      </c>
      <c r="J1839" s="32" t="str">
        <f t="shared" si="49"/>
        <v/>
      </c>
      <c r="K1839" s="79"/>
      <c r="L1839" s="79"/>
      <c r="M1839" s="2"/>
      <c r="N1839" s="5"/>
      <c r="O1839" s="3"/>
      <c r="P1839" s="6"/>
      <c r="Q1839" s="6"/>
    </row>
    <row r="1840" spans="1:17" ht="15" customHeight="1" x14ac:dyDescent="0.25">
      <c r="A1840" s="1"/>
      <c r="B1840" s="17"/>
      <c r="C1840" s="17"/>
      <c r="D1840" s="17"/>
      <c r="E1840" s="17"/>
      <c r="F1840" s="17"/>
      <c r="G1840" s="4">
        <f t="shared" si="50"/>
        <v>0</v>
      </c>
      <c r="H1840" s="17"/>
      <c r="I1840" s="4">
        <f t="shared" si="48"/>
        <v>349526.07999999996</v>
      </c>
      <c r="J1840" s="32" t="str">
        <f t="shared" si="49"/>
        <v/>
      </c>
      <c r="K1840" s="79"/>
      <c r="L1840" s="79"/>
      <c r="M1840" s="2"/>
      <c r="N1840" s="5"/>
      <c r="O1840" s="3"/>
      <c r="P1840" s="6"/>
      <c r="Q1840" s="6"/>
    </row>
    <row r="1841" spans="1:17" ht="15" customHeight="1" x14ac:dyDescent="0.25">
      <c r="A1841" s="1"/>
      <c r="B1841" s="17"/>
      <c r="C1841" s="17"/>
      <c r="D1841" s="17"/>
      <c r="E1841" s="17"/>
      <c r="F1841" s="17"/>
      <c r="G1841" s="4">
        <f t="shared" si="50"/>
        <v>0</v>
      </c>
      <c r="H1841" s="17"/>
      <c r="I1841" s="4">
        <f t="shared" si="48"/>
        <v>349526.07999999996</v>
      </c>
      <c r="J1841" s="32" t="str">
        <f t="shared" si="49"/>
        <v/>
      </c>
      <c r="K1841" s="79"/>
      <c r="L1841" s="79"/>
      <c r="M1841" s="2"/>
      <c r="N1841" s="5"/>
      <c r="O1841" s="3"/>
      <c r="P1841" s="6"/>
      <c r="Q1841" s="6"/>
    </row>
    <row r="1842" spans="1:17" ht="15" customHeight="1" x14ac:dyDescent="0.25">
      <c r="A1842" s="1"/>
      <c r="B1842" s="17"/>
      <c r="C1842" s="17"/>
      <c r="D1842" s="17"/>
      <c r="E1842" s="17"/>
      <c r="F1842" s="17"/>
      <c r="G1842" s="4">
        <f t="shared" si="50"/>
        <v>0</v>
      </c>
      <c r="H1842" s="17"/>
      <c r="I1842" s="4">
        <f t="shared" si="48"/>
        <v>349526.07999999996</v>
      </c>
      <c r="J1842" s="32" t="str">
        <f t="shared" si="49"/>
        <v/>
      </c>
      <c r="K1842" s="79"/>
      <c r="L1842" s="79"/>
      <c r="M1842" s="2"/>
      <c r="N1842" s="5"/>
      <c r="O1842" s="3"/>
      <c r="P1842" s="6"/>
      <c r="Q1842" s="6"/>
    </row>
    <row r="1843" spans="1:17" ht="15" customHeight="1" x14ac:dyDescent="0.25">
      <c r="A1843" s="1"/>
      <c r="B1843" s="17"/>
      <c r="C1843" s="17"/>
      <c r="D1843" s="17"/>
      <c r="E1843" s="17"/>
      <c r="F1843" s="17"/>
      <c r="G1843" s="4">
        <f t="shared" si="50"/>
        <v>0</v>
      </c>
      <c r="H1843" s="17"/>
      <c r="I1843" s="4">
        <f t="shared" si="48"/>
        <v>349526.07999999996</v>
      </c>
      <c r="J1843" s="32" t="str">
        <f t="shared" si="49"/>
        <v/>
      </c>
      <c r="K1843" s="79"/>
      <c r="L1843" s="79"/>
      <c r="M1843" s="2"/>
      <c r="N1843" s="5"/>
      <c r="O1843" s="3"/>
      <c r="P1843" s="6"/>
      <c r="Q1843" s="6"/>
    </row>
    <row r="1844" spans="1:17" ht="15" customHeight="1" x14ac:dyDescent="0.25">
      <c r="A1844" s="1"/>
      <c r="B1844" s="17"/>
      <c r="C1844" s="17"/>
      <c r="D1844" s="17"/>
      <c r="E1844" s="17"/>
      <c r="F1844" s="17"/>
      <c r="G1844" s="4">
        <f t="shared" si="50"/>
        <v>0</v>
      </c>
      <c r="H1844" s="17"/>
      <c r="I1844" s="4">
        <f t="shared" si="48"/>
        <v>349526.07999999996</v>
      </c>
      <c r="J1844" s="32" t="str">
        <f t="shared" si="49"/>
        <v/>
      </c>
      <c r="K1844" s="79"/>
      <c r="L1844" s="79"/>
      <c r="M1844" s="2"/>
      <c r="N1844" s="5"/>
      <c r="O1844" s="3"/>
      <c r="P1844" s="6"/>
      <c r="Q1844" s="6"/>
    </row>
    <row r="1845" spans="1:17" ht="15" customHeight="1" x14ac:dyDescent="0.25">
      <c r="A1845" s="1"/>
      <c r="B1845" s="17"/>
      <c r="C1845" s="17"/>
      <c r="D1845" s="17"/>
      <c r="E1845" s="17"/>
      <c r="F1845" s="17"/>
      <c r="G1845" s="4">
        <f t="shared" si="50"/>
        <v>0</v>
      </c>
      <c r="H1845" s="17"/>
      <c r="I1845" s="4">
        <f t="shared" si="48"/>
        <v>349526.07999999996</v>
      </c>
      <c r="J1845" s="32" t="str">
        <f t="shared" si="49"/>
        <v/>
      </c>
      <c r="K1845" s="79"/>
      <c r="L1845" s="79"/>
      <c r="M1845" s="2"/>
      <c r="N1845" s="5"/>
      <c r="O1845" s="3"/>
      <c r="P1845" s="6"/>
      <c r="Q1845" s="6"/>
    </row>
    <row r="1846" spans="1:17" ht="15" customHeight="1" x14ac:dyDescent="0.25">
      <c r="A1846" s="1"/>
      <c r="B1846" s="17"/>
      <c r="C1846" s="17"/>
      <c r="D1846" s="17"/>
      <c r="E1846" s="17"/>
      <c r="F1846" s="17"/>
      <c r="G1846" s="4">
        <f t="shared" si="50"/>
        <v>0</v>
      </c>
      <c r="H1846" s="17"/>
      <c r="I1846" s="4">
        <f t="shared" ref="I1846:I1909" si="51">$I1845+$G1846-$H1846</f>
        <v>349526.07999999996</v>
      </c>
      <c r="J1846" s="32" t="str">
        <f t="shared" ref="J1846:J1909" si="52">IF($A1847&lt;&gt;$A1846,$I1846,"")</f>
        <v/>
      </c>
      <c r="K1846" s="79"/>
      <c r="L1846" s="79"/>
      <c r="M1846" s="2"/>
      <c r="N1846" s="5"/>
      <c r="O1846" s="3"/>
      <c r="P1846" s="6"/>
      <c r="Q1846" s="6"/>
    </row>
    <row r="1847" spans="1:17" ht="15" customHeight="1" x14ac:dyDescent="0.25">
      <c r="A1847" s="1"/>
      <c r="B1847" s="17"/>
      <c r="C1847" s="17"/>
      <c r="D1847" s="17"/>
      <c r="E1847" s="17"/>
      <c r="F1847" s="17"/>
      <c r="G1847" s="4">
        <f t="shared" si="50"/>
        <v>0</v>
      </c>
      <c r="H1847" s="17"/>
      <c r="I1847" s="4">
        <f t="shared" si="51"/>
        <v>349526.07999999996</v>
      </c>
      <c r="J1847" s="32" t="str">
        <f t="shared" si="52"/>
        <v/>
      </c>
      <c r="K1847" s="79"/>
      <c r="L1847" s="79"/>
      <c r="M1847" s="2"/>
      <c r="N1847" s="5"/>
      <c r="O1847" s="3"/>
      <c r="P1847" s="6"/>
      <c r="Q1847" s="6"/>
    </row>
    <row r="1848" spans="1:17" ht="15" customHeight="1" x14ac:dyDescent="0.25">
      <c r="A1848" s="1"/>
      <c r="B1848" s="17"/>
      <c r="C1848" s="17"/>
      <c r="D1848" s="17"/>
      <c r="E1848" s="17"/>
      <c r="F1848" s="17"/>
      <c r="G1848" s="4">
        <f t="shared" si="50"/>
        <v>0</v>
      </c>
      <c r="H1848" s="17"/>
      <c r="I1848" s="4">
        <f t="shared" si="51"/>
        <v>349526.07999999996</v>
      </c>
      <c r="J1848" s="32" t="str">
        <f t="shared" si="52"/>
        <v/>
      </c>
      <c r="K1848" s="79"/>
      <c r="L1848" s="79"/>
      <c r="M1848" s="2"/>
      <c r="N1848" s="5"/>
      <c r="O1848" s="3"/>
      <c r="P1848" s="6"/>
      <c r="Q1848" s="6"/>
    </row>
    <row r="1849" spans="1:17" ht="15" customHeight="1" x14ac:dyDescent="0.25">
      <c r="A1849" s="1"/>
      <c r="B1849" s="17"/>
      <c r="C1849" s="17"/>
      <c r="D1849" s="17"/>
      <c r="E1849" s="17"/>
      <c r="F1849" s="17"/>
      <c r="G1849" s="4">
        <f t="shared" si="50"/>
        <v>0</v>
      </c>
      <c r="H1849" s="17"/>
      <c r="I1849" s="4">
        <f t="shared" si="51"/>
        <v>349526.07999999996</v>
      </c>
      <c r="J1849" s="32" t="str">
        <f t="shared" si="52"/>
        <v/>
      </c>
      <c r="K1849" s="79"/>
      <c r="L1849" s="79"/>
      <c r="M1849" s="2"/>
      <c r="N1849" s="5"/>
      <c r="O1849" s="3"/>
      <c r="P1849" s="6"/>
      <c r="Q1849" s="6"/>
    </row>
    <row r="1850" spans="1:17" ht="15" customHeight="1" x14ac:dyDescent="0.25">
      <c r="A1850" s="1"/>
      <c r="B1850" s="17"/>
      <c r="C1850" s="17"/>
      <c r="D1850" s="17"/>
      <c r="E1850" s="17"/>
      <c r="F1850" s="17"/>
      <c r="G1850" s="4">
        <f t="shared" si="50"/>
        <v>0</v>
      </c>
      <c r="H1850" s="17"/>
      <c r="I1850" s="4">
        <f t="shared" si="51"/>
        <v>349526.07999999996</v>
      </c>
      <c r="J1850" s="32" t="str">
        <f t="shared" si="52"/>
        <v/>
      </c>
      <c r="K1850" s="79"/>
      <c r="L1850" s="79"/>
      <c r="M1850" s="2"/>
      <c r="N1850" s="5"/>
      <c r="O1850" s="3"/>
      <c r="P1850" s="6"/>
      <c r="Q1850" s="6"/>
    </row>
    <row r="1851" spans="1:17" ht="15" customHeight="1" x14ac:dyDescent="0.25">
      <c r="A1851" s="1"/>
      <c r="B1851" s="17"/>
      <c r="C1851" s="17"/>
      <c r="D1851" s="17"/>
      <c r="E1851" s="17"/>
      <c r="F1851" s="17"/>
      <c r="G1851" s="4">
        <f t="shared" si="50"/>
        <v>0</v>
      </c>
      <c r="H1851" s="17"/>
      <c r="I1851" s="4">
        <f t="shared" si="51"/>
        <v>349526.07999999996</v>
      </c>
      <c r="J1851" s="32" t="str">
        <f t="shared" si="52"/>
        <v/>
      </c>
      <c r="K1851" s="79"/>
      <c r="L1851" s="79"/>
      <c r="M1851" s="2"/>
      <c r="N1851" s="5"/>
      <c r="O1851" s="3"/>
      <c r="P1851" s="6"/>
      <c r="Q1851" s="6"/>
    </row>
    <row r="1852" spans="1:17" ht="15" customHeight="1" x14ac:dyDescent="0.25">
      <c r="A1852" s="1"/>
      <c r="B1852" s="17"/>
      <c r="C1852" s="17"/>
      <c r="D1852" s="17"/>
      <c r="E1852" s="17"/>
      <c r="F1852" s="17"/>
      <c r="G1852" s="4">
        <f t="shared" si="50"/>
        <v>0</v>
      </c>
      <c r="H1852" s="17"/>
      <c r="I1852" s="4">
        <f t="shared" si="51"/>
        <v>349526.07999999996</v>
      </c>
      <c r="J1852" s="32" t="str">
        <f t="shared" si="52"/>
        <v/>
      </c>
      <c r="K1852" s="79"/>
      <c r="L1852" s="79"/>
      <c r="M1852" s="2"/>
      <c r="N1852" s="5"/>
      <c r="O1852" s="3"/>
      <c r="P1852" s="6"/>
      <c r="Q1852" s="6"/>
    </row>
    <row r="1853" spans="1:17" ht="15" customHeight="1" x14ac:dyDescent="0.25">
      <c r="A1853" s="1"/>
      <c r="B1853" s="17"/>
      <c r="C1853" s="17"/>
      <c r="D1853" s="17"/>
      <c r="E1853" s="17"/>
      <c r="F1853" s="17"/>
      <c r="G1853" s="4">
        <f t="shared" si="50"/>
        <v>0</v>
      </c>
      <c r="H1853" s="17"/>
      <c r="I1853" s="4">
        <f t="shared" si="51"/>
        <v>349526.07999999996</v>
      </c>
      <c r="J1853" s="32" t="str">
        <f t="shared" si="52"/>
        <v/>
      </c>
      <c r="K1853" s="79"/>
      <c r="L1853" s="79"/>
      <c r="M1853" s="2"/>
      <c r="N1853" s="5"/>
      <c r="O1853" s="3"/>
      <c r="P1853" s="6"/>
      <c r="Q1853" s="6"/>
    </row>
    <row r="1854" spans="1:17" ht="15" customHeight="1" x14ac:dyDescent="0.25">
      <c r="A1854" s="1"/>
      <c r="B1854" s="17"/>
      <c r="C1854" s="17"/>
      <c r="D1854" s="17"/>
      <c r="E1854" s="17"/>
      <c r="F1854" s="17"/>
      <c r="G1854" s="4">
        <f t="shared" si="50"/>
        <v>0</v>
      </c>
      <c r="H1854" s="17"/>
      <c r="I1854" s="4">
        <f t="shared" si="51"/>
        <v>349526.07999999996</v>
      </c>
      <c r="J1854" s="32" t="str">
        <f t="shared" si="52"/>
        <v/>
      </c>
      <c r="K1854" s="79"/>
      <c r="L1854" s="79"/>
      <c r="M1854" s="2"/>
      <c r="N1854" s="5"/>
      <c r="O1854" s="3"/>
      <c r="P1854" s="6"/>
      <c r="Q1854" s="6"/>
    </row>
    <row r="1855" spans="1:17" ht="15" customHeight="1" x14ac:dyDescent="0.25">
      <c r="A1855" s="1"/>
      <c r="B1855" s="17"/>
      <c r="C1855" s="17"/>
      <c r="D1855" s="17"/>
      <c r="E1855" s="17"/>
      <c r="F1855" s="17"/>
      <c r="G1855" s="4">
        <f t="shared" si="50"/>
        <v>0</v>
      </c>
      <c r="H1855" s="17"/>
      <c r="I1855" s="4">
        <f t="shared" si="51"/>
        <v>349526.07999999996</v>
      </c>
      <c r="J1855" s="32" t="str">
        <f t="shared" si="52"/>
        <v/>
      </c>
      <c r="K1855" s="79"/>
      <c r="L1855" s="79"/>
      <c r="M1855" s="2"/>
      <c r="N1855" s="5"/>
      <c r="O1855" s="3"/>
      <c r="P1855" s="6"/>
      <c r="Q1855" s="6"/>
    </row>
    <row r="1856" spans="1:17" ht="15" customHeight="1" x14ac:dyDescent="0.25">
      <c r="A1856" s="1"/>
      <c r="B1856" s="17"/>
      <c r="C1856" s="17"/>
      <c r="D1856" s="17"/>
      <c r="E1856" s="17"/>
      <c r="F1856" s="17"/>
      <c r="G1856" s="4">
        <f t="shared" si="50"/>
        <v>0</v>
      </c>
      <c r="H1856" s="17"/>
      <c r="I1856" s="4">
        <f t="shared" si="51"/>
        <v>349526.07999999996</v>
      </c>
      <c r="J1856" s="32" t="str">
        <f t="shared" si="52"/>
        <v/>
      </c>
      <c r="K1856" s="79"/>
      <c r="L1856" s="79"/>
      <c r="M1856" s="2"/>
      <c r="N1856" s="5"/>
      <c r="O1856" s="3"/>
      <c r="P1856" s="6"/>
      <c r="Q1856" s="6"/>
    </row>
    <row r="1857" spans="1:17" ht="15" customHeight="1" x14ac:dyDescent="0.25">
      <c r="A1857" s="1"/>
      <c r="B1857" s="17"/>
      <c r="C1857" s="17"/>
      <c r="D1857" s="17"/>
      <c r="E1857" s="17"/>
      <c r="F1857" s="17"/>
      <c r="G1857" s="4">
        <f t="shared" si="50"/>
        <v>0</v>
      </c>
      <c r="H1857" s="17"/>
      <c r="I1857" s="4">
        <f t="shared" si="51"/>
        <v>349526.07999999996</v>
      </c>
      <c r="J1857" s="32" t="str">
        <f t="shared" si="52"/>
        <v/>
      </c>
      <c r="K1857" s="79"/>
      <c r="L1857" s="79"/>
      <c r="M1857" s="2"/>
      <c r="N1857" s="5"/>
      <c r="O1857" s="3"/>
      <c r="P1857" s="6"/>
      <c r="Q1857" s="6"/>
    </row>
    <row r="1858" spans="1:17" ht="15" customHeight="1" x14ac:dyDescent="0.25">
      <c r="A1858" s="1"/>
      <c r="B1858" s="17"/>
      <c r="C1858" s="17"/>
      <c r="D1858" s="17"/>
      <c r="E1858" s="17"/>
      <c r="F1858" s="17"/>
      <c r="G1858" s="4">
        <f t="shared" si="50"/>
        <v>0</v>
      </c>
      <c r="H1858" s="17"/>
      <c r="I1858" s="4">
        <f t="shared" si="51"/>
        <v>349526.07999999996</v>
      </c>
      <c r="J1858" s="32" t="str">
        <f t="shared" si="52"/>
        <v/>
      </c>
      <c r="K1858" s="79"/>
      <c r="L1858" s="79"/>
      <c r="M1858" s="2"/>
      <c r="N1858" s="5"/>
      <c r="O1858" s="3"/>
      <c r="P1858" s="6"/>
      <c r="Q1858" s="6"/>
    </row>
    <row r="1859" spans="1:17" ht="15" customHeight="1" x14ac:dyDescent="0.25">
      <c r="A1859" s="1"/>
      <c r="B1859" s="17"/>
      <c r="C1859" s="17"/>
      <c r="D1859" s="17"/>
      <c r="E1859" s="17"/>
      <c r="F1859" s="17"/>
      <c r="G1859" s="4">
        <f t="shared" ref="G1859:G1922" si="53">SUM($B1859:$F1859)</f>
        <v>0</v>
      </c>
      <c r="H1859" s="17"/>
      <c r="I1859" s="4">
        <f t="shared" si="51"/>
        <v>349526.07999999996</v>
      </c>
      <c r="J1859" s="32" t="str">
        <f t="shared" si="52"/>
        <v/>
      </c>
      <c r="K1859" s="79"/>
      <c r="L1859" s="79"/>
      <c r="M1859" s="2"/>
      <c r="N1859" s="5"/>
      <c r="O1859" s="3"/>
      <c r="P1859" s="6"/>
      <c r="Q1859" s="6"/>
    </row>
    <row r="1860" spans="1:17" ht="15" customHeight="1" x14ac:dyDescent="0.25">
      <c r="A1860" s="1"/>
      <c r="B1860" s="17"/>
      <c r="C1860" s="17"/>
      <c r="D1860" s="17"/>
      <c r="E1860" s="17"/>
      <c r="F1860" s="17"/>
      <c r="G1860" s="4">
        <f t="shared" si="53"/>
        <v>0</v>
      </c>
      <c r="H1860" s="17"/>
      <c r="I1860" s="4">
        <f t="shared" si="51"/>
        <v>349526.07999999996</v>
      </c>
      <c r="J1860" s="32" t="str">
        <f t="shared" si="52"/>
        <v/>
      </c>
      <c r="K1860" s="79"/>
      <c r="L1860" s="79"/>
      <c r="M1860" s="2"/>
      <c r="N1860" s="5"/>
      <c r="O1860" s="3"/>
      <c r="P1860" s="6"/>
      <c r="Q1860" s="6"/>
    </row>
    <row r="1861" spans="1:17" ht="15" customHeight="1" x14ac:dyDescent="0.25">
      <c r="A1861" s="1"/>
      <c r="B1861" s="17"/>
      <c r="C1861" s="17"/>
      <c r="D1861" s="17"/>
      <c r="E1861" s="17"/>
      <c r="F1861" s="17"/>
      <c r="G1861" s="4">
        <f t="shared" si="53"/>
        <v>0</v>
      </c>
      <c r="H1861" s="17"/>
      <c r="I1861" s="4">
        <f t="shared" si="51"/>
        <v>349526.07999999996</v>
      </c>
      <c r="J1861" s="32" t="str">
        <f t="shared" si="52"/>
        <v/>
      </c>
      <c r="K1861" s="79"/>
      <c r="L1861" s="79"/>
      <c r="M1861" s="2"/>
      <c r="N1861" s="5"/>
      <c r="O1861" s="3"/>
      <c r="P1861" s="6"/>
      <c r="Q1861" s="6"/>
    </row>
    <row r="1862" spans="1:17" ht="15" customHeight="1" x14ac:dyDescent="0.25">
      <c r="A1862" s="1"/>
      <c r="B1862" s="17"/>
      <c r="C1862" s="17"/>
      <c r="D1862" s="17"/>
      <c r="E1862" s="17"/>
      <c r="F1862" s="17"/>
      <c r="G1862" s="4">
        <f t="shared" si="53"/>
        <v>0</v>
      </c>
      <c r="H1862" s="17"/>
      <c r="I1862" s="4">
        <f t="shared" si="51"/>
        <v>349526.07999999996</v>
      </c>
      <c r="J1862" s="32" t="str">
        <f t="shared" si="52"/>
        <v/>
      </c>
      <c r="K1862" s="79"/>
      <c r="L1862" s="79"/>
      <c r="M1862" s="2"/>
      <c r="N1862" s="5"/>
      <c r="O1862" s="3"/>
      <c r="P1862" s="6"/>
      <c r="Q1862" s="6"/>
    </row>
    <row r="1863" spans="1:17" ht="15" customHeight="1" x14ac:dyDescent="0.25">
      <c r="A1863" s="1"/>
      <c r="B1863" s="17"/>
      <c r="C1863" s="17"/>
      <c r="D1863" s="17"/>
      <c r="E1863" s="17"/>
      <c r="F1863" s="17"/>
      <c r="G1863" s="4">
        <f t="shared" si="53"/>
        <v>0</v>
      </c>
      <c r="H1863" s="17"/>
      <c r="I1863" s="4">
        <f t="shared" si="51"/>
        <v>349526.07999999996</v>
      </c>
      <c r="J1863" s="32" t="str">
        <f t="shared" si="52"/>
        <v/>
      </c>
      <c r="K1863" s="79"/>
      <c r="L1863" s="79"/>
      <c r="M1863" s="2"/>
      <c r="N1863" s="5"/>
      <c r="O1863" s="3"/>
      <c r="P1863" s="6"/>
      <c r="Q1863" s="6"/>
    </row>
    <row r="1864" spans="1:17" ht="15" customHeight="1" x14ac:dyDescent="0.25">
      <c r="A1864" s="1"/>
      <c r="B1864" s="17"/>
      <c r="C1864" s="17"/>
      <c r="D1864" s="17"/>
      <c r="E1864" s="17"/>
      <c r="F1864" s="17"/>
      <c r="G1864" s="4">
        <f t="shared" si="53"/>
        <v>0</v>
      </c>
      <c r="H1864" s="17"/>
      <c r="I1864" s="4">
        <f t="shared" si="51"/>
        <v>349526.07999999996</v>
      </c>
      <c r="J1864" s="32" t="str">
        <f t="shared" si="52"/>
        <v/>
      </c>
      <c r="K1864" s="79"/>
      <c r="L1864" s="79"/>
      <c r="M1864" s="2"/>
      <c r="N1864" s="5"/>
      <c r="O1864" s="3"/>
      <c r="P1864" s="6"/>
      <c r="Q1864" s="6"/>
    </row>
    <row r="1865" spans="1:17" ht="15" customHeight="1" x14ac:dyDescent="0.25">
      <c r="A1865" s="1"/>
      <c r="B1865" s="17"/>
      <c r="C1865" s="17"/>
      <c r="D1865" s="17"/>
      <c r="E1865" s="17"/>
      <c r="F1865" s="17"/>
      <c r="G1865" s="4">
        <f t="shared" si="53"/>
        <v>0</v>
      </c>
      <c r="H1865" s="17"/>
      <c r="I1865" s="4">
        <f t="shared" si="51"/>
        <v>349526.07999999996</v>
      </c>
      <c r="J1865" s="32" t="str">
        <f t="shared" si="52"/>
        <v/>
      </c>
      <c r="K1865" s="79"/>
      <c r="L1865" s="79"/>
      <c r="M1865" s="2"/>
      <c r="N1865" s="5"/>
      <c r="O1865" s="3"/>
      <c r="P1865" s="6"/>
      <c r="Q1865" s="6"/>
    </row>
    <row r="1866" spans="1:17" ht="15" customHeight="1" x14ac:dyDescent="0.25">
      <c r="A1866" s="1"/>
      <c r="B1866" s="17"/>
      <c r="C1866" s="17"/>
      <c r="D1866" s="17"/>
      <c r="E1866" s="17"/>
      <c r="F1866" s="17"/>
      <c r="G1866" s="4">
        <f t="shared" si="53"/>
        <v>0</v>
      </c>
      <c r="H1866" s="17"/>
      <c r="I1866" s="4">
        <f t="shared" si="51"/>
        <v>349526.07999999996</v>
      </c>
      <c r="J1866" s="32" t="str">
        <f t="shared" si="52"/>
        <v/>
      </c>
      <c r="K1866" s="79"/>
      <c r="L1866" s="79"/>
      <c r="M1866" s="2"/>
      <c r="N1866" s="5"/>
      <c r="O1866" s="3"/>
      <c r="P1866" s="6"/>
      <c r="Q1866" s="6"/>
    </row>
    <row r="1867" spans="1:17" ht="15" customHeight="1" x14ac:dyDescent="0.25">
      <c r="A1867" s="1"/>
      <c r="B1867" s="17"/>
      <c r="C1867" s="17"/>
      <c r="D1867" s="17"/>
      <c r="E1867" s="17"/>
      <c r="F1867" s="17"/>
      <c r="G1867" s="4">
        <f t="shared" si="53"/>
        <v>0</v>
      </c>
      <c r="H1867" s="17"/>
      <c r="I1867" s="4">
        <f t="shared" si="51"/>
        <v>349526.07999999996</v>
      </c>
      <c r="J1867" s="32" t="str">
        <f t="shared" si="52"/>
        <v/>
      </c>
      <c r="K1867" s="79"/>
      <c r="L1867" s="79"/>
      <c r="M1867" s="2"/>
      <c r="N1867" s="5"/>
      <c r="O1867" s="3"/>
      <c r="P1867" s="6"/>
      <c r="Q1867" s="6"/>
    </row>
    <row r="1868" spans="1:17" ht="15" customHeight="1" x14ac:dyDescent="0.25">
      <c r="A1868" s="1"/>
      <c r="B1868" s="17"/>
      <c r="C1868" s="17"/>
      <c r="D1868" s="17"/>
      <c r="E1868" s="17"/>
      <c r="F1868" s="17"/>
      <c r="G1868" s="4">
        <f t="shared" si="53"/>
        <v>0</v>
      </c>
      <c r="H1868" s="17"/>
      <c r="I1868" s="4">
        <f t="shared" si="51"/>
        <v>349526.07999999996</v>
      </c>
      <c r="J1868" s="32" t="str">
        <f t="shared" si="52"/>
        <v/>
      </c>
      <c r="K1868" s="79"/>
      <c r="L1868" s="79"/>
      <c r="M1868" s="2"/>
      <c r="N1868" s="5"/>
      <c r="O1868" s="3"/>
      <c r="P1868" s="6"/>
      <c r="Q1868" s="6"/>
    </row>
    <row r="1869" spans="1:17" ht="15" customHeight="1" x14ac:dyDescent="0.25">
      <c r="A1869" s="1"/>
      <c r="B1869" s="17"/>
      <c r="C1869" s="17"/>
      <c r="D1869" s="17"/>
      <c r="E1869" s="17"/>
      <c r="F1869" s="17"/>
      <c r="G1869" s="4">
        <f t="shared" si="53"/>
        <v>0</v>
      </c>
      <c r="H1869" s="17"/>
      <c r="I1869" s="4">
        <f t="shared" si="51"/>
        <v>349526.07999999996</v>
      </c>
      <c r="J1869" s="32" t="str">
        <f t="shared" si="52"/>
        <v/>
      </c>
      <c r="K1869" s="79"/>
      <c r="L1869" s="79"/>
      <c r="M1869" s="2"/>
      <c r="N1869" s="5"/>
      <c r="O1869" s="3"/>
      <c r="P1869" s="6"/>
      <c r="Q1869" s="6"/>
    </row>
    <row r="1870" spans="1:17" ht="15" customHeight="1" x14ac:dyDescent="0.25">
      <c r="A1870" s="1"/>
      <c r="B1870" s="17"/>
      <c r="C1870" s="17"/>
      <c r="D1870" s="17"/>
      <c r="E1870" s="17"/>
      <c r="F1870" s="17"/>
      <c r="G1870" s="4">
        <f t="shared" si="53"/>
        <v>0</v>
      </c>
      <c r="H1870" s="17"/>
      <c r="I1870" s="4">
        <f t="shared" si="51"/>
        <v>349526.07999999996</v>
      </c>
      <c r="J1870" s="32" t="str">
        <f t="shared" si="52"/>
        <v/>
      </c>
      <c r="K1870" s="79"/>
      <c r="L1870" s="79"/>
      <c r="M1870" s="2"/>
      <c r="N1870" s="5"/>
      <c r="O1870" s="3"/>
      <c r="P1870" s="6"/>
      <c r="Q1870" s="6"/>
    </row>
    <row r="1871" spans="1:17" ht="15" customHeight="1" x14ac:dyDescent="0.25">
      <c r="A1871" s="1"/>
      <c r="B1871" s="17"/>
      <c r="C1871" s="17"/>
      <c r="D1871" s="17"/>
      <c r="E1871" s="17"/>
      <c r="F1871" s="17"/>
      <c r="G1871" s="4">
        <f t="shared" si="53"/>
        <v>0</v>
      </c>
      <c r="H1871" s="17"/>
      <c r="I1871" s="4">
        <f t="shared" si="51"/>
        <v>349526.07999999996</v>
      </c>
      <c r="J1871" s="32" t="str">
        <f t="shared" si="52"/>
        <v/>
      </c>
      <c r="K1871" s="79"/>
      <c r="L1871" s="79"/>
      <c r="M1871" s="2"/>
      <c r="N1871" s="5"/>
      <c r="O1871" s="3"/>
      <c r="P1871" s="6"/>
      <c r="Q1871" s="6"/>
    </row>
    <row r="1872" spans="1:17" ht="15" customHeight="1" x14ac:dyDescent="0.25">
      <c r="A1872" s="1"/>
      <c r="B1872" s="17"/>
      <c r="C1872" s="17"/>
      <c r="D1872" s="17"/>
      <c r="E1872" s="17"/>
      <c r="F1872" s="17"/>
      <c r="G1872" s="4">
        <f t="shared" si="53"/>
        <v>0</v>
      </c>
      <c r="H1872" s="17"/>
      <c r="I1872" s="4">
        <f t="shared" si="51"/>
        <v>349526.07999999996</v>
      </c>
      <c r="J1872" s="32" t="str">
        <f t="shared" si="52"/>
        <v/>
      </c>
      <c r="K1872" s="79"/>
      <c r="L1872" s="79"/>
      <c r="M1872" s="2"/>
      <c r="N1872" s="5"/>
      <c r="O1872" s="3"/>
      <c r="P1872" s="6"/>
      <c r="Q1872" s="6"/>
    </row>
    <row r="1873" spans="1:17" ht="15" customHeight="1" x14ac:dyDescent="0.25">
      <c r="A1873" s="1"/>
      <c r="B1873" s="17"/>
      <c r="C1873" s="17"/>
      <c r="D1873" s="17"/>
      <c r="E1873" s="17"/>
      <c r="F1873" s="17"/>
      <c r="G1873" s="4">
        <f t="shared" si="53"/>
        <v>0</v>
      </c>
      <c r="H1873" s="17"/>
      <c r="I1873" s="4">
        <f t="shared" si="51"/>
        <v>349526.07999999996</v>
      </c>
      <c r="J1873" s="32" t="str">
        <f t="shared" si="52"/>
        <v/>
      </c>
      <c r="K1873" s="79"/>
      <c r="L1873" s="79"/>
      <c r="M1873" s="2"/>
      <c r="N1873" s="5"/>
      <c r="O1873" s="3"/>
      <c r="P1873" s="6"/>
      <c r="Q1873" s="6"/>
    </row>
    <row r="1874" spans="1:17" ht="15" customHeight="1" x14ac:dyDescent="0.25">
      <c r="A1874" s="1"/>
      <c r="B1874" s="17"/>
      <c r="C1874" s="17"/>
      <c r="D1874" s="17"/>
      <c r="E1874" s="17"/>
      <c r="F1874" s="17"/>
      <c r="G1874" s="4">
        <f t="shared" si="53"/>
        <v>0</v>
      </c>
      <c r="H1874" s="17"/>
      <c r="I1874" s="4">
        <f t="shared" si="51"/>
        <v>349526.07999999996</v>
      </c>
      <c r="J1874" s="32" t="str">
        <f t="shared" si="52"/>
        <v/>
      </c>
      <c r="K1874" s="79"/>
      <c r="L1874" s="79"/>
      <c r="M1874" s="2"/>
      <c r="N1874" s="5"/>
      <c r="O1874" s="3"/>
      <c r="P1874" s="6"/>
      <c r="Q1874" s="6"/>
    </row>
    <row r="1875" spans="1:17" ht="15" customHeight="1" x14ac:dyDescent="0.25">
      <c r="A1875" s="1"/>
      <c r="B1875" s="17"/>
      <c r="C1875" s="17"/>
      <c r="D1875" s="17"/>
      <c r="E1875" s="17"/>
      <c r="F1875" s="17"/>
      <c r="G1875" s="4">
        <f t="shared" si="53"/>
        <v>0</v>
      </c>
      <c r="H1875" s="17"/>
      <c r="I1875" s="4">
        <f t="shared" si="51"/>
        <v>349526.07999999996</v>
      </c>
      <c r="J1875" s="32" t="str">
        <f t="shared" si="52"/>
        <v/>
      </c>
      <c r="K1875" s="79"/>
      <c r="L1875" s="79"/>
      <c r="M1875" s="2"/>
      <c r="N1875" s="5"/>
      <c r="O1875" s="3"/>
      <c r="P1875" s="6"/>
      <c r="Q1875" s="6"/>
    </row>
    <row r="1876" spans="1:17" ht="15" customHeight="1" x14ac:dyDescent="0.25">
      <c r="A1876" s="1"/>
      <c r="B1876" s="17"/>
      <c r="C1876" s="17"/>
      <c r="D1876" s="17"/>
      <c r="E1876" s="17"/>
      <c r="F1876" s="17"/>
      <c r="G1876" s="4">
        <f t="shared" si="53"/>
        <v>0</v>
      </c>
      <c r="H1876" s="17"/>
      <c r="I1876" s="4">
        <f t="shared" si="51"/>
        <v>349526.07999999996</v>
      </c>
      <c r="J1876" s="32" t="str">
        <f t="shared" si="52"/>
        <v/>
      </c>
      <c r="K1876" s="79"/>
      <c r="L1876" s="79"/>
      <c r="M1876" s="2"/>
      <c r="N1876" s="5"/>
      <c r="O1876" s="3"/>
      <c r="P1876" s="6"/>
      <c r="Q1876" s="6"/>
    </row>
    <row r="1877" spans="1:17" ht="15" customHeight="1" x14ac:dyDescent="0.25">
      <c r="A1877" s="1"/>
      <c r="B1877" s="17"/>
      <c r="C1877" s="17"/>
      <c r="D1877" s="17"/>
      <c r="E1877" s="17"/>
      <c r="F1877" s="17"/>
      <c r="G1877" s="4">
        <f t="shared" si="53"/>
        <v>0</v>
      </c>
      <c r="H1877" s="17"/>
      <c r="I1877" s="4">
        <f t="shared" si="51"/>
        <v>349526.07999999996</v>
      </c>
      <c r="J1877" s="32" t="str">
        <f t="shared" si="52"/>
        <v/>
      </c>
      <c r="K1877" s="79"/>
      <c r="L1877" s="79"/>
      <c r="M1877" s="2"/>
      <c r="N1877" s="5"/>
      <c r="O1877" s="3"/>
      <c r="P1877" s="6"/>
      <c r="Q1877" s="6"/>
    </row>
    <row r="1878" spans="1:17" ht="15" customHeight="1" x14ac:dyDescent="0.25">
      <c r="A1878" s="1"/>
      <c r="B1878" s="17"/>
      <c r="C1878" s="17"/>
      <c r="D1878" s="17"/>
      <c r="E1878" s="17"/>
      <c r="F1878" s="17"/>
      <c r="G1878" s="4">
        <f t="shared" si="53"/>
        <v>0</v>
      </c>
      <c r="H1878" s="17"/>
      <c r="I1878" s="4">
        <f t="shared" si="51"/>
        <v>349526.07999999996</v>
      </c>
      <c r="J1878" s="32" t="str">
        <f t="shared" si="52"/>
        <v/>
      </c>
      <c r="K1878" s="79"/>
      <c r="L1878" s="79"/>
      <c r="M1878" s="2"/>
      <c r="N1878" s="5"/>
      <c r="O1878" s="3"/>
      <c r="P1878" s="6"/>
      <c r="Q1878" s="6"/>
    </row>
    <row r="1879" spans="1:17" ht="15" customHeight="1" x14ac:dyDescent="0.25">
      <c r="A1879" s="1"/>
      <c r="B1879" s="17"/>
      <c r="C1879" s="17"/>
      <c r="D1879" s="17"/>
      <c r="E1879" s="17"/>
      <c r="F1879" s="17"/>
      <c r="G1879" s="4">
        <f t="shared" si="53"/>
        <v>0</v>
      </c>
      <c r="H1879" s="17"/>
      <c r="I1879" s="4">
        <f t="shared" si="51"/>
        <v>349526.07999999996</v>
      </c>
      <c r="J1879" s="32" t="str">
        <f t="shared" si="52"/>
        <v/>
      </c>
      <c r="K1879" s="79"/>
      <c r="L1879" s="79"/>
      <c r="M1879" s="2"/>
      <c r="N1879" s="5"/>
      <c r="O1879" s="3"/>
      <c r="P1879" s="6"/>
      <c r="Q1879" s="6"/>
    </row>
    <row r="1880" spans="1:17" ht="15" customHeight="1" x14ac:dyDescent="0.25">
      <c r="A1880" s="1"/>
      <c r="B1880" s="17"/>
      <c r="C1880" s="17"/>
      <c r="D1880" s="17"/>
      <c r="E1880" s="17"/>
      <c r="F1880" s="17"/>
      <c r="G1880" s="4">
        <f t="shared" si="53"/>
        <v>0</v>
      </c>
      <c r="H1880" s="17"/>
      <c r="I1880" s="4">
        <f t="shared" si="51"/>
        <v>349526.07999999996</v>
      </c>
      <c r="J1880" s="32" t="str">
        <f t="shared" si="52"/>
        <v/>
      </c>
      <c r="K1880" s="79"/>
      <c r="L1880" s="79"/>
      <c r="M1880" s="2"/>
      <c r="N1880" s="5"/>
      <c r="O1880" s="3"/>
      <c r="P1880" s="6"/>
      <c r="Q1880" s="6"/>
    </row>
    <row r="1881" spans="1:17" ht="15" customHeight="1" x14ac:dyDescent="0.25">
      <c r="A1881" s="1"/>
      <c r="B1881" s="17"/>
      <c r="C1881" s="17"/>
      <c r="D1881" s="17"/>
      <c r="E1881" s="17"/>
      <c r="F1881" s="17"/>
      <c r="G1881" s="4">
        <f t="shared" si="53"/>
        <v>0</v>
      </c>
      <c r="H1881" s="17"/>
      <c r="I1881" s="4">
        <f t="shared" si="51"/>
        <v>349526.07999999996</v>
      </c>
      <c r="J1881" s="32" t="str">
        <f t="shared" si="52"/>
        <v/>
      </c>
      <c r="K1881" s="79"/>
      <c r="L1881" s="79"/>
      <c r="M1881" s="2"/>
      <c r="N1881" s="5"/>
      <c r="O1881" s="3"/>
      <c r="P1881" s="6"/>
      <c r="Q1881" s="6"/>
    </row>
    <row r="1882" spans="1:17" ht="15" customHeight="1" x14ac:dyDescent="0.25">
      <c r="A1882" s="1"/>
      <c r="B1882" s="17"/>
      <c r="C1882" s="17"/>
      <c r="D1882" s="17"/>
      <c r="E1882" s="17"/>
      <c r="F1882" s="17"/>
      <c r="G1882" s="4">
        <f t="shared" si="53"/>
        <v>0</v>
      </c>
      <c r="H1882" s="17"/>
      <c r="I1882" s="4">
        <f t="shared" si="51"/>
        <v>349526.07999999996</v>
      </c>
      <c r="J1882" s="32" t="str">
        <f t="shared" si="52"/>
        <v/>
      </c>
      <c r="K1882" s="79"/>
      <c r="L1882" s="79"/>
      <c r="M1882" s="2"/>
      <c r="N1882" s="5"/>
      <c r="O1882" s="3"/>
      <c r="P1882" s="6"/>
      <c r="Q1882" s="6"/>
    </row>
    <row r="1883" spans="1:17" ht="15" customHeight="1" x14ac:dyDescent="0.25">
      <c r="A1883" s="1"/>
      <c r="B1883" s="17"/>
      <c r="C1883" s="17"/>
      <c r="D1883" s="17"/>
      <c r="E1883" s="17"/>
      <c r="F1883" s="17"/>
      <c r="G1883" s="4">
        <f t="shared" si="53"/>
        <v>0</v>
      </c>
      <c r="H1883" s="17"/>
      <c r="I1883" s="4">
        <f t="shared" si="51"/>
        <v>349526.07999999996</v>
      </c>
      <c r="J1883" s="32" t="str">
        <f t="shared" si="52"/>
        <v/>
      </c>
      <c r="K1883" s="79"/>
      <c r="L1883" s="79"/>
      <c r="M1883" s="2"/>
      <c r="N1883" s="5"/>
      <c r="O1883" s="3"/>
      <c r="P1883" s="6"/>
      <c r="Q1883" s="6"/>
    </row>
    <row r="1884" spans="1:17" ht="15" customHeight="1" x14ac:dyDescent="0.25">
      <c r="A1884" s="1"/>
      <c r="B1884" s="17"/>
      <c r="C1884" s="17"/>
      <c r="D1884" s="17"/>
      <c r="E1884" s="17"/>
      <c r="F1884" s="17"/>
      <c r="G1884" s="4">
        <f t="shared" si="53"/>
        <v>0</v>
      </c>
      <c r="H1884" s="17"/>
      <c r="I1884" s="4">
        <f t="shared" si="51"/>
        <v>349526.07999999996</v>
      </c>
      <c r="J1884" s="32" t="str">
        <f t="shared" si="52"/>
        <v/>
      </c>
      <c r="K1884" s="79"/>
      <c r="L1884" s="79"/>
      <c r="M1884" s="2"/>
      <c r="N1884" s="5"/>
      <c r="O1884" s="3"/>
      <c r="P1884" s="6"/>
      <c r="Q1884" s="6"/>
    </row>
    <row r="1885" spans="1:17" ht="15" customHeight="1" x14ac:dyDescent="0.25">
      <c r="A1885" s="1"/>
      <c r="B1885" s="17"/>
      <c r="C1885" s="17"/>
      <c r="D1885" s="17"/>
      <c r="E1885" s="17"/>
      <c r="F1885" s="17"/>
      <c r="G1885" s="4">
        <f t="shared" si="53"/>
        <v>0</v>
      </c>
      <c r="H1885" s="17"/>
      <c r="I1885" s="4">
        <f t="shared" si="51"/>
        <v>349526.07999999996</v>
      </c>
      <c r="J1885" s="32" t="str">
        <f t="shared" si="52"/>
        <v/>
      </c>
      <c r="K1885" s="79"/>
      <c r="L1885" s="79"/>
      <c r="M1885" s="2"/>
      <c r="N1885" s="5"/>
      <c r="O1885" s="3"/>
      <c r="P1885" s="6"/>
      <c r="Q1885" s="6"/>
    </row>
    <row r="1886" spans="1:17" ht="15" customHeight="1" x14ac:dyDescent="0.25">
      <c r="A1886" s="1"/>
      <c r="B1886" s="17"/>
      <c r="C1886" s="17"/>
      <c r="D1886" s="17"/>
      <c r="E1886" s="17"/>
      <c r="F1886" s="17"/>
      <c r="G1886" s="4">
        <f t="shared" si="53"/>
        <v>0</v>
      </c>
      <c r="H1886" s="17"/>
      <c r="I1886" s="4">
        <f t="shared" si="51"/>
        <v>349526.07999999996</v>
      </c>
      <c r="J1886" s="32" t="str">
        <f t="shared" si="52"/>
        <v/>
      </c>
      <c r="K1886" s="79"/>
      <c r="L1886" s="79"/>
      <c r="M1886" s="2"/>
      <c r="N1886" s="5"/>
      <c r="O1886" s="3"/>
      <c r="P1886" s="6"/>
      <c r="Q1886" s="6"/>
    </row>
    <row r="1887" spans="1:17" ht="15" customHeight="1" x14ac:dyDescent="0.25">
      <c r="A1887" s="1"/>
      <c r="B1887" s="17"/>
      <c r="C1887" s="17"/>
      <c r="D1887" s="17"/>
      <c r="E1887" s="17"/>
      <c r="F1887" s="17"/>
      <c r="G1887" s="4">
        <f t="shared" si="53"/>
        <v>0</v>
      </c>
      <c r="H1887" s="17"/>
      <c r="I1887" s="4">
        <f t="shared" si="51"/>
        <v>349526.07999999996</v>
      </c>
      <c r="J1887" s="32" t="str">
        <f t="shared" si="52"/>
        <v/>
      </c>
      <c r="K1887" s="79"/>
      <c r="L1887" s="79"/>
      <c r="M1887" s="2"/>
      <c r="N1887" s="5"/>
      <c r="O1887" s="3"/>
      <c r="P1887" s="6"/>
      <c r="Q1887" s="6"/>
    </row>
    <row r="1888" spans="1:17" ht="15" customHeight="1" x14ac:dyDescent="0.25">
      <c r="A1888" s="1"/>
      <c r="B1888" s="17"/>
      <c r="C1888" s="17"/>
      <c r="D1888" s="17"/>
      <c r="E1888" s="17"/>
      <c r="F1888" s="17"/>
      <c r="G1888" s="4">
        <f t="shared" si="53"/>
        <v>0</v>
      </c>
      <c r="H1888" s="17"/>
      <c r="I1888" s="4">
        <f t="shared" si="51"/>
        <v>349526.07999999996</v>
      </c>
      <c r="J1888" s="32" t="str">
        <f t="shared" si="52"/>
        <v/>
      </c>
      <c r="K1888" s="79"/>
      <c r="L1888" s="79"/>
      <c r="M1888" s="2"/>
      <c r="N1888" s="5"/>
      <c r="O1888" s="3"/>
      <c r="P1888" s="6"/>
      <c r="Q1888" s="6"/>
    </row>
    <row r="1889" spans="1:17" ht="15" customHeight="1" x14ac:dyDescent="0.25">
      <c r="A1889" s="1"/>
      <c r="B1889" s="17"/>
      <c r="C1889" s="17"/>
      <c r="D1889" s="17"/>
      <c r="E1889" s="17"/>
      <c r="F1889" s="17"/>
      <c r="G1889" s="4">
        <f t="shared" si="53"/>
        <v>0</v>
      </c>
      <c r="H1889" s="17"/>
      <c r="I1889" s="4">
        <f t="shared" si="51"/>
        <v>349526.07999999996</v>
      </c>
      <c r="J1889" s="32" t="str">
        <f t="shared" si="52"/>
        <v/>
      </c>
      <c r="K1889" s="79"/>
      <c r="L1889" s="79"/>
      <c r="M1889" s="2"/>
      <c r="N1889" s="5"/>
      <c r="O1889" s="3"/>
      <c r="P1889" s="6"/>
      <c r="Q1889" s="6"/>
    </row>
    <row r="1890" spans="1:17" ht="15" customHeight="1" x14ac:dyDescent="0.25">
      <c r="A1890" s="1"/>
      <c r="B1890" s="17"/>
      <c r="C1890" s="17"/>
      <c r="D1890" s="17"/>
      <c r="E1890" s="17"/>
      <c r="F1890" s="17"/>
      <c r="G1890" s="4">
        <f t="shared" si="53"/>
        <v>0</v>
      </c>
      <c r="H1890" s="17"/>
      <c r="I1890" s="4">
        <f t="shared" si="51"/>
        <v>349526.07999999996</v>
      </c>
      <c r="J1890" s="32" t="str">
        <f t="shared" si="52"/>
        <v/>
      </c>
      <c r="K1890" s="79"/>
      <c r="L1890" s="79"/>
      <c r="M1890" s="2"/>
      <c r="N1890" s="5"/>
      <c r="O1890" s="3"/>
      <c r="P1890" s="6"/>
      <c r="Q1890" s="6"/>
    </row>
    <row r="1891" spans="1:17" ht="15" customHeight="1" x14ac:dyDescent="0.25">
      <c r="A1891" s="1"/>
      <c r="B1891" s="17"/>
      <c r="C1891" s="17"/>
      <c r="D1891" s="17"/>
      <c r="E1891" s="17"/>
      <c r="F1891" s="17"/>
      <c r="G1891" s="4">
        <f t="shared" si="53"/>
        <v>0</v>
      </c>
      <c r="H1891" s="17"/>
      <c r="I1891" s="4">
        <f t="shared" si="51"/>
        <v>349526.07999999996</v>
      </c>
      <c r="J1891" s="32" t="str">
        <f t="shared" si="52"/>
        <v/>
      </c>
      <c r="K1891" s="79"/>
      <c r="L1891" s="79"/>
      <c r="M1891" s="2"/>
      <c r="N1891" s="5"/>
      <c r="O1891" s="3"/>
      <c r="P1891" s="6"/>
      <c r="Q1891" s="6"/>
    </row>
    <row r="1892" spans="1:17" ht="15" customHeight="1" x14ac:dyDescent="0.25">
      <c r="A1892" s="1"/>
      <c r="B1892" s="17"/>
      <c r="C1892" s="17"/>
      <c r="D1892" s="17"/>
      <c r="E1892" s="17"/>
      <c r="F1892" s="17"/>
      <c r="G1892" s="4">
        <f t="shared" si="53"/>
        <v>0</v>
      </c>
      <c r="H1892" s="17"/>
      <c r="I1892" s="4">
        <f t="shared" si="51"/>
        <v>349526.07999999996</v>
      </c>
      <c r="J1892" s="32" t="str">
        <f t="shared" si="52"/>
        <v/>
      </c>
      <c r="K1892" s="79"/>
      <c r="L1892" s="79"/>
      <c r="M1892" s="2"/>
      <c r="N1892" s="5"/>
      <c r="O1892" s="3"/>
      <c r="P1892" s="6"/>
      <c r="Q1892" s="6"/>
    </row>
    <row r="1893" spans="1:17" ht="15" customHeight="1" x14ac:dyDescent="0.25">
      <c r="A1893" s="1"/>
      <c r="B1893" s="17"/>
      <c r="C1893" s="17"/>
      <c r="D1893" s="17"/>
      <c r="E1893" s="17"/>
      <c r="F1893" s="17"/>
      <c r="G1893" s="4">
        <f t="shared" si="53"/>
        <v>0</v>
      </c>
      <c r="H1893" s="17"/>
      <c r="I1893" s="4">
        <f t="shared" si="51"/>
        <v>349526.07999999996</v>
      </c>
      <c r="J1893" s="32" t="str">
        <f t="shared" si="52"/>
        <v/>
      </c>
      <c r="K1893" s="79"/>
      <c r="L1893" s="79"/>
      <c r="M1893" s="2"/>
      <c r="N1893" s="5"/>
      <c r="O1893" s="3"/>
      <c r="P1893" s="6"/>
      <c r="Q1893" s="6"/>
    </row>
    <row r="1894" spans="1:17" ht="15" customHeight="1" x14ac:dyDescent="0.25">
      <c r="A1894" s="1"/>
      <c r="B1894" s="17"/>
      <c r="C1894" s="17"/>
      <c r="D1894" s="17"/>
      <c r="E1894" s="17"/>
      <c r="F1894" s="17"/>
      <c r="G1894" s="4">
        <f t="shared" si="53"/>
        <v>0</v>
      </c>
      <c r="H1894" s="17"/>
      <c r="I1894" s="4">
        <f t="shared" si="51"/>
        <v>349526.07999999996</v>
      </c>
      <c r="J1894" s="32" t="str">
        <f t="shared" si="52"/>
        <v/>
      </c>
      <c r="K1894" s="79"/>
      <c r="L1894" s="79"/>
      <c r="M1894" s="2"/>
      <c r="N1894" s="5"/>
      <c r="O1894" s="3"/>
      <c r="P1894" s="6"/>
      <c r="Q1894" s="6"/>
    </row>
    <row r="1895" spans="1:17" ht="15" customHeight="1" x14ac:dyDescent="0.25">
      <c r="A1895" s="1"/>
      <c r="B1895" s="17"/>
      <c r="C1895" s="17"/>
      <c r="D1895" s="17"/>
      <c r="E1895" s="17"/>
      <c r="F1895" s="17"/>
      <c r="G1895" s="4">
        <f t="shared" si="53"/>
        <v>0</v>
      </c>
      <c r="H1895" s="17"/>
      <c r="I1895" s="4">
        <f t="shared" si="51"/>
        <v>349526.07999999996</v>
      </c>
      <c r="J1895" s="32" t="str">
        <f t="shared" si="52"/>
        <v/>
      </c>
      <c r="K1895" s="79"/>
      <c r="L1895" s="79"/>
      <c r="M1895" s="2"/>
      <c r="N1895" s="5"/>
      <c r="O1895" s="3"/>
      <c r="P1895" s="6"/>
      <c r="Q1895" s="6"/>
    </row>
    <row r="1896" spans="1:17" ht="15" customHeight="1" x14ac:dyDescent="0.25">
      <c r="A1896" s="1"/>
      <c r="B1896" s="17"/>
      <c r="C1896" s="17"/>
      <c r="D1896" s="17"/>
      <c r="E1896" s="17"/>
      <c r="F1896" s="17"/>
      <c r="G1896" s="4">
        <f t="shared" si="53"/>
        <v>0</v>
      </c>
      <c r="H1896" s="17"/>
      <c r="I1896" s="4">
        <f t="shared" si="51"/>
        <v>349526.07999999996</v>
      </c>
      <c r="J1896" s="32" t="str">
        <f t="shared" si="52"/>
        <v/>
      </c>
      <c r="K1896" s="79"/>
      <c r="L1896" s="79"/>
      <c r="M1896" s="2"/>
      <c r="N1896" s="5"/>
      <c r="O1896" s="3"/>
      <c r="P1896" s="6"/>
      <c r="Q1896" s="6"/>
    </row>
    <row r="1897" spans="1:17" ht="15" customHeight="1" x14ac:dyDescent="0.25">
      <c r="A1897" s="1"/>
      <c r="B1897" s="17"/>
      <c r="C1897" s="17"/>
      <c r="D1897" s="17"/>
      <c r="E1897" s="17"/>
      <c r="F1897" s="17"/>
      <c r="G1897" s="4">
        <f t="shared" si="53"/>
        <v>0</v>
      </c>
      <c r="H1897" s="17"/>
      <c r="I1897" s="4">
        <f t="shared" si="51"/>
        <v>349526.07999999996</v>
      </c>
      <c r="J1897" s="32" t="str">
        <f t="shared" si="52"/>
        <v/>
      </c>
      <c r="K1897" s="79"/>
      <c r="L1897" s="79"/>
      <c r="M1897" s="2"/>
      <c r="N1897" s="5"/>
      <c r="O1897" s="3"/>
      <c r="P1897" s="6"/>
      <c r="Q1897" s="6"/>
    </row>
    <row r="1898" spans="1:17" ht="15" customHeight="1" x14ac:dyDescent="0.25">
      <c r="A1898" s="1"/>
      <c r="B1898" s="17"/>
      <c r="C1898" s="17"/>
      <c r="D1898" s="17"/>
      <c r="E1898" s="17"/>
      <c r="F1898" s="17"/>
      <c r="G1898" s="4">
        <f t="shared" si="53"/>
        <v>0</v>
      </c>
      <c r="H1898" s="17"/>
      <c r="I1898" s="4">
        <f t="shared" si="51"/>
        <v>349526.07999999996</v>
      </c>
      <c r="J1898" s="32" t="str">
        <f t="shared" si="52"/>
        <v/>
      </c>
      <c r="K1898" s="79"/>
      <c r="L1898" s="79"/>
      <c r="M1898" s="2"/>
      <c r="N1898" s="5"/>
      <c r="O1898" s="3"/>
      <c r="P1898" s="6"/>
      <c r="Q1898" s="6"/>
    </row>
    <row r="1899" spans="1:17" ht="15" customHeight="1" x14ac:dyDescent="0.25">
      <c r="A1899" s="1"/>
      <c r="B1899" s="17"/>
      <c r="C1899" s="17"/>
      <c r="D1899" s="17"/>
      <c r="E1899" s="17"/>
      <c r="F1899" s="17"/>
      <c r="G1899" s="4">
        <f t="shared" si="53"/>
        <v>0</v>
      </c>
      <c r="H1899" s="17"/>
      <c r="I1899" s="4">
        <f t="shared" si="51"/>
        <v>349526.07999999996</v>
      </c>
      <c r="J1899" s="32" t="str">
        <f t="shared" si="52"/>
        <v/>
      </c>
      <c r="K1899" s="79"/>
      <c r="L1899" s="79"/>
      <c r="M1899" s="2"/>
      <c r="N1899" s="5"/>
      <c r="O1899" s="3"/>
      <c r="P1899" s="6"/>
      <c r="Q1899" s="6"/>
    </row>
    <row r="1900" spans="1:17" ht="15" customHeight="1" x14ac:dyDescent="0.25">
      <c r="A1900" s="1"/>
      <c r="B1900" s="17"/>
      <c r="C1900" s="17"/>
      <c r="D1900" s="17"/>
      <c r="E1900" s="17"/>
      <c r="F1900" s="17"/>
      <c r="G1900" s="4">
        <f t="shared" si="53"/>
        <v>0</v>
      </c>
      <c r="H1900" s="17"/>
      <c r="I1900" s="4">
        <f t="shared" si="51"/>
        <v>349526.07999999996</v>
      </c>
      <c r="J1900" s="32" t="str">
        <f t="shared" si="52"/>
        <v/>
      </c>
      <c r="K1900" s="79"/>
      <c r="L1900" s="79"/>
      <c r="M1900" s="2"/>
      <c r="N1900" s="5"/>
      <c r="O1900" s="3"/>
      <c r="P1900" s="6"/>
      <c r="Q1900" s="6"/>
    </row>
    <row r="1901" spans="1:17" ht="15" customHeight="1" x14ac:dyDescent="0.25">
      <c r="A1901" s="1"/>
      <c r="B1901" s="17"/>
      <c r="C1901" s="17"/>
      <c r="D1901" s="17"/>
      <c r="E1901" s="17"/>
      <c r="F1901" s="17"/>
      <c r="G1901" s="4">
        <f t="shared" si="53"/>
        <v>0</v>
      </c>
      <c r="H1901" s="17"/>
      <c r="I1901" s="4">
        <f t="shared" si="51"/>
        <v>349526.07999999996</v>
      </c>
      <c r="J1901" s="32" t="str">
        <f t="shared" si="52"/>
        <v/>
      </c>
      <c r="K1901" s="79"/>
      <c r="L1901" s="79"/>
      <c r="M1901" s="2"/>
      <c r="N1901" s="5"/>
      <c r="O1901" s="3"/>
      <c r="P1901" s="6"/>
      <c r="Q1901" s="6"/>
    </row>
    <row r="1902" spans="1:17" ht="15" customHeight="1" x14ac:dyDescent="0.25">
      <c r="A1902" s="1"/>
      <c r="B1902" s="17"/>
      <c r="C1902" s="17"/>
      <c r="D1902" s="17"/>
      <c r="E1902" s="17"/>
      <c r="F1902" s="17"/>
      <c r="G1902" s="4">
        <f t="shared" si="53"/>
        <v>0</v>
      </c>
      <c r="H1902" s="17"/>
      <c r="I1902" s="4">
        <f t="shared" si="51"/>
        <v>349526.07999999996</v>
      </c>
      <c r="J1902" s="32" t="str">
        <f t="shared" si="52"/>
        <v/>
      </c>
      <c r="K1902" s="79"/>
      <c r="L1902" s="79"/>
      <c r="M1902" s="2"/>
      <c r="N1902" s="5"/>
      <c r="O1902" s="3"/>
      <c r="P1902" s="6"/>
      <c r="Q1902" s="6"/>
    </row>
    <row r="1903" spans="1:17" ht="15" customHeight="1" x14ac:dyDescent="0.25">
      <c r="A1903" s="1"/>
      <c r="B1903" s="17"/>
      <c r="C1903" s="17"/>
      <c r="D1903" s="17"/>
      <c r="E1903" s="17"/>
      <c r="F1903" s="17"/>
      <c r="G1903" s="4">
        <f t="shared" si="53"/>
        <v>0</v>
      </c>
      <c r="H1903" s="17"/>
      <c r="I1903" s="4">
        <f t="shared" si="51"/>
        <v>349526.07999999996</v>
      </c>
      <c r="J1903" s="32" t="str">
        <f t="shared" si="52"/>
        <v/>
      </c>
      <c r="K1903" s="79"/>
      <c r="L1903" s="79"/>
      <c r="M1903" s="2"/>
      <c r="N1903" s="5"/>
      <c r="O1903" s="3"/>
      <c r="P1903" s="6"/>
      <c r="Q1903" s="6"/>
    </row>
    <row r="1904" spans="1:17" ht="15" customHeight="1" x14ac:dyDescent="0.25">
      <c r="A1904" s="1"/>
      <c r="B1904" s="17"/>
      <c r="C1904" s="17"/>
      <c r="D1904" s="17"/>
      <c r="E1904" s="17"/>
      <c r="F1904" s="17"/>
      <c r="G1904" s="4">
        <f t="shared" si="53"/>
        <v>0</v>
      </c>
      <c r="H1904" s="17"/>
      <c r="I1904" s="4">
        <f t="shared" si="51"/>
        <v>349526.07999999996</v>
      </c>
      <c r="J1904" s="32" t="str">
        <f t="shared" si="52"/>
        <v/>
      </c>
      <c r="K1904" s="79"/>
      <c r="L1904" s="79"/>
      <c r="M1904" s="2"/>
      <c r="N1904" s="5"/>
      <c r="O1904" s="3"/>
      <c r="P1904" s="6"/>
      <c r="Q1904" s="6"/>
    </row>
    <row r="1905" spans="1:17" ht="15" customHeight="1" x14ac:dyDescent="0.25">
      <c r="A1905" s="1"/>
      <c r="B1905" s="17"/>
      <c r="C1905" s="17"/>
      <c r="D1905" s="17"/>
      <c r="E1905" s="17"/>
      <c r="F1905" s="17"/>
      <c r="G1905" s="4">
        <f t="shared" si="53"/>
        <v>0</v>
      </c>
      <c r="H1905" s="17"/>
      <c r="I1905" s="4">
        <f t="shared" si="51"/>
        <v>349526.07999999996</v>
      </c>
      <c r="J1905" s="32" t="str">
        <f t="shared" si="52"/>
        <v/>
      </c>
      <c r="K1905" s="79"/>
      <c r="L1905" s="79"/>
      <c r="M1905" s="2"/>
      <c r="N1905" s="5"/>
      <c r="O1905" s="3"/>
      <c r="P1905" s="6"/>
      <c r="Q1905" s="6"/>
    </row>
    <row r="1906" spans="1:17" ht="15" customHeight="1" x14ac:dyDescent="0.25">
      <c r="A1906" s="1"/>
      <c r="B1906" s="17"/>
      <c r="C1906" s="17"/>
      <c r="D1906" s="17"/>
      <c r="E1906" s="17"/>
      <c r="F1906" s="17"/>
      <c r="G1906" s="4">
        <f t="shared" si="53"/>
        <v>0</v>
      </c>
      <c r="H1906" s="17"/>
      <c r="I1906" s="4">
        <f t="shared" si="51"/>
        <v>349526.07999999996</v>
      </c>
      <c r="J1906" s="32" t="str">
        <f t="shared" si="52"/>
        <v/>
      </c>
      <c r="K1906" s="79"/>
      <c r="L1906" s="79"/>
      <c r="M1906" s="2"/>
      <c r="N1906" s="5"/>
      <c r="O1906" s="3"/>
      <c r="P1906" s="6"/>
      <c r="Q1906" s="6"/>
    </row>
    <row r="1907" spans="1:17" ht="15" customHeight="1" x14ac:dyDescent="0.25">
      <c r="A1907" s="1"/>
      <c r="B1907" s="17"/>
      <c r="C1907" s="17"/>
      <c r="D1907" s="17"/>
      <c r="E1907" s="17"/>
      <c r="F1907" s="17"/>
      <c r="G1907" s="4">
        <f t="shared" si="53"/>
        <v>0</v>
      </c>
      <c r="H1907" s="17"/>
      <c r="I1907" s="4">
        <f t="shared" si="51"/>
        <v>349526.07999999996</v>
      </c>
      <c r="J1907" s="32" t="str">
        <f t="shared" si="52"/>
        <v/>
      </c>
      <c r="K1907" s="79"/>
      <c r="L1907" s="79"/>
      <c r="M1907" s="2"/>
      <c r="N1907" s="5"/>
      <c r="O1907" s="3"/>
      <c r="P1907" s="6"/>
      <c r="Q1907" s="6"/>
    </row>
    <row r="1908" spans="1:17" ht="15" customHeight="1" x14ac:dyDescent="0.25">
      <c r="A1908" s="1"/>
      <c r="B1908" s="17"/>
      <c r="C1908" s="17"/>
      <c r="D1908" s="17"/>
      <c r="E1908" s="17"/>
      <c r="F1908" s="17"/>
      <c r="G1908" s="4">
        <f t="shared" si="53"/>
        <v>0</v>
      </c>
      <c r="H1908" s="17"/>
      <c r="I1908" s="4">
        <f t="shared" si="51"/>
        <v>349526.07999999996</v>
      </c>
      <c r="J1908" s="32" t="str">
        <f t="shared" si="52"/>
        <v/>
      </c>
      <c r="K1908" s="79"/>
      <c r="L1908" s="79"/>
      <c r="M1908" s="2"/>
      <c r="N1908" s="5"/>
      <c r="O1908" s="3"/>
      <c r="P1908" s="6"/>
      <c r="Q1908" s="6"/>
    </row>
    <row r="1909" spans="1:17" ht="15" customHeight="1" x14ac:dyDescent="0.25">
      <c r="A1909" s="1"/>
      <c r="B1909" s="17"/>
      <c r="C1909" s="17"/>
      <c r="D1909" s="17"/>
      <c r="E1909" s="17"/>
      <c r="F1909" s="17"/>
      <c r="G1909" s="4">
        <f t="shared" si="53"/>
        <v>0</v>
      </c>
      <c r="H1909" s="17"/>
      <c r="I1909" s="4">
        <f t="shared" si="51"/>
        <v>349526.07999999996</v>
      </c>
      <c r="J1909" s="32" t="str">
        <f t="shared" si="52"/>
        <v/>
      </c>
      <c r="K1909" s="79"/>
      <c r="L1909" s="79"/>
      <c r="M1909" s="2"/>
      <c r="N1909" s="5"/>
      <c r="O1909" s="3"/>
      <c r="P1909" s="6"/>
      <c r="Q1909" s="6"/>
    </row>
    <row r="1910" spans="1:17" ht="15" customHeight="1" x14ac:dyDescent="0.25">
      <c r="A1910" s="1"/>
      <c r="B1910" s="17"/>
      <c r="C1910" s="17"/>
      <c r="D1910" s="17"/>
      <c r="E1910" s="17"/>
      <c r="F1910" s="17"/>
      <c r="G1910" s="4">
        <f t="shared" si="53"/>
        <v>0</v>
      </c>
      <c r="H1910" s="17"/>
      <c r="I1910" s="4">
        <f t="shared" ref="I1910:I1973" si="54">$I1909+$G1910-$H1910</f>
        <v>349526.07999999996</v>
      </c>
      <c r="J1910" s="32" t="str">
        <f t="shared" ref="J1910:J1973" si="55">IF($A1911&lt;&gt;$A1910,$I1910,"")</f>
        <v/>
      </c>
      <c r="K1910" s="79"/>
      <c r="L1910" s="79"/>
      <c r="M1910" s="2"/>
      <c r="N1910" s="5"/>
      <c r="O1910" s="3"/>
      <c r="P1910" s="6"/>
      <c r="Q1910" s="6"/>
    </row>
    <row r="1911" spans="1:17" ht="15" customHeight="1" x14ac:dyDescent="0.25">
      <c r="A1911" s="1"/>
      <c r="B1911" s="17"/>
      <c r="C1911" s="17"/>
      <c r="D1911" s="17"/>
      <c r="E1911" s="17"/>
      <c r="F1911" s="17"/>
      <c r="G1911" s="4">
        <f t="shared" si="53"/>
        <v>0</v>
      </c>
      <c r="H1911" s="17"/>
      <c r="I1911" s="4">
        <f t="shared" si="54"/>
        <v>349526.07999999996</v>
      </c>
      <c r="J1911" s="32" t="str">
        <f t="shared" si="55"/>
        <v/>
      </c>
      <c r="K1911" s="79"/>
      <c r="L1911" s="79"/>
      <c r="M1911" s="2"/>
      <c r="N1911" s="5"/>
      <c r="O1911" s="3"/>
      <c r="P1911" s="6"/>
      <c r="Q1911" s="6"/>
    </row>
    <row r="1912" spans="1:17" ht="15" customHeight="1" x14ac:dyDescent="0.25">
      <c r="A1912" s="1"/>
      <c r="B1912" s="17"/>
      <c r="C1912" s="17"/>
      <c r="D1912" s="17"/>
      <c r="E1912" s="17"/>
      <c r="F1912" s="17"/>
      <c r="G1912" s="4">
        <f t="shared" si="53"/>
        <v>0</v>
      </c>
      <c r="H1912" s="17"/>
      <c r="I1912" s="4">
        <f t="shared" si="54"/>
        <v>349526.07999999996</v>
      </c>
      <c r="J1912" s="32" t="str">
        <f t="shared" si="55"/>
        <v/>
      </c>
      <c r="K1912" s="79"/>
      <c r="L1912" s="79"/>
      <c r="M1912" s="2"/>
      <c r="N1912" s="5"/>
      <c r="O1912" s="3"/>
      <c r="P1912" s="6"/>
      <c r="Q1912" s="6"/>
    </row>
    <row r="1913" spans="1:17" ht="15" customHeight="1" x14ac:dyDescent="0.25">
      <c r="A1913" s="1"/>
      <c r="B1913" s="17"/>
      <c r="C1913" s="17"/>
      <c r="D1913" s="17"/>
      <c r="E1913" s="17"/>
      <c r="F1913" s="17"/>
      <c r="G1913" s="4">
        <f t="shared" si="53"/>
        <v>0</v>
      </c>
      <c r="H1913" s="17"/>
      <c r="I1913" s="4">
        <f t="shared" si="54"/>
        <v>349526.07999999996</v>
      </c>
      <c r="J1913" s="32" t="str">
        <f t="shared" si="55"/>
        <v/>
      </c>
      <c r="K1913" s="79"/>
      <c r="L1913" s="79"/>
      <c r="M1913" s="2"/>
      <c r="N1913" s="5"/>
      <c r="O1913" s="3"/>
      <c r="P1913" s="6"/>
      <c r="Q1913" s="6"/>
    </row>
    <row r="1914" spans="1:17" ht="15" customHeight="1" x14ac:dyDescent="0.25">
      <c r="A1914" s="1"/>
      <c r="B1914" s="17"/>
      <c r="C1914" s="17"/>
      <c r="D1914" s="17"/>
      <c r="E1914" s="17"/>
      <c r="F1914" s="17"/>
      <c r="G1914" s="4">
        <f t="shared" si="53"/>
        <v>0</v>
      </c>
      <c r="H1914" s="17"/>
      <c r="I1914" s="4">
        <f t="shared" si="54"/>
        <v>349526.07999999996</v>
      </c>
      <c r="J1914" s="32" t="str">
        <f t="shared" si="55"/>
        <v/>
      </c>
      <c r="K1914" s="79"/>
      <c r="L1914" s="79"/>
      <c r="M1914" s="2"/>
      <c r="N1914" s="5"/>
      <c r="O1914" s="3"/>
      <c r="P1914" s="6"/>
      <c r="Q1914" s="6"/>
    </row>
    <row r="1915" spans="1:17" ht="15" customHeight="1" x14ac:dyDescent="0.25">
      <c r="A1915" s="1"/>
      <c r="B1915" s="17"/>
      <c r="C1915" s="17"/>
      <c r="D1915" s="17"/>
      <c r="E1915" s="17"/>
      <c r="F1915" s="17"/>
      <c r="G1915" s="4">
        <f t="shared" si="53"/>
        <v>0</v>
      </c>
      <c r="H1915" s="17"/>
      <c r="I1915" s="4">
        <f t="shared" si="54"/>
        <v>349526.07999999996</v>
      </c>
      <c r="J1915" s="32" t="str">
        <f t="shared" si="55"/>
        <v/>
      </c>
      <c r="K1915" s="79"/>
      <c r="L1915" s="79"/>
      <c r="M1915" s="2"/>
      <c r="N1915" s="5"/>
      <c r="O1915" s="3"/>
      <c r="P1915" s="6"/>
      <c r="Q1915" s="6"/>
    </row>
    <row r="1916" spans="1:17" ht="15" customHeight="1" x14ac:dyDescent="0.25">
      <c r="A1916" s="1"/>
      <c r="B1916" s="17"/>
      <c r="C1916" s="17"/>
      <c r="D1916" s="17"/>
      <c r="E1916" s="17"/>
      <c r="F1916" s="17"/>
      <c r="G1916" s="4">
        <f t="shared" si="53"/>
        <v>0</v>
      </c>
      <c r="H1916" s="17"/>
      <c r="I1916" s="4">
        <f t="shared" si="54"/>
        <v>349526.07999999996</v>
      </c>
      <c r="J1916" s="32" t="str">
        <f t="shared" si="55"/>
        <v/>
      </c>
      <c r="K1916" s="79"/>
      <c r="L1916" s="79"/>
      <c r="M1916" s="2"/>
      <c r="N1916" s="5"/>
      <c r="O1916" s="3"/>
      <c r="P1916" s="6"/>
      <c r="Q1916" s="6"/>
    </row>
    <row r="1917" spans="1:17" ht="15" customHeight="1" x14ac:dyDescent="0.25">
      <c r="A1917" s="1"/>
      <c r="B1917" s="17"/>
      <c r="C1917" s="17"/>
      <c r="D1917" s="17"/>
      <c r="E1917" s="17"/>
      <c r="F1917" s="17"/>
      <c r="G1917" s="4">
        <f t="shared" si="53"/>
        <v>0</v>
      </c>
      <c r="H1917" s="17"/>
      <c r="I1917" s="4">
        <f t="shared" si="54"/>
        <v>349526.07999999996</v>
      </c>
      <c r="J1917" s="32" t="str">
        <f t="shared" si="55"/>
        <v/>
      </c>
      <c r="K1917" s="79"/>
      <c r="L1917" s="79"/>
      <c r="M1917" s="2"/>
      <c r="N1917" s="5"/>
      <c r="O1917" s="3"/>
      <c r="P1917" s="6"/>
      <c r="Q1917" s="6"/>
    </row>
    <row r="1918" spans="1:17" ht="15" customHeight="1" x14ac:dyDescent="0.25">
      <c r="A1918" s="1"/>
      <c r="B1918" s="17"/>
      <c r="C1918" s="17"/>
      <c r="D1918" s="17"/>
      <c r="E1918" s="17"/>
      <c r="F1918" s="17"/>
      <c r="G1918" s="4">
        <f t="shared" si="53"/>
        <v>0</v>
      </c>
      <c r="H1918" s="17"/>
      <c r="I1918" s="4">
        <f t="shared" si="54"/>
        <v>349526.07999999996</v>
      </c>
      <c r="J1918" s="32" t="str">
        <f t="shared" si="55"/>
        <v/>
      </c>
      <c r="K1918" s="79"/>
      <c r="L1918" s="79"/>
      <c r="M1918" s="2"/>
      <c r="N1918" s="5"/>
      <c r="O1918" s="3"/>
      <c r="P1918" s="6"/>
      <c r="Q1918" s="6"/>
    </row>
    <row r="1919" spans="1:17" ht="15" customHeight="1" x14ac:dyDescent="0.25">
      <c r="A1919" s="1"/>
      <c r="B1919" s="17"/>
      <c r="C1919" s="17"/>
      <c r="D1919" s="17"/>
      <c r="E1919" s="17"/>
      <c r="F1919" s="17"/>
      <c r="G1919" s="4">
        <f t="shared" si="53"/>
        <v>0</v>
      </c>
      <c r="H1919" s="17"/>
      <c r="I1919" s="4">
        <f t="shared" si="54"/>
        <v>349526.07999999996</v>
      </c>
      <c r="J1919" s="32" t="str">
        <f t="shared" si="55"/>
        <v/>
      </c>
      <c r="K1919" s="79"/>
      <c r="L1919" s="79"/>
      <c r="M1919" s="2"/>
      <c r="N1919" s="5"/>
      <c r="O1919" s="3"/>
      <c r="P1919" s="6"/>
      <c r="Q1919" s="6"/>
    </row>
    <row r="1920" spans="1:17" ht="15" customHeight="1" x14ac:dyDescent="0.25">
      <c r="A1920" s="1"/>
      <c r="B1920" s="17"/>
      <c r="C1920" s="17"/>
      <c r="D1920" s="17"/>
      <c r="E1920" s="17"/>
      <c r="F1920" s="17"/>
      <c r="G1920" s="4">
        <f t="shared" si="53"/>
        <v>0</v>
      </c>
      <c r="H1920" s="17"/>
      <c r="I1920" s="4">
        <f t="shared" si="54"/>
        <v>349526.07999999996</v>
      </c>
      <c r="J1920" s="32" t="str">
        <f t="shared" si="55"/>
        <v/>
      </c>
      <c r="K1920" s="79"/>
      <c r="L1920" s="79"/>
      <c r="M1920" s="2"/>
      <c r="N1920" s="5"/>
      <c r="O1920" s="3"/>
      <c r="P1920" s="6"/>
      <c r="Q1920" s="6"/>
    </row>
    <row r="1921" spans="1:17" ht="15" customHeight="1" x14ac:dyDescent="0.25">
      <c r="A1921" s="1"/>
      <c r="B1921" s="17"/>
      <c r="C1921" s="17"/>
      <c r="D1921" s="17"/>
      <c r="E1921" s="17"/>
      <c r="F1921" s="17"/>
      <c r="G1921" s="4">
        <f t="shared" si="53"/>
        <v>0</v>
      </c>
      <c r="H1921" s="17"/>
      <c r="I1921" s="4">
        <f t="shared" si="54"/>
        <v>349526.07999999996</v>
      </c>
      <c r="J1921" s="32" t="str">
        <f t="shared" si="55"/>
        <v/>
      </c>
      <c r="K1921" s="79"/>
      <c r="L1921" s="79"/>
      <c r="M1921" s="2"/>
      <c r="N1921" s="5"/>
      <c r="O1921" s="3"/>
      <c r="P1921" s="6"/>
      <c r="Q1921" s="6"/>
    </row>
    <row r="1922" spans="1:17" ht="15" customHeight="1" x14ac:dyDescent="0.25">
      <c r="A1922" s="1"/>
      <c r="B1922" s="17"/>
      <c r="C1922" s="17"/>
      <c r="D1922" s="17"/>
      <c r="E1922" s="17"/>
      <c r="F1922" s="17"/>
      <c r="G1922" s="4">
        <f t="shared" si="53"/>
        <v>0</v>
      </c>
      <c r="H1922" s="17"/>
      <c r="I1922" s="4">
        <f t="shared" si="54"/>
        <v>349526.07999999996</v>
      </c>
      <c r="J1922" s="32" t="str">
        <f t="shared" si="55"/>
        <v/>
      </c>
      <c r="K1922" s="79"/>
      <c r="L1922" s="79"/>
      <c r="M1922" s="2"/>
      <c r="N1922" s="5"/>
      <c r="O1922" s="3"/>
      <c r="P1922" s="6"/>
      <c r="Q1922" s="6"/>
    </row>
    <row r="1923" spans="1:17" ht="15" customHeight="1" x14ac:dyDescent="0.25">
      <c r="A1923" s="1"/>
      <c r="B1923" s="17"/>
      <c r="C1923" s="17"/>
      <c r="D1923" s="17"/>
      <c r="E1923" s="17"/>
      <c r="F1923" s="17"/>
      <c r="G1923" s="4">
        <f t="shared" ref="G1923:G1986" si="56">SUM($B1923:$F1923)</f>
        <v>0</v>
      </c>
      <c r="H1923" s="17"/>
      <c r="I1923" s="4">
        <f t="shared" si="54"/>
        <v>349526.07999999996</v>
      </c>
      <c r="J1923" s="32" t="str">
        <f t="shared" si="55"/>
        <v/>
      </c>
      <c r="K1923" s="79"/>
      <c r="L1923" s="79"/>
      <c r="M1923" s="2"/>
      <c r="N1923" s="5"/>
      <c r="O1923" s="3"/>
      <c r="P1923" s="6"/>
      <c r="Q1923" s="6"/>
    </row>
    <row r="1924" spans="1:17" ht="15" customHeight="1" x14ac:dyDescent="0.25">
      <c r="A1924" s="1"/>
      <c r="B1924" s="17"/>
      <c r="C1924" s="17"/>
      <c r="D1924" s="17"/>
      <c r="E1924" s="17"/>
      <c r="F1924" s="17"/>
      <c r="G1924" s="4">
        <f t="shared" si="56"/>
        <v>0</v>
      </c>
      <c r="H1924" s="17"/>
      <c r="I1924" s="4">
        <f t="shared" si="54"/>
        <v>349526.07999999996</v>
      </c>
      <c r="J1924" s="32" t="str">
        <f t="shared" si="55"/>
        <v/>
      </c>
      <c r="K1924" s="79"/>
      <c r="L1924" s="79"/>
      <c r="M1924" s="2"/>
      <c r="N1924" s="5"/>
      <c r="O1924" s="3"/>
      <c r="P1924" s="6"/>
      <c r="Q1924" s="6"/>
    </row>
    <row r="1925" spans="1:17" ht="15" customHeight="1" x14ac:dyDescent="0.25">
      <c r="A1925" s="1"/>
      <c r="B1925" s="17"/>
      <c r="C1925" s="17"/>
      <c r="D1925" s="17"/>
      <c r="E1925" s="17"/>
      <c r="F1925" s="17"/>
      <c r="G1925" s="4">
        <f t="shared" si="56"/>
        <v>0</v>
      </c>
      <c r="H1925" s="17"/>
      <c r="I1925" s="4">
        <f t="shared" si="54"/>
        <v>349526.07999999996</v>
      </c>
      <c r="J1925" s="32" t="str">
        <f t="shared" si="55"/>
        <v/>
      </c>
      <c r="K1925" s="79"/>
      <c r="L1925" s="79"/>
      <c r="M1925" s="2"/>
      <c r="N1925" s="5"/>
      <c r="O1925" s="3"/>
      <c r="P1925" s="6"/>
      <c r="Q1925" s="6"/>
    </row>
    <row r="1926" spans="1:17" ht="15" customHeight="1" x14ac:dyDescent="0.25">
      <c r="A1926" s="1"/>
      <c r="B1926" s="17"/>
      <c r="C1926" s="17"/>
      <c r="D1926" s="17"/>
      <c r="E1926" s="17"/>
      <c r="F1926" s="17"/>
      <c r="G1926" s="4">
        <f t="shared" si="56"/>
        <v>0</v>
      </c>
      <c r="H1926" s="17"/>
      <c r="I1926" s="4">
        <f t="shared" si="54"/>
        <v>349526.07999999996</v>
      </c>
      <c r="J1926" s="32" t="str">
        <f t="shared" si="55"/>
        <v/>
      </c>
      <c r="K1926" s="79"/>
      <c r="L1926" s="79"/>
      <c r="M1926" s="2"/>
      <c r="N1926" s="5"/>
      <c r="O1926" s="3"/>
      <c r="P1926" s="6"/>
      <c r="Q1926" s="6"/>
    </row>
    <row r="1927" spans="1:17" ht="15" customHeight="1" x14ac:dyDescent="0.25">
      <c r="A1927" s="1"/>
      <c r="B1927" s="17"/>
      <c r="C1927" s="17"/>
      <c r="D1927" s="17"/>
      <c r="E1927" s="17"/>
      <c r="F1927" s="17"/>
      <c r="G1927" s="4">
        <f t="shared" si="56"/>
        <v>0</v>
      </c>
      <c r="H1927" s="17"/>
      <c r="I1927" s="4">
        <f t="shared" si="54"/>
        <v>349526.07999999996</v>
      </c>
      <c r="J1927" s="32" t="str">
        <f t="shared" si="55"/>
        <v/>
      </c>
      <c r="K1927" s="79"/>
      <c r="L1927" s="79"/>
      <c r="M1927" s="2"/>
      <c r="N1927" s="5"/>
      <c r="O1927" s="3"/>
      <c r="P1927" s="6"/>
      <c r="Q1927" s="6"/>
    </row>
    <row r="1928" spans="1:17" ht="15" customHeight="1" x14ac:dyDescent="0.25">
      <c r="A1928" s="1"/>
      <c r="B1928" s="17"/>
      <c r="C1928" s="17"/>
      <c r="D1928" s="17"/>
      <c r="E1928" s="17"/>
      <c r="F1928" s="17"/>
      <c r="G1928" s="4">
        <f t="shared" si="56"/>
        <v>0</v>
      </c>
      <c r="H1928" s="17"/>
      <c r="I1928" s="4">
        <f t="shared" si="54"/>
        <v>349526.07999999996</v>
      </c>
      <c r="J1928" s="32" t="str">
        <f t="shared" si="55"/>
        <v/>
      </c>
      <c r="K1928" s="79"/>
      <c r="L1928" s="79"/>
      <c r="M1928" s="2"/>
      <c r="N1928" s="5"/>
      <c r="O1928" s="3"/>
      <c r="P1928" s="6"/>
      <c r="Q1928" s="6"/>
    </row>
    <row r="1929" spans="1:17" ht="15" customHeight="1" x14ac:dyDescent="0.25">
      <c r="A1929" s="1"/>
      <c r="B1929" s="17"/>
      <c r="C1929" s="17"/>
      <c r="D1929" s="17"/>
      <c r="E1929" s="17"/>
      <c r="F1929" s="17"/>
      <c r="G1929" s="4">
        <f t="shared" si="56"/>
        <v>0</v>
      </c>
      <c r="H1929" s="17"/>
      <c r="I1929" s="4">
        <f t="shared" si="54"/>
        <v>349526.07999999996</v>
      </c>
      <c r="J1929" s="32" t="str">
        <f t="shared" si="55"/>
        <v/>
      </c>
      <c r="K1929" s="79"/>
      <c r="L1929" s="79"/>
      <c r="M1929" s="2"/>
      <c r="N1929" s="5"/>
      <c r="O1929" s="3"/>
      <c r="P1929" s="6"/>
      <c r="Q1929" s="6"/>
    </row>
    <row r="1930" spans="1:17" ht="15" customHeight="1" x14ac:dyDescent="0.25">
      <c r="A1930" s="1"/>
      <c r="B1930" s="17"/>
      <c r="C1930" s="17"/>
      <c r="D1930" s="17"/>
      <c r="E1930" s="17"/>
      <c r="F1930" s="17"/>
      <c r="G1930" s="4">
        <f t="shared" si="56"/>
        <v>0</v>
      </c>
      <c r="H1930" s="17"/>
      <c r="I1930" s="4">
        <f t="shared" si="54"/>
        <v>349526.07999999996</v>
      </c>
      <c r="J1930" s="32" t="str">
        <f t="shared" si="55"/>
        <v/>
      </c>
      <c r="K1930" s="79"/>
      <c r="L1930" s="79"/>
      <c r="M1930" s="2"/>
      <c r="N1930" s="5"/>
      <c r="O1930" s="3"/>
      <c r="P1930" s="6"/>
      <c r="Q1930" s="6"/>
    </row>
    <row r="1931" spans="1:17" ht="15" customHeight="1" x14ac:dyDescent="0.25">
      <c r="A1931" s="1"/>
      <c r="B1931" s="17"/>
      <c r="C1931" s="17"/>
      <c r="D1931" s="17"/>
      <c r="E1931" s="17"/>
      <c r="F1931" s="17"/>
      <c r="G1931" s="4">
        <f t="shared" si="56"/>
        <v>0</v>
      </c>
      <c r="H1931" s="17"/>
      <c r="I1931" s="4">
        <f t="shared" si="54"/>
        <v>349526.07999999996</v>
      </c>
      <c r="J1931" s="32" t="str">
        <f t="shared" si="55"/>
        <v/>
      </c>
      <c r="K1931" s="79"/>
      <c r="L1931" s="79"/>
      <c r="M1931" s="2"/>
      <c r="N1931" s="5"/>
      <c r="O1931" s="3"/>
      <c r="P1931" s="6"/>
      <c r="Q1931" s="6"/>
    </row>
    <row r="1932" spans="1:17" ht="15" customHeight="1" x14ac:dyDescent="0.25">
      <c r="A1932" s="1"/>
      <c r="B1932" s="17"/>
      <c r="C1932" s="17"/>
      <c r="D1932" s="17"/>
      <c r="E1932" s="17"/>
      <c r="F1932" s="17"/>
      <c r="G1932" s="4">
        <f t="shared" si="56"/>
        <v>0</v>
      </c>
      <c r="H1932" s="17"/>
      <c r="I1932" s="4">
        <f t="shared" si="54"/>
        <v>349526.07999999996</v>
      </c>
      <c r="J1932" s="32" t="str">
        <f t="shared" si="55"/>
        <v/>
      </c>
      <c r="K1932" s="79"/>
      <c r="L1932" s="79"/>
      <c r="M1932" s="2"/>
      <c r="N1932" s="5"/>
      <c r="O1932" s="3"/>
      <c r="P1932" s="6"/>
      <c r="Q1932" s="6"/>
    </row>
    <row r="1933" spans="1:17" ht="15" customHeight="1" x14ac:dyDescent="0.25">
      <c r="A1933" s="1"/>
      <c r="B1933" s="17"/>
      <c r="C1933" s="17"/>
      <c r="D1933" s="17"/>
      <c r="E1933" s="17"/>
      <c r="F1933" s="17"/>
      <c r="G1933" s="4">
        <f t="shared" si="56"/>
        <v>0</v>
      </c>
      <c r="H1933" s="17"/>
      <c r="I1933" s="4">
        <f t="shared" si="54"/>
        <v>349526.07999999996</v>
      </c>
      <c r="J1933" s="32" t="str">
        <f t="shared" si="55"/>
        <v/>
      </c>
      <c r="K1933" s="79"/>
      <c r="L1933" s="79"/>
      <c r="M1933" s="2"/>
      <c r="N1933" s="5"/>
      <c r="O1933" s="3"/>
      <c r="P1933" s="6"/>
      <c r="Q1933" s="6"/>
    </row>
    <row r="1934" spans="1:17" ht="15" customHeight="1" x14ac:dyDescent="0.25">
      <c r="A1934" s="1"/>
      <c r="B1934" s="17"/>
      <c r="C1934" s="17"/>
      <c r="D1934" s="17"/>
      <c r="E1934" s="17"/>
      <c r="F1934" s="17"/>
      <c r="G1934" s="4">
        <f t="shared" si="56"/>
        <v>0</v>
      </c>
      <c r="H1934" s="17"/>
      <c r="I1934" s="4">
        <f t="shared" si="54"/>
        <v>349526.07999999996</v>
      </c>
      <c r="J1934" s="32" t="str">
        <f t="shared" si="55"/>
        <v/>
      </c>
      <c r="K1934" s="79"/>
      <c r="L1934" s="79"/>
      <c r="M1934" s="2"/>
      <c r="N1934" s="5"/>
      <c r="O1934" s="3"/>
      <c r="P1934" s="6"/>
      <c r="Q1934" s="6"/>
    </row>
    <row r="1935" spans="1:17" ht="15" customHeight="1" x14ac:dyDescent="0.25">
      <c r="A1935" s="1"/>
      <c r="B1935" s="17"/>
      <c r="C1935" s="17"/>
      <c r="D1935" s="17"/>
      <c r="E1935" s="17"/>
      <c r="F1935" s="17"/>
      <c r="G1935" s="4">
        <f t="shared" si="56"/>
        <v>0</v>
      </c>
      <c r="H1935" s="17"/>
      <c r="I1935" s="4">
        <f t="shared" si="54"/>
        <v>349526.07999999996</v>
      </c>
      <c r="J1935" s="32" t="str">
        <f t="shared" si="55"/>
        <v/>
      </c>
      <c r="K1935" s="79"/>
      <c r="L1935" s="79"/>
      <c r="M1935" s="2"/>
      <c r="N1935" s="5"/>
      <c r="O1935" s="3"/>
      <c r="P1935" s="6"/>
      <c r="Q1935" s="6"/>
    </row>
    <row r="1936" spans="1:17" ht="15" customHeight="1" x14ac:dyDescent="0.25">
      <c r="A1936" s="1"/>
      <c r="B1936" s="17"/>
      <c r="C1936" s="17"/>
      <c r="D1936" s="17"/>
      <c r="E1936" s="17"/>
      <c r="F1936" s="17"/>
      <c r="G1936" s="4">
        <f t="shared" si="56"/>
        <v>0</v>
      </c>
      <c r="H1936" s="17"/>
      <c r="I1936" s="4">
        <f t="shared" si="54"/>
        <v>349526.07999999996</v>
      </c>
      <c r="J1936" s="32" t="str">
        <f t="shared" si="55"/>
        <v/>
      </c>
      <c r="K1936" s="79"/>
      <c r="L1936" s="79"/>
      <c r="M1936" s="2"/>
      <c r="N1936" s="5"/>
      <c r="O1936" s="3"/>
      <c r="P1936" s="6"/>
      <c r="Q1936" s="6"/>
    </row>
    <row r="1937" spans="1:17" ht="15" customHeight="1" x14ac:dyDescent="0.25">
      <c r="A1937" s="1"/>
      <c r="B1937" s="17"/>
      <c r="C1937" s="17"/>
      <c r="D1937" s="17"/>
      <c r="E1937" s="17"/>
      <c r="F1937" s="17"/>
      <c r="G1937" s="4">
        <f t="shared" si="56"/>
        <v>0</v>
      </c>
      <c r="H1937" s="17"/>
      <c r="I1937" s="4">
        <f t="shared" si="54"/>
        <v>349526.07999999996</v>
      </c>
      <c r="J1937" s="32" t="str">
        <f t="shared" si="55"/>
        <v/>
      </c>
      <c r="K1937" s="79"/>
      <c r="L1937" s="79"/>
      <c r="M1937" s="2"/>
      <c r="N1937" s="5"/>
      <c r="O1937" s="3"/>
      <c r="P1937" s="6"/>
      <c r="Q1937" s="6"/>
    </row>
    <row r="1938" spans="1:17" ht="15" customHeight="1" x14ac:dyDescent="0.25">
      <c r="A1938" s="1"/>
      <c r="B1938" s="17"/>
      <c r="C1938" s="17"/>
      <c r="D1938" s="17"/>
      <c r="E1938" s="17"/>
      <c r="F1938" s="17"/>
      <c r="G1938" s="4">
        <f t="shared" si="56"/>
        <v>0</v>
      </c>
      <c r="H1938" s="17"/>
      <c r="I1938" s="4">
        <f t="shared" si="54"/>
        <v>349526.07999999996</v>
      </c>
      <c r="J1938" s="32" t="str">
        <f t="shared" si="55"/>
        <v/>
      </c>
      <c r="K1938" s="79"/>
      <c r="L1938" s="79"/>
      <c r="M1938" s="2"/>
      <c r="N1938" s="5"/>
      <c r="O1938" s="3"/>
      <c r="P1938" s="6"/>
      <c r="Q1938" s="6"/>
    </row>
    <row r="1939" spans="1:17" ht="15" customHeight="1" x14ac:dyDescent="0.25">
      <c r="A1939" s="1"/>
      <c r="B1939" s="17"/>
      <c r="C1939" s="17"/>
      <c r="D1939" s="17"/>
      <c r="E1939" s="17"/>
      <c r="F1939" s="17"/>
      <c r="G1939" s="4">
        <f t="shared" si="56"/>
        <v>0</v>
      </c>
      <c r="H1939" s="17"/>
      <c r="I1939" s="4">
        <f t="shared" si="54"/>
        <v>349526.07999999996</v>
      </c>
      <c r="J1939" s="32" t="str">
        <f t="shared" si="55"/>
        <v/>
      </c>
      <c r="K1939" s="79"/>
      <c r="L1939" s="79"/>
      <c r="M1939" s="2"/>
      <c r="N1939" s="5"/>
      <c r="O1939" s="3"/>
      <c r="P1939" s="6"/>
      <c r="Q1939" s="6"/>
    </row>
    <row r="1940" spans="1:17" ht="15" customHeight="1" x14ac:dyDescent="0.25">
      <c r="A1940" s="1"/>
      <c r="B1940" s="17"/>
      <c r="C1940" s="17"/>
      <c r="D1940" s="17"/>
      <c r="E1940" s="17"/>
      <c r="F1940" s="17"/>
      <c r="G1940" s="4">
        <f t="shared" si="56"/>
        <v>0</v>
      </c>
      <c r="H1940" s="17"/>
      <c r="I1940" s="4">
        <f t="shared" si="54"/>
        <v>349526.07999999996</v>
      </c>
      <c r="J1940" s="32" t="str">
        <f t="shared" si="55"/>
        <v/>
      </c>
      <c r="K1940" s="79"/>
      <c r="L1940" s="79"/>
      <c r="M1940" s="2"/>
      <c r="N1940" s="5"/>
      <c r="O1940" s="3"/>
      <c r="P1940" s="6"/>
      <c r="Q1940" s="6"/>
    </row>
    <row r="1941" spans="1:17" ht="15" customHeight="1" x14ac:dyDescent="0.25">
      <c r="A1941" s="1"/>
      <c r="B1941" s="17"/>
      <c r="C1941" s="17"/>
      <c r="D1941" s="17"/>
      <c r="E1941" s="17"/>
      <c r="F1941" s="17"/>
      <c r="G1941" s="4">
        <f t="shared" si="56"/>
        <v>0</v>
      </c>
      <c r="H1941" s="17"/>
      <c r="I1941" s="4">
        <f t="shared" si="54"/>
        <v>349526.07999999996</v>
      </c>
      <c r="J1941" s="32" t="str">
        <f t="shared" si="55"/>
        <v/>
      </c>
      <c r="K1941" s="79"/>
      <c r="L1941" s="79"/>
      <c r="M1941" s="2"/>
      <c r="N1941" s="5"/>
      <c r="O1941" s="3"/>
      <c r="P1941" s="6"/>
      <c r="Q1941" s="6"/>
    </row>
    <row r="1942" spans="1:17" ht="15" customHeight="1" x14ac:dyDescent="0.25">
      <c r="A1942" s="1"/>
      <c r="B1942" s="17"/>
      <c r="C1942" s="17"/>
      <c r="D1942" s="17"/>
      <c r="E1942" s="17"/>
      <c r="F1942" s="17"/>
      <c r="G1942" s="4">
        <f t="shared" si="56"/>
        <v>0</v>
      </c>
      <c r="H1942" s="17"/>
      <c r="I1942" s="4">
        <f t="shared" si="54"/>
        <v>349526.07999999996</v>
      </c>
      <c r="J1942" s="32" t="str">
        <f t="shared" si="55"/>
        <v/>
      </c>
      <c r="K1942" s="79"/>
      <c r="L1942" s="79"/>
      <c r="M1942" s="2"/>
      <c r="N1942" s="5"/>
      <c r="O1942" s="3"/>
      <c r="P1942" s="6"/>
      <c r="Q1942" s="6"/>
    </row>
    <row r="1943" spans="1:17" ht="15" customHeight="1" x14ac:dyDescent="0.25">
      <c r="A1943" s="1"/>
      <c r="B1943" s="17"/>
      <c r="C1943" s="17"/>
      <c r="D1943" s="17"/>
      <c r="E1943" s="17"/>
      <c r="F1943" s="17"/>
      <c r="G1943" s="4">
        <f t="shared" si="56"/>
        <v>0</v>
      </c>
      <c r="H1943" s="17"/>
      <c r="I1943" s="4">
        <f t="shared" si="54"/>
        <v>349526.07999999996</v>
      </c>
      <c r="J1943" s="32" t="str">
        <f t="shared" si="55"/>
        <v/>
      </c>
      <c r="K1943" s="79"/>
      <c r="L1943" s="79"/>
      <c r="M1943" s="2"/>
      <c r="N1943" s="5"/>
      <c r="O1943" s="3"/>
      <c r="P1943" s="6"/>
      <c r="Q1943" s="6"/>
    </row>
    <row r="1944" spans="1:17" ht="15" customHeight="1" x14ac:dyDescent="0.25">
      <c r="A1944" s="1"/>
      <c r="B1944" s="17"/>
      <c r="C1944" s="17"/>
      <c r="D1944" s="17"/>
      <c r="E1944" s="17"/>
      <c r="F1944" s="17"/>
      <c r="G1944" s="4">
        <f t="shared" si="56"/>
        <v>0</v>
      </c>
      <c r="H1944" s="17"/>
      <c r="I1944" s="4">
        <f t="shared" si="54"/>
        <v>349526.07999999996</v>
      </c>
      <c r="J1944" s="32" t="str">
        <f t="shared" si="55"/>
        <v/>
      </c>
      <c r="K1944" s="79"/>
      <c r="L1944" s="79"/>
      <c r="M1944" s="2"/>
      <c r="N1944" s="5"/>
      <c r="O1944" s="3"/>
      <c r="P1944" s="6"/>
      <c r="Q1944" s="6"/>
    </row>
    <row r="1945" spans="1:17" ht="15" customHeight="1" x14ac:dyDescent="0.25">
      <c r="A1945" s="1"/>
      <c r="B1945" s="17"/>
      <c r="C1945" s="17"/>
      <c r="D1945" s="17"/>
      <c r="E1945" s="17"/>
      <c r="F1945" s="17"/>
      <c r="G1945" s="4">
        <f t="shared" si="56"/>
        <v>0</v>
      </c>
      <c r="H1945" s="17"/>
      <c r="I1945" s="4">
        <f t="shared" si="54"/>
        <v>349526.07999999996</v>
      </c>
      <c r="J1945" s="32" t="str">
        <f t="shared" si="55"/>
        <v/>
      </c>
      <c r="K1945" s="79"/>
      <c r="L1945" s="79"/>
      <c r="M1945" s="2"/>
      <c r="N1945" s="5"/>
      <c r="O1945" s="3"/>
      <c r="P1945" s="6"/>
      <c r="Q1945" s="6"/>
    </row>
    <row r="1946" spans="1:17" ht="15" customHeight="1" x14ac:dyDescent="0.25">
      <c r="A1946" s="1"/>
      <c r="B1946" s="17"/>
      <c r="C1946" s="17"/>
      <c r="D1946" s="17"/>
      <c r="E1946" s="17"/>
      <c r="F1946" s="17"/>
      <c r="G1946" s="4">
        <f t="shared" si="56"/>
        <v>0</v>
      </c>
      <c r="H1946" s="17"/>
      <c r="I1946" s="4">
        <f t="shared" si="54"/>
        <v>349526.07999999996</v>
      </c>
      <c r="J1946" s="32" t="str">
        <f t="shared" si="55"/>
        <v/>
      </c>
      <c r="K1946" s="79"/>
      <c r="L1946" s="79"/>
      <c r="M1946" s="2"/>
      <c r="N1946" s="5"/>
      <c r="O1946" s="3"/>
      <c r="P1946" s="6"/>
      <c r="Q1946" s="6"/>
    </row>
    <row r="1947" spans="1:17" ht="15" customHeight="1" x14ac:dyDescent="0.25">
      <c r="A1947" s="1"/>
      <c r="B1947" s="17"/>
      <c r="C1947" s="17"/>
      <c r="D1947" s="17"/>
      <c r="E1947" s="17"/>
      <c r="F1947" s="17"/>
      <c r="G1947" s="4">
        <f t="shared" si="56"/>
        <v>0</v>
      </c>
      <c r="H1947" s="17"/>
      <c r="I1947" s="4">
        <f t="shared" si="54"/>
        <v>349526.07999999996</v>
      </c>
      <c r="J1947" s="32" t="str">
        <f t="shared" si="55"/>
        <v/>
      </c>
      <c r="K1947" s="79"/>
      <c r="L1947" s="79"/>
      <c r="M1947" s="2"/>
      <c r="N1947" s="5"/>
      <c r="O1947" s="3"/>
      <c r="P1947" s="6"/>
      <c r="Q1947" s="6"/>
    </row>
    <row r="1948" spans="1:17" ht="15" customHeight="1" x14ac:dyDescent="0.25">
      <c r="A1948" s="1"/>
      <c r="B1948" s="17"/>
      <c r="C1948" s="17"/>
      <c r="D1948" s="17"/>
      <c r="E1948" s="17"/>
      <c r="F1948" s="17"/>
      <c r="G1948" s="4">
        <f t="shared" si="56"/>
        <v>0</v>
      </c>
      <c r="H1948" s="17"/>
      <c r="I1948" s="4">
        <f t="shared" si="54"/>
        <v>349526.07999999996</v>
      </c>
      <c r="J1948" s="32" t="str">
        <f t="shared" si="55"/>
        <v/>
      </c>
      <c r="K1948" s="79"/>
      <c r="L1948" s="79"/>
      <c r="M1948" s="2"/>
      <c r="N1948" s="5"/>
      <c r="O1948" s="3"/>
      <c r="P1948" s="6"/>
      <c r="Q1948" s="6"/>
    </row>
    <row r="1949" spans="1:17" ht="15" customHeight="1" x14ac:dyDescent="0.25">
      <c r="A1949" s="1"/>
      <c r="B1949" s="17"/>
      <c r="C1949" s="17"/>
      <c r="D1949" s="17"/>
      <c r="E1949" s="17"/>
      <c r="F1949" s="17"/>
      <c r="G1949" s="4">
        <f t="shared" si="56"/>
        <v>0</v>
      </c>
      <c r="H1949" s="17"/>
      <c r="I1949" s="4">
        <f t="shared" si="54"/>
        <v>349526.07999999996</v>
      </c>
      <c r="J1949" s="32" t="str">
        <f t="shared" si="55"/>
        <v/>
      </c>
      <c r="K1949" s="79"/>
      <c r="L1949" s="79"/>
      <c r="M1949" s="2"/>
      <c r="N1949" s="5"/>
      <c r="O1949" s="3"/>
      <c r="P1949" s="6"/>
      <c r="Q1949" s="6"/>
    </row>
    <row r="1950" spans="1:17" ht="15" customHeight="1" x14ac:dyDescent="0.25">
      <c r="A1950" s="1"/>
      <c r="B1950" s="17"/>
      <c r="C1950" s="17"/>
      <c r="D1950" s="17"/>
      <c r="E1950" s="17"/>
      <c r="F1950" s="17"/>
      <c r="G1950" s="4">
        <f t="shared" si="56"/>
        <v>0</v>
      </c>
      <c r="H1950" s="17"/>
      <c r="I1950" s="4">
        <f t="shared" si="54"/>
        <v>349526.07999999996</v>
      </c>
      <c r="J1950" s="32" t="str">
        <f t="shared" si="55"/>
        <v/>
      </c>
      <c r="K1950" s="79"/>
      <c r="L1950" s="79"/>
      <c r="M1950" s="2"/>
      <c r="N1950" s="5"/>
      <c r="O1950" s="3"/>
      <c r="P1950" s="6"/>
      <c r="Q1950" s="6"/>
    </row>
    <row r="1951" spans="1:17" ht="15" customHeight="1" x14ac:dyDescent="0.25">
      <c r="A1951" s="1"/>
      <c r="B1951" s="17"/>
      <c r="C1951" s="17"/>
      <c r="D1951" s="17"/>
      <c r="E1951" s="17"/>
      <c r="F1951" s="17"/>
      <c r="G1951" s="4">
        <f t="shared" si="56"/>
        <v>0</v>
      </c>
      <c r="H1951" s="17"/>
      <c r="I1951" s="4">
        <f t="shared" si="54"/>
        <v>349526.07999999996</v>
      </c>
      <c r="J1951" s="32" t="str">
        <f t="shared" si="55"/>
        <v/>
      </c>
      <c r="K1951" s="79"/>
      <c r="L1951" s="79"/>
      <c r="M1951" s="2"/>
      <c r="N1951" s="5"/>
      <c r="O1951" s="3"/>
      <c r="P1951" s="6"/>
      <c r="Q1951" s="6"/>
    </row>
    <row r="1952" spans="1:17" ht="15" customHeight="1" x14ac:dyDescent="0.25">
      <c r="A1952" s="1"/>
      <c r="B1952" s="17"/>
      <c r="C1952" s="17"/>
      <c r="D1952" s="17"/>
      <c r="E1952" s="17"/>
      <c r="F1952" s="17"/>
      <c r="G1952" s="4">
        <f t="shared" si="56"/>
        <v>0</v>
      </c>
      <c r="H1952" s="17"/>
      <c r="I1952" s="4">
        <f t="shared" si="54"/>
        <v>349526.07999999996</v>
      </c>
      <c r="J1952" s="32" t="str">
        <f t="shared" si="55"/>
        <v/>
      </c>
      <c r="K1952" s="79"/>
      <c r="L1952" s="79"/>
      <c r="M1952" s="2"/>
      <c r="N1952" s="5"/>
      <c r="O1952" s="3"/>
      <c r="P1952" s="6"/>
      <c r="Q1952" s="6"/>
    </row>
    <row r="1953" spans="1:17" ht="15" customHeight="1" x14ac:dyDescent="0.25">
      <c r="A1953" s="1"/>
      <c r="B1953" s="17"/>
      <c r="C1953" s="17"/>
      <c r="D1953" s="17"/>
      <c r="E1953" s="17"/>
      <c r="F1953" s="17"/>
      <c r="G1953" s="4">
        <f t="shared" si="56"/>
        <v>0</v>
      </c>
      <c r="H1953" s="17"/>
      <c r="I1953" s="4">
        <f t="shared" si="54"/>
        <v>349526.07999999996</v>
      </c>
      <c r="J1953" s="32" t="str">
        <f t="shared" si="55"/>
        <v/>
      </c>
      <c r="K1953" s="79"/>
      <c r="L1953" s="79"/>
      <c r="M1953" s="2"/>
      <c r="N1953" s="5"/>
      <c r="O1953" s="3"/>
      <c r="P1953" s="6"/>
      <c r="Q1953" s="6"/>
    </row>
    <row r="1954" spans="1:17" ht="15" customHeight="1" x14ac:dyDescent="0.25">
      <c r="A1954" s="1"/>
      <c r="B1954" s="17"/>
      <c r="C1954" s="17"/>
      <c r="D1954" s="17"/>
      <c r="E1954" s="17"/>
      <c r="F1954" s="17"/>
      <c r="G1954" s="4">
        <f t="shared" si="56"/>
        <v>0</v>
      </c>
      <c r="H1954" s="17"/>
      <c r="I1954" s="4">
        <f t="shared" si="54"/>
        <v>349526.07999999996</v>
      </c>
      <c r="J1954" s="32" t="str">
        <f t="shared" si="55"/>
        <v/>
      </c>
      <c r="K1954" s="79"/>
      <c r="L1954" s="79"/>
      <c r="M1954" s="2"/>
      <c r="N1954" s="5"/>
      <c r="O1954" s="3"/>
      <c r="P1954" s="6"/>
      <c r="Q1954" s="6"/>
    </row>
    <row r="1955" spans="1:17" ht="15" customHeight="1" x14ac:dyDescent="0.25">
      <c r="A1955" s="1"/>
      <c r="B1955" s="17"/>
      <c r="C1955" s="17"/>
      <c r="D1955" s="17"/>
      <c r="E1955" s="17"/>
      <c r="F1955" s="17"/>
      <c r="G1955" s="4">
        <f t="shared" si="56"/>
        <v>0</v>
      </c>
      <c r="H1955" s="17"/>
      <c r="I1955" s="4">
        <f t="shared" si="54"/>
        <v>349526.07999999996</v>
      </c>
      <c r="J1955" s="32" t="str">
        <f t="shared" si="55"/>
        <v/>
      </c>
      <c r="K1955" s="79"/>
      <c r="L1955" s="79"/>
      <c r="M1955" s="2"/>
      <c r="N1955" s="5"/>
      <c r="O1955" s="3"/>
      <c r="P1955" s="6"/>
      <c r="Q1955" s="6"/>
    </row>
    <row r="1956" spans="1:17" ht="15" customHeight="1" x14ac:dyDescent="0.25">
      <c r="A1956" s="1"/>
      <c r="B1956" s="17"/>
      <c r="C1956" s="17"/>
      <c r="D1956" s="17"/>
      <c r="E1956" s="17"/>
      <c r="F1956" s="17"/>
      <c r="G1956" s="4">
        <f t="shared" si="56"/>
        <v>0</v>
      </c>
      <c r="H1956" s="17"/>
      <c r="I1956" s="4">
        <f t="shared" si="54"/>
        <v>349526.07999999996</v>
      </c>
      <c r="J1956" s="32" t="str">
        <f t="shared" si="55"/>
        <v/>
      </c>
      <c r="K1956" s="79"/>
      <c r="L1956" s="79"/>
      <c r="M1956" s="2"/>
      <c r="N1956" s="5"/>
      <c r="O1956" s="3"/>
      <c r="P1956" s="6"/>
      <c r="Q1956" s="6"/>
    </row>
    <row r="1957" spans="1:17" ht="15" customHeight="1" x14ac:dyDescent="0.25">
      <c r="A1957" s="1"/>
      <c r="B1957" s="17"/>
      <c r="C1957" s="17"/>
      <c r="D1957" s="17"/>
      <c r="E1957" s="17"/>
      <c r="F1957" s="17"/>
      <c r="G1957" s="4">
        <f t="shared" si="56"/>
        <v>0</v>
      </c>
      <c r="H1957" s="17"/>
      <c r="I1957" s="4">
        <f t="shared" si="54"/>
        <v>349526.07999999996</v>
      </c>
      <c r="J1957" s="32" t="str">
        <f t="shared" si="55"/>
        <v/>
      </c>
      <c r="K1957" s="79"/>
      <c r="L1957" s="79"/>
      <c r="M1957" s="2"/>
      <c r="N1957" s="5"/>
      <c r="O1957" s="3"/>
      <c r="P1957" s="6"/>
      <c r="Q1957" s="6"/>
    </row>
    <row r="1958" spans="1:17" ht="15" customHeight="1" x14ac:dyDescent="0.25">
      <c r="A1958" s="1"/>
      <c r="B1958" s="17"/>
      <c r="C1958" s="17"/>
      <c r="D1958" s="17"/>
      <c r="E1958" s="17"/>
      <c r="F1958" s="17"/>
      <c r="G1958" s="4">
        <f t="shared" si="56"/>
        <v>0</v>
      </c>
      <c r="H1958" s="17"/>
      <c r="I1958" s="4">
        <f t="shared" si="54"/>
        <v>349526.07999999996</v>
      </c>
      <c r="J1958" s="32" t="str">
        <f t="shared" si="55"/>
        <v/>
      </c>
      <c r="K1958" s="79"/>
      <c r="L1958" s="79"/>
      <c r="M1958" s="2"/>
      <c r="N1958" s="5"/>
      <c r="O1958" s="3"/>
      <c r="P1958" s="6"/>
      <c r="Q1958" s="6"/>
    </row>
    <row r="1959" spans="1:17" ht="15" customHeight="1" x14ac:dyDescent="0.25">
      <c r="A1959" s="1"/>
      <c r="B1959" s="17"/>
      <c r="C1959" s="17"/>
      <c r="D1959" s="17"/>
      <c r="E1959" s="17"/>
      <c r="F1959" s="17"/>
      <c r="G1959" s="4">
        <f t="shared" si="56"/>
        <v>0</v>
      </c>
      <c r="H1959" s="17"/>
      <c r="I1959" s="4">
        <f t="shared" si="54"/>
        <v>349526.07999999996</v>
      </c>
      <c r="J1959" s="32" t="str">
        <f t="shared" si="55"/>
        <v/>
      </c>
      <c r="K1959" s="79"/>
      <c r="L1959" s="79"/>
      <c r="M1959" s="2"/>
      <c r="N1959" s="5"/>
      <c r="O1959" s="3"/>
      <c r="P1959" s="6"/>
      <c r="Q1959" s="6"/>
    </row>
    <row r="1960" spans="1:17" ht="15" customHeight="1" x14ac:dyDescent="0.25">
      <c r="A1960" s="1"/>
      <c r="B1960" s="17"/>
      <c r="C1960" s="17"/>
      <c r="D1960" s="17"/>
      <c r="E1960" s="17"/>
      <c r="F1960" s="17"/>
      <c r="G1960" s="4">
        <f t="shared" si="56"/>
        <v>0</v>
      </c>
      <c r="H1960" s="17"/>
      <c r="I1960" s="4">
        <f t="shared" si="54"/>
        <v>349526.07999999996</v>
      </c>
      <c r="J1960" s="32" t="str">
        <f t="shared" si="55"/>
        <v/>
      </c>
      <c r="K1960" s="79"/>
      <c r="L1960" s="79"/>
      <c r="M1960" s="2"/>
      <c r="N1960" s="5"/>
      <c r="O1960" s="3"/>
      <c r="P1960" s="6"/>
      <c r="Q1960" s="6"/>
    </row>
    <row r="1961" spans="1:17" ht="15" customHeight="1" x14ac:dyDescent="0.25">
      <c r="A1961" s="1"/>
      <c r="B1961" s="17"/>
      <c r="C1961" s="17"/>
      <c r="D1961" s="17"/>
      <c r="E1961" s="17"/>
      <c r="F1961" s="17"/>
      <c r="G1961" s="4">
        <f t="shared" si="56"/>
        <v>0</v>
      </c>
      <c r="H1961" s="17"/>
      <c r="I1961" s="4">
        <f t="shared" si="54"/>
        <v>349526.07999999996</v>
      </c>
      <c r="J1961" s="32" t="str">
        <f t="shared" si="55"/>
        <v/>
      </c>
      <c r="K1961" s="79"/>
      <c r="L1961" s="79"/>
      <c r="M1961" s="2"/>
      <c r="N1961" s="5"/>
      <c r="O1961" s="3"/>
      <c r="P1961" s="6"/>
      <c r="Q1961" s="6"/>
    </row>
    <row r="1962" spans="1:17" ht="15" customHeight="1" x14ac:dyDescent="0.25">
      <c r="A1962" s="1"/>
      <c r="B1962" s="17"/>
      <c r="C1962" s="17"/>
      <c r="D1962" s="17"/>
      <c r="E1962" s="17"/>
      <c r="F1962" s="17"/>
      <c r="G1962" s="4">
        <f t="shared" si="56"/>
        <v>0</v>
      </c>
      <c r="H1962" s="17"/>
      <c r="I1962" s="4">
        <f t="shared" si="54"/>
        <v>349526.07999999996</v>
      </c>
      <c r="J1962" s="32" t="str">
        <f t="shared" si="55"/>
        <v/>
      </c>
      <c r="K1962" s="79"/>
      <c r="L1962" s="79"/>
      <c r="M1962" s="2"/>
      <c r="N1962" s="5"/>
      <c r="O1962" s="3"/>
      <c r="P1962" s="6"/>
      <c r="Q1962" s="6"/>
    </row>
    <row r="1963" spans="1:17" ht="15" customHeight="1" x14ac:dyDescent="0.25">
      <c r="A1963" s="1"/>
      <c r="B1963" s="17"/>
      <c r="C1963" s="17"/>
      <c r="D1963" s="17"/>
      <c r="E1963" s="17"/>
      <c r="F1963" s="17"/>
      <c r="G1963" s="4">
        <f t="shared" si="56"/>
        <v>0</v>
      </c>
      <c r="H1963" s="17"/>
      <c r="I1963" s="4">
        <f t="shared" si="54"/>
        <v>349526.07999999996</v>
      </c>
      <c r="J1963" s="32" t="str">
        <f t="shared" si="55"/>
        <v/>
      </c>
      <c r="K1963" s="79"/>
      <c r="L1963" s="79"/>
      <c r="M1963" s="2"/>
      <c r="N1963" s="5"/>
      <c r="O1963" s="3"/>
      <c r="P1963" s="6"/>
      <c r="Q1963" s="6"/>
    </row>
    <row r="1964" spans="1:17" ht="15" customHeight="1" x14ac:dyDescent="0.25">
      <c r="A1964" s="1"/>
      <c r="B1964" s="17"/>
      <c r="C1964" s="17"/>
      <c r="D1964" s="17"/>
      <c r="E1964" s="17"/>
      <c r="F1964" s="17"/>
      <c r="G1964" s="4">
        <f t="shared" si="56"/>
        <v>0</v>
      </c>
      <c r="H1964" s="17"/>
      <c r="I1964" s="4">
        <f t="shared" si="54"/>
        <v>349526.07999999996</v>
      </c>
      <c r="J1964" s="32" t="str">
        <f t="shared" si="55"/>
        <v/>
      </c>
      <c r="K1964" s="79"/>
      <c r="L1964" s="79"/>
      <c r="M1964" s="2"/>
      <c r="N1964" s="5"/>
      <c r="O1964" s="3"/>
      <c r="P1964" s="6"/>
      <c r="Q1964" s="6"/>
    </row>
    <row r="1965" spans="1:17" ht="15" customHeight="1" x14ac:dyDescent="0.25">
      <c r="A1965" s="1"/>
      <c r="B1965" s="17"/>
      <c r="C1965" s="17"/>
      <c r="D1965" s="17"/>
      <c r="E1965" s="17"/>
      <c r="F1965" s="17"/>
      <c r="G1965" s="4">
        <f t="shared" si="56"/>
        <v>0</v>
      </c>
      <c r="H1965" s="17"/>
      <c r="I1965" s="4">
        <f t="shared" si="54"/>
        <v>349526.07999999996</v>
      </c>
      <c r="J1965" s="32" t="str">
        <f t="shared" si="55"/>
        <v/>
      </c>
      <c r="K1965" s="79"/>
      <c r="L1965" s="79"/>
      <c r="M1965" s="2"/>
      <c r="N1965" s="5"/>
      <c r="O1965" s="3"/>
      <c r="P1965" s="6"/>
      <c r="Q1965" s="6"/>
    </row>
    <row r="1966" spans="1:17" ht="15" customHeight="1" x14ac:dyDescent="0.25">
      <c r="A1966" s="1"/>
      <c r="B1966" s="17"/>
      <c r="C1966" s="17"/>
      <c r="D1966" s="17"/>
      <c r="E1966" s="17"/>
      <c r="F1966" s="17"/>
      <c r="G1966" s="4">
        <f t="shared" si="56"/>
        <v>0</v>
      </c>
      <c r="H1966" s="17"/>
      <c r="I1966" s="4">
        <f t="shared" si="54"/>
        <v>349526.07999999996</v>
      </c>
      <c r="J1966" s="32" t="str">
        <f t="shared" si="55"/>
        <v/>
      </c>
      <c r="K1966" s="79"/>
      <c r="L1966" s="79"/>
      <c r="M1966" s="2"/>
      <c r="N1966" s="5"/>
      <c r="O1966" s="3"/>
      <c r="P1966" s="6"/>
      <c r="Q1966" s="6"/>
    </row>
    <row r="1967" spans="1:17" ht="15" customHeight="1" x14ac:dyDescent="0.25">
      <c r="A1967" s="1"/>
      <c r="B1967" s="17"/>
      <c r="C1967" s="17"/>
      <c r="D1967" s="17"/>
      <c r="E1967" s="17"/>
      <c r="F1967" s="17"/>
      <c r="G1967" s="4">
        <f t="shared" si="56"/>
        <v>0</v>
      </c>
      <c r="H1967" s="17"/>
      <c r="I1967" s="4">
        <f t="shared" si="54"/>
        <v>349526.07999999996</v>
      </c>
      <c r="J1967" s="32" t="str">
        <f t="shared" si="55"/>
        <v/>
      </c>
      <c r="K1967" s="79"/>
      <c r="L1967" s="79"/>
      <c r="M1967" s="2"/>
      <c r="N1967" s="5"/>
      <c r="O1967" s="3"/>
      <c r="P1967" s="6"/>
      <c r="Q1967" s="6"/>
    </row>
    <row r="1968" spans="1:17" ht="15" customHeight="1" x14ac:dyDescent="0.25">
      <c r="A1968" s="1"/>
      <c r="B1968" s="17"/>
      <c r="C1968" s="17"/>
      <c r="D1968" s="17"/>
      <c r="E1968" s="17"/>
      <c r="F1968" s="17"/>
      <c r="G1968" s="4">
        <f t="shared" si="56"/>
        <v>0</v>
      </c>
      <c r="H1968" s="17"/>
      <c r="I1968" s="4">
        <f t="shared" si="54"/>
        <v>349526.07999999996</v>
      </c>
      <c r="J1968" s="32" t="str">
        <f t="shared" si="55"/>
        <v/>
      </c>
      <c r="K1968" s="79"/>
      <c r="L1968" s="79"/>
      <c r="M1968" s="2"/>
      <c r="N1968" s="5"/>
      <c r="O1968" s="3"/>
      <c r="P1968" s="6"/>
      <c r="Q1968" s="6"/>
    </row>
    <row r="1969" spans="1:17" ht="15" customHeight="1" x14ac:dyDescent="0.25">
      <c r="A1969" s="1"/>
      <c r="B1969" s="17"/>
      <c r="C1969" s="17"/>
      <c r="D1969" s="17"/>
      <c r="E1969" s="17"/>
      <c r="F1969" s="17"/>
      <c r="G1969" s="4">
        <f t="shared" si="56"/>
        <v>0</v>
      </c>
      <c r="H1969" s="17"/>
      <c r="I1969" s="4">
        <f t="shared" si="54"/>
        <v>349526.07999999996</v>
      </c>
      <c r="J1969" s="32" t="str">
        <f t="shared" si="55"/>
        <v/>
      </c>
      <c r="K1969" s="79"/>
      <c r="L1969" s="79"/>
      <c r="M1969" s="2"/>
      <c r="N1969" s="5"/>
      <c r="O1969" s="3"/>
      <c r="P1969" s="6"/>
      <c r="Q1969" s="6"/>
    </row>
    <row r="1970" spans="1:17" ht="15" customHeight="1" x14ac:dyDescent="0.25">
      <c r="A1970" s="1"/>
      <c r="B1970" s="17"/>
      <c r="C1970" s="17"/>
      <c r="D1970" s="17"/>
      <c r="E1970" s="17"/>
      <c r="F1970" s="17"/>
      <c r="G1970" s="4">
        <f t="shared" si="56"/>
        <v>0</v>
      </c>
      <c r="H1970" s="17"/>
      <c r="I1970" s="4">
        <f t="shared" si="54"/>
        <v>349526.07999999996</v>
      </c>
      <c r="J1970" s="32" t="str">
        <f t="shared" si="55"/>
        <v/>
      </c>
      <c r="K1970" s="79"/>
      <c r="L1970" s="79"/>
      <c r="M1970" s="2"/>
      <c r="N1970" s="5"/>
      <c r="O1970" s="3"/>
      <c r="P1970" s="6"/>
      <c r="Q1970" s="6"/>
    </row>
    <row r="1971" spans="1:17" ht="15" customHeight="1" x14ac:dyDescent="0.25">
      <c r="A1971" s="1"/>
      <c r="B1971" s="17"/>
      <c r="C1971" s="17"/>
      <c r="D1971" s="17"/>
      <c r="E1971" s="17"/>
      <c r="F1971" s="17"/>
      <c r="G1971" s="4">
        <f t="shared" si="56"/>
        <v>0</v>
      </c>
      <c r="H1971" s="17"/>
      <c r="I1971" s="4">
        <f t="shared" si="54"/>
        <v>349526.07999999996</v>
      </c>
      <c r="J1971" s="32" t="str">
        <f t="shared" si="55"/>
        <v/>
      </c>
      <c r="K1971" s="79"/>
      <c r="L1971" s="79"/>
      <c r="M1971" s="2"/>
      <c r="N1971" s="5"/>
      <c r="O1971" s="3"/>
      <c r="P1971" s="6"/>
      <c r="Q1971" s="6"/>
    </row>
    <row r="1972" spans="1:17" ht="15" customHeight="1" x14ac:dyDescent="0.25">
      <c r="A1972" s="1"/>
      <c r="B1972" s="17"/>
      <c r="C1972" s="17"/>
      <c r="D1972" s="17"/>
      <c r="E1972" s="17"/>
      <c r="F1972" s="17"/>
      <c r="G1972" s="4">
        <f t="shared" si="56"/>
        <v>0</v>
      </c>
      <c r="H1972" s="17"/>
      <c r="I1972" s="4">
        <f t="shared" si="54"/>
        <v>349526.07999999996</v>
      </c>
      <c r="J1972" s="32" t="str">
        <f t="shared" si="55"/>
        <v/>
      </c>
      <c r="K1972" s="79"/>
      <c r="L1972" s="79"/>
      <c r="M1972" s="2"/>
      <c r="N1972" s="5"/>
      <c r="O1972" s="3"/>
      <c r="P1972" s="6"/>
      <c r="Q1972" s="6"/>
    </row>
    <row r="1973" spans="1:17" ht="15" customHeight="1" x14ac:dyDescent="0.25">
      <c r="A1973" s="1"/>
      <c r="B1973" s="17"/>
      <c r="C1973" s="17"/>
      <c r="D1973" s="17"/>
      <c r="E1973" s="17"/>
      <c r="F1973" s="17"/>
      <c r="G1973" s="4">
        <f t="shared" si="56"/>
        <v>0</v>
      </c>
      <c r="H1973" s="17"/>
      <c r="I1973" s="4">
        <f t="shared" si="54"/>
        <v>349526.07999999996</v>
      </c>
      <c r="J1973" s="32" t="str">
        <f t="shared" si="55"/>
        <v/>
      </c>
      <c r="K1973" s="79"/>
      <c r="L1973" s="79"/>
      <c r="M1973" s="2"/>
      <c r="N1973" s="5"/>
      <c r="O1973" s="3"/>
      <c r="P1973" s="6"/>
      <c r="Q1973" s="6"/>
    </row>
    <row r="1974" spans="1:17" ht="15" customHeight="1" x14ac:dyDescent="0.25">
      <c r="A1974" s="1"/>
      <c r="B1974" s="17"/>
      <c r="C1974" s="17"/>
      <c r="D1974" s="17"/>
      <c r="E1974" s="17"/>
      <c r="F1974" s="17"/>
      <c r="G1974" s="4">
        <f t="shared" si="56"/>
        <v>0</v>
      </c>
      <c r="H1974" s="17"/>
      <c r="I1974" s="4">
        <f t="shared" ref="I1974:I2037" si="57">$I1973+$G1974-$H1974</f>
        <v>349526.07999999996</v>
      </c>
      <c r="J1974" s="32" t="str">
        <f t="shared" ref="J1974:J2037" si="58">IF($A1975&lt;&gt;$A1974,$I1974,"")</f>
        <v/>
      </c>
      <c r="K1974" s="79"/>
      <c r="L1974" s="79"/>
      <c r="M1974" s="2"/>
      <c r="N1974" s="5"/>
      <c r="O1974" s="3"/>
      <c r="P1974" s="6"/>
      <c r="Q1974" s="6"/>
    </row>
    <row r="1975" spans="1:17" ht="15" customHeight="1" x14ac:dyDescent="0.25">
      <c r="A1975" s="1"/>
      <c r="B1975" s="17"/>
      <c r="C1975" s="17"/>
      <c r="D1975" s="17"/>
      <c r="E1975" s="17"/>
      <c r="F1975" s="17"/>
      <c r="G1975" s="4">
        <f t="shared" si="56"/>
        <v>0</v>
      </c>
      <c r="H1975" s="17"/>
      <c r="I1975" s="4">
        <f t="shared" si="57"/>
        <v>349526.07999999996</v>
      </c>
      <c r="J1975" s="32" t="str">
        <f t="shared" si="58"/>
        <v/>
      </c>
      <c r="K1975" s="79"/>
      <c r="L1975" s="79"/>
      <c r="M1975" s="2"/>
      <c r="N1975" s="5"/>
      <c r="O1975" s="3"/>
      <c r="P1975" s="6"/>
      <c r="Q1975" s="6"/>
    </row>
    <row r="1976" spans="1:17" ht="15" customHeight="1" x14ac:dyDescent="0.25">
      <c r="A1976" s="1"/>
      <c r="B1976" s="17"/>
      <c r="C1976" s="17"/>
      <c r="D1976" s="17"/>
      <c r="E1976" s="17"/>
      <c r="F1976" s="17"/>
      <c r="G1976" s="4">
        <f t="shared" si="56"/>
        <v>0</v>
      </c>
      <c r="H1976" s="17"/>
      <c r="I1976" s="4">
        <f t="shared" si="57"/>
        <v>349526.07999999996</v>
      </c>
      <c r="J1976" s="32" t="str">
        <f t="shared" si="58"/>
        <v/>
      </c>
      <c r="K1976" s="79"/>
      <c r="L1976" s="79"/>
      <c r="M1976" s="2"/>
      <c r="N1976" s="5"/>
      <c r="O1976" s="3"/>
      <c r="P1976" s="6"/>
      <c r="Q1976" s="6"/>
    </row>
    <row r="1977" spans="1:17" ht="15" customHeight="1" x14ac:dyDescent="0.25">
      <c r="A1977" s="1"/>
      <c r="B1977" s="17"/>
      <c r="C1977" s="17"/>
      <c r="D1977" s="17"/>
      <c r="E1977" s="17"/>
      <c r="F1977" s="17"/>
      <c r="G1977" s="4">
        <f t="shared" si="56"/>
        <v>0</v>
      </c>
      <c r="H1977" s="17"/>
      <c r="I1977" s="4">
        <f t="shared" si="57"/>
        <v>349526.07999999996</v>
      </c>
      <c r="J1977" s="32" t="str">
        <f t="shared" si="58"/>
        <v/>
      </c>
      <c r="K1977" s="79"/>
      <c r="L1977" s="79"/>
      <c r="M1977" s="2"/>
      <c r="N1977" s="5"/>
      <c r="O1977" s="3"/>
      <c r="P1977" s="6"/>
      <c r="Q1977" s="6"/>
    </row>
    <row r="1978" spans="1:17" ht="15" customHeight="1" x14ac:dyDescent="0.25">
      <c r="A1978" s="1"/>
      <c r="B1978" s="17"/>
      <c r="C1978" s="17"/>
      <c r="D1978" s="17"/>
      <c r="E1978" s="17"/>
      <c r="F1978" s="17"/>
      <c r="G1978" s="4">
        <f t="shared" si="56"/>
        <v>0</v>
      </c>
      <c r="H1978" s="17"/>
      <c r="I1978" s="4">
        <f t="shared" si="57"/>
        <v>349526.07999999996</v>
      </c>
      <c r="J1978" s="32" t="str">
        <f t="shared" si="58"/>
        <v/>
      </c>
      <c r="K1978" s="79"/>
      <c r="L1978" s="79"/>
      <c r="M1978" s="2"/>
      <c r="N1978" s="5"/>
      <c r="O1978" s="3"/>
      <c r="P1978" s="6"/>
      <c r="Q1978" s="6"/>
    </row>
    <row r="1979" spans="1:17" ht="15" customHeight="1" x14ac:dyDescent="0.25">
      <c r="A1979" s="1"/>
      <c r="B1979" s="17"/>
      <c r="C1979" s="17"/>
      <c r="D1979" s="17"/>
      <c r="E1979" s="17"/>
      <c r="F1979" s="17"/>
      <c r="G1979" s="4">
        <f t="shared" si="56"/>
        <v>0</v>
      </c>
      <c r="H1979" s="17"/>
      <c r="I1979" s="4">
        <f t="shared" si="57"/>
        <v>349526.07999999996</v>
      </c>
      <c r="J1979" s="32" t="str">
        <f t="shared" si="58"/>
        <v/>
      </c>
      <c r="K1979" s="79"/>
      <c r="L1979" s="79"/>
      <c r="M1979" s="2"/>
      <c r="N1979" s="5"/>
      <c r="O1979" s="3"/>
      <c r="P1979" s="6"/>
      <c r="Q1979" s="6"/>
    </row>
    <row r="1980" spans="1:17" ht="15" customHeight="1" x14ac:dyDescent="0.25">
      <c r="A1980" s="1"/>
      <c r="B1980" s="17"/>
      <c r="C1980" s="17"/>
      <c r="D1980" s="17"/>
      <c r="E1980" s="17"/>
      <c r="F1980" s="17"/>
      <c r="G1980" s="4">
        <f t="shared" si="56"/>
        <v>0</v>
      </c>
      <c r="H1980" s="17"/>
      <c r="I1980" s="4">
        <f t="shared" si="57"/>
        <v>349526.07999999996</v>
      </c>
      <c r="J1980" s="32" t="str">
        <f t="shared" si="58"/>
        <v/>
      </c>
      <c r="K1980" s="79"/>
      <c r="L1980" s="79"/>
      <c r="M1980" s="2"/>
      <c r="N1980" s="5"/>
      <c r="O1980" s="3"/>
      <c r="P1980" s="6"/>
      <c r="Q1980" s="6"/>
    </row>
    <row r="1981" spans="1:17" ht="15" customHeight="1" x14ac:dyDescent="0.25">
      <c r="A1981" s="1"/>
      <c r="B1981" s="17"/>
      <c r="C1981" s="17"/>
      <c r="D1981" s="17"/>
      <c r="E1981" s="17"/>
      <c r="F1981" s="17"/>
      <c r="G1981" s="4">
        <f t="shared" si="56"/>
        <v>0</v>
      </c>
      <c r="H1981" s="17"/>
      <c r="I1981" s="4">
        <f t="shared" si="57"/>
        <v>349526.07999999996</v>
      </c>
      <c r="J1981" s="32" t="str">
        <f t="shared" si="58"/>
        <v/>
      </c>
      <c r="K1981" s="79"/>
      <c r="L1981" s="79"/>
      <c r="M1981" s="2"/>
      <c r="N1981" s="5"/>
      <c r="O1981" s="3"/>
      <c r="P1981" s="6"/>
      <c r="Q1981" s="6"/>
    </row>
    <row r="1982" spans="1:17" ht="15" customHeight="1" x14ac:dyDescent="0.25">
      <c r="A1982" s="1"/>
      <c r="B1982" s="17"/>
      <c r="C1982" s="17"/>
      <c r="D1982" s="17"/>
      <c r="E1982" s="17"/>
      <c r="F1982" s="17"/>
      <c r="G1982" s="4">
        <f t="shared" si="56"/>
        <v>0</v>
      </c>
      <c r="H1982" s="17"/>
      <c r="I1982" s="4">
        <f t="shared" si="57"/>
        <v>349526.07999999996</v>
      </c>
      <c r="J1982" s="32" t="str">
        <f t="shared" si="58"/>
        <v/>
      </c>
      <c r="K1982" s="79"/>
      <c r="L1982" s="79"/>
      <c r="M1982" s="2"/>
      <c r="N1982" s="5"/>
      <c r="O1982" s="3"/>
      <c r="P1982" s="6"/>
      <c r="Q1982" s="6"/>
    </row>
    <row r="1983" spans="1:17" ht="15" customHeight="1" x14ac:dyDescent="0.25">
      <c r="A1983" s="1"/>
      <c r="B1983" s="17"/>
      <c r="C1983" s="17"/>
      <c r="D1983" s="17"/>
      <c r="E1983" s="17"/>
      <c r="F1983" s="17"/>
      <c r="G1983" s="4">
        <f t="shared" si="56"/>
        <v>0</v>
      </c>
      <c r="H1983" s="17"/>
      <c r="I1983" s="4">
        <f t="shared" si="57"/>
        <v>349526.07999999996</v>
      </c>
      <c r="J1983" s="32" t="str">
        <f t="shared" si="58"/>
        <v/>
      </c>
      <c r="K1983" s="79"/>
      <c r="L1983" s="79"/>
      <c r="M1983" s="2"/>
      <c r="N1983" s="5"/>
      <c r="O1983" s="3"/>
      <c r="P1983" s="6"/>
      <c r="Q1983" s="6"/>
    </row>
    <row r="1984" spans="1:17" ht="15" customHeight="1" x14ac:dyDescent="0.25">
      <c r="A1984" s="1"/>
      <c r="B1984" s="17"/>
      <c r="C1984" s="17"/>
      <c r="D1984" s="17"/>
      <c r="E1984" s="17"/>
      <c r="F1984" s="17"/>
      <c r="G1984" s="4">
        <f t="shared" si="56"/>
        <v>0</v>
      </c>
      <c r="H1984" s="17"/>
      <c r="I1984" s="4">
        <f t="shared" si="57"/>
        <v>349526.07999999996</v>
      </c>
      <c r="J1984" s="32" t="str">
        <f t="shared" si="58"/>
        <v/>
      </c>
      <c r="K1984" s="79"/>
      <c r="L1984" s="79"/>
      <c r="M1984" s="2"/>
      <c r="N1984" s="5"/>
      <c r="O1984" s="3"/>
      <c r="P1984" s="6"/>
      <c r="Q1984" s="6"/>
    </row>
    <row r="1985" spans="1:17" ht="15" customHeight="1" x14ac:dyDescent="0.25">
      <c r="A1985" s="1"/>
      <c r="B1985" s="17"/>
      <c r="C1985" s="17"/>
      <c r="D1985" s="17"/>
      <c r="E1985" s="17"/>
      <c r="F1985" s="17"/>
      <c r="G1985" s="4">
        <f t="shared" si="56"/>
        <v>0</v>
      </c>
      <c r="H1985" s="17"/>
      <c r="I1985" s="4">
        <f t="shared" si="57"/>
        <v>349526.07999999996</v>
      </c>
      <c r="J1985" s="32" t="str">
        <f t="shared" si="58"/>
        <v/>
      </c>
      <c r="K1985" s="79"/>
      <c r="L1985" s="79"/>
      <c r="M1985" s="2"/>
      <c r="N1985" s="5"/>
      <c r="O1985" s="3"/>
      <c r="P1985" s="6"/>
      <c r="Q1985" s="6"/>
    </row>
    <row r="1986" spans="1:17" ht="15" customHeight="1" x14ac:dyDescent="0.25">
      <c r="A1986" s="1"/>
      <c r="B1986" s="17"/>
      <c r="C1986" s="17"/>
      <c r="D1986" s="17"/>
      <c r="E1986" s="17"/>
      <c r="F1986" s="17"/>
      <c r="G1986" s="4">
        <f t="shared" si="56"/>
        <v>0</v>
      </c>
      <c r="H1986" s="17"/>
      <c r="I1986" s="4">
        <f t="shared" si="57"/>
        <v>349526.07999999996</v>
      </c>
      <c r="J1986" s="32" t="str">
        <f t="shared" si="58"/>
        <v/>
      </c>
      <c r="K1986" s="79"/>
      <c r="L1986" s="79"/>
      <c r="M1986" s="2"/>
      <c r="N1986" s="5"/>
      <c r="O1986" s="3"/>
      <c r="P1986" s="6"/>
      <c r="Q1986" s="6"/>
    </row>
    <row r="1987" spans="1:17" ht="15" customHeight="1" x14ac:dyDescent="0.25">
      <c r="A1987" s="1"/>
      <c r="B1987" s="17"/>
      <c r="C1987" s="17"/>
      <c r="D1987" s="17"/>
      <c r="E1987" s="17"/>
      <c r="F1987" s="17"/>
      <c r="G1987" s="4">
        <f t="shared" ref="G1987:G2050" si="59">SUM($B1987:$F1987)</f>
        <v>0</v>
      </c>
      <c r="H1987" s="17"/>
      <c r="I1987" s="4">
        <f t="shared" si="57"/>
        <v>349526.07999999996</v>
      </c>
      <c r="J1987" s="32" t="str">
        <f t="shared" si="58"/>
        <v/>
      </c>
      <c r="K1987" s="79"/>
      <c r="L1987" s="79"/>
      <c r="M1987" s="2"/>
      <c r="N1987" s="5"/>
      <c r="O1987" s="3"/>
      <c r="P1987" s="6"/>
      <c r="Q1987" s="6"/>
    </row>
    <row r="1988" spans="1:17" ht="15" customHeight="1" x14ac:dyDescent="0.25">
      <c r="A1988" s="1"/>
      <c r="B1988" s="17"/>
      <c r="C1988" s="17"/>
      <c r="D1988" s="17"/>
      <c r="E1988" s="17"/>
      <c r="F1988" s="17"/>
      <c r="G1988" s="4">
        <f t="shared" si="59"/>
        <v>0</v>
      </c>
      <c r="H1988" s="17"/>
      <c r="I1988" s="4">
        <f t="shared" si="57"/>
        <v>349526.07999999996</v>
      </c>
      <c r="J1988" s="32" t="str">
        <f t="shared" si="58"/>
        <v/>
      </c>
      <c r="K1988" s="79"/>
      <c r="L1988" s="79"/>
      <c r="M1988" s="2"/>
      <c r="N1988" s="5"/>
      <c r="O1988" s="3"/>
      <c r="P1988" s="6"/>
      <c r="Q1988" s="6"/>
    </row>
    <row r="1989" spans="1:17" ht="15" customHeight="1" x14ac:dyDescent="0.25">
      <c r="A1989" s="1"/>
      <c r="B1989" s="17"/>
      <c r="C1989" s="17"/>
      <c r="D1989" s="17"/>
      <c r="E1989" s="17"/>
      <c r="F1989" s="17"/>
      <c r="G1989" s="4">
        <f t="shared" si="59"/>
        <v>0</v>
      </c>
      <c r="H1989" s="17"/>
      <c r="I1989" s="4">
        <f t="shared" si="57"/>
        <v>349526.07999999996</v>
      </c>
      <c r="J1989" s="32" t="str">
        <f t="shared" si="58"/>
        <v/>
      </c>
      <c r="K1989" s="79"/>
      <c r="L1989" s="79"/>
      <c r="M1989" s="2"/>
      <c r="N1989" s="5"/>
      <c r="O1989" s="3"/>
      <c r="P1989" s="6"/>
      <c r="Q1989" s="6"/>
    </row>
    <row r="1990" spans="1:17" ht="15" customHeight="1" x14ac:dyDescent="0.25">
      <c r="A1990" s="1"/>
      <c r="B1990" s="17"/>
      <c r="C1990" s="17"/>
      <c r="D1990" s="17"/>
      <c r="E1990" s="17"/>
      <c r="F1990" s="17"/>
      <c r="G1990" s="4">
        <f t="shared" si="59"/>
        <v>0</v>
      </c>
      <c r="H1990" s="17"/>
      <c r="I1990" s="4">
        <f t="shared" si="57"/>
        <v>349526.07999999996</v>
      </c>
      <c r="J1990" s="32" t="str">
        <f t="shared" si="58"/>
        <v/>
      </c>
      <c r="K1990" s="79"/>
      <c r="L1990" s="79"/>
      <c r="M1990" s="2"/>
      <c r="N1990" s="5"/>
      <c r="O1990" s="3"/>
      <c r="P1990" s="6"/>
      <c r="Q1990" s="6"/>
    </row>
    <row r="1991" spans="1:17" ht="15" customHeight="1" x14ac:dyDescent="0.25">
      <c r="A1991" s="1"/>
      <c r="B1991" s="17"/>
      <c r="C1991" s="17"/>
      <c r="D1991" s="17"/>
      <c r="E1991" s="17"/>
      <c r="F1991" s="17"/>
      <c r="G1991" s="4">
        <f t="shared" si="59"/>
        <v>0</v>
      </c>
      <c r="H1991" s="17"/>
      <c r="I1991" s="4">
        <f t="shared" si="57"/>
        <v>349526.07999999996</v>
      </c>
      <c r="J1991" s="32" t="str">
        <f t="shared" si="58"/>
        <v/>
      </c>
      <c r="K1991" s="79"/>
      <c r="L1991" s="79"/>
      <c r="M1991" s="2"/>
      <c r="N1991" s="5"/>
      <c r="O1991" s="3"/>
      <c r="P1991" s="6"/>
      <c r="Q1991" s="6"/>
    </row>
    <row r="1992" spans="1:17" ht="15" customHeight="1" x14ac:dyDescent="0.25">
      <c r="A1992" s="1"/>
      <c r="B1992" s="17"/>
      <c r="C1992" s="17"/>
      <c r="D1992" s="17"/>
      <c r="E1992" s="17"/>
      <c r="F1992" s="17"/>
      <c r="G1992" s="4">
        <f t="shared" si="59"/>
        <v>0</v>
      </c>
      <c r="H1992" s="17"/>
      <c r="I1992" s="4">
        <f t="shared" si="57"/>
        <v>349526.07999999996</v>
      </c>
      <c r="J1992" s="32" t="str">
        <f t="shared" si="58"/>
        <v/>
      </c>
      <c r="K1992" s="79"/>
      <c r="L1992" s="79"/>
      <c r="M1992" s="2"/>
      <c r="N1992" s="5"/>
      <c r="O1992" s="3"/>
      <c r="P1992" s="6"/>
      <c r="Q1992" s="6"/>
    </row>
    <row r="1993" spans="1:17" ht="15" customHeight="1" x14ac:dyDescent="0.25">
      <c r="A1993" s="1"/>
      <c r="B1993" s="17"/>
      <c r="C1993" s="17"/>
      <c r="D1993" s="17"/>
      <c r="E1993" s="17"/>
      <c r="F1993" s="17"/>
      <c r="G1993" s="4">
        <f t="shared" si="59"/>
        <v>0</v>
      </c>
      <c r="H1993" s="17"/>
      <c r="I1993" s="4">
        <f t="shared" si="57"/>
        <v>349526.07999999996</v>
      </c>
      <c r="J1993" s="32" t="str">
        <f t="shared" si="58"/>
        <v/>
      </c>
      <c r="K1993" s="79"/>
      <c r="L1993" s="79"/>
      <c r="M1993" s="2"/>
      <c r="N1993" s="5"/>
      <c r="O1993" s="3"/>
      <c r="P1993" s="6"/>
      <c r="Q1993" s="6"/>
    </row>
    <row r="1994" spans="1:17" ht="15" customHeight="1" x14ac:dyDescent="0.25">
      <c r="A1994" s="1"/>
      <c r="B1994" s="17"/>
      <c r="C1994" s="17"/>
      <c r="D1994" s="17"/>
      <c r="E1994" s="17"/>
      <c r="F1994" s="17"/>
      <c r="G1994" s="4">
        <f t="shared" si="59"/>
        <v>0</v>
      </c>
      <c r="H1994" s="17"/>
      <c r="I1994" s="4">
        <f t="shared" si="57"/>
        <v>349526.07999999996</v>
      </c>
      <c r="J1994" s="32" t="str">
        <f t="shared" si="58"/>
        <v/>
      </c>
      <c r="K1994" s="79"/>
      <c r="L1994" s="79"/>
      <c r="M1994" s="2"/>
      <c r="N1994" s="5"/>
      <c r="O1994" s="3"/>
      <c r="P1994" s="6"/>
      <c r="Q1994" s="6"/>
    </row>
    <row r="1995" spans="1:17" ht="15" customHeight="1" x14ac:dyDescent="0.25">
      <c r="A1995" s="1"/>
      <c r="B1995" s="17"/>
      <c r="C1995" s="17"/>
      <c r="D1995" s="17"/>
      <c r="E1995" s="17"/>
      <c r="F1995" s="17"/>
      <c r="G1995" s="4">
        <f t="shared" si="59"/>
        <v>0</v>
      </c>
      <c r="H1995" s="17"/>
      <c r="I1995" s="4">
        <f t="shared" si="57"/>
        <v>349526.07999999996</v>
      </c>
      <c r="J1995" s="32" t="str">
        <f t="shared" si="58"/>
        <v/>
      </c>
      <c r="K1995" s="79"/>
      <c r="L1995" s="79"/>
      <c r="M1995" s="2"/>
      <c r="N1995" s="5"/>
      <c r="O1995" s="3"/>
      <c r="P1995" s="6"/>
      <c r="Q1995" s="6"/>
    </row>
    <row r="1996" spans="1:17" ht="15" customHeight="1" x14ac:dyDescent="0.25">
      <c r="A1996" s="1"/>
      <c r="B1996" s="17"/>
      <c r="C1996" s="17"/>
      <c r="D1996" s="17"/>
      <c r="E1996" s="17"/>
      <c r="F1996" s="17"/>
      <c r="G1996" s="4">
        <f t="shared" si="59"/>
        <v>0</v>
      </c>
      <c r="H1996" s="17"/>
      <c r="I1996" s="4">
        <f t="shared" si="57"/>
        <v>349526.07999999996</v>
      </c>
      <c r="J1996" s="32" t="str">
        <f t="shared" si="58"/>
        <v/>
      </c>
      <c r="K1996" s="79"/>
      <c r="L1996" s="79"/>
      <c r="M1996" s="2"/>
      <c r="N1996" s="5"/>
      <c r="O1996" s="3"/>
      <c r="P1996" s="6"/>
      <c r="Q1996" s="6"/>
    </row>
    <row r="1997" spans="1:17" ht="15" customHeight="1" x14ac:dyDescent="0.25">
      <c r="A1997" s="1"/>
      <c r="B1997" s="17"/>
      <c r="C1997" s="17"/>
      <c r="D1997" s="17"/>
      <c r="E1997" s="17"/>
      <c r="F1997" s="17"/>
      <c r="G1997" s="4">
        <f t="shared" si="59"/>
        <v>0</v>
      </c>
      <c r="H1997" s="17"/>
      <c r="I1997" s="4">
        <f t="shared" si="57"/>
        <v>349526.07999999996</v>
      </c>
      <c r="J1997" s="32" t="str">
        <f t="shared" si="58"/>
        <v/>
      </c>
      <c r="K1997" s="79"/>
      <c r="L1997" s="79"/>
      <c r="M1997" s="2"/>
      <c r="N1997" s="5"/>
      <c r="O1997" s="3"/>
      <c r="P1997" s="6"/>
      <c r="Q1997" s="6"/>
    </row>
    <row r="1998" spans="1:17" ht="15" customHeight="1" x14ac:dyDescent="0.25">
      <c r="A1998" s="1"/>
      <c r="B1998" s="17"/>
      <c r="C1998" s="17"/>
      <c r="D1998" s="17"/>
      <c r="E1998" s="17"/>
      <c r="F1998" s="17"/>
      <c r="G1998" s="4">
        <f t="shared" si="59"/>
        <v>0</v>
      </c>
      <c r="H1998" s="17"/>
      <c r="I1998" s="4">
        <f t="shared" si="57"/>
        <v>349526.07999999996</v>
      </c>
      <c r="J1998" s="32" t="str">
        <f t="shared" si="58"/>
        <v/>
      </c>
      <c r="K1998" s="79"/>
      <c r="L1998" s="79"/>
      <c r="M1998" s="2"/>
      <c r="N1998" s="5"/>
      <c r="O1998" s="3"/>
      <c r="P1998" s="6"/>
      <c r="Q1998" s="6"/>
    </row>
    <row r="1999" spans="1:17" ht="15" customHeight="1" x14ac:dyDescent="0.25">
      <c r="A1999" s="1"/>
      <c r="B1999" s="17"/>
      <c r="C1999" s="17"/>
      <c r="D1999" s="17"/>
      <c r="E1999" s="17"/>
      <c r="F1999" s="17"/>
      <c r="G1999" s="4">
        <f t="shared" si="59"/>
        <v>0</v>
      </c>
      <c r="H1999" s="17"/>
      <c r="I1999" s="4">
        <f t="shared" si="57"/>
        <v>349526.07999999996</v>
      </c>
      <c r="J1999" s="32" t="str">
        <f t="shared" si="58"/>
        <v/>
      </c>
      <c r="K1999" s="79"/>
      <c r="L1999" s="79"/>
      <c r="M1999" s="2"/>
      <c r="N1999" s="5"/>
      <c r="O1999" s="3"/>
      <c r="P1999" s="6"/>
      <c r="Q1999" s="6"/>
    </row>
    <row r="2000" spans="1:17" ht="15" customHeight="1" x14ac:dyDescent="0.25">
      <c r="A2000" s="1"/>
      <c r="B2000" s="17"/>
      <c r="C2000" s="17"/>
      <c r="D2000" s="17"/>
      <c r="E2000" s="17"/>
      <c r="F2000" s="17"/>
      <c r="G2000" s="4">
        <f t="shared" si="59"/>
        <v>0</v>
      </c>
      <c r="H2000" s="17"/>
      <c r="I2000" s="4">
        <f t="shared" si="57"/>
        <v>349526.07999999996</v>
      </c>
      <c r="J2000" s="32" t="str">
        <f t="shared" si="58"/>
        <v/>
      </c>
      <c r="K2000" s="79"/>
      <c r="L2000" s="79"/>
      <c r="M2000" s="2"/>
      <c r="N2000" s="5"/>
      <c r="O2000" s="3"/>
      <c r="P2000" s="6"/>
      <c r="Q2000" s="6"/>
    </row>
    <row r="2001" spans="1:17" ht="15" customHeight="1" x14ac:dyDescent="0.25">
      <c r="A2001" s="1"/>
      <c r="B2001" s="17"/>
      <c r="C2001" s="17"/>
      <c r="D2001" s="17"/>
      <c r="E2001" s="17"/>
      <c r="F2001" s="17"/>
      <c r="G2001" s="4">
        <f t="shared" si="59"/>
        <v>0</v>
      </c>
      <c r="H2001" s="17"/>
      <c r="I2001" s="4">
        <f t="shared" si="57"/>
        <v>349526.07999999996</v>
      </c>
      <c r="J2001" s="32" t="str">
        <f t="shared" si="58"/>
        <v/>
      </c>
      <c r="K2001" s="79"/>
      <c r="L2001" s="79"/>
      <c r="M2001" s="2"/>
      <c r="N2001" s="5"/>
      <c r="O2001" s="3"/>
      <c r="P2001" s="6"/>
      <c r="Q2001" s="6"/>
    </row>
    <row r="2002" spans="1:17" ht="15" customHeight="1" x14ac:dyDescent="0.25">
      <c r="A2002" s="1"/>
      <c r="B2002" s="17"/>
      <c r="C2002" s="17"/>
      <c r="D2002" s="17"/>
      <c r="E2002" s="17"/>
      <c r="F2002" s="17"/>
      <c r="G2002" s="4">
        <f t="shared" si="59"/>
        <v>0</v>
      </c>
      <c r="H2002" s="17"/>
      <c r="I2002" s="4">
        <f t="shared" si="57"/>
        <v>349526.07999999996</v>
      </c>
      <c r="J2002" s="32" t="str">
        <f t="shared" si="58"/>
        <v/>
      </c>
      <c r="K2002" s="79"/>
      <c r="L2002" s="79"/>
      <c r="M2002" s="2"/>
      <c r="N2002" s="5"/>
      <c r="O2002" s="3"/>
      <c r="P2002" s="6"/>
      <c r="Q2002" s="6"/>
    </row>
    <row r="2003" spans="1:17" ht="15" customHeight="1" x14ac:dyDescent="0.25">
      <c r="A2003" s="1"/>
      <c r="B2003" s="17"/>
      <c r="C2003" s="17"/>
      <c r="D2003" s="17"/>
      <c r="E2003" s="17"/>
      <c r="F2003" s="17"/>
      <c r="G2003" s="4">
        <f t="shared" si="59"/>
        <v>0</v>
      </c>
      <c r="H2003" s="17"/>
      <c r="I2003" s="4">
        <f t="shared" si="57"/>
        <v>349526.07999999996</v>
      </c>
      <c r="J2003" s="32" t="str">
        <f t="shared" si="58"/>
        <v/>
      </c>
      <c r="K2003" s="79"/>
      <c r="L2003" s="79"/>
      <c r="M2003" s="2"/>
      <c r="N2003" s="5"/>
      <c r="O2003" s="3"/>
      <c r="P2003" s="6"/>
      <c r="Q2003" s="6"/>
    </row>
    <row r="2004" spans="1:17" ht="15" customHeight="1" x14ac:dyDescent="0.25">
      <c r="A2004" s="1"/>
      <c r="B2004" s="17"/>
      <c r="C2004" s="17"/>
      <c r="D2004" s="17"/>
      <c r="E2004" s="17"/>
      <c r="F2004" s="17"/>
      <c r="G2004" s="4">
        <f t="shared" si="59"/>
        <v>0</v>
      </c>
      <c r="H2004" s="17"/>
      <c r="I2004" s="4">
        <f t="shared" si="57"/>
        <v>349526.07999999996</v>
      </c>
      <c r="J2004" s="32" t="str">
        <f t="shared" si="58"/>
        <v/>
      </c>
      <c r="K2004" s="79"/>
      <c r="L2004" s="79"/>
      <c r="M2004" s="2"/>
      <c r="N2004" s="5"/>
      <c r="O2004" s="3"/>
      <c r="P2004" s="6"/>
      <c r="Q2004" s="6"/>
    </row>
    <row r="2005" spans="1:17" ht="15" customHeight="1" x14ac:dyDescent="0.25">
      <c r="A2005" s="1"/>
      <c r="B2005" s="17"/>
      <c r="C2005" s="17"/>
      <c r="D2005" s="17"/>
      <c r="E2005" s="17"/>
      <c r="F2005" s="17"/>
      <c r="G2005" s="4">
        <f t="shared" si="59"/>
        <v>0</v>
      </c>
      <c r="H2005" s="17"/>
      <c r="I2005" s="4">
        <f t="shared" si="57"/>
        <v>349526.07999999996</v>
      </c>
      <c r="J2005" s="32" t="str">
        <f t="shared" si="58"/>
        <v/>
      </c>
      <c r="K2005" s="79"/>
      <c r="L2005" s="79"/>
      <c r="M2005" s="2"/>
      <c r="N2005" s="5"/>
      <c r="O2005" s="3"/>
      <c r="P2005" s="6"/>
      <c r="Q2005" s="6"/>
    </row>
    <row r="2006" spans="1:17" ht="15" customHeight="1" x14ac:dyDescent="0.25">
      <c r="A2006" s="1"/>
      <c r="B2006" s="17"/>
      <c r="C2006" s="17"/>
      <c r="D2006" s="17"/>
      <c r="E2006" s="17"/>
      <c r="F2006" s="17"/>
      <c r="G2006" s="4">
        <f t="shared" si="59"/>
        <v>0</v>
      </c>
      <c r="H2006" s="17"/>
      <c r="I2006" s="4">
        <f t="shared" si="57"/>
        <v>349526.07999999996</v>
      </c>
      <c r="J2006" s="32" t="str">
        <f t="shared" si="58"/>
        <v/>
      </c>
      <c r="K2006" s="79"/>
      <c r="L2006" s="79"/>
      <c r="M2006" s="2"/>
      <c r="N2006" s="5"/>
      <c r="O2006" s="3"/>
      <c r="P2006" s="6"/>
      <c r="Q2006" s="6"/>
    </row>
    <row r="2007" spans="1:17" ht="15" customHeight="1" x14ac:dyDescent="0.25">
      <c r="A2007" s="1"/>
      <c r="B2007" s="17"/>
      <c r="C2007" s="17"/>
      <c r="D2007" s="17"/>
      <c r="E2007" s="17"/>
      <c r="F2007" s="17"/>
      <c r="G2007" s="4">
        <f t="shared" si="59"/>
        <v>0</v>
      </c>
      <c r="H2007" s="17"/>
      <c r="I2007" s="4">
        <f t="shared" si="57"/>
        <v>349526.07999999996</v>
      </c>
      <c r="J2007" s="32" t="str">
        <f t="shared" si="58"/>
        <v/>
      </c>
      <c r="K2007" s="79"/>
      <c r="L2007" s="79"/>
      <c r="M2007" s="2"/>
      <c r="N2007" s="5"/>
      <c r="O2007" s="3"/>
      <c r="P2007" s="6"/>
      <c r="Q2007" s="6"/>
    </row>
    <row r="2008" spans="1:17" ht="15" customHeight="1" x14ac:dyDescent="0.25">
      <c r="A2008" s="1"/>
      <c r="B2008" s="17"/>
      <c r="C2008" s="17"/>
      <c r="D2008" s="17"/>
      <c r="E2008" s="17"/>
      <c r="F2008" s="17"/>
      <c r="G2008" s="4">
        <f t="shared" si="59"/>
        <v>0</v>
      </c>
      <c r="H2008" s="17"/>
      <c r="I2008" s="4">
        <f t="shared" si="57"/>
        <v>349526.07999999996</v>
      </c>
      <c r="J2008" s="32" t="str">
        <f t="shared" si="58"/>
        <v/>
      </c>
      <c r="K2008" s="79"/>
      <c r="L2008" s="79"/>
      <c r="M2008" s="2"/>
      <c r="N2008" s="5"/>
      <c r="O2008" s="3"/>
      <c r="P2008" s="6"/>
      <c r="Q2008" s="6"/>
    </row>
    <row r="2009" spans="1:17" ht="15" customHeight="1" x14ac:dyDescent="0.25">
      <c r="A2009" s="1"/>
      <c r="B2009" s="17"/>
      <c r="C2009" s="17"/>
      <c r="D2009" s="17"/>
      <c r="E2009" s="17"/>
      <c r="F2009" s="17"/>
      <c r="G2009" s="4">
        <f t="shared" si="59"/>
        <v>0</v>
      </c>
      <c r="H2009" s="17"/>
      <c r="I2009" s="4">
        <f t="shared" si="57"/>
        <v>349526.07999999996</v>
      </c>
      <c r="J2009" s="32" t="str">
        <f t="shared" si="58"/>
        <v/>
      </c>
      <c r="K2009" s="79"/>
      <c r="L2009" s="79"/>
      <c r="M2009" s="2"/>
      <c r="N2009" s="5"/>
      <c r="O2009" s="3"/>
      <c r="P2009" s="6"/>
      <c r="Q2009" s="6"/>
    </row>
    <row r="2010" spans="1:17" ht="15" customHeight="1" x14ac:dyDescent="0.25">
      <c r="A2010" s="1"/>
      <c r="B2010" s="17"/>
      <c r="C2010" s="17"/>
      <c r="D2010" s="17"/>
      <c r="E2010" s="17"/>
      <c r="F2010" s="17"/>
      <c r="G2010" s="4">
        <f t="shared" si="59"/>
        <v>0</v>
      </c>
      <c r="H2010" s="17"/>
      <c r="I2010" s="4">
        <f t="shared" si="57"/>
        <v>349526.07999999996</v>
      </c>
      <c r="J2010" s="32" t="str">
        <f t="shared" si="58"/>
        <v/>
      </c>
      <c r="K2010" s="79"/>
      <c r="L2010" s="79"/>
      <c r="M2010" s="2"/>
      <c r="N2010" s="5"/>
      <c r="O2010" s="3"/>
      <c r="P2010" s="6"/>
      <c r="Q2010" s="6"/>
    </row>
    <row r="2011" spans="1:17" ht="15" customHeight="1" x14ac:dyDescent="0.25">
      <c r="A2011" s="1"/>
      <c r="B2011" s="17"/>
      <c r="C2011" s="17"/>
      <c r="D2011" s="17"/>
      <c r="E2011" s="17"/>
      <c r="F2011" s="17"/>
      <c r="G2011" s="4">
        <f t="shared" si="59"/>
        <v>0</v>
      </c>
      <c r="H2011" s="17"/>
      <c r="I2011" s="4">
        <f t="shared" si="57"/>
        <v>349526.07999999996</v>
      </c>
      <c r="J2011" s="32" t="str">
        <f t="shared" si="58"/>
        <v/>
      </c>
      <c r="K2011" s="79"/>
      <c r="L2011" s="79"/>
      <c r="M2011" s="2"/>
      <c r="N2011" s="5"/>
      <c r="O2011" s="3"/>
      <c r="P2011" s="6"/>
      <c r="Q2011" s="6"/>
    </row>
    <row r="2012" spans="1:17" ht="15" customHeight="1" x14ac:dyDescent="0.25">
      <c r="A2012" s="1"/>
      <c r="B2012" s="17"/>
      <c r="C2012" s="17"/>
      <c r="D2012" s="17"/>
      <c r="E2012" s="17"/>
      <c r="F2012" s="17"/>
      <c r="G2012" s="4">
        <f t="shared" si="59"/>
        <v>0</v>
      </c>
      <c r="H2012" s="17"/>
      <c r="I2012" s="4">
        <f t="shared" si="57"/>
        <v>349526.07999999996</v>
      </c>
      <c r="J2012" s="32" t="str">
        <f t="shared" si="58"/>
        <v/>
      </c>
      <c r="K2012" s="79"/>
      <c r="L2012" s="79"/>
      <c r="M2012" s="2"/>
      <c r="N2012" s="5"/>
      <c r="O2012" s="3"/>
      <c r="P2012" s="6"/>
      <c r="Q2012" s="6"/>
    </row>
    <row r="2013" spans="1:17" ht="15" customHeight="1" x14ac:dyDescent="0.25">
      <c r="A2013" s="1"/>
      <c r="B2013" s="17"/>
      <c r="C2013" s="17"/>
      <c r="D2013" s="17"/>
      <c r="E2013" s="17"/>
      <c r="F2013" s="17"/>
      <c r="G2013" s="4">
        <f t="shared" si="59"/>
        <v>0</v>
      </c>
      <c r="H2013" s="17"/>
      <c r="I2013" s="4">
        <f t="shared" si="57"/>
        <v>349526.07999999996</v>
      </c>
      <c r="J2013" s="32" t="str">
        <f t="shared" si="58"/>
        <v/>
      </c>
      <c r="K2013" s="79"/>
      <c r="L2013" s="79"/>
      <c r="M2013" s="2"/>
      <c r="N2013" s="5"/>
      <c r="O2013" s="3"/>
      <c r="P2013" s="6"/>
      <c r="Q2013" s="6"/>
    </row>
    <row r="2014" spans="1:17" ht="15" customHeight="1" x14ac:dyDescent="0.25">
      <c r="A2014" s="1"/>
      <c r="B2014" s="17"/>
      <c r="C2014" s="17"/>
      <c r="D2014" s="17"/>
      <c r="E2014" s="17"/>
      <c r="F2014" s="17"/>
      <c r="G2014" s="4">
        <f t="shared" si="59"/>
        <v>0</v>
      </c>
      <c r="H2014" s="17"/>
      <c r="I2014" s="4">
        <f t="shared" si="57"/>
        <v>349526.07999999996</v>
      </c>
      <c r="J2014" s="32" t="str">
        <f t="shared" si="58"/>
        <v/>
      </c>
      <c r="K2014" s="79"/>
      <c r="L2014" s="79"/>
      <c r="M2014" s="2"/>
      <c r="N2014" s="5"/>
      <c r="O2014" s="3"/>
      <c r="P2014" s="6"/>
      <c r="Q2014" s="6"/>
    </row>
    <row r="2015" spans="1:17" ht="15" customHeight="1" x14ac:dyDescent="0.25">
      <c r="A2015" s="1"/>
      <c r="B2015" s="17"/>
      <c r="C2015" s="17"/>
      <c r="D2015" s="17"/>
      <c r="E2015" s="17"/>
      <c r="F2015" s="17"/>
      <c r="G2015" s="4">
        <f t="shared" si="59"/>
        <v>0</v>
      </c>
      <c r="H2015" s="17"/>
      <c r="I2015" s="4">
        <f t="shared" si="57"/>
        <v>349526.07999999996</v>
      </c>
      <c r="J2015" s="32" t="str">
        <f t="shared" si="58"/>
        <v/>
      </c>
      <c r="K2015" s="79"/>
      <c r="L2015" s="79"/>
      <c r="M2015" s="2"/>
      <c r="N2015" s="5"/>
      <c r="O2015" s="3"/>
      <c r="P2015" s="6"/>
      <c r="Q2015" s="6"/>
    </row>
    <row r="2016" spans="1:17" ht="15" customHeight="1" x14ac:dyDescent="0.25">
      <c r="A2016" s="1"/>
      <c r="B2016" s="17"/>
      <c r="C2016" s="17"/>
      <c r="D2016" s="17"/>
      <c r="E2016" s="17"/>
      <c r="F2016" s="17"/>
      <c r="G2016" s="4">
        <f t="shared" si="59"/>
        <v>0</v>
      </c>
      <c r="H2016" s="17"/>
      <c r="I2016" s="4">
        <f t="shared" si="57"/>
        <v>349526.07999999996</v>
      </c>
      <c r="J2016" s="32" t="str">
        <f t="shared" si="58"/>
        <v/>
      </c>
      <c r="K2016" s="79"/>
      <c r="L2016" s="79"/>
      <c r="M2016" s="2"/>
      <c r="N2016" s="5"/>
      <c r="O2016" s="3"/>
      <c r="P2016" s="6"/>
      <c r="Q2016" s="6"/>
    </row>
    <row r="2017" spans="1:17" ht="15" customHeight="1" x14ac:dyDescent="0.25">
      <c r="A2017" s="1"/>
      <c r="B2017" s="17"/>
      <c r="C2017" s="17"/>
      <c r="D2017" s="17"/>
      <c r="E2017" s="17"/>
      <c r="F2017" s="17"/>
      <c r="G2017" s="4">
        <f t="shared" si="59"/>
        <v>0</v>
      </c>
      <c r="H2017" s="17"/>
      <c r="I2017" s="4">
        <f t="shared" si="57"/>
        <v>349526.07999999996</v>
      </c>
      <c r="J2017" s="32" t="str">
        <f t="shared" si="58"/>
        <v/>
      </c>
      <c r="K2017" s="79"/>
      <c r="L2017" s="79"/>
      <c r="M2017" s="2"/>
      <c r="N2017" s="5"/>
      <c r="O2017" s="3"/>
      <c r="P2017" s="6"/>
      <c r="Q2017" s="6"/>
    </row>
    <row r="2018" spans="1:17" ht="15" customHeight="1" x14ac:dyDescent="0.25">
      <c r="A2018" s="1"/>
      <c r="B2018" s="17"/>
      <c r="C2018" s="17"/>
      <c r="D2018" s="17"/>
      <c r="E2018" s="17"/>
      <c r="F2018" s="17"/>
      <c r="G2018" s="4">
        <f t="shared" si="59"/>
        <v>0</v>
      </c>
      <c r="H2018" s="17"/>
      <c r="I2018" s="4">
        <f t="shared" si="57"/>
        <v>349526.07999999996</v>
      </c>
      <c r="J2018" s="32" t="str">
        <f t="shared" si="58"/>
        <v/>
      </c>
      <c r="K2018" s="79"/>
      <c r="L2018" s="79"/>
      <c r="M2018" s="2"/>
      <c r="N2018" s="5"/>
      <c r="O2018" s="3"/>
      <c r="P2018" s="6"/>
      <c r="Q2018" s="6"/>
    </row>
    <row r="2019" spans="1:17" ht="15" customHeight="1" x14ac:dyDescent="0.25">
      <c r="A2019" s="1"/>
      <c r="B2019" s="17"/>
      <c r="C2019" s="17"/>
      <c r="D2019" s="17"/>
      <c r="E2019" s="17"/>
      <c r="F2019" s="17"/>
      <c r="G2019" s="4">
        <f t="shared" si="59"/>
        <v>0</v>
      </c>
      <c r="H2019" s="17"/>
      <c r="I2019" s="4">
        <f t="shared" si="57"/>
        <v>349526.07999999996</v>
      </c>
      <c r="J2019" s="32" t="str">
        <f t="shared" si="58"/>
        <v/>
      </c>
      <c r="K2019" s="79"/>
      <c r="L2019" s="79"/>
      <c r="M2019" s="2"/>
      <c r="N2019" s="5"/>
      <c r="O2019" s="3"/>
      <c r="P2019" s="6"/>
      <c r="Q2019" s="6"/>
    </row>
    <row r="2020" spans="1:17" ht="15" customHeight="1" x14ac:dyDescent="0.25">
      <c r="A2020" s="1"/>
      <c r="B2020" s="17"/>
      <c r="C2020" s="17"/>
      <c r="D2020" s="17"/>
      <c r="E2020" s="17"/>
      <c r="F2020" s="17"/>
      <c r="G2020" s="4">
        <f t="shared" si="59"/>
        <v>0</v>
      </c>
      <c r="H2020" s="17"/>
      <c r="I2020" s="4">
        <f t="shared" si="57"/>
        <v>349526.07999999996</v>
      </c>
      <c r="J2020" s="32" t="str">
        <f t="shared" si="58"/>
        <v/>
      </c>
      <c r="K2020" s="79"/>
      <c r="L2020" s="79"/>
      <c r="M2020" s="2"/>
      <c r="N2020" s="5"/>
      <c r="O2020" s="3"/>
      <c r="P2020" s="6"/>
      <c r="Q2020" s="6"/>
    </row>
    <row r="2021" spans="1:17" ht="15" customHeight="1" x14ac:dyDescent="0.25">
      <c r="A2021" s="1"/>
      <c r="B2021" s="17"/>
      <c r="C2021" s="17"/>
      <c r="D2021" s="17"/>
      <c r="E2021" s="17"/>
      <c r="F2021" s="17"/>
      <c r="G2021" s="4">
        <f t="shared" si="59"/>
        <v>0</v>
      </c>
      <c r="H2021" s="17"/>
      <c r="I2021" s="4">
        <f t="shared" si="57"/>
        <v>349526.07999999996</v>
      </c>
      <c r="J2021" s="32" t="str">
        <f t="shared" si="58"/>
        <v/>
      </c>
      <c r="K2021" s="79"/>
      <c r="L2021" s="79"/>
      <c r="M2021" s="2"/>
      <c r="N2021" s="5"/>
      <c r="O2021" s="3"/>
      <c r="P2021" s="6"/>
      <c r="Q2021" s="6"/>
    </row>
    <row r="2022" spans="1:17" ht="15" customHeight="1" x14ac:dyDescent="0.25">
      <c r="A2022" s="1"/>
      <c r="B2022" s="17"/>
      <c r="C2022" s="17"/>
      <c r="D2022" s="17"/>
      <c r="E2022" s="17"/>
      <c r="F2022" s="17"/>
      <c r="G2022" s="4">
        <f t="shared" si="59"/>
        <v>0</v>
      </c>
      <c r="H2022" s="17"/>
      <c r="I2022" s="4">
        <f t="shared" si="57"/>
        <v>349526.07999999996</v>
      </c>
      <c r="J2022" s="32" t="str">
        <f t="shared" si="58"/>
        <v/>
      </c>
      <c r="K2022" s="79"/>
      <c r="L2022" s="79"/>
      <c r="M2022" s="2"/>
      <c r="N2022" s="5"/>
      <c r="O2022" s="3"/>
      <c r="P2022" s="6"/>
      <c r="Q2022" s="6"/>
    </row>
    <row r="2023" spans="1:17" ht="15" customHeight="1" x14ac:dyDescent="0.25">
      <c r="A2023" s="1"/>
      <c r="B2023" s="17"/>
      <c r="C2023" s="17"/>
      <c r="D2023" s="17"/>
      <c r="E2023" s="17"/>
      <c r="F2023" s="17"/>
      <c r="G2023" s="4">
        <f t="shared" si="59"/>
        <v>0</v>
      </c>
      <c r="H2023" s="17"/>
      <c r="I2023" s="4">
        <f t="shared" si="57"/>
        <v>349526.07999999996</v>
      </c>
      <c r="J2023" s="32" t="str">
        <f t="shared" si="58"/>
        <v/>
      </c>
      <c r="K2023" s="79"/>
      <c r="L2023" s="79"/>
      <c r="M2023" s="2"/>
      <c r="N2023" s="5"/>
      <c r="O2023" s="3"/>
      <c r="P2023" s="6"/>
      <c r="Q2023" s="6"/>
    </row>
    <row r="2024" spans="1:17" ht="15" customHeight="1" x14ac:dyDescent="0.25">
      <c r="A2024" s="1"/>
      <c r="B2024" s="17"/>
      <c r="C2024" s="17"/>
      <c r="D2024" s="17"/>
      <c r="E2024" s="17"/>
      <c r="F2024" s="17"/>
      <c r="G2024" s="4">
        <f t="shared" si="59"/>
        <v>0</v>
      </c>
      <c r="H2024" s="17"/>
      <c r="I2024" s="4">
        <f t="shared" si="57"/>
        <v>349526.07999999996</v>
      </c>
      <c r="J2024" s="32" t="str">
        <f t="shared" si="58"/>
        <v/>
      </c>
      <c r="K2024" s="79"/>
      <c r="L2024" s="79"/>
      <c r="M2024" s="2"/>
      <c r="N2024" s="5"/>
      <c r="O2024" s="3"/>
      <c r="P2024" s="6"/>
      <c r="Q2024" s="6"/>
    </row>
    <row r="2025" spans="1:17" ht="15" customHeight="1" x14ac:dyDescent="0.25">
      <c r="A2025" s="1"/>
      <c r="B2025" s="17"/>
      <c r="C2025" s="17"/>
      <c r="D2025" s="17"/>
      <c r="E2025" s="17"/>
      <c r="F2025" s="17"/>
      <c r="G2025" s="4">
        <f t="shared" si="59"/>
        <v>0</v>
      </c>
      <c r="H2025" s="17"/>
      <c r="I2025" s="4">
        <f t="shared" si="57"/>
        <v>349526.07999999996</v>
      </c>
      <c r="J2025" s="32" t="str">
        <f t="shared" si="58"/>
        <v/>
      </c>
      <c r="K2025" s="79"/>
      <c r="L2025" s="79"/>
      <c r="M2025" s="2"/>
      <c r="N2025" s="5"/>
      <c r="O2025" s="3"/>
      <c r="P2025" s="6"/>
      <c r="Q2025" s="6"/>
    </row>
    <row r="2026" spans="1:17" ht="15" customHeight="1" x14ac:dyDescent="0.25">
      <c r="A2026" s="1"/>
      <c r="B2026" s="17"/>
      <c r="C2026" s="17"/>
      <c r="D2026" s="17"/>
      <c r="E2026" s="17"/>
      <c r="F2026" s="17"/>
      <c r="G2026" s="4">
        <f t="shared" si="59"/>
        <v>0</v>
      </c>
      <c r="H2026" s="17"/>
      <c r="I2026" s="4">
        <f t="shared" si="57"/>
        <v>349526.07999999996</v>
      </c>
      <c r="J2026" s="32" t="str">
        <f t="shared" si="58"/>
        <v/>
      </c>
      <c r="K2026" s="79"/>
      <c r="L2026" s="79"/>
      <c r="M2026" s="2"/>
      <c r="N2026" s="5"/>
      <c r="O2026" s="3"/>
      <c r="P2026" s="6"/>
      <c r="Q2026" s="6"/>
    </row>
    <row r="2027" spans="1:17" ht="15" customHeight="1" x14ac:dyDescent="0.25">
      <c r="A2027" s="1"/>
      <c r="B2027" s="17"/>
      <c r="C2027" s="17"/>
      <c r="D2027" s="17"/>
      <c r="E2027" s="17"/>
      <c r="F2027" s="17"/>
      <c r="G2027" s="4">
        <f t="shared" si="59"/>
        <v>0</v>
      </c>
      <c r="H2027" s="17"/>
      <c r="I2027" s="4">
        <f t="shared" si="57"/>
        <v>349526.07999999996</v>
      </c>
      <c r="J2027" s="32" t="str">
        <f t="shared" si="58"/>
        <v/>
      </c>
      <c r="K2027" s="79"/>
      <c r="L2027" s="79"/>
      <c r="M2027" s="2"/>
      <c r="N2027" s="5"/>
      <c r="O2027" s="3"/>
      <c r="P2027" s="6"/>
      <c r="Q2027" s="6"/>
    </row>
    <row r="2028" spans="1:17" ht="15" customHeight="1" x14ac:dyDescent="0.25">
      <c r="A2028" s="1"/>
      <c r="B2028" s="17"/>
      <c r="C2028" s="17"/>
      <c r="D2028" s="17"/>
      <c r="E2028" s="17"/>
      <c r="F2028" s="17"/>
      <c r="G2028" s="4">
        <f t="shared" si="59"/>
        <v>0</v>
      </c>
      <c r="H2028" s="17"/>
      <c r="I2028" s="4">
        <f t="shared" si="57"/>
        <v>349526.07999999996</v>
      </c>
      <c r="J2028" s="32" t="str">
        <f t="shared" si="58"/>
        <v/>
      </c>
      <c r="K2028" s="79"/>
      <c r="L2028" s="79"/>
      <c r="M2028" s="2"/>
      <c r="N2028" s="5"/>
      <c r="O2028" s="3"/>
      <c r="P2028" s="6"/>
      <c r="Q2028" s="6"/>
    </row>
    <row r="2029" spans="1:17" ht="15" customHeight="1" x14ac:dyDescent="0.25">
      <c r="A2029" s="1"/>
      <c r="B2029" s="17"/>
      <c r="C2029" s="17"/>
      <c r="D2029" s="17"/>
      <c r="E2029" s="17"/>
      <c r="F2029" s="17"/>
      <c r="G2029" s="4">
        <f t="shared" si="59"/>
        <v>0</v>
      </c>
      <c r="H2029" s="17"/>
      <c r="I2029" s="4">
        <f t="shared" si="57"/>
        <v>349526.07999999996</v>
      </c>
      <c r="J2029" s="32" t="str">
        <f t="shared" si="58"/>
        <v/>
      </c>
      <c r="K2029" s="79"/>
      <c r="L2029" s="79"/>
      <c r="M2029" s="2"/>
      <c r="N2029" s="5"/>
      <c r="O2029" s="3"/>
      <c r="P2029" s="6"/>
      <c r="Q2029" s="6"/>
    </row>
    <row r="2030" spans="1:17" ht="15" customHeight="1" x14ac:dyDescent="0.25">
      <c r="A2030" s="1"/>
      <c r="B2030" s="17"/>
      <c r="C2030" s="17"/>
      <c r="D2030" s="17"/>
      <c r="E2030" s="17"/>
      <c r="F2030" s="17"/>
      <c r="G2030" s="4">
        <f t="shared" si="59"/>
        <v>0</v>
      </c>
      <c r="H2030" s="17"/>
      <c r="I2030" s="4">
        <f t="shared" si="57"/>
        <v>349526.07999999996</v>
      </c>
      <c r="J2030" s="32" t="str">
        <f t="shared" si="58"/>
        <v/>
      </c>
      <c r="K2030" s="79"/>
      <c r="L2030" s="79"/>
      <c r="M2030" s="2"/>
      <c r="N2030" s="5"/>
      <c r="O2030" s="3"/>
      <c r="P2030" s="6"/>
      <c r="Q2030" s="6"/>
    </row>
    <row r="2031" spans="1:17" ht="15" customHeight="1" x14ac:dyDescent="0.25">
      <c r="A2031" s="1"/>
      <c r="B2031" s="17"/>
      <c r="C2031" s="17"/>
      <c r="D2031" s="17"/>
      <c r="E2031" s="17"/>
      <c r="F2031" s="17"/>
      <c r="G2031" s="4">
        <f t="shared" si="59"/>
        <v>0</v>
      </c>
      <c r="H2031" s="17"/>
      <c r="I2031" s="4">
        <f t="shared" si="57"/>
        <v>349526.07999999996</v>
      </c>
      <c r="J2031" s="32" t="str">
        <f t="shared" si="58"/>
        <v/>
      </c>
      <c r="K2031" s="79"/>
      <c r="L2031" s="79"/>
      <c r="M2031" s="2"/>
      <c r="N2031" s="5"/>
      <c r="O2031" s="3"/>
      <c r="P2031" s="6"/>
      <c r="Q2031" s="6"/>
    </row>
    <row r="2032" spans="1:17" ht="15" customHeight="1" x14ac:dyDescent="0.25">
      <c r="A2032" s="1"/>
      <c r="B2032" s="17"/>
      <c r="C2032" s="17"/>
      <c r="D2032" s="17"/>
      <c r="E2032" s="17"/>
      <c r="F2032" s="17"/>
      <c r="G2032" s="4">
        <f t="shared" si="59"/>
        <v>0</v>
      </c>
      <c r="H2032" s="17"/>
      <c r="I2032" s="4">
        <f t="shared" si="57"/>
        <v>349526.07999999996</v>
      </c>
      <c r="J2032" s="32" t="str">
        <f t="shared" si="58"/>
        <v/>
      </c>
      <c r="K2032" s="79"/>
      <c r="L2032" s="79"/>
      <c r="M2032" s="2"/>
      <c r="N2032" s="5"/>
      <c r="O2032" s="3"/>
      <c r="P2032" s="6"/>
      <c r="Q2032" s="6"/>
    </row>
    <row r="2033" spans="1:17" ht="15" customHeight="1" x14ac:dyDescent="0.25">
      <c r="A2033" s="1"/>
      <c r="B2033" s="17"/>
      <c r="C2033" s="17"/>
      <c r="D2033" s="17"/>
      <c r="E2033" s="17"/>
      <c r="F2033" s="17"/>
      <c r="G2033" s="4">
        <f t="shared" si="59"/>
        <v>0</v>
      </c>
      <c r="H2033" s="17"/>
      <c r="I2033" s="4">
        <f t="shared" si="57"/>
        <v>349526.07999999996</v>
      </c>
      <c r="J2033" s="32" t="str">
        <f t="shared" si="58"/>
        <v/>
      </c>
      <c r="K2033" s="79"/>
      <c r="L2033" s="79"/>
      <c r="M2033" s="2"/>
      <c r="N2033" s="5"/>
      <c r="O2033" s="3"/>
      <c r="P2033" s="6"/>
      <c r="Q2033" s="6"/>
    </row>
    <row r="2034" spans="1:17" ht="15" customHeight="1" x14ac:dyDescent="0.25">
      <c r="A2034" s="1"/>
      <c r="B2034" s="17"/>
      <c r="C2034" s="17"/>
      <c r="D2034" s="17"/>
      <c r="E2034" s="17"/>
      <c r="F2034" s="17"/>
      <c r="G2034" s="4">
        <f t="shared" si="59"/>
        <v>0</v>
      </c>
      <c r="H2034" s="17"/>
      <c r="I2034" s="4">
        <f t="shared" si="57"/>
        <v>349526.07999999996</v>
      </c>
      <c r="J2034" s="32" t="str">
        <f t="shared" si="58"/>
        <v/>
      </c>
      <c r="K2034" s="79"/>
      <c r="L2034" s="79"/>
      <c r="M2034" s="2"/>
      <c r="N2034" s="5"/>
      <c r="O2034" s="3"/>
      <c r="P2034" s="6"/>
      <c r="Q2034" s="6"/>
    </row>
    <row r="2035" spans="1:17" ht="15" customHeight="1" x14ac:dyDescent="0.25">
      <c r="A2035" s="1"/>
      <c r="B2035" s="17"/>
      <c r="C2035" s="17"/>
      <c r="D2035" s="17"/>
      <c r="E2035" s="17"/>
      <c r="F2035" s="17"/>
      <c r="G2035" s="4">
        <f t="shared" si="59"/>
        <v>0</v>
      </c>
      <c r="H2035" s="17"/>
      <c r="I2035" s="4">
        <f t="shared" si="57"/>
        <v>349526.07999999996</v>
      </c>
      <c r="J2035" s="32" t="str">
        <f t="shared" si="58"/>
        <v/>
      </c>
      <c r="K2035" s="79"/>
      <c r="L2035" s="79"/>
      <c r="M2035" s="2"/>
      <c r="N2035" s="5"/>
      <c r="O2035" s="3"/>
      <c r="P2035" s="6"/>
      <c r="Q2035" s="6"/>
    </row>
    <row r="2036" spans="1:17" ht="15" customHeight="1" x14ac:dyDescent="0.25">
      <c r="A2036" s="1"/>
      <c r="B2036" s="17"/>
      <c r="C2036" s="17"/>
      <c r="D2036" s="17"/>
      <c r="E2036" s="17"/>
      <c r="F2036" s="17"/>
      <c r="G2036" s="4">
        <f t="shared" si="59"/>
        <v>0</v>
      </c>
      <c r="H2036" s="17"/>
      <c r="I2036" s="4">
        <f t="shared" si="57"/>
        <v>349526.07999999996</v>
      </c>
      <c r="J2036" s="32" t="str">
        <f t="shared" si="58"/>
        <v/>
      </c>
      <c r="K2036" s="79"/>
      <c r="L2036" s="79"/>
      <c r="M2036" s="2"/>
      <c r="N2036" s="5"/>
      <c r="O2036" s="3"/>
      <c r="P2036" s="6"/>
      <c r="Q2036" s="6"/>
    </row>
    <row r="2037" spans="1:17" ht="15" customHeight="1" x14ac:dyDescent="0.25">
      <c r="A2037" s="1"/>
      <c r="B2037" s="17"/>
      <c r="C2037" s="17"/>
      <c r="D2037" s="17"/>
      <c r="E2037" s="17"/>
      <c r="F2037" s="17"/>
      <c r="G2037" s="4">
        <f t="shared" si="59"/>
        <v>0</v>
      </c>
      <c r="H2037" s="17"/>
      <c r="I2037" s="4">
        <f t="shared" si="57"/>
        <v>349526.07999999996</v>
      </c>
      <c r="J2037" s="32" t="str">
        <f t="shared" si="58"/>
        <v/>
      </c>
      <c r="K2037" s="79"/>
      <c r="L2037" s="79"/>
      <c r="M2037" s="2"/>
      <c r="N2037" s="5"/>
      <c r="O2037" s="3"/>
      <c r="P2037" s="6"/>
      <c r="Q2037" s="6"/>
    </row>
    <row r="2038" spans="1:17" ht="15" customHeight="1" x14ac:dyDescent="0.25">
      <c r="A2038" s="1"/>
      <c r="B2038" s="17"/>
      <c r="C2038" s="17"/>
      <c r="D2038" s="17"/>
      <c r="E2038" s="17"/>
      <c r="F2038" s="17"/>
      <c r="G2038" s="4">
        <f t="shared" si="59"/>
        <v>0</v>
      </c>
      <c r="H2038" s="17"/>
      <c r="I2038" s="4">
        <f t="shared" ref="I2038:I2101" si="60">$I2037+$G2038-$H2038</f>
        <v>349526.07999999996</v>
      </c>
      <c r="J2038" s="32" t="str">
        <f t="shared" ref="J2038:J2101" si="61">IF($A2039&lt;&gt;$A2038,$I2038,"")</f>
        <v/>
      </c>
      <c r="K2038" s="79"/>
      <c r="L2038" s="79"/>
      <c r="M2038" s="2"/>
      <c r="N2038" s="5"/>
      <c r="O2038" s="3"/>
      <c r="P2038" s="6"/>
      <c r="Q2038" s="6"/>
    </row>
    <row r="2039" spans="1:17" ht="15" customHeight="1" x14ac:dyDescent="0.25">
      <c r="A2039" s="1"/>
      <c r="B2039" s="17"/>
      <c r="C2039" s="17"/>
      <c r="D2039" s="17"/>
      <c r="E2039" s="17"/>
      <c r="F2039" s="17"/>
      <c r="G2039" s="4">
        <f t="shared" si="59"/>
        <v>0</v>
      </c>
      <c r="H2039" s="17"/>
      <c r="I2039" s="4">
        <f t="shared" si="60"/>
        <v>349526.07999999996</v>
      </c>
      <c r="J2039" s="32" t="str">
        <f t="shared" si="61"/>
        <v/>
      </c>
      <c r="K2039" s="79"/>
      <c r="L2039" s="79"/>
      <c r="M2039" s="2"/>
      <c r="N2039" s="5"/>
      <c r="O2039" s="3"/>
      <c r="P2039" s="6"/>
      <c r="Q2039" s="6"/>
    </row>
    <row r="2040" spans="1:17" ht="15" customHeight="1" x14ac:dyDescent="0.25">
      <c r="A2040" s="1"/>
      <c r="B2040" s="17"/>
      <c r="C2040" s="17"/>
      <c r="D2040" s="17"/>
      <c r="E2040" s="17"/>
      <c r="F2040" s="17"/>
      <c r="G2040" s="4">
        <f t="shared" si="59"/>
        <v>0</v>
      </c>
      <c r="H2040" s="17"/>
      <c r="I2040" s="4">
        <f t="shared" si="60"/>
        <v>349526.07999999996</v>
      </c>
      <c r="J2040" s="32" t="str">
        <f t="shared" si="61"/>
        <v/>
      </c>
      <c r="K2040" s="79"/>
      <c r="L2040" s="79"/>
      <c r="M2040" s="2"/>
      <c r="N2040" s="5"/>
      <c r="O2040" s="3"/>
      <c r="P2040" s="6"/>
      <c r="Q2040" s="6"/>
    </row>
    <row r="2041" spans="1:17" ht="15" customHeight="1" x14ac:dyDescent="0.25">
      <c r="A2041" s="1"/>
      <c r="B2041" s="17"/>
      <c r="C2041" s="17"/>
      <c r="D2041" s="17"/>
      <c r="E2041" s="17"/>
      <c r="F2041" s="17"/>
      <c r="G2041" s="4">
        <f t="shared" si="59"/>
        <v>0</v>
      </c>
      <c r="H2041" s="17"/>
      <c r="I2041" s="4">
        <f t="shared" si="60"/>
        <v>349526.07999999996</v>
      </c>
      <c r="J2041" s="32" t="str">
        <f t="shared" si="61"/>
        <v/>
      </c>
      <c r="K2041" s="79"/>
      <c r="L2041" s="79"/>
      <c r="M2041" s="2"/>
      <c r="N2041" s="5"/>
      <c r="O2041" s="3"/>
      <c r="P2041" s="6"/>
      <c r="Q2041" s="6"/>
    </row>
    <row r="2042" spans="1:17" ht="15" customHeight="1" x14ac:dyDescent="0.25">
      <c r="A2042" s="1"/>
      <c r="B2042" s="17"/>
      <c r="C2042" s="17"/>
      <c r="D2042" s="17"/>
      <c r="E2042" s="17"/>
      <c r="F2042" s="17"/>
      <c r="G2042" s="4">
        <f t="shared" si="59"/>
        <v>0</v>
      </c>
      <c r="H2042" s="17"/>
      <c r="I2042" s="4">
        <f t="shared" si="60"/>
        <v>349526.07999999996</v>
      </c>
      <c r="J2042" s="32" t="str">
        <f t="shared" si="61"/>
        <v/>
      </c>
      <c r="K2042" s="79"/>
      <c r="L2042" s="79"/>
      <c r="M2042" s="2"/>
      <c r="N2042" s="5"/>
      <c r="O2042" s="3"/>
      <c r="P2042" s="6"/>
      <c r="Q2042" s="6"/>
    </row>
    <row r="2043" spans="1:17" ht="15" customHeight="1" x14ac:dyDescent="0.25">
      <c r="A2043" s="1"/>
      <c r="B2043" s="17"/>
      <c r="C2043" s="17"/>
      <c r="D2043" s="17"/>
      <c r="E2043" s="17"/>
      <c r="F2043" s="17"/>
      <c r="G2043" s="4">
        <f t="shared" si="59"/>
        <v>0</v>
      </c>
      <c r="H2043" s="17"/>
      <c r="I2043" s="4">
        <f t="shared" si="60"/>
        <v>349526.07999999996</v>
      </c>
      <c r="J2043" s="32" t="str">
        <f t="shared" si="61"/>
        <v/>
      </c>
      <c r="K2043" s="79"/>
      <c r="L2043" s="79"/>
      <c r="M2043" s="2"/>
      <c r="N2043" s="5"/>
      <c r="O2043" s="3"/>
      <c r="P2043" s="6"/>
      <c r="Q2043" s="6"/>
    </row>
    <row r="2044" spans="1:17" ht="15" customHeight="1" x14ac:dyDescent="0.25">
      <c r="A2044" s="1"/>
      <c r="B2044" s="17"/>
      <c r="C2044" s="17"/>
      <c r="D2044" s="17"/>
      <c r="E2044" s="17"/>
      <c r="F2044" s="17"/>
      <c r="G2044" s="4">
        <f t="shared" si="59"/>
        <v>0</v>
      </c>
      <c r="H2044" s="17"/>
      <c r="I2044" s="4">
        <f t="shared" si="60"/>
        <v>349526.07999999996</v>
      </c>
      <c r="J2044" s="32" t="str">
        <f t="shared" si="61"/>
        <v/>
      </c>
      <c r="K2044" s="79"/>
      <c r="L2044" s="79"/>
      <c r="M2044" s="2"/>
      <c r="N2044" s="5"/>
      <c r="O2044" s="3"/>
      <c r="P2044" s="6"/>
      <c r="Q2044" s="6"/>
    </row>
    <row r="2045" spans="1:17" ht="15" customHeight="1" x14ac:dyDescent="0.25">
      <c r="A2045" s="1"/>
      <c r="B2045" s="17"/>
      <c r="C2045" s="17"/>
      <c r="D2045" s="17"/>
      <c r="E2045" s="17"/>
      <c r="F2045" s="17"/>
      <c r="G2045" s="4">
        <f t="shared" si="59"/>
        <v>0</v>
      </c>
      <c r="H2045" s="17"/>
      <c r="I2045" s="4">
        <f t="shared" si="60"/>
        <v>349526.07999999996</v>
      </c>
      <c r="J2045" s="32" t="str">
        <f t="shared" si="61"/>
        <v/>
      </c>
      <c r="K2045" s="79"/>
      <c r="L2045" s="79"/>
      <c r="M2045" s="2"/>
      <c r="N2045" s="5"/>
      <c r="O2045" s="3"/>
      <c r="P2045" s="6"/>
      <c r="Q2045" s="6"/>
    </row>
    <row r="2046" spans="1:17" ht="15" customHeight="1" x14ac:dyDescent="0.25">
      <c r="A2046" s="1"/>
      <c r="B2046" s="17"/>
      <c r="C2046" s="17"/>
      <c r="D2046" s="17"/>
      <c r="E2046" s="17"/>
      <c r="F2046" s="17"/>
      <c r="G2046" s="4">
        <f t="shared" si="59"/>
        <v>0</v>
      </c>
      <c r="H2046" s="17"/>
      <c r="I2046" s="4">
        <f t="shared" si="60"/>
        <v>349526.07999999996</v>
      </c>
      <c r="J2046" s="32" t="str">
        <f t="shared" si="61"/>
        <v/>
      </c>
      <c r="K2046" s="79"/>
      <c r="L2046" s="79"/>
      <c r="M2046" s="2"/>
      <c r="N2046" s="5"/>
      <c r="O2046" s="3"/>
      <c r="P2046" s="6"/>
      <c r="Q2046" s="6"/>
    </row>
    <row r="2047" spans="1:17" ht="15" customHeight="1" x14ac:dyDescent="0.25">
      <c r="A2047" s="1"/>
      <c r="B2047" s="17"/>
      <c r="C2047" s="17"/>
      <c r="D2047" s="17"/>
      <c r="E2047" s="17"/>
      <c r="F2047" s="17"/>
      <c r="G2047" s="4">
        <f t="shared" si="59"/>
        <v>0</v>
      </c>
      <c r="H2047" s="17"/>
      <c r="I2047" s="4">
        <f t="shared" si="60"/>
        <v>349526.07999999996</v>
      </c>
      <c r="J2047" s="32" t="str">
        <f t="shared" si="61"/>
        <v/>
      </c>
      <c r="K2047" s="79"/>
      <c r="L2047" s="79"/>
      <c r="M2047" s="2"/>
      <c r="N2047" s="5"/>
      <c r="O2047" s="3"/>
      <c r="P2047" s="6"/>
      <c r="Q2047" s="6"/>
    </row>
    <row r="2048" spans="1:17" ht="15" customHeight="1" x14ac:dyDescent="0.25">
      <c r="A2048" s="1"/>
      <c r="B2048" s="17"/>
      <c r="C2048" s="17"/>
      <c r="D2048" s="17"/>
      <c r="E2048" s="17"/>
      <c r="F2048" s="17"/>
      <c r="G2048" s="4">
        <f t="shared" si="59"/>
        <v>0</v>
      </c>
      <c r="H2048" s="17"/>
      <c r="I2048" s="4">
        <f t="shared" si="60"/>
        <v>349526.07999999996</v>
      </c>
      <c r="J2048" s="32" t="str">
        <f t="shared" si="61"/>
        <v/>
      </c>
      <c r="K2048" s="79"/>
      <c r="L2048" s="79"/>
      <c r="M2048" s="2"/>
      <c r="N2048" s="5"/>
      <c r="O2048" s="3"/>
      <c r="P2048" s="6"/>
      <c r="Q2048" s="6"/>
    </row>
    <row r="2049" spans="1:17" ht="15" customHeight="1" x14ac:dyDescent="0.25">
      <c r="A2049" s="1"/>
      <c r="B2049" s="17"/>
      <c r="C2049" s="17"/>
      <c r="D2049" s="17"/>
      <c r="E2049" s="17"/>
      <c r="F2049" s="17"/>
      <c r="G2049" s="4">
        <f t="shared" si="59"/>
        <v>0</v>
      </c>
      <c r="H2049" s="17"/>
      <c r="I2049" s="4">
        <f t="shared" si="60"/>
        <v>349526.07999999996</v>
      </c>
      <c r="J2049" s="32" t="str">
        <f t="shared" si="61"/>
        <v/>
      </c>
      <c r="K2049" s="79"/>
      <c r="L2049" s="79"/>
      <c r="M2049" s="2"/>
      <c r="N2049" s="5"/>
      <c r="O2049" s="3"/>
      <c r="P2049" s="6"/>
      <c r="Q2049" s="6"/>
    </row>
    <row r="2050" spans="1:17" ht="15" customHeight="1" x14ac:dyDescent="0.25">
      <c r="A2050" s="1"/>
      <c r="B2050" s="17"/>
      <c r="C2050" s="17"/>
      <c r="D2050" s="17"/>
      <c r="E2050" s="17"/>
      <c r="F2050" s="17"/>
      <c r="G2050" s="4">
        <f t="shared" si="59"/>
        <v>0</v>
      </c>
      <c r="H2050" s="17"/>
      <c r="I2050" s="4">
        <f t="shared" si="60"/>
        <v>349526.07999999996</v>
      </c>
      <c r="J2050" s="32" t="str">
        <f t="shared" si="61"/>
        <v/>
      </c>
      <c r="K2050" s="79"/>
      <c r="L2050" s="79"/>
      <c r="M2050" s="2"/>
      <c r="N2050" s="5"/>
      <c r="O2050" s="3"/>
      <c r="P2050" s="6"/>
      <c r="Q2050" s="6"/>
    </row>
    <row r="2051" spans="1:17" ht="15" customHeight="1" x14ac:dyDescent="0.25">
      <c r="A2051" s="1"/>
      <c r="B2051" s="17"/>
      <c r="C2051" s="17"/>
      <c r="D2051" s="17"/>
      <c r="E2051" s="17"/>
      <c r="F2051" s="17"/>
      <c r="G2051" s="4">
        <f t="shared" ref="G2051:G2114" si="62">SUM($B2051:$F2051)</f>
        <v>0</v>
      </c>
      <c r="H2051" s="17"/>
      <c r="I2051" s="4">
        <f t="shared" si="60"/>
        <v>349526.07999999996</v>
      </c>
      <c r="J2051" s="32" t="str">
        <f t="shared" si="61"/>
        <v/>
      </c>
      <c r="K2051" s="79"/>
      <c r="L2051" s="79"/>
      <c r="M2051" s="2"/>
      <c r="N2051" s="5"/>
      <c r="O2051" s="3"/>
      <c r="P2051" s="6"/>
      <c r="Q2051" s="6"/>
    </row>
    <row r="2052" spans="1:17" ht="15" customHeight="1" x14ac:dyDescent="0.25">
      <c r="A2052" s="1"/>
      <c r="B2052" s="17"/>
      <c r="C2052" s="17"/>
      <c r="D2052" s="17"/>
      <c r="E2052" s="17"/>
      <c r="F2052" s="17"/>
      <c r="G2052" s="4">
        <f t="shared" si="62"/>
        <v>0</v>
      </c>
      <c r="H2052" s="17"/>
      <c r="I2052" s="4">
        <f t="shared" si="60"/>
        <v>349526.07999999996</v>
      </c>
      <c r="J2052" s="32" t="str">
        <f t="shared" si="61"/>
        <v/>
      </c>
      <c r="K2052" s="79"/>
      <c r="L2052" s="79"/>
      <c r="M2052" s="2"/>
      <c r="N2052" s="5"/>
      <c r="O2052" s="3"/>
      <c r="P2052" s="6"/>
      <c r="Q2052" s="6"/>
    </row>
    <row r="2053" spans="1:17" ht="15" customHeight="1" x14ac:dyDescent="0.25">
      <c r="A2053" s="1"/>
      <c r="B2053" s="17"/>
      <c r="C2053" s="17"/>
      <c r="D2053" s="17"/>
      <c r="E2053" s="17"/>
      <c r="F2053" s="17"/>
      <c r="G2053" s="4">
        <f t="shared" si="62"/>
        <v>0</v>
      </c>
      <c r="H2053" s="17"/>
      <c r="I2053" s="4">
        <f t="shared" si="60"/>
        <v>349526.07999999996</v>
      </c>
      <c r="J2053" s="32" t="str">
        <f t="shared" si="61"/>
        <v/>
      </c>
      <c r="K2053" s="79"/>
      <c r="L2053" s="79"/>
      <c r="M2053" s="2"/>
      <c r="N2053" s="5"/>
      <c r="O2053" s="3"/>
      <c r="P2053" s="6"/>
      <c r="Q2053" s="6"/>
    </row>
    <row r="2054" spans="1:17" ht="15" customHeight="1" x14ac:dyDescent="0.25">
      <c r="A2054" s="1"/>
      <c r="B2054" s="17"/>
      <c r="C2054" s="17"/>
      <c r="D2054" s="17"/>
      <c r="E2054" s="17"/>
      <c r="F2054" s="17"/>
      <c r="G2054" s="4">
        <f t="shared" si="62"/>
        <v>0</v>
      </c>
      <c r="H2054" s="17"/>
      <c r="I2054" s="4">
        <f t="shared" si="60"/>
        <v>349526.07999999996</v>
      </c>
      <c r="J2054" s="32" t="str">
        <f t="shared" si="61"/>
        <v/>
      </c>
      <c r="K2054" s="79"/>
      <c r="L2054" s="79"/>
      <c r="M2054" s="2"/>
      <c r="N2054" s="5"/>
      <c r="O2054" s="3"/>
      <c r="P2054" s="6"/>
      <c r="Q2054" s="6"/>
    </row>
    <row r="2055" spans="1:17" ht="15" customHeight="1" x14ac:dyDescent="0.25">
      <c r="A2055" s="1"/>
      <c r="B2055" s="17"/>
      <c r="C2055" s="17"/>
      <c r="D2055" s="17"/>
      <c r="E2055" s="17"/>
      <c r="F2055" s="17"/>
      <c r="G2055" s="4">
        <f t="shared" si="62"/>
        <v>0</v>
      </c>
      <c r="H2055" s="17"/>
      <c r="I2055" s="4">
        <f t="shared" si="60"/>
        <v>349526.07999999996</v>
      </c>
      <c r="J2055" s="32" t="str">
        <f t="shared" si="61"/>
        <v/>
      </c>
      <c r="K2055" s="79"/>
      <c r="L2055" s="79"/>
      <c r="M2055" s="2"/>
      <c r="N2055" s="5"/>
      <c r="O2055" s="3"/>
      <c r="P2055" s="6"/>
      <c r="Q2055" s="6"/>
    </row>
    <row r="2056" spans="1:17" ht="15" customHeight="1" x14ac:dyDescent="0.25">
      <c r="A2056" s="1"/>
      <c r="B2056" s="17"/>
      <c r="C2056" s="17"/>
      <c r="D2056" s="17"/>
      <c r="E2056" s="17"/>
      <c r="F2056" s="17"/>
      <c r="G2056" s="4">
        <f t="shared" si="62"/>
        <v>0</v>
      </c>
      <c r="H2056" s="17"/>
      <c r="I2056" s="4">
        <f t="shared" si="60"/>
        <v>349526.07999999996</v>
      </c>
      <c r="J2056" s="32" t="str">
        <f t="shared" si="61"/>
        <v/>
      </c>
      <c r="K2056" s="79"/>
      <c r="L2056" s="79"/>
      <c r="M2056" s="2"/>
      <c r="N2056" s="5"/>
      <c r="O2056" s="3"/>
      <c r="P2056" s="6"/>
      <c r="Q2056" s="6"/>
    </row>
    <row r="2057" spans="1:17" ht="15" customHeight="1" x14ac:dyDescent="0.25">
      <c r="A2057" s="1"/>
      <c r="B2057" s="17"/>
      <c r="C2057" s="17"/>
      <c r="D2057" s="17"/>
      <c r="E2057" s="17"/>
      <c r="F2057" s="17"/>
      <c r="G2057" s="4">
        <f t="shared" si="62"/>
        <v>0</v>
      </c>
      <c r="H2057" s="17"/>
      <c r="I2057" s="4">
        <f t="shared" si="60"/>
        <v>349526.07999999996</v>
      </c>
      <c r="J2057" s="32" t="str">
        <f t="shared" si="61"/>
        <v/>
      </c>
      <c r="K2057" s="79"/>
      <c r="L2057" s="79"/>
      <c r="M2057" s="2"/>
      <c r="N2057" s="5"/>
      <c r="O2057" s="3"/>
      <c r="P2057" s="6"/>
      <c r="Q2057" s="6"/>
    </row>
    <row r="2058" spans="1:17" ht="15" customHeight="1" x14ac:dyDescent="0.25">
      <c r="A2058" s="1"/>
      <c r="B2058" s="17"/>
      <c r="C2058" s="17"/>
      <c r="D2058" s="17"/>
      <c r="E2058" s="17"/>
      <c r="F2058" s="17"/>
      <c r="G2058" s="4">
        <f t="shared" si="62"/>
        <v>0</v>
      </c>
      <c r="H2058" s="17"/>
      <c r="I2058" s="4">
        <f t="shared" si="60"/>
        <v>349526.07999999996</v>
      </c>
      <c r="J2058" s="32" t="str">
        <f t="shared" si="61"/>
        <v/>
      </c>
      <c r="K2058" s="79"/>
      <c r="L2058" s="79"/>
      <c r="M2058" s="2"/>
      <c r="N2058" s="5"/>
      <c r="O2058" s="3"/>
      <c r="P2058" s="6"/>
      <c r="Q2058" s="6"/>
    </row>
    <row r="2059" spans="1:17" ht="15" customHeight="1" x14ac:dyDescent="0.25">
      <c r="A2059" s="1"/>
      <c r="B2059" s="17"/>
      <c r="C2059" s="17"/>
      <c r="D2059" s="17"/>
      <c r="E2059" s="17"/>
      <c r="F2059" s="17"/>
      <c r="G2059" s="4">
        <f t="shared" si="62"/>
        <v>0</v>
      </c>
      <c r="H2059" s="17"/>
      <c r="I2059" s="4">
        <f t="shared" si="60"/>
        <v>349526.07999999996</v>
      </c>
      <c r="J2059" s="32" t="str">
        <f t="shared" si="61"/>
        <v/>
      </c>
      <c r="K2059" s="79"/>
      <c r="L2059" s="79"/>
      <c r="M2059" s="2"/>
      <c r="N2059" s="5"/>
      <c r="O2059" s="3"/>
      <c r="P2059" s="6"/>
      <c r="Q2059" s="6"/>
    </row>
    <row r="2060" spans="1:17" ht="15" customHeight="1" x14ac:dyDescent="0.25">
      <c r="A2060" s="1"/>
      <c r="B2060" s="17"/>
      <c r="C2060" s="17"/>
      <c r="D2060" s="17"/>
      <c r="E2060" s="17"/>
      <c r="F2060" s="17"/>
      <c r="G2060" s="4">
        <f t="shared" si="62"/>
        <v>0</v>
      </c>
      <c r="H2060" s="17"/>
      <c r="I2060" s="4">
        <f t="shared" si="60"/>
        <v>349526.07999999996</v>
      </c>
      <c r="J2060" s="32" t="str">
        <f t="shared" si="61"/>
        <v/>
      </c>
      <c r="K2060" s="79"/>
      <c r="L2060" s="79"/>
      <c r="M2060" s="2"/>
      <c r="N2060" s="5"/>
      <c r="O2060" s="3"/>
      <c r="P2060" s="6"/>
      <c r="Q2060" s="6"/>
    </row>
    <row r="2061" spans="1:17" ht="15" customHeight="1" x14ac:dyDescent="0.25">
      <c r="A2061" s="1"/>
      <c r="B2061" s="17"/>
      <c r="C2061" s="17"/>
      <c r="D2061" s="17"/>
      <c r="E2061" s="17"/>
      <c r="F2061" s="17"/>
      <c r="G2061" s="4">
        <f t="shared" si="62"/>
        <v>0</v>
      </c>
      <c r="H2061" s="17"/>
      <c r="I2061" s="4">
        <f t="shared" si="60"/>
        <v>349526.07999999996</v>
      </c>
      <c r="J2061" s="32" t="str">
        <f t="shared" si="61"/>
        <v/>
      </c>
      <c r="K2061" s="79"/>
      <c r="L2061" s="79"/>
      <c r="M2061" s="2"/>
      <c r="N2061" s="5"/>
      <c r="O2061" s="3"/>
      <c r="P2061" s="6"/>
      <c r="Q2061" s="6"/>
    </row>
    <row r="2062" spans="1:17" ht="15" customHeight="1" x14ac:dyDescent="0.25">
      <c r="A2062" s="1"/>
      <c r="B2062" s="17"/>
      <c r="C2062" s="17"/>
      <c r="D2062" s="17"/>
      <c r="E2062" s="17"/>
      <c r="F2062" s="17"/>
      <c r="G2062" s="4">
        <f t="shared" si="62"/>
        <v>0</v>
      </c>
      <c r="H2062" s="17"/>
      <c r="I2062" s="4">
        <f t="shared" si="60"/>
        <v>349526.07999999996</v>
      </c>
      <c r="J2062" s="32" t="str">
        <f t="shared" si="61"/>
        <v/>
      </c>
      <c r="K2062" s="79"/>
      <c r="L2062" s="79"/>
      <c r="M2062" s="2"/>
      <c r="N2062" s="5"/>
      <c r="O2062" s="3"/>
      <c r="P2062" s="6"/>
      <c r="Q2062" s="6"/>
    </row>
    <row r="2063" spans="1:17" ht="15" customHeight="1" x14ac:dyDescent="0.25">
      <c r="A2063" s="1"/>
      <c r="B2063" s="17"/>
      <c r="C2063" s="17"/>
      <c r="D2063" s="17"/>
      <c r="E2063" s="17"/>
      <c r="F2063" s="17"/>
      <c r="G2063" s="4">
        <f t="shared" si="62"/>
        <v>0</v>
      </c>
      <c r="H2063" s="17"/>
      <c r="I2063" s="4">
        <f t="shared" si="60"/>
        <v>349526.07999999996</v>
      </c>
      <c r="J2063" s="32" t="str">
        <f t="shared" si="61"/>
        <v/>
      </c>
      <c r="K2063" s="79"/>
      <c r="L2063" s="79"/>
      <c r="M2063" s="2"/>
      <c r="N2063" s="5"/>
      <c r="O2063" s="3"/>
      <c r="P2063" s="6"/>
      <c r="Q2063" s="6"/>
    </row>
    <row r="2064" spans="1:17" ht="15" customHeight="1" x14ac:dyDescent="0.25">
      <c r="A2064" s="1"/>
      <c r="B2064" s="17"/>
      <c r="C2064" s="17"/>
      <c r="D2064" s="17"/>
      <c r="E2064" s="17"/>
      <c r="F2064" s="17"/>
      <c r="G2064" s="4">
        <f t="shared" si="62"/>
        <v>0</v>
      </c>
      <c r="H2064" s="17"/>
      <c r="I2064" s="4">
        <f t="shared" si="60"/>
        <v>349526.07999999996</v>
      </c>
      <c r="J2064" s="32" t="str">
        <f t="shared" si="61"/>
        <v/>
      </c>
      <c r="K2064" s="79"/>
      <c r="L2064" s="79"/>
      <c r="M2064" s="2"/>
      <c r="N2064" s="5"/>
      <c r="O2064" s="3"/>
      <c r="P2064" s="6"/>
      <c r="Q2064" s="6"/>
    </row>
    <row r="2065" spans="1:17" ht="15" customHeight="1" x14ac:dyDescent="0.25">
      <c r="A2065" s="1"/>
      <c r="B2065" s="17"/>
      <c r="C2065" s="17"/>
      <c r="D2065" s="17"/>
      <c r="E2065" s="17"/>
      <c r="F2065" s="17"/>
      <c r="G2065" s="4">
        <f t="shared" si="62"/>
        <v>0</v>
      </c>
      <c r="H2065" s="17"/>
      <c r="I2065" s="4">
        <f t="shared" si="60"/>
        <v>349526.07999999996</v>
      </c>
      <c r="J2065" s="32" t="str">
        <f t="shared" si="61"/>
        <v/>
      </c>
      <c r="K2065" s="79"/>
      <c r="L2065" s="79"/>
      <c r="M2065" s="2"/>
      <c r="N2065" s="5"/>
      <c r="O2065" s="3"/>
      <c r="P2065" s="6"/>
      <c r="Q2065" s="6"/>
    </row>
    <row r="2066" spans="1:17" ht="15" customHeight="1" x14ac:dyDescent="0.25">
      <c r="A2066" s="1"/>
      <c r="B2066" s="17"/>
      <c r="C2066" s="17"/>
      <c r="D2066" s="17"/>
      <c r="E2066" s="17"/>
      <c r="F2066" s="17"/>
      <c r="G2066" s="4">
        <f t="shared" si="62"/>
        <v>0</v>
      </c>
      <c r="H2066" s="17"/>
      <c r="I2066" s="4">
        <f t="shared" si="60"/>
        <v>349526.07999999996</v>
      </c>
      <c r="J2066" s="32" t="str">
        <f t="shared" si="61"/>
        <v/>
      </c>
      <c r="K2066" s="79"/>
      <c r="L2066" s="79"/>
      <c r="M2066" s="2"/>
      <c r="N2066" s="5"/>
      <c r="O2066" s="3"/>
      <c r="P2066" s="6"/>
      <c r="Q2066" s="6"/>
    </row>
    <row r="2067" spans="1:17" ht="15" customHeight="1" x14ac:dyDescent="0.25">
      <c r="A2067" s="1"/>
      <c r="B2067" s="17"/>
      <c r="C2067" s="17"/>
      <c r="D2067" s="17"/>
      <c r="E2067" s="17"/>
      <c r="F2067" s="17"/>
      <c r="G2067" s="4">
        <f t="shared" si="62"/>
        <v>0</v>
      </c>
      <c r="H2067" s="17"/>
      <c r="I2067" s="4">
        <f t="shared" si="60"/>
        <v>349526.07999999996</v>
      </c>
      <c r="J2067" s="32" t="str">
        <f t="shared" si="61"/>
        <v/>
      </c>
      <c r="K2067" s="79"/>
      <c r="L2067" s="79"/>
      <c r="M2067" s="2"/>
      <c r="N2067" s="5"/>
      <c r="O2067" s="3"/>
      <c r="P2067" s="6"/>
      <c r="Q2067" s="6"/>
    </row>
    <row r="2068" spans="1:17" ht="15" customHeight="1" x14ac:dyDescent="0.25">
      <c r="A2068" s="1"/>
      <c r="B2068" s="17"/>
      <c r="C2068" s="17"/>
      <c r="D2068" s="17"/>
      <c r="E2068" s="17"/>
      <c r="F2068" s="17"/>
      <c r="G2068" s="4">
        <f t="shared" si="62"/>
        <v>0</v>
      </c>
      <c r="H2068" s="17"/>
      <c r="I2068" s="4">
        <f t="shared" si="60"/>
        <v>349526.07999999996</v>
      </c>
      <c r="J2068" s="32" t="str">
        <f t="shared" si="61"/>
        <v/>
      </c>
      <c r="K2068" s="79"/>
      <c r="L2068" s="79"/>
      <c r="M2068" s="2"/>
      <c r="N2068" s="5"/>
      <c r="O2068" s="3"/>
      <c r="P2068" s="6"/>
      <c r="Q2068" s="6"/>
    </row>
    <row r="2069" spans="1:17" ht="15" customHeight="1" x14ac:dyDescent="0.25">
      <c r="A2069" s="1"/>
      <c r="B2069" s="17"/>
      <c r="C2069" s="17"/>
      <c r="D2069" s="17"/>
      <c r="E2069" s="17"/>
      <c r="F2069" s="17"/>
      <c r="G2069" s="4">
        <f t="shared" si="62"/>
        <v>0</v>
      </c>
      <c r="H2069" s="17"/>
      <c r="I2069" s="4">
        <f t="shared" si="60"/>
        <v>349526.07999999996</v>
      </c>
      <c r="J2069" s="32" t="str">
        <f t="shared" si="61"/>
        <v/>
      </c>
      <c r="K2069" s="79"/>
      <c r="L2069" s="79"/>
      <c r="M2069" s="2"/>
      <c r="N2069" s="5"/>
      <c r="O2069" s="3"/>
      <c r="P2069" s="6"/>
      <c r="Q2069" s="6"/>
    </row>
    <row r="2070" spans="1:17" ht="15" customHeight="1" x14ac:dyDescent="0.25">
      <c r="A2070" s="1"/>
      <c r="B2070" s="17"/>
      <c r="C2070" s="17"/>
      <c r="D2070" s="17"/>
      <c r="E2070" s="17"/>
      <c r="F2070" s="17"/>
      <c r="G2070" s="4">
        <f t="shared" si="62"/>
        <v>0</v>
      </c>
      <c r="H2070" s="17"/>
      <c r="I2070" s="4">
        <f t="shared" si="60"/>
        <v>349526.07999999996</v>
      </c>
      <c r="J2070" s="32" t="str">
        <f t="shared" si="61"/>
        <v/>
      </c>
      <c r="K2070" s="79"/>
      <c r="L2070" s="79"/>
      <c r="M2070" s="2"/>
      <c r="N2070" s="5"/>
      <c r="O2070" s="3"/>
      <c r="P2070" s="6"/>
      <c r="Q2070" s="6"/>
    </row>
    <row r="2071" spans="1:17" ht="15" customHeight="1" x14ac:dyDescent="0.25">
      <c r="A2071" s="1"/>
      <c r="B2071" s="17"/>
      <c r="C2071" s="17"/>
      <c r="D2071" s="17"/>
      <c r="E2071" s="17"/>
      <c r="F2071" s="17"/>
      <c r="G2071" s="4">
        <f t="shared" si="62"/>
        <v>0</v>
      </c>
      <c r="H2071" s="17"/>
      <c r="I2071" s="4">
        <f t="shared" si="60"/>
        <v>349526.07999999996</v>
      </c>
      <c r="J2071" s="32" t="str">
        <f t="shared" si="61"/>
        <v/>
      </c>
      <c r="K2071" s="79"/>
      <c r="L2071" s="79"/>
      <c r="M2071" s="2"/>
      <c r="N2071" s="5"/>
      <c r="O2071" s="3"/>
      <c r="P2071" s="6"/>
      <c r="Q2071" s="6"/>
    </row>
    <row r="2072" spans="1:17" ht="15" customHeight="1" x14ac:dyDescent="0.25">
      <c r="A2072" s="1"/>
      <c r="B2072" s="17"/>
      <c r="C2072" s="17"/>
      <c r="D2072" s="17"/>
      <c r="E2072" s="17"/>
      <c r="F2072" s="17"/>
      <c r="G2072" s="4">
        <f t="shared" si="62"/>
        <v>0</v>
      </c>
      <c r="H2072" s="17"/>
      <c r="I2072" s="4">
        <f t="shared" si="60"/>
        <v>349526.07999999996</v>
      </c>
      <c r="J2072" s="32" t="str">
        <f t="shared" si="61"/>
        <v/>
      </c>
      <c r="K2072" s="79"/>
      <c r="L2072" s="79"/>
      <c r="M2072" s="2"/>
      <c r="N2072" s="5"/>
      <c r="O2072" s="3"/>
      <c r="P2072" s="6"/>
      <c r="Q2072" s="6"/>
    </row>
    <row r="2073" spans="1:17" ht="15" customHeight="1" x14ac:dyDescent="0.25">
      <c r="A2073" s="1"/>
      <c r="B2073" s="17"/>
      <c r="C2073" s="17"/>
      <c r="D2073" s="17"/>
      <c r="E2073" s="17"/>
      <c r="F2073" s="17"/>
      <c r="G2073" s="4">
        <f t="shared" si="62"/>
        <v>0</v>
      </c>
      <c r="H2073" s="17"/>
      <c r="I2073" s="4">
        <f t="shared" si="60"/>
        <v>349526.07999999996</v>
      </c>
      <c r="J2073" s="32" t="str">
        <f t="shared" si="61"/>
        <v/>
      </c>
      <c r="K2073" s="79"/>
      <c r="L2073" s="79"/>
      <c r="M2073" s="2"/>
      <c r="N2073" s="5"/>
      <c r="O2073" s="3"/>
      <c r="P2073" s="6"/>
      <c r="Q2073" s="6"/>
    </row>
    <row r="2074" spans="1:17" ht="15" customHeight="1" x14ac:dyDescent="0.25">
      <c r="A2074" s="1"/>
      <c r="B2074" s="17"/>
      <c r="C2074" s="17"/>
      <c r="D2074" s="17"/>
      <c r="E2074" s="17"/>
      <c r="F2074" s="17"/>
      <c r="G2074" s="4">
        <f t="shared" si="62"/>
        <v>0</v>
      </c>
      <c r="H2074" s="17"/>
      <c r="I2074" s="4">
        <f t="shared" si="60"/>
        <v>349526.07999999996</v>
      </c>
      <c r="J2074" s="32" t="str">
        <f t="shared" si="61"/>
        <v/>
      </c>
      <c r="K2074" s="79"/>
      <c r="L2074" s="79"/>
      <c r="M2074" s="2"/>
      <c r="N2074" s="5"/>
      <c r="O2074" s="3"/>
      <c r="P2074" s="6"/>
      <c r="Q2074" s="6"/>
    </row>
    <row r="2075" spans="1:17" ht="15" customHeight="1" x14ac:dyDescent="0.25">
      <c r="A2075" s="1"/>
      <c r="B2075" s="17"/>
      <c r="C2075" s="17"/>
      <c r="D2075" s="17"/>
      <c r="E2075" s="17"/>
      <c r="F2075" s="17"/>
      <c r="G2075" s="4">
        <f t="shared" si="62"/>
        <v>0</v>
      </c>
      <c r="H2075" s="17"/>
      <c r="I2075" s="4">
        <f t="shared" si="60"/>
        <v>349526.07999999996</v>
      </c>
      <c r="J2075" s="32" t="str">
        <f t="shared" si="61"/>
        <v/>
      </c>
      <c r="K2075" s="79"/>
      <c r="L2075" s="79"/>
      <c r="M2075" s="2"/>
      <c r="N2075" s="5"/>
      <c r="O2075" s="3"/>
      <c r="P2075" s="6"/>
      <c r="Q2075" s="6"/>
    </row>
    <row r="2076" spans="1:17" ht="15" customHeight="1" x14ac:dyDescent="0.25">
      <c r="A2076" s="1"/>
      <c r="B2076" s="17"/>
      <c r="C2076" s="17"/>
      <c r="D2076" s="17"/>
      <c r="E2076" s="17"/>
      <c r="F2076" s="17"/>
      <c r="G2076" s="4">
        <f t="shared" si="62"/>
        <v>0</v>
      </c>
      <c r="H2076" s="17"/>
      <c r="I2076" s="4">
        <f t="shared" si="60"/>
        <v>349526.07999999996</v>
      </c>
      <c r="J2076" s="32" t="str">
        <f t="shared" si="61"/>
        <v/>
      </c>
      <c r="K2076" s="79"/>
      <c r="L2076" s="79"/>
      <c r="M2076" s="2"/>
      <c r="N2076" s="5"/>
      <c r="O2076" s="3"/>
      <c r="P2076" s="6"/>
      <c r="Q2076" s="6"/>
    </row>
    <row r="2077" spans="1:17" ht="15" customHeight="1" x14ac:dyDescent="0.25">
      <c r="A2077" s="1"/>
      <c r="B2077" s="17"/>
      <c r="C2077" s="17"/>
      <c r="D2077" s="17"/>
      <c r="E2077" s="17"/>
      <c r="F2077" s="17"/>
      <c r="G2077" s="4">
        <f t="shared" si="62"/>
        <v>0</v>
      </c>
      <c r="H2077" s="17"/>
      <c r="I2077" s="4">
        <f t="shared" si="60"/>
        <v>349526.07999999996</v>
      </c>
      <c r="J2077" s="32" t="str">
        <f t="shared" si="61"/>
        <v/>
      </c>
      <c r="K2077" s="79"/>
      <c r="L2077" s="79"/>
      <c r="M2077" s="2"/>
      <c r="N2077" s="5"/>
      <c r="O2077" s="3"/>
      <c r="P2077" s="6"/>
      <c r="Q2077" s="6"/>
    </row>
    <row r="2078" spans="1:17" ht="15" customHeight="1" x14ac:dyDescent="0.25">
      <c r="A2078" s="1"/>
      <c r="B2078" s="17"/>
      <c r="C2078" s="17"/>
      <c r="D2078" s="17"/>
      <c r="E2078" s="17"/>
      <c r="F2078" s="17"/>
      <c r="G2078" s="4">
        <f t="shared" si="62"/>
        <v>0</v>
      </c>
      <c r="H2078" s="17"/>
      <c r="I2078" s="4">
        <f t="shared" si="60"/>
        <v>349526.07999999996</v>
      </c>
      <c r="J2078" s="32" t="str">
        <f t="shared" si="61"/>
        <v/>
      </c>
      <c r="K2078" s="79"/>
      <c r="L2078" s="79"/>
      <c r="M2078" s="2"/>
      <c r="N2078" s="5"/>
      <c r="O2078" s="3"/>
      <c r="P2078" s="6"/>
      <c r="Q2078" s="6"/>
    </row>
    <row r="2079" spans="1:17" ht="15" customHeight="1" x14ac:dyDescent="0.25">
      <c r="A2079" s="1"/>
      <c r="B2079" s="17"/>
      <c r="C2079" s="17"/>
      <c r="D2079" s="17"/>
      <c r="E2079" s="17"/>
      <c r="F2079" s="17"/>
      <c r="G2079" s="4">
        <f t="shared" si="62"/>
        <v>0</v>
      </c>
      <c r="H2079" s="17"/>
      <c r="I2079" s="4">
        <f t="shared" si="60"/>
        <v>349526.07999999996</v>
      </c>
      <c r="J2079" s="32" t="str">
        <f t="shared" si="61"/>
        <v/>
      </c>
      <c r="K2079" s="79"/>
      <c r="L2079" s="79"/>
      <c r="M2079" s="2"/>
      <c r="N2079" s="5"/>
      <c r="O2079" s="3"/>
      <c r="P2079" s="6"/>
      <c r="Q2079" s="6"/>
    </row>
    <row r="2080" spans="1:17" ht="15" customHeight="1" x14ac:dyDescent="0.25">
      <c r="A2080" s="1"/>
      <c r="B2080" s="17"/>
      <c r="C2080" s="17"/>
      <c r="D2080" s="17"/>
      <c r="E2080" s="17"/>
      <c r="F2080" s="17"/>
      <c r="G2080" s="4">
        <f t="shared" si="62"/>
        <v>0</v>
      </c>
      <c r="H2080" s="17"/>
      <c r="I2080" s="4">
        <f t="shared" si="60"/>
        <v>349526.07999999996</v>
      </c>
      <c r="J2080" s="32" t="str">
        <f t="shared" si="61"/>
        <v/>
      </c>
      <c r="K2080" s="79"/>
      <c r="L2080" s="79"/>
      <c r="M2080" s="2"/>
      <c r="N2080" s="5"/>
      <c r="O2080" s="3"/>
      <c r="P2080" s="6"/>
      <c r="Q2080" s="6"/>
    </row>
    <row r="2081" spans="1:17" ht="15" customHeight="1" x14ac:dyDescent="0.25">
      <c r="A2081" s="1"/>
      <c r="B2081" s="17"/>
      <c r="C2081" s="17"/>
      <c r="D2081" s="17"/>
      <c r="E2081" s="17"/>
      <c r="F2081" s="17"/>
      <c r="G2081" s="4">
        <f t="shared" si="62"/>
        <v>0</v>
      </c>
      <c r="H2081" s="17"/>
      <c r="I2081" s="4">
        <f t="shared" si="60"/>
        <v>349526.07999999996</v>
      </c>
      <c r="J2081" s="32" t="str">
        <f t="shared" si="61"/>
        <v/>
      </c>
      <c r="K2081" s="79"/>
      <c r="L2081" s="79"/>
      <c r="M2081" s="2"/>
      <c r="N2081" s="5"/>
      <c r="O2081" s="3"/>
      <c r="P2081" s="6"/>
      <c r="Q2081" s="6"/>
    </row>
    <row r="2082" spans="1:17" ht="15" customHeight="1" x14ac:dyDescent="0.25">
      <c r="A2082" s="1"/>
      <c r="B2082" s="17"/>
      <c r="C2082" s="17"/>
      <c r="D2082" s="17"/>
      <c r="E2082" s="17"/>
      <c r="F2082" s="17"/>
      <c r="G2082" s="4">
        <f t="shared" si="62"/>
        <v>0</v>
      </c>
      <c r="H2082" s="17"/>
      <c r="I2082" s="4">
        <f t="shared" si="60"/>
        <v>349526.07999999996</v>
      </c>
      <c r="J2082" s="32" t="str">
        <f t="shared" si="61"/>
        <v/>
      </c>
      <c r="K2082" s="79"/>
      <c r="L2082" s="79"/>
      <c r="M2082" s="2"/>
      <c r="N2082" s="5"/>
      <c r="O2082" s="3"/>
      <c r="P2082" s="6"/>
      <c r="Q2082" s="6"/>
    </row>
    <row r="2083" spans="1:17" ht="15" customHeight="1" x14ac:dyDescent="0.25">
      <c r="A2083" s="1"/>
      <c r="B2083" s="17"/>
      <c r="C2083" s="17"/>
      <c r="D2083" s="17"/>
      <c r="E2083" s="17"/>
      <c r="F2083" s="17"/>
      <c r="G2083" s="4">
        <f t="shared" si="62"/>
        <v>0</v>
      </c>
      <c r="H2083" s="17"/>
      <c r="I2083" s="4">
        <f t="shared" si="60"/>
        <v>349526.07999999996</v>
      </c>
      <c r="J2083" s="32" t="str">
        <f t="shared" si="61"/>
        <v/>
      </c>
      <c r="K2083" s="79"/>
      <c r="L2083" s="79"/>
      <c r="M2083" s="2"/>
      <c r="N2083" s="5"/>
      <c r="O2083" s="3"/>
      <c r="P2083" s="6"/>
      <c r="Q2083" s="6"/>
    </row>
    <row r="2084" spans="1:17" ht="15" customHeight="1" x14ac:dyDescent="0.25">
      <c r="A2084" s="1"/>
      <c r="B2084" s="17"/>
      <c r="C2084" s="17"/>
      <c r="D2084" s="17"/>
      <c r="E2084" s="17"/>
      <c r="F2084" s="17"/>
      <c r="G2084" s="4">
        <f t="shared" si="62"/>
        <v>0</v>
      </c>
      <c r="H2084" s="17"/>
      <c r="I2084" s="4">
        <f t="shared" si="60"/>
        <v>349526.07999999996</v>
      </c>
      <c r="J2084" s="32" t="str">
        <f t="shared" si="61"/>
        <v/>
      </c>
      <c r="K2084" s="79"/>
      <c r="L2084" s="79"/>
      <c r="M2084" s="2"/>
      <c r="N2084" s="5"/>
      <c r="O2084" s="3"/>
      <c r="P2084" s="6"/>
      <c r="Q2084" s="6"/>
    </row>
    <row r="2085" spans="1:17" ht="15" customHeight="1" x14ac:dyDescent="0.25">
      <c r="A2085" s="1"/>
      <c r="B2085" s="17"/>
      <c r="C2085" s="17"/>
      <c r="D2085" s="17"/>
      <c r="E2085" s="17"/>
      <c r="F2085" s="17"/>
      <c r="G2085" s="4">
        <f t="shared" si="62"/>
        <v>0</v>
      </c>
      <c r="H2085" s="17"/>
      <c r="I2085" s="4">
        <f t="shared" si="60"/>
        <v>349526.07999999996</v>
      </c>
      <c r="J2085" s="32" t="str">
        <f t="shared" si="61"/>
        <v/>
      </c>
      <c r="K2085" s="79"/>
      <c r="L2085" s="79"/>
      <c r="M2085" s="2"/>
      <c r="N2085" s="5"/>
      <c r="O2085" s="3"/>
      <c r="P2085" s="6"/>
      <c r="Q2085" s="6"/>
    </row>
    <row r="2086" spans="1:17" ht="15" customHeight="1" x14ac:dyDescent="0.25">
      <c r="A2086" s="1"/>
      <c r="B2086" s="17"/>
      <c r="C2086" s="17"/>
      <c r="D2086" s="17"/>
      <c r="E2086" s="17"/>
      <c r="F2086" s="17"/>
      <c r="G2086" s="4">
        <f t="shared" si="62"/>
        <v>0</v>
      </c>
      <c r="H2086" s="17"/>
      <c r="I2086" s="4">
        <f t="shared" si="60"/>
        <v>349526.07999999996</v>
      </c>
      <c r="J2086" s="32" t="str">
        <f t="shared" si="61"/>
        <v/>
      </c>
      <c r="K2086" s="79"/>
      <c r="L2086" s="79"/>
      <c r="M2086" s="2"/>
      <c r="N2086" s="5"/>
      <c r="O2086" s="3"/>
      <c r="P2086" s="6"/>
      <c r="Q2086" s="6"/>
    </row>
    <row r="2087" spans="1:17" ht="15" customHeight="1" x14ac:dyDescent="0.25">
      <c r="A2087" s="1"/>
      <c r="B2087" s="17"/>
      <c r="C2087" s="17"/>
      <c r="D2087" s="17"/>
      <c r="E2087" s="17"/>
      <c r="F2087" s="17"/>
      <c r="G2087" s="4">
        <f t="shared" si="62"/>
        <v>0</v>
      </c>
      <c r="H2087" s="17"/>
      <c r="I2087" s="4">
        <f t="shared" si="60"/>
        <v>349526.07999999996</v>
      </c>
      <c r="J2087" s="32" t="str">
        <f t="shared" si="61"/>
        <v/>
      </c>
      <c r="K2087" s="79"/>
      <c r="L2087" s="79"/>
      <c r="M2087" s="2"/>
      <c r="N2087" s="5"/>
      <c r="O2087" s="3"/>
      <c r="P2087" s="6"/>
      <c r="Q2087" s="6"/>
    </row>
    <row r="2088" spans="1:17" ht="15" customHeight="1" x14ac:dyDescent="0.25">
      <c r="A2088" s="1"/>
      <c r="B2088" s="17"/>
      <c r="C2088" s="17"/>
      <c r="D2088" s="17"/>
      <c r="E2088" s="17"/>
      <c r="F2088" s="17"/>
      <c r="G2088" s="4">
        <f t="shared" si="62"/>
        <v>0</v>
      </c>
      <c r="H2088" s="17"/>
      <c r="I2088" s="4">
        <f t="shared" si="60"/>
        <v>349526.07999999996</v>
      </c>
      <c r="J2088" s="32" t="str">
        <f t="shared" si="61"/>
        <v/>
      </c>
      <c r="K2088" s="79"/>
      <c r="L2088" s="79"/>
      <c r="M2088" s="2"/>
      <c r="N2088" s="5"/>
      <c r="O2088" s="3"/>
      <c r="P2088" s="6"/>
      <c r="Q2088" s="6"/>
    </row>
    <row r="2089" spans="1:17" ht="15" customHeight="1" x14ac:dyDescent="0.25">
      <c r="A2089" s="1"/>
      <c r="B2089" s="17"/>
      <c r="C2089" s="17"/>
      <c r="D2089" s="17"/>
      <c r="E2089" s="17"/>
      <c r="F2089" s="17"/>
      <c r="G2089" s="4">
        <f t="shared" si="62"/>
        <v>0</v>
      </c>
      <c r="H2089" s="17"/>
      <c r="I2089" s="4">
        <f t="shared" si="60"/>
        <v>349526.07999999996</v>
      </c>
      <c r="J2089" s="32" t="str">
        <f t="shared" si="61"/>
        <v/>
      </c>
      <c r="K2089" s="79"/>
      <c r="L2089" s="79"/>
      <c r="M2089" s="2"/>
      <c r="N2089" s="5"/>
      <c r="O2089" s="3"/>
      <c r="P2089" s="6"/>
      <c r="Q2089" s="6"/>
    </row>
    <row r="2090" spans="1:17" ht="15" customHeight="1" x14ac:dyDescent="0.25">
      <c r="A2090" s="1"/>
      <c r="B2090" s="17"/>
      <c r="C2090" s="17"/>
      <c r="D2090" s="17"/>
      <c r="E2090" s="17"/>
      <c r="F2090" s="17"/>
      <c r="G2090" s="4">
        <f t="shared" si="62"/>
        <v>0</v>
      </c>
      <c r="H2090" s="17"/>
      <c r="I2090" s="4">
        <f t="shared" si="60"/>
        <v>349526.07999999996</v>
      </c>
      <c r="J2090" s="32" t="str">
        <f t="shared" si="61"/>
        <v/>
      </c>
      <c r="K2090" s="79"/>
      <c r="L2090" s="79"/>
      <c r="M2090" s="2"/>
      <c r="N2090" s="5"/>
      <c r="O2090" s="3"/>
      <c r="P2090" s="6"/>
      <c r="Q2090" s="6"/>
    </row>
    <row r="2091" spans="1:17" ht="15" customHeight="1" x14ac:dyDescent="0.25">
      <c r="A2091" s="1"/>
      <c r="B2091" s="17"/>
      <c r="C2091" s="17"/>
      <c r="D2091" s="17"/>
      <c r="E2091" s="17"/>
      <c r="F2091" s="17"/>
      <c r="G2091" s="4">
        <f t="shared" si="62"/>
        <v>0</v>
      </c>
      <c r="H2091" s="17"/>
      <c r="I2091" s="4">
        <f t="shared" si="60"/>
        <v>349526.07999999996</v>
      </c>
      <c r="J2091" s="32" t="str">
        <f t="shared" si="61"/>
        <v/>
      </c>
      <c r="K2091" s="79"/>
      <c r="L2091" s="79"/>
      <c r="M2091" s="2"/>
      <c r="N2091" s="5"/>
      <c r="O2091" s="3"/>
      <c r="P2091" s="6"/>
      <c r="Q2091" s="6"/>
    </row>
    <row r="2092" spans="1:17" ht="15" customHeight="1" x14ac:dyDescent="0.25">
      <c r="A2092" s="1"/>
      <c r="B2092" s="17"/>
      <c r="C2092" s="17"/>
      <c r="D2092" s="17"/>
      <c r="E2092" s="17"/>
      <c r="F2092" s="17"/>
      <c r="G2092" s="4">
        <f t="shared" si="62"/>
        <v>0</v>
      </c>
      <c r="H2092" s="17"/>
      <c r="I2092" s="4">
        <f t="shared" si="60"/>
        <v>349526.07999999996</v>
      </c>
      <c r="J2092" s="32" t="str">
        <f t="shared" si="61"/>
        <v/>
      </c>
      <c r="K2092" s="79"/>
      <c r="L2092" s="79"/>
      <c r="M2092" s="2"/>
      <c r="N2092" s="5"/>
      <c r="O2092" s="3"/>
      <c r="P2092" s="6"/>
      <c r="Q2092" s="6"/>
    </row>
    <row r="2093" spans="1:17" ht="15" customHeight="1" x14ac:dyDescent="0.25">
      <c r="A2093" s="1"/>
      <c r="B2093" s="17"/>
      <c r="C2093" s="17"/>
      <c r="D2093" s="17"/>
      <c r="E2093" s="17"/>
      <c r="F2093" s="17"/>
      <c r="G2093" s="4">
        <f t="shared" si="62"/>
        <v>0</v>
      </c>
      <c r="H2093" s="17"/>
      <c r="I2093" s="4">
        <f t="shared" si="60"/>
        <v>349526.07999999996</v>
      </c>
      <c r="J2093" s="32" t="str">
        <f t="shared" si="61"/>
        <v/>
      </c>
      <c r="K2093" s="79"/>
      <c r="L2093" s="79"/>
      <c r="M2093" s="2"/>
      <c r="N2093" s="5"/>
      <c r="O2093" s="3"/>
      <c r="P2093" s="6"/>
      <c r="Q2093" s="6"/>
    </row>
    <row r="2094" spans="1:17" ht="15" customHeight="1" x14ac:dyDescent="0.25">
      <c r="A2094" s="1"/>
      <c r="B2094" s="17"/>
      <c r="C2094" s="17"/>
      <c r="D2094" s="17"/>
      <c r="E2094" s="17"/>
      <c r="F2094" s="17"/>
      <c r="G2094" s="4">
        <f t="shared" si="62"/>
        <v>0</v>
      </c>
      <c r="H2094" s="17"/>
      <c r="I2094" s="4">
        <f t="shared" si="60"/>
        <v>349526.07999999996</v>
      </c>
      <c r="J2094" s="32" t="str">
        <f t="shared" si="61"/>
        <v/>
      </c>
      <c r="K2094" s="79"/>
      <c r="L2094" s="79"/>
      <c r="M2094" s="2"/>
      <c r="N2094" s="5"/>
      <c r="O2094" s="3"/>
      <c r="P2094" s="6"/>
      <c r="Q2094" s="6"/>
    </row>
    <row r="2095" spans="1:17" ht="15" customHeight="1" x14ac:dyDescent="0.25">
      <c r="A2095" s="1"/>
      <c r="B2095" s="17"/>
      <c r="C2095" s="17"/>
      <c r="D2095" s="17"/>
      <c r="E2095" s="17"/>
      <c r="F2095" s="17"/>
      <c r="G2095" s="4">
        <f t="shared" si="62"/>
        <v>0</v>
      </c>
      <c r="H2095" s="17"/>
      <c r="I2095" s="4">
        <f t="shared" si="60"/>
        <v>349526.07999999996</v>
      </c>
      <c r="J2095" s="32" t="str">
        <f t="shared" si="61"/>
        <v/>
      </c>
      <c r="K2095" s="79"/>
      <c r="L2095" s="79"/>
      <c r="M2095" s="2"/>
      <c r="N2095" s="5"/>
      <c r="O2095" s="3"/>
      <c r="P2095" s="6"/>
      <c r="Q2095" s="6"/>
    </row>
    <row r="2096" spans="1:17" ht="15" customHeight="1" x14ac:dyDescent="0.25">
      <c r="A2096" s="1"/>
      <c r="B2096" s="17"/>
      <c r="C2096" s="17"/>
      <c r="D2096" s="17"/>
      <c r="E2096" s="17"/>
      <c r="F2096" s="17"/>
      <c r="G2096" s="4">
        <f t="shared" si="62"/>
        <v>0</v>
      </c>
      <c r="H2096" s="17"/>
      <c r="I2096" s="4">
        <f t="shared" si="60"/>
        <v>349526.07999999996</v>
      </c>
      <c r="J2096" s="32" t="str">
        <f t="shared" si="61"/>
        <v/>
      </c>
      <c r="K2096" s="79"/>
      <c r="L2096" s="79"/>
      <c r="M2096" s="2"/>
      <c r="N2096" s="5"/>
      <c r="O2096" s="3"/>
      <c r="P2096" s="6"/>
      <c r="Q2096" s="6"/>
    </row>
    <row r="2097" spans="1:17" ht="15" customHeight="1" x14ac:dyDescent="0.25">
      <c r="A2097" s="1"/>
      <c r="B2097" s="17"/>
      <c r="C2097" s="17"/>
      <c r="D2097" s="17"/>
      <c r="E2097" s="17"/>
      <c r="F2097" s="17"/>
      <c r="G2097" s="4">
        <f t="shared" si="62"/>
        <v>0</v>
      </c>
      <c r="H2097" s="17"/>
      <c r="I2097" s="4">
        <f t="shared" si="60"/>
        <v>349526.07999999996</v>
      </c>
      <c r="J2097" s="32" t="str">
        <f t="shared" si="61"/>
        <v/>
      </c>
      <c r="K2097" s="79"/>
      <c r="L2097" s="79"/>
      <c r="M2097" s="2"/>
      <c r="N2097" s="5"/>
      <c r="O2097" s="3"/>
      <c r="P2097" s="6"/>
      <c r="Q2097" s="6"/>
    </row>
    <row r="2098" spans="1:17" ht="15" customHeight="1" x14ac:dyDescent="0.25">
      <c r="A2098" s="1"/>
      <c r="B2098" s="17"/>
      <c r="C2098" s="17"/>
      <c r="D2098" s="17"/>
      <c r="E2098" s="17"/>
      <c r="F2098" s="17"/>
      <c r="G2098" s="4">
        <f t="shared" si="62"/>
        <v>0</v>
      </c>
      <c r="H2098" s="17"/>
      <c r="I2098" s="4">
        <f t="shared" si="60"/>
        <v>349526.07999999996</v>
      </c>
      <c r="J2098" s="32" t="str">
        <f t="shared" si="61"/>
        <v/>
      </c>
      <c r="K2098" s="79"/>
      <c r="L2098" s="79"/>
      <c r="M2098" s="2"/>
      <c r="N2098" s="5"/>
      <c r="O2098" s="3"/>
      <c r="P2098" s="6"/>
      <c r="Q2098" s="6"/>
    </row>
    <row r="2099" spans="1:17" ht="15" customHeight="1" x14ac:dyDescent="0.25">
      <c r="A2099" s="1"/>
      <c r="B2099" s="17"/>
      <c r="C2099" s="17"/>
      <c r="D2099" s="17"/>
      <c r="E2099" s="17"/>
      <c r="F2099" s="17"/>
      <c r="G2099" s="4">
        <f t="shared" si="62"/>
        <v>0</v>
      </c>
      <c r="H2099" s="17"/>
      <c r="I2099" s="4">
        <f t="shared" si="60"/>
        <v>349526.07999999996</v>
      </c>
      <c r="J2099" s="32" t="str">
        <f t="shared" si="61"/>
        <v/>
      </c>
      <c r="K2099" s="79"/>
      <c r="L2099" s="79"/>
      <c r="M2099" s="2"/>
      <c r="N2099" s="5"/>
      <c r="O2099" s="3"/>
      <c r="P2099" s="6"/>
      <c r="Q2099" s="6"/>
    </row>
    <row r="2100" spans="1:17" ht="15" customHeight="1" x14ac:dyDescent="0.25">
      <c r="A2100" s="1"/>
      <c r="B2100" s="17"/>
      <c r="C2100" s="17"/>
      <c r="D2100" s="17"/>
      <c r="E2100" s="17"/>
      <c r="F2100" s="17"/>
      <c r="G2100" s="4">
        <f t="shared" si="62"/>
        <v>0</v>
      </c>
      <c r="H2100" s="17"/>
      <c r="I2100" s="4">
        <f t="shared" si="60"/>
        <v>349526.07999999996</v>
      </c>
      <c r="J2100" s="32" t="str">
        <f t="shared" si="61"/>
        <v/>
      </c>
      <c r="K2100" s="79"/>
      <c r="L2100" s="79"/>
      <c r="M2100" s="2"/>
      <c r="N2100" s="5"/>
      <c r="O2100" s="3"/>
      <c r="P2100" s="6"/>
      <c r="Q2100" s="6"/>
    </row>
    <row r="2101" spans="1:17" ht="15" customHeight="1" x14ac:dyDescent="0.25">
      <c r="A2101" s="1"/>
      <c r="B2101" s="17"/>
      <c r="C2101" s="17"/>
      <c r="D2101" s="17"/>
      <c r="E2101" s="17"/>
      <c r="F2101" s="17"/>
      <c r="G2101" s="4">
        <f t="shared" si="62"/>
        <v>0</v>
      </c>
      <c r="H2101" s="17"/>
      <c r="I2101" s="4">
        <f t="shared" si="60"/>
        <v>349526.07999999996</v>
      </c>
      <c r="J2101" s="32" t="str">
        <f t="shared" si="61"/>
        <v/>
      </c>
      <c r="K2101" s="79"/>
      <c r="L2101" s="79"/>
      <c r="M2101" s="2"/>
      <c r="N2101" s="5"/>
      <c r="O2101" s="3"/>
      <c r="P2101" s="6"/>
      <c r="Q2101" s="6"/>
    </row>
    <row r="2102" spans="1:17" ht="15" customHeight="1" x14ac:dyDescent="0.25">
      <c r="A2102" s="1"/>
      <c r="B2102" s="17"/>
      <c r="C2102" s="17"/>
      <c r="D2102" s="17"/>
      <c r="E2102" s="17"/>
      <c r="F2102" s="17"/>
      <c r="G2102" s="4">
        <f t="shared" si="62"/>
        <v>0</v>
      </c>
      <c r="H2102" s="17"/>
      <c r="I2102" s="4">
        <f t="shared" ref="I2102:I2165" si="63">$I2101+$G2102-$H2102</f>
        <v>349526.07999999996</v>
      </c>
      <c r="J2102" s="32" t="str">
        <f t="shared" ref="J2102:J2165" si="64">IF($A2103&lt;&gt;$A2102,$I2102,"")</f>
        <v/>
      </c>
      <c r="K2102" s="79"/>
      <c r="L2102" s="79"/>
      <c r="M2102" s="2"/>
      <c r="N2102" s="5"/>
      <c r="O2102" s="3"/>
      <c r="P2102" s="6"/>
      <c r="Q2102" s="6"/>
    </row>
    <row r="2103" spans="1:17" ht="15" customHeight="1" x14ac:dyDescent="0.25">
      <c r="A2103" s="1"/>
      <c r="B2103" s="17"/>
      <c r="C2103" s="17"/>
      <c r="D2103" s="17"/>
      <c r="E2103" s="17"/>
      <c r="F2103" s="17"/>
      <c r="G2103" s="4">
        <f t="shared" si="62"/>
        <v>0</v>
      </c>
      <c r="H2103" s="17"/>
      <c r="I2103" s="4">
        <f t="shared" si="63"/>
        <v>349526.07999999996</v>
      </c>
      <c r="J2103" s="32" t="str">
        <f t="shared" si="64"/>
        <v/>
      </c>
      <c r="K2103" s="79"/>
      <c r="L2103" s="79"/>
      <c r="M2103" s="2"/>
      <c r="N2103" s="5"/>
      <c r="O2103" s="3"/>
      <c r="P2103" s="6"/>
      <c r="Q2103" s="6"/>
    </row>
    <row r="2104" spans="1:17" ht="15" customHeight="1" x14ac:dyDescent="0.25">
      <c r="A2104" s="1"/>
      <c r="B2104" s="17"/>
      <c r="C2104" s="17"/>
      <c r="D2104" s="17"/>
      <c r="E2104" s="17"/>
      <c r="F2104" s="17"/>
      <c r="G2104" s="4">
        <f t="shared" si="62"/>
        <v>0</v>
      </c>
      <c r="H2104" s="17"/>
      <c r="I2104" s="4">
        <f t="shared" si="63"/>
        <v>349526.07999999996</v>
      </c>
      <c r="J2104" s="32" t="str">
        <f t="shared" si="64"/>
        <v/>
      </c>
      <c r="K2104" s="79"/>
      <c r="L2104" s="79"/>
      <c r="M2104" s="2"/>
      <c r="N2104" s="5"/>
      <c r="O2104" s="3"/>
      <c r="P2104" s="6"/>
      <c r="Q2104" s="6"/>
    </row>
    <row r="2105" spans="1:17" ht="15" customHeight="1" x14ac:dyDescent="0.25">
      <c r="A2105" s="1"/>
      <c r="B2105" s="17"/>
      <c r="C2105" s="17"/>
      <c r="D2105" s="17"/>
      <c r="E2105" s="17"/>
      <c r="F2105" s="17"/>
      <c r="G2105" s="4">
        <f t="shared" si="62"/>
        <v>0</v>
      </c>
      <c r="H2105" s="17"/>
      <c r="I2105" s="4">
        <f t="shared" si="63"/>
        <v>349526.07999999996</v>
      </c>
      <c r="J2105" s="32" t="str">
        <f t="shared" si="64"/>
        <v/>
      </c>
      <c r="K2105" s="79"/>
      <c r="L2105" s="79"/>
      <c r="M2105" s="2"/>
      <c r="N2105" s="5"/>
      <c r="O2105" s="3"/>
      <c r="P2105" s="6"/>
      <c r="Q2105" s="6"/>
    </row>
    <row r="2106" spans="1:17" ht="15" customHeight="1" x14ac:dyDescent="0.25">
      <c r="A2106" s="1"/>
      <c r="B2106" s="17"/>
      <c r="C2106" s="17"/>
      <c r="D2106" s="17"/>
      <c r="E2106" s="17"/>
      <c r="F2106" s="17"/>
      <c r="G2106" s="4">
        <f t="shared" si="62"/>
        <v>0</v>
      </c>
      <c r="H2106" s="17"/>
      <c r="I2106" s="4">
        <f t="shared" si="63"/>
        <v>349526.07999999996</v>
      </c>
      <c r="J2106" s="32" t="str">
        <f t="shared" si="64"/>
        <v/>
      </c>
      <c r="K2106" s="79"/>
      <c r="L2106" s="79"/>
      <c r="M2106" s="2"/>
      <c r="N2106" s="5"/>
      <c r="O2106" s="3"/>
      <c r="P2106" s="6"/>
      <c r="Q2106" s="6"/>
    </row>
    <row r="2107" spans="1:17" ht="15" customHeight="1" x14ac:dyDescent="0.25">
      <c r="A2107" s="1"/>
      <c r="B2107" s="17"/>
      <c r="C2107" s="17"/>
      <c r="D2107" s="17"/>
      <c r="E2107" s="17"/>
      <c r="F2107" s="17"/>
      <c r="G2107" s="4">
        <f t="shared" si="62"/>
        <v>0</v>
      </c>
      <c r="H2107" s="17"/>
      <c r="I2107" s="4">
        <f t="shared" si="63"/>
        <v>349526.07999999996</v>
      </c>
      <c r="J2107" s="32" t="str">
        <f t="shared" si="64"/>
        <v/>
      </c>
      <c r="K2107" s="79"/>
      <c r="L2107" s="79"/>
      <c r="M2107" s="2"/>
      <c r="N2107" s="5"/>
      <c r="O2107" s="3"/>
      <c r="P2107" s="6"/>
      <c r="Q2107" s="6"/>
    </row>
    <row r="2108" spans="1:17" ht="15" customHeight="1" x14ac:dyDescent="0.25">
      <c r="A2108" s="1"/>
      <c r="B2108" s="17"/>
      <c r="C2108" s="17"/>
      <c r="D2108" s="17"/>
      <c r="E2108" s="17"/>
      <c r="F2108" s="17"/>
      <c r="G2108" s="4">
        <f t="shared" si="62"/>
        <v>0</v>
      </c>
      <c r="H2108" s="17"/>
      <c r="I2108" s="4">
        <f t="shared" si="63"/>
        <v>349526.07999999996</v>
      </c>
      <c r="J2108" s="32" t="str">
        <f t="shared" si="64"/>
        <v/>
      </c>
      <c r="K2108" s="79"/>
      <c r="L2108" s="79"/>
      <c r="M2108" s="2"/>
      <c r="N2108" s="5"/>
      <c r="O2108" s="3"/>
      <c r="P2108" s="6"/>
      <c r="Q2108" s="6"/>
    </row>
    <row r="2109" spans="1:17" ht="15" customHeight="1" x14ac:dyDescent="0.25">
      <c r="A2109" s="1"/>
      <c r="B2109" s="17"/>
      <c r="C2109" s="17"/>
      <c r="D2109" s="17"/>
      <c r="E2109" s="17"/>
      <c r="F2109" s="17"/>
      <c r="G2109" s="4">
        <f t="shared" si="62"/>
        <v>0</v>
      </c>
      <c r="H2109" s="17"/>
      <c r="I2109" s="4">
        <f t="shared" si="63"/>
        <v>349526.07999999996</v>
      </c>
      <c r="J2109" s="32" t="str">
        <f t="shared" si="64"/>
        <v/>
      </c>
      <c r="K2109" s="79"/>
      <c r="L2109" s="79"/>
      <c r="M2109" s="2"/>
      <c r="N2109" s="5"/>
      <c r="O2109" s="3"/>
      <c r="P2109" s="6"/>
      <c r="Q2109" s="6"/>
    </row>
    <row r="2110" spans="1:17" ht="15" customHeight="1" x14ac:dyDescent="0.25">
      <c r="A2110" s="1"/>
      <c r="B2110" s="17"/>
      <c r="C2110" s="17"/>
      <c r="D2110" s="17"/>
      <c r="E2110" s="17"/>
      <c r="F2110" s="17"/>
      <c r="G2110" s="4">
        <f t="shared" si="62"/>
        <v>0</v>
      </c>
      <c r="H2110" s="17"/>
      <c r="I2110" s="4">
        <f t="shared" si="63"/>
        <v>349526.07999999996</v>
      </c>
      <c r="J2110" s="32" t="str">
        <f t="shared" si="64"/>
        <v/>
      </c>
      <c r="K2110" s="79"/>
      <c r="L2110" s="79"/>
      <c r="M2110" s="2"/>
      <c r="N2110" s="5"/>
      <c r="O2110" s="3"/>
      <c r="P2110" s="6"/>
      <c r="Q2110" s="6"/>
    </row>
    <row r="2111" spans="1:17" ht="15" customHeight="1" x14ac:dyDescent="0.25">
      <c r="A2111" s="1"/>
      <c r="B2111" s="17"/>
      <c r="C2111" s="17"/>
      <c r="D2111" s="17"/>
      <c r="E2111" s="17"/>
      <c r="F2111" s="17"/>
      <c r="G2111" s="4">
        <f t="shared" si="62"/>
        <v>0</v>
      </c>
      <c r="H2111" s="17"/>
      <c r="I2111" s="4">
        <f t="shared" si="63"/>
        <v>349526.07999999996</v>
      </c>
      <c r="J2111" s="32" t="str">
        <f t="shared" si="64"/>
        <v/>
      </c>
      <c r="K2111" s="79"/>
      <c r="L2111" s="79"/>
      <c r="M2111" s="2"/>
      <c r="N2111" s="5"/>
      <c r="O2111" s="3"/>
      <c r="P2111" s="6"/>
      <c r="Q2111" s="6"/>
    </row>
    <row r="2112" spans="1:17" ht="15" customHeight="1" x14ac:dyDescent="0.25">
      <c r="A2112" s="1"/>
      <c r="B2112" s="17"/>
      <c r="C2112" s="17"/>
      <c r="D2112" s="17"/>
      <c r="E2112" s="17"/>
      <c r="F2112" s="17"/>
      <c r="G2112" s="4">
        <f t="shared" si="62"/>
        <v>0</v>
      </c>
      <c r="H2112" s="17"/>
      <c r="I2112" s="4">
        <f t="shared" si="63"/>
        <v>349526.07999999996</v>
      </c>
      <c r="J2112" s="32" t="str">
        <f t="shared" si="64"/>
        <v/>
      </c>
      <c r="K2112" s="79"/>
      <c r="L2112" s="79"/>
      <c r="M2112" s="2"/>
      <c r="N2112" s="5"/>
      <c r="O2112" s="3"/>
      <c r="P2112" s="6"/>
      <c r="Q2112" s="6"/>
    </row>
    <row r="2113" spans="1:17" ht="15" customHeight="1" x14ac:dyDescent="0.25">
      <c r="A2113" s="1"/>
      <c r="B2113" s="17"/>
      <c r="C2113" s="17"/>
      <c r="D2113" s="17"/>
      <c r="E2113" s="17"/>
      <c r="F2113" s="17"/>
      <c r="G2113" s="4">
        <f t="shared" si="62"/>
        <v>0</v>
      </c>
      <c r="H2113" s="17"/>
      <c r="I2113" s="4">
        <f t="shared" si="63"/>
        <v>349526.07999999996</v>
      </c>
      <c r="J2113" s="32" t="str">
        <f t="shared" si="64"/>
        <v/>
      </c>
      <c r="K2113" s="79"/>
      <c r="L2113" s="79"/>
      <c r="M2113" s="2"/>
      <c r="N2113" s="5"/>
      <c r="O2113" s="3"/>
      <c r="P2113" s="6"/>
      <c r="Q2113" s="6"/>
    </row>
    <row r="2114" spans="1:17" ht="15" customHeight="1" x14ac:dyDescent="0.25">
      <c r="A2114" s="1"/>
      <c r="B2114" s="17"/>
      <c r="C2114" s="17"/>
      <c r="D2114" s="17"/>
      <c r="E2114" s="17"/>
      <c r="F2114" s="17"/>
      <c r="G2114" s="4">
        <f t="shared" si="62"/>
        <v>0</v>
      </c>
      <c r="H2114" s="17"/>
      <c r="I2114" s="4">
        <f t="shared" si="63"/>
        <v>349526.07999999996</v>
      </c>
      <c r="J2114" s="32" t="str">
        <f t="shared" si="64"/>
        <v/>
      </c>
      <c r="K2114" s="79"/>
      <c r="L2114" s="79"/>
      <c r="M2114" s="2"/>
      <c r="N2114" s="5"/>
      <c r="O2114" s="3"/>
      <c r="P2114" s="6"/>
      <c r="Q2114" s="6"/>
    </row>
    <row r="2115" spans="1:17" ht="15" customHeight="1" x14ac:dyDescent="0.25">
      <c r="A2115" s="1"/>
      <c r="B2115" s="17"/>
      <c r="C2115" s="17"/>
      <c r="D2115" s="17"/>
      <c r="E2115" s="17"/>
      <c r="F2115" s="17"/>
      <c r="G2115" s="4">
        <f t="shared" ref="G2115:G2178" si="65">SUM($B2115:$F2115)</f>
        <v>0</v>
      </c>
      <c r="H2115" s="17"/>
      <c r="I2115" s="4">
        <f t="shared" si="63"/>
        <v>349526.07999999996</v>
      </c>
      <c r="J2115" s="32" t="str">
        <f t="shared" si="64"/>
        <v/>
      </c>
      <c r="K2115" s="79"/>
      <c r="L2115" s="79"/>
      <c r="M2115" s="2"/>
      <c r="N2115" s="5"/>
      <c r="O2115" s="3"/>
      <c r="P2115" s="6"/>
      <c r="Q2115" s="6"/>
    </row>
    <row r="2116" spans="1:17" ht="15" customHeight="1" x14ac:dyDescent="0.25">
      <c r="A2116" s="1"/>
      <c r="B2116" s="17"/>
      <c r="C2116" s="17"/>
      <c r="D2116" s="17"/>
      <c r="E2116" s="17"/>
      <c r="F2116" s="17"/>
      <c r="G2116" s="4">
        <f t="shared" si="65"/>
        <v>0</v>
      </c>
      <c r="H2116" s="17"/>
      <c r="I2116" s="4">
        <f t="shared" si="63"/>
        <v>349526.07999999996</v>
      </c>
      <c r="J2116" s="32" t="str">
        <f t="shared" si="64"/>
        <v/>
      </c>
      <c r="K2116" s="79"/>
      <c r="L2116" s="79"/>
      <c r="M2116" s="2"/>
      <c r="N2116" s="5"/>
      <c r="O2116" s="3"/>
      <c r="P2116" s="6"/>
      <c r="Q2116" s="6"/>
    </row>
    <row r="2117" spans="1:17" ht="15" customHeight="1" x14ac:dyDescent="0.25">
      <c r="A2117" s="1"/>
      <c r="B2117" s="17"/>
      <c r="C2117" s="17"/>
      <c r="D2117" s="17"/>
      <c r="E2117" s="17"/>
      <c r="F2117" s="17"/>
      <c r="G2117" s="4">
        <f t="shared" si="65"/>
        <v>0</v>
      </c>
      <c r="H2117" s="17"/>
      <c r="I2117" s="4">
        <f t="shared" si="63"/>
        <v>349526.07999999996</v>
      </c>
      <c r="J2117" s="32" t="str">
        <f t="shared" si="64"/>
        <v/>
      </c>
      <c r="K2117" s="79"/>
      <c r="L2117" s="79"/>
      <c r="M2117" s="2"/>
      <c r="N2117" s="5"/>
      <c r="O2117" s="3"/>
      <c r="P2117" s="6"/>
      <c r="Q2117" s="6"/>
    </row>
    <row r="2118" spans="1:17" ht="15" customHeight="1" x14ac:dyDescent="0.25">
      <c r="A2118" s="1"/>
      <c r="B2118" s="17"/>
      <c r="C2118" s="17"/>
      <c r="D2118" s="17"/>
      <c r="E2118" s="17"/>
      <c r="F2118" s="17"/>
      <c r="G2118" s="4">
        <f t="shared" si="65"/>
        <v>0</v>
      </c>
      <c r="H2118" s="17"/>
      <c r="I2118" s="4">
        <f t="shared" si="63"/>
        <v>349526.07999999996</v>
      </c>
      <c r="J2118" s="32" t="str">
        <f t="shared" si="64"/>
        <v/>
      </c>
      <c r="K2118" s="79"/>
      <c r="L2118" s="79"/>
      <c r="M2118" s="2"/>
      <c r="N2118" s="5"/>
      <c r="O2118" s="3"/>
      <c r="P2118" s="6"/>
      <c r="Q2118" s="6"/>
    </row>
    <row r="2119" spans="1:17" ht="15" customHeight="1" x14ac:dyDescent="0.25">
      <c r="A2119" s="1"/>
      <c r="B2119" s="17"/>
      <c r="C2119" s="17"/>
      <c r="D2119" s="17"/>
      <c r="E2119" s="17"/>
      <c r="F2119" s="17"/>
      <c r="G2119" s="4">
        <f t="shared" si="65"/>
        <v>0</v>
      </c>
      <c r="H2119" s="17"/>
      <c r="I2119" s="4">
        <f t="shared" si="63"/>
        <v>349526.07999999996</v>
      </c>
      <c r="J2119" s="32" t="str">
        <f t="shared" si="64"/>
        <v/>
      </c>
      <c r="K2119" s="79"/>
      <c r="L2119" s="79"/>
      <c r="M2119" s="2"/>
      <c r="N2119" s="5"/>
      <c r="O2119" s="3"/>
      <c r="P2119" s="6"/>
      <c r="Q2119" s="6"/>
    </row>
    <row r="2120" spans="1:17" ht="15" customHeight="1" x14ac:dyDescent="0.25">
      <c r="A2120" s="1"/>
      <c r="B2120" s="17"/>
      <c r="C2120" s="17"/>
      <c r="D2120" s="17"/>
      <c r="E2120" s="17"/>
      <c r="F2120" s="17"/>
      <c r="G2120" s="4">
        <f t="shared" si="65"/>
        <v>0</v>
      </c>
      <c r="H2120" s="17"/>
      <c r="I2120" s="4">
        <f t="shared" si="63"/>
        <v>349526.07999999996</v>
      </c>
      <c r="J2120" s="32" t="str">
        <f t="shared" si="64"/>
        <v/>
      </c>
      <c r="K2120" s="79"/>
      <c r="L2120" s="79"/>
      <c r="M2120" s="2"/>
      <c r="N2120" s="5"/>
      <c r="O2120" s="3"/>
      <c r="P2120" s="6"/>
      <c r="Q2120" s="6"/>
    </row>
    <row r="2121" spans="1:17" ht="15" customHeight="1" x14ac:dyDescent="0.25">
      <c r="A2121" s="1"/>
      <c r="B2121" s="17"/>
      <c r="C2121" s="17"/>
      <c r="D2121" s="17"/>
      <c r="E2121" s="17"/>
      <c r="F2121" s="17"/>
      <c r="G2121" s="4">
        <f t="shared" si="65"/>
        <v>0</v>
      </c>
      <c r="H2121" s="17"/>
      <c r="I2121" s="4">
        <f t="shared" si="63"/>
        <v>349526.07999999996</v>
      </c>
      <c r="J2121" s="32" t="str">
        <f t="shared" si="64"/>
        <v/>
      </c>
      <c r="K2121" s="79"/>
      <c r="L2121" s="79"/>
      <c r="M2121" s="2"/>
      <c r="N2121" s="5"/>
      <c r="O2121" s="3"/>
      <c r="P2121" s="6"/>
      <c r="Q2121" s="6"/>
    </row>
    <row r="2122" spans="1:17" ht="15" customHeight="1" x14ac:dyDescent="0.25">
      <c r="A2122" s="1"/>
      <c r="B2122" s="17"/>
      <c r="C2122" s="17"/>
      <c r="D2122" s="17"/>
      <c r="E2122" s="17"/>
      <c r="F2122" s="17"/>
      <c r="G2122" s="4">
        <f t="shared" si="65"/>
        <v>0</v>
      </c>
      <c r="H2122" s="17"/>
      <c r="I2122" s="4">
        <f t="shared" si="63"/>
        <v>349526.07999999996</v>
      </c>
      <c r="J2122" s="32" t="str">
        <f t="shared" si="64"/>
        <v/>
      </c>
      <c r="K2122" s="79"/>
      <c r="L2122" s="79"/>
      <c r="M2122" s="2"/>
      <c r="N2122" s="5"/>
      <c r="O2122" s="3"/>
      <c r="P2122" s="6"/>
      <c r="Q2122" s="6"/>
    </row>
    <row r="2123" spans="1:17" ht="15" customHeight="1" x14ac:dyDescent="0.25">
      <c r="A2123" s="1"/>
      <c r="B2123" s="17"/>
      <c r="C2123" s="17"/>
      <c r="D2123" s="17"/>
      <c r="E2123" s="17"/>
      <c r="F2123" s="17"/>
      <c r="G2123" s="4">
        <f t="shared" si="65"/>
        <v>0</v>
      </c>
      <c r="H2123" s="17"/>
      <c r="I2123" s="4">
        <f t="shared" si="63"/>
        <v>349526.07999999996</v>
      </c>
      <c r="J2123" s="32" t="str">
        <f t="shared" si="64"/>
        <v/>
      </c>
      <c r="K2123" s="79"/>
      <c r="L2123" s="79"/>
      <c r="M2123" s="2"/>
      <c r="N2123" s="5"/>
      <c r="O2123" s="3"/>
      <c r="P2123" s="6"/>
      <c r="Q2123" s="6"/>
    </row>
    <row r="2124" spans="1:17" ht="15" customHeight="1" x14ac:dyDescent="0.25">
      <c r="A2124" s="1"/>
      <c r="B2124" s="17"/>
      <c r="C2124" s="17"/>
      <c r="D2124" s="17"/>
      <c r="E2124" s="17"/>
      <c r="F2124" s="17"/>
      <c r="G2124" s="4">
        <f t="shared" si="65"/>
        <v>0</v>
      </c>
      <c r="H2124" s="17"/>
      <c r="I2124" s="4">
        <f t="shared" si="63"/>
        <v>349526.07999999996</v>
      </c>
      <c r="J2124" s="32" t="str">
        <f t="shared" si="64"/>
        <v/>
      </c>
      <c r="K2124" s="79"/>
      <c r="L2124" s="79"/>
      <c r="M2124" s="2"/>
      <c r="N2124" s="5"/>
      <c r="O2124" s="3"/>
      <c r="P2124" s="6"/>
      <c r="Q2124" s="6"/>
    </row>
    <row r="2125" spans="1:17" ht="15" customHeight="1" x14ac:dyDescent="0.25">
      <c r="A2125" s="1"/>
      <c r="B2125" s="17"/>
      <c r="C2125" s="17"/>
      <c r="D2125" s="17"/>
      <c r="E2125" s="17"/>
      <c r="F2125" s="17"/>
      <c r="G2125" s="4">
        <f t="shared" si="65"/>
        <v>0</v>
      </c>
      <c r="H2125" s="17"/>
      <c r="I2125" s="4">
        <f t="shared" si="63"/>
        <v>349526.07999999996</v>
      </c>
      <c r="J2125" s="32" t="str">
        <f t="shared" si="64"/>
        <v/>
      </c>
      <c r="K2125" s="79"/>
      <c r="L2125" s="79"/>
      <c r="M2125" s="2"/>
      <c r="N2125" s="5"/>
      <c r="O2125" s="3"/>
      <c r="P2125" s="6"/>
      <c r="Q2125" s="6"/>
    </row>
    <row r="2126" spans="1:17" ht="15" customHeight="1" x14ac:dyDescent="0.25">
      <c r="A2126" s="1"/>
      <c r="B2126" s="17"/>
      <c r="C2126" s="17"/>
      <c r="D2126" s="17"/>
      <c r="E2126" s="17"/>
      <c r="F2126" s="17"/>
      <c r="G2126" s="4">
        <f t="shared" si="65"/>
        <v>0</v>
      </c>
      <c r="H2126" s="17"/>
      <c r="I2126" s="4">
        <f t="shared" si="63"/>
        <v>349526.07999999996</v>
      </c>
      <c r="J2126" s="32" t="str">
        <f t="shared" si="64"/>
        <v/>
      </c>
      <c r="K2126" s="79"/>
      <c r="L2126" s="79"/>
      <c r="M2126" s="2"/>
      <c r="N2126" s="5"/>
      <c r="O2126" s="3"/>
      <c r="P2126" s="6"/>
      <c r="Q2126" s="6"/>
    </row>
    <row r="2127" spans="1:17" ht="15" customHeight="1" x14ac:dyDescent="0.25">
      <c r="A2127" s="1"/>
      <c r="B2127" s="17"/>
      <c r="C2127" s="17"/>
      <c r="D2127" s="17"/>
      <c r="E2127" s="17"/>
      <c r="F2127" s="17"/>
      <c r="G2127" s="4">
        <f t="shared" si="65"/>
        <v>0</v>
      </c>
      <c r="H2127" s="17"/>
      <c r="I2127" s="4">
        <f t="shared" si="63"/>
        <v>349526.07999999996</v>
      </c>
      <c r="J2127" s="32" t="str">
        <f t="shared" si="64"/>
        <v/>
      </c>
      <c r="K2127" s="79"/>
      <c r="L2127" s="79"/>
      <c r="M2127" s="2"/>
      <c r="N2127" s="5"/>
      <c r="O2127" s="3"/>
      <c r="P2127" s="6"/>
      <c r="Q2127" s="6"/>
    </row>
    <row r="2128" spans="1:17" ht="15" customHeight="1" x14ac:dyDescent="0.25">
      <c r="A2128" s="1"/>
      <c r="B2128" s="17"/>
      <c r="C2128" s="17"/>
      <c r="D2128" s="17"/>
      <c r="E2128" s="17"/>
      <c r="F2128" s="17"/>
      <c r="G2128" s="4">
        <f t="shared" si="65"/>
        <v>0</v>
      </c>
      <c r="H2128" s="17"/>
      <c r="I2128" s="4">
        <f t="shared" si="63"/>
        <v>349526.07999999996</v>
      </c>
      <c r="J2128" s="32" t="str">
        <f t="shared" si="64"/>
        <v/>
      </c>
      <c r="K2128" s="79"/>
      <c r="L2128" s="79"/>
      <c r="M2128" s="2"/>
      <c r="N2128" s="5"/>
      <c r="O2128" s="3"/>
      <c r="P2128" s="6"/>
      <c r="Q2128" s="6"/>
    </row>
    <row r="2129" spans="1:17" ht="15" customHeight="1" x14ac:dyDescent="0.25">
      <c r="A2129" s="1"/>
      <c r="B2129" s="17"/>
      <c r="C2129" s="17"/>
      <c r="D2129" s="17"/>
      <c r="E2129" s="17"/>
      <c r="F2129" s="17"/>
      <c r="G2129" s="4">
        <f t="shared" si="65"/>
        <v>0</v>
      </c>
      <c r="H2129" s="17"/>
      <c r="I2129" s="4">
        <f t="shared" si="63"/>
        <v>349526.07999999996</v>
      </c>
      <c r="J2129" s="32" t="str">
        <f t="shared" si="64"/>
        <v/>
      </c>
      <c r="K2129" s="79"/>
      <c r="L2129" s="79"/>
      <c r="M2129" s="2"/>
      <c r="N2129" s="5"/>
      <c r="O2129" s="3"/>
      <c r="P2129" s="6"/>
      <c r="Q2129" s="6"/>
    </row>
    <row r="2130" spans="1:17" ht="15" customHeight="1" x14ac:dyDescent="0.25">
      <c r="A2130" s="1"/>
      <c r="B2130" s="17"/>
      <c r="C2130" s="17"/>
      <c r="D2130" s="17"/>
      <c r="E2130" s="17"/>
      <c r="F2130" s="17"/>
      <c r="G2130" s="4">
        <f t="shared" si="65"/>
        <v>0</v>
      </c>
      <c r="H2130" s="17"/>
      <c r="I2130" s="4">
        <f t="shared" si="63"/>
        <v>349526.07999999996</v>
      </c>
      <c r="J2130" s="32" t="str">
        <f t="shared" si="64"/>
        <v/>
      </c>
      <c r="K2130" s="79"/>
      <c r="L2130" s="79"/>
      <c r="M2130" s="2"/>
      <c r="N2130" s="5"/>
      <c r="O2130" s="3"/>
      <c r="P2130" s="6"/>
      <c r="Q2130" s="6"/>
    </row>
    <row r="2131" spans="1:17" ht="15" customHeight="1" x14ac:dyDescent="0.25">
      <c r="A2131" s="1"/>
      <c r="B2131" s="17"/>
      <c r="C2131" s="17"/>
      <c r="D2131" s="17"/>
      <c r="E2131" s="17"/>
      <c r="F2131" s="17"/>
      <c r="G2131" s="4">
        <f t="shared" si="65"/>
        <v>0</v>
      </c>
      <c r="H2131" s="17"/>
      <c r="I2131" s="4">
        <f t="shared" si="63"/>
        <v>349526.07999999996</v>
      </c>
      <c r="J2131" s="32" t="str">
        <f t="shared" si="64"/>
        <v/>
      </c>
      <c r="K2131" s="79"/>
      <c r="L2131" s="79"/>
      <c r="M2131" s="2"/>
      <c r="N2131" s="5"/>
      <c r="O2131" s="3"/>
      <c r="P2131" s="6"/>
      <c r="Q2131" s="6"/>
    </row>
    <row r="2132" spans="1:17" ht="15" customHeight="1" x14ac:dyDescent="0.25">
      <c r="A2132" s="1"/>
      <c r="B2132" s="17"/>
      <c r="C2132" s="17"/>
      <c r="D2132" s="17"/>
      <c r="E2132" s="17"/>
      <c r="F2132" s="17"/>
      <c r="G2132" s="4">
        <f t="shared" si="65"/>
        <v>0</v>
      </c>
      <c r="H2132" s="17"/>
      <c r="I2132" s="4">
        <f t="shared" si="63"/>
        <v>349526.07999999996</v>
      </c>
      <c r="J2132" s="32" t="str">
        <f t="shared" si="64"/>
        <v/>
      </c>
      <c r="K2132" s="79"/>
      <c r="L2132" s="79"/>
      <c r="M2132" s="2"/>
      <c r="N2132" s="5"/>
      <c r="O2132" s="3"/>
      <c r="P2132" s="6"/>
      <c r="Q2132" s="6"/>
    </row>
    <row r="2133" spans="1:17" ht="15" customHeight="1" x14ac:dyDescent="0.25">
      <c r="A2133" s="1"/>
      <c r="B2133" s="17"/>
      <c r="C2133" s="17"/>
      <c r="D2133" s="17"/>
      <c r="E2133" s="17"/>
      <c r="F2133" s="17"/>
      <c r="G2133" s="4">
        <f t="shared" si="65"/>
        <v>0</v>
      </c>
      <c r="H2133" s="17"/>
      <c r="I2133" s="4">
        <f t="shared" si="63"/>
        <v>349526.07999999996</v>
      </c>
      <c r="J2133" s="32" t="str">
        <f t="shared" si="64"/>
        <v/>
      </c>
      <c r="K2133" s="79"/>
      <c r="L2133" s="79"/>
      <c r="M2133" s="2"/>
      <c r="N2133" s="5"/>
      <c r="O2133" s="3"/>
      <c r="P2133" s="6"/>
      <c r="Q2133" s="6"/>
    </row>
    <row r="2134" spans="1:17" ht="15" customHeight="1" x14ac:dyDescent="0.25">
      <c r="A2134" s="1"/>
      <c r="B2134" s="17"/>
      <c r="C2134" s="17"/>
      <c r="D2134" s="17"/>
      <c r="E2134" s="17"/>
      <c r="F2134" s="17"/>
      <c r="G2134" s="4">
        <f t="shared" si="65"/>
        <v>0</v>
      </c>
      <c r="H2134" s="17"/>
      <c r="I2134" s="4">
        <f t="shared" si="63"/>
        <v>349526.07999999996</v>
      </c>
      <c r="J2134" s="32" t="str">
        <f t="shared" si="64"/>
        <v/>
      </c>
      <c r="K2134" s="79"/>
      <c r="L2134" s="79"/>
      <c r="M2134" s="2"/>
      <c r="N2134" s="5"/>
      <c r="O2134" s="3"/>
      <c r="P2134" s="6"/>
      <c r="Q2134" s="6"/>
    </row>
    <row r="2135" spans="1:17" ht="15" customHeight="1" x14ac:dyDescent="0.25">
      <c r="A2135" s="1"/>
      <c r="B2135" s="17"/>
      <c r="C2135" s="17"/>
      <c r="D2135" s="17"/>
      <c r="E2135" s="17"/>
      <c r="F2135" s="17"/>
      <c r="G2135" s="4">
        <f t="shared" si="65"/>
        <v>0</v>
      </c>
      <c r="H2135" s="17"/>
      <c r="I2135" s="4">
        <f t="shared" si="63"/>
        <v>349526.07999999996</v>
      </c>
      <c r="J2135" s="32" t="str">
        <f t="shared" si="64"/>
        <v/>
      </c>
      <c r="K2135" s="79"/>
      <c r="L2135" s="79"/>
      <c r="M2135" s="2"/>
      <c r="N2135" s="5"/>
      <c r="O2135" s="3"/>
      <c r="P2135" s="6"/>
      <c r="Q2135" s="6"/>
    </row>
    <row r="2136" spans="1:17" ht="15" customHeight="1" x14ac:dyDescent="0.25">
      <c r="A2136" s="1"/>
      <c r="B2136" s="17"/>
      <c r="C2136" s="17"/>
      <c r="D2136" s="17"/>
      <c r="E2136" s="17"/>
      <c r="F2136" s="17"/>
      <c r="G2136" s="4">
        <f t="shared" si="65"/>
        <v>0</v>
      </c>
      <c r="H2136" s="17"/>
      <c r="I2136" s="4">
        <f t="shared" si="63"/>
        <v>349526.07999999996</v>
      </c>
      <c r="J2136" s="32" t="str">
        <f t="shared" si="64"/>
        <v/>
      </c>
      <c r="K2136" s="79"/>
      <c r="L2136" s="79"/>
      <c r="M2136" s="2"/>
      <c r="N2136" s="5"/>
      <c r="O2136" s="3"/>
      <c r="P2136" s="6"/>
      <c r="Q2136" s="6"/>
    </row>
    <row r="2137" spans="1:17" ht="15" customHeight="1" x14ac:dyDescent="0.25">
      <c r="A2137" s="1"/>
      <c r="B2137" s="17"/>
      <c r="C2137" s="17"/>
      <c r="D2137" s="17"/>
      <c r="E2137" s="17"/>
      <c r="F2137" s="17"/>
      <c r="G2137" s="4">
        <f t="shared" si="65"/>
        <v>0</v>
      </c>
      <c r="H2137" s="17"/>
      <c r="I2137" s="4">
        <f t="shared" si="63"/>
        <v>349526.07999999996</v>
      </c>
      <c r="J2137" s="32" t="str">
        <f t="shared" si="64"/>
        <v/>
      </c>
      <c r="K2137" s="79"/>
      <c r="L2137" s="79"/>
      <c r="M2137" s="2"/>
      <c r="N2137" s="5"/>
      <c r="O2137" s="3"/>
      <c r="P2137" s="6"/>
      <c r="Q2137" s="6"/>
    </row>
    <row r="2138" spans="1:17" ht="15" customHeight="1" x14ac:dyDescent="0.25">
      <c r="A2138" s="1"/>
      <c r="B2138" s="17"/>
      <c r="C2138" s="17"/>
      <c r="D2138" s="17"/>
      <c r="E2138" s="17"/>
      <c r="F2138" s="17"/>
      <c r="G2138" s="4">
        <f t="shared" si="65"/>
        <v>0</v>
      </c>
      <c r="H2138" s="17"/>
      <c r="I2138" s="4">
        <f t="shared" si="63"/>
        <v>349526.07999999996</v>
      </c>
      <c r="J2138" s="32" t="str">
        <f t="shared" si="64"/>
        <v/>
      </c>
      <c r="K2138" s="79"/>
      <c r="L2138" s="79"/>
      <c r="M2138" s="2"/>
      <c r="N2138" s="5"/>
      <c r="O2138" s="3"/>
      <c r="P2138" s="6"/>
      <c r="Q2138" s="6"/>
    </row>
    <row r="2139" spans="1:17" ht="15" customHeight="1" x14ac:dyDescent="0.25">
      <c r="A2139" s="1"/>
      <c r="B2139" s="17"/>
      <c r="C2139" s="17"/>
      <c r="D2139" s="17"/>
      <c r="E2139" s="17"/>
      <c r="F2139" s="17"/>
      <c r="G2139" s="4">
        <f t="shared" si="65"/>
        <v>0</v>
      </c>
      <c r="H2139" s="17"/>
      <c r="I2139" s="4">
        <f t="shared" si="63"/>
        <v>349526.07999999996</v>
      </c>
      <c r="J2139" s="32" t="str">
        <f t="shared" si="64"/>
        <v/>
      </c>
      <c r="K2139" s="79"/>
      <c r="L2139" s="79"/>
      <c r="M2139" s="2"/>
      <c r="N2139" s="5"/>
      <c r="O2139" s="3"/>
      <c r="P2139" s="6"/>
      <c r="Q2139" s="6"/>
    </row>
    <row r="2140" spans="1:17" ht="15" customHeight="1" x14ac:dyDescent="0.25">
      <c r="A2140" s="1"/>
      <c r="B2140" s="17"/>
      <c r="C2140" s="17"/>
      <c r="D2140" s="17"/>
      <c r="E2140" s="17"/>
      <c r="F2140" s="17"/>
      <c r="G2140" s="4">
        <f t="shared" si="65"/>
        <v>0</v>
      </c>
      <c r="H2140" s="17"/>
      <c r="I2140" s="4">
        <f t="shared" si="63"/>
        <v>349526.07999999996</v>
      </c>
      <c r="J2140" s="32" t="str">
        <f t="shared" si="64"/>
        <v/>
      </c>
      <c r="K2140" s="79"/>
      <c r="L2140" s="79"/>
      <c r="M2140" s="2"/>
      <c r="N2140" s="5"/>
      <c r="O2140" s="3"/>
      <c r="P2140" s="6"/>
      <c r="Q2140" s="6"/>
    </row>
    <row r="2141" spans="1:17" ht="15" customHeight="1" x14ac:dyDescent="0.25">
      <c r="A2141" s="1"/>
      <c r="B2141" s="17"/>
      <c r="C2141" s="17"/>
      <c r="D2141" s="17"/>
      <c r="E2141" s="17"/>
      <c r="F2141" s="17"/>
      <c r="G2141" s="4">
        <f t="shared" si="65"/>
        <v>0</v>
      </c>
      <c r="H2141" s="17"/>
      <c r="I2141" s="4">
        <f t="shared" si="63"/>
        <v>349526.07999999996</v>
      </c>
      <c r="J2141" s="32" t="str">
        <f t="shared" si="64"/>
        <v/>
      </c>
      <c r="K2141" s="79"/>
      <c r="L2141" s="79"/>
      <c r="M2141" s="2"/>
      <c r="N2141" s="5"/>
      <c r="O2141" s="3"/>
      <c r="P2141" s="6"/>
      <c r="Q2141" s="6"/>
    </row>
    <row r="2142" spans="1:17" ht="15" customHeight="1" x14ac:dyDescent="0.25">
      <c r="A2142" s="1"/>
      <c r="B2142" s="17"/>
      <c r="C2142" s="17"/>
      <c r="D2142" s="17"/>
      <c r="E2142" s="17"/>
      <c r="F2142" s="17"/>
      <c r="G2142" s="4">
        <f t="shared" si="65"/>
        <v>0</v>
      </c>
      <c r="H2142" s="17"/>
      <c r="I2142" s="4">
        <f t="shared" si="63"/>
        <v>349526.07999999996</v>
      </c>
      <c r="J2142" s="32" t="str">
        <f t="shared" si="64"/>
        <v/>
      </c>
      <c r="K2142" s="79"/>
      <c r="L2142" s="79"/>
      <c r="M2142" s="2"/>
      <c r="N2142" s="5"/>
      <c r="O2142" s="3"/>
      <c r="P2142" s="6"/>
      <c r="Q2142" s="6"/>
    </row>
    <row r="2143" spans="1:17" ht="15" customHeight="1" x14ac:dyDescent="0.25">
      <c r="A2143" s="1"/>
      <c r="B2143" s="17"/>
      <c r="C2143" s="17"/>
      <c r="D2143" s="17"/>
      <c r="E2143" s="17"/>
      <c r="F2143" s="17"/>
      <c r="G2143" s="4">
        <f t="shared" si="65"/>
        <v>0</v>
      </c>
      <c r="H2143" s="17"/>
      <c r="I2143" s="4">
        <f t="shared" si="63"/>
        <v>349526.07999999996</v>
      </c>
      <c r="J2143" s="32" t="str">
        <f t="shared" si="64"/>
        <v/>
      </c>
      <c r="K2143" s="79"/>
      <c r="L2143" s="79"/>
      <c r="M2143" s="2"/>
      <c r="N2143" s="5"/>
      <c r="O2143" s="3"/>
      <c r="P2143" s="6"/>
      <c r="Q2143" s="6"/>
    </row>
    <row r="2144" spans="1:17" ht="15" customHeight="1" x14ac:dyDescent="0.25">
      <c r="A2144" s="1"/>
      <c r="B2144" s="17"/>
      <c r="C2144" s="17"/>
      <c r="D2144" s="17"/>
      <c r="E2144" s="17"/>
      <c r="F2144" s="17"/>
      <c r="G2144" s="4">
        <f t="shared" si="65"/>
        <v>0</v>
      </c>
      <c r="H2144" s="17"/>
      <c r="I2144" s="4">
        <f t="shared" si="63"/>
        <v>349526.07999999996</v>
      </c>
      <c r="J2144" s="32" t="str">
        <f t="shared" si="64"/>
        <v/>
      </c>
      <c r="K2144" s="79"/>
      <c r="L2144" s="79"/>
      <c r="M2144" s="2"/>
      <c r="N2144" s="5"/>
      <c r="O2144" s="3"/>
      <c r="P2144" s="6"/>
      <c r="Q2144" s="6"/>
    </row>
    <row r="2145" spans="1:17" ht="15" customHeight="1" x14ac:dyDescent="0.25">
      <c r="A2145" s="1"/>
      <c r="B2145" s="17"/>
      <c r="C2145" s="17"/>
      <c r="D2145" s="17"/>
      <c r="E2145" s="17"/>
      <c r="F2145" s="17"/>
      <c r="G2145" s="4">
        <f t="shared" si="65"/>
        <v>0</v>
      </c>
      <c r="H2145" s="17"/>
      <c r="I2145" s="4">
        <f t="shared" si="63"/>
        <v>349526.07999999996</v>
      </c>
      <c r="J2145" s="32" t="str">
        <f t="shared" si="64"/>
        <v/>
      </c>
      <c r="K2145" s="79"/>
      <c r="L2145" s="79"/>
      <c r="M2145" s="2"/>
      <c r="N2145" s="5"/>
      <c r="O2145" s="3"/>
      <c r="P2145" s="6"/>
      <c r="Q2145" s="6"/>
    </row>
    <row r="2146" spans="1:17" ht="15" customHeight="1" x14ac:dyDescent="0.25">
      <c r="A2146" s="1"/>
      <c r="B2146" s="17"/>
      <c r="C2146" s="17"/>
      <c r="D2146" s="17"/>
      <c r="E2146" s="17"/>
      <c r="F2146" s="17"/>
      <c r="G2146" s="4">
        <f t="shared" si="65"/>
        <v>0</v>
      </c>
      <c r="H2146" s="17"/>
      <c r="I2146" s="4">
        <f t="shared" si="63"/>
        <v>349526.07999999996</v>
      </c>
      <c r="J2146" s="32" t="str">
        <f t="shared" si="64"/>
        <v/>
      </c>
      <c r="K2146" s="79"/>
      <c r="L2146" s="79"/>
      <c r="M2146" s="2"/>
      <c r="N2146" s="5"/>
      <c r="O2146" s="3"/>
      <c r="P2146" s="6"/>
      <c r="Q2146" s="6"/>
    </row>
    <row r="2147" spans="1:17" ht="15" customHeight="1" x14ac:dyDescent="0.25">
      <c r="A2147" s="1"/>
      <c r="B2147" s="17"/>
      <c r="C2147" s="17"/>
      <c r="D2147" s="17"/>
      <c r="E2147" s="17"/>
      <c r="F2147" s="17"/>
      <c r="G2147" s="4">
        <f t="shared" si="65"/>
        <v>0</v>
      </c>
      <c r="H2147" s="17"/>
      <c r="I2147" s="4">
        <f t="shared" si="63"/>
        <v>349526.07999999996</v>
      </c>
      <c r="J2147" s="32" t="str">
        <f t="shared" si="64"/>
        <v/>
      </c>
      <c r="K2147" s="79"/>
      <c r="L2147" s="79"/>
      <c r="M2147" s="2"/>
      <c r="N2147" s="5"/>
      <c r="O2147" s="3"/>
      <c r="P2147" s="6"/>
      <c r="Q2147" s="6"/>
    </row>
    <row r="2148" spans="1:17" ht="15" customHeight="1" x14ac:dyDescent="0.25">
      <c r="A2148" s="1"/>
      <c r="B2148" s="17"/>
      <c r="C2148" s="17"/>
      <c r="D2148" s="17"/>
      <c r="E2148" s="17"/>
      <c r="F2148" s="17"/>
      <c r="G2148" s="4">
        <f t="shared" si="65"/>
        <v>0</v>
      </c>
      <c r="H2148" s="17"/>
      <c r="I2148" s="4">
        <f t="shared" si="63"/>
        <v>349526.07999999996</v>
      </c>
      <c r="J2148" s="32" t="str">
        <f t="shared" si="64"/>
        <v/>
      </c>
      <c r="K2148" s="79"/>
      <c r="L2148" s="79"/>
      <c r="M2148" s="2"/>
      <c r="N2148" s="5"/>
      <c r="O2148" s="3"/>
      <c r="P2148" s="6"/>
      <c r="Q2148" s="6"/>
    </row>
    <row r="2149" spans="1:17" ht="15" customHeight="1" x14ac:dyDescent="0.25">
      <c r="A2149" s="1"/>
      <c r="B2149" s="17"/>
      <c r="C2149" s="17"/>
      <c r="D2149" s="17"/>
      <c r="E2149" s="17"/>
      <c r="F2149" s="17"/>
      <c r="G2149" s="4">
        <f t="shared" si="65"/>
        <v>0</v>
      </c>
      <c r="H2149" s="17"/>
      <c r="I2149" s="4">
        <f t="shared" si="63"/>
        <v>349526.07999999996</v>
      </c>
      <c r="J2149" s="32" t="str">
        <f t="shared" si="64"/>
        <v/>
      </c>
      <c r="K2149" s="79"/>
      <c r="L2149" s="79"/>
      <c r="M2149" s="2"/>
      <c r="N2149" s="5"/>
      <c r="O2149" s="3"/>
      <c r="P2149" s="6"/>
      <c r="Q2149" s="6"/>
    </row>
    <row r="2150" spans="1:17" ht="15" customHeight="1" x14ac:dyDescent="0.25">
      <c r="A2150" s="1"/>
      <c r="B2150" s="17"/>
      <c r="C2150" s="17"/>
      <c r="D2150" s="17"/>
      <c r="E2150" s="17"/>
      <c r="F2150" s="17"/>
      <c r="G2150" s="4">
        <f t="shared" si="65"/>
        <v>0</v>
      </c>
      <c r="H2150" s="17"/>
      <c r="I2150" s="4">
        <f t="shared" si="63"/>
        <v>349526.07999999996</v>
      </c>
      <c r="J2150" s="32" t="str">
        <f t="shared" si="64"/>
        <v/>
      </c>
      <c r="K2150" s="79"/>
      <c r="L2150" s="79"/>
      <c r="M2150" s="2"/>
      <c r="N2150" s="5"/>
      <c r="O2150" s="3"/>
      <c r="P2150" s="6"/>
      <c r="Q2150" s="6"/>
    </row>
    <row r="2151" spans="1:17" ht="15" customHeight="1" x14ac:dyDescent="0.25">
      <c r="A2151" s="1"/>
      <c r="B2151" s="17"/>
      <c r="C2151" s="17"/>
      <c r="D2151" s="17"/>
      <c r="E2151" s="17"/>
      <c r="F2151" s="17"/>
      <c r="G2151" s="4">
        <f t="shared" si="65"/>
        <v>0</v>
      </c>
      <c r="H2151" s="17"/>
      <c r="I2151" s="4">
        <f t="shared" si="63"/>
        <v>349526.07999999996</v>
      </c>
      <c r="J2151" s="32" t="str">
        <f t="shared" si="64"/>
        <v/>
      </c>
      <c r="K2151" s="79"/>
      <c r="L2151" s="79"/>
      <c r="M2151" s="2"/>
      <c r="N2151" s="5"/>
      <c r="O2151" s="3"/>
      <c r="P2151" s="6"/>
      <c r="Q2151" s="6"/>
    </row>
    <row r="2152" spans="1:17" ht="15" customHeight="1" x14ac:dyDescent="0.25">
      <c r="A2152" s="1"/>
      <c r="B2152" s="17"/>
      <c r="C2152" s="17"/>
      <c r="D2152" s="17"/>
      <c r="E2152" s="17"/>
      <c r="F2152" s="17"/>
      <c r="G2152" s="4">
        <f t="shared" si="65"/>
        <v>0</v>
      </c>
      <c r="H2152" s="17"/>
      <c r="I2152" s="4">
        <f t="shared" si="63"/>
        <v>349526.07999999996</v>
      </c>
      <c r="J2152" s="32" t="str">
        <f t="shared" si="64"/>
        <v/>
      </c>
      <c r="K2152" s="79"/>
      <c r="L2152" s="79"/>
      <c r="M2152" s="2"/>
      <c r="N2152" s="5"/>
      <c r="O2152" s="3"/>
      <c r="P2152" s="6"/>
      <c r="Q2152" s="6"/>
    </row>
    <row r="2153" spans="1:17" ht="15" customHeight="1" x14ac:dyDescent="0.25">
      <c r="A2153" s="1"/>
      <c r="B2153" s="17"/>
      <c r="C2153" s="17"/>
      <c r="D2153" s="17"/>
      <c r="E2153" s="17"/>
      <c r="F2153" s="17"/>
      <c r="G2153" s="4">
        <f t="shared" si="65"/>
        <v>0</v>
      </c>
      <c r="H2153" s="17"/>
      <c r="I2153" s="4">
        <f t="shared" si="63"/>
        <v>349526.07999999996</v>
      </c>
      <c r="J2153" s="32" t="str">
        <f t="shared" si="64"/>
        <v/>
      </c>
      <c r="K2153" s="79"/>
      <c r="L2153" s="79"/>
      <c r="M2153" s="2"/>
      <c r="N2153" s="5"/>
      <c r="O2153" s="3"/>
      <c r="P2153" s="6"/>
      <c r="Q2153" s="6"/>
    </row>
    <row r="2154" spans="1:17" ht="15" customHeight="1" x14ac:dyDescent="0.25">
      <c r="A2154" s="1"/>
      <c r="B2154" s="17"/>
      <c r="C2154" s="17"/>
      <c r="D2154" s="17"/>
      <c r="E2154" s="17"/>
      <c r="F2154" s="17"/>
      <c r="G2154" s="4">
        <f t="shared" si="65"/>
        <v>0</v>
      </c>
      <c r="H2154" s="17"/>
      <c r="I2154" s="4">
        <f t="shared" si="63"/>
        <v>349526.07999999996</v>
      </c>
      <c r="J2154" s="32" t="str">
        <f t="shared" si="64"/>
        <v/>
      </c>
      <c r="K2154" s="79"/>
      <c r="L2154" s="79"/>
      <c r="M2154" s="2"/>
      <c r="N2154" s="5"/>
      <c r="O2154" s="3"/>
      <c r="P2154" s="6"/>
      <c r="Q2154" s="6"/>
    </row>
    <row r="2155" spans="1:17" ht="15" customHeight="1" x14ac:dyDescent="0.25">
      <c r="A2155" s="1"/>
      <c r="B2155" s="17"/>
      <c r="C2155" s="17"/>
      <c r="D2155" s="17"/>
      <c r="E2155" s="17"/>
      <c r="F2155" s="17"/>
      <c r="G2155" s="4">
        <f t="shared" si="65"/>
        <v>0</v>
      </c>
      <c r="H2155" s="17"/>
      <c r="I2155" s="4">
        <f t="shared" si="63"/>
        <v>349526.07999999996</v>
      </c>
      <c r="J2155" s="32" t="str">
        <f t="shared" si="64"/>
        <v/>
      </c>
      <c r="K2155" s="79"/>
      <c r="L2155" s="79"/>
      <c r="M2155" s="2"/>
      <c r="N2155" s="5"/>
      <c r="O2155" s="3"/>
      <c r="P2155" s="6"/>
      <c r="Q2155" s="6"/>
    </row>
    <row r="2156" spans="1:17" ht="15" customHeight="1" x14ac:dyDescent="0.25">
      <c r="A2156" s="1"/>
      <c r="B2156" s="17"/>
      <c r="C2156" s="17"/>
      <c r="D2156" s="17"/>
      <c r="E2156" s="17"/>
      <c r="F2156" s="17"/>
      <c r="G2156" s="4">
        <f t="shared" si="65"/>
        <v>0</v>
      </c>
      <c r="H2156" s="17"/>
      <c r="I2156" s="4">
        <f t="shared" si="63"/>
        <v>349526.07999999996</v>
      </c>
      <c r="J2156" s="32" t="str">
        <f t="shared" si="64"/>
        <v/>
      </c>
      <c r="K2156" s="79"/>
      <c r="L2156" s="79"/>
      <c r="M2156" s="2"/>
      <c r="N2156" s="5"/>
      <c r="O2156" s="3"/>
      <c r="P2156" s="6"/>
      <c r="Q2156" s="6"/>
    </row>
    <row r="2157" spans="1:17" ht="15" customHeight="1" x14ac:dyDescent="0.25">
      <c r="A2157" s="1"/>
      <c r="B2157" s="17"/>
      <c r="C2157" s="17"/>
      <c r="D2157" s="17"/>
      <c r="E2157" s="17"/>
      <c r="F2157" s="17"/>
      <c r="G2157" s="4">
        <f t="shared" si="65"/>
        <v>0</v>
      </c>
      <c r="H2157" s="17"/>
      <c r="I2157" s="4">
        <f t="shared" si="63"/>
        <v>349526.07999999996</v>
      </c>
      <c r="J2157" s="32" t="str">
        <f t="shared" si="64"/>
        <v/>
      </c>
      <c r="K2157" s="79"/>
      <c r="L2157" s="79"/>
      <c r="M2157" s="2"/>
      <c r="N2157" s="5"/>
      <c r="O2157" s="3"/>
      <c r="P2157" s="6"/>
      <c r="Q2157" s="6"/>
    </row>
    <row r="2158" spans="1:17" ht="15" customHeight="1" x14ac:dyDescent="0.25">
      <c r="A2158" s="1"/>
      <c r="B2158" s="17"/>
      <c r="C2158" s="17"/>
      <c r="D2158" s="17"/>
      <c r="E2158" s="17"/>
      <c r="F2158" s="17"/>
      <c r="G2158" s="4">
        <f t="shared" si="65"/>
        <v>0</v>
      </c>
      <c r="H2158" s="17"/>
      <c r="I2158" s="4">
        <f t="shared" si="63"/>
        <v>349526.07999999996</v>
      </c>
      <c r="J2158" s="32" t="str">
        <f t="shared" si="64"/>
        <v/>
      </c>
      <c r="K2158" s="79"/>
      <c r="L2158" s="79"/>
      <c r="M2158" s="2"/>
      <c r="N2158" s="5"/>
      <c r="O2158" s="3"/>
      <c r="P2158" s="6"/>
      <c r="Q2158" s="6"/>
    </row>
    <row r="2159" spans="1:17" ht="15" customHeight="1" x14ac:dyDescent="0.25">
      <c r="A2159" s="1"/>
      <c r="B2159" s="17"/>
      <c r="C2159" s="17"/>
      <c r="D2159" s="17"/>
      <c r="E2159" s="17"/>
      <c r="F2159" s="17"/>
      <c r="G2159" s="4">
        <f t="shared" si="65"/>
        <v>0</v>
      </c>
      <c r="H2159" s="17"/>
      <c r="I2159" s="4">
        <f t="shared" si="63"/>
        <v>349526.07999999996</v>
      </c>
      <c r="J2159" s="32" t="str">
        <f t="shared" si="64"/>
        <v/>
      </c>
      <c r="K2159" s="79"/>
      <c r="L2159" s="79"/>
      <c r="M2159" s="2"/>
      <c r="N2159" s="5"/>
      <c r="O2159" s="3"/>
      <c r="P2159" s="6"/>
      <c r="Q2159" s="6"/>
    </row>
    <row r="2160" spans="1:17" ht="15" customHeight="1" x14ac:dyDescent="0.25">
      <c r="A2160" s="1"/>
      <c r="B2160" s="17"/>
      <c r="C2160" s="17"/>
      <c r="D2160" s="17"/>
      <c r="E2160" s="17"/>
      <c r="F2160" s="17"/>
      <c r="G2160" s="4">
        <f t="shared" si="65"/>
        <v>0</v>
      </c>
      <c r="H2160" s="17"/>
      <c r="I2160" s="4">
        <f t="shared" si="63"/>
        <v>349526.07999999996</v>
      </c>
      <c r="J2160" s="32" t="str">
        <f t="shared" si="64"/>
        <v/>
      </c>
      <c r="K2160" s="79"/>
      <c r="L2160" s="79"/>
      <c r="M2160" s="2"/>
      <c r="N2160" s="5"/>
      <c r="O2160" s="3"/>
      <c r="P2160" s="6"/>
      <c r="Q2160" s="6"/>
    </row>
    <row r="2161" spans="1:17" ht="15" customHeight="1" x14ac:dyDescent="0.25">
      <c r="A2161" s="1"/>
      <c r="B2161" s="17"/>
      <c r="C2161" s="17"/>
      <c r="D2161" s="17"/>
      <c r="E2161" s="17"/>
      <c r="F2161" s="17"/>
      <c r="G2161" s="4">
        <f t="shared" si="65"/>
        <v>0</v>
      </c>
      <c r="H2161" s="17"/>
      <c r="I2161" s="4">
        <f t="shared" si="63"/>
        <v>349526.07999999996</v>
      </c>
      <c r="J2161" s="32" t="str">
        <f t="shared" si="64"/>
        <v/>
      </c>
      <c r="K2161" s="79"/>
      <c r="L2161" s="79"/>
      <c r="M2161" s="2"/>
      <c r="N2161" s="5"/>
      <c r="O2161" s="3"/>
      <c r="P2161" s="6"/>
      <c r="Q2161" s="6"/>
    </row>
    <row r="2162" spans="1:17" ht="15" customHeight="1" x14ac:dyDescent="0.25">
      <c r="A2162" s="1"/>
      <c r="B2162" s="17"/>
      <c r="C2162" s="17"/>
      <c r="D2162" s="17"/>
      <c r="E2162" s="17"/>
      <c r="F2162" s="17"/>
      <c r="G2162" s="4">
        <f t="shared" si="65"/>
        <v>0</v>
      </c>
      <c r="H2162" s="17"/>
      <c r="I2162" s="4">
        <f t="shared" si="63"/>
        <v>349526.07999999996</v>
      </c>
      <c r="J2162" s="32" t="str">
        <f t="shared" si="64"/>
        <v/>
      </c>
      <c r="K2162" s="79"/>
      <c r="L2162" s="79"/>
      <c r="M2162" s="2"/>
      <c r="N2162" s="5"/>
      <c r="O2162" s="3"/>
      <c r="P2162" s="6"/>
      <c r="Q2162" s="6"/>
    </row>
    <row r="2163" spans="1:17" ht="15" customHeight="1" x14ac:dyDescent="0.25">
      <c r="A2163" s="1"/>
      <c r="B2163" s="17"/>
      <c r="C2163" s="17"/>
      <c r="D2163" s="17"/>
      <c r="E2163" s="17"/>
      <c r="F2163" s="17"/>
      <c r="G2163" s="4">
        <f t="shared" si="65"/>
        <v>0</v>
      </c>
      <c r="H2163" s="17"/>
      <c r="I2163" s="4">
        <f t="shared" si="63"/>
        <v>349526.07999999996</v>
      </c>
      <c r="J2163" s="32" t="str">
        <f t="shared" si="64"/>
        <v/>
      </c>
      <c r="K2163" s="79"/>
      <c r="L2163" s="79"/>
      <c r="M2163" s="2"/>
      <c r="N2163" s="5"/>
      <c r="O2163" s="3"/>
      <c r="P2163" s="6"/>
      <c r="Q2163" s="6"/>
    </row>
    <row r="2164" spans="1:17" ht="15" customHeight="1" x14ac:dyDescent="0.25">
      <c r="A2164" s="1"/>
      <c r="B2164" s="17"/>
      <c r="C2164" s="17"/>
      <c r="D2164" s="17"/>
      <c r="E2164" s="17"/>
      <c r="F2164" s="17"/>
      <c r="G2164" s="4">
        <f t="shared" si="65"/>
        <v>0</v>
      </c>
      <c r="H2164" s="17"/>
      <c r="I2164" s="4">
        <f t="shared" si="63"/>
        <v>349526.07999999996</v>
      </c>
      <c r="J2164" s="32" t="str">
        <f t="shared" si="64"/>
        <v/>
      </c>
      <c r="K2164" s="79"/>
      <c r="L2164" s="79"/>
      <c r="M2164" s="2"/>
      <c r="N2164" s="5"/>
      <c r="O2164" s="3"/>
      <c r="P2164" s="6"/>
      <c r="Q2164" s="6"/>
    </row>
    <row r="2165" spans="1:17" ht="15" customHeight="1" x14ac:dyDescent="0.25">
      <c r="A2165" s="1"/>
      <c r="B2165" s="17"/>
      <c r="C2165" s="17"/>
      <c r="D2165" s="17"/>
      <c r="E2165" s="17"/>
      <c r="F2165" s="17"/>
      <c r="G2165" s="4">
        <f t="shared" si="65"/>
        <v>0</v>
      </c>
      <c r="H2165" s="17"/>
      <c r="I2165" s="4">
        <f t="shared" si="63"/>
        <v>349526.07999999996</v>
      </c>
      <c r="J2165" s="32" t="str">
        <f t="shared" si="64"/>
        <v/>
      </c>
      <c r="K2165" s="79"/>
      <c r="L2165" s="79"/>
      <c r="M2165" s="2"/>
      <c r="N2165" s="5"/>
      <c r="O2165" s="3"/>
      <c r="P2165" s="6"/>
      <c r="Q2165" s="6"/>
    </row>
    <row r="2166" spans="1:17" ht="15" customHeight="1" x14ac:dyDescent="0.25">
      <c r="A2166" s="1"/>
      <c r="B2166" s="17"/>
      <c r="C2166" s="17"/>
      <c r="D2166" s="17"/>
      <c r="E2166" s="17"/>
      <c r="F2166" s="17"/>
      <c r="G2166" s="4">
        <f t="shared" si="65"/>
        <v>0</v>
      </c>
      <c r="H2166" s="17"/>
      <c r="I2166" s="4">
        <f t="shared" ref="I2166:I2229" si="66">$I2165+$G2166-$H2166</f>
        <v>349526.07999999996</v>
      </c>
      <c r="J2166" s="32" t="str">
        <f t="shared" ref="J2166:J2229" si="67">IF($A2167&lt;&gt;$A2166,$I2166,"")</f>
        <v/>
      </c>
      <c r="K2166" s="79"/>
      <c r="L2166" s="79"/>
      <c r="M2166" s="2"/>
      <c r="N2166" s="5"/>
      <c r="O2166" s="3"/>
      <c r="P2166" s="6"/>
      <c r="Q2166" s="6"/>
    </row>
    <row r="2167" spans="1:17" ht="15" customHeight="1" x14ac:dyDescent="0.25">
      <c r="A2167" s="1"/>
      <c r="B2167" s="17"/>
      <c r="C2167" s="17"/>
      <c r="D2167" s="17"/>
      <c r="E2167" s="17"/>
      <c r="F2167" s="17"/>
      <c r="G2167" s="4">
        <f t="shared" si="65"/>
        <v>0</v>
      </c>
      <c r="H2167" s="17"/>
      <c r="I2167" s="4">
        <f t="shared" si="66"/>
        <v>349526.07999999996</v>
      </c>
      <c r="J2167" s="32" t="str">
        <f t="shared" si="67"/>
        <v/>
      </c>
      <c r="K2167" s="79"/>
      <c r="L2167" s="79"/>
      <c r="M2167" s="2"/>
      <c r="N2167" s="5"/>
      <c r="O2167" s="3"/>
      <c r="P2167" s="6"/>
      <c r="Q2167" s="6"/>
    </row>
    <row r="2168" spans="1:17" ht="15" customHeight="1" x14ac:dyDescent="0.25">
      <c r="A2168" s="1"/>
      <c r="B2168" s="17"/>
      <c r="C2168" s="17"/>
      <c r="D2168" s="17"/>
      <c r="E2168" s="17"/>
      <c r="F2168" s="17"/>
      <c r="G2168" s="4">
        <f t="shared" si="65"/>
        <v>0</v>
      </c>
      <c r="H2168" s="17"/>
      <c r="I2168" s="4">
        <f t="shared" si="66"/>
        <v>349526.07999999996</v>
      </c>
      <c r="J2168" s="32" t="str">
        <f t="shared" si="67"/>
        <v/>
      </c>
      <c r="K2168" s="79"/>
      <c r="L2168" s="79"/>
      <c r="M2168" s="2"/>
      <c r="N2168" s="5"/>
      <c r="O2168" s="3"/>
      <c r="P2168" s="6"/>
      <c r="Q2168" s="6"/>
    </row>
    <row r="2169" spans="1:17" ht="15" customHeight="1" x14ac:dyDescent="0.25">
      <c r="A2169" s="1"/>
      <c r="B2169" s="17"/>
      <c r="C2169" s="17"/>
      <c r="D2169" s="17"/>
      <c r="E2169" s="17"/>
      <c r="F2169" s="17"/>
      <c r="G2169" s="4">
        <f t="shared" si="65"/>
        <v>0</v>
      </c>
      <c r="H2169" s="17"/>
      <c r="I2169" s="4">
        <f t="shared" si="66"/>
        <v>349526.07999999996</v>
      </c>
      <c r="J2169" s="32" t="str">
        <f t="shared" si="67"/>
        <v/>
      </c>
      <c r="K2169" s="79"/>
      <c r="L2169" s="79"/>
      <c r="M2169" s="2"/>
      <c r="N2169" s="5"/>
      <c r="O2169" s="3"/>
      <c r="P2169" s="6"/>
      <c r="Q2169" s="6"/>
    </row>
    <row r="2170" spans="1:17" ht="15" customHeight="1" x14ac:dyDescent="0.25">
      <c r="A2170" s="1"/>
      <c r="B2170" s="17"/>
      <c r="C2170" s="17"/>
      <c r="D2170" s="17"/>
      <c r="E2170" s="17"/>
      <c r="F2170" s="17"/>
      <c r="G2170" s="4">
        <f t="shared" si="65"/>
        <v>0</v>
      </c>
      <c r="H2170" s="17"/>
      <c r="I2170" s="4">
        <f t="shared" si="66"/>
        <v>349526.07999999996</v>
      </c>
      <c r="J2170" s="32" t="str">
        <f t="shared" si="67"/>
        <v/>
      </c>
      <c r="K2170" s="79"/>
      <c r="L2170" s="79"/>
      <c r="M2170" s="2"/>
      <c r="N2170" s="5"/>
      <c r="O2170" s="3"/>
      <c r="P2170" s="6"/>
      <c r="Q2170" s="6"/>
    </row>
    <row r="2171" spans="1:17" ht="15" customHeight="1" x14ac:dyDescent="0.25">
      <c r="A2171" s="1"/>
      <c r="B2171" s="17"/>
      <c r="C2171" s="17"/>
      <c r="D2171" s="17"/>
      <c r="E2171" s="17"/>
      <c r="F2171" s="17"/>
      <c r="G2171" s="4">
        <f t="shared" si="65"/>
        <v>0</v>
      </c>
      <c r="H2171" s="17"/>
      <c r="I2171" s="4">
        <f t="shared" si="66"/>
        <v>349526.07999999996</v>
      </c>
      <c r="J2171" s="32" t="str">
        <f t="shared" si="67"/>
        <v/>
      </c>
      <c r="K2171" s="79"/>
      <c r="L2171" s="79"/>
      <c r="M2171" s="2"/>
      <c r="N2171" s="5"/>
      <c r="O2171" s="3"/>
      <c r="P2171" s="6"/>
      <c r="Q2171" s="6"/>
    </row>
    <row r="2172" spans="1:17" ht="15" customHeight="1" x14ac:dyDescent="0.25">
      <c r="A2172" s="1"/>
      <c r="B2172" s="17"/>
      <c r="C2172" s="17"/>
      <c r="D2172" s="17"/>
      <c r="E2172" s="17"/>
      <c r="F2172" s="17"/>
      <c r="G2172" s="4">
        <f t="shared" si="65"/>
        <v>0</v>
      </c>
      <c r="H2172" s="17"/>
      <c r="I2172" s="4">
        <f t="shared" si="66"/>
        <v>349526.07999999996</v>
      </c>
      <c r="J2172" s="32" t="str">
        <f t="shared" si="67"/>
        <v/>
      </c>
      <c r="K2172" s="79"/>
      <c r="L2172" s="79"/>
      <c r="M2172" s="2"/>
      <c r="N2172" s="5"/>
      <c r="O2172" s="3"/>
      <c r="P2172" s="6"/>
      <c r="Q2172" s="6"/>
    </row>
    <row r="2173" spans="1:17" ht="15" customHeight="1" x14ac:dyDescent="0.25">
      <c r="A2173" s="1"/>
      <c r="B2173" s="17"/>
      <c r="C2173" s="17"/>
      <c r="D2173" s="17"/>
      <c r="E2173" s="17"/>
      <c r="F2173" s="17"/>
      <c r="G2173" s="4">
        <f t="shared" si="65"/>
        <v>0</v>
      </c>
      <c r="H2173" s="17"/>
      <c r="I2173" s="4">
        <f t="shared" si="66"/>
        <v>349526.07999999996</v>
      </c>
      <c r="J2173" s="32" t="str">
        <f t="shared" si="67"/>
        <v/>
      </c>
      <c r="K2173" s="79"/>
      <c r="L2173" s="79"/>
      <c r="M2173" s="2"/>
      <c r="N2173" s="5"/>
      <c r="O2173" s="3"/>
      <c r="P2173" s="6"/>
      <c r="Q2173" s="6"/>
    </row>
    <row r="2174" spans="1:17" ht="15" customHeight="1" x14ac:dyDescent="0.25">
      <c r="A2174" s="1"/>
      <c r="B2174" s="17"/>
      <c r="C2174" s="17"/>
      <c r="D2174" s="17"/>
      <c r="E2174" s="17"/>
      <c r="F2174" s="17"/>
      <c r="G2174" s="4">
        <f t="shared" si="65"/>
        <v>0</v>
      </c>
      <c r="H2174" s="17"/>
      <c r="I2174" s="4">
        <f t="shared" si="66"/>
        <v>349526.07999999996</v>
      </c>
      <c r="J2174" s="32" t="str">
        <f t="shared" si="67"/>
        <v/>
      </c>
      <c r="K2174" s="79"/>
      <c r="L2174" s="79"/>
      <c r="M2174" s="2"/>
      <c r="N2174" s="5"/>
      <c r="O2174" s="3"/>
      <c r="P2174" s="6"/>
      <c r="Q2174" s="6"/>
    </row>
    <row r="2175" spans="1:17" ht="15" customHeight="1" x14ac:dyDescent="0.25">
      <c r="A2175" s="1"/>
      <c r="B2175" s="17"/>
      <c r="C2175" s="17"/>
      <c r="D2175" s="17"/>
      <c r="E2175" s="17"/>
      <c r="F2175" s="17"/>
      <c r="G2175" s="4">
        <f t="shared" si="65"/>
        <v>0</v>
      </c>
      <c r="H2175" s="17"/>
      <c r="I2175" s="4">
        <f t="shared" si="66"/>
        <v>349526.07999999996</v>
      </c>
      <c r="J2175" s="32" t="str">
        <f t="shared" si="67"/>
        <v/>
      </c>
      <c r="K2175" s="79"/>
      <c r="L2175" s="79"/>
      <c r="M2175" s="2"/>
      <c r="N2175" s="5"/>
      <c r="O2175" s="3"/>
      <c r="P2175" s="6"/>
      <c r="Q2175" s="6"/>
    </row>
    <row r="2176" spans="1:17" ht="15" customHeight="1" x14ac:dyDescent="0.25">
      <c r="A2176" s="1"/>
      <c r="B2176" s="17"/>
      <c r="C2176" s="17"/>
      <c r="D2176" s="17"/>
      <c r="E2176" s="17"/>
      <c r="F2176" s="17"/>
      <c r="G2176" s="4">
        <f t="shared" si="65"/>
        <v>0</v>
      </c>
      <c r="H2176" s="17"/>
      <c r="I2176" s="4">
        <f t="shared" si="66"/>
        <v>349526.07999999996</v>
      </c>
      <c r="J2176" s="32" t="str">
        <f t="shared" si="67"/>
        <v/>
      </c>
      <c r="K2176" s="79"/>
      <c r="L2176" s="79"/>
      <c r="M2176" s="2"/>
      <c r="N2176" s="5"/>
      <c r="O2176" s="3"/>
      <c r="P2176" s="6"/>
      <c r="Q2176" s="6"/>
    </row>
    <row r="2177" spans="1:17" ht="15" customHeight="1" x14ac:dyDescent="0.25">
      <c r="A2177" s="1"/>
      <c r="B2177" s="17"/>
      <c r="C2177" s="17"/>
      <c r="D2177" s="17"/>
      <c r="E2177" s="17"/>
      <c r="F2177" s="17"/>
      <c r="G2177" s="4">
        <f t="shared" si="65"/>
        <v>0</v>
      </c>
      <c r="H2177" s="17"/>
      <c r="I2177" s="4">
        <f t="shared" si="66"/>
        <v>349526.07999999996</v>
      </c>
      <c r="J2177" s="32" t="str">
        <f t="shared" si="67"/>
        <v/>
      </c>
      <c r="K2177" s="79"/>
      <c r="L2177" s="79"/>
      <c r="M2177" s="2"/>
      <c r="N2177" s="5"/>
      <c r="O2177" s="3"/>
      <c r="P2177" s="6"/>
      <c r="Q2177" s="6"/>
    </row>
    <row r="2178" spans="1:17" ht="15" customHeight="1" x14ac:dyDescent="0.25">
      <c r="A2178" s="1"/>
      <c r="B2178" s="17"/>
      <c r="C2178" s="17"/>
      <c r="D2178" s="17"/>
      <c r="E2178" s="17"/>
      <c r="F2178" s="17"/>
      <c r="G2178" s="4">
        <f t="shared" si="65"/>
        <v>0</v>
      </c>
      <c r="H2178" s="17"/>
      <c r="I2178" s="4">
        <f t="shared" si="66"/>
        <v>349526.07999999996</v>
      </c>
      <c r="J2178" s="32" t="str">
        <f t="shared" si="67"/>
        <v/>
      </c>
      <c r="K2178" s="79"/>
      <c r="L2178" s="79"/>
      <c r="M2178" s="2"/>
      <c r="N2178" s="5"/>
      <c r="O2178" s="3"/>
      <c r="P2178" s="6"/>
      <c r="Q2178" s="6"/>
    </row>
    <row r="2179" spans="1:17" ht="15" customHeight="1" x14ac:dyDescent="0.25">
      <c r="A2179" s="1"/>
      <c r="B2179" s="17"/>
      <c r="C2179" s="17"/>
      <c r="D2179" s="17"/>
      <c r="E2179" s="17"/>
      <c r="F2179" s="17"/>
      <c r="G2179" s="4">
        <f t="shared" ref="G2179:G2242" si="68">SUM($B2179:$F2179)</f>
        <v>0</v>
      </c>
      <c r="H2179" s="17"/>
      <c r="I2179" s="4">
        <f t="shared" si="66"/>
        <v>349526.07999999996</v>
      </c>
      <c r="J2179" s="32" t="str">
        <f t="shared" si="67"/>
        <v/>
      </c>
      <c r="K2179" s="79"/>
      <c r="L2179" s="79"/>
      <c r="M2179" s="2"/>
      <c r="N2179" s="5"/>
      <c r="O2179" s="3"/>
      <c r="P2179" s="6"/>
      <c r="Q2179" s="6"/>
    </row>
    <row r="2180" spans="1:17" ht="15" customHeight="1" x14ac:dyDescent="0.25">
      <c r="A2180" s="1"/>
      <c r="B2180" s="17"/>
      <c r="C2180" s="17"/>
      <c r="D2180" s="17"/>
      <c r="E2180" s="17"/>
      <c r="F2180" s="17"/>
      <c r="G2180" s="4">
        <f t="shared" si="68"/>
        <v>0</v>
      </c>
      <c r="H2180" s="17"/>
      <c r="I2180" s="4">
        <f t="shared" si="66"/>
        <v>349526.07999999996</v>
      </c>
      <c r="J2180" s="32" t="str">
        <f t="shared" si="67"/>
        <v/>
      </c>
      <c r="K2180" s="79"/>
      <c r="L2180" s="79"/>
      <c r="M2180" s="2"/>
      <c r="N2180" s="5"/>
      <c r="O2180" s="3"/>
      <c r="P2180" s="6"/>
      <c r="Q2180" s="6"/>
    </row>
    <row r="2181" spans="1:17" ht="15" customHeight="1" x14ac:dyDescent="0.25">
      <c r="A2181" s="1"/>
      <c r="B2181" s="17"/>
      <c r="C2181" s="17"/>
      <c r="D2181" s="17"/>
      <c r="E2181" s="17"/>
      <c r="F2181" s="17"/>
      <c r="G2181" s="4">
        <f t="shared" si="68"/>
        <v>0</v>
      </c>
      <c r="H2181" s="17"/>
      <c r="I2181" s="4">
        <f t="shared" si="66"/>
        <v>349526.07999999996</v>
      </c>
      <c r="J2181" s="32" t="str">
        <f t="shared" si="67"/>
        <v/>
      </c>
      <c r="K2181" s="79"/>
      <c r="L2181" s="79"/>
      <c r="M2181" s="2"/>
      <c r="N2181" s="5"/>
      <c r="O2181" s="3"/>
      <c r="P2181" s="6"/>
      <c r="Q2181" s="6"/>
    </row>
    <row r="2182" spans="1:17" ht="15" customHeight="1" x14ac:dyDescent="0.25">
      <c r="A2182" s="1"/>
      <c r="B2182" s="17"/>
      <c r="C2182" s="17"/>
      <c r="D2182" s="17"/>
      <c r="E2182" s="17"/>
      <c r="F2182" s="17"/>
      <c r="G2182" s="4">
        <f t="shared" si="68"/>
        <v>0</v>
      </c>
      <c r="H2182" s="17"/>
      <c r="I2182" s="4">
        <f t="shared" si="66"/>
        <v>349526.07999999996</v>
      </c>
      <c r="J2182" s="32" t="str">
        <f t="shared" si="67"/>
        <v/>
      </c>
      <c r="K2182" s="79"/>
      <c r="L2182" s="79"/>
      <c r="M2182" s="2"/>
      <c r="N2182" s="5"/>
      <c r="O2182" s="3"/>
      <c r="P2182" s="6"/>
      <c r="Q2182" s="6"/>
    </row>
    <row r="2183" spans="1:17" ht="15" customHeight="1" x14ac:dyDescent="0.25">
      <c r="A2183" s="1"/>
      <c r="B2183" s="17"/>
      <c r="C2183" s="17"/>
      <c r="D2183" s="17"/>
      <c r="E2183" s="17"/>
      <c r="F2183" s="17"/>
      <c r="G2183" s="4">
        <f t="shared" si="68"/>
        <v>0</v>
      </c>
      <c r="H2183" s="17"/>
      <c r="I2183" s="4">
        <f t="shared" si="66"/>
        <v>349526.07999999996</v>
      </c>
      <c r="J2183" s="32" t="str">
        <f t="shared" si="67"/>
        <v/>
      </c>
      <c r="K2183" s="79"/>
      <c r="L2183" s="79"/>
      <c r="M2183" s="2"/>
      <c r="N2183" s="5"/>
      <c r="O2183" s="3"/>
      <c r="P2183" s="6"/>
      <c r="Q2183" s="6"/>
    </row>
    <row r="2184" spans="1:17" ht="15" customHeight="1" x14ac:dyDescent="0.25">
      <c r="A2184" s="1"/>
      <c r="B2184" s="17"/>
      <c r="C2184" s="17"/>
      <c r="D2184" s="17"/>
      <c r="E2184" s="17"/>
      <c r="F2184" s="17"/>
      <c r="G2184" s="4">
        <f t="shared" si="68"/>
        <v>0</v>
      </c>
      <c r="H2184" s="17"/>
      <c r="I2184" s="4">
        <f t="shared" si="66"/>
        <v>349526.07999999996</v>
      </c>
      <c r="J2184" s="32" t="str">
        <f t="shared" si="67"/>
        <v/>
      </c>
      <c r="K2184" s="79"/>
      <c r="L2184" s="79"/>
      <c r="M2184" s="2"/>
      <c r="N2184" s="5"/>
      <c r="O2184" s="3"/>
      <c r="P2184" s="6"/>
      <c r="Q2184" s="6"/>
    </row>
    <row r="2185" spans="1:17" ht="15" customHeight="1" x14ac:dyDescent="0.25">
      <c r="A2185" s="1"/>
      <c r="B2185" s="17"/>
      <c r="C2185" s="17"/>
      <c r="D2185" s="17"/>
      <c r="E2185" s="17"/>
      <c r="F2185" s="17"/>
      <c r="G2185" s="4">
        <f t="shared" si="68"/>
        <v>0</v>
      </c>
      <c r="H2185" s="17"/>
      <c r="I2185" s="4">
        <f t="shared" si="66"/>
        <v>349526.07999999996</v>
      </c>
      <c r="J2185" s="32" t="str">
        <f t="shared" si="67"/>
        <v/>
      </c>
      <c r="K2185" s="79"/>
      <c r="L2185" s="79"/>
      <c r="M2185" s="2"/>
      <c r="N2185" s="5"/>
      <c r="O2185" s="3"/>
      <c r="P2185" s="6"/>
      <c r="Q2185" s="6"/>
    </row>
    <row r="2186" spans="1:17" ht="15" customHeight="1" x14ac:dyDescent="0.25">
      <c r="A2186" s="1"/>
      <c r="B2186" s="17"/>
      <c r="C2186" s="17"/>
      <c r="D2186" s="17"/>
      <c r="E2186" s="17"/>
      <c r="F2186" s="17"/>
      <c r="G2186" s="4">
        <f t="shared" si="68"/>
        <v>0</v>
      </c>
      <c r="H2186" s="17"/>
      <c r="I2186" s="4">
        <f t="shared" si="66"/>
        <v>349526.07999999996</v>
      </c>
      <c r="J2186" s="32" t="str">
        <f t="shared" si="67"/>
        <v/>
      </c>
      <c r="K2186" s="79"/>
      <c r="L2186" s="79"/>
      <c r="M2186" s="2"/>
      <c r="N2186" s="5"/>
      <c r="O2186" s="3"/>
      <c r="P2186" s="6"/>
      <c r="Q2186" s="6"/>
    </row>
    <row r="2187" spans="1:17" ht="15" customHeight="1" x14ac:dyDescent="0.25">
      <c r="A2187" s="1"/>
      <c r="B2187" s="17"/>
      <c r="C2187" s="17"/>
      <c r="D2187" s="17"/>
      <c r="E2187" s="17"/>
      <c r="F2187" s="17"/>
      <c r="G2187" s="4">
        <f t="shared" si="68"/>
        <v>0</v>
      </c>
      <c r="H2187" s="17"/>
      <c r="I2187" s="4">
        <f t="shared" si="66"/>
        <v>349526.07999999996</v>
      </c>
      <c r="J2187" s="32" t="str">
        <f t="shared" si="67"/>
        <v/>
      </c>
      <c r="K2187" s="79"/>
      <c r="L2187" s="79"/>
      <c r="M2187" s="2"/>
      <c r="N2187" s="5"/>
      <c r="O2187" s="3"/>
      <c r="P2187" s="6"/>
      <c r="Q2187" s="6"/>
    </row>
    <row r="2188" spans="1:17" ht="15" customHeight="1" x14ac:dyDescent="0.25">
      <c r="A2188" s="1"/>
      <c r="B2188" s="17"/>
      <c r="C2188" s="17"/>
      <c r="D2188" s="17"/>
      <c r="E2188" s="17"/>
      <c r="F2188" s="17"/>
      <c r="G2188" s="4">
        <f t="shared" si="68"/>
        <v>0</v>
      </c>
      <c r="H2188" s="17"/>
      <c r="I2188" s="4">
        <f t="shared" si="66"/>
        <v>349526.07999999996</v>
      </c>
      <c r="J2188" s="32" t="str">
        <f t="shared" si="67"/>
        <v/>
      </c>
      <c r="K2188" s="79"/>
      <c r="L2188" s="79"/>
      <c r="M2188" s="2"/>
      <c r="N2188" s="5"/>
      <c r="O2188" s="3"/>
      <c r="P2188" s="6"/>
      <c r="Q2188" s="6"/>
    </row>
    <row r="2189" spans="1:17" ht="15" customHeight="1" x14ac:dyDescent="0.25">
      <c r="A2189" s="1"/>
      <c r="B2189" s="17"/>
      <c r="C2189" s="17"/>
      <c r="D2189" s="17"/>
      <c r="E2189" s="17"/>
      <c r="F2189" s="17"/>
      <c r="G2189" s="4">
        <f t="shared" si="68"/>
        <v>0</v>
      </c>
      <c r="H2189" s="17"/>
      <c r="I2189" s="4">
        <f t="shared" si="66"/>
        <v>349526.07999999996</v>
      </c>
      <c r="J2189" s="32" t="str">
        <f t="shared" si="67"/>
        <v/>
      </c>
      <c r="K2189" s="79"/>
      <c r="L2189" s="79"/>
      <c r="M2189" s="2"/>
      <c r="N2189" s="5"/>
      <c r="O2189" s="3"/>
      <c r="P2189" s="6"/>
      <c r="Q2189" s="6"/>
    </row>
    <row r="2190" spans="1:17" ht="15" customHeight="1" x14ac:dyDescent="0.25">
      <c r="A2190" s="1"/>
      <c r="B2190" s="17"/>
      <c r="C2190" s="17"/>
      <c r="D2190" s="17"/>
      <c r="E2190" s="17"/>
      <c r="F2190" s="17"/>
      <c r="G2190" s="4">
        <f t="shared" si="68"/>
        <v>0</v>
      </c>
      <c r="H2190" s="17"/>
      <c r="I2190" s="4">
        <f t="shared" si="66"/>
        <v>349526.07999999996</v>
      </c>
      <c r="J2190" s="32" t="str">
        <f t="shared" si="67"/>
        <v/>
      </c>
      <c r="K2190" s="79"/>
      <c r="L2190" s="79"/>
      <c r="M2190" s="2"/>
      <c r="N2190" s="5"/>
      <c r="O2190" s="3"/>
      <c r="P2190" s="6"/>
      <c r="Q2190" s="6"/>
    </row>
    <row r="2191" spans="1:17" ht="15" customHeight="1" x14ac:dyDescent="0.25">
      <c r="A2191" s="1"/>
      <c r="B2191" s="17"/>
      <c r="C2191" s="17"/>
      <c r="D2191" s="17"/>
      <c r="E2191" s="17"/>
      <c r="F2191" s="17"/>
      <c r="G2191" s="4">
        <f t="shared" si="68"/>
        <v>0</v>
      </c>
      <c r="H2191" s="17"/>
      <c r="I2191" s="4">
        <f t="shared" si="66"/>
        <v>349526.07999999996</v>
      </c>
      <c r="J2191" s="32" t="str">
        <f t="shared" si="67"/>
        <v/>
      </c>
      <c r="K2191" s="79"/>
      <c r="L2191" s="79"/>
      <c r="M2191" s="2"/>
      <c r="N2191" s="5"/>
      <c r="O2191" s="3"/>
      <c r="P2191" s="6"/>
      <c r="Q2191" s="6"/>
    </row>
    <row r="2192" spans="1:17" ht="15" customHeight="1" x14ac:dyDescent="0.25">
      <c r="A2192" s="1"/>
      <c r="B2192" s="17"/>
      <c r="C2192" s="17"/>
      <c r="D2192" s="17"/>
      <c r="E2192" s="17"/>
      <c r="F2192" s="17"/>
      <c r="G2192" s="4">
        <f t="shared" si="68"/>
        <v>0</v>
      </c>
      <c r="H2192" s="17"/>
      <c r="I2192" s="4">
        <f t="shared" si="66"/>
        <v>349526.07999999996</v>
      </c>
      <c r="J2192" s="32" t="str">
        <f t="shared" si="67"/>
        <v/>
      </c>
      <c r="K2192" s="79"/>
      <c r="L2192" s="79"/>
      <c r="M2192" s="2"/>
      <c r="N2192" s="5"/>
      <c r="O2192" s="3"/>
      <c r="P2192" s="6"/>
      <c r="Q2192" s="6"/>
    </row>
    <row r="2193" spans="1:17" ht="15" customHeight="1" x14ac:dyDescent="0.25">
      <c r="A2193" s="1"/>
      <c r="B2193" s="17"/>
      <c r="C2193" s="17"/>
      <c r="D2193" s="17"/>
      <c r="E2193" s="17"/>
      <c r="F2193" s="17"/>
      <c r="G2193" s="4">
        <f t="shared" si="68"/>
        <v>0</v>
      </c>
      <c r="H2193" s="17"/>
      <c r="I2193" s="4">
        <f t="shared" si="66"/>
        <v>349526.07999999996</v>
      </c>
      <c r="J2193" s="32" t="str">
        <f t="shared" si="67"/>
        <v/>
      </c>
      <c r="K2193" s="79"/>
      <c r="L2193" s="79"/>
      <c r="M2193" s="2"/>
      <c r="N2193" s="5"/>
      <c r="O2193" s="3"/>
      <c r="P2193" s="6"/>
      <c r="Q2193" s="6"/>
    </row>
    <row r="2194" spans="1:17" ht="15" customHeight="1" x14ac:dyDescent="0.25">
      <c r="A2194" s="1"/>
      <c r="B2194" s="17"/>
      <c r="C2194" s="17"/>
      <c r="D2194" s="17"/>
      <c r="E2194" s="17"/>
      <c r="F2194" s="17"/>
      <c r="G2194" s="4">
        <f t="shared" si="68"/>
        <v>0</v>
      </c>
      <c r="H2194" s="17"/>
      <c r="I2194" s="4">
        <f t="shared" si="66"/>
        <v>349526.07999999996</v>
      </c>
      <c r="J2194" s="32" t="str">
        <f t="shared" si="67"/>
        <v/>
      </c>
      <c r="K2194" s="79"/>
      <c r="L2194" s="79"/>
      <c r="M2194" s="2"/>
      <c r="N2194" s="5"/>
      <c r="O2194" s="3"/>
      <c r="P2194" s="6"/>
      <c r="Q2194" s="6"/>
    </row>
    <row r="2195" spans="1:17" ht="15" customHeight="1" x14ac:dyDescent="0.25">
      <c r="A2195" s="1"/>
      <c r="B2195" s="17"/>
      <c r="C2195" s="17"/>
      <c r="D2195" s="17"/>
      <c r="E2195" s="17"/>
      <c r="F2195" s="17"/>
      <c r="G2195" s="4">
        <f t="shared" si="68"/>
        <v>0</v>
      </c>
      <c r="H2195" s="17"/>
      <c r="I2195" s="4">
        <f t="shared" si="66"/>
        <v>349526.07999999996</v>
      </c>
      <c r="J2195" s="32" t="str">
        <f t="shared" si="67"/>
        <v/>
      </c>
      <c r="K2195" s="79"/>
      <c r="L2195" s="79"/>
      <c r="M2195" s="2"/>
      <c r="N2195" s="5"/>
      <c r="O2195" s="3"/>
      <c r="P2195" s="6"/>
      <c r="Q2195" s="6"/>
    </row>
    <row r="2196" spans="1:17" ht="15" customHeight="1" x14ac:dyDescent="0.25">
      <c r="A2196" s="1"/>
      <c r="B2196" s="17"/>
      <c r="C2196" s="17"/>
      <c r="D2196" s="17"/>
      <c r="E2196" s="17"/>
      <c r="F2196" s="17"/>
      <c r="G2196" s="4">
        <f t="shared" si="68"/>
        <v>0</v>
      </c>
      <c r="H2196" s="17"/>
      <c r="I2196" s="4">
        <f t="shared" si="66"/>
        <v>349526.07999999996</v>
      </c>
      <c r="J2196" s="32" t="str">
        <f t="shared" si="67"/>
        <v/>
      </c>
      <c r="K2196" s="79"/>
      <c r="L2196" s="79"/>
      <c r="M2196" s="2"/>
      <c r="N2196" s="5"/>
      <c r="O2196" s="3"/>
      <c r="P2196" s="6"/>
      <c r="Q2196" s="6"/>
    </row>
    <row r="2197" spans="1:17" ht="15" customHeight="1" x14ac:dyDescent="0.25">
      <c r="A2197" s="1"/>
      <c r="B2197" s="17"/>
      <c r="C2197" s="17"/>
      <c r="D2197" s="17"/>
      <c r="E2197" s="17"/>
      <c r="F2197" s="17"/>
      <c r="G2197" s="4">
        <f t="shared" si="68"/>
        <v>0</v>
      </c>
      <c r="H2197" s="17"/>
      <c r="I2197" s="4">
        <f t="shared" si="66"/>
        <v>349526.07999999996</v>
      </c>
      <c r="J2197" s="32" t="str">
        <f t="shared" si="67"/>
        <v/>
      </c>
      <c r="K2197" s="79"/>
      <c r="L2197" s="79"/>
      <c r="M2197" s="2"/>
      <c r="N2197" s="5"/>
      <c r="O2197" s="3"/>
      <c r="P2197" s="6"/>
      <c r="Q2197" s="6"/>
    </row>
    <row r="2198" spans="1:17" ht="15" customHeight="1" x14ac:dyDescent="0.25">
      <c r="A2198" s="1"/>
      <c r="B2198" s="17"/>
      <c r="C2198" s="17"/>
      <c r="D2198" s="17"/>
      <c r="E2198" s="17"/>
      <c r="F2198" s="17"/>
      <c r="G2198" s="4">
        <f t="shared" si="68"/>
        <v>0</v>
      </c>
      <c r="H2198" s="17"/>
      <c r="I2198" s="4">
        <f t="shared" si="66"/>
        <v>349526.07999999996</v>
      </c>
      <c r="J2198" s="32" t="str">
        <f t="shared" si="67"/>
        <v/>
      </c>
      <c r="K2198" s="79"/>
      <c r="L2198" s="79"/>
      <c r="M2198" s="2"/>
      <c r="N2198" s="5"/>
      <c r="O2198" s="3"/>
      <c r="P2198" s="6"/>
      <c r="Q2198" s="6"/>
    </row>
    <row r="2199" spans="1:17" ht="15" customHeight="1" x14ac:dyDescent="0.25">
      <c r="A2199" s="1"/>
      <c r="B2199" s="17"/>
      <c r="C2199" s="17"/>
      <c r="D2199" s="17"/>
      <c r="E2199" s="17"/>
      <c r="F2199" s="17"/>
      <c r="G2199" s="4">
        <f t="shared" si="68"/>
        <v>0</v>
      </c>
      <c r="H2199" s="17"/>
      <c r="I2199" s="4">
        <f t="shared" si="66"/>
        <v>349526.07999999996</v>
      </c>
      <c r="J2199" s="32" t="str">
        <f t="shared" si="67"/>
        <v/>
      </c>
      <c r="K2199" s="79"/>
      <c r="L2199" s="79"/>
      <c r="M2199" s="2"/>
      <c r="N2199" s="5"/>
      <c r="O2199" s="3"/>
      <c r="P2199" s="6"/>
      <c r="Q2199" s="6"/>
    </row>
    <row r="2200" spans="1:17" ht="15" customHeight="1" x14ac:dyDescent="0.25">
      <c r="A2200" s="1"/>
      <c r="B2200" s="17"/>
      <c r="C2200" s="17"/>
      <c r="D2200" s="17"/>
      <c r="E2200" s="17"/>
      <c r="F2200" s="17"/>
      <c r="G2200" s="4">
        <f t="shared" si="68"/>
        <v>0</v>
      </c>
      <c r="H2200" s="17"/>
      <c r="I2200" s="4">
        <f t="shared" si="66"/>
        <v>349526.07999999996</v>
      </c>
      <c r="J2200" s="32" t="str">
        <f t="shared" si="67"/>
        <v/>
      </c>
      <c r="K2200" s="79"/>
      <c r="L2200" s="79"/>
      <c r="M2200" s="2"/>
      <c r="N2200" s="5"/>
      <c r="O2200" s="3"/>
      <c r="P2200" s="6"/>
      <c r="Q2200" s="6"/>
    </row>
    <row r="2201" spans="1:17" ht="15" customHeight="1" x14ac:dyDescent="0.25">
      <c r="A2201" s="1"/>
      <c r="B2201" s="17"/>
      <c r="C2201" s="17"/>
      <c r="D2201" s="17"/>
      <c r="E2201" s="17"/>
      <c r="F2201" s="17"/>
      <c r="G2201" s="4">
        <f t="shared" si="68"/>
        <v>0</v>
      </c>
      <c r="H2201" s="17"/>
      <c r="I2201" s="4">
        <f t="shared" si="66"/>
        <v>349526.07999999996</v>
      </c>
      <c r="J2201" s="32" t="str">
        <f t="shared" si="67"/>
        <v/>
      </c>
      <c r="K2201" s="79"/>
      <c r="L2201" s="79"/>
      <c r="M2201" s="2"/>
      <c r="N2201" s="5"/>
      <c r="O2201" s="3"/>
      <c r="P2201" s="6"/>
      <c r="Q2201" s="6"/>
    </row>
    <row r="2202" spans="1:17" ht="15" customHeight="1" x14ac:dyDescent="0.25">
      <c r="A2202" s="1"/>
      <c r="B2202" s="17"/>
      <c r="C2202" s="17"/>
      <c r="D2202" s="17"/>
      <c r="E2202" s="17"/>
      <c r="F2202" s="17"/>
      <c r="G2202" s="4">
        <f t="shared" si="68"/>
        <v>0</v>
      </c>
      <c r="H2202" s="17"/>
      <c r="I2202" s="4">
        <f t="shared" si="66"/>
        <v>349526.07999999996</v>
      </c>
      <c r="J2202" s="32" t="str">
        <f t="shared" si="67"/>
        <v/>
      </c>
      <c r="K2202" s="79"/>
      <c r="L2202" s="79"/>
      <c r="M2202" s="2"/>
      <c r="N2202" s="5"/>
      <c r="O2202" s="3"/>
      <c r="P2202" s="6"/>
      <c r="Q2202" s="6"/>
    </row>
    <row r="2203" spans="1:17" ht="15" customHeight="1" x14ac:dyDescent="0.25">
      <c r="A2203" s="1"/>
      <c r="B2203" s="17"/>
      <c r="C2203" s="17"/>
      <c r="D2203" s="17"/>
      <c r="E2203" s="17"/>
      <c r="F2203" s="17"/>
      <c r="G2203" s="4">
        <f t="shared" si="68"/>
        <v>0</v>
      </c>
      <c r="H2203" s="17"/>
      <c r="I2203" s="4">
        <f t="shared" si="66"/>
        <v>349526.07999999996</v>
      </c>
      <c r="J2203" s="32" t="str">
        <f t="shared" si="67"/>
        <v/>
      </c>
      <c r="K2203" s="79"/>
      <c r="L2203" s="79"/>
      <c r="M2203" s="2"/>
      <c r="N2203" s="5"/>
      <c r="O2203" s="3"/>
      <c r="P2203" s="6"/>
      <c r="Q2203" s="6"/>
    </row>
    <row r="2204" spans="1:17" ht="15" customHeight="1" x14ac:dyDescent="0.25">
      <c r="A2204" s="1"/>
      <c r="B2204" s="17"/>
      <c r="C2204" s="17"/>
      <c r="D2204" s="17"/>
      <c r="E2204" s="17"/>
      <c r="F2204" s="17"/>
      <c r="G2204" s="4">
        <f t="shared" si="68"/>
        <v>0</v>
      </c>
      <c r="H2204" s="17"/>
      <c r="I2204" s="4">
        <f t="shared" si="66"/>
        <v>349526.07999999996</v>
      </c>
      <c r="J2204" s="32" t="str">
        <f t="shared" si="67"/>
        <v/>
      </c>
      <c r="K2204" s="79"/>
      <c r="L2204" s="79"/>
      <c r="M2204" s="2"/>
      <c r="N2204" s="5"/>
      <c r="O2204" s="3"/>
      <c r="P2204" s="6"/>
      <c r="Q2204" s="6"/>
    </row>
    <row r="2205" spans="1:17" ht="15" customHeight="1" x14ac:dyDescent="0.25">
      <c r="A2205" s="1"/>
      <c r="B2205" s="17"/>
      <c r="C2205" s="17"/>
      <c r="D2205" s="17"/>
      <c r="E2205" s="17"/>
      <c r="F2205" s="17"/>
      <c r="G2205" s="4">
        <f t="shared" si="68"/>
        <v>0</v>
      </c>
      <c r="H2205" s="17"/>
      <c r="I2205" s="4">
        <f t="shared" si="66"/>
        <v>349526.07999999996</v>
      </c>
      <c r="J2205" s="32" t="str">
        <f t="shared" si="67"/>
        <v/>
      </c>
      <c r="K2205" s="79"/>
      <c r="L2205" s="79"/>
      <c r="M2205" s="2"/>
      <c r="N2205" s="5"/>
      <c r="O2205" s="3"/>
      <c r="P2205" s="6"/>
      <c r="Q2205" s="6"/>
    </row>
    <row r="2206" spans="1:17" ht="15" customHeight="1" x14ac:dyDescent="0.25">
      <c r="A2206" s="1"/>
      <c r="B2206" s="17"/>
      <c r="C2206" s="17"/>
      <c r="D2206" s="17"/>
      <c r="E2206" s="17"/>
      <c r="F2206" s="17"/>
      <c r="G2206" s="4">
        <f t="shared" si="68"/>
        <v>0</v>
      </c>
      <c r="H2206" s="17"/>
      <c r="I2206" s="4">
        <f t="shared" si="66"/>
        <v>349526.07999999996</v>
      </c>
      <c r="J2206" s="32" t="str">
        <f t="shared" si="67"/>
        <v/>
      </c>
      <c r="K2206" s="79"/>
      <c r="L2206" s="79"/>
      <c r="M2206" s="2"/>
      <c r="N2206" s="5"/>
      <c r="O2206" s="3"/>
      <c r="P2206" s="6"/>
      <c r="Q2206" s="6"/>
    </row>
    <row r="2207" spans="1:17" ht="15" customHeight="1" x14ac:dyDescent="0.25">
      <c r="A2207" s="1"/>
      <c r="B2207" s="17"/>
      <c r="C2207" s="17"/>
      <c r="D2207" s="17"/>
      <c r="E2207" s="17"/>
      <c r="F2207" s="17"/>
      <c r="G2207" s="4">
        <f t="shared" si="68"/>
        <v>0</v>
      </c>
      <c r="H2207" s="17"/>
      <c r="I2207" s="4">
        <f t="shared" si="66"/>
        <v>349526.07999999996</v>
      </c>
      <c r="J2207" s="32" t="str">
        <f t="shared" si="67"/>
        <v/>
      </c>
      <c r="K2207" s="79"/>
      <c r="L2207" s="79"/>
      <c r="M2207" s="2"/>
      <c r="N2207" s="5"/>
      <c r="O2207" s="3"/>
      <c r="P2207" s="6"/>
      <c r="Q2207" s="6"/>
    </row>
    <row r="2208" spans="1:17" ht="15" customHeight="1" x14ac:dyDescent="0.25">
      <c r="A2208" s="1"/>
      <c r="B2208" s="17"/>
      <c r="C2208" s="17"/>
      <c r="D2208" s="17"/>
      <c r="E2208" s="17"/>
      <c r="F2208" s="17"/>
      <c r="G2208" s="4">
        <f t="shared" si="68"/>
        <v>0</v>
      </c>
      <c r="H2208" s="17"/>
      <c r="I2208" s="4">
        <f t="shared" si="66"/>
        <v>349526.07999999996</v>
      </c>
      <c r="J2208" s="32" t="str">
        <f t="shared" si="67"/>
        <v/>
      </c>
      <c r="K2208" s="79"/>
      <c r="L2208" s="79"/>
      <c r="M2208" s="2"/>
      <c r="N2208" s="5"/>
      <c r="O2208" s="3"/>
      <c r="P2208" s="6"/>
      <c r="Q2208" s="6"/>
    </row>
    <row r="2209" spans="1:17" ht="15" customHeight="1" x14ac:dyDescent="0.25">
      <c r="A2209" s="1"/>
      <c r="B2209" s="17"/>
      <c r="C2209" s="17"/>
      <c r="D2209" s="17"/>
      <c r="E2209" s="17"/>
      <c r="F2209" s="17"/>
      <c r="G2209" s="4">
        <f t="shared" si="68"/>
        <v>0</v>
      </c>
      <c r="H2209" s="17"/>
      <c r="I2209" s="4">
        <f t="shared" si="66"/>
        <v>349526.07999999996</v>
      </c>
      <c r="J2209" s="32" t="str">
        <f t="shared" si="67"/>
        <v/>
      </c>
      <c r="K2209" s="79"/>
      <c r="L2209" s="79"/>
      <c r="M2209" s="2"/>
      <c r="N2209" s="5"/>
      <c r="O2209" s="3"/>
      <c r="P2209" s="6"/>
      <c r="Q2209" s="6"/>
    </row>
    <row r="2210" spans="1:17" ht="15" customHeight="1" x14ac:dyDescent="0.25">
      <c r="A2210" s="1"/>
      <c r="B2210" s="17"/>
      <c r="C2210" s="17"/>
      <c r="D2210" s="17"/>
      <c r="E2210" s="17"/>
      <c r="F2210" s="17"/>
      <c r="G2210" s="4">
        <f t="shared" si="68"/>
        <v>0</v>
      </c>
      <c r="H2210" s="17"/>
      <c r="I2210" s="4">
        <f t="shared" si="66"/>
        <v>349526.07999999996</v>
      </c>
      <c r="J2210" s="32" t="str">
        <f t="shared" si="67"/>
        <v/>
      </c>
      <c r="K2210" s="79"/>
      <c r="L2210" s="79"/>
      <c r="M2210" s="2"/>
      <c r="N2210" s="5"/>
      <c r="O2210" s="3"/>
      <c r="P2210" s="6"/>
      <c r="Q2210" s="6"/>
    </row>
    <row r="2211" spans="1:17" ht="15" customHeight="1" x14ac:dyDescent="0.25">
      <c r="A2211" s="1"/>
      <c r="B2211" s="17"/>
      <c r="C2211" s="17"/>
      <c r="D2211" s="17"/>
      <c r="E2211" s="17"/>
      <c r="F2211" s="17"/>
      <c r="G2211" s="4">
        <f t="shared" si="68"/>
        <v>0</v>
      </c>
      <c r="H2211" s="17"/>
      <c r="I2211" s="4">
        <f t="shared" si="66"/>
        <v>349526.07999999996</v>
      </c>
      <c r="J2211" s="32" t="str">
        <f t="shared" si="67"/>
        <v/>
      </c>
      <c r="K2211" s="79"/>
      <c r="L2211" s="79"/>
      <c r="M2211" s="2"/>
      <c r="N2211" s="5"/>
      <c r="O2211" s="3"/>
      <c r="P2211" s="6"/>
      <c r="Q2211" s="6"/>
    </row>
    <row r="2212" spans="1:17" ht="15" customHeight="1" x14ac:dyDescent="0.25">
      <c r="A2212" s="1"/>
      <c r="B2212" s="17"/>
      <c r="C2212" s="17"/>
      <c r="D2212" s="17"/>
      <c r="E2212" s="17"/>
      <c r="F2212" s="17"/>
      <c r="G2212" s="4">
        <f t="shared" si="68"/>
        <v>0</v>
      </c>
      <c r="H2212" s="17"/>
      <c r="I2212" s="4">
        <f t="shared" si="66"/>
        <v>349526.07999999996</v>
      </c>
      <c r="J2212" s="32" t="str">
        <f t="shared" si="67"/>
        <v/>
      </c>
      <c r="K2212" s="79"/>
      <c r="L2212" s="79"/>
      <c r="M2212" s="2"/>
      <c r="N2212" s="5"/>
      <c r="O2212" s="3"/>
      <c r="P2212" s="6"/>
      <c r="Q2212" s="6"/>
    </row>
    <row r="2213" spans="1:17" ht="15" customHeight="1" x14ac:dyDescent="0.25">
      <c r="A2213" s="1"/>
      <c r="B2213" s="17"/>
      <c r="C2213" s="17"/>
      <c r="D2213" s="17"/>
      <c r="E2213" s="17"/>
      <c r="F2213" s="17"/>
      <c r="G2213" s="4">
        <f t="shared" si="68"/>
        <v>0</v>
      </c>
      <c r="H2213" s="17"/>
      <c r="I2213" s="4">
        <f t="shared" si="66"/>
        <v>349526.07999999996</v>
      </c>
      <c r="J2213" s="32" t="str">
        <f t="shared" si="67"/>
        <v/>
      </c>
      <c r="K2213" s="79"/>
      <c r="L2213" s="79"/>
      <c r="M2213" s="2"/>
      <c r="N2213" s="5"/>
      <c r="O2213" s="3"/>
      <c r="P2213" s="6"/>
      <c r="Q2213" s="6"/>
    </row>
    <row r="2214" spans="1:17" ht="15" customHeight="1" x14ac:dyDescent="0.25">
      <c r="A2214" s="1"/>
      <c r="B2214" s="17"/>
      <c r="C2214" s="17"/>
      <c r="D2214" s="17"/>
      <c r="E2214" s="17"/>
      <c r="F2214" s="17"/>
      <c r="G2214" s="4">
        <f t="shared" si="68"/>
        <v>0</v>
      </c>
      <c r="H2214" s="17"/>
      <c r="I2214" s="4">
        <f t="shared" si="66"/>
        <v>349526.07999999996</v>
      </c>
      <c r="J2214" s="32" t="str">
        <f t="shared" si="67"/>
        <v/>
      </c>
      <c r="K2214" s="79"/>
      <c r="L2214" s="79"/>
      <c r="M2214" s="2"/>
      <c r="N2214" s="5"/>
      <c r="O2214" s="3"/>
      <c r="P2214" s="6"/>
      <c r="Q2214" s="6"/>
    </row>
    <row r="2215" spans="1:17" ht="15" customHeight="1" x14ac:dyDescent="0.25">
      <c r="A2215" s="1"/>
      <c r="B2215" s="17"/>
      <c r="C2215" s="17"/>
      <c r="D2215" s="17"/>
      <c r="E2215" s="17"/>
      <c r="F2215" s="17"/>
      <c r="G2215" s="4">
        <f t="shared" si="68"/>
        <v>0</v>
      </c>
      <c r="H2215" s="17"/>
      <c r="I2215" s="4">
        <f t="shared" si="66"/>
        <v>349526.07999999996</v>
      </c>
      <c r="J2215" s="32" t="str">
        <f t="shared" si="67"/>
        <v/>
      </c>
      <c r="K2215" s="79"/>
      <c r="L2215" s="79"/>
      <c r="M2215" s="2"/>
      <c r="N2215" s="5"/>
      <c r="O2215" s="3"/>
      <c r="P2215" s="6"/>
      <c r="Q2215" s="6"/>
    </row>
    <row r="2216" spans="1:17" ht="15" customHeight="1" x14ac:dyDescent="0.25">
      <c r="A2216" s="1"/>
      <c r="B2216" s="17"/>
      <c r="C2216" s="17"/>
      <c r="D2216" s="17"/>
      <c r="E2216" s="17"/>
      <c r="F2216" s="17"/>
      <c r="G2216" s="4">
        <f t="shared" si="68"/>
        <v>0</v>
      </c>
      <c r="H2216" s="17"/>
      <c r="I2216" s="4">
        <f t="shared" si="66"/>
        <v>349526.07999999996</v>
      </c>
      <c r="J2216" s="32" t="str">
        <f t="shared" si="67"/>
        <v/>
      </c>
      <c r="K2216" s="79"/>
      <c r="L2216" s="79"/>
      <c r="M2216" s="2"/>
      <c r="N2216" s="5"/>
      <c r="O2216" s="3"/>
      <c r="P2216" s="6"/>
      <c r="Q2216" s="6"/>
    </row>
    <row r="2217" spans="1:17" ht="15" customHeight="1" x14ac:dyDescent="0.25">
      <c r="A2217" s="1"/>
      <c r="B2217" s="17"/>
      <c r="C2217" s="17"/>
      <c r="D2217" s="17"/>
      <c r="E2217" s="17"/>
      <c r="F2217" s="17"/>
      <c r="G2217" s="4">
        <f t="shared" si="68"/>
        <v>0</v>
      </c>
      <c r="H2217" s="17"/>
      <c r="I2217" s="4">
        <f t="shared" si="66"/>
        <v>349526.07999999996</v>
      </c>
      <c r="J2217" s="32" t="str">
        <f t="shared" si="67"/>
        <v/>
      </c>
      <c r="K2217" s="79"/>
      <c r="L2217" s="79"/>
      <c r="M2217" s="2"/>
      <c r="N2217" s="5"/>
      <c r="O2217" s="3"/>
      <c r="P2217" s="6"/>
      <c r="Q2217" s="6"/>
    </row>
    <row r="2218" spans="1:17" ht="15" customHeight="1" x14ac:dyDescent="0.25">
      <c r="A2218" s="1"/>
      <c r="B2218" s="17"/>
      <c r="C2218" s="17"/>
      <c r="D2218" s="17"/>
      <c r="E2218" s="17"/>
      <c r="F2218" s="17"/>
      <c r="G2218" s="4">
        <f t="shared" si="68"/>
        <v>0</v>
      </c>
      <c r="H2218" s="17"/>
      <c r="I2218" s="4">
        <f t="shared" si="66"/>
        <v>349526.07999999996</v>
      </c>
      <c r="J2218" s="32" t="str">
        <f t="shared" si="67"/>
        <v/>
      </c>
      <c r="K2218" s="79"/>
      <c r="L2218" s="79"/>
      <c r="M2218" s="2"/>
      <c r="N2218" s="5"/>
      <c r="O2218" s="3"/>
      <c r="P2218" s="6"/>
      <c r="Q2218" s="6"/>
    </row>
    <row r="2219" spans="1:17" ht="15" customHeight="1" x14ac:dyDescent="0.25">
      <c r="A2219" s="1"/>
      <c r="B2219" s="17"/>
      <c r="C2219" s="17"/>
      <c r="D2219" s="17"/>
      <c r="E2219" s="17"/>
      <c r="F2219" s="17"/>
      <c r="G2219" s="4">
        <f t="shared" si="68"/>
        <v>0</v>
      </c>
      <c r="H2219" s="17"/>
      <c r="I2219" s="4">
        <f t="shared" si="66"/>
        <v>349526.07999999996</v>
      </c>
      <c r="J2219" s="32" t="str">
        <f t="shared" si="67"/>
        <v/>
      </c>
      <c r="K2219" s="79"/>
      <c r="L2219" s="79"/>
      <c r="M2219" s="2"/>
      <c r="N2219" s="5"/>
      <c r="O2219" s="3"/>
      <c r="P2219" s="6"/>
      <c r="Q2219" s="6"/>
    </row>
    <row r="2220" spans="1:17" ht="15" customHeight="1" x14ac:dyDescent="0.25">
      <c r="A2220" s="1"/>
      <c r="B2220" s="17"/>
      <c r="C2220" s="17"/>
      <c r="D2220" s="17"/>
      <c r="E2220" s="17"/>
      <c r="F2220" s="17"/>
      <c r="G2220" s="4">
        <f t="shared" si="68"/>
        <v>0</v>
      </c>
      <c r="H2220" s="17"/>
      <c r="I2220" s="4">
        <f t="shared" si="66"/>
        <v>349526.07999999996</v>
      </c>
      <c r="J2220" s="32" t="str">
        <f t="shared" si="67"/>
        <v/>
      </c>
      <c r="K2220" s="79"/>
      <c r="L2220" s="79"/>
      <c r="M2220" s="2"/>
      <c r="N2220" s="5"/>
      <c r="O2220" s="3"/>
      <c r="P2220" s="6"/>
      <c r="Q2220" s="6"/>
    </row>
    <row r="2221" spans="1:17" ht="15" customHeight="1" x14ac:dyDescent="0.25">
      <c r="A2221" s="1"/>
      <c r="B2221" s="17"/>
      <c r="C2221" s="17"/>
      <c r="D2221" s="17"/>
      <c r="E2221" s="17"/>
      <c r="F2221" s="17"/>
      <c r="G2221" s="4">
        <f t="shared" si="68"/>
        <v>0</v>
      </c>
      <c r="H2221" s="17"/>
      <c r="I2221" s="4">
        <f t="shared" si="66"/>
        <v>349526.07999999996</v>
      </c>
      <c r="J2221" s="32" t="str">
        <f t="shared" si="67"/>
        <v/>
      </c>
      <c r="K2221" s="79"/>
      <c r="L2221" s="79"/>
      <c r="M2221" s="2"/>
      <c r="N2221" s="5"/>
      <c r="O2221" s="3"/>
      <c r="P2221" s="6"/>
      <c r="Q2221" s="6"/>
    </row>
    <row r="2222" spans="1:17" ht="15" customHeight="1" x14ac:dyDescent="0.25">
      <c r="A2222" s="1"/>
      <c r="B2222" s="17"/>
      <c r="C2222" s="17"/>
      <c r="D2222" s="17"/>
      <c r="E2222" s="17"/>
      <c r="F2222" s="17"/>
      <c r="G2222" s="4">
        <f t="shared" si="68"/>
        <v>0</v>
      </c>
      <c r="H2222" s="17"/>
      <c r="I2222" s="4">
        <f t="shared" si="66"/>
        <v>349526.07999999996</v>
      </c>
      <c r="J2222" s="32" t="str">
        <f t="shared" si="67"/>
        <v/>
      </c>
      <c r="K2222" s="79"/>
      <c r="L2222" s="79"/>
      <c r="M2222" s="2"/>
      <c r="N2222" s="5"/>
      <c r="O2222" s="3"/>
      <c r="P2222" s="6"/>
      <c r="Q2222" s="6"/>
    </row>
    <row r="2223" spans="1:17" ht="15" customHeight="1" x14ac:dyDescent="0.25">
      <c r="A2223" s="1"/>
      <c r="B2223" s="17"/>
      <c r="C2223" s="17"/>
      <c r="D2223" s="17"/>
      <c r="E2223" s="17"/>
      <c r="F2223" s="17"/>
      <c r="G2223" s="4">
        <f t="shared" si="68"/>
        <v>0</v>
      </c>
      <c r="H2223" s="17"/>
      <c r="I2223" s="4">
        <f t="shared" si="66"/>
        <v>349526.07999999996</v>
      </c>
      <c r="J2223" s="32" t="str">
        <f t="shared" si="67"/>
        <v/>
      </c>
      <c r="K2223" s="79"/>
      <c r="L2223" s="79"/>
      <c r="M2223" s="2"/>
      <c r="N2223" s="5"/>
      <c r="O2223" s="3"/>
      <c r="P2223" s="6"/>
      <c r="Q2223" s="6"/>
    </row>
    <row r="2224" spans="1:17" ht="15" customHeight="1" x14ac:dyDescent="0.25">
      <c r="A2224" s="1"/>
      <c r="B2224" s="17"/>
      <c r="C2224" s="17"/>
      <c r="D2224" s="17"/>
      <c r="E2224" s="17"/>
      <c r="F2224" s="17"/>
      <c r="G2224" s="4">
        <f t="shared" si="68"/>
        <v>0</v>
      </c>
      <c r="H2224" s="17"/>
      <c r="I2224" s="4">
        <f t="shared" si="66"/>
        <v>349526.07999999996</v>
      </c>
      <c r="J2224" s="32" t="str">
        <f t="shared" si="67"/>
        <v/>
      </c>
      <c r="K2224" s="79"/>
      <c r="L2224" s="79"/>
      <c r="M2224" s="2"/>
      <c r="N2224" s="5"/>
      <c r="O2224" s="3"/>
      <c r="P2224" s="6"/>
      <c r="Q2224" s="6"/>
    </row>
    <row r="2225" spans="1:17" ht="15" customHeight="1" x14ac:dyDescent="0.25">
      <c r="A2225" s="1"/>
      <c r="B2225" s="17"/>
      <c r="C2225" s="17"/>
      <c r="D2225" s="17"/>
      <c r="E2225" s="17"/>
      <c r="F2225" s="17"/>
      <c r="G2225" s="4">
        <f t="shared" si="68"/>
        <v>0</v>
      </c>
      <c r="H2225" s="17"/>
      <c r="I2225" s="4">
        <f t="shared" si="66"/>
        <v>349526.07999999996</v>
      </c>
      <c r="J2225" s="32" t="str">
        <f t="shared" si="67"/>
        <v/>
      </c>
      <c r="K2225" s="79"/>
      <c r="L2225" s="79"/>
      <c r="M2225" s="2"/>
      <c r="N2225" s="5"/>
      <c r="O2225" s="3"/>
      <c r="P2225" s="6"/>
      <c r="Q2225" s="6"/>
    </row>
    <row r="2226" spans="1:17" ht="15" customHeight="1" x14ac:dyDescent="0.25">
      <c r="A2226" s="1"/>
      <c r="B2226" s="17"/>
      <c r="C2226" s="17"/>
      <c r="D2226" s="17"/>
      <c r="E2226" s="17"/>
      <c r="F2226" s="17"/>
      <c r="G2226" s="4">
        <f t="shared" si="68"/>
        <v>0</v>
      </c>
      <c r="H2226" s="17"/>
      <c r="I2226" s="4">
        <f t="shared" si="66"/>
        <v>349526.07999999996</v>
      </c>
      <c r="J2226" s="32" t="str">
        <f t="shared" si="67"/>
        <v/>
      </c>
      <c r="K2226" s="79"/>
      <c r="L2226" s="79"/>
      <c r="M2226" s="2"/>
      <c r="N2226" s="5"/>
      <c r="O2226" s="3"/>
      <c r="P2226" s="6"/>
      <c r="Q2226" s="6"/>
    </row>
    <row r="2227" spans="1:17" ht="15" customHeight="1" x14ac:dyDescent="0.25">
      <c r="A2227" s="1"/>
      <c r="B2227" s="17"/>
      <c r="C2227" s="17"/>
      <c r="D2227" s="17"/>
      <c r="E2227" s="17"/>
      <c r="F2227" s="17"/>
      <c r="G2227" s="4">
        <f t="shared" si="68"/>
        <v>0</v>
      </c>
      <c r="H2227" s="17"/>
      <c r="I2227" s="4">
        <f t="shared" si="66"/>
        <v>349526.07999999996</v>
      </c>
      <c r="J2227" s="32" t="str">
        <f t="shared" si="67"/>
        <v/>
      </c>
      <c r="K2227" s="79"/>
      <c r="L2227" s="79"/>
      <c r="M2227" s="2"/>
      <c r="N2227" s="5"/>
      <c r="O2227" s="3"/>
      <c r="P2227" s="6"/>
      <c r="Q2227" s="6"/>
    </row>
    <row r="2228" spans="1:17" ht="15" customHeight="1" x14ac:dyDescent="0.25">
      <c r="A2228" s="1"/>
      <c r="B2228" s="17"/>
      <c r="C2228" s="17"/>
      <c r="D2228" s="17"/>
      <c r="E2228" s="17"/>
      <c r="F2228" s="17"/>
      <c r="G2228" s="4">
        <f t="shared" si="68"/>
        <v>0</v>
      </c>
      <c r="H2228" s="17"/>
      <c r="I2228" s="4">
        <f t="shared" si="66"/>
        <v>349526.07999999996</v>
      </c>
      <c r="J2228" s="32" t="str">
        <f t="shared" si="67"/>
        <v/>
      </c>
      <c r="K2228" s="79"/>
      <c r="L2228" s="79"/>
      <c r="M2228" s="2"/>
      <c r="N2228" s="5"/>
      <c r="O2228" s="3"/>
      <c r="P2228" s="6"/>
      <c r="Q2228" s="6"/>
    </row>
    <row r="2229" spans="1:17" ht="15" customHeight="1" x14ac:dyDescent="0.25">
      <c r="A2229" s="1"/>
      <c r="B2229" s="17"/>
      <c r="C2229" s="17"/>
      <c r="D2229" s="17"/>
      <c r="E2229" s="17"/>
      <c r="F2229" s="17"/>
      <c r="G2229" s="4">
        <f t="shared" si="68"/>
        <v>0</v>
      </c>
      <c r="H2229" s="17"/>
      <c r="I2229" s="4">
        <f t="shared" si="66"/>
        <v>349526.07999999996</v>
      </c>
      <c r="J2229" s="32" t="str">
        <f t="shared" si="67"/>
        <v/>
      </c>
      <c r="K2229" s="79"/>
      <c r="L2229" s="79"/>
      <c r="M2229" s="2"/>
      <c r="N2229" s="5"/>
      <c r="O2229" s="3"/>
      <c r="P2229" s="6"/>
      <c r="Q2229" s="6"/>
    </row>
    <row r="2230" spans="1:17" ht="15" customHeight="1" x14ac:dyDescent="0.25">
      <c r="A2230" s="1"/>
      <c r="B2230" s="17"/>
      <c r="C2230" s="17"/>
      <c r="D2230" s="17"/>
      <c r="E2230" s="17"/>
      <c r="F2230" s="17"/>
      <c r="G2230" s="4">
        <f t="shared" si="68"/>
        <v>0</v>
      </c>
      <c r="H2230" s="17"/>
      <c r="I2230" s="4">
        <f t="shared" ref="I2230:I2293" si="69">$I2229+$G2230-$H2230</f>
        <v>349526.07999999996</v>
      </c>
      <c r="J2230" s="32" t="str">
        <f t="shared" ref="J2230:J2293" si="70">IF($A2231&lt;&gt;$A2230,$I2230,"")</f>
        <v/>
      </c>
      <c r="K2230" s="79"/>
      <c r="L2230" s="79"/>
      <c r="M2230" s="2"/>
      <c r="N2230" s="5"/>
      <c r="O2230" s="3"/>
      <c r="P2230" s="6"/>
      <c r="Q2230" s="6"/>
    </row>
    <row r="2231" spans="1:17" ht="15" customHeight="1" x14ac:dyDescent="0.25">
      <c r="A2231" s="1"/>
      <c r="B2231" s="17"/>
      <c r="C2231" s="17"/>
      <c r="D2231" s="17"/>
      <c r="E2231" s="17"/>
      <c r="F2231" s="17"/>
      <c r="G2231" s="4">
        <f t="shared" si="68"/>
        <v>0</v>
      </c>
      <c r="H2231" s="17"/>
      <c r="I2231" s="4">
        <f t="shared" si="69"/>
        <v>349526.07999999996</v>
      </c>
      <c r="J2231" s="32" t="str">
        <f t="shared" si="70"/>
        <v/>
      </c>
      <c r="K2231" s="79"/>
      <c r="L2231" s="79"/>
      <c r="M2231" s="2"/>
      <c r="N2231" s="5"/>
      <c r="O2231" s="3"/>
      <c r="P2231" s="6"/>
      <c r="Q2231" s="6"/>
    </row>
    <row r="2232" spans="1:17" ht="15" customHeight="1" x14ac:dyDescent="0.25">
      <c r="A2232" s="1"/>
      <c r="B2232" s="17"/>
      <c r="C2232" s="17"/>
      <c r="D2232" s="17"/>
      <c r="E2232" s="17"/>
      <c r="F2232" s="17"/>
      <c r="G2232" s="4">
        <f t="shared" si="68"/>
        <v>0</v>
      </c>
      <c r="H2232" s="17"/>
      <c r="I2232" s="4">
        <f t="shared" si="69"/>
        <v>349526.07999999996</v>
      </c>
      <c r="J2232" s="32" t="str">
        <f t="shared" si="70"/>
        <v/>
      </c>
      <c r="K2232" s="79"/>
      <c r="L2232" s="79"/>
      <c r="M2232" s="2"/>
      <c r="N2232" s="5"/>
      <c r="O2232" s="3"/>
      <c r="P2232" s="6"/>
      <c r="Q2232" s="6"/>
    </row>
    <row r="2233" spans="1:17" ht="15" customHeight="1" x14ac:dyDescent="0.25">
      <c r="A2233" s="1"/>
      <c r="B2233" s="17"/>
      <c r="C2233" s="17"/>
      <c r="D2233" s="17"/>
      <c r="E2233" s="17"/>
      <c r="F2233" s="17"/>
      <c r="G2233" s="4">
        <f t="shared" si="68"/>
        <v>0</v>
      </c>
      <c r="H2233" s="17"/>
      <c r="I2233" s="4">
        <f t="shared" si="69"/>
        <v>349526.07999999996</v>
      </c>
      <c r="J2233" s="32" t="str">
        <f t="shared" si="70"/>
        <v/>
      </c>
      <c r="K2233" s="79"/>
      <c r="L2233" s="79"/>
      <c r="M2233" s="2"/>
      <c r="N2233" s="5"/>
      <c r="O2233" s="3"/>
      <c r="P2233" s="6"/>
      <c r="Q2233" s="6"/>
    </row>
    <row r="2234" spans="1:17" ht="15" customHeight="1" x14ac:dyDescent="0.25">
      <c r="A2234" s="1"/>
      <c r="B2234" s="17"/>
      <c r="C2234" s="17"/>
      <c r="D2234" s="17"/>
      <c r="E2234" s="17"/>
      <c r="F2234" s="17"/>
      <c r="G2234" s="4">
        <f t="shared" si="68"/>
        <v>0</v>
      </c>
      <c r="H2234" s="17"/>
      <c r="I2234" s="4">
        <f t="shared" si="69"/>
        <v>349526.07999999996</v>
      </c>
      <c r="J2234" s="32" t="str">
        <f t="shared" si="70"/>
        <v/>
      </c>
      <c r="K2234" s="79"/>
      <c r="L2234" s="79"/>
      <c r="M2234" s="2"/>
      <c r="N2234" s="5"/>
      <c r="O2234" s="3"/>
      <c r="P2234" s="6"/>
      <c r="Q2234" s="6"/>
    </row>
    <row r="2235" spans="1:17" ht="15" customHeight="1" x14ac:dyDescent="0.25">
      <c r="A2235" s="1"/>
      <c r="B2235" s="17"/>
      <c r="C2235" s="17"/>
      <c r="D2235" s="17"/>
      <c r="E2235" s="17"/>
      <c r="F2235" s="17"/>
      <c r="G2235" s="4">
        <f t="shared" si="68"/>
        <v>0</v>
      </c>
      <c r="H2235" s="17"/>
      <c r="I2235" s="4">
        <f t="shared" si="69"/>
        <v>349526.07999999996</v>
      </c>
      <c r="J2235" s="32" t="str">
        <f t="shared" si="70"/>
        <v/>
      </c>
      <c r="K2235" s="79"/>
      <c r="L2235" s="79"/>
      <c r="M2235" s="2"/>
      <c r="N2235" s="5"/>
      <c r="O2235" s="3"/>
      <c r="P2235" s="6"/>
      <c r="Q2235" s="6"/>
    </row>
    <row r="2236" spans="1:17" ht="15" customHeight="1" x14ac:dyDescent="0.25">
      <c r="A2236" s="1"/>
      <c r="B2236" s="17"/>
      <c r="C2236" s="17"/>
      <c r="D2236" s="17"/>
      <c r="E2236" s="17"/>
      <c r="F2236" s="17"/>
      <c r="G2236" s="4">
        <f t="shared" si="68"/>
        <v>0</v>
      </c>
      <c r="H2236" s="17"/>
      <c r="I2236" s="4">
        <f t="shared" si="69"/>
        <v>349526.07999999996</v>
      </c>
      <c r="J2236" s="32" t="str">
        <f t="shared" si="70"/>
        <v/>
      </c>
      <c r="K2236" s="79"/>
      <c r="L2236" s="79"/>
      <c r="M2236" s="2"/>
      <c r="N2236" s="5"/>
      <c r="O2236" s="3"/>
      <c r="P2236" s="6"/>
      <c r="Q2236" s="6"/>
    </row>
    <row r="2237" spans="1:17" ht="15" customHeight="1" x14ac:dyDescent="0.25">
      <c r="A2237" s="1"/>
      <c r="B2237" s="17"/>
      <c r="C2237" s="17"/>
      <c r="D2237" s="17"/>
      <c r="E2237" s="17"/>
      <c r="F2237" s="17"/>
      <c r="G2237" s="4">
        <f t="shared" si="68"/>
        <v>0</v>
      </c>
      <c r="H2237" s="17"/>
      <c r="I2237" s="4">
        <f t="shared" si="69"/>
        <v>349526.07999999996</v>
      </c>
      <c r="J2237" s="32" t="str">
        <f t="shared" si="70"/>
        <v/>
      </c>
      <c r="K2237" s="79"/>
      <c r="L2237" s="79"/>
      <c r="M2237" s="2"/>
      <c r="N2237" s="5"/>
      <c r="O2237" s="3"/>
      <c r="P2237" s="6"/>
      <c r="Q2237" s="6"/>
    </row>
    <row r="2238" spans="1:17" ht="15" customHeight="1" x14ac:dyDescent="0.25">
      <c r="A2238" s="1"/>
      <c r="B2238" s="17"/>
      <c r="C2238" s="17"/>
      <c r="D2238" s="17"/>
      <c r="E2238" s="17"/>
      <c r="F2238" s="17"/>
      <c r="G2238" s="4">
        <f t="shared" si="68"/>
        <v>0</v>
      </c>
      <c r="H2238" s="17"/>
      <c r="I2238" s="4">
        <f t="shared" si="69"/>
        <v>349526.07999999996</v>
      </c>
      <c r="J2238" s="32" t="str">
        <f t="shared" si="70"/>
        <v/>
      </c>
      <c r="K2238" s="79"/>
      <c r="L2238" s="79"/>
      <c r="M2238" s="2"/>
      <c r="N2238" s="5"/>
      <c r="O2238" s="3"/>
      <c r="P2238" s="6"/>
      <c r="Q2238" s="6"/>
    </row>
    <row r="2239" spans="1:17" ht="15" customHeight="1" x14ac:dyDescent="0.25">
      <c r="A2239" s="1"/>
      <c r="B2239" s="17"/>
      <c r="C2239" s="17"/>
      <c r="D2239" s="17"/>
      <c r="E2239" s="17"/>
      <c r="F2239" s="17"/>
      <c r="G2239" s="4">
        <f t="shared" si="68"/>
        <v>0</v>
      </c>
      <c r="H2239" s="17"/>
      <c r="I2239" s="4">
        <f t="shared" si="69"/>
        <v>349526.07999999996</v>
      </c>
      <c r="J2239" s="32" t="str">
        <f t="shared" si="70"/>
        <v/>
      </c>
      <c r="K2239" s="79"/>
      <c r="L2239" s="79"/>
      <c r="M2239" s="2"/>
      <c r="N2239" s="5"/>
      <c r="O2239" s="3"/>
      <c r="P2239" s="6"/>
      <c r="Q2239" s="6"/>
    </row>
    <row r="2240" spans="1:17" ht="15" customHeight="1" x14ac:dyDescent="0.25">
      <c r="A2240" s="1"/>
      <c r="B2240" s="17"/>
      <c r="C2240" s="17"/>
      <c r="D2240" s="17"/>
      <c r="E2240" s="17"/>
      <c r="F2240" s="17"/>
      <c r="G2240" s="4">
        <f t="shared" si="68"/>
        <v>0</v>
      </c>
      <c r="H2240" s="17"/>
      <c r="I2240" s="4">
        <f t="shared" si="69"/>
        <v>349526.07999999996</v>
      </c>
      <c r="J2240" s="32" t="str">
        <f t="shared" si="70"/>
        <v/>
      </c>
      <c r="K2240" s="79"/>
      <c r="L2240" s="79"/>
      <c r="M2240" s="2"/>
      <c r="N2240" s="5"/>
      <c r="O2240" s="3"/>
      <c r="P2240" s="6"/>
      <c r="Q2240" s="6"/>
    </row>
    <row r="2241" spans="1:17" ht="15" customHeight="1" x14ac:dyDescent="0.25">
      <c r="A2241" s="1"/>
      <c r="B2241" s="17"/>
      <c r="C2241" s="17"/>
      <c r="D2241" s="17"/>
      <c r="E2241" s="17"/>
      <c r="F2241" s="17"/>
      <c r="G2241" s="4">
        <f t="shared" si="68"/>
        <v>0</v>
      </c>
      <c r="H2241" s="17"/>
      <c r="I2241" s="4">
        <f t="shared" si="69"/>
        <v>349526.07999999996</v>
      </c>
      <c r="J2241" s="32" t="str">
        <f t="shared" si="70"/>
        <v/>
      </c>
      <c r="K2241" s="79"/>
      <c r="L2241" s="79"/>
      <c r="M2241" s="2"/>
      <c r="N2241" s="5"/>
      <c r="O2241" s="3"/>
      <c r="P2241" s="6"/>
      <c r="Q2241" s="6"/>
    </row>
    <row r="2242" spans="1:17" ht="15" customHeight="1" x14ac:dyDescent="0.25">
      <c r="A2242" s="1"/>
      <c r="B2242" s="17"/>
      <c r="C2242" s="17"/>
      <c r="D2242" s="17"/>
      <c r="E2242" s="17"/>
      <c r="F2242" s="17"/>
      <c r="G2242" s="4">
        <f t="shared" si="68"/>
        <v>0</v>
      </c>
      <c r="H2242" s="17"/>
      <c r="I2242" s="4">
        <f t="shared" si="69"/>
        <v>349526.07999999996</v>
      </c>
      <c r="J2242" s="32" t="str">
        <f t="shared" si="70"/>
        <v/>
      </c>
      <c r="K2242" s="79"/>
      <c r="L2242" s="79"/>
      <c r="M2242" s="2"/>
      <c r="N2242" s="5"/>
      <c r="O2242" s="3"/>
      <c r="P2242" s="6"/>
      <c r="Q2242" s="6"/>
    </row>
    <row r="2243" spans="1:17" ht="15" customHeight="1" x14ac:dyDescent="0.25">
      <c r="A2243" s="1"/>
      <c r="B2243" s="17"/>
      <c r="C2243" s="17"/>
      <c r="D2243" s="17"/>
      <c r="E2243" s="17"/>
      <c r="F2243" s="17"/>
      <c r="G2243" s="4">
        <f t="shared" ref="G2243:G2306" si="71">SUM($B2243:$F2243)</f>
        <v>0</v>
      </c>
      <c r="H2243" s="17"/>
      <c r="I2243" s="4">
        <f t="shared" si="69"/>
        <v>349526.07999999996</v>
      </c>
      <c r="J2243" s="32" t="str">
        <f t="shared" si="70"/>
        <v/>
      </c>
      <c r="K2243" s="79"/>
      <c r="L2243" s="79"/>
      <c r="M2243" s="2"/>
      <c r="N2243" s="5"/>
      <c r="O2243" s="3"/>
      <c r="P2243" s="6"/>
      <c r="Q2243" s="6"/>
    </row>
    <row r="2244" spans="1:17" ht="15" customHeight="1" x14ac:dyDescent="0.25">
      <c r="A2244" s="1"/>
      <c r="B2244" s="17"/>
      <c r="C2244" s="17"/>
      <c r="D2244" s="17"/>
      <c r="E2244" s="17"/>
      <c r="F2244" s="17"/>
      <c r="G2244" s="4">
        <f t="shared" si="71"/>
        <v>0</v>
      </c>
      <c r="H2244" s="17"/>
      <c r="I2244" s="4">
        <f t="shared" si="69"/>
        <v>349526.07999999996</v>
      </c>
      <c r="J2244" s="32" t="str">
        <f t="shared" si="70"/>
        <v/>
      </c>
      <c r="K2244" s="79"/>
      <c r="L2244" s="79"/>
      <c r="M2244" s="2"/>
      <c r="N2244" s="5"/>
      <c r="O2244" s="3"/>
      <c r="P2244" s="6"/>
      <c r="Q2244" s="6"/>
    </row>
    <row r="2245" spans="1:17" ht="15" customHeight="1" x14ac:dyDescent="0.25">
      <c r="A2245" s="1"/>
      <c r="B2245" s="17"/>
      <c r="C2245" s="17"/>
      <c r="D2245" s="17"/>
      <c r="E2245" s="17"/>
      <c r="F2245" s="17"/>
      <c r="G2245" s="4">
        <f t="shared" si="71"/>
        <v>0</v>
      </c>
      <c r="H2245" s="17"/>
      <c r="I2245" s="4">
        <f t="shared" si="69"/>
        <v>349526.07999999996</v>
      </c>
      <c r="J2245" s="32" t="str">
        <f t="shared" si="70"/>
        <v/>
      </c>
      <c r="K2245" s="79"/>
      <c r="L2245" s="79"/>
      <c r="M2245" s="2"/>
      <c r="N2245" s="5"/>
      <c r="O2245" s="3"/>
      <c r="P2245" s="6"/>
      <c r="Q2245" s="6"/>
    </row>
    <row r="2246" spans="1:17" ht="15" customHeight="1" x14ac:dyDescent="0.25">
      <c r="A2246" s="1"/>
      <c r="B2246" s="17"/>
      <c r="C2246" s="17"/>
      <c r="D2246" s="17"/>
      <c r="E2246" s="17"/>
      <c r="F2246" s="17"/>
      <c r="G2246" s="4">
        <f t="shared" si="71"/>
        <v>0</v>
      </c>
      <c r="H2246" s="17"/>
      <c r="I2246" s="4">
        <f t="shared" si="69"/>
        <v>349526.07999999996</v>
      </c>
      <c r="J2246" s="32" t="str">
        <f t="shared" si="70"/>
        <v/>
      </c>
      <c r="K2246" s="79"/>
      <c r="L2246" s="79"/>
      <c r="M2246" s="2"/>
      <c r="N2246" s="5"/>
      <c r="O2246" s="3"/>
      <c r="P2246" s="6"/>
      <c r="Q2246" s="6"/>
    </row>
    <row r="2247" spans="1:17" ht="15" customHeight="1" x14ac:dyDescent="0.25">
      <c r="A2247" s="1"/>
      <c r="B2247" s="17"/>
      <c r="C2247" s="17"/>
      <c r="D2247" s="17"/>
      <c r="E2247" s="17"/>
      <c r="F2247" s="17"/>
      <c r="G2247" s="4">
        <f t="shared" si="71"/>
        <v>0</v>
      </c>
      <c r="H2247" s="17"/>
      <c r="I2247" s="4">
        <f t="shared" si="69"/>
        <v>349526.07999999996</v>
      </c>
      <c r="J2247" s="32" t="str">
        <f t="shared" si="70"/>
        <v/>
      </c>
      <c r="K2247" s="79"/>
      <c r="L2247" s="79"/>
      <c r="M2247" s="2"/>
      <c r="N2247" s="5"/>
      <c r="O2247" s="3"/>
      <c r="P2247" s="6"/>
      <c r="Q2247" s="6"/>
    </row>
    <row r="2248" spans="1:17" ht="15" customHeight="1" x14ac:dyDescent="0.25">
      <c r="A2248" s="1"/>
      <c r="B2248" s="17"/>
      <c r="C2248" s="17"/>
      <c r="D2248" s="17"/>
      <c r="E2248" s="17"/>
      <c r="F2248" s="17"/>
      <c r="G2248" s="4">
        <f t="shared" si="71"/>
        <v>0</v>
      </c>
      <c r="H2248" s="17"/>
      <c r="I2248" s="4">
        <f t="shared" si="69"/>
        <v>349526.07999999996</v>
      </c>
      <c r="J2248" s="32" t="str">
        <f t="shared" si="70"/>
        <v/>
      </c>
      <c r="K2248" s="79"/>
      <c r="L2248" s="79"/>
      <c r="M2248" s="2"/>
      <c r="N2248" s="5"/>
      <c r="O2248" s="3"/>
      <c r="P2248" s="6"/>
      <c r="Q2248" s="6"/>
    </row>
    <row r="2249" spans="1:17" ht="15" customHeight="1" x14ac:dyDescent="0.25">
      <c r="A2249" s="1"/>
      <c r="B2249" s="17"/>
      <c r="C2249" s="17"/>
      <c r="D2249" s="17"/>
      <c r="E2249" s="17"/>
      <c r="F2249" s="17"/>
      <c r="G2249" s="4">
        <f t="shared" si="71"/>
        <v>0</v>
      </c>
      <c r="H2249" s="17"/>
      <c r="I2249" s="4">
        <f t="shared" si="69"/>
        <v>349526.07999999996</v>
      </c>
      <c r="J2249" s="32" t="str">
        <f t="shared" si="70"/>
        <v/>
      </c>
      <c r="K2249" s="79"/>
      <c r="L2249" s="79"/>
      <c r="M2249" s="2"/>
      <c r="N2249" s="5"/>
      <c r="O2249" s="3"/>
      <c r="P2249" s="6"/>
      <c r="Q2249" s="6"/>
    </row>
    <row r="2250" spans="1:17" ht="15" customHeight="1" x14ac:dyDescent="0.25">
      <c r="A2250" s="1"/>
      <c r="B2250" s="17"/>
      <c r="C2250" s="17"/>
      <c r="D2250" s="17"/>
      <c r="E2250" s="17"/>
      <c r="F2250" s="17"/>
      <c r="G2250" s="4">
        <f t="shared" si="71"/>
        <v>0</v>
      </c>
      <c r="H2250" s="17"/>
      <c r="I2250" s="4">
        <f t="shared" si="69"/>
        <v>349526.07999999996</v>
      </c>
      <c r="J2250" s="32" t="str">
        <f t="shared" si="70"/>
        <v/>
      </c>
      <c r="K2250" s="79"/>
      <c r="L2250" s="79"/>
      <c r="M2250" s="2"/>
      <c r="N2250" s="5"/>
      <c r="O2250" s="3"/>
      <c r="P2250" s="6"/>
      <c r="Q2250" s="6"/>
    </row>
    <row r="2251" spans="1:17" ht="15" customHeight="1" x14ac:dyDescent="0.25">
      <c r="A2251" s="1"/>
      <c r="B2251" s="17"/>
      <c r="C2251" s="17"/>
      <c r="D2251" s="17"/>
      <c r="E2251" s="17"/>
      <c r="F2251" s="17"/>
      <c r="G2251" s="4">
        <f t="shared" si="71"/>
        <v>0</v>
      </c>
      <c r="H2251" s="17"/>
      <c r="I2251" s="4">
        <f t="shared" si="69"/>
        <v>349526.07999999996</v>
      </c>
      <c r="J2251" s="32" t="str">
        <f t="shared" si="70"/>
        <v/>
      </c>
      <c r="K2251" s="79"/>
      <c r="L2251" s="79"/>
      <c r="M2251" s="2"/>
      <c r="N2251" s="5"/>
      <c r="O2251" s="3"/>
      <c r="P2251" s="6"/>
      <c r="Q2251" s="6"/>
    </row>
    <row r="2252" spans="1:17" ht="15" customHeight="1" x14ac:dyDescent="0.25">
      <c r="A2252" s="1"/>
      <c r="B2252" s="17"/>
      <c r="C2252" s="17"/>
      <c r="D2252" s="17"/>
      <c r="E2252" s="17"/>
      <c r="F2252" s="17"/>
      <c r="G2252" s="4">
        <f t="shared" si="71"/>
        <v>0</v>
      </c>
      <c r="H2252" s="17"/>
      <c r="I2252" s="4">
        <f t="shared" si="69"/>
        <v>349526.07999999996</v>
      </c>
      <c r="J2252" s="32" t="str">
        <f t="shared" si="70"/>
        <v/>
      </c>
      <c r="K2252" s="79"/>
      <c r="L2252" s="79"/>
      <c r="M2252" s="2"/>
      <c r="N2252" s="5"/>
      <c r="O2252" s="3"/>
      <c r="P2252" s="6"/>
      <c r="Q2252" s="6"/>
    </row>
    <row r="2253" spans="1:17" ht="15" customHeight="1" x14ac:dyDescent="0.25">
      <c r="A2253" s="1"/>
      <c r="B2253" s="17"/>
      <c r="C2253" s="17"/>
      <c r="D2253" s="17"/>
      <c r="E2253" s="17"/>
      <c r="F2253" s="17"/>
      <c r="G2253" s="4">
        <f t="shared" si="71"/>
        <v>0</v>
      </c>
      <c r="H2253" s="17"/>
      <c r="I2253" s="4">
        <f t="shared" si="69"/>
        <v>349526.07999999996</v>
      </c>
      <c r="J2253" s="32" t="str">
        <f t="shared" si="70"/>
        <v/>
      </c>
      <c r="K2253" s="79"/>
      <c r="L2253" s="79"/>
      <c r="M2253" s="2"/>
      <c r="N2253" s="5"/>
      <c r="O2253" s="3"/>
      <c r="P2253" s="6"/>
      <c r="Q2253" s="6"/>
    </row>
    <row r="2254" spans="1:17" ht="15" customHeight="1" x14ac:dyDescent="0.25">
      <c r="A2254" s="1"/>
      <c r="B2254" s="17"/>
      <c r="C2254" s="17"/>
      <c r="D2254" s="17"/>
      <c r="E2254" s="17"/>
      <c r="F2254" s="17"/>
      <c r="G2254" s="4">
        <f t="shared" si="71"/>
        <v>0</v>
      </c>
      <c r="H2254" s="17"/>
      <c r="I2254" s="4">
        <f t="shared" si="69"/>
        <v>349526.07999999996</v>
      </c>
      <c r="J2254" s="32" t="str">
        <f t="shared" si="70"/>
        <v/>
      </c>
      <c r="K2254" s="79"/>
      <c r="L2254" s="79"/>
      <c r="M2254" s="2"/>
      <c r="N2254" s="5"/>
      <c r="O2254" s="3"/>
      <c r="P2254" s="6"/>
      <c r="Q2254" s="6"/>
    </row>
    <row r="2255" spans="1:17" ht="15" customHeight="1" x14ac:dyDescent="0.25">
      <c r="A2255" s="1"/>
      <c r="B2255" s="17"/>
      <c r="C2255" s="17"/>
      <c r="D2255" s="17"/>
      <c r="E2255" s="17"/>
      <c r="F2255" s="17"/>
      <c r="G2255" s="4">
        <f t="shared" si="71"/>
        <v>0</v>
      </c>
      <c r="H2255" s="17"/>
      <c r="I2255" s="4">
        <f t="shared" si="69"/>
        <v>349526.07999999996</v>
      </c>
      <c r="J2255" s="32" t="str">
        <f t="shared" si="70"/>
        <v/>
      </c>
      <c r="K2255" s="79"/>
      <c r="L2255" s="79"/>
      <c r="M2255" s="2"/>
      <c r="N2255" s="5"/>
      <c r="O2255" s="3"/>
      <c r="P2255" s="6"/>
      <c r="Q2255" s="6"/>
    </row>
    <row r="2256" spans="1:17" ht="15" customHeight="1" x14ac:dyDescent="0.25">
      <c r="A2256" s="1"/>
      <c r="B2256" s="17"/>
      <c r="C2256" s="17"/>
      <c r="D2256" s="17"/>
      <c r="E2256" s="17"/>
      <c r="F2256" s="17"/>
      <c r="G2256" s="4">
        <f t="shared" si="71"/>
        <v>0</v>
      </c>
      <c r="H2256" s="17"/>
      <c r="I2256" s="4">
        <f t="shared" si="69"/>
        <v>349526.07999999996</v>
      </c>
      <c r="J2256" s="32" t="str">
        <f t="shared" si="70"/>
        <v/>
      </c>
      <c r="K2256" s="79"/>
      <c r="L2256" s="79"/>
      <c r="M2256" s="2"/>
      <c r="N2256" s="5"/>
      <c r="O2256" s="3"/>
      <c r="P2256" s="6"/>
      <c r="Q2256" s="6"/>
    </row>
    <row r="2257" spans="1:17" ht="15" customHeight="1" x14ac:dyDescent="0.25">
      <c r="A2257" s="1"/>
      <c r="B2257" s="17"/>
      <c r="C2257" s="17"/>
      <c r="D2257" s="17"/>
      <c r="E2257" s="17"/>
      <c r="F2257" s="17"/>
      <c r="G2257" s="4">
        <f t="shared" si="71"/>
        <v>0</v>
      </c>
      <c r="H2257" s="17"/>
      <c r="I2257" s="4">
        <f t="shared" si="69"/>
        <v>349526.07999999996</v>
      </c>
      <c r="J2257" s="32" t="str">
        <f t="shared" si="70"/>
        <v/>
      </c>
      <c r="K2257" s="79"/>
      <c r="L2257" s="79"/>
      <c r="M2257" s="2"/>
      <c r="N2257" s="5"/>
      <c r="O2257" s="3"/>
      <c r="P2257" s="6"/>
      <c r="Q2257" s="6"/>
    </row>
    <row r="2258" spans="1:17" ht="15" customHeight="1" x14ac:dyDescent="0.25">
      <c r="A2258" s="1"/>
      <c r="B2258" s="17"/>
      <c r="C2258" s="17"/>
      <c r="D2258" s="17"/>
      <c r="E2258" s="17"/>
      <c r="F2258" s="17"/>
      <c r="G2258" s="4">
        <f t="shared" si="71"/>
        <v>0</v>
      </c>
      <c r="H2258" s="17"/>
      <c r="I2258" s="4">
        <f t="shared" si="69"/>
        <v>349526.07999999996</v>
      </c>
      <c r="J2258" s="32" t="str">
        <f t="shared" si="70"/>
        <v/>
      </c>
      <c r="K2258" s="79"/>
      <c r="L2258" s="79"/>
      <c r="M2258" s="2"/>
      <c r="N2258" s="5"/>
      <c r="O2258" s="3"/>
      <c r="P2258" s="6"/>
      <c r="Q2258" s="6"/>
    </row>
    <row r="2259" spans="1:17" ht="15" customHeight="1" x14ac:dyDescent="0.25">
      <c r="A2259" s="1"/>
      <c r="B2259" s="17"/>
      <c r="C2259" s="17"/>
      <c r="D2259" s="17"/>
      <c r="E2259" s="17"/>
      <c r="F2259" s="17"/>
      <c r="G2259" s="4">
        <f t="shared" si="71"/>
        <v>0</v>
      </c>
      <c r="H2259" s="17"/>
      <c r="I2259" s="4">
        <f t="shared" si="69"/>
        <v>349526.07999999996</v>
      </c>
      <c r="J2259" s="32" t="str">
        <f t="shared" si="70"/>
        <v/>
      </c>
      <c r="K2259" s="79"/>
      <c r="L2259" s="79"/>
      <c r="M2259" s="2"/>
      <c r="N2259" s="5"/>
      <c r="O2259" s="3"/>
      <c r="P2259" s="6"/>
      <c r="Q2259" s="6"/>
    </row>
    <row r="2260" spans="1:17" ht="15" customHeight="1" x14ac:dyDescent="0.25">
      <c r="A2260" s="1"/>
      <c r="B2260" s="17"/>
      <c r="C2260" s="17"/>
      <c r="D2260" s="17"/>
      <c r="E2260" s="17"/>
      <c r="F2260" s="17"/>
      <c r="G2260" s="4">
        <f t="shared" si="71"/>
        <v>0</v>
      </c>
      <c r="H2260" s="17"/>
      <c r="I2260" s="4">
        <f t="shared" si="69"/>
        <v>349526.07999999996</v>
      </c>
      <c r="J2260" s="32" t="str">
        <f t="shared" si="70"/>
        <v/>
      </c>
      <c r="K2260" s="79"/>
      <c r="L2260" s="79"/>
      <c r="M2260" s="2"/>
      <c r="N2260" s="5"/>
      <c r="O2260" s="3"/>
      <c r="P2260" s="6"/>
      <c r="Q2260" s="6"/>
    </row>
    <row r="2261" spans="1:17" ht="15" customHeight="1" x14ac:dyDescent="0.25">
      <c r="A2261" s="1"/>
      <c r="B2261" s="17"/>
      <c r="C2261" s="17"/>
      <c r="D2261" s="17"/>
      <c r="E2261" s="17"/>
      <c r="F2261" s="17"/>
      <c r="G2261" s="4">
        <f t="shared" si="71"/>
        <v>0</v>
      </c>
      <c r="H2261" s="17"/>
      <c r="I2261" s="4">
        <f t="shared" si="69"/>
        <v>349526.07999999996</v>
      </c>
      <c r="J2261" s="32" t="str">
        <f t="shared" si="70"/>
        <v/>
      </c>
      <c r="K2261" s="79"/>
      <c r="L2261" s="79"/>
      <c r="M2261" s="2"/>
      <c r="N2261" s="5"/>
      <c r="O2261" s="3"/>
      <c r="P2261" s="6"/>
      <c r="Q2261" s="6"/>
    </row>
    <row r="2262" spans="1:17" ht="15" customHeight="1" x14ac:dyDescent="0.25">
      <c r="A2262" s="1"/>
      <c r="B2262" s="17"/>
      <c r="C2262" s="17"/>
      <c r="D2262" s="17"/>
      <c r="E2262" s="17"/>
      <c r="F2262" s="17"/>
      <c r="G2262" s="4">
        <f t="shared" si="71"/>
        <v>0</v>
      </c>
      <c r="H2262" s="17"/>
      <c r="I2262" s="4">
        <f t="shared" si="69"/>
        <v>349526.07999999996</v>
      </c>
      <c r="J2262" s="32" t="str">
        <f t="shared" si="70"/>
        <v/>
      </c>
      <c r="K2262" s="79"/>
      <c r="L2262" s="79"/>
      <c r="M2262" s="2"/>
      <c r="N2262" s="5"/>
      <c r="O2262" s="3"/>
      <c r="P2262" s="6"/>
      <c r="Q2262" s="6"/>
    </row>
    <row r="2263" spans="1:17" ht="15" customHeight="1" x14ac:dyDescent="0.25">
      <c r="A2263" s="1"/>
      <c r="B2263" s="17"/>
      <c r="C2263" s="17"/>
      <c r="D2263" s="17"/>
      <c r="E2263" s="17"/>
      <c r="F2263" s="17"/>
      <c r="G2263" s="4">
        <f t="shared" si="71"/>
        <v>0</v>
      </c>
      <c r="H2263" s="17"/>
      <c r="I2263" s="4">
        <f t="shared" si="69"/>
        <v>349526.07999999996</v>
      </c>
      <c r="J2263" s="32" t="str">
        <f t="shared" si="70"/>
        <v/>
      </c>
      <c r="K2263" s="79"/>
      <c r="L2263" s="79"/>
      <c r="M2263" s="2"/>
      <c r="N2263" s="5"/>
      <c r="O2263" s="3"/>
      <c r="P2263" s="6"/>
      <c r="Q2263" s="6"/>
    </row>
    <row r="2264" spans="1:17" ht="15" customHeight="1" x14ac:dyDescent="0.25">
      <c r="A2264" s="1"/>
      <c r="B2264" s="17"/>
      <c r="C2264" s="17"/>
      <c r="D2264" s="17"/>
      <c r="E2264" s="17"/>
      <c r="F2264" s="17"/>
      <c r="G2264" s="4">
        <f t="shared" si="71"/>
        <v>0</v>
      </c>
      <c r="H2264" s="17"/>
      <c r="I2264" s="4">
        <f t="shared" si="69"/>
        <v>349526.07999999996</v>
      </c>
      <c r="J2264" s="32" t="str">
        <f t="shared" si="70"/>
        <v/>
      </c>
      <c r="K2264" s="79"/>
      <c r="L2264" s="79"/>
      <c r="M2264" s="2"/>
      <c r="N2264" s="5"/>
      <c r="O2264" s="3"/>
      <c r="P2264" s="6"/>
      <c r="Q2264" s="6"/>
    </row>
    <row r="2265" spans="1:17" ht="15" customHeight="1" x14ac:dyDescent="0.25">
      <c r="A2265" s="1"/>
      <c r="B2265" s="17"/>
      <c r="C2265" s="17"/>
      <c r="D2265" s="17"/>
      <c r="E2265" s="17"/>
      <c r="F2265" s="17"/>
      <c r="G2265" s="4">
        <f t="shared" si="71"/>
        <v>0</v>
      </c>
      <c r="H2265" s="17"/>
      <c r="I2265" s="4">
        <f t="shared" si="69"/>
        <v>349526.07999999996</v>
      </c>
      <c r="J2265" s="32" t="str">
        <f t="shared" si="70"/>
        <v/>
      </c>
      <c r="K2265" s="79"/>
      <c r="L2265" s="79"/>
      <c r="M2265" s="2"/>
      <c r="N2265" s="5"/>
      <c r="O2265" s="3"/>
      <c r="P2265" s="6"/>
      <c r="Q2265" s="6"/>
    </row>
    <row r="2266" spans="1:17" ht="15" customHeight="1" x14ac:dyDescent="0.25">
      <c r="A2266" s="1"/>
      <c r="B2266" s="17"/>
      <c r="C2266" s="17"/>
      <c r="D2266" s="17"/>
      <c r="E2266" s="17"/>
      <c r="F2266" s="17"/>
      <c r="G2266" s="4">
        <f t="shared" si="71"/>
        <v>0</v>
      </c>
      <c r="H2266" s="17"/>
      <c r="I2266" s="4">
        <f t="shared" si="69"/>
        <v>349526.07999999996</v>
      </c>
      <c r="J2266" s="32" t="str">
        <f t="shared" si="70"/>
        <v/>
      </c>
      <c r="K2266" s="79"/>
      <c r="L2266" s="79"/>
      <c r="M2266" s="2"/>
      <c r="N2266" s="5"/>
      <c r="O2266" s="3"/>
      <c r="P2266" s="6"/>
      <c r="Q2266" s="6"/>
    </row>
    <row r="2267" spans="1:17" ht="15" customHeight="1" x14ac:dyDescent="0.25">
      <c r="A2267" s="1"/>
      <c r="B2267" s="17"/>
      <c r="C2267" s="17"/>
      <c r="D2267" s="17"/>
      <c r="E2267" s="17"/>
      <c r="F2267" s="17"/>
      <c r="G2267" s="4">
        <f t="shared" si="71"/>
        <v>0</v>
      </c>
      <c r="H2267" s="17"/>
      <c r="I2267" s="4">
        <f t="shared" si="69"/>
        <v>349526.07999999996</v>
      </c>
      <c r="J2267" s="32" t="str">
        <f t="shared" si="70"/>
        <v/>
      </c>
      <c r="K2267" s="79"/>
      <c r="L2267" s="79"/>
      <c r="M2267" s="2"/>
      <c r="N2267" s="5"/>
      <c r="O2267" s="3"/>
      <c r="P2267" s="6"/>
      <c r="Q2267" s="6"/>
    </row>
    <row r="2268" spans="1:17" ht="15" customHeight="1" x14ac:dyDescent="0.25">
      <c r="A2268" s="1"/>
      <c r="B2268" s="17"/>
      <c r="C2268" s="17"/>
      <c r="D2268" s="17"/>
      <c r="E2268" s="17"/>
      <c r="F2268" s="17"/>
      <c r="G2268" s="4">
        <f t="shared" si="71"/>
        <v>0</v>
      </c>
      <c r="H2268" s="17"/>
      <c r="I2268" s="4">
        <f t="shared" si="69"/>
        <v>349526.07999999996</v>
      </c>
      <c r="J2268" s="32" t="str">
        <f t="shared" si="70"/>
        <v/>
      </c>
      <c r="K2268" s="79"/>
      <c r="L2268" s="79"/>
      <c r="M2268" s="2"/>
      <c r="N2268" s="5"/>
      <c r="O2268" s="3"/>
      <c r="P2268" s="6"/>
      <c r="Q2268" s="6"/>
    </row>
    <row r="2269" spans="1:17" ht="15" customHeight="1" x14ac:dyDescent="0.25">
      <c r="A2269" s="1"/>
      <c r="B2269" s="17"/>
      <c r="C2269" s="17"/>
      <c r="D2269" s="17"/>
      <c r="E2269" s="17"/>
      <c r="F2269" s="17"/>
      <c r="G2269" s="4">
        <f t="shared" si="71"/>
        <v>0</v>
      </c>
      <c r="H2269" s="17"/>
      <c r="I2269" s="4">
        <f t="shared" si="69"/>
        <v>349526.07999999996</v>
      </c>
      <c r="J2269" s="32" t="str">
        <f t="shared" si="70"/>
        <v/>
      </c>
      <c r="K2269" s="79"/>
      <c r="L2269" s="79"/>
      <c r="M2269" s="2"/>
      <c r="N2269" s="5"/>
      <c r="O2269" s="3"/>
      <c r="P2269" s="6"/>
      <c r="Q2269" s="6"/>
    </row>
    <row r="2270" spans="1:17" ht="15" customHeight="1" x14ac:dyDescent="0.25">
      <c r="A2270" s="1"/>
      <c r="B2270" s="17"/>
      <c r="C2270" s="17"/>
      <c r="D2270" s="17"/>
      <c r="E2270" s="17"/>
      <c r="F2270" s="17"/>
      <c r="G2270" s="4">
        <f t="shared" si="71"/>
        <v>0</v>
      </c>
      <c r="H2270" s="17"/>
      <c r="I2270" s="4">
        <f t="shared" si="69"/>
        <v>349526.07999999996</v>
      </c>
      <c r="J2270" s="32" t="str">
        <f t="shared" si="70"/>
        <v/>
      </c>
      <c r="K2270" s="79"/>
      <c r="L2270" s="79"/>
      <c r="M2270" s="2"/>
      <c r="N2270" s="5"/>
      <c r="O2270" s="3"/>
      <c r="P2270" s="6"/>
      <c r="Q2270" s="6"/>
    </row>
    <row r="2271" spans="1:17" ht="15" customHeight="1" x14ac:dyDescent="0.25">
      <c r="A2271" s="1"/>
      <c r="B2271" s="17"/>
      <c r="C2271" s="17"/>
      <c r="D2271" s="17"/>
      <c r="E2271" s="17"/>
      <c r="F2271" s="17"/>
      <c r="G2271" s="4">
        <f t="shared" si="71"/>
        <v>0</v>
      </c>
      <c r="H2271" s="17"/>
      <c r="I2271" s="4">
        <f t="shared" si="69"/>
        <v>349526.07999999996</v>
      </c>
      <c r="J2271" s="32" t="str">
        <f t="shared" si="70"/>
        <v/>
      </c>
      <c r="K2271" s="79"/>
      <c r="L2271" s="79"/>
      <c r="M2271" s="2"/>
      <c r="N2271" s="5"/>
      <c r="O2271" s="3"/>
      <c r="P2271" s="6"/>
      <c r="Q2271" s="6"/>
    </row>
    <row r="2272" spans="1:17" ht="15" customHeight="1" x14ac:dyDescent="0.25">
      <c r="A2272" s="1"/>
      <c r="B2272" s="17"/>
      <c r="C2272" s="17"/>
      <c r="D2272" s="17"/>
      <c r="E2272" s="17"/>
      <c r="F2272" s="17"/>
      <c r="G2272" s="4">
        <f t="shared" si="71"/>
        <v>0</v>
      </c>
      <c r="H2272" s="17"/>
      <c r="I2272" s="4">
        <f t="shared" si="69"/>
        <v>349526.07999999996</v>
      </c>
      <c r="J2272" s="32" t="str">
        <f t="shared" si="70"/>
        <v/>
      </c>
      <c r="K2272" s="79"/>
      <c r="L2272" s="79"/>
      <c r="M2272" s="2"/>
      <c r="N2272" s="5"/>
      <c r="O2272" s="3"/>
      <c r="P2272" s="6"/>
      <c r="Q2272" s="6"/>
    </row>
    <row r="2273" spans="1:17" ht="15" customHeight="1" x14ac:dyDescent="0.25">
      <c r="A2273" s="1"/>
      <c r="B2273" s="17"/>
      <c r="C2273" s="17"/>
      <c r="D2273" s="17"/>
      <c r="E2273" s="17"/>
      <c r="F2273" s="17"/>
      <c r="G2273" s="4">
        <f t="shared" si="71"/>
        <v>0</v>
      </c>
      <c r="H2273" s="17"/>
      <c r="I2273" s="4">
        <f t="shared" si="69"/>
        <v>349526.07999999996</v>
      </c>
      <c r="J2273" s="32" t="str">
        <f t="shared" si="70"/>
        <v/>
      </c>
      <c r="K2273" s="79"/>
      <c r="L2273" s="79"/>
      <c r="M2273" s="2"/>
      <c r="N2273" s="5"/>
      <c r="O2273" s="3"/>
      <c r="P2273" s="6"/>
      <c r="Q2273" s="6"/>
    </row>
    <row r="2274" spans="1:17" ht="15" customHeight="1" x14ac:dyDescent="0.25">
      <c r="A2274" s="1"/>
      <c r="B2274" s="17"/>
      <c r="C2274" s="17"/>
      <c r="D2274" s="17"/>
      <c r="E2274" s="17"/>
      <c r="F2274" s="17"/>
      <c r="G2274" s="4">
        <f t="shared" si="71"/>
        <v>0</v>
      </c>
      <c r="H2274" s="17"/>
      <c r="I2274" s="4">
        <f t="shared" si="69"/>
        <v>349526.07999999996</v>
      </c>
      <c r="J2274" s="32" t="str">
        <f t="shared" si="70"/>
        <v/>
      </c>
      <c r="K2274" s="79"/>
      <c r="L2274" s="79"/>
      <c r="M2274" s="2"/>
      <c r="N2274" s="5"/>
      <c r="O2274" s="3"/>
      <c r="P2274" s="6"/>
      <c r="Q2274" s="6"/>
    </row>
    <row r="2275" spans="1:17" ht="15" customHeight="1" x14ac:dyDescent="0.25">
      <c r="A2275" s="1"/>
      <c r="B2275" s="17"/>
      <c r="C2275" s="17"/>
      <c r="D2275" s="17"/>
      <c r="E2275" s="17"/>
      <c r="F2275" s="17"/>
      <c r="G2275" s="4">
        <f t="shared" si="71"/>
        <v>0</v>
      </c>
      <c r="H2275" s="17"/>
      <c r="I2275" s="4">
        <f t="shared" si="69"/>
        <v>349526.07999999996</v>
      </c>
      <c r="J2275" s="32" t="str">
        <f t="shared" si="70"/>
        <v/>
      </c>
      <c r="K2275" s="79"/>
      <c r="L2275" s="79"/>
      <c r="M2275" s="2"/>
      <c r="N2275" s="5"/>
      <c r="O2275" s="3"/>
      <c r="P2275" s="6"/>
      <c r="Q2275" s="6"/>
    </row>
    <row r="2276" spans="1:17" ht="15" customHeight="1" x14ac:dyDescent="0.25">
      <c r="A2276" s="1"/>
      <c r="B2276" s="17"/>
      <c r="C2276" s="17"/>
      <c r="D2276" s="17"/>
      <c r="E2276" s="17"/>
      <c r="F2276" s="17"/>
      <c r="G2276" s="4">
        <f t="shared" si="71"/>
        <v>0</v>
      </c>
      <c r="H2276" s="17"/>
      <c r="I2276" s="4">
        <f t="shared" si="69"/>
        <v>349526.07999999996</v>
      </c>
      <c r="J2276" s="32" t="str">
        <f t="shared" si="70"/>
        <v/>
      </c>
      <c r="K2276" s="79"/>
      <c r="L2276" s="79"/>
      <c r="M2276" s="2"/>
      <c r="N2276" s="5"/>
      <c r="O2276" s="3"/>
      <c r="P2276" s="6"/>
      <c r="Q2276" s="6"/>
    </row>
    <row r="2277" spans="1:17" ht="15" customHeight="1" x14ac:dyDescent="0.25">
      <c r="A2277" s="1"/>
      <c r="B2277" s="17"/>
      <c r="C2277" s="17"/>
      <c r="D2277" s="17"/>
      <c r="E2277" s="17"/>
      <c r="F2277" s="17"/>
      <c r="G2277" s="4">
        <f t="shared" si="71"/>
        <v>0</v>
      </c>
      <c r="H2277" s="17"/>
      <c r="I2277" s="4">
        <f t="shared" si="69"/>
        <v>349526.07999999996</v>
      </c>
      <c r="J2277" s="32" t="str">
        <f t="shared" si="70"/>
        <v/>
      </c>
      <c r="K2277" s="79"/>
      <c r="L2277" s="79"/>
      <c r="M2277" s="2"/>
      <c r="N2277" s="5"/>
      <c r="O2277" s="3"/>
      <c r="P2277" s="6"/>
      <c r="Q2277" s="6"/>
    </row>
    <row r="2278" spans="1:17" ht="15" customHeight="1" x14ac:dyDescent="0.25">
      <c r="A2278" s="1"/>
      <c r="B2278" s="17"/>
      <c r="C2278" s="17"/>
      <c r="D2278" s="17"/>
      <c r="E2278" s="17"/>
      <c r="F2278" s="17"/>
      <c r="G2278" s="4">
        <f t="shared" si="71"/>
        <v>0</v>
      </c>
      <c r="H2278" s="17"/>
      <c r="I2278" s="4">
        <f t="shared" si="69"/>
        <v>349526.07999999996</v>
      </c>
      <c r="J2278" s="32" t="str">
        <f t="shared" si="70"/>
        <v/>
      </c>
      <c r="K2278" s="79"/>
      <c r="L2278" s="79"/>
      <c r="M2278" s="2"/>
      <c r="N2278" s="5"/>
      <c r="O2278" s="3"/>
      <c r="P2278" s="6"/>
      <c r="Q2278" s="6"/>
    </row>
    <row r="2279" spans="1:17" ht="15" customHeight="1" x14ac:dyDescent="0.25">
      <c r="A2279" s="1"/>
      <c r="B2279" s="17"/>
      <c r="C2279" s="17"/>
      <c r="D2279" s="17"/>
      <c r="E2279" s="17"/>
      <c r="F2279" s="17"/>
      <c r="G2279" s="4">
        <f t="shared" si="71"/>
        <v>0</v>
      </c>
      <c r="H2279" s="17"/>
      <c r="I2279" s="4">
        <f t="shared" si="69"/>
        <v>349526.07999999996</v>
      </c>
      <c r="J2279" s="32" t="str">
        <f t="shared" si="70"/>
        <v/>
      </c>
      <c r="K2279" s="79"/>
      <c r="L2279" s="79"/>
      <c r="M2279" s="2"/>
      <c r="N2279" s="5"/>
      <c r="O2279" s="3"/>
      <c r="P2279" s="6"/>
      <c r="Q2279" s="6"/>
    </row>
    <row r="2280" spans="1:17" ht="15" customHeight="1" x14ac:dyDescent="0.25">
      <c r="A2280" s="1"/>
      <c r="B2280" s="17"/>
      <c r="C2280" s="17"/>
      <c r="D2280" s="17"/>
      <c r="E2280" s="17"/>
      <c r="F2280" s="17"/>
      <c r="G2280" s="4">
        <f t="shared" si="71"/>
        <v>0</v>
      </c>
      <c r="H2280" s="17"/>
      <c r="I2280" s="4">
        <f t="shared" si="69"/>
        <v>349526.07999999996</v>
      </c>
      <c r="J2280" s="32" t="str">
        <f t="shared" si="70"/>
        <v/>
      </c>
      <c r="K2280" s="79"/>
      <c r="L2280" s="79"/>
      <c r="M2280" s="2"/>
      <c r="N2280" s="5"/>
      <c r="O2280" s="3"/>
      <c r="P2280" s="6"/>
      <c r="Q2280" s="6"/>
    </row>
    <row r="2281" spans="1:17" ht="15" customHeight="1" x14ac:dyDescent="0.25">
      <c r="A2281" s="1"/>
      <c r="B2281" s="17"/>
      <c r="C2281" s="17"/>
      <c r="D2281" s="17"/>
      <c r="E2281" s="17"/>
      <c r="F2281" s="17"/>
      <c r="G2281" s="4">
        <f t="shared" si="71"/>
        <v>0</v>
      </c>
      <c r="H2281" s="17"/>
      <c r="I2281" s="4">
        <f t="shared" si="69"/>
        <v>349526.07999999996</v>
      </c>
      <c r="J2281" s="32" t="str">
        <f t="shared" si="70"/>
        <v/>
      </c>
      <c r="K2281" s="79"/>
      <c r="L2281" s="79"/>
      <c r="M2281" s="2"/>
      <c r="N2281" s="5"/>
      <c r="O2281" s="3"/>
      <c r="P2281" s="6"/>
      <c r="Q2281" s="6"/>
    </row>
    <row r="2282" spans="1:17" ht="15" customHeight="1" x14ac:dyDescent="0.25">
      <c r="A2282" s="1"/>
      <c r="B2282" s="17"/>
      <c r="C2282" s="17"/>
      <c r="D2282" s="17"/>
      <c r="E2282" s="17"/>
      <c r="F2282" s="17"/>
      <c r="G2282" s="4">
        <f t="shared" si="71"/>
        <v>0</v>
      </c>
      <c r="H2282" s="17"/>
      <c r="I2282" s="4">
        <f t="shared" si="69"/>
        <v>349526.07999999996</v>
      </c>
      <c r="J2282" s="32" t="str">
        <f t="shared" si="70"/>
        <v/>
      </c>
      <c r="K2282" s="79"/>
      <c r="L2282" s="79"/>
      <c r="M2282" s="2"/>
      <c r="N2282" s="5"/>
      <c r="O2282" s="3"/>
      <c r="P2282" s="6"/>
      <c r="Q2282" s="6"/>
    </row>
    <row r="2283" spans="1:17" ht="15" customHeight="1" x14ac:dyDescent="0.25">
      <c r="A2283" s="1"/>
      <c r="B2283" s="17"/>
      <c r="C2283" s="17"/>
      <c r="D2283" s="17"/>
      <c r="E2283" s="17"/>
      <c r="F2283" s="17"/>
      <c r="G2283" s="4">
        <f t="shared" si="71"/>
        <v>0</v>
      </c>
      <c r="H2283" s="17"/>
      <c r="I2283" s="4">
        <f t="shared" si="69"/>
        <v>349526.07999999996</v>
      </c>
      <c r="J2283" s="32" t="str">
        <f t="shared" si="70"/>
        <v/>
      </c>
      <c r="K2283" s="79"/>
      <c r="L2283" s="79"/>
      <c r="M2283" s="2"/>
      <c r="N2283" s="5"/>
      <c r="O2283" s="3"/>
      <c r="P2283" s="6"/>
      <c r="Q2283" s="6"/>
    </row>
    <row r="2284" spans="1:17" ht="15" customHeight="1" x14ac:dyDescent="0.25">
      <c r="A2284" s="1"/>
      <c r="B2284" s="17"/>
      <c r="C2284" s="17"/>
      <c r="D2284" s="17"/>
      <c r="E2284" s="17"/>
      <c r="F2284" s="17"/>
      <c r="G2284" s="4">
        <f t="shared" si="71"/>
        <v>0</v>
      </c>
      <c r="H2284" s="17"/>
      <c r="I2284" s="4">
        <f t="shared" si="69"/>
        <v>349526.07999999996</v>
      </c>
      <c r="J2284" s="32" t="str">
        <f t="shared" si="70"/>
        <v/>
      </c>
      <c r="K2284" s="79"/>
      <c r="L2284" s="79"/>
      <c r="M2284" s="2"/>
      <c r="N2284" s="5"/>
      <c r="O2284" s="3"/>
      <c r="P2284" s="6"/>
      <c r="Q2284" s="6"/>
    </row>
    <row r="2285" spans="1:17" ht="15" customHeight="1" x14ac:dyDescent="0.25">
      <c r="A2285" s="1"/>
      <c r="B2285" s="17"/>
      <c r="C2285" s="17"/>
      <c r="D2285" s="17"/>
      <c r="E2285" s="17"/>
      <c r="F2285" s="17"/>
      <c r="G2285" s="4">
        <f t="shared" si="71"/>
        <v>0</v>
      </c>
      <c r="H2285" s="17"/>
      <c r="I2285" s="4">
        <f t="shared" si="69"/>
        <v>349526.07999999996</v>
      </c>
      <c r="J2285" s="32" t="str">
        <f t="shared" si="70"/>
        <v/>
      </c>
      <c r="K2285" s="79"/>
      <c r="L2285" s="79"/>
      <c r="M2285" s="2"/>
      <c r="N2285" s="5"/>
      <c r="O2285" s="3"/>
      <c r="P2285" s="6"/>
      <c r="Q2285" s="6"/>
    </row>
    <row r="2286" spans="1:17" ht="15" customHeight="1" x14ac:dyDescent="0.25">
      <c r="A2286" s="1"/>
      <c r="B2286" s="17"/>
      <c r="C2286" s="17"/>
      <c r="D2286" s="17"/>
      <c r="E2286" s="17"/>
      <c r="F2286" s="17"/>
      <c r="G2286" s="4">
        <f t="shared" si="71"/>
        <v>0</v>
      </c>
      <c r="H2286" s="17"/>
      <c r="I2286" s="4">
        <f t="shared" si="69"/>
        <v>349526.07999999996</v>
      </c>
      <c r="J2286" s="32" t="str">
        <f t="shared" si="70"/>
        <v/>
      </c>
      <c r="K2286" s="79"/>
      <c r="L2286" s="79"/>
      <c r="M2286" s="2"/>
      <c r="N2286" s="5"/>
      <c r="O2286" s="3"/>
      <c r="P2286" s="6"/>
      <c r="Q2286" s="6"/>
    </row>
    <row r="2287" spans="1:17" ht="15" customHeight="1" x14ac:dyDescent="0.25">
      <c r="A2287" s="1"/>
      <c r="B2287" s="17"/>
      <c r="C2287" s="17"/>
      <c r="D2287" s="17"/>
      <c r="E2287" s="17"/>
      <c r="F2287" s="17"/>
      <c r="G2287" s="4">
        <f t="shared" si="71"/>
        <v>0</v>
      </c>
      <c r="H2287" s="17"/>
      <c r="I2287" s="4">
        <f t="shared" si="69"/>
        <v>349526.07999999996</v>
      </c>
      <c r="J2287" s="32" t="str">
        <f t="shared" si="70"/>
        <v/>
      </c>
      <c r="K2287" s="79"/>
      <c r="L2287" s="79"/>
      <c r="M2287" s="2"/>
      <c r="N2287" s="5"/>
      <c r="O2287" s="3"/>
      <c r="P2287" s="6"/>
      <c r="Q2287" s="6"/>
    </row>
    <row r="2288" spans="1:17" ht="15" customHeight="1" x14ac:dyDescent="0.25">
      <c r="A2288" s="1"/>
      <c r="B2288" s="17"/>
      <c r="C2288" s="17"/>
      <c r="D2288" s="17"/>
      <c r="E2288" s="17"/>
      <c r="F2288" s="17"/>
      <c r="G2288" s="4">
        <f t="shared" si="71"/>
        <v>0</v>
      </c>
      <c r="H2288" s="17"/>
      <c r="I2288" s="4">
        <f t="shared" si="69"/>
        <v>349526.07999999996</v>
      </c>
      <c r="J2288" s="32" t="str">
        <f t="shared" si="70"/>
        <v/>
      </c>
      <c r="K2288" s="79"/>
      <c r="L2288" s="79"/>
      <c r="M2288" s="2"/>
      <c r="N2288" s="5"/>
      <c r="O2288" s="3"/>
      <c r="P2288" s="6"/>
      <c r="Q2288" s="6"/>
    </row>
    <row r="2289" spans="1:17" ht="15" customHeight="1" x14ac:dyDescent="0.25">
      <c r="A2289" s="1"/>
      <c r="B2289" s="17"/>
      <c r="C2289" s="17"/>
      <c r="D2289" s="17"/>
      <c r="E2289" s="17"/>
      <c r="F2289" s="17"/>
      <c r="G2289" s="4">
        <f t="shared" si="71"/>
        <v>0</v>
      </c>
      <c r="H2289" s="17"/>
      <c r="I2289" s="4">
        <f t="shared" si="69"/>
        <v>349526.07999999996</v>
      </c>
      <c r="J2289" s="32" t="str">
        <f t="shared" si="70"/>
        <v/>
      </c>
      <c r="K2289" s="79"/>
      <c r="L2289" s="79"/>
      <c r="M2289" s="2"/>
      <c r="N2289" s="5"/>
      <c r="O2289" s="3"/>
      <c r="P2289" s="6"/>
      <c r="Q2289" s="6"/>
    </row>
    <row r="2290" spans="1:17" ht="15" customHeight="1" x14ac:dyDescent="0.25">
      <c r="A2290" s="1"/>
      <c r="B2290" s="17"/>
      <c r="C2290" s="17"/>
      <c r="D2290" s="17"/>
      <c r="E2290" s="17"/>
      <c r="F2290" s="17"/>
      <c r="G2290" s="4">
        <f t="shared" si="71"/>
        <v>0</v>
      </c>
      <c r="H2290" s="17"/>
      <c r="I2290" s="4">
        <f t="shared" si="69"/>
        <v>349526.07999999996</v>
      </c>
      <c r="J2290" s="32" t="str">
        <f t="shared" si="70"/>
        <v/>
      </c>
      <c r="K2290" s="79"/>
      <c r="L2290" s="79"/>
      <c r="M2290" s="2"/>
      <c r="N2290" s="5"/>
      <c r="O2290" s="3"/>
      <c r="P2290" s="6"/>
      <c r="Q2290" s="6"/>
    </row>
    <row r="2291" spans="1:17" ht="15" customHeight="1" x14ac:dyDescent="0.25">
      <c r="A2291" s="1"/>
      <c r="B2291" s="17"/>
      <c r="C2291" s="17"/>
      <c r="D2291" s="17"/>
      <c r="E2291" s="17"/>
      <c r="F2291" s="17"/>
      <c r="G2291" s="4">
        <f t="shared" si="71"/>
        <v>0</v>
      </c>
      <c r="H2291" s="17"/>
      <c r="I2291" s="4">
        <f t="shared" si="69"/>
        <v>349526.07999999996</v>
      </c>
      <c r="J2291" s="32" t="str">
        <f t="shared" si="70"/>
        <v/>
      </c>
      <c r="K2291" s="79"/>
      <c r="L2291" s="79"/>
      <c r="M2291" s="2"/>
      <c r="N2291" s="5"/>
      <c r="O2291" s="3"/>
      <c r="P2291" s="6"/>
      <c r="Q2291" s="6"/>
    </row>
    <row r="2292" spans="1:17" ht="15" customHeight="1" x14ac:dyDescent="0.25">
      <c r="A2292" s="1"/>
      <c r="B2292" s="17"/>
      <c r="C2292" s="17"/>
      <c r="D2292" s="17"/>
      <c r="E2292" s="17"/>
      <c r="F2292" s="17"/>
      <c r="G2292" s="4">
        <f t="shared" si="71"/>
        <v>0</v>
      </c>
      <c r="H2292" s="17"/>
      <c r="I2292" s="4">
        <f t="shared" si="69"/>
        <v>349526.07999999996</v>
      </c>
      <c r="J2292" s="32" t="str">
        <f t="shared" si="70"/>
        <v/>
      </c>
      <c r="K2292" s="79"/>
      <c r="L2292" s="79"/>
      <c r="M2292" s="2"/>
      <c r="N2292" s="5"/>
      <c r="O2292" s="3"/>
      <c r="P2292" s="6"/>
      <c r="Q2292" s="6"/>
    </row>
    <row r="2293" spans="1:17" ht="15" customHeight="1" x14ac:dyDescent="0.25">
      <c r="A2293" s="1"/>
      <c r="B2293" s="17"/>
      <c r="C2293" s="17"/>
      <c r="D2293" s="17"/>
      <c r="E2293" s="17"/>
      <c r="F2293" s="17"/>
      <c r="G2293" s="4">
        <f t="shared" si="71"/>
        <v>0</v>
      </c>
      <c r="H2293" s="17"/>
      <c r="I2293" s="4">
        <f t="shared" si="69"/>
        <v>349526.07999999996</v>
      </c>
      <c r="J2293" s="32" t="str">
        <f t="shared" si="70"/>
        <v/>
      </c>
      <c r="K2293" s="79"/>
      <c r="L2293" s="79"/>
      <c r="M2293" s="2"/>
      <c r="N2293" s="5"/>
      <c r="O2293" s="3"/>
      <c r="P2293" s="6"/>
      <c r="Q2293" s="6"/>
    </row>
    <row r="2294" spans="1:17" ht="15" customHeight="1" x14ac:dyDescent="0.25">
      <c r="A2294" s="1"/>
      <c r="B2294" s="17"/>
      <c r="C2294" s="17"/>
      <c r="D2294" s="17"/>
      <c r="E2294" s="17"/>
      <c r="F2294" s="17"/>
      <c r="G2294" s="4">
        <f t="shared" si="71"/>
        <v>0</v>
      </c>
      <c r="H2294" s="17"/>
      <c r="I2294" s="4">
        <f t="shared" ref="I2294:I2357" si="72">$I2293+$G2294-$H2294</f>
        <v>349526.07999999996</v>
      </c>
      <c r="J2294" s="32" t="str">
        <f t="shared" ref="J2294:J2357" si="73">IF($A2295&lt;&gt;$A2294,$I2294,"")</f>
        <v/>
      </c>
      <c r="K2294" s="79"/>
      <c r="L2294" s="79"/>
      <c r="M2294" s="2"/>
      <c r="N2294" s="5"/>
      <c r="O2294" s="3"/>
      <c r="P2294" s="6"/>
      <c r="Q2294" s="6"/>
    </row>
    <row r="2295" spans="1:17" ht="15" customHeight="1" x14ac:dyDescent="0.25">
      <c r="A2295" s="1"/>
      <c r="B2295" s="17"/>
      <c r="C2295" s="17"/>
      <c r="D2295" s="17"/>
      <c r="E2295" s="17"/>
      <c r="F2295" s="17"/>
      <c r="G2295" s="4">
        <f t="shared" si="71"/>
        <v>0</v>
      </c>
      <c r="H2295" s="17"/>
      <c r="I2295" s="4">
        <f t="shared" si="72"/>
        <v>349526.07999999996</v>
      </c>
      <c r="J2295" s="32" t="str">
        <f t="shared" si="73"/>
        <v/>
      </c>
      <c r="K2295" s="79"/>
      <c r="L2295" s="79"/>
      <c r="M2295" s="2"/>
      <c r="N2295" s="5"/>
      <c r="O2295" s="3"/>
      <c r="P2295" s="6"/>
      <c r="Q2295" s="6"/>
    </row>
    <row r="2296" spans="1:17" ht="15" customHeight="1" x14ac:dyDescent="0.25">
      <c r="A2296" s="1"/>
      <c r="B2296" s="17"/>
      <c r="C2296" s="17"/>
      <c r="D2296" s="17"/>
      <c r="E2296" s="17"/>
      <c r="F2296" s="17"/>
      <c r="G2296" s="4">
        <f t="shared" si="71"/>
        <v>0</v>
      </c>
      <c r="H2296" s="17"/>
      <c r="I2296" s="4">
        <f t="shared" si="72"/>
        <v>349526.07999999996</v>
      </c>
      <c r="J2296" s="32" t="str">
        <f t="shared" si="73"/>
        <v/>
      </c>
      <c r="K2296" s="79"/>
      <c r="L2296" s="79"/>
      <c r="M2296" s="2"/>
      <c r="N2296" s="5"/>
      <c r="O2296" s="3"/>
      <c r="P2296" s="6"/>
      <c r="Q2296" s="6"/>
    </row>
    <row r="2297" spans="1:17" ht="15" customHeight="1" x14ac:dyDescent="0.25">
      <c r="A2297" s="1"/>
      <c r="B2297" s="17"/>
      <c r="C2297" s="17"/>
      <c r="D2297" s="17"/>
      <c r="E2297" s="17"/>
      <c r="F2297" s="17"/>
      <c r="G2297" s="4">
        <f t="shared" si="71"/>
        <v>0</v>
      </c>
      <c r="H2297" s="17"/>
      <c r="I2297" s="4">
        <f t="shared" si="72"/>
        <v>349526.07999999996</v>
      </c>
      <c r="J2297" s="32" t="str">
        <f t="shared" si="73"/>
        <v/>
      </c>
      <c r="K2297" s="79"/>
      <c r="L2297" s="79"/>
      <c r="M2297" s="2"/>
      <c r="N2297" s="5"/>
      <c r="O2297" s="3"/>
      <c r="P2297" s="6"/>
      <c r="Q2297" s="6"/>
    </row>
    <row r="2298" spans="1:17" ht="15" customHeight="1" x14ac:dyDescent="0.25">
      <c r="A2298" s="1"/>
      <c r="B2298" s="17"/>
      <c r="C2298" s="17"/>
      <c r="D2298" s="17"/>
      <c r="E2298" s="17"/>
      <c r="F2298" s="17"/>
      <c r="G2298" s="4">
        <f t="shared" si="71"/>
        <v>0</v>
      </c>
      <c r="H2298" s="17"/>
      <c r="I2298" s="4">
        <f t="shared" si="72"/>
        <v>349526.07999999996</v>
      </c>
      <c r="J2298" s="32" t="str">
        <f t="shared" si="73"/>
        <v/>
      </c>
      <c r="K2298" s="79"/>
      <c r="L2298" s="79"/>
      <c r="M2298" s="2"/>
      <c r="N2298" s="5"/>
      <c r="O2298" s="3"/>
      <c r="P2298" s="6"/>
      <c r="Q2298" s="6"/>
    </row>
    <row r="2299" spans="1:17" ht="15" customHeight="1" x14ac:dyDescent="0.25">
      <c r="A2299" s="1"/>
      <c r="B2299" s="17"/>
      <c r="C2299" s="17"/>
      <c r="D2299" s="17"/>
      <c r="E2299" s="17"/>
      <c r="F2299" s="17"/>
      <c r="G2299" s="4">
        <f t="shared" si="71"/>
        <v>0</v>
      </c>
      <c r="H2299" s="17"/>
      <c r="I2299" s="4">
        <f t="shared" si="72"/>
        <v>349526.07999999996</v>
      </c>
      <c r="J2299" s="32" t="str">
        <f t="shared" si="73"/>
        <v/>
      </c>
      <c r="K2299" s="79"/>
      <c r="L2299" s="79"/>
      <c r="M2299" s="2"/>
      <c r="N2299" s="5"/>
      <c r="O2299" s="3"/>
      <c r="P2299" s="6"/>
      <c r="Q2299" s="6"/>
    </row>
    <row r="2300" spans="1:17" ht="15" customHeight="1" x14ac:dyDescent="0.25">
      <c r="A2300" s="1"/>
      <c r="B2300" s="17"/>
      <c r="C2300" s="17"/>
      <c r="D2300" s="17"/>
      <c r="E2300" s="17"/>
      <c r="F2300" s="17"/>
      <c r="G2300" s="4">
        <f t="shared" si="71"/>
        <v>0</v>
      </c>
      <c r="H2300" s="17"/>
      <c r="I2300" s="4">
        <f t="shared" si="72"/>
        <v>349526.07999999996</v>
      </c>
      <c r="J2300" s="32" t="str">
        <f t="shared" si="73"/>
        <v/>
      </c>
      <c r="K2300" s="79"/>
      <c r="L2300" s="79"/>
      <c r="M2300" s="2"/>
      <c r="N2300" s="5"/>
      <c r="O2300" s="3"/>
      <c r="P2300" s="6"/>
      <c r="Q2300" s="6"/>
    </row>
    <row r="2301" spans="1:17" ht="15" customHeight="1" x14ac:dyDescent="0.25">
      <c r="A2301" s="1"/>
      <c r="B2301" s="17"/>
      <c r="C2301" s="17"/>
      <c r="D2301" s="17"/>
      <c r="E2301" s="17"/>
      <c r="F2301" s="17"/>
      <c r="G2301" s="4">
        <f t="shared" si="71"/>
        <v>0</v>
      </c>
      <c r="H2301" s="17"/>
      <c r="I2301" s="4">
        <f t="shared" si="72"/>
        <v>349526.07999999996</v>
      </c>
      <c r="J2301" s="32" t="str">
        <f t="shared" si="73"/>
        <v/>
      </c>
      <c r="K2301" s="79"/>
      <c r="L2301" s="79"/>
      <c r="M2301" s="2"/>
      <c r="N2301" s="5"/>
      <c r="O2301" s="3"/>
      <c r="P2301" s="6"/>
      <c r="Q2301" s="6"/>
    </row>
    <row r="2302" spans="1:17" ht="15" customHeight="1" x14ac:dyDescent="0.25">
      <c r="A2302" s="1"/>
      <c r="B2302" s="17"/>
      <c r="C2302" s="17"/>
      <c r="D2302" s="17"/>
      <c r="E2302" s="17"/>
      <c r="F2302" s="17"/>
      <c r="G2302" s="4">
        <f t="shared" si="71"/>
        <v>0</v>
      </c>
      <c r="H2302" s="17"/>
      <c r="I2302" s="4">
        <f t="shared" si="72"/>
        <v>349526.07999999996</v>
      </c>
      <c r="J2302" s="32" t="str">
        <f t="shared" si="73"/>
        <v/>
      </c>
      <c r="K2302" s="79"/>
      <c r="L2302" s="79"/>
      <c r="M2302" s="2"/>
      <c r="N2302" s="5"/>
      <c r="O2302" s="3"/>
      <c r="P2302" s="6"/>
      <c r="Q2302" s="6"/>
    </row>
    <row r="2303" spans="1:17" ht="15" customHeight="1" x14ac:dyDescent="0.25">
      <c r="A2303" s="1"/>
      <c r="B2303" s="17"/>
      <c r="C2303" s="17"/>
      <c r="D2303" s="17"/>
      <c r="E2303" s="17"/>
      <c r="F2303" s="17"/>
      <c r="G2303" s="4">
        <f t="shared" si="71"/>
        <v>0</v>
      </c>
      <c r="H2303" s="17"/>
      <c r="I2303" s="4">
        <f t="shared" si="72"/>
        <v>349526.07999999996</v>
      </c>
      <c r="J2303" s="32" t="str">
        <f t="shared" si="73"/>
        <v/>
      </c>
      <c r="K2303" s="79"/>
      <c r="L2303" s="79"/>
      <c r="M2303" s="2"/>
      <c r="N2303" s="5"/>
      <c r="O2303" s="3"/>
      <c r="P2303" s="6"/>
      <c r="Q2303" s="6"/>
    </row>
    <row r="2304" spans="1:17" ht="15" customHeight="1" x14ac:dyDescent="0.25">
      <c r="A2304" s="1"/>
      <c r="B2304" s="17"/>
      <c r="C2304" s="17"/>
      <c r="D2304" s="17"/>
      <c r="E2304" s="17"/>
      <c r="F2304" s="17"/>
      <c r="G2304" s="4">
        <f t="shared" si="71"/>
        <v>0</v>
      </c>
      <c r="H2304" s="17"/>
      <c r="I2304" s="4">
        <f t="shared" si="72"/>
        <v>349526.07999999996</v>
      </c>
      <c r="J2304" s="32" t="str">
        <f t="shared" si="73"/>
        <v/>
      </c>
      <c r="K2304" s="79"/>
      <c r="L2304" s="79"/>
      <c r="M2304" s="2"/>
      <c r="N2304" s="5"/>
      <c r="O2304" s="3"/>
      <c r="P2304" s="6"/>
      <c r="Q2304" s="6"/>
    </row>
    <row r="2305" spans="1:17" ht="15" customHeight="1" x14ac:dyDescent="0.25">
      <c r="A2305" s="1"/>
      <c r="B2305" s="17"/>
      <c r="C2305" s="17"/>
      <c r="D2305" s="17"/>
      <c r="E2305" s="17"/>
      <c r="F2305" s="17"/>
      <c r="G2305" s="4">
        <f t="shared" si="71"/>
        <v>0</v>
      </c>
      <c r="H2305" s="17"/>
      <c r="I2305" s="4">
        <f t="shared" si="72"/>
        <v>349526.07999999996</v>
      </c>
      <c r="J2305" s="32" t="str">
        <f t="shared" si="73"/>
        <v/>
      </c>
      <c r="K2305" s="79"/>
      <c r="L2305" s="79"/>
      <c r="M2305" s="2"/>
      <c r="N2305" s="5"/>
      <c r="O2305" s="3"/>
      <c r="P2305" s="6"/>
      <c r="Q2305" s="6"/>
    </row>
    <row r="2306" spans="1:17" ht="15" customHeight="1" x14ac:dyDescent="0.25">
      <c r="A2306" s="1"/>
      <c r="B2306" s="17"/>
      <c r="C2306" s="17"/>
      <c r="D2306" s="17"/>
      <c r="E2306" s="17"/>
      <c r="F2306" s="17"/>
      <c r="G2306" s="4">
        <f t="shared" si="71"/>
        <v>0</v>
      </c>
      <c r="H2306" s="17"/>
      <c r="I2306" s="4">
        <f t="shared" si="72"/>
        <v>349526.07999999996</v>
      </c>
      <c r="J2306" s="32" t="str">
        <f t="shared" si="73"/>
        <v/>
      </c>
      <c r="K2306" s="79"/>
      <c r="L2306" s="79"/>
      <c r="M2306" s="2"/>
      <c r="N2306" s="5"/>
      <c r="O2306" s="3"/>
      <c r="P2306" s="6"/>
      <c r="Q2306" s="6"/>
    </row>
    <row r="2307" spans="1:17" ht="15" customHeight="1" x14ac:dyDescent="0.25">
      <c r="A2307" s="1"/>
      <c r="B2307" s="17"/>
      <c r="C2307" s="17"/>
      <c r="D2307" s="17"/>
      <c r="E2307" s="17"/>
      <c r="F2307" s="17"/>
      <c r="G2307" s="4">
        <f t="shared" ref="G2307:G2370" si="74">SUM($B2307:$F2307)</f>
        <v>0</v>
      </c>
      <c r="H2307" s="17"/>
      <c r="I2307" s="4">
        <f t="shared" si="72"/>
        <v>349526.07999999996</v>
      </c>
      <c r="J2307" s="32" t="str">
        <f t="shared" si="73"/>
        <v/>
      </c>
      <c r="K2307" s="79"/>
      <c r="L2307" s="79"/>
      <c r="M2307" s="2"/>
      <c r="N2307" s="5"/>
      <c r="O2307" s="3"/>
      <c r="P2307" s="6"/>
      <c r="Q2307" s="6"/>
    </row>
    <row r="2308" spans="1:17" ht="15" customHeight="1" x14ac:dyDescent="0.25">
      <c r="A2308" s="1"/>
      <c r="B2308" s="17"/>
      <c r="C2308" s="17"/>
      <c r="D2308" s="17"/>
      <c r="E2308" s="17"/>
      <c r="F2308" s="17"/>
      <c r="G2308" s="4">
        <f t="shared" si="74"/>
        <v>0</v>
      </c>
      <c r="H2308" s="17"/>
      <c r="I2308" s="4">
        <f t="shared" si="72"/>
        <v>349526.07999999996</v>
      </c>
      <c r="J2308" s="32" t="str">
        <f t="shared" si="73"/>
        <v/>
      </c>
      <c r="K2308" s="79"/>
      <c r="L2308" s="79"/>
      <c r="M2308" s="2"/>
      <c r="N2308" s="5"/>
      <c r="O2308" s="3"/>
      <c r="P2308" s="6"/>
      <c r="Q2308" s="6"/>
    </row>
    <row r="2309" spans="1:17" ht="15" customHeight="1" x14ac:dyDescent="0.25">
      <c r="A2309" s="1"/>
      <c r="B2309" s="17"/>
      <c r="C2309" s="17"/>
      <c r="D2309" s="17"/>
      <c r="E2309" s="17"/>
      <c r="F2309" s="17"/>
      <c r="G2309" s="4">
        <f t="shared" si="74"/>
        <v>0</v>
      </c>
      <c r="H2309" s="17"/>
      <c r="I2309" s="4">
        <f t="shared" si="72"/>
        <v>349526.07999999996</v>
      </c>
      <c r="J2309" s="32" t="str">
        <f t="shared" si="73"/>
        <v/>
      </c>
      <c r="K2309" s="79"/>
      <c r="L2309" s="79"/>
      <c r="M2309" s="2"/>
      <c r="N2309" s="5"/>
      <c r="O2309" s="3"/>
      <c r="P2309" s="6"/>
      <c r="Q2309" s="6"/>
    </row>
    <row r="2310" spans="1:17" ht="15" customHeight="1" x14ac:dyDescent="0.25">
      <c r="A2310" s="1"/>
      <c r="B2310" s="17"/>
      <c r="C2310" s="17"/>
      <c r="D2310" s="17"/>
      <c r="E2310" s="17"/>
      <c r="F2310" s="17"/>
      <c r="G2310" s="4">
        <f t="shared" si="74"/>
        <v>0</v>
      </c>
      <c r="H2310" s="17"/>
      <c r="I2310" s="4">
        <f t="shared" si="72"/>
        <v>349526.07999999996</v>
      </c>
      <c r="J2310" s="32" t="str">
        <f t="shared" si="73"/>
        <v/>
      </c>
      <c r="K2310" s="79"/>
      <c r="L2310" s="79"/>
      <c r="M2310" s="2"/>
      <c r="N2310" s="5"/>
      <c r="O2310" s="3"/>
      <c r="P2310" s="6"/>
      <c r="Q2310" s="6"/>
    </row>
    <row r="2311" spans="1:17" ht="15" customHeight="1" x14ac:dyDescent="0.25">
      <c r="A2311" s="1"/>
      <c r="B2311" s="17"/>
      <c r="C2311" s="17"/>
      <c r="D2311" s="17"/>
      <c r="E2311" s="17"/>
      <c r="F2311" s="17"/>
      <c r="G2311" s="4">
        <f t="shared" si="74"/>
        <v>0</v>
      </c>
      <c r="H2311" s="17"/>
      <c r="I2311" s="4">
        <f t="shared" si="72"/>
        <v>349526.07999999996</v>
      </c>
      <c r="J2311" s="32" t="str">
        <f t="shared" si="73"/>
        <v/>
      </c>
      <c r="K2311" s="79"/>
      <c r="L2311" s="79"/>
      <c r="M2311" s="2"/>
      <c r="N2311" s="5"/>
      <c r="O2311" s="3"/>
      <c r="P2311" s="6"/>
      <c r="Q2311" s="6"/>
    </row>
    <row r="2312" spans="1:17" ht="15" customHeight="1" x14ac:dyDescent="0.25">
      <c r="A2312" s="1"/>
      <c r="B2312" s="17"/>
      <c r="C2312" s="17"/>
      <c r="D2312" s="17"/>
      <c r="E2312" s="17"/>
      <c r="F2312" s="17"/>
      <c r="G2312" s="4">
        <f t="shared" si="74"/>
        <v>0</v>
      </c>
      <c r="H2312" s="17"/>
      <c r="I2312" s="4">
        <f t="shared" si="72"/>
        <v>349526.07999999996</v>
      </c>
      <c r="J2312" s="32" t="str">
        <f t="shared" si="73"/>
        <v/>
      </c>
      <c r="K2312" s="79"/>
      <c r="L2312" s="79"/>
      <c r="M2312" s="2"/>
      <c r="N2312" s="5"/>
      <c r="O2312" s="3"/>
      <c r="P2312" s="6"/>
      <c r="Q2312" s="6"/>
    </row>
    <row r="2313" spans="1:17" ht="15" customHeight="1" x14ac:dyDescent="0.25">
      <c r="A2313" s="1"/>
      <c r="B2313" s="17"/>
      <c r="C2313" s="17"/>
      <c r="D2313" s="17"/>
      <c r="E2313" s="17"/>
      <c r="F2313" s="17"/>
      <c r="G2313" s="4">
        <f t="shared" si="74"/>
        <v>0</v>
      </c>
      <c r="H2313" s="17"/>
      <c r="I2313" s="4">
        <f t="shared" si="72"/>
        <v>349526.07999999996</v>
      </c>
      <c r="J2313" s="32" t="str">
        <f t="shared" si="73"/>
        <v/>
      </c>
      <c r="K2313" s="79"/>
      <c r="L2313" s="79"/>
      <c r="M2313" s="2"/>
      <c r="N2313" s="5"/>
      <c r="O2313" s="3"/>
      <c r="P2313" s="6"/>
      <c r="Q2313" s="6"/>
    </row>
    <row r="2314" spans="1:17" ht="15" customHeight="1" x14ac:dyDescent="0.25">
      <c r="A2314" s="1"/>
      <c r="B2314" s="17"/>
      <c r="C2314" s="17"/>
      <c r="D2314" s="17"/>
      <c r="E2314" s="17"/>
      <c r="F2314" s="17"/>
      <c r="G2314" s="4">
        <f t="shared" si="74"/>
        <v>0</v>
      </c>
      <c r="H2314" s="17"/>
      <c r="I2314" s="4">
        <f t="shared" si="72"/>
        <v>349526.07999999996</v>
      </c>
      <c r="J2314" s="32" t="str">
        <f t="shared" si="73"/>
        <v/>
      </c>
      <c r="K2314" s="79"/>
      <c r="L2314" s="79"/>
      <c r="M2314" s="2"/>
      <c r="N2314" s="5"/>
      <c r="O2314" s="3"/>
      <c r="P2314" s="6"/>
      <c r="Q2314" s="6"/>
    </row>
    <row r="2315" spans="1:17" ht="15" customHeight="1" x14ac:dyDescent="0.25">
      <c r="A2315" s="1"/>
      <c r="B2315" s="17"/>
      <c r="C2315" s="17"/>
      <c r="D2315" s="17"/>
      <c r="E2315" s="17"/>
      <c r="F2315" s="17"/>
      <c r="G2315" s="4">
        <f t="shared" si="74"/>
        <v>0</v>
      </c>
      <c r="H2315" s="17"/>
      <c r="I2315" s="4">
        <f t="shared" si="72"/>
        <v>349526.07999999996</v>
      </c>
      <c r="J2315" s="32" t="str">
        <f t="shared" si="73"/>
        <v/>
      </c>
      <c r="K2315" s="79"/>
      <c r="L2315" s="79"/>
      <c r="M2315" s="2"/>
      <c r="N2315" s="5"/>
      <c r="O2315" s="3"/>
      <c r="P2315" s="6"/>
      <c r="Q2315" s="6"/>
    </row>
    <row r="2316" spans="1:17" ht="15" customHeight="1" x14ac:dyDescent="0.25">
      <c r="A2316" s="1"/>
      <c r="B2316" s="17"/>
      <c r="C2316" s="17"/>
      <c r="D2316" s="17"/>
      <c r="E2316" s="17"/>
      <c r="F2316" s="17"/>
      <c r="G2316" s="4">
        <f t="shared" si="74"/>
        <v>0</v>
      </c>
      <c r="H2316" s="17"/>
      <c r="I2316" s="4">
        <f t="shared" si="72"/>
        <v>349526.07999999996</v>
      </c>
      <c r="J2316" s="32" t="str">
        <f t="shared" si="73"/>
        <v/>
      </c>
      <c r="K2316" s="79"/>
      <c r="L2316" s="79"/>
      <c r="M2316" s="2"/>
      <c r="N2316" s="5"/>
      <c r="O2316" s="3"/>
      <c r="P2316" s="6"/>
      <c r="Q2316" s="6"/>
    </row>
    <row r="2317" spans="1:17" ht="15" customHeight="1" x14ac:dyDescent="0.25">
      <c r="A2317" s="1"/>
      <c r="B2317" s="17"/>
      <c r="C2317" s="17"/>
      <c r="D2317" s="17"/>
      <c r="E2317" s="17"/>
      <c r="F2317" s="17"/>
      <c r="G2317" s="4">
        <f t="shared" si="74"/>
        <v>0</v>
      </c>
      <c r="H2317" s="17"/>
      <c r="I2317" s="4">
        <f t="shared" si="72"/>
        <v>349526.07999999996</v>
      </c>
      <c r="J2317" s="32" t="str">
        <f t="shared" si="73"/>
        <v/>
      </c>
      <c r="K2317" s="79"/>
      <c r="L2317" s="79"/>
      <c r="M2317" s="2"/>
      <c r="N2317" s="5"/>
      <c r="O2317" s="3"/>
      <c r="P2317" s="6"/>
      <c r="Q2317" s="6"/>
    </row>
    <row r="2318" spans="1:17" ht="15" customHeight="1" x14ac:dyDescent="0.25">
      <c r="A2318" s="1"/>
      <c r="B2318" s="17"/>
      <c r="C2318" s="17"/>
      <c r="D2318" s="17"/>
      <c r="E2318" s="17"/>
      <c r="F2318" s="17"/>
      <c r="G2318" s="4">
        <f t="shared" si="74"/>
        <v>0</v>
      </c>
      <c r="H2318" s="17"/>
      <c r="I2318" s="4">
        <f t="shared" si="72"/>
        <v>349526.07999999996</v>
      </c>
      <c r="J2318" s="32" t="str">
        <f t="shared" si="73"/>
        <v/>
      </c>
      <c r="K2318" s="79"/>
      <c r="L2318" s="79"/>
      <c r="M2318" s="2"/>
      <c r="N2318" s="5"/>
      <c r="O2318" s="3"/>
      <c r="P2318" s="6"/>
      <c r="Q2318" s="6"/>
    </row>
    <row r="2319" spans="1:17" ht="15" customHeight="1" x14ac:dyDescent="0.25">
      <c r="A2319" s="1"/>
      <c r="B2319" s="17"/>
      <c r="C2319" s="17"/>
      <c r="D2319" s="17"/>
      <c r="E2319" s="17"/>
      <c r="F2319" s="17"/>
      <c r="G2319" s="4">
        <f t="shared" si="74"/>
        <v>0</v>
      </c>
      <c r="H2319" s="17"/>
      <c r="I2319" s="4">
        <f t="shared" si="72"/>
        <v>349526.07999999996</v>
      </c>
      <c r="J2319" s="32" t="str">
        <f t="shared" si="73"/>
        <v/>
      </c>
      <c r="K2319" s="79"/>
      <c r="L2319" s="79"/>
      <c r="M2319" s="2"/>
      <c r="N2319" s="5"/>
      <c r="O2319" s="3"/>
      <c r="P2319" s="6"/>
      <c r="Q2319" s="6"/>
    </row>
    <row r="2320" spans="1:17" ht="15" customHeight="1" x14ac:dyDescent="0.25">
      <c r="A2320" s="1"/>
      <c r="B2320" s="17"/>
      <c r="C2320" s="17"/>
      <c r="D2320" s="17"/>
      <c r="E2320" s="17"/>
      <c r="F2320" s="17"/>
      <c r="G2320" s="4">
        <f t="shared" si="74"/>
        <v>0</v>
      </c>
      <c r="H2320" s="17"/>
      <c r="I2320" s="4">
        <f t="shared" si="72"/>
        <v>349526.07999999996</v>
      </c>
      <c r="J2320" s="32" t="str">
        <f t="shared" si="73"/>
        <v/>
      </c>
      <c r="K2320" s="79"/>
      <c r="L2320" s="79"/>
      <c r="M2320" s="2"/>
      <c r="N2320" s="5"/>
      <c r="O2320" s="3"/>
      <c r="P2320" s="6"/>
      <c r="Q2320" s="6"/>
    </row>
    <row r="2321" spans="1:17" ht="15" customHeight="1" x14ac:dyDescent="0.25">
      <c r="A2321" s="1"/>
      <c r="B2321" s="17"/>
      <c r="C2321" s="17"/>
      <c r="D2321" s="17"/>
      <c r="E2321" s="17"/>
      <c r="F2321" s="17"/>
      <c r="G2321" s="4">
        <f t="shared" si="74"/>
        <v>0</v>
      </c>
      <c r="H2321" s="17"/>
      <c r="I2321" s="4">
        <f t="shared" si="72"/>
        <v>349526.07999999996</v>
      </c>
      <c r="J2321" s="32" t="str">
        <f t="shared" si="73"/>
        <v/>
      </c>
      <c r="K2321" s="79"/>
      <c r="L2321" s="79"/>
      <c r="M2321" s="2"/>
      <c r="N2321" s="5"/>
      <c r="O2321" s="3"/>
      <c r="P2321" s="6"/>
      <c r="Q2321" s="6"/>
    </row>
    <row r="2322" spans="1:17" ht="15" customHeight="1" x14ac:dyDescent="0.25">
      <c r="A2322" s="1"/>
      <c r="B2322" s="17"/>
      <c r="C2322" s="17"/>
      <c r="D2322" s="17"/>
      <c r="E2322" s="17"/>
      <c r="F2322" s="17"/>
      <c r="G2322" s="4">
        <f t="shared" si="74"/>
        <v>0</v>
      </c>
      <c r="H2322" s="17"/>
      <c r="I2322" s="4">
        <f t="shared" si="72"/>
        <v>349526.07999999996</v>
      </c>
      <c r="J2322" s="32" t="str">
        <f t="shared" si="73"/>
        <v/>
      </c>
      <c r="K2322" s="79"/>
      <c r="L2322" s="79"/>
      <c r="M2322" s="2"/>
      <c r="N2322" s="5"/>
      <c r="O2322" s="3"/>
      <c r="P2322" s="6"/>
      <c r="Q2322" s="6"/>
    </row>
    <row r="2323" spans="1:17" ht="15" customHeight="1" x14ac:dyDescent="0.25">
      <c r="A2323" s="1"/>
      <c r="B2323" s="17"/>
      <c r="C2323" s="17"/>
      <c r="D2323" s="17"/>
      <c r="E2323" s="17"/>
      <c r="F2323" s="17"/>
      <c r="G2323" s="4">
        <f t="shared" si="74"/>
        <v>0</v>
      </c>
      <c r="H2323" s="17"/>
      <c r="I2323" s="4">
        <f t="shared" si="72"/>
        <v>349526.07999999996</v>
      </c>
      <c r="J2323" s="32" t="str">
        <f t="shared" si="73"/>
        <v/>
      </c>
      <c r="K2323" s="79"/>
      <c r="L2323" s="79"/>
      <c r="M2323" s="2"/>
      <c r="N2323" s="5"/>
      <c r="O2323" s="3"/>
      <c r="P2323" s="6"/>
      <c r="Q2323" s="6"/>
    </row>
    <row r="2324" spans="1:17" ht="15" customHeight="1" x14ac:dyDescent="0.25">
      <c r="A2324" s="1"/>
      <c r="B2324" s="17"/>
      <c r="C2324" s="17"/>
      <c r="D2324" s="17"/>
      <c r="E2324" s="17"/>
      <c r="F2324" s="17"/>
      <c r="G2324" s="4">
        <f t="shared" si="74"/>
        <v>0</v>
      </c>
      <c r="H2324" s="17"/>
      <c r="I2324" s="4">
        <f t="shared" si="72"/>
        <v>349526.07999999996</v>
      </c>
      <c r="J2324" s="32" t="str">
        <f t="shared" si="73"/>
        <v/>
      </c>
      <c r="K2324" s="79"/>
      <c r="L2324" s="79"/>
      <c r="M2324" s="2"/>
      <c r="N2324" s="5"/>
      <c r="O2324" s="3"/>
      <c r="P2324" s="6"/>
      <c r="Q2324" s="6"/>
    </row>
    <row r="2325" spans="1:17" ht="15" customHeight="1" x14ac:dyDescent="0.25">
      <c r="A2325" s="1"/>
      <c r="B2325" s="17"/>
      <c r="C2325" s="17"/>
      <c r="D2325" s="17"/>
      <c r="E2325" s="17"/>
      <c r="F2325" s="17"/>
      <c r="G2325" s="4">
        <f t="shared" si="74"/>
        <v>0</v>
      </c>
      <c r="H2325" s="17"/>
      <c r="I2325" s="4">
        <f t="shared" si="72"/>
        <v>349526.07999999996</v>
      </c>
      <c r="J2325" s="32" t="str">
        <f t="shared" si="73"/>
        <v/>
      </c>
      <c r="K2325" s="79"/>
      <c r="L2325" s="79"/>
      <c r="M2325" s="2"/>
      <c r="N2325" s="5"/>
      <c r="O2325" s="3"/>
      <c r="P2325" s="6"/>
      <c r="Q2325" s="6"/>
    </row>
    <row r="2326" spans="1:17" ht="15" customHeight="1" x14ac:dyDescent="0.25">
      <c r="A2326" s="1"/>
      <c r="B2326" s="17"/>
      <c r="C2326" s="17"/>
      <c r="D2326" s="17"/>
      <c r="E2326" s="17"/>
      <c r="F2326" s="17"/>
      <c r="G2326" s="4">
        <f t="shared" si="74"/>
        <v>0</v>
      </c>
      <c r="H2326" s="17"/>
      <c r="I2326" s="4">
        <f t="shared" si="72"/>
        <v>349526.07999999996</v>
      </c>
      <c r="J2326" s="32" t="str">
        <f t="shared" si="73"/>
        <v/>
      </c>
      <c r="K2326" s="79"/>
      <c r="L2326" s="79"/>
      <c r="M2326" s="2"/>
      <c r="N2326" s="5"/>
      <c r="O2326" s="3"/>
      <c r="P2326" s="6"/>
      <c r="Q2326" s="6"/>
    </row>
    <row r="2327" spans="1:17" ht="15" customHeight="1" x14ac:dyDescent="0.25">
      <c r="A2327" s="1"/>
      <c r="B2327" s="17"/>
      <c r="C2327" s="17"/>
      <c r="D2327" s="17"/>
      <c r="E2327" s="17"/>
      <c r="F2327" s="17"/>
      <c r="G2327" s="4">
        <f t="shared" si="74"/>
        <v>0</v>
      </c>
      <c r="H2327" s="17"/>
      <c r="I2327" s="4">
        <f t="shared" si="72"/>
        <v>349526.07999999996</v>
      </c>
      <c r="J2327" s="32" t="str">
        <f t="shared" si="73"/>
        <v/>
      </c>
      <c r="K2327" s="79"/>
      <c r="L2327" s="79"/>
      <c r="M2327" s="2"/>
      <c r="N2327" s="5"/>
      <c r="O2327" s="3"/>
      <c r="P2327" s="6"/>
      <c r="Q2327" s="6"/>
    </row>
    <row r="2328" spans="1:17" ht="15" customHeight="1" x14ac:dyDescent="0.25">
      <c r="A2328" s="1"/>
      <c r="B2328" s="17"/>
      <c r="C2328" s="17"/>
      <c r="D2328" s="17"/>
      <c r="E2328" s="17"/>
      <c r="F2328" s="17"/>
      <c r="G2328" s="4">
        <f t="shared" si="74"/>
        <v>0</v>
      </c>
      <c r="H2328" s="17"/>
      <c r="I2328" s="4">
        <f t="shared" si="72"/>
        <v>349526.07999999996</v>
      </c>
      <c r="J2328" s="32" t="str">
        <f t="shared" si="73"/>
        <v/>
      </c>
      <c r="K2328" s="79"/>
      <c r="L2328" s="79"/>
      <c r="M2328" s="2"/>
      <c r="N2328" s="5"/>
      <c r="O2328" s="3"/>
      <c r="P2328" s="6"/>
      <c r="Q2328" s="6"/>
    </row>
    <row r="2329" spans="1:17" ht="15" customHeight="1" x14ac:dyDescent="0.25">
      <c r="A2329" s="1"/>
      <c r="B2329" s="17"/>
      <c r="C2329" s="17"/>
      <c r="D2329" s="17"/>
      <c r="E2329" s="17"/>
      <c r="F2329" s="17"/>
      <c r="G2329" s="4">
        <f t="shared" si="74"/>
        <v>0</v>
      </c>
      <c r="H2329" s="17"/>
      <c r="I2329" s="4">
        <f t="shared" si="72"/>
        <v>349526.07999999996</v>
      </c>
      <c r="J2329" s="32" t="str">
        <f t="shared" si="73"/>
        <v/>
      </c>
      <c r="K2329" s="79"/>
      <c r="L2329" s="79"/>
      <c r="M2329" s="2"/>
      <c r="N2329" s="5"/>
      <c r="O2329" s="3"/>
      <c r="P2329" s="6"/>
      <c r="Q2329" s="6"/>
    </row>
    <row r="2330" spans="1:17" ht="15" customHeight="1" x14ac:dyDescent="0.25">
      <c r="A2330" s="1"/>
      <c r="B2330" s="17"/>
      <c r="C2330" s="17"/>
      <c r="D2330" s="17"/>
      <c r="E2330" s="17"/>
      <c r="F2330" s="17"/>
      <c r="G2330" s="4">
        <f t="shared" si="74"/>
        <v>0</v>
      </c>
      <c r="H2330" s="17"/>
      <c r="I2330" s="4">
        <f t="shared" si="72"/>
        <v>349526.07999999996</v>
      </c>
      <c r="J2330" s="32" t="str">
        <f t="shared" si="73"/>
        <v/>
      </c>
      <c r="K2330" s="79"/>
      <c r="L2330" s="79"/>
      <c r="M2330" s="2"/>
      <c r="N2330" s="5"/>
      <c r="O2330" s="3"/>
      <c r="P2330" s="6"/>
      <c r="Q2330" s="6"/>
    </row>
    <row r="2331" spans="1:17" ht="15" customHeight="1" x14ac:dyDescent="0.25">
      <c r="A2331" s="1"/>
      <c r="B2331" s="17"/>
      <c r="C2331" s="17"/>
      <c r="D2331" s="17"/>
      <c r="E2331" s="17"/>
      <c r="F2331" s="17"/>
      <c r="G2331" s="4">
        <f t="shared" si="74"/>
        <v>0</v>
      </c>
      <c r="H2331" s="17"/>
      <c r="I2331" s="4">
        <f t="shared" si="72"/>
        <v>349526.07999999996</v>
      </c>
      <c r="J2331" s="32" t="str">
        <f t="shared" si="73"/>
        <v/>
      </c>
      <c r="K2331" s="79"/>
      <c r="L2331" s="79"/>
      <c r="M2331" s="2"/>
      <c r="N2331" s="5"/>
      <c r="O2331" s="3"/>
      <c r="P2331" s="6"/>
      <c r="Q2331" s="6"/>
    </row>
    <row r="2332" spans="1:17" ht="15" customHeight="1" x14ac:dyDescent="0.25">
      <c r="A2332" s="1"/>
      <c r="B2332" s="17"/>
      <c r="C2332" s="17"/>
      <c r="D2332" s="17"/>
      <c r="E2332" s="17"/>
      <c r="F2332" s="17"/>
      <c r="G2332" s="4">
        <f t="shared" si="74"/>
        <v>0</v>
      </c>
      <c r="H2332" s="17"/>
      <c r="I2332" s="4">
        <f t="shared" si="72"/>
        <v>349526.07999999996</v>
      </c>
      <c r="J2332" s="32" t="str">
        <f t="shared" si="73"/>
        <v/>
      </c>
      <c r="K2332" s="79"/>
      <c r="L2332" s="79"/>
      <c r="M2332" s="2"/>
      <c r="N2332" s="5"/>
      <c r="O2332" s="3"/>
      <c r="P2332" s="6"/>
      <c r="Q2332" s="6"/>
    </row>
    <row r="2333" spans="1:17" ht="15" customHeight="1" x14ac:dyDescent="0.25">
      <c r="A2333" s="1"/>
      <c r="B2333" s="17"/>
      <c r="C2333" s="17"/>
      <c r="D2333" s="17"/>
      <c r="E2333" s="17"/>
      <c r="F2333" s="17"/>
      <c r="G2333" s="4">
        <f t="shared" si="74"/>
        <v>0</v>
      </c>
      <c r="H2333" s="17"/>
      <c r="I2333" s="4">
        <f t="shared" si="72"/>
        <v>349526.07999999996</v>
      </c>
      <c r="J2333" s="32" t="str">
        <f t="shared" si="73"/>
        <v/>
      </c>
      <c r="K2333" s="79"/>
      <c r="L2333" s="79"/>
      <c r="M2333" s="2"/>
      <c r="N2333" s="5"/>
      <c r="O2333" s="3"/>
      <c r="P2333" s="6"/>
      <c r="Q2333" s="6"/>
    </row>
    <row r="2334" spans="1:17" ht="15" customHeight="1" x14ac:dyDescent="0.25">
      <c r="A2334" s="1"/>
      <c r="B2334" s="17"/>
      <c r="C2334" s="17"/>
      <c r="D2334" s="17"/>
      <c r="E2334" s="17"/>
      <c r="F2334" s="17"/>
      <c r="G2334" s="4">
        <f t="shared" si="74"/>
        <v>0</v>
      </c>
      <c r="H2334" s="17"/>
      <c r="I2334" s="4">
        <f t="shared" si="72"/>
        <v>349526.07999999996</v>
      </c>
      <c r="J2334" s="32" t="str">
        <f t="shared" si="73"/>
        <v/>
      </c>
      <c r="K2334" s="79"/>
      <c r="L2334" s="79"/>
      <c r="M2334" s="2"/>
      <c r="N2334" s="5"/>
      <c r="O2334" s="3"/>
      <c r="P2334" s="6"/>
      <c r="Q2334" s="6"/>
    </row>
    <row r="2335" spans="1:17" ht="15" customHeight="1" x14ac:dyDescent="0.25">
      <c r="A2335" s="1"/>
      <c r="B2335" s="17"/>
      <c r="C2335" s="17"/>
      <c r="D2335" s="17"/>
      <c r="E2335" s="17"/>
      <c r="F2335" s="17"/>
      <c r="G2335" s="4">
        <f t="shared" si="74"/>
        <v>0</v>
      </c>
      <c r="H2335" s="17"/>
      <c r="I2335" s="4">
        <f t="shared" si="72"/>
        <v>349526.07999999996</v>
      </c>
      <c r="J2335" s="32" t="str">
        <f t="shared" si="73"/>
        <v/>
      </c>
      <c r="K2335" s="79"/>
      <c r="L2335" s="79"/>
      <c r="M2335" s="2"/>
      <c r="N2335" s="5"/>
      <c r="O2335" s="3"/>
      <c r="P2335" s="6"/>
      <c r="Q2335" s="6"/>
    </row>
    <row r="2336" spans="1:17" ht="15" customHeight="1" x14ac:dyDescent="0.25">
      <c r="A2336" s="1"/>
      <c r="B2336" s="17"/>
      <c r="C2336" s="17"/>
      <c r="D2336" s="17"/>
      <c r="E2336" s="17"/>
      <c r="F2336" s="17"/>
      <c r="G2336" s="4">
        <f t="shared" si="74"/>
        <v>0</v>
      </c>
      <c r="H2336" s="17"/>
      <c r="I2336" s="4">
        <f t="shared" si="72"/>
        <v>349526.07999999996</v>
      </c>
      <c r="J2336" s="32" t="str">
        <f t="shared" si="73"/>
        <v/>
      </c>
      <c r="K2336" s="79"/>
      <c r="L2336" s="79"/>
      <c r="M2336" s="2"/>
      <c r="N2336" s="5"/>
      <c r="O2336" s="3"/>
      <c r="P2336" s="6"/>
      <c r="Q2336" s="6"/>
    </row>
    <row r="2337" spans="1:17" ht="15" customHeight="1" x14ac:dyDescent="0.25">
      <c r="A2337" s="1"/>
      <c r="B2337" s="17"/>
      <c r="C2337" s="17"/>
      <c r="D2337" s="17"/>
      <c r="E2337" s="17"/>
      <c r="F2337" s="17"/>
      <c r="G2337" s="4">
        <f t="shared" si="74"/>
        <v>0</v>
      </c>
      <c r="H2337" s="17"/>
      <c r="I2337" s="4">
        <f t="shared" si="72"/>
        <v>349526.07999999996</v>
      </c>
      <c r="J2337" s="32" t="str">
        <f t="shared" si="73"/>
        <v/>
      </c>
      <c r="K2337" s="79"/>
      <c r="L2337" s="79"/>
      <c r="M2337" s="2"/>
      <c r="N2337" s="5"/>
      <c r="O2337" s="3"/>
      <c r="P2337" s="6"/>
      <c r="Q2337" s="6"/>
    </row>
    <row r="2338" spans="1:17" ht="15" customHeight="1" x14ac:dyDescent="0.25">
      <c r="A2338" s="1"/>
      <c r="B2338" s="17"/>
      <c r="C2338" s="17"/>
      <c r="D2338" s="17"/>
      <c r="E2338" s="17"/>
      <c r="F2338" s="17"/>
      <c r="G2338" s="4">
        <f t="shared" si="74"/>
        <v>0</v>
      </c>
      <c r="H2338" s="17"/>
      <c r="I2338" s="4">
        <f t="shared" si="72"/>
        <v>349526.07999999996</v>
      </c>
      <c r="J2338" s="32" t="str">
        <f t="shared" si="73"/>
        <v/>
      </c>
      <c r="K2338" s="79"/>
      <c r="L2338" s="79"/>
      <c r="M2338" s="2"/>
      <c r="N2338" s="5"/>
      <c r="O2338" s="3"/>
      <c r="P2338" s="6"/>
      <c r="Q2338" s="6"/>
    </row>
    <row r="2339" spans="1:17" ht="15" customHeight="1" x14ac:dyDescent="0.25">
      <c r="A2339" s="1"/>
      <c r="B2339" s="17"/>
      <c r="C2339" s="17"/>
      <c r="D2339" s="17"/>
      <c r="E2339" s="17"/>
      <c r="F2339" s="17"/>
      <c r="G2339" s="4">
        <f t="shared" si="74"/>
        <v>0</v>
      </c>
      <c r="H2339" s="17"/>
      <c r="I2339" s="4">
        <f t="shared" si="72"/>
        <v>349526.07999999996</v>
      </c>
      <c r="J2339" s="32" t="str">
        <f t="shared" si="73"/>
        <v/>
      </c>
      <c r="K2339" s="79"/>
      <c r="L2339" s="79"/>
      <c r="M2339" s="2"/>
      <c r="N2339" s="5"/>
      <c r="O2339" s="3"/>
      <c r="P2339" s="6"/>
      <c r="Q2339" s="6"/>
    </row>
    <row r="2340" spans="1:17" ht="15" customHeight="1" x14ac:dyDescent="0.25">
      <c r="A2340" s="1"/>
      <c r="B2340" s="17"/>
      <c r="C2340" s="17"/>
      <c r="D2340" s="17"/>
      <c r="E2340" s="17"/>
      <c r="F2340" s="17"/>
      <c r="G2340" s="4">
        <f t="shared" si="74"/>
        <v>0</v>
      </c>
      <c r="H2340" s="17"/>
      <c r="I2340" s="4">
        <f t="shared" si="72"/>
        <v>349526.07999999996</v>
      </c>
      <c r="J2340" s="32" t="str">
        <f t="shared" si="73"/>
        <v/>
      </c>
      <c r="K2340" s="79"/>
      <c r="L2340" s="79"/>
      <c r="M2340" s="2"/>
      <c r="N2340" s="5"/>
      <c r="O2340" s="3"/>
      <c r="P2340" s="6"/>
      <c r="Q2340" s="6"/>
    </row>
    <row r="2341" spans="1:17" ht="15" customHeight="1" x14ac:dyDescent="0.25">
      <c r="A2341" s="1"/>
      <c r="B2341" s="17"/>
      <c r="C2341" s="17"/>
      <c r="D2341" s="17"/>
      <c r="E2341" s="17"/>
      <c r="F2341" s="17"/>
      <c r="G2341" s="4">
        <f t="shared" si="74"/>
        <v>0</v>
      </c>
      <c r="H2341" s="17"/>
      <c r="I2341" s="4">
        <f t="shared" si="72"/>
        <v>349526.07999999996</v>
      </c>
      <c r="J2341" s="32" t="str">
        <f t="shared" si="73"/>
        <v/>
      </c>
      <c r="K2341" s="79"/>
      <c r="L2341" s="79"/>
      <c r="M2341" s="2"/>
      <c r="N2341" s="5"/>
      <c r="O2341" s="3"/>
      <c r="P2341" s="6"/>
      <c r="Q2341" s="6"/>
    </row>
    <row r="2342" spans="1:17" ht="15" customHeight="1" x14ac:dyDescent="0.25">
      <c r="A2342" s="1"/>
      <c r="B2342" s="17"/>
      <c r="C2342" s="17"/>
      <c r="D2342" s="17"/>
      <c r="E2342" s="17"/>
      <c r="F2342" s="17"/>
      <c r="G2342" s="4">
        <f t="shared" si="74"/>
        <v>0</v>
      </c>
      <c r="H2342" s="17"/>
      <c r="I2342" s="4">
        <f t="shared" si="72"/>
        <v>349526.07999999996</v>
      </c>
      <c r="J2342" s="32" t="str">
        <f t="shared" si="73"/>
        <v/>
      </c>
      <c r="K2342" s="79"/>
      <c r="L2342" s="79"/>
      <c r="M2342" s="2"/>
      <c r="N2342" s="5"/>
      <c r="O2342" s="3"/>
      <c r="P2342" s="6"/>
      <c r="Q2342" s="6"/>
    </row>
    <row r="2343" spans="1:17" ht="15" customHeight="1" x14ac:dyDescent="0.25">
      <c r="A2343" s="1"/>
      <c r="B2343" s="17"/>
      <c r="C2343" s="17"/>
      <c r="D2343" s="17"/>
      <c r="E2343" s="17"/>
      <c r="F2343" s="17"/>
      <c r="G2343" s="4">
        <f t="shared" si="74"/>
        <v>0</v>
      </c>
      <c r="H2343" s="17"/>
      <c r="I2343" s="4">
        <f t="shared" si="72"/>
        <v>349526.07999999996</v>
      </c>
      <c r="J2343" s="32" t="str">
        <f t="shared" si="73"/>
        <v/>
      </c>
      <c r="K2343" s="79"/>
      <c r="L2343" s="79"/>
      <c r="M2343" s="2"/>
      <c r="N2343" s="5"/>
      <c r="O2343" s="3"/>
      <c r="P2343" s="6"/>
      <c r="Q2343" s="6"/>
    </row>
    <row r="2344" spans="1:17" ht="15" customHeight="1" x14ac:dyDescent="0.25">
      <c r="A2344" s="1"/>
      <c r="B2344" s="17"/>
      <c r="C2344" s="17"/>
      <c r="D2344" s="17"/>
      <c r="E2344" s="17"/>
      <c r="F2344" s="17"/>
      <c r="G2344" s="4">
        <f t="shared" si="74"/>
        <v>0</v>
      </c>
      <c r="H2344" s="17"/>
      <c r="I2344" s="4">
        <f t="shared" si="72"/>
        <v>349526.07999999996</v>
      </c>
      <c r="J2344" s="32" t="str">
        <f t="shared" si="73"/>
        <v/>
      </c>
      <c r="K2344" s="79"/>
      <c r="L2344" s="79"/>
      <c r="M2344" s="2"/>
      <c r="N2344" s="5"/>
      <c r="O2344" s="3"/>
      <c r="P2344" s="6"/>
      <c r="Q2344" s="6"/>
    </row>
    <row r="2345" spans="1:17" ht="15" customHeight="1" x14ac:dyDescent="0.25">
      <c r="A2345" s="1"/>
      <c r="B2345" s="17"/>
      <c r="C2345" s="17"/>
      <c r="D2345" s="17"/>
      <c r="E2345" s="17"/>
      <c r="F2345" s="17"/>
      <c r="G2345" s="4">
        <f t="shared" si="74"/>
        <v>0</v>
      </c>
      <c r="H2345" s="17"/>
      <c r="I2345" s="4">
        <f t="shared" si="72"/>
        <v>349526.07999999996</v>
      </c>
      <c r="J2345" s="32" t="str">
        <f t="shared" si="73"/>
        <v/>
      </c>
      <c r="K2345" s="79"/>
      <c r="L2345" s="79"/>
      <c r="M2345" s="2"/>
      <c r="N2345" s="5"/>
      <c r="O2345" s="3"/>
      <c r="P2345" s="6"/>
      <c r="Q2345" s="6"/>
    </row>
    <row r="2346" spans="1:17" ht="15" customHeight="1" x14ac:dyDescent="0.25">
      <c r="A2346" s="1"/>
      <c r="B2346" s="17"/>
      <c r="C2346" s="17"/>
      <c r="D2346" s="17"/>
      <c r="E2346" s="17"/>
      <c r="F2346" s="17"/>
      <c r="G2346" s="4">
        <f t="shared" si="74"/>
        <v>0</v>
      </c>
      <c r="H2346" s="17"/>
      <c r="I2346" s="4">
        <f t="shared" si="72"/>
        <v>349526.07999999996</v>
      </c>
      <c r="J2346" s="32" t="str">
        <f t="shared" si="73"/>
        <v/>
      </c>
      <c r="K2346" s="79"/>
      <c r="L2346" s="79"/>
      <c r="M2346" s="2"/>
      <c r="N2346" s="5"/>
      <c r="O2346" s="3"/>
      <c r="P2346" s="6"/>
      <c r="Q2346" s="6"/>
    </row>
    <row r="2347" spans="1:17" ht="15" customHeight="1" x14ac:dyDescent="0.25">
      <c r="A2347" s="1"/>
      <c r="B2347" s="17"/>
      <c r="C2347" s="17"/>
      <c r="D2347" s="17"/>
      <c r="E2347" s="17"/>
      <c r="F2347" s="17"/>
      <c r="G2347" s="4">
        <f t="shared" si="74"/>
        <v>0</v>
      </c>
      <c r="H2347" s="17"/>
      <c r="I2347" s="4">
        <f t="shared" si="72"/>
        <v>349526.07999999996</v>
      </c>
      <c r="J2347" s="32" t="str">
        <f t="shared" si="73"/>
        <v/>
      </c>
      <c r="K2347" s="79"/>
      <c r="L2347" s="79"/>
      <c r="M2347" s="2"/>
      <c r="N2347" s="5"/>
      <c r="O2347" s="3"/>
      <c r="P2347" s="6"/>
      <c r="Q2347" s="6"/>
    </row>
    <row r="2348" spans="1:17" ht="15" customHeight="1" x14ac:dyDescent="0.25">
      <c r="A2348" s="1"/>
      <c r="B2348" s="17"/>
      <c r="C2348" s="17"/>
      <c r="D2348" s="17"/>
      <c r="E2348" s="17"/>
      <c r="F2348" s="17"/>
      <c r="G2348" s="4">
        <f t="shared" si="74"/>
        <v>0</v>
      </c>
      <c r="H2348" s="17"/>
      <c r="I2348" s="4">
        <f t="shared" si="72"/>
        <v>349526.07999999996</v>
      </c>
      <c r="J2348" s="32" t="str">
        <f t="shared" si="73"/>
        <v/>
      </c>
      <c r="K2348" s="79"/>
      <c r="L2348" s="79"/>
      <c r="M2348" s="2"/>
      <c r="N2348" s="5"/>
      <c r="O2348" s="3"/>
      <c r="P2348" s="6"/>
      <c r="Q2348" s="6"/>
    </row>
    <row r="2349" spans="1:17" ht="15" customHeight="1" x14ac:dyDescent="0.25">
      <c r="A2349" s="1"/>
      <c r="B2349" s="17"/>
      <c r="C2349" s="17"/>
      <c r="D2349" s="17"/>
      <c r="E2349" s="17"/>
      <c r="F2349" s="17"/>
      <c r="G2349" s="4">
        <f t="shared" si="74"/>
        <v>0</v>
      </c>
      <c r="H2349" s="17"/>
      <c r="I2349" s="4">
        <f t="shared" si="72"/>
        <v>349526.07999999996</v>
      </c>
      <c r="J2349" s="32" t="str">
        <f t="shared" si="73"/>
        <v/>
      </c>
      <c r="K2349" s="79"/>
      <c r="L2349" s="79"/>
      <c r="M2349" s="2"/>
      <c r="N2349" s="5"/>
      <c r="O2349" s="3"/>
      <c r="P2349" s="6"/>
      <c r="Q2349" s="6"/>
    </row>
    <row r="2350" spans="1:17" ht="15" customHeight="1" x14ac:dyDescent="0.25">
      <c r="A2350" s="1"/>
      <c r="B2350" s="17"/>
      <c r="C2350" s="17"/>
      <c r="D2350" s="17"/>
      <c r="E2350" s="17"/>
      <c r="F2350" s="17"/>
      <c r="G2350" s="4">
        <f t="shared" si="74"/>
        <v>0</v>
      </c>
      <c r="H2350" s="17"/>
      <c r="I2350" s="4">
        <f t="shared" si="72"/>
        <v>349526.07999999996</v>
      </c>
      <c r="J2350" s="32" t="str">
        <f t="shared" si="73"/>
        <v/>
      </c>
      <c r="K2350" s="79"/>
      <c r="L2350" s="79"/>
      <c r="M2350" s="2"/>
      <c r="N2350" s="5"/>
      <c r="O2350" s="3"/>
      <c r="P2350" s="6"/>
      <c r="Q2350" s="6"/>
    </row>
    <row r="2351" spans="1:17" ht="15" customHeight="1" x14ac:dyDescent="0.25">
      <c r="A2351" s="1"/>
      <c r="B2351" s="17"/>
      <c r="C2351" s="17"/>
      <c r="D2351" s="17"/>
      <c r="E2351" s="17"/>
      <c r="F2351" s="17"/>
      <c r="G2351" s="4">
        <f t="shared" si="74"/>
        <v>0</v>
      </c>
      <c r="H2351" s="17"/>
      <c r="I2351" s="4">
        <f t="shared" si="72"/>
        <v>349526.07999999996</v>
      </c>
      <c r="J2351" s="32" t="str">
        <f t="shared" si="73"/>
        <v/>
      </c>
      <c r="K2351" s="79"/>
      <c r="L2351" s="79"/>
      <c r="M2351" s="2"/>
      <c r="N2351" s="5"/>
      <c r="O2351" s="3"/>
      <c r="P2351" s="6"/>
      <c r="Q2351" s="6"/>
    </row>
    <row r="2352" spans="1:17" ht="15" customHeight="1" x14ac:dyDescent="0.25">
      <c r="A2352" s="1"/>
      <c r="B2352" s="17"/>
      <c r="C2352" s="17"/>
      <c r="D2352" s="17"/>
      <c r="E2352" s="17"/>
      <c r="F2352" s="17"/>
      <c r="G2352" s="4">
        <f t="shared" si="74"/>
        <v>0</v>
      </c>
      <c r="H2352" s="17"/>
      <c r="I2352" s="4">
        <f t="shared" si="72"/>
        <v>349526.07999999996</v>
      </c>
      <c r="J2352" s="32" t="str">
        <f t="shared" si="73"/>
        <v/>
      </c>
      <c r="K2352" s="79"/>
      <c r="L2352" s="79"/>
      <c r="M2352" s="2"/>
      <c r="N2352" s="5"/>
      <c r="O2352" s="3"/>
      <c r="P2352" s="6"/>
      <c r="Q2352" s="6"/>
    </row>
    <row r="2353" spans="1:17" ht="15" customHeight="1" x14ac:dyDescent="0.25">
      <c r="A2353" s="1"/>
      <c r="B2353" s="17"/>
      <c r="C2353" s="17"/>
      <c r="D2353" s="17"/>
      <c r="E2353" s="17"/>
      <c r="F2353" s="17"/>
      <c r="G2353" s="4">
        <f t="shared" si="74"/>
        <v>0</v>
      </c>
      <c r="H2353" s="17"/>
      <c r="I2353" s="4">
        <f t="shared" si="72"/>
        <v>349526.07999999996</v>
      </c>
      <c r="J2353" s="32" t="str">
        <f t="shared" si="73"/>
        <v/>
      </c>
      <c r="K2353" s="79"/>
      <c r="L2353" s="79"/>
      <c r="M2353" s="2"/>
      <c r="N2353" s="5"/>
      <c r="O2353" s="3"/>
      <c r="P2353" s="6"/>
      <c r="Q2353" s="6"/>
    </row>
    <row r="2354" spans="1:17" ht="15" customHeight="1" x14ac:dyDescent="0.25">
      <c r="A2354" s="1"/>
      <c r="B2354" s="17"/>
      <c r="C2354" s="17"/>
      <c r="D2354" s="17"/>
      <c r="E2354" s="17"/>
      <c r="F2354" s="17"/>
      <c r="G2354" s="4">
        <f t="shared" si="74"/>
        <v>0</v>
      </c>
      <c r="H2354" s="17"/>
      <c r="I2354" s="4">
        <f t="shared" si="72"/>
        <v>349526.07999999996</v>
      </c>
      <c r="J2354" s="32" t="str">
        <f t="shared" si="73"/>
        <v/>
      </c>
      <c r="K2354" s="79"/>
      <c r="L2354" s="79"/>
      <c r="M2354" s="2"/>
      <c r="N2354" s="5"/>
      <c r="O2354" s="3"/>
      <c r="P2354" s="6"/>
      <c r="Q2354" s="6"/>
    </row>
    <row r="2355" spans="1:17" ht="15" customHeight="1" x14ac:dyDescent="0.25">
      <c r="A2355" s="1"/>
      <c r="B2355" s="17"/>
      <c r="C2355" s="17"/>
      <c r="D2355" s="17"/>
      <c r="E2355" s="17"/>
      <c r="F2355" s="17"/>
      <c r="G2355" s="4">
        <f t="shared" si="74"/>
        <v>0</v>
      </c>
      <c r="H2355" s="17"/>
      <c r="I2355" s="4">
        <f t="shared" si="72"/>
        <v>349526.07999999996</v>
      </c>
      <c r="J2355" s="32" t="str">
        <f t="shared" si="73"/>
        <v/>
      </c>
      <c r="K2355" s="79"/>
      <c r="L2355" s="79"/>
      <c r="M2355" s="2"/>
      <c r="N2355" s="5"/>
      <c r="O2355" s="3"/>
      <c r="P2355" s="6"/>
      <c r="Q2355" s="6"/>
    </row>
    <row r="2356" spans="1:17" ht="15" customHeight="1" x14ac:dyDescent="0.25">
      <c r="A2356" s="1"/>
      <c r="B2356" s="17"/>
      <c r="C2356" s="17"/>
      <c r="D2356" s="17"/>
      <c r="E2356" s="17"/>
      <c r="F2356" s="17"/>
      <c r="G2356" s="4">
        <f t="shared" si="74"/>
        <v>0</v>
      </c>
      <c r="H2356" s="17"/>
      <c r="I2356" s="4">
        <f t="shared" si="72"/>
        <v>349526.07999999996</v>
      </c>
      <c r="J2356" s="32" t="str">
        <f t="shared" si="73"/>
        <v/>
      </c>
      <c r="K2356" s="79"/>
      <c r="L2356" s="79"/>
      <c r="M2356" s="2"/>
      <c r="N2356" s="5"/>
      <c r="O2356" s="3"/>
      <c r="P2356" s="6"/>
      <c r="Q2356" s="6"/>
    </row>
    <row r="2357" spans="1:17" ht="15" customHeight="1" x14ac:dyDescent="0.25">
      <c r="A2357" s="1"/>
      <c r="B2357" s="17"/>
      <c r="C2357" s="17"/>
      <c r="D2357" s="17"/>
      <c r="E2357" s="17"/>
      <c r="F2357" s="17"/>
      <c r="G2357" s="4">
        <f t="shared" si="74"/>
        <v>0</v>
      </c>
      <c r="H2357" s="17"/>
      <c r="I2357" s="4">
        <f t="shared" si="72"/>
        <v>349526.07999999996</v>
      </c>
      <c r="J2357" s="32" t="str">
        <f t="shared" si="73"/>
        <v/>
      </c>
      <c r="K2357" s="79"/>
      <c r="L2357" s="79"/>
      <c r="M2357" s="2"/>
      <c r="N2357" s="5"/>
      <c r="O2357" s="3"/>
      <c r="P2357" s="6"/>
      <c r="Q2357" s="6"/>
    </row>
    <row r="2358" spans="1:17" ht="15" customHeight="1" x14ac:dyDescent="0.25">
      <c r="A2358" s="1"/>
      <c r="B2358" s="17"/>
      <c r="C2358" s="17"/>
      <c r="D2358" s="17"/>
      <c r="E2358" s="17"/>
      <c r="F2358" s="17"/>
      <c r="G2358" s="4">
        <f t="shared" si="74"/>
        <v>0</v>
      </c>
      <c r="H2358" s="17"/>
      <c r="I2358" s="4">
        <f t="shared" ref="I2358:I2421" si="75">$I2357+$G2358-$H2358</f>
        <v>349526.07999999996</v>
      </c>
      <c r="J2358" s="32" t="str">
        <f t="shared" ref="J2358:J2421" si="76">IF($A2359&lt;&gt;$A2358,$I2358,"")</f>
        <v/>
      </c>
      <c r="K2358" s="79"/>
      <c r="L2358" s="79"/>
      <c r="M2358" s="2"/>
      <c r="N2358" s="5"/>
      <c r="O2358" s="3"/>
      <c r="P2358" s="6"/>
      <c r="Q2358" s="6"/>
    </row>
    <row r="2359" spans="1:17" ht="15" customHeight="1" x14ac:dyDescent="0.25">
      <c r="A2359" s="1"/>
      <c r="B2359" s="17"/>
      <c r="C2359" s="17"/>
      <c r="D2359" s="17"/>
      <c r="E2359" s="17"/>
      <c r="F2359" s="17"/>
      <c r="G2359" s="4">
        <f t="shared" si="74"/>
        <v>0</v>
      </c>
      <c r="H2359" s="17"/>
      <c r="I2359" s="4">
        <f t="shared" si="75"/>
        <v>349526.07999999996</v>
      </c>
      <c r="J2359" s="32" t="str">
        <f t="shared" si="76"/>
        <v/>
      </c>
      <c r="K2359" s="79"/>
      <c r="L2359" s="79"/>
      <c r="M2359" s="2"/>
      <c r="N2359" s="5"/>
      <c r="O2359" s="3"/>
      <c r="P2359" s="6"/>
      <c r="Q2359" s="6"/>
    </row>
    <row r="2360" spans="1:17" ht="15" customHeight="1" x14ac:dyDescent="0.25">
      <c r="A2360" s="1"/>
      <c r="B2360" s="17"/>
      <c r="C2360" s="17"/>
      <c r="D2360" s="17"/>
      <c r="E2360" s="17"/>
      <c r="F2360" s="17"/>
      <c r="G2360" s="4">
        <f t="shared" si="74"/>
        <v>0</v>
      </c>
      <c r="H2360" s="17"/>
      <c r="I2360" s="4">
        <f t="shared" si="75"/>
        <v>349526.07999999996</v>
      </c>
      <c r="J2360" s="32" t="str">
        <f t="shared" si="76"/>
        <v/>
      </c>
      <c r="K2360" s="79"/>
      <c r="L2360" s="79"/>
      <c r="M2360" s="2"/>
      <c r="N2360" s="5"/>
      <c r="O2360" s="3"/>
      <c r="P2360" s="6"/>
      <c r="Q2360" s="6"/>
    </row>
    <row r="2361" spans="1:17" ht="15" customHeight="1" x14ac:dyDescent="0.25">
      <c r="A2361" s="1"/>
      <c r="B2361" s="17"/>
      <c r="C2361" s="17"/>
      <c r="D2361" s="17"/>
      <c r="E2361" s="17"/>
      <c r="F2361" s="17"/>
      <c r="G2361" s="4">
        <f t="shared" si="74"/>
        <v>0</v>
      </c>
      <c r="H2361" s="17"/>
      <c r="I2361" s="4">
        <f t="shared" si="75"/>
        <v>349526.07999999996</v>
      </c>
      <c r="J2361" s="32" t="str">
        <f t="shared" si="76"/>
        <v/>
      </c>
      <c r="K2361" s="79"/>
      <c r="L2361" s="79"/>
      <c r="M2361" s="2"/>
      <c r="N2361" s="5"/>
      <c r="O2361" s="3"/>
      <c r="P2361" s="6"/>
      <c r="Q2361" s="6"/>
    </row>
    <row r="2362" spans="1:17" ht="15" customHeight="1" x14ac:dyDescent="0.25">
      <c r="A2362" s="1"/>
      <c r="B2362" s="17"/>
      <c r="C2362" s="17"/>
      <c r="D2362" s="17"/>
      <c r="E2362" s="17"/>
      <c r="F2362" s="17"/>
      <c r="G2362" s="4">
        <f t="shared" si="74"/>
        <v>0</v>
      </c>
      <c r="H2362" s="17"/>
      <c r="I2362" s="4">
        <f t="shared" si="75"/>
        <v>349526.07999999996</v>
      </c>
      <c r="J2362" s="32" t="str">
        <f t="shared" si="76"/>
        <v/>
      </c>
      <c r="K2362" s="79"/>
      <c r="L2362" s="79"/>
      <c r="M2362" s="2"/>
      <c r="N2362" s="5"/>
      <c r="O2362" s="3"/>
      <c r="P2362" s="6"/>
      <c r="Q2362" s="6"/>
    </row>
    <row r="2363" spans="1:17" ht="15" customHeight="1" x14ac:dyDescent="0.25">
      <c r="A2363" s="1"/>
      <c r="B2363" s="17"/>
      <c r="C2363" s="17"/>
      <c r="D2363" s="17"/>
      <c r="E2363" s="17"/>
      <c r="F2363" s="17"/>
      <c r="G2363" s="4">
        <f t="shared" si="74"/>
        <v>0</v>
      </c>
      <c r="H2363" s="17"/>
      <c r="I2363" s="4">
        <f t="shared" si="75"/>
        <v>349526.07999999996</v>
      </c>
      <c r="J2363" s="32" t="str">
        <f t="shared" si="76"/>
        <v/>
      </c>
      <c r="K2363" s="79"/>
      <c r="L2363" s="79"/>
      <c r="M2363" s="2"/>
      <c r="N2363" s="5"/>
      <c r="O2363" s="3"/>
      <c r="P2363" s="6"/>
      <c r="Q2363" s="6"/>
    </row>
    <row r="2364" spans="1:17" ht="15" customHeight="1" x14ac:dyDescent="0.25">
      <c r="A2364" s="1"/>
      <c r="B2364" s="17"/>
      <c r="C2364" s="17"/>
      <c r="D2364" s="17"/>
      <c r="E2364" s="17"/>
      <c r="F2364" s="17"/>
      <c r="G2364" s="4">
        <f t="shared" si="74"/>
        <v>0</v>
      </c>
      <c r="H2364" s="17"/>
      <c r="I2364" s="4">
        <f t="shared" si="75"/>
        <v>349526.07999999996</v>
      </c>
      <c r="J2364" s="32" t="str">
        <f t="shared" si="76"/>
        <v/>
      </c>
      <c r="K2364" s="79"/>
      <c r="L2364" s="79"/>
      <c r="M2364" s="2"/>
      <c r="N2364" s="5"/>
      <c r="O2364" s="3"/>
      <c r="P2364" s="6"/>
      <c r="Q2364" s="6"/>
    </row>
    <row r="2365" spans="1:17" ht="15" customHeight="1" x14ac:dyDescent="0.25">
      <c r="A2365" s="1"/>
      <c r="B2365" s="17"/>
      <c r="C2365" s="17"/>
      <c r="D2365" s="17"/>
      <c r="E2365" s="17"/>
      <c r="F2365" s="17"/>
      <c r="G2365" s="4">
        <f t="shared" si="74"/>
        <v>0</v>
      </c>
      <c r="H2365" s="17"/>
      <c r="I2365" s="4">
        <f t="shared" si="75"/>
        <v>349526.07999999996</v>
      </c>
      <c r="J2365" s="32" t="str">
        <f t="shared" si="76"/>
        <v/>
      </c>
      <c r="K2365" s="79"/>
      <c r="L2365" s="79"/>
      <c r="M2365" s="2"/>
      <c r="N2365" s="5"/>
      <c r="O2365" s="3"/>
      <c r="P2365" s="6"/>
      <c r="Q2365" s="6"/>
    </row>
    <row r="2366" spans="1:17" ht="15" customHeight="1" x14ac:dyDescent="0.25">
      <c r="A2366" s="1"/>
      <c r="B2366" s="17"/>
      <c r="C2366" s="17"/>
      <c r="D2366" s="17"/>
      <c r="E2366" s="17"/>
      <c r="F2366" s="17"/>
      <c r="G2366" s="4">
        <f t="shared" si="74"/>
        <v>0</v>
      </c>
      <c r="H2366" s="17"/>
      <c r="I2366" s="4">
        <f t="shared" si="75"/>
        <v>349526.07999999996</v>
      </c>
      <c r="J2366" s="32" t="str">
        <f t="shared" si="76"/>
        <v/>
      </c>
      <c r="K2366" s="79"/>
      <c r="L2366" s="79"/>
      <c r="M2366" s="2"/>
      <c r="N2366" s="5"/>
      <c r="O2366" s="3"/>
      <c r="P2366" s="6"/>
      <c r="Q2366" s="6"/>
    </row>
    <row r="2367" spans="1:17" ht="15" customHeight="1" x14ac:dyDescent="0.25">
      <c r="A2367" s="1"/>
      <c r="B2367" s="17"/>
      <c r="C2367" s="17"/>
      <c r="D2367" s="17"/>
      <c r="E2367" s="17"/>
      <c r="F2367" s="17"/>
      <c r="G2367" s="4">
        <f t="shared" si="74"/>
        <v>0</v>
      </c>
      <c r="H2367" s="17"/>
      <c r="I2367" s="4">
        <f t="shared" si="75"/>
        <v>349526.07999999996</v>
      </c>
      <c r="J2367" s="32" t="str">
        <f t="shared" si="76"/>
        <v/>
      </c>
      <c r="K2367" s="79"/>
      <c r="L2367" s="79"/>
      <c r="M2367" s="2"/>
      <c r="N2367" s="5"/>
      <c r="O2367" s="3"/>
      <c r="P2367" s="6"/>
      <c r="Q2367" s="6"/>
    </row>
    <row r="2368" spans="1:17" ht="15" customHeight="1" x14ac:dyDescent="0.25">
      <c r="A2368" s="1"/>
      <c r="B2368" s="17"/>
      <c r="C2368" s="17"/>
      <c r="D2368" s="17"/>
      <c r="E2368" s="17"/>
      <c r="F2368" s="17"/>
      <c r="G2368" s="4">
        <f t="shared" si="74"/>
        <v>0</v>
      </c>
      <c r="H2368" s="17"/>
      <c r="I2368" s="4">
        <f t="shared" si="75"/>
        <v>349526.07999999996</v>
      </c>
      <c r="J2368" s="32" t="str">
        <f t="shared" si="76"/>
        <v/>
      </c>
      <c r="K2368" s="79"/>
      <c r="L2368" s="79"/>
      <c r="M2368" s="2"/>
      <c r="N2368" s="5"/>
      <c r="O2368" s="3"/>
      <c r="P2368" s="6"/>
      <c r="Q2368" s="6"/>
    </row>
    <row r="2369" spans="1:17" ht="15" customHeight="1" x14ac:dyDescent="0.25">
      <c r="A2369" s="1"/>
      <c r="B2369" s="17"/>
      <c r="C2369" s="17"/>
      <c r="D2369" s="17"/>
      <c r="E2369" s="17"/>
      <c r="F2369" s="17"/>
      <c r="G2369" s="4">
        <f t="shared" si="74"/>
        <v>0</v>
      </c>
      <c r="H2369" s="17"/>
      <c r="I2369" s="4">
        <f t="shared" si="75"/>
        <v>349526.07999999996</v>
      </c>
      <c r="J2369" s="32" t="str">
        <f t="shared" si="76"/>
        <v/>
      </c>
      <c r="K2369" s="79"/>
      <c r="L2369" s="79"/>
      <c r="M2369" s="2"/>
      <c r="N2369" s="5"/>
      <c r="O2369" s="3"/>
      <c r="P2369" s="6"/>
      <c r="Q2369" s="6"/>
    </row>
    <row r="2370" spans="1:17" ht="15" customHeight="1" x14ac:dyDescent="0.25">
      <c r="A2370" s="1"/>
      <c r="B2370" s="17"/>
      <c r="C2370" s="17"/>
      <c r="D2370" s="17"/>
      <c r="E2370" s="17"/>
      <c r="F2370" s="17"/>
      <c r="G2370" s="4">
        <f t="shared" si="74"/>
        <v>0</v>
      </c>
      <c r="H2370" s="17"/>
      <c r="I2370" s="4">
        <f t="shared" si="75"/>
        <v>349526.07999999996</v>
      </c>
      <c r="J2370" s="32" t="str">
        <f t="shared" si="76"/>
        <v/>
      </c>
      <c r="K2370" s="79"/>
      <c r="L2370" s="79"/>
      <c r="M2370" s="2"/>
      <c r="N2370" s="5"/>
      <c r="O2370" s="3"/>
      <c r="P2370" s="6"/>
      <c r="Q2370" s="6"/>
    </row>
    <row r="2371" spans="1:17" ht="15" customHeight="1" x14ac:dyDescent="0.25">
      <c r="A2371" s="1"/>
      <c r="B2371" s="17"/>
      <c r="C2371" s="17"/>
      <c r="D2371" s="17"/>
      <c r="E2371" s="17"/>
      <c r="F2371" s="17"/>
      <c r="G2371" s="4">
        <f t="shared" ref="G2371:G2434" si="77">SUM($B2371:$F2371)</f>
        <v>0</v>
      </c>
      <c r="H2371" s="17"/>
      <c r="I2371" s="4">
        <f t="shared" si="75"/>
        <v>349526.07999999996</v>
      </c>
      <c r="J2371" s="32" t="str">
        <f t="shared" si="76"/>
        <v/>
      </c>
      <c r="K2371" s="79"/>
      <c r="L2371" s="79"/>
      <c r="M2371" s="2"/>
      <c r="N2371" s="5"/>
      <c r="O2371" s="3"/>
      <c r="P2371" s="6"/>
      <c r="Q2371" s="6"/>
    </row>
    <row r="2372" spans="1:17" ht="15" customHeight="1" x14ac:dyDescent="0.25">
      <c r="A2372" s="1"/>
      <c r="B2372" s="17"/>
      <c r="C2372" s="17"/>
      <c r="D2372" s="17"/>
      <c r="E2372" s="17"/>
      <c r="F2372" s="17"/>
      <c r="G2372" s="4">
        <f t="shared" si="77"/>
        <v>0</v>
      </c>
      <c r="H2372" s="17"/>
      <c r="I2372" s="4">
        <f t="shared" si="75"/>
        <v>349526.07999999996</v>
      </c>
      <c r="J2372" s="32" t="str">
        <f t="shared" si="76"/>
        <v/>
      </c>
      <c r="K2372" s="79"/>
      <c r="L2372" s="79"/>
      <c r="M2372" s="2"/>
      <c r="N2372" s="5"/>
      <c r="O2372" s="3"/>
      <c r="P2372" s="6"/>
      <c r="Q2372" s="6"/>
    </row>
    <row r="2373" spans="1:17" ht="15" customHeight="1" x14ac:dyDescent="0.25">
      <c r="A2373" s="1"/>
      <c r="B2373" s="17"/>
      <c r="C2373" s="17"/>
      <c r="D2373" s="17"/>
      <c r="E2373" s="17"/>
      <c r="F2373" s="17"/>
      <c r="G2373" s="4">
        <f t="shared" si="77"/>
        <v>0</v>
      </c>
      <c r="H2373" s="17"/>
      <c r="I2373" s="4">
        <f t="shared" si="75"/>
        <v>349526.07999999996</v>
      </c>
      <c r="J2373" s="32" t="str">
        <f t="shared" si="76"/>
        <v/>
      </c>
      <c r="K2373" s="79"/>
      <c r="L2373" s="79"/>
      <c r="M2373" s="2"/>
      <c r="N2373" s="5"/>
      <c r="O2373" s="3"/>
      <c r="P2373" s="6"/>
      <c r="Q2373" s="6"/>
    </row>
    <row r="2374" spans="1:17" ht="15" customHeight="1" x14ac:dyDescent="0.25">
      <c r="A2374" s="1"/>
      <c r="B2374" s="17"/>
      <c r="C2374" s="17"/>
      <c r="D2374" s="17"/>
      <c r="E2374" s="17"/>
      <c r="F2374" s="17"/>
      <c r="G2374" s="4">
        <f t="shared" si="77"/>
        <v>0</v>
      </c>
      <c r="H2374" s="17"/>
      <c r="I2374" s="4">
        <f t="shared" si="75"/>
        <v>349526.07999999996</v>
      </c>
      <c r="J2374" s="32" t="str">
        <f t="shared" si="76"/>
        <v/>
      </c>
      <c r="K2374" s="79"/>
      <c r="L2374" s="79"/>
      <c r="M2374" s="2"/>
      <c r="N2374" s="5"/>
      <c r="O2374" s="3"/>
      <c r="P2374" s="6"/>
      <c r="Q2374" s="6"/>
    </row>
    <row r="2375" spans="1:17" ht="15" customHeight="1" x14ac:dyDescent="0.25">
      <c r="A2375" s="1"/>
      <c r="B2375" s="17"/>
      <c r="C2375" s="17"/>
      <c r="D2375" s="17"/>
      <c r="E2375" s="17"/>
      <c r="F2375" s="17"/>
      <c r="G2375" s="4">
        <f t="shared" si="77"/>
        <v>0</v>
      </c>
      <c r="H2375" s="17"/>
      <c r="I2375" s="4">
        <f t="shared" si="75"/>
        <v>349526.07999999996</v>
      </c>
      <c r="J2375" s="32" t="str">
        <f t="shared" si="76"/>
        <v/>
      </c>
      <c r="K2375" s="79"/>
      <c r="L2375" s="79"/>
      <c r="M2375" s="2"/>
      <c r="N2375" s="5"/>
      <c r="O2375" s="3"/>
      <c r="P2375" s="6"/>
      <c r="Q2375" s="6"/>
    </row>
    <row r="2376" spans="1:17" ht="15" customHeight="1" x14ac:dyDescent="0.25">
      <c r="A2376" s="1"/>
      <c r="B2376" s="17"/>
      <c r="C2376" s="17"/>
      <c r="D2376" s="17"/>
      <c r="E2376" s="17"/>
      <c r="F2376" s="17"/>
      <c r="G2376" s="4">
        <f t="shared" si="77"/>
        <v>0</v>
      </c>
      <c r="H2376" s="17"/>
      <c r="I2376" s="4">
        <f t="shared" si="75"/>
        <v>349526.07999999996</v>
      </c>
      <c r="J2376" s="32" t="str">
        <f t="shared" si="76"/>
        <v/>
      </c>
      <c r="K2376" s="79"/>
      <c r="L2376" s="79"/>
      <c r="M2376" s="2"/>
      <c r="N2376" s="5"/>
      <c r="O2376" s="3"/>
      <c r="P2376" s="6"/>
      <c r="Q2376" s="6"/>
    </row>
    <row r="2377" spans="1:17" ht="15" customHeight="1" x14ac:dyDescent="0.25">
      <c r="A2377" s="1"/>
      <c r="B2377" s="17"/>
      <c r="C2377" s="17"/>
      <c r="D2377" s="17"/>
      <c r="E2377" s="17"/>
      <c r="F2377" s="17"/>
      <c r="G2377" s="4">
        <f t="shared" si="77"/>
        <v>0</v>
      </c>
      <c r="H2377" s="17"/>
      <c r="I2377" s="4">
        <f t="shared" si="75"/>
        <v>349526.07999999996</v>
      </c>
      <c r="J2377" s="32" t="str">
        <f t="shared" si="76"/>
        <v/>
      </c>
      <c r="K2377" s="79"/>
      <c r="L2377" s="79"/>
      <c r="M2377" s="2"/>
      <c r="N2377" s="5"/>
      <c r="O2377" s="3"/>
      <c r="P2377" s="6"/>
      <c r="Q2377" s="6"/>
    </row>
    <row r="2378" spans="1:17" ht="15" customHeight="1" x14ac:dyDescent="0.25">
      <c r="A2378" s="1"/>
      <c r="B2378" s="17"/>
      <c r="C2378" s="17"/>
      <c r="D2378" s="17"/>
      <c r="E2378" s="17"/>
      <c r="F2378" s="17"/>
      <c r="G2378" s="4">
        <f t="shared" si="77"/>
        <v>0</v>
      </c>
      <c r="H2378" s="17"/>
      <c r="I2378" s="4">
        <f t="shared" si="75"/>
        <v>349526.07999999996</v>
      </c>
      <c r="J2378" s="32" t="str">
        <f t="shared" si="76"/>
        <v/>
      </c>
      <c r="K2378" s="79"/>
      <c r="L2378" s="79"/>
      <c r="M2378" s="2"/>
      <c r="N2378" s="5"/>
      <c r="O2378" s="3"/>
      <c r="P2378" s="6"/>
      <c r="Q2378" s="6"/>
    </row>
    <row r="2379" spans="1:17" ht="15" customHeight="1" x14ac:dyDescent="0.25">
      <c r="A2379" s="1"/>
      <c r="B2379" s="17"/>
      <c r="C2379" s="17"/>
      <c r="D2379" s="17"/>
      <c r="E2379" s="17"/>
      <c r="F2379" s="17"/>
      <c r="G2379" s="4">
        <f t="shared" si="77"/>
        <v>0</v>
      </c>
      <c r="H2379" s="17"/>
      <c r="I2379" s="4">
        <f t="shared" si="75"/>
        <v>349526.07999999996</v>
      </c>
      <c r="J2379" s="32" t="str">
        <f t="shared" si="76"/>
        <v/>
      </c>
      <c r="K2379" s="79"/>
      <c r="L2379" s="79"/>
      <c r="M2379" s="2"/>
      <c r="N2379" s="5"/>
      <c r="O2379" s="3"/>
      <c r="P2379" s="6"/>
      <c r="Q2379" s="6"/>
    </row>
    <row r="2380" spans="1:17" ht="15" customHeight="1" x14ac:dyDescent="0.25">
      <c r="A2380" s="1"/>
      <c r="B2380" s="17"/>
      <c r="C2380" s="17"/>
      <c r="D2380" s="17"/>
      <c r="E2380" s="17"/>
      <c r="F2380" s="17"/>
      <c r="G2380" s="4">
        <f t="shared" si="77"/>
        <v>0</v>
      </c>
      <c r="H2380" s="17"/>
      <c r="I2380" s="4">
        <f t="shared" si="75"/>
        <v>349526.07999999996</v>
      </c>
      <c r="J2380" s="32" t="str">
        <f t="shared" si="76"/>
        <v/>
      </c>
      <c r="K2380" s="79"/>
      <c r="L2380" s="79"/>
      <c r="M2380" s="2"/>
      <c r="N2380" s="5"/>
      <c r="O2380" s="3"/>
      <c r="P2380" s="6"/>
      <c r="Q2380" s="6"/>
    </row>
    <row r="2381" spans="1:17" ht="15" customHeight="1" x14ac:dyDescent="0.25">
      <c r="A2381" s="1"/>
      <c r="B2381" s="17"/>
      <c r="C2381" s="17"/>
      <c r="D2381" s="17"/>
      <c r="E2381" s="17"/>
      <c r="F2381" s="17"/>
      <c r="G2381" s="4">
        <f t="shared" si="77"/>
        <v>0</v>
      </c>
      <c r="H2381" s="17"/>
      <c r="I2381" s="4">
        <f t="shared" si="75"/>
        <v>349526.07999999996</v>
      </c>
      <c r="J2381" s="32" t="str">
        <f t="shared" si="76"/>
        <v/>
      </c>
      <c r="K2381" s="79"/>
      <c r="L2381" s="79"/>
      <c r="M2381" s="2"/>
      <c r="N2381" s="5"/>
      <c r="O2381" s="3"/>
      <c r="P2381" s="6"/>
      <c r="Q2381" s="6"/>
    </row>
    <row r="2382" spans="1:17" ht="15" customHeight="1" x14ac:dyDescent="0.25">
      <c r="A2382" s="1"/>
      <c r="B2382" s="17"/>
      <c r="C2382" s="17"/>
      <c r="D2382" s="17"/>
      <c r="E2382" s="17"/>
      <c r="F2382" s="17"/>
      <c r="G2382" s="4">
        <f t="shared" si="77"/>
        <v>0</v>
      </c>
      <c r="H2382" s="17"/>
      <c r="I2382" s="4">
        <f t="shared" si="75"/>
        <v>349526.07999999996</v>
      </c>
      <c r="J2382" s="32" t="str">
        <f t="shared" si="76"/>
        <v/>
      </c>
      <c r="K2382" s="79"/>
      <c r="L2382" s="79"/>
      <c r="M2382" s="2"/>
      <c r="N2382" s="5"/>
      <c r="O2382" s="3"/>
      <c r="P2382" s="6"/>
      <c r="Q2382" s="6"/>
    </row>
    <row r="2383" spans="1:17" ht="15" customHeight="1" x14ac:dyDescent="0.25">
      <c r="A2383" s="1"/>
      <c r="B2383" s="17"/>
      <c r="C2383" s="17"/>
      <c r="D2383" s="17"/>
      <c r="E2383" s="17"/>
      <c r="F2383" s="17"/>
      <c r="G2383" s="4">
        <f t="shared" si="77"/>
        <v>0</v>
      </c>
      <c r="H2383" s="17"/>
      <c r="I2383" s="4">
        <f t="shared" si="75"/>
        <v>349526.07999999996</v>
      </c>
      <c r="J2383" s="32" t="str">
        <f t="shared" si="76"/>
        <v/>
      </c>
      <c r="K2383" s="79"/>
      <c r="L2383" s="79"/>
      <c r="M2383" s="2"/>
      <c r="N2383" s="5"/>
      <c r="O2383" s="3"/>
      <c r="P2383" s="6"/>
      <c r="Q2383" s="6"/>
    </row>
    <row r="2384" spans="1:17" ht="15" customHeight="1" x14ac:dyDescent="0.25">
      <c r="A2384" s="1"/>
      <c r="B2384" s="17"/>
      <c r="C2384" s="17"/>
      <c r="D2384" s="17"/>
      <c r="E2384" s="17"/>
      <c r="F2384" s="17"/>
      <c r="G2384" s="4">
        <f t="shared" si="77"/>
        <v>0</v>
      </c>
      <c r="H2384" s="17"/>
      <c r="I2384" s="4">
        <f t="shared" si="75"/>
        <v>349526.07999999996</v>
      </c>
      <c r="J2384" s="32" t="str">
        <f t="shared" si="76"/>
        <v/>
      </c>
      <c r="K2384" s="79"/>
      <c r="L2384" s="79"/>
      <c r="M2384" s="2"/>
      <c r="N2384" s="5"/>
      <c r="O2384" s="3"/>
      <c r="P2384" s="6"/>
      <c r="Q2384" s="6"/>
    </row>
    <row r="2385" spans="1:17" ht="15" customHeight="1" x14ac:dyDescent="0.25">
      <c r="A2385" s="1"/>
      <c r="B2385" s="17"/>
      <c r="C2385" s="17"/>
      <c r="D2385" s="17"/>
      <c r="E2385" s="17"/>
      <c r="F2385" s="17"/>
      <c r="G2385" s="4">
        <f t="shared" si="77"/>
        <v>0</v>
      </c>
      <c r="H2385" s="17"/>
      <c r="I2385" s="4">
        <f t="shared" si="75"/>
        <v>349526.07999999996</v>
      </c>
      <c r="J2385" s="32" t="str">
        <f t="shared" si="76"/>
        <v/>
      </c>
      <c r="K2385" s="79"/>
      <c r="L2385" s="79"/>
      <c r="M2385" s="2"/>
      <c r="N2385" s="5"/>
      <c r="O2385" s="3"/>
      <c r="P2385" s="6"/>
      <c r="Q2385" s="6"/>
    </row>
    <row r="2386" spans="1:17" ht="15" customHeight="1" x14ac:dyDescent="0.25">
      <c r="A2386" s="1"/>
      <c r="B2386" s="17"/>
      <c r="C2386" s="17"/>
      <c r="D2386" s="17"/>
      <c r="E2386" s="17"/>
      <c r="F2386" s="17"/>
      <c r="G2386" s="4">
        <f t="shared" si="77"/>
        <v>0</v>
      </c>
      <c r="H2386" s="17"/>
      <c r="I2386" s="4">
        <f t="shared" si="75"/>
        <v>349526.07999999996</v>
      </c>
      <c r="J2386" s="32" t="str">
        <f t="shared" si="76"/>
        <v/>
      </c>
      <c r="K2386" s="79"/>
      <c r="L2386" s="79"/>
      <c r="M2386" s="2"/>
      <c r="N2386" s="5"/>
      <c r="O2386" s="3"/>
      <c r="P2386" s="6"/>
      <c r="Q2386" s="6"/>
    </row>
    <row r="2387" spans="1:17" ht="15" customHeight="1" x14ac:dyDescent="0.25">
      <c r="A2387" s="1"/>
      <c r="B2387" s="17"/>
      <c r="C2387" s="17"/>
      <c r="D2387" s="17"/>
      <c r="E2387" s="17"/>
      <c r="F2387" s="17"/>
      <c r="G2387" s="4">
        <f t="shared" si="77"/>
        <v>0</v>
      </c>
      <c r="H2387" s="17"/>
      <c r="I2387" s="4">
        <f t="shared" si="75"/>
        <v>349526.07999999996</v>
      </c>
      <c r="J2387" s="32" t="str">
        <f t="shared" si="76"/>
        <v/>
      </c>
      <c r="K2387" s="79"/>
      <c r="L2387" s="79"/>
      <c r="M2387" s="2"/>
      <c r="N2387" s="5"/>
      <c r="O2387" s="3"/>
      <c r="P2387" s="6"/>
      <c r="Q2387" s="6"/>
    </row>
    <row r="2388" spans="1:17" ht="15" customHeight="1" x14ac:dyDescent="0.25">
      <c r="A2388" s="1"/>
      <c r="B2388" s="17"/>
      <c r="C2388" s="17"/>
      <c r="D2388" s="17"/>
      <c r="E2388" s="17"/>
      <c r="F2388" s="17"/>
      <c r="G2388" s="4">
        <f t="shared" si="77"/>
        <v>0</v>
      </c>
      <c r="H2388" s="17"/>
      <c r="I2388" s="4">
        <f t="shared" si="75"/>
        <v>349526.07999999996</v>
      </c>
      <c r="J2388" s="32" t="str">
        <f t="shared" si="76"/>
        <v/>
      </c>
      <c r="K2388" s="79"/>
      <c r="L2388" s="79"/>
      <c r="M2388" s="2"/>
      <c r="N2388" s="5"/>
      <c r="O2388" s="3"/>
      <c r="P2388" s="6"/>
      <c r="Q2388" s="6"/>
    </row>
    <row r="2389" spans="1:17" ht="15" customHeight="1" x14ac:dyDescent="0.25">
      <c r="A2389" s="1"/>
      <c r="B2389" s="17"/>
      <c r="C2389" s="17"/>
      <c r="D2389" s="17"/>
      <c r="E2389" s="17"/>
      <c r="F2389" s="17"/>
      <c r="G2389" s="4">
        <f t="shared" si="77"/>
        <v>0</v>
      </c>
      <c r="H2389" s="17"/>
      <c r="I2389" s="4">
        <f t="shared" si="75"/>
        <v>349526.07999999996</v>
      </c>
      <c r="J2389" s="32" t="str">
        <f t="shared" si="76"/>
        <v/>
      </c>
      <c r="K2389" s="79"/>
      <c r="L2389" s="79"/>
      <c r="M2389" s="2"/>
      <c r="N2389" s="5"/>
      <c r="O2389" s="3"/>
      <c r="P2389" s="6"/>
      <c r="Q2389" s="6"/>
    </row>
    <row r="2390" spans="1:17" ht="15" customHeight="1" x14ac:dyDescent="0.25">
      <c r="A2390" s="1"/>
      <c r="B2390" s="17"/>
      <c r="C2390" s="17"/>
      <c r="D2390" s="17"/>
      <c r="E2390" s="17"/>
      <c r="F2390" s="17"/>
      <c r="G2390" s="4">
        <f t="shared" si="77"/>
        <v>0</v>
      </c>
      <c r="H2390" s="17"/>
      <c r="I2390" s="4">
        <f t="shared" si="75"/>
        <v>349526.07999999996</v>
      </c>
      <c r="J2390" s="32" t="str">
        <f t="shared" si="76"/>
        <v/>
      </c>
      <c r="K2390" s="79"/>
      <c r="L2390" s="79"/>
      <c r="M2390" s="2"/>
      <c r="N2390" s="5"/>
      <c r="O2390" s="3"/>
      <c r="P2390" s="6"/>
      <c r="Q2390" s="6"/>
    </row>
    <row r="2391" spans="1:17" ht="15" customHeight="1" x14ac:dyDescent="0.25">
      <c r="A2391" s="1"/>
      <c r="B2391" s="17"/>
      <c r="C2391" s="17"/>
      <c r="D2391" s="17"/>
      <c r="E2391" s="17"/>
      <c r="F2391" s="17"/>
      <c r="G2391" s="4">
        <f t="shared" si="77"/>
        <v>0</v>
      </c>
      <c r="H2391" s="17"/>
      <c r="I2391" s="4">
        <f t="shared" si="75"/>
        <v>349526.07999999996</v>
      </c>
      <c r="J2391" s="32" t="str">
        <f t="shared" si="76"/>
        <v/>
      </c>
      <c r="K2391" s="79"/>
      <c r="L2391" s="79"/>
      <c r="M2391" s="2"/>
      <c r="N2391" s="5"/>
      <c r="O2391" s="3"/>
      <c r="P2391" s="6"/>
      <c r="Q2391" s="6"/>
    </row>
    <row r="2392" spans="1:17" ht="15" customHeight="1" x14ac:dyDescent="0.25">
      <c r="A2392" s="1"/>
      <c r="B2392" s="17"/>
      <c r="C2392" s="17"/>
      <c r="D2392" s="17"/>
      <c r="E2392" s="17"/>
      <c r="F2392" s="17"/>
      <c r="G2392" s="4">
        <f t="shared" si="77"/>
        <v>0</v>
      </c>
      <c r="H2392" s="17"/>
      <c r="I2392" s="4">
        <f t="shared" si="75"/>
        <v>349526.07999999996</v>
      </c>
      <c r="J2392" s="32" t="str">
        <f t="shared" si="76"/>
        <v/>
      </c>
      <c r="K2392" s="79"/>
      <c r="L2392" s="79"/>
      <c r="M2392" s="2"/>
      <c r="N2392" s="5"/>
      <c r="O2392" s="3"/>
      <c r="P2392" s="6"/>
      <c r="Q2392" s="6"/>
    </row>
    <row r="2393" spans="1:17" ht="15" customHeight="1" x14ac:dyDescent="0.25">
      <c r="A2393" s="1"/>
      <c r="B2393" s="17"/>
      <c r="C2393" s="17"/>
      <c r="D2393" s="17"/>
      <c r="E2393" s="17"/>
      <c r="F2393" s="17"/>
      <c r="G2393" s="4">
        <f t="shared" si="77"/>
        <v>0</v>
      </c>
      <c r="H2393" s="17"/>
      <c r="I2393" s="4">
        <f t="shared" si="75"/>
        <v>349526.07999999996</v>
      </c>
      <c r="J2393" s="32" t="str">
        <f t="shared" si="76"/>
        <v/>
      </c>
      <c r="K2393" s="79"/>
      <c r="L2393" s="79"/>
      <c r="M2393" s="2"/>
      <c r="N2393" s="5"/>
      <c r="O2393" s="3"/>
      <c r="P2393" s="6"/>
      <c r="Q2393" s="6"/>
    </row>
    <row r="2394" spans="1:17" ht="15" customHeight="1" x14ac:dyDescent="0.25">
      <c r="A2394" s="1"/>
      <c r="B2394" s="17"/>
      <c r="C2394" s="17"/>
      <c r="D2394" s="17"/>
      <c r="E2394" s="17"/>
      <c r="F2394" s="17"/>
      <c r="G2394" s="4">
        <f t="shared" si="77"/>
        <v>0</v>
      </c>
      <c r="H2394" s="17"/>
      <c r="I2394" s="4">
        <f t="shared" si="75"/>
        <v>349526.07999999996</v>
      </c>
      <c r="J2394" s="32" t="str">
        <f t="shared" si="76"/>
        <v/>
      </c>
      <c r="K2394" s="79"/>
      <c r="L2394" s="79"/>
      <c r="M2394" s="2"/>
      <c r="N2394" s="5"/>
      <c r="O2394" s="3"/>
      <c r="P2394" s="6"/>
      <c r="Q2394" s="6"/>
    </row>
    <row r="2395" spans="1:17" ht="15" customHeight="1" x14ac:dyDescent="0.25">
      <c r="A2395" s="1"/>
      <c r="B2395" s="17"/>
      <c r="C2395" s="17"/>
      <c r="D2395" s="17"/>
      <c r="E2395" s="17"/>
      <c r="F2395" s="17"/>
      <c r="G2395" s="4">
        <f t="shared" si="77"/>
        <v>0</v>
      </c>
      <c r="H2395" s="17"/>
      <c r="I2395" s="4">
        <f t="shared" si="75"/>
        <v>349526.07999999996</v>
      </c>
      <c r="J2395" s="32" t="str">
        <f t="shared" si="76"/>
        <v/>
      </c>
      <c r="K2395" s="79"/>
      <c r="L2395" s="79"/>
      <c r="M2395" s="2"/>
      <c r="N2395" s="5"/>
      <c r="O2395" s="3"/>
      <c r="P2395" s="6"/>
      <c r="Q2395" s="6"/>
    </row>
    <row r="2396" spans="1:17" ht="15" customHeight="1" x14ac:dyDescent="0.25">
      <c r="A2396" s="1"/>
      <c r="B2396" s="17"/>
      <c r="C2396" s="17"/>
      <c r="D2396" s="17"/>
      <c r="E2396" s="17"/>
      <c r="F2396" s="17"/>
      <c r="G2396" s="4">
        <f t="shared" si="77"/>
        <v>0</v>
      </c>
      <c r="H2396" s="17"/>
      <c r="I2396" s="4">
        <f t="shared" si="75"/>
        <v>349526.07999999996</v>
      </c>
      <c r="J2396" s="32" t="str">
        <f t="shared" si="76"/>
        <v/>
      </c>
      <c r="K2396" s="79"/>
      <c r="L2396" s="79"/>
      <c r="M2396" s="2"/>
      <c r="N2396" s="5"/>
      <c r="O2396" s="3"/>
      <c r="P2396" s="6"/>
      <c r="Q2396" s="6"/>
    </row>
    <row r="2397" spans="1:17" ht="15" customHeight="1" x14ac:dyDescent="0.25">
      <c r="A2397" s="1"/>
      <c r="B2397" s="17"/>
      <c r="C2397" s="17"/>
      <c r="D2397" s="17"/>
      <c r="E2397" s="17"/>
      <c r="F2397" s="17"/>
      <c r="G2397" s="4">
        <f t="shared" si="77"/>
        <v>0</v>
      </c>
      <c r="H2397" s="17"/>
      <c r="I2397" s="4">
        <f t="shared" si="75"/>
        <v>349526.07999999996</v>
      </c>
      <c r="J2397" s="32" t="str">
        <f t="shared" si="76"/>
        <v/>
      </c>
      <c r="K2397" s="79"/>
      <c r="L2397" s="79"/>
      <c r="M2397" s="2"/>
      <c r="N2397" s="5"/>
      <c r="O2397" s="3"/>
      <c r="P2397" s="6"/>
      <c r="Q2397" s="6"/>
    </row>
    <row r="2398" spans="1:17" ht="15" customHeight="1" x14ac:dyDescent="0.25">
      <c r="A2398" s="1"/>
      <c r="B2398" s="17"/>
      <c r="C2398" s="17"/>
      <c r="D2398" s="17"/>
      <c r="E2398" s="17"/>
      <c r="F2398" s="17"/>
      <c r="G2398" s="4">
        <f t="shared" si="77"/>
        <v>0</v>
      </c>
      <c r="H2398" s="17"/>
      <c r="I2398" s="4">
        <f t="shared" si="75"/>
        <v>349526.07999999996</v>
      </c>
      <c r="J2398" s="32" t="str">
        <f t="shared" si="76"/>
        <v/>
      </c>
      <c r="K2398" s="79"/>
      <c r="L2398" s="79"/>
      <c r="M2398" s="2"/>
      <c r="N2398" s="5"/>
      <c r="O2398" s="3"/>
      <c r="P2398" s="6"/>
      <c r="Q2398" s="6"/>
    </row>
    <row r="2399" spans="1:17" ht="15" customHeight="1" x14ac:dyDescent="0.25">
      <c r="A2399" s="1"/>
      <c r="B2399" s="17"/>
      <c r="C2399" s="17"/>
      <c r="D2399" s="17"/>
      <c r="E2399" s="17"/>
      <c r="F2399" s="17"/>
      <c r="G2399" s="4">
        <f t="shared" si="77"/>
        <v>0</v>
      </c>
      <c r="H2399" s="17"/>
      <c r="I2399" s="4">
        <f t="shared" si="75"/>
        <v>349526.07999999996</v>
      </c>
      <c r="J2399" s="32" t="str">
        <f t="shared" si="76"/>
        <v/>
      </c>
      <c r="K2399" s="79"/>
      <c r="L2399" s="79"/>
      <c r="M2399" s="2"/>
      <c r="N2399" s="5"/>
      <c r="O2399" s="3"/>
      <c r="P2399" s="6"/>
      <c r="Q2399" s="6"/>
    </row>
    <row r="2400" spans="1:17" ht="15" customHeight="1" x14ac:dyDescent="0.25">
      <c r="A2400" s="1"/>
      <c r="B2400" s="17"/>
      <c r="C2400" s="17"/>
      <c r="D2400" s="17"/>
      <c r="E2400" s="17"/>
      <c r="F2400" s="17"/>
      <c r="G2400" s="4">
        <f t="shared" si="77"/>
        <v>0</v>
      </c>
      <c r="H2400" s="17"/>
      <c r="I2400" s="4">
        <f t="shared" si="75"/>
        <v>349526.07999999996</v>
      </c>
      <c r="J2400" s="32" t="str">
        <f t="shared" si="76"/>
        <v/>
      </c>
      <c r="K2400" s="79"/>
      <c r="L2400" s="79"/>
      <c r="M2400" s="2"/>
      <c r="N2400" s="5"/>
      <c r="O2400" s="3"/>
      <c r="P2400" s="6"/>
      <c r="Q2400" s="6"/>
    </row>
    <row r="2401" spans="1:17" ht="15" customHeight="1" x14ac:dyDescent="0.25">
      <c r="A2401" s="1"/>
      <c r="B2401" s="17"/>
      <c r="C2401" s="17"/>
      <c r="D2401" s="17"/>
      <c r="E2401" s="17"/>
      <c r="F2401" s="17"/>
      <c r="G2401" s="4">
        <f t="shared" si="77"/>
        <v>0</v>
      </c>
      <c r="H2401" s="17"/>
      <c r="I2401" s="4">
        <f t="shared" si="75"/>
        <v>349526.07999999996</v>
      </c>
      <c r="J2401" s="32" t="str">
        <f t="shared" si="76"/>
        <v/>
      </c>
      <c r="K2401" s="79"/>
      <c r="L2401" s="79"/>
      <c r="M2401" s="2"/>
      <c r="N2401" s="5"/>
      <c r="O2401" s="3"/>
      <c r="P2401" s="6"/>
      <c r="Q2401" s="6"/>
    </row>
    <row r="2402" spans="1:17" ht="15" customHeight="1" x14ac:dyDescent="0.25">
      <c r="A2402" s="1"/>
      <c r="B2402" s="17"/>
      <c r="C2402" s="17"/>
      <c r="D2402" s="17"/>
      <c r="E2402" s="17"/>
      <c r="F2402" s="17"/>
      <c r="G2402" s="4">
        <f t="shared" si="77"/>
        <v>0</v>
      </c>
      <c r="H2402" s="17"/>
      <c r="I2402" s="4">
        <f t="shared" si="75"/>
        <v>349526.07999999996</v>
      </c>
      <c r="J2402" s="32" t="str">
        <f t="shared" si="76"/>
        <v/>
      </c>
      <c r="K2402" s="79"/>
      <c r="L2402" s="79"/>
      <c r="M2402" s="2"/>
      <c r="N2402" s="5"/>
      <c r="O2402" s="3"/>
      <c r="P2402" s="6"/>
      <c r="Q2402" s="6"/>
    </row>
    <row r="2403" spans="1:17" ht="15" customHeight="1" x14ac:dyDescent="0.25">
      <c r="A2403" s="1"/>
      <c r="B2403" s="17"/>
      <c r="C2403" s="17"/>
      <c r="D2403" s="17"/>
      <c r="E2403" s="17"/>
      <c r="F2403" s="17"/>
      <c r="G2403" s="4">
        <f t="shared" si="77"/>
        <v>0</v>
      </c>
      <c r="H2403" s="17"/>
      <c r="I2403" s="4">
        <f t="shared" si="75"/>
        <v>349526.07999999996</v>
      </c>
      <c r="J2403" s="32" t="str">
        <f t="shared" si="76"/>
        <v/>
      </c>
      <c r="K2403" s="79"/>
      <c r="L2403" s="79"/>
      <c r="M2403" s="2"/>
      <c r="N2403" s="5"/>
      <c r="O2403" s="3"/>
      <c r="P2403" s="6"/>
      <c r="Q2403" s="6"/>
    </row>
    <row r="2404" spans="1:17" ht="15" customHeight="1" x14ac:dyDescent="0.25">
      <c r="A2404" s="1"/>
      <c r="B2404" s="17"/>
      <c r="C2404" s="17"/>
      <c r="D2404" s="17"/>
      <c r="E2404" s="17"/>
      <c r="F2404" s="17"/>
      <c r="G2404" s="4">
        <f t="shared" si="77"/>
        <v>0</v>
      </c>
      <c r="H2404" s="17"/>
      <c r="I2404" s="4">
        <f t="shared" si="75"/>
        <v>349526.07999999996</v>
      </c>
      <c r="J2404" s="32" t="str">
        <f t="shared" si="76"/>
        <v/>
      </c>
      <c r="K2404" s="79"/>
      <c r="L2404" s="79"/>
      <c r="M2404" s="2"/>
      <c r="N2404" s="5"/>
      <c r="O2404" s="3"/>
      <c r="P2404" s="6"/>
      <c r="Q2404" s="6"/>
    </row>
    <row r="2405" spans="1:17" ht="15" customHeight="1" x14ac:dyDescent="0.25">
      <c r="A2405" s="1"/>
      <c r="B2405" s="17"/>
      <c r="C2405" s="17"/>
      <c r="D2405" s="17"/>
      <c r="E2405" s="17"/>
      <c r="F2405" s="17"/>
      <c r="G2405" s="4">
        <f t="shared" si="77"/>
        <v>0</v>
      </c>
      <c r="H2405" s="17"/>
      <c r="I2405" s="4">
        <f t="shared" si="75"/>
        <v>349526.07999999996</v>
      </c>
      <c r="J2405" s="32" t="str">
        <f t="shared" si="76"/>
        <v/>
      </c>
      <c r="K2405" s="79"/>
      <c r="L2405" s="79"/>
      <c r="M2405" s="2"/>
      <c r="N2405" s="5"/>
      <c r="O2405" s="3"/>
      <c r="P2405" s="6"/>
      <c r="Q2405" s="6"/>
    </row>
    <row r="2406" spans="1:17" ht="15" customHeight="1" x14ac:dyDescent="0.25">
      <c r="A2406" s="1"/>
      <c r="B2406" s="17"/>
      <c r="C2406" s="17"/>
      <c r="D2406" s="17"/>
      <c r="E2406" s="17"/>
      <c r="F2406" s="17"/>
      <c r="G2406" s="4">
        <f t="shared" si="77"/>
        <v>0</v>
      </c>
      <c r="H2406" s="17"/>
      <c r="I2406" s="4">
        <f t="shared" si="75"/>
        <v>349526.07999999996</v>
      </c>
      <c r="J2406" s="32" t="str">
        <f t="shared" si="76"/>
        <v/>
      </c>
      <c r="K2406" s="79"/>
      <c r="L2406" s="79"/>
      <c r="M2406" s="2"/>
      <c r="N2406" s="5"/>
      <c r="O2406" s="3"/>
      <c r="P2406" s="6"/>
      <c r="Q2406" s="6"/>
    </row>
    <row r="2407" spans="1:17" ht="15" customHeight="1" x14ac:dyDescent="0.25">
      <c r="A2407" s="1"/>
      <c r="B2407" s="17"/>
      <c r="C2407" s="17"/>
      <c r="D2407" s="17"/>
      <c r="E2407" s="17"/>
      <c r="F2407" s="17"/>
      <c r="G2407" s="4">
        <f t="shared" si="77"/>
        <v>0</v>
      </c>
      <c r="H2407" s="17"/>
      <c r="I2407" s="4">
        <f t="shared" si="75"/>
        <v>349526.07999999996</v>
      </c>
      <c r="J2407" s="32" t="str">
        <f t="shared" si="76"/>
        <v/>
      </c>
      <c r="K2407" s="79"/>
      <c r="L2407" s="79"/>
      <c r="M2407" s="2"/>
      <c r="N2407" s="5"/>
      <c r="O2407" s="3"/>
      <c r="P2407" s="6"/>
      <c r="Q2407" s="6"/>
    </row>
    <row r="2408" spans="1:17" ht="15" customHeight="1" x14ac:dyDescent="0.25">
      <c r="A2408" s="1"/>
      <c r="B2408" s="17"/>
      <c r="C2408" s="17"/>
      <c r="D2408" s="17"/>
      <c r="E2408" s="17"/>
      <c r="F2408" s="17"/>
      <c r="G2408" s="4">
        <f t="shared" si="77"/>
        <v>0</v>
      </c>
      <c r="H2408" s="17"/>
      <c r="I2408" s="4">
        <f t="shared" si="75"/>
        <v>349526.07999999996</v>
      </c>
      <c r="J2408" s="32" t="str">
        <f t="shared" si="76"/>
        <v/>
      </c>
      <c r="K2408" s="79"/>
      <c r="L2408" s="79"/>
      <c r="M2408" s="2"/>
      <c r="N2408" s="5"/>
      <c r="O2408" s="3"/>
      <c r="P2408" s="6"/>
      <c r="Q2408" s="6"/>
    </row>
    <row r="2409" spans="1:17" ht="15" customHeight="1" x14ac:dyDescent="0.25">
      <c r="A2409" s="1"/>
      <c r="B2409" s="17"/>
      <c r="C2409" s="17"/>
      <c r="D2409" s="17"/>
      <c r="E2409" s="17"/>
      <c r="F2409" s="17"/>
      <c r="G2409" s="4">
        <f t="shared" si="77"/>
        <v>0</v>
      </c>
      <c r="H2409" s="17"/>
      <c r="I2409" s="4">
        <f t="shared" si="75"/>
        <v>349526.07999999996</v>
      </c>
      <c r="J2409" s="32" t="str">
        <f t="shared" si="76"/>
        <v/>
      </c>
      <c r="K2409" s="79"/>
      <c r="L2409" s="79"/>
      <c r="M2409" s="2"/>
      <c r="N2409" s="5"/>
      <c r="O2409" s="3"/>
      <c r="P2409" s="6"/>
      <c r="Q2409" s="6"/>
    </row>
    <row r="2410" spans="1:17" ht="15" customHeight="1" x14ac:dyDescent="0.25">
      <c r="A2410" s="1"/>
      <c r="B2410" s="17"/>
      <c r="C2410" s="17"/>
      <c r="D2410" s="17"/>
      <c r="E2410" s="17"/>
      <c r="F2410" s="17"/>
      <c r="G2410" s="4">
        <f t="shared" si="77"/>
        <v>0</v>
      </c>
      <c r="H2410" s="17"/>
      <c r="I2410" s="4">
        <f t="shared" si="75"/>
        <v>349526.07999999996</v>
      </c>
      <c r="J2410" s="32" t="str">
        <f t="shared" si="76"/>
        <v/>
      </c>
      <c r="K2410" s="79"/>
      <c r="L2410" s="79"/>
      <c r="M2410" s="2"/>
      <c r="N2410" s="5"/>
      <c r="O2410" s="3"/>
      <c r="P2410" s="6"/>
      <c r="Q2410" s="6"/>
    </row>
    <row r="2411" spans="1:17" ht="15" customHeight="1" x14ac:dyDescent="0.25">
      <c r="A2411" s="1"/>
      <c r="B2411" s="17"/>
      <c r="C2411" s="17"/>
      <c r="D2411" s="17"/>
      <c r="E2411" s="17"/>
      <c r="F2411" s="17"/>
      <c r="G2411" s="4">
        <f t="shared" si="77"/>
        <v>0</v>
      </c>
      <c r="H2411" s="17"/>
      <c r="I2411" s="4">
        <f t="shared" si="75"/>
        <v>349526.07999999996</v>
      </c>
      <c r="J2411" s="32" t="str">
        <f t="shared" si="76"/>
        <v/>
      </c>
      <c r="K2411" s="79"/>
      <c r="L2411" s="79"/>
      <c r="M2411" s="2"/>
      <c r="N2411" s="5"/>
      <c r="O2411" s="3"/>
      <c r="P2411" s="6"/>
      <c r="Q2411" s="6"/>
    </row>
    <row r="2412" spans="1:17" ht="15" customHeight="1" x14ac:dyDescent="0.25">
      <c r="A2412" s="1"/>
      <c r="B2412" s="17"/>
      <c r="C2412" s="17"/>
      <c r="D2412" s="17"/>
      <c r="E2412" s="17"/>
      <c r="F2412" s="17"/>
      <c r="G2412" s="4">
        <f t="shared" si="77"/>
        <v>0</v>
      </c>
      <c r="H2412" s="17"/>
      <c r="I2412" s="4">
        <f t="shared" si="75"/>
        <v>349526.07999999996</v>
      </c>
      <c r="J2412" s="32" t="str">
        <f t="shared" si="76"/>
        <v/>
      </c>
      <c r="K2412" s="79"/>
      <c r="L2412" s="79"/>
      <c r="M2412" s="2"/>
      <c r="N2412" s="5"/>
      <c r="O2412" s="3"/>
      <c r="P2412" s="6"/>
      <c r="Q2412" s="6"/>
    </row>
    <row r="2413" spans="1:17" ht="15" customHeight="1" x14ac:dyDescent="0.25">
      <c r="A2413" s="1"/>
      <c r="B2413" s="17"/>
      <c r="C2413" s="17"/>
      <c r="D2413" s="17"/>
      <c r="E2413" s="17"/>
      <c r="F2413" s="17"/>
      <c r="G2413" s="4">
        <f t="shared" si="77"/>
        <v>0</v>
      </c>
      <c r="H2413" s="17"/>
      <c r="I2413" s="4">
        <f t="shared" si="75"/>
        <v>349526.07999999996</v>
      </c>
      <c r="J2413" s="32" t="str">
        <f t="shared" si="76"/>
        <v/>
      </c>
      <c r="K2413" s="79"/>
      <c r="L2413" s="79"/>
      <c r="M2413" s="2"/>
      <c r="N2413" s="5"/>
      <c r="O2413" s="3"/>
      <c r="P2413" s="6"/>
      <c r="Q2413" s="6"/>
    </row>
    <row r="2414" spans="1:17" ht="15" customHeight="1" x14ac:dyDescent="0.25">
      <c r="A2414" s="1"/>
      <c r="B2414" s="17"/>
      <c r="C2414" s="17"/>
      <c r="D2414" s="17"/>
      <c r="E2414" s="17"/>
      <c r="F2414" s="17"/>
      <c r="G2414" s="4">
        <f t="shared" si="77"/>
        <v>0</v>
      </c>
      <c r="H2414" s="17"/>
      <c r="I2414" s="4">
        <f t="shared" si="75"/>
        <v>349526.07999999996</v>
      </c>
      <c r="J2414" s="32" t="str">
        <f t="shared" si="76"/>
        <v/>
      </c>
      <c r="K2414" s="79"/>
      <c r="L2414" s="79"/>
      <c r="M2414" s="2"/>
      <c r="N2414" s="5"/>
      <c r="O2414" s="3"/>
      <c r="P2414" s="6"/>
      <c r="Q2414" s="6"/>
    </row>
    <row r="2415" spans="1:17" ht="15" customHeight="1" x14ac:dyDescent="0.25">
      <c r="A2415" s="1"/>
      <c r="B2415" s="17"/>
      <c r="C2415" s="17"/>
      <c r="D2415" s="17"/>
      <c r="E2415" s="17"/>
      <c r="F2415" s="17"/>
      <c r="G2415" s="4">
        <f t="shared" si="77"/>
        <v>0</v>
      </c>
      <c r="H2415" s="17"/>
      <c r="I2415" s="4">
        <f t="shared" si="75"/>
        <v>349526.07999999996</v>
      </c>
      <c r="J2415" s="32" t="str">
        <f t="shared" si="76"/>
        <v/>
      </c>
      <c r="K2415" s="79"/>
      <c r="L2415" s="79"/>
      <c r="M2415" s="2"/>
      <c r="N2415" s="5"/>
      <c r="O2415" s="3"/>
      <c r="P2415" s="6"/>
      <c r="Q2415" s="6"/>
    </row>
    <row r="2416" spans="1:17" ht="15" customHeight="1" x14ac:dyDescent="0.25">
      <c r="A2416" s="1"/>
      <c r="B2416" s="17"/>
      <c r="C2416" s="17"/>
      <c r="D2416" s="17"/>
      <c r="E2416" s="17"/>
      <c r="F2416" s="17"/>
      <c r="G2416" s="4">
        <f t="shared" si="77"/>
        <v>0</v>
      </c>
      <c r="H2416" s="17"/>
      <c r="I2416" s="4">
        <f t="shared" si="75"/>
        <v>349526.07999999996</v>
      </c>
      <c r="J2416" s="32" t="str">
        <f t="shared" si="76"/>
        <v/>
      </c>
      <c r="K2416" s="79"/>
      <c r="L2416" s="79"/>
      <c r="M2416" s="2"/>
      <c r="N2416" s="5"/>
      <c r="O2416" s="3"/>
      <c r="P2416" s="6"/>
      <c r="Q2416" s="6"/>
    </row>
    <row r="2417" spans="1:17" ht="15" customHeight="1" x14ac:dyDescent="0.25">
      <c r="A2417" s="1"/>
      <c r="B2417" s="17"/>
      <c r="C2417" s="17"/>
      <c r="D2417" s="17"/>
      <c r="E2417" s="17"/>
      <c r="F2417" s="17"/>
      <c r="G2417" s="4">
        <f t="shared" si="77"/>
        <v>0</v>
      </c>
      <c r="H2417" s="17"/>
      <c r="I2417" s="4">
        <f t="shared" si="75"/>
        <v>349526.07999999996</v>
      </c>
      <c r="J2417" s="32" t="str">
        <f t="shared" si="76"/>
        <v/>
      </c>
      <c r="K2417" s="79"/>
      <c r="L2417" s="79"/>
      <c r="M2417" s="2"/>
      <c r="N2417" s="5"/>
      <c r="O2417" s="3"/>
      <c r="P2417" s="6"/>
      <c r="Q2417" s="6"/>
    </row>
    <row r="2418" spans="1:17" ht="15" customHeight="1" x14ac:dyDescent="0.25">
      <c r="A2418" s="1"/>
      <c r="B2418" s="17"/>
      <c r="C2418" s="17"/>
      <c r="D2418" s="17"/>
      <c r="E2418" s="17"/>
      <c r="F2418" s="17"/>
      <c r="G2418" s="4">
        <f t="shared" si="77"/>
        <v>0</v>
      </c>
      <c r="H2418" s="17"/>
      <c r="I2418" s="4">
        <f t="shared" si="75"/>
        <v>349526.07999999996</v>
      </c>
      <c r="J2418" s="32" t="str">
        <f t="shared" si="76"/>
        <v/>
      </c>
      <c r="K2418" s="79"/>
      <c r="L2418" s="79"/>
      <c r="M2418" s="2"/>
      <c r="N2418" s="5"/>
      <c r="O2418" s="3"/>
      <c r="P2418" s="6"/>
      <c r="Q2418" s="6"/>
    </row>
    <row r="2419" spans="1:17" ht="15" customHeight="1" x14ac:dyDescent="0.25">
      <c r="A2419" s="1"/>
      <c r="B2419" s="17"/>
      <c r="C2419" s="17"/>
      <c r="D2419" s="17"/>
      <c r="E2419" s="17"/>
      <c r="F2419" s="17"/>
      <c r="G2419" s="4">
        <f t="shared" si="77"/>
        <v>0</v>
      </c>
      <c r="H2419" s="17"/>
      <c r="I2419" s="4">
        <f t="shared" si="75"/>
        <v>349526.07999999996</v>
      </c>
      <c r="J2419" s="32" t="str">
        <f t="shared" si="76"/>
        <v/>
      </c>
      <c r="K2419" s="79"/>
      <c r="L2419" s="79"/>
      <c r="M2419" s="2"/>
      <c r="N2419" s="5"/>
      <c r="O2419" s="3"/>
      <c r="P2419" s="6"/>
      <c r="Q2419" s="6"/>
    </row>
    <row r="2420" spans="1:17" ht="15" customHeight="1" x14ac:dyDescent="0.25">
      <c r="A2420" s="1"/>
      <c r="B2420" s="17"/>
      <c r="C2420" s="17"/>
      <c r="D2420" s="17"/>
      <c r="E2420" s="17"/>
      <c r="F2420" s="17"/>
      <c r="G2420" s="4">
        <f t="shared" si="77"/>
        <v>0</v>
      </c>
      <c r="H2420" s="17"/>
      <c r="I2420" s="4">
        <f t="shared" si="75"/>
        <v>349526.07999999996</v>
      </c>
      <c r="J2420" s="32" t="str">
        <f t="shared" si="76"/>
        <v/>
      </c>
      <c r="K2420" s="79"/>
      <c r="L2420" s="79"/>
      <c r="M2420" s="2"/>
      <c r="N2420" s="5"/>
      <c r="O2420" s="3"/>
      <c r="P2420" s="6"/>
      <c r="Q2420" s="6"/>
    </row>
    <row r="2421" spans="1:17" ht="15" customHeight="1" x14ac:dyDescent="0.25">
      <c r="A2421" s="1"/>
      <c r="B2421" s="17"/>
      <c r="C2421" s="17"/>
      <c r="D2421" s="17"/>
      <c r="E2421" s="17"/>
      <c r="F2421" s="17"/>
      <c r="G2421" s="4">
        <f t="shared" si="77"/>
        <v>0</v>
      </c>
      <c r="H2421" s="17"/>
      <c r="I2421" s="4">
        <f t="shared" si="75"/>
        <v>349526.07999999996</v>
      </c>
      <c r="J2421" s="32" t="str">
        <f t="shared" si="76"/>
        <v/>
      </c>
      <c r="K2421" s="79"/>
      <c r="L2421" s="79"/>
      <c r="M2421" s="2"/>
      <c r="N2421" s="5"/>
      <c r="O2421" s="3"/>
      <c r="P2421" s="6"/>
      <c r="Q2421" s="6"/>
    </row>
    <row r="2422" spans="1:17" ht="15" customHeight="1" x14ac:dyDescent="0.25">
      <c r="A2422" s="1"/>
      <c r="B2422" s="17"/>
      <c r="C2422" s="17"/>
      <c r="D2422" s="17"/>
      <c r="E2422" s="17"/>
      <c r="F2422" s="17"/>
      <c r="G2422" s="4">
        <f t="shared" si="77"/>
        <v>0</v>
      </c>
      <c r="H2422" s="17"/>
      <c r="I2422" s="4">
        <f t="shared" ref="I2422:I2485" si="78">$I2421+$G2422-$H2422</f>
        <v>349526.07999999996</v>
      </c>
      <c r="J2422" s="32" t="str">
        <f t="shared" ref="J2422:J2485" si="79">IF($A2423&lt;&gt;$A2422,$I2422,"")</f>
        <v/>
      </c>
      <c r="K2422" s="79"/>
      <c r="L2422" s="79"/>
      <c r="M2422" s="2"/>
      <c r="N2422" s="5"/>
      <c r="O2422" s="3"/>
      <c r="P2422" s="6"/>
      <c r="Q2422" s="6"/>
    </row>
    <row r="2423" spans="1:17" ht="15" customHeight="1" x14ac:dyDescent="0.25">
      <c r="A2423" s="1"/>
      <c r="B2423" s="17"/>
      <c r="C2423" s="17"/>
      <c r="D2423" s="17"/>
      <c r="E2423" s="17"/>
      <c r="F2423" s="17"/>
      <c r="G2423" s="4">
        <f t="shared" si="77"/>
        <v>0</v>
      </c>
      <c r="H2423" s="17"/>
      <c r="I2423" s="4">
        <f t="shared" si="78"/>
        <v>349526.07999999996</v>
      </c>
      <c r="J2423" s="32" t="str">
        <f t="shared" si="79"/>
        <v/>
      </c>
      <c r="K2423" s="79"/>
      <c r="L2423" s="79"/>
      <c r="M2423" s="2"/>
      <c r="N2423" s="5"/>
      <c r="O2423" s="3"/>
      <c r="P2423" s="6"/>
      <c r="Q2423" s="6"/>
    </row>
    <row r="2424" spans="1:17" ht="15" customHeight="1" x14ac:dyDescent="0.25">
      <c r="A2424" s="1"/>
      <c r="B2424" s="17"/>
      <c r="C2424" s="17"/>
      <c r="D2424" s="17"/>
      <c r="E2424" s="17"/>
      <c r="F2424" s="17"/>
      <c r="G2424" s="4">
        <f t="shared" si="77"/>
        <v>0</v>
      </c>
      <c r="H2424" s="17"/>
      <c r="I2424" s="4">
        <f t="shared" si="78"/>
        <v>349526.07999999996</v>
      </c>
      <c r="J2424" s="32" t="str">
        <f t="shared" si="79"/>
        <v/>
      </c>
      <c r="K2424" s="79"/>
      <c r="L2424" s="79"/>
      <c r="M2424" s="2"/>
      <c r="N2424" s="5"/>
      <c r="O2424" s="3"/>
      <c r="P2424" s="6"/>
      <c r="Q2424" s="6"/>
    </row>
    <row r="2425" spans="1:17" ht="15" customHeight="1" x14ac:dyDescent="0.25">
      <c r="A2425" s="1"/>
      <c r="B2425" s="17"/>
      <c r="C2425" s="17"/>
      <c r="D2425" s="17"/>
      <c r="E2425" s="17"/>
      <c r="F2425" s="17"/>
      <c r="G2425" s="4">
        <f t="shared" si="77"/>
        <v>0</v>
      </c>
      <c r="H2425" s="17"/>
      <c r="I2425" s="4">
        <f t="shared" si="78"/>
        <v>349526.07999999996</v>
      </c>
      <c r="J2425" s="32" t="str">
        <f t="shared" si="79"/>
        <v/>
      </c>
      <c r="K2425" s="79"/>
      <c r="L2425" s="79"/>
      <c r="M2425" s="2"/>
      <c r="N2425" s="5"/>
      <c r="O2425" s="3"/>
      <c r="P2425" s="6"/>
      <c r="Q2425" s="6"/>
    </row>
    <row r="2426" spans="1:17" ht="15" customHeight="1" x14ac:dyDescent="0.25">
      <c r="A2426" s="1"/>
      <c r="B2426" s="17"/>
      <c r="C2426" s="17"/>
      <c r="D2426" s="17"/>
      <c r="E2426" s="17"/>
      <c r="F2426" s="17"/>
      <c r="G2426" s="4">
        <f t="shared" si="77"/>
        <v>0</v>
      </c>
      <c r="H2426" s="17"/>
      <c r="I2426" s="4">
        <f t="shared" si="78"/>
        <v>349526.07999999996</v>
      </c>
      <c r="J2426" s="32" t="str">
        <f t="shared" si="79"/>
        <v/>
      </c>
      <c r="K2426" s="79"/>
      <c r="L2426" s="79"/>
      <c r="M2426" s="2"/>
      <c r="N2426" s="5"/>
      <c r="O2426" s="3"/>
      <c r="P2426" s="6"/>
      <c r="Q2426" s="6"/>
    </row>
    <row r="2427" spans="1:17" ht="15" customHeight="1" x14ac:dyDescent="0.25">
      <c r="A2427" s="1"/>
      <c r="B2427" s="17"/>
      <c r="C2427" s="17"/>
      <c r="D2427" s="17"/>
      <c r="E2427" s="17"/>
      <c r="F2427" s="17"/>
      <c r="G2427" s="4">
        <f t="shared" si="77"/>
        <v>0</v>
      </c>
      <c r="H2427" s="17"/>
      <c r="I2427" s="4">
        <f t="shared" si="78"/>
        <v>349526.07999999996</v>
      </c>
      <c r="J2427" s="32" t="str">
        <f t="shared" si="79"/>
        <v/>
      </c>
      <c r="K2427" s="79"/>
      <c r="L2427" s="79"/>
      <c r="M2427" s="2"/>
      <c r="N2427" s="5"/>
      <c r="O2427" s="3"/>
      <c r="P2427" s="6"/>
      <c r="Q2427" s="6"/>
    </row>
    <row r="2428" spans="1:17" ht="15" customHeight="1" x14ac:dyDescent="0.25">
      <c r="A2428" s="1"/>
      <c r="B2428" s="17"/>
      <c r="C2428" s="17"/>
      <c r="D2428" s="17"/>
      <c r="E2428" s="17"/>
      <c r="F2428" s="17"/>
      <c r="G2428" s="4">
        <f t="shared" si="77"/>
        <v>0</v>
      </c>
      <c r="H2428" s="17"/>
      <c r="I2428" s="4">
        <f t="shared" si="78"/>
        <v>349526.07999999996</v>
      </c>
      <c r="J2428" s="32" t="str">
        <f t="shared" si="79"/>
        <v/>
      </c>
      <c r="K2428" s="79"/>
      <c r="L2428" s="79"/>
      <c r="M2428" s="2"/>
      <c r="N2428" s="5"/>
      <c r="O2428" s="3"/>
      <c r="P2428" s="6"/>
      <c r="Q2428" s="6"/>
    </row>
    <row r="2429" spans="1:17" ht="15" customHeight="1" x14ac:dyDescent="0.25">
      <c r="A2429" s="1"/>
      <c r="B2429" s="17"/>
      <c r="C2429" s="17"/>
      <c r="D2429" s="17"/>
      <c r="E2429" s="17"/>
      <c r="F2429" s="17"/>
      <c r="G2429" s="4">
        <f t="shared" si="77"/>
        <v>0</v>
      </c>
      <c r="H2429" s="17"/>
      <c r="I2429" s="4">
        <f t="shared" si="78"/>
        <v>349526.07999999996</v>
      </c>
      <c r="J2429" s="32" t="str">
        <f t="shared" si="79"/>
        <v/>
      </c>
      <c r="K2429" s="79"/>
      <c r="L2429" s="79"/>
      <c r="M2429" s="2"/>
      <c r="N2429" s="5"/>
      <c r="O2429" s="3"/>
      <c r="P2429" s="6"/>
      <c r="Q2429" s="6"/>
    </row>
    <row r="2430" spans="1:17" ht="15" customHeight="1" x14ac:dyDescent="0.25">
      <c r="A2430" s="1"/>
      <c r="B2430" s="17"/>
      <c r="C2430" s="17"/>
      <c r="D2430" s="17"/>
      <c r="E2430" s="17"/>
      <c r="F2430" s="17"/>
      <c r="G2430" s="4">
        <f t="shared" si="77"/>
        <v>0</v>
      </c>
      <c r="H2430" s="17"/>
      <c r="I2430" s="4">
        <f t="shared" si="78"/>
        <v>349526.07999999996</v>
      </c>
      <c r="J2430" s="32" t="str">
        <f t="shared" si="79"/>
        <v/>
      </c>
      <c r="K2430" s="79"/>
      <c r="L2430" s="79"/>
      <c r="M2430" s="2"/>
      <c r="N2430" s="5"/>
      <c r="O2430" s="3"/>
      <c r="P2430" s="6"/>
      <c r="Q2430" s="6"/>
    </row>
    <row r="2431" spans="1:17" ht="15" customHeight="1" x14ac:dyDescent="0.25">
      <c r="A2431" s="1"/>
      <c r="B2431" s="17"/>
      <c r="C2431" s="17"/>
      <c r="D2431" s="17"/>
      <c r="E2431" s="17"/>
      <c r="F2431" s="17"/>
      <c r="G2431" s="4">
        <f t="shared" si="77"/>
        <v>0</v>
      </c>
      <c r="H2431" s="17"/>
      <c r="I2431" s="4">
        <f t="shared" si="78"/>
        <v>349526.07999999996</v>
      </c>
      <c r="J2431" s="32" t="str">
        <f t="shared" si="79"/>
        <v/>
      </c>
      <c r="K2431" s="79"/>
      <c r="L2431" s="79"/>
      <c r="M2431" s="2"/>
      <c r="N2431" s="5"/>
      <c r="O2431" s="3"/>
      <c r="P2431" s="6"/>
      <c r="Q2431" s="6"/>
    </row>
    <row r="2432" spans="1:17" ht="15" customHeight="1" x14ac:dyDescent="0.25">
      <c r="A2432" s="1"/>
      <c r="B2432" s="17"/>
      <c r="C2432" s="17"/>
      <c r="D2432" s="17"/>
      <c r="E2432" s="17"/>
      <c r="F2432" s="17"/>
      <c r="G2432" s="4">
        <f t="shared" si="77"/>
        <v>0</v>
      </c>
      <c r="H2432" s="17"/>
      <c r="I2432" s="4">
        <f t="shared" si="78"/>
        <v>349526.07999999996</v>
      </c>
      <c r="J2432" s="32" t="str">
        <f t="shared" si="79"/>
        <v/>
      </c>
      <c r="K2432" s="79"/>
      <c r="L2432" s="79"/>
      <c r="M2432" s="2"/>
      <c r="N2432" s="5"/>
      <c r="O2432" s="3"/>
      <c r="P2432" s="6"/>
      <c r="Q2432" s="6"/>
    </row>
    <row r="2433" spans="1:17" ht="15" customHeight="1" x14ac:dyDescent="0.25">
      <c r="A2433" s="1"/>
      <c r="B2433" s="17"/>
      <c r="C2433" s="17"/>
      <c r="D2433" s="17"/>
      <c r="E2433" s="17"/>
      <c r="F2433" s="17"/>
      <c r="G2433" s="4">
        <f t="shared" si="77"/>
        <v>0</v>
      </c>
      <c r="H2433" s="17"/>
      <c r="I2433" s="4">
        <f t="shared" si="78"/>
        <v>349526.07999999996</v>
      </c>
      <c r="J2433" s="32" t="str">
        <f t="shared" si="79"/>
        <v/>
      </c>
      <c r="K2433" s="79"/>
      <c r="L2433" s="79"/>
      <c r="M2433" s="2"/>
      <c r="N2433" s="5"/>
      <c r="O2433" s="3"/>
      <c r="P2433" s="6"/>
      <c r="Q2433" s="6"/>
    </row>
    <row r="2434" spans="1:17" ht="15" customHeight="1" x14ac:dyDescent="0.25">
      <c r="A2434" s="1"/>
      <c r="B2434" s="17"/>
      <c r="C2434" s="17"/>
      <c r="D2434" s="17"/>
      <c r="E2434" s="17"/>
      <c r="F2434" s="17"/>
      <c r="G2434" s="4">
        <f t="shared" si="77"/>
        <v>0</v>
      </c>
      <c r="H2434" s="17"/>
      <c r="I2434" s="4">
        <f t="shared" si="78"/>
        <v>349526.07999999996</v>
      </c>
      <c r="J2434" s="32" t="str">
        <f t="shared" si="79"/>
        <v/>
      </c>
      <c r="K2434" s="79"/>
      <c r="L2434" s="79"/>
      <c r="M2434" s="2"/>
      <c r="N2434" s="5"/>
      <c r="O2434" s="3"/>
      <c r="P2434" s="6"/>
      <c r="Q2434" s="6"/>
    </row>
    <row r="2435" spans="1:17" ht="15" customHeight="1" x14ac:dyDescent="0.25">
      <c r="A2435" s="1"/>
      <c r="B2435" s="17"/>
      <c r="C2435" s="17"/>
      <c r="D2435" s="17"/>
      <c r="E2435" s="17"/>
      <c r="F2435" s="17"/>
      <c r="G2435" s="4">
        <f t="shared" ref="G2435:G2498" si="80">SUM($B2435:$F2435)</f>
        <v>0</v>
      </c>
      <c r="H2435" s="17"/>
      <c r="I2435" s="4">
        <f t="shared" si="78"/>
        <v>349526.07999999996</v>
      </c>
      <c r="J2435" s="32" t="str">
        <f t="shared" si="79"/>
        <v/>
      </c>
      <c r="K2435" s="79"/>
      <c r="L2435" s="79"/>
      <c r="M2435" s="2"/>
      <c r="N2435" s="5"/>
      <c r="O2435" s="3"/>
      <c r="P2435" s="6"/>
      <c r="Q2435" s="6"/>
    </row>
    <row r="2436" spans="1:17" ht="15" customHeight="1" x14ac:dyDescent="0.25">
      <c r="A2436" s="1"/>
      <c r="B2436" s="17"/>
      <c r="C2436" s="17"/>
      <c r="D2436" s="17"/>
      <c r="E2436" s="17"/>
      <c r="F2436" s="17"/>
      <c r="G2436" s="4">
        <f t="shared" si="80"/>
        <v>0</v>
      </c>
      <c r="H2436" s="17"/>
      <c r="I2436" s="4">
        <f t="shared" si="78"/>
        <v>349526.07999999996</v>
      </c>
      <c r="J2436" s="32" t="str">
        <f t="shared" si="79"/>
        <v/>
      </c>
      <c r="K2436" s="79"/>
      <c r="L2436" s="79"/>
      <c r="M2436" s="2"/>
      <c r="N2436" s="5"/>
      <c r="O2436" s="3"/>
      <c r="P2436" s="6"/>
      <c r="Q2436" s="6"/>
    </row>
    <row r="2437" spans="1:17" ht="15" customHeight="1" x14ac:dyDescent="0.25">
      <c r="A2437" s="1"/>
      <c r="B2437" s="17"/>
      <c r="C2437" s="17"/>
      <c r="D2437" s="17"/>
      <c r="E2437" s="17"/>
      <c r="F2437" s="17"/>
      <c r="G2437" s="4">
        <f t="shared" si="80"/>
        <v>0</v>
      </c>
      <c r="H2437" s="17"/>
      <c r="I2437" s="4">
        <f t="shared" si="78"/>
        <v>349526.07999999996</v>
      </c>
      <c r="J2437" s="32" t="str">
        <f t="shared" si="79"/>
        <v/>
      </c>
      <c r="K2437" s="79"/>
      <c r="L2437" s="79"/>
      <c r="M2437" s="2"/>
      <c r="N2437" s="5"/>
      <c r="O2437" s="3"/>
      <c r="P2437" s="6"/>
      <c r="Q2437" s="6"/>
    </row>
    <row r="2438" spans="1:17" ht="15" customHeight="1" x14ac:dyDescent="0.25">
      <c r="A2438" s="1"/>
      <c r="B2438" s="17"/>
      <c r="C2438" s="17"/>
      <c r="D2438" s="17"/>
      <c r="E2438" s="17"/>
      <c r="F2438" s="17"/>
      <c r="G2438" s="4">
        <f t="shared" si="80"/>
        <v>0</v>
      </c>
      <c r="H2438" s="17"/>
      <c r="I2438" s="4">
        <f t="shared" si="78"/>
        <v>349526.07999999996</v>
      </c>
      <c r="J2438" s="32" t="str">
        <f t="shared" si="79"/>
        <v/>
      </c>
      <c r="K2438" s="79"/>
      <c r="L2438" s="79"/>
      <c r="M2438" s="2"/>
      <c r="N2438" s="5"/>
      <c r="O2438" s="3"/>
      <c r="P2438" s="6"/>
      <c r="Q2438" s="6"/>
    </row>
    <row r="2439" spans="1:17" ht="15" customHeight="1" x14ac:dyDescent="0.25">
      <c r="A2439" s="1"/>
      <c r="B2439" s="17"/>
      <c r="C2439" s="17"/>
      <c r="D2439" s="17"/>
      <c r="E2439" s="17"/>
      <c r="F2439" s="17"/>
      <c r="G2439" s="4">
        <f t="shared" si="80"/>
        <v>0</v>
      </c>
      <c r="H2439" s="17"/>
      <c r="I2439" s="4">
        <f t="shared" si="78"/>
        <v>349526.07999999996</v>
      </c>
      <c r="J2439" s="32" t="str">
        <f t="shared" si="79"/>
        <v/>
      </c>
      <c r="K2439" s="79"/>
      <c r="L2439" s="79"/>
      <c r="M2439" s="2"/>
      <c r="N2439" s="5"/>
      <c r="O2439" s="3"/>
      <c r="P2439" s="6"/>
      <c r="Q2439" s="6"/>
    </row>
    <row r="2440" spans="1:17" ht="15" customHeight="1" x14ac:dyDescent="0.25">
      <c r="A2440" s="1"/>
      <c r="B2440" s="17"/>
      <c r="C2440" s="17"/>
      <c r="D2440" s="17"/>
      <c r="E2440" s="17"/>
      <c r="F2440" s="17"/>
      <c r="G2440" s="4">
        <f t="shared" si="80"/>
        <v>0</v>
      </c>
      <c r="H2440" s="17"/>
      <c r="I2440" s="4">
        <f t="shared" si="78"/>
        <v>349526.07999999996</v>
      </c>
      <c r="J2440" s="32" t="str">
        <f t="shared" si="79"/>
        <v/>
      </c>
      <c r="K2440" s="79"/>
      <c r="L2440" s="79"/>
      <c r="M2440" s="2"/>
      <c r="N2440" s="5"/>
      <c r="O2440" s="3"/>
      <c r="P2440" s="6"/>
      <c r="Q2440" s="6"/>
    </row>
    <row r="2441" spans="1:17" ht="15" customHeight="1" x14ac:dyDescent="0.25">
      <c r="A2441" s="1"/>
      <c r="B2441" s="17"/>
      <c r="C2441" s="17"/>
      <c r="D2441" s="17"/>
      <c r="E2441" s="17"/>
      <c r="F2441" s="17"/>
      <c r="G2441" s="4">
        <f t="shared" si="80"/>
        <v>0</v>
      </c>
      <c r="H2441" s="17"/>
      <c r="I2441" s="4">
        <f t="shared" si="78"/>
        <v>349526.07999999996</v>
      </c>
      <c r="J2441" s="32" t="str">
        <f t="shared" si="79"/>
        <v/>
      </c>
      <c r="K2441" s="79"/>
      <c r="L2441" s="79"/>
      <c r="M2441" s="2"/>
      <c r="N2441" s="5"/>
      <c r="O2441" s="3"/>
      <c r="P2441" s="6"/>
      <c r="Q2441" s="6"/>
    </row>
    <row r="2442" spans="1:17" ht="15" customHeight="1" x14ac:dyDescent="0.25">
      <c r="A2442" s="1"/>
      <c r="B2442" s="17"/>
      <c r="C2442" s="17"/>
      <c r="D2442" s="17"/>
      <c r="E2442" s="17"/>
      <c r="F2442" s="17"/>
      <c r="G2442" s="4">
        <f t="shared" si="80"/>
        <v>0</v>
      </c>
      <c r="H2442" s="17"/>
      <c r="I2442" s="4">
        <f t="shared" si="78"/>
        <v>349526.07999999996</v>
      </c>
      <c r="J2442" s="32" t="str">
        <f t="shared" si="79"/>
        <v/>
      </c>
      <c r="K2442" s="79"/>
      <c r="L2442" s="79"/>
      <c r="M2442" s="2"/>
      <c r="N2442" s="5"/>
      <c r="O2442" s="3"/>
      <c r="P2442" s="6"/>
      <c r="Q2442" s="6"/>
    </row>
    <row r="2443" spans="1:17" ht="15" customHeight="1" x14ac:dyDescent="0.25">
      <c r="A2443" s="1"/>
      <c r="B2443" s="17"/>
      <c r="C2443" s="17"/>
      <c r="D2443" s="17"/>
      <c r="E2443" s="17"/>
      <c r="F2443" s="17"/>
      <c r="G2443" s="4">
        <f t="shared" si="80"/>
        <v>0</v>
      </c>
      <c r="H2443" s="17"/>
      <c r="I2443" s="4">
        <f t="shared" si="78"/>
        <v>349526.07999999996</v>
      </c>
      <c r="J2443" s="32" t="str">
        <f t="shared" si="79"/>
        <v/>
      </c>
      <c r="K2443" s="79"/>
      <c r="L2443" s="79"/>
      <c r="M2443" s="2"/>
      <c r="N2443" s="5"/>
      <c r="O2443" s="3"/>
      <c r="P2443" s="6"/>
      <c r="Q2443" s="6"/>
    </row>
    <row r="2444" spans="1:17" ht="15" customHeight="1" x14ac:dyDescent="0.25">
      <c r="A2444" s="1"/>
      <c r="B2444" s="17"/>
      <c r="C2444" s="17"/>
      <c r="D2444" s="17"/>
      <c r="E2444" s="17"/>
      <c r="F2444" s="17"/>
      <c r="G2444" s="4">
        <f t="shared" si="80"/>
        <v>0</v>
      </c>
      <c r="H2444" s="17"/>
      <c r="I2444" s="4">
        <f t="shared" si="78"/>
        <v>349526.07999999996</v>
      </c>
      <c r="J2444" s="32" t="str">
        <f t="shared" si="79"/>
        <v/>
      </c>
      <c r="K2444" s="79"/>
      <c r="L2444" s="79"/>
      <c r="M2444" s="2"/>
      <c r="N2444" s="5"/>
      <c r="O2444" s="3"/>
      <c r="P2444" s="6"/>
      <c r="Q2444" s="6"/>
    </row>
    <row r="2445" spans="1:17" ht="15" customHeight="1" x14ac:dyDescent="0.25">
      <c r="A2445" s="1"/>
      <c r="B2445" s="17"/>
      <c r="C2445" s="17"/>
      <c r="D2445" s="17"/>
      <c r="E2445" s="17"/>
      <c r="F2445" s="17"/>
      <c r="G2445" s="4">
        <f t="shared" si="80"/>
        <v>0</v>
      </c>
      <c r="H2445" s="17"/>
      <c r="I2445" s="4">
        <f t="shared" si="78"/>
        <v>349526.07999999996</v>
      </c>
      <c r="J2445" s="32" t="str">
        <f t="shared" si="79"/>
        <v/>
      </c>
      <c r="K2445" s="79"/>
      <c r="L2445" s="79"/>
      <c r="M2445" s="2"/>
      <c r="N2445" s="5"/>
      <c r="O2445" s="3"/>
      <c r="P2445" s="6"/>
      <c r="Q2445" s="6"/>
    </row>
    <row r="2446" spans="1:17" ht="15" customHeight="1" x14ac:dyDescent="0.25">
      <c r="A2446" s="1"/>
      <c r="B2446" s="17"/>
      <c r="C2446" s="17"/>
      <c r="D2446" s="17"/>
      <c r="E2446" s="17"/>
      <c r="F2446" s="17"/>
      <c r="G2446" s="4">
        <f t="shared" si="80"/>
        <v>0</v>
      </c>
      <c r="H2446" s="17"/>
      <c r="I2446" s="4">
        <f t="shared" si="78"/>
        <v>349526.07999999996</v>
      </c>
      <c r="J2446" s="32" t="str">
        <f t="shared" si="79"/>
        <v/>
      </c>
      <c r="K2446" s="79"/>
      <c r="L2446" s="79"/>
      <c r="M2446" s="2"/>
      <c r="N2446" s="5"/>
      <c r="O2446" s="3"/>
      <c r="P2446" s="6"/>
      <c r="Q2446" s="6"/>
    </row>
    <row r="2447" spans="1:17" ht="15" customHeight="1" x14ac:dyDescent="0.25">
      <c r="A2447" s="1"/>
      <c r="B2447" s="17"/>
      <c r="C2447" s="17"/>
      <c r="D2447" s="17"/>
      <c r="E2447" s="17"/>
      <c r="F2447" s="17"/>
      <c r="G2447" s="4">
        <f t="shared" si="80"/>
        <v>0</v>
      </c>
      <c r="H2447" s="17"/>
      <c r="I2447" s="4">
        <f t="shared" si="78"/>
        <v>349526.07999999996</v>
      </c>
      <c r="J2447" s="32" t="str">
        <f t="shared" si="79"/>
        <v/>
      </c>
      <c r="K2447" s="79"/>
      <c r="L2447" s="79"/>
      <c r="M2447" s="2"/>
      <c r="N2447" s="5"/>
      <c r="O2447" s="3"/>
      <c r="P2447" s="6"/>
      <c r="Q2447" s="6"/>
    </row>
    <row r="2448" spans="1:17" ht="15" customHeight="1" x14ac:dyDescent="0.25">
      <c r="A2448" s="1"/>
      <c r="B2448" s="17"/>
      <c r="C2448" s="17"/>
      <c r="D2448" s="17"/>
      <c r="E2448" s="17"/>
      <c r="F2448" s="17"/>
      <c r="G2448" s="4">
        <f t="shared" si="80"/>
        <v>0</v>
      </c>
      <c r="H2448" s="17"/>
      <c r="I2448" s="4">
        <f t="shared" si="78"/>
        <v>349526.07999999996</v>
      </c>
      <c r="J2448" s="32" t="str">
        <f t="shared" si="79"/>
        <v/>
      </c>
      <c r="K2448" s="79"/>
      <c r="L2448" s="79"/>
      <c r="M2448" s="2"/>
      <c r="N2448" s="5"/>
      <c r="O2448" s="3"/>
      <c r="P2448" s="6"/>
      <c r="Q2448" s="6"/>
    </row>
    <row r="2449" spans="1:17" ht="15" customHeight="1" x14ac:dyDescent="0.25">
      <c r="A2449" s="1"/>
      <c r="B2449" s="17"/>
      <c r="C2449" s="17"/>
      <c r="D2449" s="17"/>
      <c r="E2449" s="17"/>
      <c r="F2449" s="17"/>
      <c r="G2449" s="4">
        <f t="shared" si="80"/>
        <v>0</v>
      </c>
      <c r="H2449" s="17"/>
      <c r="I2449" s="4">
        <f t="shared" si="78"/>
        <v>349526.07999999996</v>
      </c>
      <c r="J2449" s="32" t="str">
        <f t="shared" si="79"/>
        <v/>
      </c>
      <c r="K2449" s="79"/>
      <c r="L2449" s="79"/>
      <c r="M2449" s="2"/>
      <c r="N2449" s="5"/>
      <c r="O2449" s="3"/>
      <c r="P2449" s="6"/>
      <c r="Q2449" s="6"/>
    </row>
    <row r="2450" spans="1:17" ht="15" customHeight="1" x14ac:dyDescent="0.25">
      <c r="A2450" s="1"/>
      <c r="B2450" s="17"/>
      <c r="C2450" s="17"/>
      <c r="D2450" s="17"/>
      <c r="E2450" s="17"/>
      <c r="F2450" s="17"/>
      <c r="G2450" s="4">
        <f t="shared" si="80"/>
        <v>0</v>
      </c>
      <c r="H2450" s="17"/>
      <c r="I2450" s="4">
        <f t="shared" si="78"/>
        <v>349526.07999999996</v>
      </c>
      <c r="J2450" s="32" t="str">
        <f t="shared" si="79"/>
        <v/>
      </c>
      <c r="K2450" s="79"/>
      <c r="L2450" s="79"/>
      <c r="M2450" s="2"/>
      <c r="N2450" s="5"/>
      <c r="O2450" s="3"/>
      <c r="P2450" s="6"/>
      <c r="Q2450" s="6"/>
    </row>
    <row r="2451" spans="1:17" ht="15" customHeight="1" x14ac:dyDescent="0.25">
      <c r="A2451" s="1"/>
      <c r="B2451" s="17"/>
      <c r="C2451" s="17"/>
      <c r="D2451" s="17"/>
      <c r="E2451" s="17"/>
      <c r="F2451" s="17"/>
      <c r="G2451" s="4">
        <f t="shared" si="80"/>
        <v>0</v>
      </c>
      <c r="H2451" s="17"/>
      <c r="I2451" s="4">
        <f t="shared" si="78"/>
        <v>349526.07999999996</v>
      </c>
      <c r="J2451" s="32" t="str">
        <f t="shared" si="79"/>
        <v/>
      </c>
      <c r="K2451" s="79"/>
      <c r="L2451" s="79"/>
      <c r="M2451" s="2"/>
      <c r="N2451" s="5"/>
      <c r="O2451" s="3"/>
      <c r="P2451" s="6"/>
      <c r="Q2451" s="6"/>
    </row>
    <row r="2452" spans="1:17" ht="15" customHeight="1" x14ac:dyDescent="0.25">
      <c r="A2452" s="1"/>
      <c r="B2452" s="17"/>
      <c r="C2452" s="17"/>
      <c r="D2452" s="17"/>
      <c r="E2452" s="17"/>
      <c r="F2452" s="17"/>
      <c r="G2452" s="4">
        <f t="shared" si="80"/>
        <v>0</v>
      </c>
      <c r="H2452" s="17"/>
      <c r="I2452" s="4">
        <f t="shared" si="78"/>
        <v>349526.07999999996</v>
      </c>
      <c r="J2452" s="32" t="str">
        <f t="shared" si="79"/>
        <v/>
      </c>
      <c r="K2452" s="79"/>
      <c r="L2452" s="79"/>
      <c r="M2452" s="2"/>
      <c r="N2452" s="5"/>
      <c r="O2452" s="3"/>
      <c r="P2452" s="6"/>
      <c r="Q2452" s="6"/>
    </row>
    <row r="2453" spans="1:17" ht="15" customHeight="1" x14ac:dyDescent="0.25">
      <c r="A2453" s="1"/>
      <c r="B2453" s="17"/>
      <c r="C2453" s="17"/>
      <c r="D2453" s="17"/>
      <c r="E2453" s="17"/>
      <c r="F2453" s="17"/>
      <c r="G2453" s="4">
        <f t="shared" si="80"/>
        <v>0</v>
      </c>
      <c r="H2453" s="17"/>
      <c r="I2453" s="4">
        <f t="shared" si="78"/>
        <v>349526.07999999996</v>
      </c>
      <c r="J2453" s="32" t="str">
        <f t="shared" si="79"/>
        <v/>
      </c>
      <c r="K2453" s="79"/>
      <c r="L2453" s="79"/>
      <c r="M2453" s="2"/>
      <c r="N2453" s="5"/>
      <c r="O2453" s="3"/>
      <c r="P2453" s="6"/>
      <c r="Q2453" s="6"/>
    </row>
    <row r="2454" spans="1:17" ht="15" customHeight="1" x14ac:dyDescent="0.25">
      <c r="A2454" s="1"/>
      <c r="B2454" s="17"/>
      <c r="C2454" s="17"/>
      <c r="D2454" s="17"/>
      <c r="E2454" s="17"/>
      <c r="F2454" s="17"/>
      <c r="G2454" s="4">
        <f t="shared" si="80"/>
        <v>0</v>
      </c>
      <c r="H2454" s="17"/>
      <c r="I2454" s="4">
        <f t="shared" si="78"/>
        <v>349526.07999999996</v>
      </c>
      <c r="J2454" s="32" t="str">
        <f t="shared" si="79"/>
        <v/>
      </c>
      <c r="K2454" s="79"/>
      <c r="L2454" s="79"/>
      <c r="M2454" s="2"/>
      <c r="N2454" s="5"/>
      <c r="O2454" s="3"/>
      <c r="P2454" s="6"/>
      <c r="Q2454" s="6"/>
    </row>
    <row r="2455" spans="1:17" ht="15" customHeight="1" x14ac:dyDescent="0.25">
      <c r="A2455" s="1"/>
      <c r="B2455" s="17"/>
      <c r="C2455" s="17"/>
      <c r="D2455" s="17"/>
      <c r="E2455" s="17"/>
      <c r="F2455" s="17"/>
      <c r="G2455" s="4">
        <f t="shared" si="80"/>
        <v>0</v>
      </c>
      <c r="H2455" s="17"/>
      <c r="I2455" s="4">
        <f t="shared" si="78"/>
        <v>349526.07999999996</v>
      </c>
      <c r="J2455" s="32" t="str">
        <f t="shared" si="79"/>
        <v/>
      </c>
      <c r="K2455" s="79"/>
      <c r="L2455" s="79"/>
      <c r="M2455" s="2"/>
      <c r="N2455" s="5"/>
      <c r="O2455" s="3"/>
      <c r="P2455" s="6"/>
      <c r="Q2455" s="6"/>
    </row>
    <row r="2456" spans="1:17" ht="15" customHeight="1" x14ac:dyDescent="0.25">
      <c r="A2456" s="1"/>
      <c r="B2456" s="17"/>
      <c r="C2456" s="17"/>
      <c r="D2456" s="17"/>
      <c r="E2456" s="17"/>
      <c r="F2456" s="17"/>
      <c r="G2456" s="4">
        <f t="shared" si="80"/>
        <v>0</v>
      </c>
      <c r="H2456" s="17"/>
      <c r="I2456" s="4">
        <f t="shared" si="78"/>
        <v>349526.07999999996</v>
      </c>
      <c r="J2456" s="32" t="str">
        <f t="shared" si="79"/>
        <v/>
      </c>
      <c r="K2456" s="79"/>
      <c r="L2456" s="79"/>
      <c r="M2456" s="2"/>
      <c r="N2456" s="5"/>
      <c r="O2456" s="3"/>
      <c r="P2456" s="6"/>
      <c r="Q2456" s="6"/>
    </row>
    <row r="2457" spans="1:17" ht="15" customHeight="1" x14ac:dyDescent="0.25">
      <c r="A2457" s="1"/>
      <c r="B2457" s="17"/>
      <c r="C2457" s="17"/>
      <c r="D2457" s="17"/>
      <c r="E2457" s="17"/>
      <c r="F2457" s="17"/>
      <c r="G2457" s="4">
        <f t="shared" si="80"/>
        <v>0</v>
      </c>
      <c r="H2457" s="17"/>
      <c r="I2457" s="4">
        <f t="shared" si="78"/>
        <v>349526.07999999996</v>
      </c>
      <c r="J2457" s="32" t="str">
        <f t="shared" si="79"/>
        <v/>
      </c>
      <c r="K2457" s="79"/>
      <c r="L2457" s="79"/>
      <c r="M2457" s="2"/>
      <c r="N2457" s="5"/>
      <c r="O2457" s="3"/>
      <c r="P2457" s="6"/>
      <c r="Q2457" s="6"/>
    </row>
    <row r="2458" spans="1:17" ht="15" customHeight="1" x14ac:dyDescent="0.25">
      <c r="A2458" s="1"/>
      <c r="B2458" s="17"/>
      <c r="C2458" s="17"/>
      <c r="D2458" s="17"/>
      <c r="E2458" s="17"/>
      <c r="F2458" s="17"/>
      <c r="G2458" s="4">
        <f t="shared" si="80"/>
        <v>0</v>
      </c>
      <c r="H2458" s="17"/>
      <c r="I2458" s="4">
        <f t="shared" si="78"/>
        <v>349526.07999999996</v>
      </c>
      <c r="J2458" s="32" t="str">
        <f t="shared" si="79"/>
        <v/>
      </c>
      <c r="K2458" s="79"/>
      <c r="L2458" s="79"/>
      <c r="M2458" s="2"/>
      <c r="N2458" s="5"/>
      <c r="O2458" s="3"/>
      <c r="P2458" s="6"/>
      <c r="Q2458" s="6"/>
    </row>
    <row r="2459" spans="1:17" ht="15" customHeight="1" x14ac:dyDescent="0.25">
      <c r="A2459" s="1"/>
      <c r="B2459" s="17"/>
      <c r="C2459" s="17"/>
      <c r="D2459" s="17"/>
      <c r="E2459" s="17"/>
      <c r="F2459" s="17"/>
      <c r="G2459" s="4">
        <f t="shared" si="80"/>
        <v>0</v>
      </c>
      <c r="H2459" s="17"/>
      <c r="I2459" s="4">
        <f t="shared" si="78"/>
        <v>349526.07999999996</v>
      </c>
      <c r="J2459" s="32" t="str">
        <f t="shared" si="79"/>
        <v/>
      </c>
      <c r="K2459" s="79"/>
      <c r="L2459" s="79"/>
      <c r="M2459" s="2"/>
      <c r="N2459" s="5"/>
      <c r="O2459" s="3"/>
      <c r="P2459" s="6"/>
      <c r="Q2459" s="6"/>
    </row>
    <row r="2460" spans="1:17" ht="15" customHeight="1" x14ac:dyDescent="0.25">
      <c r="A2460" s="1"/>
      <c r="B2460" s="17"/>
      <c r="C2460" s="17"/>
      <c r="D2460" s="17"/>
      <c r="E2460" s="17"/>
      <c r="F2460" s="17"/>
      <c r="G2460" s="4">
        <f t="shared" si="80"/>
        <v>0</v>
      </c>
      <c r="H2460" s="17"/>
      <c r="I2460" s="4">
        <f t="shared" si="78"/>
        <v>349526.07999999996</v>
      </c>
      <c r="J2460" s="32" t="str">
        <f t="shared" si="79"/>
        <v/>
      </c>
      <c r="K2460" s="79"/>
      <c r="L2460" s="79"/>
      <c r="M2460" s="2"/>
      <c r="N2460" s="5"/>
      <c r="O2460" s="3"/>
      <c r="P2460" s="6"/>
      <c r="Q2460" s="6"/>
    </row>
    <row r="2461" spans="1:17" ht="15" customHeight="1" x14ac:dyDescent="0.25">
      <c r="A2461" s="1"/>
      <c r="B2461" s="17"/>
      <c r="C2461" s="17"/>
      <c r="D2461" s="17"/>
      <c r="E2461" s="17"/>
      <c r="F2461" s="17"/>
      <c r="G2461" s="4">
        <f t="shared" si="80"/>
        <v>0</v>
      </c>
      <c r="H2461" s="17"/>
      <c r="I2461" s="4">
        <f t="shared" si="78"/>
        <v>349526.07999999996</v>
      </c>
      <c r="J2461" s="32" t="str">
        <f t="shared" si="79"/>
        <v/>
      </c>
      <c r="K2461" s="79"/>
      <c r="L2461" s="79"/>
      <c r="M2461" s="2"/>
      <c r="N2461" s="5"/>
      <c r="O2461" s="3"/>
      <c r="P2461" s="6"/>
      <c r="Q2461" s="6"/>
    </row>
    <row r="2462" spans="1:17" ht="15" customHeight="1" x14ac:dyDescent="0.25">
      <c r="A2462" s="1"/>
      <c r="B2462" s="17"/>
      <c r="C2462" s="17"/>
      <c r="D2462" s="17"/>
      <c r="E2462" s="17"/>
      <c r="F2462" s="17"/>
      <c r="G2462" s="4">
        <f t="shared" si="80"/>
        <v>0</v>
      </c>
      <c r="H2462" s="17"/>
      <c r="I2462" s="4">
        <f t="shared" si="78"/>
        <v>349526.07999999996</v>
      </c>
      <c r="J2462" s="32" t="str">
        <f t="shared" si="79"/>
        <v/>
      </c>
      <c r="K2462" s="79"/>
      <c r="L2462" s="79"/>
      <c r="M2462" s="2"/>
      <c r="N2462" s="5"/>
      <c r="O2462" s="3"/>
      <c r="P2462" s="6"/>
      <c r="Q2462" s="6"/>
    </row>
    <row r="2463" spans="1:17" ht="15" customHeight="1" x14ac:dyDescent="0.25">
      <c r="A2463" s="1"/>
      <c r="B2463" s="17"/>
      <c r="C2463" s="17"/>
      <c r="D2463" s="17"/>
      <c r="E2463" s="17"/>
      <c r="F2463" s="17"/>
      <c r="G2463" s="4">
        <f t="shared" si="80"/>
        <v>0</v>
      </c>
      <c r="H2463" s="17"/>
      <c r="I2463" s="4">
        <f t="shared" si="78"/>
        <v>349526.07999999996</v>
      </c>
      <c r="J2463" s="32" t="str">
        <f t="shared" si="79"/>
        <v/>
      </c>
      <c r="K2463" s="79"/>
      <c r="L2463" s="79"/>
      <c r="M2463" s="2"/>
      <c r="N2463" s="5"/>
      <c r="O2463" s="3"/>
      <c r="P2463" s="6"/>
      <c r="Q2463" s="6"/>
    </row>
    <row r="2464" spans="1:17" ht="15" customHeight="1" x14ac:dyDescent="0.25">
      <c r="A2464" s="1"/>
      <c r="B2464" s="17"/>
      <c r="C2464" s="17"/>
      <c r="D2464" s="17"/>
      <c r="E2464" s="17"/>
      <c r="F2464" s="17"/>
      <c r="G2464" s="4">
        <f t="shared" si="80"/>
        <v>0</v>
      </c>
      <c r="H2464" s="17"/>
      <c r="I2464" s="4">
        <f t="shared" si="78"/>
        <v>349526.07999999996</v>
      </c>
      <c r="J2464" s="32" t="str">
        <f t="shared" si="79"/>
        <v/>
      </c>
      <c r="K2464" s="79"/>
      <c r="L2464" s="79"/>
      <c r="M2464" s="2"/>
      <c r="N2464" s="5"/>
      <c r="O2464" s="3"/>
      <c r="P2464" s="6"/>
      <c r="Q2464" s="6"/>
    </row>
    <row r="2465" spans="1:17" ht="15" customHeight="1" x14ac:dyDescent="0.25">
      <c r="A2465" s="1"/>
      <c r="B2465" s="17"/>
      <c r="C2465" s="17"/>
      <c r="D2465" s="17"/>
      <c r="E2465" s="17"/>
      <c r="F2465" s="17"/>
      <c r="G2465" s="4">
        <f t="shared" si="80"/>
        <v>0</v>
      </c>
      <c r="H2465" s="17"/>
      <c r="I2465" s="4">
        <f t="shared" si="78"/>
        <v>349526.07999999996</v>
      </c>
      <c r="J2465" s="32" t="str">
        <f t="shared" si="79"/>
        <v/>
      </c>
      <c r="K2465" s="79"/>
      <c r="L2465" s="79"/>
      <c r="M2465" s="2"/>
      <c r="N2465" s="5"/>
      <c r="O2465" s="3"/>
      <c r="P2465" s="6"/>
      <c r="Q2465" s="6"/>
    </row>
    <row r="2466" spans="1:17" ht="15" customHeight="1" x14ac:dyDescent="0.25">
      <c r="A2466" s="1"/>
      <c r="B2466" s="17"/>
      <c r="C2466" s="17"/>
      <c r="D2466" s="17"/>
      <c r="E2466" s="17"/>
      <c r="F2466" s="17"/>
      <c r="G2466" s="4">
        <f t="shared" si="80"/>
        <v>0</v>
      </c>
      <c r="H2466" s="17"/>
      <c r="I2466" s="4">
        <f t="shared" si="78"/>
        <v>349526.07999999996</v>
      </c>
      <c r="J2466" s="32" t="str">
        <f t="shared" si="79"/>
        <v/>
      </c>
      <c r="K2466" s="79"/>
      <c r="L2466" s="79"/>
      <c r="M2466" s="2"/>
      <c r="N2466" s="5"/>
      <c r="O2466" s="3"/>
      <c r="P2466" s="6"/>
      <c r="Q2466" s="6"/>
    </row>
    <row r="2467" spans="1:17" ht="15" customHeight="1" x14ac:dyDescent="0.25">
      <c r="A2467" s="1"/>
      <c r="B2467" s="17"/>
      <c r="C2467" s="17"/>
      <c r="D2467" s="17"/>
      <c r="E2467" s="17"/>
      <c r="F2467" s="17"/>
      <c r="G2467" s="4">
        <f t="shared" si="80"/>
        <v>0</v>
      </c>
      <c r="H2467" s="17"/>
      <c r="I2467" s="4">
        <f t="shared" si="78"/>
        <v>349526.07999999996</v>
      </c>
      <c r="J2467" s="32" t="str">
        <f t="shared" si="79"/>
        <v/>
      </c>
      <c r="K2467" s="79"/>
      <c r="L2467" s="79"/>
      <c r="M2467" s="2"/>
      <c r="N2467" s="5"/>
      <c r="O2467" s="3"/>
      <c r="P2467" s="6"/>
      <c r="Q2467" s="6"/>
    </row>
    <row r="2468" spans="1:17" ht="15" customHeight="1" x14ac:dyDescent="0.25">
      <c r="A2468" s="1"/>
      <c r="B2468" s="17"/>
      <c r="C2468" s="17"/>
      <c r="D2468" s="17"/>
      <c r="E2468" s="17"/>
      <c r="F2468" s="17"/>
      <c r="G2468" s="4">
        <f t="shared" si="80"/>
        <v>0</v>
      </c>
      <c r="H2468" s="17"/>
      <c r="I2468" s="4">
        <f t="shared" si="78"/>
        <v>349526.07999999996</v>
      </c>
      <c r="J2468" s="32" t="str">
        <f t="shared" si="79"/>
        <v/>
      </c>
      <c r="K2468" s="79"/>
      <c r="L2468" s="79"/>
      <c r="M2468" s="2"/>
      <c r="N2468" s="5"/>
      <c r="O2468" s="3"/>
      <c r="P2468" s="6"/>
      <c r="Q2468" s="6"/>
    </row>
    <row r="2469" spans="1:17" ht="15" customHeight="1" x14ac:dyDescent="0.25">
      <c r="A2469" s="1"/>
      <c r="B2469" s="17"/>
      <c r="C2469" s="17"/>
      <c r="D2469" s="17"/>
      <c r="E2469" s="17"/>
      <c r="F2469" s="17"/>
      <c r="G2469" s="4">
        <f t="shared" si="80"/>
        <v>0</v>
      </c>
      <c r="H2469" s="17"/>
      <c r="I2469" s="4">
        <f t="shared" si="78"/>
        <v>349526.07999999996</v>
      </c>
      <c r="J2469" s="32" t="str">
        <f t="shared" si="79"/>
        <v/>
      </c>
      <c r="K2469" s="79"/>
      <c r="L2469" s="79"/>
      <c r="M2469" s="2"/>
      <c r="N2469" s="5"/>
      <c r="O2469" s="3"/>
      <c r="P2469" s="6"/>
      <c r="Q2469" s="6"/>
    </row>
    <row r="2470" spans="1:17" ht="15" customHeight="1" x14ac:dyDescent="0.25">
      <c r="A2470" s="1"/>
      <c r="B2470" s="17"/>
      <c r="C2470" s="17"/>
      <c r="D2470" s="17"/>
      <c r="E2470" s="17"/>
      <c r="F2470" s="17"/>
      <c r="G2470" s="4">
        <f t="shared" si="80"/>
        <v>0</v>
      </c>
      <c r="H2470" s="17"/>
      <c r="I2470" s="4">
        <f t="shared" si="78"/>
        <v>349526.07999999996</v>
      </c>
      <c r="J2470" s="32" t="str">
        <f t="shared" si="79"/>
        <v/>
      </c>
      <c r="K2470" s="79"/>
      <c r="L2470" s="79"/>
      <c r="M2470" s="2"/>
      <c r="N2470" s="5"/>
      <c r="O2470" s="3"/>
      <c r="P2470" s="6"/>
      <c r="Q2470" s="6"/>
    </row>
    <row r="2471" spans="1:17" ht="15" customHeight="1" x14ac:dyDescent="0.25">
      <c r="A2471" s="1"/>
      <c r="B2471" s="17"/>
      <c r="C2471" s="17"/>
      <c r="D2471" s="17"/>
      <c r="E2471" s="17"/>
      <c r="F2471" s="17"/>
      <c r="G2471" s="4">
        <f t="shared" si="80"/>
        <v>0</v>
      </c>
      <c r="H2471" s="17"/>
      <c r="I2471" s="4">
        <f t="shared" si="78"/>
        <v>349526.07999999996</v>
      </c>
      <c r="J2471" s="32" t="str">
        <f t="shared" si="79"/>
        <v/>
      </c>
      <c r="K2471" s="79"/>
      <c r="L2471" s="79"/>
      <c r="M2471" s="2"/>
      <c r="N2471" s="5"/>
      <c r="O2471" s="3"/>
      <c r="P2471" s="6"/>
      <c r="Q2471" s="6"/>
    </row>
    <row r="2472" spans="1:17" ht="15" customHeight="1" x14ac:dyDescent="0.25">
      <c r="A2472" s="1"/>
      <c r="B2472" s="17"/>
      <c r="C2472" s="17"/>
      <c r="D2472" s="17"/>
      <c r="E2472" s="17"/>
      <c r="F2472" s="17"/>
      <c r="G2472" s="4">
        <f t="shared" si="80"/>
        <v>0</v>
      </c>
      <c r="H2472" s="17"/>
      <c r="I2472" s="4">
        <f t="shared" si="78"/>
        <v>349526.07999999996</v>
      </c>
      <c r="J2472" s="32" t="str">
        <f t="shared" si="79"/>
        <v/>
      </c>
      <c r="K2472" s="79"/>
      <c r="L2472" s="79"/>
      <c r="M2472" s="2"/>
      <c r="N2472" s="5"/>
      <c r="O2472" s="3"/>
      <c r="P2472" s="6"/>
      <c r="Q2472" s="6"/>
    </row>
    <row r="2473" spans="1:17" ht="15" customHeight="1" x14ac:dyDescent="0.25">
      <c r="A2473" s="1"/>
      <c r="B2473" s="17"/>
      <c r="C2473" s="17"/>
      <c r="D2473" s="17"/>
      <c r="E2473" s="17"/>
      <c r="F2473" s="17"/>
      <c r="G2473" s="4">
        <f t="shared" si="80"/>
        <v>0</v>
      </c>
      <c r="H2473" s="17"/>
      <c r="I2473" s="4">
        <f t="shared" si="78"/>
        <v>349526.07999999996</v>
      </c>
      <c r="J2473" s="32" t="str">
        <f t="shared" si="79"/>
        <v/>
      </c>
      <c r="K2473" s="79"/>
      <c r="L2473" s="79"/>
      <c r="M2473" s="2"/>
      <c r="N2473" s="5"/>
      <c r="O2473" s="3"/>
      <c r="P2473" s="6"/>
      <c r="Q2473" s="6"/>
    </row>
    <row r="2474" spans="1:17" ht="15" customHeight="1" x14ac:dyDescent="0.25">
      <c r="A2474" s="1"/>
      <c r="B2474" s="17"/>
      <c r="C2474" s="17"/>
      <c r="D2474" s="17"/>
      <c r="E2474" s="17"/>
      <c r="F2474" s="17"/>
      <c r="G2474" s="4">
        <f t="shared" si="80"/>
        <v>0</v>
      </c>
      <c r="H2474" s="17"/>
      <c r="I2474" s="4">
        <f t="shared" si="78"/>
        <v>349526.07999999996</v>
      </c>
      <c r="J2474" s="32" t="str">
        <f t="shared" si="79"/>
        <v/>
      </c>
      <c r="K2474" s="79"/>
      <c r="L2474" s="79"/>
      <c r="M2474" s="2"/>
      <c r="N2474" s="5"/>
      <c r="O2474" s="3"/>
      <c r="P2474" s="6"/>
      <c r="Q2474" s="6"/>
    </row>
    <row r="2475" spans="1:17" ht="15" customHeight="1" x14ac:dyDescent="0.25">
      <c r="A2475" s="1"/>
      <c r="B2475" s="17"/>
      <c r="C2475" s="17"/>
      <c r="D2475" s="17"/>
      <c r="E2475" s="17"/>
      <c r="F2475" s="17"/>
      <c r="G2475" s="4">
        <f t="shared" si="80"/>
        <v>0</v>
      </c>
      <c r="H2475" s="17"/>
      <c r="I2475" s="4">
        <f t="shared" si="78"/>
        <v>349526.07999999996</v>
      </c>
      <c r="J2475" s="32" t="str">
        <f t="shared" si="79"/>
        <v/>
      </c>
      <c r="K2475" s="79"/>
      <c r="L2475" s="79"/>
      <c r="M2475" s="2"/>
      <c r="N2475" s="5"/>
      <c r="O2475" s="3"/>
      <c r="P2475" s="6"/>
      <c r="Q2475" s="6"/>
    </row>
    <row r="2476" spans="1:17" ht="15" customHeight="1" x14ac:dyDescent="0.25">
      <c r="A2476" s="1"/>
      <c r="B2476" s="17"/>
      <c r="C2476" s="17"/>
      <c r="D2476" s="17"/>
      <c r="E2476" s="17"/>
      <c r="F2476" s="17"/>
      <c r="G2476" s="4">
        <f t="shared" si="80"/>
        <v>0</v>
      </c>
      <c r="H2476" s="17"/>
      <c r="I2476" s="4">
        <f t="shared" si="78"/>
        <v>349526.07999999996</v>
      </c>
      <c r="J2476" s="32" t="str">
        <f t="shared" si="79"/>
        <v/>
      </c>
      <c r="K2476" s="79"/>
      <c r="L2476" s="79"/>
      <c r="M2476" s="2"/>
      <c r="N2476" s="5"/>
      <c r="O2476" s="3"/>
      <c r="P2476" s="6"/>
      <c r="Q2476" s="6"/>
    </row>
    <row r="2477" spans="1:17" ht="15" customHeight="1" x14ac:dyDescent="0.25">
      <c r="A2477" s="1"/>
      <c r="B2477" s="17"/>
      <c r="C2477" s="17"/>
      <c r="D2477" s="17"/>
      <c r="E2477" s="17"/>
      <c r="F2477" s="17"/>
      <c r="G2477" s="4">
        <f t="shared" si="80"/>
        <v>0</v>
      </c>
      <c r="H2477" s="17"/>
      <c r="I2477" s="4">
        <f t="shared" si="78"/>
        <v>349526.07999999996</v>
      </c>
      <c r="J2477" s="32" t="str">
        <f t="shared" si="79"/>
        <v/>
      </c>
      <c r="K2477" s="79"/>
      <c r="L2477" s="79"/>
      <c r="M2477" s="2"/>
      <c r="N2477" s="5"/>
      <c r="O2477" s="3"/>
      <c r="P2477" s="6"/>
      <c r="Q2477" s="6"/>
    </row>
    <row r="2478" spans="1:17" ht="15" customHeight="1" x14ac:dyDescent="0.25">
      <c r="A2478" s="1"/>
      <c r="B2478" s="17"/>
      <c r="C2478" s="17"/>
      <c r="D2478" s="17"/>
      <c r="E2478" s="17"/>
      <c r="F2478" s="17"/>
      <c r="G2478" s="4">
        <f t="shared" si="80"/>
        <v>0</v>
      </c>
      <c r="H2478" s="17"/>
      <c r="I2478" s="4">
        <f t="shared" si="78"/>
        <v>349526.07999999996</v>
      </c>
      <c r="J2478" s="32" t="str">
        <f t="shared" si="79"/>
        <v/>
      </c>
      <c r="K2478" s="79"/>
      <c r="L2478" s="79"/>
      <c r="M2478" s="2"/>
      <c r="N2478" s="5"/>
      <c r="O2478" s="3"/>
      <c r="P2478" s="6"/>
      <c r="Q2478" s="6"/>
    </row>
    <row r="2479" spans="1:17" ht="15" customHeight="1" x14ac:dyDescent="0.25">
      <c r="A2479" s="1"/>
      <c r="B2479" s="17"/>
      <c r="C2479" s="17"/>
      <c r="D2479" s="17"/>
      <c r="E2479" s="17"/>
      <c r="F2479" s="17"/>
      <c r="G2479" s="4">
        <f t="shared" si="80"/>
        <v>0</v>
      </c>
      <c r="H2479" s="17"/>
      <c r="I2479" s="4">
        <f t="shared" si="78"/>
        <v>349526.07999999996</v>
      </c>
      <c r="J2479" s="32" t="str">
        <f t="shared" si="79"/>
        <v/>
      </c>
      <c r="K2479" s="79"/>
      <c r="L2479" s="79"/>
      <c r="M2479" s="2"/>
      <c r="N2479" s="5"/>
      <c r="O2479" s="3"/>
      <c r="P2479" s="6"/>
      <c r="Q2479" s="6"/>
    </row>
    <row r="2480" spans="1:17" ht="15" customHeight="1" x14ac:dyDescent="0.25">
      <c r="A2480" s="1"/>
      <c r="B2480" s="17"/>
      <c r="C2480" s="17"/>
      <c r="D2480" s="17"/>
      <c r="E2480" s="17"/>
      <c r="F2480" s="17"/>
      <c r="G2480" s="4">
        <f t="shared" si="80"/>
        <v>0</v>
      </c>
      <c r="H2480" s="17"/>
      <c r="I2480" s="4">
        <f t="shared" si="78"/>
        <v>349526.07999999996</v>
      </c>
      <c r="J2480" s="32" t="str">
        <f t="shared" si="79"/>
        <v/>
      </c>
      <c r="K2480" s="79"/>
      <c r="L2480" s="79"/>
      <c r="M2480" s="2"/>
      <c r="N2480" s="5"/>
      <c r="O2480" s="3"/>
      <c r="P2480" s="6"/>
      <c r="Q2480" s="6"/>
    </row>
    <row r="2481" spans="1:17" ht="15" customHeight="1" x14ac:dyDescent="0.25">
      <c r="A2481" s="1"/>
      <c r="B2481" s="17"/>
      <c r="C2481" s="17"/>
      <c r="D2481" s="17"/>
      <c r="E2481" s="17"/>
      <c r="F2481" s="17"/>
      <c r="G2481" s="4">
        <f t="shared" si="80"/>
        <v>0</v>
      </c>
      <c r="H2481" s="17"/>
      <c r="I2481" s="4">
        <f t="shared" si="78"/>
        <v>349526.07999999996</v>
      </c>
      <c r="J2481" s="32" t="str">
        <f t="shared" si="79"/>
        <v/>
      </c>
      <c r="K2481" s="79"/>
      <c r="L2481" s="79"/>
      <c r="M2481" s="2"/>
      <c r="N2481" s="5"/>
      <c r="O2481" s="3"/>
      <c r="P2481" s="6"/>
      <c r="Q2481" s="6"/>
    </row>
    <row r="2482" spans="1:17" ht="15" customHeight="1" x14ac:dyDescent="0.25">
      <c r="A2482" s="1"/>
      <c r="B2482" s="17"/>
      <c r="C2482" s="17"/>
      <c r="D2482" s="17"/>
      <c r="E2482" s="17"/>
      <c r="F2482" s="17"/>
      <c r="G2482" s="4">
        <f t="shared" si="80"/>
        <v>0</v>
      </c>
      <c r="H2482" s="17"/>
      <c r="I2482" s="4">
        <f t="shared" si="78"/>
        <v>349526.07999999996</v>
      </c>
      <c r="J2482" s="32" t="str">
        <f t="shared" si="79"/>
        <v/>
      </c>
      <c r="K2482" s="79"/>
      <c r="L2482" s="79"/>
      <c r="M2482" s="2"/>
      <c r="N2482" s="5"/>
      <c r="O2482" s="3"/>
      <c r="P2482" s="6"/>
      <c r="Q2482" s="6"/>
    </row>
    <row r="2483" spans="1:17" ht="15" customHeight="1" x14ac:dyDescent="0.25">
      <c r="A2483" s="1"/>
      <c r="B2483" s="17"/>
      <c r="C2483" s="17"/>
      <c r="D2483" s="17"/>
      <c r="E2483" s="17"/>
      <c r="F2483" s="17"/>
      <c r="G2483" s="4">
        <f t="shared" si="80"/>
        <v>0</v>
      </c>
      <c r="H2483" s="17"/>
      <c r="I2483" s="4">
        <f t="shared" si="78"/>
        <v>349526.07999999996</v>
      </c>
      <c r="J2483" s="32" t="str">
        <f t="shared" si="79"/>
        <v/>
      </c>
      <c r="K2483" s="79"/>
      <c r="L2483" s="79"/>
      <c r="M2483" s="2"/>
      <c r="N2483" s="5"/>
      <c r="O2483" s="3"/>
      <c r="P2483" s="6"/>
      <c r="Q2483" s="6"/>
    </row>
    <row r="2484" spans="1:17" ht="15" customHeight="1" x14ac:dyDescent="0.25">
      <c r="A2484" s="1"/>
      <c r="B2484" s="17"/>
      <c r="C2484" s="17"/>
      <c r="D2484" s="17"/>
      <c r="E2484" s="17"/>
      <c r="F2484" s="17"/>
      <c r="G2484" s="4">
        <f t="shared" si="80"/>
        <v>0</v>
      </c>
      <c r="H2484" s="17"/>
      <c r="I2484" s="4">
        <f t="shared" si="78"/>
        <v>349526.07999999996</v>
      </c>
      <c r="J2484" s="32" t="str">
        <f t="shared" si="79"/>
        <v/>
      </c>
      <c r="K2484" s="79"/>
      <c r="L2484" s="79"/>
      <c r="M2484" s="2"/>
      <c r="N2484" s="5"/>
      <c r="O2484" s="3"/>
      <c r="P2484" s="6"/>
      <c r="Q2484" s="6"/>
    </row>
    <row r="2485" spans="1:17" ht="15" customHeight="1" x14ac:dyDescent="0.25">
      <c r="A2485" s="1"/>
      <c r="B2485" s="17"/>
      <c r="C2485" s="17"/>
      <c r="D2485" s="17"/>
      <c r="E2485" s="17"/>
      <c r="F2485" s="17"/>
      <c r="G2485" s="4">
        <f t="shared" si="80"/>
        <v>0</v>
      </c>
      <c r="H2485" s="17"/>
      <c r="I2485" s="4">
        <f t="shared" si="78"/>
        <v>349526.07999999996</v>
      </c>
      <c r="J2485" s="32" t="str">
        <f t="shared" si="79"/>
        <v/>
      </c>
      <c r="K2485" s="79"/>
      <c r="L2485" s="79"/>
      <c r="M2485" s="2"/>
      <c r="N2485" s="5"/>
      <c r="O2485" s="3"/>
      <c r="P2485" s="6"/>
      <c r="Q2485" s="6"/>
    </row>
    <row r="2486" spans="1:17" ht="15" customHeight="1" x14ac:dyDescent="0.25">
      <c r="A2486" s="1"/>
      <c r="B2486" s="17"/>
      <c r="C2486" s="17"/>
      <c r="D2486" s="17"/>
      <c r="E2486" s="17"/>
      <c r="F2486" s="17"/>
      <c r="G2486" s="4">
        <f t="shared" si="80"/>
        <v>0</v>
      </c>
      <c r="H2486" s="17"/>
      <c r="I2486" s="4">
        <f t="shared" ref="I2486:I2549" si="81">$I2485+$G2486-$H2486</f>
        <v>349526.07999999996</v>
      </c>
      <c r="J2486" s="32" t="str">
        <f t="shared" ref="J2486:J2549" si="82">IF($A2487&lt;&gt;$A2486,$I2486,"")</f>
        <v/>
      </c>
      <c r="K2486" s="79"/>
      <c r="L2486" s="79"/>
      <c r="M2486" s="2"/>
      <c r="N2486" s="5"/>
      <c r="O2486" s="3"/>
      <c r="P2486" s="6"/>
      <c r="Q2486" s="6"/>
    </row>
    <row r="2487" spans="1:17" ht="15" customHeight="1" x14ac:dyDescent="0.25">
      <c r="A2487" s="1"/>
      <c r="B2487" s="17"/>
      <c r="C2487" s="17"/>
      <c r="D2487" s="17"/>
      <c r="E2487" s="17"/>
      <c r="F2487" s="17"/>
      <c r="G2487" s="4">
        <f t="shared" si="80"/>
        <v>0</v>
      </c>
      <c r="H2487" s="17"/>
      <c r="I2487" s="4">
        <f t="shared" si="81"/>
        <v>349526.07999999996</v>
      </c>
      <c r="J2487" s="32" t="str">
        <f t="shared" si="82"/>
        <v/>
      </c>
      <c r="K2487" s="79"/>
      <c r="L2487" s="79"/>
      <c r="M2487" s="2"/>
      <c r="N2487" s="5"/>
      <c r="O2487" s="3"/>
      <c r="P2487" s="6"/>
      <c r="Q2487" s="6"/>
    </row>
    <row r="2488" spans="1:17" ht="15" customHeight="1" x14ac:dyDescent="0.25">
      <c r="A2488" s="1"/>
      <c r="B2488" s="17"/>
      <c r="C2488" s="17"/>
      <c r="D2488" s="17"/>
      <c r="E2488" s="17"/>
      <c r="F2488" s="17"/>
      <c r="G2488" s="4">
        <f t="shared" si="80"/>
        <v>0</v>
      </c>
      <c r="H2488" s="17"/>
      <c r="I2488" s="4">
        <f t="shared" si="81"/>
        <v>349526.07999999996</v>
      </c>
      <c r="J2488" s="32" t="str">
        <f t="shared" si="82"/>
        <v/>
      </c>
      <c r="K2488" s="79"/>
      <c r="L2488" s="79"/>
      <c r="M2488" s="2"/>
      <c r="N2488" s="5"/>
      <c r="O2488" s="3"/>
      <c r="P2488" s="6"/>
      <c r="Q2488" s="6"/>
    </row>
    <row r="2489" spans="1:17" ht="15" customHeight="1" x14ac:dyDescent="0.25">
      <c r="A2489" s="1"/>
      <c r="B2489" s="17"/>
      <c r="C2489" s="17"/>
      <c r="D2489" s="17"/>
      <c r="E2489" s="17"/>
      <c r="F2489" s="17"/>
      <c r="G2489" s="4">
        <f t="shared" si="80"/>
        <v>0</v>
      </c>
      <c r="H2489" s="17"/>
      <c r="I2489" s="4">
        <f t="shared" si="81"/>
        <v>349526.07999999996</v>
      </c>
      <c r="J2489" s="32" t="str">
        <f t="shared" si="82"/>
        <v/>
      </c>
      <c r="K2489" s="79"/>
      <c r="L2489" s="79"/>
      <c r="M2489" s="2"/>
      <c r="N2489" s="5"/>
      <c r="O2489" s="3"/>
      <c r="P2489" s="6"/>
      <c r="Q2489" s="6"/>
    </row>
    <row r="2490" spans="1:17" ht="15" customHeight="1" x14ac:dyDescent="0.25">
      <c r="A2490" s="1"/>
      <c r="B2490" s="17"/>
      <c r="C2490" s="17"/>
      <c r="D2490" s="17"/>
      <c r="E2490" s="17"/>
      <c r="F2490" s="17"/>
      <c r="G2490" s="4">
        <f t="shared" si="80"/>
        <v>0</v>
      </c>
      <c r="H2490" s="17"/>
      <c r="I2490" s="4">
        <f t="shared" si="81"/>
        <v>349526.07999999996</v>
      </c>
      <c r="J2490" s="32" t="str">
        <f t="shared" si="82"/>
        <v/>
      </c>
      <c r="K2490" s="79"/>
      <c r="L2490" s="79"/>
      <c r="M2490" s="2"/>
      <c r="N2490" s="5"/>
      <c r="O2490" s="3"/>
      <c r="P2490" s="6"/>
      <c r="Q2490" s="6"/>
    </row>
    <row r="2491" spans="1:17" ht="15" customHeight="1" x14ac:dyDescent="0.25">
      <c r="A2491" s="1"/>
      <c r="B2491" s="17"/>
      <c r="C2491" s="17"/>
      <c r="D2491" s="17"/>
      <c r="E2491" s="17"/>
      <c r="F2491" s="17"/>
      <c r="G2491" s="4">
        <f t="shared" si="80"/>
        <v>0</v>
      </c>
      <c r="H2491" s="17"/>
      <c r="I2491" s="4">
        <f t="shared" si="81"/>
        <v>349526.07999999996</v>
      </c>
      <c r="J2491" s="32" t="str">
        <f t="shared" si="82"/>
        <v/>
      </c>
      <c r="K2491" s="79"/>
      <c r="L2491" s="79"/>
      <c r="M2491" s="2"/>
      <c r="N2491" s="5"/>
      <c r="O2491" s="3"/>
      <c r="P2491" s="6"/>
      <c r="Q2491" s="6"/>
    </row>
    <row r="2492" spans="1:17" ht="15" customHeight="1" x14ac:dyDescent="0.25">
      <c r="A2492" s="1"/>
      <c r="B2492" s="17"/>
      <c r="C2492" s="17"/>
      <c r="D2492" s="17"/>
      <c r="E2492" s="17"/>
      <c r="F2492" s="17"/>
      <c r="G2492" s="4">
        <f t="shared" si="80"/>
        <v>0</v>
      </c>
      <c r="H2492" s="17"/>
      <c r="I2492" s="4">
        <f t="shared" si="81"/>
        <v>349526.07999999996</v>
      </c>
      <c r="J2492" s="32" t="str">
        <f t="shared" si="82"/>
        <v/>
      </c>
      <c r="K2492" s="79"/>
      <c r="L2492" s="79"/>
      <c r="M2492" s="2"/>
      <c r="N2492" s="5"/>
      <c r="O2492" s="3"/>
      <c r="P2492" s="6"/>
      <c r="Q2492" s="6"/>
    </row>
    <row r="2493" spans="1:17" ht="15" customHeight="1" x14ac:dyDescent="0.25">
      <c r="A2493" s="1"/>
      <c r="B2493" s="17"/>
      <c r="C2493" s="17"/>
      <c r="D2493" s="17"/>
      <c r="E2493" s="17"/>
      <c r="F2493" s="17"/>
      <c r="G2493" s="4">
        <f t="shared" si="80"/>
        <v>0</v>
      </c>
      <c r="H2493" s="17"/>
      <c r="I2493" s="4">
        <f t="shared" si="81"/>
        <v>349526.07999999996</v>
      </c>
      <c r="J2493" s="32" t="str">
        <f t="shared" si="82"/>
        <v/>
      </c>
      <c r="K2493" s="79"/>
      <c r="L2493" s="79"/>
      <c r="M2493" s="2"/>
      <c r="N2493" s="5"/>
      <c r="O2493" s="3"/>
      <c r="P2493" s="6"/>
      <c r="Q2493" s="6"/>
    </row>
    <row r="2494" spans="1:17" ht="15" customHeight="1" x14ac:dyDescent="0.25">
      <c r="A2494" s="1"/>
      <c r="B2494" s="17"/>
      <c r="C2494" s="17"/>
      <c r="D2494" s="17"/>
      <c r="E2494" s="17"/>
      <c r="F2494" s="17"/>
      <c r="G2494" s="4">
        <f t="shared" si="80"/>
        <v>0</v>
      </c>
      <c r="H2494" s="17"/>
      <c r="I2494" s="4">
        <f t="shared" si="81"/>
        <v>349526.07999999996</v>
      </c>
      <c r="J2494" s="32" t="str">
        <f t="shared" si="82"/>
        <v/>
      </c>
      <c r="K2494" s="79"/>
      <c r="L2494" s="79"/>
      <c r="M2494" s="2"/>
      <c r="N2494" s="5"/>
      <c r="O2494" s="3"/>
      <c r="P2494" s="6"/>
      <c r="Q2494" s="6"/>
    </row>
    <row r="2495" spans="1:17" ht="15" customHeight="1" x14ac:dyDescent="0.25">
      <c r="A2495" s="1"/>
      <c r="B2495" s="17"/>
      <c r="C2495" s="17"/>
      <c r="D2495" s="17"/>
      <c r="E2495" s="17"/>
      <c r="F2495" s="17"/>
      <c r="G2495" s="4">
        <f t="shared" si="80"/>
        <v>0</v>
      </c>
      <c r="H2495" s="17"/>
      <c r="I2495" s="4">
        <f t="shared" si="81"/>
        <v>349526.07999999996</v>
      </c>
      <c r="J2495" s="32" t="str">
        <f t="shared" si="82"/>
        <v/>
      </c>
      <c r="K2495" s="79"/>
      <c r="L2495" s="79"/>
      <c r="M2495" s="2"/>
      <c r="N2495" s="5"/>
      <c r="O2495" s="3"/>
      <c r="P2495" s="6"/>
      <c r="Q2495" s="6"/>
    </row>
    <row r="2496" spans="1:17" ht="15" customHeight="1" x14ac:dyDescent="0.25">
      <c r="A2496" s="1"/>
      <c r="B2496" s="17"/>
      <c r="C2496" s="17"/>
      <c r="D2496" s="17"/>
      <c r="E2496" s="17"/>
      <c r="F2496" s="17"/>
      <c r="G2496" s="4">
        <f t="shared" si="80"/>
        <v>0</v>
      </c>
      <c r="H2496" s="17"/>
      <c r="I2496" s="4">
        <f t="shared" si="81"/>
        <v>349526.07999999996</v>
      </c>
      <c r="J2496" s="32" t="str">
        <f t="shared" si="82"/>
        <v/>
      </c>
      <c r="K2496" s="79"/>
      <c r="L2496" s="79"/>
      <c r="M2496" s="2"/>
      <c r="N2496" s="5"/>
      <c r="O2496" s="3"/>
      <c r="P2496" s="6"/>
      <c r="Q2496" s="6"/>
    </row>
    <row r="2497" spans="1:17" ht="15" customHeight="1" x14ac:dyDescent="0.25">
      <c r="A2497" s="1"/>
      <c r="B2497" s="17"/>
      <c r="C2497" s="17"/>
      <c r="D2497" s="17"/>
      <c r="E2497" s="17"/>
      <c r="F2497" s="17"/>
      <c r="G2497" s="4">
        <f t="shared" si="80"/>
        <v>0</v>
      </c>
      <c r="H2497" s="17"/>
      <c r="I2497" s="4">
        <f t="shared" si="81"/>
        <v>349526.07999999996</v>
      </c>
      <c r="J2497" s="32" t="str">
        <f t="shared" si="82"/>
        <v/>
      </c>
      <c r="K2497" s="79"/>
      <c r="L2497" s="79"/>
      <c r="M2497" s="2"/>
      <c r="N2497" s="5"/>
      <c r="O2497" s="3"/>
      <c r="P2497" s="6"/>
      <c r="Q2497" s="6"/>
    </row>
    <row r="2498" spans="1:17" ht="15" customHeight="1" x14ac:dyDescent="0.25">
      <c r="A2498" s="1"/>
      <c r="B2498" s="17"/>
      <c r="C2498" s="17"/>
      <c r="D2498" s="17"/>
      <c r="E2498" s="17"/>
      <c r="F2498" s="17"/>
      <c r="G2498" s="4">
        <f t="shared" si="80"/>
        <v>0</v>
      </c>
      <c r="H2498" s="17"/>
      <c r="I2498" s="4">
        <f t="shared" si="81"/>
        <v>349526.07999999996</v>
      </c>
      <c r="J2498" s="32" t="str">
        <f t="shared" si="82"/>
        <v/>
      </c>
      <c r="K2498" s="79"/>
      <c r="L2498" s="79"/>
      <c r="M2498" s="2"/>
      <c r="N2498" s="5"/>
      <c r="O2498" s="3"/>
      <c r="P2498" s="6"/>
      <c r="Q2498" s="6"/>
    </row>
    <row r="2499" spans="1:17" ht="15" customHeight="1" x14ac:dyDescent="0.25">
      <c r="A2499" s="1"/>
      <c r="B2499" s="17"/>
      <c r="C2499" s="17"/>
      <c r="D2499" s="17"/>
      <c r="E2499" s="17"/>
      <c r="F2499" s="17"/>
      <c r="G2499" s="4">
        <f t="shared" ref="G2499:G2562" si="83">SUM($B2499:$F2499)</f>
        <v>0</v>
      </c>
      <c r="H2499" s="17"/>
      <c r="I2499" s="4">
        <f t="shared" si="81"/>
        <v>349526.07999999996</v>
      </c>
      <c r="J2499" s="32" t="str">
        <f t="shared" si="82"/>
        <v/>
      </c>
      <c r="K2499" s="79"/>
      <c r="L2499" s="79"/>
      <c r="M2499" s="2"/>
      <c r="N2499" s="5"/>
      <c r="O2499" s="3"/>
      <c r="P2499" s="6"/>
      <c r="Q2499" s="6"/>
    </row>
    <row r="2500" spans="1:17" ht="15" customHeight="1" x14ac:dyDescent="0.25">
      <c r="A2500" s="1"/>
      <c r="B2500" s="17"/>
      <c r="C2500" s="17"/>
      <c r="D2500" s="17"/>
      <c r="E2500" s="17"/>
      <c r="F2500" s="17"/>
      <c r="G2500" s="4">
        <f t="shared" si="83"/>
        <v>0</v>
      </c>
      <c r="H2500" s="17"/>
      <c r="I2500" s="4">
        <f t="shared" si="81"/>
        <v>349526.07999999996</v>
      </c>
      <c r="J2500" s="32" t="str">
        <f t="shared" si="82"/>
        <v/>
      </c>
      <c r="K2500" s="79"/>
      <c r="L2500" s="79"/>
      <c r="M2500" s="2"/>
      <c r="N2500" s="5"/>
      <c r="O2500" s="3"/>
      <c r="P2500" s="6"/>
      <c r="Q2500" s="6"/>
    </row>
    <row r="2501" spans="1:17" ht="15" customHeight="1" x14ac:dyDescent="0.25">
      <c r="A2501" s="1"/>
      <c r="B2501" s="17"/>
      <c r="C2501" s="17"/>
      <c r="D2501" s="17"/>
      <c r="E2501" s="17"/>
      <c r="F2501" s="17"/>
      <c r="G2501" s="4">
        <f t="shared" si="83"/>
        <v>0</v>
      </c>
      <c r="H2501" s="17"/>
      <c r="I2501" s="4">
        <f t="shared" si="81"/>
        <v>349526.07999999996</v>
      </c>
      <c r="J2501" s="32" t="str">
        <f t="shared" si="82"/>
        <v/>
      </c>
      <c r="K2501" s="79"/>
      <c r="L2501" s="79"/>
      <c r="M2501" s="2"/>
      <c r="N2501" s="5"/>
      <c r="O2501" s="3"/>
      <c r="P2501" s="6"/>
      <c r="Q2501" s="6"/>
    </row>
    <row r="2502" spans="1:17" ht="15" customHeight="1" x14ac:dyDescent="0.25">
      <c r="A2502" s="1"/>
      <c r="B2502" s="17"/>
      <c r="C2502" s="17"/>
      <c r="D2502" s="17"/>
      <c r="E2502" s="17"/>
      <c r="F2502" s="17"/>
      <c r="G2502" s="4">
        <f t="shared" si="83"/>
        <v>0</v>
      </c>
      <c r="H2502" s="17"/>
      <c r="I2502" s="4">
        <f t="shared" si="81"/>
        <v>349526.07999999996</v>
      </c>
      <c r="J2502" s="32" t="str">
        <f t="shared" si="82"/>
        <v/>
      </c>
      <c r="K2502" s="79"/>
      <c r="L2502" s="79"/>
      <c r="M2502" s="2"/>
      <c r="N2502" s="5"/>
      <c r="O2502" s="3"/>
      <c r="P2502" s="6"/>
      <c r="Q2502" s="6"/>
    </row>
    <row r="2503" spans="1:17" ht="15" customHeight="1" x14ac:dyDescent="0.25">
      <c r="A2503" s="1"/>
      <c r="B2503" s="17"/>
      <c r="C2503" s="17"/>
      <c r="D2503" s="17"/>
      <c r="E2503" s="17"/>
      <c r="F2503" s="17"/>
      <c r="G2503" s="4">
        <f t="shared" si="83"/>
        <v>0</v>
      </c>
      <c r="H2503" s="17"/>
      <c r="I2503" s="4">
        <f t="shared" si="81"/>
        <v>349526.07999999996</v>
      </c>
      <c r="J2503" s="32" t="str">
        <f t="shared" si="82"/>
        <v/>
      </c>
      <c r="K2503" s="79"/>
      <c r="L2503" s="79"/>
      <c r="M2503" s="2"/>
      <c r="N2503" s="5"/>
      <c r="O2503" s="3"/>
      <c r="P2503" s="6"/>
      <c r="Q2503" s="6"/>
    </row>
    <row r="2504" spans="1:17" ht="15" customHeight="1" x14ac:dyDescent="0.25">
      <c r="A2504" s="1"/>
      <c r="B2504" s="17"/>
      <c r="C2504" s="17"/>
      <c r="D2504" s="17"/>
      <c r="E2504" s="17"/>
      <c r="F2504" s="17"/>
      <c r="G2504" s="4">
        <f t="shared" si="83"/>
        <v>0</v>
      </c>
      <c r="H2504" s="17"/>
      <c r="I2504" s="4">
        <f t="shared" si="81"/>
        <v>349526.07999999996</v>
      </c>
      <c r="J2504" s="32" t="str">
        <f t="shared" si="82"/>
        <v/>
      </c>
      <c r="K2504" s="79"/>
      <c r="L2504" s="79"/>
      <c r="M2504" s="2"/>
      <c r="N2504" s="5"/>
      <c r="O2504" s="3"/>
      <c r="P2504" s="6"/>
      <c r="Q2504" s="6"/>
    </row>
    <row r="2505" spans="1:17" ht="15" customHeight="1" x14ac:dyDescent="0.25">
      <c r="A2505" s="1"/>
      <c r="B2505" s="17"/>
      <c r="C2505" s="17"/>
      <c r="D2505" s="17"/>
      <c r="E2505" s="17"/>
      <c r="F2505" s="17"/>
      <c r="G2505" s="4">
        <f t="shared" si="83"/>
        <v>0</v>
      </c>
      <c r="H2505" s="17"/>
      <c r="I2505" s="4">
        <f t="shared" si="81"/>
        <v>349526.07999999996</v>
      </c>
      <c r="J2505" s="32" t="str">
        <f t="shared" si="82"/>
        <v/>
      </c>
      <c r="K2505" s="79"/>
      <c r="L2505" s="79"/>
      <c r="M2505" s="2"/>
      <c r="N2505" s="5"/>
      <c r="O2505" s="3"/>
      <c r="P2505" s="6"/>
      <c r="Q2505" s="6"/>
    </row>
    <row r="2506" spans="1:17" ht="15" customHeight="1" x14ac:dyDescent="0.25">
      <c r="A2506" s="1"/>
      <c r="B2506" s="17"/>
      <c r="C2506" s="17"/>
      <c r="D2506" s="17"/>
      <c r="E2506" s="17"/>
      <c r="F2506" s="17"/>
      <c r="G2506" s="4">
        <f t="shared" si="83"/>
        <v>0</v>
      </c>
      <c r="H2506" s="17"/>
      <c r="I2506" s="4">
        <f t="shared" si="81"/>
        <v>349526.07999999996</v>
      </c>
      <c r="J2506" s="32" t="str">
        <f t="shared" si="82"/>
        <v/>
      </c>
      <c r="K2506" s="79"/>
      <c r="L2506" s="79"/>
      <c r="M2506" s="2"/>
      <c r="N2506" s="5"/>
      <c r="O2506" s="3"/>
      <c r="P2506" s="6"/>
      <c r="Q2506" s="6"/>
    </row>
    <row r="2507" spans="1:17" ht="15" customHeight="1" x14ac:dyDescent="0.25">
      <c r="A2507" s="1"/>
      <c r="B2507" s="17"/>
      <c r="C2507" s="17"/>
      <c r="D2507" s="17"/>
      <c r="E2507" s="17"/>
      <c r="F2507" s="17"/>
      <c r="G2507" s="4">
        <f t="shared" si="83"/>
        <v>0</v>
      </c>
      <c r="H2507" s="17"/>
      <c r="I2507" s="4">
        <f t="shared" si="81"/>
        <v>349526.07999999996</v>
      </c>
      <c r="J2507" s="32" t="str">
        <f t="shared" si="82"/>
        <v/>
      </c>
      <c r="K2507" s="79"/>
      <c r="L2507" s="79"/>
      <c r="M2507" s="2"/>
      <c r="N2507" s="5"/>
      <c r="O2507" s="3"/>
      <c r="P2507" s="6"/>
      <c r="Q2507" s="6"/>
    </row>
    <row r="2508" spans="1:17" ht="15" customHeight="1" x14ac:dyDescent="0.25">
      <c r="A2508" s="1"/>
      <c r="B2508" s="17"/>
      <c r="C2508" s="17"/>
      <c r="D2508" s="17"/>
      <c r="E2508" s="17"/>
      <c r="F2508" s="17"/>
      <c r="G2508" s="4">
        <f t="shared" si="83"/>
        <v>0</v>
      </c>
      <c r="H2508" s="17"/>
      <c r="I2508" s="4">
        <f t="shared" si="81"/>
        <v>349526.07999999996</v>
      </c>
      <c r="J2508" s="32" t="str">
        <f t="shared" si="82"/>
        <v/>
      </c>
      <c r="K2508" s="79"/>
      <c r="L2508" s="79"/>
      <c r="M2508" s="2"/>
      <c r="N2508" s="5"/>
      <c r="O2508" s="3"/>
      <c r="P2508" s="6"/>
      <c r="Q2508" s="6"/>
    </row>
    <row r="2509" spans="1:17" ht="15" customHeight="1" x14ac:dyDescent="0.25">
      <c r="A2509" s="1"/>
      <c r="B2509" s="17"/>
      <c r="C2509" s="17"/>
      <c r="D2509" s="17"/>
      <c r="E2509" s="17"/>
      <c r="F2509" s="17"/>
      <c r="G2509" s="4">
        <f t="shared" si="83"/>
        <v>0</v>
      </c>
      <c r="H2509" s="17"/>
      <c r="I2509" s="4">
        <f t="shared" si="81"/>
        <v>349526.07999999996</v>
      </c>
      <c r="J2509" s="32" t="str">
        <f t="shared" si="82"/>
        <v/>
      </c>
      <c r="K2509" s="79"/>
      <c r="L2509" s="79"/>
      <c r="M2509" s="2"/>
      <c r="N2509" s="5"/>
      <c r="O2509" s="3"/>
      <c r="P2509" s="6"/>
      <c r="Q2509" s="6"/>
    </row>
    <row r="2510" spans="1:17" ht="15" customHeight="1" x14ac:dyDescent="0.25">
      <c r="A2510" s="1"/>
      <c r="B2510" s="17"/>
      <c r="C2510" s="17"/>
      <c r="D2510" s="17"/>
      <c r="E2510" s="17"/>
      <c r="F2510" s="17"/>
      <c r="G2510" s="4">
        <f t="shared" si="83"/>
        <v>0</v>
      </c>
      <c r="H2510" s="17"/>
      <c r="I2510" s="4">
        <f t="shared" si="81"/>
        <v>349526.07999999996</v>
      </c>
      <c r="J2510" s="32" t="str">
        <f t="shared" si="82"/>
        <v/>
      </c>
      <c r="K2510" s="79"/>
      <c r="L2510" s="79"/>
      <c r="M2510" s="2"/>
      <c r="N2510" s="5"/>
      <c r="O2510" s="3"/>
      <c r="P2510" s="6"/>
      <c r="Q2510" s="6"/>
    </row>
    <row r="2511" spans="1:17" ht="15" customHeight="1" x14ac:dyDescent="0.25">
      <c r="A2511" s="1"/>
      <c r="B2511" s="17"/>
      <c r="C2511" s="17"/>
      <c r="D2511" s="17"/>
      <c r="E2511" s="17"/>
      <c r="F2511" s="17"/>
      <c r="G2511" s="4">
        <f t="shared" si="83"/>
        <v>0</v>
      </c>
      <c r="H2511" s="17"/>
      <c r="I2511" s="4">
        <f t="shared" si="81"/>
        <v>349526.07999999996</v>
      </c>
      <c r="J2511" s="32" t="str">
        <f t="shared" si="82"/>
        <v/>
      </c>
      <c r="K2511" s="79"/>
      <c r="L2511" s="79"/>
      <c r="M2511" s="2"/>
      <c r="N2511" s="5"/>
      <c r="O2511" s="3"/>
      <c r="P2511" s="6"/>
      <c r="Q2511" s="6"/>
    </row>
    <row r="2512" spans="1:17" ht="15" customHeight="1" x14ac:dyDescent="0.25">
      <c r="A2512" s="1"/>
      <c r="B2512" s="17"/>
      <c r="C2512" s="17"/>
      <c r="D2512" s="17"/>
      <c r="E2512" s="17"/>
      <c r="F2512" s="17"/>
      <c r="G2512" s="4">
        <f t="shared" si="83"/>
        <v>0</v>
      </c>
      <c r="H2512" s="17"/>
      <c r="I2512" s="4">
        <f t="shared" si="81"/>
        <v>349526.07999999996</v>
      </c>
      <c r="J2512" s="32" t="str">
        <f t="shared" si="82"/>
        <v/>
      </c>
      <c r="K2512" s="79"/>
      <c r="L2512" s="79"/>
      <c r="M2512" s="2"/>
      <c r="N2512" s="5"/>
      <c r="O2512" s="3"/>
      <c r="P2512" s="6"/>
      <c r="Q2512" s="6"/>
    </row>
    <row r="2513" spans="1:17" ht="15" customHeight="1" x14ac:dyDescent="0.25">
      <c r="A2513" s="1"/>
      <c r="B2513" s="17"/>
      <c r="C2513" s="17"/>
      <c r="D2513" s="17"/>
      <c r="E2513" s="17"/>
      <c r="F2513" s="17"/>
      <c r="G2513" s="4">
        <f t="shared" si="83"/>
        <v>0</v>
      </c>
      <c r="H2513" s="17"/>
      <c r="I2513" s="4">
        <f t="shared" si="81"/>
        <v>349526.07999999996</v>
      </c>
      <c r="J2513" s="32" t="str">
        <f t="shared" si="82"/>
        <v/>
      </c>
      <c r="K2513" s="79"/>
      <c r="L2513" s="79"/>
      <c r="M2513" s="2"/>
      <c r="N2513" s="5"/>
      <c r="O2513" s="3"/>
      <c r="P2513" s="6"/>
      <c r="Q2513" s="6"/>
    </row>
    <row r="2514" spans="1:17" ht="15" customHeight="1" x14ac:dyDescent="0.25">
      <c r="A2514" s="1"/>
      <c r="B2514" s="17"/>
      <c r="C2514" s="17"/>
      <c r="D2514" s="17"/>
      <c r="E2514" s="17"/>
      <c r="F2514" s="17"/>
      <c r="G2514" s="4">
        <f t="shared" si="83"/>
        <v>0</v>
      </c>
      <c r="H2514" s="17"/>
      <c r="I2514" s="4">
        <f t="shared" si="81"/>
        <v>349526.07999999996</v>
      </c>
      <c r="J2514" s="32" t="str">
        <f t="shared" si="82"/>
        <v/>
      </c>
      <c r="K2514" s="79"/>
      <c r="L2514" s="79"/>
      <c r="M2514" s="2"/>
      <c r="N2514" s="5"/>
      <c r="O2514" s="3"/>
      <c r="P2514" s="6"/>
      <c r="Q2514" s="6"/>
    </row>
    <row r="2515" spans="1:17" ht="15" customHeight="1" x14ac:dyDescent="0.25">
      <c r="A2515" s="1"/>
      <c r="B2515" s="17"/>
      <c r="C2515" s="17"/>
      <c r="D2515" s="17"/>
      <c r="E2515" s="17"/>
      <c r="F2515" s="17"/>
      <c r="G2515" s="4">
        <f t="shared" si="83"/>
        <v>0</v>
      </c>
      <c r="H2515" s="17"/>
      <c r="I2515" s="4">
        <f t="shared" si="81"/>
        <v>349526.07999999996</v>
      </c>
      <c r="J2515" s="32" t="str">
        <f t="shared" si="82"/>
        <v/>
      </c>
      <c r="K2515" s="79"/>
      <c r="L2515" s="79"/>
      <c r="M2515" s="2"/>
      <c r="N2515" s="5"/>
      <c r="O2515" s="3"/>
      <c r="P2515" s="6"/>
      <c r="Q2515" s="6"/>
    </row>
    <row r="2516" spans="1:17" ht="15" customHeight="1" x14ac:dyDescent="0.25">
      <c r="A2516" s="1"/>
      <c r="B2516" s="17"/>
      <c r="C2516" s="17"/>
      <c r="D2516" s="17"/>
      <c r="E2516" s="17"/>
      <c r="F2516" s="17"/>
      <c r="G2516" s="4">
        <f t="shared" si="83"/>
        <v>0</v>
      </c>
      <c r="H2516" s="17"/>
      <c r="I2516" s="4">
        <f t="shared" si="81"/>
        <v>349526.07999999996</v>
      </c>
      <c r="J2516" s="32" t="str">
        <f t="shared" si="82"/>
        <v/>
      </c>
      <c r="K2516" s="79"/>
      <c r="L2516" s="79"/>
      <c r="M2516" s="2"/>
      <c r="N2516" s="5"/>
      <c r="O2516" s="3"/>
      <c r="P2516" s="6"/>
      <c r="Q2516" s="6"/>
    </row>
    <row r="2517" spans="1:17" ht="15" customHeight="1" x14ac:dyDescent="0.25">
      <c r="A2517" s="1"/>
      <c r="B2517" s="17"/>
      <c r="C2517" s="17"/>
      <c r="D2517" s="17"/>
      <c r="E2517" s="17"/>
      <c r="F2517" s="17"/>
      <c r="G2517" s="4">
        <f t="shared" si="83"/>
        <v>0</v>
      </c>
      <c r="H2517" s="17"/>
      <c r="I2517" s="4">
        <f t="shared" si="81"/>
        <v>349526.07999999996</v>
      </c>
      <c r="J2517" s="32" t="str">
        <f t="shared" si="82"/>
        <v/>
      </c>
      <c r="K2517" s="79"/>
      <c r="L2517" s="79"/>
      <c r="M2517" s="2"/>
      <c r="N2517" s="5"/>
      <c r="O2517" s="3"/>
      <c r="P2517" s="6"/>
      <c r="Q2517" s="6"/>
    </row>
    <row r="2518" spans="1:17" ht="15" customHeight="1" x14ac:dyDescent="0.25">
      <c r="A2518" s="1"/>
      <c r="B2518" s="17"/>
      <c r="C2518" s="17"/>
      <c r="D2518" s="17"/>
      <c r="E2518" s="17"/>
      <c r="F2518" s="17"/>
      <c r="G2518" s="4">
        <f t="shared" si="83"/>
        <v>0</v>
      </c>
      <c r="H2518" s="17"/>
      <c r="I2518" s="4">
        <f t="shared" si="81"/>
        <v>349526.07999999996</v>
      </c>
      <c r="J2518" s="32" t="str">
        <f t="shared" si="82"/>
        <v/>
      </c>
      <c r="K2518" s="79"/>
      <c r="L2518" s="79"/>
      <c r="M2518" s="2"/>
      <c r="N2518" s="5"/>
      <c r="O2518" s="3"/>
      <c r="P2518" s="6"/>
      <c r="Q2518" s="6"/>
    </row>
    <row r="2519" spans="1:17" ht="15" customHeight="1" x14ac:dyDescent="0.25">
      <c r="A2519" s="1"/>
      <c r="B2519" s="17"/>
      <c r="C2519" s="17"/>
      <c r="D2519" s="17"/>
      <c r="E2519" s="17"/>
      <c r="F2519" s="17"/>
      <c r="G2519" s="4">
        <f t="shared" si="83"/>
        <v>0</v>
      </c>
      <c r="H2519" s="17"/>
      <c r="I2519" s="4">
        <f t="shared" si="81"/>
        <v>349526.07999999996</v>
      </c>
      <c r="J2519" s="32" t="str">
        <f t="shared" si="82"/>
        <v/>
      </c>
      <c r="K2519" s="79"/>
      <c r="L2519" s="79"/>
      <c r="M2519" s="2"/>
      <c r="N2519" s="5"/>
      <c r="O2519" s="3"/>
      <c r="P2519" s="6"/>
      <c r="Q2519" s="6"/>
    </row>
    <row r="2520" spans="1:17" ht="15" customHeight="1" x14ac:dyDescent="0.25">
      <c r="A2520" s="1"/>
      <c r="B2520" s="17"/>
      <c r="C2520" s="17"/>
      <c r="D2520" s="17"/>
      <c r="E2520" s="17"/>
      <c r="F2520" s="17"/>
      <c r="G2520" s="4">
        <f t="shared" si="83"/>
        <v>0</v>
      </c>
      <c r="H2520" s="17"/>
      <c r="I2520" s="4">
        <f t="shared" si="81"/>
        <v>349526.07999999996</v>
      </c>
      <c r="J2520" s="32" t="str">
        <f t="shared" si="82"/>
        <v/>
      </c>
      <c r="K2520" s="79"/>
      <c r="L2520" s="79"/>
      <c r="M2520" s="2"/>
      <c r="N2520" s="5"/>
      <c r="O2520" s="3"/>
      <c r="P2520" s="6"/>
      <c r="Q2520" s="6"/>
    </row>
    <row r="2521" spans="1:17" ht="15" customHeight="1" x14ac:dyDescent="0.25">
      <c r="A2521" s="1"/>
      <c r="B2521" s="17"/>
      <c r="C2521" s="17"/>
      <c r="D2521" s="17"/>
      <c r="E2521" s="17"/>
      <c r="F2521" s="17"/>
      <c r="G2521" s="4">
        <f t="shared" si="83"/>
        <v>0</v>
      </c>
      <c r="H2521" s="17"/>
      <c r="I2521" s="4">
        <f t="shared" si="81"/>
        <v>349526.07999999996</v>
      </c>
      <c r="J2521" s="32" t="str">
        <f t="shared" si="82"/>
        <v/>
      </c>
      <c r="K2521" s="79"/>
      <c r="L2521" s="79"/>
      <c r="M2521" s="2"/>
      <c r="N2521" s="5"/>
      <c r="O2521" s="3"/>
      <c r="P2521" s="6"/>
      <c r="Q2521" s="6"/>
    </row>
    <row r="2522" spans="1:17" ht="15" customHeight="1" x14ac:dyDescent="0.25">
      <c r="A2522" s="1"/>
      <c r="B2522" s="17"/>
      <c r="C2522" s="17"/>
      <c r="D2522" s="17"/>
      <c r="E2522" s="17"/>
      <c r="F2522" s="17"/>
      <c r="G2522" s="4">
        <f t="shared" si="83"/>
        <v>0</v>
      </c>
      <c r="H2522" s="17"/>
      <c r="I2522" s="4">
        <f t="shared" si="81"/>
        <v>349526.07999999996</v>
      </c>
      <c r="J2522" s="32" t="str">
        <f t="shared" si="82"/>
        <v/>
      </c>
      <c r="K2522" s="79"/>
      <c r="L2522" s="79"/>
      <c r="M2522" s="2"/>
      <c r="N2522" s="5"/>
      <c r="O2522" s="3"/>
      <c r="P2522" s="6"/>
      <c r="Q2522" s="6"/>
    </row>
    <row r="2523" spans="1:17" ht="15" customHeight="1" x14ac:dyDescent="0.25">
      <c r="A2523" s="1"/>
      <c r="B2523" s="17"/>
      <c r="C2523" s="17"/>
      <c r="D2523" s="17"/>
      <c r="E2523" s="17"/>
      <c r="F2523" s="17"/>
      <c r="G2523" s="4">
        <f t="shared" si="83"/>
        <v>0</v>
      </c>
      <c r="H2523" s="17"/>
      <c r="I2523" s="4">
        <f t="shared" si="81"/>
        <v>349526.07999999996</v>
      </c>
      <c r="J2523" s="32" t="str">
        <f t="shared" si="82"/>
        <v/>
      </c>
      <c r="K2523" s="79"/>
      <c r="L2523" s="79"/>
      <c r="M2523" s="2"/>
      <c r="N2523" s="5"/>
      <c r="O2523" s="3"/>
      <c r="P2523" s="6"/>
      <c r="Q2523" s="6"/>
    </row>
    <row r="2524" spans="1:17" ht="15" customHeight="1" x14ac:dyDescent="0.25">
      <c r="A2524" s="1"/>
      <c r="B2524" s="17"/>
      <c r="C2524" s="17"/>
      <c r="D2524" s="17"/>
      <c r="E2524" s="17"/>
      <c r="F2524" s="17"/>
      <c r="G2524" s="4">
        <f t="shared" si="83"/>
        <v>0</v>
      </c>
      <c r="H2524" s="17"/>
      <c r="I2524" s="4">
        <f t="shared" si="81"/>
        <v>349526.07999999996</v>
      </c>
      <c r="J2524" s="32" t="str">
        <f t="shared" si="82"/>
        <v/>
      </c>
      <c r="K2524" s="79"/>
      <c r="L2524" s="79"/>
      <c r="M2524" s="2"/>
      <c r="N2524" s="5"/>
      <c r="O2524" s="3"/>
      <c r="P2524" s="6"/>
      <c r="Q2524" s="6"/>
    </row>
    <row r="2525" spans="1:17" ht="15" customHeight="1" x14ac:dyDescent="0.25">
      <c r="A2525" s="1"/>
      <c r="B2525" s="17"/>
      <c r="C2525" s="17"/>
      <c r="D2525" s="17"/>
      <c r="E2525" s="17"/>
      <c r="F2525" s="17"/>
      <c r="G2525" s="4">
        <f t="shared" si="83"/>
        <v>0</v>
      </c>
      <c r="H2525" s="17"/>
      <c r="I2525" s="4">
        <f t="shared" si="81"/>
        <v>349526.07999999996</v>
      </c>
      <c r="J2525" s="32" t="str">
        <f t="shared" si="82"/>
        <v/>
      </c>
      <c r="K2525" s="79"/>
      <c r="L2525" s="79"/>
      <c r="M2525" s="2"/>
      <c r="N2525" s="5"/>
      <c r="O2525" s="3"/>
      <c r="P2525" s="6"/>
      <c r="Q2525" s="6"/>
    </row>
    <row r="2526" spans="1:17" ht="15" customHeight="1" x14ac:dyDescent="0.25">
      <c r="A2526" s="1"/>
      <c r="B2526" s="17"/>
      <c r="C2526" s="17"/>
      <c r="D2526" s="17"/>
      <c r="E2526" s="17"/>
      <c r="F2526" s="17"/>
      <c r="G2526" s="4">
        <f t="shared" si="83"/>
        <v>0</v>
      </c>
      <c r="H2526" s="17"/>
      <c r="I2526" s="4">
        <f t="shared" si="81"/>
        <v>349526.07999999996</v>
      </c>
      <c r="J2526" s="32" t="str">
        <f t="shared" si="82"/>
        <v/>
      </c>
      <c r="K2526" s="79"/>
      <c r="L2526" s="79"/>
      <c r="M2526" s="2"/>
      <c r="N2526" s="5"/>
      <c r="O2526" s="3"/>
      <c r="P2526" s="6"/>
      <c r="Q2526" s="6"/>
    </row>
    <row r="2527" spans="1:17" ht="15" customHeight="1" x14ac:dyDescent="0.25">
      <c r="A2527" s="1"/>
      <c r="B2527" s="17"/>
      <c r="C2527" s="17"/>
      <c r="D2527" s="17"/>
      <c r="E2527" s="17"/>
      <c r="F2527" s="17"/>
      <c r="G2527" s="4">
        <f t="shared" si="83"/>
        <v>0</v>
      </c>
      <c r="H2527" s="17"/>
      <c r="I2527" s="4">
        <f t="shared" si="81"/>
        <v>349526.07999999996</v>
      </c>
      <c r="J2527" s="32" t="str">
        <f t="shared" si="82"/>
        <v/>
      </c>
      <c r="K2527" s="79"/>
      <c r="L2527" s="79"/>
      <c r="M2527" s="2"/>
      <c r="N2527" s="5"/>
      <c r="O2527" s="3"/>
      <c r="P2527" s="6"/>
      <c r="Q2527" s="6"/>
    </row>
    <row r="2528" spans="1:17" ht="15" customHeight="1" x14ac:dyDescent="0.25">
      <c r="A2528" s="1"/>
      <c r="B2528" s="17"/>
      <c r="C2528" s="17"/>
      <c r="D2528" s="17"/>
      <c r="E2528" s="17"/>
      <c r="F2528" s="17"/>
      <c r="G2528" s="4">
        <f t="shared" si="83"/>
        <v>0</v>
      </c>
      <c r="H2528" s="17"/>
      <c r="I2528" s="4">
        <f t="shared" si="81"/>
        <v>349526.07999999996</v>
      </c>
      <c r="J2528" s="32" t="str">
        <f t="shared" si="82"/>
        <v/>
      </c>
      <c r="K2528" s="79"/>
      <c r="L2528" s="79"/>
      <c r="M2528" s="2"/>
      <c r="N2528" s="5"/>
      <c r="O2528" s="3"/>
      <c r="P2528" s="6"/>
      <c r="Q2528" s="6"/>
    </row>
    <row r="2529" spans="1:17" ht="15" customHeight="1" x14ac:dyDescent="0.25">
      <c r="A2529" s="1"/>
      <c r="B2529" s="17"/>
      <c r="C2529" s="17"/>
      <c r="D2529" s="17"/>
      <c r="E2529" s="17"/>
      <c r="F2529" s="17"/>
      <c r="G2529" s="4">
        <f t="shared" si="83"/>
        <v>0</v>
      </c>
      <c r="H2529" s="17"/>
      <c r="I2529" s="4">
        <f t="shared" si="81"/>
        <v>349526.07999999996</v>
      </c>
      <c r="J2529" s="32" t="str">
        <f t="shared" si="82"/>
        <v/>
      </c>
      <c r="K2529" s="79"/>
      <c r="L2529" s="79"/>
      <c r="M2529" s="2"/>
      <c r="N2529" s="5"/>
      <c r="O2529" s="3"/>
      <c r="P2529" s="6"/>
      <c r="Q2529" s="6"/>
    </row>
    <row r="2530" spans="1:17" ht="15" customHeight="1" x14ac:dyDescent="0.25">
      <c r="A2530" s="1"/>
      <c r="B2530" s="17"/>
      <c r="C2530" s="17"/>
      <c r="D2530" s="17"/>
      <c r="E2530" s="17"/>
      <c r="F2530" s="17"/>
      <c r="G2530" s="4">
        <f t="shared" si="83"/>
        <v>0</v>
      </c>
      <c r="H2530" s="17"/>
      <c r="I2530" s="4">
        <f t="shared" si="81"/>
        <v>349526.07999999996</v>
      </c>
      <c r="J2530" s="32" t="str">
        <f t="shared" si="82"/>
        <v/>
      </c>
      <c r="K2530" s="79"/>
      <c r="L2530" s="79"/>
      <c r="M2530" s="2"/>
      <c r="N2530" s="5"/>
      <c r="O2530" s="3"/>
      <c r="P2530" s="6"/>
      <c r="Q2530" s="6"/>
    </row>
    <row r="2531" spans="1:17" ht="15" customHeight="1" x14ac:dyDescent="0.25">
      <c r="A2531" s="1"/>
      <c r="B2531" s="17"/>
      <c r="C2531" s="17"/>
      <c r="D2531" s="17"/>
      <c r="E2531" s="17"/>
      <c r="F2531" s="17"/>
      <c r="G2531" s="4">
        <f t="shared" si="83"/>
        <v>0</v>
      </c>
      <c r="H2531" s="17"/>
      <c r="I2531" s="4">
        <f t="shared" si="81"/>
        <v>349526.07999999996</v>
      </c>
      <c r="J2531" s="32" t="str">
        <f t="shared" si="82"/>
        <v/>
      </c>
      <c r="K2531" s="79"/>
      <c r="L2531" s="79"/>
      <c r="M2531" s="2"/>
      <c r="N2531" s="5"/>
      <c r="O2531" s="3"/>
      <c r="P2531" s="6"/>
      <c r="Q2531" s="6"/>
    </row>
    <row r="2532" spans="1:17" ht="15" customHeight="1" x14ac:dyDescent="0.25">
      <c r="A2532" s="1"/>
      <c r="B2532" s="17"/>
      <c r="C2532" s="17"/>
      <c r="D2532" s="17"/>
      <c r="E2532" s="17"/>
      <c r="F2532" s="17"/>
      <c r="G2532" s="4">
        <f t="shared" si="83"/>
        <v>0</v>
      </c>
      <c r="H2532" s="17"/>
      <c r="I2532" s="4">
        <f t="shared" si="81"/>
        <v>349526.07999999996</v>
      </c>
      <c r="J2532" s="32" t="str">
        <f t="shared" si="82"/>
        <v/>
      </c>
      <c r="K2532" s="79"/>
      <c r="L2532" s="79"/>
      <c r="M2532" s="2"/>
      <c r="N2532" s="5"/>
      <c r="O2532" s="3"/>
      <c r="P2532" s="6"/>
      <c r="Q2532" s="6"/>
    </row>
    <row r="2533" spans="1:17" ht="15" customHeight="1" x14ac:dyDescent="0.25">
      <c r="A2533" s="1"/>
      <c r="B2533" s="17"/>
      <c r="C2533" s="17"/>
      <c r="D2533" s="17"/>
      <c r="E2533" s="17"/>
      <c r="F2533" s="17"/>
      <c r="G2533" s="4">
        <f t="shared" si="83"/>
        <v>0</v>
      </c>
      <c r="H2533" s="17"/>
      <c r="I2533" s="4">
        <f t="shared" si="81"/>
        <v>349526.07999999996</v>
      </c>
      <c r="J2533" s="32" t="str">
        <f t="shared" si="82"/>
        <v/>
      </c>
      <c r="K2533" s="79"/>
      <c r="L2533" s="79"/>
      <c r="M2533" s="2"/>
      <c r="N2533" s="5"/>
      <c r="O2533" s="3"/>
      <c r="P2533" s="6"/>
      <c r="Q2533" s="6"/>
    </row>
    <row r="2534" spans="1:17" ht="15" customHeight="1" x14ac:dyDescent="0.25">
      <c r="A2534" s="1"/>
      <c r="B2534" s="17"/>
      <c r="C2534" s="17"/>
      <c r="D2534" s="17"/>
      <c r="E2534" s="17"/>
      <c r="F2534" s="17"/>
      <c r="G2534" s="4">
        <f t="shared" si="83"/>
        <v>0</v>
      </c>
      <c r="H2534" s="17"/>
      <c r="I2534" s="4">
        <f t="shared" si="81"/>
        <v>349526.07999999996</v>
      </c>
      <c r="J2534" s="32" t="str">
        <f t="shared" si="82"/>
        <v/>
      </c>
      <c r="K2534" s="79"/>
      <c r="L2534" s="79"/>
      <c r="M2534" s="2"/>
      <c r="N2534" s="5"/>
      <c r="O2534" s="3"/>
      <c r="P2534" s="6"/>
      <c r="Q2534" s="6"/>
    </row>
    <row r="2535" spans="1:17" ht="15" customHeight="1" x14ac:dyDescent="0.25">
      <c r="A2535" s="1"/>
      <c r="B2535" s="17"/>
      <c r="C2535" s="17"/>
      <c r="D2535" s="17"/>
      <c r="E2535" s="17"/>
      <c r="F2535" s="17"/>
      <c r="G2535" s="4">
        <f t="shared" si="83"/>
        <v>0</v>
      </c>
      <c r="H2535" s="17"/>
      <c r="I2535" s="4">
        <f t="shared" si="81"/>
        <v>349526.07999999996</v>
      </c>
      <c r="J2535" s="32" t="str">
        <f t="shared" si="82"/>
        <v/>
      </c>
      <c r="K2535" s="79"/>
      <c r="L2535" s="79"/>
      <c r="M2535" s="2"/>
      <c r="N2535" s="5"/>
      <c r="O2535" s="3"/>
      <c r="P2535" s="6"/>
      <c r="Q2535" s="6"/>
    </row>
    <row r="2536" spans="1:17" ht="15" customHeight="1" x14ac:dyDescent="0.25">
      <c r="A2536" s="1"/>
      <c r="B2536" s="17"/>
      <c r="C2536" s="17"/>
      <c r="D2536" s="17"/>
      <c r="E2536" s="17"/>
      <c r="F2536" s="17"/>
      <c r="G2536" s="4">
        <f t="shared" si="83"/>
        <v>0</v>
      </c>
      <c r="H2536" s="17"/>
      <c r="I2536" s="4">
        <f t="shared" si="81"/>
        <v>349526.07999999996</v>
      </c>
      <c r="J2536" s="32" t="str">
        <f t="shared" si="82"/>
        <v/>
      </c>
      <c r="K2536" s="79"/>
      <c r="L2536" s="79"/>
      <c r="M2536" s="2"/>
      <c r="N2536" s="5"/>
      <c r="O2536" s="3"/>
      <c r="P2536" s="6"/>
      <c r="Q2536" s="6"/>
    </row>
    <row r="2537" spans="1:17" ht="15" customHeight="1" x14ac:dyDescent="0.25">
      <c r="A2537" s="1"/>
      <c r="B2537" s="17"/>
      <c r="C2537" s="17"/>
      <c r="D2537" s="17"/>
      <c r="E2537" s="17"/>
      <c r="F2537" s="17"/>
      <c r="G2537" s="4">
        <f t="shared" si="83"/>
        <v>0</v>
      </c>
      <c r="H2537" s="17"/>
      <c r="I2537" s="4">
        <f t="shared" si="81"/>
        <v>349526.07999999996</v>
      </c>
      <c r="J2537" s="32" t="str">
        <f t="shared" si="82"/>
        <v/>
      </c>
      <c r="K2537" s="79"/>
      <c r="L2537" s="79"/>
      <c r="M2537" s="2"/>
      <c r="N2537" s="5"/>
      <c r="O2537" s="3"/>
      <c r="P2537" s="6"/>
      <c r="Q2537" s="6"/>
    </row>
    <row r="2538" spans="1:17" ht="15" customHeight="1" x14ac:dyDescent="0.25">
      <c r="A2538" s="1"/>
      <c r="B2538" s="17"/>
      <c r="C2538" s="17"/>
      <c r="D2538" s="17"/>
      <c r="E2538" s="17"/>
      <c r="F2538" s="17"/>
      <c r="G2538" s="4">
        <f t="shared" si="83"/>
        <v>0</v>
      </c>
      <c r="H2538" s="17"/>
      <c r="I2538" s="4">
        <f t="shared" si="81"/>
        <v>349526.07999999996</v>
      </c>
      <c r="J2538" s="32" t="str">
        <f t="shared" si="82"/>
        <v/>
      </c>
      <c r="K2538" s="79"/>
      <c r="L2538" s="79"/>
      <c r="M2538" s="2"/>
      <c r="N2538" s="5"/>
      <c r="O2538" s="3"/>
      <c r="P2538" s="6"/>
      <c r="Q2538" s="6"/>
    </row>
    <row r="2539" spans="1:17" ht="15" customHeight="1" x14ac:dyDescent="0.25">
      <c r="A2539" s="1"/>
      <c r="B2539" s="17"/>
      <c r="C2539" s="17"/>
      <c r="D2539" s="17"/>
      <c r="E2539" s="17"/>
      <c r="F2539" s="17"/>
      <c r="G2539" s="4">
        <f t="shared" si="83"/>
        <v>0</v>
      </c>
      <c r="H2539" s="17"/>
      <c r="I2539" s="4">
        <f t="shared" si="81"/>
        <v>349526.07999999996</v>
      </c>
      <c r="J2539" s="32" t="str">
        <f t="shared" si="82"/>
        <v/>
      </c>
      <c r="K2539" s="79"/>
      <c r="L2539" s="79"/>
      <c r="M2539" s="2"/>
      <c r="N2539" s="5"/>
      <c r="O2539" s="3"/>
      <c r="P2539" s="6"/>
      <c r="Q2539" s="6"/>
    </row>
    <row r="2540" spans="1:17" ht="15" customHeight="1" x14ac:dyDescent="0.25">
      <c r="A2540" s="1"/>
      <c r="B2540" s="17"/>
      <c r="C2540" s="17"/>
      <c r="D2540" s="17"/>
      <c r="E2540" s="17"/>
      <c r="F2540" s="17"/>
      <c r="G2540" s="4">
        <f t="shared" si="83"/>
        <v>0</v>
      </c>
      <c r="H2540" s="17"/>
      <c r="I2540" s="4">
        <f t="shared" si="81"/>
        <v>349526.07999999996</v>
      </c>
      <c r="J2540" s="32" t="str">
        <f t="shared" si="82"/>
        <v/>
      </c>
      <c r="K2540" s="79"/>
      <c r="L2540" s="79"/>
      <c r="M2540" s="2"/>
      <c r="N2540" s="5"/>
      <c r="O2540" s="3"/>
      <c r="P2540" s="6"/>
      <c r="Q2540" s="6"/>
    </row>
    <row r="2541" spans="1:17" ht="15" customHeight="1" x14ac:dyDescent="0.25">
      <c r="A2541" s="1"/>
      <c r="B2541" s="17"/>
      <c r="C2541" s="17"/>
      <c r="D2541" s="17"/>
      <c r="E2541" s="17"/>
      <c r="F2541" s="17"/>
      <c r="G2541" s="4">
        <f t="shared" si="83"/>
        <v>0</v>
      </c>
      <c r="H2541" s="17"/>
      <c r="I2541" s="4">
        <f t="shared" si="81"/>
        <v>349526.07999999996</v>
      </c>
      <c r="J2541" s="32" t="str">
        <f t="shared" si="82"/>
        <v/>
      </c>
      <c r="K2541" s="79"/>
      <c r="L2541" s="79"/>
      <c r="M2541" s="2"/>
      <c r="N2541" s="5"/>
      <c r="O2541" s="3"/>
      <c r="P2541" s="6"/>
      <c r="Q2541" s="6"/>
    </row>
    <row r="2542" spans="1:17" ht="15" customHeight="1" x14ac:dyDescent="0.25">
      <c r="A2542" s="1"/>
      <c r="B2542" s="17"/>
      <c r="C2542" s="17"/>
      <c r="D2542" s="17"/>
      <c r="E2542" s="17"/>
      <c r="F2542" s="17"/>
      <c r="G2542" s="4">
        <f t="shared" si="83"/>
        <v>0</v>
      </c>
      <c r="H2542" s="17"/>
      <c r="I2542" s="4">
        <f t="shared" si="81"/>
        <v>349526.07999999996</v>
      </c>
      <c r="J2542" s="32" t="str">
        <f t="shared" si="82"/>
        <v/>
      </c>
      <c r="K2542" s="79"/>
      <c r="L2542" s="79"/>
      <c r="M2542" s="2"/>
      <c r="N2542" s="5"/>
      <c r="O2542" s="3"/>
      <c r="P2542" s="6"/>
      <c r="Q2542" s="6"/>
    </row>
    <row r="2543" spans="1:17" ht="15" customHeight="1" x14ac:dyDescent="0.25">
      <c r="A2543" s="1"/>
      <c r="B2543" s="17"/>
      <c r="C2543" s="17"/>
      <c r="D2543" s="17"/>
      <c r="E2543" s="17"/>
      <c r="F2543" s="17"/>
      <c r="G2543" s="4">
        <f t="shared" si="83"/>
        <v>0</v>
      </c>
      <c r="H2543" s="17"/>
      <c r="I2543" s="4">
        <f t="shared" si="81"/>
        <v>349526.07999999996</v>
      </c>
      <c r="J2543" s="32" t="str">
        <f t="shared" si="82"/>
        <v/>
      </c>
      <c r="K2543" s="79"/>
      <c r="L2543" s="79"/>
      <c r="M2543" s="2"/>
      <c r="N2543" s="5"/>
      <c r="O2543" s="3"/>
      <c r="P2543" s="6"/>
      <c r="Q2543" s="6"/>
    </row>
    <row r="2544" spans="1:17" ht="15" customHeight="1" x14ac:dyDescent="0.25">
      <c r="A2544" s="1"/>
      <c r="B2544" s="17"/>
      <c r="C2544" s="17"/>
      <c r="D2544" s="17"/>
      <c r="E2544" s="17"/>
      <c r="F2544" s="17"/>
      <c r="G2544" s="4">
        <f t="shared" si="83"/>
        <v>0</v>
      </c>
      <c r="H2544" s="17"/>
      <c r="I2544" s="4">
        <f t="shared" si="81"/>
        <v>349526.07999999996</v>
      </c>
      <c r="J2544" s="32" t="str">
        <f t="shared" si="82"/>
        <v/>
      </c>
      <c r="K2544" s="79"/>
      <c r="L2544" s="79"/>
      <c r="M2544" s="2"/>
      <c r="N2544" s="5"/>
      <c r="O2544" s="3"/>
      <c r="P2544" s="6"/>
      <c r="Q2544" s="6"/>
    </row>
    <row r="2545" spans="1:17" ht="15" customHeight="1" x14ac:dyDescent="0.25">
      <c r="A2545" s="1"/>
      <c r="B2545" s="17"/>
      <c r="C2545" s="17"/>
      <c r="D2545" s="17"/>
      <c r="E2545" s="17"/>
      <c r="F2545" s="17"/>
      <c r="G2545" s="4">
        <f t="shared" si="83"/>
        <v>0</v>
      </c>
      <c r="H2545" s="17"/>
      <c r="I2545" s="4">
        <f t="shared" si="81"/>
        <v>349526.07999999996</v>
      </c>
      <c r="J2545" s="32" t="str">
        <f t="shared" si="82"/>
        <v/>
      </c>
      <c r="K2545" s="79"/>
      <c r="L2545" s="79"/>
      <c r="M2545" s="2"/>
      <c r="N2545" s="5"/>
      <c r="O2545" s="3"/>
      <c r="P2545" s="6"/>
      <c r="Q2545" s="6"/>
    </row>
    <row r="2546" spans="1:17" ht="15" customHeight="1" x14ac:dyDescent="0.25">
      <c r="A2546" s="1"/>
      <c r="B2546" s="17"/>
      <c r="C2546" s="17"/>
      <c r="D2546" s="17"/>
      <c r="E2546" s="17"/>
      <c r="F2546" s="17"/>
      <c r="G2546" s="4">
        <f t="shared" si="83"/>
        <v>0</v>
      </c>
      <c r="H2546" s="17"/>
      <c r="I2546" s="4">
        <f t="shared" si="81"/>
        <v>349526.07999999996</v>
      </c>
      <c r="J2546" s="32" t="str">
        <f t="shared" si="82"/>
        <v/>
      </c>
      <c r="K2546" s="79"/>
      <c r="L2546" s="79"/>
      <c r="M2546" s="2"/>
      <c r="N2546" s="5"/>
      <c r="O2546" s="3"/>
      <c r="P2546" s="6"/>
      <c r="Q2546" s="6"/>
    </row>
    <row r="2547" spans="1:17" ht="15" customHeight="1" x14ac:dyDescent="0.25">
      <c r="A2547" s="1"/>
      <c r="B2547" s="17"/>
      <c r="C2547" s="17"/>
      <c r="D2547" s="17"/>
      <c r="E2547" s="17"/>
      <c r="F2547" s="17"/>
      <c r="G2547" s="4">
        <f t="shared" si="83"/>
        <v>0</v>
      </c>
      <c r="H2547" s="17"/>
      <c r="I2547" s="4">
        <f t="shared" si="81"/>
        <v>349526.07999999996</v>
      </c>
      <c r="J2547" s="32" t="str">
        <f t="shared" si="82"/>
        <v/>
      </c>
      <c r="K2547" s="79"/>
      <c r="L2547" s="79"/>
      <c r="M2547" s="2"/>
      <c r="N2547" s="5"/>
      <c r="O2547" s="3"/>
      <c r="P2547" s="6"/>
      <c r="Q2547" s="6"/>
    </row>
    <row r="2548" spans="1:17" ht="15" customHeight="1" x14ac:dyDescent="0.25">
      <c r="A2548" s="1"/>
      <c r="B2548" s="17"/>
      <c r="C2548" s="17"/>
      <c r="D2548" s="17"/>
      <c r="E2548" s="17"/>
      <c r="F2548" s="17"/>
      <c r="G2548" s="4">
        <f t="shared" si="83"/>
        <v>0</v>
      </c>
      <c r="H2548" s="17"/>
      <c r="I2548" s="4">
        <f t="shared" si="81"/>
        <v>349526.07999999996</v>
      </c>
      <c r="J2548" s="32" t="str">
        <f t="shared" si="82"/>
        <v/>
      </c>
      <c r="K2548" s="79"/>
      <c r="L2548" s="79"/>
      <c r="M2548" s="2"/>
      <c r="N2548" s="5"/>
      <c r="O2548" s="3"/>
      <c r="P2548" s="6"/>
      <c r="Q2548" s="6"/>
    </row>
    <row r="2549" spans="1:17" ht="15" customHeight="1" x14ac:dyDescent="0.25">
      <c r="A2549" s="1"/>
      <c r="B2549" s="17"/>
      <c r="C2549" s="17"/>
      <c r="D2549" s="17"/>
      <c r="E2549" s="17"/>
      <c r="F2549" s="17"/>
      <c r="G2549" s="4">
        <f t="shared" si="83"/>
        <v>0</v>
      </c>
      <c r="H2549" s="17"/>
      <c r="I2549" s="4">
        <f t="shared" si="81"/>
        <v>349526.07999999996</v>
      </c>
      <c r="J2549" s="32" t="str">
        <f t="shared" si="82"/>
        <v/>
      </c>
      <c r="K2549" s="79"/>
      <c r="L2549" s="79"/>
      <c r="M2549" s="2"/>
      <c r="N2549" s="5"/>
      <c r="O2549" s="3"/>
      <c r="P2549" s="6"/>
      <c r="Q2549" s="6"/>
    </row>
    <row r="2550" spans="1:17" ht="15" customHeight="1" x14ac:dyDescent="0.25">
      <c r="A2550" s="1"/>
      <c r="B2550" s="17"/>
      <c r="C2550" s="17"/>
      <c r="D2550" s="17"/>
      <c r="E2550" s="17"/>
      <c r="F2550" s="17"/>
      <c r="G2550" s="4">
        <f t="shared" si="83"/>
        <v>0</v>
      </c>
      <c r="H2550" s="17"/>
      <c r="I2550" s="4">
        <f t="shared" ref="I2550:I2613" si="84">$I2549+$G2550-$H2550</f>
        <v>349526.07999999996</v>
      </c>
      <c r="J2550" s="32" t="str">
        <f t="shared" ref="J2550:J2613" si="85">IF($A2551&lt;&gt;$A2550,$I2550,"")</f>
        <v/>
      </c>
      <c r="K2550" s="79"/>
      <c r="L2550" s="79"/>
      <c r="M2550" s="2"/>
      <c r="N2550" s="5"/>
      <c r="O2550" s="3"/>
      <c r="P2550" s="6"/>
      <c r="Q2550" s="6"/>
    </row>
    <row r="2551" spans="1:17" ht="15" customHeight="1" x14ac:dyDescent="0.25">
      <c r="A2551" s="1"/>
      <c r="B2551" s="17"/>
      <c r="C2551" s="17"/>
      <c r="D2551" s="17"/>
      <c r="E2551" s="17"/>
      <c r="F2551" s="17"/>
      <c r="G2551" s="4">
        <f t="shared" si="83"/>
        <v>0</v>
      </c>
      <c r="H2551" s="17"/>
      <c r="I2551" s="4">
        <f t="shared" si="84"/>
        <v>349526.07999999996</v>
      </c>
      <c r="J2551" s="32" t="str">
        <f t="shared" si="85"/>
        <v/>
      </c>
      <c r="K2551" s="79"/>
      <c r="L2551" s="79"/>
      <c r="M2551" s="2"/>
      <c r="N2551" s="5"/>
      <c r="O2551" s="3"/>
      <c r="P2551" s="6"/>
      <c r="Q2551" s="6"/>
    </row>
    <row r="2552" spans="1:17" ht="15" customHeight="1" x14ac:dyDescent="0.25">
      <c r="A2552" s="1"/>
      <c r="B2552" s="17"/>
      <c r="C2552" s="17"/>
      <c r="D2552" s="17"/>
      <c r="E2552" s="17"/>
      <c r="F2552" s="17"/>
      <c r="G2552" s="4">
        <f t="shared" si="83"/>
        <v>0</v>
      </c>
      <c r="H2552" s="17"/>
      <c r="I2552" s="4">
        <f t="shared" si="84"/>
        <v>349526.07999999996</v>
      </c>
      <c r="J2552" s="32" t="str">
        <f t="shared" si="85"/>
        <v/>
      </c>
      <c r="K2552" s="79"/>
      <c r="L2552" s="79"/>
      <c r="M2552" s="2"/>
      <c r="N2552" s="5"/>
      <c r="O2552" s="3"/>
      <c r="P2552" s="6"/>
      <c r="Q2552" s="6"/>
    </row>
    <row r="2553" spans="1:17" ht="15" customHeight="1" x14ac:dyDescent="0.25">
      <c r="A2553" s="1"/>
      <c r="B2553" s="17"/>
      <c r="C2553" s="17"/>
      <c r="D2553" s="17"/>
      <c r="E2553" s="17"/>
      <c r="F2553" s="17"/>
      <c r="G2553" s="4">
        <f t="shared" si="83"/>
        <v>0</v>
      </c>
      <c r="H2553" s="17"/>
      <c r="I2553" s="4">
        <f t="shared" si="84"/>
        <v>349526.07999999996</v>
      </c>
      <c r="J2553" s="32" t="str">
        <f t="shared" si="85"/>
        <v/>
      </c>
      <c r="K2553" s="79"/>
      <c r="L2553" s="79"/>
      <c r="M2553" s="2"/>
      <c r="N2553" s="5"/>
      <c r="O2553" s="3"/>
      <c r="P2553" s="6"/>
      <c r="Q2553" s="6"/>
    </row>
    <row r="2554" spans="1:17" ht="15" customHeight="1" x14ac:dyDescent="0.25">
      <c r="A2554" s="1"/>
      <c r="B2554" s="17"/>
      <c r="C2554" s="17"/>
      <c r="D2554" s="17"/>
      <c r="E2554" s="17"/>
      <c r="F2554" s="17"/>
      <c r="G2554" s="4">
        <f t="shared" si="83"/>
        <v>0</v>
      </c>
      <c r="H2554" s="17"/>
      <c r="I2554" s="4">
        <f t="shared" si="84"/>
        <v>349526.07999999996</v>
      </c>
      <c r="J2554" s="32" t="str">
        <f t="shared" si="85"/>
        <v/>
      </c>
      <c r="K2554" s="79"/>
      <c r="L2554" s="79"/>
      <c r="M2554" s="2"/>
      <c r="N2554" s="5"/>
      <c r="O2554" s="3"/>
      <c r="P2554" s="6"/>
      <c r="Q2554" s="6"/>
    </row>
    <row r="2555" spans="1:17" ht="15" customHeight="1" x14ac:dyDescent="0.25">
      <c r="A2555" s="1"/>
      <c r="B2555" s="17"/>
      <c r="C2555" s="17"/>
      <c r="D2555" s="17"/>
      <c r="E2555" s="17"/>
      <c r="F2555" s="17"/>
      <c r="G2555" s="4">
        <f t="shared" si="83"/>
        <v>0</v>
      </c>
      <c r="H2555" s="17"/>
      <c r="I2555" s="4">
        <f t="shared" si="84"/>
        <v>349526.07999999996</v>
      </c>
      <c r="J2555" s="32" t="str">
        <f t="shared" si="85"/>
        <v/>
      </c>
      <c r="K2555" s="79"/>
      <c r="L2555" s="79"/>
      <c r="M2555" s="2"/>
      <c r="N2555" s="5"/>
      <c r="O2555" s="3"/>
      <c r="P2555" s="6"/>
      <c r="Q2555" s="6"/>
    </row>
    <row r="2556" spans="1:17" ht="15" customHeight="1" x14ac:dyDescent="0.25">
      <c r="A2556" s="1"/>
      <c r="B2556" s="17"/>
      <c r="C2556" s="17"/>
      <c r="D2556" s="17"/>
      <c r="E2556" s="17"/>
      <c r="F2556" s="17"/>
      <c r="G2556" s="4">
        <f t="shared" si="83"/>
        <v>0</v>
      </c>
      <c r="H2556" s="17"/>
      <c r="I2556" s="4">
        <f t="shared" si="84"/>
        <v>349526.07999999996</v>
      </c>
      <c r="J2556" s="32" t="str">
        <f t="shared" si="85"/>
        <v/>
      </c>
      <c r="K2556" s="79"/>
      <c r="L2556" s="79"/>
      <c r="M2556" s="2"/>
      <c r="N2556" s="5"/>
      <c r="O2556" s="3"/>
      <c r="P2556" s="6"/>
      <c r="Q2556" s="6"/>
    </row>
    <row r="2557" spans="1:17" ht="15" customHeight="1" x14ac:dyDescent="0.25">
      <c r="A2557" s="1"/>
      <c r="B2557" s="17"/>
      <c r="C2557" s="17"/>
      <c r="D2557" s="17"/>
      <c r="E2557" s="17"/>
      <c r="F2557" s="17"/>
      <c r="G2557" s="4">
        <f t="shared" si="83"/>
        <v>0</v>
      </c>
      <c r="H2557" s="17"/>
      <c r="I2557" s="4">
        <f t="shared" si="84"/>
        <v>349526.07999999996</v>
      </c>
      <c r="J2557" s="32" t="str">
        <f t="shared" si="85"/>
        <v/>
      </c>
      <c r="K2557" s="79"/>
      <c r="L2557" s="79"/>
      <c r="M2557" s="2"/>
      <c r="N2557" s="5"/>
      <c r="O2557" s="3"/>
      <c r="P2557" s="6"/>
      <c r="Q2557" s="6"/>
    </row>
    <row r="2558" spans="1:17" ht="15" customHeight="1" x14ac:dyDescent="0.25">
      <c r="A2558" s="1"/>
      <c r="B2558" s="17"/>
      <c r="C2558" s="17"/>
      <c r="D2558" s="17"/>
      <c r="E2558" s="17"/>
      <c r="F2558" s="17"/>
      <c r="G2558" s="4">
        <f t="shared" si="83"/>
        <v>0</v>
      </c>
      <c r="H2558" s="17"/>
      <c r="I2558" s="4">
        <f t="shared" si="84"/>
        <v>349526.07999999996</v>
      </c>
      <c r="J2558" s="32" t="str">
        <f t="shared" si="85"/>
        <v/>
      </c>
      <c r="K2558" s="79"/>
      <c r="L2558" s="79"/>
      <c r="M2558" s="2"/>
      <c r="N2558" s="5"/>
      <c r="O2558" s="3"/>
      <c r="P2558" s="6"/>
      <c r="Q2558" s="6"/>
    </row>
    <row r="2559" spans="1:17" ht="15" customHeight="1" x14ac:dyDescent="0.25">
      <c r="A2559" s="1"/>
      <c r="B2559" s="17"/>
      <c r="C2559" s="17"/>
      <c r="D2559" s="17"/>
      <c r="E2559" s="17"/>
      <c r="F2559" s="17"/>
      <c r="G2559" s="4">
        <f t="shared" si="83"/>
        <v>0</v>
      </c>
      <c r="H2559" s="17"/>
      <c r="I2559" s="4">
        <f t="shared" si="84"/>
        <v>349526.07999999996</v>
      </c>
      <c r="J2559" s="32" t="str">
        <f t="shared" si="85"/>
        <v/>
      </c>
      <c r="K2559" s="79"/>
      <c r="L2559" s="79"/>
      <c r="M2559" s="2"/>
      <c r="N2559" s="5"/>
      <c r="O2559" s="3"/>
      <c r="P2559" s="6"/>
      <c r="Q2559" s="6"/>
    </row>
    <row r="2560" spans="1:17" ht="15" customHeight="1" x14ac:dyDescent="0.25">
      <c r="A2560" s="1"/>
      <c r="B2560" s="17"/>
      <c r="C2560" s="17"/>
      <c r="D2560" s="17"/>
      <c r="E2560" s="17"/>
      <c r="F2560" s="17"/>
      <c r="G2560" s="4">
        <f t="shared" si="83"/>
        <v>0</v>
      </c>
      <c r="H2560" s="17"/>
      <c r="I2560" s="4">
        <f t="shared" si="84"/>
        <v>349526.07999999996</v>
      </c>
      <c r="J2560" s="32" t="str">
        <f t="shared" si="85"/>
        <v/>
      </c>
      <c r="K2560" s="79"/>
      <c r="L2560" s="79"/>
      <c r="M2560" s="2"/>
      <c r="N2560" s="5"/>
      <c r="O2560" s="3"/>
      <c r="P2560" s="6"/>
      <c r="Q2560" s="6"/>
    </row>
    <row r="2561" spans="1:17" ht="15" customHeight="1" x14ac:dyDescent="0.25">
      <c r="A2561" s="1"/>
      <c r="B2561" s="17"/>
      <c r="C2561" s="17"/>
      <c r="D2561" s="17"/>
      <c r="E2561" s="17"/>
      <c r="F2561" s="17"/>
      <c r="G2561" s="4">
        <f t="shared" si="83"/>
        <v>0</v>
      </c>
      <c r="H2561" s="17"/>
      <c r="I2561" s="4">
        <f t="shared" si="84"/>
        <v>349526.07999999996</v>
      </c>
      <c r="J2561" s="32" t="str">
        <f t="shared" si="85"/>
        <v/>
      </c>
      <c r="K2561" s="79"/>
      <c r="L2561" s="79"/>
      <c r="M2561" s="2"/>
      <c r="N2561" s="5"/>
      <c r="O2561" s="3"/>
      <c r="P2561" s="6"/>
      <c r="Q2561" s="6"/>
    </row>
    <row r="2562" spans="1:17" ht="15" customHeight="1" x14ac:dyDescent="0.25">
      <c r="A2562" s="1"/>
      <c r="B2562" s="17"/>
      <c r="C2562" s="17"/>
      <c r="D2562" s="17"/>
      <c r="E2562" s="17"/>
      <c r="F2562" s="17"/>
      <c r="G2562" s="4">
        <f t="shared" si="83"/>
        <v>0</v>
      </c>
      <c r="H2562" s="17"/>
      <c r="I2562" s="4">
        <f t="shared" si="84"/>
        <v>349526.07999999996</v>
      </c>
      <c r="J2562" s="32" t="str">
        <f t="shared" si="85"/>
        <v/>
      </c>
      <c r="K2562" s="79"/>
      <c r="L2562" s="79"/>
      <c r="M2562" s="2"/>
      <c r="N2562" s="5"/>
      <c r="O2562" s="3"/>
      <c r="P2562" s="6"/>
      <c r="Q2562" s="6"/>
    </row>
    <row r="2563" spans="1:17" ht="15" customHeight="1" x14ac:dyDescent="0.25">
      <c r="A2563" s="1"/>
      <c r="B2563" s="17"/>
      <c r="C2563" s="17"/>
      <c r="D2563" s="17"/>
      <c r="E2563" s="17"/>
      <c r="F2563" s="17"/>
      <c r="G2563" s="4">
        <f t="shared" ref="G2563:G2626" si="86">SUM($B2563:$F2563)</f>
        <v>0</v>
      </c>
      <c r="H2563" s="17"/>
      <c r="I2563" s="4">
        <f t="shared" si="84"/>
        <v>349526.07999999996</v>
      </c>
      <c r="J2563" s="32" t="str">
        <f t="shared" si="85"/>
        <v/>
      </c>
      <c r="K2563" s="79"/>
      <c r="L2563" s="79"/>
      <c r="M2563" s="2"/>
      <c r="N2563" s="5"/>
      <c r="O2563" s="3"/>
      <c r="P2563" s="6"/>
      <c r="Q2563" s="6"/>
    </row>
    <row r="2564" spans="1:17" ht="15" customHeight="1" x14ac:dyDescent="0.25">
      <c r="A2564" s="1"/>
      <c r="B2564" s="17"/>
      <c r="C2564" s="17"/>
      <c r="D2564" s="17"/>
      <c r="E2564" s="17"/>
      <c r="F2564" s="17"/>
      <c r="G2564" s="4">
        <f t="shared" si="86"/>
        <v>0</v>
      </c>
      <c r="H2564" s="17"/>
      <c r="I2564" s="4">
        <f t="shared" si="84"/>
        <v>349526.07999999996</v>
      </c>
      <c r="J2564" s="32" t="str">
        <f t="shared" si="85"/>
        <v/>
      </c>
      <c r="K2564" s="79"/>
      <c r="L2564" s="79"/>
      <c r="M2564" s="2"/>
      <c r="N2564" s="5"/>
      <c r="O2564" s="3"/>
      <c r="P2564" s="6"/>
      <c r="Q2564" s="6"/>
    </row>
    <row r="2565" spans="1:17" ht="15" customHeight="1" x14ac:dyDescent="0.25">
      <c r="A2565" s="1"/>
      <c r="B2565" s="17"/>
      <c r="C2565" s="17"/>
      <c r="D2565" s="17"/>
      <c r="E2565" s="17"/>
      <c r="F2565" s="17"/>
      <c r="G2565" s="4">
        <f t="shared" si="86"/>
        <v>0</v>
      </c>
      <c r="H2565" s="17"/>
      <c r="I2565" s="4">
        <f t="shared" si="84"/>
        <v>349526.07999999996</v>
      </c>
      <c r="J2565" s="32" t="str">
        <f t="shared" si="85"/>
        <v/>
      </c>
      <c r="K2565" s="79"/>
      <c r="L2565" s="79"/>
      <c r="M2565" s="2"/>
      <c r="N2565" s="5"/>
      <c r="O2565" s="3"/>
      <c r="P2565" s="6"/>
      <c r="Q2565" s="6"/>
    </row>
    <row r="2566" spans="1:17" ht="15" customHeight="1" x14ac:dyDescent="0.25">
      <c r="A2566" s="1"/>
      <c r="B2566" s="17"/>
      <c r="C2566" s="17"/>
      <c r="D2566" s="17"/>
      <c r="E2566" s="17"/>
      <c r="F2566" s="17"/>
      <c r="G2566" s="4">
        <f t="shared" si="86"/>
        <v>0</v>
      </c>
      <c r="H2566" s="17"/>
      <c r="I2566" s="4">
        <f t="shared" si="84"/>
        <v>349526.07999999996</v>
      </c>
      <c r="J2566" s="32" t="str">
        <f t="shared" si="85"/>
        <v/>
      </c>
      <c r="K2566" s="79"/>
      <c r="L2566" s="79"/>
      <c r="M2566" s="2"/>
      <c r="N2566" s="5"/>
      <c r="O2566" s="3"/>
      <c r="P2566" s="6"/>
      <c r="Q2566" s="6"/>
    </row>
    <row r="2567" spans="1:17" ht="15" customHeight="1" x14ac:dyDescent="0.25">
      <c r="A2567" s="1"/>
      <c r="B2567" s="17"/>
      <c r="C2567" s="17"/>
      <c r="D2567" s="17"/>
      <c r="E2567" s="17"/>
      <c r="F2567" s="17"/>
      <c r="G2567" s="4">
        <f t="shared" si="86"/>
        <v>0</v>
      </c>
      <c r="H2567" s="17"/>
      <c r="I2567" s="4">
        <f t="shared" si="84"/>
        <v>349526.07999999996</v>
      </c>
      <c r="J2567" s="32" t="str">
        <f t="shared" si="85"/>
        <v/>
      </c>
      <c r="K2567" s="79"/>
      <c r="L2567" s="79"/>
      <c r="M2567" s="2"/>
      <c r="N2567" s="5"/>
      <c r="O2567" s="3"/>
      <c r="P2567" s="6"/>
      <c r="Q2567" s="6"/>
    </row>
    <row r="2568" spans="1:17" ht="15" customHeight="1" x14ac:dyDescent="0.25">
      <c r="A2568" s="1"/>
      <c r="B2568" s="17"/>
      <c r="C2568" s="17"/>
      <c r="D2568" s="17"/>
      <c r="E2568" s="17"/>
      <c r="F2568" s="17"/>
      <c r="G2568" s="4">
        <f t="shared" si="86"/>
        <v>0</v>
      </c>
      <c r="H2568" s="17"/>
      <c r="I2568" s="4">
        <f t="shared" si="84"/>
        <v>349526.07999999996</v>
      </c>
      <c r="J2568" s="32" t="str">
        <f t="shared" si="85"/>
        <v/>
      </c>
      <c r="K2568" s="79"/>
      <c r="L2568" s="79"/>
      <c r="M2568" s="2"/>
      <c r="N2568" s="5"/>
      <c r="O2568" s="3"/>
      <c r="P2568" s="6"/>
      <c r="Q2568" s="6"/>
    </row>
    <row r="2569" spans="1:17" ht="15" customHeight="1" x14ac:dyDescent="0.25">
      <c r="A2569" s="1"/>
      <c r="B2569" s="17"/>
      <c r="C2569" s="17"/>
      <c r="D2569" s="17"/>
      <c r="E2569" s="17"/>
      <c r="F2569" s="17"/>
      <c r="G2569" s="4">
        <f t="shared" si="86"/>
        <v>0</v>
      </c>
      <c r="H2569" s="17"/>
      <c r="I2569" s="4">
        <f t="shared" si="84"/>
        <v>349526.07999999996</v>
      </c>
      <c r="J2569" s="32" t="str">
        <f t="shared" si="85"/>
        <v/>
      </c>
      <c r="K2569" s="79"/>
      <c r="L2569" s="79"/>
      <c r="M2569" s="2"/>
      <c r="N2569" s="5"/>
      <c r="O2569" s="3"/>
      <c r="P2569" s="6"/>
      <c r="Q2569" s="6"/>
    </row>
    <row r="2570" spans="1:17" ht="15" customHeight="1" x14ac:dyDescent="0.25">
      <c r="A2570" s="1"/>
      <c r="B2570" s="17"/>
      <c r="C2570" s="17"/>
      <c r="D2570" s="17"/>
      <c r="E2570" s="17"/>
      <c r="F2570" s="17"/>
      <c r="G2570" s="4">
        <f t="shared" si="86"/>
        <v>0</v>
      </c>
      <c r="H2570" s="17"/>
      <c r="I2570" s="4">
        <f t="shared" si="84"/>
        <v>349526.07999999996</v>
      </c>
      <c r="J2570" s="32" t="str">
        <f t="shared" si="85"/>
        <v/>
      </c>
      <c r="K2570" s="79"/>
      <c r="L2570" s="79"/>
      <c r="M2570" s="2"/>
      <c r="N2570" s="5"/>
      <c r="O2570" s="3"/>
      <c r="P2570" s="6"/>
      <c r="Q2570" s="6"/>
    </row>
    <row r="2571" spans="1:17" ht="15" customHeight="1" x14ac:dyDescent="0.25">
      <c r="A2571" s="1"/>
      <c r="B2571" s="17"/>
      <c r="C2571" s="17"/>
      <c r="D2571" s="17"/>
      <c r="E2571" s="17"/>
      <c r="F2571" s="17"/>
      <c r="G2571" s="4">
        <f t="shared" si="86"/>
        <v>0</v>
      </c>
      <c r="H2571" s="17"/>
      <c r="I2571" s="4">
        <f t="shared" si="84"/>
        <v>349526.07999999996</v>
      </c>
      <c r="J2571" s="32" t="str">
        <f t="shared" si="85"/>
        <v/>
      </c>
      <c r="K2571" s="79"/>
      <c r="L2571" s="79"/>
      <c r="M2571" s="2"/>
      <c r="N2571" s="5"/>
      <c r="O2571" s="3"/>
      <c r="P2571" s="6"/>
      <c r="Q2571" s="6"/>
    </row>
    <row r="2572" spans="1:17" ht="15" customHeight="1" x14ac:dyDescent="0.25">
      <c r="A2572" s="1"/>
      <c r="B2572" s="17"/>
      <c r="C2572" s="17"/>
      <c r="D2572" s="17"/>
      <c r="E2572" s="17"/>
      <c r="F2572" s="17"/>
      <c r="G2572" s="4">
        <f t="shared" si="86"/>
        <v>0</v>
      </c>
      <c r="H2572" s="17"/>
      <c r="I2572" s="4">
        <f t="shared" si="84"/>
        <v>349526.07999999996</v>
      </c>
      <c r="J2572" s="32" t="str">
        <f t="shared" si="85"/>
        <v/>
      </c>
      <c r="K2572" s="79"/>
      <c r="L2572" s="79"/>
      <c r="M2572" s="2"/>
      <c r="N2572" s="5"/>
      <c r="O2572" s="3"/>
      <c r="P2572" s="6"/>
      <c r="Q2572" s="6"/>
    </row>
    <row r="2573" spans="1:17" ht="15" customHeight="1" x14ac:dyDescent="0.25">
      <c r="A2573" s="1"/>
      <c r="B2573" s="17"/>
      <c r="C2573" s="17"/>
      <c r="D2573" s="17"/>
      <c r="E2573" s="17"/>
      <c r="F2573" s="17"/>
      <c r="G2573" s="4">
        <f t="shared" si="86"/>
        <v>0</v>
      </c>
      <c r="H2573" s="17"/>
      <c r="I2573" s="4">
        <f t="shared" si="84"/>
        <v>349526.07999999996</v>
      </c>
      <c r="J2573" s="32" t="str">
        <f t="shared" si="85"/>
        <v/>
      </c>
      <c r="K2573" s="79"/>
      <c r="L2573" s="79"/>
      <c r="M2573" s="2"/>
      <c r="N2573" s="5"/>
      <c r="O2573" s="3"/>
      <c r="P2573" s="6"/>
      <c r="Q2573" s="6"/>
    </row>
    <row r="2574" spans="1:17" ht="15" customHeight="1" x14ac:dyDescent="0.25">
      <c r="A2574" s="1"/>
      <c r="B2574" s="17"/>
      <c r="C2574" s="17"/>
      <c r="D2574" s="17"/>
      <c r="E2574" s="17"/>
      <c r="F2574" s="17"/>
      <c r="G2574" s="4">
        <f t="shared" si="86"/>
        <v>0</v>
      </c>
      <c r="H2574" s="17"/>
      <c r="I2574" s="4">
        <f t="shared" si="84"/>
        <v>349526.07999999996</v>
      </c>
      <c r="J2574" s="32" t="str">
        <f t="shared" si="85"/>
        <v/>
      </c>
      <c r="K2574" s="79"/>
      <c r="L2574" s="79"/>
      <c r="M2574" s="2"/>
      <c r="N2574" s="5"/>
      <c r="O2574" s="3"/>
      <c r="P2574" s="6"/>
      <c r="Q2574" s="6"/>
    </row>
    <row r="2575" spans="1:17" ht="15" customHeight="1" x14ac:dyDescent="0.25">
      <c r="A2575" s="1"/>
      <c r="B2575" s="17"/>
      <c r="C2575" s="17"/>
      <c r="D2575" s="17"/>
      <c r="E2575" s="17"/>
      <c r="F2575" s="17"/>
      <c r="G2575" s="4">
        <f t="shared" si="86"/>
        <v>0</v>
      </c>
      <c r="H2575" s="17"/>
      <c r="I2575" s="4">
        <f t="shared" si="84"/>
        <v>349526.07999999996</v>
      </c>
      <c r="J2575" s="32" t="str">
        <f t="shared" si="85"/>
        <v/>
      </c>
      <c r="K2575" s="79"/>
      <c r="L2575" s="79"/>
      <c r="M2575" s="2"/>
      <c r="N2575" s="5"/>
      <c r="O2575" s="3"/>
      <c r="P2575" s="6"/>
      <c r="Q2575" s="6"/>
    </row>
    <row r="2576" spans="1:17" ht="15" customHeight="1" x14ac:dyDescent="0.25">
      <c r="A2576" s="1"/>
      <c r="B2576" s="17"/>
      <c r="C2576" s="17"/>
      <c r="D2576" s="17"/>
      <c r="E2576" s="17"/>
      <c r="F2576" s="17"/>
      <c r="G2576" s="4">
        <f t="shared" si="86"/>
        <v>0</v>
      </c>
      <c r="H2576" s="17"/>
      <c r="I2576" s="4">
        <f t="shared" si="84"/>
        <v>349526.07999999996</v>
      </c>
      <c r="J2576" s="32" t="str">
        <f t="shared" si="85"/>
        <v/>
      </c>
      <c r="K2576" s="79"/>
      <c r="L2576" s="79"/>
      <c r="M2576" s="2"/>
      <c r="N2576" s="5"/>
      <c r="O2576" s="3"/>
      <c r="P2576" s="6"/>
      <c r="Q2576" s="6"/>
    </row>
    <row r="2577" spans="1:17" ht="15" customHeight="1" x14ac:dyDescent="0.25">
      <c r="A2577" s="1"/>
      <c r="B2577" s="17"/>
      <c r="C2577" s="17"/>
      <c r="D2577" s="17"/>
      <c r="E2577" s="17"/>
      <c r="F2577" s="17"/>
      <c r="G2577" s="4">
        <f t="shared" si="86"/>
        <v>0</v>
      </c>
      <c r="H2577" s="17"/>
      <c r="I2577" s="4">
        <f t="shared" si="84"/>
        <v>349526.07999999996</v>
      </c>
      <c r="J2577" s="32" t="str">
        <f t="shared" si="85"/>
        <v/>
      </c>
      <c r="K2577" s="79"/>
      <c r="L2577" s="79"/>
      <c r="M2577" s="2"/>
      <c r="N2577" s="5"/>
      <c r="O2577" s="3"/>
      <c r="P2577" s="6"/>
      <c r="Q2577" s="6"/>
    </row>
    <row r="2578" spans="1:17" ht="15" customHeight="1" x14ac:dyDescent="0.25">
      <c r="A2578" s="1"/>
      <c r="B2578" s="17"/>
      <c r="C2578" s="17"/>
      <c r="D2578" s="17"/>
      <c r="E2578" s="17"/>
      <c r="F2578" s="17"/>
      <c r="G2578" s="4">
        <f t="shared" si="86"/>
        <v>0</v>
      </c>
      <c r="H2578" s="17"/>
      <c r="I2578" s="4">
        <f t="shared" si="84"/>
        <v>349526.07999999996</v>
      </c>
      <c r="J2578" s="32" t="str">
        <f t="shared" si="85"/>
        <v/>
      </c>
      <c r="K2578" s="79"/>
      <c r="L2578" s="79"/>
      <c r="M2578" s="2"/>
      <c r="N2578" s="5"/>
      <c r="O2578" s="3"/>
      <c r="P2578" s="6"/>
      <c r="Q2578" s="6"/>
    </row>
    <row r="2579" spans="1:17" ht="15" customHeight="1" x14ac:dyDescent="0.25">
      <c r="A2579" s="1"/>
      <c r="B2579" s="17"/>
      <c r="C2579" s="17"/>
      <c r="D2579" s="17"/>
      <c r="E2579" s="17"/>
      <c r="F2579" s="17"/>
      <c r="G2579" s="4">
        <f t="shared" si="86"/>
        <v>0</v>
      </c>
      <c r="H2579" s="17"/>
      <c r="I2579" s="4">
        <f t="shared" si="84"/>
        <v>349526.07999999996</v>
      </c>
      <c r="J2579" s="32" t="str">
        <f t="shared" si="85"/>
        <v/>
      </c>
      <c r="K2579" s="79"/>
      <c r="L2579" s="79"/>
      <c r="M2579" s="2"/>
      <c r="N2579" s="5"/>
      <c r="O2579" s="3"/>
      <c r="P2579" s="6"/>
      <c r="Q2579" s="6"/>
    </row>
    <row r="2580" spans="1:17" ht="15" customHeight="1" x14ac:dyDescent="0.25">
      <c r="A2580" s="1"/>
      <c r="B2580" s="17"/>
      <c r="C2580" s="17"/>
      <c r="D2580" s="17"/>
      <c r="E2580" s="17"/>
      <c r="F2580" s="17"/>
      <c r="G2580" s="4">
        <f t="shared" si="86"/>
        <v>0</v>
      </c>
      <c r="H2580" s="17"/>
      <c r="I2580" s="4">
        <f t="shared" si="84"/>
        <v>349526.07999999996</v>
      </c>
      <c r="J2580" s="32" t="str">
        <f t="shared" si="85"/>
        <v/>
      </c>
      <c r="K2580" s="79"/>
      <c r="L2580" s="79"/>
      <c r="M2580" s="2"/>
      <c r="N2580" s="5"/>
      <c r="O2580" s="3"/>
      <c r="P2580" s="6"/>
      <c r="Q2580" s="6"/>
    </row>
    <row r="2581" spans="1:17" ht="15" customHeight="1" x14ac:dyDescent="0.25">
      <c r="A2581" s="1"/>
      <c r="B2581" s="17"/>
      <c r="C2581" s="17"/>
      <c r="D2581" s="17"/>
      <c r="E2581" s="17"/>
      <c r="F2581" s="17"/>
      <c r="G2581" s="4">
        <f t="shared" si="86"/>
        <v>0</v>
      </c>
      <c r="H2581" s="17"/>
      <c r="I2581" s="4">
        <f t="shared" si="84"/>
        <v>349526.07999999996</v>
      </c>
      <c r="J2581" s="32" t="str">
        <f t="shared" si="85"/>
        <v/>
      </c>
      <c r="K2581" s="79"/>
      <c r="L2581" s="79"/>
      <c r="M2581" s="2"/>
      <c r="N2581" s="5"/>
      <c r="O2581" s="3"/>
      <c r="P2581" s="6"/>
      <c r="Q2581" s="6"/>
    </row>
    <row r="2582" spans="1:17" ht="15" customHeight="1" x14ac:dyDescent="0.25">
      <c r="A2582" s="1"/>
      <c r="B2582" s="17"/>
      <c r="C2582" s="17"/>
      <c r="D2582" s="17"/>
      <c r="E2582" s="17"/>
      <c r="F2582" s="17"/>
      <c r="G2582" s="4">
        <f t="shared" si="86"/>
        <v>0</v>
      </c>
      <c r="H2582" s="17"/>
      <c r="I2582" s="4">
        <f t="shared" si="84"/>
        <v>349526.07999999996</v>
      </c>
      <c r="J2582" s="32" t="str">
        <f t="shared" si="85"/>
        <v/>
      </c>
      <c r="K2582" s="79"/>
      <c r="L2582" s="79"/>
      <c r="M2582" s="2"/>
      <c r="N2582" s="5"/>
      <c r="O2582" s="3"/>
      <c r="P2582" s="6"/>
      <c r="Q2582" s="6"/>
    </row>
    <row r="2583" spans="1:17" ht="15" customHeight="1" x14ac:dyDescent="0.25">
      <c r="A2583" s="1"/>
      <c r="B2583" s="17"/>
      <c r="C2583" s="17"/>
      <c r="D2583" s="17"/>
      <c r="E2583" s="17"/>
      <c r="F2583" s="17"/>
      <c r="G2583" s="4">
        <f t="shared" si="86"/>
        <v>0</v>
      </c>
      <c r="H2583" s="17"/>
      <c r="I2583" s="4">
        <f t="shared" si="84"/>
        <v>349526.07999999996</v>
      </c>
      <c r="J2583" s="32" t="str">
        <f t="shared" si="85"/>
        <v/>
      </c>
      <c r="K2583" s="79"/>
      <c r="L2583" s="79"/>
      <c r="M2583" s="2"/>
      <c r="N2583" s="5"/>
      <c r="O2583" s="3"/>
      <c r="P2583" s="6"/>
      <c r="Q2583" s="6"/>
    </row>
    <row r="2584" spans="1:17" ht="15" customHeight="1" x14ac:dyDescent="0.25">
      <c r="A2584" s="1"/>
      <c r="B2584" s="17"/>
      <c r="C2584" s="17"/>
      <c r="D2584" s="17"/>
      <c r="E2584" s="17"/>
      <c r="F2584" s="17"/>
      <c r="G2584" s="4">
        <f t="shared" si="86"/>
        <v>0</v>
      </c>
      <c r="H2584" s="17"/>
      <c r="I2584" s="4">
        <f t="shared" si="84"/>
        <v>349526.07999999996</v>
      </c>
      <c r="J2584" s="32" t="str">
        <f t="shared" si="85"/>
        <v/>
      </c>
      <c r="K2584" s="79"/>
      <c r="L2584" s="79"/>
      <c r="M2584" s="2"/>
      <c r="N2584" s="5"/>
      <c r="O2584" s="3"/>
      <c r="P2584" s="6"/>
      <c r="Q2584" s="6"/>
    </row>
    <row r="2585" spans="1:17" ht="15" customHeight="1" x14ac:dyDescent="0.25">
      <c r="A2585" s="1"/>
      <c r="B2585" s="17"/>
      <c r="C2585" s="17"/>
      <c r="D2585" s="17"/>
      <c r="E2585" s="17"/>
      <c r="F2585" s="17"/>
      <c r="G2585" s="4">
        <f t="shared" si="86"/>
        <v>0</v>
      </c>
      <c r="H2585" s="17"/>
      <c r="I2585" s="4">
        <f t="shared" si="84"/>
        <v>349526.07999999996</v>
      </c>
      <c r="J2585" s="32" t="str">
        <f t="shared" si="85"/>
        <v/>
      </c>
      <c r="K2585" s="79"/>
      <c r="L2585" s="79"/>
      <c r="M2585" s="2"/>
      <c r="N2585" s="5"/>
      <c r="O2585" s="3"/>
      <c r="P2585" s="6"/>
      <c r="Q2585" s="6"/>
    </row>
    <row r="2586" spans="1:17" ht="15" customHeight="1" x14ac:dyDescent="0.25">
      <c r="A2586" s="1"/>
      <c r="B2586" s="17"/>
      <c r="C2586" s="17"/>
      <c r="D2586" s="17"/>
      <c r="E2586" s="17"/>
      <c r="F2586" s="17"/>
      <c r="G2586" s="4">
        <f t="shared" si="86"/>
        <v>0</v>
      </c>
      <c r="H2586" s="17"/>
      <c r="I2586" s="4">
        <f t="shared" si="84"/>
        <v>349526.07999999996</v>
      </c>
      <c r="J2586" s="32" t="str">
        <f t="shared" si="85"/>
        <v/>
      </c>
      <c r="K2586" s="79"/>
      <c r="L2586" s="79"/>
      <c r="M2586" s="2"/>
      <c r="N2586" s="5"/>
      <c r="O2586" s="3"/>
      <c r="P2586" s="6"/>
      <c r="Q2586" s="6"/>
    </row>
    <row r="2587" spans="1:17" ht="15" customHeight="1" x14ac:dyDescent="0.25">
      <c r="A2587" s="1"/>
      <c r="B2587" s="17"/>
      <c r="C2587" s="17"/>
      <c r="D2587" s="17"/>
      <c r="E2587" s="17"/>
      <c r="F2587" s="17"/>
      <c r="G2587" s="4">
        <f t="shared" si="86"/>
        <v>0</v>
      </c>
      <c r="H2587" s="17"/>
      <c r="I2587" s="4">
        <f t="shared" si="84"/>
        <v>349526.07999999996</v>
      </c>
      <c r="J2587" s="32" t="str">
        <f t="shared" si="85"/>
        <v/>
      </c>
      <c r="K2587" s="79"/>
      <c r="L2587" s="79"/>
      <c r="M2587" s="2"/>
      <c r="N2587" s="5"/>
      <c r="O2587" s="3"/>
      <c r="P2587" s="6"/>
      <c r="Q2587" s="6"/>
    </row>
    <row r="2588" spans="1:17" ht="15" customHeight="1" x14ac:dyDescent="0.25">
      <c r="A2588" s="1"/>
      <c r="B2588" s="17"/>
      <c r="C2588" s="17"/>
      <c r="D2588" s="17"/>
      <c r="E2588" s="17"/>
      <c r="F2588" s="17"/>
      <c r="G2588" s="4">
        <f t="shared" si="86"/>
        <v>0</v>
      </c>
      <c r="H2588" s="17"/>
      <c r="I2588" s="4">
        <f t="shared" si="84"/>
        <v>349526.07999999996</v>
      </c>
      <c r="J2588" s="32" t="str">
        <f t="shared" si="85"/>
        <v/>
      </c>
      <c r="K2588" s="79"/>
      <c r="L2588" s="79"/>
      <c r="M2588" s="2"/>
      <c r="N2588" s="5"/>
      <c r="O2588" s="3"/>
      <c r="P2588" s="6"/>
      <c r="Q2588" s="6"/>
    </row>
    <row r="2589" spans="1:17" ht="15" customHeight="1" x14ac:dyDescent="0.25">
      <c r="A2589" s="1"/>
      <c r="B2589" s="17"/>
      <c r="C2589" s="17"/>
      <c r="D2589" s="17"/>
      <c r="E2589" s="17"/>
      <c r="F2589" s="17"/>
      <c r="G2589" s="4">
        <f t="shared" si="86"/>
        <v>0</v>
      </c>
      <c r="H2589" s="17"/>
      <c r="I2589" s="4">
        <f t="shared" si="84"/>
        <v>349526.07999999996</v>
      </c>
      <c r="J2589" s="32" t="str">
        <f t="shared" si="85"/>
        <v/>
      </c>
      <c r="K2589" s="79"/>
      <c r="L2589" s="79"/>
      <c r="M2589" s="2"/>
      <c r="N2589" s="5"/>
      <c r="O2589" s="3"/>
      <c r="P2589" s="6"/>
      <c r="Q2589" s="6"/>
    </row>
    <row r="2590" spans="1:17" ht="15" customHeight="1" x14ac:dyDescent="0.25">
      <c r="A2590" s="1"/>
      <c r="B2590" s="17"/>
      <c r="C2590" s="17"/>
      <c r="D2590" s="17"/>
      <c r="E2590" s="17"/>
      <c r="F2590" s="17"/>
      <c r="G2590" s="4">
        <f t="shared" si="86"/>
        <v>0</v>
      </c>
      <c r="H2590" s="17"/>
      <c r="I2590" s="4">
        <f t="shared" si="84"/>
        <v>349526.07999999996</v>
      </c>
      <c r="J2590" s="32" t="str">
        <f t="shared" si="85"/>
        <v/>
      </c>
      <c r="K2590" s="79"/>
      <c r="L2590" s="79"/>
      <c r="M2590" s="2"/>
      <c r="N2590" s="5"/>
      <c r="O2590" s="3"/>
      <c r="P2590" s="6"/>
      <c r="Q2590" s="6"/>
    </row>
    <row r="2591" spans="1:17" ht="15" customHeight="1" x14ac:dyDescent="0.25">
      <c r="A2591" s="1"/>
      <c r="B2591" s="17"/>
      <c r="C2591" s="17"/>
      <c r="D2591" s="17"/>
      <c r="E2591" s="17"/>
      <c r="F2591" s="17"/>
      <c r="G2591" s="4">
        <f t="shared" si="86"/>
        <v>0</v>
      </c>
      <c r="H2591" s="17"/>
      <c r="I2591" s="4">
        <f t="shared" si="84"/>
        <v>349526.07999999996</v>
      </c>
      <c r="J2591" s="32" t="str">
        <f t="shared" si="85"/>
        <v/>
      </c>
      <c r="K2591" s="79"/>
      <c r="L2591" s="79"/>
      <c r="M2591" s="2"/>
      <c r="N2591" s="5"/>
      <c r="O2591" s="3"/>
      <c r="P2591" s="6"/>
      <c r="Q2591" s="6"/>
    </row>
    <row r="2592" spans="1:17" ht="15" customHeight="1" x14ac:dyDescent="0.25">
      <c r="A2592" s="1"/>
      <c r="B2592" s="17"/>
      <c r="C2592" s="17"/>
      <c r="D2592" s="17"/>
      <c r="E2592" s="17"/>
      <c r="F2592" s="17"/>
      <c r="G2592" s="4">
        <f t="shared" si="86"/>
        <v>0</v>
      </c>
      <c r="H2592" s="17"/>
      <c r="I2592" s="4">
        <f t="shared" si="84"/>
        <v>349526.07999999996</v>
      </c>
      <c r="J2592" s="32" t="str">
        <f t="shared" si="85"/>
        <v/>
      </c>
      <c r="K2592" s="79"/>
      <c r="L2592" s="79"/>
      <c r="M2592" s="2"/>
      <c r="N2592" s="5"/>
      <c r="O2592" s="3"/>
      <c r="P2592" s="6"/>
      <c r="Q2592" s="6"/>
    </row>
    <row r="2593" spans="1:17" ht="15" customHeight="1" x14ac:dyDescent="0.25">
      <c r="A2593" s="1"/>
      <c r="B2593" s="17"/>
      <c r="C2593" s="17"/>
      <c r="D2593" s="17"/>
      <c r="E2593" s="17"/>
      <c r="F2593" s="17"/>
      <c r="G2593" s="4">
        <f t="shared" si="86"/>
        <v>0</v>
      </c>
      <c r="H2593" s="17"/>
      <c r="I2593" s="4">
        <f t="shared" si="84"/>
        <v>349526.07999999996</v>
      </c>
      <c r="J2593" s="32" t="str">
        <f t="shared" si="85"/>
        <v/>
      </c>
      <c r="K2593" s="79"/>
      <c r="L2593" s="79"/>
      <c r="M2593" s="2"/>
      <c r="N2593" s="5"/>
      <c r="O2593" s="3"/>
      <c r="P2593" s="6"/>
      <c r="Q2593" s="6"/>
    </row>
    <row r="2594" spans="1:17" ht="15" customHeight="1" x14ac:dyDescent="0.25">
      <c r="A2594" s="1"/>
      <c r="B2594" s="17"/>
      <c r="C2594" s="17"/>
      <c r="D2594" s="17"/>
      <c r="E2594" s="17"/>
      <c r="F2594" s="17"/>
      <c r="G2594" s="4">
        <f t="shared" si="86"/>
        <v>0</v>
      </c>
      <c r="H2594" s="17"/>
      <c r="I2594" s="4">
        <f t="shared" si="84"/>
        <v>349526.07999999996</v>
      </c>
      <c r="J2594" s="32" t="str">
        <f t="shared" si="85"/>
        <v/>
      </c>
      <c r="K2594" s="79"/>
      <c r="L2594" s="79"/>
      <c r="M2594" s="2"/>
      <c r="N2594" s="5"/>
      <c r="O2594" s="3"/>
      <c r="P2594" s="6"/>
      <c r="Q2594" s="6"/>
    </row>
    <row r="2595" spans="1:17" ht="15" customHeight="1" x14ac:dyDescent="0.25">
      <c r="A2595" s="1"/>
      <c r="B2595" s="17"/>
      <c r="C2595" s="17"/>
      <c r="D2595" s="17"/>
      <c r="E2595" s="17"/>
      <c r="F2595" s="17"/>
      <c r="G2595" s="4">
        <f t="shared" si="86"/>
        <v>0</v>
      </c>
      <c r="H2595" s="17"/>
      <c r="I2595" s="4">
        <f t="shared" si="84"/>
        <v>349526.07999999996</v>
      </c>
      <c r="J2595" s="32" t="str">
        <f t="shared" si="85"/>
        <v/>
      </c>
      <c r="K2595" s="79"/>
      <c r="L2595" s="79"/>
      <c r="M2595" s="2"/>
      <c r="N2595" s="5"/>
      <c r="O2595" s="3"/>
      <c r="P2595" s="6"/>
      <c r="Q2595" s="6"/>
    </row>
    <row r="2596" spans="1:17" ht="15" customHeight="1" x14ac:dyDescent="0.25">
      <c r="A2596" s="1"/>
      <c r="B2596" s="17"/>
      <c r="C2596" s="17"/>
      <c r="D2596" s="17"/>
      <c r="E2596" s="17"/>
      <c r="F2596" s="17"/>
      <c r="G2596" s="4">
        <f t="shared" si="86"/>
        <v>0</v>
      </c>
      <c r="H2596" s="17"/>
      <c r="I2596" s="4">
        <f t="shared" si="84"/>
        <v>349526.07999999996</v>
      </c>
      <c r="J2596" s="32" t="str">
        <f t="shared" si="85"/>
        <v/>
      </c>
      <c r="K2596" s="79"/>
      <c r="L2596" s="79"/>
      <c r="M2596" s="2"/>
      <c r="N2596" s="5"/>
      <c r="O2596" s="3"/>
      <c r="P2596" s="6"/>
      <c r="Q2596" s="6"/>
    </row>
    <row r="2597" spans="1:17" ht="15" customHeight="1" x14ac:dyDescent="0.25">
      <c r="A2597" s="1"/>
      <c r="B2597" s="17"/>
      <c r="C2597" s="17"/>
      <c r="D2597" s="17"/>
      <c r="E2597" s="17"/>
      <c r="F2597" s="17"/>
      <c r="G2597" s="4">
        <f t="shared" si="86"/>
        <v>0</v>
      </c>
      <c r="H2597" s="17"/>
      <c r="I2597" s="4">
        <f t="shared" si="84"/>
        <v>349526.07999999996</v>
      </c>
      <c r="J2597" s="32" t="str">
        <f t="shared" si="85"/>
        <v/>
      </c>
      <c r="K2597" s="79"/>
      <c r="L2597" s="79"/>
      <c r="M2597" s="2"/>
      <c r="N2597" s="5"/>
      <c r="O2597" s="3"/>
      <c r="P2597" s="6"/>
      <c r="Q2597" s="6"/>
    </row>
    <row r="2598" spans="1:17" ht="15" customHeight="1" x14ac:dyDescent="0.25">
      <c r="A2598" s="1"/>
      <c r="B2598" s="17"/>
      <c r="C2598" s="17"/>
      <c r="D2598" s="17"/>
      <c r="E2598" s="17"/>
      <c r="F2598" s="17"/>
      <c r="G2598" s="4">
        <f t="shared" si="86"/>
        <v>0</v>
      </c>
      <c r="H2598" s="17"/>
      <c r="I2598" s="4">
        <f t="shared" si="84"/>
        <v>349526.07999999996</v>
      </c>
      <c r="J2598" s="32" t="str">
        <f t="shared" si="85"/>
        <v/>
      </c>
      <c r="K2598" s="79"/>
      <c r="L2598" s="79"/>
      <c r="M2598" s="2"/>
      <c r="N2598" s="5"/>
      <c r="O2598" s="3"/>
      <c r="P2598" s="6"/>
      <c r="Q2598" s="6"/>
    </row>
    <row r="2599" spans="1:17" ht="15" customHeight="1" x14ac:dyDescent="0.25">
      <c r="A2599" s="1"/>
      <c r="B2599" s="17"/>
      <c r="C2599" s="17"/>
      <c r="D2599" s="17"/>
      <c r="E2599" s="17"/>
      <c r="F2599" s="17"/>
      <c r="G2599" s="4">
        <f t="shared" si="86"/>
        <v>0</v>
      </c>
      <c r="H2599" s="17"/>
      <c r="I2599" s="4">
        <f t="shared" si="84"/>
        <v>349526.07999999996</v>
      </c>
      <c r="J2599" s="32" t="str">
        <f t="shared" si="85"/>
        <v/>
      </c>
      <c r="K2599" s="79"/>
      <c r="L2599" s="79"/>
      <c r="M2599" s="2"/>
      <c r="N2599" s="5"/>
      <c r="O2599" s="3"/>
      <c r="P2599" s="6"/>
      <c r="Q2599" s="6"/>
    </row>
    <row r="2600" spans="1:17" ht="15" customHeight="1" x14ac:dyDescent="0.25">
      <c r="A2600" s="1"/>
      <c r="B2600" s="17"/>
      <c r="C2600" s="17"/>
      <c r="D2600" s="17"/>
      <c r="E2600" s="17"/>
      <c r="F2600" s="17"/>
      <c r="G2600" s="4">
        <f t="shared" si="86"/>
        <v>0</v>
      </c>
      <c r="H2600" s="17"/>
      <c r="I2600" s="4">
        <f t="shared" si="84"/>
        <v>349526.07999999996</v>
      </c>
      <c r="J2600" s="32" t="str">
        <f t="shared" si="85"/>
        <v/>
      </c>
      <c r="K2600" s="79"/>
      <c r="L2600" s="79"/>
      <c r="M2600" s="2"/>
      <c r="N2600" s="5"/>
      <c r="O2600" s="3"/>
      <c r="P2600" s="6"/>
      <c r="Q2600" s="6"/>
    </row>
    <row r="2601" spans="1:17" ht="15" customHeight="1" x14ac:dyDescent="0.25">
      <c r="A2601" s="1"/>
      <c r="B2601" s="17"/>
      <c r="C2601" s="17"/>
      <c r="D2601" s="17"/>
      <c r="E2601" s="17"/>
      <c r="F2601" s="17"/>
      <c r="G2601" s="4">
        <f t="shared" si="86"/>
        <v>0</v>
      </c>
      <c r="H2601" s="17"/>
      <c r="I2601" s="4">
        <f t="shared" si="84"/>
        <v>349526.07999999996</v>
      </c>
      <c r="J2601" s="32" t="str">
        <f t="shared" si="85"/>
        <v/>
      </c>
      <c r="K2601" s="79"/>
      <c r="L2601" s="79"/>
      <c r="M2601" s="2"/>
      <c r="N2601" s="5"/>
      <c r="O2601" s="3"/>
      <c r="P2601" s="6"/>
      <c r="Q2601" s="6"/>
    </row>
    <row r="2602" spans="1:17" ht="15" customHeight="1" x14ac:dyDescent="0.25">
      <c r="A2602" s="1"/>
      <c r="B2602" s="17"/>
      <c r="C2602" s="17"/>
      <c r="D2602" s="17"/>
      <c r="E2602" s="17"/>
      <c r="F2602" s="17"/>
      <c r="G2602" s="4">
        <f t="shared" si="86"/>
        <v>0</v>
      </c>
      <c r="H2602" s="17"/>
      <c r="I2602" s="4">
        <f t="shared" si="84"/>
        <v>349526.07999999996</v>
      </c>
      <c r="J2602" s="32" t="str">
        <f t="shared" si="85"/>
        <v/>
      </c>
      <c r="K2602" s="79"/>
      <c r="L2602" s="79"/>
      <c r="M2602" s="2"/>
      <c r="N2602" s="5"/>
      <c r="O2602" s="3"/>
      <c r="P2602" s="6"/>
      <c r="Q2602" s="6"/>
    </row>
    <row r="2603" spans="1:17" ht="15" customHeight="1" x14ac:dyDescent="0.25">
      <c r="A2603" s="1"/>
      <c r="B2603" s="17"/>
      <c r="C2603" s="17"/>
      <c r="D2603" s="17"/>
      <c r="E2603" s="17"/>
      <c r="F2603" s="17"/>
      <c r="G2603" s="4">
        <f t="shared" si="86"/>
        <v>0</v>
      </c>
      <c r="H2603" s="17"/>
      <c r="I2603" s="4">
        <f t="shared" si="84"/>
        <v>349526.07999999996</v>
      </c>
      <c r="J2603" s="32" t="str">
        <f t="shared" si="85"/>
        <v/>
      </c>
      <c r="K2603" s="79"/>
      <c r="L2603" s="79"/>
      <c r="M2603" s="2"/>
      <c r="N2603" s="5"/>
      <c r="O2603" s="3"/>
      <c r="P2603" s="6"/>
      <c r="Q2603" s="6"/>
    </row>
    <row r="2604" spans="1:17" ht="15" customHeight="1" x14ac:dyDescent="0.25">
      <c r="A2604" s="1"/>
      <c r="B2604" s="17"/>
      <c r="C2604" s="17"/>
      <c r="D2604" s="17"/>
      <c r="E2604" s="17"/>
      <c r="F2604" s="17"/>
      <c r="G2604" s="4">
        <f t="shared" si="86"/>
        <v>0</v>
      </c>
      <c r="H2604" s="17"/>
      <c r="I2604" s="4">
        <f t="shared" si="84"/>
        <v>349526.07999999996</v>
      </c>
      <c r="J2604" s="32" t="str">
        <f t="shared" si="85"/>
        <v/>
      </c>
      <c r="K2604" s="79"/>
      <c r="L2604" s="79"/>
      <c r="M2604" s="2"/>
      <c r="N2604" s="5"/>
      <c r="O2604" s="3"/>
      <c r="P2604" s="6"/>
      <c r="Q2604" s="6"/>
    </row>
    <row r="2605" spans="1:17" ht="15" customHeight="1" x14ac:dyDescent="0.25">
      <c r="A2605" s="1"/>
      <c r="B2605" s="17"/>
      <c r="C2605" s="17"/>
      <c r="D2605" s="17"/>
      <c r="E2605" s="17"/>
      <c r="F2605" s="17"/>
      <c r="G2605" s="4">
        <f t="shared" si="86"/>
        <v>0</v>
      </c>
      <c r="H2605" s="17"/>
      <c r="I2605" s="4">
        <f t="shared" si="84"/>
        <v>349526.07999999996</v>
      </c>
      <c r="J2605" s="32" t="str">
        <f t="shared" si="85"/>
        <v/>
      </c>
      <c r="K2605" s="79"/>
      <c r="L2605" s="79"/>
      <c r="M2605" s="2"/>
      <c r="N2605" s="5"/>
      <c r="O2605" s="3"/>
      <c r="P2605" s="6"/>
      <c r="Q2605" s="6"/>
    </row>
    <row r="2606" spans="1:17" ht="15" customHeight="1" x14ac:dyDescent="0.25">
      <c r="A2606" s="1"/>
      <c r="B2606" s="17"/>
      <c r="C2606" s="17"/>
      <c r="D2606" s="17"/>
      <c r="E2606" s="17"/>
      <c r="F2606" s="17"/>
      <c r="G2606" s="4">
        <f t="shared" si="86"/>
        <v>0</v>
      </c>
      <c r="H2606" s="17"/>
      <c r="I2606" s="4">
        <f t="shared" si="84"/>
        <v>349526.07999999996</v>
      </c>
      <c r="J2606" s="32" t="str">
        <f t="shared" si="85"/>
        <v/>
      </c>
      <c r="K2606" s="79"/>
      <c r="L2606" s="79"/>
      <c r="M2606" s="2"/>
      <c r="N2606" s="5"/>
      <c r="O2606" s="3"/>
      <c r="P2606" s="6"/>
      <c r="Q2606" s="6"/>
    </row>
    <row r="2607" spans="1:17" ht="15" customHeight="1" x14ac:dyDescent="0.25">
      <c r="A2607" s="1"/>
      <c r="B2607" s="17"/>
      <c r="C2607" s="17"/>
      <c r="D2607" s="17"/>
      <c r="E2607" s="17"/>
      <c r="F2607" s="17"/>
      <c r="G2607" s="4">
        <f t="shared" si="86"/>
        <v>0</v>
      </c>
      <c r="H2607" s="17"/>
      <c r="I2607" s="4">
        <f t="shared" si="84"/>
        <v>349526.07999999996</v>
      </c>
      <c r="J2607" s="32" t="str">
        <f t="shared" si="85"/>
        <v/>
      </c>
      <c r="K2607" s="79"/>
      <c r="L2607" s="79"/>
      <c r="M2607" s="2"/>
      <c r="N2607" s="5"/>
      <c r="O2607" s="3"/>
      <c r="P2607" s="6"/>
      <c r="Q2607" s="6"/>
    </row>
    <row r="2608" spans="1:17" ht="15" customHeight="1" x14ac:dyDescent="0.25">
      <c r="A2608" s="1"/>
      <c r="B2608" s="17"/>
      <c r="C2608" s="17"/>
      <c r="D2608" s="17"/>
      <c r="E2608" s="17"/>
      <c r="F2608" s="17"/>
      <c r="G2608" s="4">
        <f t="shared" si="86"/>
        <v>0</v>
      </c>
      <c r="H2608" s="17"/>
      <c r="I2608" s="4">
        <f t="shared" si="84"/>
        <v>349526.07999999996</v>
      </c>
      <c r="J2608" s="32" t="str">
        <f t="shared" si="85"/>
        <v/>
      </c>
      <c r="K2608" s="79"/>
      <c r="L2608" s="79"/>
      <c r="M2608" s="2"/>
      <c r="N2608" s="5"/>
      <c r="O2608" s="3"/>
      <c r="P2608" s="6"/>
      <c r="Q2608" s="6"/>
    </row>
    <row r="2609" spans="1:17" ht="15" customHeight="1" x14ac:dyDescent="0.25">
      <c r="A2609" s="1"/>
      <c r="B2609" s="17"/>
      <c r="C2609" s="17"/>
      <c r="D2609" s="17"/>
      <c r="E2609" s="17"/>
      <c r="F2609" s="17"/>
      <c r="G2609" s="4">
        <f t="shared" si="86"/>
        <v>0</v>
      </c>
      <c r="H2609" s="17"/>
      <c r="I2609" s="4">
        <f t="shared" si="84"/>
        <v>349526.07999999996</v>
      </c>
      <c r="J2609" s="32" t="str">
        <f t="shared" si="85"/>
        <v/>
      </c>
      <c r="K2609" s="79"/>
      <c r="L2609" s="79"/>
      <c r="M2609" s="2"/>
      <c r="N2609" s="5"/>
      <c r="O2609" s="3"/>
      <c r="P2609" s="6"/>
      <c r="Q2609" s="6"/>
    </row>
    <row r="2610" spans="1:17" ht="15" customHeight="1" x14ac:dyDescent="0.25">
      <c r="A2610" s="1"/>
      <c r="B2610" s="17"/>
      <c r="C2610" s="17"/>
      <c r="D2610" s="17"/>
      <c r="E2610" s="17"/>
      <c r="F2610" s="17"/>
      <c r="G2610" s="4">
        <f t="shared" si="86"/>
        <v>0</v>
      </c>
      <c r="H2610" s="17"/>
      <c r="I2610" s="4">
        <f t="shared" si="84"/>
        <v>349526.07999999996</v>
      </c>
      <c r="J2610" s="32" t="str">
        <f t="shared" si="85"/>
        <v/>
      </c>
      <c r="K2610" s="79"/>
      <c r="L2610" s="79"/>
      <c r="M2610" s="2"/>
      <c r="N2610" s="5"/>
      <c r="O2610" s="3"/>
      <c r="P2610" s="6"/>
      <c r="Q2610" s="6"/>
    </row>
    <row r="2611" spans="1:17" ht="15" customHeight="1" x14ac:dyDescent="0.25">
      <c r="A2611" s="1"/>
      <c r="B2611" s="17"/>
      <c r="C2611" s="17"/>
      <c r="D2611" s="17"/>
      <c r="E2611" s="17"/>
      <c r="F2611" s="17"/>
      <c r="G2611" s="4">
        <f t="shared" si="86"/>
        <v>0</v>
      </c>
      <c r="H2611" s="17"/>
      <c r="I2611" s="4">
        <f t="shared" si="84"/>
        <v>349526.07999999996</v>
      </c>
      <c r="J2611" s="32" t="str">
        <f t="shared" si="85"/>
        <v/>
      </c>
      <c r="K2611" s="79"/>
      <c r="L2611" s="79"/>
      <c r="M2611" s="2"/>
      <c r="N2611" s="5"/>
      <c r="O2611" s="3"/>
      <c r="P2611" s="6"/>
      <c r="Q2611" s="6"/>
    </row>
    <row r="2612" spans="1:17" ht="15" customHeight="1" x14ac:dyDescent="0.25">
      <c r="A2612" s="1"/>
      <c r="B2612" s="17"/>
      <c r="C2612" s="17"/>
      <c r="D2612" s="17"/>
      <c r="E2612" s="17"/>
      <c r="F2612" s="17"/>
      <c r="G2612" s="4">
        <f t="shared" si="86"/>
        <v>0</v>
      </c>
      <c r="H2612" s="17"/>
      <c r="I2612" s="4">
        <f t="shared" si="84"/>
        <v>349526.07999999996</v>
      </c>
      <c r="J2612" s="32" t="str">
        <f t="shared" si="85"/>
        <v/>
      </c>
      <c r="K2612" s="79"/>
      <c r="L2612" s="79"/>
      <c r="M2612" s="2"/>
      <c r="N2612" s="5"/>
      <c r="O2612" s="3"/>
      <c r="P2612" s="6"/>
      <c r="Q2612" s="6"/>
    </row>
    <row r="2613" spans="1:17" ht="15" customHeight="1" x14ac:dyDescent="0.25">
      <c r="A2613" s="1"/>
      <c r="B2613" s="17"/>
      <c r="C2613" s="17"/>
      <c r="D2613" s="17"/>
      <c r="E2613" s="17"/>
      <c r="F2613" s="17"/>
      <c r="G2613" s="4">
        <f t="shared" si="86"/>
        <v>0</v>
      </c>
      <c r="H2613" s="17"/>
      <c r="I2613" s="4">
        <f t="shared" si="84"/>
        <v>349526.07999999996</v>
      </c>
      <c r="J2613" s="32" t="str">
        <f t="shared" si="85"/>
        <v/>
      </c>
      <c r="K2613" s="79"/>
      <c r="L2613" s="79"/>
      <c r="M2613" s="2"/>
      <c r="N2613" s="5"/>
      <c r="O2613" s="3"/>
      <c r="P2613" s="6"/>
      <c r="Q2613" s="6"/>
    </row>
    <row r="2614" spans="1:17" ht="15" customHeight="1" x14ac:dyDescent="0.25">
      <c r="A2614" s="1"/>
      <c r="B2614" s="17"/>
      <c r="C2614" s="17"/>
      <c r="D2614" s="17"/>
      <c r="E2614" s="17"/>
      <c r="F2614" s="17"/>
      <c r="G2614" s="4">
        <f t="shared" si="86"/>
        <v>0</v>
      </c>
      <c r="H2614" s="17"/>
      <c r="I2614" s="4">
        <f t="shared" ref="I2614:I2677" si="87">$I2613+$G2614-$H2614</f>
        <v>349526.07999999996</v>
      </c>
      <c r="J2614" s="32" t="str">
        <f t="shared" ref="J2614:J2677" si="88">IF($A2615&lt;&gt;$A2614,$I2614,"")</f>
        <v/>
      </c>
      <c r="K2614" s="79"/>
      <c r="L2614" s="79"/>
      <c r="M2614" s="2"/>
      <c r="N2614" s="5"/>
      <c r="O2614" s="3"/>
      <c r="P2614" s="6"/>
      <c r="Q2614" s="6"/>
    </row>
    <row r="2615" spans="1:17" ht="15" customHeight="1" x14ac:dyDescent="0.25">
      <c r="A2615" s="1"/>
      <c r="B2615" s="17"/>
      <c r="C2615" s="17"/>
      <c r="D2615" s="17"/>
      <c r="E2615" s="17"/>
      <c r="F2615" s="17"/>
      <c r="G2615" s="4">
        <f t="shared" si="86"/>
        <v>0</v>
      </c>
      <c r="H2615" s="17"/>
      <c r="I2615" s="4">
        <f t="shared" si="87"/>
        <v>349526.07999999996</v>
      </c>
      <c r="J2615" s="32" t="str">
        <f t="shared" si="88"/>
        <v/>
      </c>
      <c r="K2615" s="79"/>
      <c r="L2615" s="79"/>
      <c r="M2615" s="2"/>
      <c r="N2615" s="5"/>
      <c r="O2615" s="3"/>
      <c r="P2615" s="6"/>
      <c r="Q2615" s="6"/>
    </row>
    <row r="2616" spans="1:17" ht="15" customHeight="1" x14ac:dyDescent="0.25">
      <c r="A2616" s="1"/>
      <c r="B2616" s="17"/>
      <c r="C2616" s="17"/>
      <c r="D2616" s="17"/>
      <c r="E2616" s="17"/>
      <c r="F2616" s="17"/>
      <c r="G2616" s="4">
        <f t="shared" si="86"/>
        <v>0</v>
      </c>
      <c r="H2616" s="17"/>
      <c r="I2616" s="4">
        <f t="shared" si="87"/>
        <v>349526.07999999996</v>
      </c>
      <c r="J2616" s="32" t="str">
        <f t="shared" si="88"/>
        <v/>
      </c>
      <c r="K2616" s="79"/>
      <c r="L2616" s="79"/>
      <c r="M2616" s="2"/>
      <c r="N2616" s="5"/>
      <c r="O2616" s="3"/>
      <c r="P2616" s="6"/>
      <c r="Q2616" s="6"/>
    </row>
    <row r="2617" spans="1:17" ht="15" customHeight="1" x14ac:dyDescent="0.25">
      <c r="A2617" s="1"/>
      <c r="B2617" s="17"/>
      <c r="C2617" s="17"/>
      <c r="D2617" s="17"/>
      <c r="E2617" s="17"/>
      <c r="F2617" s="17"/>
      <c r="G2617" s="4">
        <f t="shared" si="86"/>
        <v>0</v>
      </c>
      <c r="H2617" s="17"/>
      <c r="I2617" s="4">
        <f t="shared" si="87"/>
        <v>349526.07999999996</v>
      </c>
      <c r="J2617" s="32" t="str">
        <f t="shared" si="88"/>
        <v/>
      </c>
      <c r="K2617" s="79"/>
      <c r="L2617" s="79"/>
      <c r="M2617" s="2"/>
      <c r="N2617" s="5"/>
      <c r="O2617" s="3"/>
      <c r="P2617" s="6"/>
      <c r="Q2617" s="6"/>
    </row>
    <row r="2618" spans="1:17" ht="15" customHeight="1" x14ac:dyDescent="0.25">
      <c r="A2618" s="1"/>
      <c r="B2618" s="17"/>
      <c r="C2618" s="17"/>
      <c r="D2618" s="17"/>
      <c r="E2618" s="17"/>
      <c r="F2618" s="17"/>
      <c r="G2618" s="4">
        <f t="shared" si="86"/>
        <v>0</v>
      </c>
      <c r="H2618" s="17"/>
      <c r="I2618" s="4">
        <f t="shared" si="87"/>
        <v>349526.07999999996</v>
      </c>
      <c r="J2618" s="32" t="str">
        <f t="shared" si="88"/>
        <v/>
      </c>
      <c r="K2618" s="79"/>
      <c r="L2618" s="79"/>
      <c r="M2618" s="2"/>
      <c r="N2618" s="5"/>
      <c r="O2618" s="3"/>
      <c r="P2618" s="6"/>
      <c r="Q2618" s="6"/>
    </row>
    <row r="2619" spans="1:17" ht="15" customHeight="1" x14ac:dyDescent="0.25">
      <c r="A2619" s="1"/>
      <c r="B2619" s="17"/>
      <c r="C2619" s="17"/>
      <c r="D2619" s="17"/>
      <c r="E2619" s="17"/>
      <c r="F2619" s="17"/>
      <c r="G2619" s="4">
        <f t="shared" si="86"/>
        <v>0</v>
      </c>
      <c r="H2619" s="17"/>
      <c r="I2619" s="4">
        <f t="shared" si="87"/>
        <v>349526.07999999996</v>
      </c>
      <c r="J2619" s="32" t="str">
        <f t="shared" si="88"/>
        <v/>
      </c>
      <c r="K2619" s="79"/>
      <c r="L2619" s="79"/>
      <c r="M2619" s="2"/>
      <c r="N2619" s="5"/>
      <c r="O2619" s="3"/>
      <c r="P2619" s="6"/>
      <c r="Q2619" s="6"/>
    </row>
    <row r="2620" spans="1:17" ht="15" customHeight="1" x14ac:dyDescent="0.25">
      <c r="A2620" s="1"/>
      <c r="B2620" s="17"/>
      <c r="C2620" s="17"/>
      <c r="D2620" s="17"/>
      <c r="E2620" s="17"/>
      <c r="F2620" s="17"/>
      <c r="G2620" s="4">
        <f t="shared" si="86"/>
        <v>0</v>
      </c>
      <c r="H2620" s="17"/>
      <c r="I2620" s="4">
        <f t="shared" si="87"/>
        <v>349526.07999999996</v>
      </c>
      <c r="J2620" s="32" t="str">
        <f t="shared" si="88"/>
        <v/>
      </c>
      <c r="K2620" s="79"/>
      <c r="L2620" s="79"/>
      <c r="M2620" s="2"/>
      <c r="N2620" s="5"/>
      <c r="O2620" s="3"/>
      <c r="P2620" s="6"/>
      <c r="Q2620" s="6"/>
    </row>
    <row r="2621" spans="1:17" ht="15" customHeight="1" x14ac:dyDescent="0.25">
      <c r="A2621" s="1"/>
      <c r="B2621" s="17"/>
      <c r="C2621" s="17"/>
      <c r="D2621" s="17"/>
      <c r="E2621" s="17"/>
      <c r="F2621" s="17"/>
      <c r="G2621" s="4">
        <f t="shared" si="86"/>
        <v>0</v>
      </c>
      <c r="H2621" s="17"/>
      <c r="I2621" s="4">
        <f t="shared" si="87"/>
        <v>349526.07999999996</v>
      </c>
      <c r="J2621" s="32" t="str">
        <f t="shared" si="88"/>
        <v/>
      </c>
      <c r="K2621" s="79"/>
      <c r="L2621" s="79"/>
      <c r="M2621" s="2"/>
      <c r="N2621" s="5"/>
      <c r="O2621" s="3"/>
      <c r="P2621" s="6"/>
      <c r="Q2621" s="6"/>
    </row>
    <row r="2622" spans="1:17" ht="15" customHeight="1" x14ac:dyDescent="0.25">
      <c r="A2622" s="1"/>
      <c r="B2622" s="17"/>
      <c r="C2622" s="17"/>
      <c r="D2622" s="17"/>
      <c r="E2622" s="17"/>
      <c r="F2622" s="17"/>
      <c r="G2622" s="4">
        <f t="shared" si="86"/>
        <v>0</v>
      </c>
      <c r="H2622" s="17"/>
      <c r="I2622" s="4">
        <f t="shared" si="87"/>
        <v>349526.07999999996</v>
      </c>
      <c r="J2622" s="32" t="str">
        <f t="shared" si="88"/>
        <v/>
      </c>
      <c r="K2622" s="79"/>
      <c r="L2622" s="79"/>
      <c r="M2622" s="2"/>
      <c r="N2622" s="5"/>
      <c r="O2622" s="3"/>
      <c r="P2622" s="6"/>
      <c r="Q2622" s="6"/>
    </row>
    <row r="2623" spans="1:17" ht="15" customHeight="1" x14ac:dyDescent="0.25">
      <c r="A2623" s="1"/>
      <c r="B2623" s="17"/>
      <c r="C2623" s="17"/>
      <c r="D2623" s="17"/>
      <c r="E2623" s="17"/>
      <c r="F2623" s="17"/>
      <c r="G2623" s="4">
        <f t="shared" si="86"/>
        <v>0</v>
      </c>
      <c r="H2623" s="17"/>
      <c r="I2623" s="4">
        <f t="shared" si="87"/>
        <v>349526.07999999996</v>
      </c>
      <c r="J2623" s="32" t="str">
        <f t="shared" si="88"/>
        <v/>
      </c>
      <c r="K2623" s="79"/>
      <c r="L2623" s="79"/>
      <c r="M2623" s="2"/>
      <c r="N2623" s="5"/>
      <c r="O2623" s="3"/>
      <c r="P2623" s="6"/>
      <c r="Q2623" s="6"/>
    </row>
    <row r="2624" spans="1:17" ht="15" customHeight="1" x14ac:dyDescent="0.25">
      <c r="A2624" s="1"/>
      <c r="B2624" s="17"/>
      <c r="C2624" s="17"/>
      <c r="D2624" s="17"/>
      <c r="E2624" s="17"/>
      <c r="F2624" s="17"/>
      <c r="G2624" s="4">
        <f t="shared" si="86"/>
        <v>0</v>
      </c>
      <c r="H2624" s="17"/>
      <c r="I2624" s="4">
        <f t="shared" si="87"/>
        <v>349526.07999999996</v>
      </c>
      <c r="J2624" s="32" t="str">
        <f t="shared" si="88"/>
        <v/>
      </c>
      <c r="K2624" s="79"/>
      <c r="L2624" s="79"/>
      <c r="M2624" s="2"/>
      <c r="N2624" s="5"/>
      <c r="O2624" s="3"/>
      <c r="P2624" s="6"/>
      <c r="Q2624" s="6"/>
    </row>
    <row r="2625" spans="1:17" ht="15" customHeight="1" x14ac:dyDescent="0.25">
      <c r="A2625" s="1"/>
      <c r="B2625" s="17"/>
      <c r="C2625" s="17"/>
      <c r="D2625" s="17"/>
      <c r="E2625" s="17"/>
      <c r="F2625" s="17"/>
      <c r="G2625" s="4">
        <f t="shared" si="86"/>
        <v>0</v>
      </c>
      <c r="H2625" s="17"/>
      <c r="I2625" s="4">
        <f t="shared" si="87"/>
        <v>349526.07999999996</v>
      </c>
      <c r="J2625" s="32" t="str">
        <f t="shared" si="88"/>
        <v/>
      </c>
      <c r="K2625" s="79"/>
      <c r="L2625" s="79"/>
      <c r="M2625" s="2"/>
      <c r="N2625" s="5"/>
      <c r="O2625" s="3"/>
      <c r="P2625" s="6"/>
      <c r="Q2625" s="6"/>
    </row>
    <row r="2626" spans="1:17" ht="15" customHeight="1" x14ac:dyDescent="0.25">
      <c r="A2626" s="1"/>
      <c r="B2626" s="17"/>
      <c r="C2626" s="17"/>
      <c r="D2626" s="17"/>
      <c r="E2626" s="17"/>
      <c r="F2626" s="17"/>
      <c r="G2626" s="4">
        <f t="shared" si="86"/>
        <v>0</v>
      </c>
      <c r="H2626" s="17"/>
      <c r="I2626" s="4">
        <f t="shared" si="87"/>
        <v>349526.07999999996</v>
      </c>
      <c r="J2626" s="32" t="str">
        <f t="shared" si="88"/>
        <v/>
      </c>
      <c r="K2626" s="79"/>
      <c r="L2626" s="79"/>
      <c r="M2626" s="2"/>
      <c r="N2626" s="5"/>
      <c r="O2626" s="3"/>
      <c r="P2626" s="6"/>
      <c r="Q2626" s="6"/>
    </row>
    <row r="2627" spans="1:17" ht="15" customHeight="1" x14ac:dyDescent="0.25">
      <c r="A2627" s="1"/>
      <c r="B2627" s="17"/>
      <c r="C2627" s="17"/>
      <c r="D2627" s="17"/>
      <c r="E2627" s="17"/>
      <c r="F2627" s="17"/>
      <c r="G2627" s="4">
        <f t="shared" ref="G2627:G2690" si="89">SUM($B2627:$F2627)</f>
        <v>0</v>
      </c>
      <c r="H2627" s="17"/>
      <c r="I2627" s="4">
        <f t="shared" si="87"/>
        <v>349526.07999999996</v>
      </c>
      <c r="J2627" s="32" t="str">
        <f t="shared" si="88"/>
        <v/>
      </c>
      <c r="K2627" s="79"/>
      <c r="L2627" s="79"/>
      <c r="M2627" s="2"/>
      <c r="N2627" s="5"/>
      <c r="O2627" s="3"/>
      <c r="P2627" s="6"/>
      <c r="Q2627" s="6"/>
    </row>
    <row r="2628" spans="1:17" ht="15" customHeight="1" x14ac:dyDescent="0.25">
      <c r="A2628" s="1"/>
      <c r="B2628" s="17"/>
      <c r="C2628" s="17"/>
      <c r="D2628" s="17"/>
      <c r="E2628" s="17"/>
      <c r="F2628" s="17"/>
      <c r="G2628" s="4">
        <f t="shared" si="89"/>
        <v>0</v>
      </c>
      <c r="H2628" s="17"/>
      <c r="I2628" s="4">
        <f t="shared" si="87"/>
        <v>349526.07999999996</v>
      </c>
      <c r="J2628" s="32" t="str">
        <f t="shared" si="88"/>
        <v/>
      </c>
      <c r="K2628" s="79"/>
      <c r="L2628" s="79"/>
      <c r="M2628" s="2"/>
      <c r="N2628" s="5"/>
      <c r="O2628" s="3"/>
      <c r="P2628" s="6"/>
      <c r="Q2628" s="6"/>
    </row>
    <row r="2629" spans="1:17" ht="15" customHeight="1" x14ac:dyDescent="0.25">
      <c r="A2629" s="1"/>
      <c r="B2629" s="17"/>
      <c r="C2629" s="17"/>
      <c r="D2629" s="17"/>
      <c r="E2629" s="17"/>
      <c r="F2629" s="17"/>
      <c r="G2629" s="4">
        <f t="shared" si="89"/>
        <v>0</v>
      </c>
      <c r="H2629" s="17"/>
      <c r="I2629" s="4">
        <f t="shared" si="87"/>
        <v>349526.07999999996</v>
      </c>
      <c r="J2629" s="32" t="str">
        <f t="shared" si="88"/>
        <v/>
      </c>
      <c r="K2629" s="79"/>
      <c r="L2629" s="79"/>
      <c r="M2629" s="2"/>
      <c r="N2629" s="5"/>
      <c r="O2629" s="3"/>
      <c r="P2629" s="6"/>
      <c r="Q2629" s="6"/>
    </row>
    <row r="2630" spans="1:17" ht="15" customHeight="1" x14ac:dyDescent="0.25">
      <c r="A2630" s="1"/>
      <c r="B2630" s="17"/>
      <c r="C2630" s="17"/>
      <c r="D2630" s="17"/>
      <c r="E2630" s="17"/>
      <c r="F2630" s="17"/>
      <c r="G2630" s="4">
        <f t="shared" si="89"/>
        <v>0</v>
      </c>
      <c r="H2630" s="17"/>
      <c r="I2630" s="4">
        <f t="shared" si="87"/>
        <v>349526.07999999996</v>
      </c>
      <c r="J2630" s="32" t="str">
        <f t="shared" si="88"/>
        <v/>
      </c>
      <c r="K2630" s="79"/>
      <c r="L2630" s="79"/>
      <c r="M2630" s="2"/>
      <c r="N2630" s="5"/>
      <c r="O2630" s="3"/>
      <c r="P2630" s="6"/>
      <c r="Q2630" s="6"/>
    </row>
    <row r="2631" spans="1:17" ht="15" customHeight="1" x14ac:dyDescent="0.25">
      <c r="A2631" s="1"/>
      <c r="B2631" s="17"/>
      <c r="C2631" s="17"/>
      <c r="D2631" s="17"/>
      <c r="E2631" s="17"/>
      <c r="F2631" s="17"/>
      <c r="G2631" s="4">
        <f t="shared" si="89"/>
        <v>0</v>
      </c>
      <c r="H2631" s="17"/>
      <c r="I2631" s="4">
        <f t="shared" si="87"/>
        <v>349526.07999999996</v>
      </c>
      <c r="J2631" s="32" t="str">
        <f t="shared" si="88"/>
        <v/>
      </c>
      <c r="K2631" s="79"/>
      <c r="L2631" s="79"/>
      <c r="M2631" s="2"/>
      <c r="N2631" s="5"/>
      <c r="O2631" s="3"/>
      <c r="P2631" s="6"/>
      <c r="Q2631" s="6"/>
    </row>
    <row r="2632" spans="1:17" ht="15" customHeight="1" x14ac:dyDescent="0.25">
      <c r="A2632" s="1"/>
      <c r="B2632" s="17"/>
      <c r="C2632" s="17"/>
      <c r="D2632" s="17"/>
      <c r="E2632" s="17"/>
      <c r="F2632" s="17"/>
      <c r="G2632" s="4">
        <f t="shared" si="89"/>
        <v>0</v>
      </c>
      <c r="H2632" s="17"/>
      <c r="I2632" s="4">
        <f t="shared" si="87"/>
        <v>349526.07999999996</v>
      </c>
      <c r="J2632" s="32" t="str">
        <f t="shared" si="88"/>
        <v/>
      </c>
      <c r="K2632" s="79"/>
      <c r="L2632" s="79"/>
      <c r="M2632" s="2"/>
      <c r="N2632" s="5"/>
      <c r="O2632" s="3"/>
      <c r="P2632" s="6"/>
      <c r="Q2632" s="6"/>
    </row>
    <row r="2633" spans="1:17" ht="15" customHeight="1" x14ac:dyDescent="0.25">
      <c r="A2633" s="1"/>
      <c r="B2633" s="17"/>
      <c r="C2633" s="17"/>
      <c r="D2633" s="17"/>
      <c r="E2633" s="17"/>
      <c r="F2633" s="17"/>
      <c r="G2633" s="4">
        <f t="shared" si="89"/>
        <v>0</v>
      </c>
      <c r="H2633" s="17"/>
      <c r="I2633" s="4">
        <f t="shared" si="87"/>
        <v>349526.07999999996</v>
      </c>
      <c r="J2633" s="32" t="str">
        <f t="shared" si="88"/>
        <v/>
      </c>
      <c r="K2633" s="79"/>
      <c r="L2633" s="79"/>
      <c r="M2633" s="2"/>
      <c r="N2633" s="5"/>
      <c r="O2633" s="3"/>
      <c r="P2633" s="6"/>
      <c r="Q2633" s="6"/>
    </row>
    <row r="2634" spans="1:17" ht="15" customHeight="1" x14ac:dyDescent="0.25">
      <c r="A2634" s="1"/>
      <c r="B2634" s="17"/>
      <c r="C2634" s="17"/>
      <c r="D2634" s="17"/>
      <c r="E2634" s="17"/>
      <c r="F2634" s="17"/>
      <c r="G2634" s="4">
        <f t="shared" si="89"/>
        <v>0</v>
      </c>
      <c r="H2634" s="17"/>
      <c r="I2634" s="4">
        <f t="shared" si="87"/>
        <v>349526.07999999996</v>
      </c>
      <c r="J2634" s="32" t="str">
        <f t="shared" si="88"/>
        <v/>
      </c>
      <c r="K2634" s="79"/>
      <c r="L2634" s="79"/>
      <c r="M2634" s="2"/>
      <c r="N2634" s="5"/>
      <c r="O2634" s="3"/>
      <c r="P2634" s="6"/>
      <c r="Q2634" s="6"/>
    </row>
    <row r="2635" spans="1:17" ht="15" customHeight="1" x14ac:dyDescent="0.25">
      <c r="A2635" s="1"/>
      <c r="B2635" s="17"/>
      <c r="C2635" s="17"/>
      <c r="D2635" s="17"/>
      <c r="E2635" s="17"/>
      <c r="F2635" s="17"/>
      <c r="G2635" s="4">
        <f t="shared" si="89"/>
        <v>0</v>
      </c>
      <c r="H2635" s="17"/>
      <c r="I2635" s="4">
        <f t="shared" si="87"/>
        <v>349526.07999999996</v>
      </c>
      <c r="J2635" s="32" t="str">
        <f t="shared" si="88"/>
        <v/>
      </c>
      <c r="K2635" s="79"/>
      <c r="L2635" s="79"/>
      <c r="M2635" s="2"/>
      <c r="N2635" s="5"/>
      <c r="O2635" s="3"/>
      <c r="P2635" s="6"/>
      <c r="Q2635" s="6"/>
    </row>
    <row r="2636" spans="1:17" ht="15" customHeight="1" x14ac:dyDescent="0.25">
      <c r="A2636" s="1"/>
      <c r="B2636" s="17"/>
      <c r="C2636" s="17"/>
      <c r="D2636" s="17"/>
      <c r="E2636" s="17"/>
      <c r="F2636" s="17"/>
      <c r="G2636" s="4">
        <f t="shared" si="89"/>
        <v>0</v>
      </c>
      <c r="H2636" s="17"/>
      <c r="I2636" s="4">
        <f t="shared" si="87"/>
        <v>349526.07999999996</v>
      </c>
      <c r="J2636" s="32" t="str">
        <f t="shared" si="88"/>
        <v/>
      </c>
      <c r="K2636" s="79"/>
      <c r="L2636" s="79"/>
      <c r="M2636" s="2"/>
      <c r="N2636" s="5"/>
      <c r="O2636" s="3"/>
      <c r="P2636" s="6"/>
      <c r="Q2636" s="6"/>
    </row>
    <row r="2637" spans="1:17" ht="15" customHeight="1" x14ac:dyDescent="0.25">
      <c r="A2637" s="1"/>
      <c r="B2637" s="17"/>
      <c r="C2637" s="17"/>
      <c r="D2637" s="17"/>
      <c r="E2637" s="17"/>
      <c r="F2637" s="17"/>
      <c r="G2637" s="4">
        <f t="shared" si="89"/>
        <v>0</v>
      </c>
      <c r="H2637" s="17"/>
      <c r="I2637" s="4">
        <f t="shared" si="87"/>
        <v>349526.07999999996</v>
      </c>
      <c r="J2637" s="32" t="str">
        <f t="shared" si="88"/>
        <v/>
      </c>
      <c r="K2637" s="79"/>
      <c r="L2637" s="79"/>
      <c r="M2637" s="2"/>
      <c r="N2637" s="5"/>
      <c r="O2637" s="3"/>
      <c r="P2637" s="6"/>
      <c r="Q2637" s="6"/>
    </row>
    <row r="2638" spans="1:17" ht="15" customHeight="1" x14ac:dyDescent="0.25">
      <c r="A2638" s="1"/>
      <c r="B2638" s="17"/>
      <c r="C2638" s="17"/>
      <c r="D2638" s="17"/>
      <c r="E2638" s="17"/>
      <c r="F2638" s="17"/>
      <c r="G2638" s="4">
        <f t="shared" si="89"/>
        <v>0</v>
      </c>
      <c r="H2638" s="17"/>
      <c r="I2638" s="4">
        <f t="shared" si="87"/>
        <v>349526.07999999996</v>
      </c>
      <c r="J2638" s="32" t="str">
        <f t="shared" si="88"/>
        <v/>
      </c>
      <c r="K2638" s="79"/>
      <c r="L2638" s="79"/>
      <c r="M2638" s="2"/>
      <c r="N2638" s="5"/>
      <c r="O2638" s="3"/>
      <c r="P2638" s="6"/>
      <c r="Q2638" s="6"/>
    </row>
    <row r="2639" spans="1:17" ht="15" customHeight="1" x14ac:dyDescent="0.25">
      <c r="A2639" s="1"/>
      <c r="B2639" s="17"/>
      <c r="C2639" s="17"/>
      <c r="D2639" s="17"/>
      <c r="E2639" s="17"/>
      <c r="F2639" s="17"/>
      <c r="G2639" s="4">
        <f t="shared" si="89"/>
        <v>0</v>
      </c>
      <c r="H2639" s="17"/>
      <c r="I2639" s="4">
        <f t="shared" si="87"/>
        <v>349526.07999999996</v>
      </c>
      <c r="J2639" s="32" t="str">
        <f t="shared" si="88"/>
        <v/>
      </c>
      <c r="K2639" s="79"/>
      <c r="L2639" s="79"/>
      <c r="M2639" s="2"/>
      <c r="N2639" s="5"/>
      <c r="O2639" s="3"/>
      <c r="P2639" s="6"/>
      <c r="Q2639" s="6"/>
    </row>
    <row r="2640" spans="1:17" ht="15" customHeight="1" x14ac:dyDescent="0.25">
      <c r="A2640" s="1"/>
      <c r="B2640" s="17"/>
      <c r="C2640" s="17"/>
      <c r="D2640" s="17"/>
      <c r="E2640" s="17"/>
      <c r="F2640" s="17"/>
      <c r="G2640" s="4">
        <f t="shared" si="89"/>
        <v>0</v>
      </c>
      <c r="H2640" s="17"/>
      <c r="I2640" s="4">
        <f t="shared" si="87"/>
        <v>349526.07999999996</v>
      </c>
      <c r="J2640" s="32" t="str">
        <f t="shared" si="88"/>
        <v/>
      </c>
      <c r="K2640" s="79"/>
      <c r="L2640" s="79"/>
      <c r="M2640" s="2"/>
      <c r="N2640" s="5"/>
      <c r="O2640" s="3"/>
      <c r="P2640" s="6"/>
      <c r="Q2640" s="6"/>
    </row>
    <row r="2641" spans="1:17" ht="15" customHeight="1" x14ac:dyDescent="0.25">
      <c r="A2641" s="1"/>
      <c r="B2641" s="17"/>
      <c r="C2641" s="17"/>
      <c r="D2641" s="17"/>
      <c r="E2641" s="17"/>
      <c r="F2641" s="17"/>
      <c r="G2641" s="4">
        <f t="shared" si="89"/>
        <v>0</v>
      </c>
      <c r="H2641" s="17"/>
      <c r="I2641" s="4">
        <f t="shared" si="87"/>
        <v>349526.07999999996</v>
      </c>
      <c r="J2641" s="32" t="str">
        <f t="shared" si="88"/>
        <v/>
      </c>
      <c r="K2641" s="79"/>
      <c r="L2641" s="79"/>
      <c r="M2641" s="2"/>
      <c r="N2641" s="5"/>
      <c r="O2641" s="3"/>
      <c r="P2641" s="6"/>
      <c r="Q2641" s="6"/>
    </row>
    <row r="2642" spans="1:17" ht="15" customHeight="1" x14ac:dyDescent="0.25">
      <c r="A2642" s="1"/>
      <c r="B2642" s="17"/>
      <c r="C2642" s="17"/>
      <c r="D2642" s="17"/>
      <c r="E2642" s="17"/>
      <c r="F2642" s="17"/>
      <c r="G2642" s="4">
        <f t="shared" si="89"/>
        <v>0</v>
      </c>
      <c r="H2642" s="17"/>
      <c r="I2642" s="4">
        <f t="shared" si="87"/>
        <v>349526.07999999996</v>
      </c>
      <c r="J2642" s="32" t="str">
        <f t="shared" si="88"/>
        <v/>
      </c>
      <c r="K2642" s="79"/>
      <c r="L2642" s="79"/>
      <c r="M2642" s="2"/>
      <c r="N2642" s="5"/>
      <c r="O2642" s="3"/>
      <c r="P2642" s="6"/>
      <c r="Q2642" s="6"/>
    </row>
    <row r="2643" spans="1:17" ht="15" customHeight="1" x14ac:dyDescent="0.25">
      <c r="A2643" s="1"/>
      <c r="B2643" s="17"/>
      <c r="C2643" s="17"/>
      <c r="D2643" s="17"/>
      <c r="E2643" s="17"/>
      <c r="F2643" s="17"/>
      <c r="G2643" s="4">
        <f t="shared" si="89"/>
        <v>0</v>
      </c>
      <c r="H2643" s="17"/>
      <c r="I2643" s="4">
        <f t="shared" si="87"/>
        <v>349526.07999999996</v>
      </c>
      <c r="J2643" s="32" t="str">
        <f t="shared" si="88"/>
        <v/>
      </c>
      <c r="K2643" s="79"/>
      <c r="L2643" s="79"/>
      <c r="M2643" s="2"/>
      <c r="N2643" s="5"/>
      <c r="O2643" s="3"/>
      <c r="P2643" s="6"/>
      <c r="Q2643" s="6"/>
    </row>
    <row r="2644" spans="1:17" ht="15" customHeight="1" x14ac:dyDescent="0.25">
      <c r="A2644" s="1"/>
      <c r="B2644" s="17"/>
      <c r="C2644" s="17"/>
      <c r="D2644" s="17"/>
      <c r="E2644" s="17"/>
      <c r="F2644" s="17"/>
      <c r="G2644" s="4">
        <f t="shared" si="89"/>
        <v>0</v>
      </c>
      <c r="H2644" s="17"/>
      <c r="I2644" s="4">
        <f t="shared" si="87"/>
        <v>349526.07999999996</v>
      </c>
      <c r="J2644" s="32" t="str">
        <f t="shared" si="88"/>
        <v/>
      </c>
      <c r="K2644" s="79"/>
      <c r="L2644" s="79"/>
      <c r="M2644" s="2"/>
      <c r="N2644" s="5"/>
      <c r="O2644" s="3"/>
      <c r="P2644" s="6"/>
      <c r="Q2644" s="6"/>
    </row>
    <row r="2645" spans="1:17" ht="15" customHeight="1" x14ac:dyDescent="0.25">
      <c r="A2645" s="1"/>
      <c r="B2645" s="17"/>
      <c r="C2645" s="17"/>
      <c r="D2645" s="17"/>
      <c r="E2645" s="17"/>
      <c r="F2645" s="17"/>
      <c r="G2645" s="4">
        <f t="shared" si="89"/>
        <v>0</v>
      </c>
      <c r="H2645" s="17"/>
      <c r="I2645" s="4">
        <f t="shared" si="87"/>
        <v>349526.07999999996</v>
      </c>
      <c r="J2645" s="32" t="str">
        <f t="shared" si="88"/>
        <v/>
      </c>
      <c r="K2645" s="79"/>
      <c r="L2645" s="79"/>
      <c r="M2645" s="2"/>
      <c r="N2645" s="5"/>
      <c r="O2645" s="3"/>
      <c r="P2645" s="6"/>
      <c r="Q2645" s="6"/>
    </row>
    <row r="2646" spans="1:17" ht="15" customHeight="1" x14ac:dyDescent="0.25">
      <c r="A2646" s="1"/>
      <c r="B2646" s="17"/>
      <c r="C2646" s="17"/>
      <c r="D2646" s="17"/>
      <c r="E2646" s="17"/>
      <c r="F2646" s="17"/>
      <c r="G2646" s="4">
        <f t="shared" si="89"/>
        <v>0</v>
      </c>
      <c r="H2646" s="17"/>
      <c r="I2646" s="4">
        <f t="shared" si="87"/>
        <v>349526.07999999996</v>
      </c>
      <c r="J2646" s="32" t="str">
        <f t="shared" si="88"/>
        <v/>
      </c>
      <c r="K2646" s="79"/>
      <c r="L2646" s="79"/>
      <c r="M2646" s="2"/>
      <c r="N2646" s="5"/>
      <c r="O2646" s="3"/>
      <c r="P2646" s="6"/>
      <c r="Q2646" s="6"/>
    </row>
    <row r="2647" spans="1:17" ht="15" customHeight="1" x14ac:dyDescent="0.25">
      <c r="A2647" s="1"/>
      <c r="B2647" s="17"/>
      <c r="C2647" s="17"/>
      <c r="D2647" s="17"/>
      <c r="E2647" s="17"/>
      <c r="F2647" s="17"/>
      <c r="G2647" s="4">
        <f t="shared" si="89"/>
        <v>0</v>
      </c>
      <c r="H2647" s="17"/>
      <c r="I2647" s="4">
        <f t="shared" si="87"/>
        <v>349526.07999999996</v>
      </c>
      <c r="J2647" s="32" t="str">
        <f t="shared" si="88"/>
        <v/>
      </c>
      <c r="K2647" s="79"/>
      <c r="L2647" s="79"/>
      <c r="M2647" s="2"/>
      <c r="N2647" s="5"/>
      <c r="O2647" s="3"/>
      <c r="P2647" s="6"/>
      <c r="Q2647" s="6"/>
    </row>
    <row r="2648" spans="1:17" ht="15" customHeight="1" x14ac:dyDescent="0.25">
      <c r="A2648" s="1"/>
      <c r="B2648" s="17"/>
      <c r="C2648" s="17"/>
      <c r="D2648" s="17"/>
      <c r="E2648" s="17"/>
      <c r="F2648" s="17"/>
      <c r="G2648" s="4">
        <f t="shared" si="89"/>
        <v>0</v>
      </c>
      <c r="H2648" s="17"/>
      <c r="I2648" s="4">
        <f t="shared" si="87"/>
        <v>349526.07999999996</v>
      </c>
      <c r="J2648" s="32" t="str">
        <f t="shared" si="88"/>
        <v/>
      </c>
      <c r="K2648" s="79"/>
      <c r="L2648" s="79"/>
      <c r="M2648" s="2"/>
      <c r="N2648" s="5"/>
      <c r="O2648" s="3"/>
      <c r="P2648" s="6"/>
      <c r="Q2648" s="6"/>
    </row>
    <row r="2649" spans="1:17" ht="15" customHeight="1" x14ac:dyDescent="0.25">
      <c r="A2649" s="1"/>
      <c r="B2649" s="17"/>
      <c r="C2649" s="17"/>
      <c r="D2649" s="17"/>
      <c r="E2649" s="17"/>
      <c r="F2649" s="17"/>
      <c r="G2649" s="4">
        <f t="shared" si="89"/>
        <v>0</v>
      </c>
      <c r="H2649" s="17"/>
      <c r="I2649" s="4">
        <f t="shared" si="87"/>
        <v>349526.07999999996</v>
      </c>
      <c r="J2649" s="32" t="str">
        <f t="shared" si="88"/>
        <v/>
      </c>
      <c r="K2649" s="79"/>
      <c r="L2649" s="79"/>
      <c r="M2649" s="2"/>
      <c r="N2649" s="5"/>
      <c r="O2649" s="3"/>
      <c r="P2649" s="6"/>
      <c r="Q2649" s="6"/>
    </row>
    <row r="2650" spans="1:17" ht="15" customHeight="1" x14ac:dyDescent="0.25">
      <c r="A2650" s="1"/>
      <c r="B2650" s="17"/>
      <c r="C2650" s="17"/>
      <c r="D2650" s="17"/>
      <c r="E2650" s="17"/>
      <c r="F2650" s="17"/>
      <c r="G2650" s="4">
        <f t="shared" si="89"/>
        <v>0</v>
      </c>
      <c r="H2650" s="17"/>
      <c r="I2650" s="4">
        <f t="shared" si="87"/>
        <v>349526.07999999996</v>
      </c>
      <c r="J2650" s="32" t="str">
        <f t="shared" si="88"/>
        <v/>
      </c>
      <c r="K2650" s="79"/>
      <c r="L2650" s="79"/>
      <c r="M2650" s="2"/>
      <c r="N2650" s="5"/>
      <c r="O2650" s="3"/>
      <c r="P2650" s="6"/>
      <c r="Q2650" s="6"/>
    </row>
    <row r="2651" spans="1:17" ht="15" customHeight="1" x14ac:dyDescent="0.25">
      <c r="A2651" s="1"/>
      <c r="B2651" s="17"/>
      <c r="C2651" s="17"/>
      <c r="D2651" s="17"/>
      <c r="E2651" s="17"/>
      <c r="F2651" s="17"/>
      <c r="G2651" s="4">
        <f t="shared" si="89"/>
        <v>0</v>
      </c>
      <c r="H2651" s="17"/>
      <c r="I2651" s="4">
        <f t="shared" si="87"/>
        <v>349526.07999999996</v>
      </c>
      <c r="J2651" s="32" t="str">
        <f t="shared" si="88"/>
        <v/>
      </c>
      <c r="K2651" s="79"/>
      <c r="L2651" s="79"/>
      <c r="M2651" s="2"/>
      <c r="N2651" s="5"/>
      <c r="O2651" s="3"/>
      <c r="P2651" s="6"/>
      <c r="Q2651" s="6"/>
    </row>
    <row r="2652" spans="1:17" ht="15" customHeight="1" x14ac:dyDescent="0.25">
      <c r="A2652" s="1"/>
      <c r="B2652" s="17"/>
      <c r="C2652" s="17"/>
      <c r="D2652" s="17"/>
      <c r="E2652" s="17"/>
      <c r="F2652" s="17"/>
      <c r="G2652" s="4">
        <f t="shared" si="89"/>
        <v>0</v>
      </c>
      <c r="H2652" s="17"/>
      <c r="I2652" s="4">
        <f t="shared" si="87"/>
        <v>349526.07999999996</v>
      </c>
      <c r="J2652" s="32" t="str">
        <f t="shared" si="88"/>
        <v/>
      </c>
      <c r="K2652" s="79"/>
      <c r="L2652" s="79"/>
      <c r="M2652" s="2"/>
      <c r="N2652" s="5"/>
      <c r="O2652" s="3"/>
      <c r="P2652" s="6"/>
      <c r="Q2652" s="6"/>
    </row>
    <row r="2653" spans="1:17" ht="15" customHeight="1" x14ac:dyDescent="0.25">
      <c r="A2653" s="1"/>
      <c r="B2653" s="17"/>
      <c r="C2653" s="17"/>
      <c r="D2653" s="17"/>
      <c r="E2653" s="17"/>
      <c r="F2653" s="17"/>
      <c r="G2653" s="4">
        <f t="shared" si="89"/>
        <v>0</v>
      </c>
      <c r="H2653" s="17"/>
      <c r="I2653" s="4">
        <f t="shared" si="87"/>
        <v>349526.07999999996</v>
      </c>
      <c r="J2653" s="32" t="str">
        <f t="shared" si="88"/>
        <v/>
      </c>
      <c r="K2653" s="79"/>
      <c r="L2653" s="79"/>
      <c r="M2653" s="2"/>
      <c r="N2653" s="5"/>
      <c r="O2653" s="3"/>
      <c r="P2653" s="6"/>
      <c r="Q2653" s="6"/>
    </row>
    <row r="2654" spans="1:17" ht="15" customHeight="1" x14ac:dyDescent="0.25">
      <c r="A2654" s="1"/>
      <c r="B2654" s="17"/>
      <c r="C2654" s="17"/>
      <c r="D2654" s="17"/>
      <c r="E2654" s="17"/>
      <c r="F2654" s="17"/>
      <c r="G2654" s="4">
        <f t="shared" si="89"/>
        <v>0</v>
      </c>
      <c r="H2654" s="17"/>
      <c r="I2654" s="4">
        <f t="shared" si="87"/>
        <v>349526.07999999996</v>
      </c>
      <c r="J2654" s="32" t="str">
        <f t="shared" si="88"/>
        <v/>
      </c>
      <c r="K2654" s="79"/>
      <c r="L2654" s="79"/>
      <c r="M2654" s="2"/>
      <c r="N2654" s="5"/>
      <c r="O2654" s="3"/>
      <c r="P2654" s="6"/>
      <c r="Q2654" s="6"/>
    </row>
    <row r="2655" spans="1:17" ht="15" customHeight="1" x14ac:dyDescent="0.25">
      <c r="A2655" s="1"/>
      <c r="B2655" s="17"/>
      <c r="C2655" s="17"/>
      <c r="D2655" s="17"/>
      <c r="E2655" s="17"/>
      <c r="F2655" s="17"/>
      <c r="G2655" s="4">
        <f t="shared" si="89"/>
        <v>0</v>
      </c>
      <c r="H2655" s="17"/>
      <c r="I2655" s="4">
        <f t="shared" si="87"/>
        <v>349526.07999999996</v>
      </c>
      <c r="J2655" s="32" t="str">
        <f t="shared" si="88"/>
        <v/>
      </c>
      <c r="K2655" s="79"/>
      <c r="L2655" s="79"/>
      <c r="M2655" s="2"/>
      <c r="N2655" s="5"/>
      <c r="O2655" s="3"/>
      <c r="P2655" s="6"/>
      <c r="Q2655" s="6"/>
    </row>
    <row r="2656" spans="1:17" ht="15" customHeight="1" x14ac:dyDescent="0.25">
      <c r="A2656" s="1"/>
      <c r="B2656" s="17"/>
      <c r="C2656" s="17"/>
      <c r="D2656" s="17"/>
      <c r="E2656" s="17"/>
      <c r="F2656" s="17"/>
      <c r="G2656" s="4">
        <f t="shared" si="89"/>
        <v>0</v>
      </c>
      <c r="H2656" s="17"/>
      <c r="I2656" s="4">
        <f t="shared" si="87"/>
        <v>349526.07999999996</v>
      </c>
      <c r="J2656" s="32" t="str">
        <f t="shared" si="88"/>
        <v/>
      </c>
      <c r="K2656" s="79"/>
      <c r="L2656" s="79"/>
      <c r="M2656" s="2"/>
      <c r="N2656" s="5"/>
      <c r="O2656" s="3"/>
      <c r="P2656" s="6"/>
      <c r="Q2656" s="6"/>
    </row>
    <row r="2657" spans="1:17" ht="15" customHeight="1" x14ac:dyDescent="0.25">
      <c r="A2657" s="1"/>
      <c r="B2657" s="17"/>
      <c r="C2657" s="17"/>
      <c r="D2657" s="17"/>
      <c r="E2657" s="17"/>
      <c r="F2657" s="17"/>
      <c r="G2657" s="4">
        <f t="shared" si="89"/>
        <v>0</v>
      </c>
      <c r="H2657" s="17"/>
      <c r="I2657" s="4">
        <f t="shared" si="87"/>
        <v>349526.07999999996</v>
      </c>
      <c r="J2657" s="32" t="str">
        <f t="shared" si="88"/>
        <v/>
      </c>
      <c r="K2657" s="79"/>
      <c r="L2657" s="79"/>
      <c r="M2657" s="2"/>
      <c r="N2657" s="5"/>
      <c r="O2657" s="3"/>
      <c r="P2657" s="6"/>
      <c r="Q2657" s="6"/>
    </row>
    <row r="2658" spans="1:17" ht="15" customHeight="1" x14ac:dyDescent="0.25">
      <c r="A2658" s="1"/>
      <c r="B2658" s="17"/>
      <c r="C2658" s="17"/>
      <c r="D2658" s="17"/>
      <c r="E2658" s="17"/>
      <c r="F2658" s="17"/>
      <c r="G2658" s="4">
        <f t="shared" si="89"/>
        <v>0</v>
      </c>
      <c r="H2658" s="17"/>
      <c r="I2658" s="4">
        <f t="shared" si="87"/>
        <v>349526.07999999996</v>
      </c>
      <c r="J2658" s="32" t="str">
        <f t="shared" si="88"/>
        <v/>
      </c>
      <c r="K2658" s="79"/>
      <c r="L2658" s="79"/>
      <c r="M2658" s="2"/>
      <c r="N2658" s="5"/>
      <c r="O2658" s="3"/>
      <c r="P2658" s="6"/>
      <c r="Q2658" s="6"/>
    </row>
    <row r="2659" spans="1:17" ht="15" customHeight="1" x14ac:dyDescent="0.25">
      <c r="A2659" s="1"/>
      <c r="B2659" s="17"/>
      <c r="C2659" s="17"/>
      <c r="D2659" s="17"/>
      <c r="E2659" s="17"/>
      <c r="F2659" s="17"/>
      <c r="G2659" s="4">
        <f t="shared" si="89"/>
        <v>0</v>
      </c>
      <c r="H2659" s="17"/>
      <c r="I2659" s="4">
        <f t="shared" si="87"/>
        <v>349526.07999999996</v>
      </c>
      <c r="J2659" s="32" t="str">
        <f t="shared" si="88"/>
        <v/>
      </c>
      <c r="K2659" s="79"/>
      <c r="L2659" s="79"/>
      <c r="M2659" s="2"/>
      <c r="N2659" s="5"/>
      <c r="O2659" s="3"/>
      <c r="P2659" s="6"/>
      <c r="Q2659" s="6"/>
    </row>
    <row r="2660" spans="1:17" ht="15" customHeight="1" x14ac:dyDescent="0.25">
      <c r="A2660" s="1"/>
      <c r="B2660" s="17"/>
      <c r="C2660" s="17"/>
      <c r="D2660" s="17"/>
      <c r="E2660" s="17"/>
      <c r="F2660" s="17"/>
      <c r="G2660" s="4">
        <f t="shared" si="89"/>
        <v>0</v>
      </c>
      <c r="H2660" s="17"/>
      <c r="I2660" s="4">
        <f t="shared" si="87"/>
        <v>349526.07999999996</v>
      </c>
      <c r="J2660" s="32" t="str">
        <f t="shared" si="88"/>
        <v/>
      </c>
      <c r="K2660" s="79"/>
      <c r="L2660" s="79"/>
      <c r="M2660" s="2"/>
      <c r="N2660" s="5"/>
      <c r="O2660" s="3"/>
      <c r="P2660" s="6"/>
      <c r="Q2660" s="6"/>
    </row>
    <row r="2661" spans="1:17" ht="15" customHeight="1" x14ac:dyDescent="0.25">
      <c r="A2661" s="1"/>
      <c r="B2661" s="17"/>
      <c r="C2661" s="17"/>
      <c r="D2661" s="17"/>
      <c r="E2661" s="17"/>
      <c r="F2661" s="17"/>
      <c r="G2661" s="4">
        <f t="shared" si="89"/>
        <v>0</v>
      </c>
      <c r="H2661" s="17"/>
      <c r="I2661" s="4">
        <f t="shared" si="87"/>
        <v>349526.07999999996</v>
      </c>
      <c r="J2661" s="32" t="str">
        <f t="shared" si="88"/>
        <v/>
      </c>
      <c r="K2661" s="79"/>
      <c r="L2661" s="79"/>
      <c r="M2661" s="2"/>
      <c r="N2661" s="5"/>
      <c r="O2661" s="3"/>
      <c r="P2661" s="6"/>
      <c r="Q2661" s="6"/>
    </row>
    <row r="2662" spans="1:17" ht="15" customHeight="1" x14ac:dyDescent="0.25">
      <c r="A2662" s="1"/>
      <c r="B2662" s="17"/>
      <c r="C2662" s="17"/>
      <c r="D2662" s="17"/>
      <c r="E2662" s="17"/>
      <c r="F2662" s="17"/>
      <c r="G2662" s="4">
        <f t="shared" si="89"/>
        <v>0</v>
      </c>
      <c r="H2662" s="17"/>
      <c r="I2662" s="4">
        <f t="shared" si="87"/>
        <v>349526.07999999996</v>
      </c>
      <c r="J2662" s="32" t="str">
        <f t="shared" si="88"/>
        <v/>
      </c>
      <c r="K2662" s="79"/>
      <c r="L2662" s="79"/>
      <c r="M2662" s="2"/>
      <c r="N2662" s="5"/>
      <c r="O2662" s="3"/>
      <c r="P2662" s="6"/>
      <c r="Q2662" s="6"/>
    </row>
    <row r="2663" spans="1:17" ht="15" customHeight="1" x14ac:dyDescent="0.25">
      <c r="A2663" s="1"/>
      <c r="B2663" s="17"/>
      <c r="C2663" s="17"/>
      <c r="D2663" s="17"/>
      <c r="E2663" s="17"/>
      <c r="F2663" s="17"/>
      <c r="G2663" s="4">
        <f t="shared" si="89"/>
        <v>0</v>
      </c>
      <c r="H2663" s="17"/>
      <c r="I2663" s="4">
        <f t="shared" si="87"/>
        <v>349526.07999999996</v>
      </c>
      <c r="J2663" s="32" t="str">
        <f t="shared" si="88"/>
        <v/>
      </c>
      <c r="K2663" s="79"/>
      <c r="L2663" s="79"/>
      <c r="M2663" s="2"/>
      <c r="N2663" s="5"/>
      <c r="O2663" s="3"/>
      <c r="P2663" s="6"/>
      <c r="Q2663" s="6"/>
    </row>
    <row r="2664" spans="1:17" ht="15" customHeight="1" x14ac:dyDescent="0.25">
      <c r="A2664" s="1"/>
      <c r="B2664" s="17"/>
      <c r="C2664" s="17"/>
      <c r="D2664" s="17"/>
      <c r="E2664" s="17"/>
      <c r="F2664" s="17"/>
      <c r="G2664" s="4">
        <f t="shared" si="89"/>
        <v>0</v>
      </c>
      <c r="H2664" s="17"/>
      <c r="I2664" s="4">
        <f t="shared" si="87"/>
        <v>349526.07999999996</v>
      </c>
      <c r="J2664" s="32" t="str">
        <f t="shared" si="88"/>
        <v/>
      </c>
      <c r="K2664" s="79"/>
      <c r="L2664" s="79"/>
      <c r="M2664" s="2"/>
      <c r="N2664" s="5"/>
      <c r="O2664" s="3"/>
      <c r="P2664" s="6"/>
      <c r="Q2664" s="6"/>
    </row>
    <row r="2665" spans="1:17" ht="15" customHeight="1" x14ac:dyDescent="0.25">
      <c r="A2665" s="1"/>
      <c r="B2665" s="17"/>
      <c r="C2665" s="17"/>
      <c r="D2665" s="17"/>
      <c r="E2665" s="17"/>
      <c r="F2665" s="17"/>
      <c r="G2665" s="4">
        <f t="shared" si="89"/>
        <v>0</v>
      </c>
      <c r="H2665" s="17"/>
      <c r="I2665" s="4">
        <f t="shared" si="87"/>
        <v>349526.07999999996</v>
      </c>
      <c r="J2665" s="32" t="str">
        <f t="shared" si="88"/>
        <v/>
      </c>
      <c r="K2665" s="79"/>
      <c r="L2665" s="79"/>
      <c r="M2665" s="2"/>
      <c r="N2665" s="5"/>
      <c r="O2665" s="3"/>
      <c r="P2665" s="6"/>
      <c r="Q2665" s="6"/>
    </row>
    <row r="2666" spans="1:17" ht="15" customHeight="1" x14ac:dyDescent="0.25">
      <c r="A2666" s="1"/>
      <c r="B2666" s="17"/>
      <c r="C2666" s="17"/>
      <c r="D2666" s="17"/>
      <c r="E2666" s="17"/>
      <c r="F2666" s="17"/>
      <c r="G2666" s="4">
        <f t="shared" si="89"/>
        <v>0</v>
      </c>
      <c r="H2666" s="17"/>
      <c r="I2666" s="4">
        <f t="shared" si="87"/>
        <v>349526.07999999996</v>
      </c>
      <c r="J2666" s="32" t="str">
        <f t="shared" si="88"/>
        <v/>
      </c>
      <c r="K2666" s="79"/>
      <c r="L2666" s="79"/>
      <c r="M2666" s="2"/>
      <c r="N2666" s="5"/>
      <c r="O2666" s="3"/>
      <c r="P2666" s="6"/>
      <c r="Q2666" s="6"/>
    </row>
    <row r="2667" spans="1:17" ht="15" customHeight="1" x14ac:dyDescent="0.25">
      <c r="A2667" s="1"/>
      <c r="B2667" s="17"/>
      <c r="C2667" s="17"/>
      <c r="D2667" s="17"/>
      <c r="E2667" s="17"/>
      <c r="F2667" s="17"/>
      <c r="G2667" s="4">
        <f t="shared" si="89"/>
        <v>0</v>
      </c>
      <c r="H2667" s="17"/>
      <c r="I2667" s="4">
        <f t="shared" si="87"/>
        <v>349526.07999999996</v>
      </c>
      <c r="J2667" s="32" t="str">
        <f t="shared" si="88"/>
        <v/>
      </c>
      <c r="K2667" s="79"/>
      <c r="L2667" s="79"/>
      <c r="M2667" s="2"/>
      <c r="N2667" s="5"/>
      <c r="O2667" s="3"/>
      <c r="P2667" s="6"/>
      <c r="Q2667" s="6"/>
    </row>
    <row r="2668" spans="1:17" ht="15" customHeight="1" x14ac:dyDescent="0.25">
      <c r="A2668" s="1"/>
      <c r="B2668" s="17"/>
      <c r="C2668" s="17"/>
      <c r="D2668" s="17"/>
      <c r="E2668" s="17"/>
      <c r="F2668" s="17"/>
      <c r="G2668" s="4">
        <f t="shared" si="89"/>
        <v>0</v>
      </c>
      <c r="H2668" s="17"/>
      <c r="I2668" s="4">
        <f t="shared" si="87"/>
        <v>349526.07999999996</v>
      </c>
      <c r="J2668" s="32" t="str">
        <f t="shared" si="88"/>
        <v/>
      </c>
      <c r="K2668" s="79"/>
      <c r="L2668" s="79"/>
      <c r="M2668" s="2"/>
      <c r="N2668" s="5"/>
      <c r="O2668" s="3"/>
      <c r="P2668" s="6"/>
      <c r="Q2668" s="6"/>
    </row>
    <row r="2669" spans="1:17" ht="15" customHeight="1" x14ac:dyDescent="0.25">
      <c r="A2669" s="1"/>
      <c r="B2669" s="17"/>
      <c r="C2669" s="17"/>
      <c r="D2669" s="17"/>
      <c r="E2669" s="17"/>
      <c r="F2669" s="17"/>
      <c r="G2669" s="4">
        <f t="shared" si="89"/>
        <v>0</v>
      </c>
      <c r="H2669" s="17"/>
      <c r="I2669" s="4">
        <f t="shared" si="87"/>
        <v>349526.07999999996</v>
      </c>
      <c r="J2669" s="32" t="str">
        <f t="shared" si="88"/>
        <v/>
      </c>
      <c r="K2669" s="79"/>
      <c r="L2669" s="79"/>
      <c r="M2669" s="2"/>
      <c r="N2669" s="5"/>
      <c r="O2669" s="3"/>
      <c r="P2669" s="6"/>
      <c r="Q2669" s="6"/>
    </row>
    <row r="2670" spans="1:17" ht="15" customHeight="1" x14ac:dyDescent="0.25">
      <c r="A2670" s="1"/>
      <c r="B2670" s="17"/>
      <c r="C2670" s="17"/>
      <c r="D2670" s="17"/>
      <c r="E2670" s="17"/>
      <c r="F2670" s="17"/>
      <c r="G2670" s="4">
        <f t="shared" si="89"/>
        <v>0</v>
      </c>
      <c r="H2670" s="17"/>
      <c r="I2670" s="4">
        <f t="shared" si="87"/>
        <v>349526.07999999996</v>
      </c>
      <c r="J2670" s="32" t="str">
        <f t="shared" si="88"/>
        <v/>
      </c>
      <c r="K2670" s="79"/>
      <c r="L2670" s="79"/>
      <c r="M2670" s="2"/>
      <c r="N2670" s="5"/>
      <c r="O2670" s="3"/>
      <c r="P2670" s="6"/>
      <c r="Q2670" s="6"/>
    </row>
    <row r="2671" spans="1:17" ht="15" customHeight="1" x14ac:dyDescent="0.25">
      <c r="A2671" s="1"/>
      <c r="B2671" s="17"/>
      <c r="C2671" s="17"/>
      <c r="D2671" s="17"/>
      <c r="E2671" s="17"/>
      <c r="F2671" s="17"/>
      <c r="G2671" s="4">
        <f t="shared" si="89"/>
        <v>0</v>
      </c>
      <c r="H2671" s="17"/>
      <c r="I2671" s="4">
        <f t="shared" si="87"/>
        <v>349526.07999999996</v>
      </c>
      <c r="J2671" s="32" t="str">
        <f t="shared" si="88"/>
        <v/>
      </c>
      <c r="K2671" s="79"/>
      <c r="L2671" s="79"/>
      <c r="M2671" s="2"/>
      <c r="N2671" s="5"/>
      <c r="O2671" s="3"/>
      <c r="P2671" s="6"/>
      <c r="Q2671" s="6"/>
    </row>
    <row r="2672" spans="1:17" ht="15" customHeight="1" x14ac:dyDescent="0.25">
      <c r="A2672" s="1"/>
      <c r="B2672" s="17"/>
      <c r="C2672" s="17"/>
      <c r="D2672" s="17"/>
      <c r="E2672" s="17"/>
      <c r="F2672" s="17"/>
      <c r="G2672" s="4">
        <f t="shared" si="89"/>
        <v>0</v>
      </c>
      <c r="H2672" s="17"/>
      <c r="I2672" s="4">
        <f t="shared" si="87"/>
        <v>349526.07999999996</v>
      </c>
      <c r="J2672" s="32" t="str">
        <f t="shared" si="88"/>
        <v/>
      </c>
      <c r="K2672" s="79"/>
      <c r="L2672" s="79"/>
      <c r="M2672" s="2"/>
      <c r="N2672" s="5"/>
      <c r="O2672" s="3"/>
      <c r="P2672" s="6"/>
      <c r="Q2672" s="6"/>
    </row>
    <row r="2673" spans="1:17" ht="15" customHeight="1" x14ac:dyDescent="0.25">
      <c r="A2673" s="1"/>
      <c r="B2673" s="17"/>
      <c r="C2673" s="17"/>
      <c r="D2673" s="17"/>
      <c r="E2673" s="17"/>
      <c r="F2673" s="17"/>
      <c r="G2673" s="4">
        <f t="shared" si="89"/>
        <v>0</v>
      </c>
      <c r="H2673" s="17"/>
      <c r="I2673" s="4">
        <f t="shared" si="87"/>
        <v>349526.07999999996</v>
      </c>
      <c r="J2673" s="32" t="str">
        <f t="shared" si="88"/>
        <v/>
      </c>
      <c r="K2673" s="79"/>
      <c r="L2673" s="79"/>
      <c r="M2673" s="2"/>
      <c r="N2673" s="5"/>
      <c r="O2673" s="3"/>
      <c r="P2673" s="6"/>
      <c r="Q2673" s="6"/>
    </row>
    <row r="2674" spans="1:17" ht="15" customHeight="1" x14ac:dyDescent="0.25">
      <c r="A2674" s="1"/>
      <c r="B2674" s="17"/>
      <c r="C2674" s="17"/>
      <c r="D2674" s="17"/>
      <c r="E2674" s="17"/>
      <c r="F2674" s="17"/>
      <c r="G2674" s="4">
        <f t="shared" si="89"/>
        <v>0</v>
      </c>
      <c r="H2674" s="17"/>
      <c r="I2674" s="4">
        <f t="shared" si="87"/>
        <v>349526.07999999996</v>
      </c>
      <c r="J2674" s="32" t="str">
        <f t="shared" si="88"/>
        <v/>
      </c>
      <c r="K2674" s="79"/>
      <c r="L2674" s="79"/>
      <c r="M2674" s="2"/>
      <c r="N2674" s="5"/>
      <c r="O2674" s="3"/>
      <c r="P2674" s="6"/>
      <c r="Q2674" s="6"/>
    </row>
    <row r="2675" spans="1:17" ht="15" customHeight="1" x14ac:dyDescent="0.25">
      <c r="A2675" s="1"/>
      <c r="B2675" s="17"/>
      <c r="C2675" s="17"/>
      <c r="D2675" s="17"/>
      <c r="E2675" s="17"/>
      <c r="F2675" s="17"/>
      <c r="G2675" s="4">
        <f t="shared" si="89"/>
        <v>0</v>
      </c>
      <c r="H2675" s="17"/>
      <c r="I2675" s="4">
        <f t="shared" si="87"/>
        <v>349526.07999999996</v>
      </c>
      <c r="J2675" s="32" t="str">
        <f t="shared" si="88"/>
        <v/>
      </c>
      <c r="K2675" s="79"/>
      <c r="L2675" s="79"/>
      <c r="M2675" s="2"/>
      <c r="N2675" s="5"/>
      <c r="O2675" s="3"/>
      <c r="P2675" s="6"/>
      <c r="Q2675" s="6"/>
    </row>
    <row r="2676" spans="1:17" ht="15" customHeight="1" x14ac:dyDescent="0.25">
      <c r="A2676" s="1"/>
      <c r="B2676" s="17"/>
      <c r="C2676" s="17"/>
      <c r="D2676" s="17"/>
      <c r="E2676" s="17"/>
      <c r="F2676" s="17"/>
      <c r="G2676" s="4">
        <f t="shared" si="89"/>
        <v>0</v>
      </c>
      <c r="H2676" s="17"/>
      <c r="I2676" s="4">
        <f t="shared" si="87"/>
        <v>349526.07999999996</v>
      </c>
      <c r="J2676" s="32" t="str">
        <f t="shared" si="88"/>
        <v/>
      </c>
      <c r="K2676" s="79"/>
      <c r="L2676" s="79"/>
      <c r="M2676" s="2"/>
      <c r="N2676" s="5"/>
      <c r="O2676" s="3"/>
      <c r="P2676" s="6"/>
      <c r="Q2676" s="6"/>
    </row>
    <row r="2677" spans="1:17" ht="15" customHeight="1" x14ac:dyDescent="0.25">
      <c r="A2677" s="1"/>
      <c r="B2677" s="17"/>
      <c r="C2677" s="17"/>
      <c r="D2677" s="17"/>
      <c r="E2677" s="17"/>
      <c r="F2677" s="17"/>
      <c r="G2677" s="4">
        <f t="shared" si="89"/>
        <v>0</v>
      </c>
      <c r="H2677" s="17"/>
      <c r="I2677" s="4">
        <f t="shared" si="87"/>
        <v>349526.07999999996</v>
      </c>
      <c r="J2677" s="32" t="str">
        <f t="shared" si="88"/>
        <v/>
      </c>
      <c r="K2677" s="79"/>
      <c r="L2677" s="79"/>
      <c r="M2677" s="2"/>
      <c r="N2677" s="5"/>
      <c r="O2677" s="3"/>
      <c r="P2677" s="6"/>
      <c r="Q2677" s="6"/>
    </row>
    <row r="2678" spans="1:17" ht="15" customHeight="1" x14ac:dyDescent="0.25">
      <c r="A2678" s="1"/>
      <c r="B2678" s="17"/>
      <c r="C2678" s="17"/>
      <c r="D2678" s="17"/>
      <c r="E2678" s="17"/>
      <c r="F2678" s="17"/>
      <c r="G2678" s="4">
        <f t="shared" si="89"/>
        <v>0</v>
      </c>
      <c r="H2678" s="17"/>
      <c r="I2678" s="4">
        <f t="shared" ref="I2678:I2741" si="90">$I2677+$G2678-$H2678</f>
        <v>349526.07999999996</v>
      </c>
      <c r="J2678" s="32" t="str">
        <f t="shared" ref="J2678:J2741" si="91">IF($A2679&lt;&gt;$A2678,$I2678,"")</f>
        <v/>
      </c>
      <c r="K2678" s="79"/>
      <c r="L2678" s="79"/>
      <c r="M2678" s="2"/>
      <c r="N2678" s="5"/>
      <c r="O2678" s="3"/>
      <c r="P2678" s="6"/>
      <c r="Q2678" s="6"/>
    </row>
    <row r="2679" spans="1:17" ht="15" customHeight="1" x14ac:dyDescent="0.25">
      <c r="A2679" s="1"/>
      <c r="B2679" s="17"/>
      <c r="C2679" s="17"/>
      <c r="D2679" s="17"/>
      <c r="E2679" s="17"/>
      <c r="F2679" s="17"/>
      <c r="G2679" s="4">
        <f t="shared" si="89"/>
        <v>0</v>
      </c>
      <c r="H2679" s="17"/>
      <c r="I2679" s="4">
        <f t="shared" si="90"/>
        <v>349526.07999999996</v>
      </c>
      <c r="J2679" s="32" t="str">
        <f t="shared" si="91"/>
        <v/>
      </c>
      <c r="K2679" s="79"/>
      <c r="L2679" s="79"/>
      <c r="M2679" s="2"/>
      <c r="N2679" s="5"/>
      <c r="O2679" s="3"/>
      <c r="P2679" s="6"/>
      <c r="Q2679" s="6"/>
    </row>
    <row r="2680" spans="1:17" ht="15" customHeight="1" x14ac:dyDescent="0.25">
      <c r="A2680" s="1"/>
      <c r="B2680" s="17"/>
      <c r="C2680" s="17"/>
      <c r="D2680" s="17"/>
      <c r="E2680" s="17"/>
      <c r="F2680" s="17"/>
      <c r="G2680" s="4">
        <f t="shared" si="89"/>
        <v>0</v>
      </c>
      <c r="H2680" s="17"/>
      <c r="I2680" s="4">
        <f t="shared" si="90"/>
        <v>349526.07999999996</v>
      </c>
      <c r="J2680" s="32" t="str">
        <f t="shared" si="91"/>
        <v/>
      </c>
      <c r="K2680" s="79"/>
      <c r="L2680" s="79"/>
      <c r="M2680" s="2"/>
      <c r="N2680" s="5"/>
      <c r="O2680" s="3"/>
      <c r="P2680" s="6"/>
      <c r="Q2680" s="6"/>
    </row>
    <row r="2681" spans="1:17" ht="15" customHeight="1" x14ac:dyDescent="0.25">
      <c r="A2681" s="1"/>
      <c r="B2681" s="17"/>
      <c r="C2681" s="17"/>
      <c r="D2681" s="17"/>
      <c r="E2681" s="17"/>
      <c r="F2681" s="17"/>
      <c r="G2681" s="4">
        <f t="shared" si="89"/>
        <v>0</v>
      </c>
      <c r="H2681" s="17"/>
      <c r="I2681" s="4">
        <f t="shared" si="90"/>
        <v>349526.07999999996</v>
      </c>
      <c r="J2681" s="32" t="str">
        <f t="shared" si="91"/>
        <v/>
      </c>
      <c r="K2681" s="79"/>
      <c r="L2681" s="79"/>
      <c r="M2681" s="2"/>
      <c r="N2681" s="5"/>
      <c r="O2681" s="3"/>
      <c r="P2681" s="6"/>
      <c r="Q2681" s="6"/>
    </row>
    <row r="2682" spans="1:17" ht="15" customHeight="1" x14ac:dyDescent="0.25">
      <c r="A2682" s="1"/>
      <c r="B2682" s="17"/>
      <c r="C2682" s="17"/>
      <c r="D2682" s="17"/>
      <c r="E2682" s="17"/>
      <c r="F2682" s="17"/>
      <c r="G2682" s="4">
        <f t="shared" si="89"/>
        <v>0</v>
      </c>
      <c r="H2682" s="17"/>
      <c r="I2682" s="4">
        <f t="shared" si="90"/>
        <v>349526.07999999996</v>
      </c>
      <c r="J2682" s="32" t="str">
        <f t="shared" si="91"/>
        <v/>
      </c>
      <c r="K2682" s="79"/>
      <c r="L2682" s="79"/>
      <c r="M2682" s="2"/>
      <c r="N2682" s="5"/>
      <c r="O2682" s="3"/>
      <c r="P2682" s="6"/>
      <c r="Q2682" s="6"/>
    </row>
    <row r="2683" spans="1:17" ht="15" customHeight="1" x14ac:dyDescent="0.25">
      <c r="A2683" s="1"/>
      <c r="B2683" s="17"/>
      <c r="C2683" s="17"/>
      <c r="D2683" s="17"/>
      <c r="E2683" s="17"/>
      <c r="F2683" s="17"/>
      <c r="G2683" s="4">
        <f t="shared" si="89"/>
        <v>0</v>
      </c>
      <c r="H2683" s="17"/>
      <c r="I2683" s="4">
        <f t="shared" si="90"/>
        <v>349526.07999999996</v>
      </c>
      <c r="J2683" s="32" t="str">
        <f t="shared" si="91"/>
        <v/>
      </c>
      <c r="K2683" s="79"/>
      <c r="L2683" s="79"/>
      <c r="M2683" s="2"/>
      <c r="N2683" s="5"/>
      <c r="O2683" s="3"/>
      <c r="P2683" s="6"/>
      <c r="Q2683" s="6"/>
    </row>
    <row r="2684" spans="1:17" ht="15" customHeight="1" x14ac:dyDescent="0.25">
      <c r="A2684" s="1"/>
      <c r="B2684" s="17"/>
      <c r="C2684" s="17"/>
      <c r="D2684" s="17"/>
      <c r="E2684" s="17"/>
      <c r="F2684" s="17"/>
      <c r="G2684" s="4">
        <f t="shared" si="89"/>
        <v>0</v>
      </c>
      <c r="H2684" s="17"/>
      <c r="I2684" s="4">
        <f t="shared" si="90"/>
        <v>349526.07999999996</v>
      </c>
      <c r="J2684" s="32" t="str">
        <f t="shared" si="91"/>
        <v/>
      </c>
      <c r="K2684" s="79"/>
      <c r="L2684" s="79"/>
      <c r="M2684" s="2"/>
      <c r="N2684" s="5"/>
      <c r="O2684" s="3"/>
      <c r="P2684" s="6"/>
      <c r="Q2684" s="6"/>
    </row>
    <row r="2685" spans="1:17" ht="15" customHeight="1" x14ac:dyDescent="0.25">
      <c r="A2685" s="1"/>
      <c r="B2685" s="17"/>
      <c r="C2685" s="17"/>
      <c r="D2685" s="17"/>
      <c r="E2685" s="17"/>
      <c r="F2685" s="17"/>
      <c r="G2685" s="4">
        <f t="shared" si="89"/>
        <v>0</v>
      </c>
      <c r="H2685" s="17"/>
      <c r="I2685" s="4">
        <f t="shared" si="90"/>
        <v>349526.07999999996</v>
      </c>
      <c r="J2685" s="32" t="str">
        <f t="shared" si="91"/>
        <v/>
      </c>
      <c r="K2685" s="79"/>
      <c r="L2685" s="79"/>
      <c r="M2685" s="2"/>
      <c r="N2685" s="5"/>
      <c r="O2685" s="3"/>
      <c r="P2685" s="6"/>
      <c r="Q2685" s="6"/>
    </row>
    <row r="2686" spans="1:17" ht="15" customHeight="1" x14ac:dyDescent="0.25">
      <c r="A2686" s="1"/>
      <c r="B2686" s="17"/>
      <c r="C2686" s="17"/>
      <c r="D2686" s="17"/>
      <c r="E2686" s="17"/>
      <c r="F2686" s="17"/>
      <c r="G2686" s="4">
        <f t="shared" si="89"/>
        <v>0</v>
      </c>
      <c r="H2686" s="17"/>
      <c r="I2686" s="4">
        <f t="shared" si="90"/>
        <v>349526.07999999996</v>
      </c>
      <c r="J2686" s="32" t="str">
        <f t="shared" si="91"/>
        <v/>
      </c>
      <c r="K2686" s="79"/>
      <c r="L2686" s="79"/>
      <c r="M2686" s="2"/>
      <c r="N2686" s="5"/>
      <c r="O2686" s="3"/>
      <c r="P2686" s="6"/>
      <c r="Q2686" s="6"/>
    </row>
    <row r="2687" spans="1:17" ht="15" customHeight="1" x14ac:dyDescent="0.25">
      <c r="A2687" s="1"/>
      <c r="B2687" s="17"/>
      <c r="C2687" s="17"/>
      <c r="D2687" s="17"/>
      <c r="E2687" s="17"/>
      <c r="F2687" s="17"/>
      <c r="G2687" s="4">
        <f t="shared" si="89"/>
        <v>0</v>
      </c>
      <c r="H2687" s="17"/>
      <c r="I2687" s="4">
        <f t="shared" si="90"/>
        <v>349526.07999999996</v>
      </c>
      <c r="J2687" s="32" t="str">
        <f t="shared" si="91"/>
        <v/>
      </c>
      <c r="K2687" s="79"/>
      <c r="L2687" s="79"/>
      <c r="M2687" s="2"/>
      <c r="N2687" s="5"/>
      <c r="O2687" s="3"/>
      <c r="P2687" s="6"/>
      <c r="Q2687" s="6"/>
    </row>
    <row r="2688" spans="1:17" ht="15" customHeight="1" x14ac:dyDescent="0.25">
      <c r="A2688" s="1"/>
      <c r="B2688" s="17"/>
      <c r="C2688" s="17"/>
      <c r="D2688" s="17"/>
      <c r="E2688" s="17"/>
      <c r="F2688" s="17"/>
      <c r="G2688" s="4">
        <f t="shared" si="89"/>
        <v>0</v>
      </c>
      <c r="H2688" s="17"/>
      <c r="I2688" s="4">
        <f t="shared" si="90"/>
        <v>349526.07999999996</v>
      </c>
      <c r="J2688" s="32" t="str">
        <f t="shared" si="91"/>
        <v/>
      </c>
      <c r="K2688" s="79"/>
      <c r="L2688" s="79"/>
      <c r="M2688" s="2"/>
      <c r="N2688" s="5"/>
      <c r="O2688" s="3"/>
      <c r="P2688" s="6"/>
      <c r="Q2688" s="6"/>
    </row>
    <row r="2689" spans="1:17" ht="15" customHeight="1" x14ac:dyDescent="0.25">
      <c r="A2689" s="1"/>
      <c r="B2689" s="17"/>
      <c r="C2689" s="17"/>
      <c r="D2689" s="17"/>
      <c r="E2689" s="17"/>
      <c r="F2689" s="17"/>
      <c r="G2689" s="4">
        <f t="shared" si="89"/>
        <v>0</v>
      </c>
      <c r="H2689" s="17"/>
      <c r="I2689" s="4">
        <f t="shared" si="90"/>
        <v>349526.07999999996</v>
      </c>
      <c r="J2689" s="32" t="str">
        <f t="shared" si="91"/>
        <v/>
      </c>
      <c r="K2689" s="79"/>
      <c r="L2689" s="79"/>
      <c r="M2689" s="2"/>
      <c r="N2689" s="5"/>
      <c r="O2689" s="3"/>
      <c r="P2689" s="6"/>
      <c r="Q2689" s="6"/>
    </row>
    <row r="2690" spans="1:17" ht="15" customHeight="1" x14ac:dyDescent="0.25">
      <c r="A2690" s="1"/>
      <c r="B2690" s="17"/>
      <c r="C2690" s="17"/>
      <c r="D2690" s="17"/>
      <c r="E2690" s="17"/>
      <c r="F2690" s="17"/>
      <c r="G2690" s="4">
        <f t="shared" si="89"/>
        <v>0</v>
      </c>
      <c r="H2690" s="17"/>
      <c r="I2690" s="4">
        <f t="shared" si="90"/>
        <v>349526.07999999996</v>
      </c>
      <c r="J2690" s="32" t="str">
        <f t="shared" si="91"/>
        <v/>
      </c>
      <c r="K2690" s="79"/>
      <c r="L2690" s="79"/>
      <c r="M2690" s="2"/>
      <c r="N2690" s="5"/>
      <c r="O2690" s="3"/>
      <c r="P2690" s="6"/>
      <c r="Q2690" s="6"/>
    </row>
    <row r="2691" spans="1:17" ht="15" customHeight="1" x14ac:dyDescent="0.25">
      <c r="A2691" s="1"/>
      <c r="B2691" s="17"/>
      <c r="C2691" s="17"/>
      <c r="D2691" s="17"/>
      <c r="E2691" s="17"/>
      <c r="F2691" s="17"/>
      <c r="G2691" s="4">
        <f t="shared" ref="G2691:G2754" si="92">SUM($B2691:$F2691)</f>
        <v>0</v>
      </c>
      <c r="H2691" s="17"/>
      <c r="I2691" s="4">
        <f t="shared" si="90"/>
        <v>349526.07999999996</v>
      </c>
      <c r="J2691" s="32" t="str">
        <f t="shared" si="91"/>
        <v/>
      </c>
      <c r="K2691" s="79"/>
      <c r="L2691" s="79"/>
      <c r="M2691" s="2"/>
      <c r="N2691" s="5"/>
      <c r="O2691" s="3"/>
      <c r="P2691" s="6"/>
      <c r="Q2691" s="6"/>
    </row>
    <row r="2692" spans="1:17" ht="15" customHeight="1" x14ac:dyDescent="0.25">
      <c r="A2692" s="1"/>
      <c r="B2692" s="17"/>
      <c r="C2692" s="17"/>
      <c r="D2692" s="17"/>
      <c r="E2692" s="17"/>
      <c r="F2692" s="17"/>
      <c r="G2692" s="4">
        <f t="shared" si="92"/>
        <v>0</v>
      </c>
      <c r="H2692" s="17"/>
      <c r="I2692" s="4">
        <f t="shared" si="90"/>
        <v>349526.07999999996</v>
      </c>
      <c r="J2692" s="32" t="str">
        <f t="shared" si="91"/>
        <v/>
      </c>
      <c r="K2692" s="79"/>
      <c r="L2692" s="79"/>
      <c r="M2692" s="2"/>
      <c r="N2692" s="5"/>
      <c r="O2692" s="3"/>
      <c r="P2692" s="6"/>
      <c r="Q2692" s="6"/>
    </row>
    <row r="2693" spans="1:17" ht="15" customHeight="1" x14ac:dyDescent="0.25">
      <c r="A2693" s="1"/>
      <c r="B2693" s="17"/>
      <c r="C2693" s="17"/>
      <c r="D2693" s="17"/>
      <c r="E2693" s="17"/>
      <c r="F2693" s="17"/>
      <c r="G2693" s="4">
        <f t="shared" si="92"/>
        <v>0</v>
      </c>
      <c r="H2693" s="17"/>
      <c r="I2693" s="4">
        <f t="shared" si="90"/>
        <v>349526.07999999996</v>
      </c>
      <c r="J2693" s="32" t="str">
        <f t="shared" si="91"/>
        <v/>
      </c>
      <c r="K2693" s="79"/>
      <c r="L2693" s="79"/>
      <c r="M2693" s="2"/>
      <c r="N2693" s="5"/>
      <c r="O2693" s="3"/>
      <c r="P2693" s="6"/>
      <c r="Q2693" s="6"/>
    </row>
    <row r="2694" spans="1:17" ht="15" customHeight="1" x14ac:dyDescent="0.25">
      <c r="A2694" s="1"/>
      <c r="B2694" s="17"/>
      <c r="C2694" s="17"/>
      <c r="D2694" s="17"/>
      <c r="E2694" s="17"/>
      <c r="F2694" s="17"/>
      <c r="G2694" s="4">
        <f t="shared" si="92"/>
        <v>0</v>
      </c>
      <c r="H2694" s="17"/>
      <c r="I2694" s="4">
        <f t="shared" si="90"/>
        <v>349526.07999999996</v>
      </c>
      <c r="J2694" s="32" t="str">
        <f t="shared" si="91"/>
        <v/>
      </c>
      <c r="K2694" s="79"/>
      <c r="L2694" s="79"/>
      <c r="M2694" s="2"/>
      <c r="N2694" s="5"/>
      <c r="O2694" s="3"/>
      <c r="P2694" s="6"/>
      <c r="Q2694" s="6"/>
    </row>
    <row r="2695" spans="1:17" ht="15" customHeight="1" x14ac:dyDescent="0.25">
      <c r="A2695" s="1"/>
      <c r="B2695" s="17"/>
      <c r="C2695" s="17"/>
      <c r="D2695" s="17"/>
      <c r="E2695" s="17"/>
      <c r="F2695" s="17"/>
      <c r="G2695" s="4">
        <f t="shared" si="92"/>
        <v>0</v>
      </c>
      <c r="H2695" s="17"/>
      <c r="I2695" s="4">
        <f t="shared" si="90"/>
        <v>349526.07999999996</v>
      </c>
      <c r="J2695" s="32" t="str">
        <f t="shared" si="91"/>
        <v/>
      </c>
      <c r="K2695" s="79"/>
      <c r="L2695" s="79"/>
      <c r="M2695" s="2"/>
      <c r="N2695" s="5"/>
      <c r="O2695" s="3"/>
      <c r="P2695" s="6"/>
      <c r="Q2695" s="6"/>
    </row>
    <row r="2696" spans="1:17" ht="15" customHeight="1" x14ac:dyDescent="0.25">
      <c r="A2696" s="1"/>
      <c r="B2696" s="17"/>
      <c r="C2696" s="17"/>
      <c r="D2696" s="17"/>
      <c r="E2696" s="17"/>
      <c r="F2696" s="17"/>
      <c r="G2696" s="4">
        <f t="shared" si="92"/>
        <v>0</v>
      </c>
      <c r="H2696" s="17"/>
      <c r="I2696" s="4">
        <f t="shared" si="90"/>
        <v>349526.07999999996</v>
      </c>
      <c r="J2696" s="32" t="str">
        <f t="shared" si="91"/>
        <v/>
      </c>
      <c r="K2696" s="79"/>
      <c r="L2696" s="79"/>
      <c r="M2696" s="2"/>
      <c r="N2696" s="5"/>
      <c r="O2696" s="3"/>
      <c r="P2696" s="6"/>
      <c r="Q2696" s="6"/>
    </row>
    <row r="2697" spans="1:17" ht="15" customHeight="1" x14ac:dyDescent="0.25">
      <c r="A2697" s="1"/>
      <c r="B2697" s="17"/>
      <c r="C2697" s="17"/>
      <c r="D2697" s="17"/>
      <c r="E2697" s="17"/>
      <c r="F2697" s="17"/>
      <c r="G2697" s="4">
        <f t="shared" si="92"/>
        <v>0</v>
      </c>
      <c r="H2697" s="17"/>
      <c r="I2697" s="4">
        <f t="shared" si="90"/>
        <v>349526.07999999996</v>
      </c>
      <c r="J2697" s="32" t="str">
        <f t="shared" si="91"/>
        <v/>
      </c>
      <c r="K2697" s="79"/>
      <c r="L2697" s="79"/>
      <c r="M2697" s="2"/>
      <c r="N2697" s="5"/>
      <c r="O2697" s="3"/>
      <c r="P2697" s="6"/>
      <c r="Q2697" s="6"/>
    </row>
    <row r="2698" spans="1:17" ht="15" customHeight="1" x14ac:dyDescent="0.25">
      <c r="A2698" s="1"/>
      <c r="B2698" s="17"/>
      <c r="C2698" s="17"/>
      <c r="D2698" s="17"/>
      <c r="E2698" s="17"/>
      <c r="F2698" s="17"/>
      <c r="G2698" s="4">
        <f t="shared" si="92"/>
        <v>0</v>
      </c>
      <c r="H2698" s="17"/>
      <c r="I2698" s="4">
        <f t="shared" si="90"/>
        <v>349526.07999999996</v>
      </c>
      <c r="J2698" s="32" t="str">
        <f t="shared" si="91"/>
        <v/>
      </c>
      <c r="K2698" s="79"/>
      <c r="L2698" s="79"/>
      <c r="M2698" s="2"/>
      <c r="N2698" s="5"/>
      <c r="O2698" s="3"/>
      <c r="P2698" s="6"/>
      <c r="Q2698" s="6"/>
    </row>
    <row r="2699" spans="1:17" ht="15" customHeight="1" x14ac:dyDescent="0.25">
      <c r="A2699" s="1"/>
      <c r="B2699" s="17"/>
      <c r="C2699" s="17"/>
      <c r="D2699" s="17"/>
      <c r="E2699" s="17"/>
      <c r="F2699" s="17"/>
      <c r="G2699" s="4">
        <f t="shared" si="92"/>
        <v>0</v>
      </c>
      <c r="H2699" s="17"/>
      <c r="I2699" s="4">
        <f t="shared" si="90"/>
        <v>349526.07999999996</v>
      </c>
      <c r="J2699" s="32" t="str">
        <f t="shared" si="91"/>
        <v/>
      </c>
      <c r="K2699" s="79"/>
      <c r="L2699" s="79"/>
      <c r="M2699" s="2"/>
      <c r="N2699" s="5"/>
      <c r="O2699" s="3"/>
      <c r="P2699" s="6"/>
      <c r="Q2699" s="6"/>
    </row>
    <row r="2700" spans="1:17" ht="15" customHeight="1" x14ac:dyDescent="0.25">
      <c r="A2700" s="1"/>
      <c r="B2700" s="17"/>
      <c r="C2700" s="17"/>
      <c r="D2700" s="17"/>
      <c r="E2700" s="17"/>
      <c r="F2700" s="17"/>
      <c r="G2700" s="4">
        <f t="shared" si="92"/>
        <v>0</v>
      </c>
      <c r="H2700" s="17"/>
      <c r="I2700" s="4">
        <f t="shared" si="90"/>
        <v>349526.07999999996</v>
      </c>
      <c r="J2700" s="32" t="str">
        <f t="shared" si="91"/>
        <v/>
      </c>
      <c r="K2700" s="79"/>
      <c r="L2700" s="79"/>
      <c r="M2700" s="2"/>
      <c r="N2700" s="5"/>
      <c r="O2700" s="3"/>
      <c r="P2700" s="6"/>
      <c r="Q2700" s="6"/>
    </row>
    <row r="2701" spans="1:17" ht="15" customHeight="1" x14ac:dyDescent="0.25">
      <c r="A2701" s="1"/>
      <c r="B2701" s="17"/>
      <c r="C2701" s="17"/>
      <c r="D2701" s="17"/>
      <c r="E2701" s="17"/>
      <c r="F2701" s="17"/>
      <c r="G2701" s="4">
        <f t="shared" si="92"/>
        <v>0</v>
      </c>
      <c r="H2701" s="17"/>
      <c r="I2701" s="4">
        <f t="shared" si="90"/>
        <v>349526.07999999996</v>
      </c>
      <c r="J2701" s="32" t="str">
        <f t="shared" si="91"/>
        <v/>
      </c>
      <c r="K2701" s="79"/>
      <c r="L2701" s="79"/>
      <c r="M2701" s="2"/>
      <c r="N2701" s="5"/>
      <c r="O2701" s="3"/>
      <c r="P2701" s="6"/>
      <c r="Q2701" s="6"/>
    </row>
    <row r="2702" spans="1:17" ht="15" customHeight="1" x14ac:dyDescent="0.25">
      <c r="A2702" s="1"/>
      <c r="B2702" s="17"/>
      <c r="C2702" s="17"/>
      <c r="D2702" s="17"/>
      <c r="E2702" s="17"/>
      <c r="F2702" s="17"/>
      <c r="G2702" s="4">
        <f t="shared" si="92"/>
        <v>0</v>
      </c>
      <c r="H2702" s="17"/>
      <c r="I2702" s="4">
        <f t="shared" si="90"/>
        <v>349526.07999999996</v>
      </c>
      <c r="J2702" s="32" t="str">
        <f t="shared" si="91"/>
        <v/>
      </c>
      <c r="K2702" s="79"/>
      <c r="L2702" s="79"/>
      <c r="M2702" s="2"/>
      <c r="N2702" s="5"/>
      <c r="O2702" s="3"/>
      <c r="P2702" s="6"/>
      <c r="Q2702" s="6"/>
    </row>
    <row r="2703" spans="1:17" ht="15" customHeight="1" x14ac:dyDescent="0.25">
      <c r="A2703" s="1"/>
      <c r="B2703" s="17"/>
      <c r="C2703" s="17"/>
      <c r="D2703" s="17"/>
      <c r="E2703" s="17"/>
      <c r="F2703" s="17"/>
      <c r="G2703" s="4">
        <f t="shared" si="92"/>
        <v>0</v>
      </c>
      <c r="H2703" s="17"/>
      <c r="I2703" s="4">
        <f t="shared" si="90"/>
        <v>349526.07999999996</v>
      </c>
      <c r="J2703" s="32" t="str">
        <f t="shared" si="91"/>
        <v/>
      </c>
      <c r="K2703" s="79"/>
      <c r="L2703" s="79"/>
      <c r="M2703" s="2"/>
      <c r="N2703" s="5"/>
      <c r="O2703" s="3"/>
      <c r="P2703" s="6"/>
      <c r="Q2703" s="6"/>
    </row>
    <row r="2704" spans="1:17" ht="15" customHeight="1" x14ac:dyDescent="0.25">
      <c r="A2704" s="1"/>
      <c r="B2704" s="17"/>
      <c r="C2704" s="17"/>
      <c r="D2704" s="17"/>
      <c r="E2704" s="17"/>
      <c r="F2704" s="17"/>
      <c r="G2704" s="4">
        <f t="shared" si="92"/>
        <v>0</v>
      </c>
      <c r="H2704" s="17"/>
      <c r="I2704" s="4">
        <f t="shared" si="90"/>
        <v>349526.07999999996</v>
      </c>
      <c r="J2704" s="32" t="str">
        <f t="shared" si="91"/>
        <v/>
      </c>
      <c r="K2704" s="79"/>
      <c r="L2704" s="79"/>
      <c r="M2704" s="2"/>
      <c r="N2704" s="5"/>
      <c r="O2704" s="3"/>
      <c r="P2704" s="6"/>
      <c r="Q2704" s="6"/>
    </row>
    <row r="2705" spans="1:17" ht="15" customHeight="1" x14ac:dyDescent="0.25">
      <c r="A2705" s="1"/>
      <c r="B2705" s="17"/>
      <c r="C2705" s="17"/>
      <c r="D2705" s="17"/>
      <c r="E2705" s="17"/>
      <c r="F2705" s="17"/>
      <c r="G2705" s="4">
        <f t="shared" si="92"/>
        <v>0</v>
      </c>
      <c r="H2705" s="17"/>
      <c r="I2705" s="4">
        <f t="shared" si="90"/>
        <v>349526.07999999996</v>
      </c>
      <c r="J2705" s="32" t="str">
        <f t="shared" si="91"/>
        <v/>
      </c>
      <c r="K2705" s="79"/>
      <c r="L2705" s="79"/>
      <c r="M2705" s="2"/>
      <c r="N2705" s="5"/>
      <c r="O2705" s="3"/>
      <c r="P2705" s="6"/>
      <c r="Q2705" s="6"/>
    </row>
    <row r="2706" spans="1:17" ht="15" customHeight="1" x14ac:dyDescent="0.25">
      <c r="A2706" s="1"/>
      <c r="B2706" s="17"/>
      <c r="C2706" s="17"/>
      <c r="D2706" s="17"/>
      <c r="E2706" s="17"/>
      <c r="F2706" s="17"/>
      <c r="G2706" s="4">
        <f t="shared" si="92"/>
        <v>0</v>
      </c>
      <c r="H2706" s="17"/>
      <c r="I2706" s="4">
        <f t="shared" si="90"/>
        <v>349526.07999999996</v>
      </c>
      <c r="J2706" s="32" t="str">
        <f t="shared" si="91"/>
        <v/>
      </c>
      <c r="K2706" s="79"/>
      <c r="L2706" s="79"/>
      <c r="M2706" s="2"/>
      <c r="N2706" s="5"/>
      <c r="O2706" s="3"/>
      <c r="P2706" s="6"/>
      <c r="Q2706" s="6"/>
    </row>
    <row r="2707" spans="1:17" ht="15" customHeight="1" x14ac:dyDescent="0.25">
      <c r="A2707" s="1"/>
      <c r="B2707" s="17"/>
      <c r="C2707" s="17"/>
      <c r="D2707" s="17"/>
      <c r="E2707" s="17"/>
      <c r="F2707" s="17"/>
      <c r="G2707" s="4">
        <f t="shared" si="92"/>
        <v>0</v>
      </c>
      <c r="H2707" s="17"/>
      <c r="I2707" s="4">
        <f t="shared" si="90"/>
        <v>349526.07999999996</v>
      </c>
      <c r="J2707" s="32" t="str">
        <f t="shared" si="91"/>
        <v/>
      </c>
      <c r="K2707" s="79"/>
      <c r="L2707" s="79"/>
      <c r="M2707" s="2"/>
      <c r="N2707" s="5"/>
      <c r="O2707" s="3"/>
      <c r="P2707" s="6"/>
      <c r="Q2707" s="6"/>
    </row>
    <row r="2708" spans="1:17" ht="15" customHeight="1" x14ac:dyDescent="0.25">
      <c r="A2708" s="1"/>
      <c r="B2708" s="17"/>
      <c r="C2708" s="17"/>
      <c r="D2708" s="17"/>
      <c r="E2708" s="17"/>
      <c r="F2708" s="17"/>
      <c r="G2708" s="4">
        <f t="shared" si="92"/>
        <v>0</v>
      </c>
      <c r="H2708" s="17"/>
      <c r="I2708" s="4">
        <f t="shared" si="90"/>
        <v>349526.07999999996</v>
      </c>
      <c r="J2708" s="32" t="str">
        <f t="shared" si="91"/>
        <v/>
      </c>
      <c r="K2708" s="79"/>
      <c r="L2708" s="79"/>
      <c r="M2708" s="2"/>
      <c r="N2708" s="5"/>
      <c r="O2708" s="3"/>
      <c r="P2708" s="6"/>
      <c r="Q2708" s="6"/>
    </row>
    <row r="2709" spans="1:17" ht="15" customHeight="1" x14ac:dyDescent="0.25">
      <c r="A2709" s="1"/>
      <c r="B2709" s="17"/>
      <c r="C2709" s="17"/>
      <c r="D2709" s="17"/>
      <c r="E2709" s="17"/>
      <c r="F2709" s="17"/>
      <c r="G2709" s="4">
        <f t="shared" si="92"/>
        <v>0</v>
      </c>
      <c r="H2709" s="17"/>
      <c r="I2709" s="4">
        <f t="shared" si="90"/>
        <v>349526.07999999996</v>
      </c>
      <c r="J2709" s="32" t="str">
        <f t="shared" si="91"/>
        <v/>
      </c>
      <c r="K2709" s="79"/>
      <c r="L2709" s="79"/>
      <c r="M2709" s="2"/>
      <c r="N2709" s="5"/>
      <c r="O2709" s="3"/>
      <c r="P2709" s="6"/>
      <c r="Q2709" s="6"/>
    </row>
    <row r="2710" spans="1:17" ht="15" customHeight="1" x14ac:dyDescent="0.25">
      <c r="A2710" s="1"/>
      <c r="B2710" s="17"/>
      <c r="C2710" s="17"/>
      <c r="D2710" s="17"/>
      <c r="E2710" s="17"/>
      <c r="F2710" s="17"/>
      <c r="G2710" s="4">
        <f t="shared" si="92"/>
        <v>0</v>
      </c>
      <c r="H2710" s="17"/>
      <c r="I2710" s="4">
        <f t="shared" si="90"/>
        <v>349526.07999999996</v>
      </c>
      <c r="J2710" s="32" t="str">
        <f t="shared" si="91"/>
        <v/>
      </c>
      <c r="K2710" s="79"/>
      <c r="L2710" s="79"/>
      <c r="M2710" s="2"/>
      <c r="N2710" s="5"/>
      <c r="O2710" s="3"/>
      <c r="P2710" s="6"/>
      <c r="Q2710" s="6"/>
    </row>
    <row r="2711" spans="1:17" ht="15" customHeight="1" x14ac:dyDescent="0.25">
      <c r="A2711" s="1"/>
      <c r="B2711" s="17"/>
      <c r="C2711" s="17"/>
      <c r="D2711" s="17"/>
      <c r="E2711" s="17"/>
      <c r="F2711" s="17"/>
      <c r="G2711" s="4">
        <f t="shared" si="92"/>
        <v>0</v>
      </c>
      <c r="H2711" s="17"/>
      <c r="I2711" s="4">
        <f t="shared" si="90"/>
        <v>349526.07999999996</v>
      </c>
      <c r="J2711" s="32" t="str">
        <f t="shared" si="91"/>
        <v/>
      </c>
      <c r="K2711" s="79"/>
      <c r="L2711" s="79"/>
      <c r="M2711" s="2"/>
      <c r="N2711" s="5"/>
      <c r="O2711" s="3"/>
      <c r="P2711" s="6"/>
      <c r="Q2711" s="6"/>
    </row>
    <row r="2712" spans="1:17" ht="15" customHeight="1" x14ac:dyDescent="0.25">
      <c r="A2712" s="1"/>
      <c r="B2712" s="17"/>
      <c r="C2712" s="17"/>
      <c r="D2712" s="17"/>
      <c r="E2712" s="17"/>
      <c r="F2712" s="17"/>
      <c r="G2712" s="4">
        <f t="shared" si="92"/>
        <v>0</v>
      </c>
      <c r="H2712" s="17"/>
      <c r="I2712" s="4">
        <f t="shared" si="90"/>
        <v>349526.07999999996</v>
      </c>
      <c r="J2712" s="32" t="str">
        <f t="shared" si="91"/>
        <v/>
      </c>
      <c r="K2712" s="79"/>
      <c r="L2712" s="79"/>
      <c r="M2712" s="2"/>
      <c r="N2712" s="5"/>
      <c r="O2712" s="3"/>
      <c r="P2712" s="6"/>
      <c r="Q2712" s="6"/>
    </row>
    <row r="2713" spans="1:17" ht="15" customHeight="1" x14ac:dyDescent="0.25">
      <c r="A2713" s="1"/>
      <c r="B2713" s="17"/>
      <c r="C2713" s="17"/>
      <c r="D2713" s="17"/>
      <c r="E2713" s="17"/>
      <c r="F2713" s="17"/>
      <c r="G2713" s="4">
        <f t="shared" si="92"/>
        <v>0</v>
      </c>
      <c r="H2713" s="17"/>
      <c r="I2713" s="4">
        <f t="shared" si="90"/>
        <v>349526.07999999996</v>
      </c>
      <c r="J2713" s="32" t="str">
        <f t="shared" si="91"/>
        <v/>
      </c>
      <c r="K2713" s="79"/>
      <c r="L2713" s="79"/>
      <c r="M2713" s="2"/>
      <c r="N2713" s="5"/>
      <c r="O2713" s="3"/>
      <c r="P2713" s="6"/>
      <c r="Q2713" s="6"/>
    </row>
    <row r="2714" spans="1:17" ht="15" customHeight="1" x14ac:dyDescent="0.25">
      <c r="A2714" s="1"/>
      <c r="B2714" s="17"/>
      <c r="C2714" s="17"/>
      <c r="D2714" s="17"/>
      <c r="E2714" s="17"/>
      <c r="F2714" s="17"/>
      <c r="G2714" s="4">
        <f t="shared" si="92"/>
        <v>0</v>
      </c>
      <c r="H2714" s="17"/>
      <c r="I2714" s="4">
        <f t="shared" si="90"/>
        <v>349526.07999999996</v>
      </c>
      <c r="J2714" s="32" t="str">
        <f t="shared" si="91"/>
        <v/>
      </c>
      <c r="K2714" s="79"/>
      <c r="L2714" s="79"/>
      <c r="M2714" s="2"/>
      <c r="N2714" s="5"/>
      <c r="O2714" s="3"/>
      <c r="P2714" s="6"/>
      <c r="Q2714" s="6"/>
    </row>
    <row r="2715" spans="1:17" ht="15" customHeight="1" x14ac:dyDescent="0.25">
      <c r="A2715" s="1"/>
      <c r="B2715" s="17"/>
      <c r="C2715" s="17"/>
      <c r="D2715" s="17"/>
      <c r="E2715" s="17"/>
      <c r="F2715" s="17"/>
      <c r="G2715" s="4">
        <f t="shared" si="92"/>
        <v>0</v>
      </c>
      <c r="H2715" s="17"/>
      <c r="I2715" s="4">
        <f t="shared" si="90"/>
        <v>349526.07999999996</v>
      </c>
      <c r="J2715" s="32" t="str">
        <f t="shared" si="91"/>
        <v/>
      </c>
      <c r="K2715" s="79"/>
      <c r="L2715" s="79"/>
      <c r="M2715" s="2"/>
      <c r="N2715" s="5"/>
      <c r="O2715" s="3"/>
      <c r="P2715" s="6"/>
      <c r="Q2715" s="6"/>
    </row>
    <row r="2716" spans="1:17" ht="15" customHeight="1" x14ac:dyDescent="0.25">
      <c r="A2716" s="1"/>
      <c r="B2716" s="17"/>
      <c r="C2716" s="17"/>
      <c r="D2716" s="17"/>
      <c r="E2716" s="17"/>
      <c r="F2716" s="17"/>
      <c r="G2716" s="4">
        <f t="shared" si="92"/>
        <v>0</v>
      </c>
      <c r="H2716" s="17"/>
      <c r="I2716" s="4">
        <f t="shared" si="90"/>
        <v>349526.07999999996</v>
      </c>
      <c r="J2716" s="32" t="str">
        <f t="shared" si="91"/>
        <v/>
      </c>
      <c r="K2716" s="79"/>
      <c r="L2716" s="79"/>
      <c r="M2716" s="2"/>
      <c r="N2716" s="5"/>
      <c r="O2716" s="3"/>
      <c r="P2716" s="6"/>
      <c r="Q2716" s="6"/>
    </row>
    <row r="2717" spans="1:17" ht="15" customHeight="1" x14ac:dyDescent="0.25">
      <c r="A2717" s="1"/>
      <c r="B2717" s="17"/>
      <c r="C2717" s="17"/>
      <c r="D2717" s="17"/>
      <c r="E2717" s="17"/>
      <c r="F2717" s="17"/>
      <c r="G2717" s="4">
        <f t="shared" si="92"/>
        <v>0</v>
      </c>
      <c r="H2717" s="17"/>
      <c r="I2717" s="4">
        <f t="shared" si="90"/>
        <v>349526.07999999996</v>
      </c>
      <c r="J2717" s="32" t="str">
        <f t="shared" si="91"/>
        <v/>
      </c>
      <c r="K2717" s="79"/>
      <c r="L2717" s="79"/>
      <c r="M2717" s="2"/>
      <c r="N2717" s="5"/>
      <c r="O2717" s="3"/>
      <c r="P2717" s="6"/>
      <c r="Q2717" s="6"/>
    </row>
    <row r="2718" spans="1:17" ht="15" customHeight="1" x14ac:dyDescent="0.25">
      <c r="A2718" s="1"/>
      <c r="B2718" s="17"/>
      <c r="C2718" s="17"/>
      <c r="D2718" s="17"/>
      <c r="E2718" s="17"/>
      <c r="F2718" s="17"/>
      <c r="G2718" s="4">
        <f t="shared" si="92"/>
        <v>0</v>
      </c>
      <c r="H2718" s="17"/>
      <c r="I2718" s="4">
        <f t="shared" si="90"/>
        <v>349526.07999999996</v>
      </c>
      <c r="J2718" s="32" t="str">
        <f t="shared" si="91"/>
        <v/>
      </c>
      <c r="K2718" s="79"/>
      <c r="L2718" s="79"/>
      <c r="M2718" s="2"/>
      <c r="N2718" s="5"/>
      <c r="O2718" s="3"/>
      <c r="P2718" s="6"/>
      <c r="Q2718" s="6"/>
    </row>
    <row r="2719" spans="1:17" ht="15" customHeight="1" x14ac:dyDescent="0.25">
      <c r="A2719" s="1"/>
      <c r="B2719" s="17"/>
      <c r="C2719" s="17"/>
      <c r="D2719" s="17"/>
      <c r="E2719" s="17"/>
      <c r="F2719" s="17"/>
      <c r="G2719" s="4">
        <f t="shared" si="92"/>
        <v>0</v>
      </c>
      <c r="H2719" s="17"/>
      <c r="I2719" s="4">
        <f t="shared" si="90"/>
        <v>349526.07999999996</v>
      </c>
      <c r="J2719" s="32" t="str">
        <f t="shared" si="91"/>
        <v/>
      </c>
      <c r="K2719" s="79"/>
      <c r="L2719" s="79"/>
      <c r="M2719" s="2"/>
      <c r="N2719" s="5"/>
      <c r="O2719" s="3"/>
      <c r="P2719" s="6"/>
      <c r="Q2719" s="6"/>
    </row>
    <row r="2720" spans="1:17" ht="15" customHeight="1" x14ac:dyDescent="0.25">
      <c r="A2720" s="1"/>
      <c r="B2720" s="17"/>
      <c r="C2720" s="17"/>
      <c r="D2720" s="17"/>
      <c r="E2720" s="17"/>
      <c r="F2720" s="17"/>
      <c r="G2720" s="4">
        <f t="shared" si="92"/>
        <v>0</v>
      </c>
      <c r="H2720" s="17"/>
      <c r="I2720" s="4">
        <f t="shared" si="90"/>
        <v>349526.07999999996</v>
      </c>
      <c r="J2720" s="32" t="str">
        <f t="shared" si="91"/>
        <v/>
      </c>
      <c r="K2720" s="79"/>
      <c r="L2720" s="79"/>
      <c r="M2720" s="2"/>
      <c r="N2720" s="5"/>
      <c r="O2720" s="3"/>
      <c r="P2720" s="6"/>
      <c r="Q2720" s="6"/>
    </row>
    <row r="2721" spans="1:17" ht="15" customHeight="1" x14ac:dyDescent="0.25">
      <c r="A2721" s="1"/>
      <c r="B2721" s="17"/>
      <c r="C2721" s="17"/>
      <c r="D2721" s="17"/>
      <c r="E2721" s="17"/>
      <c r="F2721" s="17"/>
      <c r="G2721" s="4">
        <f t="shared" si="92"/>
        <v>0</v>
      </c>
      <c r="H2721" s="17"/>
      <c r="I2721" s="4">
        <f t="shared" si="90"/>
        <v>349526.07999999996</v>
      </c>
      <c r="J2721" s="32" t="str">
        <f t="shared" si="91"/>
        <v/>
      </c>
      <c r="K2721" s="79"/>
      <c r="L2721" s="79"/>
      <c r="M2721" s="2"/>
      <c r="N2721" s="5"/>
      <c r="O2721" s="3"/>
      <c r="P2721" s="6"/>
      <c r="Q2721" s="6"/>
    </row>
    <row r="2722" spans="1:17" ht="15" customHeight="1" x14ac:dyDescent="0.25">
      <c r="A2722" s="1"/>
      <c r="B2722" s="17"/>
      <c r="C2722" s="17"/>
      <c r="D2722" s="17"/>
      <c r="E2722" s="17"/>
      <c r="F2722" s="17"/>
      <c r="G2722" s="4">
        <f t="shared" si="92"/>
        <v>0</v>
      </c>
      <c r="H2722" s="17"/>
      <c r="I2722" s="4">
        <f t="shared" si="90"/>
        <v>349526.07999999996</v>
      </c>
      <c r="J2722" s="32" t="str">
        <f t="shared" si="91"/>
        <v/>
      </c>
      <c r="K2722" s="79"/>
      <c r="L2722" s="79"/>
      <c r="M2722" s="2"/>
      <c r="N2722" s="5"/>
      <c r="O2722" s="3"/>
      <c r="P2722" s="6"/>
      <c r="Q2722" s="6"/>
    </row>
    <row r="2723" spans="1:17" ht="15" customHeight="1" x14ac:dyDescent="0.25">
      <c r="A2723" s="1"/>
      <c r="B2723" s="17"/>
      <c r="C2723" s="17"/>
      <c r="D2723" s="17"/>
      <c r="E2723" s="17"/>
      <c r="F2723" s="17"/>
      <c r="G2723" s="4">
        <f t="shared" si="92"/>
        <v>0</v>
      </c>
      <c r="H2723" s="17"/>
      <c r="I2723" s="4">
        <f t="shared" si="90"/>
        <v>349526.07999999996</v>
      </c>
      <c r="J2723" s="32" t="str">
        <f t="shared" si="91"/>
        <v/>
      </c>
      <c r="K2723" s="79"/>
      <c r="L2723" s="79"/>
      <c r="M2723" s="2"/>
      <c r="N2723" s="5"/>
      <c r="O2723" s="3"/>
      <c r="P2723" s="6"/>
      <c r="Q2723" s="6"/>
    </row>
    <row r="2724" spans="1:17" ht="15" customHeight="1" x14ac:dyDescent="0.25">
      <c r="A2724" s="1"/>
      <c r="B2724" s="17"/>
      <c r="C2724" s="17"/>
      <c r="D2724" s="17"/>
      <c r="E2724" s="17"/>
      <c r="F2724" s="17"/>
      <c r="G2724" s="4">
        <f t="shared" si="92"/>
        <v>0</v>
      </c>
      <c r="H2724" s="17"/>
      <c r="I2724" s="4">
        <f t="shared" si="90"/>
        <v>349526.07999999996</v>
      </c>
      <c r="J2724" s="32" t="str">
        <f t="shared" si="91"/>
        <v/>
      </c>
      <c r="K2724" s="79"/>
      <c r="L2724" s="79"/>
      <c r="M2724" s="2"/>
      <c r="N2724" s="5"/>
      <c r="O2724" s="3"/>
      <c r="P2724" s="6"/>
      <c r="Q2724" s="6"/>
    </row>
    <row r="2725" spans="1:17" ht="15" customHeight="1" x14ac:dyDescent="0.25">
      <c r="A2725" s="1"/>
      <c r="B2725" s="17"/>
      <c r="C2725" s="17"/>
      <c r="D2725" s="17"/>
      <c r="E2725" s="17"/>
      <c r="F2725" s="17"/>
      <c r="G2725" s="4">
        <f t="shared" si="92"/>
        <v>0</v>
      </c>
      <c r="H2725" s="17"/>
      <c r="I2725" s="4">
        <f t="shared" si="90"/>
        <v>349526.07999999996</v>
      </c>
      <c r="J2725" s="32" t="str">
        <f t="shared" si="91"/>
        <v/>
      </c>
      <c r="K2725" s="79"/>
      <c r="L2725" s="79"/>
      <c r="M2725" s="2"/>
      <c r="N2725" s="5"/>
      <c r="O2725" s="3"/>
      <c r="P2725" s="6"/>
      <c r="Q2725" s="6"/>
    </row>
    <row r="2726" spans="1:17" ht="15" customHeight="1" x14ac:dyDescent="0.25">
      <c r="A2726" s="1"/>
      <c r="B2726" s="17"/>
      <c r="C2726" s="17"/>
      <c r="D2726" s="17"/>
      <c r="E2726" s="17"/>
      <c r="F2726" s="17"/>
      <c r="G2726" s="4">
        <f t="shared" si="92"/>
        <v>0</v>
      </c>
      <c r="H2726" s="17"/>
      <c r="I2726" s="4">
        <f t="shared" si="90"/>
        <v>349526.07999999996</v>
      </c>
      <c r="J2726" s="32" t="str">
        <f t="shared" si="91"/>
        <v/>
      </c>
      <c r="K2726" s="79"/>
      <c r="L2726" s="79"/>
      <c r="M2726" s="2"/>
      <c r="N2726" s="5"/>
      <c r="O2726" s="3"/>
      <c r="P2726" s="6"/>
      <c r="Q2726" s="6"/>
    </row>
    <row r="2727" spans="1:17" ht="15" customHeight="1" x14ac:dyDescent="0.25">
      <c r="A2727" s="1"/>
      <c r="B2727" s="17"/>
      <c r="C2727" s="17"/>
      <c r="D2727" s="17"/>
      <c r="E2727" s="17"/>
      <c r="F2727" s="17"/>
      <c r="G2727" s="4">
        <f t="shared" si="92"/>
        <v>0</v>
      </c>
      <c r="H2727" s="17"/>
      <c r="I2727" s="4">
        <f t="shared" si="90"/>
        <v>349526.07999999996</v>
      </c>
      <c r="J2727" s="32" t="str">
        <f t="shared" si="91"/>
        <v/>
      </c>
      <c r="K2727" s="79"/>
      <c r="L2727" s="79"/>
      <c r="M2727" s="2"/>
      <c r="N2727" s="5"/>
      <c r="O2727" s="3"/>
      <c r="P2727" s="6"/>
      <c r="Q2727" s="6"/>
    </row>
    <row r="2728" spans="1:17" ht="15" customHeight="1" x14ac:dyDescent="0.25">
      <c r="A2728" s="1"/>
      <c r="B2728" s="17"/>
      <c r="C2728" s="17"/>
      <c r="D2728" s="17"/>
      <c r="E2728" s="17"/>
      <c r="F2728" s="17"/>
      <c r="G2728" s="4">
        <f t="shared" si="92"/>
        <v>0</v>
      </c>
      <c r="H2728" s="17"/>
      <c r="I2728" s="4">
        <f t="shared" si="90"/>
        <v>349526.07999999996</v>
      </c>
      <c r="J2728" s="32" t="str">
        <f t="shared" si="91"/>
        <v/>
      </c>
      <c r="K2728" s="79"/>
      <c r="L2728" s="79"/>
      <c r="M2728" s="2"/>
      <c r="N2728" s="5"/>
      <c r="O2728" s="3"/>
      <c r="P2728" s="6"/>
      <c r="Q2728" s="6"/>
    </row>
    <row r="2729" spans="1:17" ht="15" customHeight="1" x14ac:dyDescent="0.25">
      <c r="A2729" s="1"/>
      <c r="B2729" s="17"/>
      <c r="C2729" s="17"/>
      <c r="D2729" s="17"/>
      <c r="E2729" s="17"/>
      <c r="F2729" s="17"/>
      <c r="G2729" s="4">
        <f t="shared" si="92"/>
        <v>0</v>
      </c>
      <c r="H2729" s="17"/>
      <c r="I2729" s="4">
        <f t="shared" si="90"/>
        <v>349526.07999999996</v>
      </c>
      <c r="J2729" s="32" t="str">
        <f t="shared" si="91"/>
        <v/>
      </c>
      <c r="K2729" s="79"/>
      <c r="L2729" s="79"/>
      <c r="M2729" s="2"/>
      <c r="N2729" s="5"/>
      <c r="O2729" s="3"/>
      <c r="P2729" s="6"/>
      <c r="Q2729" s="6"/>
    </row>
    <row r="2730" spans="1:17" ht="15" customHeight="1" x14ac:dyDescent="0.25">
      <c r="A2730" s="1"/>
      <c r="B2730" s="17"/>
      <c r="C2730" s="17"/>
      <c r="D2730" s="17"/>
      <c r="E2730" s="17"/>
      <c r="F2730" s="17"/>
      <c r="G2730" s="4">
        <f t="shared" si="92"/>
        <v>0</v>
      </c>
      <c r="H2730" s="17"/>
      <c r="I2730" s="4">
        <f t="shared" si="90"/>
        <v>349526.07999999996</v>
      </c>
      <c r="J2730" s="32" t="str">
        <f t="shared" si="91"/>
        <v/>
      </c>
      <c r="K2730" s="79"/>
      <c r="L2730" s="79"/>
      <c r="M2730" s="2"/>
      <c r="N2730" s="5"/>
      <c r="O2730" s="3"/>
      <c r="P2730" s="6"/>
      <c r="Q2730" s="6"/>
    </row>
    <row r="2731" spans="1:17" ht="15" customHeight="1" x14ac:dyDescent="0.25">
      <c r="A2731" s="1"/>
      <c r="B2731" s="17"/>
      <c r="C2731" s="17"/>
      <c r="D2731" s="17"/>
      <c r="E2731" s="17"/>
      <c r="F2731" s="17"/>
      <c r="G2731" s="4">
        <f t="shared" si="92"/>
        <v>0</v>
      </c>
      <c r="H2731" s="17"/>
      <c r="I2731" s="4">
        <f t="shared" si="90"/>
        <v>349526.07999999996</v>
      </c>
      <c r="J2731" s="32" t="str">
        <f t="shared" si="91"/>
        <v/>
      </c>
      <c r="K2731" s="79"/>
      <c r="L2731" s="79"/>
      <c r="M2731" s="2"/>
      <c r="N2731" s="5"/>
      <c r="O2731" s="3"/>
      <c r="P2731" s="6"/>
      <c r="Q2731" s="6"/>
    </row>
    <row r="2732" spans="1:17" ht="15" customHeight="1" x14ac:dyDescent="0.25">
      <c r="A2732" s="1"/>
      <c r="B2732" s="17"/>
      <c r="C2732" s="17"/>
      <c r="D2732" s="17"/>
      <c r="E2732" s="17"/>
      <c r="F2732" s="17"/>
      <c r="G2732" s="4">
        <f t="shared" si="92"/>
        <v>0</v>
      </c>
      <c r="H2732" s="17"/>
      <c r="I2732" s="4">
        <f t="shared" si="90"/>
        <v>349526.07999999996</v>
      </c>
      <c r="J2732" s="32" t="str">
        <f t="shared" si="91"/>
        <v/>
      </c>
      <c r="K2732" s="79"/>
      <c r="L2732" s="79"/>
      <c r="M2732" s="2"/>
      <c r="N2732" s="5"/>
      <c r="O2732" s="3"/>
      <c r="P2732" s="6"/>
      <c r="Q2732" s="6"/>
    </row>
    <row r="2733" spans="1:17" ht="15" customHeight="1" x14ac:dyDescent="0.25">
      <c r="A2733" s="1"/>
      <c r="B2733" s="17"/>
      <c r="C2733" s="17"/>
      <c r="D2733" s="17"/>
      <c r="E2733" s="17"/>
      <c r="F2733" s="17"/>
      <c r="G2733" s="4">
        <f t="shared" si="92"/>
        <v>0</v>
      </c>
      <c r="H2733" s="17"/>
      <c r="I2733" s="4">
        <f t="shared" si="90"/>
        <v>349526.07999999996</v>
      </c>
      <c r="J2733" s="32" t="str">
        <f t="shared" si="91"/>
        <v/>
      </c>
      <c r="K2733" s="79"/>
      <c r="L2733" s="79"/>
      <c r="M2733" s="2"/>
      <c r="N2733" s="5"/>
      <c r="O2733" s="3"/>
      <c r="P2733" s="6"/>
      <c r="Q2733" s="6"/>
    </row>
    <row r="2734" spans="1:17" ht="15" customHeight="1" x14ac:dyDescent="0.25">
      <c r="A2734" s="1"/>
      <c r="B2734" s="17"/>
      <c r="C2734" s="17"/>
      <c r="D2734" s="17"/>
      <c r="E2734" s="17"/>
      <c r="F2734" s="17"/>
      <c r="G2734" s="4">
        <f t="shared" si="92"/>
        <v>0</v>
      </c>
      <c r="H2734" s="17"/>
      <c r="I2734" s="4">
        <f t="shared" si="90"/>
        <v>349526.07999999996</v>
      </c>
      <c r="J2734" s="32" t="str">
        <f t="shared" si="91"/>
        <v/>
      </c>
      <c r="K2734" s="79"/>
      <c r="L2734" s="79"/>
      <c r="M2734" s="2"/>
      <c r="N2734" s="5"/>
      <c r="O2734" s="3"/>
      <c r="P2734" s="6"/>
      <c r="Q2734" s="6"/>
    </row>
    <row r="2735" spans="1:17" ht="15" customHeight="1" x14ac:dyDescent="0.25">
      <c r="A2735" s="1"/>
      <c r="B2735" s="17"/>
      <c r="C2735" s="17"/>
      <c r="D2735" s="17"/>
      <c r="E2735" s="17"/>
      <c r="F2735" s="17"/>
      <c r="G2735" s="4">
        <f t="shared" si="92"/>
        <v>0</v>
      </c>
      <c r="H2735" s="17"/>
      <c r="I2735" s="4">
        <f t="shared" si="90"/>
        <v>349526.07999999996</v>
      </c>
      <c r="J2735" s="32" t="str">
        <f t="shared" si="91"/>
        <v/>
      </c>
      <c r="K2735" s="79"/>
      <c r="L2735" s="79"/>
      <c r="M2735" s="2"/>
      <c r="N2735" s="5"/>
      <c r="O2735" s="3"/>
      <c r="P2735" s="6"/>
      <c r="Q2735" s="6"/>
    </row>
    <row r="2736" spans="1:17" ht="15" customHeight="1" x14ac:dyDescent="0.25">
      <c r="A2736" s="1"/>
      <c r="B2736" s="17"/>
      <c r="C2736" s="17"/>
      <c r="D2736" s="17"/>
      <c r="E2736" s="17"/>
      <c r="F2736" s="17"/>
      <c r="G2736" s="4">
        <f t="shared" si="92"/>
        <v>0</v>
      </c>
      <c r="H2736" s="17"/>
      <c r="I2736" s="4">
        <f t="shared" si="90"/>
        <v>349526.07999999996</v>
      </c>
      <c r="J2736" s="32" t="str">
        <f t="shared" si="91"/>
        <v/>
      </c>
      <c r="K2736" s="79"/>
      <c r="L2736" s="79"/>
      <c r="M2736" s="2"/>
      <c r="N2736" s="5"/>
      <c r="O2736" s="3"/>
      <c r="P2736" s="6"/>
      <c r="Q2736" s="6"/>
    </row>
    <row r="2737" spans="1:17" ht="15" customHeight="1" x14ac:dyDescent="0.25">
      <c r="A2737" s="1"/>
      <c r="B2737" s="17"/>
      <c r="C2737" s="17"/>
      <c r="D2737" s="17"/>
      <c r="E2737" s="17"/>
      <c r="F2737" s="17"/>
      <c r="G2737" s="4">
        <f t="shared" si="92"/>
        <v>0</v>
      </c>
      <c r="H2737" s="17"/>
      <c r="I2737" s="4">
        <f t="shared" si="90"/>
        <v>349526.07999999996</v>
      </c>
      <c r="J2737" s="32" t="str">
        <f t="shared" si="91"/>
        <v/>
      </c>
      <c r="K2737" s="79"/>
      <c r="L2737" s="79"/>
      <c r="M2737" s="2"/>
      <c r="N2737" s="5"/>
      <c r="O2737" s="3"/>
      <c r="P2737" s="6"/>
      <c r="Q2737" s="6"/>
    </row>
    <row r="2738" spans="1:17" ht="15" customHeight="1" x14ac:dyDescent="0.25">
      <c r="A2738" s="1"/>
      <c r="B2738" s="17"/>
      <c r="C2738" s="17"/>
      <c r="D2738" s="17"/>
      <c r="E2738" s="17"/>
      <c r="F2738" s="17"/>
      <c r="G2738" s="4">
        <f t="shared" si="92"/>
        <v>0</v>
      </c>
      <c r="H2738" s="17"/>
      <c r="I2738" s="4">
        <f t="shared" si="90"/>
        <v>349526.07999999996</v>
      </c>
      <c r="J2738" s="32" t="str">
        <f t="shared" si="91"/>
        <v/>
      </c>
      <c r="K2738" s="79"/>
      <c r="L2738" s="79"/>
      <c r="M2738" s="2"/>
      <c r="N2738" s="5"/>
      <c r="O2738" s="3"/>
      <c r="P2738" s="6"/>
      <c r="Q2738" s="6"/>
    </row>
    <row r="2739" spans="1:17" ht="15" customHeight="1" x14ac:dyDescent="0.25">
      <c r="A2739" s="1"/>
      <c r="B2739" s="17"/>
      <c r="C2739" s="17"/>
      <c r="D2739" s="17"/>
      <c r="E2739" s="17"/>
      <c r="F2739" s="17"/>
      <c r="G2739" s="4">
        <f t="shared" si="92"/>
        <v>0</v>
      </c>
      <c r="H2739" s="17"/>
      <c r="I2739" s="4">
        <f t="shared" si="90"/>
        <v>349526.07999999996</v>
      </c>
      <c r="J2739" s="32" t="str">
        <f t="shared" si="91"/>
        <v/>
      </c>
      <c r="K2739" s="79"/>
      <c r="L2739" s="79"/>
      <c r="M2739" s="2"/>
      <c r="N2739" s="5"/>
      <c r="O2739" s="3"/>
      <c r="P2739" s="6"/>
      <c r="Q2739" s="6"/>
    </row>
    <row r="2740" spans="1:17" ht="15" customHeight="1" x14ac:dyDescent="0.25">
      <c r="A2740" s="1"/>
      <c r="B2740" s="17"/>
      <c r="C2740" s="17"/>
      <c r="D2740" s="17"/>
      <c r="E2740" s="17"/>
      <c r="F2740" s="17"/>
      <c r="G2740" s="4">
        <f t="shared" si="92"/>
        <v>0</v>
      </c>
      <c r="H2740" s="17"/>
      <c r="I2740" s="4">
        <f t="shared" si="90"/>
        <v>349526.07999999996</v>
      </c>
      <c r="J2740" s="32" t="str">
        <f t="shared" si="91"/>
        <v/>
      </c>
      <c r="K2740" s="79"/>
      <c r="L2740" s="79"/>
      <c r="M2740" s="2"/>
      <c r="N2740" s="5"/>
      <c r="O2740" s="3"/>
      <c r="P2740" s="6"/>
      <c r="Q2740" s="6"/>
    </row>
    <row r="2741" spans="1:17" ht="15" customHeight="1" x14ac:dyDescent="0.25">
      <c r="A2741" s="1"/>
      <c r="B2741" s="17"/>
      <c r="C2741" s="17"/>
      <c r="D2741" s="17"/>
      <c r="E2741" s="17"/>
      <c r="F2741" s="17"/>
      <c r="G2741" s="4">
        <f t="shared" si="92"/>
        <v>0</v>
      </c>
      <c r="H2741" s="17"/>
      <c r="I2741" s="4">
        <f t="shared" si="90"/>
        <v>349526.07999999996</v>
      </c>
      <c r="J2741" s="32" t="str">
        <f t="shared" si="91"/>
        <v/>
      </c>
      <c r="K2741" s="79"/>
      <c r="L2741" s="79"/>
      <c r="M2741" s="2"/>
      <c r="N2741" s="5"/>
      <c r="O2741" s="3"/>
      <c r="P2741" s="6"/>
      <c r="Q2741" s="6"/>
    </row>
    <row r="2742" spans="1:17" ht="15" customHeight="1" x14ac:dyDescent="0.25">
      <c r="A2742" s="1"/>
      <c r="B2742" s="17"/>
      <c r="C2742" s="17"/>
      <c r="D2742" s="17"/>
      <c r="E2742" s="17"/>
      <c r="F2742" s="17"/>
      <c r="G2742" s="4">
        <f t="shared" si="92"/>
        <v>0</v>
      </c>
      <c r="H2742" s="17"/>
      <c r="I2742" s="4">
        <f t="shared" ref="I2742:I2805" si="93">$I2741+$G2742-$H2742</f>
        <v>349526.07999999996</v>
      </c>
      <c r="J2742" s="32" t="str">
        <f t="shared" ref="J2742:J2805" si="94">IF($A2743&lt;&gt;$A2742,$I2742,"")</f>
        <v/>
      </c>
      <c r="K2742" s="79"/>
      <c r="L2742" s="79"/>
      <c r="M2742" s="2"/>
      <c r="N2742" s="5"/>
      <c r="O2742" s="3"/>
      <c r="P2742" s="6"/>
      <c r="Q2742" s="6"/>
    </row>
    <row r="2743" spans="1:17" ht="15" customHeight="1" x14ac:dyDescent="0.25">
      <c r="A2743" s="1"/>
      <c r="B2743" s="17"/>
      <c r="C2743" s="17"/>
      <c r="D2743" s="17"/>
      <c r="E2743" s="17"/>
      <c r="F2743" s="17"/>
      <c r="G2743" s="4">
        <f t="shared" si="92"/>
        <v>0</v>
      </c>
      <c r="H2743" s="17"/>
      <c r="I2743" s="4">
        <f t="shared" si="93"/>
        <v>349526.07999999996</v>
      </c>
      <c r="J2743" s="32" t="str">
        <f t="shared" si="94"/>
        <v/>
      </c>
      <c r="K2743" s="79"/>
      <c r="L2743" s="79"/>
      <c r="M2743" s="2"/>
      <c r="N2743" s="5"/>
      <c r="O2743" s="3"/>
      <c r="P2743" s="6"/>
      <c r="Q2743" s="6"/>
    </row>
    <row r="2744" spans="1:17" ht="15" customHeight="1" x14ac:dyDescent="0.25">
      <c r="A2744" s="1"/>
      <c r="B2744" s="17"/>
      <c r="C2744" s="17"/>
      <c r="D2744" s="17"/>
      <c r="E2744" s="17"/>
      <c r="F2744" s="17"/>
      <c r="G2744" s="4">
        <f t="shared" si="92"/>
        <v>0</v>
      </c>
      <c r="H2744" s="17"/>
      <c r="I2744" s="4">
        <f t="shared" si="93"/>
        <v>349526.07999999996</v>
      </c>
      <c r="J2744" s="32" t="str">
        <f t="shared" si="94"/>
        <v/>
      </c>
      <c r="K2744" s="79"/>
      <c r="L2744" s="79"/>
      <c r="M2744" s="2"/>
      <c r="N2744" s="5"/>
      <c r="O2744" s="3"/>
      <c r="P2744" s="6"/>
      <c r="Q2744" s="6"/>
    </row>
    <row r="2745" spans="1:17" ht="15" customHeight="1" x14ac:dyDescent="0.25">
      <c r="A2745" s="1"/>
      <c r="B2745" s="17"/>
      <c r="C2745" s="17"/>
      <c r="D2745" s="17"/>
      <c r="E2745" s="17"/>
      <c r="F2745" s="17"/>
      <c r="G2745" s="4">
        <f t="shared" si="92"/>
        <v>0</v>
      </c>
      <c r="H2745" s="17"/>
      <c r="I2745" s="4">
        <f t="shared" si="93"/>
        <v>349526.07999999996</v>
      </c>
      <c r="J2745" s="32" t="str">
        <f t="shared" si="94"/>
        <v/>
      </c>
      <c r="K2745" s="79"/>
      <c r="L2745" s="79"/>
      <c r="M2745" s="2"/>
      <c r="N2745" s="5"/>
      <c r="O2745" s="3"/>
      <c r="P2745" s="6"/>
      <c r="Q2745" s="6"/>
    </row>
    <row r="2746" spans="1:17" ht="15" customHeight="1" x14ac:dyDescent="0.25">
      <c r="A2746" s="1"/>
      <c r="B2746" s="17"/>
      <c r="C2746" s="17"/>
      <c r="D2746" s="17"/>
      <c r="E2746" s="17"/>
      <c r="F2746" s="17"/>
      <c r="G2746" s="4">
        <f t="shared" si="92"/>
        <v>0</v>
      </c>
      <c r="H2746" s="17"/>
      <c r="I2746" s="4">
        <f t="shared" si="93"/>
        <v>349526.07999999996</v>
      </c>
      <c r="J2746" s="32" t="str">
        <f t="shared" si="94"/>
        <v/>
      </c>
      <c r="K2746" s="79"/>
      <c r="L2746" s="79"/>
      <c r="M2746" s="2"/>
      <c r="N2746" s="5"/>
      <c r="O2746" s="3"/>
      <c r="P2746" s="6"/>
      <c r="Q2746" s="6"/>
    </row>
    <row r="2747" spans="1:17" ht="15" customHeight="1" x14ac:dyDescent="0.25">
      <c r="A2747" s="1"/>
      <c r="B2747" s="17"/>
      <c r="C2747" s="17"/>
      <c r="D2747" s="17"/>
      <c r="E2747" s="17"/>
      <c r="F2747" s="17"/>
      <c r="G2747" s="4">
        <f t="shared" si="92"/>
        <v>0</v>
      </c>
      <c r="H2747" s="17"/>
      <c r="I2747" s="4">
        <f t="shared" si="93"/>
        <v>349526.07999999996</v>
      </c>
      <c r="J2747" s="32" t="str">
        <f t="shared" si="94"/>
        <v/>
      </c>
      <c r="K2747" s="79"/>
      <c r="L2747" s="79"/>
      <c r="M2747" s="2"/>
      <c r="N2747" s="5"/>
      <c r="O2747" s="3"/>
      <c r="P2747" s="6"/>
      <c r="Q2747" s="6"/>
    </row>
    <row r="2748" spans="1:17" ht="15" customHeight="1" x14ac:dyDescent="0.25">
      <c r="A2748" s="1"/>
      <c r="B2748" s="17"/>
      <c r="C2748" s="17"/>
      <c r="D2748" s="17"/>
      <c r="E2748" s="17"/>
      <c r="F2748" s="17"/>
      <c r="G2748" s="4">
        <f t="shared" si="92"/>
        <v>0</v>
      </c>
      <c r="H2748" s="17"/>
      <c r="I2748" s="4">
        <f t="shared" si="93"/>
        <v>349526.07999999996</v>
      </c>
      <c r="J2748" s="32" t="str">
        <f t="shared" si="94"/>
        <v/>
      </c>
      <c r="K2748" s="79"/>
      <c r="L2748" s="79"/>
      <c r="M2748" s="2"/>
      <c r="N2748" s="5"/>
      <c r="O2748" s="3"/>
      <c r="P2748" s="6"/>
      <c r="Q2748" s="6"/>
    </row>
    <row r="2749" spans="1:17" ht="15" customHeight="1" x14ac:dyDescent="0.25">
      <c r="A2749" s="1"/>
      <c r="B2749" s="17"/>
      <c r="C2749" s="17"/>
      <c r="D2749" s="17"/>
      <c r="E2749" s="17"/>
      <c r="F2749" s="17"/>
      <c r="G2749" s="4">
        <f t="shared" si="92"/>
        <v>0</v>
      </c>
      <c r="H2749" s="17"/>
      <c r="I2749" s="4">
        <f t="shared" si="93"/>
        <v>349526.07999999996</v>
      </c>
      <c r="J2749" s="32" t="str">
        <f t="shared" si="94"/>
        <v/>
      </c>
      <c r="K2749" s="79"/>
      <c r="L2749" s="79"/>
      <c r="M2749" s="2"/>
      <c r="N2749" s="5"/>
      <c r="O2749" s="3"/>
      <c r="P2749" s="6"/>
      <c r="Q2749" s="6"/>
    </row>
    <row r="2750" spans="1:17" ht="15" customHeight="1" x14ac:dyDescent="0.25">
      <c r="A2750" s="1"/>
      <c r="B2750" s="17"/>
      <c r="C2750" s="17"/>
      <c r="D2750" s="17"/>
      <c r="E2750" s="17"/>
      <c r="F2750" s="17"/>
      <c r="G2750" s="4">
        <f t="shared" si="92"/>
        <v>0</v>
      </c>
      <c r="H2750" s="17"/>
      <c r="I2750" s="4">
        <f t="shared" si="93"/>
        <v>349526.07999999996</v>
      </c>
      <c r="J2750" s="32" t="str">
        <f t="shared" si="94"/>
        <v/>
      </c>
      <c r="K2750" s="79"/>
      <c r="L2750" s="79"/>
      <c r="M2750" s="2"/>
      <c r="N2750" s="5"/>
      <c r="O2750" s="3"/>
      <c r="P2750" s="6"/>
      <c r="Q2750" s="6"/>
    </row>
    <row r="2751" spans="1:17" ht="15" customHeight="1" x14ac:dyDescent="0.25">
      <c r="A2751" s="1"/>
      <c r="B2751" s="17"/>
      <c r="C2751" s="17"/>
      <c r="D2751" s="17"/>
      <c r="E2751" s="17"/>
      <c r="F2751" s="17"/>
      <c r="G2751" s="4">
        <f t="shared" si="92"/>
        <v>0</v>
      </c>
      <c r="H2751" s="17"/>
      <c r="I2751" s="4">
        <f t="shared" si="93"/>
        <v>349526.07999999996</v>
      </c>
      <c r="J2751" s="32" t="str">
        <f t="shared" si="94"/>
        <v/>
      </c>
      <c r="K2751" s="79"/>
      <c r="L2751" s="79"/>
      <c r="M2751" s="2"/>
      <c r="N2751" s="5"/>
      <c r="O2751" s="3"/>
      <c r="P2751" s="6"/>
      <c r="Q2751" s="6"/>
    </row>
    <row r="2752" spans="1:17" ht="15" customHeight="1" x14ac:dyDescent="0.25">
      <c r="A2752" s="1"/>
      <c r="B2752" s="17"/>
      <c r="C2752" s="17"/>
      <c r="D2752" s="17"/>
      <c r="E2752" s="17"/>
      <c r="F2752" s="17"/>
      <c r="G2752" s="4">
        <f t="shared" si="92"/>
        <v>0</v>
      </c>
      <c r="H2752" s="17"/>
      <c r="I2752" s="4">
        <f t="shared" si="93"/>
        <v>349526.07999999996</v>
      </c>
      <c r="J2752" s="32" t="str">
        <f t="shared" si="94"/>
        <v/>
      </c>
      <c r="K2752" s="79"/>
      <c r="L2752" s="79"/>
      <c r="M2752" s="2"/>
      <c r="N2752" s="5"/>
      <c r="O2752" s="3"/>
      <c r="P2752" s="6"/>
      <c r="Q2752" s="6"/>
    </row>
    <row r="2753" spans="1:17" ht="15" customHeight="1" x14ac:dyDescent="0.25">
      <c r="A2753" s="1"/>
      <c r="B2753" s="17"/>
      <c r="C2753" s="17"/>
      <c r="D2753" s="17"/>
      <c r="E2753" s="17"/>
      <c r="F2753" s="17"/>
      <c r="G2753" s="4">
        <f t="shared" si="92"/>
        <v>0</v>
      </c>
      <c r="H2753" s="17"/>
      <c r="I2753" s="4">
        <f t="shared" si="93"/>
        <v>349526.07999999996</v>
      </c>
      <c r="J2753" s="32" t="str">
        <f t="shared" si="94"/>
        <v/>
      </c>
      <c r="K2753" s="79"/>
      <c r="L2753" s="79"/>
      <c r="M2753" s="2"/>
      <c r="N2753" s="5"/>
      <c r="O2753" s="3"/>
      <c r="P2753" s="6"/>
      <c r="Q2753" s="6"/>
    </row>
    <row r="2754" spans="1:17" ht="15" customHeight="1" x14ac:dyDescent="0.25">
      <c r="A2754" s="1"/>
      <c r="B2754" s="17"/>
      <c r="C2754" s="17"/>
      <c r="D2754" s="17"/>
      <c r="E2754" s="17"/>
      <c r="F2754" s="17"/>
      <c r="G2754" s="4">
        <f t="shared" si="92"/>
        <v>0</v>
      </c>
      <c r="H2754" s="17"/>
      <c r="I2754" s="4">
        <f t="shared" si="93"/>
        <v>349526.07999999996</v>
      </c>
      <c r="J2754" s="32" t="str">
        <f t="shared" si="94"/>
        <v/>
      </c>
      <c r="K2754" s="79"/>
      <c r="L2754" s="79"/>
      <c r="M2754" s="2"/>
      <c r="N2754" s="5"/>
      <c r="O2754" s="3"/>
      <c r="P2754" s="6"/>
      <c r="Q2754" s="6"/>
    </row>
    <row r="2755" spans="1:17" ht="15" customHeight="1" x14ac:dyDescent="0.25">
      <c r="A2755" s="1"/>
      <c r="B2755" s="17"/>
      <c r="C2755" s="17"/>
      <c r="D2755" s="17"/>
      <c r="E2755" s="17"/>
      <c r="F2755" s="17"/>
      <c r="G2755" s="4">
        <f t="shared" ref="G2755:G2818" si="95">SUM($B2755:$F2755)</f>
        <v>0</v>
      </c>
      <c r="H2755" s="17"/>
      <c r="I2755" s="4">
        <f t="shared" si="93"/>
        <v>349526.07999999996</v>
      </c>
      <c r="J2755" s="32" t="str">
        <f t="shared" si="94"/>
        <v/>
      </c>
      <c r="K2755" s="79"/>
      <c r="L2755" s="79"/>
      <c r="M2755" s="2"/>
      <c r="N2755" s="5"/>
      <c r="O2755" s="3"/>
      <c r="P2755" s="6"/>
      <c r="Q2755" s="6"/>
    </row>
    <row r="2756" spans="1:17" ht="15" customHeight="1" x14ac:dyDescent="0.25">
      <c r="A2756" s="1"/>
      <c r="B2756" s="17"/>
      <c r="C2756" s="17"/>
      <c r="D2756" s="17"/>
      <c r="E2756" s="17"/>
      <c r="F2756" s="17"/>
      <c r="G2756" s="4">
        <f t="shared" si="95"/>
        <v>0</v>
      </c>
      <c r="H2756" s="17"/>
      <c r="I2756" s="4">
        <f t="shared" si="93"/>
        <v>349526.07999999996</v>
      </c>
      <c r="J2756" s="32" t="str">
        <f t="shared" si="94"/>
        <v/>
      </c>
      <c r="K2756" s="79"/>
      <c r="L2756" s="79"/>
      <c r="M2756" s="2"/>
      <c r="N2756" s="5"/>
      <c r="O2756" s="3"/>
      <c r="P2756" s="6"/>
      <c r="Q2756" s="6"/>
    </row>
    <row r="2757" spans="1:17" ht="15" customHeight="1" x14ac:dyDescent="0.25">
      <c r="A2757" s="1"/>
      <c r="B2757" s="17"/>
      <c r="C2757" s="17"/>
      <c r="D2757" s="17"/>
      <c r="E2757" s="17"/>
      <c r="F2757" s="17"/>
      <c r="G2757" s="4">
        <f t="shared" si="95"/>
        <v>0</v>
      </c>
      <c r="H2757" s="17"/>
      <c r="I2757" s="4">
        <f t="shared" si="93"/>
        <v>349526.07999999996</v>
      </c>
      <c r="J2757" s="32" t="str">
        <f t="shared" si="94"/>
        <v/>
      </c>
      <c r="K2757" s="79"/>
      <c r="L2757" s="79"/>
      <c r="M2757" s="2"/>
      <c r="N2757" s="5"/>
      <c r="O2757" s="3"/>
      <c r="P2757" s="6"/>
      <c r="Q2757" s="6"/>
    </row>
    <row r="2758" spans="1:17" ht="15" customHeight="1" x14ac:dyDescent="0.25">
      <c r="A2758" s="1"/>
      <c r="B2758" s="17"/>
      <c r="C2758" s="17"/>
      <c r="D2758" s="17"/>
      <c r="E2758" s="17"/>
      <c r="F2758" s="17"/>
      <c r="G2758" s="4">
        <f t="shared" si="95"/>
        <v>0</v>
      </c>
      <c r="H2758" s="17"/>
      <c r="I2758" s="4">
        <f t="shared" si="93"/>
        <v>349526.07999999996</v>
      </c>
      <c r="J2758" s="32" t="str">
        <f t="shared" si="94"/>
        <v/>
      </c>
      <c r="K2758" s="79"/>
      <c r="L2758" s="79"/>
      <c r="M2758" s="2"/>
      <c r="N2758" s="5"/>
      <c r="O2758" s="3"/>
      <c r="P2758" s="6"/>
      <c r="Q2758" s="6"/>
    </row>
    <row r="2759" spans="1:17" ht="15" customHeight="1" x14ac:dyDescent="0.25">
      <c r="A2759" s="1"/>
      <c r="B2759" s="17"/>
      <c r="C2759" s="17"/>
      <c r="D2759" s="17"/>
      <c r="E2759" s="17"/>
      <c r="F2759" s="17"/>
      <c r="G2759" s="4">
        <f t="shared" si="95"/>
        <v>0</v>
      </c>
      <c r="H2759" s="17"/>
      <c r="I2759" s="4">
        <f t="shared" si="93"/>
        <v>349526.07999999996</v>
      </c>
      <c r="J2759" s="32" t="str">
        <f t="shared" si="94"/>
        <v/>
      </c>
      <c r="K2759" s="79"/>
      <c r="L2759" s="79"/>
      <c r="M2759" s="2"/>
      <c r="N2759" s="5"/>
      <c r="O2759" s="3"/>
      <c r="P2759" s="6"/>
      <c r="Q2759" s="6"/>
    </row>
    <row r="2760" spans="1:17" ht="15" customHeight="1" x14ac:dyDescent="0.25">
      <c r="A2760" s="1"/>
      <c r="B2760" s="17"/>
      <c r="C2760" s="17"/>
      <c r="D2760" s="17"/>
      <c r="E2760" s="17"/>
      <c r="F2760" s="17"/>
      <c r="G2760" s="4">
        <f t="shared" si="95"/>
        <v>0</v>
      </c>
      <c r="H2760" s="17"/>
      <c r="I2760" s="4">
        <f t="shared" si="93"/>
        <v>349526.07999999996</v>
      </c>
      <c r="J2760" s="32" t="str">
        <f t="shared" si="94"/>
        <v/>
      </c>
      <c r="K2760" s="79"/>
      <c r="L2760" s="79"/>
      <c r="M2760" s="2"/>
      <c r="N2760" s="5"/>
      <c r="O2760" s="3"/>
      <c r="P2760" s="6"/>
      <c r="Q2760" s="6"/>
    </row>
    <row r="2761" spans="1:17" ht="15" customHeight="1" x14ac:dyDescent="0.25">
      <c r="A2761" s="1"/>
      <c r="B2761" s="17"/>
      <c r="C2761" s="17"/>
      <c r="D2761" s="17"/>
      <c r="E2761" s="17"/>
      <c r="F2761" s="17"/>
      <c r="G2761" s="4">
        <f t="shared" si="95"/>
        <v>0</v>
      </c>
      <c r="H2761" s="17"/>
      <c r="I2761" s="4">
        <f t="shared" si="93"/>
        <v>349526.07999999996</v>
      </c>
      <c r="J2761" s="32" t="str">
        <f t="shared" si="94"/>
        <v/>
      </c>
      <c r="K2761" s="79"/>
      <c r="L2761" s="79"/>
      <c r="M2761" s="2"/>
      <c r="N2761" s="5"/>
      <c r="O2761" s="3"/>
      <c r="P2761" s="6"/>
      <c r="Q2761" s="6"/>
    </row>
    <row r="2762" spans="1:17" ht="15" customHeight="1" x14ac:dyDescent="0.25">
      <c r="A2762" s="1"/>
      <c r="B2762" s="17"/>
      <c r="C2762" s="17"/>
      <c r="D2762" s="17"/>
      <c r="E2762" s="17"/>
      <c r="F2762" s="17"/>
      <c r="G2762" s="4">
        <f t="shared" si="95"/>
        <v>0</v>
      </c>
      <c r="H2762" s="17"/>
      <c r="I2762" s="4">
        <f t="shared" si="93"/>
        <v>349526.07999999996</v>
      </c>
      <c r="J2762" s="32" t="str">
        <f t="shared" si="94"/>
        <v/>
      </c>
      <c r="K2762" s="79"/>
      <c r="L2762" s="79"/>
      <c r="M2762" s="2"/>
      <c r="N2762" s="5"/>
      <c r="O2762" s="3"/>
      <c r="P2762" s="6"/>
      <c r="Q2762" s="6"/>
    </row>
    <row r="2763" spans="1:17" ht="15" customHeight="1" x14ac:dyDescent="0.25">
      <c r="A2763" s="1"/>
      <c r="B2763" s="17"/>
      <c r="C2763" s="17"/>
      <c r="D2763" s="17"/>
      <c r="E2763" s="17"/>
      <c r="F2763" s="17"/>
      <c r="G2763" s="4">
        <f t="shared" si="95"/>
        <v>0</v>
      </c>
      <c r="H2763" s="17"/>
      <c r="I2763" s="4">
        <f t="shared" si="93"/>
        <v>349526.07999999996</v>
      </c>
      <c r="J2763" s="32" t="str">
        <f t="shared" si="94"/>
        <v/>
      </c>
      <c r="K2763" s="79"/>
      <c r="L2763" s="79"/>
      <c r="M2763" s="2"/>
      <c r="N2763" s="5"/>
      <c r="O2763" s="3"/>
      <c r="P2763" s="6"/>
      <c r="Q2763" s="6"/>
    </row>
    <row r="2764" spans="1:17" ht="15" customHeight="1" x14ac:dyDescent="0.25">
      <c r="A2764" s="1"/>
      <c r="B2764" s="17"/>
      <c r="C2764" s="17"/>
      <c r="D2764" s="17"/>
      <c r="E2764" s="17"/>
      <c r="F2764" s="17"/>
      <c r="G2764" s="4">
        <f t="shared" si="95"/>
        <v>0</v>
      </c>
      <c r="H2764" s="17"/>
      <c r="I2764" s="4">
        <f t="shared" si="93"/>
        <v>349526.07999999996</v>
      </c>
      <c r="J2764" s="32" t="str">
        <f t="shared" si="94"/>
        <v/>
      </c>
      <c r="K2764" s="79"/>
      <c r="L2764" s="79"/>
      <c r="M2764" s="2"/>
      <c r="N2764" s="5"/>
      <c r="O2764" s="3"/>
      <c r="P2764" s="6"/>
      <c r="Q2764" s="6"/>
    </row>
    <row r="2765" spans="1:17" ht="15" customHeight="1" x14ac:dyDescent="0.25">
      <c r="A2765" s="1"/>
      <c r="B2765" s="17"/>
      <c r="C2765" s="17"/>
      <c r="D2765" s="17"/>
      <c r="E2765" s="17"/>
      <c r="F2765" s="17"/>
      <c r="G2765" s="4">
        <f t="shared" si="95"/>
        <v>0</v>
      </c>
      <c r="H2765" s="17"/>
      <c r="I2765" s="4">
        <f t="shared" si="93"/>
        <v>349526.07999999996</v>
      </c>
      <c r="J2765" s="32" t="str">
        <f t="shared" si="94"/>
        <v/>
      </c>
      <c r="K2765" s="79"/>
      <c r="L2765" s="79"/>
      <c r="M2765" s="2"/>
      <c r="N2765" s="5"/>
      <c r="O2765" s="3"/>
      <c r="P2765" s="6"/>
      <c r="Q2765" s="6"/>
    </row>
    <row r="2766" spans="1:17" ht="15" customHeight="1" x14ac:dyDescent="0.25">
      <c r="A2766" s="1"/>
      <c r="B2766" s="17"/>
      <c r="C2766" s="17"/>
      <c r="D2766" s="17"/>
      <c r="E2766" s="17"/>
      <c r="F2766" s="17"/>
      <c r="G2766" s="4">
        <f t="shared" si="95"/>
        <v>0</v>
      </c>
      <c r="H2766" s="17"/>
      <c r="I2766" s="4">
        <f t="shared" si="93"/>
        <v>349526.07999999996</v>
      </c>
      <c r="J2766" s="32" t="str">
        <f t="shared" si="94"/>
        <v/>
      </c>
      <c r="K2766" s="79"/>
      <c r="L2766" s="79"/>
      <c r="M2766" s="2"/>
      <c r="N2766" s="5"/>
      <c r="O2766" s="3"/>
      <c r="P2766" s="6"/>
      <c r="Q2766" s="6"/>
    </row>
    <row r="2767" spans="1:17" ht="15" customHeight="1" x14ac:dyDescent="0.25">
      <c r="A2767" s="1"/>
      <c r="B2767" s="17"/>
      <c r="C2767" s="17"/>
      <c r="D2767" s="17"/>
      <c r="E2767" s="17"/>
      <c r="F2767" s="17"/>
      <c r="G2767" s="4">
        <f t="shared" si="95"/>
        <v>0</v>
      </c>
      <c r="H2767" s="17"/>
      <c r="I2767" s="4">
        <f t="shared" si="93"/>
        <v>349526.07999999996</v>
      </c>
      <c r="J2767" s="32" t="str">
        <f t="shared" si="94"/>
        <v/>
      </c>
      <c r="K2767" s="79"/>
      <c r="L2767" s="79"/>
      <c r="M2767" s="2"/>
      <c r="N2767" s="5"/>
      <c r="O2767" s="3"/>
      <c r="P2767" s="6"/>
      <c r="Q2767" s="6"/>
    </row>
    <row r="2768" spans="1:17" ht="15" customHeight="1" x14ac:dyDescent="0.25">
      <c r="A2768" s="1"/>
      <c r="B2768" s="17"/>
      <c r="C2768" s="17"/>
      <c r="D2768" s="17"/>
      <c r="E2768" s="17"/>
      <c r="F2768" s="17"/>
      <c r="G2768" s="4">
        <f t="shared" si="95"/>
        <v>0</v>
      </c>
      <c r="H2768" s="17"/>
      <c r="I2768" s="4">
        <f t="shared" si="93"/>
        <v>349526.07999999996</v>
      </c>
      <c r="J2768" s="32" t="str">
        <f t="shared" si="94"/>
        <v/>
      </c>
      <c r="K2768" s="79"/>
      <c r="L2768" s="79"/>
      <c r="M2768" s="2"/>
      <c r="N2768" s="5"/>
      <c r="O2768" s="3"/>
      <c r="P2768" s="6"/>
      <c r="Q2768" s="6"/>
    </row>
    <row r="2769" spans="1:17" ht="15" customHeight="1" x14ac:dyDescent="0.25">
      <c r="A2769" s="1"/>
      <c r="B2769" s="17"/>
      <c r="C2769" s="17"/>
      <c r="D2769" s="17"/>
      <c r="E2769" s="17"/>
      <c r="F2769" s="17"/>
      <c r="G2769" s="4">
        <f t="shared" si="95"/>
        <v>0</v>
      </c>
      <c r="H2769" s="17"/>
      <c r="I2769" s="4">
        <f t="shared" si="93"/>
        <v>349526.07999999996</v>
      </c>
      <c r="J2769" s="32" t="str">
        <f t="shared" si="94"/>
        <v/>
      </c>
      <c r="K2769" s="79"/>
      <c r="L2769" s="79"/>
      <c r="M2769" s="2"/>
      <c r="N2769" s="5"/>
      <c r="O2769" s="3"/>
      <c r="P2769" s="6"/>
      <c r="Q2769" s="6"/>
    </row>
    <row r="2770" spans="1:17" ht="15" customHeight="1" x14ac:dyDescent="0.25">
      <c r="A2770" s="1"/>
      <c r="B2770" s="17"/>
      <c r="C2770" s="17"/>
      <c r="D2770" s="17"/>
      <c r="E2770" s="17"/>
      <c r="F2770" s="17"/>
      <c r="G2770" s="4">
        <f t="shared" si="95"/>
        <v>0</v>
      </c>
      <c r="H2770" s="17"/>
      <c r="I2770" s="4">
        <f t="shared" si="93"/>
        <v>349526.07999999996</v>
      </c>
      <c r="J2770" s="32" t="str">
        <f t="shared" si="94"/>
        <v/>
      </c>
      <c r="K2770" s="79"/>
      <c r="L2770" s="79"/>
      <c r="M2770" s="2"/>
      <c r="N2770" s="5"/>
      <c r="O2770" s="3"/>
      <c r="P2770" s="6"/>
      <c r="Q2770" s="6"/>
    </row>
    <row r="2771" spans="1:17" ht="15" customHeight="1" x14ac:dyDescent="0.25">
      <c r="A2771" s="1"/>
      <c r="B2771" s="17"/>
      <c r="C2771" s="17"/>
      <c r="D2771" s="17"/>
      <c r="E2771" s="17"/>
      <c r="F2771" s="17"/>
      <c r="G2771" s="4">
        <f t="shared" si="95"/>
        <v>0</v>
      </c>
      <c r="H2771" s="17"/>
      <c r="I2771" s="4">
        <f t="shared" si="93"/>
        <v>349526.07999999996</v>
      </c>
      <c r="J2771" s="32" t="str">
        <f t="shared" si="94"/>
        <v/>
      </c>
      <c r="K2771" s="79"/>
      <c r="L2771" s="79"/>
      <c r="M2771" s="2"/>
      <c r="N2771" s="5"/>
      <c r="O2771" s="3"/>
      <c r="P2771" s="6"/>
      <c r="Q2771" s="6"/>
    </row>
    <row r="2772" spans="1:17" ht="15" customHeight="1" x14ac:dyDescent="0.25">
      <c r="A2772" s="1"/>
      <c r="B2772" s="17"/>
      <c r="C2772" s="17"/>
      <c r="D2772" s="17"/>
      <c r="E2772" s="17"/>
      <c r="F2772" s="17"/>
      <c r="G2772" s="4">
        <f t="shared" si="95"/>
        <v>0</v>
      </c>
      <c r="H2772" s="17"/>
      <c r="I2772" s="4">
        <f t="shared" si="93"/>
        <v>349526.07999999996</v>
      </c>
      <c r="J2772" s="32" t="str">
        <f t="shared" si="94"/>
        <v/>
      </c>
      <c r="K2772" s="79"/>
      <c r="L2772" s="79"/>
      <c r="M2772" s="2"/>
      <c r="N2772" s="5"/>
      <c r="O2772" s="3"/>
      <c r="P2772" s="6"/>
      <c r="Q2772" s="6"/>
    </row>
    <row r="2773" spans="1:17" ht="15" customHeight="1" x14ac:dyDescent="0.25">
      <c r="A2773" s="1"/>
      <c r="B2773" s="17"/>
      <c r="C2773" s="17"/>
      <c r="D2773" s="17"/>
      <c r="E2773" s="17"/>
      <c r="F2773" s="17"/>
      <c r="G2773" s="4">
        <f t="shared" si="95"/>
        <v>0</v>
      </c>
      <c r="H2773" s="17"/>
      <c r="I2773" s="4">
        <f t="shared" si="93"/>
        <v>349526.07999999996</v>
      </c>
      <c r="J2773" s="32" t="str">
        <f t="shared" si="94"/>
        <v/>
      </c>
      <c r="K2773" s="79"/>
      <c r="L2773" s="79"/>
      <c r="M2773" s="2"/>
      <c r="N2773" s="5"/>
      <c r="O2773" s="3"/>
      <c r="P2773" s="6"/>
      <c r="Q2773" s="6"/>
    </row>
    <row r="2774" spans="1:17" ht="15" customHeight="1" x14ac:dyDescent="0.25">
      <c r="A2774" s="1"/>
      <c r="B2774" s="17"/>
      <c r="C2774" s="17"/>
      <c r="D2774" s="17"/>
      <c r="E2774" s="17"/>
      <c r="F2774" s="17"/>
      <c r="G2774" s="4">
        <f t="shared" si="95"/>
        <v>0</v>
      </c>
      <c r="H2774" s="17"/>
      <c r="I2774" s="4">
        <f t="shared" si="93"/>
        <v>349526.07999999996</v>
      </c>
      <c r="J2774" s="32" t="str">
        <f t="shared" si="94"/>
        <v/>
      </c>
      <c r="K2774" s="79"/>
      <c r="L2774" s="79"/>
      <c r="M2774" s="2"/>
      <c r="N2774" s="5"/>
      <c r="O2774" s="3"/>
      <c r="P2774" s="6"/>
      <c r="Q2774" s="6"/>
    </row>
    <row r="2775" spans="1:17" ht="15" customHeight="1" x14ac:dyDescent="0.25">
      <c r="A2775" s="1"/>
      <c r="B2775" s="17"/>
      <c r="C2775" s="17"/>
      <c r="D2775" s="17"/>
      <c r="E2775" s="17"/>
      <c r="F2775" s="17"/>
      <c r="G2775" s="4">
        <f t="shared" si="95"/>
        <v>0</v>
      </c>
      <c r="H2775" s="17"/>
      <c r="I2775" s="4">
        <f t="shared" si="93"/>
        <v>349526.07999999996</v>
      </c>
      <c r="J2775" s="32" t="str">
        <f t="shared" si="94"/>
        <v/>
      </c>
      <c r="K2775" s="79"/>
      <c r="L2775" s="79"/>
      <c r="M2775" s="2"/>
      <c r="N2775" s="5"/>
      <c r="O2775" s="3"/>
      <c r="P2775" s="6"/>
      <c r="Q2775" s="6"/>
    </row>
    <row r="2776" spans="1:17" ht="15" customHeight="1" x14ac:dyDescent="0.25">
      <c r="A2776" s="1"/>
      <c r="B2776" s="17"/>
      <c r="C2776" s="17"/>
      <c r="D2776" s="17"/>
      <c r="E2776" s="17"/>
      <c r="F2776" s="17"/>
      <c r="G2776" s="4">
        <f t="shared" si="95"/>
        <v>0</v>
      </c>
      <c r="H2776" s="17"/>
      <c r="I2776" s="4">
        <f t="shared" si="93"/>
        <v>349526.07999999996</v>
      </c>
      <c r="J2776" s="32" t="str">
        <f t="shared" si="94"/>
        <v/>
      </c>
      <c r="K2776" s="79"/>
      <c r="L2776" s="79"/>
      <c r="M2776" s="2"/>
      <c r="N2776" s="5"/>
      <c r="O2776" s="3"/>
      <c r="P2776" s="6"/>
      <c r="Q2776" s="6"/>
    </row>
    <row r="2777" spans="1:17" ht="15" customHeight="1" x14ac:dyDescent="0.25">
      <c r="A2777" s="1"/>
      <c r="B2777" s="17"/>
      <c r="C2777" s="17"/>
      <c r="D2777" s="17"/>
      <c r="E2777" s="17"/>
      <c r="F2777" s="17"/>
      <c r="G2777" s="4">
        <f t="shared" si="95"/>
        <v>0</v>
      </c>
      <c r="H2777" s="17"/>
      <c r="I2777" s="4">
        <f t="shared" si="93"/>
        <v>349526.07999999996</v>
      </c>
      <c r="J2777" s="32" t="str">
        <f t="shared" si="94"/>
        <v/>
      </c>
      <c r="K2777" s="79"/>
      <c r="L2777" s="79"/>
      <c r="M2777" s="2"/>
      <c r="N2777" s="5"/>
      <c r="O2777" s="3"/>
      <c r="P2777" s="6"/>
      <c r="Q2777" s="6"/>
    </row>
    <row r="2778" spans="1:17" ht="15" customHeight="1" x14ac:dyDescent="0.25">
      <c r="A2778" s="1"/>
      <c r="B2778" s="17"/>
      <c r="C2778" s="17"/>
      <c r="D2778" s="17"/>
      <c r="E2778" s="17"/>
      <c r="F2778" s="17"/>
      <c r="G2778" s="4">
        <f t="shared" si="95"/>
        <v>0</v>
      </c>
      <c r="H2778" s="17"/>
      <c r="I2778" s="4">
        <f t="shared" si="93"/>
        <v>349526.07999999996</v>
      </c>
      <c r="J2778" s="32" t="str">
        <f t="shared" si="94"/>
        <v/>
      </c>
      <c r="K2778" s="79"/>
      <c r="L2778" s="79"/>
      <c r="M2778" s="2"/>
      <c r="N2778" s="5"/>
      <c r="O2778" s="3"/>
      <c r="P2778" s="6"/>
      <c r="Q2778" s="6"/>
    </row>
    <row r="2779" spans="1:17" ht="15" customHeight="1" x14ac:dyDescent="0.25">
      <c r="A2779" s="1"/>
      <c r="B2779" s="17"/>
      <c r="C2779" s="17"/>
      <c r="D2779" s="17"/>
      <c r="E2779" s="17"/>
      <c r="F2779" s="17"/>
      <c r="G2779" s="4">
        <f t="shared" si="95"/>
        <v>0</v>
      </c>
      <c r="H2779" s="17"/>
      <c r="I2779" s="4">
        <f t="shared" si="93"/>
        <v>349526.07999999996</v>
      </c>
      <c r="J2779" s="32" t="str">
        <f t="shared" si="94"/>
        <v/>
      </c>
      <c r="K2779" s="79"/>
      <c r="L2779" s="79"/>
      <c r="M2779" s="2"/>
      <c r="N2779" s="5"/>
      <c r="O2779" s="3"/>
      <c r="P2779" s="6"/>
      <c r="Q2779" s="6"/>
    </row>
    <row r="2780" spans="1:17" ht="15" customHeight="1" x14ac:dyDescent="0.25">
      <c r="A2780" s="1"/>
      <c r="B2780" s="17"/>
      <c r="C2780" s="17"/>
      <c r="D2780" s="17"/>
      <c r="E2780" s="17"/>
      <c r="F2780" s="17"/>
      <c r="G2780" s="4">
        <f t="shared" si="95"/>
        <v>0</v>
      </c>
      <c r="H2780" s="17"/>
      <c r="I2780" s="4">
        <f t="shared" si="93"/>
        <v>349526.07999999996</v>
      </c>
      <c r="J2780" s="32" t="str">
        <f t="shared" si="94"/>
        <v/>
      </c>
      <c r="K2780" s="79"/>
      <c r="L2780" s="79"/>
      <c r="M2780" s="2"/>
      <c r="N2780" s="5"/>
      <c r="O2780" s="3"/>
      <c r="P2780" s="6"/>
      <c r="Q2780" s="6"/>
    </row>
    <row r="2781" spans="1:17" ht="15" customHeight="1" x14ac:dyDescent="0.25">
      <c r="A2781" s="1"/>
      <c r="B2781" s="17"/>
      <c r="C2781" s="17"/>
      <c r="D2781" s="17"/>
      <c r="E2781" s="17"/>
      <c r="F2781" s="17"/>
      <c r="G2781" s="4">
        <f t="shared" si="95"/>
        <v>0</v>
      </c>
      <c r="H2781" s="17"/>
      <c r="I2781" s="4">
        <f t="shared" si="93"/>
        <v>349526.07999999996</v>
      </c>
      <c r="J2781" s="32" t="str">
        <f t="shared" si="94"/>
        <v/>
      </c>
      <c r="K2781" s="79"/>
      <c r="L2781" s="79"/>
      <c r="M2781" s="2"/>
      <c r="N2781" s="5"/>
      <c r="O2781" s="3"/>
      <c r="P2781" s="6"/>
      <c r="Q2781" s="6"/>
    </row>
    <row r="2782" spans="1:17" ht="15" customHeight="1" x14ac:dyDescent="0.25">
      <c r="A2782" s="1"/>
      <c r="B2782" s="17"/>
      <c r="C2782" s="17"/>
      <c r="D2782" s="17"/>
      <c r="E2782" s="17"/>
      <c r="F2782" s="17"/>
      <c r="G2782" s="4">
        <f t="shared" si="95"/>
        <v>0</v>
      </c>
      <c r="H2782" s="17"/>
      <c r="I2782" s="4">
        <f t="shared" si="93"/>
        <v>349526.07999999996</v>
      </c>
      <c r="J2782" s="32" t="str">
        <f t="shared" si="94"/>
        <v/>
      </c>
      <c r="K2782" s="79"/>
      <c r="L2782" s="79"/>
      <c r="M2782" s="2"/>
      <c r="N2782" s="5"/>
      <c r="O2782" s="3"/>
      <c r="P2782" s="6"/>
      <c r="Q2782" s="6"/>
    </row>
    <row r="2783" spans="1:17" ht="15" customHeight="1" x14ac:dyDescent="0.25">
      <c r="A2783" s="1"/>
      <c r="B2783" s="17"/>
      <c r="C2783" s="17"/>
      <c r="D2783" s="17"/>
      <c r="E2783" s="17"/>
      <c r="F2783" s="17"/>
      <c r="G2783" s="4">
        <f t="shared" si="95"/>
        <v>0</v>
      </c>
      <c r="H2783" s="17"/>
      <c r="I2783" s="4">
        <f t="shared" si="93"/>
        <v>349526.07999999996</v>
      </c>
      <c r="J2783" s="32" t="str">
        <f t="shared" si="94"/>
        <v/>
      </c>
      <c r="K2783" s="79"/>
      <c r="L2783" s="79"/>
      <c r="M2783" s="2"/>
      <c r="N2783" s="5"/>
      <c r="O2783" s="3"/>
      <c r="P2783" s="6"/>
      <c r="Q2783" s="6"/>
    </row>
    <row r="2784" spans="1:17" ht="15" customHeight="1" x14ac:dyDescent="0.25">
      <c r="A2784" s="1"/>
      <c r="B2784" s="17"/>
      <c r="C2784" s="17"/>
      <c r="D2784" s="17"/>
      <c r="E2784" s="17"/>
      <c r="F2784" s="17"/>
      <c r="G2784" s="4">
        <f t="shared" si="95"/>
        <v>0</v>
      </c>
      <c r="H2784" s="17"/>
      <c r="I2784" s="4">
        <f t="shared" si="93"/>
        <v>349526.07999999996</v>
      </c>
      <c r="J2784" s="32" t="str">
        <f t="shared" si="94"/>
        <v/>
      </c>
      <c r="K2784" s="79"/>
      <c r="L2784" s="79"/>
      <c r="M2784" s="2"/>
      <c r="N2784" s="5"/>
      <c r="O2784" s="3"/>
      <c r="P2784" s="6"/>
      <c r="Q2784" s="6"/>
    </row>
    <row r="2785" spans="1:17" ht="15" customHeight="1" x14ac:dyDescent="0.25">
      <c r="A2785" s="1"/>
      <c r="B2785" s="17"/>
      <c r="C2785" s="17"/>
      <c r="D2785" s="17"/>
      <c r="E2785" s="17"/>
      <c r="F2785" s="17"/>
      <c r="G2785" s="4">
        <f t="shared" si="95"/>
        <v>0</v>
      </c>
      <c r="H2785" s="17"/>
      <c r="I2785" s="4">
        <f t="shared" si="93"/>
        <v>349526.07999999996</v>
      </c>
      <c r="J2785" s="32" t="str">
        <f t="shared" si="94"/>
        <v/>
      </c>
      <c r="K2785" s="79"/>
      <c r="L2785" s="79"/>
      <c r="M2785" s="2"/>
      <c r="N2785" s="5"/>
      <c r="O2785" s="3"/>
      <c r="P2785" s="6"/>
      <c r="Q2785" s="6"/>
    </row>
    <row r="2786" spans="1:17" ht="15" customHeight="1" x14ac:dyDescent="0.25">
      <c r="A2786" s="1"/>
      <c r="B2786" s="17"/>
      <c r="C2786" s="17"/>
      <c r="D2786" s="17"/>
      <c r="E2786" s="17"/>
      <c r="F2786" s="17"/>
      <c r="G2786" s="4">
        <f t="shared" si="95"/>
        <v>0</v>
      </c>
      <c r="H2786" s="17"/>
      <c r="I2786" s="4">
        <f t="shared" si="93"/>
        <v>349526.07999999996</v>
      </c>
      <c r="J2786" s="32" t="str">
        <f t="shared" si="94"/>
        <v/>
      </c>
      <c r="K2786" s="79"/>
      <c r="L2786" s="79"/>
      <c r="M2786" s="2"/>
      <c r="N2786" s="5"/>
      <c r="O2786" s="3"/>
      <c r="P2786" s="6"/>
      <c r="Q2786" s="6"/>
    </row>
    <row r="2787" spans="1:17" ht="15" customHeight="1" x14ac:dyDescent="0.25">
      <c r="A2787" s="1"/>
      <c r="B2787" s="17"/>
      <c r="C2787" s="17"/>
      <c r="D2787" s="17"/>
      <c r="E2787" s="17"/>
      <c r="F2787" s="17"/>
      <c r="G2787" s="4">
        <f t="shared" si="95"/>
        <v>0</v>
      </c>
      <c r="H2787" s="17"/>
      <c r="I2787" s="4">
        <f t="shared" si="93"/>
        <v>349526.07999999996</v>
      </c>
      <c r="J2787" s="32" t="str">
        <f t="shared" si="94"/>
        <v/>
      </c>
      <c r="K2787" s="79"/>
      <c r="L2787" s="79"/>
      <c r="M2787" s="2"/>
      <c r="N2787" s="5"/>
      <c r="O2787" s="3"/>
      <c r="P2787" s="6"/>
      <c r="Q2787" s="6"/>
    </row>
    <row r="2788" spans="1:17" ht="15" customHeight="1" x14ac:dyDescent="0.25">
      <c r="A2788" s="1"/>
      <c r="B2788" s="17"/>
      <c r="C2788" s="17"/>
      <c r="D2788" s="17"/>
      <c r="E2788" s="17"/>
      <c r="F2788" s="17"/>
      <c r="G2788" s="4">
        <f t="shared" si="95"/>
        <v>0</v>
      </c>
      <c r="H2788" s="17"/>
      <c r="I2788" s="4">
        <f t="shared" si="93"/>
        <v>349526.07999999996</v>
      </c>
      <c r="J2788" s="32" t="str">
        <f t="shared" si="94"/>
        <v/>
      </c>
      <c r="K2788" s="79"/>
      <c r="L2788" s="79"/>
      <c r="M2788" s="2"/>
      <c r="N2788" s="5"/>
      <c r="O2788" s="3"/>
      <c r="P2788" s="6"/>
      <c r="Q2788" s="6"/>
    </row>
    <row r="2789" spans="1:17" ht="15" customHeight="1" x14ac:dyDescent="0.25">
      <c r="A2789" s="1"/>
      <c r="B2789" s="17"/>
      <c r="C2789" s="17"/>
      <c r="D2789" s="17"/>
      <c r="E2789" s="17"/>
      <c r="F2789" s="17"/>
      <c r="G2789" s="4">
        <f t="shared" si="95"/>
        <v>0</v>
      </c>
      <c r="H2789" s="17"/>
      <c r="I2789" s="4">
        <f t="shared" si="93"/>
        <v>349526.07999999996</v>
      </c>
      <c r="J2789" s="32" t="str">
        <f t="shared" si="94"/>
        <v/>
      </c>
      <c r="K2789" s="79"/>
      <c r="L2789" s="79"/>
      <c r="M2789" s="2"/>
      <c r="N2789" s="5"/>
      <c r="O2789" s="3"/>
      <c r="P2789" s="6"/>
      <c r="Q2789" s="6"/>
    </row>
    <row r="2790" spans="1:17" ht="15" customHeight="1" x14ac:dyDescent="0.25">
      <c r="A2790" s="1"/>
      <c r="B2790" s="17"/>
      <c r="C2790" s="17"/>
      <c r="D2790" s="17"/>
      <c r="E2790" s="17"/>
      <c r="F2790" s="17"/>
      <c r="G2790" s="4">
        <f t="shared" si="95"/>
        <v>0</v>
      </c>
      <c r="H2790" s="17"/>
      <c r="I2790" s="4">
        <f t="shared" si="93"/>
        <v>349526.07999999996</v>
      </c>
      <c r="J2790" s="32" t="str">
        <f t="shared" si="94"/>
        <v/>
      </c>
      <c r="K2790" s="79"/>
      <c r="L2790" s="79"/>
      <c r="M2790" s="2"/>
      <c r="N2790" s="5"/>
      <c r="O2790" s="3"/>
      <c r="P2790" s="6"/>
      <c r="Q2790" s="6"/>
    </row>
    <row r="2791" spans="1:17" ht="15" customHeight="1" x14ac:dyDescent="0.25">
      <c r="A2791" s="1"/>
      <c r="B2791" s="17"/>
      <c r="C2791" s="17"/>
      <c r="D2791" s="17"/>
      <c r="E2791" s="17"/>
      <c r="F2791" s="17"/>
      <c r="G2791" s="4">
        <f t="shared" si="95"/>
        <v>0</v>
      </c>
      <c r="H2791" s="17"/>
      <c r="I2791" s="4">
        <f t="shared" si="93"/>
        <v>349526.07999999996</v>
      </c>
      <c r="J2791" s="32" t="str">
        <f t="shared" si="94"/>
        <v/>
      </c>
      <c r="K2791" s="79"/>
      <c r="L2791" s="79"/>
      <c r="M2791" s="2"/>
      <c r="N2791" s="5"/>
      <c r="O2791" s="3"/>
      <c r="P2791" s="6"/>
      <c r="Q2791" s="6"/>
    </row>
    <row r="2792" spans="1:17" ht="15" customHeight="1" x14ac:dyDescent="0.25">
      <c r="A2792" s="1"/>
      <c r="B2792" s="17"/>
      <c r="C2792" s="17"/>
      <c r="D2792" s="17"/>
      <c r="E2792" s="17"/>
      <c r="F2792" s="17"/>
      <c r="G2792" s="4">
        <f t="shared" si="95"/>
        <v>0</v>
      </c>
      <c r="H2792" s="17"/>
      <c r="I2792" s="4">
        <f t="shared" si="93"/>
        <v>349526.07999999996</v>
      </c>
      <c r="J2792" s="32" t="str">
        <f t="shared" si="94"/>
        <v/>
      </c>
      <c r="K2792" s="79"/>
      <c r="L2792" s="79"/>
      <c r="M2792" s="2"/>
      <c r="N2792" s="5"/>
      <c r="O2792" s="3"/>
      <c r="P2792" s="6"/>
      <c r="Q2792" s="6"/>
    </row>
    <row r="2793" spans="1:17" ht="15" customHeight="1" x14ac:dyDescent="0.25">
      <c r="A2793" s="1"/>
      <c r="B2793" s="17"/>
      <c r="C2793" s="17"/>
      <c r="D2793" s="17"/>
      <c r="E2793" s="17"/>
      <c r="F2793" s="17"/>
      <c r="G2793" s="4">
        <f t="shared" si="95"/>
        <v>0</v>
      </c>
      <c r="H2793" s="17"/>
      <c r="I2793" s="4">
        <f t="shared" si="93"/>
        <v>349526.07999999996</v>
      </c>
      <c r="J2793" s="32" t="str">
        <f t="shared" si="94"/>
        <v/>
      </c>
      <c r="K2793" s="79"/>
      <c r="L2793" s="79"/>
      <c r="M2793" s="2"/>
      <c r="N2793" s="5"/>
      <c r="O2793" s="3"/>
      <c r="P2793" s="6"/>
      <c r="Q2793" s="6"/>
    </row>
    <row r="2794" spans="1:17" ht="15" customHeight="1" x14ac:dyDescent="0.25">
      <c r="A2794" s="1"/>
      <c r="B2794" s="17"/>
      <c r="C2794" s="17"/>
      <c r="D2794" s="17"/>
      <c r="E2794" s="17"/>
      <c r="F2794" s="17"/>
      <c r="G2794" s="4">
        <f t="shared" si="95"/>
        <v>0</v>
      </c>
      <c r="H2794" s="17"/>
      <c r="I2794" s="4">
        <f t="shared" si="93"/>
        <v>349526.07999999996</v>
      </c>
      <c r="J2794" s="32" t="str">
        <f t="shared" si="94"/>
        <v/>
      </c>
      <c r="K2794" s="79"/>
      <c r="L2794" s="79"/>
      <c r="M2794" s="2"/>
      <c r="N2794" s="5"/>
      <c r="O2794" s="3"/>
      <c r="P2794" s="6"/>
      <c r="Q2794" s="6"/>
    </row>
    <row r="2795" spans="1:17" ht="15" customHeight="1" x14ac:dyDescent="0.25">
      <c r="A2795" s="1"/>
      <c r="B2795" s="17"/>
      <c r="C2795" s="17"/>
      <c r="D2795" s="17"/>
      <c r="E2795" s="17"/>
      <c r="F2795" s="17"/>
      <c r="G2795" s="4">
        <f t="shared" si="95"/>
        <v>0</v>
      </c>
      <c r="H2795" s="17"/>
      <c r="I2795" s="4">
        <f t="shared" si="93"/>
        <v>349526.07999999996</v>
      </c>
      <c r="J2795" s="32" t="str">
        <f t="shared" si="94"/>
        <v/>
      </c>
      <c r="K2795" s="79"/>
      <c r="L2795" s="79"/>
      <c r="M2795" s="2"/>
      <c r="N2795" s="5"/>
      <c r="O2795" s="3"/>
      <c r="P2795" s="6"/>
      <c r="Q2795" s="6"/>
    </row>
    <row r="2796" spans="1:17" ht="15" customHeight="1" x14ac:dyDescent="0.25">
      <c r="A2796" s="1"/>
      <c r="B2796" s="17"/>
      <c r="C2796" s="17"/>
      <c r="D2796" s="17"/>
      <c r="E2796" s="17"/>
      <c r="F2796" s="17"/>
      <c r="G2796" s="4">
        <f t="shared" si="95"/>
        <v>0</v>
      </c>
      <c r="H2796" s="17"/>
      <c r="I2796" s="4">
        <f t="shared" si="93"/>
        <v>349526.07999999996</v>
      </c>
      <c r="J2796" s="32" t="str">
        <f t="shared" si="94"/>
        <v/>
      </c>
      <c r="K2796" s="79"/>
      <c r="L2796" s="79"/>
      <c r="M2796" s="2"/>
      <c r="N2796" s="5"/>
      <c r="O2796" s="3"/>
      <c r="P2796" s="6"/>
      <c r="Q2796" s="6"/>
    </row>
    <row r="2797" spans="1:17" ht="15" customHeight="1" x14ac:dyDescent="0.25">
      <c r="A2797" s="1"/>
      <c r="B2797" s="17"/>
      <c r="C2797" s="17"/>
      <c r="D2797" s="17"/>
      <c r="E2797" s="17"/>
      <c r="F2797" s="17"/>
      <c r="G2797" s="4">
        <f t="shared" si="95"/>
        <v>0</v>
      </c>
      <c r="H2797" s="17"/>
      <c r="I2797" s="4">
        <f t="shared" si="93"/>
        <v>349526.07999999996</v>
      </c>
      <c r="J2797" s="32" t="str">
        <f t="shared" si="94"/>
        <v/>
      </c>
      <c r="K2797" s="79"/>
      <c r="L2797" s="79"/>
      <c r="M2797" s="2"/>
      <c r="N2797" s="5"/>
      <c r="O2797" s="3"/>
      <c r="P2797" s="6"/>
      <c r="Q2797" s="6"/>
    </row>
    <row r="2798" spans="1:17" ht="15" customHeight="1" x14ac:dyDescent="0.25">
      <c r="A2798" s="1"/>
      <c r="B2798" s="17"/>
      <c r="C2798" s="17"/>
      <c r="D2798" s="17"/>
      <c r="E2798" s="17"/>
      <c r="F2798" s="17"/>
      <c r="G2798" s="4">
        <f t="shared" si="95"/>
        <v>0</v>
      </c>
      <c r="H2798" s="17"/>
      <c r="I2798" s="4">
        <f t="shared" si="93"/>
        <v>349526.07999999996</v>
      </c>
      <c r="J2798" s="32" t="str">
        <f t="shared" si="94"/>
        <v/>
      </c>
      <c r="K2798" s="79"/>
      <c r="L2798" s="79"/>
      <c r="M2798" s="2"/>
      <c r="N2798" s="5"/>
      <c r="O2798" s="3"/>
      <c r="P2798" s="6"/>
      <c r="Q2798" s="6"/>
    </row>
    <row r="2799" spans="1:17" ht="15" customHeight="1" x14ac:dyDescent="0.25">
      <c r="A2799" s="1"/>
      <c r="B2799" s="17"/>
      <c r="C2799" s="17"/>
      <c r="D2799" s="17"/>
      <c r="E2799" s="17"/>
      <c r="F2799" s="17"/>
      <c r="G2799" s="4">
        <f t="shared" si="95"/>
        <v>0</v>
      </c>
      <c r="H2799" s="17"/>
      <c r="I2799" s="4">
        <f t="shared" si="93"/>
        <v>349526.07999999996</v>
      </c>
      <c r="J2799" s="32" t="str">
        <f t="shared" si="94"/>
        <v/>
      </c>
      <c r="K2799" s="79"/>
      <c r="L2799" s="79"/>
      <c r="M2799" s="2"/>
      <c r="N2799" s="5"/>
      <c r="O2799" s="3"/>
      <c r="P2799" s="6"/>
      <c r="Q2799" s="6"/>
    </row>
    <row r="2800" spans="1:17" ht="15" customHeight="1" x14ac:dyDescent="0.25">
      <c r="A2800" s="1"/>
      <c r="B2800" s="17"/>
      <c r="C2800" s="17"/>
      <c r="D2800" s="17"/>
      <c r="E2800" s="17"/>
      <c r="F2800" s="17"/>
      <c r="G2800" s="4">
        <f t="shared" si="95"/>
        <v>0</v>
      </c>
      <c r="H2800" s="17"/>
      <c r="I2800" s="4">
        <f t="shared" si="93"/>
        <v>349526.07999999996</v>
      </c>
      <c r="J2800" s="32" t="str">
        <f t="shared" si="94"/>
        <v/>
      </c>
      <c r="K2800" s="79"/>
      <c r="L2800" s="79"/>
      <c r="M2800" s="2"/>
      <c r="N2800" s="5"/>
      <c r="O2800" s="3"/>
      <c r="P2800" s="6"/>
      <c r="Q2800" s="6"/>
    </row>
    <row r="2801" spans="1:17" ht="15" customHeight="1" x14ac:dyDescent="0.25">
      <c r="A2801" s="1"/>
      <c r="B2801" s="17"/>
      <c r="C2801" s="17"/>
      <c r="D2801" s="17"/>
      <c r="E2801" s="17"/>
      <c r="F2801" s="17"/>
      <c r="G2801" s="4">
        <f t="shared" si="95"/>
        <v>0</v>
      </c>
      <c r="H2801" s="17"/>
      <c r="I2801" s="4">
        <f t="shared" si="93"/>
        <v>349526.07999999996</v>
      </c>
      <c r="J2801" s="32" t="str">
        <f t="shared" si="94"/>
        <v/>
      </c>
      <c r="K2801" s="79"/>
      <c r="L2801" s="79"/>
      <c r="M2801" s="2"/>
      <c r="N2801" s="5"/>
      <c r="O2801" s="3"/>
      <c r="P2801" s="6"/>
      <c r="Q2801" s="6"/>
    </row>
    <row r="2802" spans="1:17" ht="15" customHeight="1" x14ac:dyDescent="0.25">
      <c r="A2802" s="1"/>
      <c r="B2802" s="17"/>
      <c r="C2802" s="17"/>
      <c r="D2802" s="17"/>
      <c r="E2802" s="17"/>
      <c r="F2802" s="17"/>
      <c r="G2802" s="4">
        <f t="shared" si="95"/>
        <v>0</v>
      </c>
      <c r="H2802" s="17"/>
      <c r="I2802" s="4">
        <f t="shared" si="93"/>
        <v>349526.07999999996</v>
      </c>
      <c r="J2802" s="32" t="str">
        <f t="shared" si="94"/>
        <v/>
      </c>
      <c r="K2802" s="79"/>
      <c r="L2802" s="79"/>
      <c r="M2802" s="2"/>
      <c r="N2802" s="5"/>
      <c r="O2802" s="3"/>
      <c r="P2802" s="6"/>
      <c r="Q2802" s="6"/>
    </row>
    <row r="2803" spans="1:17" ht="15" customHeight="1" x14ac:dyDescent="0.25">
      <c r="A2803" s="1"/>
      <c r="B2803" s="17"/>
      <c r="C2803" s="17"/>
      <c r="D2803" s="17"/>
      <c r="E2803" s="17"/>
      <c r="F2803" s="17"/>
      <c r="G2803" s="4">
        <f t="shared" si="95"/>
        <v>0</v>
      </c>
      <c r="H2803" s="17"/>
      <c r="I2803" s="4">
        <f t="shared" si="93"/>
        <v>349526.07999999996</v>
      </c>
      <c r="J2803" s="32" t="str">
        <f t="shared" si="94"/>
        <v/>
      </c>
      <c r="K2803" s="79"/>
      <c r="L2803" s="79"/>
      <c r="M2803" s="2"/>
      <c r="N2803" s="5"/>
      <c r="O2803" s="3"/>
      <c r="P2803" s="6"/>
      <c r="Q2803" s="6"/>
    </row>
    <row r="2804" spans="1:17" ht="15" customHeight="1" x14ac:dyDescent="0.25">
      <c r="A2804" s="1"/>
      <c r="B2804" s="17"/>
      <c r="C2804" s="17"/>
      <c r="D2804" s="17"/>
      <c r="E2804" s="17"/>
      <c r="F2804" s="17"/>
      <c r="G2804" s="4">
        <f t="shared" si="95"/>
        <v>0</v>
      </c>
      <c r="H2804" s="17"/>
      <c r="I2804" s="4">
        <f t="shared" si="93"/>
        <v>349526.07999999996</v>
      </c>
      <c r="J2804" s="32" t="str">
        <f t="shared" si="94"/>
        <v/>
      </c>
      <c r="K2804" s="79"/>
      <c r="L2804" s="79"/>
      <c r="M2804" s="2"/>
      <c r="N2804" s="5"/>
      <c r="O2804" s="3"/>
      <c r="P2804" s="6"/>
      <c r="Q2804" s="6"/>
    </row>
    <row r="2805" spans="1:17" ht="15" customHeight="1" x14ac:dyDescent="0.25">
      <c r="A2805" s="1"/>
      <c r="B2805" s="17"/>
      <c r="C2805" s="17"/>
      <c r="D2805" s="17"/>
      <c r="E2805" s="17"/>
      <c r="F2805" s="17"/>
      <c r="G2805" s="4">
        <f t="shared" si="95"/>
        <v>0</v>
      </c>
      <c r="H2805" s="17"/>
      <c r="I2805" s="4">
        <f t="shared" si="93"/>
        <v>349526.07999999996</v>
      </c>
      <c r="J2805" s="32" t="str">
        <f t="shared" si="94"/>
        <v/>
      </c>
      <c r="K2805" s="79"/>
      <c r="L2805" s="79"/>
      <c r="M2805" s="2"/>
      <c r="N2805" s="5"/>
      <c r="O2805" s="3"/>
      <c r="P2805" s="6"/>
      <c r="Q2805" s="6"/>
    </row>
    <row r="2806" spans="1:17" ht="15" customHeight="1" x14ac:dyDescent="0.25">
      <c r="A2806" s="1"/>
      <c r="B2806" s="17"/>
      <c r="C2806" s="17"/>
      <c r="D2806" s="17"/>
      <c r="E2806" s="17"/>
      <c r="F2806" s="17"/>
      <c r="G2806" s="4">
        <f t="shared" si="95"/>
        <v>0</v>
      </c>
      <c r="H2806" s="17"/>
      <c r="I2806" s="4">
        <f t="shared" ref="I2806:I2869" si="96">$I2805+$G2806-$H2806</f>
        <v>349526.07999999996</v>
      </c>
      <c r="J2806" s="32" t="str">
        <f t="shared" ref="J2806:J2869" si="97">IF($A2807&lt;&gt;$A2806,$I2806,"")</f>
        <v/>
      </c>
      <c r="K2806" s="79"/>
      <c r="L2806" s="79"/>
      <c r="M2806" s="2"/>
      <c r="N2806" s="5"/>
      <c r="O2806" s="3"/>
      <c r="P2806" s="6"/>
      <c r="Q2806" s="6"/>
    </row>
    <row r="2807" spans="1:17" ht="15" customHeight="1" x14ac:dyDescent="0.25">
      <c r="A2807" s="1"/>
      <c r="B2807" s="17"/>
      <c r="C2807" s="17"/>
      <c r="D2807" s="17"/>
      <c r="E2807" s="17"/>
      <c r="F2807" s="17"/>
      <c r="G2807" s="4">
        <f t="shared" si="95"/>
        <v>0</v>
      </c>
      <c r="H2807" s="17"/>
      <c r="I2807" s="4">
        <f t="shared" si="96"/>
        <v>349526.07999999996</v>
      </c>
      <c r="J2807" s="32" t="str">
        <f t="shared" si="97"/>
        <v/>
      </c>
      <c r="K2807" s="79"/>
      <c r="L2807" s="79"/>
      <c r="M2807" s="2"/>
      <c r="N2807" s="5"/>
      <c r="O2807" s="3"/>
      <c r="P2807" s="6"/>
      <c r="Q2807" s="6"/>
    </row>
    <row r="2808" spans="1:17" ht="15" customHeight="1" x14ac:dyDescent="0.25">
      <c r="A2808" s="1"/>
      <c r="B2808" s="17"/>
      <c r="C2808" s="17"/>
      <c r="D2808" s="17"/>
      <c r="E2808" s="17"/>
      <c r="F2808" s="17"/>
      <c r="G2808" s="4">
        <f t="shared" si="95"/>
        <v>0</v>
      </c>
      <c r="H2808" s="17"/>
      <c r="I2808" s="4">
        <f t="shared" si="96"/>
        <v>349526.07999999996</v>
      </c>
      <c r="J2808" s="32" t="str">
        <f t="shared" si="97"/>
        <v/>
      </c>
      <c r="K2808" s="79"/>
      <c r="L2808" s="79"/>
      <c r="M2808" s="2"/>
      <c r="N2808" s="5"/>
      <c r="O2808" s="3"/>
      <c r="P2808" s="6"/>
      <c r="Q2808" s="6"/>
    </row>
    <row r="2809" spans="1:17" ht="15" customHeight="1" x14ac:dyDescent="0.25">
      <c r="A2809" s="1"/>
      <c r="B2809" s="17"/>
      <c r="C2809" s="17"/>
      <c r="D2809" s="17"/>
      <c r="E2809" s="17"/>
      <c r="F2809" s="17"/>
      <c r="G2809" s="4">
        <f t="shared" si="95"/>
        <v>0</v>
      </c>
      <c r="H2809" s="17"/>
      <c r="I2809" s="4">
        <f t="shared" si="96"/>
        <v>349526.07999999996</v>
      </c>
      <c r="J2809" s="32" t="str">
        <f t="shared" si="97"/>
        <v/>
      </c>
      <c r="K2809" s="79"/>
      <c r="L2809" s="79"/>
      <c r="M2809" s="2"/>
      <c r="N2809" s="5"/>
      <c r="O2809" s="3"/>
      <c r="P2809" s="6"/>
      <c r="Q2809" s="6"/>
    </row>
    <row r="2810" spans="1:17" ht="15" customHeight="1" x14ac:dyDescent="0.25">
      <c r="A2810" s="1"/>
      <c r="B2810" s="17"/>
      <c r="C2810" s="17"/>
      <c r="D2810" s="17"/>
      <c r="E2810" s="17"/>
      <c r="F2810" s="17"/>
      <c r="G2810" s="4">
        <f t="shared" si="95"/>
        <v>0</v>
      </c>
      <c r="H2810" s="17"/>
      <c r="I2810" s="4">
        <f t="shared" si="96"/>
        <v>349526.07999999996</v>
      </c>
      <c r="J2810" s="32" t="str">
        <f t="shared" si="97"/>
        <v/>
      </c>
      <c r="K2810" s="79"/>
      <c r="L2810" s="79"/>
      <c r="M2810" s="2"/>
      <c r="N2810" s="5"/>
      <c r="O2810" s="3"/>
      <c r="P2810" s="6"/>
      <c r="Q2810" s="6"/>
    </row>
    <row r="2811" spans="1:17" ht="15" customHeight="1" x14ac:dyDescent="0.25">
      <c r="A2811" s="1"/>
      <c r="B2811" s="17"/>
      <c r="C2811" s="17"/>
      <c r="D2811" s="17"/>
      <c r="E2811" s="17"/>
      <c r="F2811" s="17"/>
      <c r="G2811" s="4">
        <f t="shared" si="95"/>
        <v>0</v>
      </c>
      <c r="H2811" s="17"/>
      <c r="I2811" s="4">
        <f t="shared" si="96"/>
        <v>349526.07999999996</v>
      </c>
      <c r="J2811" s="32" t="str">
        <f t="shared" si="97"/>
        <v/>
      </c>
      <c r="K2811" s="79"/>
      <c r="L2811" s="79"/>
      <c r="M2811" s="2"/>
      <c r="N2811" s="5"/>
      <c r="O2811" s="3"/>
      <c r="P2811" s="6"/>
      <c r="Q2811" s="6"/>
    </row>
    <row r="2812" spans="1:17" ht="15" customHeight="1" x14ac:dyDescent="0.25">
      <c r="A2812" s="1"/>
      <c r="B2812" s="17"/>
      <c r="C2812" s="17"/>
      <c r="D2812" s="17"/>
      <c r="E2812" s="17"/>
      <c r="F2812" s="17"/>
      <c r="G2812" s="4">
        <f t="shared" si="95"/>
        <v>0</v>
      </c>
      <c r="H2812" s="17"/>
      <c r="I2812" s="4">
        <f t="shared" si="96"/>
        <v>349526.07999999996</v>
      </c>
      <c r="J2812" s="32" t="str">
        <f t="shared" si="97"/>
        <v/>
      </c>
      <c r="K2812" s="79"/>
      <c r="L2812" s="79"/>
      <c r="M2812" s="2"/>
      <c r="N2812" s="5"/>
      <c r="O2812" s="3"/>
      <c r="P2812" s="6"/>
      <c r="Q2812" s="6"/>
    </row>
    <row r="2813" spans="1:17" ht="15" customHeight="1" x14ac:dyDescent="0.25">
      <c r="A2813" s="1"/>
      <c r="B2813" s="17"/>
      <c r="C2813" s="17"/>
      <c r="D2813" s="17"/>
      <c r="E2813" s="17"/>
      <c r="F2813" s="17"/>
      <c r="G2813" s="4">
        <f t="shared" si="95"/>
        <v>0</v>
      </c>
      <c r="H2813" s="17"/>
      <c r="I2813" s="4">
        <f t="shared" si="96"/>
        <v>349526.07999999996</v>
      </c>
      <c r="J2813" s="32" t="str">
        <f t="shared" si="97"/>
        <v/>
      </c>
      <c r="K2813" s="79"/>
      <c r="L2813" s="79"/>
      <c r="M2813" s="2"/>
      <c r="N2813" s="5"/>
      <c r="O2813" s="3"/>
      <c r="P2813" s="6"/>
      <c r="Q2813" s="6"/>
    </row>
    <row r="2814" spans="1:17" ht="15" customHeight="1" x14ac:dyDescent="0.25">
      <c r="A2814" s="1"/>
      <c r="B2814" s="17"/>
      <c r="C2814" s="17"/>
      <c r="D2814" s="17"/>
      <c r="E2814" s="17"/>
      <c r="F2814" s="17"/>
      <c r="G2814" s="4">
        <f t="shared" si="95"/>
        <v>0</v>
      </c>
      <c r="H2814" s="17"/>
      <c r="I2814" s="4">
        <f t="shared" si="96"/>
        <v>349526.07999999996</v>
      </c>
      <c r="J2814" s="32" t="str">
        <f t="shared" si="97"/>
        <v/>
      </c>
      <c r="K2814" s="79"/>
      <c r="L2814" s="79"/>
      <c r="M2814" s="2"/>
      <c r="N2814" s="5"/>
      <c r="O2814" s="3"/>
      <c r="P2814" s="6"/>
      <c r="Q2814" s="6"/>
    </row>
    <row r="2815" spans="1:17" ht="15" customHeight="1" x14ac:dyDescent="0.25">
      <c r="A2815" s="1"/>
      <c r="B2815" s="17"/>
      <c r="C2815" s="17"/>
      <c r="D2815" s="17"/>
      <c r="E2815" s="17"/>
      <c r="F2815" s="17"/>
      <c r="G2815" s="4">
        <f t="shared" si="95"/>
        <v>0</v>
      </c>
      <c r="H2815" s="17"/>
      <c r="I2815" s="4">
        <f t="shared" si="96"/>
        <v>349526.07999999996</v>
      </c>
      <c r="J2815" s="32" t="str">
        <f t="shared" si="97"/>
        <v/>
      </c>
      <c r="K2815" s="79"/>
      <c r="L2815" s="79"/>
      <c r="M2815" s="2"/>
      <c r="N2815" s="5"/>
      <c r="O2815" s="3"/>
      <c r="P2815" s="6"/>
      <c r="Q2815" s="6"/>
    </row>
    <row r="2816" spans="1:17" ht="15" customHeight="1" x14ac:dyDescent="0.25">
      <c r="A2816" s="1"/>
      <c r="B2816" s="17"/>
      <c r="C2816" s="17"/>
      <c r="D2816" s="17"/>
      <c r="E2816" s="17"/>
      <c r="F2816" s="17"/>
      <c r="G2816" s="4">
        <f t="shared" si="95"/>
        <v>0</v>
      </c>
      <c r="H2816" s="17"/>
      <c r="I2816" s="4">
        <f t="shared" si="96"/>
        <v>349526.07999999996</v>
      </c>
      <c r="J2816" s="32" t="str">
        <f t="shared" si="97"/>
        <v/>
      </c>
      <c r="K2816" s="79"/>
      <c r="L2816" s="79"/>
      <c r="M2816" s="2"/>
      <c r="N2816" s="5"/>
      <c r="O2816" s="3"/>
      <c r="P2816" s="6"/>
      <c r="Q2816" s="6"/>
    </row>
    <row r="2817" spans="1:17" ht="15" customHeight="1" x14ac:dyDescent="0.25">
      <c r="A2817" s="1"/>
      <c r="B2817" s="17"/>
      <c r="C2817" s="17"/>
      <c r="D2817" s="17"/>
      <c r="E2817" s="17"/>
      <c r="F2817" s="17"/>
      <c r="G2817" s="4">
        <f t="shared" si="95"/>
        <v>0</v>
      </c>
      <c r="H2817" s="17"/>
      <c r="I2817" s="4">
        <f t="shared" si="96"/>
        <v>349526.07999999996</v>
      </c>
      <c r="J2817" s="32" t="str">
        <f t="shared" si="97"/>
        <v/>
      </c>
      <c r="K2817" s="79"/>
      <c r="L2817" s="79"/>
      <c r="M2817" s="2"/>
      <c r="N2817" s="5"/>
      <c r="O2817" s="3"/>
      <c r="P2817" s="6"/>
      <c r="Q2817" s="6"/>
    </row>
    <row r="2818" spans="1:17" ht="15" customHeight="1" x14ac:dyDescent="0.25">
      <c r="A2818" s="1"/>
      <c r="B2818" s="17"/>
      <c r="C2818" s="17"/>
      <c r="D2818" s="17"/>
      <c r="E2818" s="17"/>
      <c r="F2818" s="17"/>
      <c r="G2818" s="4">
        <f t="shared" si="95"/>
        <v>0</v>
      </c>
      <c r="H2818" s="17"/>
      <c r="I2818" s="4">
        <f t="shared" si="96"/>
        <v>349526.07999999996</v>
      </c>
      <c r="J2818" s="32" t="str">
        <f t="shared" si="97"/>
        <v/>
      </c>
      <c r="K2818" s="79"/>
      <c r="L2818" s="79"/>
      <c r="M2818" s="2"/>
      <c r="N2818" s="5"/>
      <c r="O2818" s="3"/>
      <c r="P2818" s="6"/>
      <c r="Q2818" s="6"/>
    </row>
    <row r="2819" spans="1:17" ht="15" customHeight="1" x14ac:dyDescent="0.25">
      <c r="A2819" s="1"/>
      <c r="B2819" s="17"/>
      <c r="C2819" s="17"/>
      <c r="D2819" s="17"/>
      <c r="E2819" s="17"/>
      <c r="F2819" s="17"/>
      <c r="G2819" s="4">
        <f t="shared" ref="G2819:G2882" si="98">SUM($B2819:$F2819)</f>
        <v>0</v>
      </c>
      <c r="H2819" s="17"/>
      <c r="I2819" s="4">
        <f t="shared" si="96"/>
        <v>349526.07999999996</v>
      </c>
      <c r="J2819" s="32" t="str">
        <f t="shared" si="97"/>
        <v/>
      </c>
      <c r="K2819" s="79"/>
      <c r="L2819" s="79"/>
      <c r="M2819" s="2"/>
      <c r="N2819" s="5"/>
      <c r="O2819" s="3"/>
      <c r="P2819" s="6"/>
      <c r="Q2819" s="6"/>
    </row>
    <row r="2820" spans="1:17" ht="15" customHeight="1" x14ac:dyDescent="0.25">
      <c r="A2820" s="1"/>
      <c r="B2820" s="17"/>
      <c r="C2820" s="17"/>
      <c r="D2820" s="17"/>
      <c r="E2820" s="17"/>
      <c r="F2820" s="17"/>
      <c r="G2820" s="4">
        <f t="shared" si="98"/>
        <v>0</v>
      </c>
      <c r="H2820" s="17"/>
      <c r="I2820" s="4">
        <f t="shared" si="96"/>
        <v>349526.07999999996</v>
      </c>
      <c r="J2820" s="32" t="str">
        <f t="shared" si="97"/>
        <v/>
      </c>
      <c r="K2820" s="79"/>
      <c r="L2820" s="79"/>
      <c r="M2820" s="2"/>
      <c r="N2820" s="5"/>
      <c r="O2820" s="3"/>
      <c r="P2820" s="6"/>
      <c r="Q2820" s="6"/>
    </row>
    <row r="2821" spans="1:17" ht="15" customHeight="1" x14ac:dyDescent="0.25">
      <c r="A2821" s="1"/>
      <c r="B2821" s="17"/>
      <c r="C2821" s="17"/>
      <c r="D2821" s="17"/>
      <c r="E2821" s="17"/>
      <c r="F2821" s="17"/>
      <c r="G2821" s="4">
        <f t="shared" si="98"/>
        <v>0</v>
      </c>
      <c r="H2821" s="17"/>
      <c r="I2821" s="4">
        <f t="shared" si="96"/>
        <v>349526.07999999996</v>
      </c>
      <c r="J2821" s="32" t="str">
        <f t="shared" si="97"/>
        <v/>
      </c>
      <c r="K2821" s="79"/>
      <c r="L2821" s="79"/>
      <c r="M2821" s="2"/>
      <c r="N2821" s="5"/>
      <c r="O2821" s="3"/>
      <c r="P2821" s="6"/>
      <c r="Q2821" s="6"/>
    </row>
    <row r="2822" spans="1:17" ht="15" customHeight="1" x14ac:dyDescent="0.25">
      <c r="A2822" s="1"/>
      <c r="B2822" s="17"/>
      <c r="C2822" s="17"/>
      <c r="D2822" s="17"/>
      <c r="E2822" s="17"/>
      <c r="F2822" s="17"/>
      <c r="G2822" s="4">
        <f t="shared" si="98"/>
        <v>0</v>
      </c>
      <c r="H2822" s="17"/>
      <c r="I2822" s="4">
        <f t="shared" si="96"/>
        <v>349526.07999999996</v>
      </c>
      <c r="J2822" s="32" t="str">
        <f t="shared" si="97"/>
        <v/>
      </c>
      <c r="K2822" s="79"/>
      <c r="L2822" s="79"/>
      <c r="M2822" s="2"/>
      <c r="N2822" s="5"/>
      <c r="O2822" s="3"/>
      <c r="P2822" s="6"/>
      <c r="Q2822" s="6"/>
    </row>
    <row r="2823" spans="1:17" ht="15" customHeight="1" x14ac:dyDescent="0.25">
      <c r="A2823" s="1"/>
      <c r="B2823" s="17"/>
      <c r="C2823" s="17"/>
      <c r="D2823" s="17"/>
      <c r="E2823" s="17"/>
      <c r="F2823" s="17"/>
      <c r="G2823" s="4">
        <f t="shared" si="98"/>
        <v>0</v>
      </c>
      <c r="H2823" s="17"/>
      <c r="I2823" s="4">
        <f t="shared" si="96"/>
        <v>349526.07999999996</v>
      </c>
      <c r="J2823" s="32" t="str">
        <f t="shared" si="97"/>
        <v/>
      </c>
      <c r="K2823" s="79"/>
      <c r="L2823" s="79"/>
      <c r="M2823" s="2"/>
      <c r="N2823" s="5"/>
      <c r="O2823" s="3"/>
      <c r="P2823" s="6"/>
      <c r="Q2823" s="6"/>
    </row>
    <row r="2824" spans="1:17" ht="15" customHeight="1" x14ac:dyDescent="0.25">
      <c r="A2824" s="1"/>
      <c r="B2824" s="17"/>
      <c r="C2824" s="17"/>
      <c r="D2824" s="17"/>
      <c r="E2824" s="17"/>
      <c r="F2824" s="17"/>
      <c r="G2824" s="4">
        <f t="shared" si="98"/>
        <v>0</v>
      </c>
      <c r="H2824" s="17"/>
      <c r="I2824" s="4">
        <f t="shared" si="96"/>
        <v>349526.07999999996</v>
      </c>
      <c r="J2824" s="32" t="str">
        <f t="shared" si="97"/>
        <v/>
      </c>
      <c r="K2824" s="79"/>
      <c r="L2824" s="79"/>
      <c r="M2824" s="2"/>
      <c r="N2824" s="5"/>
      <c r="O2824" s="3"/>
      <c r="P2824" s="6"/>
      <c r="Q2824" s="6"/>
    </row>
    <row r="2825" spans="1:17" ht="15" customHeight="1" x14ac:dyDescent="0.25">
      <c r="A2825" s="1"/>
      <c r="B2825" s="17"/>
      <c r="C2825" s="17"/>
      <c r="D2825" s="17"/>
      <c r="E2825" s="17"/>
      <c r="F2825" s="17"/>
      <c r="G2825" s="4">
        <f t="shared" si="98"/>
        <v>0</v>
      </c>
      <c r="H2825" s="17"/>
      <c r="I2825" s="4">
        <f t="shared" si="96"/>
        <v>349526.07999999996</v>
      </c>
      <c r="J2825" s="32" t="str">
        <f t="shared" si="97"/>
        <v/>
      </c>
      <c r="K2825" s="79"/>
      <c r="L2825" s="79"/>
      <c r="M2825" s="2"/>
      <c r="N2825" s="5"/>
      <c r="O2825" s="3"/>
      <c r="P2825" s="6"/>
      <c r="Q2825" s="6"/>
    </row>
    <row r="2826" spans="1:17" ht="15" customHeight="1" x14ac:dyDescent="0.25">
      <c r="A2826" s="1"/>
      <c r="B2826" s="17"/>
      <c r="C2826" s="17"/>
      <c r="D2826" s="17"/>
      <c r="E2826" s="17"/>
      <c r="F2826" s="17"/>
      <c r="G2826" s="4">
        <f t="shared" si="98"/>
        <v>0</v>
      </c>
      <c r="H2826" s="17"/>
      <c r="I2826" s="4">
        <f t="shared" si="96"/>
        <v>349526.07999999996</v>
      </c>
      <c r="J2826" s="32" t="str">
        <f t="shared" si="97"/>
        <v/>
      </c>
      <c r="K2826" s="79"/>
      <c r="L2826" s="79"/>
      <c r="M2826" s="2"/>
      <c r="N2826" s="5"/>
      <c r="O2826" s="3"/>
      <c r="P2826" s="6"/>
      <c r="Q2826" s="6"/>
    </row>
    <row r="2827" spans="1:17" ht="15" customHeight="1" x14ac:dyDescent="0.25">
      <c r="A2827" s="1"/>
      <c r="B2827" s="17"/>
      <c r="C2827" s="17"/>
      <c r="D2827" s="17"/>
      <c r="E2827" s="17"/>
      <c r="F2827" s="17"/>
      <c r="G2827" s="4">
        <f t="shared" si="98"/>
        <v>0</v>
      </c>
      <c r="H2827" s="17"/>
      <c r="I2827" s="4">
        <f t="shared" si="96"/>
        <v>349526.07999999996</v>
      </c>
      <c r="J2827" s="32" t="str">
        <f t="shared" si="97"/>
        <v/>
      </c>
      <c r="K2827" s="79"/>
      <c r="L2827" s="79"/>
      <c r="M2827" s="2"/>
      <c r="N2827" s="5"/>
      <c r="O2827" s="3"/>
      <c r="P2827" s="6"/>
      <c r="Q2827" s="6"/>
    </row>
    <row r="2828" spans="1:17" ht="15" customHeight="1" x14ac:dyDescent="0.25">
      <c r="A2828" s="1"/>
      <c r="B2828" s="17"/>
      <c r="C2828" s="17"/>
      <c r="D2828" s="17"/>
      <c r="E2828" s="17"/>
      <c r="F2828" s="17"/>
      <c r="G2828" s="4">
        <f t="shared" si="98"/>
        <v>0</v>
      </c>
      <c r="H2828" s="17"/>
      <c r="I2828" s="4">
        <f t="shared" si="96"/>
        <v>349526.07999999996</v>
      </c>
      <c r="J2828" s="32" t="str">
        <f t="shared" si="97"/>
        <v/>
      </c>
      <c r="K2828" s="79"/>
      <c r="L2828" s="79"/>
      <c r="M2828" s="2"/>
      <c r="N2828" s="5"/>
      <c r="O2828" s="3"/>
      <c r="P2828" s="6"/>
      <c r="Q2828" s="6"/>
    </row>
    <row r="2829" spans="1:17" ht="15" customHeight="1" x14ac:dyDescent="0.25">
      <c r="A2829" s="1"/>
      <c r="B2829" s="17"/>
      <c r="C2829" s="17"/>
      <c r="D2829" s="17"/>
      <c r="E2829" s="17"/>
      <c r="F2829" s="17"/>
      <c r="G2829" s="4">
        <f t="shared" si="98"/>
        <v>0</v>
      </c>
      <c r="H2829" s="17"/>
      <c r="I2829" s="4">
        <f t="shared" si="96"/>
        <v>349526.07999999996</v>
      </c>
      <c r="J2829" s="32" t="str">
        <f t="shared" si="97"/>
        <v/>
      </c>
      <c r="K2829" s="79"/>
      <c r="L2829" s="79"/>
      <c r="M2829" s="2"/>
      <c r="N2829" s="5"/>
      <c r="O2829" s="3"/>
      <c r="P2829" s="6"/>
      <c r="Q2829" s="6"/>
    </row>
    <row r="2830" spans="1:17" ht="15" customHeight="1" x14ac:dyDescent="0.25">
      <c r="A2830" s="1"/>
      <c r="B2830" s="17"/>
      <c r="C2830" s="17"/>
      <c r="D2830" s="17"/>
      <c r="E2830" s="17"/>
      <c r="F2830" s="17"/>
      <c r="G2830" s="4">
        <f t="shared" si="98"/>
        <v>0</v>
      </c>
      <c r="H2830" s="17"/>
      <c r="I2830" s="4">
        <f t="shared" si="96"/>
        <v>349526.07999999996</v>
      </c>
      <c r="J2830" s="32" t="str">
        <f t="shared" si="97"/>
        <v/>
      </c>
      <c r="K2830" s="79"/>
      <c r="L2830" s="79"/>
      <c r="M2830" s="2"/>
      <c r="N2830" s="5"/>
      <c r="O2830" s="3"/>
      <c r="P2830" s="6"/>
      <c r="Q2830" s="6"/>
    </row>
    <row r="2831" spans="1:17" ht="15" customHeight="1" x14ac:dyDescent="0.25">
      <c r="A2831" s="1"/>
      <c r="B2831" s="17"/>
      <c r="C2831" s="17"/>
      <c r="D2831" s="17"/>
      <c r="E2831" s="17"/>
      <c r="F2831" s="17"/>
      <c r="G2831" s="4">
        <f t="shared" si="98"/>
        <v>0</v>
      </c>
      <c r="H2831" s="17"/>
      <c r="I2831" s="4">
        <f t="shared" si="96"/>
        <v>349526.07999999996</v>
      </c>
      <c r="J2831" s="32" t="str">
        <f t="shared" si="97"/>
        <v/>
      </c>
      <c r="K2831" s="79"/>
      <c r="L2831" s="79"/>
      <c r="M2831" s="2"/>
      <c r="N2831" s="5"/>
      <c r="O2831" s="3"/>
      <c r="P2831" s="6"/>
      <c r="Q2831" s="6"/>
    </row>
    <row r="2832" spans="1:17" ht="15" customHeight="1" x14ac:dyDescent="0.25">
      <c r="A2832" s="1"/>
      <c r="B2832" s="17"/>
      <c r="C2832" s="17"/>
      <c r="D2832" s="17"/>
      <c r="E2832" s="17"/>
      <c r="F2832" s="17"/>
      <c r="G2832" s="4">
        <f t="shared" si="98"/>
        <v>0</v>
      </c>
      <c r="H2832" s="17"/>
      <c r="I2832" s="4">
        <f t="shared" si="96"/>
        <v>349526.07999999996</v>
      </c>
      <c r="J2832" s="32" t="str">
        <f t="shared" si="97"/>
        <v/>
      </c>
      <c r="K2832" s="79"/>
      <c r="L2832" s="79"/>
      <c r="M2832" s="2"/>
      <c r="N2832" s="5"/>
      <c r="O2832" s="3"/>
      <c r="P2832" s="6"/>
      <c r="Q2832" s="6"/>
    </row>
    <row r="2833" spans="1:17" ht="15" customHeight="1" x14ac:dyDescent="0.25">
      <c r="A2833" s="1"/>
      <c r="B2833" s="17"/>
      <c r="C2833" s="17"/>
      <c r="D2833" s="17"/>
      <c r="E2833" s="17"/>
      <c r="F2833" s="17"/>
      <c r="G2833" s="4">
        <f t="shared" si="98"/>
        <v>0</v>
      </c>
      <c r="H2833" s="17"/>
      <c r="I2833" s="4">
        <f t="shared" si="96"/>
        <v>349526.07999999996</v>
      </c>
      <c r="J2833" s="32" t="str">
        <f t="shared" si="97"/>
        <v/>
      </c>
      <c r="K2833" s="79"/>
      <c r="L2833" s="79"/>
      <c r="M2833" s="2"/>
      <c r="N2833" s="5"/>
      <c r="O2833" s="3"/>
      <c r="P2833" s="6"/>
      <c r="Q2833" s="6"/>
    </row>
    <row r="2834" spans="1:17" ht="15" customHeight="1" x14ac:dyDescent="0.25">
      <c r="A2834" s="1"/>
      <c r="B2834" s="17"/>
      <c r="C2834" s="17"/>
      <c r="D2834" s="17"/>
      <c r="E2834" s="17"/>
      <c r="F2834" s="17"/>
      <c r="G2834" s="4">
        <f t="shared" si="98"/>
        <v>0</v>
      </c>
      <c r="H2834" s="17"/>
      <c r="I2834" s="4">
        <f t="shared" si="96"/>
        <v>349526.07999999996</v>
      </c>
      <c r="J2834" s="32" t="str">
        <f t="shared" si="97"/>
        <v/>
      </c>
      <c r="K2834" s="79"/>
      <c r="L2834" s="79"/>
      <c r="M2834" s="2"/>
      <c r="N2834" s="5"/>
      <c r="O2834" s="3"/>
      <c r="P2834" s="6"/>
      <c r="Q2834" s="6"/>
    </row>
    <row r="2835" spans="1:17" ht="15" customHeight="1" x14ac:dyDescent="0.25">
      <c r="A2835" s="1"/>
      <c r="B2835" s="17"/>
      <c r="C2835" s="17"/>
      <c r="D2835" s="17"/>
      <c r="E2835" s="17"/>
      <c r="F2835" s="17"/>
      <c r="G2835" s="4">
        <f t="shared" si="98"/>
        <v>0</v>
      </c>
      <c r="H2835" s="17"/>
      <c r="I2835" s="4">
        <f t="shared" si="96"/>
        <v>349526.07999999996</v>
      </c>
      <c r="J2835" s="32" t="str">
        <f t="shared" si="97"/>
        <v/>
      </c>
      <c r="K2835" s="79"/>
      <c r="L2835" s="79"/>
      <c r="M2835" s="2"/>
      <c r="N2835" s="5"/>
      <c r="O2835" s="3"/>
      <c r="P2835" s="6"/>
      <c r="Q2835" s="6"/>
    </row>
    <row r="2836" spans="1:17" ht="15" customHeight="1" x14ac:dyDescent="0.25">
      <c r="A2836" s="1"/>
      <c r="B2836" s="17"/>
      <c r="C2836" s="17"/>
      <c r="D2836" s="17"/>
      <c r="E2836" s="17"/>
      <c r="F2836" s="17"/>
      <c r="G2836" s="4">
        <f t="shared" si="98"/>
        <v>0</v>
      </c>
      <c r="H2836" s="17"/>
      <c r="I2836" s="4">
        <f t="shared" si="96"/>
        <v>349526.07999999996</v>
      </c>
      <c r="J2836" s="32" t="str">
        <f t="shared" si="97"/>
        <v/>
      </c>
      <c r="K2836" s="79"/>
      <c r="L2836" s="79"/>
      <c r="M2836" s="2"/>
      <c r="N2836" s="5"/>
      <c r="O2836" s="3"/>
      <c r="P2836" s="6"/>
      <c r="Q2836" s="6"/>
    </row>
    <row r="2837" spans="1:17" ht="15" customHeight="1" x14ac:dyDescent="0.25">
      <c r="A2837" s="1"/>
      <c r="B2837" s="17"/>
      <c r="C2837" s="17"/>
      <c r="D2837" s="17"/>
      <c r="E2837" s="17"/>
      <c r="F2837" s="17"/>
      <c r="G2837" s="4">
        <f t="shared" si="98"/>
        <v>0</v>
      </c>
      <c r="H2837" s="17"/>
      <c r="I2837" s="4">
        <f t="shared" si="96"/>
        <v>349526.07999999996</v>
      </c>
      <c r="J2837" s="32" t="str">
        <f t="shared" si="97"/>
        <v/>
      </c>
      <c r="K2837" s="79"/>
      <c r="L2837" s="79"/>
      <c r="M2837" s="2"/>
      <c r="N2837" s="5"/>
      <c r="O2837" s="3"/>
      <c r="P2837" s="6"/>
      <c r="Q2837" s="6"/>
    </row>
    <row r="2838" spans="1:17" ht="15" customHeight="1" x14ac:dyDescent="0.25">
      <c r="A2838" s="1"/>
      <c r="B2838" s="17"/>
      <c r="C2838" s="17"/>
      <c r="D2838" s="17"/>
      <c r="E2838" s="17"/>
      <c r="F2838" s="17"/>
      <c r="G2838" s="4">
        <f t="shared" si="98"/>
        <v>0</v>
      </c>
      <c r="H2838" s="17"/>
      <c r="I2838" s="4">
        <f t="shared" si="96"/>
        <v>349526.07999999996</v>
      </c>
      <c r="J2838" s="32" t="str">
        <f t="shared" si="97"/>
        <v/>
      </c>
      <c r="K2838" s="79"/>
      <c r="L2838" s="79"/>
      <c r="M2838" s="2"/>
      <c r="N2838" s="5"/>
      <c r="O2838" s="3"/>
      <c r="P2838" s="6"/>
      <c r="Q2838" s="6"/>
    </row>
    <row r="2839" spans="1:17" ht="15" customHeight="1" x14ac:dyDescent="0.25">
      <c r="A2839" s="1"/>
      <c r="B2839" s="17"/>
      <c r="C2839" s="17"/>
      <c r="D2839" s="17"/>
      <c r="E2839" s="17"/>
      <c r="F2839" s="17"/>
      <c r="G2839" s="4">
        <f t="shared" si="98"/>
        <v>0</v>
      </c>
      <c r="H2839" s="17"/>
      <c r="I2839" s="4">
        <f t="shared" si="96"/>
        <v>349526.07999999996</v>
      </c>
      <c r="J2839" s="32" t="str">
        <f t="shared" si="97"/>
        <v/>
      </c>
      <c r="K2839" s="79"/>
      <c r="L2839" s="79"/>
      <c r="M2839" s="2"/>
      <c r="N2839" s="5"/>
      <c r="O2839" s="3"/>
      <c r="P2839" s="6"/>
      <c r="Q2839" s="6"/>
    </row>
    <row r="2840" spans="1:17" ht="15" customHeight="1" x14ac:dyDescent="0.25">
      <c r="A2840" s="1"/>
      <c r="B2840" s="17"/>
      <c r="C2840" s="17"/>
      <c r="D2840" s="17"/>
      <c r="E2840" s="17"/>
      <c r="F2840" s="17"/>
      <c r="G2840" s="4">
        <f t="shared" si="98"/>
        <v>0</v>
      </c>
      <c r="H2840" s="17"/>
      <c r="I2840" s="4">
        <f t="shared" si="96"/>
        <v>349526.07999999996</v>
      </c>
      <c r="J2840" s="32" t="str">
        <f t="shared" si="97"/>
        <v/>
      </c>
      <c r="K2840" s="79"/>
      <c r="L2840" s="79"/>
      <c r="M2840" s="2"/>
      <c r="N2840" s="5"/>
      <c r="O2840" s="3"/>
      <c r="P2840" s="6"/>
      <c r="Q2840" s="6"/>
    </row>
    <row r="2841" spans="1:17" ht="15" customHeight="1" x14ac:dyDescent="0.25">
      <c r="A2841" s="1"/>
      <c r="B2841" s="17"/>
      <c r="C2841" s="17"/>
      <c r="D2841" s="17"/>
      <c r="E2841" s="17"/>
      <c r="F2841" s="17"/>
      <c r="G2841" s="4">
        <f t="shared" si="98"/>
        <v>0</v>
      </c>
      <c r="H2841" s="17"/>
      <c r="I2841" s="4">
        <f t="shared" si="96"/>
        <v>349526.07999999996</v>
      </c>
      <c r="J2841" s="32" t="str">
        <f t="shared" si="97"/>
        <v/>
      </c>
      <c r="K2841" s="79"/>
      <c r="L2841" s="79"/>
      <c r="M2841" s="2"/>
      <c r="N2841" s="5"/>
      <c r="O2841" s="3"/>
      <c r="P2841" s="6"/>
      <c r="Q2841" s="6"/>
    </row>
    <row r="2842" spans="1:17" ht="15" customHeight="1" x14ac:dyDescent="0.25">
      <c r="A2842" s="1"/>
      <c r="B2842" s="17"/>
      <c r="C2842" s="17"/>
      <c r="D2842" s="17"/>
      <c r="E2842" s="17"/>
      <c r="F2842" s="17"/>
      <c r="G2842" s="4">
        <f t="shared" si="98"/>
        <v>0</v>
      </c>
      <c r="H2842" s="17"/>
      <c r="I2842" s="4">
        <f t="shared" si="96"/>
        <v>349526.07999999996</v>
      </c>
      <c r="J2842" s="32" t="str">
        <f t="shared" si="97"/>
        <v/>
      </c>
      <c r="K2842" s="79"/>
      <c r="L2842" s="79"/>
      <c r="M2842" s="2"/>
      <c r="N2842" s="5"/>
      <c r="O2842" s="3"/>
      <c r="P2842" s="6"/>
      <c r="Q2842" s="6"/>
    </row>
    <row r="2843" spans="1:17" ht="15" customHeight="1" x14ac:dyDescent="0.25">
      <c r="A2843" s="1"/>
      <c r="B2843" s="17"/>
      <c r="C2843" s="17"/>
      <c r="D2843" s="17"/>
      <c r="E2843" s="17"/>
      <c r="F2843" s="17"/>
      <c r="G2843" s="4">
        <f t="shared" si="98"/>
        <v>0</v>
      </c>
      <c r="H2843" s="17"/>
      <c r="I2843" s="4">
        <f t="shared" si="96"/>
        <v>349526.07999999996</v>
      </c>
      <c r="J2843" s="32" t="str">
        <f t="shared" si="97"/>
        <v/>
      </c>
      <c r="K2843" s="79"/>
      <c r="L2843" s="79"/>
      <c r="M2843" s="2"/>
      <c r="N2843" s="5"/>
      <c r="O2843" s="3"/>
      <c r="P2843" s="6"/>
      <c r="Q2843" s="6"/>
    </row>
    <row r="2844" spans="1:17" ht="15" customHeight="1" x14ac:dyDescent="0.25">
      <c r="A2844" s="1"/>
      <c r="B2844" s="17"/>
      <c r="C2844" s="17"/>
      <c r="D2844" s="17"/>
      <c r="E2844" s="17"/>
      <c r="F2844" s="17"/>
      <c r="G2844" s="4">
        <f t="shared" si="98"/>
        <v>0</v>
      </c>
      <c r="H2844" s="17"/>
      <c r="I2844" s="4">
        <f t="shared" si="96"/>
        <v>349526.07999999996</v>
      </c>
      <c r="J2844" s="32" t="str">
        <f t="shared" si="97"/>
        <v/>
      </c>
      <c r="K2844" s="79"/>
      <c r="L2844" s="79"/>
      <c r="M2844" s="2"/>
      <c r="N2844" s="5"/>
      <c r="O2844" s="3"/>
      <c r="P2844" s="6"/>
      <c r="Q2844" s="6"/>
    </row>
    <row r="2845" spans="1:17" ht="15" customHeight="1" x14ac:dyDescent="0.25">
      <c r="A2845" s="1"/>
      <c r="B2845" s="17"/>
      <c r="C2845" s="17"/>
      <c r="D2845" s="17"/>
      <c r="E2845" s="17"/>
      <c r="F2845" s="17"/>
      <c r="G2845" s="4">
        <f t="shared" si="98"/>
        <v>0</v>
      </c>
      <c r="H2845" s="17"/>
      <c r="I2845" s="4">
        <f t="shared" si="96"/>
        <v>349526.07999999996</v>
      </c>
      <c r="J2845" s="32" t="str">
        <f t="shared" si="97"/>
        <v/>
      </c>
      <c r="K2845" s="79"/>
      <c r="L2845" s="79"/>
      <c r="M2845" s="2"/>
      <c r="N2845" s="5"/>
      <c r="O2845" s="3"/>
      <c r="P2845" s="6"/>
      <c r="Q2845" s="6"/>
    </row>
    <row r="2846" spans="1:17" ht="15" customHeight="1" x14ac:dyDescent="0.25">
      <c r="A2846" s="1"/>
      <c r="B2846" s="17"/>
      <c r="C2846" s="17"/>
      <c r="D2846" s="17"/>
      <c r="E2846" s="17"/>
      <c r="F2846" s="17"/>
      <c r="G2846" s="4">
        <f t="shared" si="98"/>
        <v>0</v>
      </c>
      <c r="H2846" s="17"/>
      <c r="I2846" s="4">
        <f t="shared" si="96"/>
        <v>349526.07999999996</v>
      </c>
      <c r="J2846" s="32" t="str">
        <f t="shared" si="97"/>
        <v/>
      </c>
      <c r="K2846" s="79"/>
      <c r="L2846" s="79"/>
      <c r="M2846" s="2"/>
      <c r="N2846" s="5"/>
      <c r="O2846" s="3"/>
      <c r="P2846" s="6"/>
      <c r="Q2846" s="6"/>
    </row>
    <row r="2847" spans="1:17" ht="15" customHeight="1" x14ac:dyDescent="0.25">
      <c r="A2847" s="1"/>
      <c r="B2847" s="17"/>
      <c r="C2847" s="17"/>
      <c r="D2847" s="17"/>
      <c r="E2847" s="17"/>
      <c r="F2847" s="17"/>
      <c r="G2847" s="4">
        <f t="shared" si="98"/>
        <v>0</v>
      </c>
      <c r="H2847" s="17"/>
      <c r="I2847" s="4">
        <f t="shared" si="96"/>
        <v>349526.07999999996</v>
      </c>
      <c r="J2847" s="32" t="str">
        <f t="shared" si="97"/>
        <v/>
      </c>
      <c r="K2847" s="79"/>
      <c r="L2847" s="79"/>
      <c r="M2847" s="2"/>
      <c r="N2847" s="5"/>
      <c r="O2847" s="3"/>
      <c r="P2847" s="6"/>
      <c r="Q2847" s="6"/>
    </row>
    <row r="2848" spans="1:17" ht="15" customHeight="1" x14ac:dyDescent="0.25">
      <c r="A2848" s="1"/>
      <c r="B2848" s="17"/>
      <c r="C2848" s="17"/>
      <c r="D2848" s="17"/>
      <c r="E2848" s="17"/>
      <c r="F2848" s="17"/>
      <c r="G2848" s="4">
        <f t="shared" si="98"/>
        <v>0</v>
      </c>
      <c r="H2848" s="17"/>
      <c r="I2848" s="4">
        <f t="shared" si="96"/>
        <v>349526.07999999996</v>
      </c>
      <c r="J2848" s="32" t="str">
        <f t="shared" si="97"/>
        <v/>
      </c>
      <c r="K2848" s="79"/>
      <c r="L2848" s="79"/>
      <c r="M2848" s="2"/>
      <c r="N2848" s="5"/>
      <c r="O2848" s="3"/>
      <c r="P2848" s="6"/>
      <c r="Q2848" s="6"/>
    </row>
    <row r="2849" spans="1:17" ht="15" customHeight="1" x14ac:dyDescent="0.25">
      <c r="A2849" s="1"/>
      <c r="B2849" s="17"/>
      <c r="C2849" s="17"/>
      <c r="D2849" s="17"/>
      <c r="E2849" s="17"/>
      <c r="F2849" s="17"/>
      <c r="G2849" s="4">
        <f t="shared" si="98"/>
        <v>0</v>
      </c>
      <c r="H2849" s="17"/>
      <c r="I2849" s="4">
        <f t="shared" si="96"/>
        <v>349526.07999999996</v>
      </c>
      <c r="J2849" s="32" t="str">
        <f t="shared" si="97"/>
        <v/>
      </c>
      <c r="K2849" s="79"/>
      <c r="L2849" s="79"/>
      <c r="M2849" s="2"/>
      <c r="N2849" s="5"/>
      <c r="O2849" s="3"/>
      <c r="P2849" s="6"/>
      <c r="Q2849" s="6"/>
    </row>
    <row r="2850" spans="1:17" ht="15" customHeight="1" x14ac:dyDescent="0.25">
      <c r="A2850" s="1"/>
      <c r="B2850" s="17"/>
      <c r="C2850" s="17"/>
      <c r="D2850" s="17"/>
      <c r="E2850" s="17"/>
      <c r="F2850" s="17"/>
      <c r="G2850" s="4">
        <f t="shared" si="98"/>
        <v>0</v>
      </c>
      <c r="H2850" s="17"/>
      <c r="I2850" s="4">
        <f t="shared" si="96"/>
        <v>349526.07999999996</v>
      </c>
      <c r="J2850" s="32" t="str">
        <f t="shared" si="97"/>
        <v/>
      </c>
      <c r="K2850" s="79"/>
      <c r="L2850" s="79"/>
      <c r="M2850" s="2"/>
      <c r="N2850" s="5"/>
      <c r="O2850" s="3"/>
      <c r="P2850" s="6"/>
      <c r="Q2850" s="6"/>
    </row>
    <row r="2851" spans="1:17" ht="15" customHeight="1" x14ac:dyDescent="0.25">
      <c r="A2851" s="1"/>
      <c r="B2851" s="17"/>
      <c r="C2851" s="17"/>
      <c r="D2851" s="17"/>
      <c r="E2851" s="17"/>
      <c r="F2851" s="17"/>
      <c r="G2851" s="4">
        <f t="shared" si="98"/>
        <v>0</v>
      </c>
      <c r="H2851" s="17"/>
      <c r="I2851" s="4">
        <f t="shared" si="96"/>
        <v>349526.07999999996</v>
      </c>
      <c r="J2851" s="32" t="str">
        <f t="shared" si="97"/>
        <v/>
      </c>
      <c r="K2851" s="79"/>
      <c r="L2851" s="79"/>
      <c r="M2851" s="2"/>
      <c r="N2851" s="5"/>
      <c r="O2851" s="3"/>
      <c r="P2851" s="6"/>
      <c r="Q2851" s="6"/>
    </row>
    <row r="2852" spans="1:17" ht="15" customHeight="1" x14ac:dyDescent="0.25">
      <c r="A2852" s="1"/>
      <c r="B2852" s="17"/>
      <c r="C2852" s="17"/>
      <c r="D2852" s="17"/>
      <c r="E2852" s="17"/>
      <c r="F2852" s="17"/>
      <c r="G2852" s="4">
        <f t="shared" si="98"/>
        <v>0</v>
      </c>
      <c r="H2852" s="17"/>
      <c r="I2852" s="4">
        <f t="shared" si="96"/>
        <v>349526.07999999996</v>
      </c>
      <c r="J2852" s="32" t="str">
        <f t="shared" si="97"/>
        <v/>
      </c>
      <c r="K2852" s="79"/>
      <c r="L2852" s="79"/>
      <c r="M2852" s="2"/>
      <c r="N2852" s="5"/>
      <c r="O2852" s="3"/>
      <c r="P2852" s="6"/>
      <c r="Q2852" s="6"/>
    </row>
    <row r="2853" spans="1:17" ht="15" customHeight="1" x14ac:dyDescent="0.25">
      <c r="A2853" s="1"/>
      <c r="B2853" s="17"/>
      <c r="C2853" s="17"/>
      <c r="D2853" s="17"/>
      <c r="E2853" s="17"/>
      <c r="F2853" s="17"/>
      <c r="G2853" s="4">
        <f t="shared" si="98"/>
        <v>0</v>
      </c>
      <c r="H2853" s="17"/>
      <c r="I2853" s="4">
        <f t="shared" si="96"/>
        <v>349526.07999999996</v>
      </c>
      <c r="J2853" s="32" t="str">
        <f t="shared" si="97"/>
        <v/>
      </c>
      <c r="K2853" s="79"/>
      <c r="L2853" s="79"/>
      <c r="M2853" s="2"/>
      <c r="N2853" s="5"/>
      <c r="O2853" s="3"/>
      <c r="P2853" s="6"/>
      <c r="Q2853" s="6"/>
    </row>
    <row r="2854" spans="1:17" ht="15" customHeight="1" x14ac:dyDescent="0.25">
      <c r="A2854" s="1"/>
      <c r="B2854" s="17"/>
      <c r="C2854" s="17"/>
      <c r="D2854" s="17"/>
      <c r="E2854" s="17"/>
      <c r="F2854" s="17"/>
      <c r="G2854" s="4">
        <f t="shared" si="98"/>
        <v>0</v>
      </c>
      <c r="H2854" s="17"/>
      <c r="I2854" s="4">
        <f t="shared" si="96"/>
        <v>349526.07999999996</v>
      </c>
      <c r="J2854" s="32" t="str">
        <f t="shared" si="97"/>
        <v/>
      </c>
      <c r="K2854" s="79"/>
      <c r="L2854" s="79"/>
      <c r="M2854" s="2"/>
      <c r="N2854" s="5"/>
      <c r="O2854" s="3"/>
      <c r="P2854" s="6"/>
      <c r="Q2854" s="6"/>
    </row>
    <row r="2855" spans="1:17" ht="15" customHeight="1" x14ac:dyDescent="0.25">
      <c r="A2855" s="1"/>
      <c r="B2855" s="17"/>
      <c r="C2855" s="17"/>
      <c r="D2855" s="17"/>
      <c r="E2855" s="17"/>
      <c r="F2855" s="17"/>
      <c r="G2855" s="4">
        <f t="shared" si="98"/>
        <v>0</v>
      </c>
      <c r="H2855" s="17"/>
      <c r="I2855" s="4">
        <f t="shared" si="96"/>
        <v>349526.07999999996</v>
      </c>
      <c r="J2855" s="32" t="str">
        <f t="shared" si="97"/>
        <v/>
      </c>
      <c r="K2855" s="79"/>
      <c r="L2855" s="79"/>
      <c r="M2855" s="2"/>
      <c r="N2855" s="5"/>
      <c r="O2855" s="3"/>
      <c r="P2855" s="6"/>
      <c r="Q2855" s="6"/>
    </row>
    <row r="2856" spans="1:17" ht="15" customHeight="1" x14ac:dyDescent="0.25">
      <c r="A2856" s="1"/>
      <c r="B2856" s="17"/>
      <c r="C2856" s="17"/>
      <c r="D2856" s="17"/>
      <c r="E2856" s="17"/>
      <c r="F2856" s="17"/>
      <c r="G2856" s="4">
        <f t="shared" si="98"/>
        <v>0</v>
      </c>
      <c r="H2856" s="17"/>
      <c r="I2856" s="4">
        <f t="shared" si="96"/>
        <v>349526.07999999996</v>
      </c>
      <c r="J2856" s="32" t="str">
        <f t="shared" si="97"/>
        <v/>
      </c>
      <c r="K2856" s="79"/>
      <c r="L2856" s="79"/>
      <c r="M2856" s="2"/>
      <c r="N2856" s="5"/>
      <c r="O2856" s="3"/>
      <c r="P2856" s="6"/>
      <c r="Q2856" s="6"/>
    </row>
    <row r="2857" spans="1:17" ht="15" customHeight="1" x14ac:dyDescent="0.25">
      <c r="A2857" s="1"/>
      <c r="B2857" s="17"/>
      <c r="C2857" s="17"/>
      <c r="D2857" s="17"/>
      <c r="E2857" s="17"/>
      <c r="F2857" s="17"/>
      <c r="G2857" s="4">
        <f t="shared" si="98"/>
        <v>0</v>
      </c>
      <c r="H2857" s="17"/>
      <c r="I2857" s="4">
        <f t="shared" si="96"/>
        <v>349526.07999999996</v>
      </c>
      <c r="J2857" s="32" t="str">
        <f t="shared" si="97"/>
        <v/>
      </c>
      <c r="K2857" s="79"/>
      <c r="L2857" s="79"/>
      <c r="M2857" s="2"/>
      <c r="N2857" s="5"/>
      <c r="O2857" s="3"/>
      <c r="P2857" s="6"/>
      <c r="Q2857" s="6"/>
    </row>
    <row r="2858" spans="1:17" ht="15" customHeight="1" x14ac:dyDescent="0.25">
      <c r="A2858" s="1"/>
      <c r="B2858" s="17"/>
      <c r="C2858" s="17"/>
      <c r="D2858" s="17"/>
      <c r="E2858" s="17"/>
      <c r="F2858" s="17"/>
      <c r="G2858" s="4">
        <f t="shared" si="98"/>
        <v>0</v>
      </c>
      <c r="H2858" s="17"/>
      <c r="I2858" s="4">
        <f t="shared" si="96"/>
        <v>349526.07999999996</v>
      </c>
      <c r="J2858" s="32" t="str">
        <f t="shared" si="97"/>
        <v/>
      </c>
      <c r="K2858" s="79"/>
      <c r="L2858" s="79"/>
      <c r="M2858" s="2"/>
      <c r="N2858" s="5"/>
      <c r="O2858" s="3"/>
      <c r="P2858" s="6"/>
      <c r="Q2858" s="6"/>
    </row>
    <row r="2859" spans="1:17" ht="15" customHeight="1" x14ac:dyDescent="0.25">
      <c r="A2859" s="1"/>
      <c r="B2859" s="17"/>
      <c r="C2859" s="17"/>
      <c r="D2859" s="17"/>
      <c r="E2859" s="17"/>
      <c r="F2859" s="17"/>
      <c r="G2859" s="4">
        <f t="shared" si="98"/>
        <v>0</v>
      </c>
      <c r="H2859" s="17"/>
      <c r="I2859" s="4">
        <f t="shared" si="96"/>
        <v>349526.07999999996</v>
      </c>
      <c r="J2859" s="32" t="str">
        <f t="shared" si="97"/>
        <v/>
      </c>
      <c r="K2859" s="79"/>
      <c r="L2859" s="79"/>
      <c r="M2859" s="2"/>
      <c r="N2859" s="5"/>
      <c r="O2859" s="3"/>
      <c r="P2859" s="6"/>
      <c r="Q2859" s="6"/>
    </row>
    <row r="2860" spans="1:17" ht="15" customHeight="1" x14ac:dyDescent="0.25">
      <c r="A2860" s="1"/>
      <c r="B2860" s="17"/>
      <c r="C2860" s="17"/>
      <c r="D2860" s="17"/>
      <c r="E2860" s="17"/>
      <c r="F2860" s="17"/>
      <c r="G2860" s="4">
        <f t="shared" si="98"/>
        <v>0</v>
      </c>
      <c r="H2860" s="17"/>
      <c r="I2860" s="4">
        <f t="shared" si="96"/>
        <v>349526.07999999996</v>
      </c>
      <c r="J2860" s="32" t="str">
        <f t="shared" si="97"/>
        <v/>
      </c>
      <c r="K2860" s="79"/>
      <c r="L2860" s="79"/>
      <c r="M2860" s="2"/>
      <c r="N2860" s="5"/>
      <c r="O2860" s="3"/>
      <c r="P2860" s="6"/>
      <c r="Q2860" s="6"/>
    </row>
    <row r="2861" spans="1:17" ht="15" customHeight="1" x14ac:dyDescent="0.25">
      <c r="A2861" s="1"/>
      <c r="B2861" s="17"/>
      <c r="C2861" s="17"/>
      <c r="D2861" s="17"/>
      <c r="E2861" s="17"/>
      <c r="F2861" s="17"/>
      <c r="G2861" s="4">
        <f t="shared" si="98"/>
        <v>0</v>
      </c>
      <c r="H2861" s="17"/>
      <c r="I2861" s="4">
        <f t="shared" si="96"/>
        <v>349526.07999999996</v>
      </c>
      <c r="J2861" s="32" t="str">
        <f t="shared" si="97"/>
        <v/>
      </c>
      <c r="K2861" s="79"/>
      <c r="L2861" s="79"/>
      <c r="M2861" s="2"/>
      <c r="N2861" s="5"/>
      <c r="O2861" s="3"/>
      <c r="P2861" s="6"/>
      <c r="Q2861" s="6"/>
    </row>
    <row r="2862" spans="1:17" ht="15" customHeight="1" x14ac:dyDescent="0.25">
      <c r="A2862" s="1"/>
      <c r="B2862" s="17"/>
      <c r="C2862" s="17"/>
      <c r="D2862" s="17"/>
      <c r="E2862" s="17"/>
      <c r="F2862" s="17"/>
      <c r="G2862" s="4">
        <f t="shared" si="98"/>
        <v>0</v>
      </c>
      <c r="H2862" s="17"/>
      <c r="I2862" s="4">
        <f t="shared" si="96"/>
        <v>349526.07999999996</v>
      </c>
      <c r="J2862" s="32" t="str">
        <f t="shared" si="97"/>
        <v/>
      </c>
      <c r="K2862" s="79"/>
      <c r="L2862" s="79"/>
      <c r="M2862" s="2"/>
      <c r="N2862" s="5"/>
      <c r="O2862" s="3"/>
      <c r="P2862" s="6"/>
      <c r="Q2862" s="6"/>
    </row>
    <row r="2863" spans="1:17" ht="15" customHeight="1" x14ac:dyDescent="0.25">
      <c r="A2863" s="1"/>
      <c r="B2863" s="17"/>
      <c r="C2863" s="17"/>
      <c r="D2863" s="17"/>
      <c r="E2863" s="17"/>
      <c r="F2863" s="17"/>
      <c r="G2863" s="4">
        <f t="shared" si="98"/>
        <v>0</v>
      </c>
      <c r="H2863" s="17"/>
      <c r="I2863" s="4">
        <f t="shared" si="96"/>
        <v>349526.07999999996</v>
      </c>
      <c r="J2863" s="32" t="str">
        <f t="shared" si="97"/>
        <v/>
      </c>
      <c r="K2863" s="79"/>
      <c r="L2863" s="79"/>
      <c r="M2863" s="2"/>
      <c r="N2863" s="5"/>
      <c r="O2863" s="3"/>
      <c r="P2863" s="6"/>
      <c r="Q2863" s="6"/>
    </row>
    <row r="2864" spans="1:17" ht="15" customHeight="1" x14ac:dyDescent="0.25">
      <c r="A2864" s="1"/>
      <c r="B2864" s="17"/>
      <c r="C2864" s="17"/>
      <c r="D2864" s="17"/>
      <c r="E2864" s="17"/>
      <c r="F2864" s="17"/>
      <c r="G2864" s="4">
        <f t="shared" si="98"/>
        <v>0</v>
      </c>
      <c r="H2864" s="17"/>
      <c r="I2864" s="4">
        <f t="shared" si="96"/>
        <v>349526.07999999996</v>
      </c>
      <c r="J2864" s="32" t="str">
        <f t="shared" si="97"/>
        <v/>
      </c>
      <c r="K2864" s="79"/>
      <c r="L2864" s="79"/>
      <c r="M2864" s="2"/>
      <c r="N2864" s="5"/>
      <c r="O2864" s="3"/>
      <c r="P2864" s="6"/>
      <c r="Q2864" s="6"/>
    </row>
    <row r="2865" spans="1:17" ht="15" customHeight="1" x14ac:dyDescent="0.25">
      <c r="A2865" s="1"/>
      <c r="B2865" s="17"/>
      <c r="C2865" s="17"/>
      <c r="D2865" s="17"/>
      <c r="E2865" s="17"/>
      <c r="F2865" s="17"/>
      <c r="G2865" s="4">
        <f t="shared" si="98"/>
        <v>0</v>
      </c>
      <c r="H2865" s="17"/>
      <c r="I2865" s="4">
        <f t="shared" si="96"/>
        <v>349526.07999999996</v>
      </c>
      <c r="J2865" s="32" t="str">
        <f t="shared" si="97"/>
        <v/>
      </c>
      <c r="K2865" s="79"/>
      <c r="L2865" s="79"/>
      <c r="M2865" s="2"/>
      <c r="N2865" s="5"/>
      <c r="O2865" s="3"/>
      <c r="P2865" s="6"/>
      <c r="Q2865" s="6"/>
    </row>
    <row r="2866" spans="1:17" ht="15" customHeight="1" x14ac:dyDescent="0.25">
      <c r="A2866" s="1"/>
      <c r="B2866" s="17"/>
      <c r="C2866" s="17"/>
      <c r="D2866" s="17"/>
      <c r="E2866" s="17"/>
      <c r="F2866" s="17"/>
      <c r="G2866" s="4">
        <f t="shared" si="98"/>
        <v>0</v>
      </c>
      <c r="H2866" s="17"/>
      <c r="I2866" s="4">
        <f t="shared" si="96"/>
        <v>349526.07999999996</v>
      </c>
      <c r="J2866" s="32" t="str">
        <f t="shared" si="97"/>
        <v/>
      </c>
      <c r="K2866" s="79"/>
      <c r="L2866" s="79"/>
      <c r="M2866" s="2"/>
      <c r="N2866" s="5"/>
      <c r="O2866" s="3"/>
      <c r="P2866" s="6"/>
      <c r="Q2866" s="6"/>
    </row>
    <row r="2867" spans="1:17" ht="15" customHeight="1" x14ac:dyDescent="0.25">
      <c r="A2867" s="1"/>
      <c r="B2867" s="17"/>
      <c r="C2867" s="17"/>
      <c r="D2867" s="17"/>
      <c r="E2867" s="17"/>
      <c r="F2867" s="17"/>
      <c r="G2867" s="4">
        <f t="shared" si="98"/>
        <v>0</v>
      </c>
      <c r="H2867" s="17"/>
      <c r="I2867" s="4">
        <f t="shared" si="96"/>
        <v>349526.07999999996</v>
      </c>
      <c r="J2867" s="32" t="str">
        <f t="shared" si="97"/>
        <v/>
      </c>
      <c r="K2867" s="79"/>
      <c r="L2867" s="79"/>
      <c r="M2867" s="2"/>
      <c r="N2867" s="5"/>
      <c r="O2867" s="3"/>
      <c r="P2867" s="6"/>
      <c r="Q2867" s="6"/>
    </row>
    <row r="2868" spans="1:17" ht="15" customHeight="1" x14ac:dyDescent="0.25">
      <c r="A2868" s="1"/>
      <c r="B2868" s="17"/>
      <c r="C2868" s="17"/>
      <c r="D2868" s="17"/>
      <c r="E2868" s="17"/>
      <c r="F2868" s="17"/>
      <c r="G2868" s="4">
        <f t="shared" si="98"/>
        <v>0</v>
      </c>
      <c r="H2868" s="17"/>
      <c r="I2868" s="4">
        <f t="shared" si="96"/>
        <v>349526.07999999996</v>
      </c>
      <c r="J2868" s="32" t="str">
        <f t="shared" si="97"/>
        <v/>
      </c>
      <c r="K2868" s="79"/>
      <c r="L2868" s="79"/>
      <c r="M2868" s="2"/>
      <c r="N2868" s="5"/>
      <c r="O2868" s="3"/>
      <c r="P2868" s="6"/>
      <c r="Q2868" s="6"/>
    </row>
    <row r="2869" spans="1:17" ht="15" customHeight="1" x14ac:dyDescent="0.25">
      <c r="A2869" s="1"/>
      <c r="B2869" s="17"/>
      <c r="C2869" s="17"/>
      <c r="D2869" s="17"/>
      <c r="E2869" s="17"/>
      <c r="F2869" s="17"/>
      <c r="G2869" s="4">
        <f t="shared" si="98"/>
        <v>0</v>
      </c>
      <c r="H2869" s="17"/>
      <c r="I2869" s="4">
        <f t="shared" si="96"/>
        <v>349526.07999999996</v>
      </c>
      <c r="J2869" s="32" t="str">
        <f t="shared" si="97"/>
        <v/>
      </c>
      <c r="K2869" s="79"/>
      <c r="L2869" s="79"/>
      <c r="M2869" s="2"/>
      <c r="N2869" s="5"/>
      <c r="O2869" s="3"/>
      <c r="P2869" s="6"/>
      <c r="Q2869" s="6"/>
    </row>
    <row r="2870" spans="1:17" ht="15" customHeight="1" x14ac:dyDescent="0.25">
      <c r="A2870" s="1"/>
      <c r="B2870" s="17"/>
      <c r="C2870" s="17"/>
      <c r="D2870" s="17"/>
      <c r="E2870" s="17"/>
      <c r="F2870" s="17"/>
      <c r="G2870" s="4">
        <f t="shared" si="98"/>
        <v>0</v>
      </c>
      <c r="H2870" s="17"/>
      <c r="I2870" s="4">
        <f t="shared" ref="I2870:I2933" si="99">$I2869+$G2870-$H2870</f>
        <v>349526.07999999996</v>
      </c>
      <c r="J2870" s="32" t="str">
        <f t="shared" ref="J2870:J2933" si="100">IF($A2871&lt;&gt;$A2870,$I2870,"")</f>
        <v/>
      </c>
      <c r="K2870" s="79"/>
      <c r="L2870" s="79"/>
      <c r="M2870" s="2"/>
      <c r="N2870" s="5"/>
      <c r="O2870" s="3"/>
      <c r="P2870" s="6"/>
      <c r="Q2870" s="6"/>
    </row>
    <row r="2871" spans="1:17" ht="15" customHeight="1" x14ac:dyDescent="0.25">
      <c r="A2871" s="1"/>
      <c r="B2871" s="17"/>
      <c r="C2871" s="17"/>
      <c r="D2871" s="17"/>
      <c r="E2871" s="17"/>
      <c r="F2871" s="17"/>
      <c r="G2871" s="4">
        <f t="shared" si="98"/>
        <v>0</v>
      </c>
      <c r="H2871" s="17"/>
      <c r="I2871" s="4">
        <f t="shared" si="99"/>
        <v>349526.07999999996</v>
      </c>
      <c r="J2871" s="32" t="str">
        <f t="shared" si="100"/>
        <v/>
      </c>
      <c r="K2871" s="79"/>
      <c r="L2871" s="79"/>
      <c r="M2871" s="2"/>
      <c r="N2871" s="5"/>
      <c r="O2871" s="3"/>
      <c r="P2871" s="6"/>
      <c r="Q2871" s="6"/>
    </row>
    <row r="2872" spans="1:17" ht="15" customHeight="1" x14ac:dyDescent="0.25">
      <c r="A2872" s="1"/>
      <c r="B2872" s="17"/>
      <c r="C2872" s="17"/>
      <c r="D2872" s="17"/>
      <c r="E2872" s="17"/>
      <c r="F2872" s="17"/>
      <c r="G2872" s="4">
        <f t="shared" si="98"/>
        <v>0</v>
      </c>
      <c r="H2872" s="17"/>
      <c r="I2872" s="4">
        <f t="shared" si="99"/>
        <v>349526.07999999996</v>
      </c>
      <c r="J2872" s="32" t="str">
        <f t="shared" si="100"/>
        <v/>
      </c>
      <c r="K2872" s="79"/>
      <c r="L2872" s="79"/>
      <c r="M2872" s="2"/>
      <c r="N2872" s="5"/>
      <c r="O2872" s="3"/>
      <c r="P2872" s="6"/>
      <c r="Q2872" s="6"/>
    </row>
    <row r="2873" spans="1:17" ht="15" customHeight="1" x14ac:dyDescent="0.25">
      <c r="A2873" s="1"/>
      <c r="B2873" s="17"/>
      <c r="C2873" s="17"/>
      <c r="D2873" s="17"/>
      <c r="E2873" s="17"/>
      <c r="F2873" s="17"/>
      <c r="G2873" s="4">
        <f t="shared" si="98"/>
        <v>0</v>
      </c>
      <c r="H2873" s="17"/>
      <c r="I2873" s="4">
        <f t="shared" si="99"/>
        <v>349526.07999999996</v>
      </c>
      <c r="J2873" s="32" t="str">
        <f t="shared" si="100"/>
        <v/>
      </c>
      <c r="K2873" s="79"/>
      <c r="L2873" s="79"/>
      <c r="M2873" s="2"/>
      <c r="N2873" s="5"/>
      <c r="O2873" s="3"/>
      <c r="P2873" s="6"/>
      <c r="Q2873" s="6"/>
    </row>
    <row r="2874" spans="1:17" ht="15" customHeight="1" x14ac:dyDescent="0.25">
      <c r="A2874" s="1"/>
      <c r="B2874" s="17"/>
      <c r="C2874" s="17"/>
      <c r="D2874" s="17"/>
      <c r="E2874" s="17"/>
      <c r="F2874" s="17"/>
      <c r="G2874" s="4">
        <f t="shared" si="98"/>
        <v>0</v>
      </c>
      <c r="H2874" s="17"/>
      <c r="I2874" s="4">
        <f t="shared" si="99"/>
        <v>349526.07999999996</v>
      </c>
      <c r="J2874" s="32" t="str">
        <f t="shared" si="100"/>
        <v/>
      </c>
      <c r="K2874" s="79"/>
      <c r="L2874" s="79"/>
      <c r="M2874" s="2"/>
      <c r="N2874" s="5"/>
      <c r="O2874" s="3"/>
      <c r="P2874" s="6"/>
      <c r="Q2874" s="6"/>
    </row>
    <row r="2875" spans="1:17" ht="15" customHeight="1" x14ac:dyDescent="0.25">
      <c r="A2875" s="1"/>
      <c r="B2875" s="17"/>
      <c r="C2875" s="17"/>
      <c r="D2875" s="17"/>
      <c r="E2875" s="17"/>
      <c r="F2875" s="17"/>
      <c r="G2875" s="4">
        <f t="shared" si="98"/>
        <v>0</v>
      </c>
      <c r="H2875" s="17"/>
      <c r="I2875" s="4">
        <f t="shared" si="99"/>
        <v>349526.07999999996</v>
      </c>
      <c r="J2875" s="32" t="str">
        <f t="shared" si="100"/>
        <v/>
      </c>
      <c r="K2875" s="79"/>
      <c r="L2875" s="79"/>
      <c r="M2875" s="2"/>
      <c r="N2875" s="5"/>
      <c r="O2875" s="3"/>
      <c r="P2875" s="6"/>
      <c r="Q2875" s="6"/>
    </row>
    <row r="2876" spans="1:17" ht="15" customHeight="1" x14ac:dyDescent="0.25">
      <c r="A2876" s="1"/>
      <c r="B2876" s="17"/>
      <c r="C2876" s="17"/>
      <c r="D2876" s="17"/>
      <c r="E2876" s="17"/>
      <c r="F2876" s="17"/>
      <c r="G2876" s="4">
        <f t="shared" si="98"/>
        <v>0</v>
      </c>
      <c r="H2876" s="17"/>
      <c r="I2876" s="4">
        <f t="shared" si="99"/>
        <v>349526.07999999996</v>
      </c>
      <c r="J2876" s="32" t="str">
        <f t="shared" si="100"/>
        <v/>
      </c>
      <c r="K2876" s="79"/>
      <c r="L2876" s="79"/>
      <c r="M2876" s="2"/>
      <c r="N2876" s="5"/>
      <c r="O2876" s="3"/>
      <c r="P2876" s="6"/>
      <c r="Q2876" s="6"/>
    </row>
    <row r="2877" spans="1:17" ht="15" customHeight="1" x14ac:dyDescent="0.25">
      <c r="A2877" s="1"/>
      <c r="B2877" s="17"/>
      <c r="C2877" s="17"/>
      <c r="D2877" s="17"/>
      <c r="E2877" s="17"/>
      <c r="F2877" s="17"/>
      <c r="G2877" s="4">
        <f t="shared" si="98"/>
        <v>0</v>
      </c>
      <c r="H2877" s="17"/>
      <c r="I2877" s="4">
        <f t="shared" si="99"/>
        <v>349526.07999999996</v>
      </c>
      <c r="J2877" s="32" t="str">
        <f t="shared" si="100"/>
        <v/>
      </c>
      <c r="K2877" s="79"/>
      <c r="L2877" s="79"/>
      <c r="M2877" s="2"/>
      <c r="N2877" s="5"/>
      <c r="O2877" s="3"/>
      <c r="P2877" s="6"/>
      <c r="Q2877" s="6"/>
    </row>
    <row r="2878" spans="1:17" ht="15" customHeight="1" x14ac:dyDescent="0.25">
      <c r="A2878" s="1"/>
      <c r="B2878" s="17"/>
      <c r="C2878" s="17"/>
      <c r="D2878" s="17"/>
      <c r="E2878" s="17"/>
      <c r="F2878" s="17"/>
      <c r="G2878" s="4">
        <f t="shared" si="98"/>
        <v>0</v>
      </c>
      <c r="H2878" s="17"/>
      <c r="I2878" s="4">
        <f t="shared" si="99"/>
        <v>349526.07999999996</v>
      </c>
      <c r="J2878" s="32" t="str">
        <f t="shared" si="100"/>
        <v/>
      </c>
      <c r="K2878" s="79"/>
      <c r="L2878" s="79"/>
      <c r="M2878" s="2"/>
      <c r="N2878" s="5"/>
      <c r="O2878" s="3"/>
      <c r="P2878" s="6"/>
      <c r="Q2878" s="6"/>
    </row>
    <row r="2879" spans="1:17" ht="15" customHeight="1" x14ac:dyDescent="0.25">
      <c r="A2879" s="1"/>
      <c r="B2879" s="17"/>
      <c r="C2879" s="17"/>
      <c r="D2879" s="17"/>
      <c r="E2879" s="17"/>
      <c r="F2879" s="17"/>
      <c r="G2879" s="4">
        <f t="shared" si="98"/>
        <v>0</v>
      </c>
      <c r="H2879" s="17"/>
      <c r="I2879" s="4">
        <f t="shared" si="99"/>
        <v>349526.07999999996</v>
      </c>
      <c r="J2879" s="32" t="str">
        <f t="shared" si="100"/>
        <v/>
      </c>
      <c r="K2879" s="79"/>
      <c r="L2879" s="79"/>
      <c r="M2879" s="2"/>
      <c r="N2879" s="5"/>
      <c r="O2879" s="3"/>
      <c r="P2879" s="6"/>
      <c r="Q2879" s="6"/>
    </row>
    <row r="2880" spans="1:17" ht="15" customHeight="1" x14ac:dyDescent="0.25">
      <c r="A2880" s="1"/>
      <c r="B2880" s="17"/>
      <c r="C2880" s="17"/>
      <c r="D2880" s="17"/>
      <c r="E2880" s="17"/>
      <c r="F2880" s="17"/>
      <c r="G2880" s="4">
        <f t="shared" si="98"/>
        <v>0</v>
      </c>
      <c r="H2880" s="17"/>
      <c r="I2880" s="4">
        <f t="shared" si="99"/>
        <v>349526.07999999996</v>
      </c>
      <c r="J2880" s="32" t="str">
        <f t="shared" si="100"/>
        <v/>
      </c>
      <c r="K2880" s="79"/>
      <c r="L2880" s="79"/>
      <c r="M2880" s="2"/>
      <c r="N2880" s="5"/>
      <c r="O2880" s="3"/>
      <c r="P2880" s="6"/>
      <c r="Q2880" s="6"/>
    </row>
    <row r="2881" spans="1:17" ht="15" customHeight="1" x14ac:dyDescent="0.25">
      <c r="A2881" s="1"/>
      <c r="B2881" s="17"/>
      <c r="C2881" s="17"/>
      <c r="D2881" s="17"/>
      <c r="E2881" s="17"/>
      <c r="F2881" s="17"/>
      <c r="G2881" s="4">
        <f t="shared" si="98"/>
        <v>0</v>
      </c>
      <c r="H2881" s="17"/>
      <c r="I2881" s="4">
        <f t="shared" si="99"/>
        <v>349526.07999999996</v>
      </c>
      <c r="J2881" s="32" t="str">
        <f t="shared" si="100"/>
        <v/>
      </c>
      <c r="K2881" s="79"/>
      <c r="L2881" s="79"/>
      <c r="M2881" s="2"/>
      <c r="N2881" s="5"/>
      <c r="O2881" s="3"/>
      <c r="P2881" s="6"/>
      <c r="Q2881" s="6"/>
    </row>
    <row r="2882" spans="1:17" ht="15" customHeight="1" x14ac:dyDescent="0.25">
      <c r="A2882" s="1"/>
      <c r="B2882" s="17"/>
      <c r="C2882" s="17"/>
      <c r="D2882" s="17"/>
      <c r="E2882" s="17"/>
      <c r="F2882" s="17"/>
      <c r="G2882" s="4">
        <f t="shared" si="98"/>
        <v>0</v>
      </c>
      <c r="H2882" s="17"/>
      <c r="I2882" s="4">
        <f t="shared" si="99"/>
        <v>349526.07999999996</v>
      </c>
      <c r="J2882" s="32" t="str">
        <f t="shared" si="100"/>
        <v/>
      </c>
      <c r="K2882" s="79"/>
      <c r="L2882" s="79"/>
      <c r="M2882" s="2"/>
      <c r="N2882" s="5"/>
      <c r="O2882" s="3"/>
      <c r="P2882" s="6"/>
      <c r="Q2882" s="6"/>
    </row>
    <row r="2883" spans="1:17" ht="15" customHeight="1" x14ac:dyDescent="0.25">
      <c r="A2883" s="1"/>
      <c r="B2883" s="17"/>
      <c r="C2883" s="17"/>
      <c r="D2883" s="17"/>
      <c r="E2883" s="17"/>
      <c r="F2883" s="17"/>
      <c r="G2883" s="4">
        <f t="shared" ref="G2883:G2946" si="101">SUM($B2883:$F2883)</f>
        <v>0</v>
      </c>
      <c r="H2883" s="17"/>
      <c r="I2883" s="4">
        <f t="shared" si="99"/>
        <v>349526.07999999996</v>
      </c>
      <c r="J2883" s="32" t="str">
        <f t="shared" si="100"/>
        <v/>
      </c>
      <c r="K2883" s="79"/>
      <c r="L2883" s="79"/>
      <c r="M2883" s="2"/>
      <c r="N2883" s="5"/>
      <c r="O2883" s="3"/>
      <c r="P2883" s="6"/>
      <c r="Q2883" s="6"/>
    </row>
    <row r="2884" spans="1:17" ht="15" customHeight="1" x14ac:dyDescent="0.25">
      <c r="A2884" s="1"/>
      <c r="B2884" s="17"/>
      <c r="C2884" s="17"/>
      <c r="D2884" s="17"/>
      <c r="E2884" s="17"/>
      <c r="F2884" s="17"/>
      <c r="G2884" s="4">
        <f t="shared" si="101"/>
        <v>0</v>
      </c>
      <c r="H2884" s="17"/>
      <c r="I2884" s="4">
        <f t="shared" si="99"/>
        <v>349526.07999999996</v>
      </c>
      <c r="J2884" s="32" t="str">
        <f t="shared" si="100"/>
        <v/>
      </c>
      <c r="K2884" s="79"/>
      <c r="L2884" s="79"/>
      <c r="M2884" s="2"/>
      <c r="N2884" s="5"/>
      <c r="O2884" s="3"/>
      <c r="P2884" s="6"/>
      <c r="Q2884" s="6"/>
    </row>
    <row r="2885" spans="1:17" ht="15" customHeight="1" x14ac:dyDescent="0.25">
      <c r="A2885" s="1"/>
      <c r="B2885" s="17"/>
      <c r="C2885" s="17"/>
      <c r="D2885" s="17"/>
      <c r="E2885" s="17"/>
      <c r="F2885" s="17"/>
      <c r="G2885" s="4">
        <f t="shared" si="101"/>
        <v>0</v>
      </c>
      <c r="H2885" s="17"/>
      <c r="I2885" s="4">
        <f t="shared" si="99"/>
        <v>349526.07999999996</v>
      </c>
      <c r="J2885" s="32" t="str">
        <f t="shared" si="100"/>
        <v/>
      </c>
      <c r="K2885" s="79"/>
      <c r="L2885" s="79"/>
      <c r="M2885" s="2"/>
      <c r="N2885" s="5"/>
      <c r="O2885" s="3"/>
      <c r="P2885" s="6"/>
      <c r="Q2885" s="6"/>
    </row>
    <row r="2886" spans="1:17" ht="15" customHeight="1" x14ac:dyDescent="0.25">
      <c r="A2886" s="1"/>
      <c r="B2886" s="17"/>
      <c r="C2886" s="17"/>
      <c r="D2886" s="17"/>
      <c r="E2886" s="17"/>
      <c r="F2886" s="17"/>
      <c r="G2886" s="4">
        <f t="shared" si="101"/>
        <v>0</v>
      </c>
      <c r="H2886" s="17"/>
      <c r="I2886" s="4">
        <f t="shared" si="99"/>
        <v>349526.07999999996</v>
      </c>
      <c r="J2886" s="32" t="str">
        <f t="shared" si="100"/>
        <v/>
      </c>
      <c r="K2886" s="79"/>
      <c r="L2886" s="79"/>
      <c r="M2886" s="2"/>
      <c r="N2886" s="5"/>
      <c r="O2886" s="3"/>
      <c r="P2886" s="6"/>
      <c r="Q2886" s="6"/>
    </row>
    <row r="2887" spans="1:17" ht="15" customHeight="1" x14ac:dyDescent="0.25">
      <c r="A2887" s="1"/>
      <c r="B2887" s="17"/>
      <c r="C2887" s="17"/>
      <c r="D2887" s="17"/>
      <c r="E2887" s="17"/>
      <c r="F2887" s="17"/>
      <c r="G2887" s="4">
        <f t="shared" si="101"/>
        <v>0</v>
      </c>
      <c r="H2887" s="17"/>
      <c r="I2887" s="4">
        <f t="shared" si="99"/>
        <v>349526.07999999996</v>
      </c>
      <c r="J2887" s="32" t="str">
        <f t="shared" si="100"/>
        <v/>
      </c>
      <c r="K2887" s="79"/>
      <c r="L2887" s="79"/>
      <c r="M2887" s="2"/>
      <c r="N2887" s="5"/>
      <c r="O2887" s="3"/>
      <c r="P2887" s="6"/>
      <c r="Q2887" s="6"/>
    </row>
    <row r="2888" spans="1:17" ht="15" customHeight="1" x14ac:dyDescent="0.25">
      <c r="A2888" s="1"/>
      <c r="B2888" s="17"/>
      <c r="C2888" s="17"/>
      <c r="D2888" s="17"/>
      <c r="E2888" s="17"/>
      <c r="F2888" s="17"/>
      <c r="G2888" s="4">
        <f t="shared" si="101"/>
        <v>0</v>
      </c>
      <c r="H2888" s="17"/>
      <c r="I2888" s="4">
        <f t="shared" si="99"/>
        <v>349526.07999999996</v>
      </c>
      <c r="J2888" s="32" t="str">
        <f t="shared" si="100"/>
        <v/>
      </c>
      <c r="K2888" s="79"/>
      <c r="L2888" s="79"/>
      <c r="M2888" s="2"/>
      <c r="N2888" s="5"/>
      <c r="O2888" s="3"/>
      <c r="P2888" s="6"/>
      <c r="Q2888" s="6"/>
    </row>
    <row r="2889" spans="1:17" ht="15" customHeight="1" x14ac:dyDescent="0.25">
      <c r="A2889" s="1"/>
      <c r="B2889" s="17"/>
      <c r="C2889" s="17"/>
      <c r="D2889" s="17"/>
      <c r="E2889" s="17"/>
      <c r="F2889" s="17"/>
      <c r="G2889" s="4">
        <f t="shared" si="101"/>
        <v>0</v>
      </c>
      <c r="H2889" s="17"/>
      <c r="I2889" s="4">
        <f t="shared" si="99"/>
        <v>349526.07999999996</v>
      </c>
      <c r="J2889" s="32" t="str">
        <f t="shared" si="100"/>
        <v/>
      </c>
      <c r="K2889" s="79"/>
      <c r="L2889" s="79"/>
      <c r="M2889" s="2"/>
      <c r="N2889" s="5"/>
      <c r="O2889" s="3"/>
      <c r="P2889" s="6"/>
      <c r="Q2889" s="6"/>
    </row>
    <row r="2890" spans="1:17" ht="15" customHeight="1" x14ac:dyDescent="0.25">
      <c r="A2890" s="1"/>
      <c r="B2890" s="17"/>
      <c r="C2890" s="17"/>
      <c r="D2890" s="17"/>
      <c r="E2890" s="17"/>
      <c r="F2890" s="17"/>
      <c r="G2890" s="4">
        <f t="shared" si="101"/>
        <v>0</v>
      </c>
      <c r="H2890" s="17"/>
      <c r="I2890" s="4">
        <f t="shared" si="99"/>
        <v>349526.07999999996</v>
      </c>
      <c r="J2890" s="32" t="str">
        <f t="shared" si="100"/>
        <v/>
      </c>
      <c r="K2890" s="79"/>
      <c r="L2890" s="79"/>
      <c r="M2890" s="2"/>
      <c r="N2890" s="5"/>
      <c r="O2890" s="3"/>
      <c r="P2890" s="6"/>
      <c r="Q2890" s="6"/>
    </row>
    <row r="2891" spans="1:17" ht="15" customHeight="1" x14ac:dyDescent="0.25">
      <c r="A2891" s="1"/>
      <c r="B2891" s="17"/>
      <c r="C2891" s="17"/>
      <c r="D2891" s="17"/>
      <c r="E2891" s="17"/>
      <c r="F2891" s="17"/>
      <c r="G2891" s="4">
        <f t="shared" si="101"/>
        <v>0</v>
      </c>
      <c r="H2891" s="17"/>
      <c r="I2891" s="4">
        <f t="shared" si="99"/>
        <v>349526.07999999996</v>
      </c>
      <c r="J2891" s="32" t="str">
        <f t="shared" si="100"/>
        <v/>
      </c>
      <c r="K2891" s="79"/>
      <c r="L2891" s="79"/>
      <c r="M2891" s="2"/>
      <c r="N2891" s="5"/>
      <c r="O2891" s="3"/>
      <c r="P2891" s="6"/>
      <c r="Q2891" s="6"/>
    </row>
    <row r="2892" spans="1:17" ht="15" customHeight="1" x14ac:dyDescent="0.25">
      <c r="A2892" s="1"/>
      <c r="B2892" s="17"/>
      <c r="C2892" s="17"/>
      <c r="D2892" s="17"/>
      <c r="E2892" s="17"/>
      <c r="F2892" s="17"/>
      <c r="G2892" s="4">
        <f t="shared" si="101"/>
        <v>0</v>
      </c>
      <c r="H2892" s="17"/>
      <c r="I2892" s="4">
        <f t="shared" si="99"/>
        <v>349526.07999999996</v>
      </c>
      <c r="J2892" s="32" t="str">
        <f t="shared" si="100"/>
        <v/>
      </c>
      <c r="K2892" s="79"/>
      <c r="L2892" s="79"/>
      <c r="M2892" s="2"/>
      <c r="N2892" s="5"/>
      <c r="O2892" s="3"/>
      <c r="P2892" s="6"/>
      <c r="Q2892" s="6"/>
    </row>
    <row r="2893" spans="1:17" ht="15" customHeight="1" x14ac:dyDescent="0.25">
      <c r="A2893" s="1"/>
      <c r="B2893" s="17"/>
      <c r="C2893" s="17"/>
      <c r="D2893" s="17"/>
      <c r="E2893" s="17"/>
      <c r="F2893" s="17"/>
      <c r="G2893" s="4">
        <f t="shared" si="101"/>
        <v>0</v>
      </c>
      <c r="H2893" s="17"/>
      <c r="I2893" s="4">
        <f t="shared" si="99"/>
        <v>349526.07999999996</v>
      </c>
      <c r="J2893" s="32" t="str">
        <f t="shared" si="100"/>
        <v/>
      </c>
      <c r="K2893" s="79"/>
      <c r="L2893" s="79"/>
      <c r="M2893" s="2"/>
      <c r="N2893" s="5"/>
      <c r="O2893" s="3"/>
      <c r="P2893" s="6"/>
      <c r="Q2893" s="6"/>
    </row>
    <row r="2894" spans="1:17" ht="15" customHeight="1" x14ac:dyDescent="0.25">
      <c r="A2894" s="1"/>
      <c r="B2894" s="17"/>
      <c r="C2894" s="17"/>
      <c r="D2894" s="17"/>
      <c r="E2894" s="17"/>
      <c r="F2894" s="17"/>
      <c r="G2894" s="4">
        <f t="shared" si="101"/>
        <v>0</v>
      </c>
      <c r="H2894" s="17"/>
      <c r="I2894" s="4">
        <f t="shared" si="99"/>
        <v>349526.07999999996</v>
      </c>
      <c r="J2894" s="32" t="str">
        <f t="shared" si="100"/>
        <v/>
      </c>
      <c r="K2894" s="79"/>
      <c r="L2894" s="79"/>
      <c r="M2894" s="2"/>
      <c r="N2894" s="5"/>
      <c r="O2894" s="3"/>
      <c r="P2894" s="6"/>
      <c r="Q2894" s="6"/>
    </row>
    <row r="2895" spans="1:17" ht="15" customHeight="1" x14ac:dyDescent="0.25">
      <c r="A2895" s="1"/>
      <c r="B2895" s="17"/>
      <c r="C2895" s="17"/>
      <c r="D2895" s="17"/>
      <c r="E2895" s="17"/>
      <c r="F2895" s="17"/>
      <c r="G2895" s="4">
        <f t="shared" si="101"/>
        <v>0</v>
      </c>
      <c r="H2895" s="17"/>
      <c r="I2895" s="4">
        <f t="shared" si="99"/>
        <v>349526.07999999996</v>
      </c>
      <c r="J2895" s="32" t="str">
        <f t="shared" si="100"/>
        <v/>
      </c>
      <c r="K2895" s="79"/>
      <c r="L2895" s="79"/>
      <c r="M2895" s="2"/>
      <c r="N2895" s="5"/>
      <c r="O2895" s="3"/>
      <c r="P2895" s="6"/>
      <c r="Q2895" s="6"/>
    </row>
    <row r="2896" spans="1:17" ht="15" customHeight="1" x14ac:dyDescent="0.25">
      <c r="A2896" s="1"/>
      <c r="B2896" s="17"/>
      <c r="C2896" s="17"/>
      <c r="D2896" s="17"/>
      <c r="E2896" s="17"/>
      <c r="F2896" s="17"/>
      <c r="G2896" s="4">
        <f t="shared" si="101"/>
        <v>0</v>
      </c>
      <c r="H2896" s="17"/>
      <c r="I2896" s="4">
        <f t="shared" si="99"/>
        <v>349526.07999999996</v>
      </c>
      <c r="J2896" s="32" t="str">
        <f t="shared" si="100"/>
        <v/>
      </c>
      <c r="K2896" s="79"/>
      <c r="L2896" s="79"/>
      <c r="M2896" s="2"/>
      <c r="N2896" s="5"/>
      <c r="O2896" s="3"/>
      <c r="P2896" s="6"/>
      <c r="Q2896" s="6"/>
    </row>
    <row r="2897" spans="1:17" ht="15" customHeight="1" x14ac:dyDescent="0.25">
      <c r="A2897" s="1"/>
      <c r="B2897" s="17"/>
      <c r="C2897" s="17"/>
      <c r="D2897" s="17"/>
      <c r="E2897" s="17"/>
      <c r="F2897" s="17"/>
      <c r="G2897" s="4">
        <f t="shared" si="101"/>
        <v>0</v>
      </c>
      <c r="H2897" s="17"/>
      <c r="I2897" s="4">
        <f t="shared" si="99"/>
        <v>349526.07999999996</v>
      </c>
      <c r="J2897" s="32" t="str">
        <f t="shared" si="100"/>
        <v/>
      </c>
      <c r="K2897" s="79"/>
      <c r="L2897" s="79"/>
      <c r="M2897" s="2"/>
      <c r="N2897" s="5"/>
      <c r="O2897" s="3"/>
      <c r="P2897" s="6"/>
      <c r="Q2897" s="6"/>
    </row>
    <row r="2898" spans="1:17" ht="15" customHeight="1" x14ac:dyDescent="0.25">
      <c r="A2898" s="1"/>
      <c r="B2898" s="17"/>
      <c r="C2898" s="17"/>
      <c r="D2898" s="17"/>
      <c r="E2898" s="17"/>
      <c r="F2898" s="17"/>
      <c r="G2898" s="4">
        <f t="shared" si="101"/>
        <v>0</v>
      </c>
      <c r="H2898" s="17"/>
      <c r="I2898" s="4">
        <f t="shared" si="99"/>
        <v>349526.07999999996</v>
      </c>
      <c r="J2898" s="32" t="str">
        <f t="shared" si="100"/>
        <v/>
      </c>
      <c r="K2898" s="79"/>
      <c r="L2898" s="79"/>
      <c r="M2898" s="2"/>
      <c r="N2898" s="5"/>
      <c r="O2898" s="3"/>
      <c r="P2898" s="6"/>
      <c r="Q2898" s="6"/>
    </row>
    <row r="2899" spans="1:17" ht="15" customHeight="1" x14ac:dyDescent="0.25">
      <c r="A2899" s="1"/>
      <c r="B2899" s="17"/>
      <c r="C2899" s="17"/>
      <c r="D2899" s="17"/>
      <c r="E2899" s="17"/>
      <c r="F2899" s="17"/>
      <c r="G2899" s="4">
        <f t="shared" si="101"/>
        <v>0</v>
      </c>
      <c r="H2899" s="17"/>
      <c r="I2899" s="4">
        <f t="shared" si="99"/>
        <v>349526.07999999996</v>
      </c>
      <c r="J2899" s="32" t="str">
        <f t="shared" si="100"/>
        <v/>
      </c>
      <c r="K2899" s="79"/>
      <c r="L2899" s="79"/>
      <c r="M2899" s="2"/>
      <c r="N2899" s="5"/>
      <c r="O2899" s="3"/>
      <c r="P2899" s="6"/>
      <c r="Q2899" s="6"/>
    </row>
    <row r="2900" spans="1:17" ht="15" customHeight="1" x14ac:dyDescent="0.25">
      <c r="A2900" s="1"/>
      <c r="B2900" s="17"/>
      <c r="C2900" s="17"/>
      <c r="D2900" s="17"/>
      <c r="E2900" s="17"/>
      <c r="F2900" s="17"/>
      <c r="G2900" s="4">
        <f t="shared" si="101"/>
        <v>0</v>
      </c>
      <c r="H2900" s="17"/>
      <c r="I2900" s="4">
        <f t="shared" si="99"/>
        <v>349526.07999999996</v>
      </c>
      <c r="J2900" s="32" t="str">
        <f t="shared" si="100"/>
        <v/>
      </c>
      <c r="K2900" s="79"/>
      <c r="L2900" s="79"/>
      <c r="M2900" s="2"/>
      <c r="N2900" s="5"/>
      <c r="O2900" s="3"/>
      <c r="P2900" s="6"/>
      <c r="Q2900" s="6"/>
    </row>
    <row r="2901" spans="1:17" ht="15" customHeight="1" x14ac:dyDescent="0.25">
      <c r="A2901" s="1"/>
      <c r="B2901" s="17"/>
      <c r="C2901" s="17"/>
      <c r="D2901" s="17"/>
      <c r="E2901" s="17"/>
      <c r="F2901" s="17"/>
      <c r="G2901" s="4">
        <f t="shared" si="101"/>
        <v>0</v>
      </c>
      <c r="H2901" s="17"/>
      <c r="I2901" s="4">
        <f t="shared" si="99"/>
        <v>349526.07999999996</v>
      </c>
      <c r="J2901" s="32" t="str">
        <f t="shared" si="100"/>
        <v/>
      </c>
      <c r="K2901" s="79"/>
      <c r="L2901" s="79"/>
      <c r="M2901" s="2"/>
      <c r="N2901" s="5"/>
      <c r="O2901" s="3"/>
      <c r="P2901" s="6"/>
      <c r="Q2901" s="6"/>
    </row>
    <row r="2902" spans="1:17" ht="15" customHeight="1" x14ac:dyDescent="0.25">
      <c r="A2902" s="1"/>
      <c r="B2902" s="17"/>
      <c r="C2902" s="17"/>
      <c r="D2902" s="17"/>
      <c r="E2902" s="17"/>
      <c r="F2902" s="17"/>
      <c r="G2902" s="4">
        <f t="shared" si="101"/>
        <v>0</v>
      </c>
      <c r="H2902" s="17"/>
      <c r="I2902" s="4">
        <f t="shared" si="99"/>
        <v>349526.07999999996</v>
      </c>
      <c r="J2902" s="32" t="str">
        <f t="shared" si="100"/>
        <v/>
      </c>
      <c r="K2902" s="79"/>
      <c r="L2902" s="79"/>
      <c r="M2902" s="2"/>
      <c r="N2902" s="5"/>
      <c r="O2902" s="3"/>
      <c r="P2902" s="6"/>
      <c r="Q2902" s="6"/>
    </row>
    <row r="2903" spans="1:17" ht="15" customHeight="1" x14ac:dyDescent="0.25">
      <c r="A2903" s="1"/>
      <c r="B2903" s="17"/>
      <c r="C2903" s="17"/>
      <c r="D2903" s="17"/>
      <c r="E2903" s="17"/>
      <c r="F2903" s="17"/>
      <c r="G2903" s="4">
        <f t="shared" si="101"/>
        <v>0</v>
      </c>
      <c r="H2903" s="17"/>
      <c r="I2903" s="4">
        <f t="shared" si="99"/>
        <v>349526.07999999996</v>
      </c>
      <c r="J2903" s="32" t="str">
        <f t="shared" si="100"/>
        <v/>
      </c>
      <c r="K2903" s="79"/>
      <c r="L2903" s="79"/>
      <c r="M2903" s="2"/>
      <c r="N2903" s="5"/>
      <c r="O2903" s="3"/>
      <c r="P2903" s="6"/>
      <c r="Q2903" s="6"/>
    </row>
    <row r="2904" spans="1:17" ht="15" customHeight="1" x14ac:dyDescent="0.25">
      <c r="A2904" s="1"/>
      <c r="B2904" s="17"/>
      <c r="C2904" s="17"/>
      <c r="D2904" s="17"/>
      <c r="E2904" s="17"/>
      <c r="F2904" s="17"/>
      <c r="G2904" s="4">
        <f t="shared" si="101"/>
        <v>0</v>
      </c>
      <c r="H2904" s="17"/>
      <c r="I2904" s="4">
        <f t="shared" si="99"/>
        <v>349526.07999999996</v>
      </c>
      <c r="J2904" s="32" t="str">
        <f t="shared" si="100"/>
        <v/>
      </c>
      <c r="K2904" s="79"/>
      <c r="L2904" s="79"/>
      <c r="M2904" s="2"/>
      <c r="N2904" s="5"/>
      <c r="O2904" s="3"/>
      <c r="P2904" s="6"/>
      <c r="Q2904" s="6"/>
    </row>
    <row r="2905" spans="1:17" ht="15" customHeight="1" x14ac:dyDescent="0.25">
      <c r="A2905" s="1"/>
      <c r="B2905" s="17"/>
      <c r="C2905" s="17"/>
      <c r="D2905" s="17"/>
      <c r="E2905" s="17"/>
      <c r="F2905" s="17"/>
      <c r="G2905" s="4">
        <f t="shared" si="101"/>
        <v>0</v>
      </c>
      <c r="H2905" s="17"/>
      <c r="I2905" s="4">
        <f t="shared" si="99"/>
        <v>349526.07999999996</v>
      </c>
      <c r="J2905" s="32" t="str">
        <f t="shared" si="100"/>
        <v/>
      </c>
      <c r="K2905" s="79"/>
      <c r="L2905" s="79"/>
      <c r="M2905" s="2"/>
      <c r="N2905" s="5"/>
      <c r="O2905" s="3"/>
      <c r="P2905" s="6"/>
      <c r="Q2905" s="6"/>
    </row>
    <row r="2906" spans="1:17" ht="15" customHeight="1" x14ac:dyDescent="0.25">
      <c r="A2906" s="1"/>
      <c r="B2906" s="17"/>
      <c r="C2906" s="17"/>
      <c r="D2906" s="17"/>
      <c r="E2906" s="17"/>
      <c r="F2906" s="17"/>
      <c r="G2906" s="4">
        <f t="shared" si="101"/>
        <v>0</v>
      </c>
      <c r="H2906" s="17"/>
      <c r="I2906" s="4">
        <f t="shared" si="99"/>
        <v>349526.07999999996</v>
      </c>
      <c r="J2906" s="32" t="str">
        <f t="shared" si="100"/>
        <v/>
      </c>
      <c r="K2906" s="79"/>
      <c r="L2906" s="79"/>
      <c r="M2906" s="2"/>
      <c r="N2906" s="5"/>
      <c r="O2906" s="3"/>
      <c r="P2906" s="6"/>
      <c r="Q2906" s="6"/>
    </row>
    <row r="2907" spans="1:17" ht="15" customHeight="1" x14ac:dyDescent="0.25">
      <c r="A2907" s="1"/>
      <c r="B2907" s="17"/>
      <c r="C2907" s="17"/>
      <c r="D2907" s="17"/>
      <c r="E2907" s="17"/>
      <c r="F2907" s="17"/>
      <c r="G2907" s="4">
        <f t="shared" si="101"/>
        <v>0</v>
      </c>
      <c r="H2907" s="17"/>
      <c r="I2907" s="4">
        <f t="shared" si="99"/>
        <v>349526.07999999996</v>
      </c>
      <c r="J2907" s="32" t="str">
        <f t="shared" si="100"/>
        <v/>
      </c>
      <c r="K2907" s="79"/>
      <c r="L2907" s="79"/>
      <c r="M2907" s="2"/>
      <c r="N2907" s="5"/>
      <c r="O2907" s="3"/>
      <c r="P2907" s="6"/>
      <c r="Q2907" s="6"/>
    </row>
    <row r="2908" spans="1:17" ht="15" customHeight="1" x14ac:dyDescent="0.25">
      <c r="A2908" s="1"/>
      <c r="B2908" s="17"/>
      <c r="C2908" s="17"/>
      <c r="D2908" s="17"/>
      <c r="E2908" s="17"/>
      <c r="F2908" s="17"/>
      <c r="G2908" s="4">
        <f t="shared" si="101"/>
        <v>0</v>
      </c>
      <c r="H2908" s="17"/>
      <c r="I2908" s="4">
        <f t="shared" si="99"/>
        <v>349526.07999999996</v>
      </c>
      <c r="J2908" s="32" t="str">
        <f t="shared" si="100"/>
        <v/>
      </c>
      <c r="K2908" s="79"/>
      <c r="L2908" s="79"/>
      <c r="M2908" s="2"/>
      <c r="N2908" s="5"/>
      <c r="O2908" s="3"/>
      <c r="P2908" s="6"/>
      <c r="Q2908" s="6"/>
    </row>
    <row r="2909" spans="1:17" ht="15" customHeight="1" x14ac:dyDescent="0.25">
      <c r="A2909" s="1"/>
      <c r="B2909" s="17"/>
      <c r="C2909" s="17"/>
      <c r="D2909" s="17"/>
      <c r="E2909" s="17"/>
      <c r="F2909" s="17"/>
      <c r="G2909" s="4">
        <f t="shared" si="101"/>
        <v>0</v>
      </c>
      <c r="H2909" s="17"/>
      <c r="I2909" s="4">
        <f t="shared" si="99"/>
        <v>349526.07999999996</v>
      </c>
      <c r="J2909" s="32" t="str">
        <f t="shared" si="100"/>
        <v/>
      </c>
      <c r="K2909" s="79"/>
      <c r="L2909" s="79"/>
      <c r="M2909" s="2"/>
      <c r="N2909" s="5"/>
      <c r="O2909" s="3"/>
      <c r="P2909" s="6"/>
      <c r="Q2909" s="6"/>
    </row>
    <row r="2910" spans="1:17" ht="15" customHeight="1" x14ac:dyDescent="0.25">
      <c r="A2910" s="1"/>
      <c r="B2910" s="17"/>
      <c r="C2910" s="17"/>
      <c r="D2910" s="17"/>
      <c r="E2910" s="17"/>
      <c r="F2910" s="17"/>
      <c r="G2910" s="4">
        <f t="shared" si="101"/>
        <v>0</v>
      </c>
      <c r="H2910" s="17"/>
      <c r="I2910" s="4">
        <f t="shared" si="99"/>
        <v>349526.07999999996</v>
      </c>
      <c r="J2910" s="32" t="str">
        <f t="shared" si="100"/>
        <v/>
      </c>
      <c r="K2910" s="79"/>
      <c r="L2910" s="79"/>
      <c r="M2910" s="2"/>
      <c r="N2910" s="5"/>
      <c r="O2910" s="3"/>
      <c r="P2910" s="6"/>
      <c r="Q2910" s="6"/>
    </row>
    <row r="2911" spans="1:17" ht="15" customHeight="1" x14ac:dyDescent="0.25">
      <c r="A2911" s="1"/>
      <c r="B2911" s="17"/>
      <c r="C2911" s="17"/>
      <c r="D2911" s="17"/>
      <c r="E2911" s="17"/>
      <c r="F2911" s="17"/>
      <c r="G2911" s="4">
        <f t="shared" si="101"/>
        <v>0</v>
      </c>
      <c r="H2911" s="17"/>
      <c r="I2911" s="4">
        <f t="shared" si="99"/>
        <v>349526.07999999996</v>
      </c>
      <c r="J2911" s="32" t="str">
        <f t="shared" si="100"/>
        <v/>
      </c>
      <c r="K2911" s="79"/>
      <c r="L2911" s="79"/>
      <c r="M2911" s="2"/>
      <c r="N2911" s="5"/>
      <c r="O2911" s="3"/>
      <c r="P2911" s="6"/>
      <c r="Q2911" s="6"/>
    </row>
    <row r="2912" spans="1:17" ht="15" customHeight="1" x14ac:dyDescent="0.25">
      <c r="A2912" s="1"/>
      <c r="B2912" s="17"/>
      <c r="C2912" s="17"/>
      <c r="D2912" s="17"/>
      <c r="E2912" s="17"/>
      <c r="F2912" s="17"/>
      <c r="G2912" s="4">
        <f t="shared" si="101"/>
        <v>0</v>
      </c>
      <c r="H2912" s="17"/>
      <c r="I2912" s="4">
        <f t="shared" si="99"/>
        <v>349526.07999999996</v>
      </c>
      <c r="J2912" s="32" t="str">
        <f t="shared" si="100"/>
        <v/>
      </c>
      <c r="K2912" s="79"/>
      <c r="L2912" s="79"/>
      <c r="M2912" s="2"/>
      <c r="N2912" s="5"/>
      <c r="O2912" s="3"/>
      <c r="P2912" s="6"/>
      <c r="Q2912" s="6"/>
    </row>
    <row r="2913" spans="1:17" ht="15" customHeight="1" x14ac:dyDescent="0.25">
      <c r="A2913" s="1"/>
      <c r="B2913" s="17"/>
      <c r="C2913" s="17"/>
      <c r="D2913" s="17"/>
      <c r="E2913" s="17"/>
      <c r="F2913" s="17"/>
      <c r="G2913" s="4">
        <f t="shared" si="101"/>
        <v>0</v>
      </c>
      <c r="H2913" s="17"/>
      <c r="I2913" s="4">
        <f t="shared" si="99"/>
        <v>349526.07999999996</v>
      </c>
      <c r="J2913" s="32" t="str">
        <f t="shared" si="100"/>
        <v/>
      </c>
      <c r="K2913" s="79"/>
      <c r="L2913" s="79"/>
      <c r="M2913" s="2"/>
      <c r="N2913" s="5"/>
      <c r="O2913" s="3"/>
      <c r="P2913" s="6"/>
      <c r="Q2913" s="6"/>
    </row>
    <row r="2914" spans="1:17" ht="15" customHeight="1" x14ac:dyDescent="0.25">
      <c r="A2914" s="1"/>
      <c r="B2914" s="17"/>
      <c r="C2914" s="17"/>
      <c r="D2914" s="17"/>
      <c r="E2914" s="17"/>
      <c r="F2914" s="17"/>
      <c r="G2914" s="4">
        <f t="shared" si="101"/>
        <v>0</v>
      </c>
      <c r="H2914" s="17"/>
      <c r="I2914" s="4">
        <f t="shared" si="99"/>
        <v>349526.07999999996</v>
      </c>
      <c r="J2914" s="32" t="str">
        <f t="shared" si="100"/>
        <v/>
      </c>
      <c r="K2914" s="79"/>
      <c r="L2914" s="79"/>
      <c r="M2914" s="2"/>
      <c r="N2914" s="5"/>
      <c r="O2914" s="3"/>
      <c r="P2914" s="6"/>
      <c r="Q2914" s="6"/>
    </row>
    <row r="2915" spans="1:17" ht="15" customHeight="1" x14ac:dyDescent="0.25">
      <c r="A2915" s="1"/>
      <c r="B2915" s="17"/>
      <c r="C2915" s="17"/>
      <c r="D2915" s="17"/>
      <c r="E2915" s="17"/>
      <c r="F2915" s="17"/>
      <c r="G2915" s="4">
        <f t="shared" si="101"/>
        <v>0</v>
      </c>
      <c r="H2915" s="17"/>
      <c r="I2915" s="4">
        <f t="shared" si="99"/>
        <v>349526.07999999996</v>
      </c>
      <c r="J2915" s="32" t="str">
        <f t="shared" si="100"/>
        <v/>
      </c>
      <c r="K2915" s="79"/>
      <c r="L2915" s="79"/>
      <c r="M2915" s="2"/>
      <c r="N2915" s="5"/>
      <c r="O2915" s="3"/>
      <c r="P2915" s="6"/>
      <c r="Q2915" s="6"/>
    </row>
    <row r="2916" spans="1:17" ht="15" customHeight="1" x14ac:dyDescent="0.25">
      <c r="A2916" s="1"/>
      <c r="B2916" s="17"/>
      <c r="C2916" s="17"/>
      <c r="D2916" s="17"/>
      <c r="E2916" s="17"/>
      <c r="F2916" s="17"/>
      <c r="G2916" s="4">
        <f t="shared" si="101"/>
        <v>0</v>
      </c>
      <c r="H2916" s="17"/>
      <c r="I2916" s="4">
        <f t="shared" si="99"/>
        <v>349526.07999999996</v>
      </c>
      <c r="J2916" s="32" t="str">
        <f t="shared" si="100"/>
        <v/>
      </c>
      <c r="K2916" s="79"/>
      <c r="L2916" s="79"/>
      <c r="M2916" s="2"/>
      <c r="N2916" s="5"/>
      <c r="O2916" s="3"/>
      <c r="P2916" s="6"/>
      <c r="Q2916" s="6"/>
    </row>
    <row r="2917" spans="1:17" ht="15" customHeight="1" x14ac:dyDescent="0.25">
      <c r="A2917" s="1"/>
      <c r="B2917" s="17"/>
      <c r="C2917" s="17"/>
      <c r="D2917" s="17"/>
      <c r="E2917" s="17"/>
      <c r="F2917" s="17"/>
      <c r="G2917" s="4">
        <f t="shared" si="101"/>
        <v>0</v>
      </c>
      <c r="H2917" s="17"/>
      <c r="I2917" s="4">
        <f t="shared" si="99"/>
        <v>349526.07999999996</v>
      </c>
      <c r="J2917" s="32" t="str">
        <f t="shared" si="100"/>
        <v/>
      </c>
      <c r="K2917" s="79"/>
      <c r="L2917" s="79"/>
      <c r="M2917" s="2"/>
      <c r="N2917" s="5"/>
      <c r="O2917" s="3"/>
      <c r="P2917" s="6"/>
      <c r="Q2917" s="6"/>
    </row>
    <row r="2918" spans="1:17" ht="15" customHeight="1" x14ac:dyDescent="0.25">
      <c r="A2918" s="1"/>
      <c r="B2918" s="17"/>
      <c r="C2918" s="17"/>
      <c r="D2918" s="17"/>
      <c r="E2918" s="17"/>
      <c r="F2918" s="17"/>
      <c r="G2918" s="4">
        <f t="shared" si="101"/>
        <v>0</v>
      </c>
      <c r="H2918" s="17"/>
      <c r="I2918" s="4">
        <f t="shared" si="99"/>
        <v>349526.07999999996</v>
      </c>
      <c r="J2918" s="32" t="str">
        <f t="shared" si="100"/>
        <v/>
      </c>
      <c r="K2918" s="79"/>
      <c r="L2918" s="79"/>
      <c r="M2918" s="2"/>
      <c r="N2918" s="5"/>
      <c r="O2918" s="3"/>
      <c r="P2918" s="6"/>
      <c r="Q2918" s="6"/>
    </row>
    <row r="2919" spans="1:17" ht="15" customHeight="1" x14ac:dyDescent="0.25">
      <c r="A2919" s="1"/>
      <c r="B2919" s="17"/>
      <c r="C2919" s="17"/>
      <c r="D2919" s="17"/>
      <c r="E2919" s="17"/>
      <c r="F2919" s="17"/>
      <c r="G2919" s="4">
        <f t="shared" si="101"/>
        <v>0</v>
      </c>
      <c r="H2919" s="17"/>
      <c r="I2919" s="4">
        <f t="shared" si="99"/>
        <v>349526.07999999996</v>
      </c>
      <c r="J2919" s="32" t="str">
        <f t="shared" si="100"/>
        <v/>
      </c>
      <c r="K2919" s="79"/>
      <c r="L2919" s="79"/>
      <c r="M2919" s="2"/>
      <c r="N2919" s="5"/>
      <c r="O2919" s="3"/>
      <c r="P2919" s="6"/>
      <c r="Q2919" s="6"/>
    </row>
    <row r="2920" spans="1:17" ht="15" customHeight="1" x14ac:dyDescent="0.25">
      <c r="A2920" s="1"/>
      <c r="B2920" s="17"/>
      <c r="C2920" s="17"/>
      <c r="D2920" s="17"/>
      <c r="E2920" s="17"/>
      <c r="F2920" s="17"/>
      <c r="G2920" s="4">
        <f t="shared" si="101"/>
        <v>0</v>
      </c>
      <c r="H2920" s="17"/>
      <c r="I2920" s="4">
        <f t="shared" si="99"/>
        <v>349526.07999999996</v>
      </c>
      <c r="J2920" s="32" t="str">
        <f t="shared" si="100"/>
        <v/>
      </c>
      <c r="K2920" s="79"/>
      <c r="L2920" s="79"/>
      <c r="M2920" s="2"/>
      <c r="N2920" s="5"/>
      <c r="O2920" s="3"/>
      <c r="P2920" s="6"/>
      <c r="Q2920" s="6"/>
    </row>
    <row r="2921" spans="1:17" ht="15" customHeight="1" x14ac:dyDescent="0.25">
      <c r="A2921" s="1"/>
      <c r="B2921" s="17"/>
      <c r="C2921" s="17"/>
      <c r="D2921" s="17"/>
      <c r="E2921" s="17"/>
      <c r="F2921" s="17"/>
      <c r="G2921" s="4">
        <f t="shared" si="101"/>
        <v>0</v>
      </c>
      <c r="H2921" s="17"/>
      <c r="I2921" s="4">
        <f t="shared" si="99"/>
        <v>349526.07999999996</v>
      </c>
      <c r="J2921" s="32" t="str">
        <f t="shared" si="100"/>
        <v/>
      </c>
      <c r="K2921" s="79"/>
      <c r="L2921" s="79"/>
      <c r="M2921" s="2"/>
      <c r="N2921" s="5"/>
      <c r="O2921" s="3"/>
      <c r="P2921" s="6"/>
      <c r="Q2921" s="6"/>
    </row>
    <row r="2922" spans="1:17" ht="15" customHeight="1" x14ac:dyDescent="0.25">
      <c r="A2922" s="1"/>
      <c r="B2922" s="17"/>
      <c r="C2922" s="17"/>
      <c r="D2922" s="17"/>
      <c r="E2922" s="17"/>
      <c r="F2922" s="17"/>
      <c r="G2922" s="4">
        <f t="shared" si="101"/>
        <v>0</v>
      </c>
      <c r="H2922" s="17"/>
      <c r="I2922" s="4">
        <f t="shared" si="99"/>
        <v>349526.07999999996</v>
      </c>
      <c r="J2922" s="32" t="str">
        <f t="shared" si="100"/>
        <v/>
      </c>
      <c r="K2922" s="79"/>
      <c r="L2922" s="79"/>
      <c r="M2922" s="2"/>
      <c r="N2922" s="5"/>
      <c r="O2922" s="3"/>
      <c r="P2922" s="6"/>
      <c r="Q2922" s="6"/>
    </row>
    <row r="2923" spans="1:17" ht="15" customHeight="1" x14ac:dyDescent="0.25">
      <c r="A2923" s="1"/>
      <c r="B2923" s="17"/>
      <c r="C2923" s="17"/>
      <c r="D2923" s="17"/>
      <c r="E2923" s="17"/>
      <c r="F2923" s="17"/>
      <c r="G2923" s="4">
        <f t="shared" si="101"/>
        <v>0</v>
      </c>
      <c r="H2923" s="17"/>
      <c r="I2923" s="4">
        <f t="shared" si="99"/>
        <v>349526.07999999996</v>
      </c>
      <c r="J2923" s="32" t="str">
        <f t="shared" si="100"/>
        <v/>
      </c>
      <c r="K2923" s="79"/>
      <c r="L2923" s="79"/>
      <c r="M2923" s="2"/>
      <c r="N2923" s="5"/>
      <c r="O2923" s="3"/>
      <c r="P2923" s="6"/>
      <c r="Q2923" s="6"/>
    </row>
    <row r="2924" spans="1:17" ht="15" customHeight="1" x14ac:dyDescent="0.25">
      <c r="A2924" s="1"/>
      <c r="B2924" s="17"/>
      <c r="C2924" s="17"/>
      <c r="D2924" s="17"/>
      <c r="E2924" s="17"/>
      <c r="F2924" s="17"/>
      <c r="G2924" s="4">
        <f t="shared" si="101"/>
        <v>0</v>
      </c>
      <c r="H2924" s="17"/>
      <c r="I2924" s="4">
        <f t="shared" si="99"/>
        <v>349526.07999999996</v>
      </c>
      <c r="J2924" s="32" t="str">
        <f t="shared" si="100"/>
        <v/>
      </c>
      <c r="K2924" s="79"/>
      <c r="L2924" s="79"/>
      <c r="M2924" s="2"/>
      <c r="N2924" s="5"/>
      <c r="O2924" s="3"/>
      <c r="P2924" s="6"/>
      <c r="Q2924" s="6"/>
    </row>
    <row r="2925" spans="1:17" ht="15" customHeight="1" x14ac:dyDescent="0.25">
      <c r="A2925" s="1"/>
      <c r="B2925" s="17"/>
      <c r="C2925" s="17"/>
      <c r="D2925" s="17"/>
      <c r="E2925" s="17"/>
      <c r="F2925" s="17"/>
      <c r="G2925" s="4">
        <f t="shared" si="101"/>
        <v>0</v>
      </c>
      <c r="H2925" s="17"/>
      <c r="I2925" s="4">
        <f t="shared" si="99"/>
        <v>349526.07999999996</v>
      </c>
      <c r="J2925" s="32" t="str">
        <f t="shared" si="100"/>
        <v/>
      </c>
      <c r="K2925" s="79"/>
      <c r="L2925" s="79"/>
      <c r="M2925" s="2"/>
      <c r="N2925" s="5"/>
      <c r="O2925" s="3"/>
      <c r="P2925" s="6"/>
      <c r="Q2925" s="6"/>
    </row>
    <row r="2926" spans="1:17" ht="15" customHeight="1" x14ac:dyDescent="0.25">
      <c r="A2926" s="1"/>
      <c r="B2926" s="17"/>
      <c r="C2926" s="17"/>
      <c r="D2926" s="17"/>
      <c r="E2926" s="17"/>
      <c r="F2926" s="17"/>
      <c r="G2926" s="4">
        <f t="shared" si="101"/>
        <v>0</v>
      </c>
      <c r="H2926" s="17"/>
      <c r="I2926" s="4">
        <f t="shared" si="99"/>
        <v>349526.07999999996</v>
      </c>
      <c r="J2926" s="32" t="str">
        <f t="shared" si="100"/>
        <v/>
      </c>
      <c r="K2926" s="79"/>
      <c r="L2926" s="79"/>
      <c r="M2926" s="2"/>
      <c r="N2926" s="5"/>
      <c r="O2926" s="3"/>
      <c r="P2926" s="6"/>
      <c r="Q2926" s="6"/>
    </row>
    <row r="2927" spans="1:17" ht="15" customHeight="1" x14ac:dyDescent="0.25">
      <c r="A2927" s="1"/>
      <c r="B2927" s="17"/>
      <c r="C2927" s="17"/>
      <c r="D2927" s="17"/>
      <c r="E2927" s="17"/>
      <c r="F2927" s="17"/>
      <c r="G2927" s="4">
        <f t="shared" si="101"/>
        <v>0</v>
      </c>
      <c r="H2927" s="17"/>
      <c r="I2927" s="4">
        <f t="shared" si="99"/>
        <v>349526.07999999996</v>
      </c>
      <c r="J2927" s="32" t="str">
        <f t="shared" si="100"/>
        <v/>
      </c>
      <c r="K2927" s="79"/>
      <c r="L2927" s="79"/>
      <c r="M2927" s="2"/>
      <c r="N2927" s="5"/>
      <c r="O2927" s="3"/>
      <c r="P2927" s="6"/>
      <c r="Q2927" s="6"/>
    </row>
    <row r="2928" spans="1:17" ht="15" customHeight="1" x14ac:dyDescent="0.25">
      <c r="A2928" s="1"/>
      <c r="B2928" s="17"/>
      <c r="C2928" s="17"/>
      <c r="D2928" s="17"/>
      <c r="E2928" s="17"/>
      <c r="F2928" s="17"/>
      <c r="G2928" s="4">
        <f t="shared" si="101"/>
        <v>0</v>
      </c>
      <c r="H2928" s="17"/>
      <c r="I2928" s="4">
        <f t="shared" si="99"/>
        <v>349526.07999999996</v>
      </c>
      <c r="J2928" s="32" t="str">
        <f t="shared" si="100"/>
        <v/>
      </c>
      <c r="K2928" s="79"/>
      <c r="L2928" s="79"/>
      <c r="M2928" s="2"/>
      <c r="N2928" s="5"/>
      <c r="O2928" s="3"/>
      <c r="P2928" s="6"/>
      <c r="Q2928" s="6"/>
    </row>
    <row r="2929" spans="1:17" ht="15" customHeight="1" x14ac:dyDescent="0.25">
      <c r="A2929" s="1"/>
      <c r="B2929" s="17"/>
      <c r="C2929" s="17"/>
      <c r="D2929" s="17"/>
      <c r="E2929" s="17"/>
      <c r="F2929" s="17"/>
      <c r="G2929" s="4">
        <f t="shared" si="101"/>
        <v>0</v>
      </c>
      <c r="H2929" s="17"/>
      <c r="I2929" s="4">
        <f t="shared" si="99"/>
        <v>349526.07999999996</v>
      </c>
      <c r="J2929" s="32" t="str">
        <f t="shared" si="100"/>
        <v/>
      </c>
      <c r="K2929" s="79"/>
      <c r="L2929" s="79"/>
      <c r="M2929" s="2"/>
      <c r="N2929" s="5"/>
      <c r="O2929" s="3"/>
      <c r="P2929" s="6"/>
      <c r="Q2929" s="6"/>
    </row>
    <row r="2930" spans="1:17" ht="15" customHeight="1" x14ac:dyDescent="0.25">
      <c r="A2930" s="1"/>
      <c r="B2930" s="17"/>
      <c r="C2930" s="17"/>
      <c r="D2930" s="17"/>
      <c r="E2930" s="17"/>
      <c r="F2930" s="17"/>
      <c r="G2930" s="4">
        <f t="shared" si="101"/>
        <v>0</v>
      </c>
      <c r="H2930" s="17"/>
      <c r="I2930" s="4">
        <f t="shared" si="99"/>
        <v>349526.07999999996</v>
      </c>
      <c r="J2930" s="32" t="str">
        <f t="shared" si="100"/>
        <v/>
      </c>
      <c r="K2930" s="79"/>
      <c r="L2930" s="79"/>
      <c r="M2930" s="2"/>
      <c r="N2930" s="5"/>
      <c r="O2930" s="3"/>
      <c r="P2930" s="6"/>
      <c r="Q2930" s="6"/>
    </row>
    <row r="2931" spans="1:17" ht="15" customHeight="1" x14ac:dyDescent="0.25">
      <c r="A2931" s="1"/>
      <c r="B2931" s="17"/>
      <c r="C2931" s="17"/>
      <c r="D2931" s="17"/>
      <c r="E2931" s="17"/>
      <c r="F2931" s="17"/>
      <c r="G2931" s="4">
        <f t="shared" si="101"/>
        <v>0</v>
      </c>
      <c r="H2931" s="17"/>
      <c r="I2931" s="4">
        <f t="shared" si="99"/>
        <v>349526.07999999996</v>
      </c>
      <c r="J2931" s="32" t="str">
        <f t="shared" si="100"/>
        <v/>
      </c>
      <c r="K2931" s="79"/>
      <c r="L2931" s="79"/>
      <c r="M2931" s="2"/>
      <c r="N2931" s="5"/>
      <c r="O2931" s="3"/>
      <c r="P2931" s="6"/>
      <c r="Q2931" s="6"/>
    </row>
    <row r="2932" spans="1:17" ht="15" customHeight="1" x14ac:dyDescent="0.25">
      <c r="A2932" s="1"/>
      <c r="B2932" s="17"/>
      <c r="C2932" s="17"/>
      <c r="D2932" s="17"/>
      <c r="E2932" s="17"/>
      <c r="F2932" s="17"/>
      <c r="G2932" s="4">
        <f t="shared" si="101"/>
        <v>0</v>
      </c>
      <c r="H2932" s="17"/>
      <c r="I2932" s="4">
        <f t="shared" si="99"/>
        <v>349526.07999999996</v>
      </c>
      <c r="J2932" s="32" t="str">
        <f t="shared" si="100"/>
        <v/>
      </c>
      <c r="K2932" s="79"/>
      <c r="L2932" s="79"/>
      <c r="M2932" s="2"/>
      <c r="N2932" s="5"/>
      <c r="O2932" s="3"/>
      <c r="P2932" s="6"/>
      <c r="Q2932" s="6"/>
    </row>
    <row r="2933" spans="1:17" ht="15" customHeight="1" x14ac:dyDescent="0.25">
      <c r="A2933" s="1"/>
      <c r="B2933" s="17"/>
      <c r="C2933" s="17"/>
      <c r="D2933" s="17"/>
      <c r="E2933" s="17"/>
      <c r="F2933" s="17"/>
      <c r="G2933" s="4">
        <f t="shared" si="101"/>
        <v>0</v>
      </c>
      <c r="H2933" s="17"/>
      <c r="I2933" s="4">
        <f t="shared" si="99"/>
        <v>349526.07999999996</v>
      </c>
      <c r="J2933" s="32" t="str">
        <f t="shared" si="100"/>
        <v/>
      </c>
      <c r="K2933" s="79"/>
      <c r="L2933" s="79"/>
      <c r="M2933" s="2"/>
      <c r="N2933" s="5"/>
      <c r="O2933" s="3"/>
      <c r="P2933" s="6"/>
      <c r="Q2933" s="6"/>
    </row>
    <row r="2934" spans="1:17" ht="15" customHeight="1" x14ac:dyDescent="0.25">
      <c r="A2934" s="1"/>
      <c r="B2934" s="17"/>
      <c r="C2934" s="17"/>
      <c r="D2934" s="17"/>
      <c r="E2934" s="17"/>
      <c r="F2934" s="17"/>
      <c r="G2934" s="4">
        <f t="shared" si="101"/>
        <v>0</v>
      </c>
      <c r="H2934" s="17"/>
      <c r="I2934" s="4">
        <f t="shared" ref="I2934:I2997" si="102">$I2933+$G2934-$H2934</f>
        <v>349526.07999999996</v>
      </c>
      <c r="J2934" s="32" t="str">
        <f t="shared" ref="J2934:J2997" si="103">IF($A2935&lt;&gt;$A2934,$I2934,"")</f>
        <v/>
      </c>
      <c r="K2934" s="79"/>
      <c r="L2934" s="79"/>
      <c r="M2934" s="2"/>
      <c r="N2934" s="5"/>
      <c r="O2934" s="3"/>
      <c r="P2934" s="6"/>
      <c r="Q2934" s="6"/>
    </row>
    <row r="2935" spans="1:17" ht="15" customHeight="1" x14ac:dyDescent="0.25">
      <c r="A2935" s="1"/>
      <c r="B2935" s="17"/>
      <c r="C2935" s="17"/>
      <c r="D2935" s="17"/>
      <c r="E2935" s="17"/>
      <c r="F2935" s="17"/>
      <c r="G2935" s="4">
        <f t="shared" si="101"/>
        <v>0</v>
      </c>
      <c r="H2935" s="17"/>
      <c r="I2935" s="4">
        <f t="shared" si="102"/>
        <v>349526.07999999996</v>
      </c>
      <c r="J2935" s="32" t="str">
        <f t="shared" si="103"/>
        <v/>
      </c>
      <c r="K2935" s="79"/>
      <c r="L2935" s="79"/>
      <c r="M2935" s="2"/>
      <c r="N2935" s="5"/>
      <c r="O2935" s="3"/>
      <c r="P2935" s="6"/>
      <c r="Q2935" s="6"/>
    </row>
    <row r="2936" spans="1:17" ht="15" customHeight="1" x14ac:dyDescent="0.25">
      <c r="A2936" s="1"/>
      <c r="B2936" s="17"/>
      <c r="C2936" s="17"/>
      <c r="D2936" s="17"/>
      <c r="E2936" s="17"/>
      <c r="F2936" s="17"/>
      <c r="G2936" s="4">
        <f t="shared" si="101"/>
        <v>0</v>
      </c>
      <c r="H2936" s="17"/>
      <c r="I2936" s="4">
        <f t="shared" si="102"/>
        <v>349526.07999999996</v>
      </c>
      <c r="J2936" s="32" t="str">
        <f t="shared" si="103"/>
        <v/>
      </c>
      <c r="K2936" s="79"/>
      <c r="L2936" s="79"/>
      <c r="M2936" s="2"/>
      <c r="N2936" s="5"/>
      <c r="O2936" s="3"/>
      <c r="P2936" s="6"/>
      <c r="Q2936" s="6"/>
    </row>
    <row r="2937" spans="1:17" ht="15" customHeight="1" x14ac:dyDescent="0.25">
      <c r="A2937" s="1"/>
      <c r="B2937" s="17"/>
      <c r="C2937" s="17"/>
      <c r="D2937" s="17"/>
      <c r="E2937" s="17"/>
      <c r="F2937" s="17"/>
      <c r="G2937" s="4">
        <f t="shared" si="101"/>
        <v>0</v>
      </c>
      <c r="H2937" s="17"/>
      <c r="I2937" s="4">
        <f t="shared" si="102"/>
        <v>349526.07999999996</v>
      </c>
      <c r="J2937" s="32" t="str">
        <f t="shared" si="103"/>
        <v/>
      </c>
      <c r="K2937" s="79"/>
      <c r="L2937" s="79"/>
      <c r="M2937" s="2"/>
      <c r="N2937" s="5"/>
      <c r="O2937" s="3"/>
      <c r="P2937" s="6"/>
      <c r="Q2937" s="6"/>
    </row>
    <row r="2938" spans="1:17" ht="15" customHeight="1" x14ac:dyDescent="0.25">
      <c r="A2938" s="1"/>
      <c r="B2938" s="17"/>
      <c r="C2938" s="17"/>
      <c r="D2938" s="17"/>
      <c r="E2938" s="17"/>
      <c r="F2938" s="17"/>
      <c r="G2938" s="4">
        <f t="shared" si="101"/>
        <v>0</v>
      </c>
      <c r="H2938" s="17"/>
      <c r="I2938" s="4">
        <f t="shared" si="102"/>
        <v>349526.07999999996</v>
      </c>
      <c r="J2938" s="32" t="str">
        <f t="shared" si="103"/>
        <v/>
      </c>
      <c r="K2938" s="79"/>
      <c r="L2938" s="79"/>
      <c r="M2938" s="2"/>
      <c r="N2938" s="5"/>
      <c r="O2938" s="3"/>
      <c r="P2938" s="6"/>
      <c r="Q2938" s="6"/>
    </row>
    <row r="2939" spans="1:17" ht="15" customHeight="1" x14ac:dyDescent="0.25">
      <c r="A2939" s="1"/>
      <c r="B2939" s="17"/>
      <c r="C2939" s="17"/>
      <c r="D2939" s="17"/>
      <c r="E2939" s="17"/>
      <c r="F2939" s="17"/>
      <c r="G2939" s="4">
        <f t="shared" si="101"/>
        <v>0</v>
      </c>
      <c r="H2939" s="17"/>
      <c r="I2939" s="4">
        <f t="shared" si="102"/>
        <v>349526.07999999996</v>
      </c>
      <c r="J2939" s="32" t="str">
        <f t="shared" si="103"/>
        <v/>
      </c>
      <c r="K2939" s="79"/>
      <c r="L2939" s="79"/>
      <c r="M2939" s="2"/>
      <c r="N2939" s="5"/>
      <c r="O2939" s="3"/>
      <c r="P2939" s="6"/>
      <c r="Q2939" s="6"/>
    </row>
    <row r="2940" spans="1:17" ht="15" customHeight="1" x14ac:dyDescent="0.25">
      <c r="A2940" s="1"/>
      <c r="B2940" s="17"/>
      <c r="C2940" s="17"/>
      <c r="D2940" s="17"/>
      <c r="E2940" s="17"/>
      <c r="F2940" s="17"/>
      <c r="G2940" s="4">
        <f t="shared" si="101"/>
        <v>0</v>
      </c>
      <c r="H2940" s="17"/>
      <c r="I2940" s="4">
        <f t="shared" si="102"/>
        <v>349526.07999999996</v>
      </c>
      <c r="J2940" s="32" t="str">
        <f t="shared" si="103"/>
        <v/>
      </c>
      <c r="K2940" s="79"/>
      <c r="L2940" s="79"/>
      <c r="M2940" s="2"/>
      <c r="N2940" s="5"/>
      <c r="O2940" s="3"/>
      <c r="P2940" s="6"/>
      <c r="Q2940" s="6"/>
    </row>
    <row r="2941" spans="1:17" ht="15" customHeight="1" x14ac:dyDescent="0.25">
      <c r="A2941" s="1"/>
      <c r="B2941" s="17"/>
      <c r="C2941" s="17"/>
      <c r="D2941" s="17"/>
      <c r="E2941" s="17"/>
      <c r="F2941" s="17"/>
      <c r="G2941" s="4">
        <f t="shared" si="101"/>
        <v>0</v>
      </c>
      <c r="H2941" s="17"/>
      <c r="I2941" s="4">
        <f t="shared" si="102"/>
        <v>349526.07999999996</v>
      </c>
      <c r="J2941" s="32" t="str">
        <f t="shared" si="103"/>
        <v/>
      </c>
      <c r="K2941" s="79"/>
      <c r="L2941" s="79"/>
      <c r="M2941" s="2"/>
      <c r="N2941" s="5"/>
      <c r="O2941" s="3"/>
      <c r="P2941" s="6"/>
      <c r="Q2941" s="6"/>
    </row>
    <row r="2942" spans="1:17" ht="15" customHeight="1" x14ac:dyDescent="0.25">
      <c r="A2942" s="1"/>
      <c r="B2942" s="17"/>
      <c r="C2942" s="17"/>
      <c r="D2942" s="17"/>
      <c r="E2942" s="17"/>
      <c r="F2942" s="17"/>
      <c r="G2942" s="4">
        <f t="shared" si="101"/>
        <v>0</v>
      </c>
      <c r="H2942" s="17"/>
      <c r="I2942" s="4">
        <f t="shared" si="102"/>
        <v>349526.07999999996</v>
      </c>
      <c r="J2942" s="32" t="str">
        <f t="shared" si="103"/>
        <v/>
      </c>
      <c r="K2942" s="79"/>
      <c r="L2942" s="79"/>
      <c r="M2942" s="2"/>
      <c r="N2942" s="5"/>
      <c r="O2942" s="3"/>
      <c r="P2942" s="6"/>
      <c r="Q2942" s="6"/>
    </row>
    <row r="2943" spans="1:17" ht="15" customHeight="1" x14ac:dyDescent="0.25">
      <c r="A2943" s="1"/>
      <c r="B2943" s="17"/>
      <c r="C2943" s="17"/>
      <c r="D2943" s="17"/>
      <c r="E2943" s="17"/>
      <c r="F2943" s="17"/>
      <c r="G2943" s="4">
        <f t="shared" si="101"/>
        <v>0</v>
      </c>
      <c r="H2943" s="17"/>
      <c r="I2943" s="4">
        <f t="shared" si="102"/>
        <v>349526.07999999996</v>
      </c>
      <c r="J2943" s="32" t="str">
        <f t="shared" si="103"/>
        <v/>
      </c>
      <c r="K2943" s="79"/>
      <c r="L2943" s="79"/>
      <c r="M2943" s="2"/>
      <c r="N2943" s="5"/>
      <c r="O2943" s="3"/>
      <c r="P2943" s="6"/>
      <c r="Q2943" s="6"/>
    </row>
    <row r="2944" spans="1:17" ht="15" customHeight="1" x14ac:dyDescent="0.25">
      <c r="A2944" s="1"/>
      <c r="B2944" s="17"/>
      <c r="C2944" s="17"/>
      <c r="D2944" s="17"/>
      <c r="E2944" s="17"/>
      <c r="F2944" s="17"/>
      <c r="G2944" s="4">
        <f t="shared" si="101"/>
        <v>0</v>
      </c>
      <c r="H2944" s="17"/>
      <c r="I2944" s="4">
        <f t="shared" si="102"/>
        <v>349526.07999999996</v>
      </c>
      <c r="J2944" s="32" t="str">
        <f t="shared" si="103"/>
        <v/>
      </c>
      <c r="K2944" s="79"/>
      <c r="L2944" s="79"/>
      <c r="M2944" s="2"/>
      <c r="N2944" s="5"/>
      <c r="O2944" s="3"/>
      <c r="P2944" s="6"/>
      <c r="Q2944" s="6"/>
    </row>
    <row r="2945" spans="1:17" ht="15" customHeight="1" x14ac:dyDescent="0.25">
      <c r="A2945" s="1"/>
      <c r="B2945" s="17"/>
      <c r="C2945" s="17"/>
      <c r="D2945" s="17"/>
      <c r="E2945" s="17"/>
      <c r="F2945" s="17"/>
      <c r="G2945" s="4">
        <f t="shared" si="101"/>
        <v>0</v>
      </c>
      <c r="H2945" s="17"/>
      <c r="I2945" s="4">
        <f t="shared" si="102"/>
        <v>349526.07999999996</v>
      </c>
      <c r="J2945" s="32" t="str">
        <f t="shared" si="103"/>
        <v/>
      </c>
      <c r="K2945" s="79"/>
      <c r="L2945" s="79"/>
      <c r="M2945" s="2"/>
      <c r="N2945" s="5"/>
      <c r="O2945" s="3"/>
      <c r="P2945" s="6"/>
      <c r="Q2945" s="6"/>
    </row>
    <row r="2946" spans="1:17" ht="15" customHeight="1" x14ac:dyDescent="0.25">
      <c r="A2946" s="1"/>
      <c r="B2946" s="17"/>
      <c r="C2946" s="17"/>
      <c r="D2946" s="17"/>
      <c r="E2946" s="17"/>
      <c r="F2946" s="17"/>
      <c r="G2946" s="4">
        <f t="shared" si="101"/>
        <v>0</v>
      </c>
      <c r="H2946" s="17"/>
      <c r="I2946" s="4">
        <f t="shared" si="102"/>
        <v>349526.07999999996</v>
      </c>
      <c r="J2946" s="32" t="str">
        <f t="shared" si="103"/>
        <v/>
      </c>
      <c r="K2946" s="79"/>
      <c r="L2946" s="79"/>
      <c r="M2946" s="2"/>
      <c r="N2946" s="5"/>
      <c r="O2946" s="3"/>
      <c r="P2946" s="6"/>
      <c r="Q2946" s="6"/>
    </row>
    <row r="2947" spans="1:17" ht="15" customHeight="1" x14ac:dyDescent="0.25">
      <c r="A2947" s="1"/>
      <c r="B2947" s="17"/>
      <c r="C2947" s="17"/>
      <c r="D2947" s="17"/>
      <c r="E2947" s="17"/>
      <c r="F2947" s="17"/>
      <c r="G2947" s="4">
        <f t="shared" ref="G2947:G3010" si="104">SUM($B2947:$F2947)</f>
        <v>0</v>
      </c>
      <c r="H2947" s="17"/>
      <c r="I2947" s="4">
        <f t="shared" si="102"/>
        <v>349526.07999999996</v>
      </c>
      <c r="J2947" s="32" t="str">
        <f t="shared" si="103"/>
        <v/>
      </c>
      <c r="K2947" s="79"/>
      <c r="L2947" s="79"/>
      <c r="M2947" s="2"/>
      <c r="N2947" s="5"/>
      <c r="O2947" s="3"/>
      <c r="P2947" s="6"/>
      <c r="Q2947" s="6"/>
    </row>
    <row r="2948" spans="1:17" ht="15" customHeight="1" x14ac:dyDescent="0.25">
      <c r="A2948" s="1"/>
      <c r="B2948" s="17"/>
      <c r="C2948" s="17"/>
      <c r="D2948" s="17"/>
      <c r="E2948" s="17"/>
      <c r="F2948" s="17"/>
      <c r="G2948" s="4">
        <f t="shared" si="104"/>
        <v>0</v>
      </c>
      <c r="H2948" s="17"/>
      <c r="I2948" s="4">
        <f t="shared" si="102"/>
        <v>349526.07999999996</v>
      </c>
      <c r="J2948" s="32" t="str">
        <f t="shared" si="103"/>
        <v/>
      </c>
      <c r="K2948" s="79"/>
      <c r="L2948" s="79"/>
      <c r="M2948" s="2"/>
      <c r="N2948" s="5"/>
      <c r="O2948" s="3"/>
      <c r="P2948" s="6"/>
      <c r="Q2948" s="6"/>
    </row>
    <row r="2949" spans="1:17" ht="15" customHeight="1" x14ac:dyDescent="0.25">
      <c r="A2949" s="1"/>
      <c r="B2949" s="17"/>
      <c r="C2949" s="17"/>
      <c r="D2949" s="17"/>
      <c r="E2949" s="17"/>
      <c r="F2949" s="17"/>
      <c r="G2949" s="4">
        <f t="shared" si="104"/>
        <v>0</v>
      </c>
      <c r="H2949" s="17"/>
      <c r="I2949" s="4">
        <f t="shared" si="102"/>
        <v>349526.07999999996</v>
      </c>
      <c r="J2949" s="32" t="str">
        <f t="shared" si="103"/>
        <v/>
      </c>
      <c r="K2949" s="79"/>
      <c r="L2949" s="79"/>
      <c r="M2949" s="2"/>
      <c r="N2949" s="5"/>
      <c r="O2949" s="3"/>
      <c r="P2949" s="6"/>
      <c r="Q2949" s="6"/>
    </row>
    <row r="2950" spans="1:17" ht="15" customHeight="1" x14ac:dyDescent="0.25">
      <c r="A2950" s="1"/>
      <c r="B2950" s="17"/>
      <c r="C2950" s="17"/>
      <c r="D2950" s="17"/>
      <c r="E2950" s="17"/>
      <c r="F2950" s="17"/>
      <c r="G2950" s="4">
        <f t="shared" si="104"/>
        <v>0</v>
      </c>
      <c r="H2950" s="17"/>
      <c r="I2950" s="4">
        <f t="shared" si="102"/>
        <v>349526.07999999996</v>
      </c>
      <c r="J2950" s="32" t="str">
        <f t="shared" si="103"/>
        <v/>
      </c>
      <c r="K2950" s="79"/>
      <c r="L2950" s="79"/>
      <c r="M2950" s="2"/>
      <c r="N2950" s="5"/>
      <c r="O2950" s="3"/>
      <c r="P2950" s="6"/>
      <c r="Q2950" s="6"/>
    </row>
    <row r="2951" spans="1:17" ht="15" customHeight="1" x14ac:dyDescent="0.25">
      <c r="A2951" s="1"/>
      <c r="B2951" s="17"/>
      <c r="C2951" s="17"/>
      <c r="D2951" s="17"/>
      <c r="E2951" s="17"/>
      <c r="F2951" s="17"/>
      <c r="G2951" s="4">
        <f t="shared" si="104"/>
        <v>0</v>
      </c>
      <c r="H2951" s="17"/>
      <c r="I2951" s="4">
        <f t="shared" si="102"/>
        <v>349526.07999999996</v>
      </c>
      <c r="J2951" s="32" t="str">
        <f t="shared" si="103"/>
        <v/>
      </c>
      <c r="K2951" s="79"/>
      <c r="L2951" s="79"/>
      <c r="M2951" s="2"/>
      <c r="N2951" s="5"/>
      <c r="O2951" s="3"/>
      <c r="P2951" s="6"/>
      <c r="Q2951" s="6"/>
    </row>
    <row r="2952" spans="1:17" ht="15" customHeight="1" x14ac:dyDescent="0.25">
      <c r="A2952" s="1"/>
      <c r="B2952" s="17"/>
      <c r="C2952" s="17"/>
      <c r="D2952" s="17"/>
      <c r="E2952" s="17"/>
      <c r="F2952" s="17"/>
      <c r="G2952" s="4">
        <f t="shared" si="104"/>
        <v>0</v>
      </c>
      <c r="H2952" s="17"/>
      <c r="I2952" s="4">
        <f t="shared" si="102"/>
        <v>349526.07999999996</v>
      </c>
      <c r="J2952" s="32" t="str">
        <f t="shared" si="103"/>
        <v/>
      </c>
      <c r="K2952" s="79"/>
      <c r="L2952" s="79"/>
      <c r="M2952" s="2"/>
      <c r="N2952" s="5"/>
      <c r="O2952" s="3"/>
      <c r="P2952" s="6"/>
      <c r="Q2952" s="6"/>
    </row>
    <row r="2953" spans="1:17" ht="15" customHeight="1" x14ac:dyDescent="0.25">
      <c r="A2953" s="1"/>
      <c r="B2953" s="17"/>
      <c r="C2953" s="17"/>
      <c r="D2953" s="17"/>
      <c r="E2953" s="17"/>
      <c r="F2953" s="17"/>
      <c r="G2953" s="4">
        <f t="shared" si="104"/>
        <v>0</v>
      </c>
      <c r="H2953" s="17"/>
      <c r="I2953" s="4">
        <f t="shared" si="102"/>
        <v>349526.07999999996</v>
      </c>
      <c r="J2953" s="32" t="str">
        <f t="shared" si="103"/>
        <v/>
      </c>
      <c r="K2953" s="79"/>
      <c r="L2953" s="79"/>
      <c r="M2953" s="2"/>
      <c r="N2953" s="5"/>
      <c r="O2953" s="3"/>
      <c r="P2953" s="6"/>
      <c r="Q2953" s="6"/>
    </row>
    <row r="2954" spans="1:17" ht="15" customHeight="1" x14ac:dyDescent="0.25">
      <c r="A2954" s="1"/>
      <c r="B2954" s="17"/>
      <c r="C2954" s="17"/>
      <c r="D2954" s="17"/>
      <c r="E2954" s="17"/>
      <c r="F2954" s="17"/>
      <c r="G2954" s="4">
        <f t="shared" si="104"/>
        <v>0</v>
      </c>
      <c r="H2954" s="17"/>
      <c r="I2954" s="4">
        <f t="shared" si="102"/>
        <v>349526.07999999996</v>
      </c>
      <c r="J2954" s="32" t="str">
        <f t="shared" si="103"/>
        <v/>
      </c>
      <c r="K2954" s="79"/>
      <c r="L2954" s="79"/>
      <c r="M2954" s="2"/>
      <c r="N2954" s="5"/>
      <c r="O2954" s="3"/>
      <c r="P2954" s="6"/>
      <c r="Q2954" s="6"/>
    </row>
    <row r="2955" spans="1:17" ht="15" customHeight="1" x14ac:dyDescent="0.25">
      <c r="A2955" s="1"/>
      <c r="B2955" s="17"/>
      <c r="C2955" s="17"/>
      <c r="D2955" s="17"/>
      <c r="E2955" s="17"/>
      <c r="F2955" s="17"/>
      <c r="G2955" s="4">
        <f t="shared" si="104"/>
        <v>0</v>
      </c>
      <c r="H2955" s="17"/>
      <c r="I2955" s="4">
        <f t="shared" si="102"/>
        <v>349526.07999999996</v>
      </c>
      <c r="J2955" s="32" t="str">
        <f t="shared" si="103"/>
        <v/>
      </c>
      <c r="K2955" s="79"/>
      <c r="L2955" s="79"/>
      <c r="M2955" s="2"/>
      <c r="N2955" s="5"/>
      <c r="O2955" s="3"/>
      <c r="P2955" s="6"/>
      <c r="Q2955" s="6"/>
    </row>
    <row r="2956" spans="1:17" ht="15" customHeight="1" x14ac:dyDescent="0.25">
      <c r="A2956" s="1"/>
      <c r="B2956" s="17"/>
      <c r="C2956" s="17"/>
      <c r="D2956" s="17"/>
      <c r="E2956" s="17"/>
      <c r="F2956" s="17"/>
      <c r="G2956" s="4">
        <f t="shared" si="104"/>
        <v>0</v>
      </c>
      <c r="H2956" s="17"/>
      <c r="I2956" s="4">
        <f t="shared" si="102"/>
        <v>349526.07999999996</v>
      </c>
      <c r="J2956" s="32" t="str">
        <f t="shared" si="103"/>
        <v/>
      </c>
      <c r="K2956" s="79"/>
      <c r="L2956" s="79"/>
      <c r="M2956" s="2"/>
      <c r="N2956" s="5"/>
      <c r="O2956" s="3"/>
      <c r="P2956" s="6"/>
      <c r="Q2956" s="6"/>
    </row>
    <row r="2957" spans="1:17" ht="15" customHeight="1" x14ac:dyDescent="0.25">
      <c r="A2957" s="1"/>
      <c r="B2957" s="17"/>
      <c r="C2957" s="17"/>
      <c r="D2957" s="17"/>
      <c r="E2957" s="17"/>
      <c r="F2957" s="17"/>
      <c r="G2957" s="4">
        <f t="shared" si="104"/>
        <v>0</v>
      </c>
      <c r="H2957" s="17"/>
      <c r="I2957" s="4">
        <f t="shared" si="102"/>
        <v>349526.07999999996</v>
      </c>
      <c r="J2957" s="32" t="str">
        <f t="shared" si="103"/>
        <v/>
      </c>
      <c r="K2957" s="79"/>
      <c r="L2957" s="79"/>
      <c r="M2957" s="2"/>
      <c r="N2957" s="5"/>
      <c r="O2957" s="3"/>
      <c r="P2957" s="6"/>
      <c r="Q2957" s="6"/>
    </row>
    <row r="2958" spans="1:17" ht="15" customHeight="1" x14ac:dyDescent="0.25">
      <c r="A2958" s="1"/>
      <c r="B2958" s="17"/>
      <c r="C2958" s="17"/>
      <c r="D2958" s="17"/>
      <c r="E2958" s="17"/>
      <c r="F2958" s="17"/>
      <c r="G2958" s="4">
        <f t="shared" si="104"/>
        <v>0</v>
      </c>
      <c r="H2958" s="17"/>
      <c r="I2958" s="4">
        <f t="shared" si="102"/>
        <v>349526.07999999996</v>
      </c>
      <c r="J2958" s="32" t="str">
        <f t="shared" si="103"/>
        <v/>
      </c>
      <c r="K2958" s="79"/>
      <c r="L2958" s="79"/>
      <c r="M2958" s="2"/>
      <c r="N2958" s="5"/>
      <c r="O2958" s="3"/>
      <c r="P2958" s="6"/>
      <c r="Q2958" s="6"/>
    </row>
    <row r="2959" spans="1:17" ht="15" customHeight="1" x14ac:dyDescent="0.25">
      <c r="A2959" s="1"/>
      <c r="B2959" s="17"/>
      <c r="C2959" s="17"/>
      <c r="D2959" s="17"/>
      <c r="E2959" s="17"/>
      <c r="F2959" s="17"/>
      <c r="G2959" s="4">
        <f t="shared" si="104"/>
        <v>0</v>
      </c>
      <c r="H2959" s="17"/>
      <c r="I2959" s="4">
        <f t="shared" si="102"/>
        <v>349526.07999999996</v>
      </c>
      <c r="J2959" s="32" t="str">
        <f t="shared" si="103"/>
        <v/>
      </c>
      <c r="K2959" s="79"/>
      <c r="L2959" s="79"/>
      <c r="M2959" s="2"/>
      <c r="N2959" s="5"/>
      <c r="O2959" s="3"/>
      <c r="P2959" s="6"/>
      <c r="Q2959" s="6"/>
    </row>
    <row r="2960" spans="1:17" ht="15" customHeight="1" x14ac:dyDescent="0.25">
      <c r="A2960" s="1"/>
      <c r="B2960" s="17"/>
      <c r="C2960" s="17"/>
      <c r="D2960" s="17"/>
      <c r="E2960" s="17"/>
      <c r="F2960" s="17"/>
      <c r="G2960" s="4">
        <f t="shared" si="104"/>
        <v>0</v>
      </c>
      <c r="H2960" s="17"/>
      <c r="I2960" s="4">
        <f t="shared" si="102"/>
        <v>349526.07999999996</v>
      </c>
      <c r="J2960" s="32" t="str">
        <f t="shared" si="103"/>
        <v/>
      </c>
      <c r="K2960" s="79"/>
      <c r="L2960" s="79"/>
      <c r="M2960" s="2"/>
      <c r="N2960" s="5"/>
      <c r="O2960" s="3"/>
      <c r="P2960" s="6"/>
      <c r="Q2960" s="6"/>
    </row>
    <row r="2961" spans="1:17" ht="15" customHeight="1" x14ac:dyDescent="0.25">
      <c r="A2961" s="1"/>
      <c r="B2961" s="17"/>
      <c r="C2961" s="17"/>
      <c r="D2961" s="17"/>
      <c r="E2961" s="17"/>
      <c r="F2961" s="17"/>
      <c r="G2961" s="4">
        <f t="shared" si="104"/>
        <v>0</v>
      </c>
      <c r="H2961" s="17"/>
      <c r="I2961" s="4">
        <f t="shared" si="102"/>
        <v>349526.07999999996</v>
      </c>
      <c r="J2961" s="32" t="str">
        <f t="shared" si="103"/>
        <v/>
      </c>
      <c r="K2961" s="79"/>
      <c r="L2961" s="79"/>
      <c r="M2961" s="2"/>
      <c r="N2961" s="5"/>
      <c r="O2961" s="3"/>
      <c r="P2961" s="6"/>
      <c r="Q2961" s="6"/>
    </row>
    <row r="2962" spans="1:17" ht="15" customHeight="1" x14ac:dyDescent="0.25">
      <c r="A2962" s="1"/>
      <c r="B2962" s="17"/>
      <c r="C2962" s="17"/>
      <c r="D2962" s="17"/>
      <c r="E2962" s="17"/>
      <c r="F2962" s="17"/>
      <c r="G2962" s="4">
        <f t="shared" si="104"/>
        <v>0</v>
      </c>
      <c r="H2962" s="17"/>
      <c r="I2962" s="4">
        <f t="shared" si="102"/>
        <v>349526.07999999996</v>
      </c>
      <c r="J2962" s="32" t="str">
        <f t="shared" si="103"/>
        <v/>
      </c>
      <c r="K2962" s="79"/>
      <c r="L2962" s="79"/>
      <c r="M2962" s="2"/>
      <c r="N2962" s="5"/>
      <c r="O2962" s="3"/>
      <c r="P2962" s="6"/>
      <c r="Q2962" s="6"/>
    </row>
    <row r="2963" spans="1:17" ht="15" customHeight="1" x14ac:dyDescent="0.25">
      <c r="A2963" s="1"/>
      <c r="B2963" s="17"/>
      <c r="C2963" s="17"/>
      <c r="D2963" s="17"/>
      <c r="E2963" s="17"/>
      <c r="F2963" s="17"/>
      <c r="G2963" s="4">
        <f t="shared" si="104"/>
        <v>0</v>
      </c>
      <c r="H2963" s="17"/>
      <c r="I2963" s="4">
        <f t="shared" si="102"/>
        <v>349526.07999999996</v>
      </c>
      <c r="J2963" s="32" t="str">
        <f t="shared" si="103"/>
        <v/>
      </c>
      <c r="K2963" s="79"/>
      <c r="L2963" s="79"/>
      <c r="M2963" s="2"/>
      <c r="N2963" s="5"/>
      <c r="O2963" s="3"/>
      <c r="P2963" s="6"/>
      <c r="Q2963" s="6"/>
    </row>
    <row r="2964" spans="1:17" ht="15" customHeight="1" x14ac:dyDescent="0.25">
      <c r="A2964" s="1"/>
      <c r="B2964" s="17"/>
      <c r="C2964" s="17"/>
      <c r="D2964" s="17"/>
      <c r="E2964" s="17"/>
      <c r="F2964" s="17"/>
      <c r="G2964" s="4">
        <f t="shared" si="104"/>
        <v>0</v>
      </c>
      <c r="H2964" s="17"/>
      <c r="I2964" s="4">
        <f t="shared" si="102"/>
        <v>349526.07999999996</v>
      </c>
      <c r="J2964" s="32" t="str">
        <f t="shared" si="103"/>
        <v/>
      </c>
      <c r="K2964" s="79"/>
      <c r="L2964" s="79"/>
      <c r="M2964" s="2"/>
      <c r="N2964" s="5"/>
      <c r="O2964" s="3"/>
      <c r="P2964" s="6"/>
      <c r="Q2964" s="6"/>
    </row>
    <row r="2965" spans="1:17" ht="15" customHeight="1" x14ac:dyDescent="0.25">
      <c r="A2965" s="1"/>
      <c r="B2965" s="17"/>
      <c r="C2965" s="17"/>
      <c r="D2965" s="17"/>
      <c r="E2965" s="17"/>
      <c r="F2965" s="17"/>
      <c r="G2965" s="4">
        <f t="shared" si="104"/>
        <v>0</v>
      </c>
      <c r="H2965" s="17"/>
      <c r="I2965" s="4">
        <f t="shared" si="102"/>
        <v>349526.07999999996</v>
      </c>
      <c r="J2965" s="32" t="str">
        <f t="shared" si="103"/>
        <v/>
      </c>
      <c r="K2965" s="79"/>
      <c r="L2965" s="79"/>
      <c r="M2965" s="2"/>
      <c r="N2965" s="5"/>
      <c r="O2965" s="3"/>
      <c r="P2965" s="6"/>
      <c r="Q2965" s="6"/>
    </row>
    <row r="2966" spans="1:17" ht="15" customHeight="1" x14ac:dyDescent="0.25">
      <c r="A2966" s="1"/>
      <c r="B2966" s="17"/>
      <c r="C2966" s="17"/>
      <c r="D2966" s="17"/>
      <c r="E2966" s="17"/>
      <c r="F2966" s="17"/>
      <c r="G2966" s="4">
        <f t="shared" si="104"/>
        <v>0</v>
      </c>
      <c r="H2966" s="17"/>
      <c r="I2966" s="4">
        <f t="shared" si="102"/>
        <v>349526.07999999996</v>
      </c>
      <c r="J2966" s="32" t="str">
        <f t="shared" si="103"/>
        <v/>
      </c>
      <c r="K2966" s="79"/>
      <c r="L2966" s="79"/>
      <c r="M2966" s="2"/>
      <c r="N2966" s="5"/>
      <c r="O2966" s="3"/>
      <c r="P2966" s="6"/>
      <c r="Q2966" s="6"/>
    </row>
    <row r="2967" spans="1:17" ht="15" customHeight="1" x14ac:dyDescent="0.25">
      <c r="A2967" s="1"/>
      <c r="B2967" s="17"/>
      <c r="C2967" s="17"/>
      <c r="D2967" s="17"/>
      <c r="E2967" s="17"/>
      <c r="F2967" s="17"/>
      <c r="G2967" s="4">
        <f t="shared" si="104"/>
        <v>0</v>
      </c>
      <c r="H2967" s="17"/>
      <c r="I2967" s="4">
        <f t="shared" si="102"/>
        <v>349526.07999999996</v>
      </c>
      <c r="J2967" s="32" t="str">
        <f t="shared" si="103"/>
        <v/>
      </c>
      <c r="K2967" s="79"/>
      <c r="L2967" s="79"/>
      <c r="M2967" s="2"/>
      <c r="N2967" s="5"/>
      <c r="O2967" s="3"/>
      <c r="P2967" s="6"/>
      <c r="Q2967" s="6"/>
    </row>
    <row r="2968" spans="1:17" ht="15" customHeight="1" x14ac:dyDescent="0.25">
      <c r="A2968" s="1"/>
      <c r="B2968" s="17"/>
      <c r="C2968" s="17"/>
      <c r="D2968" s="17"/>
      <c r="E2968" s="17"/>
      <c r="F2968" s="17"/>
      <c r="G2968" s="4">
        <f t="shared" si="104"/>
        <v>0</v>
      </c>
      <c r="H2968" s="17"/>
      <c r="I2968" s="4">
        <f t="shared" si="102"/>
        <v>349526.07999999996</v>
      </c>
      <c r="J2968" s="32" t="str">
        <f t="shared" si="103"/>
        <v/>
      </c>
      <c r="K2968" s="79"/>
      <c r="L2968" s="79"/>
      <c r="M2968" s="2"/>
      <c r="N2968" s="5"/>
      <c r="O2968" s="3"/>
      <c r="P2968" s="6"/>
      <c r="Q2968" s="6"/>
    </row>
    <row r="2969" spans="1:17" ht="15" customHeight="1" x14ac:dyDescent="0.25">
      <c r="A2969" s="1"/>
      <c r="B2969" s="17"/>
      <c r="C2969" s="17"/>
      <c r="D2969" s="17"/>
      <c r="E2969" s="17"/>
      <c r="F2969" s="17"/>
      <c r="G2969" s="4">
        <f t="shared" si="104"/>
        <v>0</v>
      </c>
      <c r="H2969" s="17"/>
      <c r="I2969" s="4">
        <f t="shared" si="102"/>
        <v>349526.07999999996</v>
      </c>
      <c r="J2969" s="32" t="str">
        <f t="shared" si="103"/>
        <v/>
      </c>
      <c r="K2969" s="79"/>
      <c r="L2969" s="79"/>
      <c r="M2969" s="2"/>
      <c r="N2969" s="5"/>
      <c r="O2969" s="3"/>
      <c r="P2969" s="6"/>
      <c r="Q2969" s="6"/>
    </row>
    <row r="2970" spans="1:17" ht="15" customHeight="1" x14ac:dyDescent="0.25">
      <c r="A2970" s="1"/>
      <c r="B2970" s="17"/>
      <c r="C2970" s="17"/>
      <c r="D2970" s="17"/>
      <c r="E2970" s="17"/>
      <c r="F2970" s="17"/>
      <c r="G2970" s="4">
        <f t="shared" si="104"/>
        <v>0</v>
      </c>
      <c r="H2970" s="17"/>
      <c r="I2970" s="4">
        <f t="shared" si="102"/>
        <v>349526.07999999996</v>
      </c>
      <c r="J2970" s="32" t="str">
        <f t="shared" si="103"/>
        <v/>
      </c>
      <c r="K2970" s="79"/>
      <c r="L2970" s="79"/>
      <c r="M2970" s="2"/>
      <c r="N2970" s="5"/>
      <c r="O2970" s="3"/>
      <c r="P2970" s="6"/>
      <c r="Q2970" s="6"/>
    </row>
    <row r="2971" spans="1:17" ht="15" customHeight="1" x14ac:dyDescent="0.25">
      <c r="A2971" s="1"/>
      <c r="B2971" s="17"/>
      <c r="C2971" s="17"/>
      <c r="D2971" s="17"/>
      <c r="E2971" s="17"/>
      <c r="F2971" s="17"/>
      <c r="G2971" s="4">
        <f t="shared" si="104"/>
        <v>0</v>
      </c>
      <c r="H2971" s="17"/>
      <c r="I2971" s="4">
        <f t="shared" si="102"/>
        <v>349526.07999999996</v>
      </c>
      <c r="J2971" s="32" t="str">
        <f t="shared" si="103"/>
        <v/>
      </c>
      <c r="K2971" s="79"/>
      <c r="L2971" s="79"/>
      <c r="M2971" s="2"/>
      <c r="N2971" s="5"/>
      <c r="O2971" s="3"/>
      <c r="P2971" s="6"/>
      <c r="Q2971" s="6"/>
    </row>
    <row r="2972" spans="1:17" ht="15" customHeight="1" x14ac:dyDescent="0.25">
      <c r="A2972" s="1"/>
      <c r="B2972" s="17"/>
      <c r="C2972" s="17"/>
      <c r="D2972" s="17"/>
      <c r="E2972" s="17"/>
      <c r="F2972" s="17"/>
      <c r="G2972" s="4">
        <f t="shared" si="104"/>
        <v>0</v>
      </c>
      <c r="H2972" s="17"/>
      <c r="I2972" s="4">
        <f t="shared" si="102"/>
        <v>349526.07999999996</v>
      </c>
      <c r="J2972" s="32" t="str">
        <f t="shared" si="103"/>
        <v/>
      </c>
      <c r="K2972" s="79"/>
      <c r="L2972" s="79"/>
      <c r="M2972" s="2"/>
      <c r="N2972" s="5"/>
      <c r="O2972" s="3"/>
      <c r="P2972" s="6"/>
      <c r="Q2972" s="6"/>
    </row>
    <row r="2973" spans="1:17" ht="15" customHeight="1" x14ac:dyDescent="0.25">
      <c r="A2973" s="1"/>
      <c r="B2973" s="17"/>
      <c r="C2973" s="17"/>
      <c r="D2973" s="17"/>
      <c r="E2973" s="17"/>
      <c r="F2973" s="17"/>
      <c r="G2973" s="4">
        <f t="shared" si="104"/>
        <v>0</v>
      </c>
      <c r="H2973" s="17"/>
      <c r="I2973" s="4">
        <f t="shared" si="102"/>
        <v>349526.07999999996</v>
      </c>
      <c r="J2973" s="32" t="str">
        <f t="shared" si="103"/>
        <v/>
      </c>
      <c r="K2973" s="79"/>
      <c r="L2973" s="79"/>
      <c r="M2973" s="2"/>
      <c r="N2973" s="5"/>
      <c r="O2973" s="3"/>
      <c r="P2973" s="6"/>
      <c r="Q2973" s="6"/>
    </row>
    <row r="2974" spans="1:17" ht="15" customHeight="1" x14ac:dyDescent="0.25">
      <c r="A2974" s="1"/>
      <c r="B2974" s="17"/>
      <c r="C2974" s="17"/>
      <c r="D2974" s="17"/>
      <c r="E2974" s="17"/>
      <c r="F2974" s="17"/>
      <c r="G2974" s="4">
        <f t="shared" si="104"/>
        <v>0</v>
      </c>
      <c r="H2974" s="17"/>
      <c r="I2974" s="4">
        <f t="shared" si="102"/>
        <v>349526.07999999996</v>
      </c>
      <c r="J2974" s="32" t="str">
        <f t="shared" si="103"/>
        <v/>
      </c>
      <c r="K2974" s="79"/>
      <c r="L2974" s="79"/>
      <c r="M2974" s="2"/>
      <c r="N2974" s="5"/>
      <c r="O2974" s="3"/>
      <c r="P2974" s="6"/>
      <c r="Q2974" s="6"/>
    </row>
    <row r="2975" spans="1:17" ht="15" customHeight="1" x14ac:dyDescent="0.25">
      <c r="A2975" s="1"/>
      <c r="B2975" s="17"/>
      <c r="C2975" s="17"/>
      <c r="D2975" s="17"/>
      <c r="E2975" s="17"/>
      <c r="F2975" s="17"/>
      <c r="G2975" s="4">
        <f t="shared" si="104"/>
        <v>0</v>
      </c>
      <c r="H2975" s="17"/>
      <c r="I2975" s="4">
        <f t="shared" si="102"/>
        <v>349526.07999999996</v>
      </c>
      <c r="J2975" s="32" t="str">
        <f t="shared" si="103"/>
        <v/>
      </c>
      <c r="K2975" s="79"/>
      <c r="L2975" s="79"/>
      <c r="M2975" s="2"/>
      <c r="N2975" s="5"/>
      <c r="O2975" s="3"/>
      <c r="P2975" s="6"/>
      <c r="Q2975" s="6"/>
    </row>
    <row r="2976" spans="1:17" ht="15" customHeight="1" x14ac:dyDescent="0.25">
      <c r="A2976" s="1"/>
      <c r="B2976" s="17"/>
      <c r="C2976" s="17"/>
      <c r="D2976" s="17"/>
      <c r="E2976" s="17"/>
      <c r="F2976" s="17"/>
      <c r="G2976" s="4">
        <f t="shared" si="104"/>
        <v>0</v>
      </c>
      <c r="H2976" s="17"/>
      <c r="I2976" s="4">
        <f t="shared" si="102"/>
        <v>349526.07999999996</v>
      </c>
      <c r="J2976" s="32" t="str">
        <f t="shared" si="103"/>
        <v/>
      </c>
      <c r="K2976" s="79"/>
      <c r="L2976" s="79"/>
      <c r="M2976" s="2"/>
      <c r="N2976" s="5"/>
      <c r="O2976" s="3"/>
      <c r="P2976" s="6"/>
      <c r="Q2976" s="6"/>
    </row>
    <row r="2977" spans="1:17" ht="15" customHeight="1" x14ac:dyDescent="0.25">
      <c r="A2977" s="1"/>
      <c r="B2977" s="17"/>
      <c r="C2977" s="17"/>
      <c r="D2977" s="17"/>
      <c r="E2977" s="17"/>
      <c r="F2977" s="17"/>
      <c r="G2977" s="4">
        <f t="shared" si="104"/>
        <v>0</v>
      </c>
      <c r="H2977" s="17"/>
      <c r="I2977" s="4">
        <f t="shared" si="102"/>
        <v>349526.07999999996</v>
      </c>
      <c r="J2977" s="32" t="str">
        <f t="shared" si="103"/>
        <v/>
      </c>
      <c r="K2977" s="79"/>
      <c r="L2977" s="79"/>
      <c r="M2977" s="2"/>
      <c r="N2977" s="5"/>
      <c r="O2977" s="3"/>
      <c r="P2977" s="6"/>
      <c r="Q2977" s="6"/>
    </row>
    <row r="2978" spans="1:17" ht="15" customHeight="1" x14ac:dyDescent="0.25">
      <c r="A2978" s="1"/>
      <c r="B2978" s="17"/>
      <c r="C2978" s="17"/>
      <c r="D2978" s="17"/>
      <c r="E2978" s="17"/>
      <c r="F2978" s="17"/>
      <c r="G2978" s="4">
        <f t="shared" si="104"/>
        <v>0</v>
      </c>
      <c r="H2978" s="17"/>
      <c r="I2978" s="4">
        <f t="shared" si="102"/>
        <v>349526.07999999996</v>
      </c>
      <c r="J2978" s="32" t="str">
        <f t="shared" si="103"/>
        <v/>
      </c>
      <c r="K2978" s="79"/>
      <c r="L2978" s="79"/>
      <c r="M2978" s="2"/>
      <c r="N2978" s="5"/>
      <c r="O2978" s="3"/>
      <c r="P2978" s="6"/>
      <c r="Q2978" s="6"/>
    </row>
    <row r="2979" spans="1:17" ht="15" customHeight="1" x14ac:dyDescent="0.25">
      <c r="A2979" s="1"/>
      <c r="B2979" s="17"/>
      <c r="C2979" s="17"/>
      <c r="D2979" s="17"/>
      <c r="E2979" s="17"/>
      <c r="F2979" s="17"/>
      <c r="G2979" s="4">
        <f t="shared" si="104"/>
        <v>0</v>
      </c>
      <c r="H2979" s="17"/>
      <c r="I2979" s="4">
        <f t="shared" si="102"/>
        <v>349526.07999999996</v>
      </c>
      <c r="J2979" s="32" t="str">
        <f t="shared" si="103"/>
        <v/>
      </c>
      <c r="K2979" s="79"/>
      <c r="L2979" s="79"/>
      <c r="M2979" s="2"/>
      <c r="N2979" s="5"/>
      <c r="O2979" s="3"/>
      <c r="P2979" s="6"/>
      <c r="Q2979" s="6"/>
    </row>
    <row r="2980" spans="1:17" ht="15" customHeight="1" x14ac:dyDescent="0.25">
      <c r="A2980" s="1"/>
      <c r="B2980" s="17"/>
      <c r="C2980" s="17"/>
      <c r="D2980" s="17"/>
      <c r="E2980" s="17"/>
      <c r="F2980" s="17"/>
      <c r="G2980" s="4">
        <f t="shared" si="104"/>
        <v>0</v>
      </c>
      <c r="H2980" s="17"/>
      <c r="I2980" s="4">
        <f t="shared" si="102"/>
        <v>349526.07999999996</v>
      </c>
      <c r="J2980" s="32" t="str">
        <f t="shared" si="103"/>
        <v/>
      </c>
      <c r="K2980" s="79"/>
      <c r="L2980" s="79"/>
      <c r="M2980" s="2"/>
      <c r="N2980" s="5"/>
      <c r="O2980" s="3"/>
      <c r="P2980" s="6"/>
      <c r="Q2980" s="6"/>
    </row>
    <row r="2981" spans="1:17" ht="15" customHeight="1" x14ac:dyDescent="0.25">
      <c r="A2981" s="1"/>
      <c r="B2981" s="17"/>
      <c r="C2981" s="17"/>
      <c r="D2981" s="17"/>
      <c r="E2981" s="17"/>
      <c r="F2981" s="17"/>
      <c r="G2981" s="4">
        <f t="shared" si="104"/>
        <v>0</v>
      </c>
      <c r="H2981" s="17"/>
      <c r="I2981" s="4">
        <f t="shared" si="102"/>
        <v>349526.07999999996</v>
      </c>
      <c r="J2981" s="32" t="str">
        <f t="shared" si="103"/>
        <v/>
      </c>
      <c r="K2981" s="79"/>
      <c r="L2981" s="79"/>
      <c r="M2981" s="2"/>
      <c r="N2981" s="5"/>
      <c r="O2981" s="3"/>
      <c r="P2981" s="6"/>
      <c r="Q2981" s="6"/>
    </row>
    <row r="2982" spans="1:17" ht="15" customHeight="1" x14ac:dyDescent="0.25">
      <c r="A2982" s="1"/>
      <c r="B2982" s="17"/>
      <c r="C2982" s="17"/>
      <c r="D2982" s="17"/>
      <c r="E2982" s="17"/>
      <c r="F2982" s="17"/>
      <c r="G2982" s="4">
        <f t="shared" si="104"/>
        <v>0</v>
      </c>
      <c r="H2982" s="17"/>
      <c r="I2982" s="4">
        <f t="shared" si="102"/>
        <v>349526.07999999996</v>
      </c>
      <c r="J2982" s="32" t="str">
        <f t="shared" si="103"/>
        <v/>
      </c>
      <c r="K2982" s="79"/>
      <c r="L2982" s="79"/>
      <c r="M2982" s="2"/>
      <c r="N2982" s="5"/>
      <c r="O2982" s="3"/>
      <c r="P2982" s="6"/>
      <c r="Q2982" s="6"/>
    </row>
    <row r="2983" spans="1:17" ht="15" customHeight="1" x14ac:dyDescent="0.25">
      <c r="A2983" s="1"/>
      <c r="B2983" s="17"/>
      <c r="C2983" s="17"/>
      <c r="D2983" s="17"/>
      <c r="E2983" s="17"/>
      <c r="F2983" s="17"/>
      <c r="G2983" s="4">
        <f t="shared" si="104"/>
        <v>0</v>
      </c>
      <c r="H2983" s="17"/>
      <c r="I2983" s="4">
        <f t="shared" si="102"/>
        <v>349526.07999999996</v>
      </c>
      <c r="J2983" s="32" t="str">
        <f t="shared" si="103"/>
        <v/>
      </c>
      <c r="K2983" s="79"/>
      <c r="L2983" s="79"/>
      <c r="M2983" s="2"/>
      <c r="N2983" s="5"/>
      <c r="O2983" s="3"/>
      <c r="P2983" s="6"/>
      <c r="Q2983" s="6"/>
    </row>
    <row r="2984" spans="1:17" ht="15" customHeight="1" x14ac:dyDescent="0.25">
      <c r="A2984" s="1"/>
      <c r="B2984" s="17"/>
      <c r="C2984" s="17"/>
      <c r="D2984" s="17"/>
      <c r="E2984" s="17"/>
      <c r="F2984" s="17"/>
      <c r="G2984" s="4">
        <f t="shared" si="104"/>
        <v>0</v>
      </c>
      <c r="H2984" s="17"/>
      <c r="I2984" s="4">
        <f t="shared" si="102"/>
        <v>349526.07999999996</v>
      </c>
      <c r="J2984" s="32" t="str">
        <f t="shared" si="103"/>
        <v/>
      </c>
      <c r="K2984" s="79"/>
      <c r="L2984" s="79"/>
      <c r="M2984" s="2"/>
      <c r="N2984" s="5"/>
      <c r="O2984" s="3"/>
      <c r="P2984" s="6"/>
      <c r="Q2984" s="6"/>
    </row>
    <row r="2985" spans="1:17" ht="15" customHeight="1" x14ac:dyDescent="0.25">
      <c r="A2985" s="1"/>
      <c r="B2985" s="17"/>
      <c r="C2985" s="17"/>
      <c r="D2985" s="17"/>
      <c r="E2985" s="17"/>
      <c r="F2985" s="17"/>
      <c r="G2985" s="4">
        <f t="shared" si="104"/>
        <v>0</v>
      </c>
      <c r="H2985" s="17"/>
      <c r="I2985" s="4">
        <f t="shared" si="102"/>
        <v>349526.07999999996</v>
      </c>
      <c r="J2985" s="32" t="str">
        <f t="shared" si="103"/>
        <v/>
      </c>
      <c r="K2985" s="79"/>
      <c r="L2985" s="79"/>
      <c r="M2985" s="2"/>
      <c r="N2985" s="5"/>
      <c r="O2985" s="3"/>
      <c r="P2985" s="6"/>
      <c r="Q2985" s="6"/>
    </row>
    <row r="2986" spans="1:17" ht="15" customHeight="1" x14ac:dyDescent="0.25">
      <c r="A2986" s="1"/>
      <c r="B2986" s="17"/>
      <c r="C2986" s="17"/>
      <c r="D2986" s="17"/>
      <c r="E2986" s="17"/>
      <c r="F2986" s="17"/>
      <c r="G2986" s="4">
        <f t="shared" si="104"/>
        <v>0</v>
      </c>
      <c r="H2986" s="17"/>
      <c r="I2986" s="4">
        <f t="shared" si="102"/>
        <v>349526.07999999996</v>
      </c>
      <c r="J2986" s="32" t="str">
        <f t="shared" si="103"/>
        <v/>
      </c>
      <c r="K2986" s="79"/>
      <c r="L2986" s="79"/>
      <c r="M2986" s="2"/>
      <c r="N2986" s="5"/>
      <c r="O2986" s="3"/>
      <c r="P2986" s="6"/>
      <c r="Q2986" s="6"/>
    </row>
    <row r="2987" spans="1:17" ht="15" customHeight="1" x14ac:dyDescent="0.25">
      <c r="A2987" s="1"/>
      <c r="B2987" s="17"/>
      <c r="C2987" s="17"/>
      <c r="D2987" s="17"/>
      <c r="E2987" s="17"/>
      <c r="F2987" s="17"/>
      <c r="G2987" s="4">
        <f t="shared" si="104"/>
        <v>0</v>
      </c>
      <c r="H2987" s="17"/>
      <c r="I2987" s="4">
        <f t="shared" si="102"/>
        <v>349526.07999999996</v>
      </c>
      <c r="J2987" s="32" t="str">
        <f t="shared" si="103"/>
        <v/>
      </c>
      <c r="K2987" s="79"/>
      <c r="L2987" s="79"/>
      <c r="M2987" s="2"/>
      <c r="N2987" s="5"/>
      <c r="O2987" s="3"/>
      <c r="P2987" s="6"/>
      <c r="Q2987" s="6"/>
    </row>
    <row r="2988" spans="1:17" ht="15" customHeight="1" x14ac:dyDescent="0.25">
      <c r="A2988" s="1"/>
      <c r="B2988" s="17"/>
      <c r="C2988" s="17"/>
      <c r="D2988" s="17"/>
      <c r="E2988" s="17"/>
      <c r="F2988" s="17"/>
      <c r="G2988" s="4">
        <f t="shared" si="104"/>
        <v>0</v>
      </c>
      <c r="H2988" s="17"/>
      <c r="I2988" s="4">
        <f t="shared" si="102"/>
        <v>349526.07999999996</v>
      </c>
      <c r="J2988" s="32" t="str">
        <f t="shared" si="103"/>
        <v/>
      </c>
      <c r="K2988" s="79"/>
      <c r="L2988" s="79"/>
      <c r="M2988" s="2"/>
      <c r="N2988" s="5"/>
      <c r="O2988" s="3"/>
      <c r="P2988" s="6"/>
      <c r="Q2988" s="6"/>
    </row>
    <row r="2989" spans="1:17" ht="15" customHeight="1" x14ac:dyDescent="0.25">
      <c r="A2989" s="1"/>
      <c r="B2989" s="17"/>
      <c r="C2989" s="17"/>
      <c r="D2989" s="17"/>
      <c r="E2989" s="17"/>
      <c r="F2989" s="17"/>
      <c r="G2989" s="4">
        <f t="shared" si="104"/>
        <v>0</v>
      </c>
      <c r="H2989" s="17"/>
      <c r="I2989" s="4">
        <f t="shared" si="102"/>
        <v>349526.07999999996</v>
      </c>
      <c r="J2989" s="32" t="str">
        <f t="shared" si="103"/>
        <v/>
      </c>
      <c r="K2989" s="79"/>
      <c r="L2989" s="79"/>
      <c r="M2989" s="2"/>
      <c r="N2989" s="5"/>
      <c r="O2989" s="3"/>
      <c r="P2989" s="6"/>
      <c r="Q2989" s="6"/>
    </row>
    <row r="2990" spans="1:17" ht="15" customHeight="1" x14ac:dyDescent="0.25">
      <c r="A2990" s="1"/>
      <c r="B2990" s="17"/>
      <c r="C2990" s="17"/>
      <c r="D2990" s="17"/>
      <c r="E2990" s="17"/>
      <c r="F2990" s="17"/>
      <c r="G2990" s="4">
        <f t="shared" si="104"/>
        <v>0</v>
      </c>
      <c r="H2990" s="17"/>
      <c r="I2990" s="4">
        <f t="shared" si="102"/>
        <v>349526.07999999996</v>
      </c>
      <c r="J2990" s="32" t="str">
        <f t="shared" si="103"/>
        <v/>
      </c>
      <c r="K2990" s="79"/>
      <c r="L2990" s="79"/>
      <c r="M2990" s="2"/>
      <c r="N2990" s="5"/>
      <c r="O2990" s="3"/>
      <c r="P2990" s="6"/>
      <c r="Q2990" s="6"/>
    </row>
    <row r="2991" spans="1:17" ht="15" customHeight="1" x14ac:dyDescent="0.25">
      <c r="A2991" s="1"/>
      <c r="B2991" s="17"/>
      <c r="C2991" s="17"/>
      <c r="D2991" s="17"/>
      <c r="E2991" s="17"/>
      <c r="F2991" s="17"/>
      <c r="G2991" s="4">
        <f t="shared" si="104"/>
        <v>0</v>
      </c>
      <c r="H2991" s="17"/>
      <c r="I2991" s="4">
        <f t="shared" si="102"/>
        <v>349526.07999999996</v>
      </c>
      <c r="J2991" s="32" t="str">
        <f t="shared" si="103"/>
        <v/>
      </c>
      <c r="K2991" s="79"/>
      <c r="L2991" s="79"/>
      <c r="M2991" s="2"/>
      <c r="N2991" s="5"/>
      <c r="O2991" s="3"/>
      <c r="P2991" s="6"/>
      <c r="Q2991" s="6"/>
    </row>
    <row r="2992" spans="1:17" ht="15" customHeight="1" x14ac:dyDescent="0.25">
      <c r="A2992" s="1"/>
      <c r="B2992" s="17"/>
      <c r="C2992" s="17"/>
      <c r="D2992" s="17"/>
      <c r="E2992" s="17"/>
      <c r="F2992" s="17"/>
      <c r="G2992" s="4">
        <f t="shared" si="104"/>
        <v>0</v>
      </c>
      <c r="H2992" s="17"/>
      <c r="I2992" s="4">
        <f t="shared" si="102"/>
        <v>349526.07999999996</v>
      </c>
      <c r="J2992" s="32" t="str">
        <f t="shared" si="103"/>
        <v/>
      </c>
      <c r="K2992" s="79"/>
      <c r="L2992" s="79"/>
      <c r="M2992" s="2"/>
      <c r="N2992" s="5"/>
      <c r="O2992" s="3"/>
      <c r="P2992" s="6"/>
      <c r="Q2992" s="6"/>
    </row>
    <row r="2993" spans="1:17" ht="15" customHeight="1" x14ac:dyDescent="0.25">
      <c r="A2993" s="1"/>
      <c r="B2993" s="17"/>
      <c r="C2993" s="17"/>
      <c r="D2993" s="17"/>
      <c r="E2993" s="17"/>
      <c r="F2993" s="17"/>
      <c r="G2993" s="4">
        <f t="shared" si="104"/>
        <v>0</v>
      </c>
      <c r="H2993" s="17"/>
      <c r="I2993" s="4">
        <f t="shared" si="102"/>
        <v>349526.07999999996</v>
      </c>
      <c r="J2993" s="32" t="str">
        <f t="shared" si="103"/>
        <v/>
      </c>
      <c r="K2993" s="79"/>
      <c r="L2993" s="79"/>
      <c r="M2993" s="2"/>
      <c r="N2993" s="5"/>
      <c r="O2993" s="3"/>
      <c r="P2993" s="6"/>
      <c r="Q2993" s="6"/>
    </row>
    <row r="2994" spans="1:17" ht="15" customHeight="1" x14ac:dyDescent="0.25">
      <c r="A2994" s="1"/>
      <c r="B2994" s="17"/>
      <c r="C2994" s="17"/>
      <c r="D2994" s="17"/>
      <c r="E2994" s="17"/>
      <c r="F2994" s="17"/>
      <c r="G2994" s="4">
        <f t="shared" si="104"/>
        <v>0</v>
      </c>
      <c r="H2994" s="17"/>
      <c r="I2994" s="4">
        <f t="shared" si="102"/>
        <v>349526.07999999996</v>
      </c>
      <c r="J2994" s="32" t="str">
        <f t="shared" si="103"/>
        <v/>
      </c>
      <c r="K2994" s="79"/>
      <c r="L2994" s="79"/>
      <c r="M2994" s="2"/>
      <c r="N2994" s="5"/>
      <c r="O2994" s="3"/>
      <c r="P2994" s="6"/>
      <c r="Q2994" s="6"/>
    </row>
    <row r="2995" spans="1:17" ht="15" customHeight="1" x14ac:dyDescent="0.25">
      <c r="A2995" s="1"/>
      <c r="B2995" s="17"/>
      <c r="C2995" s="17"/>
      <c r="D2995" s="17"/>
      <c r="E2995" s="17"/>
      <c r="F2995" s="17"/>
      <c r="G2995" s="4">
        <f t="shared" si="104"/>
        <v>0</v>
      </c>
      <c r="H2995" s="17"/>
      <c r="I2995" s="4">
        <f t="shared" si="102"/>
        <v>349526.07999999996</v>
      </c>
      <c r="J2995" s="32" t="str">
        <f t="shared" si="103"/>
        <v/>
      </c>
      <c r="K2995" s="79"/>
      <c r="L2995" s="79"/>
      <c r="M2995" s="2"/>
      <c r="N2995" s="5"/>
      <c r="O2995" s="3"/>
      <c r="P2995" s="6"/>
      <c r="Q2995" s="6"/>
    </row>
    <row r="2996" spans="1:17" ht="15" customHeight="1" x14ac:dyDescent="0.25">
      <c r="A2996" s="1"/>
      <c r="B2996" s="17"/>
      <c r="C2996" s="17"/>
      <c r="D2996" s="17"/>
      <c r="E2996" s="17"/>
      <c r="F2996" s="17"/>
      <c r="G2996" s="4">
        <f t="shared" si="104"/>
        <v>0</v>
      </c>
      <c r="H2996" s="17"/>
      <c r="I2996" s="4">
        <f t="shared" si="102"/>
        <v>349526.07999999996</v>
      </c>
      <c r="J2996" s="32" t="str">
        <f t="shared" si="103"/>
        <v/>
      </c>
      <c r="K2996" s="79"/>
      <c r="L2996" s="79"/>
      <c r="M2996" s="2"/>
      <c r="N2996" s="5"/>
      <c r="O2996" s="3"/>
      <c r="P2996" s="6"/>
      <c r="Q2996" s="6"/>
    </row>
    <row r="2997" spans="1:17" ht="15" customHeight="1" x14ac:dyDescent="0.25">
      <c r="A2997" s="1"/>
      <c r="B2997" s="17"/>
      <c r="C2997" s="17"/>
      <c r="D2997" s="17"/>
      <c r="E2997" s="17"/>
      <c r="F2997" s="17"/>
      <c r="G2997" s="4">
        <f t="shared" si="104"/>
        <v>0</v>
      </c>
      <c r="H2997" s="17"/>
      <c r="I2997" s="4">
        <f t="shared" si="102"/>
        <v>349526.07999999996</v>
      </c>
      <c r="J2997" s="32" t="str">
        <f t="shared" si="103"/>
        <v/>
      </c>
      <c r="K2997" s="79"/>
      <c r="L2997" s="79"/>
      <c r="M2997" s="2"/>
      <c r="N2997" s="5"/>
      <c r="O2997" s="3"/>
      <c r="P2997" s="6"/>
      <c r="Q2997" s="6"/>
    </row>
    <row r="2998" spans="1:17" ht="15" customHeight="1" x14ac:dyDescent="0.25">
      <c r="A2998" s="1"/>
      <c r="B2998" s="17"/>
      <c r="C2998" s="17"/>
      <c r="D2998" s="17"/>
      <c r="E2998" s="17"/>
      <c r="F2998" s="17"/>
      <c r="G2998" s="4">
        <f t="shared" si="104"/>
        <v>0</v>
      </c>
      <c r="H2998" s="17"/>
      <c r="I2998" s="4">
        <f t="shared" ref="I2998:I3061" si="105">$I2997+$G2998-$H2998</f>
        <v>349526.07999999996</v>
      </c>
      <c r="J2998" s="32" t="str">
        <f t="shared" ref="J2998:J3061" si="106">IF($A2999&lt;&gt;$A2998,$I2998,"")</f>
        <v/>
      </c>
      <c r="K2998" s="79"/>
      <c r="L2998" s="79"/>
      <c r="M2998" s="2"/>
      <c r="N2998" s="5"/>
      <c r="O2998" s="3"/>
      <c r="P2998" s="6"/>
      <c r="Q2998" s="6"/>
    </row>
    <row r="2999" spans="1:17" ht="15" customHeight="1" x14ac:dyDescent="0.25">
      <c r="A2999" s="1"/>
      <c r="B2999" s="17"/>
      <c r="C2999" s="17"/>
      <c r="D2999" s="17"/>
      <c r="E2999" s="17"/>
      <c r="F2999" s="17"/>
      <c r="G2999" s="4">
        <f t="shared" si="104"/>
        <v>0</v>
      </c>
      <c r="H2999" s="17"/>
      <c r="I2999" s="4">
        <f t="shared" si="105"/>
        <v>349526.07999999996</v>
      </c>
      <c r="J2999" s="32" t="str">
        <f t="shared" si="106"/>
        <v/>
      </c>
      <c r="K2999" s="79"/>
      <c r="L2999" s="79"/>
      <c r="M2999" s="2"/>
      <c r="N2999" s="5"/>
      <c r="O2999" s="3"/>
      <c r="P2999" s="6"/>
      <c r="Q2999" s="6"/>
    </row>
    <row r="3000" spans="1:17" ht="15" customHeight="1" x14ac:dyDescent="0.25">
      <c r="A3000" s="1"/>
      <c r="B3000" s="17"/>
      <c r="C3000" s="17"/>
      <c r="D3000" s="17"/>
      <c r="E3000" s="17"/>
      <c r="F3000" s="17"/>
      <c r="G3000" s="4">
        <f t="shared" si="104"/>
        <v>0</v>
      </c>
      <c r="H3000" s="17"/>
      <c r="I3000" s="4">
        <f t="shared" si="105"/>
        <v>349526.07999999996</v>
      </c>
      <c r="J3000" s="32" t="str">
        <f t="shared" si="106"/>
        <v/>
      </c>
      <c r="K3000" s="79"/>
      <c r="L3000" s="79"/>
      <c r="M3000" s="2"/>
      <c r="N3000" s="5"/>
      <c r="O3000" s="3"/>
      <c r="P3000" s="6"/>
      <c r="Q3000" s="6"/>
    </row>
    <row r="3001" spans="1:17" ht="15" customHeight="1" x14ac:dyDescent="0.25">
      <c r="A3001" s="1"/>
      <c r="B3001" s="17"/>
      <c r="C3001" s="17"/>
      <c r="D3001" s="17"/>
      <c r="E3001" s="17"/>
      <c r="F3001" s="17"/>
      <c r="G3001" s="4">
        <f t="shared" si="104"/>
        <v>0</v>
      </c>
      <c r="H3001" s="17"/>
      <c r="I3001" s="4">
        <f t="shared" si="105"/>
        <v>349526.07999999996</v>
      </c>
      <c r="J3001" s="32" t="str">
        <f t="shared" si="106"/>
        <v/>
      </c>
      <c r="K3001" s="79"/>
      <c r="L3001" s="79"/>
      <c r="M3001" s="2"/>
      <c r="N3001" s="5"/>
      <c r="O3001" s="3"/>
      <c r="P3001" s="6"/>
      <c r="Q3001" s="6"/>
    </row>
    <row r="3002" spans="1:17" ht="15" customHeight="1" x14ac:dyDescent="0.25">
      <c r="A3002" s="1"/>
      <c r="B3002" s="17"/>
      <c r="C3002" s="17"/>
      <c r="D3002" s="17"/>
      <c r="E3002" s="17"/>
      <c r="F3002" s="17"/>
      <c r="G3002" s="4">
        <f t="shared" si="104"/>
        <v>0</v>
      </c>
      <c r="H3002" s="17"/>
      <c r="I3002" s="4">
        <f t="shared" si="105"/>
        <v>349526.07999999996</v>
      </c>
      <c r="J3002" s="32" t="str">
        <f t="shared" si="106"/>
        <v/>
      </c>
      <c r="K3002" s="79"/>
      <c r="L3002" s="79"/>
      <c r="M3002" s="2"/>
      <c r="N3002" s="5"/>
      <c r="O3002" s="3"/>
      <c r="P3002" s="6"/>
      <c r="Q3002" s="6"/>
    </row>
    <row r="3003" spans="1:17" ht="15" customHeight="1" x14ac:dyDescent="0.25">
      <c r="A3003" s="1"/>
      <c r="B3003" s="17"/>
      <c r="C3003" s="17"/>
      <c r="D3003" s="17"/>
      <c r="E3003" s="17"/>
      <c r="F3003" s="17"/>
      <c r="G3003" s="4">
        <f t="shared" si="104"/>
        <v>0</v>
      </c>
      <c r="H3003" s="17"/>
      <c r="I3003" s="4">
        <f t="shared" si="105"/>
        <v>349526.07999999996</v>
      </c>
      <c r="J3003" s="32" t="str">
        <f t="shared" si="106"/>
        <v/>
      </c>
      <c r="K3003" s="79"/>
      <c r="L3003" s="79"/>
      <c r="M3003" s="2"/>
      <c r="N3003" s="5"/>
      <c r="O3003" s="3"/>
      <c r="P3003" s="6"/>
      <c r="Q3003" s="6"/>
    </row>
    <row r="3004" spans="1:17" ht="15" customHeight="1" x14ac:dyDescent="0.25">
      <c r="A3004" s="1"/>
      <c r="B3004" s="17"/>
      <c r="C3004" s="17"/>
      <c r="D3004" s="17"/>
      <c r="E3004" s="17"/>
      <c r="F3004" s="17"/>
      <c r="G3004" s="4">
        <f t="shared" si="104"/>
        <v>0</v>
      </c>
      <c r="H3004" s="17"/>
      <c r="I3004" s="4">
        <f t="shared" si="105"/>
        <v>349526.07999999996</v>
      </c>
      <c r="J3004" s="32" t="str">
        <f t="shared" si="106"/>
        <v/>
      </c>
      <c r="K3004" s="79"/>
      <c r="L3004" s="79"/>
      <c r="M3004" s="2"/>
      <c r="N3004" s="5"/>
      <c r="O3004" s="3"/>
      <c r="P3004" s="6"/>
      <c r="Q3004" s="6"/>
    </row>
    <row r="3005" spans="1:17" ht="15" customHeight="1" x14ac:dyDescent="0.25">
      <c r="A3005" s="1"/>
      <c r="B3005" s="17"/>
      <c r="C3005" s="17"/>
      <c r="D3005" s="17"/>
      <c r="E3005" s="17"/>
      <c r="F3005" s="17"/>
      <c r="G3005" s="4">
        <f t="shared" si="104"/>
        <v>0</v>
      </c>
      <c r="H3005" s="17"/>
      <c r="I3005" s="4">
        <f t="shared" si="105"/>
        <v>349526.07999999996</v>
      </c>
      <c r="J3005" s="32" t="str">
        <f t="shared" si="106"/>
        <v/>
      </c>
      <c r="K3005" s="79"/>
      <c r="L3005" s="79"/>
      <c r="M3005" s="2"/>
      <c r="N3005" s="5"/>
      <c r="O3005" s="3"/>
      <c r="P3005" s="6"/>
      <c r="Q3005" s="6"/>
    </row>
    <row r="3006" spans="1:17" ht="15" customHeight="1" x14ac:dyDescent="0.25">
      <c r="A3006" s="1"/>
      <c r="B3006" s="17"/>
      <c r="C3006" s="17"/>
      <c r="D3006" s="17"/>
      <c r="E3006" s="17"/>
      <c r="F3006" s="17"/>
      <c r="G3006" s="4">
        <f t="shared" si="104"/>
        <v>0</v>
      </c>
      <c r="H3006" s="17"/>
      <c r="I3006" s="4">
        <f t="shared" si="105"/>
        <v>349526.07999999996</v>
      </c>
      <c r="J3006" s="32" t="str">
        <f t="shared" si="106"/>
        <v/>
      </c>
      <c r="K3006" s="79"/>
      <c r="L3006" s="79"/>
      <c r="M3006" s="2"/>
      <c r="N3006" s="5"/>
      <c r="O3006" s="3"/>
      <c r="P3006" s="6"/>
      <c r="Q3006" s="6"/>
    </row>
    <row r="3007" spans="1:17" ht="15" customHeight="1" x14ac:dyDescent="0.25">
      <c r="A3007" s="1"/>
      <c r="B3007" s="17"/>
      <c r="C3007" s="17"/>
      <c r="D3007" s="17"/>
      <c r="E3007" s="17"/>
      <c r="F3007" s="17"/>
      <c r="G3007" s="4">
        <f t="shared" si="104"/>
        <v>0</v>
      </c>
      <c r="H3007" s="17"/>
      <c r="I3007" s="4">
        <f t="shared" si="105"/>
        <v>349526.07999999996</v>
      </c>
      <c r="J3007" s="32" t="str">
        <f t="shared" si="106"/>
        <v/>
      </c>
      <c r="K3007" s="79"/>
      <c r="L3007" s="79"/>
      <c r="M3007" s="2"/>
      <c r="N3007" s="5"/>
      <c r="O3007" s="3"/>
      <c r="P3007" s="6"/>
      <c r="Q3007" s="6"/>
    </row>
    <row r="3008" spans="1:17" ht="15" customHeight="1" x14ac:dyDescent="0.25">
      <c r="A3008" s="1"/>
      <c r="B3008" s="17"/>
      <c r="C3008" s="17"/>
      <c r="D3008" s="17"/>
      <c r="E3008" s="17"/>
      <c r="F3008" s="17"/>
      <c r="G3008" s="4">
        <f t="shared" si="104"/>
        <v>0</v>
      </c>
      <c r="H3008" s="17"/>
      <c r="I3008" s="4">
        <f t="shared" si="105"/>
        <v>349526.07999999996</v>
      </c>
      <c r="J3008" s="32" t="str">
        <f t="shared" si="106"/>
        <v/>
      </c>
      <c r="K3008" s="79"/>
      <c r="L3008" s="79"/>
      <c r="M3008" s="2"/>
      <c r="N3008" s="5"/>
      <c r="O3008" s="3"/>
      <c r="P3008" s="6"/>
      <c r="Q3008" s="6"/>
    </row>
    <row r="3009" spans="1:17" ht="15" customHeight="1" x14ac:dyDescent="0.25">
      <c r="A3009" s="1"/>
      <c r="B3009" s="17"/>
      <c r="C3009" s="17"/>
      <c r="D3009" s="17"/>
      <c r="E3009" s="17"/>
      <c r="F3009" s="17"/>
      <c r="G3009" s="4">
        <f t="shared" si="104"/>
        <v>0</v>
      </c>
      <c r="H3009" s="17"/>
      <c r="I3009" s="4">
        <f t="shared" si="105"/>
        <v>349526.07999999996</v>
      </c>
      <c r="J3009" s="32" t="str">
        <f t="shared" si="106"/>
        <v/>
      </c>
      <c r="K3009" s="79"/>
      <c r="L3009" s="79"/>
      <c r="M3009" s="2"/>
      <c r="N3009" s="5"/>
      <c r="O3009" s="3"/>
      <c r="P3009" s="6"/>
      <c r="Q3009" s="6"/>
    </row>
    <row r="3010" spans="1:17" ht="15" customHeight="1" x14ac:dyDescent="0.25">
      <c r="A3010" s="1"/>
      <c r="B3010" s="17"/>
      <c r="C3010" s="17"/>
      <c r="D3010" s="17"/>
      <c r="E3010" s="17"/>
      <c r="F3010" s="17"/>
      <c r="G3010" s="4">
        <f t="shared" si="104"/>
        <v>0</v>
      </c>
      <c r="H3010" s="17"/>
      <c r="I3010" s="4">
        <f t="shared" si="105"/>
        <v>349526.07999999996</v>
      </c>
      <c r="J3010" s="32" t="str">
        <f t="shared" si="106"/>
        <v/>
      </c>
      <c r="K3010" s="79"/>
      <c r="L3010" s="79"/>
      <c r="M3010" s="2"/>
      <c r="N3010" s="5"/>
      <c r="O3010" s="3"/>
      <c r="P3010" s="6"/>
      <c r="Q3010" s="6"/>
    </row>
    <row r="3011" spans="1:17" ht="15" customHeight="1" x14ac:dyDescent="0.25">
      <c r="A3011" s="1"/>
      <c r="B3011" s="17"/>
      <c r="C3011" s="17"/>
      <c r="D3011" s="17"/>
      <c r="E3011" s="17"/>
      <c r="F3011" s="17"/>
      <c r="G3011" s="4">
        <f t="shared" ref="G3011:G3074" si="107">SUM($B3011:$F3011)</f>
        <v>0</v>
      </c>
      <c r="H3011" s="17"/>
      <c r="I3011" s="4">
        <f t="shared" si="105"/>
        <v>349526.07999999996</v>
      </c>
      <c r="J3011" s="32" t="str">
        <f t="shared" si="106"/>
        <v/>
      </c>
      <c r="K3011" s="79"/>
      <c r="L3011" s="79"/>
      <c r="M3011" s="2"/>
      <c r="N3011" s="5"/>
      <c r="O3011" s="3"/>
      <c r="P3011" s="6"/>
      <c r="Q3011" s="6"/>
    </row>
    <row r="3012" spans="1:17" ht="15" customHeight="1" x14ac:dyDescent="0.25">
      <c r="A3012" s="1"/>
      <c r="B3012" s="17"/>
      <c r="C3012" s="17"/>
      <c r="D3012" s="17"/>
      <c r="E3012" s="17"/>
      <c r="F3012" s="17"/>
      <c r="G3012" s="4">
        <f t="shared" si="107"/>
        <v>0</v>
      </c>
      <c r="H3012" s="17"/>
      <c r="I3012" s="4">
        <f t="shared" si="105"/>
        <v>349526.07999999996</v>
      </c>
      <c r="J3012" s="32" t="str">
        <f t="shared" si="106"/>
        <v/>
      </c>
      <c r="K3012" s="79"/>
      <c r="L3012" s="79"/>
      <c r="M3012" s="2"/>
      <c r="N3012" s="5"/>
      <c r="O3012" s="3"/>
      <c r="P3012" s="6"/>
      <c r="Q3012" s="6"/>
    </row>
    <row r="3013" spans="1:17" ht="15" customHeight="1" x14ac:dyDescent="0.25">
      <c r="A3013" s="1"/>
      <c r="B3013" s="17"/>
      <c r="C3013" s="17"/>
      <c r="D3013" s="17"/>
      <c r="E3013" s="17"/>
      <c r="F3013" s="17"/>
      <c r="G3013" s="4">
        <f t="shared" si="107"/>
        <v>0</v>
      </c>
      <c r="H3013" s="17"/>
      <c r="I3013" s="4">
        <f t="shared" si="105"/>
        <v>349526.07999999996</v>
      </c>
      <c r="J3013" s="32" t="str">
        <f t="shared" si="106"/>
        <v/>
      </c>
      <c r="K3013" s="79"/>
      <c r="L3013" s="79"/>
      <c r="M3013" s="2"/>
      <c r="N3013" s="5"/>
      <c r="O3013" s="3"/>
      <c r="P3013" s="6"/>
      <c r="Q3013" s="6"/>
    </row>
    <row r="3014" spans="1:17" ht="15" customHeight="1" x14ac:dyDescent="0.25">
      <c r="A3014" s="1"/>
      <c r="B3014" s="17"/>
      <c r="C3014" s="17"/>
      <c r="D3014" s="17"/>
      <c r="E3014" s="17"/>
      <c r="F3014" s="17"/>
      <c r="G3014" s="4">
        <f t="shared" si="107"/>
        <v>0</v>
      </c>
      <c r="H3014" s="17"/>
      <c r="I3014" s="4">
        <f t="shared" si="105"/>
        <v>349526.07999999996</v>
      </c>
      <c r="J3014" s="32" t="str">
        <f t="shared" si="106"/>
        <v/>
      </c>
      <c r="K3014" s="79"/>
      <c r="L3014" s="79"/>
      <c r="M3014" s="2"/>
      <c r="N3014" s="5"/>
      <c r="O3014" s="3"/>
      <c r="P3014" s="6"/>
      <c r="Q3014" s="6"/>
    </row>
    <row r="3015" spans="1:17" ht="15" customHeight="1" x14ac:dyDescent="0.25">
      <c r="A3015" s="1"/>
      <c r="B3015" s="17"/>
      <c r="C3015" s="17"/>
      <c r="D3015" s="17"/>
      <c r="E3015" s="17"/>
      <c r="F3015" s="17"/>
      <c r="G3015" s="4">
        <f t="shared" si="107"/>
        <v>0</v>
      </c>
      <c r="H3015" s="17"/>
      <c r="I3015" s="4">
        <f t="shared" si="105"/>
        <v>349526.07999999996</v>
      </c>
      <c r="J3015" s="32" t="str">
        <f t="shared" si="106"/>
        <v/>
      </c>
      <c r="K3015" s="79"/>
      <c r="L3015" s="79"/>
      <c r="M3015" s="2"/>
      <c r="N3015" s="5"/>
      <c r="O3015" s="3"/>
      <c r="P3015" s="6"/>
      <c r="Q3015" s="6"/>
    </row>
    <row r="3016" spans="1:17" ht="15" customHeight="1" x14ac:dyDescent="0.25">
      <c r="A3016" s="1"/>
      <c r="B3016" s="17"/>
      <c r="C3016" s="17"/>
      <c r="D3016" s="17"/>
      <c r="E3016" s="17"/>
      <c r="F3016" s="17"/>
      <c r="G3016" s="4">
        <f t="shared" si="107"/>
        <v>0</v>
      </c>
      <c r="H3016" s="17"/>
      <c r="I3016" s="4">
        <f t="shared" si="105"/>
        <v>349526.07999999996</v>
      </c>
      <c r="J3016" s="32" t="str">
        <f t="shared" si="106"/>
        <v/>
      </c>
      <c r="K3016" s="79"/>
      <c r="L3016" s="79"/>
      <c r="M3016" s="2"/>
      <c r="N3016" s="5"/>
      <c r="O3016" s="3"/>
      <c r="P3016" s="6"/>
      <c r="Q3016" s="6"/>
    </row>
    <row r="3017" spans="1:17" ht="15" customHeight="1" x14ac:dyDescent="0.25">
      <c r="A3017" s="1"/>
      <c r="B3017" s="17"/>
      <c r="C3017" s="17"/>
      <c r="D3017" s="17"/>
      <c r="E3017" s="17"/>
      <c r="F3017" s="17"/>
      <c r="G3017" s="4">
        <f t="shared" si="107"/>
        <v>0</v>
      </c>
      <c r="H3017" s="17"/>
      <c r="I3017" s="4">
        <f t="shared" si="105"/>
        <v>349526.07999999996</v>
      </c>
      <c r="J3017" s="32" t="str">
        <f t="shared" si="106"/>
        <v/>
      </c>
      <c r="K3017" s="79"/>
      <c r="L3017" s="79"/>
      <c r="M3017" s="2"/>
      <c r="N3017" s="5"/>
      <c r="O3017" s="3"/>
      <c r="P3017" s="6"/>
      <c r="Q3017" s="6"/>
    </row>
    <row r="3018" spans="1:17" ht="15" customHeight="1" x14ac:dyDescent="0.25">
      <c r="A3018" s="1"/>
      <c r="B3018" s="17"/>
      <c r="C3018" s="17"/>
      <c r="D3018" s="17"/>
      <c r="E3018" s="17"/>
      <c r="F3018" s="17"/>
      <c r="G3018" s="4">
        <f t="shared" si="107"/>
        <v>0</v>
      </c>
      <c r="H3018" s="17"/>
      <c r="I3018" s="4">
        <f t="shared" si="105"/>
        <v>349526.07999999996</v>
      </c>
      <c r="J3018" s="32" t="str">
        <f t="shared" si="106"/>
        <v/>
      </c>
      <c r="K3018" s="79"/>
      <c r="L3018" s="79"/>
      <c r="M3018" s="2"/>
      <c r="N3018" s="5"/>
      <c r="O3018" s="3"/>
      <c r="P3018" s="6"/>
      <c r="Q3018" s="6"/>
    </row>
    <row r="3019" spans="1:17" ht="15" customHeight="1" x14ac:dyDescent="0.25">
      <c r="A3019" s="1"/>
      <c r="B3019" s="17"/>
      <c r="C3019" s="17"/>
      <c r="D3019" s="17"/>
      <c r="E3019" s="17"/>
      <c r="F3019" s="17"/>
      <c r="G3019" s="4">
        <f t="shared" si="107"/>
        <v>0</v>
      </c>
      <c r="H3019" s="17"/>
      <c r="I3019" s="4">
        <f t="shared" si="105"/>
        <v>349526.07999999996</v>
      </c>
      <c r="J3019" s="32" t="str">
        <f t="shared" si="106"/>
        <v/>
      </c>
      <c r="K3019" s="79"/>
      <c r="L3019" s="79"/>
      <c r="M3019" s="2"/>
      <c r="N3019" s="5"/>
      <c r="O3019" s="3"/>
      <c r="P3019" s="6"/>
      <c r="Q3019" s="6"/>
    </row>
    <row r="3020" spans="1:17" ht="15" customHeight="1" x14ac:dyDescent="0.25">
      <c r="A3020" s="1"/>
      <c r="B3020" s="17"/>
      <c r="C3020" s="17"/>
      <c r="D3020" s="17"/>
      <c r="E3020" s="17"/>
      <c r="F3020" s="17"/>
      <c r="G3020" s="4">
        <f t="shared" si="107"/>
        <v>0</v>
      </c>
      <c r="H3020" s="17"/>
      <c r="I3020" s="4">
        <f t="shared" si="105"/>
        <v>349526.07999999996</v>
      </c>
      <c r="J3020" s="32" t="str">
        <f t="shared" si="106"/>
        <v/>
      </c>
      <c r="K3020" s="79"/>
      <c r="L3020" s="79"/>
      <c r="M3020" s="2"/>
      <c r="N3020" s="5"/>
      <c r="O3020" s="3"/>
      <c r="P3020" s="6"/>
      <c r="Q3020" s="6"/>
    </row>
    <row r="3021" spans="1:17" ht="15" customHeight="1" x14ac:dyDescent="0.25">
      <c r="A3021" s="1"/>
      <c r="B3021" s="17"/>
      <c r="C3021" s="17"/>
      <c r="D3021" s="17"/>
      <c r="E3021" s="17"/>
      <c r="F3021" s="17"/>
      <c r="G3021" s="4">
        <f t="shared" si="107"/>
        <v>0</v>
      </c>
      <c r="H3021" s="17"/>
      <c r="I3021" s="4">
        <f t="shared" si="105"/>
        <v>349526.07999999996</v>
      </c>
      <c r="J3021" s="32" t="str">
        <f t="shared" si="106"/>
        <v/>
      </c>
      <c r="K3021" s="79"/>
      <c r="L3021" s="79"/>
      <c r="M3021" s="2"/>
      <c r="N3021" s="5"/>
      <c r="O3021" s="3"/>
      <c r="P3021" s="6"/>
      <c r="Q3021" s="6"/>
    </row>
    <row r="3022" spans="1:17" ht="15" customHeight="1" x14ac:dyDescent="0.25">
      <c r="A3022" s="1"/>
      <c r="B3022" s="17"/>
      <c r="C3022" s="17"/>
      <c r="D3022" s="17"/>
      <c r="E3022" s="17"/>
      <c r="F3022" s="17"/>
      <c r="G3022" s="4">
        <f t="shared" si="107"/>
        <v>0</v>
      </c>
      <c r="H3022" s="17"/>
      <c r="I3022" s="4">
        <f t="shared" si="105"/>
        <v>349526.07999999996</v>
      </c>
      <c r="J3022" s="32" t="str">
        <f t="shared" si="106"/>
        <v/>
      </c>
      <c r="K3022" s="79"/>
      <c r="L3022" s="79"/>
      <c r="M3022" s="2"/>
      <c r="N3022" s="5"/>
      <c r="O3022" s="3"/>
      <c r="P3022" s="6"/>
      <c r="Q3022" s="6"/>
    </row>
    <row r="3023" spans="1:17" ht="15" customHeight="1" x14ac:dyDescent="0.25">
      <c r="A3023" s="1"/>
      <c r="B3023" s="17"/>
      <c r="C3023" s="17"/>
      <c r="D3023" s="17"/>
      <c r="E3023" s="17"/>
      <c r="F3023" s="17"/>
      <c r="G3023" s="4">
        <f t="shared" si="107"/>
        <v>0</v>
      </c>
      <c r="H3023" s="17"/>
      <c r="I3023" s="4">
        <f t="shared" si="105"/>
        <v>349526.07999999996</v>
      </c>
      <c r="J3023" s="32" t="str">
        <f t="shared" si="106"/>
        <v/>
      </c>
      <c r="K3023" s="79"/>
      <c r="L3023" s="79"/>
      <c r="M3023" s="2"/>
      <c r="N3023" s="5"/>
      <c r="O3023" s="3"/>
      <c r="P3023" s="6"/>
      <c r="Q3023" s="6"/>
    </row>
    <row r="3024" spans="1:17" ht="15" customHeight="1" x14ac:dyDescent="0.25">
      <c r="A3024" s="1"/>
      <c r="B3024" s="17"/>
      <c r="C3024" s="17"/>
      <c r="D3024" s="17"/>
      <c r="E3024" s="17"/>
      <c r="F3024" s="17"/>
      <c r="G3024" s="4">
        <f t="shared" si="107"/>
        <v>0</v>
      </c>
      <c r="H3024" s="17"/>
      <c r="I3024" s="4">
        <f t="shared" si="105"/>
        <v>349526.07999999996</v>
      </c>
      <c r="J3024" s="32" t="str">
        <f t="shared" si="106"/>
        <v/>
      </c>
      <c r="K3024" s="79"/>
      <c r="L3024" s="79"/>
      <c r="M3024" s="2"/>
      <c r="N3024" s="5"/>
      <c r="O3024" s="3"/>
      <c r="P3024" s="6"/>
      <c r="Q3024" s="6"/>
    </row>
    <row r="3025" spans="1:17" ht="15" customHeight="1" x14ac:dyDescent="0.25">
      <c r="A3025" s="1"/>
      <c r="B3025" s="17"/>
      <c r="C3025" s="17"/>
      <c r="D3025" s="17"/>
      <c r="E3025" s="17"/>
      <c r="F3025" s="17"/>
      <c r="G3025" s="4">
        <f t="shared" si="107"/>
        <v>0</v>
      </c>
      <c r="H3025" s="17"/>
      <c r="I3025" s="4">
        <f t="shared" si="105"/>
        <v>349526.07999999996</v>
      </c>
      <c r="J3025" s="32" t="str">
        <f t="shared" si="106"/>
        <v/>
      </c>
      <c r="K3025" s="79"/>
      <c r="L3025" s="79"/>
      <c r="M3025" s="2"/>
      <c r="N3025" s="5"/>
      <c r="O3025" s="3"/>
      <c r="P3025" s="6"/>
      <c r="Q3025" s="6"/>
    </row>
    <row r="3026" spans="1:17" ht="15" customHeight="1" x14ac:dyDescent="0.25">
      <c r="A3026" s="1"/>
      <c r="B3026" s="17"/>
      <c r="C3026" s="17"/>
      <c r="D3026" s="17"/>
      <c r="E3026" s="17"/>
      <c r="F3026" s="17"/>
      <c r="G3026" s="4">
        <f t="shared" si="107"/>
        <v>0</v>
      </c>
      <c r="H3026" s="17"/>
      <c r="I3026" s="4">
        <f t="shared" si="105"/>
        <v>349526.07999999996</v>
      </c>
      <c r="J3026" s="32" t="str">
        <f t="shared" si="106"/>
        <v/>
      </c>
      <c r="K3026" s="79"/>
      <c r="L3026" s="79"/>
      <c r="M3026" s="2"/>
      <c r="N3026" s="5"/>
      <c r="O3026" s="3"/>
      <c r="P3026" s="6"/>
      <c r="Q3026" s="6"/>
    </row>
    <row r="3027" spans="1:17" ht="15" customHeight="1" x14ac:dyDescent="0.25">
      <c r="A3027" s="1"/>
      <c r="B3027" s="17"/>
      <c r="C3027" s="17"/>
      <c r="D3027" s="17"/>
      <c r="E3027" s="17"/>
      <c r="F3027" s="17"/>
      <c r="G3027" s="4">
        <f t="shared" si="107"/>
        <v>0</v>
      </c>
      <c r="H3027" s="17"/>
      <c r="I3027" s="4">
        <f t="shared" si="105"/>
        <v>349526.07999999996</v>
      </c>
      <c r="J3027" s="32" t="str">
        <f t="shared" si="106"/>
        <v/>
      </c>
      <c r="K3027" s="79"/>
      <c r="L3027" s="79"/>
      <c r="M3027" s="2"/>
      <c r="N3027" s="5"/>
      <c r="O3027" s="3"/>
      <c r="P3027" s="6"/>
      <c r="Q3027" s="6"/>
    </row>
    <row r="3028" spans="1:17" ht="15" customHeight="1" x14ac:dyDescent="0.25">
      <c r="A3028" s="1"/>
      <c r="B3028" s="17"/>
      <c r="C3028" s="17"/>
      <c r="D3028" s="17"/>
      <c r="E3028" s="17"/>
      <c r="F3028" s="17"/>
      <c r="G3028" s="4">
        <f t="shared" si="107"/>
        <v>0</v>
      </c>
      <c r="H3028" s="17"/>
      <c r="I3028" s="4">
        <f t="shared" si="105"/>
        <v>349526.07999999996</v>
      </c>
      <c r="J3028" s="32" t="str">
        <f t="shared" si="106"/>
        <v/>
      </c>
      <c r="K3028" s="79"/>
      <c r="L3028" s="79"/>
      <c r="M3028" s="2"/>
      <c r="N3028" s="5"/>
      <c r="O3028" s="3"/>
      <c r="P3028" s="6"/>
      <c r="Q3028" s="6"/>
    </row>
    <row r="3029" spans="1:17" ht="15" customHeight="1" x14ac:dyDescent="0.25">
      <c r="A3029" s="1"/>
      <c r="B3029" s="17"/>
      <c r="C3029" s="17"/>
      <c r="D3029" s="17"/>
      <c r="E3029" s="17"/>
      <c r="F3029" s="17"/>
      <c r="G3029" s="4">
        <f t="shared" si="107"/>
        <v>0</v>
      </c>
      <c r="H3029" s="17"/>
      <c r="I3029" s="4">
        <f t="shared" si="105"/>
        <v>349526.07999999996</v>
      </c>
      <c r="J3029" s="32" t="str">
        <f t="shared" si="106"/>
        <v/>
      </c>
      <c r="K3029" s="79"/>
      <c r="L3029" s="79"/>
      <c r="M3029" s="2"/>
      <c r="N3029" s="5"/>
      <c r="O3029" s="3"/>
      <c r="P3029" s="6"/>
      <c r="Q3029" s="6"/>
    </row>
    <row r="3030" spans="1:17" ht="15" customHeight="1" x14ac:dyDescent="0.25">
      <c r="A3030" s="1"/>
      <c r="B3030" s="17"/>
      <c r="C3030" s="17"/>
      <c r="D3030" s="17"/>
      <c r="E3030" s="17"/>
      <c r="F3030" s="17"/>
      <c r="G3030" s="4">
        <f t="shared" si="107"/>
        <v>0</v>
      </c>
      <c r="H3030" s="17"/>
      <c r="I3030" s="4">
        <f t="shared" si="105"/>
        <v>349526.07999999996</v>
      </c>
      <c r="J3030" s="32" t="str">
        <f t="shared" si="106"/>
        <v/>
      </c>
      <c r="K3030" s="79"/>
      <c r="L3030" s="79"/>
      <c r="M3030" s="2"/>
      <c r="N3030" s="5"/>
      <c r="O3030" s="3"/>
      <c r="P3030" s="6"/>
      <c r="Q3030" s="6"/>
    </row>
    <row r="3031" spans="1:17" ht="15" customHeight="1" x14ac:dyDescent="0.25">
      <c r="A3031" s="1"/>
      <c r="B3031" s="17"/>
      <c r="C3031" s="17"/>
      <c r="D3031" s="17"/>
      <c r="E3031" s="17"/>
      <c r="F3031" s="17"/>
      <c r="G3031" s="4">
        <f t="shared" si="107"/>
        <v>0</v>
      </c>
      <c r="H3031" s="17"/>
      <c r="I3031" s="4">
        <f t="shared" si="105"/>
        <v>349526.07999999996</v>
      </c>
      <c r="J3031" s="32" t="str">
        <f t="shared" si="106"/>
        <v/>
      </c>
      <c r="K3031" s="79"/>
      <c r="L3031" s="79"/>
      <c r="M3031" s="2"/>
      <c r="N3031" s="5"/>
      <c r="O3031" s="3"/>
      <c r="P3031" s="6"/>
      <c r="Q3031" s="6"/>
    </row>
    <row r="3032" spans="1:17" ht="15" customHeight="1" x14ac:dyDescent="0.25">
      <c r="A3032" s="1"/>
      <c r="B3032" s="17"/>
      <c r="C3032" s="17"/>
      <c r="D3032" s="17"/>
      <c r="E3032" s="17"/>
      <c r="F3032" s="17"/>
      <c r="G3032" s="4">
        <f t="shared" si="107"/>
        <v>0</v>
      </c>
      <c r="H3032" s="17"/>
      <c r="I3032" s="4">
        <f t="shared" si="105"/>
        <v>349526.07999999996</v>
      </c>
      <c r="J3032" s="32" t="str">
        <f t="shared" si="106"/>
        <v/>
      </c>
      <c r="K3032" s="79"/>
      <c r="L3032" s="79"/>
      <c r="M3032" s="2"/>
      <c r="N3032" s="5"/>
      <c r="O3032" s="3"/>
      <c r="P3032" s="6"/>
      <c r="Q3032" s="6"/>
    </row>
    <row r="3033" spans="1:17" ht="15" customHeight="1" x14ac:dyDescent="0.25">
      <c r="A3033" s="1"/>
      <c r="B3033" s="17"/>
      <c r="C3033" s="17"/>
      <c r="D3033" s="17"/>
      <c r="E3033" s="17"/>
      <c r="F3033" s="17"/>
      <c r="G3033" s="4">
        <f t="shared" si="107"/>
        <v>0</v>
      </c>
      <c r="H3033" s="17"/>
      <c r="I3033" s="4">
        <f t="shared" si="105"/>
        <v>349526.07999999996</v>
      </c>
      <c r="J3033" s="32" t="str">
        <f t="shared" si="106"/>
        <v/>
      </c>
      <c r="K3033" s="79"/>
      <c r="L3033" s="79"/>
      <c r="M3033" s="2"/>
      <c r="N3033" s="5"/>
      <c r="O3033" s="3"/>
      <c r="P3033" s="6"/>
      <c r="Q3033" s="6"/>
    </row>
    <row r="3034" spans="1:17" ht="15" customHeight="1" x14ac:dyDescent="0.25">
      <c r="A3034" s="1"/>
      <c r="B3034" s="17"/>
      <c r="C3034" s="17"/>
      <c r="D3034" s="17"/>
      <c r="E3034" s="17"/>
      <c r="F3034" s="17"/>
      <c r="G3034" s="4">
        <f t="shared" si="107"/>
        <v>0</v>
      </c>
      <c r="H3034" s="17"/>
      <c r="I3034" s="4">
        <f t="shared" si="105"/>
        <v>349526.07999999996</v>
      </c>
      <c r="J3034" s="32" t="str">
        <f t="shared" si="106"/>
        <v/>
      </c>
      <c r="K3034" s="79"/>
      <c r="L3034" s="79"/>
      <c r="M3034" s="2"/>
      <c r="N3034" s="5"/>
      <c r="O3034" s="3"/>
      <c r="P3034" s="6"/>
      <c r="Q3034" s="6"/>
    </row>
    <row r="3035" spans="1:17" ht="15" customHeight="1" x14ac:dyDescent="0.25">
      <c r="A3035" s="1"/>
      <c r="B3035" s="17"/>
      <c r="C3035" s="17"/>
      <c r="D3035" s="17"/>
      <c r="E3035" s="17"/>
      <c r="F3035" s="17"/>
      <c r="G3035" s="4">
        <f t="shared" si="107"/>
        <v>0</v>
      </c>
      <c r="H3035" s="17"/>
      <c r="I3035" s="4">
        <f t="shared" si="105"/>
        <v>349526.07999999996</v>
      </c>
      <c r="J3035" s="32" t="str">
        <f t="shared" si="106"/>
        <v/>
      </c>
      <c r="K3035" s="79"/>
      <c r="L3035" s="79"/>
      <c r="M3035" s="2"/>
      <c r="N3035" s="5"/>
      <c r="O3035" s="3"/>
      <c r="P3035" s="6"/>
      <c r="Q3035" s="6"/>
    </row>
    <row r="3036" spans="1:17" ht="15" customHeight="1" x14ac:dyDescent="0.25">
      <c r="A3036" s="1"/>
      <c r="B3036" s="17"/>
      <c r="C3036" s="17"/>
      <c r="D3036" s="17"/>
      <c r="E3036" s="17"/>
      <c r="F3036" s="17"/>
      <c r="G3036" s="4">
        <f t="shared" si="107"/>
        <v>0</v>
      </c>
      <c r="H3036" s="17"/>
      <c r="I3036" s="4">
        <f t="shared" si="105"/>
        <v>349526.07999999996</v>
      </c>
      <c r="J3036" s="32" t="str">
        <f t="shared" si="106"/>
        <v/>
      </c>
      <c r="K3036" s="79"/>
      <c r="L3036" s="79"/>
      <c r="M3036" s="2"/>
      <c r="N3036" s="5"/>
      <c r="O3036" s="3"/>
      <c r="P3036" s="6"/>
      <c r="Q3036" s="6"/>
    </row>
    <row r="3037" spans="1:17" ht="15" customHeight="1" x14ac:dyDescent="0.25">
      <c r="A3037" s="1"/>
      <c r="B3037" s="17"/>
      <c r="C3037" s="17"/>
      <c r="D3037" s="17"/>
      <c r="E3037" s="17"/>
      <c r="F3037" s="17"/>
      <c r="G3037" s="4">
        <f t="shared" si="107"/>
        <v>0</v>
      </c>
      <c r="H3037" s="17"/>
      <c r="I3037" s="4">
        <f t="shared" si="105"/>
        <v>349526.07999999996</v>
      </c>
      <c r="J3037" s="32" t="str">
        <f t="shared" si="106"/>
        <v/>
      </c>
      <c r="K3037" s="79"/>
      <c r="L3037" s="79"/>
      <c r="M3037" s="2"/>
      <c r="N3037" s="5"/>
      <c r="O3037" s="3"/>
      <c r="P3037" s="6"/>
      <c r="Q3037" s="6"/>
    </row>
    <row r="3038" spans="1:17" ht="15" customHeight="1" x14ac:dyDescent="0.25">
      <c r="A3038" s="1"/>
      <c r="B3038" s="17"/>
      <c r="C3038" s="17"/>
      <c r="D3038" s="17"/>
      <c r="E3038" s="17"/>
      <c r="F3038" s="17"/>
      <c r="G3038" s="4">
        <f t="shared" si="107"/>
        <v>0</v>
      </c>
      <c r="H3038" s="17"/>
      <c r="I3038" s="4">
        <f t="shared" si="105"/>
        <v>349526.07999999996</v>
      </c>
      <c r="J3038" s="32" t="str">
        <f t="shared" si="106"/>
        <v/>
      </c>
      <c r="K3038" s="79"/>
      <c r="L3038" s="79"/>
      <c r="M3038" s="2"/>
      <c r="N3038" s="5"/>
      <c r="O3038" s="3"/>
      <c r="P3038" s="6"/>
      <c r="Q3038" s="6"/>
    </row>
    <row r="3039" spans="1:17" ht="15" customHeight="1" x14ac:dyDescent="0.25">
      <c r="A3039" s="1"/>
      <c r="B3039" s="17"/>
      <c r="C3039" s="17"/>
      <c r="D3039" s="17"/>
      <c r="E3039" s="17"/>
      <c r="F3039" s="17"/>
      <c r="G3039" s="4">
        <f t="shared" si="107"/>
        <v>0</v>
      </c>
      <c r="H3039" s="17"/>
      <c r="I3039" s="4">
        <f t="shared" si="105"/>
        <v>349526.07999999996</v>
      </c>
      <c r="J3039" s="32" t="str">
        <f t="shared" si="106"/>
        <v/>
      </c>
      <c r="K3039" s="79"/>
      <c r="L3039" s="79"/>
      <c r="M3039" s="2"/>
      <c r="N3039" s="5"/>
      <c r="O3039" s="3"/>
      <c r="P3039" s="6"/>
      <c r="Q3039" s="6"/>
    </row>
    <row r="3040" spans="1:17" ht="15" customHeight="1" x14ac:dyDescent="0.25">
      <c r="A3040" s="1"/>
      <c r="B3040" s="17"/>
      <c r="C3040" s="17"/>
      <c r="D3040" s="17"/>
      <c r="E3040" s="17"/>
      <c r="F3040" s="17"/>
      <c r="G3040" s="4">
        <f t="shared" si="107"/>
        <v>0</v>
      </c>
      <c r="H3040" s="17"/>
      <c r="I3040" s="4">
        <f t="shared" si="105"/>
        <v>349526.07999999996</v>
      </c>
      <c r="J3040" s="32" t="str">
        <f t="shared" si="106"/>
        <v/>
      </c>
      <c r="K3040" s="79"/>
      <c r="L3040" s="79"/>
      <c r="M3040" s="2"/>
      <c r="N3040" s="5"/>
      <c r="O3040" s="3"/>
      <c r="P3040" s="6"/>
      <c r="Q3040" s="6"/>
    </row>
    <row r="3041" spans="1:17" ht="15" customHeight="1" x14ac:dyDescent="0.25">
      <c r="A3041" s="1"/>
      <c r="B3041" s="17"/>
      <c r="C3041" s="17"/>
      <c r="D3041" s="17"/>
      <c r="E3041" s="17"/>
      <c r="F3041" s="17"/>
      <c r="G3041" s="4">
        <f t="shared" si="107"/>
        <v>0</v>
      </c>
      <c r="H3041" s="17"/>
      <c r="I3041" s="4">
        <f t="shared" si="105"/>
        <v>349526.07999999996</v>
      </c>
      <c r="J3041" s="32" t="str">
        <f t="shared" si="106"/>
        <v/>
      </c>
      <c r="K3041" s="79"/>
      <c r="L3041" s="79"/>
      <c r="M3041" s="2"/>
      <c r="N3041" s="5"/>
      <c r="O3041" s="3"/>
      <c r="P3041" s="6"/>
      <c r="Q3041" s="6"/>
    </row>
    <row r="3042" spans="1:17" ht="15" customHeight="1" x14ac:dyDescent="0.25">
      <c r="A3042" s="1"/>
      <c r="B3042" s="17"/>
      <c r="C3042" s="17"/>
      <c r="D3042" s="17"/>
      <c r="E3042" s="17"/>
      <c r="F3042" s="17"/>
      <c r="G3042" s="4">
        <f t="shared" si="107"/>
        <v>0</v>
      </c>
      <c r="H3042" s="17"/>
      <c r="I3042" s="4">
        <f t="shared" si="105"/>
        <v>349526.07999999996</v>
      </c>
      <c r="J3042" s="32" t="str">
        <f t="shared" si="106"/>
        <v/>
      </c>
      <c r="K3042" s="79"/>
      <c r="L3042" s="79"/>
      <c r="M3042" s="2"/>
      <c r="N3042" s="5"/>
      <c r="O3042" s="3"/>
      <c r="P3042" s="6"/>
      <c r="Q3042" s="6"/>
    </row>
    <row r="3043" spans="1:17" ht="15" customHeight="1" x14ac:dyDescent="0.25">
      <c r="A3043" s="1"/>
      <c r="B3043" s="17"/>
      <c r="C3043" s="17"/>
      <c r="D3043" s="17"/>
      <c r="E3043" s="17"/>
      <c r="F3043" s="17"/>
      <c r="G3043" s="4">
        <f t="shared" si="107"/>
        <v>0</v>
      </c>
      <c r="H3043" s="17"/>
      <c r="I3043" s="4">
        <f t="shared" si="105"/>
        <v>349526.07999999996</v>
      </c>
      <c r="J3043" s="32" t="str">
        <f t="shared" si="106"/>
        <v/>
      </c>
      <c r="K3043" s="79"/>
      <c r="L3043" s="79"/>
      <c r="M3043" s="2"/>
      <c r="N3043" s="5"/>
      <c r="O3043" s="3"/>
      <c r="P3043" s="6"/>
      <c r="Q3043" s="6"/>
    </row>
    <row r="3044" spans="1:17" ht="15" customHeight="1" x14ac:dyDescent="0.25">
      <c r="A3044" s="1"/>
      <c r="B3044" s="17"/>
      <c r="C3044" s="17"/>
      <c r="D3044" s="17"/>
      <c r="E3044" s="17"/>
      <c r="F3044" s="17"/>
      <c r="G3044" s="4">
        <f t="shared" si="107"/>
        <v>0</v>
      </c>
      <c r="H3044" s="17"/>
      <c r="I3044" s="4">
        <f t="shared" si="105"/>
        <v>349526.07999999996</v>
      </c>
      <c r="J3044" s="32" t="str">
        <f t="shared" si="106"/>
        <v/>
      </c>
      <c r="K3044" s="79"/>
      <c r="L3044" s="79"/>
      <c r="M3044" s="2"/>
      <c r="N3044" s="5"/>
      <c r="O3044" s="3"/>
      <c r="P3044" s="6"/>
      <c r="Q3044" s="6"/>
    </row>
    <row r="3045" spans="1:17" ht="15" customHeight="1" x14ac:dyDescent="0.25">
      <c r="A3045" s="1"/>
      <c r="B3045" s="17"/>
      <c r="C3045" s="17"/>
      <c r="D3045" s="17"/>
      <c r="E3045" s="17"/>
      <c r="F3045" s="17"/>
      <c r="G3045" s="4">
        <f t="shared" si="107"/>
        <v>0</v>
      </c>
      <c r="H3045" s="17"/>
      <c r="I3045" s="4">
        <f t="shared" si="105"/>
        <v>349526.07999999996</v>
      </c>
      <c r="J3045" s="32" t="str">
        <f t="shared" si="106"/>
        <v/>
      </c>
      <c r="K3045" s="79"/>
      <c r="L3045" s="79"/>
      <c r="M3045" s="2"/>
      <c r="N3045" s="5"/>
      <c r="O3045" s="3"/>
      <c r="P3045" s="6"/>
      <c r="Q3045" s="6"/>
    </row>
    <row r="3046" spans="1:17" ht="15" customHeight="1" x14ac:dyDescent="0.25">
      <c r="A3046" s="1"/>
      <c r="B3046" s="17"/>
      <c r="C3046" s="17"/>
      <c r="D3046" s="17"/>
      <c r="E3046" s="17"/>
      <c r="F3046" s="17"/>
      <c r="G3046" s="4">
        <f t="shared" si="107"/>
        <v>0</v>
      </c>
      <c r="H3046" s="17"/>
      <c r="I3046" s="4">
        <f t="shared" si="105"/>
        <v>349526.07999999996</v>
      </c>
      <c r="J3046" s="32" t="str">
        <f t="shared" si="106"/>
        <v/>
      </c>
      <c r="K3046" s="79"/>
      <c r="L3046" s="79"/>
      <c r="M3046" s="2"/>
      <c r="N3046" s="5"/>
      <c r="O3046" s="3"/>
      <c r="P3046" s="6"/>
      <c r="Q3046" s="6"/>
    </row>
    <row r="3047" spans="1:17" ht="15" customHeight="1" x14ac:dyDescent="0.25">
      <c r="A3047" s="1"/>
      <c r="B3047" s="17"/>
      <c r="C3047" s="17"/>
      <c r="D3047" s="17"/>
      <c r="E3047" s="17"/>
      <c r="F3047" s="17"/>
      <c r="G3047" s="4">
        <f t="shared" si="107"/>
        <v>0</v>
      </c>
      <c r="H3047" s="17"/>
      <c r="I3047" s="4">
        <f t="shared" si="105"/>
        <v>349526.07999999996</v>
      </c>
      <c r="J3047" s="32" t="str">
        <f t="shared" si="106"/>
        <v/>
      </c>
      <c r="K3047" s="79"/>
      <c r="L3047" s="79"/>
      <c r="M3047" s="2"/>
      <c r="N3047" s="5"/>
      <c r="O3047" s="3"/>
      <c r="P3047" s="6"/>
      <c r="Q3047" s="6"/>
    </row>
    <row r="3048" spans="1:17" ht="15" customHeight="1" x14ac:dyDescent="0.25">
      <c r="A3048" s="1"/>
      <c r="B3048" s="17"/>
      <c r="C3048" s="17"/>
      <c r="D3048" s="17"/>
      <c r="E3048" s="17"/>
      <c r="F3048" s="17"/>
      <c r="G3048" s="4">
        <f t="shared" si="107"/>
        <v>0</v>
      </c>
      <c r="H3048" s="17"/>
      <c r="I3048" s="4">
        <f t="shared" si="105"/>
        <v>349526.07999999996</v>
      </c>
      <c r="J3048" s="32" t="str">
        <f t="shared" si="106"/>
        <v/>
      </c>
      <c r="K3048" s="79"/>
      <c r="L3048" s="79"/>
      <c r="M3048" s="2"/>
      <c r="N3048" s="5"/>
      <c r="O3048" s="3"/>
      <c r="P3048" s="6"/>
      <c r="Q3048" s="6"/>
    </row>
    <row r="3049" spans="1:17" ht="15" customHeight="1" x14ac:dyDescent="0.25">
      <c r="A3049" s="1"/>
      <c r="B3049" s="17"/>
      <c r="C3049" s="17"/>
      <c r="D3049" s="17"/>
      <c r="E3049" s="17"/>
      <c r="F3049" s="17"/>
      <c r="G3049" s="4">
        <f t="shared" si="107"/>
        <v>0</v>
      </c>
      <c r="H3049" s="17"/>
      <c r="I3049" s="4">
        <f t="shared" si="105"/>
        <v>349526.07999999996</v>
      </c>
      <c r="J3049" s="32" t="str">
        <f t="shared" si="106"/>
        <v/>
      </c>
      <c r="K3049" s="79"/>
      <c r="L3049" s="79"/>
      <c r="M3049" s="2"/>
      <c r="N3049" s="5"/>
      <c r="O3049" s="3"/>
      <c r="P3049" s="6"/>
      <c r="Q3049" s="6"/>
    </row>
    <row r="3050" spans="1:17" ht="15" customHeight="1" x14ac:dyDescent="0.25">
      <c r="A3050" s="1"/>
      <c r="B3050" s="17"/>
      <c r="C3050" s="17"/>
      <c r="D3050" s="17"/>
      <c r="E3050" s="17"/>
      <c r="F3050" s="17"/>
      <c r="G3050" s="4">
        <f t="shared" si="107"/>
        <v>0</v>
      </c>
      <c r="H3050" s="17"/>
      <c r="I3050" s="4">
        <f t="shared" si="105"/>
        <v>349526.07999999996</v>
      </c>
      <c r="J3050" s="32" t="str">
        <f t="shared" si="106"/>
        <v/>
      </c>
      <c r="K3050" s="79"/>
      <c r="L3050" s="79"/>
      <c r="M3050" s="2"/>
      <c r="N3050" s="5"/>
      <c r="O3050" s="3"/>
      <c r="P3050" s="6"/>
      <c r="Q3050" s="6"/>
    </row>
    <row r="3051" spans="1:17" ht="15" customHeight="1" x14ac:dyDescent="0.25">
      <c r="A3051" s="1"/>
      <c r="B3051" s="17"/>
      <c r="C3051" s="17"/>
      <c r="D3051" s="17"/>
      <c r="E3051" s="17"/>
      <c r="F3051" s="17"/>
      <c r="G3051" s="4">
        <f t="shared" si="107"/>
        <v>0</v>
      </c>
      <c r="H3051" s="17"/>
      <c r="I3051" s="4">
        <f t="shared" si="105"/>
        <v>349526.07999999996</v>
      </c>
      <c r="J3051" s="32" t="str">
        <f t="shared" si="106"/>
        <v/>
      </c>
      <c r="K3051" s="79"/>
      <c r="L3051" s="79"/>
      <c r="M3051" s="2"/>
      <c r="N3051" s="5"/>
      <c r="O3051" s="3"/>
      <c r="P3051" s="6"/>
      <c r="Q3051" s="6"/>
    </row>
    <row r="3052" spans="1:17" ht="15" customHeight="1" x14ac:dyDescent="0.25">
      <c r="A3052" s="1"/>
      <c r="B3052" s="17"/>
      <c r="C3052" s="17"/>
      <c r="D3052" s="17"/>
      <c r="E3052" s="17"/>
      <c r="F3052" s="17"/>
      <c r="G3052" s="4">
        <f t="shared" si="107"/>
        <v>0</v>
      </c>
      <c r="H3052" s="17"/>
      <c r="I3052" s="4">
        <f t="shared" si="105"/>
        <v>349526.07999999996</v>
      </c>
      <c r="J3052" s="32" t="str">
        <f t="shared" si="106"/>
        <v/>
      </c>
      <c r="K3052" s="79"/>
      <c r="L3052" s="79"/>
      <c r="M3052" s="2"/>
      <c r="N3052" s="5"/>
      <c r="O3052" s="3"/>
      <c r="P3052" s="6"/>
      <c r="Q3052" s="6"/>
    </row>
    <row r="3053" spans="1:17" ht="15" customHeight="1" x14ac:dyDescent="0.25">
      <c r="A3053" s="1"/>
      <c r="B3053" s="17"/>
      <c r="C3053" s="17"/>
      <c r="D3053" s="17"/>
      <c r="E3053" s="17"/>
      <c r="F3053" s="17"/>
      <c r="G3053" s="4">
        <f t="shared" si="107"/>
        <v>0</v>
      </c>
      <c r="H3053" s="17"/>
      <c r="I3053" s="4">
        <f t="shared" si="105"/>
        <v>349526.07999999996</v>
      </c>
      <c r="J3053" s="32" t="str">
        <f t="shared" si="106"/>
        <v/>
      </c>
      <c r="K3053" s="79"/>
      <c r="L3053" s="79"/>
      <c r="M3053" s="2"/>
      <c r="N3053" s="5"/>
      <c r="O3053" s="3"/>
      <c r="P3053" s="6"/>
      <c r="Q3053" s="6"/>
    </row>
    <row r="3054" spans="1:17" ht="15" customHeight="1" x14ac:dyDescent="0.25">
      <c r="A3054" s="1"/>
      <c r="B3054" s="17"/>
      <c r="C3054" s="17"/>
      <c r="D3054" s="17"/>
      <c r="E3054" s="17"/>
      <c r="F3054" s="17"/>
      <c r="G3054" s="4">
        <f t="shared" si="107"/>
        <v>0</v>
      </c>
      <c r="H3054" s="17"/>
      <c r="I3054" s="4">
        <f t="shared" si="105"/>
        <v>349526.07999999996</v>
      </c>
      <c r="J3054" s="32" t="str">
        <f t="shared" si="106"/>
        <v/>
      </c>
      <c r="K3054" s="79"/>
      <c r="L3054" s="79"/>
      <c r="M3054" s="2"/>
      <c r="N3054" s="5"/>
      <c r="O3054" s="3"/>
      <c r="P3054" s="6"/>
      <c r="Q3054" s="6"/>
    </row>
    <row r="3055" spans="1:17" ht="15" customHeight="1" x14ac:dyDescent="0.25">
      <c r="A3055" s="1"/>
      <c r="B3055" s="17"/>
      <c r="C3055" s="17"/>
      <c r="D3055" s="17"/>
      <c r="E3055" s="17"/>
      <c r="F3055" s="17"/>
      <c r="G3055" s="4">
        <f t="shared" si="107"/>
        <v>0</v>
      </c>
      <c r="H3055" s="17"/>
      <c r="I3055" s="4">
        <f t="shared" si="105"/>
        <v>349526.07999999996</v>
      </c>
      <c r="J3055" s="32" t="str">
        <f t="shared" si="106"/>
        <v/>
      </c>
      <c r="K3055" s="79"/>
      <c r="L3055" s="79"/>
      <c r="M3055" s="2"/>
      <c r="N3055" s="5"/>
      <c r="O3055" s="3"/>
      <c r="P3055" s="6"/>
      <c r="Q3055" s="6"/>
    </row>
    <row r="3056" spans="1:17" ht="15" customHeight="1" x14ac:dyDescent="0.25">
      <c r="A3056" s="1"/>
      <c r="B3056" s="17"/>
      <c r="C3056" s="17"/>
      <c r="D3056" s="17"/>
      <c r="E3056" s="17"/>
      <c r="F3056" s="17"/>
      <c r="G3056" s="4">
        <f t="shared" si="107"/>
        <v>0</v>
      </c>
      <c r="H3056" s="17"/>
      <c r="I3056" s="4">
        <f t="shared" si="105"/>
        <v>349526.07999999996</v>
      </c>
      <c r="J3056" s="32" t="str">
        <f t="shared" si="106"/>
        <v/>
      </c>
      <c r="K3056" s="79"/>
      <c r="L3056" s="79"/>
      <c r="M3056" s="2"/>
      <c r="N3056" s="5"/>
      <c r="O3056" s="3"/>
      <c r="P3056" s="6"/>
      <c r="Q3056" s="6"/>
    </row>
    <row r="3057" spans="1:17" ht="15" customHeight="1" x14ac:dyDescent="0.25">
      <c r="A3057" s="1"/>
      <c r="B3057" s="17"/>
      <c r="C3057" s="17"/>
      <c r="D3057" s="17"/>
      <c r="E3057" s="17"/>
      <c r="F3057" s="17"/>
      <c r="G3057" s="4">
        <f t="shared" si="107"/>
        <v>0</v>
      </c>
      <c r="H3057" s="17"/>
      <c r="I3057" s="4">
        <f t="shared" si="105"/>
        <v>349526.07999999996</v>
      </c>
      <c r="J3057" s="32" t="str">
        <f t="shared" si="106"/>
        <v/>
      </c>
      <c r="K3057" s="79"/>
      <c r="L3057" s="79"/>
      <c r="M3057" s="2"/>
      <c r="N3057" s="5"/>
      <c r="O3057" s="3"/>
      <c r="P3057" s="6"/>
      <c r="Q3057" s="6"/>
    </row>
    <row r="3058" spans="1:17" ht="15" customHeight="1" x14ac:dyDescent="0.25">
      <c r="A3058" s="1"/>
      <c r="B3058" s="17"/>
      <c r="C3058" s="17"/>
      <c r="D3058" s="17"/>
      <c r="E3058" s="17"/>
      <c r="F3058" s="17"/>
      <c r="G3058" s="4">
        <f t="shared" si="107"/>
        <v>0</v>
      </c>
      <c r="H3058" s="17"/>
      <c r="I3058" s="4">
        <f t="shared" si="105"/>
        <v>349526.07999999996</v>
      </c>
      <c r="J3058" s="32" t="str">
        <f t="shared" si="106"/>
        <v/>
      </c>
      <c r="K3058" s="79"/>
      <c r="L3058" s="79"/>
      <c r="M3058" s="2"/>
      <c r="N3058" s="5"/>
      <c r="O3058" s="3"/>
      <c r="P3058" s="6"/>
      <c r="Q3058" s="6"/>
    </row>
    <row r="3059" spans="1:17" ht="15" customHeight="1" x14ac:dyDescent="0.25">
      <c r="A3059" s="1"/>
      <c r="B3059" s="17"/>
      <c r="C3059" s="17"/>
      <c r="D3059" s="17"/>
      <c r="E3059" s="17"/>
      <c r="F3059" s="17"/>
      <c r="G3059" s="4">
        <f t="shared" si="107"/>
        <v>0</v>
      </c>
      <c r="H3059" s="17"/>
      <c r="I3059" s="4">
        <f t="shared" si="105"/>
        <v>349526.07999999996</v>
      </c>
      <c r="J3059" s="32" t="str">
        <f t="shared" si="106"/>
        <v/>
      </c>
      <c r="K3059" s="79"/>
      <c r="L3059" s="79"/>
      <c r="M3059" s="2"/>
      <c r="N3059" s="5"/>
      <c r="O3059" s="3"/>
      <c r="P3059" s="6"/>
      <c r="Q3059" s="6"/>
    </row>
    <row r="3060" spans="1:17" ht="15" customHeight="1" x14ac:dyDescent="0.25">
      <c r="A3060" s="1"/>
      <c r="B3060" s="17"/>
      <c r="C3060" s="17"/>
      <c r="D3060" s="17"/>
      <c r="E3060" s="17"/>
      <c r="F3060" s="17"/>
      <c r="G3060" s="4">
        <f t="shared" si="107"/>
        <v>0</v>
      </c>
      <c r="H3060" s="17"/>
      <c r="I3060" s="4">
        <f t="shared" si="105"/>
        <v>349526.07999999996</v>
      </c>
      <c r="J3060" s="32" t="str">
        <f t="shared" si="106"/>
        <v/>
      </c>
      <c r="K3060" s="79"/>
      <c r="L3060" s="79"/>
      <c r="M3060" s="2"/>
      <c r="N3060" s="5"/>
      <c r="O3060" s="3"/>
      <c r="P3060" s="6"/>
      <c r="Q3060" s="6"/>
    </row>
    <row r="3061" spans="1:17" ht="15" customHeight="1" x14ac:dyDescent="0.25">
      <c r="A3061" s="1"/>
      <c r="B3061" s="17"/>
      <c r="C3061" s="17"/>
      <c r="D3061" s="17"/>
      <c r="E3061" s="17"/>
      <c r="F3061" s="17"/>
      <c r="G3061" s="4">
        <f t="shared" si="107"/>
        <v>0</v>
      </c>
      <c r="H3061" s="17"/>
      <c r="I3061" s="4">
        <f t="shared" si="105"/>
        <v>349526.07999999996</v>
      </c>
      <c r="J3061" s="32" t="str">
        <f t="shared" si="106"/>
        <v/>
      </c>
      <c r="K3061" s="79"/>
      <c r="L3061" s="79"/>
      <c r="M3061" s="2"/>
      <c r="N3061" s="5"/>
      <c r="O3061" s="3"/>
      <c r="P3061" s="6"/>
      <c r="Q3061" s="6"/>
    </row>
    <row r="3062" spans="1:17" ht="15" customHeight="1" x14ac:dyDescent="0.25">
      <c r="A3062" s="1"/>
      <c r="B3062" s="17"/>
      <c r="C3062" s="17"/>
      <c r="D3062" s="17"/>
      <c r="E3062" s="17"/>
      <c r="F3062" s="17"/>
      <c r="G3062" s="4">
        <f t="shared" si="107"/>
        <v>0</v>
      </c>
      <c r="H3062" s="17"/>
      <c r="I3062" s="4">
        <f t="shared" ref="I3062:I3125" si="108">$I3061+$G3062-$H3062</f>
        <v>349526.07999999996</v>
      </c>
      <c r="J3062" s="32" t="str">
        <f t="shared" ref="J3062:J3125" si="109">IF($A3063&lt;&gt;$A3062,$I3062,"")</f>
        <v/>
      </c>
      <c r="K3062" s="79"/>
      <c r="L3062" s="79"/>
      <c r="M3062" s="2"/>
      <c r="N3062" s="5"/>
      <c r="O3062" s="3"/>
      <c r="P3062" s="6"/>
      <c r="Q3062" s="6"/>
    </row>
    <row r="3063" spans="1:17" ht="15" customHeight="1" x14ac:dyDescent="0.25">
      <c r="A3063" s="1"/>
      <c r="B3063" s="17"/>
      <c r="C3063" s="17"/>
      <c r="D3063" s="17"/>
      <c r="E3063" s="17"/>
      <c r="F3063" s="17"/>
      <c r="G3063" s="4">
        <f t="shared" si="107"/>
        <v>0</v>
      </c>
      <c r="H3063" s="17"/>
      <c r="I3063" s="4">
        <f t="shared" si="108"/>
        <v>349526.07999999996</v>
      </c>
      <c r="J3063" s="32" t="str">
        <f t="shared" si="109"/>
        <v/>
      </c>
      <c r="K3063" s="79"/>
      <c r="L3063" s="79"/>
      <c r="M3063" s="2"/>
      <c r="N3063" s="5"/>
      <c r="O3063" s="3"/>
      <c r="P3063" s="6"/>
      <c r="Q3063" s="6"/>
    </row>
    <row r="3064" spans="1:17" ht="15" customHeight="1" x14ac:dyDescent="0.25">
      <c r="A3064" s="1"/>
      <c r="B3064" s="17"/>
      <c r="C3064" s="17"/>
      <c r="D3064" s="17"/>
      <c r="E3064" s="17"/>
      <c r="F3064" s="17"/>
      <c r="G3064" s="4">
        <f t="shared" si="107"/>
        <v>0</v>
      </c>
      <c r="H3064" s="17"/>
      <c r="I3064" s="4">
        <f t="shared" si="108"/>
        <v>349526.07999999996</v>
      </c>
      <c r="J3064" s="32" t="str">
        <f t="shared" si="109"/>
        <v/>
      </c>
      <c r="K3064" s="79"/>
      <c r="L3064" s="79"/>
      <c r="M3064" s="2"/>
      <c r="N3064" s="5"/>
      <c r="O3064" s="3"/>
      <c r="P3064" s="6"/>
      <c r="Q3064" s="6"/>
    </row>
    <row r="3065" spans="1:17" ht="15" customHeight="1" x14ac:dyDescent="0.25">
      <c r="A3065" s="1"/>
      <c r="B3065" s="17"/>
      <c r="C3065" s="17"/>
      <c r="D3065" s="17"/>
      <c r="E3065" s="17"/>
      <c r="F3065" s="17"/>
      <c r="G3065" s="4">
        <f t="shared" si="107"/>
        <v>0</v>
      </c>
      <c r="H3065" s="17"/>
      <c r="I3065" s="4">
        <f t="shared" si="108"/>
        <v>349526.07999999996</v>
      </c>
      <c r="J3065" s="32" t="str">
        <f t="shared" si="109"/>
        <v/>
      </c>
      <c r="K3065" s="79"/>
      <c r="L3065" s="79"/>
      <c r="M3065" s="2"/>
      <c r="N3065" s="5"/>
      <c r="O3065" s="3"/>
      <c r="P3065" s="6"/>
      <c r="Q3065" s="6"/>
    </row>
    <row r="3066" spans="1:17" ht="15" customHeight="1" x14ac:dyDescent="0.25">
      <c r="A3066" s="1"/>
      <c r="B3066" s="17"/>
      <c r="C3066" s="17"/>
      <c r="D3066" s="17"/>
      <c r="E3066" s="17"/>
      <c r="F3066" s="17"/>
      <c r="G3066" s="4">
        <f t="shared" si="107"/>
        <v>0</v>
      </c>
      <c r="H3066" s="17"/>
      <c r="I3066" s="4">
        <f t="shared" si="108"/>
        <v>349526.07999999996</v>
      </c>
      <c r="J3066" s="32" t="str">
        <f t="shared" si="109"/>
        <v/>
      </c>
      <c r="K3066" s="79"/>
      <c r="L3066" s="79"/>
      <c r="M3066" s="2"/>
      <c r="N3066" s="5"/>
      <c r="O3066" s="3"/>
      <c r="P3066" s="6"/>
      <c r="Q3066" s="6"/>
    </row>
    <row r="3067" spans="1:17" ht="15" customHeight="1" x14ac:dyDescent="0.25">
      <c r="A3067" s="1"/>
      <c r="B3067" s="17"/>
      <c r="C3067" s="17"/>
      <c r="D3067" s="17"/>
      <c r="E3067" s="17"/>
      <c r="F3067" s="17"/>
      <c r="G3067" s="4">
        <f t="shared" si="107"/>
        <v>0</v>
      </c>
      <c r="H3067" s="17"/>
      <c r="I3067" s="4">
        <f t="shared" si="108"/>
        <v>349526.07999999996</v>
      </c>
      <c r="J3067" s="32" t="str">
        <f t="shared" si="109"/>
        <v/>
      </c>
      <c r="K3067" s="79"/>
      <c r="L3067" s="79"/>
      <c r="M3067" s="2"/>
      <c r="N3067" s="5"/>
      <c r="O3067" s="3"/>
      <c r="P3067" s="6"/>
      <c r="Q3067" s="6"/>
    </row>
    <row r="3068" spans="1:17" ht="15" customHeight="1" x14ac:dyDescent="0.25">
      <c r="A3068" s="1"/>
      <c r="B3068" s="17"/>
      <c r="C3068" s="17"/>
      <c r="D3068" s="17"/>
      <c r="E3068" s="17"/>
      <c r="F3068" s="17"/>
      <c r="G3068" s="4">
        <f t="shared" si="107"/>
        <v>0</v>
      </c>
      <c r="H3068" s="17"/>
      <c r="I3068" s="4">
        <f t="shared" si="108"/>
        <v>349526.07999999996</v>
      </c>
      <c r="J3068" s="32" t="str">
        <f t="shared" si="109"/>
        <v/>
      </c>
      <c r="K3068" s="79"/>
      <c r="L3068" s="79"/>
      <c r="M3068" s="2"/>
      <c r="N3068" s="5"/>
      <c r="O3068" s="3"/>
      <c r="P3068" s="6"/>
      <c r="Q3068" s="6"/>
    </row>
    <row r="3069" spans="1:17" ht="15" customHeight="1" x14ac:dyDescent="0.25">
      <c r="A3069" s="1"/>
      <c r="B3069" s="17"/>
      <c r="C3069" s="17"/>
      <c r="D3069" s="17"/>
      <c r="E3069" s="17"/>
      <c r="F3069" s="17"/>
      <c r="G3069" s="4">
        <f t="shared" si="107"/>
        <v>0</v>
      </c>
      <c r="H3069" s="17"/>
      <c r="I3069" s="4">
        <f t="shared" si="108"/>
        <v>349526.07999999996</v>
      </c>
      <c r="J3069" s="32" t="str">
        <f t="shared" si="109"/>
        <v/>
      </c>
      <c r="K3069" s="79"/>
      <c r="L3069" s="79"/>
      <c r="M3069" s="2"/>
      <c r="N3069" s="5"/>
      <c r="O3069" s="3"/>
      <c r="P3069" s="6"/>
      <c r="Q3069" s="6"/>
    </row>
    <row r="3070" spans="1:17" ht="15" customHeight="1" x14ac:dyDescent="0.25">
      <c r="A3070" s="1"/>
      <c r="B3070" s="17"/>
      <c r="C3070" s="17"/>
      <c r="D3070" s="17"/>
      <c r="E3070" s="17"/>
      <c r="F3070" s="17"/>
      <c r="G3070" s="4">
        <f t="shared" si="107"/>
        <v>0</v>
      </c>
      <c r="H3070" s="17"/>
      <c r="I3070" s="4">
        <f t="shared" si="108"/>
        <v>349526.07999999996</v>
      </c>
      <c r="J3070" s="32" t="str">
        <f t="shared" si="109"/>
        <v/>
      </c>
      <c r="K3070" s="79"/>
      <c r="L3070" s="79"/>
      <c r="M3070" s="2"/>
      <c r="N3070" s="5"/>
      <c r="O3070" s="3"/>
      <c r="P3070" s="6"/>
      <c r="Q3070" s="6"/>
    </row>
    <row r="3071" spans="1:17" ht="15" customHeight="1" x14ac:dyDescent="0.25">
      <c r="A3071" s="1"/>
      <c r="B3071" s="17"/>
      <c r="C3071" s="17"/>
      <c r="D3071" s="17"/>
      <c r="E3071" s="17"/>
      <c r="F3071" s="17"/>
      <c r="G3071" s="4">
        <f t="shared" si="107"/>
        <v>0</v>
      </c>
      <c r="H3071" s="17"/>
      <c r="I3071" s="4">
        <f t="shared" si="108"/>
        <v>349526.07999999996</v>
      </c>
      <c r="J3071" s="32" t="str">
        <f t="shared" si="109"/>
        <v/>
      </c>
      <c r="K3071" s="79"/>
      <c r="L3071" s="79"/>
      <c r="M3071" s="2"/>
      <c r="N3071" s="5"/>
      <c r="O3071" s="3"/>
      <c r="P3071" s="6"/>
      <c r="Q3071" s="6"/>
    </row>
    <row r="3072" spans="1:17" ht="15" customHeight="1" x14ac:dyDescent="0.25">
      <c r="A3072" s="1"/>
      <c r="B3072" s="17"/>
      <c r="C3072" s="17"/>
      <c r="D3072" s="17"/>
      <c r="E3072" s="17"/>
      <c r="F3072" s="17"/>
      <c r="G3072" s="4">
        <f t="shared" si="107"/>
        <v>0</v>
      </c>
      <c r="H3072" s="17"/>
      <c r="I3072" s="4">
        <f t="shared" si="108"/>
        <v>349526.07999999996</v>
      </c>
      <c r="J3072" s="32" t="str">
        <f t="shared" si="109"/>
        <v/>
      </c>
      <c r="K3072" s="79"/>
      <c r="L3072" s="79"/>
      <c r="M3072" s="2"/>
      <c r="N3072" s="5"/>
      <c r="O3072" s="3"/>
      <c r="P3072" s="6"/>
      <c r="Q3072" s="6"/>
    </row>
    <row r="3073" spans="1:17" ht="15" customHeight="1" x14ac:dyDescent="0.25">
      <c r="A3073" s="1"/>
      <c r="B3073" s="17"/>
      <c r="C3073" s="17"/>
      <c r="D3073" s="17"/>
      <c r="E3073" s="17"/>
      <c r="F3073" s="17"/>
      <c r="G3073" s="4">
        <f t="shared" si="107"/>
        <v>0</v>
      </c>
      <c r="H3073" s="17"/>
      <c r="I3073" s="4">
        <f t="shared" si="108"/>
        <v>349526.07999999996</v>
      </c>
      <c r="J3073" s="32" t="str">
        <f t="shared" si="109"/>
        <v/>
      </c>
      <c r="K3073" s="79"/>
      <c r="L3073" s="79"/>
      <c r="M3073" s="2"/>
      <c r="N3073" s="5"/>
      <c r="O3073" s="3"/>
      <c r="P3073" s="6"/>
      <c r="Q3073" s="6"/>
    </row>
    <row r="3074" spans="1:17" ht="15" customHeight="1" x14ac:dyDescent="0.25">
      <c r="A3074" s="1"/>
      <c r="B3074" s="17"/>
      <c r="C3074" s="17"/>
      <c r="D3074" s="17"/>
      <c r="E3074" s="17"/>
      <c r="F3074" s="17"/>
      <c r="G3074" s="4">
        <f t="shared" si="107"/>
        <v>0</v>
      </c>
      <c r="H3074" s="17"/>
      <c r="I3074" s="4">
        <f t="shared" si="108"/>
        <v>349526.07999999996</v>
      </c>
      <c r="J3074" s="32" t="str">
        <f t="shared" si="109"/>
        <v/>
      </c>
      <c r="K3074" s="79"/>
      <c r="L3074" s="79"/>
      <c r="M3074" s="2"/>
      <c r="N3074" s="5"/>
      <c r="O3074" s="3"/>
      <c r="P3074" s="6"/>
      <c r="Q3074" s="6"/>
    </row>
    <row r="3075" spans="1:17" ht="15" customHeight="1" x14ac:dyDescent="0.25">
      <c r="A3075" s="1"/>
      <c r="B3075" s="17"/>
      <c r="C3075" s="17"/>
      <c r="D3075" s="17"/>
      <c r="E3075" s="17"/>
      <c r="F3075" s="17"/>
      <c r="G3075" s="4">
        <f t="shared" ref="G3075:G3138" si="110">SUM($B3075:$F3075)</f>
        <v>0</v>
      </c>
      <c r="H3075" s="17"/>
      <c r="I3075" s="4">
        <f t="shared" si="108"/>
        <v>349526.07999999996</v>
      </c>
      <c r="J3075" s="32" t="str">
        <f t="shared" si="109"/>
        <v/>
      </c>
      <c r="K3075" s="79"/>
      <c r="L3075" s="79"/>
      <c r="M3075" s="2"/>
      <c r="N3075" s="5"/>
      <c r="O3075" s="3"/>
      <c r="P3075" s="6"/>
      <c r="Q3075" s="6"/>
    </row>
    <row r="3076" spans="1:17" ht="15" customHeight="1" x14ac:dyDescent="0.25">
      <c r="A3076" s="1"/>
      <c r="B3076" s="17"/>
      <c r="C3076" s="17"/>
      <c r="D3076" s="17"/>
      <c r="E3076" s="17"/>
      <c r="F3076" s="17"/>
      <c r="G3076" s="4">
        <f t="shared" si="110"/>
        <v>0</v>
      </c>
      <c r="H3076" s="17"/>
      <c r="I3076" s="4">
        <f t="shared" si="108"/>
        <v>349526.07999999996</v>
      </c>
      <c r="J3076" s="32" t="str">
        <f t="shared" si="109"/>
        <v/>
      </c>
      <c r="K3076" s="79"/>
      <c r="L3076" s="79"/>
      <c r="M3076" s="2"/>
      <c r="N3076" s="5"/>
      <c r="O3076" s="3"/>
      <c r="P3076" s="6"/>
      <c r="Q3076" s="6"/>
    </row>
    <row r="3077" spans="1:17" ht="15" customHeight="1" x14ac:dyDescent="0.25">
      <c r="A3077" s="1"/>
      <c r="B3077" s="17"/>
      <c r="C3077" s="17"/>
      <c r="D3077" s="17"/>
      <c r="E3077" s="17"/>
      <c r="F3077" s="17"/>
      <c r="G3077" s="4">
        <f t="shared" si="110"/>
        <v>0</v>
      </c>
      <c r="H3077" s="17"/>
      <c r="I3077" s="4">
        <f t="shared" si="108"/>
        <v>349526.07999999996</v>
      </c>
      <c r="J3077" s="32" t="str">
        <f t="shared" si="109"/>
        <v/>
      </c>
      <c r="K3077" s="79"/>
      <c r="L3077" s="79"/>
      <c r="M3077" s="2"/>
      <c r="N3077" s="5"/>
      <c r="O3077" s="3"/>
      <c r="P3077" s="6"/>
      <c r="Q3077" s="6"/>
    </row>
    <row r="3078" spans="1:17" ht="15" customHeight="1" x14ac:dyDescent="0.25">
      <c r="A3078" s="1"/>
      <c r="B3078" s="17"/>
      <c r="C3078" s="17"/>
      <c r="D3078" s="17"/>
      <c r="E3078" s="17"/>
      <c r="F3078" s="17"/>
      <c r="G3078" s="4">
        <f t="shared" si="110"/>
        <v>0</v>
      </c>
      <c r="H3078" s="17"/>
      <c r="I3078" s="4">
        <f t="shared" si="108"/>
        <v>349526.07999999996</v>
      </c>
      <c r="J3078" s="32" t="str">
        <f t="shared" si="109"/>
        <v/>
      </c>
      <c r="K3078" s="79"/>
      <c r="L3078" s="79"/>
      <c r="M3078" s="2"/>
      <c r="N3078" s="5"/>
      <c r="O3078" s="3"/>
      <c r="P3078" s="6"/>
      <c r="Q3078" s="6"/>
    </row>
    <row r="3079" spans="1:17" ht="15" customHeight="1" x14ac:dyDescent="0.25">
      <c r="A3079" s="1"/>
      <c r="B3079" s="17"/>
      <c r="C3079" s="17"/>
      <c r="D3079" s="17"/>
      <c r="E3079" s="17"/>
      <c r="F3079" s="17"/>
      <c r="G3079" s="4">
        <f t="shared" si="110"/>
        <v>0</v>
      </c>
      <c r="H3079" s="17"/>
      <c r="I3079" s="4">
        <f t="shared" si="108"/>
        <v>349526.07999999996</v>
      </c>
      <c r="J3079" s="32" t="str">
        <f t="shared" si="109"/>
        <v/>
      </c>
      <c r="K3079" s="79"/>
      <c r="L3079" s="79"/>
      <c r="M3079" s="2"/>
      <c r="N3079" s="5"/>
      <c r="O3079" s="3"/>
      <c r="P3079" s="6"/>
      <c r="Q3079" s="6"/>
    </row>
    <row r="3080" spans="1:17" ht="15" customHeight="1" x14ac:dyDescent="0.25">
      <c r="A3080" s="1"/>
      <c r="B3080" s="17"/>
      <c r="C3080" s="17"/>
      <c r="D3080" s="17"/>
      <c r="E3080" s="17"/>
      <c r="F3080" s="17"/>
      <c r="G3080" s="4">
        <f t="shared" si="110"/>
        <v>0</v>
      </c>
      <c r="H3080" s="17"/>
      <c r="I3080" s="4">
        <f t="shared" si="108"/>
        <v>349526.07999999996</v>
      </c>
      <c r="J3080" s="32" t="str">
        <f t="shared" si="109"/>
        <v/>
      </c>
      <c r="K3080" s="79"/>
      <c r="L3080" s="79"/>
      <c r="M3080" s="2"/>
      <c r="N3080" s="5"/>
      <c r="O3080" s="3"/>
      <c r="P3080" s="6"/>
      <c r="Q3080" s="6"/>
    </row>
    <row r="3081" spans="1:17" ht="15" customHeight="1" x14ac:dyDescent="0.25">
      <c r="A3081" s="1"/>
      <c r="B3081" s="17"/>
      <c r="C3081" s="17"/>
      <c r="D3081" s="17"/>
      <c r="E3081" s="17"/>
      <c r="F3081" s="17"/>
      <c r="G3081" s="4">
        <f t="shared" si="110"/>
        <v>0</v>
      </c>
      <c r="H3081" s="17"/>
      <c r="I3081" s="4">
        <f t="shared" si="108"/>
        <v>349526.07999999996</v>
      </c>
      <c r="J3081" s="32" t="str">
        <f t="shared" si="109"/>
        <v/>
      </c>
      <c r="K3081" s="79"/>
      <c r="L3081" s="79"/>
      <c r="M3081" s="2"/>
      <c r="N3081" s="5"/>
      <c r="O3081" s="3"/>
      <c r="P3081" s="6"/>
      <c r="Q3081" s="6"/>
    </row>
    <row r="3082" spans="1:17" ht="15" customHeight="1" x14ac:dyDescent="0.25">
      <c r="A3082" s="1"/>
      <c r="B3082" s="17"/>
      <c r="C3082" s="17"/>
      <c r="D3082" s="17"/>
      <c r="E3082" s="17"/>
      <c r="F3082" s="17"/>
      <c r="G3082" s="4">
        <f t="shared" si="110"/>
        <v>0</v>
      </c>
      <c r="H3082" s="17"/>
      <c r="I3082" s="4">
        <f t="shared" si="108"/>
        <v>349526.07999999996</v>
      </c>
      <c r="J3082" s="32" t="str">
        <f t="shared" si="109"/>
        <v/>
      </c>
      <c r="K3082" s="79"/>
      <c r="L3082" s="79"/>
      <c r="M3082" s="2"/>
      <c r="N3082" s="5"/>
      <c r="O3082" s="3"/>
      <c r="P3082" s="6"/>
      <c r="Q3082" s="6"/>
    </row>
    <row r="3083" spans="1:17" ht="15" customHeight="1" x14ac:dyDescent="0.25">
      <c r="A3083" s="1"/>
      <c r="B3083" s="17"/>
      <c r="C3083" s="17"/>
      <c r="D3083" s="17"/>
      <c r="E3083" s="17"/>
      <c r="F3083" s="17"/>
      <c r="G3083" s="4">
        <f t="shared" si="110"/>
        <v>0</v>
      </c>
      <c r="H3083" s="17"/>
      <c r="I3083" s="4">
        <f t="shared" si="108"/>
        <v>349526.07999999996</v>
      </c>
      <c r="J3083" s="32" t="str">
        <f t="shared" si="109"/>
        <v/>
      </c>
      <c r="K3083" s="79"/>
      <c r="L3083" s="79"/>
      <c r="M3083" s="2"/>
      <c r="N3083" s="5"/>
      <c r="O3083" s="3"/>
      <c r="P3083" s="6"/>
      <c r="Q3083" s="6"/>
    </row>
    <row r="3084" spans="1:17" ht="15" customHeight="1" x14ac:dyDescent="0.25">
      <c r="A3084" s="1"/>
      <c r="B3084" s="17"/>
      <c r="C3084" s="17"/>
      <c r="D3084" s="17"/>
      <c r="E3084" s="17"/>
      <c r="F3084" s="17"/>
      <c r="G3084" s="4">
        <f t="shared" si="110"/>
        <v>0</v>
      </c>
      <c r="H3084" s="17"/>
      <c r="I3084" s="4">
        <f t="shared" si="108"/>
        <v>349526.07999999996</v>
      </c>
      <c r="J3084" s="32" t="str">
        <f t="shared" si="109"/>
        <v/>
      </c>
      <c r="K3084" s="79"/>
      <c r="L3084" s="79"/>
      <c r="M3084" s="2"/>
      <c r="N3084" s="5"/>
      <c r="O3084" s="3"/>
      <c r="P3084" s="6"/>
      <c r="Q3084" s="6"/>
    </row>
    <row r="3085" spans="1:17" ht="15" customHeight="1" x14ac:dyDescent="0.25">
      <c r="A3085" s="1"/>
      <c r="B3085" s="17"/>
      <c r="C3085" s="17"/>
      <c r="D3085" s="17"/>
      <c r="E3085" s="17"/>
      <c r="F3085" s="17"/>
      <c r="G3085" s="4">
        <f t="shared" si="110"/>
        <v>0</v>
      </c>
      <c r="H3085" s="17"/>
      <c r="I3085" s="4">
        <f t="shared" si="108"/>
        <v>349526.07999999996</v>
      </c>
      <c r="J3085" s="32" t="str">
        <f t="shared" si="109"/>
        <v/>
      </c>
      <c r="K3085" s="79"/>
      <c r="L3085" s="79"/>
      <c r="M3085" s="2"/>
      <c r="N3085" s="5"/>
      <c r="O3085" s="3"/>
      <c r="P3085" s="6"/>
      <c r="Q3085" s="6"/>
    </row>
    <row r="3086" spans="1:17" ht="15" customHeight="1" x14ac:dyDescent="0.25">
      <c r="A3086" s="1"/>
      <c r="B3086" s="17"/>
      <c r="C3086" s="17"/>
      <c r="D3086" s="17"/>
      <c r="E3086" s="17"/>
      <c r="F3086" s="17"/>
      <c r="G3086" s="4">
        <f t="shared" si="110"/>
        <v>0</v>
      </c>
      <c r="H3086" s="17"/>
      <c r="I3086" s="4">
        <f t="shared" si="108"/>
        <v>349526.07999999996</v>
      </c>
      <c r="J3086" s="32" t="str">
        <f t="shared" si="109"/>
        <v/>
      </c>
      <c r="K3086" s="79"/>
      <c r="L3086" s="79"/>
      <c r="M3086" s="2"/>
      <c r="N3086" s="5"/>
      <c r="O3086" s="3"/>
      <c r="P3086" s="6"/>
      <c r="Q3086" s="6"/>
    </row>
    <row r="3087" spans="1:17" ht="15" customHeight="1" x14ac:dyDescent="0.25">
      <c r="A3087" s="1"/>
      <c r="B3087" s="17"/>
      <c r="C3087" s="17"/>
      <c r="D3087" s="17"/>
      <c r="E3087" s="17"/>
      <c r="F3087" s="17"/>
      <c r="G3087" s="4">
        <f t="shared" si="110"/>
        <v>0</v>
      </c>
      <c r="H3087" s="17"/>
      <c r="I3087" s="4">
        <f t="shared" si="108"/>
        <v>349526.07999999996</v>
      </c>
      <c r="J3087" s="32" t="str">
        <f t="shared" si="109"/>
        <v/>
      </c>
      <c r="K3087" s="79"/>
      <c r="L3087" s="79"/>
      <c r="M3087" s="2"/>
      <c r="N3087" s="5"/>
      <c r="O3087" s="3"/>
      <c r="P3087" s="6"/>
      <c r="Q3087" s="6"/>
    </row>
    <row r="3088" spans="1:17" ht="15" customHeight="1" x14ac:dyDescent="0.25">
      <c r="A3088" s="1"/>
      <c r="B3088" s="17"/>
      <c r="C3088" s="17"/>
      <c r="D3088" s="17"/>
      <c r="E3088" s="17"/>
      <c r="F3088" s="17"/>
      <c r="G3088" s="4">
        <f t="shared" si="110"/>
        <v>0</v>
      </c>
      <c r="H3088" s="17"/>
      <c r="I3088" s="4">
        <f t="shared" si="108"/>
        <v>349526.07999999996</v>
      </c>
      <c r="J3088" s="32" t="str">
        <f t="shared" si="109"/>
        <v/>
      </c>
      <c r="K3088" s="79"/>
      <c r="L3088" s="79"/>
      <c r="M3088" s="2"/>
      <c r="N3088" s="5"/>
      <c r="O3088" s="3"/>
      <c r="P3088" s="6"/>
      <c r="Q3088" s="6"/>
    </row>
    <row r="3089" spans="1:17" ht="15" customHeight="1" x14ac:dyDescent="0.25">
      <c r="A3089" s="1"/>
      <c r="B3089" s="17"/>
      <c r="C3089" s="17"/>
      <c r="D3089" s="17"/>
      <c r="E3089" s="17"/>
      <c r="F3089" s="17"/>
      <c r="G3089" s="4">
        <f t="shared" si="110"/>
        <v>0</v>
      </c>
      <c r="H3089" s="17"/>
      <c r="I3089" s="4">
        <f t="shared" si="108"/>
        <v>349526.07999999996</v>
      </c>
      <c r="J3089" s="32" t="str">
        <f t="shared" si="109"/>
        <v/>
      </c>
      <c r="K3089" s="79"/>
      <c r="L3089" s="79"/>
      <c r="M3089" s="2"/>
      <c r="N3089" s="5"/>
      <c r="O3089" s="3"/>
      <c r="P3089" s="6"/>
      <c r="Q3089" s="6"/>
    </row>
    <row r="3090" spans="1:17" ht="15" customHeight="1" x14ac:dyDescent="0.25">
      <c r="A3090" s="1"/>
      <c r="B3090" s="17"/>
      <c r="C3090" s="17"/>
      <c r="D3090" s="17"/>
      <c r="E3090" s="17"/>
      <c r="F3090" s="17"/>
      <c r="G3090" s="4">
        <f t="shared" si="110"/>
        <v>0</v>
      </c>
      <c r="H3090" s="17"/>
      <c r="I3090" s="4">
        <f t="shared" si="108"/>
        <v>349526.07999999996</v>
      </c>
      <c r="J3090" s="32" t="str">
        <f t="shared" si="109"/>
        <v/>
      </c>
      <c r="K3090" s="79"/>
      <c r="L3090" s="79"/>
      <c r="M3090" s="2"/>
      <c r="N3090" s="5"/>
      <c r="O3090" s="3"/>
      <c r="P3090" s="6"/>
      <c r="Q3090" s="6"/>
    </row>
    <row r="3091" spans="1:17" ht="15" customHeight="1" x14ac:dyDescent="0.25">
      <c r="A3091" s="1"/>
      <c r="B3091" s="17"/>
      <c r="C3091" s="17"/>
      <c r="D3091" s="17"/>
      <c r="E3091" s="17"/>
      <c r="F3091" s="17"/>
      <c r="G3091" s="4">
        <f t="shared" si="110"/>
        <v>0</v>
      </c>
      <c r="H3091" s="17"/>
      <c r="I3091" s="4">
        <f t="shared" si="108"/>
        <v>349526.07999999996</v>
      </c>
      <c r="J3091" s="32" t="str">
        <f t="shared" si="109"/>
        <v/>
      </c>
      <c r="K3091" s="79"/>
      <c r="L3091" s="79"/>
      <c r="M3091" s="2"/>
      <c r="N3091" s="5"/>
      <c r="O3091" s="3"/>
      <c r="P3091" s="6"/>
      <c r="Q3091" s="6"/>
    </row>
    <row r="3092" spans="1:17" ht="15" customHeight="1" x14ac:dyDescent="0.25">
      <c r="A3092" s="1"/>
      <c r="B3092" s="17"/>
      <c r="C3092" s="17"/>
      <c r="D3092" s="17"/>
      <c r="E3092" s="17"/>
      <c r="F3092" s="17"/>
      <c r="G3092" s="4">
        <f t="shared" si="110"/>
        <v>0</v>
      </c>
      <c r="H3092" s="17"/>
      <c r="I3092" s="4">
        <f t="shared" si="108"/>
        <v>349526.07999999996</v>
      </c>
      <c r="J3092" s="32" t="str">
        <f t="shared" si="109"/>
        <v/>
      </c>
      <c r="K3092" s="79"/>
      <c r="L3092" s="79"/>
      <c r="M3092" s="2"/>
      <c r="N3092" s="5"/>
      <c r="O3092" s="3"/>
      <c r="P3092" s="6"/>
      <c r="Q3092" s="6"/>
    </row>
    <row r="3093" spans="1:17" ht="15" customHeight="1" x14ac:dyDescent="0.25">
      <c r="A3093" s="1"/>
      <c r="B3093" s="17"/>
      <c r="C3093" s="17"/>
      <c r="D3093" s="17"/>
      <c r="E3093" s="17"/>
      <c r="F3093" s="17"/>
      <c r="G3093" s="4">
        <f t="shared" si="110"/>
        <v>0</v>
      </c>
      <c r="H3093" s="17"/>
      <c r="I3093" s="4">
        <f t="shared" si="108"/>
        <v>349526.07999999996</v>
      </c>
      <c r="J3093" s="32" t="str">
        <f t="shared" si="109"/>
        <v/>
      </c>
      <c r="K3093" s="79"/>
      <c r="L3093" s="79"/>
      <c r="M3093" s="2"/>
      <c r="N3093" s="5"/>
      <c r="O3093" s="3"/>
      <c r="P3093" s="6"/>
      <c r="Q3093" s="6"/>
    </row>
    <row r="3094" spans="1:17" ht="15" customHeight="1" x14ac:dyDescent="0.25">
      <c r="A3094" s="1"/>
      <c r="B3094" s="17"/>
      <c r="C3094" s="17"/>
      <c r="D3094" s="17"/>
      <c r="E3094" s="17"/>
      <c r="F3094" s="17"/>
      <c r="G3094" s="4">
        <f t="shared" si="110"/>
        <v>0</v>
      </c>
      <c r="H3094" s="17"/>
      <c r="I3094" s="4">
        <f t="shared" si="108"/>
        <v>349526.07999999996</v>
      </c>
      <c r="J3094" s="32" t="str">
        <f t="shared" si="109"/>
        <v/>
      </c>
      <c r="K3094" s="79"/>
      <c r="L3094" s="79"/>
      <c r="M3094" s="2"/>
      <c r="N3094" s="5"/>
      <c r="O3094" s="3"/>
      <c r="P3094" s="6"/>
      <c r="Q3094" s="6"/>
    </row>
    <row r="3095" spans="1:17" ht="15" customHeight="1" x14ac:dyDescent="0.25">
      <c r="A3095" s="1"/>
      <c r="B3095" s="17"/>
      <c r="C3095" s="17"/>
      <c r="D3095" s="17"/>
      <c r="E3095" s="17"/>
      <c r="F3095" s="17"/>
      <c r="G3095" s="4">
        <f t="shared" si="110"/>
        <v>0</v>
      </c>
      <c r="H3095" s="17"/>
      <c r="I3095" s="4">
        <f t="shared" si="108"/>
        <v>349526.07999999996</v>
      </c>
      <c r="J3095" s="32" t="str">
        <f t="shared" si="109"/>
        <v/>
      </c>
      <c r="K3095" s="79"/>
      <c r="L3095" s="79"/>
      <c r="M3095" s="2"/>
      <c r="N3095" s="5"/>
      <c r="O3095" s="3"/>
      <c r="P3095" s="6"/>
      <c r="Q3095" s="6"/>
    </row>
    <row r="3096" spans="1:17" ht="15" customHeight="1" x14ac:dyDescent="0.25">
      <c r="A3096" s="1"/>
      <c r="B3096" s="17"/>
      <c r="C3096" s="17"/>
      <c r="D3096" s="17"/>
      <c r="E3096" s="17"/>
      <c r="F3096" s="17"/>
      <c r="G3096" s="4">
        <f t="shared" si="110"/>
        <v>0</v>
      </c>
      <c r="H3096" s="17"/>
      <c r="I3096" s="4">
        <f t="shared" si="108"/>
        <v>349526.07999999996</v>
      </c>
      <c r="J3096" s="32" t="str">
        <f t="shared" si="109"/>
        <v/>
      </c>
      <c r="K3096" s="79"/>
      <c r="L3096" s="79"/>
      <c r="M3096" s="2"/>
      <c r="N3096" s="5"/>
      <c r="O3096" s="3"/>
      <c r="P3096" s="6"/>
      <c r="Q3096" s="6"/>
    </row>
    <row r="3097" spans="1:17" ht="15" customHeight="1" x14ac:dyDescent="0.25">
      <c r="A3097" s="1"/>
      <c r="B3097" s="17"/>
      <c r="C3097" s="17"/>
      <c r="D3097" s="17"/>
      <c r="E3097" s="17"/>
      <c r="F3097" s="17"/>
      <c r="G3097" s="4">
        <f t="shared" si="110"/>
        <v>0</v>
      </c>
      <c r="H3097" s="17"/>
      <c r="I3097" s="4">
        <f t="shared" si="108"/>
        <v>349526.07999999996</v>
      </c>
      <c r="J3097" s="32" t="str">
        <f t="shared" si="109"/>
        <v/>
      </c>
      <c r="K3097" s="79"/>
      <c r="L3097" s="79"/>
      <c r="M3097" s="2"/>
      <c r="N3097" s="5"/>
      <c r="O3097" s="3"/>
      <c r="P3097" s="6"/>
      <c r="Q3097" s="6"/>
    </row>
    <row r="3098" spans="1:17" ht="15" customHeight="1" x14ac:dyDescent="0.25">
      <c r="A3098" s="1"/>
      <c r="B3098" s="17"/>
      <c r="C3098" s="17"/>
      <c r="D3098" s="17"/>
      <c r="E3098" s="17"/>
      <c r="F3098" s="17"/>
      <c r="G3098" s="4">
        <f t="shared" si="110"/>
        <v>0</v>
      </c>
      <c r="H3098" s="17"/>
      <c r="I3098" s="4">
        <f t="shared" si="108"/>
        <v>349526.07999999996</v>
      </c>
      <c r="J3098" s="32" t="str">
        <f t="shared" si="109"/>
        <v/>
      </c>
      <c r="K3098" s="79"/>
      <c r="L3098" s="79"/>
      <c r="M3098" s="2"/>
      <c r="N3098" s="5"/>
      <c r="O3098" s="3"/>
      <c r="P3098" s="6"/>
      <c r="Q3098" s="6"/>
    </row>
    <row r="3099" spans="1:17" ht="15" customHeight="1" x14ac:dyDescent="0.25">
      <c r="A3099" s="1"/>
      <c r="B3099" s="17"/>
      <c r="C3099" s="17"/>
      <c r="D3099" s="17"/>
      <c r="E3099" s="17"/>
      <c r="F3099" s="17"/>
      <c r="G3099" s="4">
        <f t="shared" si="110"/>
        <v>0</v>
      </c>
      <c r="H3099" s="17"/>
      <c r="I3099" s="4">
        <f t="shared" si="108"/>
        <v>349526.07999999996</v>
      </c>
      <c r="J3099" s="32" t="str">
        <f t="shared" si="109"/>
        <v/>
      </c>
      <c r="K3099" s="79"/>
      <c r="L3099" s="79"/>
      <c r="M3099" s="2"/>
      <c r="N3099" s="5"/>
      <c r="O3099" s="3"/>
      <c r="P3099" s="6"/>
      <c r="Q3099" s="6"/>
    </row>
    <row r="3100" spans="1:17" ht="15" customHeight="1" x14ac:dyDescent="0.25">
      <c r="A3100" s="1"/>
      <c r="B3100" s="17"/>
      <c r="C3100" s="17"/>
      <c r="D3100" s="17"/>
      <c r="E3100" s="17"/>
      <c r="F3100" s="17"/>
      <c r="G3100" s="4">
        <f t="shared" si="110"/>
        <v>0</v>
      </c>
      <c r="H3100" s="17"/>
      <c r="I3100" s="4">
        <f t="shared" si="108"/>
        <v>349526.07999999996</v>
      </c>
      <c r="J3100" s="32" t="str">
        <f t="shared" si="109"/>
        <v/>
      </c>
      <c r="K3100" s="79"/>
      <c r="L3100" s="79"/>
      <c r="M3100" s="2"/>
      <c r="N3100" s="5"/>
      <c r="O3100" s="3"/>
      <c r="P3100" s="6"/>
      <c r="Q3100" s="6"/>
    </row>
    <row r="3101" spans="1:17" ht="15" customHeight="1" x14ac:dyDescent="0.25">
      <c r="A3101" s="1"/>
      <c r="B3101" s="17"/>
      <c r="C3101" s="17"/>
      <c r="D3101" s="17"/>
      <c r="E3101" s="17"/>
      <c r="F3101" s="17"/>
      <c r="G3101" s="4">
        <f t="shared" si="110"/>
        <v>0</v>
      </c>
      <c r="H3101" s="17"/>
      <c r="I3101" s="4">
        <f t="shared" si="108"/>
        <v>349526.07999999996</v>
      </c>
      <c r="J3101" s="32" t="str">
        <f t="shared" si="109"/>
        <v/>
      </c>
      <c r="K3101" s="79"/>
      <c r="L3101" s="79"/>
      <c r="M3101" s="2"/>
      <c r="N3101" s="5"/>
      <c r="O3101" s="3"/>
      <c r="P3101" s="6"/>
      <c r="Q3101" s="6"/>
    </row>
    <row r="3102" spans="1:17" ht="15" customHeight="1" x14ac:dyDescent="0.25">
      <c r="A3102" s="1"/>
      <c r="B3102" s="17"/>
      <c r="C3102" s="17"/>
      <c r="D3102" s="17"/>
      <c r="E3102" s="17"/>
      <c r="F3102" s="17"/>
      <c r="G3102" s="4">
        <f t="shared" si="110"/>
        <v>0</v>
      </c>
      <c r="H3102" s="17"/>
      <c r="I3102" s="4">
        <f t="shared" si="108"/>
        <v>349526.07999999996</v>
      </c>
      <c r="J3102" s="32" t="str">
        <f t="shared" si="109"/>
        <v/>
      </c>
      <c r="K3102" s="79"/>
      <c r="L3102" s="79"/>
      <c r="M3102" s="2"/>
      <c r="N3102" s="5"/>
      <c r="O3102" s="3"/>
      <c r="P3102" s="6"/>
      <c r="Q3102" s="6"/>
    </row>
    <row r="3103" spans="1:17" ht="15" customHeight="1" x14ac:dyDescent="0.25">
      <c r="A3103" s="1"/>
      <c r="B3103" s="17"/>
      <c r="C3103" s="17"/>
      <c r="D3103" s="17"/>
      <c r="E3103" s="17"/>
      <c r="F3103" s="17"/>
      <c r="G3103" s="4">
        <f t="shared" si="110"/>
        <v>0</v>
      </c>
      <c r="H3103" s="17"/>
      <c r="I3103" s="4">
        <f t="shared" si="108"/>
        <v>349526.07999999996</v>
      </c>
      <c r="J3103" s="32" t="str">
        <f t="shared" si="109"/>
        <v/>
      </c>
      <c r="K3103" s="79"/>
      <c r="L3103" s="79"/>
      <c r="M3103" s="2"/>
      <c r="N3103" s="5"/>
      <c r="O3103" s="3"/>
      <c r="P3103" s="6"/>
      <c r="Q3103" s="6"/>
    </row>
    <row r="3104" spans="1:17" ht="15" customHeight="1" x14ac:dyDescent="0.25">
      <c r="A3104" s="1"/>
      <c r="B3104" s="17"/>
      <c r="C3104" s="17"/>
      <c r="D3104" s="17"/>
      <c r="E3104" s="17"/>
      <c r="F3104" s="17"/>
      <c r="G3104" s="4">
        <f t="shared" si="110"/>
        <v>0</v>
      </c>
      <c r="H3104" s="17"/>
      <c r="I3104" s="4">
        <f t="shared" si="108"/>
        <v>349526.07999999996</v>
      </c>
      <c r="J3104" s="32" t="str">
        <f t="shared" si="109"/>
        <v/>
      </c>
      <c r="K3104" s="79"/>
      <c r="L3104" s="79"/>
      <c r="M3104" s="2"/>
      <c r="N3104" s="5"/>
      <c r="O3104" s="3"/>
      <c r="P3104" s="6"/>
      <c r="Q3104" s="6"/>
    </row>
    <row r="3105" spans="1:17" ht="15" customHeight="1" x14ac:dyDescent="0.25">
      <c r="A3105" s="1"/>
      <c r="B3105" s="17"/>
      <c r="C3105" s="17"/>
      <c r="D3105" s="17"/>
      <c r="E3105" s="17"/>
      <c r="F3105" s="17"/>
      <c r="G3105" s="4">
        <f t="shared" si="110"/>
        <v>0</v>
      </c>
      <c r="H3105" s="17"/>
      <c r="I3105" s="4">
        <f t="shared" si="108"/>
        <v>349526.07999999996</v>
      </c>
      <c r="J3105" s="32" t="str">
        <f t="shared" si="109"/>
        <v/>
      </c>
      <c r="K3105" s="79"/>
      <c r="L3105" s="79"/>
      <c r="M3105" s="2"/>
      <c r="N3105" s="5"/>
      <c r="O3105" s="3"/>
      <c r="P3105" s="6"/>
      <c r="Q3105" s="6"/>
    </row>
    <row r="3106" spans="1:17" ht="15" customHeight="1" x14ac:dyDescent="0.25">
      <c r="A3106" s="1"/>
      <c r="B3106" s="17"/>
      <c r="C3106" s="17"/>
      <c r="D3106" s="17"/>
      <c r="E3106" s="17"/>
      <c r="F3106" s="17"/>
      <c r="G3106" s="4">
        <f t="shared" si="110"/>
        <v>0</v>
      </c>
      <c r="H3106" s="17"/>
      <c r="I3106" s="4">
        <f t="shared" si="108"/>
        <v>349526.07999999996</v>
      </c>
      <c r="J3106" s="32" t="str">
        <f t="shared" si="109"/>
        <v/>
      </c>
      <c r="K3106" s="79"/>
      <c r="L3106" s="79"/>
      <c r="M3106" s="2"/>
      <c r="N3106" s="5"/>
      <c r="O3106" s="3"/>
      <c r="P3106" s="6"/>
      <c r="Q3106" s="6"/>
    </row>
    <row r="3107" spans="1:17" ht="15" customHeight="1" x14ac:dyDescent="0.25">
      <c r="A3107" s="1"/>
      <c r="B3107" s="17"/>
      <c r="C3107" s="17"/>
      <c r="D3107" s="17"/>
      <c r="E3107" s="17"/>
      <c r="F3107" s="17"/>
      <c r="G3107" s="4">
        <f t="shared" si="110"/>
        <v>0</v>
      </c>
      <c r="H3107" s="17"/>
      <c r="I3107" s="4">
        <f t="shared" si="108"/>
        <v>349526.07999999996</v>
      </c>
      <c r="J3107" s="32" t="str">
        <f t="shared" si="109"/>
        <v/>
      </c>
      <c r="K3107" s="79"/>
      <c r="L3107" s="79"/>
      <c r="M3107" s="2"/>
      <c r="N3107" s="5"/>
      <c r="O3107" s="3"/>
      <c r="P3107" s="6"/>
      <c r="Q3107" s="6"/>
    </row>
    <row r="3108" spans="1:17" ht="15" customHeight="1" x14ac:dyDescent="0.25">
      <c r="A3108" s="1"/>
      <c r="B3108" s="17"/>
      <c r="C3108" s="17"/>
      <c r="D3108" s="17"/>
      <c r="E3108" s="17"/>
      <c r="F3108" s="17"/>
      <c r="G3108" s="4">
        <f t="shared" si="110"/>
        <v>0</v>
      </c>
      <c r="H3108" s="17"/>
      <c r="I3108" s="4">
        <f t="shared" si="108"/>
        <v>349526.07999999996</v>
      </c>
      <c r="J3108" s="32" t="str">
        <f t="shared" si="109"/>
        <v/>
      </c>
      <c r="K3108" s="79"/>
      <c r="L3108" s="79"/>
      <c r="M3108" s="2"/>
      <c r="N3108" s="5"/>
      <c r="O3108" s="3"/>
      <c r="P3108" s="6"/>
      <c r="Q3108" s="6"/>
    </row>
    <row r="3109" spans="1:17" ht="15" customHeight="1" x14ac:dyDescent="0.25">
      <c r="A3109" s="1"/>
      <c r="B3109" s="17"/>
      <c r="C3109" s="17"/>
      <c r="D3109" s="17"/>
      <c r="E3109" s="17"/>
      <c r="F3109" s="17"/>
      <c r="G3109" s="4">
        <f t="shared" si="110"/>
        <v>0</v>
      </c>
      <c r="H3109" s="17"/>
      <c r="I3109" s="4">
        <f t="shared" si="108"/>
        <v>349526.07999999996</v>
      </c>
      <c r="J3109" s="32" t="str">
        <f t="shared" si="109"/>
        <v/>
      </c>
      <c r="K3109" s="79"/>
      <c r="L3109" s="79"/>
      <c r="M3109" s="2"/>
      <c r="N3109" s="5"/>
      <c r="O3109" s="3"/>
      <c r="P3109" s="6"/>
      <c r="Q3109" s="6"/>
    </row>
    <row r="3110" spans="1:17" ht="15" customHeight="1" x14ac:dyDescent="0.25">
      <c r="A3110" s="1"/>
      <c r="B3110" s="17"/>
      <c r="C3110" s="17"/>
      <c r="D3110" s="17"/>
      <c r="E3110" s="17"/>
      <c r="F3110" s="17"/>
      <c r="G3110" s="4">
        <f t="shared" si="110"/>
        <v>0</v>
      </c>
      <c r="H3110" s="17"/>
      <c r="I3110" s="4">
        <f t="shared" si="108"/>
        <v>349526.07999999996</v>
      </c>
      <c r="J3110" s="32" t="str">
        <f t="shared" si="109"/>
        <v/>
      </c>
      <c r="K3110" s="79"/>
      <c r="L3110" s="79"/>
      <c r="M3110" s="2"/>
      <c r="N3110" s="5"/>
      <c r="O3110" s="3"/>
      <c r="P3110" s="6"/>
      <c r="Q3110" s="6"/>
    </row>
    <row r="3111" spans="1:17" ht="15" customHeight="1" x14ac:dyDescent="0.25">
      <c r="A3111" s="1"/>
      <c r="B3111" s="17"/>
      <c r="C3111" s="17"/>
      <c r="D3111" s="17"/>
      <c r="E3111" s="17"/>
      <c r="F3111" s="17"/>
      <c r="G3111" s="4">
        <f t="shared" si="110"/>
        <v>0</v>
      </c>
      <c r="H3111" s="17"/>
      <c r="I3111" s="4">
        <f t="shared" si="108"/>
        <v>349526.07999999996</v>
      </c>
      <c r="J3111" s="32" t="str">
        <f t="shared" si="109"/>
        <v/>
      </c>
      <c r="K3111" s="79"/>
      <c r="L3111" s="79"/>
      <c r="M3111" s="2"/>
      <c r="N3111" s="5"/>
      <c r="O3111" s="3"/>
      <c r="P3111" s="6"/>
      <c r="Q3111" s="6"/>
    </row>
    <row r="3112" spans="1:17" ht="15" customHeight="1" x14ac:dyDescent="0.25">
      <c r="A3112" s="1"/>
      <c r="B3112" s="17"/>
      <c r="C3112" s="17"/>
      <c r="D3112" s="17"/>
      <c r="E3112" s="17"/>
      <c r="F3112" s="17"/>
      <c r="G3112" s="4">
        <f t="shared" si="110"/>
        <v>0</v>
      </c>
      <c r="H3112" s="17"/>
      <c r="I3112" s="4">
        <f t="shared" si="108"/>
        <v>349526.07999999996</v>
      </c>
      <c r="J3112" s="32" t="str">
        <f t="shared" si="109"/>
        <v/>
      </c>
      <c r="K3112" s="79"/>
      <c r="L3112" s="79"/>
      <c r="M3112" s="2"/>
      <c r="N3112" s="5"/>
      <c r="O3112" s="3"/>
      <c r="P3112" s="6"/>
      <c r="Q3112" s="6"/>
    </row>
    <row r="3113" spans="1:17" ht="15" customHeight="1" x14ac:dyDescent="0.25">
      <c r="A3113" s="1"/>
      <c r="B3113" s="17"/>
      <c r="C3113" s="17"/>
      <c r="D3113" s="17"/>
      <c r="E3113" s="17"/>
      <c r="F3113" s="17"/>
      <c r="G3113" s="4">
        <f t="shared" si="110"/>
        <v>0</v>
      </c>
      <c r="H3113" s="17"/>
      <c r="I3113" s="4">
        <f t="shared" si="108"/>
        <v>349526.07999999996</v>
      </c>
      <c r="J3113" s="32" t="str">
        <f t="shared" si="109"/>
        <v/>
      </c>
      <c r="K3113" s="79"/>
      <c r="L3113" s="79"/>
      <c r="M3113" s="2"/>
      <c r="N3113" s="5"/>
      <c r="O3113" s="3"/>
      <c r="P3113" s="6"/>
      <c r="Q3113" s="6"/>
    </row>
    <row r="3114" spans="1:17" ht="15" customHeight="1" x14ac:dyDescent="0.25">
      <c r="A3114" s="1"/>
      <c r="B3114" s="17"/>
      <c r="C3114" s="17"/>
      <c r="D3114" s="17"/>
      <c r="E3114" s="17"/>
      <c r="F3114" s="17"/>
      <c r="G3114" s="4">
        <f t="shared" si="110"/>
        <v>0</v>
      </c>
      <c r="H3114" s="17"/>
      <c r="I3114" s="4">
        <f t="shared" si="108"/>
        <v>349526.07999999996</v>
      </c>
      <c r="J3114" s="32" t="str">
        <f t="shared" si="109"/>
        <v/>
      </c>
      <c r="K3114" s="79"/>
      <c r="L3114" s="79"/>
      <c r="M3114" s="2"/>
      <c r="N3114" s="5"/>
      <c r="O3114" s="3"/>
      <c r="P3114" s="6"/>
      <c r="Q3114" s="6"/>
    </row>
    <row r="3115" spans="1:17" ht="15" customHeight="1" x14ac:dyDescent="0.25">
      <c r="A3115" s="1"/>
      <c r="B3115" s="17"/>
      <c r="C3115" s="17"/>
      <c r="D3115" s="17"/>
      <c r="E3115" s="17"/>
      <c r="F3115" s="17"/>
      <c r="G3115" s="4">
        <f t="shared" si="110"/>
        <v>0</v>
      </c>
      <c r="H3115" s="17"/>
      <c r="I3115" s="4">
        <f t="shared" si="108"/>
        <v>349526.07999999996</v>
      </c>
      <c r="J3115" s="32" t="str">
        <f t="shared" si="109"/>
        <v/>
      </c>
      <c r="K3115" s="79"/>
      <c r="L3115" s="79"/>
      <c r="M3115" s="2"/>
      <c r="N3115" s="5"/>
      <c r="O3115" s="3"/>
      <c r="P3115" s="6"/>
      <c r="Q3115" s="6"/>
    </row>
    <row r="3116" spans="1:17" ht="15" customHeight="1" x14ac:dyDescent="0.25">
      <c r="A3116" s="1"/>
      <c r="B3116" s="17"/>
      <c r="C3116" s="17"/>
      <c r="D3116" s="17"/>
      <c r="E3116" s="17"/>
      <c r="F3116" s="17"/>
      <c r="G3116" s="4">
        <f t="shared" si="110"/>
        <v>0</v>
      </c>
      <c r="H3116" s="17"/>
      <c r="I3116" s="4">
        <f t="shared" si="108"/>
        <v>349526.07999999996</v>
      </c>
      <c r="J3116" s="32" t="str">
        <f t="shared" si="109"/>
        <v/>
      </c>
      <c r="K3116" s="79"/>
      <c r="L3116" s="79"/>
      <c r="M3116" s="2"/>
      <c r="N3116" s="5"/>
      <c r="O3116" s="3"/>
      <c r="P3116" s="6"/>
      <c r="Q3116" s="6"/>
    </row>
    <row r="3117" spans="1:17" ht="15" customHeight="1" x14ac:dyDescent="0.25">
      <c r="A3117" s="1"/>
      <c r="B3117" s="17"/>
      <c r="C3117" s="17"/>
      <c r="D3117" s="17"/>
      <c r="E3117" s="17"/>
      <c r="F3117" s="17"/>
      <c r="G3117" s="4">
        <f t="shared" si="110"/>
        <v>0</v>
      </c>
      <c r="H3117" s="17"/>
      <c r="I3117" s="4">
        <f t="shared" si="108"/>
        <v>349526.07999999996</v>
      </c>
      <c r="J3117" s="32" t="str">
        <f t="shared" si="109"/>
        <v/>
      </c>
      <c r="K3117" s="79"/>
      <c r="L3117" s="79"/>
      <c r="M3117" s="2"/>
      <c r="N3117" s="5"/>
      <c r="O3117" s="3"/>
      <c r="P3117" s="6"/>
      <c r="Q3117" s="6"/>
    </row>
    <row r="3118" spans="1:17" ht="15" customHeight="1" x14ac:dyDescent="0.25">
      <c r="A3118" s="1"/>
      <c r="B3118" s="17"/>
      <c r="C3118" s="17"/>
      <c r="D3118" s="17"/>
      <c r="E3118" s="17"/>
      <c r="F3118" s="17"/>
      <c r="G3118" s="4">
        <f t="shared" si="110"/>
        <v>0</v>
      </c>
      <c r="H3118" s="17"/>
      <c r="I3118" s="4">
        <f t="shared" si="108"/>
        <v>349526.07999999996</v>
      </c>
      <c r="J3118" s="32" t="str">
        <f t="shared" si="109"/>
        <v/>
      </c>
      <c r="K3118" s="79"/>
      <c r="L3118" s="79"/>
      <c r="M3118" s="2"/>
      <c r="N3118" s="5"/>
      <c r="O3118" s="3"/>
      <c r="P3118" s="6"/>
      <c r="Q3118" s="6"/>
    </row>
    <row r="3119" spans="1:17" ht="15" customHeight="1" x14ac:dyDescent="0.25">
      <c r="A3119" s="1"/>
      <c r="B3119" s="17"/>
      <c r="C3119" s="17"/>
      <c r="D3119" s="17"/>
      <c r="E3119" s="17"/>
      <c r="F3119" s="17"/>
      <c r="G3119" s="4">
        <f t="shared" si="110"/>
        <v>0</v>
      </c>
      <c r="H3119" s="17"/>
      <c r="I3119" s="4">
        <f t="shared" si="108"/>
        <v>349526.07999999996</v>
      </c>
      <c r="J3119" s="32" t="str">
        <f t="shared" si="109"/>
        <v/>
      </c>
      <c r="K3119" s="79"/>
      <c r="L3119" s="79"/>
      <c r="M3119" s="2"/>
      <c r="N3119" s="5"/>
      <c r="O3119" s="3"/>
      <c r="P3119" s="6"/>
      <c r="Q3119" s="6"/>
    </row>
    <row r="3120" spans="1:17" ht="15" customHeight="1" x14ac:dyDescent="0.25">
      <c r="A3120" s="1"/>
      <c r="B3120" s="17"/>
      <c r="C3120" s="17"/>
      <c r="D3120" s="17"/>
      <c r="E3120" s="17"/>
      <c r="F3120" s="17"/>
      <c r="G3120" s="4">
        <f t="shared" si="110"/>
        <v>0</v>
      </c>
      <c r="H3120" s="17"/>
      <c r="I3120" s="4">
        <f t="shared" si="108"/>
        <v>349526.07999999996</v>
      </c>
      <c r="J3120" s="32" t="str">
        <f t="shared" si="109"/>
        <v/>
      </c>
      <c r="K3120" s="79"/>
      <c r="L3120" s="79"/>
      <c r="M3120" s="2"/>
      <c r="N3120" s="5"/>
      <c r="O3120" s="3"/>
      <c r="P3120" s="6"/>
      <c r="Q3120" s="6"/>
    </row>
    <row r="3121" spans="1:17" ht="15" customHeight="1" x14ac:dyDescent="0.25">
      <c r="A3121" s="1"/>
      <c r="B3121" s="17"/>
      <c r="C3121" s="17"/>
      <c r="D3121" s="17"/>
      <c r="E3121" s="17"/>
      <c r="F3121" s="17"/>
      <c r="G3121" s="4">
        <f t="shared" si="110"/>
        <v>0</v>
      </c>
      <c r="H3121" s="17"/>
      <c r="I3121" s="4">
        <f t="shared" si="108"/>
        <v>349526.07999999996</v>
      </c>
      <c r="J3121" s="32" t="str">
        <f t="shared" si="109"/>
        <v/>
      </c>
      <c r="K3121" s="79"/>
      <c r="L3121" s="79"/>
      <c r="M3121" s="2"/>
      <c r="N3121" s="5"/>
      <c r="O3121" s="3"/>
      <c r="P3121" s="6"/>
      <c r="Q3121" s="6"/>
    </row>
    <row r="3122" spans="1:17" ht="15" customHeight="1" x14ac:dyDescent="0.25">
      <c r="A3122" s="1"/>
      <c r="B3122" s="17"/>
      <c r="C3122" s="17"/>
      <c r="D3122" s="17"/>
      <c r="E3122" s="17"/>
      <c r="F3122" s="17"/>
      <c r="G3122" s="4">
        <f t="shared" si="110"/>
        <v>0</v>
      </c>
      <c r="H3122" s="17"/>
      <c r="I3122" s="4">
        <f t="shared" si="108"/>
        <v>349526.07999999996</v>
      </c>
      <c r="J3122" s="32" t="str">
        <f t="shared" si="109"/>
        <v/>
      </c>
      <c r="K3122" s="79"/>
      <c r="L3122" s="79"/>
      <c r="M3122" s="2"/>
      <c r="N3122" s="5"/>
      <c r="O3122" s="3"/>
      <c r="P3122" s="6"/>
      <c r="Q3122" s="6"/>
    </row>
    <row r="3123" spans="1:17" ht="15" customHeight="1" x14ac:dyDescent="0.25">
      <c r="A3123" s="1"/>
      <c r="B3123" s="17"/>
      <c r="C3123" s="17"/>
      <c r="D3123" s="17"/>
      <c r="E3123" s="17"/>
      <c r="F3123" s="17"/>
      <c r="G3123" s="4">
        <f t="shared" si="110"/>
        <v>0</v>
      </c>
      <c r="H3123" s="17"/>
      <c r="I3123" s="4">
        <f t="shared" si="108"/>
        <v>349526.07999999996</v>
      </c>
      <c r="J3123" s="32" t="str">
        <f t="shared" si="109"/>
        <v/>
      </c>
      <c r="K3123" s="79"/>
      <c r="L3123" s="79"/>
      <c r="M3123" s="2"/>
      <c r="N3123" s="5"/>
      <c r="O3123" s="3"/>
      <c r="P3123" s="6"/>
      <c r="Q3123" s="6"/>
    </row>
    <row r="3124" spans="1:17" ht="15" customHeight="1" x14ac:dyDescent="0.25">
      <c r="A3124" s="1"/>
      <c r="B3124" s="17"/>
      <c r="C3124" s="17"/>
      <c r="D3124" s="17"/>
      <c r="E3124" s="17"/>
      <c r="F3124" s="17"/>
      <c r="G3124" s="4">
        <f t="shared" si="110"/>
        <v>0</v>
      </c>
      <c r="H3124" s="17"/>
      <c r="I3124" s="4">
        <f t="shared" si="108"/>
        <v>349526.07999999996</v>
      </c>
      <c r="J3124" s="32" t="str">
        <f t="shared" si="109"/>
        <v/>
      </c>
      <c r="K3124" s="79"/>
      <c r="L3124" s="79"/>
      <c r="M3124" s="2"/>
      <c r="N3124" s="5"/>
      <c r="O3124" s="3"/>
      <c r="P3124" s="6"/>
      <c r="Q3124" s="6"/>
    </row>
    <row r="3125" spans="1:17" ht="15" customHeight="1" x14ac:dyDescent="0.25">
      <c r="A3125" s="1"/>
      <c r="B3125" s="17"/>
      <c r="C3125" s="17"/>
      <c r="D3125" s="17"/>
      <c r="E3125" s="17"/>
      <c r="F3125" s="17"/>
      <c r="G3125" s="4">
        <f t="shared" si="110"/>
        <v>0</v>
      </c>
      <c r="H3125" s="17"/>
      <c r="I3125" s="4">
        <f t="shared" si="108"/>
        <v>349526.07999999996</v>
      </c>
      <c r="J3125" s="32" t="str">
        <f t="shared" si="109"/>
        <v/>
      </c>
      <c r="K3125" s="79"/>
      <c r="L3125" s="79"/>
      <c r="M3125" s="2"/>
      <c r="N3125" s="5"/>
      <c r="O3125" s="3"/>
      <c r="P3125" s="6"/>
      <c r="Q3125" s="6"/>
    </row>
    <row r="3126" spans="1:17" ht="15" customHeight="1" x14ac:dyDescent="0.25">
      <c r="A3126" s="1"/>
      <c r="B3126" s="17"/>
      <c r="C3126" s="17"/>
      <c r="D3126" s="17"/>
      <c r="E3126" s="17"/>
      <c r="F3126" s="17"/>
      <c r="G3126" s="4">
        <f t="shared" si="110"/>
        <v>0</v>
      </c>
      <c r="H3126" s="17"/>
      <c r="I3126" s="4">
        <f t="shared" ref="I3126:I3189" si="111">$I3125+$G3126-$H3126</f>
        <v>349526.07999999996</v>
      </c>
      <c r="J3126" s="32" t="str">
        <f t="shared" ref="J3126:J3189" si="112">IF($A3127&lt;&gt;$A3126,$I3126,"")</f>
        <v/>
      </c>
      <c r="K3126" s="79"/>
      <c r="L3126" s="79"/>
      <c r="M3126" s="2"/>
      <c r="N3126" s="5"/>
      <c r="O3126" s="3"/>
      <c r="P3126" s="6"/>
      <c r="Q3126" s="6"/>
    </row>
    <row r="3127" spans="1:17" ht="15" customHeight="1" x14ac:dyDescent="0.25">
      <c r="A3127" s="1"/>
      <c r="B3127" s="17"/>
      <c r="C3127" s="17"/>
      <c r="D3127" s="17"/>
      <c r="E3127" s="17"/>
      <c r="F3127" s="17"/>
      <c r="G3127" s="4">
        <f t="shared" si="110"/>
        <v>0</v>
      </c>
      <c r="H3127" s="17"/>
      <c r="I3127" s="4">
        <f t="shared" si="111"/>
        <v>349526.07999999996</v>
      </c>
      <c r="J3127" s="32" t="str">
        <f t="shared" si="112"/>
        <v/>
      </c>
      <c r="K3127" s="79"/>
      <c r="L3127" s="79"/>
      <c r="M3127" s="2"/>
      <c r="N3127" s="5"/>
      <c r="O3127" s="3"/>
      <c r="P3127" s="6"/>
      <c r="Q3127" s="6"/>
    </row>
    <row r="3128" spans="1:17" ht="15" customHeight="1" x14ac:dyDescent="0.25">
      <c r="A3128" s="1"/>
      <c r="B3128" s="17"/>
      <c r="C3128" s="17"/>
      <c r="D3128" s="17"/>
      <c r="E3128" s="17"/>
      <c r="F3128" s="17"/>
      <c r="G3128" s="4">
        <f t="shared" si="110"/>
        <v>0</v>
      </c>
      <c r="H3128" s="17"/>
      <c r="I3128" s="4">
        <f t="shared" si="111"/>
        <v>349526.07999999996</v>
      </c>
      <c r="J3128" s="32" t="str">
        <f t="shared" si="112"/>
        <v/>
      </c>
      <c r="K3128" s="79"/>
      <c r="L3128" s="79"/>
      <c r="M3128" s="2"/>
      <c r="N3128" s="5"/>
      <c r="O3128" s="3"/>
      <c r="P3128" s="6"/>
      <c r="Q3128" s="6"/>
    </row>
    <row r="3129" spans="1:17" ht="15" customHeight="1" x14ac:dyDescent="0.25">
      <c r="A3129" s="1"/>
      <c r="B3129" s="17"/>
      <c r="C3129" s="17"/>
      <c r="D3129" s="17"/>
      <c r="E3129" s="17"/>
      <c r="F3129" s="17"/>
      <c r="G3129" s="4">
        <f t="shared" si="110"/>
        <v>0</v>
      </c>
      <c r="H3129" s="17"/>
      <c r="I3129" s="4">
        <f t="shared" si="111"/>
        <v>349526.07999999996</v>
      </c>
      <c r="J3129" s="32" t="str">
        <f t="shared" si="112"/>
        <v/>
      </c>
      <c r="K3129" s="79"/>
      <c r="L3129" s="79"/>
      <c r="M3129" s="2"/>
      <c r="N3129" s="5"/>
      <c r="O3129" s="3"/>
      <c r="P3129" s="6"/>
      <c r="Q3129" s="6"/>
    </row>
    <row r="3130" spans="1:17" ht="15" customHeight="1" x14ac:dyDescent="0.25">
      <c r="A3130" s="1"/>
      <c r="B3130" s="17"/>
      <c r="C3130" s="17"/>
      <c r="D3130" s="17"/>
      <c r="E3130" s="17"/>
      <c r="F3130" s="17"/>
      <c r="G3130" s="4">
        <f t="shared" si="110"/>
        <v>0</v>
      </c>
      <c r="H3130" s="17"/>
      <c r="I3130" s="4">
        <f t="shared" si="111"/>
        <v>349526.07999999996</v>
      </c>
      <c r="J3130" s="32" t="str">
        <f t="shared" si="112"/>
        <v/>
      </c>
      <c r="K3130" s="79"/>
      <c r="L3130" s="79"/>
      <c r="M3130" s="2"/>
      <c r="N3130" s="5"/>
      <c r="O3130" s="3"/>
      <c r="P3130" s="6"/>
      <c r="Q3130" s="6"/>
    </row>
    <row r="3131" spans="1:17" ht="15" customHeight="1" x14ac:dyDescent="0.25">
      <c r="A3131" s="1"/>
      <c r="B3131" s="17"/>
      <c r="C3131" s="17"/>
      <c r="D3131" s="17"/>
      <c r="E3131" s="17"/>
      <c r="F3131" s="17"/>
      <c r="G3131" s="4">
        <f t="shared" si="110"/>
        <v>0</v>
      </c>
      <c r="H3131" s="17"/>
      <c r="I3131" s="4">
        <f t="shared" si="111"/>
        <v>349526.07999999996</v>
      </c>
      <c r="J3131" s="32" t="str">
        <f t="shared" si="112"/>
        <v/>
      </c>
      <c r="K3131" s="79"/>
      <c r="L3131" s="79"/>
      <c r="M3131" s="2"/>
      <c r="N3131" s="5"/>
      <c r="O3131" s="3"/>
      <c r="P3131" s="6"/>
      <c r="Q3131" s="6"/>
    </row>
    <row r="3132" spans="1:17" ht="15" customHeight="1" x14ac:dyDescent="0.25">
      <c r="A3132" s="1"/>
      <c r="B3132" s="17"/>
      <c r="C3132" s="17"/>
      <c r="D3132" s="17"/>
      <c r="E3132" s="17"/>
      <c r="F3132" s="17"/>
      <c r="G3132" s="4">
        <f t="shared" si="110"/>
        <v>0</v>
      </c>
      <c r="H3132" s="17"/>
      <c r="I3132" s="4">
        <f t="shared" si="111"/>
        <v>349526.07999999996</v>
      </c>
      <c r="J3132" s="32" t="str">
        <f t="shared" si="112"/>
        <v/>
      </c>
      <c r="K3132" s="79"/>
      <c r="L3132" s="79"/>
      <c r="M3132" s="2"/>
      <c r="N3132" s="5"/>
      <c r="O3132" s="3"/>
      <c r="P3132" s="6"/>
      <c r="Q3132" s="6"/>
    </row>
    <row r="3133" spans="1:17" ht="15" customHeight="1" x14ac:dyDescent="0.25">
      <c r="A3133" s="1"/>
      <c r="B3133" s="17"/>
      <c r="C3133" s="17"/>
      <c r="D3133" s="17"/>
      <c r="E3133" s="17"/>
      <c r="F3133" s="17"/>
      <c r="G3133" s="4">
        <f t="shared" si="110"/>
        <v>0</v>
      </c>
      <c r="H3133" s="17"/>
      <c r="I3133" s="4">
        <f t="shared" si="111"/>
        <v>349526.07999999996</v>
      </c>
      <c r="J3133" s="32" t="str">
        <f t="shared" si="112"/>
        <v/>
      </c>
      <c r="K3133" s="79"/>
      <c r="L3133" s="79"/>
      <c r="M3133" s="2"/>
      <c r="N3133" s="5"/>
      <c r="O3133" s="3"/>
      <c r="P3133" s="6"/>
      <c r="Q3133" s="6"/>
    </row>
    <row r="3134" spans="1:17" ht="15" customHeight="1" x14ac:dyDescent="0.25">
      <c r="A3134" s="1"/>
      <c r="B3134" s="17"/>
      <c r="C3134" s="17"/>
      <c r="D3134" s="17"/>
      <c r="E3134" s="17"/>
      <c r="F3134" s="17"/>
      <c r="G3134" s="4">
        <f t="shared" si="110"/>
        <v>0</v>
      </c>
      <c r="H3134" s="17"/>
      <c r="I3134" s="4">
        <f t="shared" si="111"/>
        <v>349526.07999999996</v>
      </c>
      <c r="J3134" s="32" t="str">
        <f t="shared" si="112"/>
        <v/>
      </c>
      <c r="K3134" s="79"/>
      <c r="L3134" s="79"/>
      <c r="M3134" s="2"/>
      <c r="N3134" s="5"/>
      <c r="O3134" s="3"/>
      <c r="P3134" s="6"/>
      <c r="Q3134" s="6"/>
    </row>
    <row r="3135" spans="1:17" ht="15" customHeight="1" x14ac:dyDescent="0.25">
      <c r="A3135" s="1"/>
      <c r="B3135" s="17"/>
      <c r="C3135" s="17"/>
      <c r="D3135" s="17"/>
      <c r="E3135" s="17"/>
      <c r="F3135" s="17"/>
      <c r="G3135" s="4">
        <f t="shared" si="110"/>
        <v>0</v>
      </c>
      <c r="H3135" s="17"/>
      <c r="I3135" s="4">
        <f t="shared" si="111"/>
        <v>349526.07999999996</v>
      </c>
      <c r="J3135" s="32" t="str">
        <f t="shared" si="112"/>
        <v/>
      </c>
      <c r="K3135" s="79"/>
      <c r="L3135" s="79"/>
      <c r="M3135" s="2"/>
      <c r="N3135" s="5"/>
      <c r="O3135" s="3"/>
      <c r="P3135" s="6"/>
      <c r="Q3135" s="6"/>
    </row>
    <row r="3136" spans="1:17" ht="15" customHeight="1" x14ac:dyDescent="0.25">
      <c r="A3136" s="1"/>
      <c r="B3136" s="17"/>
      <c r="C3136" s="17"/>
      <c r="D3136" s="17"/>
      <c r="E3136" s="17"/>
      <c r="F3136" s="17"/>
      <c r="G3136" s="4">
        <f t="shared" si="110"/>
        <v>0</v>
      </c>
      <c r="H3136" s="17"/>
      <c r="I3136" s="4">
        <f t="shared" si="111"/>
        <v>349526.07999999996</v>
      </c>
      <c r="J3136" s="32" t="str">
        <f t="shared" si="112"/>
        <v/>
      </c>
      <c r="K3136" s="79"/>
      <c r="L3136" s="79"/>
      <c r="M3136" s="2"/>
      <c r="N3136" s="5"/>
      <c r="O3136" s="3"/>
      <c r="P3136" s="6"/>
      <c r="Q3136" s="6"/>
    </row>
    <row r="3137" spans="1:17" ht="15" customHeight="1" x14ac:dyDescent="0.25">
      <c r="A3137" s="1"/>
      <c r="B3137" s="17"/>
      <c r="C3137" s="17"/>
      <c r="D3137" s="17"/>
      <c r="E3137" s="17"/>
      <c r="F3137" s="17"/>
      <c r="G3137" s="4">
        <f t="shared" si="110"/>
        <v>0</v>
      </c>
      <c r="H3137" s="17"/>
      <c r="I3137" s="4">
        <f t="shared" si="111"/>
        <v>349526.07999999996</v>
      </c>
      <c r="J3137" s="32" t="str">
        <f t="shared" si="112"/>
        <v/>
      </c>
      <c r="K3137" s="79"/>
      <c r="L3137" s="79"/>
      <c r="M3137" s="2"/>
      <c r="N3137" s="5"/>
      <c r="O3137" s="3"/>
      <c r="P3137" s="6"/>
      <c r="Q3137" s="6"/>
    </row>
    <row r="3138" spans="1:17" ht="15" customHeight="1" x14ac:dyDescent="0.25">
      <c r="A3138" s="1"/>
      <c r="B3138" s="17"/>
      <c r="C3138" s="17"/>
      <c r="D3138" s="17"/>
      <c r="E3138" s="17"/>
      <c r="F3138" s="17"/>
      <c r="G3138" s="4">
        <f t="shared" si="110"/>
        <v>0</v>
      </c>
      <c r="H3138" s="17"/>
      <c r="I3138" s="4">
        <f t="shared" si="111"/>
        <v>349526.07999999996</v>
      </c>
      <c r="J3138" s="32" t="str">
        <f t="shared" si="112"/>
        <v/>
      </c>
      <c r="K3138" s="79"/>
      <c r="L3138" s="79"/>
      <c r="M3138" s="2"/>
      <c r="N3138" s="5"/>
      <c r="O3138" s="3"/>
      <c r="P3138" s="6"/>
      <c r="Q3138" s="6"/>
    </row>
    <row r="3139" spans="1:17" ht="15" customHeight="1" x14ac:dyDescent="0.25">
      <c r="A3139" s="1"/>
      <c r="B3139" s="17"/>
      <c r="C3139" s="17"/>
      <c r="D3139" s="17"/>
      <c r="E3139" s="17"/>
      <c r="F3139" s="17"/>
      <c r="G3139" s="4">
        <f t="shared" ref="G3139:G3202" si="113">SUM($B3139:$F3139)</f>
        <v>0</v>
      </c>
      <c r="H3139" s="17"/>
      <c r="I3139" s="4">
        <f t="shared" si="111"/>
        <v>349526.07999999996</v>
      </c>
      <c r="J3139" s="32" t="str">
        <f t="shared" si="112"/>
        <v/>
      </c>
      <c r="K3139" s="79"/>
      <c r="L3139" s="79"/>
      <c r="M3139" s="2"/>
      <c r="N3139" s="5"/>
      <c r="O3139" s="3"/>
      <c r="P3139" s="6"/>
      <c r="Q3139" s="6"/>
    </row>
    <row r="3140" spans="1:17" ht="15" customHeight="1" x14ac:dyDescent="0.25">
      <c r="A3140" s="1"/>
      <c r="B3140" s="17"/>
      <c r="C3140" s="17"/>
      <c r="D3140" s="17"/>
      <c r="E3140" s="17"/>
      <c r="F3140" s="17"/>
      <c r="G3140" s="4">
        <f t="shared" si="113"/>
        <v>0</v>
      </c>
      <c r="H3140" s="17"/>
      <c r="I3140" s="4">
        <f t="shared" si="111"/>
        <v>349526.07999999996</v>
      </c>
      <c r="J3140" s="32" t="str">
        <f t="shared" si="112"/>
        <v/>
      </c>
      <c r="K3140" s="79"/>
      <c r="L3140" s="79"/>
      <c r="M3140" s="2"/>
      <c r="N3140" s="5"/>
      <c r="O3140" s="3"/>
      <c r="P3140" s="6"/>
      <c r="Q3140" s="6"/>
    </row>
    <row r="3141" spans="1:17" ht="15" customHeight="1" x14ac:dyDescent="0.25">
      <c r="A3141" s="1"/>
      <c r="B3141" s="17"/>
      <c r="C3141" s="17"/>
      <c r="D3141" s="17"/>
      <c r="E3141" s="17"/>
      <c r="F3141" s="17"/>
      <c r="G3141" s="4">
        <f t="shared" si="113"/>
        <v>0</v>
      </c>
      <c r="H3141" s="17"/>
      <c r="I3141" s="4">
        <f t="shared" si="111"/>
        <v>349526.07999999996</v>
      </c>
      <c r="J3141" s="32" t="str">
        <f t="shared" si="112"/>
        <v/>
      </c>
      <c r="K3141" s="79"/>
      <c r="L3141" s="79"/>
      <c r="M3141" s="2"/>
      <c r="N3141" s="5"/>
      <c r="O3141" s="3"/>
      <c r="P3141" s="6"/>
      <c r="Q3141" s="6"/>
    </row>
    <row r="3142" spans="1:17" ht="15" customHeight="1" x14ac:dyDescent="0.25">
      <c r="A3142" s="1"/>
      <c r="B3142" s="17"/>
      <c r="C3142" s="17"/>
      <c r="D3142" s="17"/>
      <c r="E3142" s="17"/>
      <c r="F3142" s="17"/>
      <c r="G3142" s="4">
        <f t="shared" si="113"/>
        <v>0</v>
      </c>
      <c r="H3142" s="17"/>
      <c r="I3142" s="4">
        <f t="shared" si="111"/>
        <v>349526.07999999996</v>
      </c>
      <c r="J3142" s="32" t="str">
        <f t="shared" si="112"/>
        <v/>
      </c>
      <c r="K3142" s="79"/>
      <c r="L3142" s="79"/>
      <c r="M3142" s="2"/>
      <c r="N3142" s="5"/>
      <c r="O3142" s="3"/>
      <c r="P3142" s="6"/>
      <c r="Q3142" s="6"/>
    </row>
    <row r="3143" spans="1:17" ht="15" customHeight="1" x14ac:dyDescent="0.25">
      <c r="A3143" s="1"/>
      <c r="B3143" s="17"/>
      <c r="C3143" s="17"/>
      <c r="D3143" s="17"/>
      <c r="E3143" s="17"/>
      <c r="F3143" s="17"/>
      <c r="G3143" s="4">
        <f t="shared" si="113"/>
        <v>0</v>
      </c>
      <c r="H3143" s="17"/>
      <c r="I3143" s="4">
        <f t="shared" si="111"/>
        <v>349526.07999999996</v>
      </c>
      <c r="J3143" s="32" t="str">
        <f t="shared" si="112"/>
        <v/>
      </c>
      <c r="K3143" s="79"/>
      <c r="L3143" s="79"/>
      <c r="M3143" s="2"/>
      <c r="N3143" s="5"/>
      <c r="O3143" s="3"/>
      <c r="P3143" s="6"/>
      <c r="Q3143" s="6"/>
    </row>
    <row r="3144" spans="1:17" ht="15" customHeight="1" x14ac:dyDescent="0.25">
      <c r="A3144" s="1"/>
      <c r="B3144" s="17"/>
      <c r="C3144" s="17"/>
      <c r="D3144" s="17"/>
      <c r="E3144" s="17"/>
      <c r="F3144" s="17"/>
      <c r="G3144" s="4">
        <f t="shared" si="113"/>
        <v>0</v>
      </c>
      <c r="H3144" s="17"/>
      <c r="I3144" s="4">
        <f t="shared" si="111"/>
        <v>349526.07999999996</v>
      </c>
      <c r="J3144" s="32" t="str">
        <f t="shared" si="112"/>
        <v/>
      </c>
      <c r="K3144" s="79"/>
      <c r="L3144" s="79"/>
      <c r="M3144" s="2"/>
      <c r="N3144" s="5"/>
      <c r="O3144" s="3"/>
      <c r="P3144" s="6"/>
      <c r="Q3144" s="6"/>
    </row>
    <row r="3145" spans="1:17" ht="15" customHeight="1" x14ac:dyDescent="0.25">
      <c r="A3145" s="1"/>
      <c r="B3145" s="17"/>
      <c r="C3145" s="17"/>
      <c r="D3145" s="17"/>
      <c r="E3145" s="17"/>
      <c r="F3145" s="17"/>
      <c r="G3145" s="4">
        <f t="shared" si="113"/>
        <v>0</v>
      </c>
      <c r="H3145" s="17"/>
      <c r="I3145" s="4">
        <f t="shared" si="111"/>
        <v>349526.07999999996</v>
      </c>
      <c r="J3145" s="32" t="str">
        <f t="shared" si="112"/>
        <v/>
      </c>
      <c r="K3145" s="79"/>
      <c r="L3145" s="79"/>
      <c r="M3145" s="2"/>
      <c r="N3145" s="5"/>
      <c r="O3145" s="3"/>
      <c r="P3145" s="6"/>
      <c r="Q3145" s="6"/>
    </row>
    <row r="3146" spans="1:17" ht="15" customHeight="1" x14ac:dyDescent="0.25">
      <c r="A3146" s="1"/>
      <c r="B3146" s="17"/>
      <c r="C3146" s="17"/>
      <c r="D3146" s="17"/>
      <c r="E3146" s="17"/>
      <c r="F3146" s="17"/>
      <c r="G3146" s="4">
        <f t="shared" si="113"/>
        <v>0</v>
      </c>
      <c r="H3146" s="17"/>
      <c r="I3146" s="4">
        <f t="shared" si="111"/>
        <v>349526.07999999996</v>
      </c>
      <c r="J3146" s="32" t="str">
        <f t="shared" si="112"/>
        <v/>
      </c>
      <c r="K3146" s="79"/>
      <c r="L3146" s="79"/>
      <c r="M3146" s="2"/>
      <c r="N3146" s="5"/>
      <c r="O3146" s="3"/>
      <c r="P3146" s="6"/>
      <c r="Q3146" s="6"/>
    </row>
    <row r="3147" spans="1:17" ht="15" customHeight="1" x14ac:dyDescent="0.25">
      <c r="A3147" s="1"/>
      <c r="B3147" s="17"/>
      <c r="C3147" s="17"/>
      <c r="D3147" s="17"/>
      <c r="E3147" s="17"/>
      <c r="F3147" s="17"/>
      <c r="G3147" s="4">
        <f t="shared" si="113"/>
        <v>0</v>
      </c>
      <c r="H3147" s="17"/>
      <c r="I3147" s="4">
        <f t="shared" si="111"/>
        <v>349526.07999999996</v>
      </c>
      <c r="J3147" s="32" t="str">
        <f t="shared" si="112"/>
        <v/>
      </c>
      <c r="K3147" s="79"/>
      <c r="L3147" s="79"/>
      <c r="M3147" s="2"/>
      <c r="N3147" s="5"/>
      <c r="O3147" s="3"/>
      <c r="P3147" s="6"/>
      <c r="Q3147" s="6"/>
    </row>
    <row r="3148" spans="1:17" ht="15" customHeight="1" x14ac:dyDescent="0.25">
      <c r="A3148" s="1"/>
      <c r="B3148" s="17"/>
      <c r="C3148" s="17"/>
      <c r="D3148" s="17"/>
      <c r="E3148" s="17"/>
      <c r="F3148" s="17"/>
      <c r="G3148" s="4">
        <f t="shared" si="113"/>
        <v>0</v>
      </c>
      <c r="H3148" s="17"/>
      <c r="I3148" s="4">
        <f t="shared" si="111"/>
        <v>349526.07999999996</v>
      </c>
      <c r="J3148" s="32" t="str">
        <f t="shared" si="112"/>
        <v/>
      </c>
      <c r="K3148" s="79"/>
      <c r="L3148" s="79"/>
      <c r="M3148" s="2"/>
      <c r="N3148" s="5"/>
      <c r="O3148" s="3"/>
      <c r="P3148" s="6"/>
      <c r="Q3148" s="6"/>
    </row>
    <row r="3149" spans="1:17" ht="15" customHeight="1" x14ac:dyDescent="0.25">
      <c r="A3149" s="1"/>
      <c r="B3149" s="17"/>
      <c r="C3149" s="17"/>
      <c r="D3149" s="17"/>
      <c r="E3149" s="17"/>
      <c r="F3149" s="17"/>
      <c r="G3149" s="4">
        <f t="shared" si="113"/>
        <v>0</v>
      </c>
      <c r="H3149" s="17"/>
      <c r="I3149" s="4">
        <f t="shared" si="111"/>
        <v>349526.07999999996</v>
      </c>
      <c r="J3149" s="32" t="str">
        <f t="shared" si="112"/>
        <v/>
      </c>
      <c r="K3149" s="79"/>
      <c r="L3149" s="79"/>
      <c r="M3149" s="2"/>
      <c r="N3149" s="5"/>
      <c r="O3149" s="3"/>
      <c r="P3149" s="6"/>
      <c r="Q3149" s="6"/>
    </row>
    <row r="3150" spans="1:17" ht="15" customHeight="1" x14ac:dyDescent="0.25">
      <c r="A3150" s="1"/>
      <c r="B3150" s="17"/>
      <c r="C3150" s="17"/>
      <c r="D3150" s="17"/>
      <c r="E3150" s="17"/>
      <c r="F3150" s="17"/>
      <c r="G3150" s="4">
        <f t="shared" si="113"/>
        <v>0</v>
      </c>
      <c r="H3150" s="17"/>
      <c r="I3150" s="4">
        <f t="shared" si="111"/>
        <v>349526.07999999996</v>
      </c>
      <c r="J3150" s="32" t="str">
        <f t="shared" si="112"/>
        <v/>
      </c>
      <c r="K3150" s="79"/>
      <c r="L3150" s="79"/>
      <c r="M3150" s="2"/>
      <c r="N3150" s="5"/>
      <c r="O3150" s="3"/>
      <c r="P3150" s="6"/>
      <c r="Q3150" s="6"/>
    </row>
    <row r="3151" spans="1:17" ht="15" customHeight="1" x14ac:dyDescent="0.25">
      <c r="A3151" s="1"/>
      <c r="B3151" s="17"/>
      <c r="C3151" s="17"/>
      <c r="D3151" s="17"/>
      <c r="E3151" s="17"/>
      <c r="F3151" s="17"/>
      <c r="G3151" s="4">
        <f t="shared" si="113"/>
        <v>0</v>
      </c>
      <c r="H3151" s="17"/>
      <c r="I3151" s="4">
        <f t="shared" si="111"/>
        <v>349526.07999999996</v>
      </c>
      <c r="J3151" s="32" t="str">
        <f t="shared" si="112"/>
        <v/>
      </c>
      <c r="K3151" s="79"/>
      <c r="L3151" s="79"/>
      <c r="M3151" s="2"/>
      <c r="N3151" s="5"/>
      <c r="O3151" s="3"/>
      <c r="P3151" s="6"/>
      <c r="Q3151" s="6"/>
    </row>
    <row r="3152" spans="1:17" ht="15" customHeight="1" x14ac:dyDescent="0.25">
      <c r="A3152" s="1"/>
      <c r="B3152" s="17"/>
      <c r="C3152" s="17"/>
      <c r="D3152" s="17"/>
      <c r="E3152" s="17"/>
      <c r="F3152" s="17"/>
      <c r="G3152" s="4">
        <f t="shared" si="113"/>
        <v>0</v>
      </c>
      <c r="H3152" s="17"/>
      <c r="I3152" s="4">
        <f t="shared" si="111"/>
        <v>349526.07999999996</v>
      </c>
      <c r="J3152" s="32" t="str">
        <f t="shared" si="112"/>
        <v/>
      </c>
      <c r="K3152" s="79"/>
      <c r="L3152" s="79"/>
      <c r="M3152" s="2"/>
      <c r="N3152" s="5"/>
      <c r="O3152" s="3"/>
      <c r="P3152" s="6"/>
      <c r="Q3152" s="6"/>
    </row>
    <row r="3153" spans="1:17" ht="15" customHeight="1" x14ac:dyDescent="0.25">
      <c r="A3153" s="1"/>
      <c r="B3153" s="17"/>
      <c r="C3153" s="17"/>
      <c r="D3153" s="17"/>
      <c r="E3153" s="17"/>
      <c r="F3153" s="17"/>
      <c r="G3153" s="4">
        <f t="shared" si="113"/>
        <v>0</v>
      </c>
      <c r="H3153" s="17"/>
      <c r="I3153" s="4">
        <f t="shared" si="111"/>
        <v>349526.07999999996</v>
      </c>
      <c r="J3153" s="32" t="str">
        <f t="shared" si="112"/>
        <v/>
      </c>
      <c r="K3153" s="79"/>
      <c r="L3153" s="79"/>
      <c r="M3153" s="2"/>
      <c r="N3153" s="5"/>
      <c r="O3153" s="3"/>
      <c r="P3153" s="6"/>
      <c r="Q3153" s="6"/>
    </row>
    <row r="3154" spans="1:17" ht="15" customHeight="1" x14ac:dyDescent="0.25">
      <c r="A3154" s="1"/>
      <c r="B3154" s="17"/>
      <c r="C3154" s="17"/>
      <c r="D3154" s="17"/>
      <c r="E3154" s="17"/>
      <c r="F3154" s="17"/>
      <c r="G3154" s="4">
        <f t="shared" si="113"/>
        <v>0</v>
      </c>
      <c r="H3154" s="17"/>
      <c r="I3154" s="4">
        <f t="shared" si="111"/>
        <v>349526.07999999996</v>
      </c>
      <c r="J3154" s="32" t="str">
        <f t="shared" si="112"/>
        <v/>
      </c>
      <c r="K3154" s="79"/>
      <c r="L3154" s="79"/>
      <c r="M3154" s="2"/>
      <c r="N3154" s="5"/>
      <c r="O3154" s="3"/>
      <c r="P3154" s="6"/>
      <c r="Q3154" s="6"/>
    </row>
    <row r="3155" spans="1:17" ht="15" customHeight="1" x14ac:dyDescent="0.25">
      <c r="A3155" s="1"/>
      <c r="B3155" s="17"/>
      <c r="C3155" s="17"/>
      <c r="D3155" s="17"/>
      <c r="E3155" s="17"/>
      <c r="F3155" s="17"/>
      <c r="G3155" s="4">
        <f t="shared" si="113"/>
        <v>0</v>
      </c>
      <c r="H3155" s="17"/>
      <c r="I3155" s="4">
        <f t="shared" si="111"/>
        <v>349526.07999999996</v>
      </c>
      <c r="J3155" s="32" t="str">
        <f t="shared" si="112"/>
        <v/>
      </c>
      <c r="K3155" s="79"/>
      <c r="L3155" s="79"/>
      <c r="M3155" s="2"/>
      <c r="N3155" s="5"/>
      <c r="O3155" s="3"/>
      <c r="P3155" s="6"/>
      <c r="Q3155" s="6"/>
    </row>
    <row r="3156" spans="1:17" ht="15" customHeight="1" x14ac:dyDescent="0.25">
      <c r="A3156" s="1"/>
      <c r="B3156" s="17"/>
      <c r="C3156" s="17"/>
      <c r="D3156" s="17"/>
      <c r="E3156" s="17"/>
      <c r="F3156" s="17"/>
      <c r="G3156" s="4">
        <f t="shared" si="113"/>
        <v>0</v>
      </c>
      <c r="H3156" s="17"/>
      <c r="I3156" s="4">
        <f t="shared" si="111"/>
        <v>349526.07999999996</v>
      </c>
      <c r="J3156" s="32" t="str">
        <f t="shared" si="112"/>
        <v/>
      </c>
      <c r="K3156" s="79"/>
      <c r="L3156" s="79"/>
      <c r="M3156" s="2"/>
      <c r="N3156" s="5"/>
      <c r="O3156" s="3"/>
      <c r="P3156" s="6"/>
      <c r="Q3156" s="6"/>
    </row>
    <row r="3157" spans="1:17" ht="15" customHeight="1" x14ac:dyDescent="0.25">
      <c r="A3157" s="1"/>
      <c r="B3157" s="17"/>
      <c r="C3157" s="17"/>
      <c r="D3157" s="17"/>
      <c r="E3157" s="17"/>
      <c r="F3157" s="17"/>
      <c r="G3157" s="4">
        <f t="shared" si="113"/>
        <v>0</v>
      </c>
      <c r="H3157" s="17"/>
      <c r="I3157" s="4">
        <f t="shared" si="111"/>
        <v>349526.07999999996</v>
      </c>
      <c r="J3157" s="32" t="str">
        <f t="shared" si="112"/>
        <v/>
      </c>
      <c r="K3157" s="79"/>
      <c r="L3157" s="79"/>
      <c r="M3157" s="2"/>
      <c r="N3157" s="5"/>
      <c r="O3157" s="3"/>
      <c r="P3157" s="6"/>
      <c r="Q3157" s="6"/>
    </row>
    <row r="3158" spans="1:17" ht="15" customHeight="1" x14ac:dyDescent="0.25">
      <c r="A3158" s="1"/>
      <c r="B3158" s="17"/>
      <c r="C3158" s="17"/>
      <c r="D3158" s="17"/>
      <c r="E3158" s="17"/>
      <c r="F3158" s="17"/>
      <c r="G3158" s="4">
        <f t="shared" si="113"/>
        <v>0</v>
      </c>
      <c r="H3158" s="17"/>
      <c r="I3158" s="4">
        <f t="shared" si="111"/>
        <v>349526.07999999996</v>
      </c>
      <c r="J3158" s="32" t="str">
        <f t="shared" si="112"/>
        <v/>
      </c>
      <c r="K3158" s="79"/>
      <c r="L3158" s="79"/>
      <c r="M3158" s="2"/>
      <c r="N3158" s="5"/>
      <c r="O3158" s="3"/>
      <c r="P3158" s="6"/>
      <c r="Q3158" s="6"/>
    </row>
    <row r="3159" spans="1:17" ht="15" customHeight="1" x14ac:dyDescent="0.25">
      <c r="A3159" s="1"/>
      <c r="B3159" s="17"/>
      <c r="C3159" s="17"/>
      <c r="D3159" s="17"/>
      <c r="E3159" s="17"/>
      <c r="F3159" s="17"/>
      <c r="G3159" s="4">
        <f t="shared" si="113"/>
        <v>0</v>
      </c>
      <c r="H3159" s="17"/>
      <c r="I3159" s="4">
        <f t="shared" si="111"/>
        <v>349526.07999999996</v>
      </c>
      <c r="J3159" s="32" t="str">
        <f t="shared" si="112"/>
        <v/>
      </c>
      <c r="K3159" s="79"/>
      <c r="L3159" s="79"/>
      <c r="M3159" s="2"/>
      <c r="N3159" s="5"/>
      <c r="O3159" s="3"/>
      <c r="P3159" s="6"/>
      <c r="Q3159" s="6"/>
    </row>
    <row r="3160" spans="1:17" ht="15" customHeight="1" x14ac:dyDescent="0.25">
      <c r="A3160" s="1"/>
      <c r="B3160" s="17"/>
      <c r="C3160" s="17"/>
      <c r="D3160" s="17"/>
      <c r="E3160" s="17"/>
      <c r="F3160" s="17"/>
      <c r="G3160" s="4">
        <f t="shared" si="113"/>
        <v>0</v>
      </c>
      <c r="H3160" s="17"/>
      <c r="I3160" s="4">
        <f t="shared" si="111"/>
        <v>349526.07999999996</v>
      </c>
      <c r="J3160" s="32" t="str">
        <f t="shared" si="112"/>
        <v/>
      </c>
      <c r="K3160" s="79"/>
      <c r="L3160" s="79"/>
      <c r="M3160" s="2"/>
      <c r="N3160" s="5"/>
      <c r="O3160" s="3"/>
      <c r="P3160" s="6"/>
      <c r="Q3160" s="6"/>
    </row>
    <row r="3161" spans="1:17" ht="15" customHeight="1" x14ac:dyDescent="0.25">
      <c r="A3161" s="1"/>
      <c r="B3161" s="17"/>
      <c r="C3161" s="17"/>
      <c r="D3161" s="17"/>
      <c r="E3161" s="17"/>
      <c r="F3161" s="17"/>
      <c r="G3161" s="4">
        <f t="shared" si="113"/>
        <v>0</v>
      </c>
      <c r="H3161" s="17"/>
      <c r="I3161" s="4">
        <f t="shared" si="111"/>
        <v>349526.07999999996</v>
      </c>
      <c r="J3161" s="32" t="str">
        <f t="shared" si="112"/>
        <v/>
      </c>
      <c r="K3161" s="79"/>
      <c r="L3161" s="79"/>
      <c r="M3161" s="2"/>
      <c r="N3161" s="5"/>
      <c r="O3161" s="3"/>
      <c r="P3161" s="6"/>
      <c r="Q3161" s="6"/>
    </row>
    <row r="3162" spans="1:17" ht="15" customHeight="1" x14ac:dyDescent="0.25">
      <c r="A3162" s="1"/>
      <c r="B3162" s="17"/>
      <c r="C3162" s="17"/>
      <c r="D3162" s="17"/>
      <c r="E3162" s="17"/>
      <c r="F3162" s="17"/>
      <c r="G3162" s="4">
        <f t="shared" si="113"/>
        <v>0</v>
      </c>
      <c r="H3162" s="17"/>
      <c r="I3162" s="4">
        <f t="shared" si="111"/>
        <v>349526.07999999996</v>
      </c>
      <c r="J3162" s="32" t="str">
        <f t="shared" si="112"/>
        <v/>
      </c>
      <c r="K3162" s="79"/>
      <c r="L3162" s="79"/>
      <c r="M3162" s="2"/>
      <c r="N3162" s="5"/>
      <c r="O3162" s="3"/>
      <c r="P3162" s="6"/>
      <c r="Q3162" s="6"/>
    </row>
    <row r="3163" spans="1:17" ht="15" customHeight="1" x14ac:dyDescent="0.25">
      <c r="A3163" s="1"/>
      <c r="B3163" s="17"/>
      <c r="C3163" s="17"/>
      <c r="D3163" s="17"/>
      <c r="E3163" s="17"/>
      <c r="F3163" s="17"/>
      <c r="G3163" s="4">
        <f t="shared" si="113"/>
        <v>0</v>
      </c>
      <c r="H3163" s="17"/>
      <c r="I3163" s="4">
        <f t="shared" si="111"/>
        <v>349526.07999999996</v>
      </c>
      <c r="J3163" s="32" t="str">
        <f t="shared" si="112"/>
        <v/>
      </c>
      <c r="K3163" s="79"/>
      <c r="L3163" s="79"/>
      <c r="M3163" s="2"/>
      <c r="N3163" s="5"/>
      <c r="O3163" s="3"/>
      <c r="P3163" s="6"/>
      <c r="Q3163" s="6"/>
    </row>
    <row r="3164" spans="1:17" ht="15" customHeight="1" x14ac:dyDescent="0.25">
      <c r="A3164" s="1"/>
      <c r="B3164" s="17"/>
      <c r="C3164" s="17"/>
      <c r="D3164" s="17"/>
      <c r="E3164" s="17"/>
      <c r="F3164" s="17"/>
      <c r="G3164" s="4">
        <f t="shared" si="113"/>
        <v>0</v>
      </c>
      <c r="H3164" s="17"/>
      <c r="I3164" s="4">
        <f t="shared" si="111"/>
        <v>349526.07999999996</v>
      </c>
      <c r="J3164" s="32" t="str">
        <f t="shared" si="112"/>
        <v/>
      </c>
      <c r="K3164" s="79"/>
      <c r="L3164" s="79"/>
      <c r="M3164" s="2"/>
      <c r="N3164" s="5"/>
      <c r="O3164" s="3"/>
      <c r="P3164" s="6"/>
      <c r="Q3164" s="6"/>
    </row>
    <row r="3165" spans="1:17" ht="15" customHeight="1" x14ac:dyDescent="0.25">
      <c r="A3165" s="1"/>
      <c r="B3165" s="17"/>
      <c r="C3165" s="17"/>
      <c r="D3165" s="17"/>
      <c r="E3165" s="17"/>
      <c r="F3165" s="17"/>
      <c r="G3165" s="4">
        <f t="shared" si="113"/>
        <v>0</v>
      </c>
      <c r="H3165" s="17"/>
      <c r="I3165" s="4">
        <f t="shared" si="111"/>
        <v>349526.07999999996</v>
      </c>
      <c r="J3165" s="32" t="str">
        <f t="shared" si="112"/>
        <v/>
      </c>
      <c r="K3165" s="79"/>
      <c r="L3165" s="79"/>
      <c r="M3165" s="2"/>
      <c r="N3165" s="5"/>
      <c r="O3165" s="3"/>
      <c r="P3165" s="6"/>
      <c r="Q3165" s="6"/>
    </row>
    <row r="3166" spans="1:17" ht="15" customHeight="1" x14ac:dyDescent="0.25">
      <c r="A3166" s="1"/>
      <c r="B3166" s="17"/>
      <c r="C3166" s="17"/>
      <c r="D3166" s="17"/>
      <c r="E3166" s="17"/>
      <c r="F3166" s="17"/>
      <c r="G3166" s="4">
        <f t="shared" si="113"/>
        <v>0</v>
      </c>
      <c r="H3166" s="17"/>
      <c r="I3166" s="4">
        <f t="shared" si="111"/>
        <v>349526.07999999996</v>
      </c>
      <c r="J3166" s="32" t="str">
        <f t="shared" si="112"/>
        <v/>
      </c>
      <c r="K3166" s="79"/>
      <c r="L3166" s="79"/>
      <c r="M3166" s="2"/>
      <c r="N3166" s="5"/>
      <c r="O3166" s="3"/>
      <c r="P3166" s="6"/>
      <c r="Q3166" s="6"/>
    </row>
    <row r="3167" spans="1:17" ht="15" customHeight="1" x14ac:dyDescent="0.25">
      <c r="A3167" s="1"/>
      <c r="B3167" s="17"/>
      <c r="C3167" s="17"/>
      <c r="D3167" s="17"/>
      <c r="E3167" s="17"/>
      <c r="F3167" s="17"/>
      <c r="G3167" s="4">
        <f t="shared" si="113"/>
        <v>0</v>
      </c>
      <c r="H3167" s="17"/>
      <c r="I3167" s="4">
        <f t="shared" si="111"/>
        <v>349526.07999999996</v>
      </c>
      <c r="J3167" s="32" t="str">
        <f t="shared" si="112"/>
        <v/>
      </c>
      <c r="K3167" s="79"/>
      <c r="L3167" s="79"/>
      <c r="M3167" s="2"/>
      <c r="N3167" s="5"/>
      <c r="O3167" s="3"/>
      <c r="P3167" s="6"/>
      <c r="Q3167" s="6"/>
    </row>
    <row r="3168" spans="1:17" ht="15" customHeight="1" x14ac:dyDescent="0.25">
      <c r="A3168" s="1"/>
      <c r="B3168" s="17"/>
      <c r="C3168" s="17"/>
      <c r="D3168" s="17"/>
      <c r="E3168" s="17"/>
      <c r="F3168" s="17"/>
      <c r="G3168" s="4">
        <f t="shared" si="113"/>
        <v>0</v>
      </c>
      <c r="H3168" s="17"/>
      <c r="I3168" s="4">
        <f t="shared" si="111"/>
        <v>349526.07999999996</v>
      </c>
      <c r="J3168" s="32" t="str">
        <f t="shared" si="112"/>
        <v/>
      </c>
      <c r="K3168" s="79"/>
      <c r="L3168" s="79"/>
      <c r="M3168" s="2"/>
      <c r="N3168" s="5"/>
      <c r="O3168" s="3"/>
      <c r="P3168" s="6"/>
      <c r="Q3168" s="6"/>
    </row>
    <row r="3169" spans="1:17" ht="15" customHeight="1" x14ac:dyDescent="0.25">
      <c r="A3169" s="1"/>
      <c r="B3169" s="17"/>
      <c r="C3169" s="17"/>
      <c r="D3169" s="17"/>
      <c r="E3169" s="17"/>
      <c r="F3169" s="17"/>
      <c r="G3169" s="4">
        <f t="shared" si="113"/>
        <v>0</v>
      </c>
      <c r="H3169" s="17"/>
      <c r="I3169" s="4">
        <f t="shared" si="111"/>
        <v>349526.07999999996</v>
      </c>
      <c r="J3169" s="32" t="str">
        <f t="shared" si="112"/>
        <v/>
      </c>
      <c r="K3169" s="79"/>
      <c r="L3169" s="79"/>
      <c r="M3169" s="2"/>
      <c r="N3169" s="5"/>
      <c r="O3169" s="3"/>
      <c r="P3169" s="6"/>
      <c r="Q3169" s="6"/>
    </row>
    <row r="3170" spans="1:17" ht="15" customHeight="1" x14ac:dyDescent="0.25">
      <c r="A3170" s="1"/>
      <c r="B3170" s="17"/>
      <c r="C3170" s="17"/>
      <c r="D3170" s="17"/>
      <c r="E3170" s="17"/>
      <c r="F3170" s="17"/>
      <c r="G3170" s="4">
        <f t="shared" si="113"/>
        <v>0</v>
      </c>
      <c r="H3170" s="17"/>
      <c r="I3170" s="4">
        <f t="shared" si="111"/>
        <v>349526.07999999996</v>
      </c>
      <c r="J3170" s="32" t="str">
        <f t="shared" si="112"/>
        <v/>
      </c>
      <c r="K3170" s="79"/>
      <c r="L3170" s="79"/>
      <c r="M3170" s="2"/>
      <c r="N3170" s="5"/>
      <c r="O3170" s="3"/>
      <c r="P3170" s="6"/>
      <c r="Q3170" s="6"/>
    </row>
    <row r="3171" spans="1:17" ht="15" customHeight="1" x14ac:dyDescent="0.25">
      <c r="A3171" s="1"/>
      <c r="B3171" s="17"/>
      <c r="C3171" s="17"/>
      <c r="D3171" s="17"/>
      <c r="E3171" s="17"/>
      <c r="F3171" s="17"/>
      <c r="G3171" s="4">
        <f t="shared" si="113"/>
        <v>0</v>
      </c>
      <c r="H3171" s="17"/>
      <c r="I3171" s="4">
        <f t="shared" si="111"/>
        <v>349526.07999999996</v>
      </c>
      <c r="J3171" s="32" t="str">
        <f t="shared" si="112"/>
        <v/>
      </c>
      <c r="K3171" s="79"/>
      <c r="L3171" s="79"/>
      <c r="M3171" s="2"/>
      <c r="N3171" s="5"/>
      <c r="O3171" s="3"/>
      <c r="P3171" s="6"/>
      <c r="Q3171" s="6"/>
    </row>
    <row r="3172" spans="1:17" ht="15" customHeight="1" x14ac:dyDescent="0.25">
      <c r="A3172" s="1"/>
      <c r="B3172" s="17"/>
      <c r="C3172" s="17"/>
      <c r="D3172" s="17"/>
      <c r="E3172" s="17"/>
      <c r="F3172" s="17"/>
      <c r="G3172" s="4">
        <f t="shared" si="113"/>
        <v>0</v>
      </c>
      <c r="H3172" s="17"/>
      <c r="I3172" s="4">
        <f t="shared" si="111"/>
        <v>349526.07999999996</v>
      </c>
      <c r="J3172" s="32" t="str">
        <f t="shared" si="112"/>
        <v/>
      </c>
      <c r="K3172" s="79"/>
      <c r="L3172" s="79"/>
      <c r="M3172" s="2"/>
      <c r="N3172" s="5"/>
      <c r="O3172" s="3"/>
      <c r="P3172" s="6"/>
      <c r="Q3172" s="6"/>
    </row>
    <row r="3173" spans="1:17" ht="15" customHeight="1" x14ac:dyDescent="0.25">
      <c r="A3173" s="1"/>
      <c r="B3173" s="17"/>
      <c r="C3173" s="17"/>
      <c r="D3173" s="17"/>
      <c r="E3173" s="17"/>
      <c r="F3173" s="17"/>
      <c r="G3173" s="4">
        <f t="shared" si="113"/>
        <v>0</v>
      </c>
      <c r="H3173" s="17"/>
      <c r="I3173" s="4">
        <f t="shared" si="111"/>
        <v>349526.07999999996</v>
      </c>
      <c r="J3173" s="32" t="str">
        <f t="shared" si="112"/>
        <v/>
      </c>
      <c r="K3173" s="79"/>
      <c r="L3173" s="79"/>
      <c r="M3173" s="2"/>
      <c r="N3173" s="5"/>
      <c r="O3173" s="3"/>
      <c r="P3173" s="6"/>
      <c r="Q3173" s="6"/>
    </row>
    <row r="3174" spans="1:17" ht="15" customHeight="1" x14ac:dyDescent="0.25">
      <c r="A3174" s="1"/>
      <c r="B3174" s="17"/>
      <c r="C3174" s="17"/>
      <c r="D3174" s="17"/>
      <c r="E3174" s="17"/>
      <c r="F3174" s="17"/>
      <c r="G3174" s="4">
        <f t="shared" si="113"/>
        <v>0</v>
      </c>
      <c r="H3174" s="17"/>
      <c r="I3174" s="4">
        <f t="shared" si="111"/>
        <v>349526.07999999996</v>
      </c>
      <c r="J3174" s="32" t="str">
        <f t="shared" si="112"/>
        <v/>
      </c>
      <c r="K3174" s="79"/>
      <c r="L3174" s="79"/>
      <c r="M3174" s="2"/>
      <c r="N3174" s="5"/>
      <c r="O3174" s="3"/>
      <c r="P3174" s="6"/>
      <c r="Q3174" s="6"/>
    </row>
    <row r="3175" spans="1:17" ht="15" customHeight="1" x14ac:dyDescent="0.25">
      <c r="A3175" s="1"/>
      <c r="B3175" s="17"/>
      <c r="C3175" s="17"/>
      <c r="D3175" s="17"/>
      <c r="E3175" s="17"/>
      <c r="F3175" s="17"/>
      <c r="G3175" s="4">
        <f t="shared" si="113"/>
        <v>0</v>
      </c>
      <c r="H3175" s="17"/>
      <c r="I3175" s="4">
        <f t="shared" si="111"/>
        <v>349526.07999999996</v>
      </c>
      <c r="J3175" s="32" t="str">
        <f t="shared" si="112"/>
        <v/>
      </c>
      <c r="K3175" s="79"/>
      <c r="L3175" s="79"/>
      <c r="M3175" s="2"/>
      <c r="N3175" s="5"/>
      <c r="O3175" s="3"/>
      <c r="P3175" s="6"/>
      <c r="Q3175" s="6"/>
    </row>
    <row r="3176" spans="1:17" ht="15" customHeight="1" x14ac:dyDescent="0.25">
      <c r="A3176" s="1"/>
      <c r="B3176" s="17"/>
      <c r="C3176" s="17"/>
      <c r="D3176" s="17"/>
      <c r="E3176" s="17"/>
      <c r="F3176" s="17"/>
      <c r="G3176" s="4">
        <f t="shared" si="113"/>
        <v>0</v>
      </c>
      <c r="H3176" s="17"/>
      <c r="I3176" s="4">
        <f t="shared" si="111"/>
        <v>349526.07999999996</v>
      </c>
      <c r="J3176" s="32" t="str">
        <f t="shared" si="112"/>
        <v/>
      </c>
      <c r="K3176" s="79"/>
      <c r="L3176" s="79"/>
      <c r="M3176" s="2"/>
      <c r="N3176" s="5"/>
      <c r="O3176" s="3"/>
      <c r="P3176" s="6"/>
      <c r="Q3176" s="6"/>
    </row>
    <row r="3177" spans="1:17" ht="15" customHeight="1" x14ac:dyDescent="0.25">
      <c r="A3177" s="1"/>
      <c r="B3177" s="17"/>
      <c r="C3177" s="17"/>
      <c r="D3177" s="17"/>
      <c r="E3177" s="17"/>
      <c r="F3177" s="17"/>
      <c r="G3177" s="4">
        <f t="shared" si="113"/>
        <v>0</v>
      </c>
      <c r="H3177" s="17"/>
      <c r="I3177" s="4">
        <f t="shared" si="111"/>
        <v>349526.07999999996</v>
      </c>
      <c r="J3177" s="32" t="str">
        <f t="shared" si="112"/>
        <v/>
      </c>
      <c r="K3177" s="79"/>
      <c r="L3177" s="79"/>
      <c r="M3177" s="2"/>
      <c r="N3177" s="5"/>
      <c r="O3177" s="3"/>
      <c r="P3177" s="6"/>
      <c r="Q3177" s="6"/>
    </row>
    <row r="3178" spans="1:17" ht="15" customHeight="1" x14ac:dyDescent="0.25">
      <c r="A3178" s="1"/>
      <c r="B3178" s="17"/>
      <c r="C3178" s="17"/>
      <c r="D3178" s="17"/>
      <c r="E3178" s="17"/>
      <c r="F3178" s="17"/>
      <c r="G3178" s="4">
        <f t="shared" si="113"/>
        <v>0</v>
      </c>
      <c r="H3178" s="17"/>
      <c r="I3178" s="4">
        <f t="shared" si="111"/>
        <v>349526.07999999996</v>
      </c>
      <c r="J3178" s="32" t="str">
        <f t="shared" si="112"/>
        <v/>
      </c>
      <c r="K3178" s="79"/>
      <c r="L3178" s="79"/>
      <c r="M3178" s="2"/>
      <c r="N3178" s="5"/>
      <c r="O3178" s="3"/>
      <c r="P3178" s="6"/>
      <c r="Q3178" s="6"/>
    </row>
    <row r="3179" spans="1:17" ht="15" customHeight="1" x14ac:dyDescent="0.25">
      <c r="A3179" s="1"/>
      <c r="B3179" s="17"/>
      <c r="C3179" s="17"/>
      <c r="D3179" s="17"/>
      <c r="E3179" s="17"/>
      <c r="F3179" s="17"/>
      <c r="G3179" s="4">
        <f t="shared" si="113"/>
        <v>0</v>
      </c>
      <c r="H3179" s="17"/>
      <c r="I3179" s="4">
        <f t="shared" si="111"/>
        <v>349526.07999999996</v>
      </c>
      <c r="J3179" s="32" t="str">
        <f t="shared" si="112"/>
        <v/>
      </c>
      <c r="K3179" s="79"/>
      <c r="L3179" s="79"/>
      <c r="M3179" s="2"/>
      <c r="N3179" s="5"/>
      <c r="O3179" s="3"/>
      <c r="P3179" s="6"/>
      <c r="Q3179" s="6"/>
    </row>
    <row r="3180" spans="1:17" ht="15" customHeight="1" x14ac:dyDescent="0.25">
      <c r="A3180" s="1"/>
      <c r="B3180" s="17"/>
      <c r="C3180" s="17"/>
      <c r="D3180" s="17"/>
      <c r="E3180" s="17"/>
      <c r="F3180" s="17"/>
      <c r="G3180" s="4">
        <f t="shared" si="113"/>
        <v>0</v>
      </c>
      <c r="H3180" s="17"/>
      <c r="I3180" s="4">
        <f t="shared" si="111"/>
        <v>349526.07999999996</v>
      </c>
      <c r="J3180" s="32" t="str">
        <f t="shared" si="112"/>
        <v/>
      </c>
      <c r="K3180" s="79"/>
      <c r="L3180" s="79"/>
      <c r="M3180" s="2"/>
      <c r="N3180" s="5"/>
      <c r="O3180" s="3"/>
      <c r="P3180" s="6"/>
      <c r="Q3180" s="6"/>
    </row>
    <row r="3181" spans="1:17" ht="15" customHeight="1" x14ac:dyDescent="0.25">
      <c r="A3181" s="1"/>
      <c r="B3181" s="17"/>
      <c r="C3181" s="17"/>
      <c r="D3181" s="17"/>
      <c r="E3181" s="17"/>
      <c r="F3181" s="17"/>
      <c r="G3181" s="4">
        <f t="shared" si="113"/>
        <v>0</v>
      </c>
      <c r="H3181" s="17"/>
      <c r="I3181" s="4">
        <f t="shared" si="111"/>
        <v>349526.07999999996</v>
      </c>
      <c r="J3181" s="32" t="str">
        <f t="shared" si="112"/>
        <v/>
      </c>
      <c r="K3181" s="79"/>
      <c r="L3181" s="79"/>
      <c r="M3181" s="2"/>
      <c r="N3181" s="5"/>
      <c r="O3181" s="3"/>
      <c r="P3181" s="6"/>
      <c r="Q3181" s="6"/>
    </row>
    <row r="3182" spans="1:17" ht="15" customHeight="1" x14ac:dyDescent="0.25">
      <c r="A3182" s="1"/>
      <c r="B3182" s="17"/>
      <c r="C3182" s="17"/>
      <c r="D3182" s="17"/>
      <c r="E3182" s="17"/>
      <c r="F3182" s="17"/>
      <c r="G3182" s="4">
        <f t="shared" si="113"/>
        <v>0</v>
      </c>
      <c r="H3182" s="17"/>
      <c r="I3182" s="4">
        <f t="shared" si="111"/>
        <v>349526.07999999996</v>
      </c>
      <c r="J3182" s="32" t="str">
        <f t="shared" si="112"/>
        <v/>
      </c>
      <c r="K3182" s="79"/>
      <c r="L3182" s="79"/>
      <c r="M3182" s="2"/>
      <c r="N3182" s="5"/>
      <c r="O3182" s="3"/>
      <c r="P3182" s="6"/>
      <c r="Q3182" s="6"/>
    </row>
    <row r="3183" spans="1:17" ht="15" customHeight="1" x14ac:dyDescent="0.25">
      <c r="A3183" s="1"/>
      <c r="B3183" s="17"/>
      <c r="C3183" s="17"/>
      <c r="D3183" s="17"/>
      <c r="E3183" s="17"/>
      <c r="F3183" s="17"/>
      <c r="G3183" s="4">
        <f t="shared" si="113"/>
        <v>0</v>
      </c>
      <c r="H3183" s="17"/>
      <c r="I3183" s="4">
        <f t="shared" si="111"/>
        <v>349526.07999999996</v>
      </c>
      <c r="J3183" s="32" t="str">
        <f t="shared" si="112"/>
        <v/>
      </c>
      <c r="K3183" s="79"/>
      <c r="L3183" s="79"/>
      <c r="M3183" s="2"/>
      <c r="N3183" s="5"/>
      <c r="O3183" s="3"/>
      <c r="P3183" s="6"/>
      <c r="Q3183" s="6"/>
    </row>
    <row r="3184" spans="1:17" ht="15" customHeight="1" x14ac:dyDescent="0.25">
      <c r="A3184" s="1"/>
      <c r="B3184" s="17"/>
      <c r="C3184" s="17"/>
      <c r="D3184" s="17"/>
      <c r="E3184" s="17"/>
      <c r="F3184" s="17"/>
      <c r="G3184" s="4">
        <f t="shared" si="113"/>
        <v>0</v>
      </c>
      <c r="H3184" s="17"/>
      <c r="I3184" s="4">
        <f t="shared" si="111"/>
        <v>349526.07999999996</v>
      </c>
      <c r="J3184" s="32" t="str">
        <f t="shared" si="112"/>
        <v/>
      </c>
      <c r="K3184" s="79"/>
      <c r="L3184" s="79"/>
      <c r="M3184" s="2"/>
      <c r="N3184" s="5"/>
      <c r="O3184" s="3"/>
      <c r="P3184" s="6"/>
      <c r="Q3184" s="6"/>
    </row>
    <row r="3185" spans="1:17" ht="15" customHeight="1" x14ac:dyDescent="0.25">
      <c r="A3185" s="1"/>
      <c r="B3185" s="17"/>
      <c r="C3185" s="17"/>
      <c r="D3185" s="17"/>
      <c r="E3185" s="17"/>
      <c r="F3185" s="17"/>
      <c r="G3185" s="4">
        <f t="shared" si="113"/>
        <v>0</v>
      </c>
      <c r="H3185" s="17"/>
      <c r="I3185" s="4">
        <f t="shared" si="111"/>
        <v>349526.07999999996</v>
      </c>
      <c r="J3185" s="32" t="str">
        <f t="shared" si="112"/>
        <v/>
      </c>
      <c r="K3185" s="79"/>
      <c r="L3185" s="79"/>
      <c r="M3185" s="2"/>
      <c r="N3185" s="5"/>
      <c r="O3185" s="3"/>
      <c r="P3185" s="6"/>
      <c r="Q3185" s="6"/>
    </row>
    <row r="3186" spans="1:17" ht="15" customHeight="1" x14ac:dyDescent="0.25">
      <c r="A3186" s="1"/>
      <c r="B3186" s="17"/>
      <c r="C3186" s="17"/>
      <c r="D3186" s="17"/>
      <c r="E3186" s="17"/>
      <c r="F3186" s="17"/>
      <c r="G3186" s="4">
        <f t="shared" si="113"/>
        <v>0</v>
      </c>
      <c r="H3186" s="17"/>
      <c r="I3186" s="4">
        <f t="shared" si="111"/>
        <v>349526.07999999996</v>
      </c>
      <c r="J3186" s="32" t="str">
        <f t="shared" si="112"/>
        <v/>
      </c>
      <c r="K3186" s="79"/>
      <c r="L3186" s="79"/>
      <c r="M3186" s="2"/>
      <c r="N3186" s="5"/>
      <c r="O3186" s="3"/>
      <c r="P3186" s="6"/>
      <c r="Q3186" s="6"/>
    </row>
    <row r="3187" spans="1:17" ht="15" customHeight="1" x14ac:dyDescent="0.25">
      <c r="A3187" s="1"/>
      <c r="B3187" s="17"/>
      <c r="C3187" s="17"/>
      <c r="D3187" s="17"/>
      <c r="E3187" s="17"/>
      <c r="F3187" s="17"/>
      <c r="G3187" s="4">
        <f t="shared" si="113"/>
        <v>0</v>
      </c>
      <c r="H3187" s="17"/>
      <c r="I3187" s="4">
        <f t="shared" si="111"/>
        <v>349526.07999999996</v>
      </c>
      <c r="J3187" s="32" t="str">
        <f t="shared" si="112"/>
        <v/>
      </c>
      <c r="K3187" s="79"/>
      <c r="L3187" s="79"/>
      <c r="M3187" s="2"/>
      <c r="N3187" s="5"/>
      <c r="O3187" s="3"/>
      <c r="P3187" s="6"/>
      <c r="Q3187" s="6"/>
    </row>
    <row r="3188" spans="1:17" ht="15" customHeight="1" x14ac:dyDescent="0.25">
      <c r="A3188" s="1"/>
      <c r="B3188" s="17"/>
      <c r="C3188" s="17"/>
      <c r="D3188" s="17"/>
      <c r="E3188" s="17"/>
      <c r="F3188" s="17"/>
      <c r="G3188" s="4">
        <f t="shared" si="113"/>
        <v>0</v>
      </c>
      <c r="H3188" s="17"/>
      <c r="I3188" s="4">
        <f t="shared" si="111"/>
        <v>349526.07999999996</v>
      </c>
      <c r="J3188" s="32" t="str">
        <f t="shared" si="112"/>
        <v/>
      </c>
      <c r="K3188" s="79"/>
      <c r="L3188" s="79"/>
      <c r="M3188" s="2"/>
      <c r="N3188" s="5"/>
      <c r="O3188" s="3"/>
      <c r="P3188" s="6"/>
      <c r="Q3188" s="6"/>
    </row>
    <row r="3189" spans="1:17" ht="15" customHeight="1" x14ac:dyDescent="0.25">
      <c r="A3189" s="1"/>
      <c r="B3189" s="17"/>
      <c r="C3189" s="17"/>
      <c r="D3189" s="17"/>
      <c r="E3189" s="17"/>
      <c r="F3189" s="17"/>
      <c r="G3189" s="4">
        <f t="shared" si="113"/>
        <v>0</v>
      </c>
      <c r="H3189" s="17"/>
      <c r="I3189" s="4">
        <f t="shared" si="111"/>
        <v>349526.07999999996</v>
      </c>
      <c r="J3189" s="32" t="str">
        <f t="shared" si="112"/>
        <v/>
      </c>
      <c r="K3189" s="79"/>
      <c r="L3189" s="79"/>
      <c r="M3189" s="2"/>
      <c r="N3189" s="5"/>
      <c r="O3189" s="3"/>
      <c r="P3189" s="6"/>
      <c r="Q3189" s="6"/>
    </row>
    <row r="3190" spans="1:17" ht="15" customHeight="1" x14ac:dyDescent="0.25">
      <c r="A3190" s="1"/>
      <c r="B3190" s="17"/>
      <c r="C3190" s="17"/>
      <c r="D3190" s="17"/>
      <c r="E3190" s="17"/>
      <c r="F3190" s="17"/>
      <c r="G3190" s="4">
        <f t="shared" si="113"/>
        <v>0</v>
      </c>
      <c r="H3190" s="17"/>
      <c r="I3190" s="4">
        <f t="shared" ref="I3190:I3253" si="114">$I3189+$G3190-$H3190</f>
        <v>349526.07999999996</v>
      </c>
      <c r="J3190" s="32" t="str">
        <f t="shared" ref="J3190:J3253" si="115">IF($A3191&lt;&gt;$A3190,$I3190,"")</f>
        <v/>
      </c>
      <c r="K3190" s="79"/>
      <c r="L3190" s="79"/>
      <c r="M3190" s="2"/>
      <c r="N3190" s="5"/>
      <c r="O3190" s="3"/>
      <c r="P3190" s="6"/>
      <c r="Q3190" s="6"/>
    </row>
    <row r="3191" spans="1:17" ht="15" customHeight="1" x14ac:dyDescent="0.25">
      <c r="A3191" s="1"/>
      <c r="B3191" s="17"/>
      <c r="C3191" s="17"/>
      <c r="D3191" s="17"/>
      <c r="E3191" s="17"/>
      <c r="F3191" s="17"/>
      <c r="G3191" s="4">
        <f t="shared" si="113"/>
        <v>0</v>
      </c>
      <c r="H3191" s="17"/>
      <c r="I3191" s="4">
        <f t="shared" si="114"/>
        <v>349526.07999999996</v>
      </c>
      <c r="J3191" s="32" t="str">
        <f t="shared" si="115"/>
        <v/>
      </c>
      <c r="K3191" s="79"/>
      <c r="L3191" s="79"/>
      <c r="M3191" s="2"/>
      <c r="N3191" s="5"/>
      <c r="O3191" s="3"/>
      <c r="P3191" s="6"/>
      <c r="Q3191" s="6"/>
    </row>
    <row r="3192" spans="1:17" ht="15" customHeight="1" x14ac:dyDescent="0.25">
      <c r="A3192" s="1"/>
      <c r="B3192" s="17"/>
      <c r="C3192" s="17"/>
      <c r="D3192" s="17"/>
      <c r="E3192" s="17"/>
      <c r="F3192" s="17"/>
      <c r="G3192" s="4">
        <f t="shared" si="113"/>
        <v>0</v>
      </c>
      <c r="H3192" s="17"/>
      <c r="I3192" s="4">
        <f t="shared" si="114"/>
        <v>349526.07999999996</v>
      </c>
      <c r="J3192" s="32" t="str">
        <f t="shared" si="115"/>
        <v/>
      </c>
      <c r="K3192" s="79"/>
      <c r="L3192" s="79"/>
      <c r="M3192" s="2"/>
      <c r="N3192" s="5"/>
      <c r="O3192" s="3"/>
      <c r="P3192" s="6"/>
      <c r="Q3192" s="6"/>
    </row>
    <row r="3193" spans="1:17" ht="15" customHeight="1" x14ac:dyDescent="0.25">
      <c r="A3193" s="1"/>
      <c r="B3193" s="17"/>
      <c r="C3193" s="17"/>
      <c r="D3193" s="17"/>
      <c r="E3193" s="17"/>
      <c r="F3193" s="17"/>
      <c r="G3193" s="4">
        <f t="shared" si="113"/>
        <v>0</v>
      </c>
      <c r="H3193" s="17"/>
      <c r="I3193" s="4">
        <f t="shared" si="114"/>
        <v>349526.07999999996</v>
      </c>
      <c r="J3193" s="32" t="str">
        <f t="shared" si="115"/>
        <v/>
      </c>
      <c r="K3193" s="79"/>
      <c r="L3193" s="79"/>
      <c r="M3193" s="2"/>
      <c r="N3193" s="5"/>
      <c r="O3193" s="3"/>
      <c r="P3193" s="6"/>
      <c r="Q3193" s="6"/>
    </row>
    <row r="3194" spans="1:17" ht="15" customHeight="1" x14ac:dyDescent="0.25">
      <c r="A3194" s="1"/>
      <c r="B3194" s="17"/>
      <c r="C3194" s="17"/>
      <c r="D3194" s="17"/>
      <c r="E3194" s="17"/>
      <c r="F3194" s="17"/>
      <c r="G3194" s="4">
        <f t="shared" si="113"/>
        <v>0</v>
      </c>
      <c r="H3194" s="17"/>
      <c r="I3194" s="4">
        <f t="shared" si="114"/>
        <v>349526.07999999996</v>
      </c>
      <c r="J3194" s="32" t="str">
        <f t="shared" si="115"/>
        <v/>
      </c>
      <c r="K3194" s="79"/>
      <c r="L3194" s="79"/>
      <c r="M3194" s="2"/>
      <c r="N3194" s="5"/>
      <c r="O3194" s="3"/>
      <c r="P3194" s="6"/>
      <c r="Q3194" s="6"/>
    </row>
    <row r="3195" spans="1:17" ht="15" customHeight="1" x14ac:dyDescent="0.25">
      <c r="A3195" s="1"/>
      <c r="B3195" s="17"/>
      <c r="C3195" s="17"/>
      <c r="D3195" s="17"/>
      <c r="E3195" s="17"/>
      <c r="F3195" s="17"/>
      <c r="G3195" s="4">
        <f t="shared" si="113"/>
        <v>0</v>
      </c>
      <c r="H3195" s="17"/>
      <c r="I3195" s="4">
        <f t="shared" si="114"/>
        <v>349526.07999999996</v>
      </c>
      <c r="J3195" s="32" t="str">
        <f t="shared" si="115"/>
        <v/>
      </c>
      <c r="K3195" s="79"/>
      <c r="L3195" s="79"/>
      <c r="M3195" s="2"/>
      <c r="N3195" s="5"/>
      <c r="O3195" s="3"/>
      <c r="P3195" s="6"/>
      <c r="Q3195" s="6"/>
    </row>
    <row r="3196" spans="1:17" ht="15" customHeight="1" x14ac:dyDescent="0.25">
      <c r="A3196" s="1"/>
      <c r="B3196" s="17"/>
      <c r="C3196" s="17"/>
      <c r="D3196" s="17"/>
      <c r="E3196" s="17"/>
      <c r="F3196" s="17"/>
      <c r="G3196" s="4">
        <f t="shared" si="113"/>
        <v>0</v>
      </c>
      <c r="H3196" s="17"/>
      <c r="I3196" s="4">
        <f t="shared" si="114"/>
        <v>349526.07999999996</v>
      </c>
      <c r="J3196" s="32" t="str">
        <f t="shared" si="115"/>
        <v/>
      </c>
      <c r="K3196" s="79"/>
      <c r="L3196" s="79"/>
      <c r="M3196" s="2"/>
      <c r="N3196" s="5"/>
      <c r="O3196" s="3"/>
      <c r="P3196" s="6"/>
      <c r="Q3196" s="6"/>
    </row>
    <row r="3197" spans="1:17" ht="15" customHeight="1" x14ac:dyDescent="0.25">
      <c r="A3197" s="1"/>
      <c r="B3197" s="17"/>
      <c r="C3197" s="17"/>
      <c r="D3197" s="17"/>
      <c r="E3197" s="17"/>
      <c r="F3197" s="17"/>
      <c r="G3197" s="4">
        <f t="shared" si="113"/>
        <v>0</v>
      </c>
      <c r="H3197" s="17"/>
      <c r="I3197" s="4">
        <f t="shared" si="114"/>
        <v>349526.07999999996</v>
      </c>
      <c r="J3197" s="32" t="str">
        <f t="shared" si="115"/>
        <v/>
      </c>
      <c r="K3197" s="79"/>
      <c r="L3197" s="79"/>
      <c r="M3197" s="2"/>
      <c r="N3197" s="5"/>
      <c r="O3197" s="3"/>
      <c r="P3197" s="6"/>
      <c r="Q3197" s="6"/>
    </row>
    <row r="3198" spans="1:17" ht="15" customHeight="1" x14ac:dyDescent="0.25">
      <c r="A3198" s="1"/>
      <c r="B3198" s="17"/>
      <c r="C3198" s="17"/>
      <c r="D3198" s="17"/>
      <c r="E3198" s="17"/>
      <c r="F3198" s="17"/>
      <c r="G3198" s="4">
        <f t="shared" si="113"/>
        <v>0</v>
      </c>
      <c r="H3198" s="17"/>
      <c r="I3198" s="4">
        <f t="shared" si="114"/>
        <v>349526.07999999996</v>
      </c>
      <c r="J3198" s="32" t="str">
        <f t="shared" si="115"/>
        <v/>
      </c>
      <c r="K3198" s="79"/>
      <c r="L3198" s="79"/>
      <c r="M3198" s="2"/>
      <c r="N3198" s="5"/>
      <c r="O3198" s="3"/>
      <c r="P3198" s="6"/>
      <c r="Q3198" s="6"/>
    </row>
    <row r="3199" spans="1:17" ht="15" customHeight="1" x14ac:dyDescent="0.25">
      <c r="A3199" s="1"/>
      <c r="B3199" s="17"/>
      <c r="C3199" s="17"/>
      <c r="D3199" s="17"/>
      <c r="E3199" s="17"/>
      <c r="F3199" s="17"/>
      <c r="G3199" s="4">
        <f t="shared" si="113"/>
        <v>0</v>
      </c>
      <c r="H3199" s="17"/>
      <c r="I3199" s="4">
        <f t="shared" si="114"/>
        <v>349526.07999999996</v>
      </c>
      <c r="J3199" s="32" t="str">
        <f t="shared" si="115"/>
        <v/>
      </c>
      <c r="K3199" s="79"/>
      <c r="L3199" s="79"/>
      <c r="M3199" s="2"/>
      <c r="N3199" s="5"/>
      <c r="O3199" s="3"/>
      <c r="P3199" s="6"/>
      <c r="Q3199" s="6"/>
    </row>
    <row r="3200" spans="1:17" ht="15" customHeight="1" x14ac:dyDescent="0.25">
      <c r="A3200" s="1"/>
      <c r="B3200" s="17"/>
      <c r="C3200" s="17"/>
      <c r="D3200" s="17"/>
      <c r="E3200" s="17"/>
      <c r="F3200" s="17"/>
      <c r="G3200" s="4">
        <f t="shared" si="113"/>
        <v>0</v>
      </c>
      <c r="H3200" s="17"/>
      <c r="I3200" s="4">
        <f t="shared" si="114"/>
        <v>349526.07999999996</v>
      </c>
      <c r="J3200" s="32" t="str">
        <f t="shared" si="115"/>
        <v/>
      </c>
      <c r="K3200" s="79"/>
      <c r="L3200" s="79"/>
      <c r="M3200" s="2"/>
      <c r="N3200" s="5"/>
      <c r="O3200" s="3"/>
      <c r="P3200" s="6"/>
      <c r="Q3200" s="6"/>
    </row>
    <row r="3201" spans="1:17" ht="15" customHeight="1" x14ac:dyDescent="0.25">
      <c r="A3201" s="1"/>
      <c r="B3201" s="17"/>
      <c r="C3201" s="17"/>
      <c r="D3201" s="17"/>
      <c r="E3201" s="17"/>
      <c r="F3201" s="17"/>
      <c r="G3201" s="4">
        <f t="shared" si="113"/>
        <v>0</v>
      </c>
      <c r="H3201" s="17"/>
      <c r="I3201" s="4">
        <f t="shared" si="114"/>
        <v>349526.07999999996</v>
      </c>
      <c r="J3201" s="32" t="str">
        <f t="shared" si="115"/>
        <v/>
      </c>
      <c r="K3201" s="79"/>
      <c r="L3201" s="79"/>
      <c r="M3201" s="2"/>
      <c r="N3201" s="5"/>
      <c r="O3201" s="3"/>
      <c r="P3201" s="6"/>
      <c r="Q3201" s="6"/>
    </row>
    <row r="3202" spans="1:17" ht="15" customHeight="1" x14ac:dyDescent="0.25">
      <c r="A3202" s="1"/>
      <c r="B3202" s="17"/>
      <c r="C3202" s="17"/>
      <c r="D3202" s="17"/>
      <c r="E3202" s="17"/>
      <c r="F3202" s="17"/>
      <c r="G3202" s="4">
        <f t="shared" si="113"/>
        <v>0</v>
      </c>
      <c r="H3202" s="17"/>
      <c r="I3202" s="4">
        <f t="shared" si="114"/>
        <v>349526.07999999996</v>
      </c>
      <c r="J3202" s="32" t="str">
        <f t="shared" si="115"/>
        <v/>
      </c>
      <c r="K3202" s="79"/>
      <c r="L3202" s="79"/>
      <c r="M3202" s="2"/>
      <c r="N3202" s="5"/>
      <c r="O3202" s="3"/>
      <c r="P3202" s="6"/>
      <c r="Q3202" s="6"/>
    </row>
    <row r="3203" spans="1:17" ht="15" customHeight="1" x14ac:dyDescent="0.25">
      <c r="A3203" s="1"/>
      <c r="B3203" s="17"/>
      <c r="C3203" s="17"/>
      <c r="D3203" s="17"/>
      <c r="E3203" s="17"/>
      <c r="F3203" s="17"/>
      <c r="G3203" s="4">
        <f t="shared" ref="G3203:G3266" si="116">SUM($B3203:$F3203)</f>
        <v>0</v>
      </c>
      <c r="H3203" s="17"/>
      <c r="I3203" s="4">
        <f t="shared" si="114"/>
        <v>349526.07999999996</v>
      </c>
      <c r="J3203" s="32" t="str">
        <f t="shared" si="115"/>
        <v/>
      </c>
      <c r="K3203" s="79"/>
      <c r="L3203" s="79"/>
      <c r="M3203" s="2"/>
      <c r="N3203" s="5"/>
      <c r="O3203" s="3"/>
      <c r="P3203" s="6"/>
      <c r="Q3203" s="6"/>
    </row>
    <row r="3204" spans="1:17" ht="15" customHeight="1" x14ac:dyDescent="0.25">
      <c r="A3204" s="1"/>
      <c r="B3204" s="17"/>
      <c r="C3204" s="17"/>
      <c r="D3204" s="17"/>
      <c r="E3204" s="17"/>
      <c r="F3204" s="17"/>
      <c r="G3204" s="4">
        <f t="shared" si="116"/>
        <v>0</v>
      </c>
      <c r="H3204" s="17"/>
      <c r="I3204" s="4">
        <f t="shared" si="114"/>
        <v>349526.07999999996</v>
      </c>
      <c r="J3204" s="32" t="str">
        <f t="shared" si="115"/>
        <v/>
      </c>
      <c r="K3204" s="79"/>
      <c r="L3204" s="79"/>
      <c r="M3204" s="2"/>
      <c r="N3204" s="5"/>
      <c r="O3204" s="3"/>
      <c r="P3204" s="6"/>
      <c r="Q3204" s="6"/>
    </row>
    <row r="3205" spans="1:17" ht="15" customHeight="1" x14ac:dyDescent="0.25">
      <c r="A3205" s="1"/>
      <c r="B3205" s="17"/>
      <c r="C3205" s="17"/>
      <c r="D3205" s="17"/>
      <c r="E3205" s="17"/>
      <c r="F3205" s="17"/>
      <c r="G3205" s="4">
        <f t="shared" si="116"/>
        <v>0</v>
      </c>
      <c r="H3205" s="17"/>
      <c r="I3205" s="4">
        <f t="shared" si="114"/>
        <v>349526.07999999996</v>
      </c>
      <c r="J3205" s="32" t="str">
        <f t="shared" si="115"/>
        <v/>
      </c>
      <c r="K3205" s="79"/>
      <c r="L3205" s="79"/>
      <c r="M3205" s="2"/>
      <c r="N3205" s="5"/>
      <c r="O3205" s="3"/>
      <c r="P3205" s="6"/>
      <c r="Q3205" s="6"/>
    </row>
    <row r="3206" spans="1:17" ht="15" customHeight="1" x14ac:dyDescent="0.25">
      <c r="A3206" s="1"/>
      <c r="B3206" s="17"/>
      <c r="C3206" s="17"/>
      <c r="D3206" s="17"/>
      <c r="E3206" s="17"/>
      <c r="F3206" s="17"/>
      <c r="G3206" s="4">
        <f t="shared" si="116"/>
        <v>0</v>
      </c>
      <c r="H3206" s="17"/>
      <c r="I3206" s="4">
        <f t="shared" si="114"/>
        <v>349526.07999999996</v>
      </c>
      <c r="J3206" s="32" t="str">
        <f t="shared" si="115"/>
        <v/>
      </c>
      <c r="K3206" s="79"/>
      <c r="L3206" s="79"/>
      <c r="M3206" s="2"/>
      <c r="N3206" s="5"/>
      <c r="O3206" s="3"/>
      <c r="P3206" s="6"/>
      <c r="Q3206" s="6"/>
    </row>
    <row r="3207" spans="1:17" ht="15" customHeight="1" x14ac:dyDescent="0.25">
      <c r="A3207" s="1"/>
      <c r="B3207" s="17"/>
      <c r="C3207" s="17"/>
      <c r="D3207" s="17"/>
      <c r="E3207" s="17"/>
      <c r="F3207" s="17"/>
      <c r="G3207" s="4">
        <f t="shared" si="116"/>
        <v>0</v>
      </c>
      <c r="H3207" s="17"/>
      <c r="I3207" s="4">
        <f t="shared" si="114"/>
        <v>349526.07999999996</v>
      </c>
      <c r="J3207" s="32" t="str">
        <f t="shared" si="115"/>
        <v/>
      </c>
      <c r="K3207" s="79"/>
      <c r="L3207" s="79"/>
      <c r="M3207" s="2"/>
      <c r="N3207" s="5"/>
      <c r="O3207" s="3"/>
      <c r="P3207" s="6"/>
      <c r="Q3207" s="6"/>
    </row>
    <row r="3208" spans="1:17" ht="15" customHeight="1" x14ac:dyDescent="0.25">
      <c r="A3208" s="1"/>
      <c r="B3208" s="17"/>
      <c r="C3208" s="17"/>
      <c r="D3208" s="17"/>
      <c r="E3208" s="17"/>
      <c r="F3208" s="17"/>
      <c r="G3208" s="4">
        <f t="shared" si="116"/>
        <v>0</v>
      </c>
      <c r="H3208" s="17"/>
      <c r="I3208" s="4">
        <f t="shared" si="114"/>
        <v>349526.07999999996</v>
      </c>
      <c r="J3208" s="32" t="str">
        <f t="shared" si="115"/>
        <v/>
      </c>
      <c r="K3208" s="79"/>
      <c r="L3208" s="79"/>
      <c r="M3208" s="2"/>
      <c r="N3208" s="5"/>
      <c r="O3208" s="3"/>
      <c r="P3208" s="6"/>
      <c r="Q3208" s="6"/>
    </row>
    <row r="3209" spans="1:17" ht="15" customHeight="1" x14ac:dyDescent="0.25">
      <c r="A3209" s="1"/>
      <c r="B3209" s="17"/>
      <c r="C3209" s="17"/>
      <c r="D3209" s="17"/>
      <c r="E3209" s="17"/>
      <c r="F3209" s="17"/>
      <c r="G3209" s="4">
        <f t="shared" si="116"/>
        <v>0</v>
      </c>
      <c r="H3209" s="17"/>
      <c r="I3209" s="4">
        <f t="shared" si="114"/>
        <v>349526.07999999996</v>
      </c>
      <c r="J3209" s="32" t="str">
        <f t="shared" si="115"/>
        <v/>
      </c>
      <c r="K3209" s="79"/>
      <c r="L3209" s="79"/>
      <c r="M3209" s="2"/>
      <c r="N3209" s="5"/>
      <c r="O3209" s="3"/>
      <c r="P3209" s="6"/>
      <c r="Q3209" s="6"/>
    </row>
    <row r="3210" spans="1:17" ht="15" customHeight="1" x14ac:dyDescent="0.25">
      <c r="A3210" s="1"/>
      <c r="B3210" s="17"/>
      <c r="C3210" s="17"/>
      <c r="D3210" s="17"/>
      <c r="E3210" s="17"/>
      <c r="F3210" s="17"/>
      <c r="G3210" s="4">
        <f t="shared" si="116"/>
        <v>0</v>
      </c>
      <c r="H3210" s="17"/>
      <c r="I3210" s="4">
        <f t="shared" si="114"/>
        <v>349526.07999999996</v>
      </c>
      <c r="J3210" s="32" t="str">
        <f t="shared" si="115"/>
        <v/>
      </c>
      <c r="K3210" s="79"/>
      <c r="L3210" s="79"/>
      <c r="M3210" s="2"/>
      <c r="N3210" s="5"/>
      <c r="O3210" s="3"/>
      <c r="P3210" s="6"/>
      <c r="Q3210" s="6"/>
    </row>
    <row r="3211" spans="1:17" ht="15" customHeight="1" x14ac:dyDescent="0.25">
      <c r="A3211" s="1"/>
      <c r="B3211" s="17"/>
      <c r="C3211" s="17"/>
      <c r="D3211" s="17"/>
      <c r="E3211" s="17"/>
      <c r="F3211" s="17"/>
      <c r="G3211" s="4">
        <f t="shared" si="116"/>
        <v>0</v>
      </c>
      <c r="H3211" s="17"/>
      <c r="I3211" s="4">
        <f t="shared" si="114"/>
        <v>349526.07999999996</v>
      </c>
      <c r="J3211" s="32" t="str">
        <f t="shared" si="115"/>
        <v/>
      </c>
      <c r="K3211" s="79"/>
      <c r="L3211" s="79"/>
      <c r="M3211" s="2"/>
      <c r="N3211" s="5"/>
      <c r="O3211" s="3"/>
      <c r="P3211" s="6"/>
      <c r="Q3211" s="6"/>
    </row>
    <row r="3212" spans="1:17" ht="15" customHeight="1" x14ac:dyDescent="0.25">
      <c r="A3212" s="1"/>
      <c r="B3212" s="17"/>
      <c r="C3212" s="17"/>
      <c r="D3212" s="17"/>
      <c r="E3212" s="17"/>
      <c r="F3212" s="17"/>
      <c r="G3212" s="4">
        <f t="shared" si="116"/>
        <v>0</v>
      </c>
      <c r="H3212" s="17"/>
      <c r="I3212" s="4">
        <f t="shared" si="114"/>
        <v>349526.07999999996</v>
      </c>
      <c r="J3212" s="32" t="str">
        <f t="shared" si="115"/>
        <v/>
      </c>
      <c r="K3212" s="79"/>
      <c r="L3212" s="79"/>
      <c r="M3212" s="2"/>
      <c r="N3212" s="5"/>
      <c r="O3212" s="3"/>
      <c r="P3212" s="6"/>
      <c r="Q3212" s="6"/>
    </row>
    <row r="3213" spans="1:17" ht="15" customHeight="1" x14ac:dyDescent="0.25">
      <c r="A3213" s="1"/>
      <c r="B3213" s="17"/>
      <c r="C3213" s="17"/>
      <c r="D3213" s="17"/>
      <c r="E3213" s="17"/>
      <c r="F3213" s="17"/>
      <c r="G3213" s="4">
        <f t="shared" si="116"/>
        <v>0</v>
      </c>
      <c r="H3213" s="17"/>
      <c r="I3213" s="4">
        <f t="shared" si="114"/>
        <v>349526.07999999996</v>
      </c>
      <c r="J3213" s="32" t="str">
        <f t="shared" si="115"/>
        <v/>
      </c>
      <c r="K3213" s="79"/>
      <c r="L3213" s="79"/>
      <c r="M3213" s="2"/>
      <c r="N3213" s="5"/>
      <c r="O3213" s="3"/>
      <c r="P3213" s="6"/>
      <c r="Q3213" s="6"/>
    </row>
    <row r="3214" spans="1:17" ht="15" customHeight="1" x14ac:dyDescent="0.25">
      <c r="A3214" s="1"/>
      <c r="B3214" s="17"/>
      <c r="C3214" s="17"/>
      <c r="D3214" s="17"/>
      <c r="E3214" s="17"/>
      <c r="F3214" s="17"/>
      <c r="G3214" s="4">
        <f t="shared" si="116"/>
        <v>0</v>
      </c>
      <c r="H3214" s="17"/>
      <c r="I3214" s="4">
        <f t="shared" si="114"/>
        <v>349526.07999999996</v>
      </c>
      <c r="J3214" s="32" t="str">
        <f t="shared" si="115"/>
        <v/>
      </c>
      <c r="K3214" s="79"/>
      <c r="L3214" s="79"/>
      <c r="M3214" s="2"/>
      <c r="N3214" s="5"/>
      <c r="O3214" s="3"/>
      <c r="P3214" s="6"/>
      <c r="Q3214" s="6"/>
    </row>
    <row r="3215" spans="1:17" ht="15" customHeight="1" x14ac:dyDescent="0.25">
      <c r="A3215" s="1"/>
      <c r="B3215" s="17"/>
      <c r="C3215" s="17"/>
      <c r="D3215" s="17"/>
      <c r="E3215" s="17"/>
      <c r="F3215" s="17"/>
      <c r="G3215" s="4">
        <f t="shared" si="116"/>
        <v>0</v>
      </c>
      <c r="H3215" s="17"/>
      <c r="I3215" s="4">
        <f t="shared" si="114"/>
        <v>349526.07999999996</v>
      </c>
      <c r="J3215" s="32" t="str">
        <f t="shared" si="115"/>
        <v/>
      </c>
      <c r="K3215" s="79"/>
      <c r="L3215" s="79"/>
      <c r="M3215" s="2"/>
      <c r="N3215" s="5"/>
      <c r="O3215" s="3"/>
      <c r="P3215" s="6"/>
      <c r="Q3215" s="6"/>
    </row>
    <row r="3216" spans="1:17" ht="15" customHeight="1" x14ac:dyDescent="0.25">
      <c r="A3216" s="1"/>
      <c r="B3216" s="17"/>
      <c r="C3216" s="17"/>
      <c r="D3216" s="17"/>
      <c r="E3216" s="17"/>
      <c r="F3216" s="17"/>
      <c r="G3216" s="4">
        <f t="shared" si="116"/>
        <v>0</v>
      </c>
      <c r="H3216" s="17"/>
      <c r="I3216" s="4">
        <f t="shared" si="114"/>
        <v>349526.07999999996</v>
      </c>
      <c r="J3216" s="32" t="str">
        <f t="shared" si="115"/>
        <v/>
      </c>
      <c r="K3216" s="79"/>
      <c r="L3216" s="79"/>
      <c r="M3216" s="2"/>
      <c r="N3216" s="5"/>
      <c r="O3216" s="3"/>
      <c r="P3216" s="6"/>
      <c r="Q3216" s="6"/>
    </row>
    <row r="3217" spans="1:17" ht="15" customHeight="1" x14ac:dyDescent="0.25">
      <c r="A3217" s="1"/>
      <c r="B3217" s="17"/>
      <c r="C3217" s="17"/>
      <c r="D3217" s="17"/>
      <c r="E3217" s="17"/>
      <c r="F3217" s="17"/>
      <c r="G3217" s="4">
        <f t="shared" si="116"/>
        <v>0</v>
      </c>
      <c r="H3217" s="17"/>
      <c r="I3217" s="4">
        <f t="shared" si="114"/>
        <v>349526.07999999996</v>
      </c>
      <c r="J3217" s="32" t="str">
        <f t="shared" si="115"/>
        <v/>
      </c>
      <c r="K3217" s="79"/>
      <c r="L3217" s="79"/>
      <c r="M3217" s="2"/>
      <c r="N3217" s="5"/>
      <c r="O3217" s="3"/>
      <c r="P3217" s="6"/>
      <c r="Q3217" s="6"/>
    </row>
    <row r="3218" spans="1:17" ht="15" customHeight="1" x14ac:dyDescent="0.25">
      <c r="A3218" s="1"/>
      <c r="B3218" s="17"/>
      <c r="C3218" s="17"/>
      <c r="D3218" s="17"/>
      <c r="E3218" s="17"/>
      <c r="F3218" s="17"/>
      <c r="G3218" s="4">
        <f t="shared" si="116"/>
        <v>0</v>
      </c>
      <c r="H3218" s="17"/>
      <c r="I3218" s="4">
        <f t="shared" si="114"/>
        <v>349526.07999999996</v>
      </c>
      <c r="J3218" s="32" t="str">
        <f t="shared" si="115"/>
        <v/>
      </c>
      <c r="K3218" s="79"/>
      <c r="L3218" s="79"/>
      <c r="M3218" s="2"/>
      <c r="N3218" s="5"/>
      <c r="O3218" s="3"/>
      <c r="P3218" s="6"/>
      <c r="Q3218" s="6"/>
    </row>
    <row r="3219" spans="1:17" ht="15" customHeight="1" x14ac:dyDescent="0.25">
      <c r="A3219" s="1"/>
      <c r="B3219" s="17"/>
      <c r="C3219" s="17"/>
      <c r="D3219" s="17"/>
      <c r="E3219" s="17"/>
      <c r="F3219" s="17"/>
      <c r="G3219" s="4">
        <f t="shared" si="116"/>
        <v>0</v>
      </c>
      <c r="H3219" s="17"/>
      <c r="I3219" s="4">
        <f t="shared" si="114"/>
        <v>349526.07999999996</v>
      </c>
      <c r="J3219" s="32" t="str">
        <f t="shared" si="115"/>
        <v/>
      </c>
      <c r="K3219" s="79"/>
      <c r="L3219" s="79"/>
      <c r="M3219" s="2"/>
      <c r="N3219" s="5"/>
      <c r="O3219" s="3"/>
      <c r="P3219" s="6"/>
      <c r="Q3219" s="6"/>
    </row>
    <row r="3220" spans="1:17" ht="15" customHeight="1" x14ac:dyDescent="0.25">
      <c r="A3220" s="1"/>
      <c r="B3220" s="17"/>
      <c r="C3220" s="17"/>
      <c r="D3220" s="17"/>
      <c r="E3220" s="17"/>
      <c r="F3220" s="17"/>
      <c r="G3220" s="4">
        <f t="shared" si="116"/>
        <v>0</v>
      </c>
      <c r="H3220" s="17"/>
      <c r="I3220" s="4">
        <f t="shared" si="114"/>
        <v>349526.07999999996</v>
      </c>
      <c r="J3220" s="32" t="str">
        <f t="shared" si="115"/>
        <v/>
      </c>
      <c r="K3220" s="79"/>
      <c r="L3220" s="79"/>
      <c r="M3220" s="2"/>
      <c r="N3220" s="5"/>
      <c r="O3220" s="3"/>
      <c r="P3220" s="6"/>
      <c r="Q3220" s="6"/>
    </row>
    <row r="3221" spans="1:17" ht="15" customHeight="1" x14ac:dyDescent="0.25">
      <c r="A3221" s="1"/>
      <c r="B3221" s="17"/>
      <c r="C3221" s="17"/>
      <c r="D3221" s="17"/>
      <c r="E3221" s="17"/>
      <c r="F3221" s="17"/>
      <c r="G3221" s="4">
        <f t="shared" si="116"/>
        <v>0</v>
      </c>
      <c r="H3221" s="17"/>
      <c r="I3221" s="4">
        <f t="shared" si="114"/>
        <v>349526.07999999996</v>
      </c>
      <c r="J3221" s="32" t="str">
        <f t="shared" si="115"/>
        <v/>
      </c>
      <c r="K3221" s="79"/>
      <c r="L3221" s="79"/>
      <c r="M3221" s="2"/>
      <c r="N3221" s="5"/>
      <c r="O3221" s="3"/>
      <c r="P3221" s="6"/>
      <c r="Q3221" s="6"/>
    </row>
    <row r="3222" spans="1:17" ht="15" customHeight="1" x14ac:dyDescent="0.25">
      <c r="A3222" s="1"/>
      <c r="B3222" s="17"/>
      <c r="C3222" s="17"/>
      <c r="D3222" s="17"/>
      <c r="E3222" s="17"/>
      <c r="F3222" s="17"/>
      <c r="G3222" s="4">
        <f t="shared" si="116"/>
        <v>0</v>
      </c>
      <c r="H3222" s="17"/>
      <c r="I3222" s="4">
        <f t="shared" si="114"/>
        <v>349526.07999999996</v>
      </c>
      <c r="J3222" s="32" t="str">
        <f t="shared" si="115"/>
        <v/>
      </c>
      <c r="K3222" s="79"/>
      <c r="L3222" s="79"/>
      <c r="M3222" s="2"/>
      <c r="N3222" s="5"/>
      <c r="O3222" s="3"/>
      <c r="P3222" s="6"/>
      <c r="Q3222" s="6"/>
    </row>
    <row r="3223" spans="1:17" ht="15" customHeight="1" x14ac:dyDescent="0.25">
      <c r="A3223" s="1"/>
      <c r="B3223" s="17"/>
      <c r="C3223" s="17"/>
      <c r="D3223" s="17"/>
      <c r="E3223" s="17"/>
      <c r="F3223" s="17"/>
      <c r="G3223" s="4">
        <f t="shared" si="116"/>
        <v>0</v>
      </c>
      <c r="H3223" s="17"/>
      <c r="I3223" s="4">
        <f t="shared" si="114"/>
        <v>349526.07999999996</v>
      </c>
      <c r="J3223" s="32" t="str">
        <f t="shared" si="115"/>
        <v/>
      </c>
      <c r="K3223" s="79"/>
      <c r="L3223" s="79"/>
      <c r="M3223" s="2"/>
      <c r="N3223" s="5"/>
      <c r="O3223" s="3"/>
      <c r="P3223" s="6"/>
      <c r="Q3223" s="6"/>
    </row>
    <row r="3224" spans="1:17" ht="15" customHeight="1" x14ac:dyDescent="0.25">
      <c r="A3224" s="1"/>
      <c r="B3224" s="17"/>
      <c r="C3224" s="17"/>
      <c r="D3224" s="17"/>
      <c r="E3224" s="17"/>
      <c r="F3224" s="17"/>
      <c r="G3224" s="4">
        <f t="shared" si="116"/>
        <v>0</v>
      </c>
      <c r="H3224" s="17"/>
      <c r="I3224" s="4">
        <f t="shared" si="114"/>
        <v>349526.07999999996</v>
      </c>
      <c r="J3224" s="32" t="str">
        <f t="shared" si="115"/>
        <v/>
      </c>
      <c r="K3224" s="79"/>
      <c r="L3224" s="79"/>
      <c r="M3224" s="2"/>
      <c r="N3224" s="5"/>
      <c r="O3224" s="3"/>
      <c r="P3224" s="6"/>
      <c r="Q3224" s="6"/>
    </row>
    <row r="3225" spans="1:17" ht="15" customHeight="1" x14ac:dyDescent="0.25">
      <c r="A3225" s="1"/>
      <c r="B3225" s="17"/>
      <c r="C3225" s="17"/>
      <c r="D3225" s="17"/>
      <c r="E3225" s="17"/>
      <c r="F3225" s="17"/>
      <c r="G3225" s="4">
        <f t="shared" si="116"/>
        <v>0</v>
      </c>
      <c r="H3225" s="17"/>
      <c r="I3225" s="4">
        <f t="shared" si="114"/>
        <v>349526.07999999996</v>
      </c>
      <c r="J3225" s="32" t="str">
        <f t="shared" si="115"/>
        <v/>
      </c>
      <c r="K3225" s="79"/>
      <c r="L3225" s="79"/>
      <c r="M3225" s="2"/>
      <c r="N3225" s="5"/>
      <c r="O3225" s="3"/>
      <c r="P3225" s="6"/>
      <c r="Q3225" s="6"/>
    </row>
    <row r="3226" spans="1:17" ht="15" customHeight="1" x14ac:dyDescent="0.25">
      <c r="A3226" s="1"/>
      <c r="B3226" s="17"/>
      <c r="C3226" s="17"/>
      <c r="D3226" s="17"/>
      <c r="E3226" s="17"/>
      <c r="F3226" s="17"/>
      <c r="G3226" s="4">
        <f t="shared" si="116"/>
        <v>0</v>
      </c>
      <c r="H3226" s="17"/>
      <c r="I3226" s="4">
        <f t="shared" si="114"/>
        <v>349526.07999999996</v>
      </c>
      <c r="J3226" s="32" t="str">
        <f t="shared" si="115"/>
        <v/>
      </c>
      <c r="K3226" s="79"/>
      <c r="L3226" s="79"/>
      <c r="M3226" s="2"/>
      <c r="N3226" s="5"/>
      <c r="O3226" s="3"/>
      <c r="P3226" s="6"/>
      <c r="Q3226" s="6"/>
    </row>
    <row r="3227" spans="1:17" ht="15" customHeight="1" x14ac:dyDescent="0.25">
      <c r="A3227" s="1"/>
      <c r="B3227" s="17"/>
      <c r="C3227" s="17"/>
      <c r="D3227" s="17"/>
      <c r="E3227" s="17"/>
      <c r="F3227" s="17"/>
      <c r="G3227" s="4">
        <f t="shared" si="116"/>
        <v>0</v>
      </c>
      <c r="H3227" s="17"/>
      <c r="I3227" s="4">
        <f t="shared" si="114"/>
        <v>349526.07999999996</v>
      </c>
      <c r="J3227" s="32" t="str">
        <f t="shared" si="115"/>
        <v/>
      </c>
      <c r="K3227" s="79"/>
      <c r="L3227" s="79"/>
      <c r="M3227" s="2"/>
      <c r="N3227" s="5"/>
      <c r="O3227" s="3"/>
      <c r="P3227" s="6"/>
      <c r="Q3227" s="6"/>
    </row>
    <row r="3228" spans="1:17" ht="15" customHeight="1" x14ac:dyDescent="0.25">
      <c r="A3228" s="1"/>
      <c r="B3228" s="17"/>
      <c r="C3228" s="17"/>
      <c r="D3228" s="17"/>
      <c r="E3228" s="17"/>
      <c r="F3228" s="17"/>
      <c r="G3228" s="4">
        <f t="shared" si="116"/>
        <v>0</v>
      </c>
      <c r="H3228" s="17"/>
      <c r="I3228" s="4">
        <f t="shared" si="114"/>
        <v>349526.07999999996</v>
      </c>
      <c r="J3228" s="32" t="str">
        <f t="shared" si="115"/>
        <v/>
      </c>
      <c r="K3228" s="79"/>
      <c r="L3228" s="79"/>
      <c r="M3228" s="2"/>
      <c r="N3228" s="5"/>
      <c r="O3228" s="3"/>
      <c r="P3228" s="6"/>
      <c r="Q3228" s="6"/>
    </row>
    <row r="3229" spans="1:17" ht="15" customHeight="1" x14ac:dyDescent="0.25">
      <c r="A3229" s="1"/>
      <c r="B3229" s="17"/>
      <c r="C3229" s="17"/>
      <c r="D3229" s="17"/>
      <c r="E3229" s="17"/>
      <c r="F3229" s="17"/>
      <c r="G3229" s="4">
        <f t="shared" si="116"/>
        <v>0</v>
      </c>
      <c r="H3229" s="17"/>
      <c r="I3229" s="4">
        <f t="shared" si="114"/>
        <v>349526.07999999996</v>
      </c>
      <c r="J3229" s="32" t="str">
        <f t="shared" si="115"/>
        <v/>
      </c>
      <c r="K3229" s="79"/>
      <c r="L3229" s="79"/>
      <c r="M3229" s="2"/>
      <c r="N3229" s="5"/>
      <c r="O3229" s="3"/>
      <c r="P3229" s="6"/>
      <c r="Q3229" s="6"/>
    </row>
    <row r="3230" spans="1:17" ht="15" customHeight="1" x14ac:dyDescent="0.25">
      <c r="A3230" s="1"/>
      <c r="B3230" s="17"/>
      <c r="C3230" s="17"/>
      <c r="D3230" s="17"/>
      <c r="E3230" s="17"/>
      <c r="F3230" s="17"/>
      <c r="G3230" s="4">
        <f t="shared" si="116"/>
        <v>0</v>
      </c>
      <c r="H3230" s="17"/>
      <c r="I3230" s="4">
        <f t="shared" si="114"/>
        <v>349526.07999999996</v>
      </c>
      <c r="J3230" s="32" t="str">
        <f t="shared" si="115"/>
        <v/>
      </c>
      <c r="K3230" s="79"/>
      <c r="L3230" s="79"/>
      <c r="M3230" s="2"/>
      <c r="N3230" s="5"/>
      <c r="O3230" s="3"/>
      <c r="P3230" s="6"/>
      <c r="Q3230" s="6"/>
    </row>
    <row r="3231" spans="1:17" ht="15" customHeight="1" x14ac:dyDescent="0.25">
      <c r="A3231" s="1"/>
      <c r="B3231" s="17"/>
      <c r="C3231" s="17"/>
      <c r="D3231" s="17"/>
      <c r="E3231" s="17"/>
      <c r="F3231" s="17"/>
      <c r="G3231" s="4">
        <f t="shared" si="116"/>
        <v>0</v>
      </c>
      <c r="H3231" s="17"/>
      <c r="I3231" s="4">
        <f t="shared" si="114"/>
        <v>349526.07999999996</v>
      </c>
      <c r="J3231" s="32" t="str">
        <f t="shared" si="115"/>
        <v/>
      </c>
      <c r="K3231" s="79"/>
      <c r="L3231" s="79"/>
      <c r="M3231" s="2"/>
      <c r="N3231" s="5"/>
      <c r="O3231" s="3"/>
      <c r="P3231" s="6"/>
      <c r="Q3231" s="6"/>
    </row>
    <row r="3232" spans="1:17" ht="15" customHeight="1" x14ac:dyDescent="0.25">
      <c r="A3232" s="1"/>
      <c r="B3232" s="17"/>
      <c r="C3232" s="17"/>
      <c r="D3232" s="17"/>
      <c r="E3232" s="17"/>
      <c r="F3232" s="17"/>
      <c r="G3232" s="4">
        <f t="shared" si="116"/>
        <v>0</v>
      </c>
      <c r="H3232" s="17"/>
      <c r="I3232" s="4">
        <f t="shared" si="114"/>
        <v>349526.07999999996</v>
      </c>
      <c r="J3232" s="32" t="str">
        <f t="shared" si="115"/>
        <v/>
      </c>
      <c r="K3232" s="79"/>
      <c r="L3232" s="79"/>
      <c r="M3232" s="2"/>
      <c r="N3232" s="5"/>
      <c r="O3232" s="3"/>
      <c r="P3232" s="6"/>
      <c r="Q3232" s="6"/>
    </row>
    <row r="3233" spans="1:17" ht="15" customHeight="1" x14ac:dyDescent="0.25">
      <c r="A3233" s="1"/>
      <c r="B3233" s="17"/>
      <c r="C3233" s="17"/>
      <c r="D3233" s="17"/>
      <c r="E3233" s="17"/>
      <c r="F3233" s="17"/>
      <c r="G3233" s="4">
        <f t="shared" si="116"/>
        <v>0</v>
      </c>
      <c r="H3233" s="17"/>
      <c r="I3233" s="4">
        <f t="shared" si="114"/>
        <v>349526.07999999996</v>
      </c>
      <c r="J3233" s="32" t="str">
        <f t="shared" si="115"/>
        <v/>
      </c>
      <c r="K3233" s="79"/>
      <c r="L3233" s="79"/>
      <c r="M3233" s="2"/>
      <c r="N3233" s="5"/>
      <c r="O3233" s="3"/>
      <c r="P3233" s="6"/>
      <c r="Q3233" s="6"/>
    </row>
    <row r="3234" spans="1:17" ht="15" customHeight="1" x14ac:dyDescent="0.25">
      <c r="A3234" s="1"/>
      <c r="B3234" s="17"/>
      <c r="C3234" s="17"/>
      <c r="D3234" s="17"/>
      <c r="E3234" s="17"/>
      <c r="F3234" s="17"/>
      <c r="G3234" s="4">
        <f t="shared" si="116"/>
        <v>0</v>
      </c>
      <c r="H3234" s="17"/>
      <c r="I3234" s="4">
        <f t="shared" si="114"/>
        <v>349526.07999999996</v>
      </c>
      <c r="J3234" s="32" t="str">
        <f t="shared" si="115"/>
        <v/>
      </c>
      <c r="K3234" s="79"/>
      <c r="L3234" s="79"/>
      <c r="M3234" s="2"/>
      <c r="N3234" s="5"/>
      <c r="O3234" s="3"/>
      <c r="P3234" s="6"/>
      <c r="Q3234" s="6"/>
    </row>
    <row r="3235" spans="1:17" ht="15" customHeight="1" x14ac:dyDescent="0.25">
      <c r="A3235" s="1"/>
      <c r="B3235" s="17"/>
      <c r="C3235" s="17"/>
      <c r="D3235" s="17"/>
      <c r="E3235" s="17"/>
      <c r="F3235" s="17"/>
      <c r="G3235" s="4">
        <f t="shared" si="116"/>
        <v>0</v>
      </c>
      <c r="H3235" s="17"/>
      <c r="I3235" s="4">
        <f t="shared" si="114"/>
        <v>349526.07999999996</v>
      </c>
      <c r="J3235" s="32" t="str">
        <f t="shared" si="115"/>
        <v/>
      </c>
      <c r="K3235" s="79"/>
      <c r="L3235" s="79"/>
      <c r="M3235" s="2"/>
      <c r="N3235" s="5"/>
      <c r="O3235" s="3"/>
      <c r="P3235" s="6"/>
      <c r="Q3235" s="6"/>
    </row>
    <row r="3236" spans="1:17" ht="15" customHeight="1" x14ac:dyDescent="0.25">
      <c r="A3236" s="1"/>
      <c r="B3236" s="17"/>
      <c r="C3236" s="17"/>
      <c r="D3236" s="17"/>
      <c r="E3236" s="17"/>
      <c r="F3236" s="17"/>
      <c r="G3236" s="4">
        <f t="shared" si="116"/>
        <v>0</v>
      </c>
      <c r="H3236" s="17"/>
      <c r="I3236" s="4">
        <f t="shared" si="114"/>
        <v>349526.07999999996</v>
      </c>
      <c r="J3236" s="32" t="str">
        <f t="shared" si="115"/>
        <v/>
      </c>
      <c r="K3236" s="79"/>
      <c r="L3236" s="79"/>
      <c r="M3236" s="2"/>
      <c r="N3236" s="5"/>
      <c r="O3236" s="3"/>
      <c r="P3236" s="6"/>
      <c r="Q3236" s="6"/>
    </row>
    <row r="3237" spans="1:17" ht="15" customHeight="1" x14ac:dyDescent="0.25">
      <c r="A3237" s="1"/>
      <c r="B3237" s="17"/>
      <c r="C3237" s="17"/>
      <c r="D3237" s="17"/>
      <c r="E3237" s="17"/>
      <c r="F3237" s="17"/>
      <c r="G3237" s="4">
        <f t="shared" si="116"/>
        <v>0</v>
      </c>
      <c r="H3237" s="17"/>
      <c r="I3237" s="4">
        <f t="shared" si="114"/>
        <v>349526.07999999996</v>
      </c>
      <c r="J3237" s="32" t="str">
        <f t="shared" si="115"/>
        <v/>
      </c>
      <c r="K3237" s="79"/>
      <c r="L3237" s="79"/>
      <c r="M3237" s="2"/>
      <c r="N3237" s="5"/>
      <c r="O3237" s="3"/>
      <c r="P3237" s="6"/>
      <c r="Q3237" s="6"/>
    </row>
    <row r="3238" spans="1:17" ht="15" customHeight="1" x14ac:dyDescent="0.25">
      <c r="A3238" s="1"/>
      <c r="B3238" s="17"/>
      <c r="C3238" s="17"/>
      <c r="D3238" s="17"/>
      <c r="E3238" s="17"/>
      <c r="F3238" s="17"/>
      <c r="G3238" s="4">
        <f t="shared" si="116"/>
        <v>0</v>
      </c>
      <c r="H3238" s="17"/>
      <c r="I3238" s="4">
        <f t="shared" si="114"/>
        <v>349526.07999999996</v>
      </c>
      <c r="J3238" s="32" t="str">
        <f t="shared" si="115"/>
        <v/>
      </c>
      <c r="K3238" s="79"/>
      <c r="L3238" s="79"/>
      <c r="M3238" s="2"/>
      <c r="N3238" s="5"/>
      <c r="O3238" s="3"/>
      <c r="P3238" s="6"/>
      <c r="Q3238" s="6"/>
    </row>
    <row r="3239" spans="1:17" ht="15" customHeight="1" x14ac:dyDescent="0.25">
      <c r="A3239" s="1"/>
      <c r="B3239" s="17"/>
      <c r="C3239" s="17"/>
      <c r="D3239" s="17"/>
      <c r="E3239" s="17"/>
      <c r="F3239" s="17"/>
      <c r="G3239" s="4">
        <f t="shared" si="116"/>
        <v>0</v>
      </c>
      <c r="H3239" s="17"/>
      <c r="I3239" s="4">
        <f t="shared" si="114"/>
        <v>349526.07999999996</v>
      </c>
      <c r="J3239" s="32" t="str">
        <f t="shared" si="115"/>
        <v/>
      </c>
      <c r="K3239" s="79"/>
      <c r="L3239" s="79"/>
      <c r="M3239" s="2"/>
      <c r="N3239" s="5"/>
      <c r="O3239" s="3"/>
      <c r="P3239" s="6"/>
      <c r="Q3239" s="6"/>
    </row>
    <row r="3240" spans="1:17" ht="15" customHeight="1" x14ac:dyDescent="0.25">
      <c r="A3240" s="1"/>
      <c r="B3240" s="17"/>
      <c r="C3240" s="17"/>
      <c r="D3240" s="17"/>
      <c r="E3240" s="17"/>
      <c r="F3240" s="17"/>
      <c r="G3240" s="4">
        <f t="shared" si="116"/>
        <v>0</v>
      </c>
      <c r="H3240" s="17"/>
      <c r="I3240" s="4">
        <f t="shared" si="114"/>
        <v>349526.07999999996</v>
      </c>
      <c r="J3240" s="32" t="str">
        <f t="shared" si="115"/>
        <v/>
      </c>
      <c r="K3240" s="79"/>
      <c r="L3240" s="79"/>
      <c r="M3240" s="2"/>
      <c r="N3240" s="5"/>
      <c r="O3240" s="3"/>
      <c r="P3240" s="6"/>
      <c r="Q3240" s="6"/>
    </row>
    <row r="3241" spans="1:17" ht="15" customHeight="1" x14ac:dyDescent="0.25">
      <c r="A3241" s="1"/>
      <c r="B3241" s="17"/>
      <c r="C3241" s="17"/>
      <c r="D3241" s="17"/>
      <c r="E3241" s="17"/>
      <c r="F3241" s="17"/>
      <c r="G3241" s="4">
        <f t="shared" si="116"/>
        <v>0</v>
      </c>
      <c r="H3241" s="17"/>
      <c r="I3241" s="4">
        <f t="shared" si="114"/>
        <v>349526.07999999996</v>
      </c>
      <c r="J3241" s="32" t="str">
        <f t="shared" si="115"/>
        <v/>
      </c>
      <c r="K3241" s="79"/>
      <c r="L3241" s="79"/>
      <c r="M3241" s="2"/>
      <c r="N3241" s="5"/>
      <c r="O3241" s="3"/>
      <c r="P3241" s="6"/>
      <c r="Q3241" s="6"/>
    </row>
    <row r="3242" spans="1:17" ht="15" customHeight="1" x14ac:dyDescent="0.25">
      <c r="A3242" s="1"/>
      <c r="B3242" s="17"/>
      <c r="C3242" s="17"/>
      <c r="D3242" s="17"/>
      <c r="E3242" s="17"/>
      <c r="F3242" s="17"/>
      <c r="G3242" s="4">
        <f t="shared" si="116"/>
        <v>0</v>
      </c>
      <c r="H3242" s="17"/>
      <c r="I3242" s="4">
        <f t="shared" si="114"/>
        <v>349526.07999999996</v>
      </c>
      <c r="J3242" s="32" t="str">
        <f t="shared" si="115"/>
        <v/>
      </c>
      <c r="K3242" s="79"/>
      <c r="L3242" s="79"/>
      <c r="M3242" s="2"/>
      <c r="N3242" s="5"/>
      <c r="O3242" s="3"/>
      <c r="P3242" s="6"/>
      <c r="Q3242" s="6"/>
    </row>
    <row r="3243" spans="1:17" ht="15" customHeight="1" x14ac:dyDescent="0.25">
      <c r="A3243" s="1"/>
      <c r="B3243" s="17"/>
      <c r="C3243" s="17"/>
      <c r="D3243" s="17"/>
      <c r="E3243" s="17"/>
      <c r="F3243" s="17"/>
      <c r="G3243" s="4">
        <f t="shared" si="116"/>
        <v>0</v>
      </c>
      <c r="H3243" s="17"/>
      <c r="I3243" s="4">
        <f t="shared" si="114"/>
        <v>349526.07999999996</v>
      </c>
      <c r="J3243" s="32" t="str">
        <f t="shared" si="115"/>
        <v/>
      </c>
      <c r="K3243" s="79"/>
      <c r="L3243" s="79"/>
      <c r="M3243" s="2"/>
      <c r="N3243" s="5"/>
      <c r="O3243" s="3"/>
      <c r="P3243" s="6"/>
      <c r="Q3243" s="6"/>
    </row>
    <row r="3244" spans="1:17" ht="15" customHeight="1" x14ac:dyDescent="0.25">
      <c r="A3244" s="1"/>
      <c r="B3244" s="17"/>
      <c r="C3244" s="17"/>
      <c r="D3244" s="17"/>
      <c r="E3244" s="17"/>
      <c r="F3244" s="17"/>
      <c r="G3244" s="4">
        <f t="shared" si="116"/>
        <v>0</v>
      </c>
      <c r="H3244" s="17"/>
      <c r="I3244" s="4">
        <f t="shared" si="114"/>
        <v>349526.07999999996</v>
      </c>
      <c r="J3244" s="32" t="str">
        <f t="shared" si="115"/>
        <v/>
      </c>
      <c r="K3244" s="79"/>
      <c r="L3244" s="79"/>
      <c r="M3244" s="2"/>
      <c r="N3244" s="5"/>
      <c r="O3244" s="3"/>
      <c r="P3244" s="6"/>
      <c r="Q3244" s="6"/>
    </row>
    <row r="3245" spans="1:17" ht="15" customHeight="1" x14ac:dyDescent="0.25">
      <c r="A3245" s="1"/>
      <c r="B3245" s="17"/>
      <c r="C3245" s="17"/>
      <c r="D3245" s="17"/>
      <c r="E3245" s="17"/>
      <c r="F3245" s="17"/>
      <c r="G3245" s="4">
        <f t="shared" si="116"/>
        <v>0</v>
      </c>
      <c r="H3245" s="17"/>
      <c r="I3245" s="4">
        <f t="shared" si="114"/>
        <v>349526.07999999996</v>
      </c>
      <c r="J3245" s="32" t="str">
        <f t="shared" si="115"/>
        <v/>
      </c>
      <c r="K3245" s="79"/>
      <c r="L3245" s="79"/>
      <c r="M3245" s="2"/>
      <c r="N3245" s="5"/>
      <c r="O3245" s="3"/>
      <c r="P3245" s="6"/>
      <c r="Q3245" s="6"/>
    </row>
    <row r="3246" spans="1:17" ht="15" customHeight="1" x14ac:dyDescent="0.25">
      <c r="A3246" s="1"/>
      <c r="B3246" s="17"/>
      <c r="C3246" s="17"/>
      <c r="D3246" s="17"/>
      <c r="E3246" s="17"/>
      <c r="F3246" s="17"/>
      <c r="G3246" s="4">
        <f t="shared" si="116"/>
        <v>0</v>
      </c>
      <c r="H3246" s="17"/>
      <c r="I3246" s="4">
        <f t="shared" si="114"/>
        <v>349526.07999999996</v>
      </c>
      <c r="J3246" s="32" t="str">
        <f t="shared" si="115"/>
        <v/>
      </c>
      <c r="K3246" s="79"/>
      <c r="L3246" s="79"/>
      <c r="M3246" s="2"/>
      <c r="N3246" s="5"/>
      <c r="O3246" s="3"/>
      <c r="P3246" s="6"/>
      <c r="Q3246" s="6"/>
    </row>
    <row r="3247" spans="1:17" ht="15" customHeight="1" x14ac:dyDescent="0.25">
      <c r="A3247" s="1"/>
      <c r="B3247" s="17"/>
      <c r="C3247" s="17"/>
      <c r="D3247" s="17"/>
      <c r="E3247" s="17"/>
      <c r="F3247" s="17"/>
      <c r="G3247" s="4">
        <f t="shared" si="116"/>
        <v>0</v>
      </c>
      <c r="H3247" s="17"/>
      <c r="I3247" s="4">
        <f t="shared" si="114"/>
        <v>349526.07999999996</v>
      </c>
      <c r="J3247" s="32" t="str">
        <f t="shared" si="115"/>
        <v/>
      </c>
      <c r="K3247" s="79"/>
      <c r="L3247" s="79"/>
      <c r="M3247" s="2"/>
      <c r="N3247" s="5"/>
      <c r="O3247" s="3"/>
      <c r="P3247" s="6"/>
      <c r="Q3247" s="6"/>
    </row>
    <row r="3248" spans="1:17" ht="15" customHeight="1" x14ac:dyDescent="0.25">
      <c r="A3248" s="1"/>
      <c r="B3248" s="17"/>
      <c r="C3248" s="17"/>
      <c r="D3248" s="17"/>
      <c r="E3248" s="17"/>
      <c r="F3248" s="17"/>
      <c r="G3248" s="4">
        <f t="shared" si="116"/>
        <v>0</v>
      </c>
      <c r="H3248" s="17"/>
      <c r="I3248" s="4">
        <f t="shared" si="114"/>
        <v>349526.07999999996</v>
      </c>
      <c r="J3248" s="32" t="str">
        <f t="shared" si="115"/>
        <v/>
      </c>
      <c r="K3248" s="79"/>
      <c r="L3248" s="79"/>
      <c r="M3248" s="2"/>
      <c r="N3248" s="5"/>
      <c r="O3248" s="3"/>
      <c r="P3248" s="6"/>
      <c r="Q3248" s="6"/>
    </row>
    <row r="3249" spans="1:17" ht="15" customHeight="1" x14ac:dyDescent="0.25">
      <c r="A3249" s="1"/>
      <c r="B3249" s="17"/>
      <c r="C3249" s="17"/>
      <c r="D3249" s="17"/>
      <c r="E3249" s="17"/>
      <c r="F3249" s="17"/>
      <c r="G3249" s="4">
        <f t="shared" si="116"/>
        <v>0</v>
      </c>
      <c r="H3249" s="17"/>
      <c r="I3249" s="4">
        <f t="shared" si="114"/>
        <v>349526.07999999996</v>
      </c>
      <c r="J3249" s="32" t="str">
        <f t="shared" si="115"/>
        <v/>
      </c>
      <c r="K3249" s="79"/>
      <c r="L3249" s="79"/>
      <c r="M3249" s="2"/>
      <c r="N3249" s="5"/>
      <c r="O3249" s="3"/>
      <c r="P3249" s="6"/>
      <c r="Q3249" s="6"/>
    </row>
    <row r="3250" spans="1:17" ht="15" customHeight="1" x14ac:dyDescent="0.25">
      <c r="A3250" s="1"/>
      <c r="B3250" s="17"/>
      <c r="C3250" s="17"/>
      <c r="D3250" s="17"/>
      <c r="E3250" s="17"/>
      <c r="F3250" s="17"/>
      <c r="G3250" s="4">
        <f t="shared" si="116"/>
        <v>0</v>
      </c>
      <c r="H3250" s="17"/>
      <c r="I3250" s="4">
        <f t="shared" si="114"/>
        <v>349526.07999999996</v>
      </c>
      <c r="J3250" s="32" t="str">
        <f t="shared" si="115"/>
        <v/>
      </c>
      <c r="K3250" s="79"/>
      <c r="L3250" s="79"/>
      <c r="M3250" s="2"/>
      <c r="N3250" s="5"/>
      <c r="O3250" s="3"/>
      <c r="P3250" s="6"/>
      <c r="Q3250" s="6"/>
    </row>
    <row r="3251" spans="1:17" ht="15" customHeight="1" x14ac:dyDescent="0.25">
      <c r="A3251" s="1"/>
      <c r="B3251" s="17"/>
      <c r="C3251" s="17"/>
      <c r="D3251" s="17"/>
      <c r="E3251" s="17"/>
      <c r="F3251" s="17"/>
      <c r="G3251" s="4">
        <f t="shared" si="116"/>
        <v>0</v>
      </c>
      <c r="H3251" s="17"/>
      <c r="I3251" s="4">
        <f t="shared" si="114"/>
        <v>349526.07999999996</v>
      </c>
      <c r="J3251" s="32" t="str">
        <f t="shared" si="115"/>
        <v/>
      </c>
      <c r="K3251" s="79"/>
      <c r="L3251" s="79"/>
      <c r="M3251" s="2"/>
      <c r="N3251" s="5"/>
      <c r="O3251" s="3"/>
      <c r="P3251" s="6"/>
      <c r="Q3251" s="6"/>
    </row>
    <row r="3252" spans="1:17" ht="15" customHeight="1" x14ac:dyDescent="0.25">
      <c r="A3252" s="1"/>
      <c r="B3252" s="17"/>
      <c r="C3252" s="17"/>
      <c r="D3252" s="17"/>
      <c r="E3252" s="17"/>
      <c r="F3252" s="17"/>
      <c r="G3252" s="4">
        <f t="shared" si="116"/>
        <v>0</v>
      </c>
      <c r="H3252" s="17"/>
      <c r="I3252" s="4">
        <f t="shared" si="114"/>
        <v>349526.07999999996</v>
      </c>
      <c r="J3252" s="32" t="str">
        <f t="shared" si="115"/>
        <v/>
      </c>
      <c r="K3252" s="79"/>
      <c r="L3252" s="79"/>
      <c r="M3252" s="2"/>
      <c r="N3252" s="5"/>
      <c r="O3252" s="3"/>
      <c r="P3252" s="6"/>
      <c r="Q3252" s="6"/>
    </row>
    <row r="3253" spans="1:17" ht="15" customHeight="1" x14ac:dyDescent="0.25">
      <c r="A3253" s="1"/>
      <c r="B3253" s="17"/>
      <c r="C3253" s="17"/>
      <c r="D3253" s="17"/>
      <c r="E3253" s="17"/>
      <c r="F3253" s="17"/>
      <c r="G3253" s="4">
        <f t="shared" si="116"/>
        <v>0</v>
      </c>
      <c r="H3253" s="17"/>
      <c r="I3253" s="4">
        <f t="shared" si="114"/>
        <v>349526.07999999996</v>
      </c>
      <c r="J3253" s="32" t="str">
        <f t="shared" si="115"/>
        <v/>
      </c>
      <c r="K3253" s="79"/>
      <c r="L3253" s="79"/>
      <c r="M3253" s="2"/>
      <c r="N3253" s="5"/>
      <c r="O3253" s="3"/>
      <c r="P3253" s="6"/>
      <c r="Q3253" s="6"/>
    </row>
    <row r="3254" spans="1:17" ht="15" customHeight="1" x14ac:dyDescent="0.25">
      <c r="A3254" s="1"/>
      <c r="B3254" s="17"/>
      <c r="C3254" s="17"/>
      <c r="D3254" s="17"/>
      <c r="E3254" s="17"/>
      <c r="F3254" s="17"/>
      <c r="G3254" s="4">
        <f t="shared" si="116"/>
        <v>0</v>
      </c>
      <c r="H3254" s="17"/>
      <c r="I3254" s="4">
        <f t="shared" ref="I3254:I3317" si="117">$I3253+$G3254-$H3254</f>
        <v>349526.07999999996</v>
      </c>
      <c r="J3254" s="32" t="str">
        <f t="shared" ref="J3254:J3317" si="118">IF($A3255&lt;&gt;$A3254,$I3254,"")</f>
        <v/>
      </c>
      <c r="K3254" s="79"/>
      <c r="L3254" s="79"/>
      <c r="M3254" s="2"/>
      <c r="N3254" s="5"/>
      <c r="O3254" s="3"/>
      <c r="P3254" s="6"/>
      <c r="Q3254" s="6"/>
    </row>
    <row r="3255" spans="1:17" ht="15" customHeight="1" x14ac:dyDescent="0.25">
      <c r="A3255" s="1"/>
      <c r="B3255" s="17"/>
      <c r="C3255" s="17"/>
      <c r="D3255" s="17"/>
      <c r="E3255" s="17"/>
      <c r="F3255" s="17"/>
      <c r="G3255" s="4">
        <f t="shared" si="116"/>
        <v>0</v>
      </c>
      <c r="H3255" s="17"/>
      <c r="I3255" s="4">
        <f t="shared" si="117"/>
        <v>349526.07999999996</v>
      </c>
      <c r="J3255" s="32" t="str">
        <f t="shared" si="118"/>
        <v/>
      </c>
      <c r="K3255" s="79"/>
      <c r="L3255" s="79"/>
      <c r="M3255" s="2"/>
      <c r="N3255" s="5"/>
      <c r="O3255" s="3"/>
      <c r="P3255" s="6"/>
      <c r="Q3255" s="6"/>
    </row>
    <row r="3256" spans="1:17" ht="15" customHeight="1" x14ac:dyDescent="0.25">
      <c r="A3256" s="1"/>
      <c r="B3256" s="17"/>
      <c r="C3256" s="17"/>
      <c r="D3256" s="17"/>
      <c r="E3256" s="17"/>
      <c r="F3256" s="17"/>
      <c r="G3256" s="4">
        <f t="shared" si="116"/>
        <v>0</v>
      </c>
      <c r="H3256" s="17"/>
      <c r="I3256" s="4">
        <f t="shared" si="117"/>
        <v>349526.07999999996</v>
      </c>
      <c r="J3256" s="32" t="str">
        <f t="shared" si="118"/>
        <v/>
      </c>
      <c r="K3256" s="79"/>
      <c r="L3256" s="79"/>
      <c r="M3256" s="2"/>
      <c r="N3256" s="5"/>
      <c r="O3256" s="3"/>
      <c r="P3256" s="6"/>
      <c r="Q3256" s="6"/>
    </row>
    <row r="3257" spans="1:17" ht="15" customHeight="1" x14ac:dyDescent="0.25">
      <c r="A3257" s="1"/>
      <c r="B3257" s="17"/>
      <c r="C3257" s="17"/>
      <c r="D3257" s="17"/>
      <c r="E3257" s="17"/>
      <c r="F3257" s="17"/>
      <c r="G3257" s="4">
        <f t="shared" si="116"/>
        <v>0</v>
      </c>
      <c r="H3257" s="17"/>
      <c r="I3257" s="4">
        <f t="shared" si="117"/>
        <v>349526.07999999996</v>
      </c>
      <c r="J3257" s="32" t="str">
        <f t="shared" si="118"/>
        <v/>
      </c>
      <c r="K3257" s="79"/>
      <c r="L3257" s="79"/>
      <c r="M3257" s="2"/>
      <c r="N3257" s="5"/>
      <c r="O3257" s="3"/>
      <c r="P3257" s="6"/>
      <c r="Q3257" s="6"/>
    </row>
    <row r="3258" spans="1:17" ht="15" customHeight="1" x14ac:dyDescent="0.25">
      <c r="A3258" s="1"/>
      <c r="B3258" s="17"/>
      <c r="C3258" s="17"/>
      <c r="D3258" s="17"/>
      <c r="E3258" s="17"/>
      <c r="F3258" s="17"/>
      <c r="G3258" s="4">
        <f t="shared" si="116"/>
        <v>0</v>
      </c>
      <c r="H3258" s="17"/>
      <c r="I3258" s="4">
        <f t="shared" si="117"/>
        <v>349526.07999999996</v>
      </c>
      <c r="J3258" s="32" t="str">
        <f t="shared" si="118"/>
        <v/>
      </c>
      <c r="K3258" s="79"/>
      <c r="L3258" s="79"/>
      <c r="M3258" s="2"/>
      <c r="N3258" s="5"/>
      <c r="O3258" s="3"/>
      <c r="P3258" s="6"/>
      <c r="Q3258" s="6"/>
    </row>
    <row r="3259" spans="1:17" ht="15" customHeight="1" x14ac:dyDescent="0.25">
      <c r="A3259" s="1"/>
      <c r="B3259" s="17"/>
      <c r="C3259" s="17"/>
      <c r="D3259" s="17"/>
      <c r="E3259" s="17"/>
      <c r="F3259" s="17"/>
      <c r="G3259" s="4">
        <f t="shared" si="116"/>
        <v>0</v>
      </c>
      <c r="H3259" s="17"/>
      <c r="I3259" s="4">
        <f t="shared" si="117"/>
        <v>349526.07999999996</v>
      </c>
      <c r="J3259" s="32" t="str">
        <f t="shared" si="118"/>
        <v/>
      </c>
      <c r="K3259" s="79"/>
      <c r="L3259" s="79"/>
      <c r="M3259" s="2"/>
      <c r="N3259" s="5"/>
      <c r="O3259" s="3"/>
      <c r="P3259" s="6"/>
      <c r="Q3259" s="6"/>
    </row>
    <row r="3260" spans="1:17" ht="15" customHeight="1" x14ac:dyDescent="0.25">
      <c r="A3260" s="1"/>
      <c r="B3260" s="17"/>
      <c r="C3260" s="17"/>
      <c r="D3260" s="17"/>
      <c r="E3260" s="17"/>
      <c r="F3260" s="17"/>
      <c r="G3260" s="4">
        <f t="shared" si="116"/>
        <v>0</v>
      </c>
      <c r="H3260" s="17"/>
      <c r="I3260" s="4">
        <f t="shared" si="117"/>
        <v>349526.07999999996</v>
      </c>
      <c r="J3260" s="32" t="str">
        <f t="shared" si="118"/>
        <v/>
      </c>
      <c r="K3260" s="79"/>
      <c r="L3260" s="79"/>
      <c r="M3260" s="2"/>
      <c r="N3260" s="5"/>
      <c r="O3260" s="3"/>
      <c r="P3260" s="6"/>
      <c r="Q3260" s="6"/>
    </row>
    <row r="3261" spans="1:17" ht="15" customHeight="1" x14ac:dyDescent="0.25">
      <c r="A3261" s="1"/>
      <c r="B3261" s="17"/>
      <c r="C3261" s="17"/>
      <c r="D3261" s="17"/>
      <c r="E3261" s="17"/>
      <c r="F3261" s="17"/>
      <c r="G3261" s="4">
        <f t="shared" si="116"/>
        <v>0</v>
      </c>
      <c r="H3261" s="17"/>
      <c r="I3261" s="4">
        <f t="shared" si="117"/>
        <v>349526.07999999996</v>
      </c>
      <c r="J3261" s="32" t="str">
        <f t="shared" si="118"/>
        <v/>
      </c>
      <c r="K3261" s="79"/>
      <c r="L3261" s="79"/>
      <c r="M3261" s="2"/>
      <c r="N3261" s="5"/>
      <c r="O3261" s="3"/>
      <c r="P3261" s="6"/>
      <c r="Q3261" s="6"/>
    </row>
    <row r="3262" spans="1:17" ht="15" customHeight="1" x14ac:dyDescent="0.25">
      <c r="A3262" s="1"/>
      <c r="B3262" s="17"/>
      <c r="C3262" s="17"/>
      <c r="D3262" s="17"/>
      <c r="E3262" s="17"/>
      <c r="F3262" s="17"/>
      <c r="G3262" s="4">
        <f t="shared" si="116"/>
        <v>0</v>
      </c>
      <c r="H3262" s="17"/>
      <c r="I3262" s="4">
        <f t="shared" si="117"/>
        <v>349526.07999999996</v>
      </c>
      <c r="J3262" s="32" t="str">
        <f t="shared" si="118"/>
        <v/>
      </c>
      <c r="K3262" s="79"/>
      <c r="L3262" s="79"/>
      <c r="M3262" s="2"/>
      <c r="N3262" s="5"/>
      <c r="O3262" s="3"/>
      <c r="P3262" s="6"/>
      <c r="Q3262" s="6"/>
    </row>
    <row r="3263" spans="1:17" ht="15" customHeight="1" x14ac:dyDescent="0.25">
      <c r="A3263" s="1"/>
      <c r="B3263" s="17"/>
      <c r="C3263" s="17"/>
      <c r="D3263" s="17"/>
      <c r="E3263" s="17"/>
      <c r="F3263" s="17"/>
      <c r="G3263" s="4">
        <f t="shared" si="116"/>
        <v>0</v>
      </c>
      <c r="H3263" s="17"/>
      <c r="I3263" s="4">
        <f t="shared" si="117"/>
        <v>349526.07999999996</v>
      </c>
      <c r="J3263" s="32" t="str">
        <f t="shared" si="118"/>
        <v/>
      </c>
      <c r="K3263" s="79"/>
      <c r="L3263" s="79"/>
      <c r="M3263" s="2"/>
      <c r="N3263" s="5"/>
      <c r="O3263" s="3"/>
      <c r="P3263" s="6"/>
      <c r="Q3263" s="6"/>
    </row>
    <row r="3264" spans="1:17" ht="15" customHeight="1" x14ac:dyDescent="0.25">
      <c r="A3264" s="1"/>
      <c r="B3264" s="17"/>
      <c r="C3264" s="17"/>
      <c r="D3264" s="17"/>
      <c r="E3264" s="17"/>
      <c r="F3264" s="17"/>
      <c r="G3264" s="4">
        <f t="shared" si="116"/>
        <v>0</v>
      </c>
      <c r="H3264" s="17"/>
      <c r="I3264" s="4">
        <f t="shared" si="117"/>
        <v>349526.07999999996</v>
      </c>
      <c r="J3264" s="32" t="str">
        <f t="shared" si="118"/>
        <v/>
      </c>
      <c r="K3264" s="79"/>
      <c r="L3264" s="79"/>
      <c r="M3264" s="2"/>
      <c r="N3264" s="5"/>
      <c r="O3264" s="3"/>
      <c r="P3264" s="6"/>
      <c r="Q3264" s="6"/>
    </row>
    <row r="3265" spans="1:17" ht="15" customHeight="1" x14ac:dyDescent="0.25">
      <c r="A3265" s="1"/>
      <c r="B3265" s="17"/>
      <c r="C3265" s="17"/>
      <c r="D3265" s="17"/>
      <c r="E3265" s="17"/>
      <c r="F3265" s="17"/>
      <c r="G3265" s="4">
        <f t="shared" si="116"/>
        <v>0</v>
      </c>
      <c r="H3265" s="17"/>
      <c r="I3265" s="4">
        <f t="shared" si="117"/>
        <v>349526.07999999996</v>
      </c>
      <c r="J3265" s="32" t="str">
        <f t="shared" si="118"/>
        <v/>
      </c>
      <c r="K3265" s="79"/>
      <c r="L3265" s="79"/>
      <c r="M3265" s="2"/>
      <c r="N3265" s="5"/>
      <c r="O3265" s="3"/>
      <c r="P3265" s="6"/>
      <c r="Q3265" s="6"/>
    </row>
    <row r="3266" spans="1:17" ht="15" customHeight="1" x14ac:dyDescent="0.25">
      <c r="A3266" s="1"/>
      <c r="B3266" s="17"/>
      <c r="C3266" s="17"/>
      <c r="D3266" s="17"/>
      <c r="E3266" s="17"/>
      <c r="F3266" s="17"/>
      <c r="G3266" s="4">
        <f t="shared" si="116"/>
        <v>0</v>
      </c>
      <c r="H3266" s="17"/>
      <c r="I3266" s="4">
        <f t="shared" si="117"/>
        <v>349526.07999999996</v>
      </c>
      <c r="J3266" s="32" t="str">
        <f t="shared" si="118"/>
        <v/>
      </c>
      <c r="K3266" s="79"/>
      <c r="L3266" s="79"/>
      <c r="M3266" s="2"/>
      <c r="N3266" s="5"/>
      <c r="O3266" s="3"/>
      <c r="P3266" s="6"/>
      <c r="Q3266" s="6"/>
    </row>
    <row r="3267" spans="1:17" ht="15" customHeight="1" x14ac:dyDescent="0.25">
      <c r="A3267" s="1"/>
      <c r="B3267" s="17"/>
      <c r="C3267" s="17"/>
      <c r="D3267" s="17"/>
      <c r="E3267" s="17"/>
      <c r="F3267" s="17"/>
      <c r="G3267" s="4">
        <f t="shared" ref="G3267:G3330" si="119">SUM($B3267:$F3267)</f>
        <v>0</v>
      </c>
      <c r="H3267" s="17"/>
      <c r="I3267" s="4">
        <f t="shared" si="117"/>
        <v>349526.07999999996</v>
      </c>
      <c r="J3267" s="32" t="str">
        <f t="shared" si="118"/>
        <v/>
      </c>
      <c r="K3267" s="79"/>
      <c r="L3267" s="79"/>
      <c r="M3267" s="2"/>
      <c r="N3267" s="5"/>
      <c r="O3267" s="3"/>
      <c r="P3267" s="6"/>
      <c r="Q3267" s="6"/>
    </row>
    <row r="3268" spans="1:17" ht="15" customHeight="1" x14ac:dyDescent="0.25">
      <c r="A3268" s="1"/>
      <c r="B3268" s="17"/>
      <c r="C3268" s="17"/>
      <c r="D3268" s="17"/>
      <c r="E3268" s="17"/>
      <c r="F3268" s="17"/>
      <c r="G3268" s="4">
        <f t="shared" si="119"/>
        <v>0</v>
      </c>
      <c r="H3268" s="17"/>
      <c r="I3268" s="4">
        <f t="shared" si="117"/>
        <v>349526.07999999996</v>
      </c>
      <c r="J3268" s="32" t="str">
        <f t="shared" si="118"/>
        <v/>
      </c>
      <c r="K3268" s="79"/>
      <c r="L3268" s="79"/>
      <c r="M3268" s="2"/>
      <c r="N3268" s="5"/>
      <c r="O3268" s="3"/>
      <c r="P3268" s="6"/>
      <c r="Q3268" s="6"/>
    </row>
    <row r="3269" spans="1:17" ht="15" customHeight="1" x14ac:dyDescent="0.25">
      <c r="A3269" s="1"/>
      <c r="B3269" s="17"/>
      <c r="C3269" s="17"/>
      <c r="D3269" s="17"/>
      <c r="E3269" s="17"/>
      <c r="F3269" s="17"/>
      <c r="G3269" s="4">
        <f t="shared" si="119"/>
        <v>0</v>
      </c>
      <c r="H3269" s="17"/>
      <c r="I3269" s="4">
        <f t="shared" si="117"/>
        <v>349526.07999999996</v>
      </c>
      <c r="J3269" s="32" t="str">
        <f t="shared" si="118"/>
        <v/>
      </c>
      <c r="K3269" s="79"/>
      <c r="L3269" s="79"/>
      <c r="M3269" s="2"/>
      <c r="N3269" s="5"/>
      <c r="O3269" s="3"/>
      <c r="P3269" s="6"/>
      <c r="Q3269" s="6"/>
    </row>
    <row r="3270" spans="1:17" ht="15" customHeight="1" x14ac:dyDescent="0.25">
      <c r="A3270" s="1"/>
      <c r="B3270" s="17"/>
      <c r="C3270" s="17"/>
      <c r="D3270" s="17"/>
      <c r="E3270" s="17"/>
      <c r="F3270" s="17"/>
      <c r="G3270" s="4">
        <f t="shared" si="119"/>
        <v>0</v>
      </c>
      <c r="H3270" s="17"/>
      <c r="I3270" s="4">
        <f t="shared" si="117"/>
        <v>349526.07999999996</v>
      </c>
      <c r="J3270" s="32" t="str">
        <f t="shared" si="118"/>
        <v/>
      </c>
      <c r="K3270" s="79"/>
      <c r="L3270" s="79"/>
      <c r="M3270" s="2"/>
      <c r="N3270" s="5"/>
      <c r="O3270" s="3"/>
      <c r="P3270" s="6"/>
      <c r="Q3270" s="6"/>
    </row>
    <row r="3271" spans="1:17" ht="15" customHeight="1" x14ac:dyDescent="0.25">
      <c r="A3271" s="1"/>
      <c r="B3271" s="17"/>
      <c r="C3271" s="17"/>
      <c r="D3271" s="17"/>
      <c r="E3271" s="17"/>
      <c r="F3271" s="17"/>
      <c r="G3271" s="4">
        <f t="shared" si="119"/>
        <v>0</v>
      </c>
      <c r="H3271" s="17"/>
      <c r="I3271" s="4">
        <f t="shared" si="117"/>
        <v>349526.07999999996</v>
      </c>
      <c r="J3271" s="32" t="str">
        <f t="shared" si="118"/>
        <v/>
      </c>
      <c r="K3271" s="79"/>
      <c r="L3271" s="79"/>
      <c r="M3271" s="2"/>
      <c r="N3271" s="5"/>
      <c r="O3271" s="3"/>
      <c r="P3271" s="6"/>
      <c r="Q3271" s="6"/>
    </row>
    <row r="3272" spans="1:17" ht="15" customHeight="1" x14ac:dyDescent="0.25">
      <c r="A3272" s="1"/>
      <c r="B3272" s="17"/>
      <c r="C3272" s="17"/>
      <c r="D3272" s="17"/>
      <c r="E3272" s="17"/>
      <c r="F3272" s="17"/>
      <c r="G3272" s="4">
        <f t="shared" si="119"/>
        <v>0</v>
      </c>
      <c r="H3272" s="17"/>
      <c r="I3272" s="4">
        <f t="shared" si="117"/>
        <v>349526.07999999996</v>
      </c>
      <c r="J3272" s="32" t="str">
        <f t="shared" si="118"/>
        <v/>
      </c>
      <c r="K3272" s="79"/>
      <c r="L3272" s="79"/>
      <c r="M3272" s="2"/>
      <c r="N3272" s="5"/>
      <c r="O3272" s="3"/>
      <c r="P3272" s="6"/>
      <c r="Q3272" s="6"/>
    </row>
    <row r="3273" spans="1:17" ht="15" customHeight="1" x14ac:dyDescent="0.25">
      <c r="A3273" s="1"/>
      <c r="B3273" s="17"/>
      <c r="C3273" s="17"/>
      <c r="D3273" s="17"/>
      <c r="E3273" s="17"/>
      <c r="F3273" s="17"/>
      <c r="G3273" s="4">
        <f t="shared" si="119"/>
        <v>0</v>
      </c>
      <c r="H3273" s="17"/>
      <c r="I3273" s="4">
        <f t="shared" si="117"/>
        <v>349526.07999999996</v>
      </c>
      <c r="J3273" s="32" t="str">
        <f t="shared" si="118"/>
        <v/>
      </c>
      <c r="K3273" s="79"/>
      <c r="L3273" s="79"/>
      <c r="M3273" s="2"/>
      <c r="N3273" s="5"/>
      <c r="O3273" s="3"/>
      <c r="P3273" s="6"/>
      <c r="Q3273" s="6"/>
    </row>
    <row r="3274" spans="1:17" ht="15" customHeight="1" x14ac:dyDescent="0.25">
      <c r="A3274" s="1"/>
      <c r="B3274" s="17"/>
      <c r="C3274" s="17"/>
      <c r="D3274" s="17"/>
      <c r="E3274" s="17"/>
      <c r="F3274" s="17"/>
      <c r="G3274" s="4">
        <f t="shared" si="119"/>
        <v>0</v>
      </c>
      <c r="H3274" s="17"/>
      <c r="I3274" s="4">
        <f t="shared" si="117"/>
        <v>349526.07999999996</v>
      </c>
      <c r="J3274" s="32" t="str">
        <f t="shared" si="118"/>
        <v/>
      </c>
      <c r="K3274" s="79"/>
      <c r="L3274" s="79"/>
      <c r="M3274" s="2"/>
      <c r="N3274" s="5"/>
      <c r="O3274" s="3"/>
      <c r="P3274" s="6"/>
      <c r="Q3274" s="6"/>
    </row>
    <row r="3275" spans="1:17" ht="15" customHeight="1" x14ac:dyDescent="0.25">
      <c r="A3275" s="1"/>
      <c r="B3275" s="17"/>
      <c r="C3275" s="17"/>
      <c r="D3275" s="17"/>
      <c r="E3275" s="17"/>
      <c r="F3275" s="17"/>
      <c r="G3275" s="4">
        <f t="shared" si="119"/>
        <v>0</v>
      </c>
      <c r="H3275" s="17"/>
      <c r="I3275" s="4">
        <f t="shared" si="117"/>
        <v>349526.07999999996</v>
      </c>
      <c r="J3275" s="32" t="str">
        <f t="shared" si="118"/>
        <v/>
      </c>
      <c r="K3275" s="79"/>
      <c r="L3275" s="79"/>
      <c r="M3275" s="2"/>
      <c r="N3275" s="5"/>
      <c r="O3275" s="3"/>
      <c r="P3275" s="6"/>
      <c r="Q3275" s="6"/>
    </row>
    <row r="3276" spans="1:17" ht="15" customHeight="1" x14ac:dyDescent="0.25">
      <c r="A3276" s="1"/>
      <c r="B3276" s="17"/>
      <c r="C3276" s="17"/>
      <c r="D3276" s="17"/>
      <c r="E3276" s="17"/>
      <c r="F3276" s="17"/>
      <c r="G3276" s="4">
        <f t="shared" si="119"/>
        <v>0</v>
      </c>
      <c r="H3276" s="17"/>
      <c r="I3276" s="4">
        <f t="shared" si="117"/>
        <v>349526.07999999996</v>
      </c>
      <c r="J3276" s="32" t="str">
        <f t="shared" si="118"/>
        <v/>
      </c>
      <c r="K3276" s="79"/>
      <c r="L3276" s="79"/>
      <c r="M3276" s="2"/>
      <c r="N3276" s="5"/>
      <c r="O3276" s="3"/>
      <c r="P3276" s="6"/>
      <c r="Q3276" s="6"/>
    </row>
    <row r="3277" spans="1:17" ht="15" customHeight="1" x14ac:dyDescent="0.25">
      <c r="A3277" s="1"/>
      <c r="B3277" s="17"/>
      <c r="C3277" s="17"/>
      <c r="D3277" s="17"/>
      <c r="E3277" s="17"/>
      <c r="F3277" s="17"/>
      <c r="G3277" s="4">
        <f t="shared" si="119"/>
        <v>0</v>
      </c>
      <c r="H3277" s="17"/>
      <c r="I3277" s="4">
        <f t="shared" si="117"/>
        <v>349526.07999999996</v>
      </c>
      <c r="J3277" s="32" t="str">
        <f t="shared" si="118"/>
        <v/>
      </c>
      <c r="K3277" s="79"/>
      <c r="L3277" s="79"/>
      <c r="M3277" s="2"/>
      <c r="N3277" s="5"/>
      <c r="O3277" s="3"/>
      <c r="P3277" s="6"/>
      <c r="Q3277" s="6"/>
    </row>
    <row r="3278" spans="1:17" ht="15" customHeight="1" x14ac:dyDescent="0.25">
      <c r="A3278" s="1"/>
      <c r="B3278" s="17"/>
      <c r="C3278" s="17"/>
      <c r="D3278" s="17"/>
      <c r="E3278" s="17"/>
      <c r="F3278" s="17"/>
      <c r="G3278" s="4">
        <f t="shared" si="119"/>
        <v>0</v>
      </c>
      <c r="H3278" s="17"/>
      <c r="I3278" s="4">
        <f t="shared" si="117"/>
        <v>349526.07999999996</v>
      </c>
      <c r="J3278" s="32" t="str">
        <f t="shared" si="118"/>
        <v/>
      </c>
      <c r="K3278" s="79"/>
      <c r="L3278" s="79"/>
      <c r="M3278" s="2"/>
      <c r="N3278" s="5"/>
      <c r="O3278" s="3"/>
      <c r="P3278" s="6"/>
      <c r="Q3278" s="6"/>
    </row>
    <row r="3279" spans="1:17" ht="15" customHeight="1" x14ac:dyDescent="0.25">
      <c r="A3279" s="1"/>
      <c r="B3279" s="17"/>
      <c r="C3279" s="17"/>
      <c r="D3279" s="17"/>
      <c r="E3279" s="17"/>
      <c r="F3279" s="17"/>
      <c r="G3279" s="4">
        <f t="shared" si="119"/>
        <v>0</v>
      </c>
      <c r="H3279" s="17"/>
      <c r="I3279" s="4">
        <f t="shared" si="117"/>
        <v>349526.07999999996</v>
      </c>
      <c r="J3279" s="32" t="str">
        <f t="shared" si="118"/>
        <v/>
      </c>
      <c r="K3279" s="79"/>
      <c r="L3279" s="79"/>
      <c r="M3279" s="2"/>
      <c r="N3279" s="5"/>
      <c r="O3279" s="3"/>
      <c r="P3279" s="6"/>
      <c r="Q3279" s="6"/>
    </row>
    <row r="3280" spans="1:17" ht="15" customHeight="1" x14ac:dyDescent="0.25">
      <c r="A3280" s="1"/>
      <c r="B3280" s="17"/>
      <c r="C3280" s="17"/>
      <c r="D3280" s="17"/>
      <c r="E3280" s="17"/>
      <c r="F3280" s="17"/>
      <c r="G3280" s="4">
        <f t="shared" si="119"/>
        <v>0</v>
      </c>
      <c r="H3280" s="17"/>
      <c r="I3280" s="4">
        <f t="shared" si="117"/>
        <v>349526.07999999996</v>
      </c>
      <c r="J3280" s="32" t="str">
        <f t="shared" si="118"/>
        <v/>
      </c>
      <c r="K3280" s="79"/>
      <c r="L3280" s="79"/>
      <c r="M3280" s="2"/>
      <c r="N3280" s="5"/>
      <c r="O3280" s="3"/>
      <c r="P3280" s="6"/>
      <c r="Q3280" s="6"/>
    </row>
    <row r="3281" spans="1:17" ht="15" customHeight="1" x14ac:dyDescent="0.25">
      <c r="A3281" s="1"/>
      <c r="B3281" s="17"/>
      <c r="C3281" s="17"/>
      <c r="D3281" s="17"/>
      <c r="E3281" s="17"/>
      <c r="F3281" s="17"/>
      <c r="G3281" s="4">
        <f t="shared" si="119"/>
        <v>0</v>
      </c>
      <c r="H3281" s="17"/>
      <c r="I3281" s="4">
        <f t="shared" si="117"/>
        <v>349526.07999999996</v>
      </c>
      <c r="J3281" s="32" t="str">
        <f t="shared" si="118"/>
        <v/>
      </c>
      <c r="K3281" s="79"/>
      <c r="L3281" s="79"/>
      <c r="M3281" s="2"/>
      <c r="N3281" s="5"/>
      <c r="O3281" s="3"/>
      <c r="P3281" s="6"/>
      <c r="Q3281" s="6"/>
    </row>
    <row r="3282" spans="1:17" ht="15" customHeight="1" x14ac:dyDescent="0.25">
      <c r="A3282" s="1"/>
      <c r="B3282" s="17"/>
      <c r="C3282" s="17"/>
      <c r="D3282" s="17"/>
      <c r="E3282" s="17"/>
      <c r="F3282" s="17"/>
      <c r="G3282" s="4">
        <f t="shared" si="119"/>
        <v>0</v>
      </c>
      <c r="H3282" s="17"/>
      <c r="I3282" s="4">
        <f t="shared" si="117"/>
        <v>349526.07999999996</v>
      </c>
      <c r="J3282" s="32" t="str">
        <f t="shared" si="118"/>
        <v/>
      </c>
      <c r="K3282" s="79"/>
      <c r="L3282" s="79"/>
      <c r="M3282" s="2"/>
      <c r="N3282" s="5"/>
      <c r="O3282" s="3"/>
      <c r="P3282" s="6"/>
      <c r="Q3282" s="6"/>
    </row>
    <row r="3283" spans="1:17" ht="15" customHeight="1" x14ac:dyDescent="0.25">
      <c r="A3283" s="1"/>
      <c r="B3283" s="17"/>
      <c r="C3283" s="17"/>
      <c r="D3283" s="17"/>
      <c r="E3283" s="17"/>
      <c r="F3283" s="17"/>
      <c r="G3283" s="4">
        <f t="shared" si="119"/>
        <v>0</v>
      </c>
      <c r="H3283" s="17"/>
      <c r="I3283" s="4">
        <f t="shared" si="117"/>
        <v>349526.07999999996</v>
      </c>
      <c r="J3283" s="32" t="str">
        <f t="shared" si="118"/>
        <v/>
      </c>
      <c r="K3283" s="79"/>
      <c r="L3283" s="79"/>
      <c r="M3283" s="2"/>
      <c r="N3283" s="5"/>
      <c r="O3283" s="3"/>
      <c r="P3283" s="6"/>
      <c r="Q3283" s="6"/>
    </row>
    <row r="3284" spans="1:17" ht="15" customHeight="1" x14ac:dyDescent="0.25">
      <c r="A3284" s="1"/>
      <c r="B3284" s="17"/>
      <c r="C3284" s="17"/>
      <c r="D3284" s="17"/>
      <c r="E3284" s="17"/>
      <c r="F3284" s="17"/>
      <c r="G3284" s="4">
        <f t="shared" si="119"/>
        <v>0</v>
      </c>
      <c r="H3284" s="17"/>
      <c r="I3284" s="4">
        <f t="shared" si="117"/>
        <v>349526.07999999996</v>
      </c>
      <c r="J3284" s="32" t="str">
        <f t="shared" si="118"/>
        <v/>
      </c>
      <c r="K3284" s="79"/>
      <c r="L3284" s="79"/>
      <c r="M3284" s="2"/>
      <c r="N3284" s="5"/>
      <c r="O3284" s="3"/>
      <c r="P3284" s="6"/>
      <c r="Q3284" s="6"/>
    </row>
    <row r="3285" spans="1:17" ht="15" customHeight="1" x14ac:dyDescent="0.25">
      <c r="A3285" s="1"/>
      <c r="B3285" s="17"/>
      <c r="C3285" s="17"/>
      <c r="D3285" s="17"/>
      <c r="E3285" s="17"/>
      <c r="F3285" s="17"/>
      <c r="G3285" s="4">
        <f t="shared" si="119"/>
        <v>0</v>
      </c>
      <c r="H3285" s="17"/>
      <c r="I3285" s="4">
        <f t="shared" si="117"/>
        <v>349526.07999999996</v>
      </c>
      <c r="J3285" s="32" t="str">
        <f t="shared" si="118"/>
        <v/>
      </c>
      <c r="K3285" s="79"/>
      <c r="L3285" s="79"/>
      <c r="M3285" s="2"/>
      <c r="N3285" s="5"/>
      <c r="O3285" s="3"/>
      <c r="P3285" s="6"/>
      <c r="Q3285" s="6"/>
    </row>
    <row r="3286" spans="1:17" ht="15" customHeight="1" x14ac:dyDescent="0.25">
      <c r="A3286" s="1"/>
      <c r="B3286" s="17"/>
      <c r="C3286" s="17"/>
      <c r="D3286" s="17"/>
      <c r="E3286" s="17"/>
      <c r="F3286" s="17"/>
      <c r="G3286" s="4">
        <f t="shared" si="119"/>
        <v>0</v>
      </c>
      <c r="H3286" s="17"/>
      <c r="I3286" s="4">
        <f t="shared" si="117"/>
        <v>349526.07999999996</v>
      </c>
      <c r="J3286" s="32" t="str">
        <f t="shared" si="118"/>
        <v/>
      </c>
      <c r="K3286" s="79"/>
      <c r="L3286" s="79"/>
      <c r="M3286" s="2"/>
      <c r="N3286" s="5"/>
      <c r="O3286" s="3"/>
      <c r="P3286" s="6"/>
      <c r="Q3286" s="6"/>
    </row>
    <row r="3287" spans="1:17" ht="15" customHeight="1" x14ac:dyDescent="0.25">
      <c r="A3287" s="1"/>
      <c r="B3287" s="17"/>
      <c r="C3287" s="17"/>
      <c r="D3287" s="17"/>
      <c r="E3287" s="17"/>
      <c r="F3287" s="17"/>
      <c r="G3287" s="4">
        <f t="shared" si="119"/>
        <v>0</v>
      </c>
      <c r="H3287" s="17"/>
      <c r="I3287" s="4">
        <f t="shared" si="117"/>
        <v>349526.07999999996</v>
      </c>
      <c r="J3287" s="32" t="str">
        <f t="shared" si="118"/>
        <v/>
      </c>
      <c r="K3287" s="79"/>
      <c r="L3287" s="79"/>
      <c r="M3287" s="2"/>
      <c r="N3287" s="5"/>
      <c r="O3287" s="3"/>
      <c r="P3287" s="6"/>
      <c r="Q3287" s="6"/>
    </row>
    <row r="3288" spans="1:17" ht="15" customHeight="1" x14ac:dyDescent="0.25">
      <c r="A3288" s="1"/>
      <c r="B3288" s="17"/>
      <c r="C3288" s="17"/>
      <c r="D3288" s="17"/>
      <c r="E3288" s="17"/>
      <c r="F3288" s="17"/>
      <c r="G3288" s="4">
        <f t="shared" si="119"/>
        <v>0</v>
      </c>
      <c r="H3288" s="17"/>
      <c r="I3288" s="4">
        <f t="shared" si="117"/>
        <v>349526.07999999996</v>
      </c>
      <c r="J3288" s="32" t="str">
        <f t="shared" si="118"/>
        <v/>
      </c>
      <c r="K3288" s="79"/>
      <c r="L3288" s="79"/>
      <c r="M3288" s="2"/>
      <c r="N3288" s="5"/>
      <c r="O3288" s="3"/>
      <c r="P3288" s="6"/>
      <c r="Q3288" s="6"/>
    </row>
    <row r="3289" spans="1:17" ht="15" customHeight="1" x14ac:dyDescent="0.25">
      <c r="A3289" s="1"/>
      <c r="B3289" s="17"/>
      <c r="C3289" s="17"/>
      <c r="D3289" s="17"/>
      <c r="E3289" s="17"/>
      <c r="F3289" s="17"/>
      <c r="G3289" s="4">
        <f t="shared" si="119"/>
        <v>0</v>
      </c>
      <c r="H3289" s="17"/>
      <c r="I3289" s="4">
        <f t="shared" si="117"/>
        <v>349526.07999999996</v>
      </c>
      <c r="J3289" s="32" t="str">
        <f t="shared" si="118"/>
        <v/>
      </c>
      <c r="K3289" s="79"/>
      <c r="L3289" s="79"/>
      <c r="M3289" s="2"/>
      <c r="N3289" s="5"/>
      <c r="O3289" s="3"/>
      <c r="P3289" s="6"/>
      <c r="Q3289" s="6"/>
    </row>
    <row r="3290" spans="1:17" ht="15" customHeight="1" x14ac:dyDescent="0.25">
      <c r="A3290" s="1"/>
      <c r="B3290" s="17"/>
      <c r="C3290" s="17"/>
      <c r="D3290" s="17"/>
      <c r="E3290" s="17"/>
      <c r="F3290" s="17"/>
      <c r="G3290" s="4">
        <f t="shared" si="119"/>
        <v>0</v>
      </c>
      <c r="H3290" s="17"/>
      <c r="I3290" s="4">
        <f t="shared" si="117"/>
        <v>349526.07999999996</v>
      </c>
      <c r="J3290" s="32" t="str">
        <f t="shared" si="118"/>
        <v/>
      </c>
      <c r="K3290" s="79"/>
      <c r="L3290" s="79"/>
      <c r="M3290" s="2"/>
      <c r="N3290" s="5"/>
      <c r="O3290" s="3"/>
      <c r="P3290" s="6"/>
      <c r="Q3290" s="6"/>
    </row>
    <row r="3291" spans="1:17" ht="15" customHeight="1" x14ac:dyDescent="0.25">
      <c r="A3291" s="1"/>
      <c r="B3291" s="17"/>
      <c r="C3291" s="17"/>
      <c r="D3291" s="17"/>
      <c r="E3291" s="17"/>
      <c r="F3291" s="17"/>
      <c r="G3291" s="4">
        <f t="shared" si="119"/>
        <v>0</v>
      </c>
      <c r="H3291" s="17"/>
      <c r="I3291" s="4">
        <f t="shared" si="117"/>
        <v>349526.07999999996</v>
      </c>
      <c r="J3291" s="32" t="str">
        <f t="shared" si="118"/>
        <v/>
      </c>
      <c r="K3291" s="79"/>
      <c r="L3291" s="79"/>
      <c r="M3291" s="2"/>
      <c r="N3291" s="5"/>
      <c r="O3291" s="3"/>
      <c r="P3291" s="6"/>
      <c r="Q3291" s="6"/>
    </row>
    <row r="3292" spans="1:17" ht="15" customHeight="1" x14ac:dyDescent="0.25">
      <c r="A3292" s="1"/>
      <c r="B3292" s="17"/>
      <c r="C3292" s="17"/>
      <c r="D3292" s="17"/>
      <c r="E3292" s="17"/>
      <c r="F3292" s="17"/>
      <c r="G3292" s="4">
        <f t="shared" si="119"/>
        <v>0</v>
      </c>
      <c r="H3292" s="17"/>
      <c r="I3292" s="4">
        <f t="shared" si="117"/>
        <v>349526.07999999996</v>
      </c>
      <c r="J3292" s="32" t="str">
        <f t="shared" si="118"/>
        <v/>
      </c>
      <c r="K3292" s="79"/>
      <c r="L3292" s="79"/>
      <c r="M3292" s="2"/>
      <c r="N3292" s="5"/>
      <c r="O3292" s="3"/>
      <c r="P3292" s="6"/>
      <c r="Q3292" s="6"/>
    </row>
    <row r="3293" spans="1:17" ht="15" customHeight="1" x14ac:dyDescent="0.25">
      <c r="A3293" s="1"/>
      <c r="B3293" s="17"/>
      <c r="C3293" s="17"/>
      <c r="D3293" s="17"/>
      <c r="E3293" s="17"/>
      <c r="F3293" s="17"/>
      <c r="G3293" s="4">
        <f t="shared" si="119"/>
        <v>0</v>
      </c>
      <c r="H3293" s="17"/>
      <c r="I3293" s="4">
        <f t="shared" si="117"/>
        <v>349526.07999999996</v>
      </c>
      <c r="J3293" s="32" t="str">
        <f t="shared" si="118"/>
        <v/>
      </c>
      <c r="K3293" s="79"/>
      <c r="L3293" s="79"/>
      <c r="M3293" s="2"/>
      <c r="N3293" s="5"/>
      <c r="O3293" s="3"/>
      <c r="P3293" s="6"/>
      <c r="Q3293" s="6"/>
    </row>
    <row r="3294" spans="1:17" ht="15" customHeight="1" x14ac:dyDescent="0.25">
      <c r="A3294" s="1"/>
      <c r="B3294" s="17"/>
      <c r="C3294" s="17"/>
      <c r="D3294" s="17"/>
      <c r="E3294" s="17"/>
      <c r="F3294" s="17"/>
      <c r="G3294" s="4">
        <f t="shared" si="119"/>
        <v>0</v>
      </c>
      <c r="H3294" s="17"/>
      <c r="I3294" s="4">
        <f t="shared" si="117"/>
        <v>349526.07999999996</v>
      </c>
      <c r="J3294" s="32" t="str">
        <f t="shared" si="118"/>
        <v/>
      </c>
      <c r="K3294" s="79"/>
      <c r="L3294" s="79"/>
      <c r="M3294" s="2"/>
      <c r="N3294" s="5"/>
      <c r="O3294" s="3"/>
      <c r="P3294" s="6"/>
      <c r="Q3294" s="6"/>
    </row>
    <row r="3295" spans="1:17" ht="15" customHeight="1" x14ac:dyDescent="0.25">
      <c r="A3295" s="1"/>
      <c r="B3295" s="17"/>
      <c r="C3295" s="17"/>
      <c r="D3295" s="17"/>
      <c r="E3295" s="17"/>
      <c r="F3295" s="17"/>
      <c r="G3295" s="4">
        <f t="shared" si="119"/>
        <v>0</v>
      </c>
      <c r="H3295" s="17"/>
      <c r="I3295" s="4">
        <f t="shared" si="117"/>
        <v>349526.07999999996</v>
      </c>
      <c r="J3295" s="32" t="str">
        <f t="shared" si="118"/>
        <v/>
      </c>
      <c r="K3295" s="79"/>
      <c r="L3295" s="79"/>
      <c r="M3295" s="2"/>
      <c r="N3295" s="5"/>
      <c r="O3295" s="3"/>
      <c r="P3295" s="6"/>
      <c r="Q3295" s="6"/>
    </row>
    <row r="3296" spans="1:17" ht="15" customHeight="1" x14ac:dyDescent="0.25">
      <c r="A3296" s="1"/>
      <c r="B3296" s="17"/>
      <c r="C3296" s="17"/>
      <c r="D3296" s="17"/>
      <c r="E3296" s="17"/>
      <c r="F3296" s="17"/>
      <c r="G3296" s="4">
        <f t="shared" si="119"/>
        <v>0</v>
      </c>
      <c r="H3296" s="17"/>
      <c r="I3296" s="4">
        <f t="shared" si="117"/>
        <v>349526.07999999996</v>
      </c>
      <c r="J3296" s="32" t="str">
        <f t="shared" si="118"/>
        <v/>
      </c>
      <c r="K3296" s="79"/>
      <c r="L3296" s="79"/>
      <c r="M3296" s="2"/>
      <c r="N3296" s="5"/>
      <c r="O3296" s="3"/>
      <c r="P3296" s="6"/>
      <c r="Q3296" s="6"/>
    </row>
    <row r="3297" spans="1:17" ht="15" customHeight="1" x14ac:dyDescent="0.25">
      <c r="A3297" s="1"/>
      <c r="B3297" s="17"/>
      <c r="C3297" s="17"/>
      <c r="D3297" s="17"/>
      <c r="E3297" s="17"/>
      <c r="F3297" s="17"/>
      <c r="G3297" s="4">
        <f t="shared" si="119"/>
        <v>0</v>
      </c>
      <c r="H3297" s="17"/>
      <c r="I3297" s="4">
        <f t="shared" si="117"/>
        <v>349526.07999999996</v>
      </c>
      <c r="J3297" s="32" t="str">
        <f t="shared" si="118"/>
        <v/>
      </c>
      <c r="K3297" s="79"/>
      <c r="L3297" s="79"/>
      <c r="M3297" s="2"/>
      <c r="N3297" s="5"/>
      <c r="O3297" s="3"/>
      <c r="P3297" s="6"/>
      <c r="Q3297" s="6"/>
    </row>
    <row r="3298" spans="1:17" ht="15" customHeight="1" x14ac:dyDescent="0.25">
      <c r="A3298" s="1"/>
      <c r="B3298" s="17"/>
      <c r="C3298" s="17"/>
      <c r="D3298" s="17"/>
      <c r="E3298" s="17"/>
      <c r="F3298" s="17"/>
      <c r="G3298" s="4">
        <f t="shared" si="119"/>
        <v>0</v>
      </c>
      <c r="H3298" s="17"/>
      <c r="I3298" s="4">
        <f t="shared" si="117"/>
        <v>349526.07999999996</v>
      </c>
      <c r="J3298" s="32" t="str">
        <f t="shared" si="118"/>
        <v/>
      </c>
      <c r="K3298" s="79"/>
      <c r="L3298" s="79"/>
      <c r="M3298" s="2"/>
      <c r="N3298" s="5"/>
      <c r="O3298" s="3"/>
      <c r="P3298" s="6"/>
      <c r="Q3298" s="6"/>
    </row>
    <row r="3299" spans="1:17" ht="15" customHeight="1" x14ac:dyDescent="0.25">
      <c r="A3299" s="1"/>
      <c r="B3299" s="17"/>
      <c r="C3299" s="17"/>
      <c r="D3299" s="17"/>
      <c r="E3299" s="17"/>
      <c r="F3299" s="17"/>
      <c r="G3299" s="4">
        <f t="shared" si="119"/>
        <v>0</v>
      </c>
      <c r="H3299" s="17"/>
      <c r="I3299" s="4">
        <f t="shared" si="117"/>
        <v>349526.07999999996</v>
      </c>
      <c r="J3299" s="32" t="str">
        <f t="shared" si="118"/>
        <v/>
      </c>
      <c r="K3299" s="79"/>
      <c r="L3299" s="79"/>
      <c r="M3299" s="2"/>
      <c r="N3299" s="5"/>
      <c r="O3299" s="3"/>
      <c r="P3299" s="6"/>
      <c r="Q3299" s="6"/>
    </row>
    <row r="3300" spans="1:17" ht="15" customHeight="1" x14ac:dyDescent="0.25">
      <c r="A3300" s="1"/>
      <c r="B3300" s="17"/>
      <c r="C3300" s="17"/>
      <c r="D3300" s="17"/>
      <c r="E3300" s="17"/>
      <c r="F3300" s="17"/>
      <c r="G3300" s="4">
        <f t="shared" si="119"/>
        <v>0</v>
      </c>
      <c r="H3300" s="17"/>
      <c r="I3300" s="4">
        <f t="shared" si="117"/>
        <v>349526.07999999996</v>
      </c>
      <c r="J3300" s="32" t="str">
        <f t="shared" si="118"/>
        <v/>
      </c>
      <c r="K3300" s="79"/>
      <c r="L3300" s="79"/>
      <c r="M3300" s="2"/>
      <c r="N3300" s="5"/>
      <c r="O3300" s="3"/>
      <c r="P3300" s="6"/>
      <c r="Q3300" s="6"/>
    </row>
    <row r="3301" spans="1:17" ht="15" customHeight="1" x14ac:dyDescent="0.25">
      <c r="A3301" s="1"/>
      <c r="B3301" s="17"/>
      <c r="C3301" s="17"/>
      <c r="D3301" s="17"/>
      <c r="E3301" s="17"/>
      <c r="F3301" s="17"/>
      <c r="G3301" s="4">
        <f t="shared" si="119"/>
        <v>0</v>
      </c>
      <c r="H3301" s="17"/>
      <c r="I3301" s="4">
        <f t="shared" si="117"/>
        <v>349526.07999999996</v>
      </c>
      <c r="J3301" s="32" t="str">
        <f t="shared" si="118"/>
        <v/>
      </c>
      <c r="K3301" s="79"/>
      <c r="L3301" s="79"/>
      <c r="M3301" s="2"/>
      <c r="N3301" s="5"/>
      <c r="O3301" s="3"/>
      <c r="P3301" s="6"/>
      <c r="Q3301" s="6"/>
    </row>
    <row r="3302" spans="1:17" ht="15" customHeight="1" x14ac:dyDescent="0.25">
      <c r="A3302" s="1"/>
      <c r="B3302" s="17"/>
      <c r="C3302" s="17"/>
      <c r="D3302" s="17"/>
      <c r="E3302" s="17"/>
      <c r="F3302" s="17"/>
      <c r="G3302" s="4">
        <f t="shared" si="119"/>
        <v>0</v>
      </c>
      <c r="H3302" s="17"/>
      <c r="I3302" s="4">
        <f t="shared" si="117"/>
        <v>349526.07999999996</v>
      </c>
      <c r="J3302" s="32" t="str">
        <f t="shared" si="118"/>
        <v/>
      </c>
      <c r="K3302" s="79"/>
      <c r="L3302" s="79"/>
      <c r="M3302" s="2"/>
      <c r="N3302" s="5"/>
      <c r="O3302" s="3"/>
      <c r="P3302" s="6"/>
      <c r="Q3302" s="6"/>
    </row>
    <row r="3303" spans="1:17" ht="15" customHeight="1" x14ac:dyDescent="0.25">
      <c r="A3303" s="1"/>
      <c r="B3303" s="17"/>
      <c r="C3303" s="17"/>
      <c r="D3303" s="17"/>
      <c r="E3303" s="17"/>
      <c r="F3303" s="17"/>
      <c r="G3303" s="4">
        <f t="shared" si="119"/>
        <v>0</v>
      </c>
      <c r="H3303" s="17"/>
      <c r="I3303" s="4">
        <f t="shared" si="117"/>
        <v>349526.07999999996</v>
      </c>
      <c r="J3303" s="32" t="str">
        <f t="shared" si="118"/>
        <v/>
      </c>
      <c r="K3303" s="79"/>
      <c r="L3303" s="79"/>
      <c r="M3303" s="2"/>
      <c r="N3303" s="5"/>
      <c r="O3303" s="3"/>
      <c r="P3303" s="6"/>
      <c r="Q3303" s="6"/>
    </row>
    <row r="3304" spans="1:17" ht="15" customHeight="1" x14ac:dyDescent="0.25">
      <c r="A3304" s="1"/>
      <c r="B3304" s="17"/>
      <c r="C3304" s="17"/>
      <c r="D3304" s="17"/>
      <c r="E3304" s="17"/>
      <c r="F3304" s="17"/>
      <c r="G3304" s="4">
        <f t="shared" si="119"/>
        <v>0</v>
      </c>
      <c r="H3304" s="17"/>
      <c r="I3304" s="4">
        <f t="shared" si="117"/>
        <v>349526.07999999996</v>
      </c>
      <c r="J3304" s="32" t="str">
        <f t="shared" si="118"/>
        <v/>
      </c>
      <c r="K3304" s="79"/>
      <c r="L3304" s="79"/>
      <c r="M3304" s="2"/>
      <c r="N3304" s="5"/>
      <c r="O3304" s="3"/>
      <c r="P3304" s="6"/>
      <c r="Q3304" s="6"/>
    </row>
    <row r="3305" spans="1:17" ht="15" customHeight="1" x14ac:dyDescent="0.25">
      <c r="A3305" s="1"/>
      <c r="B3305" s="17"/>
      <c r="C3305" s="17"/>
      <c r="D3305" s="17"/>
      <c r="E3305" s="17"/>
      <c r="F3305" s="17"/>
      <c r="G3305" s="4">
        <f t="shared" si="119"/>
        <v>0</v>
      </c>
      <c r="H3305" s="17"/>
      <c r="I3305" s="4">
        <f t="shared" si="117"/>
        <v>349526.07999999996</v>
      </c>
      <c r="J3305" s="32" t="str">
        <f t="shared" si="118"/>
        <v/>
      </c>
      <c r="K3305" s="79"/>
      <c r="L3305" s="79"/>
      <c r="M3305" s="2"/>
      <c r="N3305" s="5"/>
      <c r="O3305" s="3"/>
      <c r="P3305" s="6"/>
      <c r="Q3305" s="6"/>
    </row>
    <row r="3306" spans="1:17" ht="15" customHeight="1" x14ac:dyDescent="0.25">
      <c r="A3306" s="1"/>
      <c r="B3306" s="17"/>
      <c r="C3306" s="17"/>
      <c r="D3306" s="17"/>
      <c r="E3306" s="17"/>
      <c r="F3306" s="17"/>
      <c r="G3306" s="4">
        <f t="shared" si="119"/>
        <v>0</v>
      </c>
      <c r="H3306" s="17"/>
      <c r="I3306" s="4">
        <f t="shared" si="117"/>
        <v>349526.07999999996</v>
      </c>
      <c r="J3306" s="32" t="str">
        <f t="shared" si="118"/>
        <v/>
      </c>
      <c r="K3306" s="79"/>
      <c r="L3306" s="79"/>
      <c r="M3306" s="2"/>
      <c r="N3306" s="5"/>
      <c r="O3306" s="3"/>
      <c r="P3306" s="6"/>
      <c r="Q3306" s="6"/>
    </row>
    <row r="3307" spans="1:17" ht="15" customHeight="1" x14ac:dyDescent="0.25">
      <c r="A3307" s="1"/>
      <c r="B3307" s="17"/>
      <c r="C3307" s="17"/>
      <c r="D3307" s="17"/>
      <c r="E3307" s="17"/>
      <c r="F3307" s="17"/>
      <c r="G3307" s="4">
        <f t="shared" si="119"/>
        <v>0</v>
      </c>
      <c r="H3307" s="17"/>
      <c r="I3307" s="4">
        <f t="shared" si="117"/>
        <v>349526.07999999996</v>
      </c>
      <c r="J3307" s="32" t="str">
        <f t="shared" si="118"/>
        <v/>
      </c>
      <c r="K3307" s="79"/>
      <c r="L3307" s="79"/>
      <c r="M3307" s="2"/>
      <c r="N3307" s="5"/>
      <c r="O3307" s="3"/>
      <c r="P3307" s="6"/>
      <c r="Q3307" s="6"/>
    </row>
    <row r="3308" spans="1:17" ht="15" customHeight="1" x14ac:dyDescent="0.25">
      <c r="A3308" s="1"/>
      <c r="B3308" s="17"/>
      <c r="C3308" s="17"/>
      <c r="D3308" s="17"/>
      <c r="E3308" s="17"/>
      <c r="F3308" s="17"/>
      <c r="G3308" s="4">
        <f t="shared" si="119"/>
        <v>0</v>
      </c>
      <c r="H3308" s="17"/>
      <c r="I3308" s="4">
        <f t="shared" si="117"/>
        <v>349526.07999999996</v>
      </c>
      <c r="J3308" s="32" t="str">
        <f t="shared" si="118"/>
        <v/>
      </c>
      <c r="K3308" s="79"/>
      <c r="L3308" s="79"/>
      <c r="M3308" s="2"/>
      <c r="N3308" s="5"/>
      <c r="O3308" s="3"/>
      <c r="P3308" s="6"/>
      <c r="Q3308" s="6"/>
    </row>
    <row r="3309" spans="1:17" ht="15" customHeight="1" x14ac:dyDescent="0.25">
      <c r="A3309" s="1"/>
      <c r="B3309" s="17"/>
      <c r="C3309" s="17"/>
      <c r="D3309" s="17"/>
      <c r="E3309" s="17"/>
      <c r="F3309" s="17"/>
      <c r="G3309" s="4">
        <f t="shared" si="119"/>
        <v>0</v>
      </c>
      <c r="H3309" s="17"/>
      <c r="I3309" s="4">
        <f t="shared" si="117"/>
        <v>349526.07999999996</v>
      </c>
      <c r="J3309" s="32" t="str">
        <f t="shared" si="118"/>
        <v/>
      </c>
      <c r="K3309" s="79"/>
      <c r="L3309" s="79"/>
      <c r="M3309" s="2"/>
      <c r="N3309" s="5"/>
      <c r="O3309" s="3"/>
      <c r="P3309" s="6"/>
      <c r="Q3309" s="6"/>
    </row>
    <row r="3310" spans="1:17" ht="15" customHeight="1" x14ac:dyDescent="0.25">
      <c r="A3310" s="1"/>
      <c r="B3310" s="17"/>
      <c r="C3310" s="17"/>
      <c r="D3310" s="17"/>
      <c r="E3310" s="17"/>
      <c r="F3310" s="17"/>
      <c r="G3310" s="4">
        <f t="shared" si="119"/>
        <v>0</v>
      </c>
      <c r="H3310" s="17"/>
      <c r="I3310" s="4">
        <f t="shared" si="117"/>
        <v>349526.07999999996</v>
      </c>
      <c r="J3310" s="32" t="str">
        <f t="shared" si="118"/>
        <v/>
      </c>
      <c r="K3310" s="79"/>
      <c r="L3310" s="79"/>
      <c r="M3310" s="2"/>
      <c r="N3310" s="5"/>
      <c r="O3310" s="3"/>
      <c r="P3310" s="6"/>
      <c r="Q3310" s="6"/>
    </row>
    <row r="3311" spans="1:17" ht="15" customHeight="1" x14ac:dyDescent="0.25">
      <c r="A3311" s="1"/>
      <c r="B3311" s="17"/>
      <c r="C3311" s="17"/>
      <c r="D3311" s="17"/>
      <c r="E3311" s="17"/>
      <c r="F3311" s="17"/>
      <c r="G3311" s="4">
        <f t="shared" si="119"/>
        <v>0</v>
      </c>
      <c r="H3311" s="17"/>
      <c r="I3311" s="4">
        <f t="shared" si="117"/>
        <v>349526.07999999996</v>
      </c>
      <c r="J3311" s="32" t="str">
        <f t="shared" si="118"/>
        <v/>
      </c>
      <c r="K3311" s="79"/>
      <c r="L3311" s="79"/>
      <c r="M3311" s="2"/>
      <c r="N3311" s="5"/>
      <c r="O3311" s="3"/>
      <c r="P3311" s="6"/>
      <c r="Q3311" s="6"/>
    </row>
    <row r="3312" spans="1:17" ht="15" customHeight="1" x14ac:dyDescent="0.25">
      <c r="A3312" s="1"/>
      <c r="B3312" s="17"/>
      <c r="C3312" s="17"/>
      <c r="D3312" s="17"/>
      <c r="E3312" s="17"/>
      <c r="F3312" s="17"/>
      <c r="G3312" s="4">
        <f t="shared" si="119"/>
        <v>0</v>
      </c>
      <c r="H3312" s="17"/>
      <c r="I3312" s="4">
        <f t="shared" si="117"/>
        <v>349526.07999999996</v>
      </c>
      <c r="J3312" s="32" t="str">
        <f t="shared" si="118"/>
        <v/>
      </c>
      <c r="K3312" s="79"/>
      <c r="L3312" s="79"/>
      <c r="M3312" s="2"/>
      <c r="N3312" s="5"/>
      <c r="O3312" s="3"/>
      <c r="P3312" s="6"/>
      <c r="Q3312" s="6"/>
    </row>
    <row r="3313" spans="1:17" ht="15" customHeight="1" x14ac:dyDescent="0.25">
      <c r="A3313" s="1"/>
      <c r="B3313" s="17"/>
      <c r="C3313" s="17"/>
      <c r="D3313" s="17"/>
      <c r="E3313" s="17"/>
      <c r="F3313" s="17"/>
      <c r="G3313" s="4">
        <f t="shared" si="119"/>
        <v>0</v>
      </c>
      <c r="H3313" s="17"/>
      <c r="I3313" s="4">
        <f t="shared" si="117"/>
        <v>349526.07999999996</v>
      </c>
      <c r="J3313" s="32" t="str">
        <f t="shared" si="118"/>
        <v/>
      </c>
      <c r="K3313" s="79"/>
      <c r="L3313" s="79"/>
      <c r="M3313" s="2"/>
      <c r="N3313" s="5"/>
      <c r="O3313" s="3"/>
      <c r="P3313" s="6"/>
      <c r="Q3313" s="6"/>
    </row>
    <row r="3314" spans="1:17" ht="15" customHeight="1" x14ac:dyDescent="0.25">
      <c r="A3314" s="1"/>
      <c r="B3314" s="17"/>
      <c r="C3314" s="17"/>
      <c r="D3314" s="17"/>
      <c r="E3314" s="17"/>
      <c r="F3314" s="17"/>
      <c r="G3314" s="4">
        <f t="shared" si="119"/>
        <v>0</v>
      </c>
      <c r="H3314" s="17"/>
      <c r="I3314" s="4">
        <f t="shared" si="117"/>
        <v>349526.07999999996</v>
      </c>
      <c r="J3314" s="32" t="str">
        <f t="shared" si="118"/>
        <v/>
      </c>
      <c r="K3314" s="79"/>
      <c r="L3314" s="79"/>
      <c r="M3314" s="2"/>
      <c r="N3314" s="5"/>
      <c r="O3314" s="3"/>
      <c r="P3314" s="6"/>
      <c r="Q3314" s="6"/>
    </row>
    <row r="3315" spans="1:17" ht="15" customHeight="1" x14ac:dyDescent="0.25">
      <c r="A3315" s="1"/>
      <c r="B3315" s="17"/>
      <c r="C3315" s="17"/>
      <c r="D3315" s="17"/>
      <c r="E3315" s="17"/>
      <c r="F3315" s="17"/>
      <c r="G3315" s="4">
        <f t="shared" si="119"/>
        <v>0</v>
      </c>
      <c r="H3315" s="17"/>
      <c r="I3315" s="4">
        <f t="shared" si="117"/>
        <v>349526.07999999996</v>
      </c>
      <c r="J3315" s="32" t="str">
        <f t="shared" si="118"/>
        <v/>
      </c>
      <c r="K3315" s="79"/>
      <c r="L3315" s="79"/>
      <c r="M3315" s="2"/>
      <c r="N3315" s="5"/>
      <c r="O3315" s="3"/>
      <c r="P3315" s="6"/>
      <c r="Q3315" s="6"/>
    </row>
    <row r="3316" spans="1:17" ht="15" customHeight="1" x14ac:dyDescent="0.25">
      <c r="A3316" s="1"/>
      <c r="B3316" s="17"/>
      <c r="C3316" s="17"/>
      <c r="D3316" s="17"/>
      <c r="E3316" s="17"/>
      <c r="F3316" s="17"/>
      <c r="G3316" s="4">
        <f t="shared" si="119"/>
        <v>0</v>
      </c>
      <c r="H3316" s="17"/>
      <c r="I3316" s="4">
        <f t="shared" si="117"/>
        <v>349526.07999999996</v>
      </c>
      <c r="J3316" s="32" t="str">
        <f t="shared" si="118"/>
        <v/>
      </c>
      <c r="K3316" s="79"/>
      <c r="L3316" s="79"/>
      <c r="M3316" s="2"/>
      <c r="N3316" s="5"/>
      <c r="O3316" s="3"/>
      <c r="P3316" s="6"/>
      <c r="Q3316" s="6"/>
    </row>
    <row r="3317" spans="1:17" ht="15" customHeight="1" x14ac:dyDescent="0.25">
      <c r="A3317" s="1"/>
      <c r="B3317" s="17"/>
      <c r="C3317" s="17"/>
      <c r="D3317" s="17"/>
      <c r="E3317" s="17"/>
      <c r="F3317" s="17"/>
      <c r="G3317" s="4">
        <f t="shared" si="119"/>
        <v>0</v>
      </c>
      <c r="H3317" s="17"/>
      <c r="I3317" s="4">
        <f t="shared" si="117"/>
        <v>349526.07999999996</v>
      </c>
      <c r="J3317" s="32" t="str">
        <f t="shared" si="118"/>
        <v/>
      </c>
      <c r="K3317" s="79"/>
      <c r="L3317" s="79"/>
      <c r="M3317" s="2"/>
      <c r="N3317" s="5"/>
      <c r="O3317" s="3"/>
      <c r="P3317" s="6"/>
      <c r="Q3317" s="6"/>
    </row>
    <row r="3318" spans="1:17" ht="15" customHeight="1" x14ac:dyDescent="0.25">
      <c r="A3318" s="1"/>
      <c r="B3318" s="17"/>
      <c r="C3318" s="17"/>
      <c r="D3318" s="17"/>
      <c r="E3318" s="17"/>
      <c r="F3318" s="17"/>
      <c r="G3318" s="4">
        <f t="shared" si="119"/>
        <v>0</v>
      </c>
      <c r="H3318" s="17"/>
      <c r="I3318" s="4">
        <f t="shared" ref="I3318:I3381" si="120">$I3317+$G3318-$H3318</f>
        <v>349526.07999999996</v>
      </c>
      <c r="J3318" s="32" t="str">
        <f t="shared" ref="J3318:J3381" si="121">IF($A3319&lt;&gt;$A3318,$I3318,"")</f>
        <v/>
      </c>
      <c r="K3318" s="79"/>
      <c r="L3318" s="79"/>
      <c r="M3318" s="2"/>
      <c r="N3318" s="5"/>
      <c r="O3318" s="3"/>
      <c r="P3318" s="6"/>
      <c r="Q3318" s="6"/>
    </row>
    <row r="3319" spans="1:17" ht="15" customHeight="1" x14ac:dyDescent="0.25">
      <c r="A3319" s="1"/>
      <c r="B3319" s="17"/>
      <c r="C3319" s="17"/>
      <c r="D3319" s="17"/>
      <c r="E3319" s="17"/>
      <c r="F3319" s="17"/>
      <c r="G3319" s="4">
        <f t="shared" si="119"/>
        <v>0</v>
      </c>
      <c r="H3319" s="17"/>
      <c r="I3319" s="4">
        <f t="shared" si="120"/>
        <v>349526.07999999996</v>
      </c>
      <c r="J3319" s="32" t="str">
        <f t="shared" si="121"/>
        <v/>
      </c>
      <c r="K3319" s="79"/>
      <c r="L3319" s="79"/>
      <c r="M3319" s="2"/>
      <c r="N3319" s="5"/>
      <c r="O3319" s="3"/>
      <c r="P3319" s="6"/>
      <c r="Q3319" s="6"/>
    </row>
    <row r="3320" spans="1:17" ht="15" customHeight="1" x14ac:dyDescent="0.25">
      <c r="A3320" s="1"/>
      <c r="B3320" s="17"/>
      <c r="C3320" s="17"/>
      <c r="D3320" s="17"/>
      <c r="E3320" s="17"/>
      <c r="F3320" s="17"/>
      <c r="G3320" s="4">
        <f t="shared" si="119"/>
        <v>0</v>
      </c>
      <c r="H3320" s="17"/>
      <c r="I3320" s="4">
        <f t="shared" si="120"/>
        <v>349526.07999999996</v>
      </c>
      <c r="J3320" s="32" t="str">
        <f t="shared" si="121"/>
        <v/>
      </c>
      <c r="K3320" s="79"/>
      <c r="L3320" s="79"/>
      <c r="M3320" s="2"/>
      <c r="N3320" s="5"/>
      <c r="O3320" s="3"/>
      <c r="P3320" s="6"/>
      <c r="Q3320" s="6"/>
    </row>
    <row r="3321" spans="1:17" ht="15" customHeight="1" x14ac:dyDescent="0.25">
      <c r="A3321" s="1"/>
      <c r="B3321" s="17"/>
      <c r="C3321" s="17"/>
      <c r="D3321" s="17"/>
      <c r="E3321" s="17"/>
      <c r="F3321" s="17"/>
      <c r="G3321" s="4">
        <f t="shared" si="119"/>
        <v>0</v>
      </c>
      <c r="H3321" s="17"/>
      <c r="I3321" s="4">
        <f t="shared" si="120"/>
        <v>349526.07999999996</v>
      </c>
      <c r="J3321" s="32" t="str">
        <f t="shared" si="121"/>
        <v/>
      </c>
      <c r="K3321" s="79"/>
      <c r="L3321" s="79"/>
      <c r="M3321" s="2"/>
      <c r="N3321" s="5"/>
      <c r="O3321" s="3"/>
      <c r="P3321" s="6"/>
      <c r="Q3321" s="6"/>
    </row>
    <row r="3322" spans="1:17" ht="15" customHeight="1" x14ac:dyDescent="0.25">
      <c r="A3322" s="1"/>
      <c r="B3322" s="17"/>
      <c r="C3322" s="17"/>
      <c r="D3322" s="17"/>
      <c r="E3322" s="17"/>
      <c r="F3322" s="17"/>
      <c r="G3322" s="4">
        <f t="shared" si="119"/>
        <v>0</v>
      </c>
      <c r="H3322" s="17"/>
      <c r="I3322" s="4">
        <f t="shared" si="120"/>
        <v>349526.07999999996</v>
      </c>
      <c r="J3322" s="32" t="str">
        <f t="shared" si="121"/>
        <v/>
      </c>
      <c r="K3322" s="79"/>
      <c r="L3322" s="79"/>
      <c r="M3322" s="2"/>
      <c r="N3322" s="5"/>
      <c r="O3322" s="3"/>
      <c r="P3322" s="6"/>
      <c r="Q3322" s="6"/>
    </row>
    <row r="3323" spans="1:17" ht="15" customHeight="1" x14ac:dyDescent="0.25">
      <c r="A3323" s="1"/>
      <c r="B3323" s="17"/>
      <c r="C3323" s="17"/>
      <c r="D3323" s="17"/>
      <c r="E3323" s="17"/>
      <c r="F3323" s="17"/>
      <c r="G3323" s="4">
        <f t="shared" si="119"/>
        <v>0</v>
      </c>
      <c r="H3323" s="17"/>
      <c r="I3323" s="4">
        <f t="shared" si="120"/>
        <v>349526.07999999996</v>
      </c>
      <c r="J3323" s="32" t="str">
        <f t="shared" si="121"/>
        <v/>
      </c>
      <c r="K3323" s="79"/>
      <c r="L3323" s="79"/>
      <c r="M3323" s="2"/>
      <c r="N3323" s="5"/>
      <c r="O3323" s="3"/>
      <c r="P3323" s="6"/>
      <c r="Q3323" s="6"/>
    </row>
    <row r="3324" spans="1:17" ht="15" customHeight="1" x14ac:dyDescent="0.25">
      <c r="A3324" s="1"/>
      <c r="B3324" s="17"/>
      <c r="C3324" s="17"/>
      <c r="D3324" s="17"/>
      <c r="E3324" s="17"/>
      <c r="F3324" s="17"/>
      <c r="G3324" s="4">
        <f t="shared" si="119"/>
        <v>0</v>
      </c>
      <c r="H3324" s="17"/>
      <c r="I3324" s="4">
        <f t="shared" si="120"/>
        <v>349526.07999999996</v>
      </c>
      <c r="J3324" s="32" t="str">
        <f t="shared" si="121"/>
        <v/>
      </c>
      <c r="K3324" s="79"/>
      <c r="L3324" s="79"/>
      <c r="M3324" s="2"/>
      <c r="N3324" s="5"/>
      <c r="O3324" s="3"/>
      <c r="P3324" s="6"/>
      <c r="Q3324" s="6"/>
    </row>
    <row r="3325" spans="1:17" ht="15" customHeight="1" x14ac:dyDescent="0.25">
      <c r="A3325" s="1"/>
      <c r="B3325" s="17"/>
      <c r="C3325" s="17"/>
      <c r="D3325" s="17"/>
      <c r="E3325" s="17"/>
      <c r="F3325" s="17"/>
      <c r="G3325" s="4">
        <f t="shared" si="119"/>
        <v>0</v>
      </c>
      <c r="H3325" s="17"/>
      <c r="I3325" s="4">
        <f t="shared" si="120"/>
        <v>349526.07999999996</v>
      </c>
      <c r="J3325" s="32" t="str">
        <f t="shared" si="121"/>
        <v/>
      </c>
      <c r="K3325" s="79"/>
      <c r="L3325" s="79"/>
      <c r="M3325" s="2"/>
      <c r="N3325" s="5"/>
      <c r="O3325" s="3"/>
      <c r="P3325" s="6"/>
      <c r="Q3325" s="6"/>
    </row>
    <row r="3326" spans="1:17" ht="15" customHeight="1" x14ac:dyDescent="0.25">
      <c r="A3326" s="1"/>
      <c r="B3326" s="17"/>
      <c r="C3326" s="17"/>
      <c r="D3326" s="17"/>
      <c r="E3326" s="17"/>
      <c r="F3326" s="17"/>
      <c r="G3326" s="4">
        <f t="shared" si="119"/>
        <v>0</v>
      </c>
      <c r="H3326" s="17"/>
      <c r="I3326" s="4">
        <f t="shared" si="120"/>
        <v>349526.07999999996</v>
      </c>
      <c r="J3326" s="32" t="str">
        <f t="shared" si="121"/>
        <v/>
      </c>
      <c r="K3326" s="79"/>
      <c r="L3326" s="79"/>
      <c r="M3326" s="2"/>
      <c r="N3326" s="5"/>
      <c r="O3326" s="3"/>
      <c r="P3326" s="6"/>
      <c r="Q3326" s="6"/>
    </row>
    <row r="3327" spans="1:17" ht="15" customHeight="1" x14ac:dyDescent="0.25">
      <c r="A3327" s="1"/>
      <c r="B3327" s="17"/>
      <c r="C3327" s="17"/>
      <c r="D3327" s="17"/>
      <c r="E3327" s="17"/>
      <c r="F3327" s="17"/>
      <c r="G3327" s="4">
        <f t="shared" si="119"/>
        <v>0</v>
      </c>
      <c r="H3327" s="17"/>
      <c r="I3327" s="4">
        <f t="shared" si="120"/>
        <v>349526.07999999996</v>
      </c>
      <c r="J3327" s="32" t="str">
        <f t="shared" si="121"/>
        <v/>
      </c>
      <c r="K3327" s="79"/>
      <c r="L3327" s="79"/>
      <c r="M3327" s="2"/>
      <c r="N3327" s="5"/>
      <c r="O3327" s="3"/>
      <c r="P3327" s="6"/>
      <c r="Q3327" s="6"/>
    </row>
    <row r="3328" spans="1:17" ht="15" customHeight="1" x14ac:dyDescent="0.25">
      <c r="A3328" s="1"/>
      <c r="B3328" s="17"/>
      <c r="C3328" s="17"/>
      <c r="D3328" s="17"/>
      <c r="E3328" s="17"/>
      <c r="F3328" s="17"/>
      <c r="G3328" s="4">
        <f t="shared" si="119"/>
        <v>0</v>
      </c>
      <c r="H3328" s="17"/>
      <c r="I3328" s="4">
        <f t="shared" si="120"/>
        <v>349526.07999999996</v>
      </c>
      <c r="J3328" s="32" t="str">
        <f t="shared" si="121"/>
        <v/>
      </c>
      <c r="K3328" s="79"/>
      <c r="L3328" s="79"/>
      <c r="M3328" s="2"/>
      <c r="N3328" s="5"/>
      <c r="O3328" s="3"/>
      <c r="P3328" s="6"/>
      <c r="Q3328" s="6"/>
    </row>
    <row r="3329" spans="1:17" ht="15" customHeight="1" x14ac:dyDescent="0.25">
      <c r="A3329" s="1"/>
      <c r="B3329" s="17"/>
      <c r="C3329" s="17"/>
      <c r="D3329" s="17"/>
      <c r="E3329" s="17"/>
      <c r="F3329" s="17"/>
      <c r="G3329" s="4">
        <f t="shared" si="119"/>
        <v>0</v>
      </c>
      <c r="H3329" s="17"/>
      <c r="I3329" s="4">
        <f t="shared" si="120"/>
        <v>349526.07999999996</v>
      </c>
      <c r="J3329" s="32" t="str">
        <f t="shared" si="121"/>
        <v/>
      </c>
      <c r="K3329" s="79"/>
      <c r="L3329" s="79"/>
      <c r="M3329" s="2"/>
      <c r="N3329" s="5"/>
      <c r="O3329" s="3"/>
      <c r="P3329" s="6"/>
      <c r="Q3329" s="6"/>
    </row>
    <row r="3330" spans="1:17" ht="15" customHeight="1" x14ac:dyDescent="0.25">
      <c r="A3330" s="1"/>
      <c r="B3330" s="17"/>
      <c r="C3330" s="17"/>
      <c r="D3330" s="17"/>
      <c r="E3330" s="17"/>
      <c r="F3330" s="17"/>
      <c r="G3330" s="4">
        <f t="shared" si="119"/>
        <v>0</v>
      </c>
      <c r="H3330" s="17"/>
      <c r="I3330" s="4">
        <f t="shared" si="120"/>
        <v>349526.07999999996</v>
      </c>
      <c r="J3330" s="32" t="str">
        <f t="shared" si="121"/>
        <v/>
      </c>
      <c r="K3330" s="79"/>
      <c r="L3330" s="79"/>
      <c r="M3330" s="2"/>
      <c r="N3330" s="5"/>
      <c r="O3330" s="3"/>
      <c r="P3330" s="6"/>
      <c r="Q3330" s="6"/>
    </row>
    <row r="3331" spans="1:17" ht="15" customHeight="1" x14ac:dyDescent="0.25">
      <c r="A3331" s="1"/>
      <c r="B3331" s="17"/>
      <c r="C3331" s="17"/>
      <c r="D3331" s="17"/>
      <c r="E3331" s="17"/>
      <c r="F3331" s="17"/>
      <c r="G3331" s="4">
        <f t="shared" ref="G3331:G3394" si="122">SUM($B3331:$F3331)</f>
        <v>0</v>
      </c>
      <c r="H3331" s="17"/>
      <c r="I3331" s="4">
        <f t="shared" si="120"/>
        <v>349526.07999999996</v>
      </c>
      <c r="J3331" s="32" t="str">
        <f t="shared" si="121"/>
        <v/>
      </c>
      <c r="K3331" s="79"/>
      <c r="L3331" s="79"/>
      <c r="M3331" s="2"/>
      <c r="N3331" s="5"/>
      <c r="O3331" s="3"/>
      <c r="P3331" s="6"/>
      <c r="Q3331" s="6"/>
    </row>
    <row r="3332" spans="1:17" ht="15" customHeight="1" x14ac:dyDescent="0.25">
      <c r="A3332" s="1"/>
      <c r="B3332" s="17"/>
      <c r="C3332" s="17"/>
      <c r="D3332" s="17"/>
      <c r="E3332" s="17"/>
      <c r="F3332" s="17"/>
      <c r="G3332" s="4">
        <f t="shared" si="122"/>
        <v>0</v>
      </c>
      <c r="H3332" s="17"/>
      <c r="I3332" s="4">
        <f t="shared" si="120"/>
        <v>349526.07999999996</v>
      </c>
      <c r="J3332" s="32" t="str">
        <f t="shared" si="121"/>
        <v/>
      </c>
      <c r="K3332" s="79"/>
      <c r="L3332" s="79"/>
      <c r="M3332" s="2"/>
      <c r="N3332" s="5"/>
      <c r="O3332" s="3"/>
      <c r="P3332" s="6"/>
      <c r="Q3332" s="6"/>
    </row>
    <row r="3333" spans="1:17" ht="15" customHeight="1" x14ac:dyDescent="0.25">
      <c r="A3333" s="1"/>
      <c r="B3333" s="17"/>
      <c r="C3333" s="17"/>
      <c r="D3333" s="17"/>
      <c r="E3333" s="17"/>
      <c r="F3333" s="17"/>
      <c r="G3333" s="4">
        <f t="shared" si="122"/>
        <v>0</v>
      </c>
      <c r="H3333" s="17"/>
      <c r="I3333" s="4">
        <f t="shared" si="120"/>
        <v>349526.07999999996</v>
      </c>
      <c r="J3333" s="32" t="str">
        <f t="shared" si="121"/>
        <v/>
      </c>
      <c r="K3333" s="79"/>
      <c r="L3333" s="79"/>
      <c r="M3333" s="2"/>
      <c r="N3333" s="5"/>
      <c r="O3333" s="3"/>
      <c r="P3333" s="6"/>
      <c r="Q3333" s="6"/>
    </row>
    <row r="3334" spans="1:17" ht="15" customHeight="1" x14ac:dyDescent="0.25">
      <c r="A3334" s="1"/>
      <c r="B3334" s="17"/>
      <c r="C3334" s="17"/>
      <c r="D3334" s="17"/>
      <c r="E3334" s="17"/>
      <c r="F3334" s="17"/>
      <c r="G3334" s="4">
        <f t="shared" si="122"/>
        <v>0</v>
      </c>
      <c r="H3334" s="17"/>
      <c r="I3334" s="4">
        <f t="shared" si="120"/>
        <v>349526.07999999996</v>
      </c>
      <c r="J3334" s="32" t="str">
        <f t="shared" si="121"/>
        <v/>
      </c>
      <c r="K3334" s="79"/>
      <c r="L3334" s="79"/>
      <c r="M3334" s="2"/>
      <c r="N3334" s="5"/>
      <c r="O3334" s="3"/>
      <c r="P3334" s="6"/>
      <c r="Q3334" s="6"/>
    </row>
    <row r="3335" spans="1:17" ht="15" customHeight="1" x14ac:dyDescent="0.25">
      <c r="A3335" s="1"/>
      <c r="B3335" s="17"/>
      <c r="C3335" s="17"/>
      <c r="D3335" s="17"/>
      <c r="E3335" s="17"/>
      <c r="F3335" s="17"/>
      <c r="G3335" s="4">
        <f t="shared" si="122"/>
        <v>0</v>
      </c>
      <c r="H3335" s="17"/>
      <c r="I3335" s="4">
        <f t="shared" si="120"/>
        <v>349526.07999999996</v>
      </c>
      <c r="J3335" s="32" t="str">
        <f t="shared" si="121"/>
        <v/>
      </c>
      <c r="K3335" s="79"/>
      <c r="L3335" s="79"/>
      <c r="M3335" s="2"/>
      <c r="N3335" s="5"/>
      <c r="O3335" s="3"/>
      <c r="P3335" s="6"/>
      <c r="Q3335" s="6"/>
    </row>
    <row r="3336" spans="1:17" ht="15" customHeight="1" x14ac:dyDescent="0.25">
      <c r="A3336" s="1"/>
      <c r="B3336" s="17"/>
      <c r="C3336" s="17"/>
      <c r="D3336" s="17"/>
      <c r="E3336" s="17"/>
      <c r="F3336" s="17"/>
      <c r="G3336" s="4">
        <f t="shared" si="122"/>
        <v>0</v>
      </c>
      <c r="H3336" s="17"/>
      <c r="I3336" s="4">
        <f t="shared" si="120"/>
        <v>349526.07999999996</v>
      </c>
      <c r="J3336" s="32" t="str">
        <f t="shared" si="121"/>
        <v/>
      </c>
      <c r="K3336" s="79"/>
      <c r="L3336" s="79"/>
      <c r="M3336" s="2"/>
      <c r="N3336" s="5"/>
      <c r="O3336" s="3"/>
      <c r="P3336" s="6"/>
      <c r="Q3336" s="6"/>
    </row>
    <row r="3337" spans="1:17" ht="15" customHeight="1" x14ac:dyDescent="0.25">
      <c r="A3337" s="1"/>
      <c r="B3337" s="17"/>
      <c r="C3337" s="17"/>
      <c r="D3337" s="17"/>
      <c r="E3337" s="17"/>
      <c r="F3337" s="17"/>
      <c r="G3337" s="4">
        <f t="shared" si="122"/>
        <v>0</v>
      </c>
      <c r="H3337" s="17"/>
      <c r="I3337" s="4">
        <f t="shared" si="120"/>
        <v>349526.07999999996</v>
      </c>
      <c r="J3337" s="32" t="str">
        <f t="shared" si="121"/>
        <v/>
      </c>
      <c r="K3337" s="79"/>
      <c r="L3337" s="79"/>
      <c r="M3337" s="2"/>
      <c r="N3337" s="5"/>
      <c r="O3337" s="3"/>
      <c r="P3337" s="6"/>
      <c r="Q3337" s="6"/>
    </row>
    <row r="3338" spans="1:17" ht="15" customHeight="1" x14ac:dyDescent="0.25">
      <c r="A3338" s="1"/>
      <c r="B3338" s="17"/>
      <c r="C3338" s="17"/>
      <c r="D3338" s="17"/>
      <c r="E3338" s="17"/>
      <c r="F3338" s="17"/>
      <c r="G3338" s="4">
        <f t="shared" si="122"/>
        <v>0</v>
      </c>
      <c r="H3338" s="17"/>
      <c r="I3338" s="4">
        <f t="shared" si="120"/>
        <v>349526.07999999996</v>
      </c>
      <c r="J3338" s="32" t="str">
        <f t="shared" si="121"/>
        <v/>
      </c>
      <c r="K3338" s="79"/>
      <c r="L3338" s="79"/>
      <c r="M3338" s="2"/>
      <c r="N3338" s="5"/>
      <c r="O3338" s="3"/>
      <c r="P3338" s="6"/>
      <c r="Q3338" s="6"/>
    </row>
    <row r="3339" spans="1:17" ht="15" customHeight="1" x14ac:dyDescent="0.25">
      <c r="A3339" s="1"/>
      <c r="B3339" s="17"/>
      <c r="C3339" s="17"/>
      <c r="D3339" s="17"/>
      <c r="E3339" s="17"/>
      <c r="F3339" s="17"/>
      <c r="G3339" s="4">
        <f t="shared" si="122"/>
        <v>0</v>
      </c>
      <c r="H3339" s="17"/>
      <c r="I3339" s="4">
        <f t="shared" si="120"/>
        <v>349526.07999999996</v>
      </c>
      <c r="J3339" s="32" t="str">
        <f t="shared" si="121"/>
        <v/>
      </c>
      <c r="K3339" s="79"/>
      <c r="L3339" s="79"/>
      <c r="M3339" s="2"/>
      <c r="N3339" s="5"/>
      <c r="O3339" s="3"/>
      <c r="P3339" s="6"/>
      <c r="Q3339" s="6"/>
    </row>
    <row r="3340" spans="1:17" ht="15" customHeight="1" x14ac:dyDescent="0.25">
      <c r="A3340" s="1"/>
      <c r="B3340" s="17"/>
      <c r="C3340" s="17"/>
      <c r="D3340" s="17"/>
      <c r="E3340" s="17"/>
      <c r="F3340" s="17"/>
      <c r="G3340" s="4">
        <f t="shared" si="122"/>
        <v>0</v>
      </c>
      <c r="H3340" s="17"/>
      <c r="I3340" s="4">
        <f t="shared" si="120"/>
        <v>349526.07999999996</v>
      </c>
      <c r="J3340" s="32" t="str">
        <f t="shared" si="121"/>
        <v/>
      </c>
      <c r="K3340" s="79"/>
      <c r="L3340" s="79"/>
      <c r="M3340" s="2"/>
      <c r="N3340" s="5"/>
      <c r="O3340" s="3"/>
      <c r="P3340" s="6"/>
      <c r="Q3340" s="6"/>
    </row>
    <row r="3341" spans="1:17" ht="15" customHeight="1" x14ac:dyDescent="0.25">
      <c r="A3341" s="1"/>
      <c r="B3341" s="17"/>
      <c r="C3341" s="17"/>
      <c r="D3341" s="17"/>
      <c r="E3341" s="17"/>
      <c r="F3341" s="17"/>
      <c r="G3341" s="4">
        <f t="shared" si="122"/>
        <v>0</v>
      </c>
      <c r="H3341" s="17"/>
      <c r="I3341" s="4">
        <f t="shared" si="120"/>
        <v>349526.07999999996</v>
      </c>
      <c r="J3341" s="32" t="str">
        <f t="shared" si="121"/>
        <v/>
      </c>
      <c r="K3341" s="79"/>
      <c r="L3341" s="79"/>
      <c r="M3341" s="2"/>
      <c r="N3341" s="5"/>
      <c r="O3341" s="3"/>
      <c r="P3341" s="6"/>
      <c r="Q3341" s="6"/>
    </row>
    <row r="3342" spans="1:17" ht="15" customHeight="1" x14ac:dyDescent="0.25">
      <c r="A3342" s="1"/>
      <c r="B3342" s="17"/>
      <c r="C3342" s="17"/>
      <c r="D3342" s="17"/>
      <c r="E3342" s="17"/>
      <c r="F3342" s="17"/>
      <c r="G3342" s="4">
        <f t="shared" si="122"/>
        <v>0</v>
      </c>
      <c r="H3342" s="17"/>
      <c r="I3342" s="4">
        <f t="shared" si="120"/>
        <v>349526.07999999996</v>
      </c>
      <c r="J3342" s="32" t="str">
        <f t="shared" si="121"/>
        <v/>
      </c>
      <c r="K3342" s="79"/>
      <c r="L3342" s="79"/>
      <c r="M3342" s="2"/>
      <c r="N3342" s="5"/>
      <c r="O3342" s="3"/>
      <c r="P3342" s="6"/>
      <c r="Q3342" s="6"/>
    </row>
    <row r="3343" spans="1:17" ht="15" customHeight="1" x14ac:dyDescent="0.25">
      <c r="A3343" s="1"/>
      <c r="B3343" s="17"/>
      <c r="C3343" s="17"/>
      <c r="D3343" s="17"/>
      <c r="E3343" s="17"/>
      <c r="F3343" s="17"/>
      <c r="G3343" s="4">
        <f t="shared" si="122"/>
        <v>0</v>
      </c>
      <c r="H3343" s="17"/>
      <c r="I3343" s="4">
        <f t="shared" si="120"/>
        <v>349526.07999999996</v>
      </c>
      <c r="J3343" s="32" t="str">
        <f t="shared" si="121"/>
        <v/>
      </c>
      <c r="K3343" s="79"/>
      <c r="L3343" s="79"/>
      <c r="M3343" s="2"/>
      <c r="N3343" s="5"/>
      <c r="O3343" s="3"/>
      <c r="P3343" s="6"/>
      <c r="Q3343" s="6"/>
    </row>
    <row r="3344" spans="1:17" ht="15" customHeight="1" x14ac:dyDescent="0.25">
      <c r="A3344" s="1"/>
      <c r="B3344" s="17"/>
      <c r="C3344" s="17"/>
      <c r="D3344" s="17"/>
      <c r="E3344" s="17"/>
      <c r="F3344" s="17"/>
      <c r="G3344" s="4">
        <f t="shared" si="122"/>
        <v>0</v>
      </c>
      <c r="H3344" s="17"/>
      <c r="I3344" s="4">
        <f t="shared" si="120"/>
        <v>349526.07999999996</v>
      </c>
      <c r="J3344" s="32" t="str">
        <f t="shared" si="121"/>
        <v/>
      </c>
      <c r="K3344" s="79"/>
      <c r="L3344" s="79"/>
      <c r="M3344" s="2"/>
      <c r="N3344" s="5"/>
      <c r="O3344" s="3"/>
      <c r="P3344" s="6"/>
      <c r="Q3344" s="6"/>
    </row>
    <row r="3345" spans="1:17" ht="15" customHeight="1" x14ac:dyDescent="0.25">
      <c r="A3345" s="1"/>
      <c r="B3345" s="17"/>
      <c r="C3345" s="17"/>
      <c r="D3345" s="17"/>
      <c r="E3345" s="17"/>
      <c r="F3345" s="17"/>
      <c r="G3345" s="4">
        <f t="shared" si="122"/>
        <v>0</v>
      </c>
      <c r="H3345" s="17"/>
      <c r="I3345" s="4">
        <f t="shared" si="120"/>
        <v>349526.07999999996</v>
      </c>
      <c r="J3345" s="32" t="str">
        <f t="shared" si="121"/>
        <v/>
      </c>
      <c r="K3345" s="79"/>
      <c r="L3345" s="79"/>
      <c r="M3345" s="2"/>
      <c r="N3345" s="5"/>
      <c r="O3345" s="3"/>
      <c r="P3345" s="6"/>
      <c r="Q3345" s="6"/>
    </row>
    <row r="3346" spans="1:17" ht="15" customHeight="1" x14ac:dyDescent="0.25">
      <c r="A3346" s="1"/>
      <c r="B3346" s="17"/>
      <c r="C3346" s="17"/>
      <c r="D3346" s="17"/>
      <c r="E3346" s="17"/>
      <c r="F3346" s="17"/>
      <c r="G3346" s="4">
        <f t="shared" si="122"/>
        <v>0</v>
      </c>
      <c r="H3346" s="17"/>
      <c r="I3346" s="4">
        <f t="shared" si="120"/>
        <v>349526.07999999996</v>
      </c>
      <c r="J3346" s="32" t="str">
        <f t="shared" si="121"/>
        <v/>
      </c>
      <c r="K3346" s="79"/>
      <c r="L3346" s="79"/>
      <c r="M3346" s="2"/>
      <c r="N3346" s="5"/>
      <c r="O3346" s="3"/>
      <c r="P3346" s="6"/>
      <c r="Q3346" s="6"/>
    </row>
    <row r="3347" spans="1:17" ht="15" customHeight="1" x14ac:dyDescent="0.25">
      <c r="A3347" s="1"/>
      <c r="B3347" s="17"/>
      <c r="C3347" s="17"/>
      <c r="D3347" s="17"/>
      <c r="E3347" s="17"/>
      <c r="F3347" s="17"/>
      <c r="G3347" s="4">
        <f t="shared" si="122"/>
        <v>0</v>
      </c>
      <c r="H3347" s="17"/>
      <c r="I3347" s="4">
        <f t="shared" si="120"/>
        <v>349526.07999999996</v>
      </c>
      <c r="J3347" s="32" t="str">
        <f t="shared" si="121"/>
        <v/>
      </c>
      <c r="K3347" s="79"/>
      <c r="L3347" s="79"/>
      <c r="M3347" s="2"/>
      <c r="N3347" s="5"/>
      <c r="O3347" s="3"/>
      <c r="P3347" s="6"/>
      <c r="Q3347" s="6"/>
    </row>
    <row r="3348" spans="1:17" ht="15" customHeight="1" x14ac:dyDescent="0.25">
      <c r="A3348" s="1"/>
      <c r="B3348" s="17"/>
      <c r="C3348" s="17"/>
      <c r="D3348" s="17"/>
      <c r="E3348" s="17"/>
      <c r="F3348" s="17"/>
      <c r="G3348" s="4">
        <f t="shared" si="122"/>
        <v>0</v>
      </c>
      <c r="H3348" s="17"/>
      <c r="I3348" s="4">
        <f t="shared" si="120"/>
        <v>349526.07999999996</v>
      </c>
      <c r="J3348" s="32" t="str">
        <f t="shared" si="121"/>
        <v/>
      </c>
      <c r="K3348" s="79"/>
      <c r="L3348" s="79"/>
      <c r="M3348" s="2"/>
      <c r="N3348" s="5"/>
      <c r="O3348" s="3"/>
      <c r="P3348" s="6"/>
      <c r="Q3348" s="6"/>
    </row>
    <row r="3349" spans="1:17" ht="15" customHeight="1" x14ac:dyDescent="0.25">
      <c r="A3349" s="1"/>
      <c r="B3349" s="17"/>
      <c r="C3349" s="17"/>
      <c r="D3349" s="17"/>
      <c r="E3349" s="17"/>
      <c r="F3349" s="17"/>
      <c r="G3349" s="4">
        <f t="shared" si="122"/>
        <v>0</v>
      </c>
      <c r="H3349" s="17"/>
      <c r="I3349" s="4">
        <f t="shared" si="120"/>
        <v>349526.07999999996</v>
      </c>
      <c r="J3349" s="32" t="str">
        <f t="shared" si="121"/>
        <v/>
      </c>
      <c r="K3349" s="79"/>
      <c r="L3349" s="79"/>
      <c r="M3349" s="2"/>
      <c r="N3349" s="5"/>
      <c r="O3349" s="3"/>
      <c r="P3349" s="6"/>
      <c r="Q3349" s="6"/>
    </row>
    <row r="3350" spans="1:17" ht="15" customHeight="1" x14ac:dyDescent="0.25">
      <c r="A3350" s="1"/>
      <c r="B3350" s="17"/>
      <c r="C3350" s="17"/>
      <c r="D3350" s="17"/>
      <c r="E3350" s="17"/>
      <c r="F3350" s="17"/>
      <c r="G3350" s="4">
        <f t="shared" si="122"/>
        <v>0</v>
      </c>
      <c r="H3350" s="17"/>
      <c r="I3350" s="4">
        <f t="shared" si="120"/>
        <v>349526.07999999996</v>
      </c>
      <c r="J3350" s="32" t="str">
        <f t="shared" si="121"/>
        <v/>
      </c>
      <c r="K3350" s="79"/>
      <c r="L3350" s="79"/>
      <c r="M3350" s="2"/>
      <c r="N3350" s="5"/>
      <c r="O3350" s="3"/>
      <c r="P3350" s="6"/>
      <c r="Q3350" s="6"/>
    </row>
    <row r="3351" spans="1:17" ht="15" customHeight="1" x14ac:dyDescent="0.25">
      <c r="A3351" s="1"/>
      <c r="B3351" s="17"/>
      <c r="C3351" s="17"/>
      <c r="D3351" s="17"/>
      <c r="E3351" s="17"/>
      <c r="F3351" s="17"/>
      <c r="G3351" s="4">
        <f t="shared" si="122"/>
        <v>0</v>
      </c>
      <c r="H3351" s="17"/>
      <c r="I3351" s="4">
        <f t="shared" si="120"/>
        <v>349526.07999999996</v>
      </c>
      <c r="J3351" s="32" t="str">
        <f t="shared" si="121"/>
        <v/>
      </c>
      <c r="K3351" s="79"/>
      <c r="L3351" s="79"/>
      <c r="M3351" s="2"/>
      <c r="N3351" s="5"/>
      <c r="O3351" s="3"/>
      <c r="P3351" s="6"/>
      <c r="Q3351" s="6"/>
    </row>
    <row r="3352" spans="1:17" ht="15" customHeight="1" x14ac:dyDescent="0.25">
      <c r="A3352" s="1"/>
      <c r="B3352" s="17"/>
      <c r="C3352" s="17"/>
      <c r="D3352" s="17"/>
      <c r="E3352" s="17"/>
      <c r="F3352" s="17"/>
      <c r="G3352" s="4">
        <f t="shared" si="122"/>
        <v>0</v>
      </c>
      <c r="H3352" s="17"/>
      <c r="I3352" s="4">
        <f t="shared" si="120"/>
        <v>349526.07999999996</v>
      </c>
      <c r="J3352" s="32" t="str">
        <f t="shared" si="121"/>
        <v/>
      </c>
      <c r="K3352" s="79"/>
      <c r="L3352" s="79"/>
      <c r="M3352" s="2"/>
      <c r="N3352" s="5"/>
      <c r="O3352" s="3"/>
      <c r="P3352" s="6"/>
      <c r="Q3352" s="6"/>
    </row>
    <row r="3353" spans="1:17" ht="15" customHeight="1" x14ac:dyDescent="0.25">
      <c r="A3353" s="1"/>
      <c r="B3353" s="17"/>
      <c r="C3353" s="17"/>
      <c r="D3353" s="17"/>
      <c r="E3353" s="17"/>
      <c r="F3353" s="17"/>
      <c r="G3353" s="4">
        <f t="shared" si="122"/>
        <v>0</v>
      </c>
      <c r="H3353" s="17"/>
      <c r="I3353" s="4">
        <f t="shared" si="120"/>
        <v>349526.07999999996</v>
      </c>
      <c r="J3353" s="32" t="str">
        <f t="shared" si="121"/>
        <v/>
      </c>
      <c r="K3353" s="79"/>
      <c r="L3353" s="79"/>
      <c r="M3353" s="2"/>
      <c r="N3353" s="5"/>
      <c r="O3353" s="3"/>
      <c r="P3353" s="6"/>
      <c r="Q3353" s="6"/>
    </row>
    <row r="3354" spans="1:17" ht="15" customHeight="1" x14ac:dyDescent="0.25">
      <c r="A3354" s="1"/>
      <c r="B3354" s="17"/>
      <c r="C3354" s="17"/>
      <c r="D3354" s="17"/>
      <c r="E3354" s="17"/>
      <c r="F3354" s="17"/>
      <c r="G3354" s="4">
        <f t="shared" si="122"/>
        <v>0</v>
      </c>
      <c r="H3354" s="17"/>
      <c r="I3354" s="4">
        <f t="shared" si="120"/>
        <v>349526.07999999996</v>
      </c>
      <c r="J3354" s="32" t="str">
        <f t="shared" si="121"/>
        <v/>
      </c>
      <c r="K3354" s="79"/>
      <c r="L3354" s="79"/>
      <c r="M3354" s="2"/>
      <c r="N3354" s="5"/>
      <c r="O3354" s="3"/>
      <c r="P3354" s="6"/>
      <c r="Q3354" s="6"/>
    </row>
    <row r="3355" spans="1:17" ht="15" customHeight="1" x14ac:dyDescent="0.25">
      <c r="A3355" s="1"/>
      <c r="B3355" s="17"/>
      <c r="C3355" s="17"/>
      <c r="D3355" s="17"/>
      <c r="E3355" s="17"/>
      <c r="F3355" s="17"/>
      <c r="G3355" s="4">
        <f t="shared" si="122"/>
        <v>0</v>
      </c>
      <c r="H3355" s="17"/>
      <c r="I3355" s="4">
        <f t="shared" si="120"/>
        <v>349526.07999999996</v>
      </c>
      <c r="J3355" s="32" t="str">
        <f t="shared" si="121"/>
        <v/>
      </c>
      <c r="K3355" s="79"/>
      <c r="L3355" s="79"/>
      <c r="M3355" s="2"/>
      <c r="N3355" s="5"/>
      <c r="O3355" s="3"/>
      <c r="P3355" s="6"/>
      <c r="Q3355" s="6"/>
    </row>
    <row r="3356" spans="1:17" ht="15" customHeight="1" x14ac:dyDescent="0.25">
      <c r="A3356" s="1"/>
      <c r="B3356" s="17"/>
      <c r="C3356" s="17"/>
      <c r="D3356" s="17"/>
      <c r="E3356" s="17"/>
      <c r="F3356" s="17"/>
      <c r="G3356" s="4">
        <f t="shared" si="122"/>
        <v>0</v>
      </c>
      <c r="H3356" s="17"/>
      <c r="I3356" s="4">
        <f t="shared" si="120"/>
        <v>349526.07999999996</v>
      </c>
      <c r="J3356" s="32" t="str">
        <f t="shared" si="121"/>
        <v/>
      </c>
      <c r="K3356" s="79"/>
      <c r="L3356" s="79"/>
      <c r="M3356" s="2"/>
      <c r="N3356" s="5"/>
      <c r="O3356" s="3"/>
      <c r="P3356" s="6"/>
      <c r="Q3356" s="6"/>
    </row>
    <row r="3357" spans="1:17" ht="15" customHeight="1" x14ac:dyDescent="0.25">
      <c r="A3357" s="1"/>
      <c r="B3357" s="17"/>
      <c r="C3357" s="17"/>
      <c r="D3357" s="17"/>
      <c r="E3357" s="17"/>
      <c r="F3357" s="17"/>
      <c r="G3357" s="4">
        <f t="shared" si="122"/>
        <v>0</v>
      </c>
      <c r="H3357" s="17"/>
      <c r="I3357" s="4">
        <f t="shared" si="120"/>
        <v>349526.07999999996</v>
      </c>
      <c r="J3357" s="32" t="str">
        <f t="shared" si="121"/>
        <v/>
      </c>
      <c r="K3357" s="79"/>
      <c r="L3357" s="79"/>
      <c r="M3357" s="2"/>
      <c r="N3357" s="5"/>
      <c r="O3357" s="3"/>
      <c r="P3357" s="6"/>
      <c r="Q3357" s="6"/>
    </row>
    <row r="3358" spans="1:17" ht="15" customHeight="1" x14ac:dyDescent="0.25">
      <c r="A3358" s="1"/>
      <c r="B3358" s="17"/>
      <c r="C3358" s="17"/>
      <c r="D3358" s="17"/>
      <c r="E3358" s="17"/>
      <c r="F3358" s="17"/>
      <c r="G3358" s="4">
        <f t="shared" si="122"/>
        <v>0</v>
      </c>
      <c r="H3358" s="17"/>
      <c r="I3358" s="4">
        <f t="shared" si="120"/>
        <v>349526.07999999996</v>
      </c>
      <c r="J3358" s="32" t="str">
        <f t="shared" si="121"/>
        <v/>
      </c>
      <c r="K3358" s="79"/>
      <c r="L3358" s="79"/>
      <c r="M3358" s="2"/>
      <c r="N3358" s="5"/>
      <c r="O3358" s="3"/>
      <c r="P3358" s="6"/>
      <c r="Q3358" s="6"/>
    </row>
    <row r="3359" spans="1:17" ht="15" customHeight="1" x14ac:dyDescent="0.25">
      <c r="A3359" s="1"/>
      <c r="B3359" s="17"/>
      <c r="C3359" s="17"/>
      <c r="D3359" s="17"/>
      <c r="E3359" s="17"/>
      <c r="F3359" s="17"/>
      <c r="G3359" s="4">
        <f t="shared" si="122"/>
        <v>0</v>
      </c>
      <c r="H3359" s="17"/>
      <c r="I3359" s="4">
        <f t="shared" si="120"/>
        <v>349526.07999999996</v>
      </c>
      <c r="J3359" s="32" t="str">
        <f t="shared" si="121"/>
        <v/>
      </c>
      <c r="K3359" s="79"/>
      <c r="L3359" s="79"/>
      <c r="M3359" s="2"/>
      <c r="N3359" s="5"/>
      <c r="O3359" s="3"/>
      <c r="P3359" s="6"/>
      <c r="Q3359" s="6"/>
    </row>
    <row r="3360" spans="1:17" ht="15" customHeight="1" x14ac:dyDescent="0.25">
      <c r="A3360" s="1"/>
      <c r="B3360" s="17"/>
      <c r="C3360" s="17"/>
      <c r="D3360" s="17"/>
      <c r="E3360" s="17"/>
      <c r="F3360" s="17"/>
      <c r="G3360" s="4">
        <f t="shared" si="122"/>
        <v>0</v>
      </c>
      <c r="H3360" s="17"/>
      <c r="I3360" s="4">
        <f t="shared" si="120"/>
        <v>349526.07999999996</v>
      </c>
      <c r="J3360" s="32" t="str">
        <f t="shared" si="121"/>
        <v/>
      </c>
      <c r="K3360" s="79"/>
      <c r="L3360" s="79"/>
      <c r="M3360" s="2"/>
      <c r="N3360" s="5"/>
      <c r="O3360" s="3"/>
      <c r="P3360" s="6"/>
      <c r="Q3360" s="6"/>
    </row>
    <row r="3361" spans="1:17" ht="15" customHeight="1" x14ac:dyDescent="0.25">
      <c r="A3361" s="1"/>
      <c r="B3361" s="17"/>
      <c r="C3361" s="17"/>
      <c r="D3361" s="17"/>
      <c r="E3361" s="17"/>
      <c r="F3361" s="17"/>
      <c r="G3361" s="4">
        <f t="shared" si="122"/>
        <v>0</v>
      </c>
      <c r="H3361" s="17"/>
      <c r="I3361" s="4">
        <f t="shared" si="120"/>
        <v>349526.07999999996</v>
      </c>
      <c r="J3361" s="32" t="str">
        <f t="shared" si="121"/>
        <v/>
      </c>
      <c r="K3361" s="79"/>
      <c r="L3361" s="79"/>
      <c r="M3361" s="2"/>
      <c r="N3361" s="5"/>
      <c r="O3361" s="3"/>
      <c r="P3361" s="6"/>
      <c r="Q3361" s="6"/>
    </row>
    <row r="3362" spans="1:17" ht="15" customHeight="1" x14ac:dyDescent="0.25">
      <c r="A3362" s="1"/>
      <c r="B3362" s="17"/>
      <c r="C3362" s="17"/>
      <c r="D3362" s="17"/>
      <c r="E3362" s="17"/>
      <c r="F3362" s="17"/>
      <c r="G3362" s="4">
        <f t="shared" si="122"/>
        <v>0</v>
      </c>
      <c r="H3362" s="17"/>
      <c r="I3362" s="4">
        <f t="shared" si="120"/>
        <v>349526.07999999996</v>
      </c>
      <c r="J3362" s="32" t="str">
        <f t="shared" si="121"/>
        <v/>
      </c>
      <c r="K3362" s="79"/>
      <c r="L3362" s="79"/>
      <c r="M3362" s="2"/>
      <c r="N3362" s="5"/>
      <c r="O3362" s="3"/>
      <c r="P3362" s="6"/>
      <c r="Q3362" s="6"/>
    </row>
    <row r="3363" spans="1:17" ht="15" customHeight="1" x14ac:dyDescent="0.25">
      <c r="A3363" s="1"/>
      <c r="B3363" s="17"/>
      <c r="C3363" s="17"/>
      <c r="D3363" s="17"/>
      <c r="E3363" s="17"/>
      <c r="F3363" s="17"/>
      <c r="G3363" s="4">
        <f t="shared" si="122"/>
        <v>0</v>
      </c>
      <c r="H3363" s="17"/>
      <c r="I3363" s="4">
        <f t="shared" si="120"/>
        <v>349526.07999999996</v>
      </c>
      <c r="J3363" s="32" t="str">
        <f t="shared" si="121"/>
        <v/>
      </c>
      <c r="K3363" s="79"/>
      <c r="L3363" s="79"/>
      <c r="M3363" s="2"/>
      <c r="N3363" s="5"/>
      <c r="O3363" s="3"/>
      <c r="P3363" s="6"/>
      <c r="Q3363" s="6"/>
    </row>
    <row r="3364" spans="1:17" ht="15" customHeight="1" x14ac:dyDescent="0.25">
      <c r="A3364" s="1"/>
      <c r="B3364" s="17"/>
      <c r="C3364" s="17"/>
      <c r="D3364" s="17"/>
      <c r="E3364" s="17"/>
      <c r="F3364" s="17"/>
      <c r="G3364" s="4">
        <f t="shared" si="122"/>
        <v>0</v>
      </c>
      <c r="H3364" s="17"/>
      <c r="I3364" s="4">
        <f t="shared" si="120"/>
        <v>349526.07999999996</v>
      </c>
      <c r="J3364" s="32" t="str">
        <f t="shared" si="121"/>
        <v/>
      </c>
      <c r="K3364" s="79"/>
      <c r="L3364" s="79"/>
      <c r="M3364" s="2"/>
      <c r="N3364" s="5"/>
      <c r="O3364" s="3"/>
      <c r="P3364" s="6"/>
      <c r="Q3364" s="6"/>
    </row>
    <row r="3365" spans="1:17" ht="15" customHeight="1" x14ac:dyDescent="0.25">
      <c r="A3365" s="1"/>
      <c r="B3365" s="17"/>
      <c r="C3365" s="17"/>
      <c r="D3365" s="17"/>
      <c r="E3365" s="17"/>
      <c r="F3365" s="17"/>
      <c r="G3365" s="4">
        <f t="shared" si="122"/>
        <v>0</v>
      </c>
      <c r="H3365" s="17"/>
      <c r="I3365" s="4">
        <f t="shared" si="120"/>
        <v>349526.07999999996</v>
      </c>
      <c r="J3365" s="32" t="str">
        <f t="shared" si="121"/>
        <v/>
      </c>
      <c r="K3365" s="79"/>
      <c r="L3365" s="79"/>
      <c r="M3365" s="2"/>
      <c r="N3365" s="5"/>
      <c r="O3365" s="3"/>
      <c r="P3365" s="6"/>
      <c r="Q3365" s="6"/>
    </row>
    <row r="3366" spans="1:17" ht="15" customHeight="1" x14ac:dyDescent="0.25">
      <c r="A3366" s="1"/>
      <c r="B3366" s="17"/>
      <c r="C3366" s="17"/>
      <c r="D3366" s="17"/>
      <c r="E3366" s="17"/>
      <c r="F3366" s="17"/>
      <c r="G3366" s="4">
        <f t="shared" si="122"/>
        <v>0</v>
      </c>
      <c r="H3366" s="17"/>
      <c r="I3366" s="4">
        <f t="shared" si="120"/>
        <v>349526.07999999996</v>
      </c>
      <c r="J3366" s="32" t="str">
        <f t="shared" si="121"/>
        <v/>
      </c>
      <c r="K3366" s="79"/>
      <c r="L3366" s="79"/>
      <c r="M3366" s="2"/>
      <c r="N3366" s="5"/>
      <c r="O3366" s="3"/>
      <c r="P3366" s="6"/>
      <c r="Q3366" s="6"/>
    </row>
    <row r="3367" spans="1:17" ht="15" customHeight="1" x14ac:dyDescent="0.25">
      <c r="A3367" s="1"/>
      <c r="B3367" s="17"/>
      <c r="C3367" s="17"/>
      <c r="D3367" s="17"/>
      <c r="E3367" s="17"/>
      <c r="F3367" s="17"/>
      <c r="G3367" s="4">
        <f t="shared" si="122"/>
        <v>0</v>
      </c>
      <c r="H3367" s="17"/>
      <c r="I3367" s="4">
        <f t="shared" si="120"/>
        <v>349526.07999999996</v>
      </c>
      <c r="J3367" s="32" t="str">
        <f t="shared" si="121"/>
        <v/>
      </c>
      <c r="K3367" s="79"/>
      <c r="L3367" s="79"/>
      <c r="M3367" s="2"/>
      <c r="N3367" s="5"/>
      <c r="O3367" s="3"/>
      <c r="P3367" s="6"/>
      <c r="Q3367" s="6"/>
    </row>
    <row r="3368" spans="1:17" ht="15" customHeight="1" x14ac:dyDescent="0.25">
      <c r="A3368" s="1"/>
      <c r="B3368" s="17"/>
      <c r="C3368" s="17"/>
      <c r="D3368" s="17"/>
      <c r="E3368" s="17"/>
      <c r="F3368" s="17"/>
      <c r="G3368" s="4">
        <f t="shared" si="122"/>
        <v>0</v>
      </c>
      <c r="H3368" s="17"/>
      <c r="I3368" s="4">
        <f t="shared" si="120"/>
        <v>349526.07999999996</v>
      </c>
      <c r="J3368" s="32" t="str">
        <f t="shared" si="121"/>
        <v/>
      </c>
      <c r="K3368" s="79"/>
      <c r="L3368" s="79"/>
      <c r="M3368" s="2"/>
      <c r="N3368" s="5"/>
      <c r="O3368" s="3"/>
      <c r="P3368" s="6"/>
      <c r="Q3368" s="6"/>
    </row>
    <row r="3369" spans="1:17" ht="15" customHeight="1" x14ac:dyDescent="0.25">
      <c r="A3369" s="1"/>
      <c r="B3369" s="17"/>
      <c r="C3369" s="17"/>
      <c r="D3369" s="17"/>
      <c r="E3369" s="17"/>
      <c r="F3369" s="17"/>
      <c r="G3369" s="4">
        <f t="shared" si="122"/>
        <v>0</v>
      </c>
      <c r="H3369" s="17"/>
      <c r="I3369" s="4">
        <f t="shared" si="120"/>
        <v>349526.07999999996</v>
      </c>
      <c r="J3369" s="32" t="str">
        <f t="shared" si="121"/>
        <v/>
      </c>
      <c r="K3369" s="79"/>
      <c r="L3369" s="79"/>
      <c r="M3369" s="2"/>
      <c r="N3369" s="5"/>
      <c r="O3369" s="3"/>
      <c r="P3369" s="6"/>
      <c r="Q3369" s="6"/>
    </row>
    <row r="3370" spans="1:17" ht="15" customHeight="1" x14ac:dyDescent="0.25">
      <c r="A3370" s="1"/>
      <c r="B3370" s="17"/>
      <c r="C3370" s="17"/>
      <c r="D3370" s="17"/>
      <c r="E3370" s="17"/>
      <c r="F3370" s="17"/>
      <c r="G3370" s="4">
        <f t="shared" si="122"/>
        <v>0</v>
      </c>
      <c r="H3370" s="17"/>
      <c r="I3370" s="4">
        <f t="shared" si="120"/>
        <v>349526.07999999996</v>
      </c>
      <c r="J3370" s="32" t="str">
        <f t="shared" si="121"/>
        <v/>
      </c>
      <c r="K3370" s="79"/>
      <c r="L3370" s="79"/>
      <c r="M3370" s="2"/>
      <c r="N3370" s="5"/>
      <c r="O3370" s="3"/>
      <c r="P3370" s="6"/>
      <c r="Q3370" s="6"/>
    </row>
    <row r="3371" spans="1:17" ht="15" customHeight="1" x14ac:dyDescent="0.25">
      <c r="A3371" s="1"/>
      <c r="B3371" s="17"/>
      <c r="C3371" s="17"/>
      <c r="D3371" s="17"/>
      <c r="E3371" s="17"/>
      <c r="F3371" s="17"/>
      <c r="G3371" s="4">
        <f t="shared" si="122"/>
        <v>0</v>
      </c>
      <c r="H3371" s="17"/>
      <c r="I3371" s="4">
        <f t="shared" si="120"/>
        <v>349526.07999999996</v>
      </c>
      <c r="J3371" s="32" t="str">
        <f t="shared" si="121"/>
        <v/>
      </c>
      <c r="K3371" s="79"/>
      <c r="L3371" s="79"/>
      <c r="M3371" s="2"/>
      <c r="N3371" s="5"/>
      <c r="O3371" s="3"/>
      <c r="P3371" s="6"/>
      <c r="Q3371" s="6"/>
    </row>
    <row r="3372" spans="1:17" ht="15" customHeight="1" x14ac:dyDescent="0.25">
      <c r="A3372" s="1"/>
      <c r="B3372" s="17"/>
      <c r="C3372" s="17"/>
      <c r="D3372" s="17"/>
      <c r="E3372" s="17"/>
      <c r="F3372" s="17"/>
      <c r="G3372" s="4">
        <f t="shared" si="122"/>
        <v>0</v>
      </c>
      <c r="H3372" s="17"/>
      <c r="I3372" s="4">
        <f t="shared" si="120"/>
        <v>349526.07999999996</v>
      </c>
      <c r="J3372" s="32" t="str">
        <f t="shared" si="121"/>
        <v/>
      </c>
      <c r="K3372" s="79"/>
      <c r="L3372" s="79"/>
      <c r="M3372" s="2"/>
      <c r="N3372" s="5"/>
      <c r="O3372" s="3"/>
      <c r="P3372" s="6"/>
      <c r="Q3372" s="6"/>
    </row>
    <row r="3373" spans="1:17" ht="15" customHeight="1" x14ac:dyDescent="0.25">
      <c r="A3373" s="1"/>
      <c r="B3373" s="17"/>
      <c r="C3373" s="17"/>
      <c r="D3373" s="17"/>
      <c r="E3373" s="17"/>
      <c r="F3373" s="17"/>
      <c r="G3373" s="4">
        <f t="shared" si="122"/>
        <v>0</v>
      </c>
      <c r="H3373" s="17"/>
      <c r="I3373" s="4">
        <f t="shared" si="120"/>
        <v>349526.07999999996</v>
      </c>
      <c r="J3373" s="32" t="str">
        <f t="shared" si="121"/>
        <v/>
      </c>
      <c r="K3373" s="79"/>
      <c r="L3373" s="79"/>
      <c r="M3373" s="2"/>
      <c r="N3373" s="5"/>
      <c r="O3373" s="3"/>
      <c r="P3373" s="6"/>
      <c r="Q3373" s="6"/>
    </row>
    <row r="3374" spans="1:17" ht="15" customHeight="1" x14ac:dyDescent="0.25">
      <c r="A3374" s="1"/>
      <c r="B3374" s="17"/>
      <c r="C3374" s="17"/>
      <c r="D3374" s="17"/>
      <c r="E3374" s="17"/>
      <c r="F3374" s="17"/>
      <c r="G3374" s="4">
        <f t="shared" si="122"/>
        <v>0</v>
      </c>
      <c r="H3374" s="17"/>
      <c r="I3374" s="4">
        <f t="shared" si="120"/>
        <v>349526.07999999996</v>
      </c>
      <c r="J3374" s="32" t="str">
        <f t="shared" si="121"/>
        <v/>
      </c>
      <c r="K3374" s="79"/>
      <c r="L3374" s="79"/>
      <c r="M3374" s="2"/>
      <c r="N3374" s="5"/>
      <c r="O3374" s="3"/>
      <c r="P3374" s="6"/>
      <c r="Q3374" s="6"/>
    </row>
    <row r="3375" spans="1:17" ht="15" customHeight="1" x14ac:dyDescent="0.25">
      <c r="A3375" s="1"/>
      <c r="B3375" s="17"/>
      <c r="C3375" s="17"/>
      <c r="D3375" s="17"/>
      <c r="E3375" s="17"/>
      <c r="F3375" s="17"/>
      <c r="G3375" s="4">
        <f t="shared" si="122"/>
        <v>0</v>
      </c>
      <c r="H3375" s="17"/>
      <c r="I3375" s="4">
        <f t="shared" si="120"/>
        <v>349526.07999999996</v>
      </c>
      <c r="J3375" s="32" t="str">
        <f t="shared" si="121"/>
        <v/>
      </c>
      <c r="K3375" s="79"/>
      <c r="L3375" s="79"/>
      <c r="M3375" s="2"/>
      <c r="N3375" s="5"/>
      <c r="O3375" s="3"/>
      <c r="P3375" s="6"/>
      <c r="Q3375" s="6"/>
    </row>
    <row r="3376" spans="1:17" ht="15" customHeight="1" x14ac:dyDescent="0.25">
      <c r="A3376" s="1"/>
      <c r="B3376" s="17"/>
      <c r="C3376" s="17"/>
      <c r="D3376" s="17"/>
      <c r="E3376" s="17"/>
      <c r="F3376" s="17"/>
      <c r="G3376" s="4">
        <f t="shared" si="122"/>
        <v>0</v>
      </c>
      <c r="H3376" s="17"/>
      <c r="I3376" s="4">
        <f t="shared" si="120"/>
        <v>349526.07999999996</v>
      </c>
      <c r="J3376" s="32" t="str">
        <f t="shared" si="121"/>
        <v/>
      </c>
      <c r="K3376" s="79"/>
      <c r="L3376" s="79"/>
      <c r="M3376" s="2"/>
      <c r="N3376" s="5"/>
      <c r="O3376" s="3"/>
      <c r="P3376" s="6"/>
      <c r="Q3376" s="6"/>
    </row>
    <row r="3377" spans="1:17" ht="15" customHeight="1" x14ac:dyDescent="0.25">
      <c r="A3377" s="1"/>
      <c r="B3377" s="17"/>
      <c r="C3377" s="17"/>
      <c r="D3377" s="17"/>
      <c r="E3377" s="17"/>
      <c r="F3377" s="17"/>
      <c r="G3377" s="4">
        <f t="shared" si="122"/>
        <v>0</v>
      </c>
      <c r="H3377" s="17"/>
      <c r="I3377" s="4">
        <f t="shared" si="120"/>
        <v>349526.07999999996</v>
      </c>
      <c r="J3377" s="32" t="str">
        <f t="shared" si="121"/>
        <v/>
      </c>
      <c r="K3377" s="79"/>
      <c r="L3377" s="79"/>
      <c r="M3377" s="2"/>
      <c r="N3377" s="5"/>
      <c r="O3377" s="3"/>
      <c r="P3377" s="6"/>
      <c r="Q3377" s="6"/>
    </row>
    <row r="3378" spans="1:17" ht="15" customHeight="1" x14ac:dyDescent="0.25">
      <c r="A3378" s="1"/>
      <c r="B3378" s="17"/>
      <c r="C3378" s="17"/>
      <c r="D3378" s="17"/>
      <c r="E3378" s="17"/>
      <c r="F3378" s="17"/>
      <c r="G3378" s="4">
        <f t="shared" si="122"/>
        <v>0</v>
      </c>
      <c r="H3378" s="17"/>
      <c r="I3378" s="4">
        <f t="shared" si="120"/>
        <v>349526.07999999996</v>
      </c>
      <c r="J3378" s="32" t="str">
        <f t="shared" si="121"/>
        <v/>
      </c>
      <c r="K3378" s="79"/>
      <c r="L3378" s="79"/>
      <c r="M3378" s="2"/>
      <c r="N3378" s="5"/>
      <c r="O3378" s="3"/>
      <c r="P3378" s="6"/>
      <c r="Q3378" s="6"/>
    </row>
    <row r="3379" spans="1:17" ht="15" customHeight="1" x14ac:dyDescent="0.25">
      <c r="A3379" s="1"/>
      <c r="B3379" s="17"/>
      <c r="C3379" s="17"/>
      <c r="D3379" s="17"/>
      <c r="E3379" s="17"/>
      <c r="F3379" s="17"/>
      <c r="G3379" s="4">
        <f t="shared" si="122"/>
        <v>0</v>
      </c>
      <c r="H3379" s="17"/>
      <c r="I3379" s="4">
        <f t="shared" si="120"/>
        <v>349526.07999999996</v>
      </c>
      <c r="J3379" s="32" t="str">
        <f t="shared" si="121"/>
        <v/>
      </c>
      <c r="K3379" s="79"/>
      <c r="L3379" s="79"/>
      <c r="M3379" s="2"/>
      <c r="N3379" s="5"/>
      <c r="O3379" s="3"/>
      <c r="P3379" s="6"/>
      <c r="Q3379" s="6"/>
    </row>
    <row r="3380" spans="1:17" ht="15" customHeight="1" x14ac:dyDescent="0.25">
      <c r="A3380" s="1"/>
      <c r="B3380" s="17"/>
      <c r="C3380" s="17"/>
      <c r="D3380" s="17"/>
      <c r="E3380" s="17"/>
      <c r="F3380" s="17"/>
      <c r="G3380" s="4">
        <f t="shared" si="122"/>
        <v>0</v>
      </c>
      <c r="H3380" s="17"/>
      <c r="I3380" s="4">
        <f t="shared" si="120"/>
        <v>349526.07999999996</v>
      </c>
      <c r="J3380" s="32" t="str">
        <f t="shared" si="121"/>
        <v/>
      </c>
      <c r="K3380" s="79"/>
      <c r="L3380" s="79"/>
      <c r="M3380" s="2"/>
      <c r="N3380" s="5"/>
      <c r="O3380" s="3"/>
      <c r="P3380" s="6"/>
      <c r="Q3380" s="6"/>
    </row>
    <row r="3381" spans="1:17" ht="15" customHeight="1" x14ac:dyDescent="0.25">
      <c r="A3381" s="1"/>
      <c r="B3381" s="17"/>
      <c r="C3381" s="17"/>
      <c r="D3381" s="17"/>
      <c r="E3381" s="17"/>
      <c r="F3381" s="17"/>
      <c r="G3381" s="4">
        <f t="shared" si="122"/>
        <v>0</v>
      </c>
      <c r="H3381" s="17"/>
      <c r="I3381" s="4">
        <f t="shared" si="120"/>
        <v>349526.07999999996</v>
      </c>
      <c r="J3381" s="32" t="str">
        <f t="shared" si="121"/>
        <v/>
      </c>
      <c r="K3381" s="79"/>
      <c r="L3381" s="79"/>
      <c r="M3381" s="2"/>
      <c r="N3381" s="5"/>
      <c r="O3381" s="3"/>
      <c r="P3381" s="6"/>
      <c r="Q3381" s="6"/>
    </row>
    <row r="3382" spans="1:17" ht="15" customHeight="1" x14ac:dyDescent="0.25">
      <c r="A3382" s="1"/>
      <c r="B3382" s="17"/>
      <c r="C3382" s="17"/>
      <c r="D3382" s="17"/>
      <c r="E3382" s="17"/>
      <c r="F3382" s="17"/>
      <c r="G3382" s="4">
        <f t="shared" si="122"/>
        <v>0</v>
      </c>
      <c r="H3382" s="17"/>
      <c r="I3382" s="4">
        <f t="shared" ref="I3382:I3445" si="123">$I3381+$G3382-$H3382</f>
        <v>349526.07999999996</v>
      </c>
      <c r="J3382" s="32" t="str">
        <f t="shared" ref="J3382:J3445" si="124">IF($A3383&lt;&gt;$A3382,$I3382,"")</f>
        <v/>
      </c>
      <c r="K3382" s="79"/>
      <c r="L3382" s="79"/>
      <c r="M3382" s="2"/>
      <c r="N3382" s="5"/>
      <c r="O3382" s="3"/>
      <c r="P3382" s="6"/>
      <c r="Q3382" s="6"/>
    </row>
    <row r="3383" spans="1:17" ht="15" customHeight="1" x14ac:dyDescent="0.25">
      <c r="A3383" s="1"/>
      <c r="B3383" s="17"/>
      <c r="C3383" s="17"/>
      <c r="D3383" s="17"/>
      <c r="E3383" s="17"/>
      <c r="F3383" s="17"/>
      <c r="G3383" s="4">
        <f t="shared" si="122"/>
        <v>0</v>
      </c>
      <c r="H3383" s="17"/>
      <c r="I3383" s="4">
        <f t="shared" si="123"/>
        <v>349526.07999999996</v>
      </c>
      <c r="J3383" s="32" t="str">
        <f t="shared" si="124"/>
        <v/>
      </c>
      <c r="K3383" s="79"/>
      <c r="L3383" s="79"/>
      <c r="M3383" s="2"/>
      <c r="N3383" s="5"/>
      <c r="O3383" s="3"/>
      <c r="P3383" s="6"/>
      <c r="Q3383" s="6"/>
    </row>
    <row r="3384" spans="1:17" ht="15" customHeight="1" x14ac:dyDescent="0.25">
      <c r="A3384" s="1"/>
      <c r="B3384" s="17"/>
      <c r="C3384" s="17"/>
      <c r="D3384" s="17"/>
      <c r="E3384" s="17"/>
      <c r="F3384" s="17"/>
      <c r="G3384" s="4">
        <f t="shared" si="122"/>
        <v>0</v>
      </c>
      <c r="H3384" s="17"/>
      <c r="I3384" s="4">
        <f t="shared" si="123"/>
        <v>349526.07999999996</v>
      </c>
      <c r="J3384" s="32" t="str">
        <f t="shared" si="124"/>
        <v/>
      </c>
      <c r="K3384" s="79"/>
      <c r="L3384" s="79"/>
      <c r="M3384" s="2"/>
      <c r="N3384" s="5"/>
      <c r="O3384" s="3"/>
      <c r="P3384" s="6"/>
      <c r="Q3384" s="6"/>
    </row>
    <row r="3385" spans="1:17" ht="15" customHeight="1" x14ac:dyDescent="0.25">
      <c r="A3385" s="1"/>
      <c r="B3385" s="17"/>
      <c r="C3385" s="17"/>
      <c r="D3385" s="17"/>
      <c r="E3385" s="17"/>
      <c r="F3385" s="17"/>
      <c r="G3385" s="4">
        <f t="shared" si="122"/>
        <v>0</v>
      </c>
      <c r="H3385" s="17"/>
      <c r="I3385" s="4">
        <f t="shared" si="123"/>
        <v>349526.07999999996</v>
      </c>
      <c r="J3385" s="32" t="str">
        <f t="shared" si="124"/>
        <v/>
      </c>
      <c r="K3385" s="79"/>
      <c r="L3385" s="79"/>
      <c r="M3385" s="2"/>
      <c r="N3385" s="5"/>
      <c r="O3385" s="3"/>
      <c r="P3385" s="6"/>
      <c r="Q3385" s="6"/>
    </row>
    <row r="3386" spans="1:17" ht="15" customHeight="1" x14ac:dyDescent="0.25">
      <c r="A3386" s="1"/>
      <c r="B3386" s="17"/>
      <c r="C3386" s="17"/>
      <c r="D3386" s="17"/>
      <c r="E3386" s="17"/>
      <c r="F3386" s="17"/>
      <c r="G3386" s="4">
        <f t="shared" si="122"/>
        <v>0</v>
      </c>
      <c r="H3386" s="17"/>
      <c r="I3386" s="4">
        <f t="shared" si="123"/>
        <v>349526.07999999996</v>
      </c>
      <c r="J3386" s="32" t="str">
        <f t="shared" si="124"/>
        <v/>
      </c>
      <c r="K3386" s="79"/>
      <c r="L3386" s="79"/>
      <c r="M3386" s="2"/>
      <c r="N3386" s="5"/>
      <c r="O3386" s="3"/>
      <c r="P3386" s="6"/>
      <c r="Q3386" s="6"/>
    </row>
    <row r="3387" spans="1:17" ht="15" customHeight="1" x14ac:dyDescent="0.25">
      <c r="A3387" s="1"/>
      <c r="B3387" s="17"/>
      <c r="C3387" s="17"/>
      <c r="D3387" s="17"/>
      <c r="E3387" s="17"/>
      <c r="F3387" s="17"/>
      <c r="G3387" s="4">
        <f t="shared" si="122"/>
        <v>0</v>
      </c>
      <c r="H3387" s="17"/>
      <c r="I3387" s="4">
        <f t="shared" si="123"/>
        <v>349526.07999999996</v>
      </c>
      <c r="J3387" s="32" t="str">
        <f t="shared" si="124"/>
        <v/>
      </c>
      <c r="K3387" s="79"/>
      <c r="L3387" s="79"/>
      <c r="M3387" s="2"/>
      <c r="N3387" s="5"/>
      <c r="O3387" s="3"/>
      <c r="P3387" s="6"/>
      <c r="Q3387" s="6"/>
    </row>
    <row r="3388" spans="1:17" ht="15" customHeight="1" x14ac:dyDescent="0.25">
      <c r="A3388" s="1"/>
      <c r="B3388" s="17"/>
      <c r="C3388" s="17"/>
      <c r="D3388" s="17"/>
      <c r="E3388" s="17"/>
      <c r="F3388" s="17"/>
      <c r="G3388" s="4">
        <f t="shared" si="122"/>
        <v>0</v>
      </c>
      <c r="H3388" s="17"/>
      <c r="I3388" s="4">
        <f t="shared" si="123"/>
        <v>349526.07999999996</v>
      </c>
      <c r="J3388" s="32" t="str">
        <f t="shared" si="124"/>
        <v/>
      </c>
      <c r="K3388" s="79"/>
      <c r="L3388" s="79"/>
      <c r="M3388" s="2"/>
      <c r="N3388" s="5"/>
      <c r="O3388" s="3"/>
      <c r="P3388" s="6"/>
      <c r="Q3388" s="6"/>
    </row>
    <row r="3389" spans="1:17" ht="15" customHeight="1" x14ac:dyDescent="0.25">
      <c r="A3389" s="1"/>
      <c r="B3389" s="17"/>
      <c r="C3389" s="17"/>
      <c r="D3389" s="17"/>
      <c r="E3389" s="17"/>
      <c r="F3389" s="17"/>
      <c r="G3389" s="4">
        <f t="shared" si="122"/>
        <v>0</v>
      </c>
      <c r="H3389" s="17"/>
      <c r="I3389" s="4">
        <f t="shared" si="123"/>
        <v>349526.07999999996</v>
      </c>
      <c r="J3389" s="32" t="str">
        <f t="shared" si="124"/>
        <v/>
      </c>
      <c r="K3389" s="79"/>
      <c r="L3389" s="79"/>
      <c r="M3389" s="2"/>
      <c r="N3389" s="5"/>
      <c r="O3389" s="3"/>
      <c r="P3389" s="6"/>
      <c r="Q3389" s="6"/>
    </row>
    <row r="3390" spans="1:17" ht="15" customHeight="1" x14ac:dyDescent="0.25">
      <c r="A3390" s="1"/>
      <c r="B3390" s="17"/>
      <c r="C3390" s="17"/>
      <c r="D3390" s="17"/>
      <c r="E3390" s="17"/>
      <c r="F3390" s="17"/>
      <c r="G3390" s="4">
        <f t="shared" si="122"/>
        <v>0</v>
      </c>
      <c r="H3390" s="17"/>
      <c r="I3390" s="4">
        <f t="shared" si="123"/>
        <v>349526.07999999996</v>
      </c>
      <c r="J3390" s="32" t="str">
        <f t="shared" si="124"/>
        <v/>
      </c>
      <c r="K3390" s="79"/>
      <c r="L3390" s="79"/>
      <c r="M3390" s="2"/>
      <c r="N3390" s="5"/>
      <c r="O3390" s="3"/>
      <c r="P3390" s="6"/>
      <c r="Q3390" s="6"/>
    </row>
    <row r="3391" spans="1:17" ht="15" customHeight="1" x14ac:dyDescent="0.25">
      <c r="A3391" s="1"/>
      <c r="B3391" s="17"/>
      <c r="C3391" s="17"/>
      <c r="D3391" s="17"/>
      <c r="E3391" s="17"/>
      <c r="F3391" s="17"/>
      <c r="G3391" s="4">
        <f t="shared" si="122"/>
        <v>0</v>
      </c>
      <c r="H3391" s="17"/>
      <c r="I3391" s="4">
        <f t="shared" si="123"/>
        <v>349526.07999999996</v>
      </c>
      <c r="J3391" s="32" t="str">
        <f t="shared" si="124"/>
        <v/>
      </c>
      <c r="K3391" s="79"/>
      <c r="L3391" s="79"/>
      <c r="M3391" s="2"/>
      <c r="N3391" s="5"/>
      <c r="O3391" s="3"/>
      <c r="P3391" s="6"/>
      <c r="Q3391" s="6"/>
    </row>
    <row r="3392" spans="1:17" ht="15" customHeight="1" x14ac:dyDescent="0.25">
      <c r="A3392" s="1"/>
      <c r="B3392" s="17"/>
      <c r="C3392" s="17"/>
      <c r="D3392" s="17"/>
      <c r="E3392" s="17"/>
      <c r="F3392" s="17"/>
      <c r="G3392" s="4">
        <f t="shared" si="122"/>
        <v>0</v>
      </c>
      <c r="H3392" s="17"/>
      <c r="I3392" s="4">
        <f t="shared" si="123"/>
        <v>349526.07999999996</v>
      </c>
      <c r="J3392" s="32" t="str">
        <f t="shared" si="124"/>
        <v/>
      </c>
      <c r="K3392" s="79"/>
      <c r="L3392" s="79"/>
      <c r="M3392" s="2"/>
      <c r="N3392" s="5"/>
      <c r="O3392" s="3"/>
      <c r="P3392" s="6"/>
      <c r="Q3392" s="6"/>
    </row>
    <row r="3393" spans="1:17" ht="15" customHeight="1" x14ac:dyDescent="0.25">
      <c r="A3393" s="1"/>
      <c r="B3393" s="17"/>
      <c r="C3393" s="17"/>
      <c r="D3393" s="17"/>
      <c r="E3393" s="17"/>
      <c r="F3393" s="17"/>
      <c r="G3393" s="4">
        <f t="shared" si="122"/>
        <v>0</v>
      </c>
      <c r="H3393" s="17"/>
      <c r="I3393" s="4">
        <f t="shared" si="123"/>
        <v>349526.07999999996</v>
      </c>
      <c r="J3393" s="32" t="str">
        <f t="shared" si="124"/>
        <v/>
      </c>
      <c r="K3393" s="79"/>
      <c r="L3393" s="79"/>
      <c r="M3393" s="2"/>
      <c r="N3393" s="5"/>
      <c r="O3393" s="3"/>
      <c r="P3393" s="6"/>
      <c r="Q3393" s="6"/>
    </row>
    <row r="3394" spans="1:17" ht="15" customHeight="1" x14ac:dyDescent="0.25">
      <c r="A3394" s="1"/>
      <c r="B3394" s="17"/>
      <c r="C3394" s="17"/>
      <c r="D3394" s="17"/>
      <c r="E3394" s="17"/>
      <c r="F3394" s="17"/>
      <c r="G3394" s="4">
        <f t="shared" si="122"/>
        <v>0</v>
      </c>
      <c r="H3394" s="17"/>
      <c r="I3394" s="4">
        <f t="shared" si="123"/>
        <v>349526.07999999996</v>
      </c>
      <c r="J3394" s="32" t="str">
        <f t="shared" si="124"/>
        <v/>
      </c>
      <c r="K3394" s="79"/>
      <c r="L3394" s="79"/>
      <c r="M3394" s="2"/>
      <c r="N3394" s="5"/>
      <c r="O3394" s="3"/>
      <c r="P3394" s="6"/>
      <c r="Q3394" s="6"/>
    </row>
    <row r="3395" spans="1:17" ht="15" customHeight="1" x14ac:dyDescent="0.25">
      <c r="A3395" s="1"/>
      <c r="B3395" s="17"/>
      <c r="C3395" s="17"/>
      <c r="D3395" s="17"/>
      <c r="E3395" s="17"/>
      <c r="F3395" s="17"/>
      <c r="G3395" s="4">
        <f t="shared" ref="G3395:G3458" si="125">SUM($B3395:$F3395)</f>
        <v>0</v>
      </c>
      <c r="H3395" s="17"/>
      <c r="I3395" s="4">
        <f t="shared" si="123"/>
        <v>349526.07999999996</v>
      </c>
      <c r="J3395" s="32" t="str">
        <f t="shared" si="124"/>
        <v/>
      </c>
      <c r="K3395" s="79"/>
      <c r="L3395" s="79"/>
      <c r="M3395" s="2"/>
      <c r="N3395" s="5"/>
      <c r="O3395" s="3"/>
      <c r="P3395" s="6"/>
      <c r="Q3395" s="6"/>
    </row>
    <row r="3396" spans="1:17" ht="15" customHeight="1" x14ac:dyDescent="0.25">
      <c r="A3396" s="1"/>
      <c r="B3396" s="17"/>
      <c r="C3396" s="17"/>
      <c r="D3396" s="17"/>
      <c r="E3396" s="17"/>
      <c r="F3396" s="17"/>
      <c r="G3396" s="4">
        <f t="shared" si="125"/>
        <v>0</v>
      </c>
      <c r="H3396" s="17"/>
      <c r="I3396" s="4">
        <f t="shared" si="123"/>
        <v>349526.07999999996</v>
      </c>
      <c r="J3396" s="32" t="str">
        <f t="shared" si="124"/>
        <v/>
      </c>
      <c r="K3396" s="79"/>
      <c r="L3396" s="79"/>
      <c r="M3396" s="2"/>
      <c r="N3396" s="5"/>
      <c r="O3396" s="3"/>
      <c r="P3396" s="6"/>
      <c r="Q3396" s="6"/>
    </row>
    <row r="3397" spans="1:17" ht="15" customHeight="1" x14ac:dyDescent="0.25">
      <c r="A3397" s="1"/>
      <c r="B3397" s="17"/>
      <c r="C3397" s="17"/>
      <c r="D3397" s="17"/>
      <c r="E3397" s="17"/>
      <c r="F3397" s="17"/>
      <c r="G3397" s="4">
        <f t="shared" si="125"/>
        <v>0</v>
      </c>
      <c r="H3397" s="17"/>
      <c r="I3397" s="4">
        <f t="shared" si="123"/>
        <v>349526.07999999996</v>
      </c>
      <c r="J3397" s="32" t="str">
        <f t="shared" si="124"/>
        <v/>
      </c>
      <c r="K3397" s="79"/>
      <c r="L3397" s="79"/>
      <c r="M3397" s="2"/>
      <c r="N3397" s="5"/>
      <c r="O3397" s="3"/>
      <c r="P3397" s="6"/>
      <c r="Q3397" s="6"/>
    </row>
    <row r="3398" spans="1:17" ht="15" customHeight="1" x14ac:dyDescent="0.25">
      <c r="A3398" s="1"/>
      <c r="B3398" s="17"/>
      <c r="C3398" s="17"/>
      <c r="D3398" s="17"/>
      <c r="E3398" s="17"/>
      <c r="F3398" s="17"/>
      <c r="G3398" s="4">
        <f t="shared" si="125"/>
        <v>0</v>
      </c>
      <c r="H3398" s="17"/>
      <c r="I3398" s="4">
        <f t="shared" si="123"/>
        <v>349526.07999999996</v>
      </c>
      <c r="J3398" s="32" t="str">
        <f t="shared" si="124"/>
        <v/>
      </c>
      <c r="K3398" s="79"/>
      <c r="L3398" s="79"/>
      <c r="M3398" s="2"/>
      <c r="N3398" s="5"/>
      <c r="O3398" s="3"/>
      <c r="P3398" s="6"/>
      <c r="Q3398" s="6"/>
    </row>
    <row r="3399" spans="1:17" ht="15" customHeight="1" x14ac:dyDescent="0.25">
      <c r="A3399" s="1"/>
      <c r="B3399" s="17"/>
      <c r="C3399" s="17"/>
      <c r="D3399" s="17"/>
      <c r="E3399" s="17"/>
      <c r="F3399" s="17"/>
      <c r="G3399" s="4">
        <f t="shared" si="125"/>
        <v>0</v>
      </c>
      <c r="H3399" s="17"/>
      <c r="I3399" s="4">
        <f t="shared" si="123"/>
        <v>349526.07999999996</v>
      </c>
      <c r="J3399" s="32" t="str">
        <f t="shared" si="124"/>
        <v/>
      </c>
      <c r="K3399" s="79"/>
      <c r="L3399" s="79"/>
      <c r="M3399" s="2"/>
      <c r="N3399" s="5"/>
      <c r="O3399" s="3"/>
      <c r="P3399" s="6"/>
      <c r="Q3399" s="6"/>
    </row>
    <row r="3400" spans="1:17" ht="15" customHeight="1" x14ac:dyDescent="0.25">
      <c r="A3400" s="1"/>
      <c r="B3400" s="17"/>
      <c r="C3400" s="17"/>
      <c r="D3400" s="17"/>
      <c r="E3400" s="17"/>
      <c r="F3400" s="17"/>
      <c r="G3400" s="4">
        <f t="shared" si="125"/>
        <v>0</v>
      </c>
      <c r="H3400" s="17"/>
      <c r="I3400" s="4">
        <f t="shared" si="123"/>
        <v>349526.07999999996</v>
      </c>
      <c r="J3400" s="32" t="str">
        <f t="shared" si="124"/>
        <v/>
      </c>
      <c r="K3400" s="79"/>
      <c r="L3400" s="79"/>
      <c r="M3400" s="2"/>
      <c r="N3400" s="5"/>
      <c r="O3400" s="3"/>
      <c r="P3400" s="6"/>
      <c r="Q3400" s="6"/>
    </row>
    <row r="3401" spans="1:17" ht="15" customHeight="1" x14ac:dyDescent="0.25">
      <c r="A3401" s="1"/>
      <c r="B3401" s="17"/>
      <c r="C3401" s="17"/>
      <c r="D3401" s="17"/>
      <c r="E3401" s="17"/>
      <c r="F3401" s="17"/>
      <c r="G3401" s="4">
        <f t="shared" si="125"/>
        <v>0</v>
      </c>
      <c r="H3401" s="17"/>
      <c r="I3401" s="4">
        <f t="shared" si="123"/>
        <v>349526.07999999996</v>
      </c>
      <c r="J3401" s="32" t="str">
        <f t="shared" si="124"/>
        <v/>
      </c>
      <c r="K3401" s="79"/>
      <c r="L3401" s="79"/>
      <c r="M3401" s="2"/>
      <c r="N3401" s="5"/>
      <c r="O3401" s="3"/>
      <c r="P3401" s="6"/>
      <c r="Q3401" s="6"/>
    </row>
    <row r="3402" spans="1:17" ht="15" customHeight="1" x14ac:dyDescent="0.25">
      <c r="A3402" s="1"/>
      <c r="B3402" s="17"/>
      <c r="C3402" s="17"/>
      <c r="D3402" s="17"/>
      <c r="E3402" s="17"/>
      <c r="F3402" s="17"/>
      <c r="G3402" s="4">
        <f t="shared" si="125"/>
        <v>0</v>
      </c>
      <c r="H3402" s="17"/>
      <c r="I3402" s="4">
        <f t="shared" si="123"/>
        <v>349526.07999999996</v>
      </c>
      <c r="J3402" s="32" t="str">
        <f t="shared" si="124"/>
        <v/>
      </c>
      <c r="K3402" s="79"/>
      <c r="L3402" s="79"/>
      <c r="M3402" s="2"/>
      <c r="N3402" s="5"/>
      <c r="O3402" s="3"/>
      <c r="P3402" s="6"/>
      <c r="Q3402" s="6"/>
    </row>
    <row r="3403" spans="1:17" ht="15" customHeight="1" x14ac:dyDescent="0.25">
      <c r="A3403" s="1"/>
      <c r="B3403" s="17"/>
      <c r="C3403" s="17"/>
      <c r="D3403" s="17"/>
      <c r="E3403" s="17"/>
      <c r="F3403" s="17"/>
      <c r="G3403" s="4">
        <f t="shared" si="125"/>
        <v>0</v>
      </c>
      <c r="H3403" s="17"/>
      <c r="I3403" s="4">
        <f t="shared" si="123"/>
        <v>349526.07999999996</v>
      </c>
      <c r="J3403" s="32" t="str">
        <f t="shared" si="124"/>
        <v/>
      </c>
      <c r="K3403" s="79"/>
      <c r="L3403" s="79"/>
      <c r="M3403" s="2"/>
      <c r="N3403" s="5"/>
      <c r="O3403" s="3"/>
      <c r="P3403" s="6"/>
      <c r="Q3403" s="6"/>
    </row>
    <row r="3404" spans="1:17" ht="15" customHeight="1" x14ac:dyDescent="0.25">
      <c r="A3404" s="1"/>
      <c r="B3404" s="17"/>
      <c r="C3404" s="17"/>
      <c r="D3404" s="17"/>
      <c r="E3404" s="17"/>
      <c r="F3404" s="17"/>
      <c r="G3404" s="4">
        <f t="shared" si="125"/>
        <v>0</v>
      </c>
      <c r="H3404" s="17"/>
      <c r="I3404" s="4">
        <f t="shared" si="123"/>
        <v>349526.07999999996</v>
      </c>
      <c r="J3404" s="32" t="str">
        <f t="shared" si="124"/>
        <v/>
      </c>
      <c r="K3404" s="79"/>
      <c r="L3404" s="79"/>
      <c r="M3404" s="2"/>
      <c r="N3404" s="5"/>
      <c r="O3404" s="3"/>
      <c r="P3404" s="6"/>
      <c r="Q3404" s="6"/>
    </row>
    <row r="3405" spans="1:17" ht="15" customHeight="1" x14ac:dyDescent="0.25">
      <c r="A3405" s="1"/>
      <c r="B3405" s="17"/>
      <c r="C3405" s="17"/>
      <c r="D3405" s="17"/>
      <c r="E3405" s="17"/>
      <c r="F3405" s="17"/>
      <c r="G3405" s="4">
        <f t="shared" si="125"/>
        <v>0</v>
      </c>
      <c r="H3405" s="17"/>
      <c r="I3405" s="4">
        <f t="shared" si="123"/>
        <v>349526.07999999996</v>
      </c>
      <c r="J3405" s="32" t="str">
        <f t="shared" si="124"/>
        <v/>
      </c>
      <c r="K3405" s="79"/>
      <c r="L3405" s="79"/>
      <c r="M3405" s="2"/>
      <c r="N3405" s="5"/>
      <c r="O3405" s="3"/>
      <c r="P3405" s="6"/>
      <c r="Q3405" s="6"/>
    </row>
    <row r="3406" spans="1:17" ht="15" customHeight="1" x14ac:dyDescent="0.25">
      <c r="A3406" s="1"/>
      <c r="B3406" s="17"/>
      <c r="C3406" s="17"/>
      <c r="D3406" s="17"/>
      <c r="E3406" s="17"/>
      <c r="F3406" s="17"/>
      <c r="G3406" s="4">
        <f t="shared" si="125"/>
        <v>0</v>
      </c>
      <c r="H3406" s="17"/>
      <c r="I3406" s="4">
        <f t="shared" si="123"/>
        <v>349526.07999999996</v>
      </c>
      <c r="J3406" s="32" t="str">
        <f t="shared" si="124"/>
        <v/>
      </c>
      <c r="K3406" s="79"/>
      <c r="L3406" s="79"/>
      <c r="M3406" s="2"/>
      <c r="N3406" s="5"/>
      <c r="O3406" s="3"/>
      <c r="P3406" s="6"/>
      <c r="Q3406" s="6"/>
    </row>
    <row r="3407" spans="1:17" ht="15" customHeight="1" x14ac:dyDescent="0.25">
      <c r="A3407" s="1"/>
      <c r="B3407" s="17"/>
      <c r="C3407" s="17"/>
      <c r="D3407" s="17"/>
      <c r="E3407" s="17"/>
      <c r="F3407" s="17"/>
      <c r="G3407" s="4">
        <f t="shared" si="125"/>
        <v>0</v>
      </c>
      <c r="H3407" s="17"/>
      <c r="I3407" s="4">
        <f t="shared" si="123"/>
        <v>349526.07999999996</v>
      </c>
      <c r="J3407" s="32" t="str">
        <f t="shared" si="124"/>
        <v/>
      </c>
      <c r="K3407" s="79"/>
      <c r="L3407" s="79"/>
      <c r="M3407" s="2"/>
      <c r="N3407" s="5"/>
      <c r="O3407" s="3"/>
      <c r="P3407" s="6"/>
      <c r="Q3407" s="6"/>
    </row>
    <row r="3408" spans="1:17" ht="15" customHeight="1" x14ac:dyDescent="0.25">
      <c r="A3408" s="1"/>
      <c r="B3408" s="17"/>
      <c r="C3408" s="17"/>
      <c r="D3408" s="17"/>
      <c r="E3408" s="17"/>
      <c r="F3408" s="17"/>
      <c r="G3408" s="4">
        <f t="shared" si="125"/>
        <v>0</v>
      </c>
      <c r="H3408" s="17"/>
      <c r="I3408" s="4">
        <f t="shared" si="123"/>
        <v>349526.07999999996</v>
      </c>
      <c r="J3408" s="32" t="str">
        <f t="shared" si="124"/>
        <v/>
      </c>
      <c r="K3408" s="79"/>
      <c r="L3408" s="79"/>
      <c r="M3408" s="2"/>
      <c r="N3408" s="5"/>
      <c r="O3408" s="3"/>
      <c r="P3408" s="6"/>
      <c r="Q3408" s="6"/>
    </row>
    <row r="3409" spans="1:17" ht="15" customHeight="1" x14ac:dyDescent="0.25">
      <c r="A3409" s="1"/>
      <c r="B3409" s="17"/>
      <c r="C3409" s="17"/>
      <c r="D3409" s="17"/>
      <c r="E3409" s="17"/>
      <c r="F3409" s="17"/>
      <c r="G3409" s="4">
        <f t="shared" si="125"/>
        <v>0</v>
      </c>
      <c r="H3409" s="17"/>
      <c r="I3409" s="4">
        <f t="shared" si="123"/>
        <v>349526.07999999996</v>
      </c>
      <c r="J3409" s="32" t="str">
        <f t="shared" si="124"/>
        <v/>
      </c>
      <c r="K3409" s="79"/>
      <c r="L3409" s="79"/>
      <c r="M3409" s="2"/>
      <c r="N3409" s="5"/>
      <c r="O3409" s="3"/>
      <c r="P3409" s="6"/>
      <c r="Q3409" s="6"/>
    </row>
    <row r="3410" spans="1:17" ht="15" customHeight="1" x14ac:dyDescent="0.25">
      <c r="A3410" s="1"/>
      <c r="B3410" s="17"/>
      <c r="C3410" s="17"/>
      <c r="D3410" s="17"/>
      <c r="E3410" s="17"/>
      <c r="F3410" s="17"/>
      <c r="G3410" s="4">
        <f t="shared" si="125"/>
        <v>0</v>
      </c>
      <c r="H3410" s="17"/>
      <c r="I3410" s="4">
        <f t="shared" si="123"/>
        <v>349526.07999999996</v>
      </c>
      <c r="J3410" s="32" t="str">
        <f t="shared" si="124"/>
        <v/>
      </c>
      <c r="K3410" s="79"/>
      <c r="L3410" s="79"/>
      <c r="M3410" s="2"/>
      <c r="N3410" s="5"/>
      <c r="O3410" s="3"/>
      <c r="P3410" s="6"/>
      <c r="Q3410" s="6"/>
    </row>
    <row r="3411" spans="1:17" ht="15" customHeight="1" x14ac:dyDescent="0.25">
      <c r="A3411" s="1"/>
      <c r="B3411" s="17"/>
      <c r="C3411" s="17"/>
      <c r="D3411" s="17"/>
      <c r="E3411" s="17"/>
      <c r="F3411" s="17"/>
      <c r="G3411" s="4">
        <f t="shared" si="125"/>
        <v>0</v>
      </c>
      <c r="H3411" s="17"/>
      <c r="I3411" s="4">
        <f t="shared" si="123"/>
        <v>349526.07999999996</v>
      </c>
      <c r="J3411" s="32" t="str">
        <f t="shared" si="124"/>
        <v/>
      </c>
      <c r="K3411" s="79"/>
      <c r="L3411" s="79"/>
      <c r="M3411" s="2"/>
      <c r="N3411" s="5"/>
      <c r="O3411" s="3"/>
      <c r="P3411" s="6"/>
      <c r="Q3411" s="6"/>
    </row>
    <row r="3412" spans="1:17" ht="15" customHeight="1" x14ac:dyDescent="0.25">
      <c r="A3412" s="1"/>
      <c r="B3412" s="17"/>
      <c r="C3412" s="17"/>
      <c r="D3412" s="17"/>
      <c r="E3412" s="17"/>
      <c r="F3412" s="17"/>
      <c r="G3412" s="4">
        <f t="shared" si="125"/>
        <v>0</v>
      </c>
      <c r="H3412" s="17"/>
      <c r="I3412" s="4">
        <f t="shared" si="123"/>
        <v>349526.07999999996</v>
      </c>
      <c r="J3412" s="32" t="str">
        <f t="shared" si="124"/>
        <v/>
      </c>
      <c r="K3412" s="79"/>
      <c r="L3412" s="79"/>
      <c r="M3412" s="2"/>
      <c r="N3412" s="5"/>
      <c r="O3412" s="3"/>
      <c r="P3412" s="6"/>
      <c r="Q3412" s="6"/>
    </row>
    <row r="3413" spans="1:17" ht="15" customHeight="1" x14ac:dyDescent="0.25">
      <c r="A3413" s="1"/>
      <c r="B3413" s="17"/>
      <c r="C3413" s="17"/>
      <c r="D3413" s="17"/>
      <c r="E3413" s="17"/>
      <c r="F3413" s="17"/>
      <c r="G3413" s="4">
        <f t="shared" si="125"/>
        <v>0</v>
      </c>
      <c r="H3413" s="17"/>
      <c r="I3413" s="4">
        <f t="shared" si="123"/>
        <v>349526.07999999996</v>
      </c>
      <c r="J3413" s="32" t="str">
        <f t="shared" si="124"/>
        <v/>
      </c>
      <c r="K3413" s="79"/>
      <c r="L3413" s="79"/>
      <c r="M3413" s="2"/>
      <c r="N3413" s="5"/>
      <c r="O3413" s="3"/>
      <c r="P3413" s="6"/>
      <c r="Q3413" s="6"/>
    </row>
    <row r="3414" spans="1:17" ht="15" customHeight="1" x14ac:dyDescent="0.25">
      <c r="A3414" s="1"/>
      <c r="B3414" s="17"/>
      <c r="C3414" s="17"/>
      <c r="D3414" s="17"/>
      <c r="E3414" s="17"/>
      <c r="F3414" s="17"/>
      <c r="G3414" s="4">
        <f t="shared" si="125"/>
        <v>0</v>
      </c>
      <c r="H3414" s="17"/>
      <c r="I3414" s="4">
        <f t="shared" si="123"/>
        <v>349526.07999999996</v>
      </c>
      <c r="J3414" s="32" t="str">
        <f t="shared" si="124"/>
        <v/>
      </c>
      <c r="K3414" s="79"/>
      <c r="L3414" s="79"/>
      <c r="M3414" s="2"/>
      <c r="N3414" s="5"/>
      <c r="O3414" s="3"/>
      <c r="P3414" s="6"/>
      <c r="Q3414" s="6"/>
    </row>
    <row r="3415" spans="1:17" ht="15" customHeight="1" x14ac:dyDescent="0.25">
      <c r="A3415" s="1"/>
      <c r="B3415" s="17"/>
      <c r="C3415" s="17"/>
      <c r="D3415" s="17"/>
      <c r="E3415" s="17"/>
      <c r="F3415" s="17"/>
      <c r="G3415" s="4">
        <f t="shared" si="125"/>
        <v>0</v>
      </c>
      <c r="H3415" s="17"/>
      <c r="I3415" s="4">
        <f t="shared" si="123"/>
        <v>349526.07999999996</v>
      </c>
      <c r="J3415" s="32" t="str">
        <f t="shared" si="124"/>
        <v/>
      </c>
      <c r="K3415" s="79"/>
      <c r="L3415" s="79"/>
      <c r="M3415" s="2"/>
      <c r="N3415" s="5"/>
      <c r="O3415" s="3"/>
      <c r="P3415" s="6"/>
      <c r="Q3415" s="6"/>
    </row>
    <row r="3416" spans="1:17" ht="15" customHeight="1" x14ac:dyDescent="0.25">
      <c r="A3416" s="1"/>
      <c r="B3416" s="17"/>
      <c r="C3416" s="17"/>
      <c r="D3416" s="17"/>
      <c r="E3416" s="17"/>
      <c r="F3416" s="17"/>
      <c r="G3416" s="4">
        <f t="shared" si="125"/>
        <v>0</v>
      </c>
      <c r="H3416" s="17"/>
      <c r="I3416" s="4">
        <f t="shared" si="123"/>
        <v>349526.07999999996</v>
      </c>
      <c r="J3416" s="32" t="str">
        <f t="shared" si="124"/>
        <v/>
      </c>
      <c r="K3416" s="79"/>
      <c r="L3416" s="79"/>
      <c r="M3416" s="2"/>
      <c r="N3416" s="5"/>
      <c r="O3416" s="3"/>
      <c r="P3416" s="6"/>
      <c r="Q3416" s="6"/>
    </row>
    <row r="3417" spans="1:17" ht="15" customHeight="1" x14ac:dyDescent="0.25">
      <c r="A3417" s="1"/>
      <c r="B3417" s="17"/>
      <c r="C3417" s="17"/>
      <c r="D3417" s="17"/>
      <c r="E3417" s="17"/>
      <c r="F3417" s="17"/>
      <c r="G3417" s="4">
        <f t="shared" si="125"/>
        <v>0</v>
      </c>
      <c r="H3417" s="17"/>
      <c r="I3417" s="4">
        <f t="shared" si="123"/>
        <v>349526.07999999996</v>
      </c>
      <c r="J3417" s="32" t="str">
        <f t="shared" si="124"/>
        <v/>
      </c>
      <c r="K3417" s="79"/>
      <c r="L3417" s="79"/>
      <c r="M3417" s="2"/>
      <c r="N3417" s="5"/>
      <c r="O3417" s="3"/>
      <c r="P3417" s="6"/>
      <c r="Q3417" s="6"/>
    </row>
    <row r="3418" spans="1:17" ht="15" customHeight="1" x14ac:dyDescent="0.25">
      <c r="A3418" s="1"/>
      <c r="B3418" s="17"/>
      <c r="C3418" s="17"/>
      <c r="D3418" s="17"/>
      <c r="E3418" s="17"/>
      <c r="F3418" s="17"/>
      <c r="G3418" s="4">
        <f t="shared" si="125"/>
        <v>0</v>
      </c>
      <c r="H3418" s="17"/>
      <c r="I3418" s="4">
        <f t="shared" si="123"/>
        <v>349526.07999999996</v>
      </c>
      <c r="J3418" s="32" t="str">
        <f t="shared" si="124"/>
        <v/>
      </c>
      <c r="K3418" s="79"/>
      <c r="L3418" s="79"/>
      <c r="M3418" s="2"/>
      <c r="N3418" s="5"/>
      <c r="O3418" s="3"/>
      <c r="P3418" s="6"/>
      <c r="Q3418" s="6"/>
    </row>
    <row r="3419" spans="1:17" ht="15" customHeight="1" x14ac:dyDescent="0.25">
      <c r="A3419" s="1"/>
      <c r="B3419" s="17"/>
      <c r="C3419" s="17"/>
      <c r="D3419" s="17"/>
      <c r="E3419" s="17"/>
      <c r="F3419" s="17"/>
      <c r="G3419" s="4">
        <f t="shared" si="125"/>
        <v>0</v>
      </c>
      <c r="H3419" s="17"/>
      <c r="I3419" s="4">
        <f t="shared" si="123"/>
        <v>349526.07999999996</v>
      </c>
      <c r="J3419" s="32" t="str">
        <f t="shared" si="124"/>
        <v/>
      </c>
      <c r="K3419" s="79"/>
      <c r="L3419" s="79"/>
      <c r="M3419" s="2"/>
      <c r="N3419" s="5"/>
      <c r="O3419" s="3"/>
      <c r="P3419" s="6"/>
      <c r="Q3419" s="6"/>
    </row>
    <row r="3420" spans="1:17" ht="15" customHeight="1" x14ac:dyDescent="0.25">
      <c r="A3420" s="1"/>
      <c r="B3420" s="17"/>
      <c r="C3420" s="17"/>
      <c r="D3420" s="17"/>
      <c r="E3420" s="17"/>
      <c r="F3420" s="17"/>
      <c r="G3420" s="4">
        <f t="shared" si="125"/>
        <v>0</v>
      </c>
      <c r="H3420" s="17"/>
      <c r="I3420" s="4">
        <f t="shared" si="123"/>
        <v>349526.07999999996</v>
      </c>
      <c r="J3420" s="32" t="str">
        <f t="shared" si="124"/>
        <v/>
      </c>
      <c r="K3420" s="79"/>
      <c r="L3420" s="79"/>
      <c r="M3420" s="2"/>
      <c r="N3420" s="5"/>
      <c r="O3420" s="3"/>
      <c r="P3420" s="6"/>
      <c r="Q3420" s="6"/>
    </row>
    <row r="3421" spans="1:17" ht="15" customHeight="1" x14ac:dyDescent="0.25">
      <c r="A3421" s="1"/>
      <c r="B3421" s="17"/>
      <c r="C3421" s="17"/>
      <c r="D3421" s="17"/>
      <c r="E3421" s="17"/>
      <c r="F3421" s="17"/>
      <c r="G3421" s="4">
        <f t="shared" si="125"/>
        <v>0</v>
      </c>
      <c r="H3421" s="17"/>
      <c r="I3421" s="4">
        <f t="shared" si="123"/>
        <v>349526.07999999996</v>
      </c>
      <c r="J3421" s="32" t="str">
        <f t="shared" si="124"/>
        <v/>
      </c>
      <c r="K3421" s="79"/>
      <c r="L3421" s="79"/>
      <c r="M3421" s="2"/>
      <c r="N3421" s="5"/>
      <c r="O3421" s="3"/>
      <c r="P3421" s="6"/>
      <c r="Q3421" s="6"/>
    </row>
    <row r="3422" spans="1:17" ht="15" customHeight="1" x14ac:dyDescent="0.25">
      <c r="A3422" s="1"/>
      <c r="B3422" s="17"/>
      <c r="C3422" s="17"/>
      <c r="D3422" s="17"/>
      <c r="E3422" s="17"/>
      <c r="F3422" s="17"/>
      <c r="G3422" s="4">
        <f t="shared" si="125"/>
        <v>0</v>
      </c>
      <c r="H3422" s="17"/>
      <c r="I3422" s="4">
        <f t="shared" si="123"/>
        <v>349526.07999999996</v>
      </c>
      <c r="J3422" s="32" t="str">
        <f t="shared" si="124"/>
        <v/>
      </c>
      <c r="K3422" s="79"/>
      <c r="L3422" s="79"/>
      <c r="M3422" s="2"/>
      <c r="N3422" s="5"/>
      <c r="O3422" s="3"/>
      <c r="P3422" s="6"/>
      <c r="Q3422" s="6"/>
    </row>
    <row r="3423" spans="1:17" ht="15" customHeight="1" x14ac:dyDescent="0.25">
      <c r="A3423" s="1"/>
      <c r="B3423" s="17"/>
      <c r="C3423" s="17"/>
      <c r="D3423" s="17"/>
      <c r="E3423" s="17"/>
      <c r="F3423" s="17"/>
      <c r="G3423" s="4">
        <f t="shared" si="125"/>
        <v>0</v>
      </c>
      <c r="H3423" s="17"/>
      <c r="I3423" s="4">
        <f t="shared" si="123"/>
        <v>349526.07999999996</v>
      </c>
      <c r="J3423" s="32" t="str">
        <f t="shared" si="124"/>
        <v/>
      </c>
      <c r="K3423" s="79"/>
      <c r="L3423" s="79"/>
      <c r="M3423" s="2"/>
      <c r="N3423" s="5"/>
      <c r="O3423" s="3"/>
      <c r="P3423" s="6"/>
      <c r="Q3423" s="6"/>
    </row>
    <row r="3424" spans="1:17" ht="15" customHeight="1" x14ac:dyDescent="0.25">
      <c r="A3424" s="1"/>
      <c r="B3424" s="17"/>
      <c r="C3424" s="17"/>
      <c r="D3424" s="17"/>
      <c r="E3424" s="17"/>
      <c r="F3424" s="17"/>
      <c r="G3424" s="4">
        <f t="shared" si="125"/>
        <v>0</v>
      </c>
      <c r="H3424" s="17"/>
      <c r="I3424" s="4">
        <f t="shared" si="123"/>
        <v>349526.07999999996</v>
      </c>
      <c r="J3424" s="32" t="str">
        <f t="shared" si="124"/>
        <v/>
      </c>
      <c r="K3424" s="79"/>
      <c r="L3424" s="79"/>
      <c r="M3424" s="2"/>
      <c r="N3424" s="5"/>
      <c r="O3424" s="3"/>
      <c r="P3424" s="6"/>
      <c r="Q3424" s="6"/>
    </row>
    <row r="3425" spans="1:17" ht="15" customHeight="1" x14ac:dyDescent="0.25">
      <c r="A3425" s="1"/>
      <c r="B3425" s="17"/>
      <c r="C3425" s="17"/>
      <c r="D3425" s="17"/>
      <c r="E3425" s="17"/>
      <c r="F3425" s="17"/>
      <c r="G3425" s="4">
        <f t="shared" si="125"/>
        <v>0</v>
      </c>
      <c r="H3425" s="17"/>
      <c r="I3425" s="4">
        <f t="shared" si="123"/>
        <v>349526.07999999996</v>
      </c>
      <c r="J3425" s="32" t="str">
        <f t="shared" si="124"/>
        <v/>
      </c>
      <c r="K3425" s="79"/>
      <c r="L3425" s="79"/>
      <c r="M3425" s="2"/>
      <c r="N3425" s="5"/>
      <c r="O3425" s="3"/>
      <c r="P3425" s="6"/>
      <c r="Q3425" s="6"/>
    </row>
    <row r="3426" spans="1:17" ht="15" customHeight="1" x14ac:dyDescent="0.25">
      <c r="A3426" s="1"/>
      <c r="B3426" s="17"/>
      <c r="C3426" s="17"/>
      <c r="D3426" s="17"/>
      <c r="E3426" s="17"/>
      <c r="F3426" s="17"/>
      <c r="G3426" s="4">
        <f t="shared" si="125"/>
        <v>0</v>
      </c>
      <c r="H3426" s="17"/>
      <c r="I3426" s="4">
        <f t="shared" si="123"/>
        <v>349526.07999999996</v>
      </c>
      <c r="J3426" s="32" t="str">
        <f t="shared" si="124"/>
        <v/>
      </c>
      <c r="K3426" s="79"/>
      <c r="L3426" s="79"/>
      <c r="M3426" s="2"/>
      <c r="N3426" s="5"/>
      <c r="O3426" s="3"/>
      <c r="P3426" s="6"/>
      <c r="Q3426" s="6"/>
    </row>
    <row r="3427" spans="1:17" ht="15" customHeight="1" x14ac:dyDescent="0.25">
      <c r="A3427" s="1"/>
      <c r="B3427" s="17"/>
      <c r="C3427" s="17"/>
      <c r="D3427" s="17"/>
      <c r="E3427" s="17"/>
      <c r="F3427" s="17"/>
      <c r="G3427" s="4">
        <f t="shared" si="125"/>
        <v>0</v>
      </c>
      <c r="H3427" s="17"/>
      <c r="I3427" s="4">
        <f t="shared" si="123"/>
        <v>349526.07999999996</v>
      </c>
      <c r="J3427" s="32" t="str">
        <f t="shared" si="124"/>
        <v/>
      </c>
      <c r="K3427" s="79"/>
      <c r="L3427" s="79"/>
      <c r="M3427" s="2"/>
      <c r="N3427" s="5"/>
      <c r="O3427" s="3"/>
      <c r="P3427" s="6"/>
      <c r="Q3427" s="6"/>
    </row>
    <row r="3428" spans="1:17" ht="15" customHeight="1" x14ac:dyDescent="0.25">
      <c r="A3428" s="1"/>
      <c r="B3428" s="17"/>
      <c r="C3428" s="17"/>
      <c r="D3428" s="17"/>
      <c r="E3428" s="17"/>
      <c r="F3428" s="17"/>
      <c r="G3428" s="4">
        <f t="shared" si="125"/>
        <v>0</v>
      </c>
      <c r="H3428" s="17"/>
      <c r="I3428" s="4">
        <f t="shared" si="123"/>
        <v>349526.07999999996</v>
      </c>
      <c r="J3428" s="32" t="str">
        <f t="shared" si="124"/>
        <v/>
      </c>
      <c r="K3428" s="79"/>
      <c r="L3428" s="79"/>
      <c r="M3428" s="2"/>
      <c r="N3428" s="5"/>
      <c r="O3428" s="3"/>
      <c r="P3428" s="6"/>
      <c r="Q3428" s="6"/>
    </row>
    <row r="3429" spans="1:17" ht="15" customHeight="1" x14ac:dyDescent="0.25">
      <c r="A3429" s="1"/>
      <c r="B3429" s="17"/>
      <c r="C3429" s="17"/>
      <c r="D3429" s="17"/>
      <c r="E3429" s="17"/>
      <c r="F3429" s="17"/>
      <c r="G3429" s="4">
        <f t="shared" si="125"/>
        <v>0</v>
      </c>
      <c r="H3429" s="17"/>
      <c r="I3429" s="4">
        <f t="shared" si="123"/>
        <v>349526.07999999996</v>
      </c>
      <c r="J3429" s="32" t="str">
        <f t="shared" si="124"/>
        <v/>
      </c>
      <c r="K3429" s="79"/>
      <c r="L3429" s="79"/>
      <c r="M3429" s="2"/>
      <c r="N3429" s="5"/>
      <c r="O3429" s="3"/>
      <c r="P3429" s="6"/>
      <c r="Q3429" s="6"/>
    </row>
    <row r="3430" spans="1:17" ht="15" customHeight="1" x14ac:dyDescent="0.25">
      <c r="A3430" s="1"/>
      <c r="B3430" s="17"/>
      <c r="C3430" s="17"/>
      <c r="D3430" s="17"/>
      <c r="E3430" s="17"/>
      <c r="F3430" s="17"/>
      <c r="G3430" s="4">
        <f t="shared" si="125"/>
        <v>0</v>
      </c>
      <c r="H3430" s="17"/>
      <c r="I3430" s="4">
        <f t="shared" si="123"/>
        <v>349526.07999999996</v>
      </c>
      <c r="J3430" s="32" t="str">
        <f t="shared" si="124"/>
        <v/>
      </c>
      <c r="K3430" s="79"/>
      <c r="L3430" s="79"/>
      <c r="M3430" s="2"/>
      <c r="N3430" s="5"/>
      <c r="O3430" s="3"/>
      <c r="P3430" s="6"/>
      <c r="Q3430" s="6"/>
    </row>
    <row r="3431" spans="1:17" ht="15" customHeight="1" x14ac:dyDescent="0.25">
      <c r="A3431" s="1"/>
      <c r="B3431" s="17"/>
      <c r="C3431" s="17"/>
      <c r="D3431" s="17"/>
      <c r="E3431" s="17"/>
      <c r="F3431" s="17"/>
      <c r="G3431" s="4">
        <f t="shared" si="125"/>
        <v>0</v>
      </c>
      <c r="H3431" s="17"/>
      <c r="I3431" s="4">
        <f t="shared" si="123"/>
        <v>349526.07999999996</v>
      </c>
      <c r="J3431" s="32" t="str">
        <f t="shared" si="124"/>
        <v/>
      </c>
      <c r="K3431" s="79"/>
      <c r="L3431" s="79"/>
      <c r="M3431" s="2"/>
      <c r="N3431" s="5"/>
      <c r="O3431" s="3"/>
      <c r="P3431" s="6"/>
      <c r="Q3431" s="6"/>
    </row>
    <row r="3432" spans="1:17" ht="15" customHeight="1" x14ac:dyDescent="0.25">
      <c r="A3432" s="1"/>
      <c r="B3432" s="17"/>
      <c r="C3432" s="17"/>
      <c r="D3432" s="17"/>
      <c r="E3432" s="17"/>
      <c r="F3432" s="17"/>
      <c r="G3432" s="4">
        <f t="shared" si="125"/>
        <v>0</v>
      </c>
      <c r="H3432" s="17"/>
      <c r="I3432" s="4">
        <f t="shared" si="123"/>
        <v>349526.07999999996</v>
      </c>
      <c r="J3432" s="32" t="str">
        <f t="shared" si="124"/>
        <v/>
      </c>
      <c r="K3432" s="79"/>
      <c r="L3432" s="79"/>
      <c r="M3432" s="2"/>
      <c r="N3432" s="5"/>
      <c r="O3432" s="3"/>
      <c r="P3432" s="6"/>
      <c r="Q3432" s="6"/>
    </row>
    <row r="3433" spans="1:17" ht="15" customHeight="1" x14ac:dyDescent="0.25">
      <c r="A3433" s="1"/>
      <c r="B3433" s="17"/>
      <c r="C3433" s="17"/>
      <c r="D3433" s="17"/>
      <c r="E3433" s="17"/>
      <c r="F3433" s="17"/>
      <c r="G3433" s="4">
        <f t="shared" si="125"/>
        <v>0</v>
      </c>
      <c r="H3433" s="17"/>
      <c r="I3433" s="4">
        <f t="shared" si="123"/>
        <v>349526.07999999996</v>
      </c>
      <c r="J3433" s="32" t="str">
        <f t="shared" si="124"/>
        <v/>
      </c>
      <c r="K3433" s="79"/>
      <c r="L3433" s="79"/>
      <c r="M3433" s="2"/>
      <c r="N3433" s="5"/>
      <c r="O3433" s="3"/>
      <c r="P3433" s="6"/>
      <c r="Q3433" s="6"/>
    </row>
    <row r="3434" spans="1:17" ht="15" customHeight="1" x14ac:dyDescent="0.25">
      <c r="A3434" s="1"/>
      <c r="B3434" s="17"/>
      <c r="C3434" s="17"/>
      <c r="D3434" s="17"/>
      <c r="E3434" s="17"/>
      <c r="F3434" s="17"/>
      <c r="G3434" s="4">
        <f t="shared" si="125"/>
        <v>0</v>
      </c>
      <c r="H3434" s="17"/>
      <c r="I3434" s="4">
        <f t="shared" si="123"/>
        <v>349526.07999999996</v>
      </c>
      <c r="J3434" s="32" t="str">
        <f t="shared" si="124"/>
        <v/>
      </c>
      <c r="K3434" s="79"/>
      <c r="L3434" s="79"/>
      <c r="M3434" s="2"/>
      <c r="N3434" s="5"/>
      <c r="O3434" s="3"/>
      <c r="P3434" s="6"/>
      <c r="Q3434" s="6"/>
    </row>
    <row r="3435" spans="1:17" ht="15" customHeight="1" x14ac:dyDescent="0.25">
      <c r="A3435" s="1"/>
      <c r="B3435" s="17"/>
      <c r="C3435" s="17"/>
      <c r="D3435" s="17"/>
      <c r="E3435" s="17"/>
      <c r="F3435" s="17"/>
      <c r="G3435" s="4">
        <f t="shared" si="125"/>
        <v>0</v>
      </c>
      <c r="H3435" s="17"/>
      <c r="I3435" s="4">
        <f t="shared" si="123"/>
        <v>349526.07999999996</v>
      </c>
      <c r="J3435" s="32" t="str">
        <f t="shared" si="124"/>
        <v/>
      </c>
      <c r="K3435" s="79"/>
      <c r="L3435" s="79"/>
      <c r="M3435" s="2"/>
      <c r="N3435" s="5"/>
      <c r="O3435" s="3"/>
      <c r="P3435" s="6"/>
      <c r="Q3435" s="6"/>
    </row>
    <row r="3436" spans="1:17" ht="15" customHeight="1" x14ac:dyDescent="0.25">
      <c r="A3436" s="1"/>
      <c r="B3436" s="17"/>
      <c r="C3436" s="17"/>
      <c r="D3436" s="17"/>
      <c r="E3436" s="17"/>
      <c r="F3436" s="17"/>
      <c r="G3436" s="4">
        <f t="shared" si="125"/>
        <v>0</v>
      </c>
      <c r="H3436" s="17"/>
      <c r="I3436" s="4">
        <f t="shared" si="123"/>
        <v>349526.07999999996</v>
      </c>
      <c r="J3436" s="32" t="str">
        <f t="shared" si="124"/>
        <v/>
      </c>
      <c r="K3436" s="79"/>
      <c r="L3436" s="79"/>
      <c r="M3436" s="2"/>
      <c r="N3436" s="5"/>
      <c r="O3436" s="3"/>
      <c r="P3436" s="6"/>
      <c r="Q3436" s="6"/>
    </row>
    <row r="3437" spans="1:17" ht="15" customHeight="1" x14ac:dyDescent="0.25">
      <c r="A3437" s="1"/>
      <c r="B3437" s="17"/>
      <c r="C3437" s="17"/>
      <c r="D3437" s="17"/>
      <c r="E3437" s="17"/>
      <c r="F3437" s="17"/>
      <c r="G3437" s="4">
        <f t="shared" si="125"/>
        <v>0</v>
      </c>
      <c r="H3437" s="17"/>
      <c r="I3437" s="4">
        <f t="shared" si="123"/>
        <v>349526.07999999996</v>
      </c>
      <c r="J3437" s="32" t="str">
        <f t="shared" si="124"/>
        <v/>
      </c>
      <c r="K3437" s="79"/>
      <c r="L3437" s="79"/>
      <c r="M3437" s="2"/>
      <c r="N3437" s="5"/>
      <c r="O3437" s="3"/>
      <c r="P3437" s="6"/>
      <c r="Q3437" s="6"/>
    </row>
    <row r="3438" spans="1:17" ht="15" customHeight="1" x14ac:dyDescent="0.25">
      <c r="A3438" s="1"/>
      <c r="B3438" s="17"/>
      <c r="C3438" s="17"/>
      <c r="D3438" s="17"/>
      <c r="E3438" s="17"/>
      <c r="F3438" s="17"/>
      <c r="G3438" s="4">
        <f t="shared" si="125"/>
        <v>0</v>
      </c>
      <c r="H3438" s="17"/>
      <c r="I3438" s="4">
        <f t="shared" si="123"/>
        <v>349526.07999999996</v>
      </c>
      <c r="J3438" s="32" t="str">
        <f t="shared" si="124"/>
        <v/>
      </c>
      <c r="K3438" s="79"/>
      <c r="L3438" s="79"/>
      <c r="M3438" s="2"/>
      <c r="N3438" s="5"/>
      <c r="O3438" s="3"/>
      <c r="P3438" s="6"/>
      <c r="Q3438" s="6"/>
    </row>
    <row r="3439" spans="1:17" ht="15" customHeight="1" x14ac:dyDescent="0.25">
      <c r="A3439" s="1"/>
      <c r="B3439" s="17"/>
      <c r="C3439" s="17"/>
      <c r="D3439" s="17"/>
      <c r="E3439" s="17"/>
      <c r="F3439" s="17"/>
      <c r="G3439" s="4">
        <f t="shared" si="125"/>
        <v>0</v>
      </c>
      <c r="H3439" s="17"/>
      <c r="I3439" s="4">
        <f t="shared" si="123"/>
        <v>349526.07999999996</v>
      </c>
      <c r="J3439" s="32" t="str">
        <f t="shared" si="124"/>
        <v/>
      </c>
      <c r="K3439" s="79"/>
      <c r="L3439" s="79"/>
      <c r="M3439" s="2"/>
      <c r="N3439" s="5"/>
      <c r="O3439" s="3"/>
      <c r="P3439" s="6"/>
      <c r="Q3439" s="6"/>
    </row>
    <row r="3440" spans="1:17" ht="15" customHeight="1" x14ac:dyDescent="0.25">
      <c r="A3440" s="1"/>
      <c r="B3440" s="17"/>
      <c r="C3440" s="17"/>
      <c r="D3440" s="17"/>
      <c r="E3440" s="17"/>
      <c r="F3440" s="17"/>
      <c r="G3440" s="4">
        <f t="shared" si="125"/>
        <v>0</v>
      </c>
      <c r="H3440" s="17"/>
      <c r="I3440" s="4">
        <f t="shared" si="123"/>
        <v>349526.07999999996</v>
      </c>
      <c r="J3440" s="32" t="str">
        <f t="shared" si="124"/>
        <v/>
      </c>
      <c r="K3440" s="79"/>
      <c r="L3440" s="79"/>
      <c r="M3440" s="2"/>
      <c r="N3440" s="5"/>
      <c r="O3440" s="3"/>
      <c r="P3440" s="6"/>
      <c r="Q3440" s="6"/>
    </row>
    <row r="3441" spans="1:17" ht="15" customHeight="1" x14ac:dyDescent="0.25">
      <c r="A3441" s="1"/>
      <c r="B3441" s="17"/>
      <c r="C3441" s="17"/>
      <c r="D3441" s="17"/>
      <c r="E3441" s="17"/>
      <c r="F3441" s="17"/>
      <c r="G3441" s="4">
        <f t="shared" si="125"/>
        <v>0</v>
      </c>
      <c r="H3441" s="17"/>
      <c r="I3441" s="4">
        <f t="shared" si="123"/>
        <v>349526.07999999996</v>
      </c>
      <c r="J3441" s="32" t="str">
        <f t="shared" si="124"/>
        <v/>
      </c>
      <c r="K3441" s="79"/>
      <c r="L3441" s="79"/>
      <c r="M3441" s="2"/>
      <c r="N3441" s="5"/>
      <c r="O3441" s="3"/>
      <c r="P3441" s="6"/>
      <c r="Q3441" s="6"/>
    </row>
    <row r="3442" spans="1:17" ht="15" customHeight="1" x14ac:dyDescent="0.25">
      <c r="A3442" s="1"/>
      <c r="B3442" s="17"/>
      <c r="C3442" s="17"/>
      <c r="D3442" s="17"/>
      <c r="E3442" s="17"/>
      <c r="F3442" s="17"/>
      <c r="G3442" s="4">
        <f t="shared" si="125"/>
        <v>0</v>
      </c>
      <c r="H3442" s="17"/>
      <c r="I3442" s="4">
        <f t="shared" si="123"/>
        <v>349526.07999999996</v>
      </c>
      <c r="J3442" s="32" t="str">
        <f t="shared" si="124"/>
        <v/>
      </c>
      <c r="K3442" s="79"/>
      <c r="L3442" s="79"/>
      <c r="M3442" s="2"/>
      <c r="N3442" s="5"/>
      <c r="O3442" s="3"/>
      <c r="P3442" s="6"/>
      <c r="Q3442" s="6"/>
    </row>
    <row r="3443" spans="1:17" ht="15" customHeight="1" x14ac:dyDescent="0.25">
      <c r="A3443" s="1"/>
      <c r="B3443" s="17"/>
      <c r="C3443" s="17"/>
      <c r="D3443" s="17"/>
      <c r="E3443" s="17"/>
      <c r="F3443" s="17"/>
      <c r="G3443" s="4">
        <f t="shared" si="125"/>
        <v>0</v>
      </c>
      <c r="H3443" s="17"/>
      <c r="I3443" s="4">
        <f t="shared" si="123"/>
        <v>349526.07999999996</v>
      </c>
      <c r="J3443" s="32" t="str">
        <f t="shared" si="124"/>
        <v/>
      </c>
      <c r="K3443" s="79"/>
      <c r="L3443" s="79"/>
      <c r="M3443" s="2"/>
      <c r="N3443" s="5"/>
      <c r="O3443" s="3"/>
      <c r="P3443" s="6"/>
      <c r="Q3443" s="6"/>
    </row>
    <row r="3444" spans="1:17" ht="15" customHeight="1" x14ac:dyDescent="0.25">
      <c r="A3444" s="1"/>
      <c r="B3444" s="17"/>
      <c r="C3444" s="17"/>
      <c r="D3444" s="17"/>
      <c r="E3444" s="17"/>
      <c r="F3444" s="17"/>
      <c r="G3444" s="4">
        <f t="shared" si="125"/>
        <v>0</v>
      </c>
      <c r="H3444" s="17"/>
      <c r="I3444" s="4">
        <f t="shared" si="123"/>
        <v>349526.07999999996</v>
      </c>
      <c r="J3444" s="32" t="str">
        <f t="shared" si="124"/>
        <v/>
      </c>
      <c r="K3444" s="79"/>
      <c r="L3444" s="79"/>
      <c r="M3444" s="2"/>
      <c r="N3444" s="5"/>
      <c r="O3444" s="3"/>
      <c r="P3444" s="6"/>
      <c r="Q3444" s="6"/>
    </row>
    <row r="3445" spans="1:17" ht="15" customHeight="1" x14ac:dyDescent="0.25">
      <c r="A3445" s="1"/>
      <c r="B3445" s="17"/>
      <c r="C3445" s="17"/>
      <c r="D3445" s="17"/>
      <c r="E3445" s="17"/>
      <c r="F3445" s="17"/>
      <c r="G3445" s="4">
        <f t="shared" si="125"/>
        <v>0</v>
      </c>
      <c r="H3445" s="17"/>
      <c r="I3445" s="4">
        <f t="shared" si="123"/>
        <v>349526.07999999996</v>
      </c>
      <c r="J3445" s="32" t="str">
        <f t="shared" si="124"/>
        <v/>
      </c>
      <c r="K3445" s="79"/>
      <c r="L3445" s="79"/>
      <c r="M3445" s="2"/>
      <c r="N3445" s="5"/>
      <c r="O3445" s="3"/>
      <c r="P3445" s="6"/>
      <c r="Q3445" s="6"/>
    </row>
    <row r="3446" spans="1:17" ht="15" customHeight="1" x14ac:dyDescent="0.25">
      <c r="A3446" s="1"/>
      <c r="B3446" s="17"/>
      <c r="C3446" s="17"/>
      <c r="D3446" s="17"/>
      <c r="E3446" s="17"/>
      <c r="F3446" s="17"/>
      <c r="G3446" s="4">
        <f t="shared" si="125"/>
        <v>0</v>
      </c>
      <c r="H3446" s="17"/>
      <c r="I3446" s="4">
        <f t="shared" ref="I3446:I3504" si="126">$I3445+$G3446-$H3446</f>
        <v>349526.07999999996</v>
      </c>
      <c r="J3446" s="32" t="str">
        <f t="shared" ref="J3446:J3504" si="127">IF($A3447&lt;&gt;$A3446,$I3446,"")</f>
        <v/>
      </c>
      <c r="K3446" s="79"/>
      <c r="L3446" s="79"/>
      <c r="M3446" s="2"/>
      <c r="N3446" s="5"/>
      <c r="O3446" s="3"/>
      <c r="P3446" s="6"/>
      <c r="Q3446" s="6"/>
    </row>
    <row r="3447" spans="1:17" ht="15" customHeight="1" x14ac:dyDescent="0.25">
      <c r="A3447" s="1"/>
      <c r="B3447" s="17"/>
      <c r="C3447" s="17"/>
      <c r="D3447" s="17"/>
      <c r="E3447" s="17"/>
      <c r="F3447" s="17"/>
      <c r="G3447" s="4">
        <f t="shared" si="125"/>
        <v>0</v>
      </c>
      <c r="H3447" s="17"/>
      <c r="I3447" s="4">
        <f t="shared" si="126"/>
        <v>349526.07999999996</v>
      </c>
      <c r="J3447" s="32" t="str">
        <f t="shared" si="127"/>
        <v/>
      </c>
      <c r="K3447" s="79"/>
      <c r="L3447" s="79"/>
      <c r="M3447" s="2"/>
      <c r="N3447" s="5"/>
      <c r="O3447" s="3"/>
      <c r="P3447" s="6"/>
      <c r="Q3447" s="6"/>
    </row>
    <row r="3448" spans="1:17" ht="15" customHeight="1" x14ac:dyDescent="0.25">
      <c r="A3448" s="1"/>
      <c r="B3448" s="17"/>
      <c r="C3448" s="17"/>
      <c r="D3448" s="17"/>
      <c r="E3448" s="17"/>
      <c r="F3448" s="17"/>
      <c r="G3448" s="4">
        <f t="shared" si="125"/>
        <v>0</v>
      </c>
      <c r="H3448" s="17"/>
      <c r="I3448" s="4">
        <f t="shared" si="126"/>
        <v>349526.07999999996</v>
      </c>
      <c r="J3448" s="32" t="str">
        <f t="shared" si="127"/>
        <v/>
      </c>
      <c r="K3448" s="79"/>
      <c r="L3448" s="79"/>
      <c r="M3448" s="2"/>
      <c r="N3448" s="5"/>
      <c r="O3448" s="3"/>
      <c r="P3448" s="6"/>
      <c r="Q3448" s="6"/>
    </row>
    <row r="3449" spans="1:17" ht="15" customHeight="1" x14ac:dyDescent="0.25">
      <c r="A3449" s="1"/>
      <c r="B3449" s="17"/>
      <c r="C3449" s="17"/>
      <c r="D3449" s="17"/>
      <c r="E3449" s="17"/>
      <c r="F3449" s="17"/>
      <c r="G3449" s="4">
        <f t="shared" si="125"/>
        <v>0</v>
      </c>
      <c r="H3449" s="17"/>
      <c r="I3449" s="4">
        <f t="shared" si="126"/>
        <v>349526.07999999996</v>
      </c>
      <c r="J3449" s="32" t="str">
        <f t="shared" si="127"/>
        <v/>
      </c>
      <c r="K3449" s="79"/>
      <c r="L3449" s="79"/>
      <c r="M3449" s="2"/>
      <c r="N3449" s="5"/>
      <c r="O3449" s="3"/>
      <c r="P3449" s="6"/>
      <c r="Q3449" s="6"/>
    </row>
    <row r="3450" spans="1:17" ht="15" customHeight="1" x14ac:dyDescent="0.25">
      <c r="A3450" s="1"/>
      <c r="B3450" s="17"/>
      <c r="C3450" s="17"/>
      <c r="D3450" s="17"/>
      <c r="E3450" s="17"/>
      <c r="F3450" s="17"/>
      <c r="G3450" s="4">
        <f t="shared" si="125"/>
        <v>0</v>
      </c>
      <c r="H3450" s="17"/>
      <c r="I3450" s="4">
        <f t="shared" si="126"/>
        <v>349526.07999999996</v>
      </c>
      <c r="J3450" s="32" t="str">
        <f t="shared" si="127"/>
        <v/>
      </c>
      <c r="K3450" s="79"/>
      <c r="L3450" s="79"/>
      <c r="M3450" s="2"/>
      <c r="N3450" s="5"/>
      <c r="O3450" s="3"/>
      <c r="P3450" s="6"/>
      <c r="Q3450" s="6"/>
    </row>
    <row r="3451" spans="1:17" ht="15" customHeight="1" x14ac:dyDescent="0.25">
      <c r="A3451" s="1"/>
      <c r="B3451" s="17"/>
      <c r="C3451" s="17"/>
      <c r="D3451" s="17"/>
      <c r="E3451" s="17"/>
      <c r="F3451" s="17"/>
      <c r="G3451" s="4">
        <f t="shared" si="125"/>
        <v>0</v>
      </c>
      <c r="H3451" s="17"/>
      <c r="I3451" s="4">
        <f t="shared" si="126"/>
        <v>349526.07999999996</v>
      </c>
      <c r="J3451" s="32" t="str">
        <f t="shared" si="127"/>
        <v/>
      </c>
      <c r="K3451" s="79"/>
      <c r="L3451" s="79"/>
      <c r="M3451" s="2"/>
      <c r="N3451" s="5"/>
      <c r="O3451" s="3"/>
      <c r="P3451" s="6"/>
      <c r="Q3451" s="6"/>
    </row>
    <row r="3452" spans="1:17" ht="15" customHeight="1" x14ac:dyDescent="0.25">
      <c r="A3452" s="1"/>
      <c r="B3452" s="17"/>
      <c r="C3452" s="17"/>
      <c r="D3452" s="17"/>
      <c r="E3452" s="17"/>
      <c r="F3452" s="17"/>
      <c r="G3452" s="4">
        <f t="shared" si="125"/>
        <v>0</v>
      </c>
      <c r="H3452" s="17"/>
      <c r="I3452" s="4">
        <f t="shared" si="126"/>
        <v>349526.07999999996</v>
      </c>
      <c r="J3452" s="32" t="str">
        <f t="shared" si="127"/>
        <v/>
      </c>
      <c r="K3452" s="79"/>
      <c r="L3452" s="79"/>
      <c r="M3452" s="2"/>
      <c r="N3452" s="5"/>
      <c r="O3452" s="3"/>
      <c r="P3452" s="6"/>
      <c r="Q3452" s="6"/>
    </row>
    <row r="3453" spans="1:17" ht="15" customHeight="1" x14ac:dyDescent="0.25">
      <c r="A3453" s="1"/>
      <c r="B3453" s="17"/>
      <c r="C3453" s="17"/>
      <c r="D3453" s="17"/>
      <c r="E3453" s="17"/>
      <c r="F3453" s="17"/>
      <c r="G3453" s="4">
        <f t="shared" si="125"/>
        <v>0</v>
      </c>
      <c r="H3453" s="17"/>
      <c r="I3453" s="4">
        <f t="shared" si="126"/>
        <v>349526.07999999996</v>
      </c>
      <c r="J3453" s="32" t="str">
        <f t="shared" si="127"/>
        <v/>
      </c>
      <c r="K3453" s="79"/>
      <c r="L3453" s="79"/>
      <c r="M3453" s="2"/>
      <c r="N3453" s="5"/>
      <c r="O3453" s="3"/>
      <c r="P3453" s="6"/>
      <c r="Q3453" s="6"/>
    </row>
    <row r="3454" spans="1:17" ht="15" customHeight="1" x14ac:dyDescent="0.25">
      <c r="A3454" s="1"/>
      <c r="B3454" s="17"/>
      <c r="C3454" s="17"/>
      <c r="D3454" s="17"/>
      <c r="E3454" s="17"/>
      <c r="F3454" s="17"/>
      <c r="G3454" s="4">
        <f t="shared" si="125"/>
        <v>0</v>
      </c>
      <c r="H3454" s="17"/>
      <c r="I3454" s="4">
        <f t="shared" si="126"/>
        <v>349526.07999999996</v>
      </c>
      <c r="J3454" s="32" t="str">
        <f t="shared" si="127"/>
        <v/>
      </c>
      <c r="K3454" s="79"/>
      <c r="L3454" s="79"/>
      <c r="M3454" s="2"/>
      <c r="N3454" s="5"/>
      <c r="O3454" s="3"/>
      <c r="P3454" s="6"/>
      <c r="Q3454" s="6"/>
    </row>
    <row r="3455" spans="1:17" ht="15" customHeight="1" x14ac:dyDescent="0.25">
      <c r="A3455" s="1"/>
      <c r="B3455" s="17"/>
      <c r="C3455" s="17"/>
      <c r="D3455" s="17"/>
      <c r="E3455" s="17"/>
      <c r="F3455" s="17"/>
      <c r="G3455" s="4">
        <f t="shared" si="125"/>
        <v>0</v>
      </c>
      <c r="H3455" s="17"/>
      <c r="I3455" s="4">
        <f t="shared" si="126"/>
        <v>349526.07999999996</v>
      </c>
      <c r="J3455" s="32" t="str">
        <f t="shared" si="127"/>
        <v/>
      </c>
      <c r="K3455" s="79"/>
      <c r="L3455" s="79"/>
      <c r="M3455" s="2"/>
      <c r="N3455" s="5"/>
      <c r="O3455" s="3"/>
      <c r="P3455" s="6"/>
      <c r="Q3455" s="6"/>
    </row>
    <row r="3456" spans="1:17" ht="15" customHeight="1" x14ac:dyDescent="0.25">
      <c r="A3456" s="1"/>
      <c r="B3456" s="17"/>
      <c r="C3456" s="17"/>
      <c r="D3456" s="17"/>
      <c r="E3456" s="17"/>
      <c r="F3456" s="17"/>
      <c r="G3456" s="4">
        <f t="shared" si="125"/>
        <v>0</v>
      </c>
      <c r="H3456" s="17"/>
      <c r="I3456" s="4">
        <f t="shared" si="126"/>
        <v>349526.07999999996</v>
      </c>
      <c r="J3456" s="32" t="str">
        <f t="shared" si="127"/>
        <v/>
      </c>
      <c r="K3456" s="79"/>
      <c r="L3456" s="79"/>
      <c r="M3456" s="2"/>
      <c r="N3456" s="5"/>
      <c r="O3456" s="3"/>
      <c r="P3456" s="6"/>
      <c r="Q3456" s="6"/>
    </row>
    <row r="3457" spans="1:17" ht="15" customHeight="1" x14ac:dyDescent="0.25">
      <c r="A3457" s="1"/>
      <c r="B3457" s="17"/>
      <c r="C3457" s="17"/>
      <c r="D3457" s="17"/>
      <c r="E3457" s="17"/>
      <c r="F3457" s="17"/>
      <c r="G3457" s="4">
        <f t="shared" si="125"/>
        <v>0</v>
      </c>
      <c r="H3457" s="17"/>
      <c r="I3457" s="4">
        <f t="shared" si="126"/>
        <v>349526.07999999996</v>
      </c>
      <c r="J3457" s="32" t="str">
        <f t="shared" si="127"/>
        <v/>
      </c>
      <c r="K3457" s="79"/>
      <c r="L3457" s="79"/>
      <c r="M3457" s="2"/>
      <c r="N3457" s="5"/>
      <c r="O3457" s="3"/>
      <c r="P3457" s="6"/>
      <c r="Q3457" s="6"/>
    </row>
    <row r="3458" spans="1:17" ht="15" customHeight="1" x14ac:dyDescent="0.25">
      <c r="A3458" s="1"/>
      <c r="B3458" s="17"/>
      <c r="C3458" s="17"/>
      <c r="D3458" s="17"/>
      <c r="E3458" s="17"/>
      <c r="F3458" s="17"/>
      <c r="G3458" s="4">
        <f t="shared" si="125"/>
        <v>0</v>
      </c>
      <c r="H3458" s="17"/>
      <c r="I3458" s="4">
        <f t="shared" si="126"/>
        <v>349526.07999999996</v>
      </c>
      <c r="J3458" s="32" t="str">
        <f t="shared" si="127"/>
        <v/>
      </c>
      <c r="K3458" s="79"/>
      <c r="L3458" s="79"/>
      <c r="M3458" s="2"/>
      <c r="N3458" s="5"/>
      <c r="O3458" s="3"/>
      <c r="P3458" s="6"/>
      <c r="Q3458" s="6"/>
    </row>
    <row r="3459" spans="1:17" ht="15" customHeight="1" x14ac:dyDescent="0.25">
      <c r="A3459" s="1"/>
      <c r="B3459" s="17"/>
      <c r="C3459" s="17"/>
      <c r="D3459" s="17"/>
      <c r="E3459" s="17"/>
      <c r="F3459" s="17"/>
      <c r="G3459" s="4">
        <f t="shared" ref="G3459:G3504" si="128">SUM($B3459:$F3459)</f>
        <v>0</v>
      </c>
      <c r="H3459" s="17"/>
      <c r="I3459" s="4">
        <f t="shared" si="126"/>
        <v>349526.07999999996</v>
      </c>
      <c r="J3459" s="32" t="str">
        <f t="shared" si="127"/>
        <v/>
      </c>
      <c r="K3459" s="79"/>
      <c r="L3459" s="79"/>
      <c r="M3459" s="2"/>
      <c r="N3459" s="5"/>
      <c r="O3459" s="3"/>
      <c r="P3459" s="6"/>
      <c r="Q3459" s="6"/>
    </row>
    <row r="3460" spans="1:17" ht="15" customHeight="1" x14ac:dyDescent="0.25">
      <c r="A3460" s="1"/>
      <c r="B3460" s="17"/>
      <c r="C3460" s="17"/>
      <c r="D3460" s="17"/>
      <c r="E3460" s="17"/>
      <c r="F3460" s="17"/>
      <c r="G3460" s="4">
        <f t="shared" si="128"/>
        <v>0</v>
      </c>
      <c r="H3460" s="17"/>
      <c r="I3460" s="4">
        <f t="shared" si="126"/>
        <v>349526.07999999996</v>
      </c>
      <c r="J3460" s="32" t="str">
        <f t="shared" si="127"/>
        <v/>
      </c>
      <c r="K3460" s="79"/>
      <c r="L3460" s="79"/>
      <c r="M3460" s="2"/>
      <c r="N3460" s="5"/>
      <c r="O3460" s="3"/>
      <c r="P3460" s="6"/>
      <c r="Q3460" s="6"/>
    </row>
    <row r="3461" spans="1:17" ht="15" customHeight="1" x14ac:dyDescent="0.25">
      <c r="A3461" s="1"/>
      <c r="B3461" s="17"/>
      <c r="C3461" s="17"/>
      <c r="D3461" s="17"/>
      <c r="E3461" s="17"/>
      <c r="F3461" s="17"/>
      <c r="G3461" s="4">
        <f t="shared" si="128"/>
        <v>0</v>
      </c>
      <c r="H3461" s="17"/>
      <c r="I3461" s="4">
        <f t="shared" si="126"/>
        <v>349526.07999999996</v>
      </c>
      <c r="J3461" s="32" t="str">
        <f t="shared" si="127"/>
        <v/>
      </c>
      <c r="K3461" s="79"/>
      <c r="L3461" s="79"/>
      <c r="M3461" s="2"/>
      <c r="N3461" s="5"/>
      <c r="O3461" s="3"/>
      <c r="P3461" s="6"/>
      <c r="Q3461" s="6"/>
    </row>
    <row r="3462" spans="1:17" ht="15" customHeight="1" x14ac:dyDescent="0.25">
      <c r="A3462" s="1"/>
      <c r="B3462" s="17"/>
      <c r="C3462" s="17"/>
      <c r="D3462" s="17"/>
      <c r="E3462" s="17"/>
      <c r="F3462" s="17"/>
      <c r="G3462" s="4">
        <f t="shared" si="128"/>
        <v>0</v>
      </c>
      <c r="H3462" s="17"/>
      <c r="I3462" s="4">
        <f t="shared" si="126"/>
        <v>349526.07999999996</v>
      </c>
      <c r="J3462" s="32" t="str">
        <f t="shared" si="127"/>
        <v/>
      </c>
      <c r="K3462" s="79"/>
      <c r="L3462" s="79"/>
      <c r="M3462" s="2"/>
      <c r="N3462" s="5"/>
      <c r="O3462" s="3"/>
      <c r="P3462" s="6"/>
      <c r="Q3462" s="6"/>
    </row>
    <row r="3463" spans="1:17" ht="15" customHeight="1" x14ac:dyDescent="0.25">
      <c r="A3463" s="1"/>
      <c r="B3463" s="17"/>
      <c r="C3463" s="17"/>
      <c r="D3463" s="17"/>
      <c r="E3463" s="17"/>
      <c r="F3463" s="17"/>
      <c r="G3463" s="4">
        <f t="shared" si="128"/>
        <v>0</v>
      </c>
      <c r="H3463" s="17"/>
      <c r="I3463" s="4">
        <f t="shared" si="126"/>
        <v>349526.07999999996</v>
      </c>
      <c r="J3463" s="32" t="str">
        <f t="shared" si="127"/>
        <v/>
      </c>
      <c r="K3463" s="79"/>
      <c r="L3463" s="79"/>
      <c r="M3463" s="2"/>
      <c r="N3463" s="5"/>
      <c r="O3463" s="3"/>
      <c r="P3463" s="6"/>
      <c r="Q3463" s="6"/>
    </row>
    <row r="3464" spans="1:17" ht="15" customHeight="1" x14ac:dyDescent="0.25">
      <c r="A3464" s="1"/>
      <c r="B3464" s="17"/>
      <c r="C3464" s="17"/>
      <c r="D3464" s="17"/>
      <c r="E3464" s="17"/>
      <c r="F3464" s="17"/>
      <c r="G3464" s="4">
        <f t="shared" si="128"/>
        <v>0</v>
      </c>
      <c r="H3464" s="17"/>
      <c r="I3464" s="4">
        <f t="shared" si="126"/>
        <v>349526.07999999996</v>
      </c>
      <c r="J3464" s="32" t="str">
        <f t="shared" si="127"/>
        <v/>
      </c>
      <c r="K3464" s="79"/>
      <c r="L3464" s="79"/>
      <c r="M3464" s="2"/>
      <c r="N3464" s="5"/>
      <c r="O3464" s="3"/>
      <c r="P3464" s="6"/>
      <c r="Q3464" s="6"/>
    </row>
    <row r="3465" spans="1:17" ht="15" customHeight="1" x14ac:dyDescent="0.25">
      <c r="A3465" s="1"/>
      <c r="B3465" s="17"/>
      <c r="C3465" s="17"/>
      <c r="D3465" s="17"/>
      <c r="E3465" s="17"/>
      <c r="F3465" s="17"/>
      <c r="G3465" s="4">
        <f t="shared" si="128"/>
        <v>0</v>
      </c>
      <c r="H3465" s="17"/>
      <c r="I3465" s="4">
        <f t="shared" si="126"/>
        <v>349526.07999999996</v>
      </c>
      <c r="J3465" s="32" t="str">
        <f t="shared" si="127"/>
        <v/>
      </c>
      <c r="K3465" s="79"/>
      <c r="L3465" s="79"/>
      <c r="M3465" s="2"/>
      <c r="N3465" s="5"/>
      <c r="O3465" s="3"/>
      <c r="P3465" s="6"/>
      <c r="Q3465" s="6"/>
    </row>
    <row r="3466" spans="1:17" ht="15" customHeight="1" x14ac:dyDescent="0.25">
      <c r="A3466" s="1"/>
      <c r="B3466" s="17"/>
      <c r="C3466" s="17"/>
      <c r="D3466" s="17"/>
      <c r="E3466" s="17"/>
      <c r="F3466" s="17"/>
      <c r="G3466" s="4">
        <f t="shared" si="128"/>
        <v>0</v>
      </c>
      <c r="H3466" s="17"/>
      <c r="I3466" s="4">
        <f t="shared" si="126"/>
        <v>349526.07999999996</v>
      </c>
      <c r="J3466" s="32" t="str">
        <f t="shared" si="127"/>
        <v/>
      </c>
      <c r="K3466" s="79"/>
      <c r="L3466" s="79"/>
      <c r="M3466" s="2"/>
      <c r="N3466" s="5"/>
      <c r="O3466" s="3"/>
      <c r="P3466" s="6"/>
      <c r="Q3466" s="6"/>
    </row>
    <row r="3467" spans="1:17" ht="15" customHeight="1" x14ac:dyDescent="0.25">
      <c r="A3467" s="1"/>
      <c r="B3467" s="17"/>
      <c r="C3467" s="17"/>
      <c r="D3467" s="17"/>
      <c r="E3467" s="17"/>
      <c r="F3467" s="17"/>
      <c r="G3467" s="4">
        <f t="shared" si="128"/>
        <v>0</v>
      </c>
      <c r="H3467" s="17"/>
      <c r="I3467" s="4">
        <f t="shared" si="126"/>
        <v>349526.07999999996</v>
      </c>
      <c r="J3467" s="32" t="str">
        <f t="shared" si="127"/>
        <v/>
      </c>
      <c r="K3467" s="79"/>
      <c r="L3467" s="79"/>
      <c r="M3467" s="2"/>
      <c r="N3467" s="5"/>
      <c r="O3467" s="3"/>
      <c r="P3467" s="6"/>
      <c r="Q3467" s="6"/>
    </row>
    <row r="3468" spans="1:17" ht="15" customHeight="1" x14ac:dyDescent="0.25">
      <c r="A3468" s="1"/>
      <c r="B3468" s="17"/>
      <c r="C3468" s="17"/>
      <c r="D3468" s="17"/>
      <c r="E3468" s="17"/>
      <c r="F3468" s="17"/>
      <c r="G3468" s="4">
        <f t="shared" si="128"/>
        <v>0</v>
      </c>
      <c r="H3468" s="17"/>
      <c r="I3468" s="4">
        <f t="shared" si="126"/>
        <v>349526.07999999996</v>
      </c>
      <c r="J3468" s="32" t="str">
        <f t="shared" si="127"/>
        <v/>
      </c>
      <c r="K3468" s="79"/>
      <c r="L3468" s="79"/>
      <c r="M3468" s="2"/>
      <c r="N3468" s="5"/>
      <c r="O3468" s="3"/>
      <c r="P3468" s="6"/>
      <c r="Q3468" s="6"/>
    </row>
    <row r="3469" spans="1:17" ht="15" customHeight="1" x14ac:dyDescent="0.25">
      <c r="A3469" s="1"/>
      <c r="B3469" s="17"/>
      <c r="C3469" s="17"/>
      <c r="D3469" s="17"/>
      <c r="E3469" s="17"/>
      <c r="F3469" s="17"/>
      <c r="G3469" s="4">
        <f t="shared" si="128"/>
        <v>0</v>
      </c>
      <c r="H3469" s="17"/>
      <c r="I3469" s="4">
        <f t="shared" si="126"/>
        <v>349526.07999999996</v>
      </c>
      <c r="J3469" s="32" t="str">
        <f t="shared" si="127"/>
        <v/>
      </c>
      <c r="K3469" s="79"/>
      <c r="L3469" s="79"/>
      <c r="M3469" s="2"/>
      <c r="N3469" s="5"/>
      <c r="O3469" s="3"/>
      <c r="P3469" s="6"/>
      <c r="Q3469" s="6"/>
    </row>
    <row r="3470" spans="1:17" ht="15" customHeight="1" x14ac:dyDescent="0.25">
      <c r="A3470" s="1"/>
      <c r="B3470" s="17"/>
      <c r="C3470" s="17"/>
      <c r="D3470" s="17"/>
      <c r="E3470" s="17"/>
      <c r="F3470" s="17"/>
      <c r="G3470" s="4">
        <f t="shared" si="128"/>
        <v>0</v>
      </c>
      <c r="H3470" s="17"/>
      <c r="I3470" s="4">
        <f t="shared" si="126"/>
        <v>349526.07999999996</v>
      </c>
      <c r="J3470" s="32" t="str">
        <f t="shared" si="127"/>
        <v/>
      </c>
      <c r="K3470" s="79"/>
      <c r="L3470" s="79"/>
      <c r="M3470" s="2"/>
      <c r="N3470" s="5"/>
      <c r="O3470" s="3"/>
      <c r="P3470" s="6"/>
      <c r="Q3470" s="6"/>
    </row>
    <row r="3471" spans="1:17" ht="15" customHeight="1" x14ac:dyDescent="0.25">
      <c r="A3471" s="1"/>
      <c r="B3471" s="17"/>
      <c r="C3471" s="17"/>
      <c r="D3471" s="17"/>
      <c r="E3471" s="17"/>
      <c r="F3471" s="17"/>
      <c r="G3471" s="4">
        <f t="shared" si="128"/>
        <v>0</v>
      </c>
      <c r="H3471" s="17"/>
      <c r="I3471" s="4">
        <f t="shared" si="126"/>
        <v>349526.07999999996</v>
      </c>
      <c r="J3471" s="32" t="str">
        <f t="shared" si="127"/>
        <v/>
      </c>
      <c r="K3471" s="79"/>
      <c r="L3471" s="79"/>
      <c r="M3471" s="2"/>
      <c r="N3471" s="5"/>
      <c r="O3471" s="3"/>
      <c r="P3471" s="6"/>
      <c r="Q3471" s="6"/>
    </row>
    <row r="3472" spans="1:17" ht="15" customHeight="1" x14ac:dyDescent="0.25">
      <c r="A3472" s="1"/>
      <c r="B3472" s="17"/>
      <c r="C3472" s="17"/>
      <c r="D3472" s="17"/>
      <c r="E3472" s="17"/>
      <c r="F3472" s="17"/>
      <c r="G3472" s="4">
        <f t="shared" si="128"/>
        <v>0</v>
      </c>
      <c r="H3472" s="17"/>
      <c r="I3472" s="4">
        <f t="shared" si="126"/>
        <v>349526.07999999996</v>
      </c>
      <c r="J3472" s="32" t="str">
        <f t="shared" si="127"/>
        <v/>
      </c>
      <c r="K3472" s="79"/>
      <c r="L3472" s="79"/>
      <c r="M3472" s="2"/>
      <c r="N3472" s="5"/>
      <c r="O3472" s="3"/>
      <c r="P3472" s="6"/>
      <c r="Q3472" s="6"/>
    </row>
    <row r="3473" spans="1:17" ht="15" customHeight="1" x14ac:dyDescent="0.25">
      <c r="A3473" s="1"/>
      <c r="B3473" s="17"/>
      <c r="C3473" s="17"/>
      <c r="D3473" s="17"/>
      <c r="E3473" s="17"/>
      <c r="F3473" s="17"/>
      <c r="G3473" s="4">
        <f t="shared" si="128"/>
        <v>0</v>
      </c>
      <c r="H3473" s="17"/>
      <c r="I3473" s="4">
        <f t="shared" si="126"/>
        <v>349526.07999999996</v>
      </c>
      <c r="J3473" s="32" t="str">
        <f t="shared" si="127"/>
        <v/>
      </c>
      <c r="K3473" s="79"/>
      <c r="L3473" s="79"/>
      <c r="M3473" s="2"/>
      <c r="N3473" s="5"/>
      <c r="O3473" s="3"/>
      <c r="P3473" s="6"/>
      <c r="Q3473" s="6"/>
    </row>
    <row r="3474" spans="1:17" ht="15" customHeight="1" x14ac:dyDescent="0.25">
      <c r="A3474" s="1"/>
      <c r="B3474" s="17"/>
      <c r="C3474" s="17"/>
      <c r="D3474" s="17"/>
      <c r="E3474" s="17"/>
      <c r="F3474" s="17"/>
      <c r="G3474" s="4">
        <f t="shared" si="128"/>
        <v>0</v>
      </c>
      <c r="H3474" s="17"/>
      <c r="I3474" s="4">
        <f t="shared" si="126"/>
        <v>349526.07999999996</v>
      </c>
      <c r="J3474" s="32" t="str">
        <f t="shared" si="127"/>
        <v/>
      </c>
      <c r="K3474" s="79"/>
      <c r="L3474" s="79"/>
      <c r="M3474" s="2"/>
      <c r="N3474" s="5"/>
      <c r="O3474" s="3"/>
      <c r="P3474" s="6"/>
      <c r="Q3474" s="6"/>
    </row>
    <row r="3475" spans="1:17" ht="15" customHeight="1" x14ac:dyDescent="0.25">
      <c r="A3475" s="1"/>
      <c r="B3475" s="17"/>
      <c r="C3475" s="17"/>
      <c r="D3475" s="17"/>
      <c r="E3475" s="17"/>
      <c r="F3475" s="17"/>
      <c r="G3475" s="4">
        <f t="shared" si="128"/>
        <v>0</v>
      </c>
      <c r="H3475" s="17"/>
      <c r="I3475" s="4">
        <f t="shared" si="126"/>
        <v>349526.07999999996</v>
      </c>
      <c r="J3475" s="32" t="str">
        <f t="shared" si="127"/>
        <v/>
      </c>
      <c r="K3475" s="79"/>
      <c r="L3475" s="79"/>
      <c r="M3475" s="2"/>
      <c r="N3475" s="5"/>
      <c r="O3475" s="3"/>
      <c r="P3475" s="6"/>
      <c r="Q3475" s="6"/>
    </row>
    <row r="3476" spans="1:17" ht="15" customHeight="1" x14ac:dyDescent="0.25">
      <c r="A3476" s="1"/>
      <c r="B3476" s="17"/>
      <c r="C3476" s="17"/>
      <c r="D3476" s="17"/>
      <c r="E3476" s="17"/>
      <c r="F3476" s="17"/>
      <c r="G3476" s="4">
        <f t="shared" si="128"/>
        <v>0</v>
      </c>
      <c r="H3476" s="17"/>
      <c r="I3476" s="4">
        <f t="shared" si="126"/>
        <v>349526.07999999996</v>
      </c>
      <c r="J3476" s="32" t="str">
        <f t="shared" si="127"/>
        <v/>
      </c>
      <c r="K3476" s="79"/>
      <c r="L3476" s="79"/>
      <c r="M3476" s="2"/>
      <c r="N3476" s="5"/>
      <c r="O3476" s="3"/>
      <c r="P3476" s="6"/>
      <c r="Q3476" s="6"/>
    </row>
    <row r="3477" spans="1:17" ht="15" customHeight="1" x14ac:dyDescent="0.25">
      <c r="A3477" s="1"/>
      <c r="B3477" s="17"/>
      <c r="C3477" s="17"/>
      <c r="D3477" s="17"/>
      <c r="E3477" s="17"/>
      <c r="F3477" s="17"/>
      <c r="G3477" s="4">
        <f t="shared" si="128"/>
        <v>0</v>
      </c>
      <c r="H3477" s="17"/>
      <c r="I3477" s="4">
        <f t="shared" si="126"/>
        <v>349526.07999999996</v>
      </c>
      <c r="J3477" s="32" t="str">
        <f t="shared" si="127"/>
        <v/>
      </c>
      <c r="K3477" s="79"/>
      <c r="L3477" s="79"/>
      <c r="M3477" s="2"/>
      <c r="N3477" s="5"/>
      <c r="O3477" s="3"/>
      <c r="P3477" s="6"/>
      <c r="Q3477" s="6"/>
    </row>
    <row r="3478" spans="1:17" ht="15" customHeight="1" x14ac:dyDescent="0.25">
      <c r="A3478" s="1"/>
      <c r="B3478" s="17"/>
      <c r="C3478" s="17"/>
      <c r="D3478" s="17"/>
      <c r="E3478" s="17"/>
      <c r="F3478" s="17"/>
      <c r="G3478" s="4">
        <f t="shared" si="128"/>
        <v>0</v>
      </c>
      <c r="H3478" s="17"/>
      <c r="I3478" s="4">
        <f t="shared" si="126"/>
        <v>349526.07999999996</v>
      </c>
      <c r="J3478" s="32" t="str">
        <f t="shared" si="127"/>
        <v/>
      </c>
      <c r="K3478" s="79"/>
      <c r="L3478" s="79"/>
      <c r="M3478" s="2"/>
      <c r="N3478" s="5"/>
      <c r="O3478" s="3"/>
      <c r="P3478" s="6"/>
      <c r="Q3478" s="6"/>
    </row>
    <row r="3479" spans="1:17" ht="15" customHeight="1" x14ac:dyDescent="0.25">
      <c r="A3479" s="1"/>
      <c r="B3479" s="17"/>
      <c r="C3479" s="17"/>
      <c r="D3479" s="17"/>
      <c r="E3479" s="17"/>
      <c r="F3479" s="17"/>
      <c r="G3479" s="4">
        <f t="shared" si="128"/>
        <v>0</v>
      </c>
      <c r="H3479" s="17"/>
      <c r="I3479" s="4">
        <f t="shared" si="126"/>
        <v>349526.07999999996</v>
      </c>
      <c r="J3479" s="32" t="str">
        <f t="shared" si="127"/>
        <v/>
      </c>
      <c r="K3479" s="79"/>
      <c r="L3479" s="79"/>
      <c r="M3479" s="2"/>
      <c r="N3479" s="5"/>
      <c r="O3479" s="3"/>
      <c r="P3479" s="6"/>
      <c r="Q3479" s="6"/>
    </row>
    <row r="3480" spans="1:17" ht="15" customHeight="1" x14ac:dyDescent="0.25">
      <c r="A3480" s="1"/>
      <c r="B3480" s="17"/>
      <c r="C3480" s="17"/>
      <c r="D3480" s="17"/>
      <c r="E3480" s="17"/>
      <c r="F3480" s="17"/>
      <c r="G3480" s="4">
        <f t="shared" si="128"/>
        <v>0</v>
      </c>
      <c r="H3480" s="17"/>
      <c r="I3480" s="4">
        <f t="shared" si="126"/>
        <v>349526.07999999996</v>
      </c>
      <c r="J3480" s="32" t="str">
        <f t="shared" si="127"/>
        <v/>
      </c>
      <c r="K3480" s="79"/>
      <c r="L3480" s="79"/>
      <c r="M3480" s="2"/>
      <c r="N3480" s="5"/>
      <c r="O3480" s="3"/>
      <c r="P3480" s="6"/>
      <c r="Q3480" s="6"/>
    </row>
    <row r="3481" spans="1:17" ht="15" customHeight="1" x14ac:dyDescent="0.25">
      <c r="A3481" s="1"/>
      <c r="B3481" s="17"/>
      <c r="C3481" s="17"/>
      <c r="D3481" s="17"/>
      <c r="E3481" s="17"/>
      <c r="F3481" s="17"/>
      <c r="G3481" s="4">
        <f t="shared" si="128"/>
        <v>0</v>
      </c>
      <c r="H3481" s="17"/>
      <c r="I3481" s="4">
        <f t="shared" si="126"/>
        <v>349526.07999999996</v>
      </c>
      <c r="J3481" s="32" t="str">
        <f t="shared" si="127"/>
        <v/>
      </c>
      <c r="K3481" s="79"/>
      <c r="L3481" s="79"/>
      <c r="M3481" s="2"/>
      <c r="N3481" s="5"/>
      <c r="O3481" s="3"/>
      <c r="P3481" s="6"/>
      <c r="Q3481" s="6"/>
    </row>
    <row r="3482" spans="1:17" ht="15" customHeight="1" x14ac:dyDescent="0.25">
      <c r="A3482" s="1"/>
      <c r="B3482" s="17"/>
      <c r="C3482" s="17"/>
      <c r="D3482" s="17"/>
      <c r="E3482" s="17"/>
      <c r="F3482" s="17"/>
      <c r="G3482" s="4">
        <f t="shared" si="128"/>
        <v>0</v>
      </c>
      <c r="H3482" s="17"/>
      <c r="I3482" s="4">
        <f t="shared" si="126"/>
        <v>349526.07999999996</v>
      </c>
      <c r="J3482" s="32" t="str">
        <f t="shared" si="127"/>
        <v/>
      </c>
      <c r="K3482" s="79"/>
      <c r="L3482" s="79"/>
      <c r="M3482" s="2"/>
      <c r="N3482" s="5"/>
      <c r="O3482" s="3"/>
      <c r="P3482" s="6"/>
      <c r="Q3482" s="6"/>
    </row>
    <row r="3483" spans="1:17" ht="15" customHeight="1" x14ac:dyDescent="0.25">
      <c r="A3483" s="1"/>
      <c r="B3483" s="17"/>
      <c r="C3483" s="17"/>
      <c r="D3483" s="17"/>
      <c r="E3483" s="17"/>
      <c r="F3483" s="17"/>
      <c r="G3483" s="4">
        <f t="shared" si="128"/>
        <v>0</v>
      </c>
      <c r="H3483" s="17"/>
      <c r="I3483" s="4">
        <f t="shared" si="126"/>
        <v>349526.07999999996</v>
      </c>
      <c r="J3483" s="32" t="str">
        <f t="shared" si="127"/>
        <v/>
      </c>
      <c r="K3483" s="79"/>
      <c r="L3483" s="79"/>
      <c r="M3483" s="2"/>
      <c r="N3483" s="5"/>
      <c r="O3483" s="3"/>
      <c r="P3483" s="6"/>
      <c r="Q3483" s="6"/>
    </row>
    <row r="3484" spans="1:17" ht="15" customHeight="1" x14ac:dyDescent="0.25">
      <c r="A3484" s="1"/>
      <c r="B3484" s="17"/>
      <c r="C3484" s="17"/>
      <c r="D3484" s="17"/>
      <c r="E3484" s="17"/>
      <c r="F3484" s="17"/>
      <c r="G3484" s="4">
        <f t="shared" si="128"/>
        <v>0</v>
      </c>
      <c r="H3484" s="17"/>
      <c r="I3484" s="4">
        <f t="shared" si="126"/>
        <v>349526.07999999996</v>
      </c>
      <c r="J3484" s="32" t="str">
        <f t="shared" si="127"/>
        <v/>
      </c>
      <c r="K3484" s="79"/>
      <c r="L3484" s="79"/>
      <c r="M3484" s="2"/>
      <c r="N3484" s="5"/>
      <c r="O3484" s="3"/>
      <c r="P3484" s="6"/>
      <c r="Q3484" s="6"/>
    </row>
    <row r="3485" spans="1:17" ht="15" customHeight="1" x14ac:dyDescent="0.25">
      <c r="A3485" s="1"/>
      <c r="B3485" s="17"/>
      <c r="C3485" s="17"/>
      <c r="D3485" s="17"/>
      <c r="E3485" s="17"/>
      <c r="F3485" s="17"/>
      <c r="G3485" s="4">
        <f t="shared" si="128"/>
        <v>0</v>
      </c>
      <c r="H3485" s="17"/>
      <c r="I3485" s="4">
        <f t="shared" si="126"/>
        <v>349526.07999999996</v>
      </c>
      <c r="J3485" s="32" t="str">
        <f t="shared" si="127"/>
        <v/>
      </c>
      <c r="K3485" s="79"/>
      <c r="L3485" s="79"/>
      <c r="M3485" s="2"/>
      <c r="N3485" s="5"/>
      <c r="O3485" s="3"/>
      <c r="P3485" s="6"/>
      <c r="Q3485" s="6"/>
    </row>
    <row r="3486" spans="1:17" ht="15" customHeight="1" x14ac:dyDescent="0.25">
      <c r="A3486" s="1"/>
      <c r="B3486" s="17"/>
      <c r="C3486" s="17"/>
      <c r="D3486" s="17"/>
      <c r="E3486" s="17"/>
      <c r="F3486" s="17"/>
      <c r="G3486" s="4">
        <f t="shared" si="128"/>
        <v>0</v>
      </c>
      <c r="H3486" s="17"/>
      <c r="I3486" s="4">
        <f t="shared" si="126"/>
        <v>349526.07999999996</v>
      </c>
      <c r="J3486" s="32" t="str">
        <f t="shared" si="127"/>
        <v/>
      </c>
      <c r="K3486" s="79"/>
      <c r="L3486" s="79"/>
      <c r="M3486" s="2"/>
      <c r="N3486" s="5"/>
      <c r="O3486" s="3"/>
      <c r="P3486" s="6"/>
      <c r="Q3486" s="6"/>
    </row>
    <row r="3487" spans="1:17" ht="15" customHeight="1" x14ac:dyDescent="0.25">
      <c r="A3487" s="1"/>
      <c r="B3487" s="17"/>
      <c r="C3487" s="17"/>
      <c r="D3487" s="17"/>
      <c r="E3487" s="17"/>
      <c r="F3487" s="17"/>
      <c r="G3487" s="4">
        <f t="shared" si="128"/>
        <v>0</v>
      </c>
      <c r="H3487" s="17"/>
      <c r="I3487" s="4">
        <f t="shared" si="126"/>
        <v>349526.07999999996</v>
      </c>
      <c r="J3487" s="32" t="str">
        <f t="shared" si="127"/>
        <v/>
      </c>
      <c r="K3487" s="79"/>
      <c r="L3487" s="79"/>
      <c r="M3487" s="2"/>
      <c r="N3487" s="5"/>
      <c r="O3487" s="3"/>
      <c r="P3487" s="6"/>
      <c r="Q3487" s="6"/>
    </row>
    <row r="3488" spans="1:17" ht="15" customHeight="1" x14ac:dyDescent="0.25">
      <c r="A3488" s="1"/>
      <c r="B3488" s="17"/>
      <c r="C3488" s="17"/>
      <c r="D3488" s="17"/>
      <c r="E3488" s="17"/>
      <c r="F3488" s="17"/>
      <c r="G3488" s="4">
        <f t="shared" si="128"/>
        <v>0</v>
      </c>
      <c r="H3488" s="17"/>
      <c r="I3488" s="4">
        <f t="shared" si="126"/>
        <v>349526.07999999996</v>
      </c>
      <c r="J3488" s="32" t="str">
        <f t="shared" si="127"/>
        <v/>
      </c>
      <c r="K3488" s="79"/>
      <c r="L3488" s="79"/>
      <c r="M3488" s="2"/>
      <c r="N3488" s="5"/>
      <c r="O3488" s="3"/>
      <c r="P3488" s="6"/>
      <c r="Q3488" s="6"/>
    </row>
    <row r="3489" spans="1:17" ht="15" customHeight="1" x14ac:dyDescent="0.25">
      <c r="A3489" s="1"/>
      <c r="B3489" s="17"/>
      <c r="C3489" s="17"/>
      <c r="D3489" s="17"/>
      <c r="E3489" s="17"/>
      <c r="F3489" s="17"/>
      <c r="G3489" s="4">
        <f t="shared" si="128"/>
        <v>0</v>
      </c>
      <c r="H3489" s="17"/>
      <c r="I3489" s="4">
        <f t="shared" si="126"/>
        <v>349526.07999999996</v>
      </c>
      <c r="J3489" s="32" t="str">
        <f t="shared" si="127"/>
        <v/>
      </c>
      <c r="K3489" s="79"/>
      <c r="L3489" s="79"/>
      <c r="M3489" s="2"/>
      <c r="N3489" s="5"/>
      <c r="O3489" s="3"/>
      <c r="P3489" s="6"/>
      <c r="Q3489" s="6"/>
    </row>
    <row r="3490" spans="1:17" ht="15" customHeight="1" x14ac:dyDescent="0.25">
      <c r="A3490" s="1"/>
      <c r="B3490" s="17"/>
      <c r="C3490" s="17"/>
      <c r="D3490" s="17"/>
      <c r="E3490" s="17"/>
      <c r="F3490" s="17"/>
      <c r="G3490" s="4">
        <f t="shared" si="128"/>
        <v>0</v>
      </c>
      <c r="H3490" s="17"/>
      <c r="I3490" s="4">
        <f t="shared" si="126"/>
        <v>349526.07999999996</v>
      </c>
      <c r="J3490" s="32" t="str">
        <f t="shared" si="127"/>
        <v/>
      </c>
      <c r="K3490" s="79"/>
      <c r="L3490" s="79"/>
      <c r="M3490" s="2"/>
      <c r="N3490" s="5"/>
      <c r="O3490" s="3"/>
      <c r="P3490" s="6"/>
      <c r="Q3490" s="6"/>
    </row>
    <row r="3491" spans="1:17" ht="15" customHeight="1" x14ac:dyDescent="0.25">
      <c r="A3491" s="1"/>
      <c r="B3491" s="17"/>
      <c r="C3491" s="17"/>
      <c r="D3491" s="17"/>
      <c r="E3491" s="17"/>
      <c r="F3491" s="17"/>
      <c r="G3491" s="4">
        <f t="shared" si="128"/>
        <v>0</v>
      </c>
      <c r="H3491" s="17"/>
      <c r="I3491" s="4">
        <f t="shared" si="126"/>
        <v>349526.07999999996</v>
      </c>
      <c r="J3491" s="32" t="str">
        <f t="shared" si="127"/>
        <v/>
      </c>
      <c r="K3491" s="79"/>
      <c r="L3491" s="79"/>
      <c r="M3491" s="2"/>
      <c r="N3491" s="5"/>
      <c r="O3491" s="3"/>
      <c r="P3491" s="6"/>
      <c r="Q3491" s="6"/>
    </row>
    <row r="3492" spans="1:17" ht="15" customHeight="1" x14ac:dyDescent="0.25">
      <c r="A3492" s="1"/>
      <c r="B3492" s="17"/>
      <c r="C3492" s="17"/>
      <c r="D3492" s="17"/>
      <c r="E3492" s="17"/>
      <c r="F3492" s="17"/>
      <c r="G3492" s="4">
        <f t="shared" si="128"/>
        <v>0</v>
      </c>
      <c r="H3492" s="17"/>
      <c r="I3492" s="4">
        <f t="shared" si="126"/>
        <v>349526.07999999996</v>
      </c>
      <c r="J3492" s="32" t="str">
        <f t="shared" si="127"/>
        <v/>
      </c>
      <c r="K3492" s="79"/>
      <c r="L3492" s="79"/>
      <c r="M3492" s="2"/>
      <c r="N3492" s="5"/>
      <c r="O3492" s="3"/>
      <c r="P3492" s="6"/>
      <c r="Q3492" s="6"/>
    </row>
    <row r="3493" spans="1:17" ht="15" customHeight="1" x14ac:dyDescent="0.25">
      <c r="A3493" s="1"/>
      <c r="B3493" s="17"/>
      <c r="C3493" s="17"/>
      <c r="D3493" s="17"/>
      <c r="E3493" s="17"/>
      <c r="F3493" s="17"/>
      <c r="G3493" s="4">
        <f t="shared" si="128"/>
        <v>0</v>
      </c>
      <c r="H3493" s="17"/>
      <c r="I3493" s="4">
        <f t="shared" si="126"/>
        <v>349526.07999999996</v>
      </c>
      <c r="J3493" s="32" t="str">
        <f t="shared" si="127"/>
        <v/>
      </c>
      <c r="K3493" s="79"/>
      <c r="L3493" s="79"/>
      <c r="M3493" s="2"/>
      <c r="N3493" s="5"/>
      <c r="O3493" s="3"/>
      <c r="P3493" s="6"/>
      <c r="Q3493" s="6"/>
    </row>
    <row r="3494" spans="1:17" ht="15" customHeight="1" x14ac:dyDescent="0.25">
      <c r="A3494" s="1"/>
      <c r="B3494" s="17"/>
      <c r="C3494" s="17"/>
      <c r="D3494" s="17"/>
      <c r="E3494" s="17"/>
      <c r="F3494" s="17"/>
      <c r="G3494" s="4">
        <f t="shared" si="128"/>
        <v>0</v>
      </c>
      <c r="H3494" s="17"/>
      <c r="I3494" s="4">
        <f t="shared" si="126"/>
        <v>349526.07999999996</v>
      </c>
      <c r="J3494" s="32" t="str">
        <f t="shared" si="127"/>
        <v/>
      </c>
      <c r="K3494" s="79"/>
      <c r="L3494" s="79"/>
      <c r="M3494" s="2"/>
      <c r="N3494" s="5"/>
      <c r="O3494" s="3"/>
      <c r="P3494" s="6"/>
      <c r="Q3494" s="6"/>
    </row>
    <row r="3495" spans="1:17" ht="15" customHeight="1" x14ac:dyDescent="0.25">
      <c r="A3495" s="1"/>
      <c r="B3495" s="17"/>
      <c r="C3495" s="17"/>
      <c r="D3495" s="17"/>
      <c r="E3495" s="17"/>
      <c r="F3495" s="17"/>
      <c r="G3495" s="4">
        <f t="shared" si="128"/>
        <v>0</v>
      </c>
      <c r="H3495" s="17"/>
      <c r="I3495" s="4">
        <f t="shared" si="126"/>
        <v>349526.07999999996</v>
      </c>
      <c r="J3495" s="32" t="str">
        <f t="shared" si="127"/>
        <v/>
      </c>
      <c r="K3495" s="79"/>
      <c r="L3495" s="79"/>
      <c r="M3495" s="2"/>
      <c r="N3495" s="5"/>
      <c r="O3495" s="3"/>
      <c r="P3495" s="6"/>
      <c r="Q3495" s="6"/>
    </row>
    <row r="3496" spans="1:17" ht="15" customHeight="1" x14ac:dyDescent="0.25">
      <c r="A3496" s="1"/>
      <c r="B3496" s="17"/>
      <c r="C3496" s="17"/>
      <c r="D3496" s="17"/>
      <c r="E3496" s="17"/>
      <c r="F3496" s="17"/>
      <c r="G3496" s="4">
        <f t="shared" si="128"/>
        <v>0</v>
      </c>
      <c r="H3496" s="17"/>
      <c r="I3496" s="4">
        <f t="shared" si="126"/>
        <v>349526.07999999996</v>
      </c>
      <c r="J3496" s="32" t="str">
        <f t="shared" si="127"/>
        <v/>
      </c>
      <c r="K3496" s="79"/>
      <c r="L3496" s="79"/>
      <c r="M3496" s="2"/>
      <c r="N3496" s="5"/>
      <c r="O3496" s="3"/>
      <c r="P3496" s="6"/>
      <c r="Q3496" s="6"/>
    </row>
    <row r="3497" spans="1:17" ht="15" customHeight="1" x14ac:dyDescent="0.25">
      <c r="A3497" s="1"/>
      <c r="B3497" s="17"/>
      <c r="C3497" s="17"/>
      <c r="D3497" s="17"/>
      <c r="E3497" s="17"/>
      <c r="F3497" s="17"/>
      <c r="G3497" s="4">
        <f t="shared" si="128"/>
        <v>0</v>
      </c>
      <c r="H3497" s="17"/>
      <c r="I3497" s="4">
        <f t="shared" si="126"/>
        <v>349526.07999999996</v>
      </c>
      <c r="J3497" s="32" t="str">
        <f t="shared" si="127"/>
        <v/>
      </c>
      <c r="K3497" s="79"/>
      <c r="L3497" s="79"/>
      <c r="M3497" s="2"/>
      <c r="N3497" s="5"/>
      <c r="O3497" s="3"/>
      <c r="P3497" s="6"/>
      <c r="Q3497" s="6"/>
    </row>
    <row r="3498" spans="1:17" ht="15" customHeight="1" x14ac:dyDescent="0.25">
      <c r="A3498" s="1"/>
      <c r="B3498" s="17"/>
      <c r="C3498" s="17"/>
      <c r="D3498" s="17"/>
      <c r="E3498" s="17"/>
      <c r="F3498" s="17"/>
      <c r="G3498" s="4">
        <f t="shared" si="128"/>
        <v>0</v>
      </c>
      <c r="H3498" s="17"/>
      <c r="I3498" s="4">
        <f t="shared" si="126"/>
        <v>349526.07999999996</v>
      </c>
      <c r="J3498" s="32" t="str">
        <f t="shared" si="127"/>
        <v/>
      </c>
      <c r="K3498" s="79"/>
      <c r="L3498" s="79"/>
      <c r="M3498" s="2"/>
      <c r="N3498" s="5"/>
      <c r="O3498" s="3"/>
      <c r="P3498" s="6"/>
      <c r="Q3498" s="6"/>
    </row>
    <row r="3499" spans="1:17" ht="15" customHeight="1" x14ac:dyDescent="0.25">
      <c r="A3499" s="1"/>
      <c r="B3499" s="17"/>
      <c r="C3499" s="17"/>
      <c r="D3499" s="17"/>
      <c r="E3499" s="17"/>
      <c r="F3499" s="17"/>
      <c r="G3499" s="4">
        <f t="shared" si="128"/>
        <v>0</v>
      </c>
      <c r="H3499" s="17"/>
      <c r="I3499" s="4">
        <f t="shared" si="126"/>
        <v>349526.07999999996</v>
      </c>
      <c r="J3499" s="32" t="str">
        <f t="shared" si="127"/>
        <v/>
      </c>
      <c r="K3499" s="79"/>
      <c r="L3499" s="79"/>
      <c r="M3499" s="2"/>
      <c r="N3499" s="5"/>
      <c r="O3499" s="3"/>
      <c r="P3499" s="6"/>
      <c r="Q3499" s="6"/>
    </row>
    <row r="3500" spans="1:17" ht="15" customHeight="1" x14ac:dyDescent="0.25">
      <c r="A3500" s="1"/>
      <c r="B3500" s="17"/>
      <c r="C3500" s="17"/>
      <c r="D3500" s="17"/>
      <c r="E3500" s="17"/>
      <c r="F3500" s="17"/>
      <c r="G3500" s="4">
        <f t="shared" si="128"/>
        <v>0</v>
      </c>
      <c r="H3500" s="17"/>
      <c r="I3500" s="4">
        <f t="shared" si="126"/>
        <v>349526.07999999996</v>
      </c>
      <c r="J3500" s="32" t="str">
        <f t="shared" si="127"/>
        <v/>
      </c>
      <c r="K3500" s="79"/>
      <c r="L3500" s="79"/>
      <c r="M3500" s="2"/>
      <c r="N3500" s="5"/>
      <c r="O3500" s="3"/>
      <c r="P3500" s="6"/>
      <c r="Q3500" s="6"/>
    </row>
    <row r="3501" spans="1:17" ht="15" customHeight="1" x14ac:dyDescent="0.25">
      <c r="A3501" s="1"/>
      <c r="B3501" s="17"/>
      <c r="C3501" s="17"/>
      <c r="D3501" s="17"/>
      <c r="E3501" s="17"/>
      <c r="F3501" s="17"/>
      <c r="G3501" s="4">
        <f t="shared" si="128"/>
        <v>0</v>
      </c>
      <c r="H3501" s="17"/>
      <c r="I3501" s="4">
        <f t="shared" si="126"/>
        <v>349526.07999999996</v>
      </c>
      <c r="J3501" s="32" t="str">
        <f t="shared" si="127"/>
        <v/>
      </c>
      <c r="K3501" s="79"/>
      <c r="L3501" s="79"/>
      <c r="M3501" s="2"/>
      <c r="N3501" s="5"/>
      <c r="O3501" s="3"/>
      <c r="P3501" s="6"/>
      <c r="Q3501" s="6"/>
    </row>
    <row r="3502" spans="1:17" ht="15" customHeight="1" x14ac:dyDescent="0.25">
      <c r="A3502" s="1"/>
      <c r="B3502" s="17"/>
      <c r="C3502" s="17"/>
      <c r="D3502" s="17"/>
      <c r="E3502" s="17"/>
      <c r="F3502" s="17"/>
      <c r="G3502" s="4">
        <f t="shared" si="128"/>
        <v>0</v>
      </c>
      <c r="H3502" s="17"/>
      <c r="I3502" s="4">
        <f t="shared" si="126"/>
        <v>349526.07999999996</v>
      </c>
      <c r="J3502" s="32" t="str">
        <f t="shared" si="127"/>
        <v/>
      </c>
      <c r="K3502" s="79"/>
      <c r="L3502" s="79"/>
      <c r="M3502" s="2"/>
      <c r="N3502" s="5"/>
      <c r="O3502" s="3"/>
      <c r="P3502" s="6"/>
      <c r="Q3502" s="6"/>
    </row>
    <row r="3503" spans="1:17" ht="15" customHeight="1" x14ac:dyDescent="0.25">
      <c r="A3503" s="1"/>
      <c r="B3503" s="17"/>
      <c r="C3503" s="17"/>
      <c r="D3503" s="17"/>
      <c r="E3503" s="17"/>
      <c r="F3503" s="17"/>
      <c r="G3503" s="4">
        <f t="shared" si="128"/>
        <v>0</v>
      </c>
      <c r="H3503" s="17"/>
      <c r="I3503" s="4">
        <f t="shared" si="126"/>
        <v>349526.07999999996</v>
      </c>
      <c r="J3503" s="32" t="str">
        <f t="shared" si="127"/>
        <v/>
      </c>
      <c r="K3503" s="79"/>
      <c r="L3503" s="79"/>
      <c r="M3503" s="2"/>
      <c r="N3503" s="5"/>
      <c r="O3503" s="3"/>
      <c r="P3503" s="6"/>
      <c r="Q3503" s="6"/>
    </row>
    <row r="3504" spans="1:17" ht="15" customHeight="1" x14ac:dyDescent="0.25">
      <c r="A3504" s="1"/>
      <c r="B3504" s="17"/>
      <c r="C3504" s="17"/>
      <c r="D3504" s="17"/>
      <c r="E3504" s="17"/>
      <c r="F3504" s="17"/>
      <c r="G3504" s="4">
        <f t="shared" si="128"/>
        <v>0</v>
      </c>
      <c r="H3504" s="17"/>
      <c r="I3504" s="4">
        <f t="shared" si="126"/>
        <v>349526.07999999996</v>
      </c>
      <c r="J3504" s="32" t="str">
        <f t="shared" si="127"/>
        <v/>
      </c>
      <c r="K3504" s="79"/>
      <c r="L3504" s="79"/>
      <c r="M3504" s="2"/>
      <c r="N3504" s="5"/>
      <c r="O3504" s="3"/>
      <c r="P3504" s="6"/>
      <c r="Q3504" s="6"/>
    </row>
  </sheetData>
  <autoFilter ref="A1:P567" xr:uid="{00000000-0009-0000-0000-000001000000}"/>
  <sortState xmlns:xlrd2="http://schemas.microsoft.com/office/spreadsheetml/2017/richdata2" ref="A3:Q808">
    <sortCondition ref="A3:A808"/>
  </sortState>
  <dataValidations count="2">
    <dataValidation type="decimal" allowBlank="1" showInputMessage="1" showErrorMessage="1" errorTitle="Суммы" error="Вводите только число" sqref="B2:H3504 J2:J3504" xr:uid="{00000000-0002-0000-0100-000000000000}">
      <formula1>-100000000</formula1>
      <formula2>100000000</formula2>
    </dataValidation>
    <dataValidation type="date" allowBlank="1" showInputMessage="1" showErrorMessage="1" sqref="A2:A3504" xr:uid="{00000000-0002-0000-0100-000001000000}">
      <formula1>44562</formula1>
      <formula2>47848</formula2>
    </dataValidation>
  </dataValidations>
  <printOptions horizontalCentered="1"/>
  <pageMargins left="0.31496062992125984" right="0.31496062992125984" top="0.35433070866141736" bottom="0.74803149606299213" header="0.31496062992125984" footer="0.31496062992125984"/>
  <pageSetup paperSize="9" scale="52" fitToHeight="100" orientation="landscape" blackAndWhite="1" r:id="rId1"/>
  <headerFooter>
    <oddFooter>&amp;L&amp;A&amp;C&amp;D&amp;Rстр.&amp;P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1E94D47-0A70-4737-B849-34F36BAD3264}">
          <x14:formula1>
            <xm:f>Справочники!$H$2:$H$11</xm:f>
          </x14:formula1>
          <xm:sqref>K3:K3504</xm:sqref>
        </x14:dataValidation>
        <x14:dataValidation type="list" allowBlank="1" showInputMessage="1" showErrorMessage="1" xr:uid="{00000000-0002-0000-0100-000002000000}">
          <x14:formula1>
            <xm:f>OFFSET(Справочники!D$1:D$15,0,0,COUNTA(Справочники!D$1:D$242),1)</xm:f>
          </x14:formula1>
          <xm:sqref>N3:N3504</xm:sqref>
        </x14:dataValidation>
        <x14:dataValidation type="list" allowBlank="1" showInputMessage="1" showErrorMessage="1" xr:uid="{00000000-0002-0000-0100-000003000000}">
          <x14:formula1>
            <xm:f>OFFSET(Справочники!B1:B19,0,0,COUNTA(Справочники!$B$1:$B$242),1)</xm:f>
          </x14:formula1>
          <xm:sqref>M3</xm:sqref>
        </x14:dataValidation>
        <x14:dataValidation type="list" allowBlank="1" showInputMessage="1" showErrorMessage="1" xr:uid="{00000000-0002-0000-0100-000004000000}">
          <x14:formula1>
            <xm:f>OFFSET(Справочники!B$1:B$20,0,0,COUNTA(Справочники!$B$1:$B$242),1)</xm:f>
          </x14:formula1>
          <xm:sqref>M4</xm:sqref>
        </x14:dataValidation>
        <x14:dataValidation type="list" allowBlank="1" showInputMessage="1" showErrorMessage="1" xr:uid="{00000000-0002-0000-0100-000005000000}">
          <x14:formula1>
            <xm:f>OFFSET(Справочники!B$1:B$19,0,0,COUNTA(Справочники!$B$1:$B$242),1)</xm:f>
          </x14:formula1>
          <xm:sqref>M5:M3504</xm:sqref>
        </x14:dataValidation>
        <x14:dataValidation type="list" allowBlank="1" showInputMessage="1" showErrorMessage="1" xr:uid="{00000000-0002-0000-0100-000006000000}">
          <x14:formula1>
            <xm:f>OFFSET(Справочники!F$2:F$10,0,0,COUNTA(Справочники!F$2:F$10),1)</xm:f>
          </x14:formula1>
          <xm:sqref>O3:O3504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>
    <pageSetUpPr fitToPage="1"/>
  </sheetPr>
  <dimension ref="A1:L3507"/>
  <sheetViews>
    <sheetView showGridLines="0" zoomScale="90" zoomScaleNormal="90" workbookViewId="0">
      <pane xSplit="1" ySplit="2" topLeftCell="B69" activePane="bottomRight" state="frozen"/>
      <selection pane="topRight" activeCell="B1" sqref="B1"/>
      <selection pane="bottomLeft" activeCell="A3" sqref="A3"/>
      <selection pane="bottomRight" activeCell="B95" sqref="B95"/>
    </sheetView>
  </sheetViews>
  <sheetFormatPr defaultRowHeight="15" x14ac:dyDescent="0.25"/>
  <cols>
    <col min="1" max="1" width="11.5703125" style="49" customWidth="1"/>
    <col min="2" max="6" width="14" style="53" customWidth="1"/>
    <col min="7" max="11" width="16.7109375" style="44" customWidth="1"/>
    <col min="12" max="12" width="16.7109375" style="60" customWidth="1"/>
  </cols>
  <sheetData>
    <row r="1" spans="1:12" ht="30" x14ac:dyDescent="0.25">
      <c r="A1" s="46" t="s">
        <v>0</v>
      </c>
      <c r="B1" s="50" t="str">
        <f>CONCATENATE("Расход ",Справочники!$F$2)</f>
        <v>Расход Касса</v>
      </c>
      <c r="C1" s="50" t="str">
        <f>CONCATENATE("Расход ",Справочники!$F$3)</f>
        <v>Расход Карта Макс</v>
      </c>
      <c r="D1" s="50" t="str">
        <f>CONCATENATE("Расход ",Справочники!$F$4)</f>
        <v>Расход Карта Эдик</v>
      </c>
      <c r="E1" s="50" t="str">
        <f>CONCATENATE("Расход ",Справочники!$F$5)</f>
        <v>Расход Карта Аня</v>
      </c>
      <c r="F1" s="50" t="str">
        <f>CONCATENATE("Расход ",Справочники!$F$6)</f>
        <v>Расход Другое</v>
      </c>
      <c r="G1" s="42" t="str">
        <f>CONCATENATE("Остаток ",Справочники!$F$2)</f>
        <v>Остаток Касса</v>
      </c>
      <c r="H1" s="42" t="str">
        <f>CONCATENATE("Остаток ",Справочники!$F$3)</f>
        <v>Остаток Карта Макс</v>
      </c>
      <c r="I1" s="42" t="str">
        <f>CONCATENATE("Остаток ",Справочники!$F$4)</f>
        <v>Остаток Карта Эдик</v>
      </c>
      <c r="J1" s="42" t="str">
        <f>CONCATENATE("Остаток ",Справочники!$F$5)</f>
        <v>Остаток Карта Аня</v>
      </c>
      <c r="K1" s="42" t="str">
        <f>CONCATENATE("Остаток ",Справочники!$F$6)</f>
        <v>Остаток Другое</v>
      </c>
      <c r="L1" s="59" t="s">
        <v>117</v>
      </c>
    </row>
    <row r="2" spans="1:12" x14ac:dyDescent="0.25">
      <c r="A2" s="47">
        <f>IF(Учет!A2&lt;&gt;"",Учет!A2,"")</f>
        <v>45140</v>
      </c>
      <c r="B2" s="51">
        <f>IF(Учет!$O2=Справочники!$F$2,Учет!$H2,0)</f>
        <v>0</v>
      </c>
      <c r="C2" s="51">
        <f>IF(Учет!$O2=Справочники!$F$3,Учет!$H2,0)</f>
        <v>0</v>
      </c>
      <c r="D2" s="51">
        <f>IF(Учет!$O2=Справочники!$F$4,Учет!$H2,0)</f>
        <v>0</v>
      </c>
      <c r="E2" s="51">
        <f>IF(Учет!$O2=Справочники!$F$5,Учет!$H2,0)</f>
        <v>0</v>
      </c>
      <c r="F2" s="51">
        <f>IF(Учет!$O2=Справочники!$F$6,Учет!$H2,0)</f>
        <v>0</v>
      </c>
      <c r="G2" s="45">
        <f>Учет!B2-Остатки!B2</f>
        <v>470000</v>
      </c>
      <c r="H2" s="45">
        <f>Учет!C2-Остатки!C2</f>
        <v>0</v>
      </c>
      <c r="I2" s="45">
        <f>Учет!D2-Остатки!D2</f>
        <v>7855</v>
      </c>
      <c r="J2" s="45">
        <f>Учет!E2-Остатки!E2</f>
        <v>0</v>
      </c>
      <c r="K2" s="45">
        <f>Учет!F2-Остатки!F2</f>
        <v>0</v>
      </c>
      <c r="L2" s="45">
        <f>Учет!I2</f>
        <v>477855</v>
      </c>
    </row>
    <row r="3" spans="1:12" x14ac:dyDescent="0.25">
      <c r="A3" s="48">
        <f>IF(Учет!A3&lt;&gt;"",Учет!A3,"")</f>
        <v>45141</v>
      </c>
      <c r="B3" s="52">
        <f>IF(Учет!$O3=Справочники!$F$2,Учет!$H3,0)</f>
        <v>11000</v>
      </c>
      <c r="C3" s="52">
        <f>IF(Учет!$O3=Справочники!$F$3,Учет!$H3,0)</f>
        <v>0</v>
      </c>
      <c r="D3" s="52">
        <f>IF(Учет!$O3=Справочники!$F$4,Учет!$H3,0)</f>
        <v>0</v>
      </c>
      <c r="E3" s="52">
        <f>IF(Учет!$O3=Справочники!$F$5,Учет!$H3,0)</f>
        <v>0</v>
      </c>
      <c r="F3" s="52">
        <f>IF(Учет!$O3=Справочники!$F$6,Учет!$H3,0)</f>
        <v>0</v>
      </c>
      <c r="G3" s="43">
        <f>G2+Учет!B3-B3</f>
        <v>459000</v>
      </c>
      <c r="H3" s="43">
        <f>H2+Учет!C3-C3</f>
        <v>0</v>
      </c>
      <c r="I3" s="43">
        <f>I2+Учет!D3-D3</f>
        <v>7855</v>
      </c>
      <c r="J3" s="43">
        <f>J2+Учет!E3-E3</f>
        <v>0</v>
      </c>
      <c r="K3" s="43">
        <f>K2+Учет!F3-F3</f>
        <v>0</v>
      </c>
      <c r="L3" s="45">
        <f>Учет!I3</f>
        <v>466855</v>
      </c>
    </row>
    <row r="4" spans="1:12" x14ac:dyDescent="0.25">
      <c r="A4" s="48">
        <f>IF(Учет!A4&lt;&gt;"",Учет!A4,"")</f>
        <v>45141</v>
      </c>
      <c r="B4" s="52">
        <f>IF(Учет!$O4=Справочники!$F$2,Учет!$H4,0)</f>
        <v>63000</v>
      </c>
      <c r="C4" s="52">
        <f>IF(Учет!$O4=Справочники!$F$3,Учет!$H4,0)</f>
        <v>0</v>
      </c>
      <c r="D4" s="52">
        <f>IF(Учет!$O4=Справочники!$F$4,Учет!$H4,0)</f>
        <v>0</v>
      </c>
      <c r="E4" s="52">
        <f>IF(Учет!$O4=Справочники!$F$5,Учет!$H4,0)</f>
        <v>0</v>
      </c>
      <c r="F4" s="52">
        <f>IF(Учет!$O4=Справочники!$F$6,Учет!$H4,0)</f>
        <v>0</v>
      </c>
      <c r="G4" s="43">
        <f>G3+Учет!B4-B4</f>
        <v>396000</v>
      </c>
      <c r="H4" s="43">
        <f>H3+Учет!C4-C4</f>
        <v>0</v>
      </c>
      <c r="I4" s="43">
        <f>I3+Учет!D4-D4</f>
        <v>7855</v>
      </c>
      <c r="J4" s="43">
        <f>J3+Учет!E4-E4</f>
        <v>0</v>
      </c>
      <c r="K4" s="43">
        <f>K3+Учет!F4-F4</f>
        <v>0</v>
      </c>
      <c r="L4" s="45">
        <f>Учет!I4</f>
        <v>403855</v>
      </c>
    </row>
    <row r="5" spans="1:12" x14ac:dyDescent="0.25">
      <c r="A5" s="48">
        <f>IF(Учет!A5&lt;&gt;"",Учет!A5,"")</f>
        <v>45141</v>
      </c>
      <c r="B5" s="52">
        <f>IF(Учет!$O5=Справочники!$F$2,Учет!$H5,0)</f>
        <v>17000</v>
      </c>
      <c r="C5" s="52">
        <f>IF(Учет!$O5=Справочники!$F$3,Учет!$H5,0)</f>
        <v>0</v>
      </c>
      <c r="D5" s="52">
        <f>IF(Учет!$O5=Справочники!$F$4,Учет!$H5,0)</f>
        <v>0</v>
      </c>
      <c r="E5" s="52">
        <f>IF(Учет!$O5=Справочники!$F$5,Учет!$H5,0)</f>
        <v>0</v>
      </c>
      <c r="F5" s="52">
        <f>IF(Учет!$O5=Справочники!$F$6,Учет!$H5,0)</f>
        <v>0</v>
      </c>
      <c r="G5" s="43">
        <f>G4+Учет!B5-B5</f>
        <v>379000</v>
      </c>
      <c r="H5" s="43">
        <f>H4+Учет!C5-C5</f>
        <v>0</v>
      </c>
      <c r="I5" s="43">
        <f>I4+Учет!D5-D5</f>
        <v>7855</v>
      </c>
      <c r="J5" s="43">
        <f>J4+Учет!E5-E5</f>
        <v>0</v>
      </c>
      <c r="K5" s="43">
        <f>K4+Учет!F5-F5</f>
        <v>0</v>
      </c>
      <c r="L5" s="45">
        <f>Учет!I5</f>
        <v>386855</v>
      </c>
    </row>
    <row r="6" spans="1:12" x14ac:dyDescent="0.25">
      <c r="A6" s="48">
        <f>IF(Учет!A6&lt;&gt;"",Учет!A6,"")</f>
        <v>45141</v>
      </c>
      <c r="B6" s="52">
        <f>IF(Учет!$O6=Справочники!$F$2,Учет!$H6,0)</f>
        <v>0</v>
      </c>
      <c r="C6" s="52">
        <f>IF(Учет!$O6=Справочники!$F$3,Учет!$H6,0)</f>
        <v>0</v>
      </c>
      <c r="D6" s="52">
        <f>IF(Учет!$O6=Справочники!$F$4,Учет!$H6,0)</f>
        <v>0</v>
      </c>
      <c r="E6" s="52">
        <f>IF(Учет!$O6=Справочники!$F$5,Учет!$H6,0)</f>
        <v>0</v>
      </c>
      <c r="F6" s="52">
        <f>IF(Учет!$O6=Справочники!$F$6,Учет!$H6,0)</f>
        <v>0</v>
      </c>
      <c r="G6" s="43">
        <f>G5+Учет!B6-B6</f>
        <v>879000</v>
      </c>
      <c r="H6" s="43">
        <f>H5+Учет!C6-C6</f>
        <v>0</v>
      </c>
      <c r="I6" s="43">
        <f>I5+Учет!D6-D6</f>
        <v>7855</v>
      </c>
      <c r="J6" s="43">
        <f>J5+Учет!E6-E6</f>
        <v>0</v>
      </c>
      <c r="K6" s="43">
        <f>K5+Учет!F6-F6</f>
        <v>0</v>
      </c>
      <c r="L6" s="45">
        <f>Учет!I6</f>
        <v>886855</v>
      </c>
    </row>
    <row r="7" spans="1:12" x14ac:dyDescent="0.25">
      <c r="A7" s="48">
        <f>IF(Учет!A7&lt;&gt;"",Учет!A7,"")</f>
        <v>45141</v>
      </c>
      <c r="B7" s="52">
        <f>IF(Учет!$O7=Справочники!$F$2,Учет!$H7,0)</f>
        <v>19000</v>
      </c>
      <c r="C7" s="52">
        <f>IF(Учет!$O7=Справочники!$F$3,Учет!$H7,0)</f>
        <v>0</v>
      </c>
      <c r="D7" s="52">
        <f>IF(Учет!$O7=Справочники!$F$4,Учет!$H7,0)</f>
        <v>0</v>
      </c>
      <c r="E7" s="52">
        <f>IF(Учет!$O7=Справочники!$F$5,Учет!$H7,0)</f>
        <v>0</v>
      </c>
      <c r="F7" s="52">
        <f>IF(Учет!$O7=Справочники!$F$6,Учет!$H7,0)</f>
        <v>0</v>
      </c>
      <c r="G7" s="43">
        <f>G6+Учет!B7-B7</f>
        <v>860000</v>
      </c>
      <c r="H7" s="43">
        <f>H6+Учет!C7-C7</f>
        <v>0</v>
      </c>
      <c r="I7" s="43">
        <f>I6+Учет!D7-D7</f>
        <v>7855</v>
      </c>
      <c r="J7" s="43">
        <f>J6+Учет!E7-E7</f>
        <v>0</v>
      </c>
      <c r="K7" s="43">
        <f>K6+Учет!F7-F7</f>
        <v>0</v>
      </c>
      <c r="L7" s="45">
        <f>Учет!I7</f>
        <v>867855</v>
      </c>
    </row>
    <row r="8" spans="1:12" x14ac:dyDescent="0.25">
      <c r="A8" s="48">
        <f>IF(Учет!A8&lt;&gt;"",Учет!A8,"")</f>
        <v>45141</v>
      </c>
      <c r="B8" s="52">
        <f>IF(Учет!$O8=Справочники!$F$2,Учет!$H8,0)</f>
        <v>71500</v>
      </c>
      <c r="C8" s="52">
        <f>IF(Учет!$O8=Справочники!$F$3,Учет!$H8,0)</f>
        <v>0</v>
      </c>
      <c r="D8" s="52">
        <f>IF(Учет!$O8=Справочники!$F$4,Учет!$H8,0)</f>
        <v>0</v>
      </c>
      <c r="E8" s="52">
        <f>IF(Учет!$O8=Справочники!$F$5,Учет!$H8,0)</f>
        <v>0</v>
      </c>
      <c r="F8" s="52">
        <f>IF(Учет!$O8=Справочники!$F$6,Учет!$H8,0)</f>
        <v>0</v>
      </c>
      <c r="G8" s="43">
        <f>G7+Учет!B8-B8</f>
        <v>788500</v>
      </c>
      <c r="H8" s="43">
        <f>H7+Учет!C8-C8</f>
        <v>0</v>
      </c>
      <c r="I8" s="43">
        <f>I7+Учет!D8-D8</f>
        <v>7855</v>
      </c>
      <c r="J8" s="43">
        <f>J7+Учет!E8-E8</f>
        <v>0</v>
      </c>
      <c r="K8" s="43">
        <f>K7+Учет!F8-F8</f>
        <v>0</v>
      </c>
      <c r="L8" s="45">
        <f>Учет!I8</f>
        <v>796355</v>
      </c>
    </row>
    <row r="9" spans="1:12" x14ac:dyDescent="0.25">
      <c r="A9" s="48">
        <f>IF(Учет!A9&lt;&gt;"",Учет!A9,"")</f>
        <v>45141</v>
      </c>
      <c r="B9" s="52">
        <f>IF(Учет!$O9=Справочники!$F$2,Учет!$H9,0)</f>
        <v>2000</v>
      </c>
      <c r="C9" s="52">
        <f>IF(Учет!$O9=Справочники!$F$3,Учет!$H9,0)</f>
        <v>0</v>
      </c>
      <c r="D9" s="52">
        <f>IF(Учет!$O9=Справочники!$F$4,Учет!$H9,0)</f>
        <v>0</v>
      </c>
      <c r="E9" s="52">
        <f>IF(Учет!$O9=Справочники!$F$5,Учет!$H9,0)</f>
        <v>0</v>
      </c>
      <c r="F9" s="52">
        <f>IF(Учет!$O9=Справочники!$F$6,Учет!$H9,0)</f>
        <v>0</v>
      </c>
      <c r="G9" s="43">
        <f>G8+Учет!B9-B9</f>
        <v>786500</v>
      </c>
      <c r="H9" s="43">
        <f>H8+Учет!C9-C9</f>
        <v>0</v>
      </c>
      <c r="I9" s="43">
        <f>I8+Учет!D9-D9</f>
        <v>7855</v>
      </c>
      <c r="J9" s="43">
        <f>J8+Учет!E9-E9</f>
        <v>0</v>
      </c>
      <c r="K9" s="43">
        <f>K8+Учет!F9-F9</f>
        <v>0</v>
      </c>
      <c r="L9" s="45">
        <f>Учет!I9</f>
        <v>794355</v>
      </c>
    </row>
    <row r="10" spans="1:12" x14ac:dyDescent="0.25">
      <c r="A10" s="48">
        <f>IF(Учет!A10&lt;&gt;"",Учет!A10,"")</f>
        <v>45142</v>
      </c>
      <c r="B10" s="52">
        <f>IF(Учет!$O10=Справочники!$F$2,Учет!$H10,0)</f>
        <v>0</v>
      </c>
      <c r="C10" s="52">
        <f>IF(Учет!$O10=Справочники!$F$3,Учет!$H10,0)</f>
        <v>0</v>
      </c>
      <c r="D10" s="52">
        <f>IF(Учет!$O10=Справочники!$F$4,Учет!$H10,0)</f>
        <v>0</v>
      </c>
      <c r="E10" s="52">
        <f>IF(Учет!$O10=Справочники!$F$5,Учет!$H10,0)</f>
        <v>0</v>
      </c>
      <c r="F10" s="52">
        <f>IF(Учет!$O10=Справочники!$F$6,Учет!$H10,0)</f>
        <v>0</v>
      </c>
      <c r="G10" s="43">
        <f>G9+Учет!B10-B10</f>
        <v>1786500</v>
      </c>
      <c r="H10" s="43">
        <f>H9+Учет!C10-C10</f>
        <v>0</v>
      </c>
      <c r="I10" s="43">
        <f>I9+Учет!D10-D10</f>
        <v>7855</v>
      </c>
      <c r="J10" s="43">
        <f>J9+Учет!E10-E10</f>
        <v>0</v>
      </c>
      <c r="K10" s="43">
        <f>K9+Учет!F10-F10</f>
        <v>0</v>
      </c>
      <c r="L10" s="45">
        <f>Учет!I10</f>
        <v>1794355</v>
      </c>
    </row>
    <row r="11" spans="1:12" x14ac:dyDescent="0.25">
      <c r="A11" s="48">
        <f>IF(Учет!A11&lt;&gt;"",Учет!A11,"")</f>
        <v>45142</v>
      </c>
      <c r="B11" s="52">
        <f>IF(Учет!$O11=Справочники!$F$2,Учет!$H11,0)</f>
        <v>7000</v>
      </c>
      <c r="C11" s="52">
        <f>IF(Учет!$O11=Справочники!$F$3,Учет!$H11,0)</f>
        <v>0</v>
      </c>
      <c r="D11" s="52">
        <f>IF(Учет!$O11=Справочники!$F$4,Учет!$H11,0)</f>
        <v>0</v>
      </c>
      <c r="E11" s="52">
        <f>IF(Учет!$O11=Справочники!$F$5,Учет!$H11,0)</f>
        <v>0</v>
      </c>
      <c r="F11" s="52">
        <f>IF(Учет!$O11=Справочники!$F$6,Учет!$H11,0)</f>
        <v>0</v>
      </c>
      <c r="G11" s="43">
        <f>G10+Учет!B11-B11</f>
        <v>1779500</v>
      </c>
      <c r="H11" s="43">
        <f>H10+Учет!C11-C11</f>
        <v>0</v>
      </c>
      <c r="I11" s="43">
        <f>I10+Учет!D11-D11</f>
        <v>7855</v>
      </c>
      <c r="J11" s="43">
        <f>J10+Учет!E11-E11</f>
        <v>0</v>
      </c>
      <c r="K11" s="43">
        <f>K10+Учет!F11-F11</f>
        <v>0</v>
      </c>
      <c r="L11" s="45">
        <f>Учет!I11</f>
        <v>1787355</v>
      </c>
    </row>
    <row r="12" spans="1:12" x14ac:dyDescent="0.25">
      <c r="A12" s="48">
        <f>IF(Учет!A12&lt;&gt;"",Учет!A12,"")</f>
        <v>45142</v>
      </c>
      <c r="B12" s="52">
        <f>IF(Учет!$O12=Справочники!$F$2,Учет!$H12,0)</f>
        <v>18000</v>
      </c>
      <c r="C12" s="52">
        <f>IF(Учет!$O12=Справочники!$F$3,Учет!$H12,0)</f>
        <v>0</v>
      </c>
      <c r="D12" s="52">
        <f>IF(Учет!$O12=Справочники!$F$4,Учет!$H12,0)</f>
        <v>0</v>
      </c>
      <c r="E12" s="52">
        <f>IF(Учет!$O12=Справочники!$F$5,Учет!$H12,0)</f>
        <v>0</v>
      </c>
      <c r="F12" s="52">
        <f>IF(Учет!$O12=Справочники!$F$6,Учет!$H12,0)</f>
        <v>0</v>
      </c>
      <c r="G12" s="43">
        <f>G11+Учет!B12-B12</f>
        <v>1761500</v>
      </c>
      <c r="H12" s="43">
        <f>H11+Учет!C12-C12</f>
        <v>0</v>
      </c>
      <c r="I12" s="43">
        <f>I11+Учет!D12-D12</f>
        <v>7855</v>
      </c>
      <c r="J12" s="43">
        <f>J11+Учет!E12-E12</f>
        <v>0</v>
      </c>
      <c r="K12" s="43">
        <f>K11+Учет!F12-F12</f>
        <v>0</v>
      </c>
      <c r="L12" s="45">
        <f>Учет!I12</f>
        <v>1769355</v>
      </c>
    </row>
    <row r="13" spans="1:12" x14ac:dyDescent="0.25">
      <c r="A13" s="48">
        <f>IF(Учет!A13&lt;&gt;"",Учет!A13,"")</f>
        <v>45142</v>
      </c>
      <c r="B13" s="52">
        <f>IF(Учет!$O13=Справочники!$F$2,Учет!$H13,0)</f>
        <v>200000</v>
      </c>
      <c r="C13" s="52">
        <f>IF(Учет!$O13=Справочники!$F$3,Учет!$H13,0)</f>
        <v>0</v>
      </c>
      <c r="D13" s="52">
        <f>IF(Учет!$O13=Справочники!$F$4,Учет!$H13,0)</f>
        <v>0</v>
      </c>
      <c r="E13" s="52">
        <f>IF(Учет!$O13=Справочники!$F$5,Учет!$H13,0)</f>
        <v>0</v>
      </c>
      <c r="F13" s="52">
        <f>IF(Учет!$O13=Справочники!$F$6,Учет!$H13,0)</f>
        <v>0</v>
      </c>
      <c r="G13" s="43">
        <f>G12+Учет!B13-B13</f>
        <v>1561500</v>
      </c>
      <c r="H13" s="43">
        <f>H12+Учет!C13-C13</f>
        <v>0</v>
      </c>
      <c r="I13" s="43">
        <f>I12+Учет!D13-D13</f>
        <v>7855</v>
      </c>
      <c r="J13" s="43">
        <f>J12+Учет!E13-E13</f>
        <v>0</v>
      </c>
      <c r="K13" s="43">
        <f>K12+Учет!F13-F13</f>
        <v>0</v>
      </c>
      <c r="L13" s="45">
        <f>Учет!I13</f>
        <v>1569355</v>
      </c>
    </row>
    <row r="14" spans="1:12" x14ac:dyDescent="0.25">
      <c r="A14" s="48">
        <f>IF(Учет!A14&lt;&gt;"",Учет!A14,"")</f>
        <v>45142</v>
      </c>
      <c r="B14" s="52">
        <f>IF(Учет!$O14=Справочники!$F$2,Учет!$H14,0)</f>
        <v>100000</v>
      </c>
      <c r="C14" s="52">
        <f>IF(Учет!$O14=Справочники!$F$3,Учет!$H14,0)</f>
        <v>0</v>
      </c>
      <c r="D14" s="52">
        <f>IF(Учет!$O14=Справочники!$F$4,Учет!$H14,0)</f>
        <v>0</v>
      </c>
      <c r="E14" s="52">
        <f>IF(Учет!$O14=Справочники!$F$5,Учет!$H14,0)</f>
        <v>0</v>
      </c>
      <c r="F14" s="52">
        <f>IF(Учет!$O14=Справочники!$F$6,Учет!$H14,0)</f>
        <v>0</v>
      </c>
      <c r="G14" s="43">
        <f>G13+Учет!B14-B14</f>
        <v>1461500</v>
      </c>
      <c r="H14" s="43">
        <f>H13+Учет!C14-C14</f>
        <v>0</v>
      </c>
      <c r="I14" s="43">
        <f>I13+Учет!D14-D14</f>
        <v>7855</v>
      </c>
      <c r="J14" s="43">
        <f>J13+Учет!E14-E14</f>
        <v>100000</v>
      </c>
      <c r="K14" s="43">
        <f>K13+Учет!F14-F14</f>
        <v>0</v>
      </c>
      <c r="L14" s="45">
        <f>Учет!I14</f>
        <v>1569355</v>
      </c>
    </row>
    <row r="15" spans="1:12" x14ac:dyDescent="0.25">
      <c r="A15" s="48">
        <f>IF(Учет!A15&lt;&gt;"",Учет!A15,"")</f>
        <v>45142</v>
      </c>
      <c r="B15" s="52">
        <f>IF(Учет!$O15=Справочники!$F$2,Учет!$H15,0)</f>
        <v>20000</v>
      </c>
      <c r="C15" s="52">
        <f>IF(Учет!$O15=Справочники!$F$3,Учет!$H15,0)</f>
        <v>0</v>
      </c>
      <c r="D15" s="52">
        <f>IF(Учет!$O15=Справочники!$F$4,Учет!$H15,0)</f>
        <v>0</v>
      </c>
      <c r="E15" s="52">
        <f>IF(Учет!$O15=Справочники!$F$5,Учет!$H15,0)</f>
        <v>0</v>
      </c>
      <c r="F15" s="52">
        <f>IF(Учет!$O15=Справочники!$F$6,Учет!$H15,0)</f>
        <v>0</v>
      </c>
      <c r="G15" s="43">
        <f>G14+Учет!B15-B15</f>
        <v>1441500</v>
      </c>
      <c r="H15" s="43">
        <f>H14+Учет!C15-C15</f>
        <v>0</v>
      </c>
      <c r="I15" s="43">
        <f>I14+Учет!D15-D15</f>
        <v>7855</v>
      </c>
      <c r="J15" s="43">
        <f>J14+Учет!E15-E15</f>
        <v>100000</v>
      </c>
      <c r="K15" s="43">
        <f>K14+Учет!F15-F15</f>
        <v>0</v>
      </c>
      <c r="L15" s="45">
        <f>Учет!I15</f>
        <v>1549355</v>
      </c>
    </row>
    <row r="16" spans="1:12" x14ac:dyDescent="0.25">
      <c r="A16" s="48">
        <f>IF(Учет!A16&lt;&gt;"",Учет!A16,"")</f>
        <v>45142</v>
      </c>
      <c r="B16" s="52">
        <f>IF(Учет!$O16=Справочники!$F$2,Учет!$H16,0)</f>
        <v>70000</v>
      </c>
      <c r="C16" s="52">
        <f>IF(Учет!$O16=Справочники!$F$3,Учет!$H16,0)</f>
        <v>0</v>
      </c>
      <c r="D16" s="52">
        <f>IF(Учет!$O16=Справочники!$F$4,Учет!$H16,0)</f>
        <v>0</v>
      </c>
      <c r="E16" s="52">
        <f>IF(Учет!$O16=Справочники!$F$5,Учет!$H16,0)</f>
        <v>0</v>
      </c>
      <c r="F16" s="52">
        <f>IF(Учет!$O16=Справочники!$F$6,Учет!$H16,0)</f>
        <v>0</v>
      </c>
      <c r="G16" s="43">
        <f>G15+Учет!B16-B16</f>
        <v>1371500</v>
      </c>
      <c r="H16" s="43">
        <f>H15+Учет!C16-C16</f>
        <v>0</v>
      </c>
      <c r="I16" s="43">
        <f>I15+Учет!D16-D16</f>
        <v>7855</v>
      </c>
      <c r="J16" s="43">
        <f>J15+Учет!E16-E16</f>
        <v>100000</v>
      </c>
      <c r="K16" s="43">
        <f>K15+Учет!F16-F16</f>
        <v>0</v>
      </c>
      <c r="L16" s="45">
        <f>Учет!I16</f>
        <v>1479355</v>
      </c>
    </row>
    <row r="17" spans="1:12" x14ac:dyDescent="0.25">
      <c r="A17" s="48">
        <f>IF(Учет!A17&lt;&gt;"",Учет!A17,"")</f>
        <v>45142</v>
      </c>
      <c r="B17" s="52">
        <f>IF(Учет!$O17=Справочники!$F$2,Учет!$H17,0)</f>
        <v>707750</v>
      </c>
      <c r="C17" s="52">
        <f>IF(Учет!$O17=Справочники!$F$3,Учет!$H17,0)</f>
        <v>0</v>
      </c>
      <c r="D17" s="52">
        <f>IF(Учет!$O17=Справочники!$F$4,Учет!$H17,0)</f>
        <v>0</v>
      </c>
      <c r="E17" s="52">
        <f>IF(Учет!$O17=Справочники!$F$5,Учет!$H17,0)</f>
        <v>0</v>
      </c>
      <c r="F17" s="52">
        <f>IF(Учет!$O17=Справочники!$F$6,Учет!$H17,0)</f>
        <v>0</v>
      </c>
      <c r="G17" s="43">
        <f>G16+Учет!B17-B17</f>
        <v>663750</v>
      </c>
      <c r="H17" s="43">
        <f>H16+Учет!C17-C17</f>
        <v>0</v>
      </c>
      <c r="I17" s="43">
        <f>I16+Учет!D17-D17</f>
        <v>7855</v>
      </c>
      <c r="J17" s="43">
        <f>J16+Учет!E17-E17</f>
        <v>100000</v>
      </c>
      <c r="K17" s="43">
        <f>K16+Учет!F17-F17</f>
        <v>0</v>
      </c>
      <c r="L17" s="45">
        <f>Учет!I17</f>
        <v>771605</v>
      </c>
    </row>
    <row r="18" spans="1:12" x14ac:dyDescent="0.25">
      <c r="A18" s="48">
        <f>IF(Учет!A18&lt;&gt;"",Учет!A18,"")</f>
        <v>45142</v>
      </c>
      <c r="B18" s="52">
        <f>IF(Учет!$O18=Справочники!$F$2,Учет!$H18,0)</f>
        <v>6000</v>
      </c>
      <c r="C18" s="52">
        <f>IF(Учет!$O18=Справочники!$F$3,Учет!$H18,0)</f>
        <v>0</v>
      </c>
      <c r="D18" s="52">
        <f>IF(Учет!$O18=Справочники!$F$4,Учет!$H18,0)</f>
        <v>0</v>
      </c>
      <c r="E18" s="52">
        <f>IF(Учет!$O18=Справочники!$F$5,Учет!$H18,0)</f>
        <v>0</v>
      </c>
      <c r="F18" s="52">
        <f>IF(Учет!$O18=Справочники!$F$6,Учет!$H18,0)</f>
        <v>0</v>
      </c>
      <c r="G18" s="43">
        <f>G17+Учет!B18-B18</f>
        <v>657750</v>
      </c>
      <c r="H18" s="43">
        <f>H17+Учет!C18-C18</f>
        <v>0</v>
      </c>
      <c r="I18" s="43">
        <f>I17+Учет!D18-D18</f>
        <v>7855</v>
      </c>
      <c r="J18" s="43">
        <f>J17+Учет!E18-E18</f>
        <v>100000</v>
      </c>
      <c r="K18" s="43">
        <f>K17+Учет!F18-F18</f>
        <v>0</v>
      </c>
      <c r="L18" s="45">
        <f>Учет!I18</f>
        <v>765605</v>
      </c>
    </row>
    <row r="19" spans="1:12" x14ac:dyDescent="0.25">
      <c r="A19" s="48">
        <f>IF(Учет!A19&lt;&gt;"",Учет!A19,"")</f>
        <v>45142</v>
      </c>
      <c r="B19" s="52">
        <f>IF(Учет!$O19=Справочники!$F$2,Учет!$H19,0)</f>
        <v>0</v>
      </c>
      <c r="C19" s="52">
        <f>IF(Учет!$O19=Справочники!$F$3,Учет!$H19,0)</f>
        <v>0</v>
      </c>
      <c r="D19" s="52">
        <f>IF(Учет!$O19=Справочники!$F$4,Учет!$H19,0)</f>
        <v>0</v>
      </c>
      <c r="E19" s="52">
        <f>IF(Учет!$O19=Справочники!$F$5,Учет!$H19,0)</f>
        <v>0</v>
      </c>
      <c r="F19" s="52">
        <f>IF(Учет!$O19=Справочники!$F$6,Учет!$H19,0)</f>
        <v>0</v>
      </c>
      <c r="G19" s="43">
        <f>G18+Учет!B19-B19</f>
        <v>657750</v>
      </c>
      <c r="H19" s="43">
        <f>H18+Учет!C19-C19</f>
        <v>0</v>
      </c>
      <c r="I19" s="43">
        <f>I18+Учет!D19-D19</f>
        <v>307855</v>
      </c>
      <c r="J19" s="43">
        <f>J18+Учет!E19-E19</f>
        <v>100000</v>
      </c>
      <c r="K19" s="43">
        <f>K18+Учет!F19-F19</f>
        <v>0</v>
      </c>
      <c r="L19" s="45">
        <f>Учет!I19</f>
        <v>1065605</v>
      </c>
    </row>
    <row r="20" spans="1:12" x14ac:dyDescent="0.25">
      <c r="A20" s="48">
        <f>IF(Учет!A20&lt;&gt;"",Учет!A20,"")</f>
        <v>45143</v>
      </c>
      <c r="B20" s="52">
        <f>IF(Учет!$O20=Справочники!$F$2,Учет!$H20,0)</f>
        <v>0</v>
      </c>
      <c r="C20" s="52">
        <f>IF(Учет!$O20=Справочники!$F$3,Учет!$H20,0)</f>
        <v>0</v>
      </c>
      <c r="D20" s="52">
        <f>IF(Учет!$O20=Справочники!$F$4,Учет!$H20,0)</f>
        <v>100000</v>
      </c>
      <c r="E20" s="52">
        <f>IF(Учет!$O20=Справочники!$F$5,Учет!$H20,0)</f>
        <v>0</v>
      </c>
      <c r="F20" s="52">
        <f>IF(Учет!$O20=Справочники!$F$6,Учет!$H20,0)</f>
        <v>0</v>
      </c>
      <c r="G20" s="43">
        <f>G19+Учет!B20-B20</f>
        <v>657750</v>
      </c>
      <c r="H20" s="43">
        <f>H19+Учет!C20-C20</f>
        <v>100000</v>
      </c>
      <c r="I20" s="43">
        <f>I19+Учет!D20-D20</f>
        <v>207855</v>
      </c>
      <c r="J20" s="43">
        <f>J19+Учет!E20-E20</f>
        <v>100000</v>
      </c>
      <c r="K20" s="43">
        <f>K19+Учет!F20-F20</f>
        <v>0</v>
      </c>
      <c r="L20" s="45">
        <f>Учет!I20</f>
        <v>1065605</v>
      </c>
    </row>
    <row r="21" spans="1:12" x14ac:dyDescent="0.25">
      <c r="A21" s="48">
        <f>IF(Учет!A21&lt;&gt;"",Учет!A21,"")</f>
        <v>45143</v>
      </c>
      <c r="B21" s="52">
        <f>IF(Учет!$O21=Справочники!$F$2,Учет!$H21,0)</f>
        <v>0</v>
      </c>
      <c r="C21" s="52">
        <f>IF(Учет!$O21=Справочники!$F$3,Учет!$H21,0)</f>
        <v>0</v>
      </c>
      <c r="D21" s="52">
        <f>IF(Учет!$O21=Справочники!$F$4,Учет!$H21,0)</f>
        <v>7000</v>
      </c>
      <c r="E21" s="52">
        <f>IF(Учет!$O21=Справочники!$F$5,Учет!$H21,0)</f>
        <v>0</v>
      </c>
      <c r="F21" s="52">
        <f>IF(Учет!$O21=Справочники!$F$6,Учет!$H21,0)</f>
        <v>0</v>
      </c>
      <c r="G21" s="43">
        <f>G20+Учет!B21-B21</f>
        <v>657750</v>
      </c>
      <c r="H21" s="43">
        <f>H20+Учет!C21-C21</f>
        <v>100000</v>
      </c>
      <c r="I21" s="43">
        <f>I20+Учет!D21-D21</f>
        <v>200855</v>
      </c>
      <c r="J21" s="43">
        <f>J20+Учет!E21-E21</f>
        <v>100000</v>
      </c>
      <c r="K21" s="43">
        <f>K20+Учет!F21-F21</f>
        <v>0</v>
      </c>
      <c r="L21" s="45">
        <f>Учет!I21</f>
        <v>1058605</v>
      </c>
    </row>
    <row r="22" spans="1:12" x14ac:dyDescent="0.25">
      <c r="A22" s="48">
        <f>IF(Учет!A22&lt;&gt;"",Учет!A22,"")</f>
        <v>45143</v>
      </c>
      <c r="B22" s="52">
        <f>IF(Учет!$O22=Справочники!$F$2,Учет!$H22,0)</f>
        <v>0</v>
      </c>
      <c r="C22" s="52">
        <f>IF(Учет!$O22=Справочники!$F$3,Учет!$H22,0)</f>
        <v>0</v>
      </c>
      <c r="D22" s="52">
        <f>IF(Учет!$O22=Справочники!$F$4,Учет!$H22,0)</f>
        <v>30000</v>
      </c>
      <c r="E22" s="52">
        <f>IF(Учет!$O22=Справочники!$F$5,Учет!$H22,0)</f>
        <v>0</v>
      </c>
      <c r="F22" s="52">
        <f>IF(Учет!$O22=Справочники!$F$6,Учет!$H22,0)</f>
        <v>0</v>
      </c>
      <c r="G22" s="43">
        <f>G21+Учет!B22-B22</f>
        <v>657750</v>
      </c>
      <c r="H22" s="43">
        <f>H21+Учет!C22-C22</f>
        <v>100000</v>
      </c>
      <c r="I22" s="43">
        <f>I21+Учет!D22-D22</f>
        <v>170855</v>
      </c>
      <c r="J22" s="43">
        <f>J21+Учет!E22-E22</f>
        <v>100000</v>
      </c>
      <c r="K22" s="43">
        <f>K21+Учет!F22-F22</f>
        <v>0</v>
      </c>
      <c r="L22" s="45">
        <f>Учет!I22</f>
        <v>1028605</v>
      </c>
    </row>
    <row r="23" spans="1:12" x14ac:dyDescent="0.25">
      <c r="A23" s="48">
        <f>IF(Учет!A23&lt;&gt;"",Учет!A23,"")</f>
        <v>45143</v>
      </c>
      <c r="B23" s="52">
        <f>IF(Учет!$O23=Справочники!$F$2,Учет!$H23,0)</f>
        <v>0</v>
      </c>
      <c r="C23" s="52">
        <f>IF(Учет!$O23=Справочники!$F$3,Учет!$H23,0)</f>
        <v>0</v>
      </c>
      <c r="D23" s="52">
        <f>IF(Учет!$O23=Справочники!$F$4,Учет!$H23,0)</f>
        <v>26000</v>
      </c>
      <c r="E23" s="52">
        <f>IF(Учет!$O23=Справочники!$F$5,Учет!$H23,0)</f>
        <v>0</v>
      </c>
      <c r="F23" s="52">
        <f>IF(Учет!$O23=Справочники!$F$6,Учет!$H23,0)</f>
        <v>0</v>
      </c>
      <c r="G23" s="43">
        <f>G22+Учет!B23-B23</f>
        <v>657750</v>
      </c>
      <c r="H23" s="43">
        <f>H22+Учет!C23-C23</f>
        <v>100000</v>
      </c>
      <c r="I23" s="43">
        <f>I22+Учет!D23-D23</f>
        <v>144855</v>
      </c>
      <c r="J23" s="43">
        <f>J22+Учет!E23-E23</f>
        <v>100000</v>
      </c>
      <c r="K23" s="43">
        <f>K22+Учет!F23-F23</f>
        <v>0</v>
      </c>
      <c r="L23" s="45">
        <f>Учет!I23</f>
        <v>1002605</v>
      </c>
    </row>
    <row r="24" spans="1:12" x14ac:dyDescent="0.25">
      <c r="A24" s="48">
        <f>IF(Учет!A24&lt;&gt;"",Учет!A24,"")</f>
        <v>45143</v>
      </c>
      <c r="B24" s="52">
        <f>IF(Учет!$O24=Справочники!$F$2,Учет!$H24,0)</f>
        <v>0</v>
      </c>
      <c r="C24" s="52">
        <f>IF(Учет!$O24=Справочники!$F$3,Учет!$H24,0)</f>
        <v>0</v>
      </c>
      <c r="D24" s="52">
        <f>IF(Учет!$O24=Справочники!$F$4,Учет!$H24,0)</f>
        <v>50000</v>
      </c>
      <c r="E24" s="52">
        <f>IF(Учет!$O24=Справочники!$F$5,Учет!$H24,0)</f>
        <v>0</v>
      </c>
      <c r="F24" s="52">
        <f>IF(Учет!$O24=Справочники!$F$6,Учет!$H24,0)</f>
        <v>0</v>
      </c>
      <c r="G24" s="43">
        <f>G23+Учет!B24-B24</f>
        <v>657750</v>
      </c>
      <c r="H24" s="43">
        <f>H23+Учет!C24-C24</f>
        <v>100000</v>
      </c>
      <c r="I24" s="43">
        <f>I23+Учет!D24-D24</f>
        <v>94855</v>
      </c>
      <c r="J24" s="43">
        <f>J23+Учет!E24-E24</f>
        <v>100000</v>
      </c>
      <c r="K24" s="43">
        <f>K23+Учет!F24-F24</f>
        <v>0</v>
      </c>
      <c r="L24" s="45">
        <f>Учет!I24</f>
        <v>952605</v>
      </c>
    </row>
    <row r="25" spans="1:12" x14ac:dyDescent="0.25">
      <c r="A25" s="48">
        <f>IF(Учет!A25&lt;&gt;"",Учет!A25,"")</f>
        <v>45143</v>
      </c>
      <c r="B25" s="52">
        <f>IF(Учет!$O25=Справочники!$F$2,Учет!$H25,0)</f>
        <v>0</v>
      </c>
      <c r="C25" s="52">
        <f>IF(Учет!$O25=Справочники!$F$3,Учет!$H25,0)</f>
        <v>0</v>
      </c>
      <c r="D25" s="52">
        <f>IF(Учет!$O25=Справочники!$F$4,Учет!$H25,0)</f>
        <v>1500</v>
      </c>
      <c r="E25" s="52">
        <f>IF(Учет!$O25=Справочники!$F$5,Учет!$H25,0)</f>
        <v>0</v>
      </c>
      <c r="F25" s="52">
        <f>IF(Учет!$O25=Справочники!$F$6,Учет!$H25,0)</f>
        <v>0</v>
      </c>
      <c r="G25" s="43">
        <f>G24+Учет!B25-B25</f>
        <v>657750</v>
      </c>
      <c r="H25" s="43">
        <f>H24+Учет!C25-C25</f>
        <v>100000</v>
      </c>
      <c r="I25" s="43">
        <f>I24+Учет!D25-D25</f>
        <v>93355</v>
      </c>
      <c r="J25" s="43">
        <f>J24+Учет!E25-E25</f>
        <v>100000</v>
      </c>
      <c r="K25" s="43">
        <f>K24+Учет!F25-F25</f>
        <v>0</v>
      </c>
      <c r="L25" s="45">
        <f>Учет!I25</f>
        <v>951105</v>
      </c>
    </row>
    <row r="26" spans="1:12" x14ac:dyDescent="0.25">
      <c r="A26" s="48">
        <f>IF(Учет!A26&lt;&gt;"",Учет!A26,"")</f>
        <v>45143</v>
      </c>
      <c r="B26" s="52">
        <f>IF(Учет!$O26=Справочники!$F$2,Учет!$H26,0)</f>
        <v>0</v>
      </c>
      <c r="C26" s="52">
        <f>IF(Учет!$O26=Справочники!$F$3,Учет!$H26,0)</f>
        <v>0</v>
      </c>
      <c r="D26" s="52">
        <f>IF(Учет!$O26=Справочники!$F$4,Учет!$H26,0)</f>
        <v>1500</v>
      </c>
      <c r="E26" s="52">
        <f>IF(Учет!$O26=Справочники!$F$5,Учет!$H26,0)</f>
        <v>0</v>
      </c>
      <c r="F26" s="52">
        <f>IF(Учет!$O26=Справочники!$F$6,Учет!$H26,0)</f>
        <v>0</v>
      </c>
      <c r="G26" s="43">
        <f>G25+Учет!B26-B26</f>
        <v>657750</v>
      </c>
      <c r="H26" s="43">
        <f>H25+Учет!C26-C26</f>
        <v>100000</v>
      </c>
      <c r="I26" s="43">
        <f>I25+Учет!D26-D26</f>
        <v>91855</v>
      </c>
      <c r="J26" s="43">
        <f>J25+Учет!E26-E26</f>
        <v>100000</v>
      </c>
      <c r="K26" s="43">
        <f>K25+Учет!F26-F26</f>
        <v>0</v>
      </c>
      <c r="L26" s="45">
        <f>Учет!I26</f>
        <v>949605</v>
      </c>
    </row>
    <row r="27" spans="1:12" x14ac:dyDescent="0.25">
      <c r="A27" s="48">
        <f>IF(Учет!A27&lt;&gt;"",Учет!A27,"")</f>
        <v>45143</v>
      </c>
      <c r="B27" s="52">
        <f>IF(Учет!$O27=Справочники!$F$2,Учет!$H27,0)</f>
        <v>0</v>
      </c>
      <c r="C27" s="52">
        <f>IF(Учет!$O27=Справочники!$F$3,Учет!$H27,0)</f>
        <v>0</v>
      </c>
      <c r="D27" s="52">
        <f>IF(Учет!$O27=Справочники!$F$4,Учет!$H27,0)</f>
        <v>17000</v>
      </c>
      <c r="E27" s="52">
        <f>IF(Учет!$O27=Справочники!$F$5,Учет!$H27,0)</f>
        <v>0</v>
      </c>
      <c r="F27" s="52">
        <f>IF(Учет!$O27=Справочники!$F$6,Учет!$H27,0)</f>
        <v>0</v>
      </c>
      <c r="G27" s="43">
        <f>G26+Учет!B27-B27</f>
        <v>657750</v>
      </c>
      <c r="H27" s="43">
        <f>H26+Учет!C27-C27</f>
        <v>100000</v>
      </c>
      <c r="I27" s="43">
        <f>I26+Учет!D27-D27</f>
        <v>74855</v>
      </c>
      <c r="J27" s="43">
        <f>J26+Учет!E27-E27</f>
        <v>100000</v>
      </c>
      <c r="K27" s="43">
        <f>K26+Учет!F27-F27</f>
        <v>0</v>
      </c>
      <c r="L27" s="45">
        <f>Учет!I27</f>
        <v>932605</v>
      </c>
    </row>
    <row r="28" spans="1:12" x14ac:dyDescent="0.25">
      <c r="A28" s="48">
        <f>IF(Учет!A28&lt;&gt;"",Учет!A28,"")</f>
        <v>45143</v>
      </c>
      <c r="B28" s="52">
        <f>IF(Учет!$O28=Справочники!$F$2,Учет!$H28,0)</f>
        <v>0</v>
      </c>
      <c r="C28" s="52">
        <f>IF(Учет!$O28=Справочники!$F$3,Учет!$H28,0)</f>
        <v>0</v>
      </c>
      <c r="D28" s="52">
        <f>IF(Учет!$O28=Справочники!$F$4,Учет!$H28,0)</f>
        <v>11000</v>
      </c>
      <c r="E28" s="52">
        <f>IF(Учет!$O28=Справочники!$F$5,Учет!$H28,0)</f>
        <v>0</v>
      </c>
      <c r="F28" s="52">
        <f>IF(Учет!$O28=Справочники!$F$6,Учет!$H28,0)</f>
        <v>0</v>
      </c>
      <c r="G28" s="43">
        <f>G27+Учет!B28-B28</f>
        <v>657750</v>
      </c>
      <c r="H28" s="43">
        <f>H27+Учет!C28-C28</f>
        <v>100000</v>
      </c>
      <c r="I28" s="43">
        <f>I27+Учет!D28-D28</f>
        <v>63855</v>
      </c>
      <c r="J28" s="43">
        <f>J27+Учет!E28-E28</f>
        <v>100000</v>
      </c>
      <c r="K28" s="43">
        <f>K27+Учет!F28-F28</f>
        <v>0</v>
      </c>
      <c r="L28" s="45">
        <f>Учет!I28</f>
        <v>921605</v>
      </c>
    </row>
    <row r="29" spans="1:12" x14ac:dyDescent="0.25">
      <c r="A29" s="48">
        <f>IF(Учет!A29&lt;&gt;"",Учет!A29,"")</f>
        <v>45143</v>
      </c>
      <c r="B29" s="52">
        <f>IF(Учет!$O29=Справочники!$F$2,Учет!$H29,0)</f>
        <v>0</v>
      </c>
      <c r="C29" s="52">
        <f>IF(Учет!$O29=Справочники!$F$3,Учет!$H29,0)</f>
        <v>0</v>
      </c>
      <c r="D29" s="52">
        <f>IF(Учет!$O29=Справочники!$F$4,Учет!$H29,0)</f>
        <v>0</v>
      </c>
      <c r="E29" s="52">
        <f>IF(Учет!$O29=Справочники!$F$5,Учет!$H29,0)</f>
        <v>0</v>
      </c>
      <c r="F29" s="52">
        <f>IF(Учет!$O29=Справочники!$F$6,Учет!$H29,0)</f>
        <v>0</v>
      </c>
      <c r="G29" s="43">
        <f>G28+Учет!B29-B29</f>
        <v>657750</v>
      </c>
      <c r="H29" s="43">
        <f>H28+Учет!C29-C29</f>
        <v>100000</v>
      </c>
      <c r="I29" s="43">
        <f>I28+Учет!D29-D29</f>
        <v>254355</v>
      </c>
      <c r="J29" s="43">
        <f>J28+Учет!E29-E29</f>
        <v>100000</v>
      </c>
      <c r="K29" s="43">
        <f>K28+Учет!F29-F29</f>
        <v>0</v>
      </c>
      <c r="L29" s="45">
        <f>Учет!I29</f>
        <v>1112105</v>
      </c>
    </row>
    <row r="30" spans="1:12" x14ac:dyDescent="0.25">
      <c r="A30" s="48">
        <f>IF(Учет!A30&lt;&gt;"",Учет!A30,"")</f>
        <v>45146</v>
      </c>
      <c r="B30" s="52">
        <f>IF(Учет!$O30=Справочники!$F$2,Учет!$H30,0)</f>
        <v>6500</v>
      </c>
      <c r="C30" s="52">
        <f>IF(Учет!$O30=Справочники!$F$3,Учет!$H30,0)</f>
        <v>0</v>
      </c>
      <c r="D30" s="52">
        <f>IF(Учет!$O30=Справочники!$F$4,Учет!$H30,0)</f>
        <v>0</v>
      </c>
      <c r="E30" s="52">
        <f>IF(Учет!$O30=Справочники!$F$5,Учет!$H30,0)</f>
        <v>0</v>
      </c>
      <c r="F30" s="52">
        <f>IF(Учет!$O30=Справочники!$F$6,Учет!$H30,0)</f>
        <v>0</v>
      </c>
      <c r="G30" s="43">
        <f>G29+Учет!B30-B30</f>
        <v>651250</v>
      </c>
      <c r="H30" s="43">
        <f>H29+Учет!C30-C30</f>
        <v>100000</v>
      </c>
      <c r="I30" s="43">
        <f>I29+Учет!D30-D30</f>
        <v>254355</v>
      </c>
      <c r="J30" s="43">
        <f>J29+Учет!E30-E30</f>
        <v>100000</v>
      </c>
      <c r="K30" s="43">
        <f>K29+Учет!F30-F30</f>
        <v>0</v>
      </c>
      <c r="L30" s="45">
        <f>Учет!I30</f>
        <v>1105605</v>
      </c>
    </row>
    <row r="31" spans="1:12" x14ac:dyDescent="0.25">
      <c r="A31" s="48">
        <f>IF(Учет!A31&lt;&gt;"",Учет!A31,"")</f>
        <v>45146</v>
      </c>
      <c r="B31" s="52">
        <f>IF(Учет!$O31=Справочники!$F$2,Учет!$H31,0)</f>
        <v>20000</v>
      </c>
      <c r="C31" s="52">
        <f>IF(Учет!$O31=Справочники!$F$3,Учет!$H31,0)</f>
        <v>0</v>
      </c>
      <c r="D31" s="52">
        <f>IF(Учет!$O31=Справочники!$F$4,Учет!$H31,0)</f>
        <v>0</v>
      </c>
      <c r="E31" s="52">
        <f>IF(Учет!$O31=Справочники!$F$5,Учет!$H31,0)</f>
        <v>0</v>
      </c>
      <c r="F31" s="52">
        <f>IF(Учет!$O31=Справочники!$F$6,Учет!$H31,0)</f>
        <v>0</v>
      </c>
      <c r="G31" s="43">
        <f>G30+Учет!B31-B31</f>
        <v>631250</v>
      </c>
      <c r="H31" s="43">
        <f>H30+Учет!C31-C31</f>
        <v>100000</v>
      </c>
      <c r="I31" s="43">
        <f>I30+Учет!D31-D31</f>
        <v>254355</v>
      </c>
      <c r="J31" s="43">
        <f>J30+Учет!E31-E31</f>
        <v>100000</v>
      </c>
      <c r="K31" s="43">
        <f>K30+Учет!F31-F31</f>
        <v>0</v>
      </c>
      <c r="L31" s="45">
        <f>Учет!I31</f>
        <v>1085605</v>
      </c>
    </row>
    <row r="32" spans="1:12" x14ac:dyDescent="0.25">
      <c r="A32" s="48">
        <f>IF(Учет!A32&lt;&gt;"",Учет!A32,"")</f>
        <v>45146</v>
      </c>
      <c r="B32" s="52">
        <f>IF(Учет!$O32=Справочники!$F$2,Учет!$H32,0)</f>
        <v>30000</v>
      </c>
      <c r="C32" s="52">
        <f>IF(Учет!$O32=Справочники!$F$3,Учет!$H32,0)</f>
        <v>0</v>
      </c>
      <c r="D32" s="52">
        <f>IF(Учет!$O32=Справочники!$F$4,Учет!$H32,0)</f>
        <v>0</v>
      </c>
      <c r="E32" s="52">
        <f>IF(Учет!$O32=Справочники!$F$5,Учет!$H32,0)</f>
        <v>0</v>
      </c>
      <c r="F32" s="52">
        <f>IF(Учет!$O32=Справочники!$F$6,Учет!$H32,0)</f>
        <v>0</v>
      </c>
      <c r="G32" s="43">
        <f>G31+Учет!B32-B32</f>
        <v>601250</v>
      </c>
      <c r="H32" s="43">
        <f>H31+Учет!C32-C32</f>
        <v>100000</v>
      </c>
      <c r="I32" s="43">
        <f>I31+Учет!D32-D32</f>
        <v>254355</v>
      </c>
      <c r="J32" s="43">
        <f>J31+Учет!E32-E32</f>
        <v>100000</v>
      </c>
      <c r="K32" s="43">
        <f>K31+Учет!F32-F32</f>
        <v>0</v>
      </c>
      <c r="L32" s="45">
        <f>Учет!I32</f>
        <v>1055605</v>
      </c>
    </row>
    <row r="33" spans="1:12" x14ac:dyDescent="0.25">
      <c r="A33" s="48">
        <f>IF(Учет!A33&lt;&gt;"",Учет!A33,"")</f>
        <v>45146</v>
      </c>
      <c r="B33" s="52">
        <f>IF(Учет!$O33=Справочники!$F$2,Учет!$H33,0)</f>
        <v>1000</v>
      </c>
      <c r="C33" s="52">
        <f>IF(Учет!$O33=Справочники!$F$3,Учет!$H33,0)</f>
        <v>0</v>
      </c>
      <c r="D33" s="52">
        <f>IF(Учет!$O33=Справочники!$F$4,Учет!$H33,0)</f>
        <v>0</v>
      </c>
      <c r="E33" s="52">
        <f>IF(Учет!$O33=Справочники!$F$5,Учет!$H33,0)</f>
        <v>0</v>
      </c>
      <c r="F33" s="52">
        <f>IF(Учет!$O33=Справочники!$F$6,Учет!$H33,0)</f>
        <v>0</v>
      </c>
      <c r="G33" s="43">
        <f>G32+Учет!B33-B33</f>
        <v>600250</v>
      </c>
      <c r="H33" s="43">
        <f>H32+Учет!C33-C33</f>
        <v>100000</v>
      </c>
      <c r="I33" s="43">
        <f>I32+Учет!D33-D33</f>
        <v>254355</v>
      </c>
      <c r="J33" s="43">
        <f>J32+Учет!E33-E33</f>
        <v>100000</v>
      </c>
      <c r="K33" s="43">
        <f>K32+Учет!F33-F33</f>
        <v>0</v>
      </c>
      <c r="L33" s="45">
        <f>Учет!I33</f>
        <v>1054605</v>
      </c>
    </row>
    <row r="34" spans="1:12" x14ac:dyDescent="0.25">
      <c r="A34" s="48">
        <f>IF(Учет!A34&lt;&gt;"",Учет!A34,"")</f>
        <v>45146</v>
      </c>
      <c r="B34" s="52">
        <f>IF(Учет!$O34=Справочники!$F$2,Учет!$H34,0)</f>
        <v>0</v>
      </c>
      <c r="C34" s="52">
        <f>IF(Учет!$O34=Справочники!$F$3,Учет!$H34,0)</f>
        <v>0</v>
      </c>
      <c r="D34" s="52">
        <f>IF(Учет!$O34=Справочники!$F$4,Учет!$H34,0)</f>
        <v>86855</v>
      </c>
      <c r="E34" s="52">
        <f>IF(Учет!$O34=Справочники!$F$5,Учет!$H34,0)</f>
        <v>0</v>
      </c>
      <c r="F34" s="52">
        <f>IF(Учет!$O34=Справочники!$F$6,Учет!$H34,0)</f>
        <v>0</v>
      </c>
      <c r="G34" s="43">
        <f>G33+Учет!B34-B34</f>
        <v>600250</v>
      </c>
      <c r="H34" s="43">
        <f>H33+Учет!C34-C34</f>
        <v>186855</v>
      </c>
      <c r="I34" s="43">
        <f>I33+Учет!D34-D34</f>
        <v>167500</v>
      </c>
      <c r="J34" s="43">
        <f>J33+Учет!E34-E34</f>
        <v>100000</v>
      </c>
      <c r="K34" s="43">
        <f>K33+Учет!F34-F34</f>
        <v>0</v>
      </c>
      <c r="L34" s="45">
        <f>Учет!I34</f>
        <v>1054605</v>
      </c>
    </row>
    <row r="35" spans="1:12" x14ac:dyDescent="0.25">
      <c r="A35" s="48">
        <f>IF(Учет!A35&lt;&gt;"",Учет!A35,"")</f>
        <v>45146</v>
      </c>
      <c r="B35" s="52">
        <f>IF(Учет!$O35=Справочники!$F$2,Учет!$H35,0)</f>
        <v>0</v>
      </c>
      <c r="C35" s="52">
        <f>IF(Учет!$O35=Справочники!$F$3,Учет!$H35,0)</f>
        <v>0</v>
      </c>
      <c r="D35" s="52">
        <f>IF(Учет!$O35=Справочники!$F$4,Учет!$H35,0)</f>
        <v>150000</v>
      </c>
      <c r="E35" s="52">
        <f>IF(Учет!$O35=Справочники!$F$5,Учет!$H35,0)</f>
        <v>0</v>
      </c>
      <c r="F35" s="52">
        <f>IF(Учет!$O35=Справочники!$F$6,Учет!$H35,0)</f>
        <v>0</v>
      </c>
      <c r="G35" s="43">
        <f>G34+Учет!B35-B35</f>
        <v>600250</v>
      </c>
      <c r="H35" s="43">
        <f>H34+Учет!C35-C35</f>
        <v>336855</v>
      </c>
      <c r="I35" s="43">
        <f>I34+Учет!D35-D35</f>
        <v>17500</v>
      </c>
      <c r="J35" s="43">
        <f>J34+Учет!E35-E35</f>
        <v>100000</v>
      </c>
      <c r="K35" s="43">
        <f>K34+Учет!F35-F35</f>
        <v>0</v>
      </c>
      <c r="L35" s="45">
        <f>Учет!I35</f>
        <v>1054605</v>
      </c>
    </row>
    <row r="36" spans="1:12" x14ac:dyDescent="0.25">
      <c r="A36" s="48">
        <f>IF(Учет!A36&lt;&gt;"",Учет!A36,"")</f>
        <v>45147</v>
      </c>
      <c r="B36" s="52">
        <f>IF(Учет!$O36=Справочники!$F$2,Учет!$H36,0)</f>
        <v>0</v>
      </c>
      <c r="C36" s="52">
        <f>IF(Учет!$O36=Справочники!$F$3,Учет!$H36,0)</f>
        <v>0</v>
      </c>
      <c r="D36" s="52">
        <f>IF(Учет!$O36=Справочники!$F$4,Учет!$H36,0)</f>
        <v>0</v>
      </c>
      <c r="E36" s="52">
        <f>IF(Учет!$O36=Справочники!$F$5,Учет!$H36,0)</f>
        <v>39800</v>
      </c>
      <c r="F36" s="52">
        <f>IF(Учет!$O36=Справочники!$F$6,Учет!$H36,0)</f>
        <v>0</v>
      </c>
      <c r="G36" s="43">
        <f>G35+Учет!B36-B36</f>
        <v>600250</v>
      </c>
      <c r="H36" s="43">
        <f>H35+Учет!C36-C36</f>
        <v>336855</v>
      </c>
      <c r="I36" s="43">
        <f>I35+Учет!D36-D36</f>
        <v>17500</v>
      </c>
      <c r="J36" s="43">
        <f>J35+Учет!E36-E36</f>
        <v>60200</v>
      </c>
      <c r="K36" s="43">
        <f>K35+Учет!F36-F36</f>
        <v>0</v>
      </c>
      <c r="L36" s="45">
        <f>Учет!I36</f>
        <v>1014805</v>
      </c>
    </row>
    <row r="37" spans="1:12" x14ac:dyDescent="0.25">
      <c r="A37" s="48">
        <f>IF(Учет!A37&lt;&gt;"",Учет!A37,"")</f>
        <v>45147</v>
      </c>
      <c r="B37" s="52">
        <f>IF(Учет!$O37=Справочники!$F$2,Учет!$H37,0)</f>
        <v>0</v>
      </c>
      <c r="C37" s="52">
        <f>IF(Учет!$O37=Справочники!$F$3,Учет!$H37,0)</f>
        <v>0</v>
      </c>
      <c r="D37" s="52">
        <f>IF(Учет!$O37=Справочники!$F$4,Учет!$H37,0)</f>
        <v>0</v>
      </c>
      <c r="E37" s="52">
        <f>IF(Учет!$O37=Справочники!$F$5,Учет!$H37,0)</f>
        <v>0</v>
      </c>
      <c r="F37" s="52">
        <f>IF(Учет!$O37=Справочники!$F$6,Учет!$H37,0)</f>
        <v>0</v>
      </c>
      <c r="G37" s="43">
        <f>G36+Учет!B37-B37</f>
        <v>917450</v>
      </c>
      <c r="H37" s="43">
        <f>H36+Учет!C37-C37</f>
        <v>336855</v>
      </c>
      <c r="I37" s="43">
        <f>I36+Учет!D37-D37</f>
        <v>17500</v>
      </c>
      <c r="J37" s="43">
        <f>J36+Учет!E37-E37</f>
        <v>60200</v>
      </c>
      <c r="K37" s="43">
        <f>K36+Учет!F37-F37</f>
        <v>0</v>
      </c>
      <c r="L37" s="45">
        <f>Учет!I37</f>
        <v>1332005</v>
      </c>
    </row>
    <row r="38" spans="1:12" x14ac:dyDescent="0.25">
      <c r="A38" s="48">
        <f>IF(Учет!A38&lt;&gt;"",Учет!A38,"")</f>
        <v>45147</v>
      </c>
      <c r="B38" s="52">
        <f>IF(Учет!$O38=Справочники!$F$2,Учет!$H38,0)</f>
        <v>143800</v>
      </c>
      <c r="C38" s="52">
        <f>IF(Учет!$O38=Справочники!$F$3,Учет!$H38,0)</f>
        <v>0</v>
      </c>
      <c r="D38" s="52">
        <f>IF(Учет!$O38=Справочники!$F$4,Учет!$H38,0)</f>
        <v>0</v>
      </c>
      <c r="E38" s="52">
        <f>IF(Учет!$O38=Справочники!$F$5,Учет!$H38,0)</f>
        <v>0</v>
      </c>
      <c r="F38" s="52">
        <f>IF(Учет!$O38=Справочники!$F$6,Учет!$H38,0)</f>
        <v>0</v>
      </c>
      <c r="G38" s="43">
        <f>G37+Учет!B38-B38</f>
        <v>773650</v>
      </c>
      <c r="H38" s="43">
        <f>H37+Учет!C38-C38</f>
        <v>336855</v>
      </c>
      <c r="I38" s="43">
        <f>I37+Учет!D38-D38</f>
        <v>17500</v>
      </c>
      <c r="J38" s="43">
        <f>J37+Учет!E38-E38</f>
        <v>60200</v>
      </c>
      <c r="K38" s="43">
        <f>K37+Учет!F38-F38</f>
        <v>0</v>
      </c>
      <c r="L38" s="45">
        <f>Учет!I38</f>
        <v>1188205</v>
      </c>
    </row>
    <row r="39" spans="1:12" x14ac:dyDescent="0.25">
      <c r="A39" s="48">
        <f>IF(Учет!A39&lt;&gt;"",Учет!A39,"")</f>
        <v>45147</v>
      </c>
      <c r="B39" s="52">
        <f>IF(Учет!$O39=Справочники!$F$2,Учет!$H39,0)</f>
        <v>100000</v>
      </c>
      <c r="C39" s="52">
        <f>IF(Учет!$O39=Справочники!$F$3,Учет!$H39,0)</f>
        <v>0</v>
      </c>
      <c r="D39" s="52">
        <f>IF(Учет!$O39=Справочники!$F$4,Учет!$H39,0)</f>
        <v>0</v>
      </c>
      <c r="E39" s="52">
        <f>IF(Учет!$O39=Справочники!$F$5,Учет!$H39,0)</f>
        <v>0</v>
      </c>
      <c r="F39" s="52">
        <f>IF(Учет!$O39=Справочники!$F$6,Учет!$H39,0)</f>
        <v>0</v>
      </c>
      <c r="G39" s="43">
        <f>G38+Учет!B39-B39</f>
        <v>673650</v>
      </c>
      <c r="H39" s="43">
        <f>H38+Учет!C39-C39</f>
        <v>336855</v>
      </c>
      <c r="I39" s="43">
        <f>I38+Учет!D39-D39</f>
        <v>17500</v>
      </c>
      <c r="J39" s="43">
        <f>J38+Учет!E39-E39</f>
        <v>60200</v>
      </c>
      <c r="K39" s="43">
        <f>K38+Учет!F39-F39</f>
        <v>0</v>
      </c>
      <c r="L39" s="45">
        <f>Учет!I39</f>
        <v>1088205</v>
      </c>
    </row>
    <row r="40" spans="1:12" x14ac:dyDescent="0.25">
      <c r="A40" s="48">
        <f>IF(Учет!A40&lt;&gt;"",Учет!A40,"")</f>
        <v>45147</v>
      </c>
      <c r="B40" s="52">
        <f>IF(Учет!$O40=Справочники!$F$2,Учет!$H40,0)</f>
        <v>15000</v>
      </c>
      <c r="C40" s="52">
        <f>IF(Учет!$O40=Справочники!$F$3,Учет!$H40,0)</f>
        <v>0</v>
      </c>
      <c r="D40" s="52">
        <f>IF(Учет!$O40=Справочники!$F$4,Учет!$H40,0)</f>
        <v>0</v>
      </c>
      <c r="E40" s="52">
        <f>IF(Учет!$O40=Справочники!$F$5,Учет!$H40,0)</f>
        <v>0</v>
      </c>
      <c r="F40" s="52">
        <f>IF(Учет!$O40=Справочники!$F$6,Учет!$H40,0)</f>
        <v>0</v>
      </c>
      <c r="G40" s="43">
        <f>G39+Учет!B40-B40</f>
        <v>658650</v>
      </c>
      <c r="H40" s="43">
        <f>H39+Учет!C40-C40</f>
        <v>336855</v>
      </c>
      <c r="I40" s="43">
        <f>I39+Учет!D40-D40</f>
        <v>17500</v>
      </c>
      <c r="J40" s="43">
        <f>J39+Учет!E40-E40</f>
        <v>60200</v>
      </c>
      <c r="K40" s="43">
        <f>K39+Учет!F40-F40</f>
        <v>0</v>
      </c>
      <c r="L40" s="45">
        <f>Учет!I40</f>
        <v>1073205</v>
      </c>
    </row>
    <row r="41" spans="1:12" x14ac:dyDescent="0.25">
      <c r="A41" s="48">
        <f>IF(Учет!A41&lt;&gt;"",Учет!A41,"")</f>
        <v>45147</v>
      </c>
      <c r="B41" s="52">
        <f>IF(Учет!$O41=Справочники!$F$2,Учет!$H41,0)</f>
        <v>0</v>
      </c>
      <c r="C41" s="52">
        <f>IF(Учет!$O41=Справочники!$F$3,Учет!$H41,0)</f>
        <v>0</v>
      </c>
      <c r="D41" s="52">
        <f>IF(Учет!$O41=Справочники!$F$4,Учет!$H41,0)</f>
        <v>0</v>
      </c>
      <c r="E41" s="52">
        <f>IF(Учет!$O41=Справочники!$F$5,Учет!$H41,0)</f>
        <v>0</v>
      </c>
      <c r="F41" s="52">
        <f>IF(Учет!$O41=Справочники!$F$6,Учет!$H41,0)</f>
        <v>0</v>
      </c>
      <c r="G41" s="43">
        <f>G40+Учет!B41-B41</f>
        <v>988650</v>
      </c>
      <c r="H41" s="43">
        <f>H40+Учет!C41-C41</f>
        <v>336855</v>
      </c>
      <c r="I41" s="43">
        <f>I40+Учет!D41-D41</f>
        <v>17500</v>
      </c>
      <c r="J41" s="43">
        <f>J40+Учет!E41-E41</f>
        <v>60200</v>
      </c>
      <c r="K41" s="43">
        <f>K40+Учет!F41-F41</f>
        <v>0</v>
      </c>
      <c r="L41" s="45">
        <f>Учет!I41</f>
        <v>1403205</v>
      </c>
    </row>
    <row r="42" spans="1:12" x14ac:dyDescent="0.25">
      <c r="A42" s="48">
        <f>IF(Учет!A42&lt;&gt;"",Учет!A42,"")</f>
        <v>45148</v>
      </c>
      <c r="B42" s="52">
        <f>IF(Учет!$O42=Справочники!$F$2,Учет!$H42,0)</f>
        <v>3000</v>
      </c>
      <c r="C42" s="52">
        <f>IF(Учет!$O42=Справочники!$F$3,Учет!$H42,0)</f>
        <v>0</v>
      </c>
      <c r="D42" s="52">
        <f>IF(Учет!$O42=Справочники!$F$4,Учет!$H42,0)</f>
        <v>0</v>
      </c>
      <c r="E42" s="52">
        <f>IF(Учет!$O42=Справочники!$F$5,Учет!$H42,0)</f>
        <v>0</v>
      </c>
      <c r="F42" s="52">
        <f>IF(Учет!$O42=Справочники!$F$6,Учет!$H42,0)</f>
        <v>0</v>
      </c>
      <c r="G42" s="43">
        <f>G41+Учет!B42-B42</f>
        <v>985650</v>
      </c>
      <c r="H42" s="43">
        <f>H41+Учет!C42-C42</f>
        <v>336855</v>
      </c>
      <c r="I42" s="43">
        <f>I41+Учет!D42-D42</f>
        <v>17500</v>
      </c>
      <c r="J42" s="43">
        <f>J41+Учет!E42-E42</f>
        <v>60200</v>
      </c>
      <c r="K42" s="43">
        <f>K41+Учет!F42-F42</f>
        <v>0</v>
      </c>
      <c r="L42" s="45">
        <f>Учет!I42</f>
        <v>1400205</v>
      </c>
    </row>
    <row r="43" spans="1:12" x14ac:dyDescent="0.25">
      <c r="A43" s="48">
        <f>IF(Учет!A43&lt;&gt;"",Учет!A43,"")</f>
        <v>45148</v>
      </c>
      <c r="B43" s="52">
        <f>IF(Учет!$O43=Справочники!$F$2,Учет!$H43,0)</f>
        <v>10000</v>
      </c>
      <c r="C43" s="52">
        <f>IF(Учет!$O43=Справочники!$F$3,Учет!$H43,0)</f>
        <v>0</v>
      </c>
      <c r="D43" s="52">
        <f>IF(Учет!$O43=Справочники!$F$4,Учет!$H43,0)</f>
        <v>0</v>
      </c>
      <c r="E43" s="52">
        <f>IF(Учет!$O43=Справочники!$F$5,Учет!$H43,0)</f>
        <v>0</v>
      </c>
      <c r="F43" s="52">
        <f>IF(Учет!$O43=Справочники!$F$6,Учет!$H43,0)</f>
        <v>0</v>
      </c>
      <c r="G43" s="43">
        <f>G42+Учет!B43-B43</f>
        <v>975650</v>
      </c>
      <c r="H43" s="43">
        <f>H42+Учет!C43-C43</f>
        <v>336855</v>
      </c>
      <c r="I43" s="43">
        <f>I42+Учет!D43-D43</f>
        <v>17500</v>
      </c>
      <c r="J43" s="43">
        <f>J42+Учет!E43-E43</f>
        <v>60200</v>
      </c>
      <c r="K43" s="43">
        <f>K42+Учет!F43-F43</f>
        <v>0</v>
      </c>
      <c r="L43" s="45">
        <f>Учет!I43</f>
        <v>1390205</v>
      </c>
    </row>
    <row r="44" spans="1:12" x14ac:dyDescent="0.25">
      <c r="A44" s="48">
        <f>IF(Учет!A44&lt;&gt;"",Учет!A44,"")</f>
        <v>45148</v>
      </c>
      <c r="B44" s="52">
        <f>IF(Учет!$O44=Справочники!$F$2,Учет!$H44,0)</f>
        <v>250000</v>
      </c>
      <c r="C44" s="52">
        <f>IF(Учет!$O44=Справочники!$F$3,Учет!$H44,0)</f>
        <v>0</v>
      </c>
      <c r="D44" s="52">
        <f>IF(Учет!$O44=Справочники!$F$4,Учет!$H44,0)</f>
        <v>0</v>
      </c>
      <c r="E44" s="52">
        <f>IF(Учет!$O44=Справочники!$F$5,Учет!$H44,0)</f>
        <v>0</v>
      </c>
      <c r="F44" s="52">
        <f>IF(Учет!$O44=Справочники!$F$6,Учет!$H44,0)</f>
        <v>0</v>
      </c>
      <c r="G44" s="43">
        <f>G43+Учет!B44-B44</f>
        <v>725650</v>
      </c>
      <c r="H44" s="43">
        <f>H43+Учет!C44-C44</f>
        <v>336855</v>
      </c>
      <c r="I44" s="43">
        <f>I43+Учет!D44-D44</f>
        <v>17500</v>
      </c>
      <c r="J44" s="43">
        <f>J43+Учет!E44-E44</f>
        <v>60200</v>
      </c>
      <c r="K44" s="43">
        <f>K43+Учет!F44-F44</f>
        <v>0</v>
      </c>
      <c r="L44" s="45">
        <f>Учет!I44</f>
        <v>1140205</v>
      </c>
    </row>
    <row r="45" spans="1:12" x14ac:dyDescent="0.25">
      <c r="A45" s="48">
        <f>IF(Учет!A45&lt;&gt;"",Учет!A45,"")</f>
        <v>45148</v>
      </c>
      <c r="B45" s="52">
        <f>IF(Учет!$O45=Справочники!$F$2,Учет!$H45,0)</f>
        <v>0</v>
      </c>
      <c r="C45" s="52">
        <f>IF(Учет!$O45=Справочники!$F$3,Учет!$H45,0)</f>
        <v>0</v>
      </c>
      <c r="D45" s="52">
        <f>IF(Учет!$O45=Справочники!$F$4,Учет!$H45,0)</f>
        <v>5000</v>
      </c>
      <c r="E45" s="52">
        <f>IF(Учет!$O45=Справочники!$F$5,Учет!$H45,0)</f>
        <v>0</v>
      </c>
      <c r="F45" s="52">
        <f>IF(Учет!$O45=Справочники!$F$6,Учет!$H45,0)</f>
        <v>0</v>
      </c>
      <c r="G45" s="43">
        <f>G44+Учет!B45-B45</f>
        <v>725650</v>
      </c>
      <c r="H45" s="43">
        <f>H44+Учет!C45-C45</f>
        <v>336855</v>
      </c>
      <c r="I45" s="43">
        <f>I44+Учет!D45-D45</f>
        <v>12500</v>
      </c>
      <c r="J45" s="43">
        <f>J44+Учет!E45-E45</f>
        <v>60200</v>
      </c>
      <c r="K45" s="43">
        <f>K44+Учет!F45-F45</f>
        <v>0</v>
      </c>
      <c r="L45" s="45">
        <f>Учет!I45</f>
        <v>1135205</v>
      </c>
    </row>
    <row r="46" spans="1:12" x14ac:dyDescent="0.25">
      <c r="A46" s="48">
        <f>IF(Учет!A46&lt;&gt;"",Учет!A46,"")</f>
        <v>45148</v>
      </c>
      <c r="B46" s="52">
        <f>IF(Учет!$O46=Справочники!$F$2,Учет!$H46,0)</f>
        <v>0</v>
      </c>
      <c r="C46" s="52">
        <f>IF(Учет!$O46=Справочники!$F$3,Учет!$H46,0)</f>
        <v>0</v>
      </c>
      <c r="D46" s="52">
        <f>IF(Учет!$O46=Справочники!$F$4,Учет!$H46,0)</f>
        <v>2000</v>
      </c>
      <c r="E46" s="52">
        <f>IF(Учет!$O46=Справочники!$F$5,Учет!$H46,0)</f>
        <v>0</v>
      </c>
      <c r="F46" s="52">
        <f>IF(Учет!$O46=Справочники!$F$6,Учет!$H46,0)</f>
        <v>0</v>
      </c>
      <c r="G46" s="43">
        <f>G45+Учет!B46-B46</f>
        <v>725650</v>
      </c>
      <c r="H46" s="43">
        <f>H45+Учет!C46-C46</f>
        <v>336855</v>
      </c>
      <c r="I46" s="43">
        <f>I45+Учет!D46-D46</f>
        <v>10500</v>
      </c>
      <c r="J46" s="43">
        <f>J45+Учет!E46-E46</f>
        <v>60200</v>
      </c>
      <c r="K46" s="43">
        <f>K45+Учет!F46-F46</f>
        <v>0</v>
      </c>
      <c r="L46" s="45">
        <f>Учет!I46</f>
        <v>1133205</v>
      </c>
    </row>
    <row r="47" spans="1:12" x14ac:dyDescent="0.25">
      <c r="A47" s="48">
        <f>IF(Учет!A47&lt;&gt;"",Учет!A47,"")</f>
        <v>45148</v>
      </c>
      <c r="B47" s="52">
        <f>IF(Учет!$O47=Справочники!$F$2,Учет!$H47,0)</f>
        <v>0</v>
      </c>
      <c r="C47" s="52">
        <f>IF(Учет!$O47=Справочники!$F$3,Учет!$H47,0)</f>
        <v>0</v>
      </c>
      <c r="D47" s="52">
        <f>IF(Учет!$O47=Справочники!$F$4,Учет!$H47,0)</f>
        <v>10000</v>
      </c>
      <c r="E47" s="52">
        <f>IF(Учет!$O47=Справочники!$F$5,Учет!$H47,0)</f>
        <v>0</v>
      </c>
      <c r="F47" s="52">
        <f>IF(Учет!$O47=Справочники!$F$6,Учет!$H47,0)</f>
        <v>0</v>
      </c>
      <c r="G47" s="43">
        <f>G46+Учет!B47-B47</f>
        <v>725650</v>
      </c>
      <c r="H47" s="43">
        <f>H46+Учет!C47-C47</f>
        <v>336855</v>
      </c>
      <c r="I47" s="43">
        <f>I46+Учет!D47-D47</f>
        <v>500</v>
      </c>
      <c r="J47" s="43">
        <f>J46+Учет!E47-E47</f>
        <v>60200</v>
      </c>
      <c r="K47" s="43">
        <f>K46+Учет!F47-F47</f>
        <v>0</v>
      </c>
      <c r="L47" s="45">
        <f>Учет!I47</f>
        <v>1123205</v>
      </c>
    </row>
    <row r="48" spans="1:12" x14ac:dyDescent="0.25">
      <c r="A48" s="48">
        <f>IF(Учет!A48&lt;&gt;"",Учет!A48,"")</f>
        <v>45149</v>
      </c>
      <c r="B48" s="52">
        <f>IF(Учет!$O48=Справочники!$F$2,Учет!$H48,0)</f>
        <v>6000</v>
      </c>
      <c r="C48" s="52">
        <f>IF(Учет!$O48=Справочники!$F$3,Учет!$H48,0)</f>
        <v>0</v>
      </c>
      <c r="D48" s="52">
        <f>IF(Учет!$O48=Справочники!$F$4,Учет!$H48,0)</f>
        <v>0</v>
      </c>
      <c r="E48" s="52">
        <f>IF(Учет!$O48=Справочники!$F$5,Учет!$H48,0)</f>
        <v>0</v>
      </c>
      <c r="F48" s="52">
        <f>IF(Учет!$O48=Справочники!$F$6,Учет!$H48,0)</f>
        <v>0</v>
      </c>
      <c r="G48" s="43">
        <f>G47+Учет!B48-B48</f>
        <v>719650</v>
      </c>
      <c r="H48" s="43">
        <f>H47+Учет!C48-C48</f>
        <v>336855</v>
      </c>
      <c r="I48" s="43">
        <f>I47+Учет!D48-D48</f>
        <v>500</v>
      </c>
      <c r="J48" s="43">
        <f>J47+Учет!E48-E48</f>
        <v>60200</v>
      </c>
      <c r="K48" s="43">
        <f>K47+Учет!F48-F48</f>
        <v>0</v>
      </c>
      <c r="L48" s="45">
        <f>Учет!I48</f>
        <v>1117205</v>
      </c>
    </row>
    <row r="49" spans="1:12" x14ac:dyDescent="0.25">
      <c r="A49" s="48">
        <f>IF(Учет!A49&lt;&gt;"",Учет!A49,"")</f>
        <v>45149</v>
      </c>
      <c r="B49" s="52">
        <f>IF(Учет!$O49=Справочники!$F$2,Учет!$H49,0)</f>
        <v>40000</v>
      </c>
      <c r="C49" s="52">
        <f>IF(Учет!$O49=Справочники!$F$3,Учет!$H49,0)</f>
        <v>0</v>
      </c>
      <c r="D49" s="52">
        <f>IF(Учет!$O49=Справочники!$F$4,Учет!$H49,0)</f>
        <v>0</v>
      </c>
      <c r="E49" s="52">
        <f>IF(Учет!$O49=Справочники!$F$5,Учет!$H49,0)</f>
        <v>0</v>
      </c>
      <c r="F49" s="52">
        <f>IF(Учет!$O49=Справочники!$F$6,Учет!$H49,0)</f>
        <v>0</v>
      </c>
      <c r="G49" s="43">
        <f>G48+Учет!B49-B49</f>
        <v>679650</v>
      </c>
      <c r="H49" s="43">
        <f>H48+Учет!C49-C49</f>
        <v>336855</v>
      </c>
      <c r="I49" s="43">
        <f>I48+Учет!D49-D49</f>
        <v>500</v>
      </c>
      <c r="J49" s="43">
        <f>J48+Учет!E49-E49</f>
        <v>60200</v>
      </c>
      <c r="K49" s="43">
        <f>K48+Учет!F49-F49</f>
        <v>0</v>
      </c>
      <c r="L49" s="45">
        <f>Учет!I49</f>
        <v>1077205</v>
      </c>
    </row>
    <row r="50" spans="1:12" x14ac:dyDescent="0.25">
      <c r="A50" s="48">
        <f>IF(Учет!A50&lt;&gt;"",Учет!A50,"")</f>
        <v>45149</v>
      </c>
      <c r="B50" s="52">
        <f>IF(Учет!$O50=Справочники!$F$2,Учет!$H50,0)</f>
        <v>25000</v>
      </c>
      <c r="C50" s="52">
        <f>IF(Учет!$O50=Справочники!$F$3,Учет!$H50,0)</f>
        <v>0</v>
      </c>
      <c r="D50" s="52">
        <f>IF(Учет!$O50=Справочники!$F$4,Учет!$H50,0)</f>
        <v>0</v>
      </c>
      <c r="E50" s="52">
        <f>IF(Учет!$O50=Справочники!$F$5,Учет!$H50,0)</f>
        <v>0</v>
      </c>
      <c r="F50" s="52">
        <f>IF(Учет!$O50=Справочники!$F$6,Учет!$H50,0)</f>
        <v>0</v>
      </c>
      <c r="G50" s="43">
        <f>G49+Учет!B50-B50</f>
        <v>654650</v>
      </c>
      <c r="H50" s="43">
        <f>H49+Учет!C50-C50</f>
        <v>336855</v>
      </c>
      <c r="I50" s="43">
        <f>I49+Учет!D50-D50</f>
        <v>500</v>
      </c>
      <c r="J50" s="43">
        <f>J49+Учет!E50-E50</f>
        <v>60200</v>
      </c>
      <c r="K50" s="43">
        <f>K49+Учет!F50-F50</f>
        <v>0</v>
      </c>
      <c r="L50" s="45">
        <f>Учет!I50</f>
        <v>1052205</v>
      </c>
    </row>
    <row r="51" spans="1:12" x14ac:dyDescent="0.25">
      <c r="A51" s="48">
        <f>IF(Учет!A51&lt;&gt;"",Учет!A51,"")</f>
        <v>45149</v>
      </c>
      <c r="B51" s="52">
        <f>IF(Учет!$O51=Справочники!$F$2,Учет!$H51,0)</f>
        <v>26500</v>
      </c>
      <c r="C51" s="52">
        <f>IF(Учет!$O51=Справочники!$F$3,Учет!$H51,0)</f>
        <v>0</v>
      </c>
      <c r="D51" s="52">
        <f>IF(Учет!$O51=Справочники!$F$4,Учет!$H51,0)</f>
        <v>0</v>
      </c>
      <c r="E51" s="52">
        <f>IF(Учет!$O51=Справочники!$F$5,Учет!$H51,0)</f>
        <v>0</v>
      </c>
      <c r="F51" s="52">
        <f>IF(Учет!$O51=Справочники!$F$6,Учет!$H51,0)</f>
        <v>0</v>
      </c>
      <c r="G51" s="43">
        <f>G50+Учет!B51-B51</f>
        <v>628150</v>
      </c>
      <c r="H51" s="43">
        <f>H50+Учет!C51-C51</f>
        <v>336855</v>
      </c>
      <c r="I51" s="43">
        <f>I50+Учет!D51-D51</f>
        <v>500</v>
      </c>
      <c r="J51" s="43">
        <f>J50+Учет!E51-E51</f>
        <v>60200</v>
      </c>
      <c r="K51" s="43">
        <f>K50+Учет!F51-F51</f>
        <v>0</v>
      </c>
      <c r="L51" s="45">
        <f>Учет!I51</f>
        <v>1025705</v>
      </c>
    </row>
    <row r="52" spans="1:12" x14ac:dyDescent="0.25">
      <c r="A52" s="48">
        <f>IF(Учет!A52&lt;&gt;"",Учет!A52,"")</f>
        <v>45149</v>
      </c>
      <c r="B52" s="52">
        <f>IF(Учет!$O52=Справочники!$F$2,Учет!$H52,0)</f>
        <v>10000</v>
      </c>
      <c r="C52" s="52">
        <f>IF(Учет!$O52=Справочники!$F$3,Учет!$H52,0)</f>
        <v>0</v>
      </c>
      <c r="D52" s="52">
        <f>IF(Учет!$O52=Справочники!$F$4,Учет!$H52,0)</f>
        <v>0</v>
      </c>
      <c r="E52" s="52">
        <f>IF(Учет!$O52=Справочники!$F$5,Учет!$H52,0)</f>
        <v>0</v>
      </c>
      <c r="F52" s="52">
        <f>IF(Учет!$O52=Справочники!$F$6,Учет!$H52,0)</f>
        <v>0</v>
      </c>
      <c r="G52" s="43">
        <f>G51+Учет!B52-B52</f>
        <v>618150</v>
      </c>
      <c r="H52" s="43">
        <f>H51+Учет!C52-C52</f>
        <v>336855</v>
      </c>
      <c r="I52" s="43">
        <f>I51+Учет!D52-D52</f>
        <v>500</v>
      </c>
      <c r="J52" s="43">
        <f>J51+Учет!E52-E52</f>
        <v>60200</v>
      </c>
      <c r="K52" s="43">
        <f>K51+Учет!F52-F52</f>
        <v>0</v>
      </c>
      <c r="L52" s="45">
        <f>Учет!I52</f>
        <v>1015705</v>
      </c>
    </row>
    <row r="53" spans="1:12" x14ac:dyDescent="0.25">
      <c r="A53" s="48">
        <f>IF(Учет!A53&lt;&gt;"",Учет!A53,"")</f>
        <v>45152</v>
      </c>
      <c r="B53" s="52">
        <f>IF(Учет!$O53=Справочники!$F$2,Учет!$H53,0)</f>
        <v>10000</v>
      </c>
      <c r="C53" s="52">
        <f>IF(Учет!$O53=Справочники!$F$3,Учет!$H53,0)</f>
        <v>0</v>
      </c>
      <c r="D53" s="52">
        <f>IF(Учет!$O53=Справочники!$F$4,Учет!$H53,0)</f>
        <v>0</v>
      </c>
      <c r="E53" s="52">
        <f>IF(Учет!$O53=Справочники!$F$5,Учет!$H53,0)</f>
        <v>0</v>
      </c>
      <c r="F53" s="52">
        <f>IF(Учет!$O53=Справочники!$F$6,Учет!$H53,0)</f>
        <v>0</v>
      </c>
      <c r="G53" s="43">
        <f>G52+Учет!B53-B53</f>
        <v>608150</v>
      </c>
      <c r="H53" s="43">
        <f>H52+Учет!C53-C53</f>
        <v>336855</v>
      </c>
      <c r="I53" s="43">
        <f>I52+Учет!D53-D53</f>
        <v>500</v>
      </c>
      <c r="J53" s="43">
        <f>J52+Учет!E53-E53</f>
        <v>60200</v>
      </c>
      <c r="K53" s="43">
        <f>K52+Учет!F53-F53</f>
        <v>0</v>
      </c>
      <c r="L53" s="45">
        <f>Учет!I53</f>
        <v>1005705</v>
      </c>
    </row>
    <row r="54" spans="1:12" x14ac:dyDescent="0.25">
      <c r="A54" s="48">
        <f>IF(Учет!A54&lt;&gt;"",Учет!A54,"")</f>
        <v>45152</v>
      </c>
      <c r="B54" s="52">
        <f>IF(Учет!$O54=Справочники!$F$2,Учет!$H54,0)</f>
        <v>30000</v>
      </c>
      <c r="C54" s="52">
        <f>IF(Учет!$O54=Справочники!$F$3,Учет!$H54,0)</f>
        <v>0</v>
      </c>
      <c r="D54" s="52">
        <f>IF(Учет!$O54=Справочники!$F$4,Учет!$H54,0)</f>
        <v>0</v>
      </c>
      <c r="E54" s="52">
        <f>IF(Учет!$O54=Справочники!$F$5,Учет!$H54,0)</f>
        <v>0</v>
      </c>
      <c r="F54" s="52">
        <f>IF(Учет!$O54=Справочники!$F$6,Учет!$H54,0)</f>
        <v>0</v>
      </c>
      <c r="G54" s="43">
        <f>G53+Учет!B54-B54</f>
        <v>578150</v>
      </c>
      <c r="H54" s="43">
        <f>H53+Учет!C54-C54</f>
        <v>336855</v>
      </c>
      <c r="I54" s="43">
        <f>I53+Учет!D54-D54</f>
        <v>500</v>
      </c>
      <c r="J54" s="43">
        <f>J53+Учет!E54-E54</f>
        <v>60200</v>
      </c>
      <c r="K54" s="43">
        <f>K53+Учет!F54-F54</f>
        <v>0</v>
      </c>
      <c r="L54" s="45">
        <f>Учет!I54</f>
        <v>975705</v>
      </c>
    </row>
    <row r="55" spans="1:12" x14ac:dyDescent="0.25">
      <c r="A55" s="48">
        <f>IF(Учет!A55&lt;&gt;"",Учет!A55,"")</f>
        <v>45152</v>
      </c>
      <c r="B55" s="52">
        <f>IF(Учет!$O55=Справочники!$F$2,Учет!$H55,0)</f>
        <v>500000</v>
      </c>
      <c r="C55" s="52">
        <f>IF(Учет!$O55=Справочники!$F$3,Учет!$H55,0)</f>
        <v>0</v>
      </c>
      <c r="D55" s="52">
        <f>IF(Учет!$O55=Справочники!$F$4,Учет!$H55,0)</f>
        <v>0</v>
      </c>
      <c r="E55" s="52">
        <f>IF(Учет!$O55=Справочники!$F$5,Учет!$H55,0)</f>
        <v>0</v>
      </c>
      <c r="F55" s="52">
        <f>IF(Учет!$O55=Справочники!$F$6,Учет!$H55,0)</f>
        <v>0</v>
      </c>
      <c r="G55" s="43">
        <f>G54+Учет!B55-B55</f>
        <v>78150</v>
      </c>
      <c r="H55" s="43">
        <f>H54+Учет!C55-C55</f>
        <v>336855</v>
      </c>
      <c r="I55" s="43">
        <f>I54+Учет!D55-D55</f>
        <v>500</v>
      </c>
      <c r="J55" s="43">
        <f>J54+Учет!E55-E55</f>
        <v>60200</v>
      </c>
      <c r="K55" s="43">
        <f>K54+Учет!F55-F55</f>
        <v>0</v>
      </c>
      <c r="L55" s="45">
        <f>Учет!I55</f>
        <v>475705</v>
      </c>
    </row>
    <row r="56" spans="1:12" x14ac:dyDescent="0.25">
      <c r="A56" s="48">
        <f>IF(Учет!A56&lt;&gt;"",Учет!A56,"")</f>
        <v>45153</v>
      </c>
      <c r="B56" s="52">
        <f>IF(Учет!$O56=Справочники!$F$2,Учет!$H56,0)</f>
        <v>2000</v>
      </c>
      <c r="C56" s="52">
        <f>IF(Учет!$O56=Справочники!$F$3,Учет!$H56,0)</f>
        <v>0</v>
      </c>
      <c r="D56" s="52">
        <f>IF(Учет!$O56=Справочники!$F$4,Учет!$H56,0)</f>
        <v>0</v>
      </c>
      <c r="E56" s="52">
        <f>IF(Учет!$O56=Справочники!$F$5,Учет!$H56,0)</f>
        <v>0</v>
      </c>
      <c r="F56" s="52">
        <f>IF(Учет!$O56=Справочники!$F$6,Учет!$H56,0)</f>
        <v>0</v>
      </c>
      <c r="G56" s="43">
        <f>G55+Учет!B56-B56</f>
        <v>76150</v>
      </c>
      <c r="H56" s="43">
        <f>H55+Учет!C56-C56</f>
        <v>336855</v>
      </c>
      <c r="I56" s="43">
        <f>I55+Учет!D56-D56</f>
        <v>500</v>
      </c>
      <c r="J56" s="43">
        <f>J55+Учет!E56-E56</f>
        <v>60200</v>
      </c>
      <c r="K56" s="43">
        <f>K55+Учет!F56-F56</f>
        <v>0</v>
      </c>
      <c r="L56" s="45">
        <f>Учет!I56</f>
        <v>473705</v>
      </c>
    </row>
    <row r="57" spans="1:12" x14ac:dyDescent="0.25">
      <c r="A57" s="48">
        <f>IF(Учет!A57&lt;&gt;"",Учет!A57,"")</f>
        <v>45153</v>
      </c>
      <c r="B57" s="52">
        <f>IF(Учет!$O57=Справочники!$F$2,Учет!$H57,0)</f>
        <v>0</v>
      </c>
      <c r="C57" s="52">
        <f>IF(Учет!$O57=Справочники!$F$3,Учет!$H57,0)</f>
        <v>0</v>
      </c>
      <c r="D57" s="52">
        <f>IF(Учет!$O57=Справочники!$F$4,Учет!$H57,0)</f>
        <v>0</v>
      </c>
      <c r="E57" s="52">
        <f>IF(Учет!$O57=Справочники!$F$5,Учет!$H57,0)</f>
        <v>5000</v>
      </c>
      <c r="F57" s="52">
        <f>IF(Учет!$O57=Справочники!$F$6,Учет!$H57,0)</f>
        <v>0</v>
      </c>
      <c r="G57" s="43">
        <f>G56+Учет!B57-B57</f>
        <v>76150</v>
      </c>
      <c r="H57" s="43">
        <f>H56+Учет!C57-C57</f>
        <v>336855</v>
      </c>
      <c r="I57" s="43">
        <f>I56+Учет!D57-D57</f>
        <v>500</v>
      </c>
      <c r="J57" s="43">
        <f>J56+Учет!E57-E57</f>
        <v>55200</v>
      </c>
      <c r="K57" s="43">
        <f>K56+Учет!F57-F57</f>
        <v>0</v>
      </c>
      <c r="L57" s="45">
        <f>Учет!I57</f>
        <v>468705</v>
      </c>
    </row>
    <row r="58" spans="1:12" x14ac:dyDescent="0.25">
      <c r="A58" s="48">
        <f>IF(Учет!A58&lt;&gt;"",Учет!A58,"")</f>
        <v>45153</v>
      </c>
      <c r="B58" s="52">
        <f>IF(Учет!$O58=Справочники!$F$2,Учет!$H58,0)</f>
        <v>0</v>
      </c>
      <c r="C58" s="52">
        <f>IF(Учет!$O58=Справочники!$F$3,Учет!$H58,0)</f>
        <v>0</v>
      </c>
      <c r="D58" s="52">
        <f>IF(Учет!$O58=Справочники!$F$4,Учет!$H58,0)</f>
        <v>0</v>
      </c>
      <c r="E58" s="52">
        <f>IF(Учет!$O58=Справочники!$F$5,Учет!$H58,0)</f>
        <v>7000</v>
      </c>
      <c r="F58" s="52">
        <f>IF(Учет!$O58=Справочники!$F$6,Учет!$H58,0)</f>
        <v>0</v>
      </c>
      <c r="G58" s="43">
        <f>G57+Учет!B58-B58</f>
        <v>76150</v>
      </c>
      <c r="H58" s="43">
        <f>H57+Учет!C58-C58</f>
        <v>336855</v>
      </c>
      <c r="I58" s="43">
        <f>I57+Учет!D58-D58</f>
        <v>500</v>
      </c>
      <c r="J58" s="43">
        <f>J57+Учет!E58-E58</f>
        <v>48200</v>
      </c>
      <c r="K58" s="43">
        <f>K57+Учет!F58-F58</f>
        <v>0</v>
      </c>
      <c r="L58" s="45">
        <f>Учет!I58</f>
        <v>461705</v>
      </c>
    </row>
    <row r="59" spans="1:12" x14ac:dyDescent="0.25">
      <c r="A59" s="48">
        <f>IF(Учет!A59&lt;&gt;"",Учет!A59,"")</f>
        <v>45154</v>
      </c>
      <c r="B59" s="52">
        <f>IF(Учет!$O59=Справочники!$F$2,Учет!$H59,0)</f>
        <v>3500</v>
      </c>
      <c r="C59" s="52">
        <f>IF(Учет!$O59=Справочники!$F$3,Учет!$H59,0)</f>
        <v>0</v>
      </c>
      <c r="D59" s="52">
        <f>IF(Учет!$O59=Справочники!$F$4,Учет!$H59,0)</f>
        <v>0</v>
      </c>
      <c r="E59" s="52">
        <f>IF(Учет!$O59=Справочники!$F$5,Учет!$H59,0)</f>
        <v>0</v>
      </c>
      <c r="F59" s="52">
        <f>IF(Учет!$O59=Справочники!$F$6,Учет!$H59,0)</f>
        <v>0</v>
      </c>
      <c r="G59" s="43">
        <f>G58+Учет!B59-B59</f>
        <v>72650</v>
      </c>
      <c r="H59" s="43">
        <f>H58+Учет!C59-C59</f>
        <v>336855</v>
      </c>
      <c r="I59" s="43">
        <f>I58+Учет!D59-D59</f>
        <v>500</v>
      </c>
      <c r="J59" s="43">
        <f>J58+Учет!E59-E59</f>
        <v>48200</v>
      </c>
      <c r="K59" s="43">
        <f>K58+Учет!F59-F59</f>
        <v>0</v>
      </c>
      <c r="L59" s="45">
        <f>Учет!I59</f>
        <v>458205</v>
      </c>
    </row>
    <row r="60" spans="1:12" x14ac:dyDescent="0.25">
      <c r="A60" s="48">
        <f>IF(Учет!A60&lt;&gt;"",Учет!A60,"")</f>
        <v>45154</v>
      </c>
      <c r="B60" s="52">
        <f>IF(Учет!$O60=Справочники!$F$2,Учет!$H60,0)</f>
        <v>0</v>
      </c>
      <c r="C60" s="52">
        <f>IF(Учет!$O60=Справочники!$F$3,Учет!$H60,0)</f>
        <v>0</v>
      </c>
      <c r="D60" s="52">
        <f>IF(Учет!$O60=Справочники!$F$4,Учет!$H60,0)</f>
        <v>0</v>
      </c>
      <c r="E60" s="52">
        <f>IF(Учет!$O60=Справочники!$F$5,Учет!$H60,0)</f>
        <v>16250</v>
      </c>
      <c r="F60" s="52">
        <f>IF(Учет!$O60=Справочники!$F$6,Учет!$H60,0)</f>
        <v>0</v>
      </c>
      <c r="G60" s="43">
        <f>G59+Учет!B60-B60</f>
        <v>72650</v>
      </c>
      <c r="H60" s="43">
        <f>H59+Учет!C60-C60</f>
        <v>336855</v>
      </c>
      <c r="I60" s="43">
        <f>I59+Учет!D60-D60</f>
        <v>500</v>
      </c>
      <c r="J60" s="43">
        <f>J59+Учет!E60-E60</f>
        <v>31950</v>
      </c>
      <c r="K60" s="43">
        <f>K59+Учет!F60-F60</f>
        <v>0</v>
      </c>
      <c r="L60" s="45">
        <f>Учет!I60</f>
        <v>441955</v>
      </c>
    </row>
    <row r="61" spans="1:12" x14ac:dyDescent="0.25">
      <c r="A61" s="48">
        <f>IF(Учет!A61&lt;&gt;"",Учет!A61,"")</f>
        <v>45155</v>
      </c>
      <c r="B61" s="52">
        <f>IF(Учет!$O61=Справочники!$F$2,Учет!$H61,0)</f>
        <v>2500</v>
      </c>
      <c r="C61" s="52">
        <f>IF(Учет!$O61=Справочники!$F$3,Учет!$H61,0)</f>
        <v>0</v>
      </c>
      <c r="D61" s="52">
        <f>IF(Учет!$O61=Справочники!$F$4,Учет!$H61,0)</f>
        <v>0</v>
      </c>
      <c r="E61" s="52">
        <f>IF(Учет!$O61=Справочники!$F$5,Учет!$H61,0)</f>
        <v>0</v>
      </c>
      <c r="F61" s="52">
        <f>IF(Учет!$O61=Справочники!$F$6,Учет!$H61,0)</f>
        <v>0</v>
      </c>
      <c r="G61" s="43">
        <f>G60+Учет!B61-B61</f>
        <v>70150</v>
      </c>
      <c r="H61" s="43">
        <f>H60+Учет!C61-C61</f>
        <v>336855</v>
      </c>
      <c r="I61" s="43">
        <f>I60+Учет!D61-D61</f>
        <v>500</v>
      </c>
      <c r="J61" s="43">
        <f>J60+Учет!E61-E61</f>
        <v>31950</v>
      </c>
      <c r="K61" s="43">
        <f>K60+Учет!F61-F61</f>
        <v>0</v>
      </c>
      <c r="L61" s="45">
        <f>Учет!I61</f>
        <v>439455</v>
      </c>
    </row>
    <row r="62" spans="1:12" x14ac:dyDescent="0.25">
      <c r="A62" s="48">
        <f>IF(Учет!A62&lt;&gt;"",Учет!A62,"")</f>
        <v>45155</v>
      </c>
      <c r="B62" s="52">
        <f>IF(Учет!$O62=Справочники!$F$2,Учет!$H62,0)</f>
        <v>0</v>
      </c>
      <c r="C62" s="52">
        <f>IF(Учет!$O62=Справочники!$F$3,Учет!$H62,0)</f>
        <v>0</v>
      </c>
      <c r="D62" s="52">
        <f>IF(Учет!$O62=Справочники!$F$4,Учет!$H62,0)</f>
        <v>0</v>
      </c>
      <c r="E62" s="52">
        <f>IF(Учет!$O62=Справочники!$F$5,Учет!$H62,0)</f>
        <v>0</v>
      </c>
      <c r="F62" s="52">
        <f>IF(Учет!$O62=Справочники!$F$6,Учет!$H62,0)</f>
        <v>0</v>
      </c>
      <c r="G62" s="43">
        <f>G61+Учет!B62-B62</f>
        <v>270150</v>
      </c>
      <c r="H62" s="43">
        <f>H61+Учет!C62-C62</f>
        <v>336855</v>
      </c>
      <c r="I62" s="43">
        <f>I61+Учет!D62-D62</f>
        <v>500</v>
      </c>
      <c r="J62" s="43">
        <f>J61+Учет!E62-E62</f>
        <v>31950</v>
      </c>
      <c r="K62" s="43">
        <f>K61+Учет!F62-F62</f>
        <v>0</v>
      </c>
      <c r="L62" s="45">
        <f>Учет!I62</f>
        <v>639455</v>
      </c>
    </row>
    <row r="63" spans="1:12" x14ac:dyDescent="0.25">
      <c r="A63" s="48">
        <f>IF(Учет!A63&lt;&gt;"",Учет!A63,"")</f>
        <v>45155</v>
      </c>
      <c r="B63" s="52">
        <f>IF(Учет!$O63=Справочники!$F$2,Учет!$H63,0)</f>
        <v>47258</v>
      </c>
      <c r="C63" s="52">
        <f>IF(Учет!$O63=Справочники!$F$3,Учет!$H63,0)</f>
        <v>0</v>
      </c>
      <c r="D63" s="52">
        <f>IF(Учет!$O63=Справочники!$F$4,Учет!$H63,0)</f>
        <v>0</v>
      </c>
      <c r="E63" s="52">
        <f>IF(Учет!$O63=Справочники!$F$5,Учет!$H63,0)</f>
        <v>0</v>
      </c>
      <c r="F63" s="52">
        <f>IF(Учет!$O63=Справочники!$F$6,Учет!$H63,0)</f>
        <v>0</v>
      </c>
      <c r="G63" s="43">
        <f>G62+Учет!B63-B63</f>
        <v>222892</v>
      </c>
      <c r="H63" s="43">
        <f>H62+Учет!C63-C63</f>
        <v>336855</v>
      </c>
      <c r="I63" s="43">
        <f>I62+Учет!D63-D63</f>
        <v>500</v>
      </c>
      <c r="J63" s="43">
        <f>J62+Учет!E63-E63</f>
        <v>31950</v>
      </c>
      <c r="K63" s="43">
        <f>K62+Учет!F63-F63</f>
        <v>0</v>
      </c>
      <c r="L63" s="45">
        <f>Учет!I63</f>
        <v>592197</v>
      </c>
    </row>
    <row r="64" spans="1:12" x14ac:dyDescent="0.25">
      <c r="A64" s="48">
        <f>IF(Учет!A64&lt;&gt;"",Учет!A64,"")</f>
        <v>45155</v>
      </c>
      <c r="B64" s="52">
        <f>IF(Учет!$O64=Справочники!$F$2,Учет!$H64,0)</f>
        <v>2000</v>
      </c>
      <c r="C64" s="52">
        <f>IF(Учет!$O64=Справочники!$F$3,Учет!$H64,0)</f>
        <v>0</v>
      </c>
      <c r="D64" s="52">
        <f>IF(Учет!$O64=Справочники!$F$4,Учет!$H64,0)</f>
        <v>0</v>
      </c>
      <c r="E64" s="52">
        <f>IF(Учет!$O64=Справочники!$F$5,Учет!$H64,0)</f>
        <v>0</v>
      </c>
      <c r="F64" s="52">
        <f>IF(Учет!$O64=Справочники!$F$6,Учет!$H64,0)</f>
        <v>0</v>
      </c>
      <c r="G64" s="43">
        <f>G63+Учет!B64-B64</f>
        <v>220892</v>
      </c>
      <c r="H64" s="43">
        <f>H63+Учет!C64-C64</f>
        <v>336855</v>
      </c>
      <c r="I64" s="43">
        <f>I63+Учет!D64-D64</f>
        <v>500</v>
      </c>
      <c r="J64" s="43">
        <f>J63+Учет!E64-E64</f>
        <v>31950</v>
      </c>
      <c r="K64" s="43">
        <f>K63+Учет!F64-F64</f>
        <v>0</v>
      </c>
      <c r="L64" s="45">
        <f>Учет!I64</f>
        <v>590197</v>
      </c>
    </row>
    <row r="65" spans="1:12" x14ac:dyDescent="0.25">
      <c r="A65" s="48">
        <f>IF(Учет!A65&lt;&gt;"",Учет!A65,"")</f>
        <v>45155</v>
      </c>
      <c r="B65" s="52">
        <f>IF(Учет!$O65=Справочники!$F$2,Учет!$H65,0)</f>
        <v>0</v>
      </c>
      <c r="C65" s="52">
        <f>IF(Учет!$O65=Справочники!$F$3,Учет!$H65,0)</f>
        <v>0</v>
      </c>
      <c r="D65" s="52">
        <f>IF(Учет!$O65=Справочники!$F$4,Учет!$H65,0)</f>
        <v>0</v>
      </c>
      <c r="E65" s="52">
        <f>IF(Учет!$O65=Справочники!$F$5,Учет!$H65,0)</f>
        <v>8200</v>
      </c>
      <c r="F65" s="52">
        <f>IF(Учет!$O65=Справочники!$F$6,Учет!$H65,0)</f>
        <v>0</v>
      </c>
      <c r="G65" s="43">
        <f>G64+Учет!B65-B65</f>
        <v>220892</v>
      </c>
      <c r="H65" s="43">
        <f>H64+Учет!C65-C65</f>
        <v>336855</v>
      </c>
      <c r="I65" s="43">
        <f>I64+Учет!D65-D65</f>
        <v>500</v>
      </c>
      <c r="J65" s="43">
        <f>J64+Учет!E65-E65</f>
        <v>23750</v>
      </c>
      <c r="K65" s="43">
        <f>K64+Учет!F65-F65</f>
        <v>0</v>
      </c>
      <c r="L65" s="45">
        <f>Учет!I65</f>
        <v>581997</v>
      </c>
    </row>
    <row r="66" spans="1:12" x14ac:dyDescent="0.25">
      <c r="A66" s="48">
        <f>IF(Учет!A66&lt;&gt;"",Учет!A66,"")</f>
        <v>45155</v>
      </c>
      <c r="B66" s="52">
        <f>IF(Учет!$O66=Справочники!$F$2,Учет!$H66,0)</f>
        <v>0</v>
      </c>
      <c r="C66" s="52">
        <f>IF(Учет!$O66=Справочники!$F$3,Учет!$H66,0)</f>
        <v>0</v>
      </c>
      <c r="D66" s="52">
        <f>IF(Учет!$O66=Справочники!$F$4,Учет!$H66,0)</f>
        <v>0</v>
      </c>
      <c r="E66" s="52">
        <f>IF(Учет!$O66=Справочники!$F$5,Учет!$H66,0)</f>
        <v>2200</v>
      </c>
      <c r="F66" s="52">
        <f>IF(Учет!$O66=Справочники!$F$6,Учет!$H66,0)</f>
        <v>0</v>
      </c>
      <c r="G66" s="43">
        <f>G65+Учет!B66-B66</f>
        <v>220892</v>
      </c>
      <c r="H66" s="43">
        <f>H65+Учет!C66-C66</f>
        <v>336855</v>
      </c>
      <c r="I66" s="43">
        <f>I65+Учет!D66-D66</f>
        <v>500</v>
      </c>
      <c r="J66" s="43">
        <f>J65+Учет!E66-E66</f>
        <v>21550</v>
      </c>
      <c r="K66" s="43">
        <f>K65+Учет!F66-F66</f>
        <v>0</v>
      </c>
      <c r="L66" s="45">
        <f>Учет!I66</f>
        <v>579797</v>
      </c>
    </row>
    <row r="67" spans="1:12" x14ac:dyDescent="0.25">
      <c r="A67" s="48">
        <f>IF(Учет!A67&lt;&gt;"",Учет!A67,"")</f>
        <v>45156</v>
      </c>
      <c r="B67" s="52">
        <f>IF(Учет!$O67=Справочники!$F$2,Учет!$H67,0)</f>
        <v>60000</v>
      </c>
      <c r="C67" s="52">
        <f>IF(Учет!$O67=Справочники!$F$3,Учет!$H67,0)</f>
        <v>0</v>
      </c>
      <c r="D67" s="52">
        <f>IF(Учет!$O67=Справочники!$F$4,Учет!$H67,0)</f>
        <v>0</v>
      </c>
      <c r="E67" s="52">
        <f>IF(Учет!$O67=Справочники!$F$5,Учет!$H67,0)</f>
        <v>0</v>
      </c>
      <c r="F67" s="52">
        <f>IF(Учет!$O67=Справочники!$F$6,Учет!$H67,0)</f>
        <v>0</v>
      </c>
      <c r="G67" s="43">
        <f>G66+Учет!B67-B67</f>
        <v>160892</v>
      </c>
      <c r="H67" s="43">
        <f>H66+Учет!C67-C67</f>
        <v>336855</v>
      </c>
      <c r="I67" s="43">
        <f>I66+Учет!D67-D67</f>
        <v>500</v>
      </c>
      <c r="J67" s="43">
        <f>J66+Учет!E67-E67</f>
        <v>21550</v>
      </c>
      <c r="K67" s="43">
        <f>K66+Учет!F67-F67</f>
        <v>0</v>
      </c>
      <c r="L67" s="45">
        <f>Учет!I67</f>
        <v>519797</v>
      </c>
    </row>
    <row r="68" spans="1:12" x14ac:dyDescent="0.25">
      <c r="A68" s="48">
        <f>IF(Учет!A68&lt;&gt;"",Учет!A68,"")</f>
        <v>45156</v>
      </c>
      <c r="B68" s="52">
        <f>IF(Учет!$O68=Справочники!$F$2,Учет!$H68,0)</f>
        <v>6000</v>
      </c>
      <c r="C68" s="52">
        <f>IF(Учет!$O68=Справочники!$F$3,Учет!$H68,0)</f>
        <v>0</v>
      </c>
      <c r="D68" s="52">
        <f>IF(Учет!$O68=Справочники!$F$4,Учет!$H68,0)</f>
        <v>0</v>
      </c>
      <c r="E68" s="52">
        <f>IF(Учет!$O68=Справочники!$F$5,Учет!$H68,0)</f>
        <v>0</v>
      </c>
      <c r="F68" s="52">
        <f>IF(Учет!$O68=Справочники!$F$6,Учет!$H68,0)</f>
        <v>0</v>
      </c>
      <c r="G68" s="43">
        <f>G67+Учет!B68-B68</f>
        <v>154892</v>
      </c>
      <c r="H68" s="43">
        <f>H67+Учет!C68-C68</f>
        <v>336855</v>
      </c>
      <c r="I68" s="43">
        <f>I67+Учет!D68-D68</f>
        <v>500</v>
      </c>
      <c r="J68" s="43">
        <f>J67+Учет!E68-E68</f>
        <v>21550</v>
      </c>
      <c r="K68" s="43">
        <f>K67+Учет!F68-F68</f>
        <v>0</v>
      </c>
      <c r="L68" s="45">
        <f>Учет!I68</f>
        <v>513797</v>
      </c>
    </row>
    <row r="69" spans="1:12" x14ac:dyDescent="0.25">
      <c r="A69" s="48">
        <f>IF(Учет!A69&lt;&gt;"",Учет!A69,"")</f>
        <v>45156</v>
      </c>
      <c r="B69" s="52">
        <f>IF(Учет!$O69=Справочники!$F$2,Учет!$H69,0)</f>
        <v>0</v>
      </c>
      <c r="C69" s="52">
        <f>IF(Учет!$O69=Справочники!$F$3,Учет!$H69,0)</f>
        <v>0</v>
      </c>
      <c r="D69" s="52">
        <f>IF(Учет!$O69=Справочники!$F$4,Учет!$H69,0)</f>
        <v>0</v>
      </c>
      <c r="E69" s="52">
        <f>IF(Учет!$O69=Справочники!$F$5,Учет!$H69,0)</f>
        <v>2000</v>
      </c>
      <c r="F69" s="52">
        <f>IF(Учет!$O69=Справочники!$F$6,Учет!$H69,0)</f>
        <v>0</v>
      </c>
      <c r="G69" s="43">
        <f>G68+Учет!B69-B69</f>
        <v>154892</v>
      </c>
      <c r="H69" s="43">
        <f>H68+Учет!C69-C69</f>
        <v>336855</v>
      </c>
      <c r="I69" s="43">
        <f>I68+Учет!D69-D69</f>
        <v>500</v>
      </c>
      <c r="J69" s="43">
        <f>J68+Учет!E69-E69</f>
        <v>19550</v>
      </c>
      <c r="K69" s="43">
        <f>K68+Учет!F69-F69</f>
        <v>0</v>
      </c>
      <c r="L69" s="45">
        <f>Учет!I69</f>
        <v>511797</v>
      </c>
    </row>
    <row r="70" spans="1:12" x14ac:dyDescent="0.25">
      <c r="A70" s="48">
        <f>IF(Учет!A70&lt;&gt;"",Учет!A70,"")</f>
        <v>45157</v>
      </c>
      <c r="B70" s="52">
        <f>IF(Учет!$O70=Справочники!$F$2,Учет!$H70,0)</f>
        <v>20000</v>
      </c>
      <c r="C70" s="52">
        <f>IF(Учет!$O70=Справочники!$F$3,Учет!$H70,0)</f>
        <v>0</v>
      </c>
      <c r="D70" s="52">
        <f>IF(Учет!$O70=Справочники!$F$4,Учет!$H70,0)</f>
        <v>0</v>
      </c>
      <c r="E70" s="52">
        <f>IF(Учет!$O70=Справочники!$F$5,Учет!$H70,0)</f>
        <v>0</v>
      </c>
      <c r="F70" s="52">
        <f>IF(Учет!$O70=Справочники!$F$6,Учет!$H70,0)</f>
        <v>0</v>
      </c>
      <c r="G70" s="43">
        <f>G69+Учет!B70-B70</f>
        <v>134892</v>
      </c>
      <c r="H70" s="43">
        <f>H69+Учет!C70-C70</f>
        <v>336855</v>
      </c>
      <c r="I70" s="43">
        <f>I69+Учет!D70-D70</f>
        <v>500</v>
      </c>
      <c r="J70" s="43">
        <f>J69+Учет!E70-E70</f>
        <v>19550</v>
      </c>
      <c r="K70" s="43">
        <f>K69+Учет!F70-F70</f>
        <v>0</v>
      </c>
      <c r="L70" s="45">
        <f>Учет!I70</f>
        <v>491797</v>
      </c>
    </row>
    <row r="71" spans="1:12" x14ac:dyDescent="0.25">
      <c r="A71" s="48">
        <f>IF(Учет!A71&lt;&gt;"",Учет!A71,"")</f>
        <v>45157</v>
      </c>
      <c r="B71" s="52">
        <f>IF(Учет!$O71=Справочники!$F$2,Учет!$H71,0)</f>
        <v>4000</v>
      </c>
      <c r="C71" s="52">
        <f>IF(Учет!$O71=Справочники!$F$3,Учет!$H71,0)</f>
        <v>0</v>
      </c>
      <c r="D71" s="52">
        <f>IF(Учет!$O71=Справочники!$F$4,Учет!$H71,0)</f>
        <v>0</v>
      </c>
      <c r="E71" s="52">
        <f>IF(Учет!$O71=Справочники!$F$5,Учет!$H71,0)</f>
        <v>0</v>
      </c>
      <c r="F71" s="52">
        <f>IF(Учет!$O71=Справочники!$F$6,Учет!$H71,0)</f>
        <v>0</v>
      </c>
      <c r="G71" s="43">
        <f>G70+Учет!B71-B71</f>
        <v>130892</v>
      </c>
      <c r="H71" s="43">
        <f>H70+Учет!C71-C71</f>
        <v>336855</v>
      </c>
      <c r="I71" s="43">
        <f>I70+Учет!D71-D71</f>
        <v>500</v>
      </c>
      <c r="J71" s="43">
        <f>J70+Учет!E71-E71</f>
        <v>19550</v>
      </c>
      <c r="K71" s="43">
        <f>K70+Учет!F71-F71</f>
        <v>0</v>
      </c>
      <c r="L71" s="45">
        <f>Учет!I71</f>
        <v>487797</v>
      </c>
    </row>
    <row r="72" spans="1:12" x14ac:dyDescent="0.25">
      <c r="A72" s="48">
        <f>IF(Учет!A72&lt;&gt;"",Учет!A72,"")</f>
        <v>45157</v>
      </c>
      <c r="B72" s="52">
        <f>IF(Учет!$O72=Справочники!$F$2,Учет!$H72,0)</f>
        <v>30000</v>
      </c>
      <c r="C72" s="52">
        <f>IF(Учет!$O72=Справочники!$F$3,Учет!$H72,0)</f>
        <v>0</v>
      </c>
      <c r="D72" s="52">
        <f>IF(Учет!$O72=Справочники!$F$4,Учет!$H72,0)</f>
        <v>0</v>
      </c>
      <c r="E72" s="52">
        <f>IF(Учет!$O72=Справочники!$F$5,Учет!$H72,0)</f>
        <v>0</v>
      </c>
      <c r="F72" s="52">
        <f>IF(Учет!$O72=Справочники!$F$6,Учет!$H72,0)</f>
        <v>0</v>
      </c>
      <c r="G72" s="43">
        <f>G71+Учет!B72-B72</f>
        <v>100892</v>
      </c>
      <c r="H72" s="43">
        <f>H71+Учет!C72-C72</f>
        <v>336855</v>
      </c>
      <c r="I72" s="43">
        <f>I71+Учет!D72-D72</f>
        <v>500</v>
      </c>
      <c r="J72" s="43">
        <f>J71+Учет!E72-E72</f>
        <v>19550</v>
      </c>
      <c r="K72" s="43">
        <f>K71+Учет!F72-F72</f>
        <v>0</v>
      </c>
      <c r="L72" s="45">
        <f>Учет!I72</f>
        <v>457797</v>
      </c>
    </row>
    <row r="73" spans="1:12" x14ac:dyDescent="0.25">
      <c r="A73" s="48">
        <f>IF(Учет!A73&lt;&gt;"",Учет!A73,"")</f>
        <v>45158</v>
      </c>
      <c r="B73" s="52">
        <f>IF(Учет!$O73=Справочники!$F$2,Учет!$H73,0)</f>
        <v>5000</v>
      </c>
      <c r="C73" s="52">
        <f>IF(Учет!$O73=Справочники!$F$3,Учет!$H73,0)</f>
        <v>0</v>
      </c>
      <c r="D73" s="52">
        <f>IF(Учет!$O73=Справочники!$F$4,Учет!$H73,0)</f>
        <v>0</v>
      </c>
      <c r="E73" s="52">
        <f>IF(Учет!$O73=Справочники!$F$5,Учет!$H73,0)</f>
        <v>0</v>
      </c>
      <c r="F73" s="52">
        <f>IF(Учет!$O73=Справочники!$F$6,Учет!$H73,0)</f>
        <v>0</v>
      </c>
      <c r="G73" s="43">
        <f>G72+Учет!B73-B73</f>
        <v>95892</v>
      </c>
      <c r="H73" s="43">
        <f>H72+Учет!C73-C73</f>
        <v>336855</v>
      </c>
      <c r="I73" s="43">
        <f>I72+Учет!D73-D73</f>
        <v>500</v>
      </c>
      <c r="J73" s="43">
        <f>J72+Учет!E73-E73</f>
        <v>19550</v>
      </c>
      <c r="K73" s="43">
        <f>K72+Учет!F73-F73</f>
        <v>0</v>
      </c>
      <c r="L73" s="45">
        <f>Учет!I73</f>
        <v>452797</v>
      </c>
    </row>
    <row r="74" spans="1:12" x14ac:dyDescent="0.25">
      <c r="A74" s="48">
        <f>IF(Учет!A74&lt;&gt;"",Учет!A74,"")</f>
        <v>45159</v>
      </c>
      <c r="B74" s="52">
        <f>IF(Учет!$O74=Справочники!$F$2,Учет!$H74,0)</f>
        <v>0</v>
      </c>
      <c r="C74" s="52">
        <f>IF(Учет!$O74=Справочники!$F$3,Учет!$H74,0)</f>
        <v>0</v>
      </c>
      <c r="D74" s="52">
        <f>IF(Учет!$O74=Справочники!$F$4,Учет!$H74,0)</f>
        <v>0</v>
      </c>
      <c r="E74" s="52">
        <f>IF(Учет!$O74=Справочники!$F$5,Учет!$H74,0)</f>
        <v>0</v>
      </c>
      <c r="F74" s="52">
        <f>IF(Учет!$O74=Справочники!$F$6,Учет!$H74,0)</f>
        <v>0</v>
      </c>
      <c r="G74" s="43">
        <f>G73+Учет!B74-B74</f>
        <v>95892</v>
      </c>
      <c r="H74" s="43">
        <f>H73+Учет!C74-C74</f>
        <v>336855</v>
      </c>
      <c r="I74" s="43">
        <f>I73+Учет!D74-D74</f>
        <v>500</v>
      </c>
      <c r="J74" s="43">
        <f>J73+Учет!E74-E74</f>
        <v>19550</v>
      </c>
      <c r="K74" s="43">
        <f>K73+Учет!F74-F74</f>
        <v>500000</v>
      </c>
      <c r="L74" s="45">
        <f>Учет!I74</f>
        <v>952797</v>
      </c>
    </row>
    <row r="75" spans="1:12" x14ac:dyDescent="0.25">
      <c r="A75" s="48">
        <f>IF(Учет!A75&lt;&gt;"",Учет!A75,"")</f>
        <v>45159</v>
      </c>
      <c r="B75" s="52">
        <f>IF(Учет!$O75=Справочники!$F$2,Учет!$H75,0)</f>
        <v>0</v>
      </c>
      <c r="C75" s="52">
        <f>IF(Учет!$O75=Справочники!$F$3,Учет!$H75,0)</f>
        <v>0</v>
      </c>
      <c r="D75" s="52">
        <f>IF(Учет!$O75=Справочники!$F$4,Учет!$H75,0)</f>
        <v>0</v>
      </c>
      <c r="E75" s="52">
        <f>IF(Учет!$O75=Справочники!$F$5,Учет!$H75,0)</f>
        <v>2800</v>
      </c>
      <c r="F75" s="52">
        <f>IF(Учет!$O75=Справочники!$F$6,Учет!$H75,0)</f>
        <v>0</v>
      </c>
      <c r="G75" s="43">
        <f>G74+Учет!B75-B75</f>
        <v>95892</v>
      </c>
      <c r="H75" s="43">
        <f>H74+Учет!C75-C75</f>
        <v>336855</v>
      </c>
      <c r="I75" s="43">
        <f>I74+Учет!D75-D75</f>
        <v>500</v>
      </c>
      <c r="J75" s="43">
        <f>J74+Учет!E75-E75</f>
        <v>16750</v>
      </c>
      <c r="K75" s="43">
        <f>K74+Учет!F75-F75</f>
        <v>500000</v>
      </c>
      <c r="L75" s="45">
        <f>Учет!I75</f>
        <v>949997</v>
      </c>
    </row>
    <row r="76" spans="1:12" x14ac:dyDescent="0.25">
      <c r="A76" s="48">
        <f>IF(Учет!A76&lt;&gt;"",Учет!A76,"")</f>
        <v>45159</v>
      </c>
      <c r="B76" s="52">
        <f>IF(Учет!$O76=Справочники!$F$2,Учет!$H76,0)</f>
        <v>0</v>
      </c>
      <c r="C76" s="52">
        <f>IF(Учет!$O76=Справочники!$F$3,Учет!$H76,0)</f>
        <v>0</v>
      </c>
      <c r="D76" s="52">
        <f>IF(Учет!$O76=Справочники!$F$4,Учет!$H76,0)</f>
        <v>0</v>
      </c>
      <c r="E76" s="52">
        <f>IF(Учет!$O76=Справочники!$F$5,Учет!$H76,0)</f>
        <v>2800</v>
      </c>
      <c r="F76" s="52">
        <f>IF(Учет!$O76=Справочники!$F$6,Учет!$H76,0)</f>
        <v>0</v>
      </c>
      <c r="G76" s="43">
        <f>G75+Учет!B76-B76</f>
        <v>95892</v>
      </c>
      <c r="H76" s="43">
        <f>H75+Учет!C76-C76</f>
        <v>336855</v>
      </c>
      <c r="I76" s="43">
        <f>I75+Учет!D76-D76</f>
        <v>500</v>
      </c>
      <c r="J76" s="43">
        <f>J75+Учет!E76-E76</f>
        <v>13950</v>
      </c>
      <c r="K76" s="43">
        <f>K75+Учет!F76-F76</f>
        <v>500000</v>
      </c>
      <c r="L76" s="45">
        <f>Учет!I76</f>
        <v>947197</v>
      </c>
    </row>
    <row r="77" spans="1:12" x14ac:dyDescent="0.25">
      <c r="A77" s="48">
        <f>IF(Учет!A77&lt;&gt;"",Учет!A77,"")</f>
        <v>45159</v>
      </c>
      <c r="B77" s="52">
        <f>IF(Учет!$O77=Справочники!$F$2,Учет!$H77,0)</f>
        <v>0</v>
      </c>
      <c r="C77" s="52">
        <f>IF(Учет!$O77=Справочники!$F$3,Учет!$H77,0)</f>
        <v>0</v>
      </c>
      <c r="D77" s="52">
        <f>IF(Учет!$O77=Справочники!$F$4,Учет!$H77,0)</f>
        <v>0</v>
      </c>
      <c r="E77" s="52">
        <f>IF(Учет!$O77=Справочники!$F$5,Учет!$H77,0)</f>
        <v>2800</v>
      </c>
      <c r="F77" s="52">
        <f>IF(Учет!$O77=Справочники!$F$6,Учет!$H77,0)</f>
        <v>0</v>
      </c>
      <c r="G77" s="43">
        <f>G76+Учет!B77-B77</f>
        <v>95892</v>
      </c>
      <c r="H77" s="43">
        <f>H76+Учет!C77-C77</f>
        <v>336855</v>
      </c>
      <c r="I77" s="43">
        <f>I76+Учет!D77-D77</f>
        <v>500</v>
      </c>
      <c r="J77" s="43">
        <f>J76+Учет!E77-E77</f>
        <v>11150</v>
      </c>
      <c r="K77" s="43">
        <f>K76+Учет!F77-F77</f>
        <v>500000</v>
      </c>
      <c r="L77" s="45">
        <f>Учет!I77</f>
        <v>944397</v>
      </c>
    </row>
    <row r="78" spans="1:12" x14ac:dyDescent="0.25">
      <c r="A78" s="48">
        <f>IF(Учет!A78&lt;&gt;"",Учет!A78,"")</f>
        <v>45159</v>
      </c>
      <c r="B78" s="52">
        <f>IF(Учет!$O78=Справочники!$F$2,Учет!$H78,0)</f>
        <v>0</v>
      </c>
      <c r="C78" s="52">
        <f>IF(Учет!$O78=Справочники!$F$3,Учет!$H78,0)</f>
        <v>0</v>
      </c>
      <c r="D78" s="52">
        <f>IF(Учет!$O78=Справочники!$F$4,Учет!$H78,0)</f>
        <v>0</v>
      </c>
      <c r="E78" s="52">
        <f>IF(Учет!$O78=Справочники!$F$5,Учет!$H78,0)</f>
        <v>10000</v>
      </c>
      <c r="F78" s="52">
        <f>IF(Учет!$O78=Справочники!$F$6,Учет!$H78,0)</f>
        <v>0</v>
      </c>
      <c r="G78" s="43">
        <f>G77+Учет!B78-B78</f>
        <v>95892</v>
      </c>
      <c r="H78" s="43">
        <f>H77+Учет!C78-C78</f>
        <v>336855</v>
      </c>
      <c r="I78" s="43">
        <f>I77+Учет!D78-D78</f>
        <v>500</v>
      </c>
      <c r="J78" s="43">
        <f>J77+Учет!E78-E78</f>
        <v>1150</v>
      </c>
      <c r="K78" s="43">
        <f>K77+Учет!F78-F78</f>
        <v>500000</v>
      </c>
      <c r="L78" s="45">
        <f>Учет!I78</f>
        <v>934397</v>
      </c>
    </row>
    <row r="79" spans="1:12" x14ac:dyDescent="0.25">
      <c r="A79" s="48">
        <f>IF(Учет!A79&lt;&gt;"",Учет!A79,"")</f>
        <v>45159</v>
      </c>
      <c r="B79" s="52">
        <f>IF(Учет!$O79=Справочники!$F$2,Учет!$H79,0)</f>
        <v>419</v>
      </c>
      <c r="C79" s="52">
        <f>IF(Учет!$O79=Справочники!$F$3,Учет!$H79,0)</f>
        <v>0</v>
      </c>
      <c r="D79" s="52">
        <f>IF(Учет!$O79=Справочники!$F$4,Учет!$H79,0)</f>
        <v>0</v>
      </c>
      <c r="E79" s="52">
        <f>IF(Учет!$O79=Справочники!$F$5,Учет!$H79,0)</f>
        <v>0</v>
      </c>
      <c r="F79" s="52">
        <f>IF(Учет!$O79=Справочники!$F$6,Учет!$H79,0)</f>
        <v>0</v>
      </c>
      <c r="G79" s="43">
        <f>G78+Учет!B79-B79</f>
        <v>95473</v>
      </c>
      <c r="H79" s="43">
        <f>H78+Учет!C79-C79</f>
        <v>336855</v>
      </c>
      <c r="I79" s="43">
        <f>I78+Учет!D79-D79</f>
        <v>500</v>
      </c>
      <c r="J79" s="43">
        <f>J78+Учет!E79-E79</f>
        <v>1150</v>
      </c>
      <c r="K79" s="43">
        <f>K78+Учет!F79-F79</f>
        <v>500000</v>
      </c>
      <c r="L79" s="45">
        <f>Учет!I79</f>
        <v>933978</v>
      </c>
    </row>
    <row r="80" spans="1:12" x14ac:dyDescent="0.25">
      <c r="A80" s="48">
        <f>IF(Учет!A80&lt;&gt;"",Учет!A80,"")</f>
        <v>45159</v>
      </c>
      <c r="B80" s="52">
        <f>IF(Учет!$O80=Справочники!$F$2,Учет!$H80,0)</f>
        <v>4689.75</v>
      </c>
      <c r="C80" s="52">
        <f>IF(Учет!$O80=Справочники!$F$3,Учет!$H80,0)</f>
        <v>0</v>
      </c>
      <c r="D80" s="52">
        <f>IF(Учет!$O80=Справочники!$F$4,Учет!$H80,0)</f>
        <v>0</v>
      </c>
      <c r="E80" s="52">
        <f>IF(Учет!$O80=Справочники!$F$5,Учет!$H80,0)</f>
        <v>0</v>
      </c>
      <c r="F80" s="52">
        <f>IF(Учет!$O80=Справочники!$F$6,Учет!$H80,0)</f>
        <v>0</v>
      </c>
      <c r="G80" s="43">
        <f>G79+Учет!B80-B80</f>
        <v>90783.25</v>
      </c>
      <c r="H80" s="43">
        <f>H79+Учет!C80-C80</f>
        <v>336855</v>
      </c>
      <c r="I80" s="43">
        <f>I79+Учет!D80-D80</f>
        <v>500</v>
      </c>
      <c r="J80" s="43">
        <f>J79+Учет!E80-E80</f>
        <v>1150</v>
      </c>
      <c r="K80" s="43">
        <f>K79+Учет!F80-F80</f>
        <v>500000</v>
      </c>
      <c r="L80" s="45">
        <f>Учет!I80</f>
        <v>929288.25</v>
      </c>
    </row>
    <row r="81" spans="1:12" x14ac:dyDescent="0.25">
      <c r="A81" s="48">
        <f>IF(Учет!A81&lt;&gt;"",Учет!A81,"")</f>
        <v>45159</v>
      </c>
      <c r="B81" s="52">
        <f>IF(Учет!$O81=Справочники!$F$2,Учет!$H81,0)</f>
        <v>1440</v>
      </c>
      <c r="C81" s="52">
        <f>IF(Учет!$O81=Справочники!$F$3,Учет!$H81,0)</f>
        <v>0</v>
      </c>
      <c r="D81" s="52">
        <f>IF(Учет!$O81=Справочники!$F$4,Учет!$H81,0)</f>
        <v>0</v>
      </c>
      <c r="E81" s="52">
        <f>IF(Учет!$O81=Справочники!$F$5,Учет!$H81,0)</f>
        <v>0</v>
      </c>
      <c r="F81" s="52">
        <f>IF(Учет!$O81=Справочники!$F$6,Учет!$H81,0)</f>
        <v>0</v>
      </c>
      <c r="G81" s="43">
        <f>G80+Учет!B81-B81</f>
        <v>89343.25</v>
      </c>
      <c r="H81" s="43">
        <f>H80+Учет!C81-C81</f>
        <v>336855</v>
      </c>
      <c r="I81" s="43">
        <f>I80+Учет!D81-D81</f>
        <v>500</v>
      </c>
      <c r="J81" s="43">
        <f>J80+Учет!E81-E81</f>
        <v>1150</v>
      </c>
      <c r="K81" s="43">
        <f>K80+Учет!F81-F81</f>
        <v>500000</v>
      </c>
      <c r="L81" s="45">
        <f>Учет!I81</f>
        <v>927848.25</v>
      </c>
    </row>
    <row r="82" spans="1:12" x14ac:dyDescent="0.25">
      <c r="A82" s="48">
        <f>IF(Учет!A82&lt;&gt;"",Учет!A82,"")</f>
        <v>45159</v>
      </c>
      <c r="B82" s="52">
        <f>IF(Учет!$O82=Справочники!$F$2,Учет!$H82,0)</f>
        <v>30000</v>
      </c>
      <c r="C82" s="52">
        <f>IF(Учет!$O82=Справочники!$F$3,Учет!$H82,0)</f>
        <v>0</v>
      </c>
      <c r="D82" s="52">
        <f>IF(Учет!$O82=Справочники!$F$4,Учет!$H82,0)</f>
        <v>0</v>
      </c>
      <c r="E82" s="52">
        <f>IF(Учет!$O82=Справочники!$F$5,Учет!$H82,0)</f>
        <v>0</v>
      </c>
      <c r="F82" s="52">
        <f>IF(Учет!$O82=Справочники!$F$6,Учет!$H82,0)</f>
        <v>0</v>
      </c>
      <c r="G82" s="43">
        <f>G81+Учет!B82-B82</f>
        <v>59343.25</v>
      </c>
      <c r="H82" s="43">
        <f>H81+Учет!C82-C82</f>
        <v>336855</v>
      </c>
      <c r="I82" s="43">
        <f>I81+Учет!D82-D82</f>
        <v>500</v>
      </c>
      <c r="J82" s="43">
        <f>J81+Учет!E82-E82</f>
        <v>1150</v>
      </c>
      <c r="K82" s="43">
        <f>K81+Учет!F82-F82</f>
        <v>500000</v>
      </c>
      <c r="L82" s="45">
        <f>Учет!I82</f>
        <v>897848.25</v>
      </c>
    </row>
    <row r="83" spans="1:12" x14ac:dyDescent="0.25">
      <c r="A83" s="48">
        <f>IF(Учет!A83&lt;&gt;"",Учет!A83,"")</f>
        <v>45160</v>
      </c>
      <c r="B83" s="52">
        <f>IF(Учет!$O83=Справочники!$F$2,Учет!$H83,0)</f>
        <v>2500</v>
      </c>
      <c r="C83" s="52">
        <f>IF(Учет!$O83=Справочники!$F$3,Учет!$H83,0)</f>
        <v>0</v>
      </c>
      <c r="D83" s="52">
        <f>IF(Учет!$O83=Справочники!$F$4,Учет!$H83,0)</f>
        <v>0</v>
      </c>
      <c r="E83" s="52">
        <f>IF(Учет!$O83=Справочники!$F$5,Учет!$H83,0)</f>
        <v>0</v>
      </c>
      <c r="F83" s="52">
        <f>IF(Учет!$O83=Справочники!$F$6,Учет!$H83,0)</f>
        <v>0</v>
      </c>
      <c r="G83" s="43">
        <f>G82+Учет!B83-B83</f>
        <v>56843.25</v>
      </c>
      <c r="H83" s="43">
        <f>H82+Учет!C83-C83</f>
        <v>336855</v>
      </c>
      <c r="I83" s="43">
        <f>I82+Учет!D83-D83</f>
        <v>500</v>
      </c>
      <c r="J83" s="43">
        <f>J82+Учет!E83-E83</f>
        <v>1150</v>
      </c>
      <c r="K83" s="43">
        <f>K82+Учет!F83-F83</f>
        <v>500000</v>
      </c>
      <c r="L83" s="45">
        <f>Учет!I83</f>
        <v>895348.25</v>
      </c>
    </row>
    <row r="84" spans="1:12" x14ac:dyDescent="0.25">
      <c r="A84" s="48">
        <f>IF(Учет!A84&lt;&gt;"",Учет!A84,"")</f>
        <v>45160</v>
      </c>
      <c r="B84" s="52">
        <f>IF(Учет!$O84=Справочники!$F$2,Учет!$H84,0)</f>
        <v>2000</v>
      </c>
      <c r="C84" s="52">
        <f>IF(Учет!$O84=Справочники!$F$3,Учет!$H84,0)</f>
        <v>0</v>
      </c>
      <c r="D84" s="52">
        <f>IF(Учет!$O84=Справочники!$F$4,Учет!$H84,0)</f>
        <v>0</v>
      </c>
      <c r="E84" s="52">
        <f>IF(Учет!$O84=Справочники!$F$5,Учет!$H84,0)</f>
        <v>0</v>
      </c>
      <c r="F84" s="52">
        <f>IF(Учет!$O84=Справочники!$F$6,Учет!$H84,0)</f>
        <v>0</v>
      </c>
      <c r="G84" s="43">
        <f>G83+Учет!B84-B84</f>
        <v>54843.25</v>
      </c>
      <c r="H84" s="43">
        <f>H83+Учет!C84-C84</f>
        <v>336855</v>
      </c>
      <c r="I84" s="43">
        <f>I83+Учет!D84-D84</f>
        <v>500</v>
      </c>
      <c r="J84" s="43">
        <f>J83+Учет!E84-E84</f>
        <v>1150</v>
      </c>
      <c r="K84" s="43">
        <f>K83+Учет!F84-F84</f>
        <v>500000</v>
      </c>
      <c r="L84" s="45">
        <f>Учет!I84</f>
        <v>893348.25</v>
      </c>
    </row>
    <row r="85" spans="1:12" x14ac:dyDescent="0.25">
      <c r="A85" s="48">
        <f>IF(Учет!A85&lt;&gt;"",Учет!A85,"")</f>
        <v>45161</v>
      </c>
      <c r="B85" s="52">
        <f>IF(Учет!$O85=Справочники!$F$2,Учет!$H85,0)</f>
        <v>6000</v>
      </c>
      <c r="C85" s="52">
        <f>IF(Учет!$O85=Справочники!$F$3,Учет!$H85,0)</f>
        <v>0</v>
      </c>
      <c r="D85" s="52">
        <f>IF(Учет!$O85=Справочники!$F$4,Учет!$H85,0)</f>
        <v>0</v>
      </c>
      <c r="E85" s="52">
        <f>IF(Учет!$O85=Справочники!$F$5,Учет!$H85,0)</f>
        <v>0</v>
      </c>
      <c r="F85" s="52">
        <f>IF(Учет!$O85=Справочники!$F$6,Учет!$H85,0)</f>
        <v>0</v>
      </c>
      <c r="G85" s="43">
        <f>G84+Учет!B85-B85</f>
        <v>48843.25</v>
      </c>
      <c r="H85" s="43">
        <f>H84+Учет!C85-C85</f>
        <v>336855</v>
      </c>
      <c r="I85" s="43">
        <f>I84+Учет!D85-D85</f>
        <v>500</v>
      </c>
      <c r="J85" s="43">
        <f>J84+Учет!E85-E85</f>
        <v>1150</v>
      </c>
      <c r="K85" s="43">
        <f>K84+Учет!F85-F85</f>
        <v>500000</v>
      </c>
      <c r="L85" s="45">
        <f>Учет!I85</f>
        <v>887348.25</v>
      </c>
    </row>
    <row r="86" spans="1:12" x14ac:dyDescent="0.25">
      <c r="A86" s="48">
        <f>IF(Учет!A86&lt;&gt;"",Учет!A86,"")</f>
        <v>45161</v>
      </c>
      <c r="B86" s="52">
        <f>IF(Учет!$O86=Справочники!$F$2,Учет!$H86,0)</f>
        <v>3000</v>
      </c>
      <c r="C86" s="52">
        <f>IF(Учет!$O86=Справочники!$F$3,Учет!$H86,0)</f>
        <v>0</v>
      </c>
      <c r="D86" s="52">
        <f>IF(Учет!$O86=Справочники!$F$4,Учет!$H86,0)</f>
        <v>0</v>
      </c>
      <c r="E86" s="52">
        <f>IF(Учет!$O86=Справочники!$F$5,Учет!$H86,0)</f>
        <v>0</v>
      </c>
      <c r="F86" s="52">
        <f>IF(Учет!$O86=Справочники!$F$6,Учет!$H86,0)</f>
        <v>0</v>
      </c>
      <c r="G86" s="43">
        <f>G85+Учет!B86-B86</f>
        <v>45843.25</v>
      </c>
      <c r="H86" s="43">
        <f>H85+Учет!C86-C86</f>
        <v>336855</v>
      </c>
      <c r="I86" s="43">
        <f>I85+Учет!D86-D86</f>
        <v>500</v>
      </c>
      <c r="J86" s="43">
        <f>J85+Учет!E86-E86</f>
        <v>1150</v>
      </c>
      <c r="K86" s="43">
        <f>K85+Учет!F86-F86</f>
        <v>500000</v>
      </c>
      <c r="L86" s="45">
        <f>Учет!I86</f>
        <v>884348.25</v>
      </c>
    </row>
    <row r="87" spans="1:12" x14ac:dyDescent="0.25">
      <c r="A87" s="48">
        <f>IF(Учет!A87&lt;&gt;"",Учет!A87,"")</f>
        <v>45161</v>
      </c>
      <c r="B87" s="52">
        <f>IF(Учет!$O87=Справочники!$F$2,Учет!$H87,0)</f>
        <v>218500</v>
      </c>
      <c r="C87" s="52">
        <f>IF(Учет!$O87=Справочники!$F$3,Учет!$H87,0)</f>
        <v>0</v>
      </c>
      <c r="D87" s="52">
        <f>IF(Учет!$O87=Справочники!$F$4,Учет!$H87,0)</f>
        <v>0</v>
      </c>
      <c r="E87" s="52">
        <f>IF(Учет!$O87=Справочники!$F$5,Учет!$H87,0)</f>
        <v>0</v>
      </c>
      <c r="F87" s="52">
        <f>IF(Учет!$O87=Справочники!$F$6,Учет!$H87,0)</f>
        <v>0</v>
      </c>
      <c r="G87" s="43">
        <f>G86+Учет!B87-B87</f>
        <v>-172656.75</v>
      </c>
      <c r="H87" s="43">
        <f>H86+Учет!C87-C87</f>
        <v>336855</v>
      </c>
      <c r="I87" s="43">
        <f>I86+Учет!D87-D87</f>
        <v>500</v>
      </c>
      <c r="J87" s="43">
        <f>J86+Учет!E87-E87</f>
        <v>1150</v>
      </c>
      <c r="K87" s="43">
        <f>K86+Учет!F87-F87</f>
        <v>500000</v>
      </c>
      <c r="L87" s="45">
        <f>Учет!I87</f>
        <v>665848.25</v>
      </c>
    </row>
    <row r="88" spans="1:12" x14ac:dyDescent="0.25">
      <c r="A88" s="48">
        <f>IF(Учет!A88&lt;&gt;"",Учет!A88,"")</f>
        <v>45161</v>
      </c>
      <c r="B88" s="52">
        <f>IF(Учет!$O88=Справочники!$F$2,Учет!$H88,0)</f>
        <v>6000</v>
      </c>
      <c r="C88" s="52">
        <f>IF(Учет!$O88=Справочники!$F$3,Учет!$H88,0)</f>
        <v>0</v>
      </c>
      <c r="D88" s="52">
        <f>IF(Учет!$O88=Справочники!$F$4,Учет!$H88,0)</f>
        <v>0</v>
      </c>
      <c r="E88" s="52">
        <f>IF(Учет!$O88=Справочники!$F$5,Учет!$H88,0)</f>
        <v>0</v>
      </c>
      <c r="F88" s="52">
        <f>IF(Учет!$O88=Справочники!$F$6,Учет!$H88,0)</f>
        <v>0</v>
      </c>
      <c r="G88" s="43">
        <f>G87+Учет!B88-B88</f>
        <v>-178656.75</v>
      </c>
      <c r="H88" s="43">
        <f>H87+Учет!C88-C88</f>
        <v>336855</v>
      </c>
      <c r="I88" s="43">
        <f>I87+Учет!D88-D88</f>
        <v>500</v>
      </c>
      <c r="J88" s="43">
        <f>J87+Учет!E88-E88</f>
        <v>1150</v>
      </c>
      <c r="K88" s="43">
        <f>K87+Учет!F88-F88</f>
        <v>500000</v>
      </c>
      <c r="L88" s="45">
        <f>Учет!I88</f>
        <v>659848.25</v>
      </c>
    </row>
    <row r="89" spans="1:12" x14ac:dyDescent="0.25">
      <c r="A89" s="48">
        <f>IF(Учет!A89&lt;&gt;"",Учет!A89,"")</f>
        <v>45161</v>
      </c>
      <c r="B89" s="52">
        <f>IF(Учет!$O89=Справочники!$F$2,Учет!$H89,0)</f>
        <v>3000</v>
      </c>
      <c r="C89" s="52">
        <f>IF(Учет!$O89=Справочники!$F$3,Учет!$H89,0)</f>
        <v>0</v>
      </c>
      <c r="D89" s="52">
        <f>IF(Учет!$O89=Справочники!$F$4,Учет!$H89,0)</f>
        <v>0</v>
      </c>
      <c r="E89" s="52">
        <f>IF(Учет!$O89=Справочники!$F$5,Учет!$H89,0)</f>
        <v>0</v>
      </c>
      <c r="F89" s="52">
        <f>IF(Учет!$O89=Справочники!$F$6,Учет!$H89,0)</f>
        <v>0</v>
      </c>
      <c r="G89" s="43">
        <f>G88+Учет!B89-B89</f>
        <v>-181656.75</v>
      </c>
      <c r="H89" s="43">
        <f>H88+Учет!C89-C89</f>
        <v>336855</v>
      </c>
      <c r="I89" s="43">
        <f>I88+Учет!D89-D89</f>
        <v>500</v>
      </c>
      <c r="J89" s="43">
        <f>J88+Учет!E89-E89</f>
        <v>1150</v>
      </c>
      <c r="K89" s="43">
        <f>K88+Учет!F89-F89</f>
        <v>500000</v>
      </c>
      <c r="L89" s="45">
        <f>Учет!I89</f>
        <v>656848.25</v>
      </c>
    </row>
    <row r="90" spans="1:12" x14ac:dyDescent="0.25">
      <c r="A90" s="48">
        <f>IF(Учет!A90&lt;&gt;"",Учет!A90,"")</f>
        <v>45161</v>
      </c>
      <c r="B90" s="52">
        <f>IF(Учет!$O90=Справочники!$F$2,Учет!$H90,0)</f>
        <v>193322.17</v>
      </c>
      <c r="C90" s="52">
        <f>IF(Учет!$O90=Справочники!$F$3,Учет!$H90,0)</f>
        <v>0</v>
      </c>
      <c r="D90" s="52">
        <f>IF(Учет!$O90=Справочники!$F$4,Учет!$H90,0)</f>
        <v>0</v>
      </c>
      <c r="E90" s="52">
        <f>IF(Учет!$O90=Справочники!$F$5,Учет!$H90,0)</f>
        <v>0</v>
      </c>
      <c r="F90" s="52">
        <f>IF(Учет!$O90=Справочники!$F$6,Учет!$H90,0)</f>
        <v>0</v>
      </c>
      <c r="G90" s="43">
        <f>G89+Учет!B90-B90</f>
        <v>-374978.92000000004</v>
      </c>
      <c r="H90" s="43">
        <f>H89+Учет!C90-C90</f>
        <v>336855</v>
      </c>
      <c r="I90" s="43">
        <f>I89+Учет!D90-D90</f>
        <v>500</v>
      </c>
      <c r="J90" s="43">
        <f>J89+Учет!E90-E90</f>
        <v>1150</v>
      </c>
      <c r="K90" s="43">
        <f>K89+Учет!F90-F90</f>
        <v>500000</v>
      </c>
      <c r="L90" s="45">
        <f>Учет!I90</f>
        <v>463526.07999999996</v>
      </c>
    </row>
    <row r="91" spans="1:12" x14ac:dyDescent="0.25">
      <c r="A91" s="48">
        <f>IF(Учет!A91&lt;&gt;"",Учет!A91,"")</f>
        <v>45161</v>
      </c>
      <c r="B91" s="52">
        <f>IF(Учет!$O91=Справочники!$F$2,Учет!$H91,0)</f>
        <v>30000</v>
      </c>
      <c r="C91" s="52">
        <f>IF(Учет!$O91=Справочники!$F$3,Учет!$H91,0)</f>
        <v>0</v>
      </c>
      <c r="D91" s="52">
        <f>IF(Учет!$O91=Справочники!$F$4,Учет!$H91,0)</f>
        <v>0</v>
      </c>
      <c r="E91" s="52">
        <f>IF(Учет!$O91=Справочники!$F$5,Учет!$H91,0)</f>
        <v>0</v>
      </c>
      <c r="F91" s="52">
        <f>IF(Учет!$O91=Справочники!$F$6,Учет!$H91,0)</f>
        <v>0</v>
      </c>
      <c r="G91" s="43">
        <f>G90+Учет!B91-B91</f>
        <v>-404978.92000000004</v>
      </c>
      <c r="H91" s="43">
        <f>H90+Учет!C91-C91</f>
        <v>336855</v>
      </c>
      <c r="I91" s="43">
        <f>I90+Учет!D91-D91</f>
        <v>500</v>
      </c>
      <c r="J91" s="43">
        <f>J90+Учет!E91-E91</f>
        <v>1150</v>
      </c>
      <c r="K91" s="43">
        <f>K90+Учет!F91-F91</f>
        <v>500000</v>
      </c>
      <c r="L91" s="45">
        <f>Учет!I91</f>
        <v>433526.07999999996</v>
      </c>
    </row>
    <row r="92" spans="1:12" x14ac:dyDescent="0.25">
      <c r="A92" s="48">
        <f>IF(Учет!A92&lt;&gt;"",Учет!A92,"")</f>
        <v>45161</v>
      </c>
      <c r="B92" s="52">
        <f>IF(Учет!$O92=Справочники!$F$2,Учет!$H92,0)</f>
        <v>2000</v>
      </c>
      <c r="C92" s="52">
        <f>IF(Учет!$O92=Справочники!$F$3,Учет!$H92,0)</f>
        <v>0</v>
      </c>
      <c r="D92" s="52">
        <f>IF(Учет!$O92=Справочники!$F$4,Учет!$H92,0)</f>
        <v>0</v>
      </c>
      <c r="E92" s="52">
        <f>IF(Учет!$O92=Справочники!$F$5,Учет!$H92,0)</f>
        <v>0</v>
      </c>
      <c r="F92" s="52">
        <f>IF(Учет!$O92=Справочники!$F$6,Учет!$H92,0)</f>
        <v>0</v>
      </c>
      <c r="G92" s="43">
        <f>G91+Учет!B92-B92</f>
        <v>-406978.92000000004</v>
      </c>
      <c r="H92" s="43">
        <f>H91+Учет!C92-C92</f>
        <v>336855</v>
      </c>
      <c r="I92" s="43">
        <f>I91+Учет!D92-D92</f>
        <v>500</v>
      </c>
      <c r="J92" s="43">
        <f>J91+Учет!E92-E92</f>
        <v>1150</v>
      </c>
      <c r="K92" s="43">
        <f>K91+Учет!F92-F92</f>
        <v>500000</v>
      </c>
      <c r="L92" s="45">
        <f>Учет!I92</f>
        <v>431526.07999999996</v>
      </c>
    </row>
    <row r="93" spans="1:12" x14ac:dyDescent="0.25">
      <c r="A93" s="48">
        <f>IF(Учет!A93&lt;&gt;"",Учет!A93,"")</f>
        <v>45161</v>
      </c>
      <c r="B93" s="52">
        <f>IF(Учет!$O93=Справочники!$F$2,Учет!$H93,0)</f>
        <v>10000</v>
      </c>
      <c r="C93" s="52">
        <f>IF(Учет!$O93=Справочники!$F$3,Учет!$H93,0)</f>
        <v>0</v>
      </c>
      <c r="D93" s="52">
        <f>IF(Учет!$O93=Справочники!$F$4,Учет!$H93,0)</f>
        <v>0</v>
      </c>
      <c r="E93" s="52">
        <f>IF(Учет!$O93=Справочники!$F$5,Учет!$H93,0)</f>
        <v>0</v>
      </c>
      <c r="F93" s="52">
        <f>IF(Учет!$O93=Справочники!$F$6,Учет!$H93,0)</f>
        <v>0</v>
      </c>
      <c r="G93" s="43">
        <f>G92+Учет!B93-B93</f>
        <v>-416978.92000000004</v>
      </c>
      <c r="H93" s="43">
        <f>H92+Учет!C93-C93</f>
        <v>336855</v>
      </c>
      <c r="I93" s="43">
        <f>I92+Учет!D93-D93</f>
        <v>500</v>
      </c>
      <c r="J93" s="43">
        <f>J92+Учет!E93-E93</f>
        <v>1150</v>
      </c>
      <c r="K93" s="43">
        <f>K92+Учет!F93-F93</f>
        <v>500000</v>
      </c>
      <c r="L93" s="45">
        <f>Учет!I93</f>
        <v>421526.07999999996</v>
      </c>
    </row>
    <row r="94" spans="1:12" x14ac:dyDescent="0.25">
      <c r="A94" s="48">
        <f>IF(Учет!A94&lt;&gt;"",Учет!A94,"")</f>
        <v>45161</v>
      </c>
      <c r="B94" s="52">
        <f>IF(Учет!$O94=Справочники!$F$2,Учет!$H94,0)</f>
        <v>10000</v>
      </c>
      <c r="C94" s="52">
        <f>IF(Учет!$O94=Справочники!$F$3,Учет!$H94,0)</f>
        <v>0</v>
      </c>
      <c r="D94" s="52">
        <f>IF(Учет!$O94=Справочники!$F$4,Учет!$H94,0)</f>
        <v>0</v>
      </c>
      <c r="E94" s="52">
        <f>IF(Учет!$O94=Справочники!$F$5,Учет!$H94,0)</f>
        <v>0</v>
      </c>
      <c r="F94" s="52">
        <f>IF(Учет!$O94=Справочники!$F$6,Учет!$H94,0)</f>
        <v>0</v>
      </c>
      <c r="G94" s="43">
        <f>G93+Учет!B94-B94</f>
        <v>-426978.92000000004</v>
      </c>
      <c r="H94" s="43">
        <f>H93+Учет!C94-C94</f>
        <v>336855</v>
      </c>
      <c r="I94" s="43">
        <f>I93+Учет!D94-D94</f>
        <v>500</v>
      </c>
      <c r="J94" s="43">
        <f>J93+Учет!E94-E94</f>
        <v>1150</v>
      </c>
      <c r="K94" s="43">
        <f>K93+Учет!F94-F94</f>
        <v>500000</v>
      </c>
      <c r="L94" s="45">
        <f>Учет!I94</f>
        <v>411526.07999999996</v>
      </c>
    </row>
    <row r="95" spans="1:12" x14ac:dyDescent="0.25">
      <c r="A95" s="48">
        <f>IF(Учет!A95&lt;&gt;"",Учет!A95,"")</f>
        <v>45161</v>
      </c>
      <c r="B95" s="52">
        <f>IF(Учет!$O95=Справочники!$F$2,Учет!$H95,0)</f>
        <v>50000</v>
      </c>
      <c r="C95" s="52">
        <f>IF(Учет!$O95=Справочники!$F$3,Учет!$H95,0)</f>
        <v>0</v>
      </c>
      <c r="D95" s="52">
        <f>IF(Учет!$O95=Справочники!$F$4,Учет!$H95,0)</f>
        <v>0</v>
      </c>
      <c r="E95" s="52">
        <f>IF(Учет!$O95=Справочники!$F$5,Учет!$H95,0)</f>
        <v>0</v>
      </c>
      <c r="F95" s="52">
        <f>IF(Учет!$O95=Справочники!$F$6,Учет!$H95,0)</f>
        <v>0</v>
      </c>
      <c r="G95" s="43">
        <f>G94+Учет!B95-B95</f>
        <v>-476978.92000000004</v>
      </c>
      <c r="H95" s="43">
        <f>H94+Учет!C95-C95</f>
        <v>336855</v>
      </c>
      <c r="I95" s="43">
        <f>I94+Учет!D95-D95</f>
        <v>500</v>
      </c>
      <c r="J95" s="43">
        <f>J94+Учет!E95-E95</f>
        <v>1150</v>
      </c>
      <c r="K95" s="43">
        <f>K94+Учет!F95-F95</f>
        <v>500000</v>
      </c>
      <c r="L95" s="45">
        <f>Учет!I95</f>
        <v>361526.07999999996</v>
      </c>
    </row>
    <row r="96" spans="1:12" x14ac:dyDescent="0.25">
      <c r="A96" s="48">
        <f>IF(Учет!A96&lt;&gt;"",Учет!A96,"")</f>
        <v>45161</v>
      </c>
      <c r="B96" s="52">
        <f>IF(Учет!$O96=Справочники!$F$2,Учет!$H96,0)</f>
        <v>10000</v>
      </c>
      <c r="C96" s="52">
        <f>IF(Учет!$O96=Справочники!$F$3,Учет!$H96,0)</f>
        <v>0</v>
      </c>
      <c r="D96" s="52">
        <f>IF(Учет!$O96=Справочники!$F$4,Учет!$H96,0)</f>
        <v>0</v>
      </c>
      <c r="E96" s="52">
        <f>IF(Учет!$O96=Справочники!$F$5,Учет!$H96,0)</f>
        <v>0</v>
      </c>
      <c r="F96" s="52">
        <f>IF(Учет!$O96=Справочники!$F$6,Учет!$H96,0)</f>
        <v>0</v>
      </c>
      <c r="G96" s="43">
        <f>G95+Учет!B96-B96</f>
        <v>-486978.92000000004</v>
      </c>
      <c r="H96" s="43">
        <f>H95+Учет!C96-C96</f>
        <v>336855</v>
      </c>
      <c r="I96" s="43">
        <f>I95+Учет!D96-D96</f>
        <v>500</v>
      </c>
      <c r="J96" s="43">
        <f>J95+Учет!E96-E96</f>
        <v>1150</v>
      </c>
      <c r="K96" s="43">
        <f>K95+Учет!F96-F96</f>
        <v>500000</v>
      </c>
      <c r="L96" s="45">
        <f>Учет!I96</f>
        <v>351526.07999999996</v>
      </c>
    </row>
    <row r="97" spans="1:12" x14ac:dyDescent="0.25">
      <c r="A97" s="48">
        <f>IF(Учет!A97&lt;&gt;"",Учет!A97,"")</f>
        <v>45161</v>
      </c>
      <c r="B97" s="52">
        <f>IF(Учет!$O97=Справочники!$F$2,Учет!$H97,0)</f>
        <v>2000</v>
      </c>
      <c r="C97" s="52">
        <f>IF(Учет!$O97=Справочники!$F$3,Учет!$H97,0)</f>
        <v>0</v>
      </c>
      <c r="D97" s="52">
        <f>IF(Учет!$O97=Справочники!$F$4,Учет!$H97,0)</f>
        <v>0</v>
      </c>
      <c r="E97" s="52">
        <f>IF(Учет!$O97=Справочники!$F$5,Учет!$H97,0)</f>
        <v>0</v>
      </c>
      <c r="F97" s="52">
        <f>IF(Учет!$O97=Справочники!$F$6,Учет!$H97,0)</f>
        <v>0</v>
      </c>
      <c r="G97" s="43">
        <f>G96+Учет!B97-B97</f>
        <v>-488978.92000000004</v>
      </c>
      <c r="H97" s="43">
        <f>H96+Учет!C97-C97</f>
        <v>336855</v>
      </c>
      <c r="I97" s="43">
        <f>I96+Учет!D97-D97</f>
        <v>500</v>
      </c>
      <c r="J97" s="43">
        <f>J96+Учет!E97-E97</f>
        <v>1150</v>
      </c>
      <c r="K97" s="43">
        <f>K96+Учет!F97-F97</f>
        <v>500000</v>
      </c>
      <c r="L97" s="45">
        <f>Учет!I97</f>
        <v>349526.07999999996</v>
      </c>
    </row>
    <row r="98" spans="1:12" x14ac:dyDescent="0.25">
      <c r="A98" s="48" t="str">
        <f>IF(Учет!A98&lt;&gt;"",Учет!A98,"")</f>
        <v/>
      </c>
      <c r="B98" s="52">
        <f>IF(Учет!$O98=Справочники!$F$2,Учет!$H98,0)</f>
        <v>0</v>
      </c>
      <c r="C98" s="52">
        <f>IF(Учет!$O98=Справочники!$F$3,Учет!$H98,0)</f>
        <v>0</v>
      </c>
      <c r="D98" s="52">
        <f>IF(Учет!$O98=Справочники!$F$4,Учет!$H98,0)</f>
        <v>0</v>
      </c>
      <c r="E98" s="52">
        <f>IF(Учет!$O98=Справочники!$F$5,Учет!$H98,0)</f>
        <v>0</v>
      </c>
      <c r="F98" s="52">
        <f>IF(Учет!$O98=Справочники!$F$6,Учет!$H98,0)</f>
        <v>0</v>
      </c>
      <c r="G98" s="43">
        <f>G97+Учет!B98-B98</f>
        <v>-488978.92000000004</v>
      </c>
      <c r="H98" s="43">
        <f>H97+Учет!C98-C98</f>
        <v>336855</v>
      </c>
      <c r="I98" s="43">
        <f>I97+Учет!D98-D98</f>
        <v>500</v>
      </c>
      <c r="J98" s="43">
        <f>J97+Учет!E98-E98</f>
        <v>1150</v>
      </c>
      <c r="K98" s="43">
        <f>K97+Учет!F98-F98</f>
        <v>500000</v>
      </c>
      <c r="L98" s="45">
        <f>Учет!I98</f>
        <v>349526.07999999996</v>
      </c>
    </row>
    <row r="99" spans="1:12" x14ac:dyDescent="0.25">
      <c r="A99" s="48" t="str">
        <f>IF(Учет!A99&lt;&gt;"",Учет!A99,"")</f>
        <v/>
      </c>
      <c r="B99" s="52">
        <f>IF(Учет!$O99=Справочники!$F$2,Учет!$H99,0)</f>
        <v>0</v>
      </c>
      <c r="C99" s="52">
        <f>IF(Учет!$O99=Справочники!$F$3,Учет!$H99,0)</f>
        <v>0</v>
      </c>
      <c r="D99" s="52">
        <f>IF(Учет!$O99=Справочники!$F$4,Учет!$H99,0)</f>
        <v>0</v>
      </c>
      <c r="E99" s="52">
        <f>IF(Учет!$O99=Справочники!$F$5,Учет!$H99,0)</f>
        <v>0</v>
      </c>
      <c r="F99" s="52">
        <f>IF(Учет!$O99=Справочники!$F$6,Учет!$H99,0)</f>
        <v>0</v>
      </c>
      <c r="G99" s="43">
        <f>G98+Учет!B99-B99</f>
        <v>-488978.92000000004</v>
      </c>
      <c r="H99" s="43">
        <f>H98+Учет!C99-C99</f>
        <v>336855</v>
      </c>
      <c r="I99" s="43">
        <f>I98+Учет!D99-D99</f>
        <v>500</v>
      </c>
      <c r="J99" s="43">
        <f>J98+Учет!E99-E99</f>
        <v>1150</v>
      </c>
      <c r="K99" s="43">
        <f>K98+Учет!F99-F99</f>
        <v>500000</v>
      </c>
      <c r="L99" s="45">
        <f>Учет!I99</f>
        <v>349526.07999999996</v>
      </c>
    </row>
    <row r="100" spans="1:12" x14ac:dyDescent="0.25">
      <c r="A100" s="48" t="str">
        <f>IF(Учет!A100&lt;&gt;"",Учет!A100,"")</f>
        <v/>
      </c>
      <c r="B100" s="52">
        <f>IF(Учет!$O100=Справочники!$F$2,Учет!$H100,0)</f>
        <v>0</v>
      </c>
      <c r="C100" s="52">
        <f>IF(Учет!$O100=Справочники!$F$3,Учет!$H100,0)</f>
        <v>0</v>
      </c>
      <c r="D100" s="52">
        <f>IF(Учет!$O100=Справочники!$F$4,Учет!$H100,0)</f>
        <v>0</v>
      </c>
      <c r="E100" s="52">
        <f>IF(Учет!$O100=Справочники!$F$5,Учет!$H100,0)</f>
        <v>0</v>
      </c>
      <c r="F100" s="52">
        <f>IF(Учет!$O100=Справочники!$F$6,Учет!$H100,0)</f>
        <v>0</v>
      </c>
      <c r="G100" s="43">
        <f>G99+Учет!B100-B100</f>
        <v>-488978.92000000004</v>
      </c>
      <c r="H100" s="43">
        <f>H99+Учет!C100-C100</f>
        <v>336855</v>
      </c>
      <c r="I100" s="43">
        <f>I99+Учет!D100-D100</f>
        <v>500</v>
      </c>
      <c r="J100" s="43">
        <f>J99+Учет!E100-E100</f>
        <v>1150</v>
      </c>
      <c r="K100" s="43">
        <f>K99+Учет!F100-F100</f>
        <v>500000</v>
      </c>
      <c r="L100" s="45">
        <f>Учет!I100</f>
        <v>349526.07999999996</v>
      </c>
    </row>
    <row r="101" spans="1:12" x14ac:dyDescent="0.25">
      <c r="A101" s="48" t="str">
        <f>IF(Учет!A101&lt;&gt;"",Учет!A101,"")</f>
        <v/>
      </c>
      <c r="B101" s="52">
        <f>IF(Учет!$O101=Справочники!$F$2,Учет!$H101,0)</f>
        <v>0</v>
      </c>
      <c r="C101" s="52">
        <f>IF(Учет!$O101=Справочники!$F$3,Учет!$H101,0)</f>
        <v>0</v>
      </c>
      <c r="D101" s="52">
        <f>IF(Учет!$O101=Справочники!$F$4,Учет!$H101,0)</f>
        <v>0</v>
      </c>
      <c r="E101" s="52">
        <f>IF(Учет!$O101=Справочники!$F$5,Учет!$H101,0)</f>
        <v>0</v>
      </c>
      <c r="F101" s="52">
        <f>IF(Учет!$O101=Справочники!$F$6,Учет!$H101,0)</f>
        <v>0</v>
      </c>
      <c r="G101" s="43">
        <f>G100+Учет!B101-B101</f>
        <v>-488978.92000000004</v>
      </c>
      <c r="H101" s="43">
        <f>H100+Учет!C101-C101</f>
        <v>336855</v>
      </c>
      <c r="I101" s="43">
        <f>I100+Учет!D101-D101</f>
        <v>500</v>
      </c>
      <c r="J101" s="43">
        <f>J100+Учет!E101-E101</f>
        <v>1150</v>
      </c>
      <c r="K101" s="43">
        <f>K100+Учет!F101-F101</f>
        <v>500000</v>
      </c>
      <c r="L101" s="45">
        <f>Учет!I101</f>
        <v>349526.07999999996</v>
      </c>
    </row>
    <row r="102" spans="1:12" x14ac:dyDescent="0.25">
      <c r="A102" s="48" t="str">
        <f>IF(Учет!A102&lt;&gt;"",Учет!A102,"")</f>
        <v/>
      </c>
      <c r="B102" s="52">
        <f>IF(Учет!$O102=Справочники!$F$2,Учет!$H102,0)</f>
        <v>0</v>
      </c>
      <c r="C102" s="52">
        <f>IF(Учет!$O102=Справочники!$F$3,Учет!$H102,0)</f>
        <v>0</v>
      </c>
      <c r="D102" s="52">
        <f>IF(Учет!$O102=Справочники!$F$4,Учет!$H102,0)</f>
        <v>0</v>
      </c>
      <c r="E102" s="52">
        <f>IF(Учет!$O102=Справочники!$F$5,Учет!$H102,0)</f>
        <v>0</v>
      </c>
      <c r="F102" s="52">
        <f>IF(Учет!$O102=Справочники!$F$6,Учет!$H102,0)</f>
        <v>0</v>
      </c>
      <c r="G102" s="43">
        <f>G101+Учет!B102-B102</f>
        <v>-488978.92000000004</v>
      </c>
      <c r="H102" s="43">
        <f>H101+Учет!C102-C102</f>
        <v>336855</v>
      </c>
      <c r="I102" s="43">
        <f>I101+Учет!D102-D102</f>
        <v>500</v>
      </c>
      <c r="J102" s="43">
        <f>J101+Учет!E102-E102</f>
        <v>1150</v>
      </c>
      <c r="K102" s="43">
        <f>K101+Учет!F102-F102</f>
        <v>500000</v>
      </c>
      <c r="L102" s="45">
        <f>Учет!I102</f>
        <v>349526.07999999996</v>
      </c>
    </row>
    <row r="103" spans="1:12" x14ac:dyDescent="0.25">
      <c r="A103" s="48" t="str">
        <f>IF(Учет!A103&lt;&gt;"",Учет!A103,"")</f>
        <v/>
      </c>
      <c r="B103" s="52">
        <f>IF(Учет!$O103=Справочники!$F$2,Учет!$H103,0)</f>
        <v>0</v>
      </c>
      <c r="C103" s="52">
        <f>IF(Учет!$O103=Справочники!$F$3,Учет!$H103,0)</f>
        <v>0</v>
      </c>
      <c r="D103" s="52">
        <f>IF(Учет!$O103=Справочники!$F$4,Учет!$H103,0)</f>
        <v>0</v>
      </c>
      <c r="E103" s="52">
        <f>IF(Учет!$O103=Справочники!$F$5,Учет!$H103,0)</f>
        <v>0</v>
      </c>
      <c r="F103" s="52">
        <f>IF(Учет!$O103=Справочники!$F$6,Учет!$H103,0)</f>
        <v>0</v>
      </c>
      <c r="G103" s="43">
        <f>G102+Учет!B103-B103</f>
        <v>-488978.92000000004</v>
      </c>
      <c r="H103" s="43">
        <f>H102+Учет!C103-C103</f>
        <v>336855</v>
      </c>
      <c r="I103" s="43">
        <f>I102+Учет!D103-D103</f>
        <v>500</v>
      </c>
      <c r="J103" s="43">
        <f>J102+Учет!E103-E103</f>
        <v>1150</v>
      </c>
      <c r="K103" s="43">
        <f>K102+Учет!F103-F103</f>
        <v>500000</v>
      </c>
      <c r="L103" s="45">
        <f>Учет!I103</f>
        <v>349526.07999999996</v>
      </c>
    </row>
    <row r="104" spans="1:12" x14ac:dyDescent="0.25">
      <c r="A104" s="48" t="str">
        <f>IF(Учет!A104&lt;&gt;"",Учет!A104,"")</f>
        <v/>
      </c>
      <c r="B104" s="52">
        <f>IF(Учет!$O104=Справочники!$F$2,Учет!$H104,0)</f>
        <v>0</v>
      </c>
      <c r="C104" s="52">
        <f>IF(Учет!$O104=Справочники!$F$3,Учет!$H104,0)</f>
        <v>0</v>
      </c>
      <c r="D104" s="52">
        <f>IF(Учет!$O104=Справочники!$F$4,Учет!$H104,0)</f>
        <v>0</v>
      </c>
      <c r="E104" s="52">
        <f>IF(Учет!$O104=Справочники!$F$5,Учет!$H104,0)</f>
        <v>0</v>
      </c>
      <c r="F104" s="52">
        <f>IF(Учет!$O104=Справочники!$F$6,Учет!$H104,0)</f>
        <v>0</v>
      </c>
      <c r="G104" s="43">
        <f>G103+Учет!B104-B104</f>
        <v>-488978.92000000004</v>
      </c>
      <c r="H104" s="43">
        <f>H103+Учет!C104-C104</f>
        <v>336855</v>
      </c>
      <c r="I104" s="43">
        <f>I103+Учет!D104-D104</f>
        <v>500</v>
      </c>
      <c r="J104" s="43">
        <f>J103+Учет!E104-E104</f>
        <v>1150</v>
      </c>
      <c r="K104" s="43">
        <f>K103+Учет!F104-F104</f>
        <v>500000</v>
      </c>
      <c r="L104" s="45">
        <f>Учет!I104</f>
        <v>349526.07999999996</v>
      </c>
    </row>
    <row r="105" spans="1:12" x14ac:dyDescent="0.25">
      <c r="A105" s="48" t="str">
        <f>IF(Учет!A105&lt;&gt;"",Учет!A105,"")</f>
        <v/>
      </c>
      <c r="B105" s="52">
        <f>IF(Учет!$O105=Справочники!$F$2,Учет!$H105,0)</f>
        <v>0</v>
      </c>
      <c r="C105" s="52">
        <f>IF(Учет!$O105=Справочники!$F$3,Учет!$H105,0)</f>
        <v>0</v>
      </c>
      <c r="D105" s="52">
        <f>IF(Учет!$O105=Справочники!$F$4,Учет!$H105,0)</f>
        <v>0</v>
      </c>
      <c r="E105" s="52">
        <f>IF(Учет!$O105=Справочники!$F$5,Учет!$H105,0)</f>
        <v>0</v>
      </c>
      <c r="F105" s="52">
        <f>IF(Учет!$O105=Справочники!$F$6,Учет!$H105,0)</f>
        <v>0</v>
      </c>
      <c r="G105" s="43">
        <f>G104+Учет!B105-B105</f>
        <v>-488978.92000000004</v>
      </c>
      <c r="H105" s="43">
        <f>H104+Учет!C105-C105</f>
        <v>336855</v>
      </c>
      <c r="I105" s="43">
        <f>I104+Учет!D105-D105</f>
        <v>500</v>
      </c>
      <c r="J105" s="43">
        <f>J104+Учет!E105-E105</f>
        <v>1150</v>
      </c>
      <c r="K105" s="43">
        <f>K104+Учет!F105-F105</f>
        <v>500000</v>
      </c>
      <c r="L105" s="45">
        <f>Учет!I105</f>
        <v>349526.07999999996</v>
      </c>
    </row>
    <row r="106" spans="1:12" x14ac:dyDescent="0.25">
      <c r="A106" s="48" t="str">
        <f>IF(Учет!A106&lt;&gt;"",Учет!A106,"")</f>
        <v/>
      </c>
      <c r="B106" s="52">
        <f>IF(Учет!$O106=Справочники!$F$2,Учет!$H106,0)</f>
        <v>0</v>
      </c>
      <c r="C106" s="52">
        <f>IF(Учет!$O106=Справочники!$F$3,Учет!$H106,0)</f>
        <v>0</v>
      </c>
      <c r="D106" s="52">
        <f>IF(Учет!$O106=Справочники!$F$4,Учет!$H106,0)</f>
        <v>0</v>
      </c>
      <c r="E106" s="52">
        <f>IF(Учет!$O106=Справочники!$F$5,Учет!$H106,0)</f>
        <v>0</v>
      </c>
      <c r="F106" s="52">
        <f>IF(Учет!$O106=Справочники!$F$6,Учет!$H106,0)</f>
        <v>0</v>
      </c>
      <c r="G106" s="43">
        <f>G105+Учет!B106-B106</f>
        <v>-488978.92000000004</v>
      </c>
      <c r="H106" s="43">
        <f>H105+Учет!C106-C106</f>
        <v>336855</v>
      </c>
      <c r="I106" s="43">
        <f>I105+Учет!D106-D106</f>
        <v>500</v>
      </c>
      <c r="J106" s="43">
        <f>J105+Учет!E106-E106</f>
        <v>1150</v>
      </c>
      <c r="K106" s="43">
        <f>K105+Учет!F106-F106</f>
        <v>500000</v>
      </c>
      <c r="L106" s="45">
        <f>Учет!I106</f>
        <v>349526.07999999996</v>
      </c>
    </row>
    <row r="107" spans="1:12" x14ac:dyDescent="0.25">
      <c r="A107" s="48" t="str">
        <f>IF(Учет!A107&lt;&gt;"",Учет!A107,"")</f>
        <v/>
      </c>
      <c r="B107" s="52">
        <f>IF(Учет!$O107=Справочники!$F$2,Учет!$H107,0)</f>
        <v>0</v>
      </c>
      <c r="C107" s="52">
        <f>IF(Учет!$O107=Справочники!$F$3,Учет!$H107,0)</f>
        <v>0</v>
      </c>
      <c r="D107" s="52">
        <f>IF(Учет!$O107=Справочники!$F$4,Учет!$H107,0)</f>
        <v>0</v>
      </c>
      <c r="E107" s="52">
        <f>IF(Учет!$O107=Справочники!$F$5,Учет!$H107,0)</f>
        <v>0</v>
      </c>
      <c r="F107" s="52">
        <f>IF(Учет!$O107=Справочники!$F$6,Учет!$H107,0)</f>
        <v>0</v>
      </c>
      <c r="G107" s="43">
        <f>G106+Учет!B107-B107</f>
        <v>-488978.92000000004</v>
      </c>
      <c r="H107" s="43">
        <f>H106+Учет!C107-C107</f>
        <v>336855</v>
      </c>
      <c r="I107" s="43">
        <f>I106+Учет!D107-D107</f>
        <v>500</v>
      </c>
      <c r="J107" s="43">
        <f>J106+Учет!E107-E107</f>
        <v>1150</v>
      </c>
      <c r="K107" s="43">
        <f>K106+Учет!F107-F107</f>
        <v>500000</v>
      </c>
      <c r="L107" s="45">
        <f>Учет!I107</f>
        <v>349526.07999999996</v>
      </c>
    </row>
    <row r="108" spans="1:12" x14ac:dyDescent="0.25">
      <c r="A108" s="48" t="str">
        <f>IF(Учет!A108&lt;&gt;"",Учет!A108,"")</f>
        <v/>
      </c>
      <c r="B108" s="52">
        <f>IF(Учет!$O108=Справочники!$F$2,Учет!$H108,0)</f>
        <v>0</v>
      </c>
      <c r="C108" s="52">
        <f>IF(Учет!$O108=Справочники!$F$3,Учет!$H108,0)</f>
        <v>0</v>
      </c>
      <c r="D108" s="52">
        <f>IF(Учет!$O108=Справочники!$F$4,Учет!$H108,0)</f>
        <v>0</v>
      </c>
      <c r="E108" s="52">
        <f>IF(Учет!$O108=Справочники!$F$5,Учет!$H108,0)</f>
        <v>0</v>
      </c>
      <c r="F108" s="52">
        <f>IF(Учет!$O108=Справочники!$F$6,Учет!$H108,0)</f>
        <v>0</v>
      </c>
      <c r="G108" s="43">
        <f>G107+Учет!B108-B108</f>
        <v>-488978.92000000004</v>
      </c>
      <c r="H108" s="43">
        <f>H107+Учет!C108-C108</f>
        <v>336855</v>
      </c>
      <c r="I108" s="43">
        <f>I107+Учет!D108-D108</f>
        <v>500</v>
      </c>
      <c r="J108" s="43">
        <f>J107+Учет!E108-E108</f>
        <v>1150</v>
      </c>
      <c r="K108" s="43">
        <f>K107+Учет!F108-F108</f>
        <v>500000</v>
      </c>
      <c r="L108" s="45">
        <f>Учет!I108</f>
        <v>349526.07999999996</v>
      </c>
    </row>
    <row r="109" spans="1:12" x14ac:dyDescent="0.25">
      <c r="A109" s="48" t="str">
        <f>IF(Учет!A109&lt;&gt;"",Учет!A109,"")</f>
        <v/>
      </c>
      <c r="B109" s="52">
        <f>IF(Учет!$O109=Справочники!$F$2,Учет!$H109,0)</f>
        <v>0</v>
      </c>
      <c r="C109" s="52">
        <f>IF(Учет!$O109=Справочники!$F$3,Учет!$H109,0)</f>
        <v>0</v>
      </c>
      <c r="D109" s="52">
        <f>IF(Учет!$O109=Справочники!$F$4,Учет!$H109,0)</f>
        <v>0</v>
      </c>
      <c r="E109" s="52">
        <f>IF(Учет!$O109=Справочники!$F$5,Учет!$H109,0)</f>
        <v>0</v>
      </c>
      <c r="F109" s="52">
        <f>IF(Учет!$O109=Справочники!$F$6,Учет!$H109,0)</f>
        <v>0</v>
      </c>
      <c r="G109" s="43">
        <f>G108+Учет!B109-B109</f>
        <v>-488978.92000000004</v>
      </c>
      <c r="H109" s="43">
        <f>H108+Учет!C109-C109</f>
        <v>336855</v>
      </c>
      <c r="I109" s="43">
        <f>I108+Учет!D109-D109</f>
        <v>500</v>
      </c>
      <c r="J109" s="43">
        <f>J108+Учет!E109-E109</f>
        <v>1150</v>
      </c>
      <c r="K109" s="43">
        <f>K108+Учет!F109-F109</f>
        <v>500000</v>
      </c>
      <c r="L109" s="45">
        <f>Учет!I109</f>
        <v>349526.07999999996</v>
      </c>
    </row>
    <row r="110" spans="1:12" x14ac:dyDescent="0.25">
      <c r="A110" s="48" t="str">
        <f>IF(Учет!A110&lt;&gt;"",Учет!A110,"")</f>
        <v/>
      </c>
      <c r="B110" s="52">
        <f>IF(Учет!$O110=Справочники!$F$2,Учет!$H110,0)</f>
        <v>0</v>
      </c>
      <c r="C110" s="52">
        <f>IF(Учет!$O110=Справочники!$F$3,Учет!$H110,0)</f>
        <v>0</v>
      </c>
      <c r="D110" s="52">
        <f>IF(Учет!$O110=Справочники!$F$4,Учет!$H110,0)</f>
        <v>0</v>
      </c>
      <c r="E110" s="52">
        <f>IF(Учет!$O110=Справочники!$F$5,Учет!$H110,0)</f>
        <v>0</v>
      </c>
      <c r="F110" s="52">
        <f>IF(Учет!$O110=Справочники!$F$6,Учет!$H110,0)</f>
        <v>0</v>
      </c>
      <c r="G110" s="43">
        <f>G109+Учет!B110-B110</f>
        <v>-488978.92000000004</v>
      </c>
      <c r="H110" s="43">
        <f>H109+Учет!C110-C110</f>
        <v>336855</v>
      </c>
      <c r="I110" s="43">
        <f>I109+Учет!D110-D110</f>
        <v>500</v>
      </c>
      <c r="J110" s="43">
        <f>J109+Учет!E110-E110</f>
        <v>1150</v>
      </c>
      <c r="K110" s="43">
        <f>K109+Учет!F110-F110</f>
        <v>500000</v>
      </c>
      <c r="L110" s="45">
        <f>Учет!I110</f>
        <v>349526.07999999996</v>
      </c>
    </row>
    <row r="111" spans="1:12" x14ac:dyDescent="0.25">
      <c r="A111" s="48" t="str">
        <f>IF(Учет!A111&lt;&gt;"",Учет!A111,"")</f>
        <v/>
      </c>
      <c r="B111" s="52">
        <f>IF(Учет!$O111=Справочники!$F$2,Учет!$H111,0)</f>
        <v>0</v>
      </c>
      <c r="C111" s="52">
        <f>IF(Учет!$O111=Справочники!$F$3,Учет!$H111,0)</f>
        <v>0</v>
      </c>
      <c r="D111" s="52">
        <f>IF(Учет!$O111=Справочники!$F$4,Учет!$H111,0)</f>
        <v>0</v>
      </c>
      <c r="E111" s="52">
        <f>IF(Учет!$O111=Справочники!$F$5,Учет!$H111,0)</f>
        <v>0</v>
      </c>
      <c r="F111" s="52">
        <f>IF(Учет!$O111=Справочники!$F$6,Учет!$H111,0)</f>
        <v>0</v>
      </c>
      <c r="G111" s="43">
        <f>G110+Учет!B111-B111</f>
        <v>-488978.92000000004</v>
      </c>
      <c r="H111" s="43">
        <f>H110+Учет!C111-C111</f>
        <v>336855</v>
      </c>
      <c r="I111" s="43">
        <f>I110+Учет!D111-D111</f>
        <v>500</v>
      </c>
      <c r="J111" s="43">
        <f>J110+Учет!E111-E111</f>
        <v>1150</v>
      </c>
      <c r="K111" s="43">
        <f>K110+Учет!F111-F111</f>
        <v>500000</v>
      </c>
      <c r="L111" s="45">
        <f>Учет!I111</f>
        <v>349526.07999999996</v>
      </c>
    </row>
    <row r="112" spans="1:12" x14ac:dyDescent="0.25">
      <c r="A112" s="48" t="str">
        <f>IF(Учет!A112&lt;&gt;"",Учет!A112,"")</f>
        <v/>
      </c>
      <c r="B112" s="52">
        <f>IF(Учет!$O112=Справочники!$F$2,Учет!$H112,0)</f>
        <v>0</v>
      </c>
      <c r="C112" s="52">
        <f>IF(Учет!$O112=Справочники!$F$3,Учет!$H112,0)</f>
        <v>0</v>
      </c>
      <c r="D112" s="52">
        <f>IF(Учет!$O112=Справочники!$F$4,Учет!$H112,0)</f>
        <v>0</v>
      </c>
      <c r="E112" s="52">
        <f>IF(Учет!$O112=Справочники!$F$5,Учет!$H112,0)</f>
        <v>0</v>
      </c>
      <c r="F112" s="52">
        <f>IF(Учет!$O112=Справочники!$F$6,Учет!$H112,0)</f>
        <v>0</v>
      </c>
      <c r="G112" s="43">
        <f>G111+Учет!B112-B112</f>
        <v>-488978.92000000004</v>
      </c>
      <c r="H112" s="43">
        <f>H111+Учет!C112-C112</f>
        <v>336855</v>
      </c>
      <c r="I112" s="43">
        <f>I111+Учет!D112-D112</f>
        <v>500</v>
      </c>
      <c r="J112" s="43">
        <f>J111+Учет!E112-E112</f>
        <v>1150</v>
      </c>
      <c r="K112" s="43">
        <f>K111+Учет!F112-F112</f>
        <v>500000</v>
      </c>
      <c r="L112" s="45">
        <f>Учет!I112</f>
        <v>349526.07999999996</v>
      </c>
    </row>
    <row r="113" spans="1:12" x14ac:dyDescent="0.25">
      <c r="A113" s="48" t="str">
        <f>IF(Учет!A113&lt;&gt;"",Учет!A113,"")</f>
        <v/>
      </c>
      <c r="B113" s="52">
        <f>IF(Учет!$O113=Справочники!$F$2,Учет!$H113,0)</f>
        <v>0</v>
      </c>
      <c r="C113" s="52">
        <f>IF(Учет!$O113=Справочники!$F$3,Учет!$H113,0)</f>
        <v>0</v>
      </c>
      <c r="D113" s="52">
        <f>IF(Учет!$O113=Справочники!$F$4,Учет!$H113,0)</f>
        <v>0</v>
      </c>
      <c r="E113" s="52">
        <f>IF(Учет!$O113=Справочники!$F$5,Учет!$H113,0)</f>
        <v>0</v>
      </c>
      <c r="F113" s="52">
        <f>IF(Учет!$O113=Справочники!$F$6,Учет!$H113,0)</f>
        <v>0</v>
      </c>
      <c r="G113" s="43">
        <f>G112+Учет!B113-B113</f>
        <v>-488978.92000000004</v>
      </c>
      <c r="H113" s="43">
        <f>H112+Учет!C113-C113</f>
        <v>336855</v>
      </c>
      <c r="I113" s="43">
        <f>I112+Учет!D113-D113</f>
        <v>500</v>
      </c>
      <c r="J113" s="43">
        <f>J112+Учет!E113-E113</f>
        <v>1150</v>
      </c>
      <c r="K113" s="43">
        <f>K112+Учет!F113-F113</f>
        <v>500000</v>
      </c>
      <c r="L113" s="45">
        <f>Учет!I113</f>
        <v>349526.07999999996</v>
      </c>
    </row>
    <row r="114" spans="1:12" x14ac:dyDescent="0.25">
      <c r="A114" s="48" t="str">
        <f>IF(Учет!A114&lt;&gt;"",Учет!A114,"")</f>
        <v/>
      </c>
      <c r="B114" s="52">
        <f>IF(Учет!$O114=Справочники!$F$2,Учет!$H114,0)</f>
        <v>0</v>
      </c>
      <c r="C114" s="52">
        <f>IF(Учет!$O114=Справочники!$F$3,Учет!$H114,0)</f>
        <v>0</v>
      </c>
      <c r="D114" s="52">
        <f>IF(Учет!$O114=Справочники!$F$4,Учет!$H114,0)</f>
        <v>0</v>
      </c>
      <c r="E114" s="52">
        <f>IF(Учет!$O114=Справочники!$F$5,Учет!$H114,0)</f>
        <v>0</v>
      </c>
      <c r="F114" s="52">
        <f>IF(Учет!$O114=Справочники!$F$6,Учет!$H114,0)</f>
        <v>0</v>
      </c>
      <c r="G114" s="43">
        <f>G113+Учет!B114-B114</f>
        <v>-488978.92000000004</v>
      </c>
      <c r="H114" s="43">
        <f>H113+Учет!C114-C114</f>
        <v>336855</v>
      </c>
      <c r="I114" s="43">
        <f>I113+Учет!D114-D114</f>
        <v>500</v>
      </c>
      <c r="J114" s="43">
        <f>J113+Учет!E114-E114</f>
        <v>1150</v>
      </c>
      <c r="K114" s="43">
        <f>K113+Учет!F114-F114</f>
        <v>500000</v>
      </c>
      <c r="L114" s="45">
        <f>Учет!I114</f>
        <v>349526.07999999996</v>
      </c>
    </row>
    <row r="115" spans="1:12" x14ac:dyDescent="0.25">
      <c r="A115" s="48" t="str">
        <f>IF(Учет!A115&lt;&gt;"",Учет!A115,"")</f>
        <v/>
      </c>
      <c r="B115" s="52">
        <f>IF(Учет!$O115=Справочники!$F$2,Учет!$H115,0)</f>
        <v>0</v>
      </c>
      <c r="C115" s="52">
        <f>IF(Учет!$O115=Справочники!$F$3,Учет!$H115,0)</f>
        <v>0</v>
      </c>
      <c r="D115" s="52">
        <f>IF(Учет!$O115=Справочники!$F$4,Учет!$H115,0)</f>
        <v>0</v>
      </c>
      <c r="E115" s="52">
        <f>IF(Учет!$O115=Справочники!$F$5,Учет!$H115,0)</f>
        <v>0</v>
      </c>
      <c r="F115" s="52">
        <f>IF(Учет!$O115=Справочники!$F$6,Учет!$H115,0)</f>
        <v>0</v>
      </c>
      <c r="G115" s="43">
        <f>G114+Учет!B115-B115</f>
        <v>-488978.92000000004</v>
      </c>
      <c r="H115" s="43">
        <f>H114+Учет!C115-C115</f>
        <v>336855</v>
      </c>
      <c r="I115" s="43">
        <f>I114+Учет!D115-D115</f>
        <v>500</v>
      </c>
      <c r="J115" s="43">
        <f>J114+Учет!E115-E115</f>
        <v>1150</v>
      </c>
      <c r="K115" s="43">
        <f>K114+Учет!F115-F115</f>
        <v>500000</v>
      </c>
      <c r="L115" s="45">
        <f>Учет!I115</f>
        <v>349526.07999999996</v>
      </c>
    </row>
    <row r="116" spans="1:12" x14ac:dyDescent="0.25">
      <c r="A116" s="48" t="str">
        <f>IF(Учет!A116&lt;&gt;"",Учет!A116,"")</f>
        <v/>
      </c>
      <c r="B116" s="52">
        <f>IF(Учет!$O116=Справочники!$F$2,Учет!$H116,0)</f>
        <v>0</v>
      </c>
      <c r="C116" s="52">
        <f>IF(Учет!$O116=Справочники!$F$3,Учет!$H116,0)</f>
        <v>0</v>
      </c>
      <c r="D116" s="52">
        <f>IF(Учет!$O116=Справочники!$F$4,Учет!$H116,0)</f>
        <v>0</v>
      </c>
      <c r="E116" s="52">
        <f>IF(Учет!$O116=Справочники!$F$5,Учет!$H116,0)</f>
        <v>0</v>
      </c>
      <c r="F116" s="52">
        <f>IF(Учет!$O116=Справочники!$F$6,Учет!$H116,0)</f>
        <v>0</v>
      </c>
      <c r="G116" s="43">
        <f>G115+Учет!B116-B116</f>
        <v>-488978.92000000004</v>
      </c>
      <c r="H116" s="43">
        <f>H115+Учет!C116-C116</f>
        <v>336855</v>
      </c>
      <c r="I116" s="43">
        <f>I115+Учет!D116-D116</f>
        <v>500</v>
      </c>
      <c r="J116" s="43">
        <f>J115+Учет!E116-E116</f>
        <v>1150</v>
      </c>
      <c r="K116" s="43">
        <f>K115+Учет!F116-F116</f>
        <v>500000</v>
      </c>
      <c r="L116" s="45">
        <f>Учет!I116</f>
        <v>349526.07999999996</v>
      </c>
    </row>
    <row r="117" spans="1:12" x14ac:dyDescent="0.25">
      <c r="A117" s="48" t="str">
        <f>IF(Учет!A117&lt;&gt;"",Учет!A117,"")</f>
        <v/>
      </c>
      <c r="B117" s="52">
        <f>IF(Учет!$O117=Справочники!$F$2,Учет!$H117,0)</f>
        <v>0</v>
      </c>
      <c r="C117" s="52">
        <f>IF(Учет!$O117=Справочники!$F$3,Учет!$H117,0)</f>
        <v>0</v>
      </c>
      <c r="D117" s="52">
        <f>IF(Учет!$O117=Справочники!$F$4,Учет!$H117,0)</f>
        <v>0</v>
      </c>
      <c r="E117" s="52">
        <f>IF(Учет!$O117=Справочники!$F$5,Учет!$H117,0)</f>
        <v>0</v>
      </c>
      <c r="F117" s="52">
        <f>IF(Учет!$O117=Справочники!$F$6,Учет!$H117,0)</f>
        <v>0</v>
      </c>
      <c r="G117" s="43">
        <f>G116+Учет!B117-B117</f>
        <v>-488978.92000000004</v>
      </c>
      <c r="H117" s="43">
        <f>H116+Учет!C117-C117</f>
        <v>336855</v>
      </c>
      <c r="I117" s="43">
        <f>I116+Учет!D117-D117</f>
        <v>500</v>
      </c>
      <c r="J117" s="43">
        <f>J116+Учет!E117-E117</f>
        <v>1150</v>
      </c>
      <c r="K117" s="43">
        <f>K116+Учет!F117-F117</f>
        <v>500000</v>
      </c>
      <c r="L117" s="45">
        <f>Учет!I117</f>
        <v>349526.07999999996</v>
      </c>
    </row>
    <row r="118" spans="1:12" x14ac:dyDescent="0.25">
      <c r="A118" s="48" t="str">
        <f>IF(Учет!A118&lt;&gt;"",Учет!A118,"")</f>
        <v/>
      </c>
      <c r="B118" s="52">
        <f>IF(Учет!$O118=Справочники!$F$2,Учет!$H118,0)</f>
        <v>0</v>
      </c>
      <c r="C118" s="52">
        <f>IF(Учет!$O118=Справочники!$F$3,Учет!$H118,0)</f>
        <v>0</v>
      </c>
      <c r="D118" s="52">
        <f>IF(Учет!$O118=Справочники!$F$4,Учет!$H118,0)</f>
        <v>0</v>
      </c>
      <c r="E118" s="52">
        <f>IF(Учет!$O118=Справочники!$F$5,Учет!$H118,0)</f>
        <v>0</v>
      </c>
      <c r="F118" s="52">
        <f>IF(Учет!$O118=Справочники!$F$6,Учет!$H118,0)</f>
        <v>0</v>
      </c>
      <c r="G118" s="43">
        <f>G117+Учет!B118-B118</f>
        <v>-488978.92000000004</v>
      </c>
      <c r="H118" s="43">
        <f>H117+Учет!C118-C118</f>
        <v>336855</v>
      </c>
      <c r="I118" s="43">
        <f>I117+Учет!D118-D118</f>
        <v>500</v>
      </c>
      <c r="J118" s="43">
        <f>J117+Учет!E118-E118</f>
        <v>1150</v>
      </c>
      <c r="K118" s="43">
        <f>K117+Учет!F118-F118</f>
        <v>500000</v>
      </c>
      <c r="L118" s="45">
        <f>Учет!I118</f>
        <v>349526.07999999996</v>
      </c>
    </row>
    <row r="119" spans="1:12" x14ac:dyDescent="0.25">
      <c r="A119" s="48" t="str">
        <f>IF(Учет!A119&lt;&gt;"",Учет!A119,"")</f>
        <v/>
      </c>
      <c r="B119" s="52">
        <f>IF(Учет!$O119=Справочники!$F$2,Учет!$H119,0)</f>
        <v>0</v>
      </c>
      <c r="C119" s="52">
        <f>IF(Учет!$O119=Справочники!$F$3,Учет!$H119,0)</f>
        <v>0</v>
      </c>
      <c r="D119" s="52">
        <f>IF(Учет!$O119=Справочники!$F$4,Учет!$H119,0)</f>
        <v>0</v>
      </c>
      <c r="E119" s="52">
        <f>IF(Учет!$O119=Справочники!$F$5,Учет!$H119,0)</f>
        <v>0</v>
      </c>
      <c r="F119" s="52">
        <f>IF(Учет!$O119=Справочники!$F$6,Учет!$H119,0)</f>
        <v>0</v>
      </c>
      <c r="G119" s="43">
        <f>G118+Учет!B119-B119</f>
        <v>-488978.92000000004</v>
      </c>
      <c r="H119" s="43">
        <f>H118+Учет!C119-C119</f>
        <v>336855</v>
      </c>
      <c r="I119" s="43">
        <f>I118+Учет!D119-D119</f>
        <v>500</v>
      </c>
      <c r="J119" s="43">
        <f>J118+Учет!E119-E119</f>
        <v>1150</v>
      </c>
      <c r="K119" s="43">
        <f>K118+Учет!F119-F119</f>
        <v>500000</v>
      </c>
      <c r="L119" s="45">
        <f>Учет!I119</f>
        <v>349526.07999999996</v>
      </c>
    </row>
    <row r="120" spans="1:12" x14ac:dyDescent="0.25">
      <c r="A120" s="48" t="str">
        <f>IF(Учет!A120&lt;&gt;"",Учет!A120,"")</f>
        <v/>
      </c>
      <c r="B120" s="52">
        <f>IF(Учет!$O120=Справочники!$F$2,Учет!$H120,0)</f>
        <v>0</v>
      </c>
      <c r="C120" s="52">
        <f>IF(Учет!$O120=Справочники!$F$3,Учет!$H120,0)</f>
        <v>0</v>
      </c>
      <c r="D120" s="52">
        <f>IF(Учет!$O120=Справочники!$F$4,Учет!$H120,0)</f>
        <v>0</v>
      </c>
      <c r="E120" s="52">
        <f>IF(Учет!$O120=Справочники!$F$5,Учет!$H120,0)</f>
        <v>0</v>
      </c>
      <c r="F120" s="52">
        <f>IF(Учет!$O120=Справочники!$F$6,Учет!$H120,0)</f>
        <v>0</v>
      </c>
      <c r="G120" s="43">
        <f>G119+Учет!B120-B120</f>
        <v>-488978.92000000004</v>
      </c>
      <c r="H120" s="43">
        <f>H119+Учет!C120-C120</f>
        <v>336855</v>
      </c>
      <c r="I120" s="43">
        <f>I119+Учет!D120-D120</f>
        <v>500</v>
      </c>
      <c r="J120" s="43">
        <f>J119+Учет!E120-E120</f>
        <v>1150</v>
      </c>
      <c r="K120" s="43">
        <f>K119+Учет!F120-F120</f>
        <v>500000</v>
      </c>
      <c r="L120" s="45">
        <f>Учет!I120</f>
        <v>349526.07999999996</v>
      </c>
    </row>
    <row r="121" spans="1:12" x14ac:dyDescent="0.25">
      <c r="A121" s="48" t="str">
        <f>IF(Учет!A121&lt;&gt;"",Учет!A121,"")</f>
        <v/>
      </c>
      <c r="B121" s="52">
        <f>IF(Учет!$O121=Справочники!$F$2,Учет!$H121,0)</f>
        <v>0</v>
      </c>
      <c r="C121" s="52">
        <f>IF(Учет!$O121=Справочники!$F$3,Учет!$H121,0)</f>
        <v>0</v>
      </c>
      <c r="D121" s="52">
        <f>IF(Учет!$O121=Справочники!$F$4,Учет!$H121,0)</f>
        <v>0</v>
      </c>
      <c r="E121" s="52">
        <f>IF(Учет!$O121=Справочники!$F$5,Учет!$H121,0)</f>
        <v>0</v>
      </c>
      <c r="F121" s="52">
        <f>IF(Учет!$O121=Справочники!$F$6,Учет!$H121,0)</f>
        <v>0</v>
      </c>
      <c r="G121" s="43">
        <f>G120+Учет!B121-B121</f>
        <v>-488978.92000000004</v>
      </c>
      <c r="H121" s="43">
        <f>H120+Учет!C121-C121</f>
        <v>336855</v>
      </c>
      <c r="I121" s="43">
        <f>I120+Учет!D121-D121</f>
        <v>500</v>
      </c>
      <c r="J121" s="43">
        <f>J120+Учет!E121-E121</f>
        <v>1150</v>
      </c>
      <c r="K121" s="43">
        <f>K120+Учет!F121-F121</f>
        <v>500000</v>
      </c>
      <c r="L121" s="45">
        <f>Учет!I121</f>
        <v>349526.07999999996</v>
      </c>
    </row>
    <row r="122" spans="1:12" x14ac:dyDescent="0.25">
      <c r="A122" s="48" t="str">
        <f>IF(Учет!A122&lt;&gt;"",Учет!A122,"")</f>
        <v/>
      </c>
      <c r="B122" s="52">
        <f>IF(Учет!$O122=Справочники!$F$2,Учет!$H122,0)</f>
        <v>0</v>
      </c>
      <c r="C122" s="52">
        <f>IF(Учет!$O122=Справочники!$F$3,Учет!$H122,0)</f>
        <v>0</v>
      </c>
      <c r="D122" s="52">
        <f>IF(Учет!$O122=Справочники!$F$4,Учет!$H122,0)</f>
        <v>0</v>
      </c>
      <c r="E122" s="52">
        <f>IF(Учет!$O122=Справочники!$F$5,Учет!$H122,0)</f>
        <v>0</v>
      </c>
      <c r="F122" s="52">
        <f>IF(Учет!$O122=Справочники!$F$6,Учет!$H122,0)</f>
        <v>0</v>
      </c>
      <c r="G122" s="43">
        <f>G121+Учет!B122-B122</f>
        <v>-488978.92000000004</v>
      </c>
      <c r="H122" s="43">
        <f>H121+Учет!C122-C122</f>
        <v>336855</v>
      </c>
      <c r="I122" s="43">
        <f>I121+Учет!D122-D122</f>
        <v>500</v>
      </c>
      <c r="J122" s="43">
        <f>J121+Учет!E122-E122</f>
        <v>1150</v>
      </c>
      <c r="K122" s="43">
        <f>K121+Учет!F122-F122</f>
        <v>500000</v>
      </c>
      <c r="L122" s="45">
        <f>Учет!I122</f>
        <v>349526.07999999996</v>
      </c>
    </row>
    <row r="123" spans="1:12" x14ac:dyDescent="0.25">
      <c r="A123" s="48" t="str">
        <f>IF(Учет!A123&lt;&gt;"",Учет!A123,"")</f>
        <v/>
      </c>
      <c r="B123" s="52">
        <f>IF(Учет!$O123=Справочники!$F$2,Учет!$H123,0)</f>
        <v>0</v>
      </c>
      <c r="C123" s="52">
        <f>IF(Учет!$O123=Справочники!$F$3,Учет!$H123,0)</f>
        <v>0</v>
      </c>
      <c r="D123" s="52">
        <f>IF(Учет!$O123=Справочники!$F$4,Учет!$H123,0)</f>
        <v>0</v>
      </c>
      <c r="E123" s="52">
        <f>IF(Учет!$O123=Справочники!$F$5,Учет!$H123,0)</f>
        <v>0</v>
      </c>
      <c r="F123" s="52">
        <f>IF(Учет!$O123=Справочники!$F$6,Учет!$H123,0)</f>
        <v>0</v>
      </c>
      <c r="G123" s="43">
        <f>G122+Учет!B123-B123</f>
        <v>-488978.92000000004</v>
      </c>
      <c r="H123" s="43">
        <f>H122+Учет!C123-C123</f>
        <v>336855</v>
      </c>
      <c r="I123" s="43">
        <f>I122+Учет!D123-D123</f>
        <v>500</v>
      </c>
      <c r="J123" s="43">
        <f>J122+Учет!E123-E123</f>
        <v>1150</v>
      </c>
      <c r="K123" s="43">
        <f>K122+Учет!F123-F123</f>
        <v>500000</v>
      </c>
      <c r="L123" s="45">
        <f>Учет!I123</f>
        <v>349526.07999999996</v>
      </c>
    </row>
    <row r="124" spans="1:12" x14ac:dyDescent="0.25">
      <c r="A124" s="48" t="str">
        <f>IF(Учет!A124&lt;&gt;"",Учет!A124,"")</f>
        <v/>
      </c>
      <c r="B124" s="52">
        <f>IF(Учет!$O124=Справочники!$F$2,Учет!$H124,0)</f>
        <v>0</v>
      </c>
      <c r="C124" s="52">
        <f>IF(Учет!$O124=Справочники!$F$3,Учет!$H124,0)</f>
        <v>0</v>
      </c>
      <c r="D124" s="52">
        <f>IF(Учет!$O124=Справочники!$F$4,Учет!$H124,0)</f>
        <v>0</v>
      </c>
      <c r="E124" s="52">
        <f>IF(Учет!$O124=Справочники!$F$5,Учет!$H124,0)</f>
        <v>0</v>
      </c>
      <c r="F124" s="52">
        <f>IF(Учет!$O124=Справочники!$F$6,Учет!$H124,0)</f>
        <v>0</v>
      </c>
      <c r="G124" s="43">
        <f>G123+Учет!B124-B124</f>
        <v>-488978.92000000004</v>
      </c>
      <c r="H124" s="43">
        <f>H123+Учет!C124-C124</f>
        <v>336855</v>
      </c>
      <c r="I124" s="43">
        <f>I123+Учет!D124-D124</f>
        <v>500</v>
      </c>
      <c r="J124" s="43">
        <f>J123+Учет!E124-E124</f>
        <v>1150</v>
      </c>
      <c r="K124" s="43">
        <f>K123+Учет!F124-F124</f>
        <v>500000</v>
      </c>
      <c r="L124" s="45">
        <f>Учет!I124</f>
        <v>349526.07999999996</v>
      </c>
    </row>
    <row r="125" spans="1:12" x14ac:dyDescent="0.25">
      <c r="A125" s="48" t="str">
        <f>IF(Учет!A125&lt;&gt;"",Учет!A125,"")</f>
        <v/>
      </c>
      <c r="B125" s="52">
        <f>IF(Учет!$O125=Справочники!$F$2,Учет!$H125,0)</f>
        <v>0</v>
      </c>
      <c r="C125" s="52">
        <f>IF(Учет!$O125=Справочники!$F$3,Учет!$H125,0)</f>
        <v>0</v>
      </c>
      <c r="D125" s="52">
        <f>IF(Учет!$O125=Справочники!$F$4,Учет!$H125,0)</f>
        <v>0</v>
      </c>
      <c r="E125" s="52">
        <f>IF(Учет!$O125=Справочники!$F$5,Учет!$H125,0)</f>
        <v>0</v>
      </c>
      <c r="F125" s="52">
        <f>IF(Учет!$O125=Справочники!$F$6,Учет!$H125,0)</f>
        <v>0</v>
      </c>
      <c r="G125" s="43">
        <f>G124+Учет!B125-B125</f>
        <v>-488978.92000000004</v>
      </c>
      <c r="H125" s="43">
        <f>H124+Учет!C125-C125</f>
        <v>336855</v>
      </c>
      <c r="I125" s="43">
        <f>I124+Учет!D125-D125</f>
        <v>500</v>
      </c>
      <c r="J125" s="43">
        <f>J124+Учет!E125-E125</f>
        <v>1150</v>
      </c>
      <c r="K125" s="43">
        <f>K124+Учет!F125-F125</f>
        <v>500000</v>
      </c>
      <c r="L125" s="45">
        <f>Учет!I125</f>
        <v>349526.07999999996</v>
      </c>
    </row>
    <row r="126" spans="1:12" x14ac:dyDescent="0.25">
      <c r="A126" s="48" t="str">
        <f>IF(Учет!A126&lt;&gt;"",Учет!A126,"")</f>
        <v/>
      </c>
      <c r="B126" s="52">
        <f>IF(Учет!$O126=Справочники!$F$2,Учет!$H126,0)</f>
        <v>0</v>
      </c>
      <c r="C126" s="52">
        <f>IF(Учет!$O126=Справочники!$F$3,Учет!$H126,0)</f>
        <v>0</v>
      </c>
      <c r="D126" s="52">
        <f>IF(Учет!$O126=Справочники!$F$4,Учет!$H126,0)</f>
        <v>0</v>
      </c>
      <c r="E126" s="52">
        <f>IF(Учет!$O126=Справочники!$F$5,Учет!$H126,0)</f>
        <v>0</v>
      </c>
      <c r="F126" s="52">
        <f>IF(Учет!$O126=Справочники!$F$6,Учет!$H126,0)</f>
        <v>0</v>
      </c>
      <c r="G126" s="43">
        <f>G125+Учет!B126-B126</f>
        <v>-488978.92000000004</v>
      </c>
      <c r="H126" s="43">
        <f>H125+Учет!C126-C126</f>
        <v>336855</v>
      </c>
      <c r="I126" s="43">
        <f>I125+Учет!D126-D126</f>
        <v>500</v>
      </c>
      <c r="J126" s="43">
        <f>J125+Учет!E126-E126</f>
        <v>1150</v>
      </c>
      <c r="K126" s="43">
        <f>K125+Учет!F126-F126</f>
        <v>500000</v>
      </c>
      <c r="L126" s="45">
        <f>Учет!I126</f>
        <v>349526.07999999996</v>
      </c>
    </row>
    <row r="127" spans="1:12" x14ac:dyDescent="0.25">
      <c r="A127" s="48" t="str">
        <f>IF(Учет!A127&lt;&gt;"",Учет!A127,"")</f>
        <v/>
      </c>
      <c r="B127" s="52">
        <f>IF(Учет!$O127=Справочники!$F$2,Учет!$H127,0)</f>
        <v>0</v>
      </c>
      <c r="C127" s="52">
        <f>IF(Учет!$O127=Справочники!$F$3,Учет!$H127,0)</f>
        <v>0</v>
      </c>
      <c r="D127" s="52">
        <f>IF(Учет!$O127=Справочники!$F$4,Учет!$H127,0)</f>
        <v>0</v>
      </c>
      <c r="E127" s="52">
        <f>IF(Учет!$O127=Справочники!$F$5,Учет!$H127,0)</f>
        <v>0</v>
      </c>
      <c r="F127" s="52">
        <f>IF(Учет!$O127=Справочники!$F$6,Учет!$H127,0)</f>
        <v>0</v>
      </c>
      <c r="G127" s="43">
        <f>G126+Учет!B127-B127</f>
        <v>-488978.92000000004</v>
      </c>
      <c r="H127" s="43">
        <f>H126+Учет!C127-C127</f>
        <v>336855</v>
      </c>
      <c r="I127" s="43">
        <f>I126+Учет!D127-D127</f>
        <v>500</v>
      </c>
      <c r="J127" s="43">
        <f>J126+Учет!E127-E127</f>
        <v>1150</v>
      </c>
      <c r="K127" s="43">
        <f>K126+Учет!F127-F127</f>
        <v>500000</v>
      </c>
      <c r="L127" s="45">
        <f>Учет!I127</f>
        <v>349526.07999999996</v>
      </c>
    </row>
    <row r="128" spans="1:12" x14ac:dyDescent="0.25">
      <c r="A128" s="48" t="str">
        <f>IF(Учет!A128&lt;&gt;"",Учет!A128,"")</f>
        <v/>
      </c>
      <c r="B128" s="52">
        <f>IF(Учет!$O128=Справочники!$F$2,Учет!$H128,0)</f>
        <v>0</v>
      </c>
      <c r="C128" s="52">
        <f>IF(Учет!$O128=Справочники!$F$3,Учет!$H128,0)</f>
        <v>0</v>
      </c>
      <c r="D128" s="52">
        <f>IF(Учет!$O128=Справочники!$F$4,Учет!$H128,0)</f>
        <v>0</v>
      </c>
      <c r="E128" s="52">
        <f>IF(Учет!$O128=Справочники!$F$5,Учет!$H128,0)</f>
        <v>0</v>
      </c>
      <c r="F128" s="52">
        <f>IF(Учет!$O128=Справочники!$F$6,Учет!$H128,0)</f>
        <v>0</v>
      </c>
      <c r="G128" s="43">
        <f>G127+Учет!B128-B128</f>
        <v>-488978.92000000004</v>
      </c>
      <c r="H128" s="43">
        <f>H127+Учет!C128-C128</f>
        <v>336855</v>
      </c>
      <c r="I128" s="43">
        <f>I127+Учет!D128-D128</f>
        <v>500</v>
      </c>
      <c r="J128" s="43">
        <f>J127+Учет!E128-E128</f>
        <v>1150</v>
      </c>
      <c r="K128" s="43">
        <f>K127+Учет!F128-F128</f>
        <v>500000</v>
      </c>
      <c r="L128" s="45">
        <f>Учет!I128</f>
        <v>349526.07999999996</v>
      </c>
    </row>
    <row r="129" spans="1:12" x14ac:dyDescent="0.25">
      <c r="A129" s="48" t="str">
        <f>IF(Учет!A129&lt;&gt;"",Учет!A129,"")</f>
        <v/>
      </c>
      <c r="B129" s="52">
        <f>IF(Учет!$O129=Справочники!$F$2,Учет!$H129,0)</f>
        <v>0</v>
      </c>
      <c r="C129" s="52">
        <f>IF(Учет!$O129=Справочники!$F$3,Учет!$H129,0)</f>
        <v>0</v>
      </c>
      <c r="D129" s="52">
        <f>IF(Учет!$O129=Справочники!$F$4,Учет!$H129,0)</f>
        <v>0</v>
      </c>
      <c r="E129" s="52">
        <f>IF(Учет!$O129=Справочники!$F$5,Учет!$H129,0)</f>
        <v>0</v>
      </c>
      <c r="F129" s="52">
        <f>IF(Учет!$O129=Справочники!$F$6,Учет!$H129,0)</f>
        <v>0</v>
      </c>
      <c r="G129" s="43">
        <f>G128+Учет!B129-B129</f>
        <v>-488978.92000000004</v>
      </c>
      <c r="H129" s="43">
        <f>H128+Учет!C129-C129</f>
        <v>336855</v>
      </c>
      <c r="I129" s="43">
        <f>I128+Учет!D129-D129</f>
        <v>500</v>
      </c>
      <c r="J129" s="43">
        <f>J128+Учет!E129-E129</f>
        <v>1150</v>
      </c>
      <c r="K129" s="43">
        <f>K128+Учет!F129-F129</f>
        <v>500000</v>
      </c>
      <c r="L129" s="45">
        <f>Учет!I129</f>
        <v>349526.07999999996</v>
      </c>
    </row>
    <row r="130" spans="1:12" x14ac:dyDescent="0.25">
      <c r="A130" s="48" t="str">
        <f>IF(Учет!A130&lt;&gt;"",Учет!A130,"")</f>
        <v/>
      </c>
      <c r="B130" s="52">
        <f>IF(Учет!$O130=Справочники!$F$2,Учет!$H130,0)</f>
        <v>0</v>
      </c>
      <c r="C130" s="52">
        <f>IF(Учет!$O130=Справочники!$F$3,Учет!$H130,0)</f>
        <v>0</v>
      </c>
      <c r="D130" s="52">
        <f>IF(Учет!$O130=Справочники!$F$4,Учет!$H130,0)</f>
        <v>0</v>
      </c>
      <c r="E130" s="52">
        <f>IF(Учет!$O130=Справочники!$F$5,Учет!$H130,0)</f>
        <v>0</v>
      </c>
      <c r="F130" s="52">
        <f>IF(Учет!$O130=Справочники!$F$6,Учет!$H130,0)</f>
        <v>0</v>
      </c>
      <c r="G130" s="43">
        <f>G129+Учет!B130-B130</f>
        <v>-488978.92000000004</v>
      </c>
      <c r="H130" s="43">
        <f>H129+Учет!C130-C130</f>
        <v>336855</v>
      </c>
      <c r="I130" s="43">
        <f>I129+Учет!D130-D130</f>
        <v>500</v>
      </c>
      <c r="J130" s="43">
        <f>J129+Учет!E130-E130</f>
        <v>1150</v>
      </c>
      <c r="K130" s="43">
        <f>K129+Учет!F130-F130</f>
        <v>500000</v>
      </c>
      <c r="L130" s="45">
        <f>Учет!I130</f>
        <v>349526.07999999996</v>
      </c>
    </row>
    <row r="131" spans="1:12" x14ac:dyDescent="0.25">
      <c r="A131" s="48" t="str">
        <f>IF(Учет!A131&lt;&gt;"",Учет!A131,"")</f>
        <v/>
      </c>
      <c r="B131" s="52">
        <f>IF(Учет!$O131=Справочники!$F$2,Учет!$H131,0)</f>
        <v>0</v>
      </c>
      <c r="C131" s="52">
        <f>IF(Учет!$O131=Справочники!$F$3,Учет!$H131,0)</f>
        <v>0</v>
      </c>
      <c r="D131" s="52">
        <f>IF(Учет!$O131=Справочники!$F$4,Учет!$H131,0)</f>
        <v>0</v>
      </c>
      <c r="E131" s="52">
        <f>IF(Учет!$O131=Справочники!$F$5,Учет!$H131,0)</f>
        <v>0</v>
      </c>
      <c r="F131" s="52">
        <f>IF(Учет!$O131=Справочники!$F$6,Учет!$H131,0)</f>
        <v>0</v>
      </c>
      <c r="G131" s="43">
        <f>G130+Учет!B131-B131</f>
        <v>-488978.92000000004</v>
      </c>
      <c r="H131" s="43">
        <f>H130+Учет!C131-C131</f>
        <v>336855</v>
      </c>
      <c r="I131" s="43">
        <f>I130+Учет!D131-D131</f>
        <v>500</v>
      </c>
      <c r="J131" s="43">
        <f>J130+Учет!E131-E131</f>
        <v>1150</v>
      </c>
      <c r="K131" s="43">
        <f>K130+Учет!F131-F131</f>
        <v>500000</v>
      </c>
      <c r="L131" s="45">
        <f>Учет!I131</f>
        <v>349526.07999999996</v>
      </c>
    </row>
    <row r="132" spans="1:12" x14ac:dyDescent="0.25">
      <c r="A132" s="48" t="str">
        <f>IF(Учет!A132&lt;&gt;"",Учет!A132,"")</f>
        <v/>
      </c>
      <c r="B132" s="52">
        <f>IF(Учет!$O132=Справочники!$F$2,Учет!$H132,0)</f>
        <v>0</v>
      </c>
      <c r="C132" s="52">
        <f>IF(Учет!$O132=Справочники!$F$3,Учет!$H132,0)</f>
        <v>0</v>
      </c>
      <c r="D132" s="52">
        <f>IF(Учет!$O132=Справочники!$F$4,Учет!$H132,0)</f>
        <v>0</v>
      </c>
      <c r="E132" s="52">
        <f>IF(Учет!$O132=Справочники!$F$5,Учет!$H132,0)</f>
        <v>0</v>
      </c>
      <c r="F132" s="52">
        <f>IF(Учет!$O132=Справочники!$F$6,Учет!$H132,0)</f>
        <v>0</v>
      </c>
      <c r="G132" s="43">
        <f>G131+Учет!B132-B132</f>
        <v>-488978.92000000004</v>
      </c>
      <c r="H132" s="43">
        <f>H131+Учет!C132-C132</f>
        <v>336855</v>
      </c>
      <c r="I132" s="43">
        <f>I131+Учет!D132-D132</f>
        <v>500</v>
      </c>
      <c r="J132" s="43">
        <f>J131+Учет!E132-E132</f>
        <v>1150</v>
      </c>
      <c r="K132" s="43">
        <f>K131+Учет!F132-F132</f>
        <v>500000</v>
      </c>
      <c r="L132" s="45">
        <f>Учет!I132</f>
        <v>349526.07999999996</v>
      </c>
    </row>
    <row r="133" spans="1:12" x14ac:dyDescent="0.25">
      <c r="A133" s="48" t="str">
        <f>IF(Учет!A133&lt;&gt;"",Учет!A133,"")</f>
        <v/>
      </c>
      <c r="B133" s="52">
        <f>IF(Учет!$O133=Справочники!$F$2,Учет!$H133,0)</f>
        <v>0</v>
      </c>
      <c r="C133" s="52">
        <f>IF(Учет!$O133=Справочники!$F$3,Учет!$H133,0)</f>
        <v>0</v>
      </c>
      <c r="D133" s="52">
        <f>IF(Учет!$O133=Справочники!$F$4,Учет!$H133,0)</f>
        <v>0</v>
      </c>
      <c r="E133" s="52">
        <f>IF(Учет!$O133=Справочники!$F$5,Учет!$H133,0)</f>
        <v>0</v>
      </c>
      <c r="F133" s="52">
        <f>IF(Учет!$O133=Справочники!$F$6,Учет!$H133,0)</f>
        <v>0</v>
      </c>
      <c r="G133" s="43">
        <f>G132+Учет!B133-B133</f>
        <v>-488978.92000000004</v>
      </c>
      <c r="H133" s="43">
        <f>H132+Учет!C133-C133</f>
        <v>336855</v>
      </c>
      <c r="I133" s="43">
        <f>I132+Учет!D133-D133</f>
        <v>500</v>
      </c>
      <c r="J133" s="43">
        <f>J132+Учет!E133-E133</f>
        <v>1150</v>
      </c>
      <c r="K133" s="43">
        <f>K132+Учет!F133-F133</f>
        <v>500000</v>
      </c>
      <c r="L133" s="45">
        <f>Учет!I133</f>
        <v>349526.07999999996</v>
      </c>
    </row>
    <row r="134" spans="1:12" x14ac:dyDescent="0.25">
      <c r="A134" s="48" t="str">
        <f>IF(Учет!A134&lt;&gt;"",Учет!A134,"")</f>
        <v/>
      </c>
      <c r="B134" s="52">
        <f>IF(Учет!$O134=Справочники!$F$2,Учет!$H134,0)</f>
        <v>0</v>
      </c>
      <c r="C134" s="52">
        <f>IF(Учет!$O134=Справочники!$F$3,Учет!$H134,0)</f>
        <v>0</v>
      </c>
      <c r="D134" s="52">
        <f>IF(Учет!$O134=Справочники!$F$4,Учет!$H134,0)</f>
        <v>0</v>
      </c>
      <c r="E134" s="52">
        <f>IF(Учет!$O134=Справочники!$F$5,Учет!$H134,0)</f>
        <v>0</v>
      </c>
      <c r="F134" s="52">
        <f>IF(Учет!$O134=Справочники!$F$6,Учет!$H134,0)</f>
        <v>0</v>
      </c>
      <c r="G134" s="43">
        <f>G133+Учет!B134-B134</f>
        <v>-488978.92000000004</v>
      </c>
      <c r="H134" s="43">
        <f>H133+Учет!C134-C134</f>
        <v>336855</v>
      </c>
      <c r="I134" s="43">
        <f>I133+Учет!D134-D134</f>
        <v>500</v>
      </c>
      <c r="J134" s="43">
        <f>J133+Учет!E134-E134</f>
        <v>1150</v>
      </c>
      <c r="K134" s="43">
        <f>K133+Учет!F134-F134</f>
        <v>500000</v>
      </c>
      <c r="L134" s="45">
        <f>Учет!I134</f>
        <v>349526.07999999996</v>
      </c>
    </row>
    <row r="135" spans="1:12" x14ac:dyDescent="0.25">
      <c r="A135" s="48" t="str">
        <f>IF(Учет!A135&lt;&gt;"",Учет!A135,"")</f>
        <v/>
      </c>
      <c r="B135" s="52">
        <f>IF(Учет!$O135=Справочники!$F$2,Учет!$H135,0)</f>
        <v>0</v>
      </c>
      <c r="C135" s="52">
        <f>IF(Учет!$O135=Справочники!$F$3,Учет!$H135,0)</f>
        <v>0</v>
      </c>
      <c r="D135" s="52">
        <f>IF(Учет!$O135=Справочники!$F$4,Учет!$H135,0)</f>
        <v>0</v>
      </c>
      <c r="E135" s="52">
        <f>IF(Учет!$O135=Справочники!$F$5,Учет!$H135,0)</f>
        <v>0</v>
      </c>
      <c r="F135" s="52">
        <f>IF(Учет!$O135=Справочники!$F$6,Учет!$H135,0)</f>
        <v>0</v>
      </c>
      <c r="G135" s="43">
        <f>G134+Учет!B135-B135</f>
        <v>-488978.92000000004</v>
      </c>
      <c r="H135" s="43">
        <f>H134+Учет!C135-C135</f>
        <v>336855</v>
      </c>
      <c r="I135" s="43">
        <f>I134+Учет!D135-D135</f>
        <v>500</v>
      </c>
      <c r="J135" s="43">
        <f>J134+Учет!E135-E135</f>
        <v>1150</v>
      </c>
      <c r="K135" s="43">
        <f>K134+Учет!F135-F135</f>
        <v>500000</v>
      </c>
      <c r="L135" s="45">
        <f>Учет!I135</f>
        <v>349526.07999999996</v>
      </c>
    </row>
    <row r="136" spans="1:12" x14ac:dyDescent="0.25">
      <c r="A136" s="48" t="str">
        <f>IF(Учет!A136&lt;&gt;"",Учет!A136,"")</f>
        <v/>
      </c>
      <c r="B136" s="52">
        <f>IF(Учет!$O136=Справочники!$F$2,Учет!$H136,0)</f>
        <v>0</v>
      </c>
      <c r="C136" s="52">
        <f>IF(Учет!$O136=Справочники!$F$3,Учет!$H136,0)</f>
        <v>0</v>
      </c>
      <c r="D136" s="52">
        <f>IF(Учет!$O136=Справочники!$F$4,Учет!$H136,0)</f>
        <v>0</v>
      </c>
      <c r="E136" s="52">
        <f>IF(Учет!$O136=Справочники!$F$5,Учет!$H136,0)</f>
        <v>0</v>
      </c>
      <c r="F136" s="52">
        <f>IF(Учет!$O136=Справочники!$F$6,Учет!$H136,0)</f>
        <v>0</v>
      </c>
      <c r="G136" s="43">
        <f>G135+Учет!B136-B136</f>
        <v>-488978.92000000004</v>
      </c>
      <c r="H136" s="43">
        <f>H135+Учет!C136-C136</f>
        <v>336855</v>
      </c>
      <c r="I136" s="43">
        <f>I135+Учет!D136-D136</f>
        <v>500</v>
      </c>
      <c r="J136" s="43">
        <f>J135+Учет!E136-E136</f>
        <v>1150</v>
      </c>
      <c r="K136" s="43">
        <f>K135+Учет!F136-F136</f>
        <v>500000</v>
      </c>
      <c r="L136" s="45">
        <f>Учет!I136</f>
        <v>349526.07999999996</v>
      </c>
    </row>
    <row r="137" spans="1:12" x14ac:dyDescent="0.25">
      <c r="A137" s="48" t="str">
        <f>IF(Учет!A137&lt;&gt;"",Учет!A137,"")</f>
        <v/>
      </c>
      <c r="B137" s="52">
        <f>IF(Учет!$O137=Справочники!$F$2,Учет!$H137,0)</f>
        <v>0</v>
      </c>
      <c r="C137" s="52">
        <f>IF(Учет!$O137=Справочники!$F$3,Учет!$H137,0)</f>
        <v>0</v>
      </c>
      <c r="D137" s="52">
        <f>IF(Учет!$O137=Справочники!$F$4,Учет!$H137,0)</f>
        <v>0</v>
      </c>
      <c r="E137" s="52">
        <f>IF(Учет!$O137=Справочники!$F$5,Учет!$H137,0)</f>
        <v>0</v>
      </c>
      <c r="F137" s="52">
        <f>IF(Учет!$O137=Справочники!$F$6,Учет!$H137,0)</f>
        <v>0</v>
      </c>
      <c r="G137" s="43">
        <f>G136+Учет!B137-B137</f>
        <v>-488978.92000000004</v>
      </c>
      <c r="H137" s="43">
        <f>H136+Учет!C137-C137</f>
        <v>336855</v>
      </c>
      <c r="I137" s="43">
        <f>I136+Учет!D137-D137</f>
        <v>500</v>
      </c>
      <c r="J137" s="43">
        <f>J136+Учет!E137-E137</f>
        <v>1150</v>
      </c>
      <c r="K137" s="43">
        <f>K136+Учет!F137-F137</f>
        <v>500000</v>
      </c>
      <c r="L137" s="45">
        <f>Учет!I137</f>
        <v>349526.07999999996</v>
      </c>
    </row>
    <row r="138" spans="1:12" x14ac:dyDescent="0.25">
      <c r="A138" s="48" t="str">
        <f>IF(Учет!A138&lt;&gt;"",Учет!A138,"")</f>
        <v/>
      </c>
      <c r="B138" s="52">
        <f>IF(Учет!$O138=Справочники!$F$2,Учет!$H138,0)</f>
        <v>0</v>
      </c>
      <c r="C138" s="52">
        <f>IF(Учет!$O138=Справочники!$F$3,Учет!$H138,0)</f>
        <v>0</v>
      </c>
      <c r="D138" s="52">
        <f>IF(Учет!$O138=Справочники!$F$4,Учет!$H138,0)</f>
        <v>0</v>
      </c>
      <c r="E138" s="52">
        <f>IF(Учет!$O138=Справочники!$F$5,Учет!$H138,0)</f>
        <v>0</v>
      </c>
      <c r="F138" s="52">
        <f>IF(Учет!$O138=Справочники!$F$6,Учет!$H138,0)</f>
        <v>0</v>
      </c>
      <c r="G138" s="43">
        <f>G137+Учет!B138-B138</f>
        <v>-488978.92000000004</v>
      </c>
      <c r="H138" s="43">
        <f>H137+Учет!C138-C138</f>
        <v>336855</v>
      </c>
      <c r="I138" s="43">
        <f>I137+Учет!D138-D138</f>
        <v>500</v>
      </c>
      <c r="J138" s="43">
        <f>J137+Учет!E138-E138</f>
        <v>1150</v>
      </c>
      <c r="K138" s="43">
        <f>K137+Учет!F138-F138</f>
        <v>500000</v>
      </c>
      <c r="L138" s="45">
        <f>Учет!I138</f>
        <v>349526.07999999996</v>
      </c>
    </row>
    <row r="139" spans="1:12" x14ac:dyDescent="0.25">
      <c r="A139" s="48" t="str">
        <f>IF(Учет!A139&lt;&gt;"",Учет!A139,"")</f>
        <v/>
      </c>
      <c r="B139" s="52">
        <f>IF(Учет!$O139=Справочники!$F$2,Учет!$H139,0)</f>
        <v>0</v>
      </c>
      <c r="C139" s="52">
        <f>IF(Учет!$O139=Справочники!$F$3,Учет!$H139,0)</f>
        <v>0</v>
      </c>
      <c r="D139" s="52">
        <f>IF(Учет!$O139=Справочники!$F$4,Учет!$H139,0)</f>
        <v>0</v>
      </c>
      <c r="E139" s="52">
        <f>IF(Учет!$O139=Справочники!$F$5,Учет!$H139,0)</f>
        <v>0</v>
      </c>
      <c r="F139" s="52">
        <f>IF(Учет!$O139=Справочники!$F$6,Учет!$H139,0)</f>
        <v>0</v>
      </c>
      <c r="G139" s="43">
        <f>G138+Учет!B139-B139</f>
        <v>-488978.92000000004</v>
      </c>
      <c r="H139" s="43">
        <f>H138+Учет!C139-C139</f>
        <v>336855</v>
      </c>
      <c r="I139" s="43">
        <f>I138+Учет!D139-D139</f>
        <v>500</v>
      </c>
      <c r="J139" s="43">
        <f>J138+Учет!E139-E139</f>
        <v>1150</v>
      </c>
      <c r="K139" s="43">
        <f>K138+Учет!F139-F139</f>
        <v>500000</v>
      </c>
      <c r="L139" s="45">
        <f>Учет!I139</f>
        <v>349526.07999999996</v>
      </c>
    </row>
    <row r="140" spans="1:12" x14ac:dyDescent="0.25">
      <c r="A140" s="48" t="str">
        <f>IF(Учет!A140&lt;&gt;"",Учет!A140,"")</f>
        <v/>
      </c>
      <c r="B140" s="52">
        <f>IF(Учет!$O140=Справочники!$F$2,Учет!$H140,0)</f>
        <v>0</v>
      </c>
      <c r="C140" s="52">
        <f>IF(Учет!$O140=Справочники!$F$3,Учет!$H140,0)</f>
        <v>0</v>
      </c>
      <c r="D140" s="52">
        <f>IF(Учет!$O140=Справочники!$F$4,Учет!$H140,0)</f>
        <v>0</v>
      </c>
      <c r="E140" s="52">
        <f>IF(Учет!$O140=Справочники!$F$5,Учет!$H140,0)</f>
        <v>0</v>
      </c>
      <c r="F140" s="52">
        <f>IF(Учет!$O140=Справочники!$F$6,Учет!$H140,0)</f>
        <v>0</v>
      </c>
      <c r="G140" s="43">
        <f>G139+Учет!B140-B140</f>
        <v>-488978.92000000004</v>
      </c>
      <c r="H140" s="43">
        <f>H139+Учет!C140-C140</f>
        <v>336855</v>
      </c>
      <c r="I140" s="43">
        <f>I139+Учет!D140-D140</f>
        <v>500</v>
      </c>
      <c r="J140" s="43">
        <f>J139+Учет!E140-E140</f>
        <v>1150</v>
      </c>
      <c r="K140" s="43">
        <f>K139+Учет!F140-F140</f>
        <v>500000</v>
      </c>
      <c r="L140" s="45">
        <f>Учет!I140</f>
        <v>349526.07999999996</v>
      </c>
    </row>
    <row r="141" spans="1:12" x14ac:dyDescent="0.25">
      <c r="A141" s="48" t="str">
        <f>IF(Учет!A141&lt;&gt;"",Учет!A141,"")</f>
        <v/>
      </c>
      <c r="B141" s="52">
        <f>IF(Учет!$O141=Справочники!$F$2,Учет!$H141,0)</f>
        <v>0</v>
      </c>
      <c r="C141" s="52">
        <f>IF(Учет!$O141=Справочники!$F$3,Учет!$H141,0)</f>
        <v>0</v>
      </c>
      <c r="D141" s="52">
        <f>IF(Учет!$O141=Справочники!$F$4,Учет!$H141,0)</f>
        <v>0</v>
      </c>
      <c r="E141" s="52">
        <f>IF(Учет!$O141=Справочники!$F$5,Учет!$H141,0)</f>
        <v>0</v>
      </c>
      <c r="F141" s="52">
        <f>IF(Учет!$O141=Справочники!$F$6,Учет!$H141,0)</f>
        <v>0</v>
      </c>
      <c r="G141" s="43">
        <f>G140+Учет!B141-B141</f>
        <v>-488978.92000000004</v>
      </c>
      <c r="H141" s="43">
        <f>H140+Учет!C141-C141</f>
        <v>336855</v>
      </c>
      <c r="I141" s="43">
        <f>I140+Учет!D141-D141</f>
        <v>500</v>
      </c>
      <c r="J141" s="43">
        <f>J140+Учет!E141-E141</f>
        <v>1150</v>
      </c>
      <c r="K141" s="43">
        <f>K140+Учет!F141-F141</f>
        <v>500000</v>
      </c>
      <c r="L141" s="45">
        <f>Учет!I141</f>
        <v>349526.07999999996</v>
      </c>
    </row>
    <row r="142" spans="1:12" x14ac:dyDescent="0.25">
      <c r="A142" s="48" t="str">
        <f>IF(Учет!A142&lt;&gt;"",Учет!A142,"")</f>
        <v/>
      </c>
      <c r="B142" s="52">
        <f>IF(Учет!$O142=Справочники!$F$2,Учет!$H142,0)</f>
        <v>0</v>
      </c>
      <c r="C142" s="52">
        <f>IF(Учет!$O142=Справочники!$F$3,Учет!$H142,0)</f>
        <v>0</v>
      </c>
      <c r="D142" s="52">
        <f>IF(Учет!$O142=Справочники!$F$4,Учет!$H142,0)</f>
        <v>0</v>
      </c>
      <c r="E142" s="52">
        <f>IF(Учет!$O142=Справочники!$F$5,Учет!$H142,0)</f>
        <v>0</v>
      </c>
      <c r="F142" s="52">
        <f>IF(Учет!$O142=Справочники!$F$6,Учет!$H142,0)</f>
        <v>0</v>
      </c>
      <c r="G142" s="43">
        <f>G141+Учет!B142-B142</f>
        <v>-488978.92000000004</v>
      </c>
      <c r="H142" s="43">
        <f>H141+Учет!C142-C142</f>
        <v>336855</v>
      </c>
      <c r="I142" s="43">
        <f>I141+Учет!D142-D142</f>
        <v>500</v>
      </c>
      <c r="J142" s="43">
        <f>J141+Учет!E142-E142</f>
        <v>1150</v>
      </c>
      <c r="K142" s="43">
        <f>K141+Учет!F142-F142</f>
        <v>500000</v>
      </c>
      <c r="L142" s="45">
        <f>Учет!I142</f>
        <v>349526.07999999996</v>
      </c>
    </row>
    <row r="143" spans="1:12" x14ac:dyDescent="0.25">
      <c r="A143" s="48" t="str">
        <f>IF(Учет!A143&lt;&gt;"",Учет!A143,"")</f>
        <v/>
      </c>
      <c r="B143" s="52">
        <f>IF(Учет!$O143=Справочники!$F$2,Учет!$H143,0)</f>
        <v>0</v>
      </c>
      <c r="C143" s="52">
        <f>IF(Учет!$O143=Справочники!$F$3,Учет!$H143,0)</f>
        <v>0</v>
      </c>
      <c r="D143" s="52">
        <f>IF(Учет!$O143=Справочники!$F$4,Учет!$H143,0)</f>
        <v>0</v>
      </c>
      <c r="E143" s="52">
        <f>IF(Учет!$O143=Справочники!$F$5,Учет!$H143,0)</f>
        <v>0</v>
      </c>
      <c r="F143" s="52">
        <f>IF(Учет!$O143=Справочники!$F$6,Учет!$H143,0)</f>
        <v>0</v>
      </c>
      <c r="G143" s="43">
        <f>G142+Учет!B143-B143</f>
        <v>-488978.92000000004</v>
      </c>
      <c r="H143" s="43">
        <f>H142+Учет!C143-C143</f>
        <v>336855</v>
      </c>
      <c r="I143" s="43">
        <f>I142+Учет!D143-D143</f>
        <v>500</v>
      </c>
      <c r="J143" s="43">
        <f>J142+Учет!E143-E143</f>
        <v>1150</v>
      </c>
      <c r="K143" s="43">
        <f>K142+Учет!F143-F143</f>
        <v>500000</v>
      </c>
      <c r="L143" s="45">
        <f>Учет!I143</f>
        <v>349526.07999999996</v>
      </c>
    </row>
    <row r="144" spans="1:12" x14ac:dyDescent="0.25">
      <c r="A144" s="48" t="str">
        <f>IF(Учет!A144&lt;&gt;"",Учет!A144,"")</f>
        <v/>
      </c>
      <c r="B144" s="52">
        <f>IF(Учет!$O144=Справочники!$F$2,Учет!$H144,0)</f>
        <v>0</v>
      </c>
      <c r="C144" s="52">
        <f>IF(Учет!$O144=Справочники!$F$3,Учет!$H144,0)</f>
        <v>0</v>
      </c>
      <c r="D144" s="52">
        <f>IF(Учет!$O144=Справочники!$F$4,Учет!$H144,0)</f>
        <v>0</v>
      </c>
      <c r="E144" s="52">
        <f>IF(Учет!$O144=Справочники!$F$5,Учет!$H144,0)</f>
        <v>0</v>
      </c>
      <c r="F144" s="52">
        <f>IF(Учет!$O144=Справочники!$F$6,Учет!$H144,0)</f>
        <v>0</v>
      </c>
      <c r="G144" s="43">
        <f>G143+Учет!B144-B144</f>
        <v>-488978.92000000004</v>
      </c>
      <c r="H144" s="43">
        <f>H143+Учет!C144-C144</f>
        <v>336855</v>
      </c>
      <c r="I144" s="43">
        <f>I143+Учет!D144-D144</f>
        <v>500</v>
      </c>
      <c r="J144" s="43">
        <f>J143+Учет!E144-E144</f>
        <v>1150</v>
      </c>
      <c r="K144" s="43">
        <f>K143+Учет!F144-F144</f>
        <v>500000</v>
      </c>
      <c r="L144" s="45">
        <f>Учет!I144</f>
        <v>349526.07999999996</v>
      </c>
    </row>
    <row r="145" spans="1:12" x14ac:dyDescent="0.25">
      <c r="A145" s="48" t="str">
        <f>IF(Учет!A145&lt;&gt;"",Учет!A145,"")</f>
        <v/>
      </c>
      <c r="B145" s="52">
        <f>IF(Учет!$O145=Справочники!$F$2,Учет!$H145,0)</f>
        <v>0</v>
      </c>
      <c r="C145" s="52">
        <f>IF(Учет!$O145=Справочники!$F$3,Учет!$H145,0)</f>
        <v>0</v>
      </c>
      <c r="D145" s="52">
        <f>IF(Учет!$O145=Справочники!$F$4,Учет!$H145,0)</f>
        <v>0</v>
      </c>
      <c r="E145" s="52">
        <f>IF(Учет!$O145=Справочники!$F$5,Учет!$H145,0)</f>
        <v>0</v>
      </c>
      <c r="F145" s="52">
        <f>IF(Учет!$O145=Справочники!$F$6,Учет!$H145,0)</f>
        <v>0</v>
      </c>
      <c r="G145" s="43">
        <f>G144+Учет!B145-B145</f>
        <v>-488978.92000000004</v>
      </c>
      <c r="H145" s="43">
        <f>H144+Учет!C145-C145</f>
        <v>336855</v>
      </c>
      <c r="I145" s="43">
        <f>I144+Учет!D145-D145</f>
        <v>500</v>
      </c>
      <c r="J145" s="43">
        <f>J144+Учет!E145-E145</f>
        <v>1150</v>
      </c>
      <c r="K145" s="43">
        <f>K144+Учет!F145-F145</f>
        <v>500000</v>
      </c>
      <c r="L145" s="45">
        <f>Учет!I145</f>
        <v>349526.07999999996</v>
      </c>
    </row>
    <row r="146" spans="1:12" x14ac:dyDescent="0.25">
      <c r="A146" s="48" t="str">
        <f>IF(Учет!A146&lt;&gt;"",Учет!A146,"")</f>
        <v/>
      </c>
      <c r="B146" s="52">
        <f>IF(Учет!$O146=Справочники!$F$2,Учет!$H146,0)</f>
        <v>0</v>
      </c>
      <c r="C146" s="52">
        <f>IF(Учет!$O146=Справочники!$F$3,Учет!$H146,0)</f>
        <v>0</v>
      </c>
      <c r="D146" s="52">
        <f>IF(Учет!$O146=Справочники!$F$4,Учет!$H146,0)</f>
        <v>0</v>
      </c>
      <c r="E146" s="52">
        <f>IF(Учет!$O146=Справочники!$F$5,Учет!$H146,0)</f>
        <v>0</v>
      </c>
      <c r="F146" s="52">
        <f>IF(Учет!$O146=Справочники!$F$6,Учет!$H146,0)</f>
        <v>0</v>
      </c>
      <c r="G146" s="43">
        <f>G145+Учет!B146-B146</f>
        <v>-488978.92000000004</v>
      </c>
      <c r="H146" s="43">
        <f>H145+Учет!C146-C146</f>
        <v>336855</v>
      </c>
      <c r="I146" s="43">
        <f>I145+Учет!D146-D146</f>
        <v>500</v>
      </c>
      <c r="J146" s="43">
        <f>J145+Учет!E146-E146</f>
        <v>1150</v>
      </c>
      <c r="K146" s="43">
        <f>K145+Учет!F146-F146</f>
        <v>500000</v>
      </c>
      <c r="L146" s="45">
        <f>Учет!I146</f>
        <v>349526.07999999996</v>
      </c>
    </row>
    <row r="147" spans="1:12" x14ac:dyDescent="0.25">
      <c r="A147" s="48" t="str">
        <f>IF(Учет!A147&lt;&gt;"",Учет!A147,"")</f>
        <v/>
      </c>
      <c r="B147" s="52">
        <f>IF(Учет!$O147=Справочники!$F$2,Учет!$H147,0)</f>
        <v>0</v>
      </c>
      <c r="C147" s="52">
        <f>IF(Учет!$O147=Справочники!$F$3,Учет!$H147,0)</f>
        <v>0</v>
      </c>
      <c r="D147" s="52">
        <f>IF(Учет!$O147=Справочники!$F$4,Учет!$H147,0)</f>
        <v>0</v>
      </c>
      <c r="E147" s="52">
        <f>IF(Учет!$O147=Справочники!$F$5,Учет!$H147,0)</f>
        <v>0</v>
      </c>
      <c r="F147" s="52">
        <f>IF(Учет!$O147=Справочники!$F$6,Учет!$H147,0)</f>
        <v>0</v>
      </c>
      <c r="G147" s="43">
        <f>G146+Учет!B147-B147</f>
        <v>-488978.92000000004</v>
      </c>
      <c r="H147" s="43">
        <f>H146+Учет!C147-C147</f>
        <v>336855</v>
      </c>
      <c r="I147" s="43">
        <f>I146+Учет!D147-D147</f>
        <v>500</v>
      </c>
      <c r="J147" s="43">
        <f>J146+Учет!E147-E147</f>
        <v>1150</v>
      </c>
      <c r="K147" s="43">
        <f>K146+Учет!F147-F147</f>
        <v>500000</v>
      </c>
      <c r="L147" s="45">
        <f>Учет!I147</f>
        <v>349526.07999999996</v>
      </c>
    </row>
    <row r="148" spans="1:12" x14ac:dyDescent="0.25">
      <c r="A148" s="48" t="str">
        <f>IF(Учет!A148&lt;&gt;"",Учет!A148,"")</f>
        <v/>
      </c>
      <c r="B148" s="52">
        <f>IF(Учет!$O148=Справочники!$F$2,Учет!$H148,0)</f>
        <v>0</v>
      </c>
      <c r="C148" s="52">
        <f>IF(Учет!$O148=Справочники!$F$3,Учет!$H148,0)</f>
        <v>0</v>
      </c>
      <c r="D148" s="52">
        <f>IF(Учет!$O148=Справочники!$F$4,Учет!$H148,0)</f>
        <v>0</v>
      </c>
      <c r="E148" s="52">
        <f>IF(Учет!$O148=Справочники!$F$5,Учет!$H148,0)</f>
        <v>0</v>
      </c>
      <c r="F148" s="52">
        <f>IF(Учет!$O148=Справочники!$F$6,Учет!$H148,0)</f>
        <v>0</v>
      </c>
      <c r="G148" s="43">
        <f>G147+Учет!B148-B148</f>
        <v>-488978.92000000004</v>
      </c>
      <c r="H148" s="43">
        <f>H147+Учет!C148-C148</f>
        <v>336855</v>
      </c>
      <c r="I148" s="43">
        <f>I147+Учет!D148-D148</f>
        <v>500</v>
      </c>
      <c r="J148" s="43">
        <f>J147+Учет!E148-E148</f>
        <v>1150</v>
      </c>
      <c r="K148" s="43">
        <f>K147+Учет!F148-F148</f>
        <v>500000</v>
      </c>
      <c r="L148" s="45">
        <f>Учет!I148</f>
        <v>349526.07999999996</v>
      </c>
    </row>
    <row r="149" spans="1:12" x14ac:dyDescent="0.25">
      <c r="A149" s="48" t="str">
        <f>IF(Учет!A149&lt;&gt;"",Учет!A149,"")</f>
        <v/>
      </c>
      <c r="B149" s="52">
        <f>IF(Учет!$O149=Справочники!$F$2,Учет!$H149,0)</f>
        <v>0</v>
      </c>
      <c r="C149" s="52">
        <f>IF(Учет!$O149=Справочники!$F$3,Учет!$H149,0)</f>
        <v>0</v>
      </c>
      <c r="D149" s="52">
        <f>IF(Учет!$O149=Справочники!$F$4,Учет!$H149,0)</f>
        <v>0</v>
      </c>
      <c r="E149" s="52">
        <f>IF(Учет!$O149=Справочники!$F$5,Учет!$H149,0)</f>
        <v>0</v>
      </c>
      <c r="F149" s="52">
        <f>IF(Учет!$O149=Справочники!$F$6,Учет!$H149,0)</f>
        <v>0</v>
      </c>
      <c r="G149" s="43">
        <f>G148+Учет!B149-B149</f>
        <v>-488978.92000000004</v>
      </c>
      <c r="H149" s="43">
        <f>H148+Учет!C149-C149</f>
        <v>336855</v>
      </c>
      <c r="I149" s="43">
        <f>I148+Учет!D149-D149</f>
        <v>500</v>
      </c>
      <c r="J149" s="43">
        <f>J148+Учет!E149-E149</f>
        <v>1150</v>
      </c>
      <c r="K149" s="43">
        <f>K148+Учет!F149-F149</f>
        <v>500000</v>
      </c>
      <c r="L149" s="45">
        <f>Учет!I149</f>
        <v>349526.07999999996</v>
      </c>
    </row>
    <row r="150" spans="1:12" x14ac:dyDescent="0.25">
      <c r="A150" s="48" t="str">
        <f>IF(Учет!A150&lt;&gt;"",Учет!A150,"")</f>
        <v/>
      </c>
      <c r="B150" s="52">
        <f>IF(Учет!$O150=Справочники!$F$2,Учет!$H150,0)</f>
        <v>0</v>
      </c>
      <c r="C150" s="52">
        <f>IF(Учет!$O150=Справочники!$F$3,Учет!$H150,0)</f>
        <v>0</v>
      </c>
      <c r="D150" s="52">
        <f>IF(Учет!$O150=Справочники!$F$4,Учет!$H150,0)</f>
        <v>0</v>
      </c>
      <c r="E150" s="52">
        <f>IF(Учет!$O150=Справочники!$F$5,Учет!$H150,0)</f>
        <v>0</v>
      </c>
      <c r="F150" s="52">
        <f>IF(Учет!$O150=Справочники!$F$6,Учет!$H150,0)</f>
        <v>0</v>
      </c>
      <c r="G150" s="43">
        <f>G149+Учет!B150-B150</f>
        <v>-488978.92000000004</v>
      </c>
      <c r="H150" s="43">
        <f>H149+Учет!C150-C150</f>
        <v>336855</v>
      </c>
      <c r="I150" s="43">
        <f>I149+Учет!D150-D150</f>
        <v>500</v>
      </c>
      <c r="J150" s="43">
        <f>J149+Учет!E150-E150</f>
        <v>1150</v>
      </c>
      <c r="K150" s="43">
        <f>K149+Учет!F150-F150</f>
        <v>500000</v>
      </c>
      <c r="L150" s="45">
        <f>Учет!I150</f>
        <v>349526.07999999996</v>
      </c>
    </row>
    <row r="151" spans="1:12" x14ac:dyDescent="0.25">
      <c r="A151" s="48" t="str">
        <f>IF(Учет!A151&lt;&gt;"",Учет!A151,"")</f>
        <v/>
      </c>
      <c r="B151" s="52">
        <f>IF(Учет!$O151=Справочники!$F$2,Учет!$H151,0)</f>
        <v>0</v>
      </c>
      <c r="C151" s="52">
        <f>IF(Учет!$O151=Справочники!$F$3,Учет!$H151,0)</f>
        <v>0</v>
      </c>
      <c r="D151" s="52">
        <f>IF(Учет!$O151=Справочники!$F$4,Учет!$H151,0)</f>
        <v>0</v>
      </c>
      <c r="E151" s="52">
        <f>IF(Учет!$O151=Справочники!$F$5,Учет!$H151,0)</f>
        <v>0</v>
      </c>
      <c r="F151" s="52">
        <f>IF(Учет!$O151=Справочники!$F$6,Учет!$H151,0)</f>
        <v>0</v>
      </c>
      <c r="G151" s="43">
        <f>G150+Учет!B151-B151</f>
        <v>-488978.92000000004</v>
      </c>
      <c r="H151" s="43">
        <f>H150+Учет!C151-C151</f>
        <v>336855</v>
      </c>
      <c r="I151" s="43">
        <f>I150+Учет!D151-D151</f>
        <v>500</v>
      </c>
      <c r="J151" s="43">
        <f>J150+Учет!E151-E151</f>
        <v>1150</v>
      </c>
      <c r="K151" s="43">
        <f>K150+Учет!F151-F151</f>
        <v>500000</v>
      </c>
      <c r="L151" s="45">
        <f>Учет!I151</f>
        <v>349526.07999999996</v>
      </c>
    </row>
    <row r="152" spans="1:12" x14ac:dyDescent="0.25">
      <c r="A152" s="48" t="str">
        <f>IF(Учет!A152&lt;&gt;"",Учет!A152,"")</f>
        <v/>
      </c>
      <c r="B152" s="52">
        <f>IF(Учет!$O152=Справочники!$F$2,Учет!$H152,0)</f>
        <v>0</v>
      </c>
      <c r="C152" s="52">
        <f>IF(Учет!$O152=Справочники!$F$3,Учет!$H152,0)</f>
        <v>0</v>
      </c>
      <c r="D152" s="52">
        <f>IF(Учет!$O152=Справочники!$F$4,Учет!$H152,0)</f>
        <v>0</v>
      </c>
      <c r="E152" s="52">
        <f>IF(Учет!$O152=Справочники!$F$5,Учет!$H152,0)</f>
        <v>0</v>
      </c>
      <c r="F152" s="52">
        <f>IF(Учет!$O152=Справочники!$F$6,Учет!$H152,0)</f>
        <v>0</v>
      </c>
      <c r="G152" s="43">
        <f>G151+Учет!B152-B152</f>
        <v>-488978.92000000004</v>
      </c>
      <c r="H152" s="43">
        <f>H151+Учет!C152-C152</f>
        <v>336855</v>
      </c>
      <c r="I152" s="43">
        <f>I151+Учет!D152-D152</f>
        <v>500</v>
      </c>
      <c r="J152" s="43">
        <f>J151+Учет!E152-E152</f>
        <v>1150</v>
      </c>
      <c r="K152" s="43">
        <f>K151+Учет!F152-F152</f>
        <v>500000</v>
      </c>
      <c r="L152" s="45">
        <f>Учет!I152</f>
        <v>349526.07999999996</v>
      </c>
    </row>
    <row r="153" spans="1:12" x14ac:dyDescent="0.25">
      <c r="A153" s="48" t="str">
        <f>IF(Учет!A153&lt;&gt;"",Учет!A153,"")</f>
        <v/>
      </c>
      <c r="B153" s="52">
        <f>IF(Учет!$O153=Справочники!$F$2,Учет!$H153,0)</f>
        <v>0</v>
      </c>
      <c r="C153" s="52">
        <f>IF(Учет!$O153=Справочники!$F$3,Учет!$H153,0)</f>
        <v>0</v>
      </c>
      <c r="D153" s="52">
        <f>IF(Учет!$O153=Справочники!$F$4,Учет!$H153,0)</f>
        <v>0</v>
      </c>
      <c r="E153" s="52">
        <f>IF(Учет!$O153=Справочники!$F$5,Учет!$H153,0)</f>
        <v>0</v>
      </c>
      <c r="F153" s="52">
        <f>IF(Учет!$O153=Справочники!$F$6,Учет!$H153,0)</f>
        <v>0</v>
      </c>
      <c r="G153" s="43">
        <f>G152+Учет!B153-B153</f>
        <v>-488978.92000000004</v>
      </c>
      <c r="H153" s="43">
        <f>H152+Учет!C153-C153</f>
        <v>336855</v>
      </c>
      <c r="I153" s="43">
        <f>I152+Учет!D153-D153</f>
        <v>500</v>
      </c>
      <c r="J153" s="43">
        <f>J152+Учет!E153-E153</f>
        <v>1150</v>
      </c>
      <c r="K153" s="43">
        <f>K152+Учет!F153-F153</f>
        <v>500000</v>
      </c>
      <c r="L153" s="45">
        <f>Учет!I153</f>
        <v>349526.07999999996</v>
      </c>
    </row>
    <row r="154" spans="1:12" x14ac:dyDescent="0.25">
      <c r="A154" s="48" t="str">
        <f>IF(Учет!A154&lt;&gt;"",Учет!A154,"")</f>
        <v/>
      </c>
      <c r="B154" s="52">
        <f>IF(Учет!$O154=Справочники!$F$2,Учет!$H154,0)</f>
        <v>0</v>
      </c>
      <c r="C154" s="52">
        <f>IF(Учет!$O154=Справочники!$F$3,Учет!$H154,0)</f>
        <v>0</v>
      </c>
      <c r="D154" s="52">
        <f>IF(Учет!$O154=Справочники!$F$4,Учет!$H154,0)</f>
        <v>0</v>
      </c>
      <c r="E154" s="52">
        <f>IF(Учет!$O154=Справочники!$F$5,Учет!$H154,0)</f>
        <v>0</v>
      </c>
      <c r="F154" s="52">
        <f>IF(Учет!$O154=Справочники!$F$6,Учет!$H154,0)</f>
        <v>0</v>
      </c>
      <c r="G154" s="43">
        <f>G153+Учет!B154-B154</f>
        <v>-488978.92000000004</v>
      </c>
      <c r="H154" s="43">
        <f>H153+Учет!C154-C154</f>
        <v>336855</v>
      </c>
      <c r="I154" s="43">
        <f>I153+Учет!D154-D154</f>
        <v>500</v>
      </c>
      <c r="J154" s="43">
        <f>J153+Учет!E154-E154</f>
        <v>1150</v>
      </c>
      <c r="K154" s="43">
        <f>K153+Учет!F154-F154</f>
        <v>500000</v>
      </c>
      <c r="L154" s="45">
        <f>Учет!I154</f>
        <v>349526.07999999996</v>
      </c>
    </row>
    <row r="155" spans="1:12" x14ac:dyDescent="0.25">
      <c r="A155" s="48" t="str">
        <f>IF(Учет!A155&lt;&gt;"",Учет!A155,"")</f>
        <v/>
      </c>
      <c r="B155" s="52">
        <f>IF(Учет!$O155=Справочники!$F$2,Учет!$H155,0)</f>
        <v>0</v>
      </c>
      <c r="C155" s="52">
        <f>IF(Учет!$O155=Справочники!$F$3,Учет!$H155,0)</f>
        <v>0</v>
      </c>
      <c r="D155" s="52">
        <f>IF(Учет!$O155=Справочники!$F$4,Учет!$H155,0)</f>
        <v>0</v>
      </c>
      <c r="E155" s="52">
        <f>IF(Учет!$O155=Справочники!$F$5,Учет!$H155,0)</f>
        <v>0</v>
      </c>
      <c r="F155" s="52">
        <f>IF(Учет!$O155=Справочники!$F$6,Учет!$H155,0)</f>
        <v>0</v>
      </c>
      <c r="G155" s="43">
        <f>G154+Учет!B155-B155</f>
        <v>-488978.92000000004</v>
      </c>
      <c r="H155" s="43">
        <f>H154+Учет!C155-C155</f>
        <v>336855</v>
      </c>
      <c r="I155" s="43">
        <f>I154+Учет!D155-D155</f>
        <v>500</v>
      </c>
      <c r="J155" s="43">
        <f>J154+Учет!E155-E155</f>
        <v>1150</v>
      </c>
      <c r="K155" s="43">
        <f>K154+Учет!F155-F155</f>
        <v>500000</v>
      </c>
      <c r="L155" s="45">
        <f>Учет!I155</f>
        <v>349526.07999999996</v>
      </c>
    </row>
    <row r="156" spans="1:12" x14ac:dyDescent="0.25">
      <c r="A156" s="48" t="str">
        <f>IF(Учет!A156&lt;&gt;"",Учет!A156,"")</f>
        <v/>
      </c>
      <c r="B156" s="52">
        <f>IF(Учет!$O156=Справочники!$F$2,Учет!$H156,0)</f>
        <v>0</v>
      </c>
      <c r="C156" s="52">
        <f>IF(Учет!$O156=Справочники!$F$3,Учет!$H156,0)</f>
        <v>0</v>
      </c>
      <c r="D156" s="52">
        <f>IF(Учет!$O156=Справочники!$F$4,Учет!$H156,0)</f>
        <v>0</v>
      </c>
      <c r="E156" s="52">
        <f>IF(Учет!$O156=Справочники!$F$5,Учет!$H156,0)</f>
        <v>0</v>
      </c>
      <c r="F156" s="52">
        <f>IF(Учет!$O156=Справочники!$F$6,Учет!$H156,0)</f>
        <v>0</v>
      </c>
      <c r="G156" s="43">
        <f>G155+Учет!B156-B156</f>
        <v>-488978.92000000004</v>
      </c>
      <c r="H156" s="43">
        <f>H155+Учет!C156-C156</f>
        <v>336855</v>
      </c>
      <c r="I156" s="43">
        <f>I155+Учет!D156-D156</f>
        <v>500</v>
      </c>
      <c r="J156" s="43">
        <f>J155+Учет!E156-E156</f>
        <v>1150</v>
      </c>
      <c r="K156" s="43">
        <f>K155+Учет!F156-F156</f>
        <v>500000</v>
      </c>
      <c r="L156" s="45">
        <f>Учет!I156</f>
        <v>349526.07999999996</v>
      </c>
    </row>
    <row r="157" spans="1:12" x14ac:dyDescent="0.25">
      <c r="A157" s="48" t="str">
        <f>IF(Учет!A157&lt;&gt;"",Учет!A157,"")</f>
        <v/>
      </c>
      <c r="B157" s="52">
        <f>IF(Учет!$O157=Справочники!$F$2,Учет!$H157,0)</f>
        <v>0</v>
      </c>
      <c r="C157" s="52">
        <f>IF(Учет!$O157=Справочники!$F$3,Учет!$H157,0)</f>
        <v>0</v>
      </c>
      <c r="D157" s="52">
        <f>IF(Учет!$O157=Справочники!$F$4,Учет!$H157,0)</f>
        <v>0</v>
      </c>
      <c r="E157" s="52">
        <f>IF(Учет!$O157=Справочники!$F$5,Учет!$H157,0)</f>
        <v>0</v>
      </c>
      <c r="F157" s="52">
        <f>IF(Учет!$O157=Справочники!$F$6,Учет!$H157,0)</f>
        <v>0</v>
      </c>
      <c r="G157" s="43">
        <f>G156+Учет!B157-B157</f>
        <v>-488978.92000000004</v>
      </c>
      <c r="H157" s="43">
        <f>H156+Учет!C157-C157</f>
        <v>336855</v>
      </c>
      <c r="I157" s="43">
        <f>I156+Учет!D157-D157</f>
        <v>500</v>
      </c>
      <c r="J157" s="43">
        <f>J156+Учет!E157-E157</f>
        <v>1150</v>
      </c>
      <c r="K157" s="43">
        <f>K156+Учет!F157-F157</f>
        <v>500000</v>
      </c>
      <c r="L157" s="45">
        <f>Учет!I157</f>
        <v>349526.07999999996</v>
      </c>
    </row>
    <row r="158" spans="1:12" x14ac:dyDescent="0.25">
      <c r="A158" s="48" t="str">
        <f>IF(Учет!A158&lt;&gt;"",Учет!A158,"")</f>
        <v/>
      </c>
      <c r="B158" s="52">
        <f>IF(Учет!$O158=Справочники!$F$2,Учет!$H158,0)</f>
        <v>0</v>
      </c>
      <c r="C158" s="52">
        <f>IF(Учет!$O158=Справочники!$F$3,Учет!$H158,0)</f>
        <v>0</v>
      </c>
      <c r="D158" s="52">
        <f>IF(Учет!$O158=Справочники!$F$4,Учет!$H158,0)</f>
        <v>0</v>
      </c>
      <c r="E158" s="52">
        <f>IF(Учет!$O158=Справочники!$F$5,Учет!$H158,0)</f>
        <v>0</v>
      </c>
      <c r="F158" s="52">
        <f>IF(Учет!$O158=Справочники!$F$6,Учет!$H158,0)</f>
        <v>0</v>
      </c>
      <c r="G158" s="43">
        <f>G157+Учет!B158-B158</f>
        <v>-488978.92000000004</v>
      </c>
      <c r="H158" s="43">
        <f>H157+Учет!C158-C158</f>
        <v>336855</v>
      </c>
      <c r="I158" s="43">
        <f>I157+Учет!D158-D158</f>
        <v>500</v>
      </c>
      <c r="J158" s="43">
        <f>J157+Учет!E158-E158</f>
        <v>1150</v>
      </c>
      <c r="K158" s="43">
        <f>K157+Учет!F158-F158</f>
        <v>500000</v>
      </c>
      <c r="L158" s="45">
        <f>Учет!I158</f>
        <v>349526.07999999996</v>
      </c>
    </row>
    <row r="159" spans="1:12" x14ac:dyDescent="0.25">
      <c r="A159" s="48" t="str">
        <f>IF(Учет!A159&lt;&gt;"",Учет!A159,"")</f>
        <v/>
      </c>
      <c r="B159" s="52">
        <f>IF(Учет!$O159=Справочники!$F$2,Учет!$H159,0)</f>
        <v>0</v>
      </c>
      <c r="C159" s="52">
        <f>IF(Учет!$O159=Справочники!$F$3,Учет!$H159,0)</f>
        <v>0</v>
      </c>
      <c r="D159" s="52">
        <f>IF(Учет!$O159=Справочники!$F$4,Учет!$H159,0)</f>
        <v>0</v>
      </c>
      <c r="E159" s="52">
        <f>IF(Учет!$O159=Справочники!$F$5,Учет!$H159,0)</f>
        <v>0</v>
      </c>
      <c r="F159" s="52">
        <f>IF(Учет!$O159=Справочники!$F$6,Учет!$H159,0)</f>
        <v>0</v>
      </c>
      <c r="G159" s="43">
        <f>G158+Учет!B159-B159</f>
        <v>-488978.92000000004</v>
      </c>
      <c r="H159" s="43">
        <f>H158+Учет!C159-C159</f>
        <v>336855</v>
      </c>
      <c r="I159" s="43">
        <f>I158+Учет!D159-D159</f>
        <v>500</v>
      </c>
      <c r="J159" s="43">
        <f>J158+Учет!E159-E159</f>
        <v>1150</v>
      </c>
      <c r="K159" s="43">
        <f>K158+Учет!F159-F159</f>
        <v>500000</v>
      </c>
      <c r="L159" s="45">
        <f>Учет!I159</f>
        <v>349526.07999999996</v>
      </c>
    </row>
    <row r="160" spans="1:12" x14ac:dyDescent="0.25">
      <c r="A160" s="48" t="str">
        <f>IF(Учет!A160&lt;&gt;"",Учет!A160,"")</f>
        <v/>
      </c>
      <c r="B160" s="52">
        <f>IF(Учет!$O160=Справочники!$F$2,Учет!$H160,0)</f>
        <v>0</v>
      </c>
      <c r="C160" s="52">
        <f>IF(Учет!$O160=Справочники!$F$3,Учет!$H160,0)</f>
        <v>0</v>
      </c>
      <c r="D160" s="52">
        <f>IF(Учет!$O160=Справочники!$F$4,Учет!$H160,0)</f>
        <v>0</v>
      </c>
      <c r="E160" s="52">
        <f>IF(Учет!$O160=Справочники!$F$5,Учет!$H160,0)</f>
        <v>0</v>
      </c>
      <c r="F160" s="52">
        <f>IF(Учет!$O160=Справочники!$F$6,Учет!$H160,0)</f>
        <v>0</v>
      </c>
      <c r="G160" s="43">
        <f>G159+Учет!B160-B160</f>
        <v>-488978.92000000004</v>
      </c>
      <c r="H160" s="43">
        <f>H159+Учет!C160-C160</f>
        <v>336855</v>
      </c>
      <c r="I160" s="43">
        <f>I159+Учет!D160-D160</f>
        <v>500</v>
      </c>
      <c r="J160" s="43">
        <f>J159+Учет!E160-E160</f>
        <v>1150</v>
      </c>
      <c r="K160" s="43">
        <f>K159+Учет!F160-F160</f>
        <v>500000</v>
      </c>
      <c r="L160" s="45">
        <f>Учет!I160</f>
        <v>349526.07999999996</v>
      </c>
    </row>
    <row r="161" spans="1:12" x14ac:dyDescent="0.25">
      <c r="A161" s="48" t="str">
        <f>IF(Учет!A161&lt;&gt;"",Учет!A161,"")</f>
        <v/>
      </c>
      <c r="B161" s="52">
        <f>IF(Учет!$O161=Справочники!$F$2,Учет!$H161,0)</f>
        <v>0</v>
      </c>
      <c r="C161" s="52">
        <f>IF(Учет!$O161=Справочники!$F$3,Учет!$H161,0)</f>
        <v>0</v>
      </c>
      <c r="D161" s="52">
        <f>IF(Учет!$O161=Справочники!$F$4,Учет!$H161,0)</f>
        <v>0</v>
      </c>
      <c r="E161" s="52">
        <f>IF(Учет!$O161=Справочники!$F$5,Учет!$H161,0)</f>
        <v>0</v>
      </c>
      <c r="F161" s="52">
        <f>IF(Учет!$O161=Справочники!$F$6,Учет!$H161,0)</f>
        <v>0</v>
      </c>
      <c r="G161" s="43">
        <f>G160+Учет!B161-B161</f>
        <v>-488978.92000000004</v>
      </c>
      <c r="H161" s="43">
        <f>H160+Учет!C161-C161</f>
        <v>336855</v>
      </c>
      <c r="I161" s="43">
        <f>I160+Учет!D161-D161</f>
        <v>500</v>
      </c>
      <c r="J161" s="43">
        <f>J160+Учет!E161-E161</f>
        <v>1150</v>
      </c>
      <c r="K161" s="43">
        <f>K160+Учет!F161-F161</f>
        <v>500000</v>
      </c>
      <c r="L161" s="45">
        <f>Учет!I161</f>
        <v>349526.07999999996</v>
      </c>
    </row>
    <row r="162" spans="1:12" x14ac:dyDescent="0.25">
      <c r="A162" s="48" t="str">
        <f>IF(Учет!A162&lt;&gt;"",Учет!A162,"")</f>
        <v/>
      </c>
      <c r="B162" s="52">
        <f>IF(Учет!$O162=Справочники!$F$2,Учет!$H162,0)</f>
        <v>0</v>
      </c>
      <c r="C162" s="52">
        <f>IF(Учет!$O162=Справочники!$F$3,Учет!$H162,0)</f>
        <v>0</v>
      </c>
      <c r="D162" s="52">
        <f>IF(Учет!$O162=Справочники!$F$4,Учет!$H162,0)</f>
        <v>0</v>
      </c>
      <c r="E162" s="52">
        <f>IF(Учет!$O162=Справочники!$F$5,Учет!$H162,0)</f>
        <v>0</v>
      </c>
      <c r="F162" s="52">
        <f>IF(Учет!$O162=Справочники!$F$6,Учет!$H162,0)</f>
        <v>0</v>
      </c>
      <c r="G162" s="43">
        <f>G161+Учет!B162-B162</f>
        <v>-488978.92000000004</v>
      </c>
      <c r="H162" s="43">
        <f>H161+Учет!C162-C162</f>
        <v>336855</v>
      </c>
      <c r="I162" s="43">
        <f>I161+Учет!D162-D162</f>
        <v>500</v>
      </c>
      <c r="J162" s="43">
        <f>J161+Учет!E162-E162</f>
        <v>1150</v>
      </c>
      <c r="K162" s="43">
        <f>K161+Учет!F162-F162</f>
        <v>500000</v>
      </c>
      <c r="L162" s="45">
        <f>Учет!I162</f>
        <v>349526.07999999996</v>
      </c>
    </row>
    <row r="163" spans="1:12" x14ac:dyDescent="0.25">
      <c r="A163" s="48" t="str">
        <f>IF(Учет!A163&lt;&gt;"",Учет!A163,"")</f>
        <v/>
      </c>
      <c r="B163" s="52">
        <f>IF(Учет!$O163=Справочники!$F$2,Учет!$H163,0)</f>
        <v>0</v>
      </c>
      <c r="C163" s="52">
        <f>IF(Учет!$O163=Справочники!$F$3,Учет!$H163,0)</f>
        <v>0</v>
      </c>
      <c r="D163" s="52">
        <f>IF(Учет!$O163=Справочники!$F$4,Учет!$H163,0)</f>
        <v>0</v>
      </c>
      <c r="E163" s="52">
        <f>IF(Учет!$O163=Справочники!$F$5,Учет!$H163,0)</f>
        <v>0</v>
      </c>
      <c r="F163" s="52">
        <f>IF(Учет!$O163=Справочники!$F$6,Учет!$H163,0)</f>
        <v>0</v>
      </c>
      <c r="G163" s="43">
        <f>G162+Учет!B163-B163</f>
        <v>-488978.92000000004</v>
      </c>
      <c r="H163" s="43">
        <f>H162+Учет!C163-C163</f>
        <v>336855</v>
      </c>
      <c r="I163" s="43">
        <f>I162+Учет!D163-D163</f>
        <v>500</v>
      </c>
      <c r="J163" s="43">
        <f>J162+Учет!E163-E163</f>
        <v>1150</v>
      </c>
      <c r="K163" s="43">
        <f>K162+Учет!F163-F163</f>
        <v>500000</v>
      </c>
      <c r="L163" s="45">
        <f>Учет!I163</f>
        <v>349526.07999999996</v>
      </c>
    </row>
    <row r="164" spans="1:12" x14ac:dyDescent="0.25">
      <c r="A164" s="48" t="str">
        <f>IF(Учет!A164&lt;&gt;"",Учет!A164,"")</f>
        <v/>
      </c>
      <c r="B164" s="52">
        <f>IF(Учет!$O164=Справочники!$F$2,Учет!$H164,0)</f>
        <v>0</v>
      </c>
      <c r="C164" s="52">
        <f>IF(Учет!$O164=Справочники!$F$3,Учет!$H164,0)</f>
        <v>0</v>
      </c>
      <c r="D164" s="52">
        <f>IF(Учет!$O164=Справочники!$F$4,Учет!$H164,0)</f>
        <v>0</v>
      </c>
      <c r="E164" s="52">
        <f>IF(Учет!$O164=Справочники!$F$5,Учет!$H164,0)</f>
        <v>0</v>
      </c>
      <c r="F164" s="52">
        <f>IF(Учет!$O164=Справочники!$F$6,Учет!$H164,0)</f>
        <v>0</v>
      </c>
      <c r="G164" s="43">
        <f>G163+Учет!B164-B164</f>
        <v>-488978.92000000004</v>
      </c>
      <c r="H164" s="43">
        <f>H163+Учет!C164-C164</f>
        <v>336855</v>
      </c>
      <c r="I164" s="43">
        <f>I163+Учет!D164-D164</f>
        <v>500</v>
      </c>
      <c r="J164" s="43">
        <f>J163+Учет!E164-E164</f>
        <v>1150</v>
      </c>
      <c r="K164" s="43">
        <f>K163+Учет!F164-F164</f>
        <v>500000</v>
      </c>
      <c r="L164" s="45">
        <f>Учет!I164</f>
        <v>349526.07999999996</v>
      </c>
    </row>
    <row r="165" spans="1:12" x14ac:dyDescent="0.25">
      <c r="A165" s="48" t="str">
        <f>IF(Учет!A165&lt;&gt;"",Учет!A165,"")</f>
        <v/>
      </c>
      <c r="B165" s="52">
        <f>IF(Учет!$O165=Справочники!$F$2,Учет!$H165,0)</f>
        <v>0</v>
      </c>
      <c r="C165" s="52">
        <f>IF(Учет!$O165=Справочники!$F$3,Учет!$H165,0)</f>
        <v>0</v>
      </c>
      <c r="D165" s="52">
        <f>IF(Учет!$O165=Справочники!$F$4,Учет!$H165,0)</f>
        <v>0</v>
      </c>
      <c r="E165" s="52">
        <f>IF(Учет!$O165=Справочники!$F$5,Учет!$H165,0)</f>
        <v>0</v>
      </c>
      <c r="F165" s="52">
        <f>IF(Учет!$O165=Справочники!$F$6,Учет!$H165,0)</f>
        <v>0</v>
      </c>
      <c r="G165" s="43">
        <f>G164+Учет!B165-B165</f>
        <v>-488978.92000000004</v>
      </c>
      <c r="H165" s="43">
        <f>H164+Учет!C165-C165</f>
        <v>336855</v>
      </c>
      <c r="I165" s="43">
        <f>I164+Учет!D165-D165</f>
        <v>500</v>
      </c>
      <c r="J165" s="43">
        <f>J164+Учет!E165-E165</f>
        <v>1150</v>
      </c>
      <c r="K165" s="43">
        <f>K164+Учет!F165-F165</f>
        <v>500000</v>
      </c>
      <c r="L165" s="45">
        <f>Учет!I165</f>
        <v>349526.07999999996</v>
      </c>
    </row>
    <row r="166" spans="1:12" x14ac:dyDescent="0.25">
      <c r="A166" s="48" t="str">
        <f>IF(Учет!A166&lt;&gt;"",Учет!A166,"")</f>
        <v/>
      </c>
      <c r="B166" s="52">
        <f>IF(Учет!$O166=Справочники!$F$2,Учет!$H166,0)</f>
        <v>0</v>
      </c>
      <c r="C166" s="52">
        <f>IF(Учет!$O166=Справочники!$F$3,Учет!$H166,0)</f>
        <v>0</v>
      </c>
      <c r="D166" s="52">
        <f>IF(Учет!$O166=Справочники!$F$4,Учет!$H166,0)</f>
        <v>0</v>
      </c>
      <c r="E166" s="52">
        <f>IF(Учет!$O166=Справочники!$F$5,Учет!$H166,0)</f>
        <v>0</v>
      </c>
      <c r="F166" s="52">
        <f>IF(Учет!$O166=Справочники!$F$6,Учет!$H166,0)</f>
        <v>0</v>
      </c>
      <c r="G166" s="43">
        <f>G165+Учет!B166-B166</f>
        <v>-488978.92000000004</v>
      </c>
      <c r="H166" s="43">
        <f>H165+Учет!C166-C166</f>
        <v>336855</v>
      </c>
      <c r="I166" s="43">
        <f>I165+Учет!D166-D166</f>
        <v>500</v>
      </c>
      <c r="J166" s="43">
        <f>J165+Учет!E166-E166</f>
        <v>1150</v>
      </c>
      <c r="K166" s="43">
        <f>K165+Учет!F166-F166</f>
        <v>500000</v>
      </c>
      <c r="L166" s="45">
        <f>Учет!I166</f>
        <v>349526.07999999996</v>
      </c>
    </row>
    <row r="167" spans="1:12" x14ac:dyDescent="0.25">
      <c r="A167" s="48" t="str">
        <f>IF(Учет!A167&lt;&gt;"",Учет!A167,"")</f>
        <v/>
      </c>
      <c r="B167" s="52">
        <f>IF(Учет!$O167=Справочники!$F$2,Учет!$H167,0)</f>
        <v>0</v>
      </c>
      <c r="C167" s="52">
        <f>IF(Учет!$O167=Справочники!$F$3,Учет!$H167,0)</f>
        <v>0</v>
      </c>
      <c r="D167" s="52">
        <f>IF(Учет!$O167=Справочники!$F$4,Учет!$H167,0)</f>
        <v>0</v>
      </c>
      <c r="E167" s="52">
        <f>IF(Учет!$O167=Справочники!$F$5,Учет!$H167,0)</f>
        <v>0</v>
      </c>
      <c r="F167" s="52">
        <f>IF(Учет!$O167=Справочники!$F$6,Учет!$H167,0)</f>
        <v>0</v>
      </c>
      <c r="G167" s="43">
        <f>G166+Учет!B167-B167</f>
        <v>-488978.92000000004</v>
      </c>
      <c r="H167" s="43">
        <f>H166+Учет!C167-C167</f>
        <v>336855</v>
      </c>
      <c r="I167" s="43">
        <f>I166+Учет!D167-D167</f>
        <v>500</v>
      </c>
      <c r="J167" s="43">
        <f>J166+Учет!E167-E167</f>
        <v>1150</v>
      </c>
      <c r="K167" s="43">
        <f>K166+Учет!F167-F167</f>
        <v>500000</v>
      </c>
      <c r="L167" s="45">
        <f>Учет!I167</f>
        <v>349526.07999999996</v>
      </c>
    </row>
    <row r="168" spans="1:12" x14ac:dyDescent="0.25">
      <c r="A168" s="48" t="str">
        <f>IF(Учет!A168&lt;&gt;"",Учет!A168,"")</f>
        <v/>
      </c>
      <c r="B168" s="52">
        <f>IF(Учет!$O168=Справочники!$F$2,Учет!$H168,0)</f>
        <v>0</v>
      </c>
      <c r="C168" s="52">
        <f>IF(Учет!$O168=Справочники!$F$3,Учет!$H168,0)</f>
        <v>0</v>
      </c>
      <c r="D168" s="52">
        <f>IF(Учет!$O168=Справочники!$F$4,Учет!$H168,0)</f>
        <v>0</v>
      </c>
      <c r="E168" s="52">
        <f>IF(Учет!$O168=Справочники!$F$5,Учет!$H168,0)</f>
        <v>0</v>
      </c>
      <c r="F168" s="52">
        <f>IF(Учет!$O168=Справочники!$F$6,Учет!$H168,0)</f>
        <v>0</v>
      </c>
      <c r="G168" s="43">
        <f>G167+Учет!B168-B168</f>
        <v>-488978.92000000004</v>
      </c>
      <c r="H168" s="43">
        <f>H167+Учет!C168-C168</f>
        <v>336855</v>
      </c>
      <c r="I168" s="43">
        <f>I167+Учет!D168-D168</f>
        <v>500</v>
      </c>
      <c r="J168" s="43">
        <f>J167+Учет!E168-E168</f>
        <v>1150</v>
      </c>
      <c r="K168" s="43">
        <f>K167+Учет!F168-F168</f>
        <v>500000</v>
      </c>
      <c r="L168" s="45">
        <f>Учет!I168</f>
        <v>349526.07999999996</v>
      </c>
    </row>
    <row r="169" spans="1:12" x14ac:dyDescent="0.25">
      <c r="A169" s="48" t="str">
        <f>IF(Учет!A169&lt;&gt;"",Учет!A169,"")</f>
        <v/>
      </c>
      <c r="B169" s="52">
        <f>IF(Учет!$O169=Справочники!$F$2,Учет!$H169,0)</f>
        <v>0</v>
      </c>
      <c r="C169" s="52">
        <f>IF(Учет!$O169=Справочники!$F$3,Учет!$H169,0)</f>
        <v>0</v>
      </c>
      <c r="D169" s="52">
        <f>IF(Учет!$O169=Справочники!$F$4,Учет!$H169,0)</f>
        <v>0</v>
      </c>
      <c r="E169" s="52">
        <f>IF(Учет!$O169=Справочники!$F$5,Учет!$H169,0)</f>
        <v>0</v>
      </c>
      <c r="F169" s="52">
        <f>IF(Учет!$O169=Справочники!$F$6,Учет!$H169,0)</f>
        <v>0</v>
      </c>
      <c r="G169" s="43">
        <f>G168+Учет!B169-B169</f>
        <v>-488978.92000000004</v>
      </c>
      <c r="H169" s="43">
        <f>H168+Учет!C169-C169</f>
        <v>336855</v>
      </c>
      <c r="I169" s="43">
        <f>I168+Учет!D169-D169</f>
        <v>500</v>
      </c>
      <c r="J169" s="43">
        <f>J168+Учет!E169-E169</f>
        <v>1150</v>
      </c>
      <c r="K169" s="43">
        <f>K168+Учет!F169-F169</f>
        <v>500000</v>
      </c>
      <c r="L169" s="45">
        <f>Учет!I169</f>
        <v>349526.07999999996</v>
      </c>
    </row>
    <row r="170" spans="1:12" x14ac:dyDescent="0.25">
      <c r="A170" s="48" t="str">
        <f>IF(Учет!A170&lt;&gt;"",Учет!A170,"")</f>
        <v/>
      </c>
      <c r="B170" s="52">
        <f>IF(Учет!$O170=Справочники!$F$2,Учет!$H170,0)</f>
        <v>0</v>
      </c>
      <c r="C170" s="52">
        <f>IF(Учет!$O170=Справочники!$F$3,Учет!$H170,0)</f>
        <v>0</v>
      </c>
      <c r="D170" s="52">
        <f>IF(Учет!$O170=Справочники!$F$4,Учет!$H170,0)</f>
        <v>0</v>
      </c>
      <c r="E170" s="52">
        <f>IF(Учет!$O170=Справочники!$F$5,Учет!$H170,0)</f>
        <v>0</v>
      </c>
      <c r="F170" s="52">
        <f>IF(Учет!$O170=Справочники!$F$6,Учет!$H170,0)</f>
        <v>0</v>
      </c>
      <c r="G170" s="43">
        <f>G169+Учет!B170-B170</f>
        <v>-488978.92000000004</v>
      </c>
      <c r="H170" s="43">
        <f>H169+Учет!C170-C170</f>
        <v>336855</v>
      </c>
      <c r="I170" s="43">
        <f>I169+Учет!D170-D170</f>
        <v>500</v>
      </c>
      <c r="J170" s="43">
        <f>J169+Учет!E170-E170</f>
        <v>1150</v>
      </c>
      <c r="K170" s="43">
        <f>K169+Учет!F170-F170</f>
        <v>500000</v>
      </c>
      <c r="L170" s="45">
        <f>Учет!I170</f>
        <v>349526.07999999996</v>
      </c>
    </row>
    <row r="171" spans="1:12" x14ac:dyDescent="0.25">
      <c r="A171" s="48" t="str">
        <f>IF(Учет!A171&lt;&gt;"",Учет!A171,"")</f>
        <v/>
      </c>
      <c r="B171" s="52">
        <f>IF(Учет!$O171=Справочники!$F$2,Учет!$H171,0)</f>
        <v>0</v>
      </c>
      <c r="C171" s="52">
        <f>IF(Учет!$O171=Справочники!$F$3,Учет!$H171,0)</f>
        <v>0</v>
      </c>
      <c r="D171" s="52">
        <f>IF(Учет!$O171=Справочники!$F$4,Учет!$H171,0)</f>
        <v>0</v>
      </c>
      <c r="E171" s="52">
        <f>IF(Учет!$O171=Справочники!$F$5,Учет!$H171,0)</f>
        <v>0</v>
      </c>
      <c r="F171" s="52">
        <f>IF(Учет!$O171=Справочники!$F$6,Учет!$H171,0)</f>
        <v>0</v>
      </c>
      <c r="G171" s="43">
        <f>G170+Учет!B171-B171</f>
        <v>-488978.92000000004</v>
      </c>
      <c r="H171" s="43">
        <f>H170+Учет!C171-C171</f>
        <v>336855</v>
      </c>
      <c r="I171" s="43">
        <f>I170+Учет!D171-D171</f>
        <v>500</v>
      </c>
      <c r="J171" s="43">
        <f>J170+Учет!E171-E171</f>
        <v>1150</v>
      </c>
      <c r="K171" s="43">
        <f>K170+Учет!F171-F171</f>
        <v>500000</v>
      </c>
      <c r="L171" s="45">
        <f>Учет!I171</f>
        <v>349526.07999999996</v>
      </c>
    </row>
    <row r="172" spans="1:12" x14ac:dyDescent="0.25">
      <c r="A172" s="48" t="str">
        <f>IF(Учет!A172&lt;&gt;"",Учет!A172,"")</f>
        <v/>
      </c>
      <c r="B172" s="52">
        <f>IF(Учет!$O172=Справочники!$F$2,Учет!$H172,0)</f>
        <v>0</v>
      </c>
      <c r="C172" s="52">
        <f>IF(Учет!$O172=Справочники!$F$3,Учет!$H172,0)</f>
        <v>0</v>
      </c>
      <c r="D172" s="52">
        <f>IF(Учет!$O172=Справочники!$F$4,Учет!$H172,0)</f>
        <v>0</v>
      </c>
      <c r="E172" s="52">
        <f>IF(Учет!$O172=Справочники!$F$5,Учет!$H172,0)</f>
        <v>0</v>
      </c>
      <c r="F172" s="52">
        <f>IF(Учет!$O172=Справочники!$F$6,Учет!$H172,0)</f>
        <v>0</v>
      </c>
      <c r="G172" s="43">
        <f>G171+Учет!B172-B172</f>
        <v>-488978.92000000004</v>
      </c>
      <c r="H172" s="43">
        <f>H171+Учет!C172-C172</f>
        <v>336855</v>
      </c>
      <c r="I172" s="43">
        <f>I171+Учет!D172-D172</f>
        <v>500</v>
      </c>
      <c r="J172" s="43">
        <f>J171+Учет!E172-E172</f>
        <v>1150</v>
      </c>
      <c r="K172" s="43">
        <f>K171+Учет!F172-F172</f>
        <v>500000</v>
      </c>
      <c r="L172" s="45">
        <f>Учет!I172</f>
        <v>349526.07999999996</v>
      </c>
    </row>
    <row r="173" spans="1:12" x14ac:dyDescent="0.25">
      <c r="A173" s="48" t="str">
        <f>IF(Учет!A173&lt;&gt;"",Учет!A173,"")</f>
        <v/>
      </c>
      <c r="B173" s="52">
        <f>IF(Учет!$O173=Справочники!$F$2,Учет!$H173,0)</f>
        <v>0</v>
      </c>
      <c r="C173" s="52">
        <f>IF(Учет!$O173=Справочники!$F$3,Учет!$H173,0)</f>
        <v>0</v>
      </c>
      <c r="D173" s="52">
        <f>IF(Учет!$O173=Справочники!$F$4,Учет!$H173,0)</f>
        <v>0</v>
      </c>
      <c r="E173" s="52">
        <f>IF(Учет!$O173=Справочники!$F$5,Учет!$H173,0)</f>
        <v>0</v>
      </c>
      <c r="F173" s="52">
        <f>IF(Учет!$O173=Справочники!$F$6,Учет!$H173,0)</f>
        <v>0</v>
      </c>
      <c r="G173" s="43">
        <f>G172+Учет!B173-B173</f>
        <v>-488978.92000000004</v>
      </c>
      <c r="H173" s="43">
        <f>H172+Учет!C173-C173</f>
        <v>336855</v>
      </c>
      <c r="I173" s="43">
        <f>I172+Учет!D173-D173</f>
        <v>500</v>
      </c>
      <c r="J173" s="43">
        <f>J172+Учет!E173-E173</f>
        <v>1150</v>
      </c>
      <c r="K173" s="43">
        <f>K172+Учет!F173-F173</f>
        <v>500000</v>
      </c>
      <c r="L173" s="45">
        <f>Учет!I173</f>
        <v>349526.07999999996</v>
      </c>
    </row>
    <row r="174" spans="1:12" x14ac:dyDescent="0.25">
      <c r="A174" s="48" t="str">
        <f>IF(Учет!A174&lt;&gt;"",Учет!A174,"")</f>
        <v/>
      </c>
      <c r="B174" s="52">
        <f>IF(Учет!$O174=Справочники!$F$2,Учет!$H174,0)</f>
        <v>0</v>
      </c>
      <c r="C174" s="52">
        <f>IF(Учет!$O174=Справочники!$F$3,Учет!$H174,0)</f>
        <v>0</v>
      </c>
      <c r="D174" s="52">
        <f>IF(Учет!$O174=Справочники!$F$4,Учет!$H174,0)</f>
        <v>0</v>
      </c>
      <c r="E174" s="52">
        <f>IF(Учет!$O174=Справочники!$F$5,Учет!$H174,0)</f>
        <v>0</v>
      </c>
      <c r="F174" s="52">
        <f>IF(Учет!$O174=Справочники!$F$6,Учет!$H174,0)</f>
        <v>0</v>
      </c>
      <c r="G174" s="43">
        <f>G173+Учет!B174-B174</f>
        <v>-488978.92000000004</v>
      </c>
      <c r="H174" s="43">
        <f>H173+Учет!C174-C174</f>
        <v>336855</v>
      </c>
      <c r="I174" s="43">
        <f>I173+Учет!D174-D174</f>
        <v>500</v>
      </c>
      <c r="J174" s="43">
        <f>J173+Учет!E174-E174</f>
        <v>1150</v>
      </c>
      <c r="K174" s="43">
        <f>K173+Учет!F174-F174</f>
        <v>500000</v>
      </c>
      <c r="L174" s="45">
        <f>Учет!I174</f>
        <v>349526.07999999996</v>
      </c>
    </row>
    <row r="175" spans="1:12" x14ac:dyDescent="0.25">
      <c r="A175" s="48" t="str">
        <f>IF(Учет!A175&lt;&gt;"",Учет!A175,"")</f>
        <v/>
      </c>
      <c r="B175" s="52">
        <f>IF(Учет!$O175=Справочники!$F$2,Учет!$H175,0)</f>
        <v>0</v>
      </c>
      <c r="C175" s="52">
        <f>IF(Учет!$O175=Справочники!$F$3,Учет!$H175,0)</f>
        <v>0</v>
      </c>
      <c r="D175" s="52">
        <f>IF(Учет!$O175=Справочники!$F$4,Учет!$H175,0)</f>
        <v>0</v>
      </c>
      <c r="E175" s="52">
        <f>IF(Учет!$O175=Справочники!$F$5,Учет!$H175,0)</f>
        <v>0</v>
      </c>
      <c r="F175" s="52">
        <f>IF(Учет!$O175=Справочники!$F$6,Учет!$H175,0)</f>
        <v>0</v>
      </c>
      <c r="G175" s="43">
        <f>G174+Учет!B175-B175</f>
        <v>-488978.92000000004</v>
      </c>
      <c r="H175" s="43">
        <f>H174+Учет!C175-C175</f>
        <v>336855</v>
      </c>
      <c r="I175" s="43">
        <f>I174+Учет!D175-D175</f>
        <v>500</v>
      </c>
      <c r="J175" s="43">
        <f>J174+Учет!E175-E175</f>
        <v>1150</v>
      </c>
      <c r="K175" s="43">
        <f>K174+Учет!F175-F175</f>
        <v>500000</v>
      </c>
      <c r="L175" s="45">
        <f>Учет!I175</f>
        <v>349526.07999999996</v>
      </c>
    </row>
    <row r="176" spans="1:12" x14ac:dyDescent="0.25">
      <c r="A176" s="48" t="str">
        <f>IF(Учет!A176&lt;&gt;"",Учет!A176,"")</f>
        <v/>
      </c>
      <c r="B176" s="52">
        <f>IF(Учет!$O176=Справочники!$F$2,Учет!$H176,0)</f>
        <v>0</v>
      </c>
      <c r="C176" s="52">
        <f>IF(Учет!$O176=Справочники!$F$3,Учет!$H176,0)</f>
        <v>0</v>
      </c>
      <c r="D176" s="52">
        <f>IF(Учет!$O176=Справочники!$F$4,Учет!$H176,0)</f>
        <v>0</v>
      </c>
      <c r="E176" s="52">
        <f>IF(Учет!$O176=Справочники!$F$5,Учет!$H176,0)</f>
        <v>0</v>
      </c>
      <c r="F176" s="52">
        <f>IF(Учет!$O176=Справочники!$F$6,Учет!$H176,0)</f>
        <v>0</v>
      </c>
      <c r="G176" s="43">
        <f>G175+Учет!B176-B176</f>
        <v>-488978.92000000004</v>
      </c>
      <c r="H176" s="43">
        <f>H175+Учет!C176-C176</f>
        <v>336855</v>
      </c>
      <c r="I176" s="43">
        <f>I175+Учет!D176-D176</f>
        <v>500</v>
      </c>
      <c r="J176" s="43">
        <f>J175+Учет!E176-E176</f>
        <v>1150</v>
      </c>
      <c r="K176" s="43">
        <f>K175+Учет!F176-F176</f>
        <v>500000</v>
      </c>
      <c r="L176" s="45">
        <f>Учет!I176</f>
        <v>349526.07999999996</v>
      </c>
    </row>
    <row r="177" spans="1:12" x14ac:dyDescent="0.25">
      <c r="A177" s="48" t="str">
        <f>IF(Учет!A177&lt;&gt;"",Учет!A177,"")</f>
        <v/>
      </c>
      <c r="B177" s="52">
        <f>IF(Учет!$O177=Справочники!$F$2,Учет!$H177,0)</f>
        <v>0</v>
      </c>
      <c r="C177" s="52">
        <f>IF(Учет!$O177=Справочники!$F$3,Учет!$H177,0)</f>
        <v>0</v>
      </c>
      <c r="D177" s="52">
        <f>IF(Учет!$O177=Справочники!$F$4,Учет!$H177,0)</f>
        <v>0</v>
      </c>
      <c r="E177" s="52">
        <f>IF(Учет!$O177=Справочники!$F$5,Учет!$H177,0)</f>
        <v>0</v>
      </c>
      <c r="F177" s="52">
        <f>IF(Учет!$O177=Справочники!$F$6,Учет!$H177,0)</f>
        <v>0</v>
      </c>
      <c r="G177" s="43">
        <f>G176+Учет!B177-B177</f>
        <v>-488978.92000000004</v>
      </c>
      <c r="H177" s="43">
        <f>H176+Учет!C177-C177</f>
        <v>336855</v>
      </c>
      <c r="I177" s="43">
        <f>I176+Учет!D177-D177</f>
        <v>500</v>
      </c>
      <c r="J177" s="43">
        <f>J176+Учет!E177-E177</f>
        <v>1150</v>
      </c>
      <c r="K177" s="43">
        <f>K176+Учет!F177-F177</f>
        <v>500000</v>
      </c>
      <c r="L177" s="45">
        <f>Учет!I177</f>
        <v>349526.07999999996</v>
      </c>
    </row>
    <row r="178" spans="1:12" x14ac:dyDescent="0.25">
      <c r="A178" s="48" t="str">
        <f>IF(Учет!A178&lt;&gt;"",Учет!A178,"")</f>
        <v/>
      </c>
      <c r="B178" s="52">
        <f>IF(Учет!$O178=Справочники!$F$2,Учет!$H178,0)</f>
        <v>0</v>
      </c>
      <c r="C178" s="52">
        <f>IF(Учет!$O178=Справочники!$F$3,Учет!$H178,0)</f>
        <v>0</v>
      </c>
      <c r="D178" s="52">
        <f>IF(Учет!$O178=Справочники!$F$4,Учет!$H178,0)</f>
        <v>0</v>
      </c>
      <c r="E178" s="52">
        <f>IF(Учет!$O178=Справочники!$F$5,Учет!$H178,0)</f>
        <v>0</v>
      </c>
      <c r="F178" s="52">
        <f>IF(Учет!$O178=Справочники!$F$6,Учет!$H178,0)</f>
        <v>0</v>
      </c>
      <c r="G178" s="43">
        <f>G177+Учет!B178-B178</f>
        <v>-488978.92000000004</v>
      </c>
      <c r="H178" s="43">
        <f>H177+Учет!C178-C178</f>
        <v>336855</v>
      </c>
      <c r="I178" s="43">
        <f>I177+Учет!D178-D178</f>
        <v>500</v>
      </c>
      <c r="J178" s="43">
        <f>J177+Учет!E178-E178</f>
        <v>1150</v>
      </c>
      <c r="K178" s="43">
        <f>K177+Учет!F178-F178</f>
        <v>500000</v>
      </c>
      <c r="L178" s="45">
        <f>Учет!I178</f>
        <v>349526.07999999996</v>
      </c>
    </row>
    <row r="179" spans="1:12" x14ac:dyDescent="0.25">
      <c r="A179" s="48" t="str">
        <f>IF(Учет!A179&lt;&gt;"",Учет!A179,"")</f>
        <v/>
      </c>
      <c r="B179" s="52">
        <f>IF(Учет!$O179=Справочники!$F$2,Учет!$H179,0)</f>
        <v>0</v>
      </c>
      <c r="C179" s="52">
        <f>IF(Учет!$O179=Справочники!$F$3,Учет!$H179,0)</f>
        <v>0</v>
      </c>
      <c r="D179" s="52">
        <f>IF(Учет!$O179=Справочники!$F$4,Учет!$H179,0)</f>
        <v>0</v>
      </c>
      <c r="E179" s="52">
        <f>IF(Учет!$O179=Справочники!$F$5,Учет!$H179,0)</f>
        <v>0</v>
      </c>
      <c r="F179" s="52">
        <f>IF(Учет!$O179=Справочники!$F$6,Учет!$H179,0)</f>
        <v>0</v>
      </c>
      <c r="G179" s="43">
        <f>G178+Учет!B179-B179</f>
        <v>-488978.92000000004</v>
      </c>
      <c r="H179" s="43">
        <f>H178+Учет!C179-C179</f>
        <v>336855</v>
      </c>
      <c r="I179" s="43">
        <f>I178+Учет!D179-D179</f>
        <v>500</v>
      </c>
      <c r="J179" s="43">
        <f>J178+Учет!E179-E179</f>
        <v>1150</v>
      </c>
      <c r="K179" s="43">
        <f>K178+Учет!F179-F179</f>
        <v>500000</v>
      </c>
      <c r="L179" s="45">
        <f>Учет!I179</f>
        <v>349526.07999999996</v>
      </c>
    </row>
    <row r="180" spans="1:12" x14ac:dyDescent="0.25">
      <c r="A180" s="48" t="str">
        <f>IF(Учет!A180&lt;&gt;"",Учет!A180,"")</f>
        <v/>
      </c>
      <c r="B180" s="52">
        <f>IF(Учет!$O180=Справочники!$F$2,Учет!$H180,0)</f>
        <v>0</v>
      </c>
      <c r="C180" s="52">
        <f>IF(Учет!$O180=Справочники!$F$3,Учет!$H180,0)</f>
        <v>0</v>
      </c>
      <c r="D180" s="52">
        <f>IF(Учет!$O180=Справочники!$F$4,Учет!$H180,0)</f>
        <v>0</v>
      </c>
      <c r="E180" s="52">
        <f>IF(Учет!$O180=Справочники!$F$5,Учет!$H180,0)</f>
        <v>0</v>
      </c>
      <c r="F180" s="52">
        <f>IF(Учет!$O180=Справочники!$F$6,Учет!$H180,0)</f>
        <v>0</v>
      </c>
      <c r="G180" s="43">
        <f>G179+Учет!B180-B180</f>
        <v>-488978.92000000004</v>
      </c>
      <c r="H180" s="43">
        <f>H179+Учет!C180-C180</f>
        <v>336855</v>
      </c>
      <c r="I180" s="43">
        <f>I179+Учет!D180-D180</f>
        <v>500</v>
      </c>
      <c r="J180" s="43">
        <f>J179+Учет!E180-E180</f>
        <v>1150</v>
      </c>
      <c r="K180" s="43">
        <f>K179+Учет!F180-F180</f>
        <v>500000</v>
      </c>
      <c r="L180" s="45">
        <f>Учет!I180</f>
        <v>349526.07999999996</v>
      </c>
    </row>
    <row r="181" spans="1:12" x14ac:dyDescent="0.25">
      <c r="A181" s="48" t="str">
        <f>IF(Учет!A181&lt;&gt;"",Учет!A181,"")</f>
        <v/>
      </c>
      <c r="B181" s="52">
        <f>IF(Учет!$O181=Справочники!$F$2,Учет!$H181,0)</f>
        <v>0</v>
      </c>
      <c r="C181" s="52">
        <f>IF(Учет!$O181=Справочники!$F$3,Учет!$H181,0)</f>
        <v>0</v>
      </c>
      <c r="D181" s="52">
        <f>IF(Учет!$O181=Справочники!$F$4,Учет!$H181,0)</f>
        <v>0</v>
      </c>
      <c r="E181" s="52">
        <f>IF(Учет!$O181=Справочники!$F$5,Учет!$H181,0)</f>
        <v>0</v>
      </c>
      <c r="F181" s="52">
        <f>IF(Учет!$O181=Справочники!$F$6,Учет!$H181,0)</f>
        <v>0</v>
      </c>
      <c r="G181" s="43">
        <f>G180+Учет!B181-B181</f>
        <v>-488978.92000000004</v>
      </c>
      <c r="H181" s="43">
        <f>H180+Учет!C181-C181</f>
        <v>336855</v>
      </c>
      <c r="I181" s="43">
        <f>I180+Учет!D181-D181</f>
        <v>500</v>
      </c>
      <c r="J181" s="43">
        <f>J180+Учет!E181-E181</f>
        <v>1150</v>
      </c>
      <c r="K181" s="43">
        <f>K180+Учет!F181-F181</f>
        <v>500000</v>
      </c>
      <c r="L181" s="45">
        <f>Учет!I181</f>
        <v>349526.07999999996</v>
      </c>
    </row>
    <row r="182" spans="1:12" x14ac:dyDescent="0.25">
      <c r="A182" s="48" t="str">
        <f>IF(Учет!A182&lt;&gt;"",Учет!A182,"")</f>
        <v/>
      </c>
      <c r="B182" s="52">
        <f>IF(Учет!$O182=Справочники!$F$2,Учет!$H182,0)</f>
        <v>0</v>
      </c>
      <c r="C182" s="52">
        <f>IF(Учет!$O182=Справочники!$F$3,Учет!$H182,0)</f>
        <v>0</v>
      </c>
      <c r="D182" s="52">
        <f>IF(Учет!$O182=Справочники!$F$4,Учет!$H182,0)</f>
        <v>0</v>
      </c>
      <c r="E182" s="52">
        <f>IF(Учет!$O182=Справочники!$F$5,Учет!$H182,0)</f>
        <v>0</v>
      </c>
      <c r="F182" s="52">
        <f>IF(Учет!$O182=Справочники!$F$6,Учет!$H182,0)</f>
        <v>0</v>
      </c>
      <c r="G182" s="43">
        <f>G181+Учет!B182-B182</f>
        <v>-488978.92000000004</v>
      </c>
      <c r="H182" s="43">
        <f>H181+Учет!C182-C182</f>
        <v>336855</v>
      </c>
      <c r="I182" s="43">
        <f>I181+Учет!D182-D182</f>
        <v>500</v>
      </c>
      <c r="J182" s="43">
        <f>J181+Учет!E182-E182</f>
        <v>1150</v>
      </c>
      <c r="K182" s="43">
        <f>K181+Учет!F182-F182</f>
        <v>500000</v>
      </c>
      <c r="L182" s="45">
        <f>Учет!I182</f>
        <v>349526.07999999996</v>
      </c>
    </row>
    <row r="183" spans="1:12" x14ac:dyDescent="0.25">
      <c r="A183" s="48" t="str">
        <f>IF(Учет!A183&lt;&gt;"",Учет!A183,"")</f>
        <v/>
      </c>
      <c r="B183" s="52">
        <f>IF(Учет!$O183=Справочники!$F$2,Учет!$H183,0)</f>
        <v>0</v>
      </c>
      <c r="C183" s="52">
        <f>IF(Учет!$O183=Справочники!$F$3,Учет!$H183,0)</f>
        <v>0</v>
      </c>
      <c r="D183" s="52">
        <f>IF(Учет!$O183=Справочники!$F$4,Учет!$H183,0)</f>
        <v>0</v>
      </c>
      <c r="E183" s="52">
        <f>IF(Учет!$O183=Справочники!$F$5,Учет!$H183,0)</f>
        <v>0</v>
      </c>
      <c r="F183" s="52">
        <f>IF(Учет!$O183=Справочники!$F$6,Учет!$H183,0)</f>
        <v>0</v>
      </c>
      <c r="G183" s="43">
        <f>G182+Учет!B183-B183</f>
        <v>-488978.92000000004</v>
      </c>
      <c r="H183" s="43">
        <f>H182+Учет!C183-C183</f>
        <v>336855</v>
      </c>
      <c r="I183" s="43">
        <f>I182+Учет!D183-D183</f>
        <v>500</v>
      </c>
      <c r="J183" s="43">
        <f>J182+Учет!E183-E183</f>
        <v>1150</v>
      </c>
      <c r="K183" s="43">
        <f>K182+Учет!F183-F183</f>
        <v>500000</v>
      </c>
      <c r="L183" s="45">
        <f>Учет!I183</f>
        <v>349526.07999999996</v>
      </c>
    </row>
    <row r="184" spans="1:12" x14ac:dyDescent="0.25">
      <c r="A184" s="48" t="str">
        <f>IF(Учет!A184&lt;&gt;"",Учет!A184,"")</f>
        <v/>
      </c>
      <c r="B184" s="52">
        <f>IF(Учет!$O184=Справочники!$F$2,Учет!$H184,0)</f>
        <v>0</v>
      </c>
      <c r="C184" s="52">
        <f>IF(Учет!$O184=Справочники!$F$3,Учет!$H184,0)</f>
        <v>0</v>
      </c>
      <c r="D184" s="52">
        <f>IF(Учет!$O184=Справочники!$F$4,Учет!$H184,0)</f>
        <v>0</v>
      </c>
      <c r="E184" s="52">
        <f>IF(Учет!$O184=Справочники!$F$5,Учет!$H184,0)</f>
        <v>0</v>
      </c>
      <c r="F184" s="52">
        <f>IF(Учет!$O184=Справочники!$F$6,Учет!$H184,0)</f>
        <v>0</v>
      </c>
      <c r="G184" s="43">
        <f>G183+Учет!B184-B184</f>
        <v>-488978.92000000004</v>
      </c>
      <c r="H184" s="43">
        <f>H183+Учет!C184-C184</f>
        <v>336855</v>
      </c>
      <c r="I184" s="43">
        <f>I183+Учет!D184-D184</f>
        <v>500</v>
      </c>
      <c r="J184" s="43">
        <f>J183+Учет!E184-E184</f>
        <v>1150</v>
      </c>
      <c r="K184" s="43">
        <f>K183+Учет!F184-F184</f>
        <v>500000</v>
      </c>
      <c r="L184" s="45">
        <f>Учет!I184</f>
        <v>349526.07999999996</v>
      </c>
    </row>
    <row r="185" spans="1:12" x14ac:dyDescent="0.25">
      <c r="A185" s="48" t="str">
        <f>IF(Учет!A185&lt;&gt;"",Учет!A185,"")</f>
        <v/>
      </c>
      <c r="B185" s="52">
        <f>IF(Учет!$O185=Справочники!$F$2,Учет!$H185,0)</f>
        <v>0</v>
      </c>
      <c r="C185" s="52">
        <f>IF(Учет!$O185=Справочники!$F$3,Учет!$H185,0)</f>
        <v>0</v>
      </c>
      <c r="D185" s="52">
        <f>IF(Учет!$O185=Справочники!$F$4,Учет!$H185,0)</f>
        <v>0</v>
      </c>
      <c r="E185" s="52">
        <f>IF(Учет!$O185=Справочники!$F$5,Учет!$H185,0)</f>
        <v>0</v>
      </c>
      <c r="F185" s="52">
        <f>IF(Учет!$O185=Справочники!$F$6,Учет!$H185,0)</f>
        <v>0</v>
      </c>
      <c r="G185" s="43">
        <f>G184+Учет!B185-B185</f>
        <v>-488978.92000000004</v>
      </c>
      <c r="H185" s="43">
        <f>H184+Учет!C185-C185</f>
        <v>336855</v>
      </c>
      <c r="I185" s="43">
        <f>I184+Учет!D185-D185</f>
        <v>500</v>
      </c>
      <c r="J185" s="43">
        <f>J184+Учет!E185-E185</f>
        <v>1150</v>
      </c>
      <c r="K185" s="43">
        <f>K184+Учет!F185-F185</f>
        <v>500000</v>
      </c>
      <c r="L185" s="45">
        <f>Учет!I185</f>
        <v>349526.07999999996</v>
      </c>
    </row>
    <row r="186" spans="1:12" x14ac:dyDescent="0.25">
      <c r="A186" s="48" t="str">
        <f>IF(Учет!A186&lt;&gt;"",Учет!A186,"")</f>
        <v/>
      </c>
      <c r="B186" s="52">
        <f>IF(Учет!$O186=Справочники!$F$2,Учет!$H186,0)</f>
        <v>0</v>
      </c>
      <c r="C186" s="52">
        <f>IF(Учет!$O186=Справочники!$F$3,Учет!$H186,0)</f>
        <v>0</v>
      </c>
      <c r="D186" s="52">
        <f>IF(Учет!$O186=Справочники!$F$4,Учет!$H186,0)</f>
        <v>0</v>
      </c>
      <c r="E186" s="52">
        <f>IF(Учет!$O186=Справочники!$F$5,Учет!$H186,0)</f>
        <v>0</v>
      </c>
      <c r="F186" s="52">
        <f>IF(Учет!$O186=Справочники!$F$6,Учет!$H186,0)</f>
        <v>0</v>
      </c>
      <c r="G186" s="43">
        <f>G185+Учет!B186-B186</f>
        <v>-488978.92000000004</v>
      </c>
      <c r="H186" s="43">
        <f>H185+Учет!C186-C186</f>
        <v>336855</v>
      </c>
      <c r="I186" s="43">
        <f>I185+Учет!D186-D186</f>
        <v>500</v>
      </c>
      <c r="J186" s="43">
        <f>J185+Учет!E186-E186</f>
        <v>1150</v>
      </c>
      <c r="K186" s="43">
        <f>K185+Учет!F186-F186</f>
        <v>500000</v>
      </c>
      <c r="L186" s="45">
        <f>Учет!I186</f>
        <v>349526.07999999996</v>
      </c>
    </row>
    <row r="187" spans="1:12" x14ac:dyDescent="0.25">
      <c r="A187" s="48" t="str">
        <f>IF(Учет!A187&lt;&gt;"",Учет!A187,"")</f>
        <v/>
      </c>
      <c r="B187" s="52">
        <f>IF(Учет!$O187=Справочники!$F$2,Учет!$H187,0)</f>
        <v>0</v>
      </c>
      <c r="C187" s="52">
        <f>IF(Учет!$O187=Справочники!$F$3,Учет!$H187,0)</f>
        <v>0</v>
      </c>
      <c r="D187" s="52">
        <f>IF(Учет!$O187=Справочники!$F$4,Учет!$H187,0)</f>
        <v>0</v>
      </c>
      <c r="E187" s="52">
        <f>IF(Учет!$O187=Справочники!$F$5,Учет!$H187,0)</f>
        <v>0</v>
      </c>
      <c r="F187" s="52">
        <f>IF(Учет!$O187=Справочники!$F$6,Учет!$H187,0)</f>
        <v>0</v>
      </c>
      <c r="G187" s="43">
        <f>G186+Учет!B187-B187</f>
        <v>-488978.92000000004</v>
      </c>
      <c r="H187" s="43">
        <f>H186+Учет!C187-C187</f>
        <v>336855</v>
      </c>
      <c r="I187" s="43">
        <f>I186+Учет!D187-D187</f>
        <v>500</v>
      </c>
      <c r="J187" s="43">
        <f>J186+Учет!E187-E187</f>
        <v>1150</v>
      </c>
      <c r="K187" s="43">
        <f>K186+Учет!F187-F187</f>
        <v>500000</v>
      </c>
      <c r="L187" s="45">
        <f>Учет!I187</f>
        <v>349526.07999999996</v>
      </c>
    </row>
    <row r="188" spans="1:12" x14ac:dyDescent="0.25">
      <c r="A188" s="48" t="str">
        <f>IF(Учет!A188&lt;&gt;"",Учет!A188,"")</f>
        <v/>
      </c>
      <c r="B188" s="52">
        <f>IF(Учет!$O188=Справочники!$F$2,Учет!$H188,0)</f>
        <v>0</v>
      </c>
      <c r="C188" s="52">
        <f>IF(Учет!$O188=Справочники!$F$3,Учет!$H188,0)</f>
        <v>0</v>
      </c>
      <c r="D188" s="52">
        <f>IF(Учет!$O188=Справочники!$F$4,Учет!$H188,0)</f>
        <v>0</v>
      </c>
      <c r="E188" s="52">
        <f>IF(Учет!$O188=Справочники!$F$5,Учет!$H188,0)</f>
        <v>0</v>
      </c>
      <c r="F188" s="52">
        <f>IF(Учет!$O188=Справочники!$F$6,Учет!$H188,0)</f>
        <v>0</v>
      </c>
      <c r="G188" s="43">
        <f>G187+Учет!B188-B188</f>
        <v>-488978.92000000004</v>
      </c>
      <c r="H188" s="43">
        <f>H187+Учет!C188-C188</f>
        <v>336855</v>
      </c>
      <c r="I188" s="43">
        <f>I187+Учет!D188-D188</f>
        <v>500</v>
      </c>
      <c r="J188" s="43">
        <f>J187+Учет!E188-E188</f>
        <v>1150</v>
      </c>
      <c r="K188" s="43">
        <f>K187+Учет!F188-F188</f>
        <v>500000</v>
      </c>
      <c r="L188" s="45">
        <f>Учет!I188</f>
        <v>349526.07999999996</v>
      </c>
    </row>
    <row r="189" spans="1:12" x14ac:dyDescent="0.25">
      <c r="A189" s="48" t="str">
        <f>IF(Учет!A189&lt;&gt;"",Учет!A189,"")</f>
        <v/>
      </c>
      <c r="B189" s="52">
        <f>IF(Учет!$O189=Справочники!$F$2,Учет!$H189,0)</f>
        <v>0</v>
      </c>
      <c r="C189" s="52">
        <f>IF(Учет!$O189=Справочники!$F$3,Учет!$H189,0)</f>
        <v>0</v>
      </c>
      <c r="D189" s="52">
        <f>IF(Учет!$O189=Справочники!$F$4,Учет!$H189,0)</f>
        <v>0</v>
      </c>
      <c r="E189" s="52">
        <f>IF(Учет!$O189=Справочники!$F$5,Учет!$H189,0)</f>
        <v>0</v>
      </c>
      <c r="F189" s="52">
        <f>IF(Учет!$O189=Справочники!$F$6,Учет!$H189,0)</f>
        <v>0</v>
      </c>
      <c r="G189" s="43">
        <f>G188+Учет!B189-B189</f>
        <v>-488978.92000000004</v>
      </c>
      <c r="H189" s="43">
        <f>H188+Учет!C189-C189</f>
        <v>336855</v>
      </c>
      <c r="I189" s="43">
        <f>I188+Учет!D189-D189</f>
        <v>500</v>
      </c>
      <c r="J189" s="43">
        <f>J188+Учет!E189-E189</f>
        <v>1150</v>
      </c>
      <c r="K189" s="43">
        <f>K188+Учет!F189-F189</f>
        <v>500000</v>
      </c>
      <c r="L189" s="45">
        <f>Учет!I189</f>
        <v>349526.07999999996</v>
      </c>
    </row>
    <row r="190" spans="1:12" x14ac:dyDescent="0.25">
      <c r="A190" s="48" t="str">
        <f>IF(Учет!A190&lt;&gt;"",Учет!A190,"")</f>
        <v/>
      </c>
      <c r="B190" s="52">
        <f>IF(Учет!$O190=Справочники!$F$2,Учет!$H190,0)</f>
        <v>0</v>
      </c>
      <c r="C190" s="52">
        <f>IF(Учет!$O190=Справочники!$F$3,Учет!$H190,0)</f>
        <v>0</v>
      </c>
      <c r="D190" s="52">
        <f>IF(Учет!$O190=Справочники!$F$4,Учет!$H190,0)</f>
        <v>0</v>
      </c>
      <c r="E190" s="52">
        <f>IF(Учет!$O190=Справочники!$F$5,Учет!$H190,0)</f>
        <v>0</v>
      </c>
      <c r="F190" s="52">
        <f>IF(Учет!$O190=Справочники!$F$6,Учет!$H190,0)</f>
        <v>0</v>
      </c>
      <c r="G190" s="43">
        <f>G189+Учет!B190-B190</f>
        <v>-488978.92000000004</v>
      </c>
      <c r="H190" s="43">
        <f>H189+Учет!C190-C190</f>
        <v>336855</v>
      </c>
      <c r="I190" s="43">
        <f>I189+Учет!D190-D190</f>
        <v>500</v>
      </c>
      <c r="J190" s="43">
        <f>J189+Учет!E190-E190</f>
        <v>1150</v>
      </c>
      <c r="K190" s="43">
        <f>K189+Учет!F190-F190</f>
        <v>500000</v>
      </c>
      <c r="L190" s="45">
        <f>Учет!I190</f>
        <v>349526.07999999996</v>
      </c>
    </row>
    <row r="191" spans="1:12" x14ac:dyDescent="0.25">
      <c r="A191" s="48" t="str">
        <f>IF(Учет!A191&lt;&gt;"",Учет!A191,"")</f>
        <v/>
      </c>
      <c r="B191" s="52">
        <f>IF(Учет!$O191=Справочники!$F$2,Учет!$H191,0)</f>
        <v>0</v>
      </c>
      <c r="C191" s="52">
        <f>IF(Учет!$O191=Справочники!$F$3,Учет!$H191,0)</f>
        <v>0</v>
      </c>
      <c r="D191" s="52">
        <f>IF(Учет!$O191=Справочники!$F$4,Учет!$H191,0)</f>
        <v>0</v>
      </c>
      <c r="E191" s="52">
        <f>IF(Учет!$O191=Справочники!$F$5,Учет!$H191,0)</f>
        <v>0</v>
      </c>
      <c r="F191" s="52">
        <f>IF(Учет!$O191=Справочники!$F$6,Учет!$H191,0)</f>
        <v>0</v>
      </c>
      <c r="G191" s="43">
        <f>G190+Учет!B191-B191</f>
        <v>-488978.92000000004</v>
      </c>
      <c r="H191" s="43">
        <f>H190+Учет!C191-C191</f>
        <v>336855</v>
      </c>
      <c r="I191" s="43">
        <f>I190+Учет!D191-D191</f>
        <v>500</v>
      </c>
      <c r="J191" s="43">
        <f>J190+Учет!E191-E191</f>
        <v>1150</v>
      </c>
      <c r="K191" s="43">
        <f>K190+Учет!F191-F191</f>
        <v>500000</v>
      </c>
      <c r="L191" s="45">
        <f>Учет!I191</f>
        <v>349526.07999999996</v>
      </c>
    </row>
    <row r="192" spans="1:12" x14ac:dyDescent="0.25">
      <c r="A192" s="48" t="str">
        <f>IF(Учет!A192&lt;&gt;"",Учет!A192,"")</f>
        <v/>
      </c>
      <c r="B192" s="52">
        <f>IF(Учет!$O192=Справочники!$F$2,Учет!$H192,0)</f>
        <v>0</v>
      </c>
      <c r="C192" s="52">
        <f>IF(Учет!$O192=Справочники!$F$3,Учет!$H192,0)</f>
        <v>0</v>
      </c>
      <c r="D192" s="52">
        <f>IF(Учет!$O192=Справочники!$F$4,Учет!$H192,0)</f>
        <v>0</v>
      </c>
      <c r="E192" s="52">
        <f>IF(Учет!$O192=Справочники!$F$5,Учет!$H192,0)</f>
        <v>0</v>
      </c>
      <c r="F192" s="52">
        <f>IF(Учет!$O192=Справочники!$F$6,Учет!$H192,0)</f>
        <v>0</v>
      </c>
      <c r="G192" s="43">
        <f>G191+Учет!B192-B192</f>
        <v>-488978.92000000004</v>
      </c>
      <c r="H192" s="43">
        <f>H191+Учет!C192-C192</f>
        <v>336855</v>
      </c>
      <c r="I192" s="43">
        <f>I191+Учет!D192-D192</f>
        <v>500</v>
      </c>
      <c r="J192" s="43">
        <f>J191+Учет!E192-E192</f>
        <v>1150</v>
      </c>
      <c r="K192" s="43">
        <f>K191+Учет!F192-F192</f>
        <v>500000</v>
      </c>
      <c r="L192" s="45">
        <f>Учет!I192</f>
        <v>349526.07999999996</v>
      </c>
    </row>
    <row r="193" spans="1:12" x14ac:dyDescent="0.25">
      <c r="A193" s="48" t="str">
        <f>IF(Учет!A193&lt;&gt;"",Учет!A193,"")</f>
        <v/>
      </c>
      <c r="B193" s="52">
        <f>IF(Учет!$O193=Справочники!$F$2,Учет!$H193,0)</f>
        <v>0</v>
      </c>
      <c r="C193" s="52">
        <f>IF(Учет!$O193=Справочники!$F$3,Учет!$H193,0)</f>
        <v>0</v>
      </c>
      <c r="D193" s="52">
        <f>IF(Учет!$O193=Справочники!$F$4,Учет!$H193,0)</f>
        <v>0</v>
      </c>
      <c r="E193" s="52">
        <f>IF(Учет!$O193=Справочники!$F$5,Учет!$H193,0)</f>
        <v>0</v>
      </c>
      <c r="F193" s="52">
        <f>IF(Учет!$O193=Справочники!$F$6,Учет!$H193,0)</f>
        <v>0</v>
      </c>
      <c r="G193" s="43">
        <f>G192+Учет!B193-B193</f>
        <v>-488978.92000000004</v>
      </c>
      <c r="H193" s="43">
        <f>H192+Учет!C193-C193</f>
        <v>336855</v>
      </c>
      <c r="I193" s="43">
        <f>I192+Учет!D193-D193</f>
        <v>500</v>
      </c>
      <c r="J193" s="43">
        <f>J192+Учет!E193-E193</f>
        <v>1150</v>
      </c>
      <c r="K193" s="43">
        <f>K192+Учет!F193-F193</f>
        <v>500000</v>
      </c>
      <c r="L193" s="45">
        <f>Учет!I193</f>
        <v>349526.07999999996</v>
      </c>
    </row>
    <row r="194" spans="1:12" x14ac:dyDescent="0.25">
      <c r="A194" s="48" t="str">
        <f>IF(Учет!A194&lt;&gt;"",Учет!A194,"")</f>
        <v/>
      </c>
      <c r="B194" s="52">
        <f>IF(Учет!$O194=Справочники!$F$2,Учет!$H194,0)</f>
        <v>0</v>
      </c>
      <c r="C194" s="52">
        <f>IF(Учет!$O194=Справочники!$F$3,Учет!$H194,0)</f>
        <v>0</v>
      </c>
      <c r="D194" s="52">
        <f>IF(Учет!$O194=Справочники!$F$4,Учет!$H194,0)</f>
        <v>0</v>
      </c>
      <c r="E194" s="52">
        <f>IF(Учет!$O194=Справочники!$F$5,Учет!$H194,0)</f>
        <v>0</v>
      </c>
      <c r="F194" s="52">
        <f>IF(Учет!$O194=Справочники!$F$6,Учет!$H194,0)</f>
        <v>0</v>
      </c>
      <c r="G194" s="43">
        <f>G193+Учет!B194-B194</f>
        <v>-488978.92000000004</v>
      </c>
      <c r="H194" s="43">
        <f>H193+Учет!C194-C194</f>
        <v>336855</v>
      </c>
      <c r="I194" s="43">
        <f>I193+Учет!D194-D194</f>
        <v>500</v>
      </c>
      <c r="J194" s="43">
        <f>J193+Учет!E194-E194</f>
        <v>1150</v>
      </c>
      <c r="K194" s="43">
        <f>K193+Учет!F194-F194</f>
        <v>500000</v>
      </c>
      <c r="L194" s="45">
        <f>Учет!I194</f>
        <v>349526.07999999996</v>
      </c>
    </row>
    <row r="195" spans="1:12" x14ac:dyDescent="0.25">
      <c r="A195" s="48" t="str">
        <f>IF(Учет!A195&lt;&gt;"",Учет!A195,"")</f>
        <v/>
      </c>
      <c r="B195" s="52">
        <f>IF(Учет!$O195=Справочники!$F$2,Учет!$H195,0)</f>
        <v>0</v>
      </c>
      <c r="C195" s="52">
        <f>IF(Учет!$O195=Справочники!$F$3,Учет!$H195,0)</f>
        <v>0</v>
      </c>
      <c r="D195" s="52">
        <f>IF(Учет!$O195=Справочники!$F$4,Учет!$H195,0)</f>
        <v>0</v>
      </c>
      <c r="E195" s="52">
        <f>IF(Учет!$O195=Справочники!$F$5,Учет!$H195,0)</f>
        <v>0</v>
      </c>
      <c r="F195" s="52">
        <f>IF(Учет!$O195=Справочники!$F$6,Учет!$H195,0)</f>
        <v>0</v>
      </c>
      <c r="G195" s="43">
        <f>G194+Учет!B195-B195</f>
        <v>-488978.92000000004</v>
      </c>
      <c r="H195" s="43">
        <f>H194+Учет!C195-C195</f>
        <v>336855</v>
      </c>
      <c r="I195" s="43">
        <f>I194+Учет!D195-D195</f>
        <v>500</v>
      </c>
      <c r="J195" s="43">
        <f>J194+Учет!E195-E195</f>
        <v>1150</v>
      </c>
      <c r="K195" s="43">
        <f>K194+Учет!F195-F195</f>
        <v>500000</v>
      </c>
      <c r="L195" s="45">
        <f>Учет!I195</f>
        <v>349526.07999999996</v>
      </c>
    </row>
    <row r="196" spans="1:12" x14ac:dyDescent="0.25">
      <c r="A196" s="48" t="str">
        <f>IF(Учет!A196&lt;&gt;"",Учет!A196,"")</f>
        <v/>
      </c>
      <c r="B196" s="52">
        <f>IF(Учет!$O196=Справочники!$F$2,Учет!$H196,0)</f>
        <v>0</v>
      </c>
      <c r="C196" s="52">
        <f>IF(Учет!$O196=Справочники!$F$3,Учет!$H196,0)</f>
        <v>0</v>
      </c>
      <c r="D196" s="52">
        <f>IF(Учет!$O196=Справочники!$F$4,Учет!$H196,0)</f>
        <v>0</v>
      </c>
      <c r="E196" s="52">
        <f>IF(Учет!$O196=Справочники!$F$5,Учет!$H196,0)</f>
        <v>0</v>
      </c>
      <c r="F196" s="52">
        <f>IF(Учет!$O196=Справочники!$F$6,Учет!$H196,0)</f>
        <v>0</v>
      </c>
      <c r="G196" s="43">
        <f>G195+Учет!B196-B196</f>
        <v>-488978.92000000004</v>
      </c>
      <c r="H196" s="43">
        <f>H195+Учет!C196-C196</f>
        <v>336855</v>
      </c>
      <c r="I196" s="43">
        <f>I195+Учет!D196-D196</f>
        <v>500</v>
      </c>
      <c r="J196" s="43">
        <f>J195+Учет!E196-E196</f>
        <v>1150</v>
      </c>
      <c r="K196" s="43">
        <f>K195+Учет!F196-F196</f>
        <v>500000</v>
      </c>
      <c r="L196" s="45">
        <f>Учет!I196</f>
        <v>349526.07999999996</v>
      </c>
    </row>
    <row r="197" spans="1:12" x14ac:dyDescent="0.25">
      <c r="A197" s="48" t="str">
        <f>IF(Учет!A197&lt;&gt;"",Учет!A197,"")</f>
        <v/>
      </c>
      <c r="B197" s="52">
        <f>IF(Учет!$O197=Справочники!$F$2,Учет!$H197,0)</f>
        <v>0</v>
      </c>
      <c r="C197" s="52">
        <f>IF(Учет!$O197=Справочники!$F$3,Учет!$H197,0)</f>
        <v>0</v>
      </c>
      <c r="D197" s="52">
        <f>IF(Учет!$O197=Справочники!$F$4,Учет!$H197,0)</f>
        <v>0</v>
      </c>
      <c r="E197" s="52">
        <f>IF(Учет!$O197=Справочники!$F$5,Учет!$H197,0)</f>
        <v>0</v>
      </c>
      <c r="F197" s="52">
        <f>IF(Учет!$O197=Справочники!$F$6,Учет!$H197,0)</f>
        <v>0</v>
      </c>
      <c r="G197" s="43">
        <f>G196+Учет!B197-B197</f>
        <v>-488978.92000000004</v>
      </c>
      <c r="H197" s="43">
        <f>H196+Учет!C197-C197</f>
        <v>336855</v>
      </c>
      <c r="I197" s="43">
        <f>I196+Учет!D197-D197</f>
        <v>500</v>
      </c>
      <c r="J197" s="43">
        <f>J196+Учет!E197-E197</f>
        <v>1150</v>
      </c>
      <c r="K197" s="43">
        <f>K196+Учет!F197-F197</f>
        <v>500000</v>
      </c>
      <c r="L197" s="45">
        <f>Учет!I197</f>
        <v>349526.07999999996</v>
      </c>
    </row>
    <row r="198" spans="1:12" x14ac:dyDescent="0.25">
      <c r="A198" s="48" t="str">
        <f>IF(Учет!A198&lt;&gt;"",Учет!A198,"")</f>
        <v/>
      </c>
      <c r="B198" s="52">
        <f>IF(Учет!$O198=Справочники!$F$2,Учет!$H198,0)</f>
        <v>0</v>
      </c>
      <c r="C198" s="52">
        <f>IF(Учет!$O198=Справочники!$F$3,Учет!$H198,0)</f>
        <v>0</v>
      </c>
      <c r="D198" s="52">
        <f>IF(Учет!$O198=Справочники!$F$4,Учет!$H198,0)</f>
        <v>0</v>
      </c>
      <c r="E198" s="52">
        <f>IF(Учет!$O198=Справочники!$F$5,Учет!$H198,0)</f>
        <v>0</v>
      </c>
      <c r="F198" s="52">
        <f>IF(Учет!$O198=Справочники!$F$6,Учет!$H198,0)</f>
        <v>0</v>
      </c>
      <c r="G198" s="43">
        <f>G197+Учет!B198-B198</f>
        <v>-488978.92000000004</v>
      </c>
      <c r="H198" s="43">
        <f>H197+Учет!C198-C198</f>
        <v>336855</v>
      </c>
      <c r="I198" s="43">
        <f>I197+Учет!D198-D198</f>
        <v>500</v>
      </c>
      <c r="J198" s="43">
        <f>J197+Учет!E198-E198</f>
        <v>1150</v>
      </c>
      <c r="K198" s="43">
        <f>K197+Учет!F198-F198</f>
        <v>500000</v>
      </c>
      <c r="L198" s="45">
        <f>Учет!I198</f>
        <v>349526.07999999996</v>
      </c>
    </row>
    <row r="199" spans="1:12" x14ac:dyDescent="0.25">
      <c r="A199" s="48" t="str">
        <f>IF(Учет!A199&lt;&gt;"",Учет!A199,"")</f>
        <v/>
      </c>
      <c r="B199" s="52">
        <f>IF(Учет!$O199=Справочники!$F$2,Учет!$H199,0)</f>
        <v>0</v>
      </c>
      <c r="C199" s="52">
        <f>IF(Учет!$O199=Справочники!$F$3,Учет!$H199,0)</f>
        <v>0</v>
      </c>
      <c r="D199" s="52">
        <f>IF(Учет!$O199=Справочники!$F$4,Учет!$H199,0)</f>
        <v>0</v>
      </c>
      <c r="E199" s="52">
        <f>IF(Учет!$O199=Справочники!$F$5,Учет!$H199,0)</f>
        <v>0</v>
      </c>
      <c r="F199" s="52">
        <f>IF(Учет!$O199=Справочники!$F$6,Учет!$H199,0)</f>
        <v>0</v>
      </c>
      <c r="G199" s="43">
        <f>G198+Учет!B199-B199</f>
        <v>-488978.92000000004</v>
      </c>
      <c r="H199" s="43">
        <f>H198+Учет!C199-C199</f>
        <v>336855</v>
      </c>
      <c r="I199" s="43">
        <f>I198+Учет!D199-D199</f>
        <v>500</v>
      </c>
      <c r="J199" s="43">
        <f>J198+Учет!E199-E199</f>
        <v>1150</v>
      </c>
      <c r="K199" s="43">
        <f>K198+Учет!F199-F199</f>
        <v>500000</v>
      </c>
      <c r="L199" s="45">
        <f>Учет!I199</f>
        <v>349526.07999999996</v>
      </c>
    </row>
    <row r="200" spans="1:12" x14ac:dyDescent="0.25">
      <c r="A200" s="48" t="str">
        <f>IF(Учет!A200&lt;&gt;"",Учет!A200,"")</f>
        <v/>
      </c>
      <c r="B200" s="52">
        <f>IF(Учет!$O200=Справочники!$F$2,Учет!$H200,0)</f>
        <v>0</v>
      </c>
      <c r="C200" s="52">
        <f>IF(Учет!$O200=Справочники!$F$3,Учет!$H200,0)</f>
        <v>0</v>
      </c>
      <c r="D200" s="52">
        <f>IF(Учет!$O200=Справочники!$F$4,Учет!$H200,0)</f>
        <v>0</v>
      </c>
      <c r="E200" s="52">
        <f>IF(Учет!$O200=Справочники!$F$5,Учет!$H200,0)</f>
        <v>0</v>
      </c>
      <c r="F200" s="52">
        <f>IF(Учет!$O200=Справочники!$F$6,Учет!$H200,0)</f>
        <v>0</v>
      </c>
      <c r="G200" s="43">
        <f>G199+Учет!B200-B200</f>
        <v>-488978.92000000004</v>
      </c>
      <c r="H200" s="43">
        <f>H199+Учет!C200-C200</f>
        <v>336855</v>
      </c>
      <c r="I200" s="43">
        <f>I199+Учет!D200-D200</f>
        <v>500</v>
      </c>
      <c r="J200" s="43">
        <f>J199+Учет!E200-E200</f>
        <v>1150</v>
      </c>
      <c r="K200" s="43">
        <f>K199+Учет!F200-F200</f>
        <v>500000</v>
      </c>
      <c r="L200" s="45">
        <f>Учет!I200</f>
        <v>349526.07999999996</v>
      </c>
    </row>
    <row r="201" spans="1:12" x14ac:dyDescent="0.25">
      <c r="A201" s="48" t="str">
        <f>IF(Учет!A201&lt;&gt;"",Учет!A201,"")</f>
        <v/>
      </c>
      <c r="B201" s="52">
        <f>IF(Учет!$O201=Справочники!$F$2,Учет!$H201,0)</f>
        <v>0</v>
      </c>
      <c r="C201" s="52">
        <f>IF(Учет!$O201=Справочники!$F$3,Учет!$H201,0)</f>
        <v>0</v>
      </c>
      <c r="D201" s="52">
        <f>IF(Учет!$O201=Справочники!$F$4,Учет!$H201,0)</f>
        <v>0</v>
      </c>
      <c r="E201" s="52">
        <f>IF(Учет!$O201=Справочники!$F$5,Учет!$H201,0)</f>
        <v>0</v>
      </c>
      <c r="F201" s="52">
        <f>IF(Учет!$O201=Справочники!$F$6,Учет!$H201,0)</f>
        <v>0</v>
      </c>
      <c r="G201" s="43">
        <f>G200+Учет!B201-B201</f>
        <v>-488978.92000000004</v>
      </c>
      <c r="H201" s="43">
        <f>H200+Учет!C201-C201</f>
        <v>336855</v>
      </c>
      <c r="I201" s="43">
        <f>I200+Учет!D201-D201</f>
        <v>500</v>
      </c>
      <c r="J201" s="43">
        <f>J200+Учет!E201-E201</f>
        <v>1150</v>
      </c>
      <c r="K201" s="43">
        <f>K200+Учет!F201-F201</f>
        <v>500000</v>
      </c>
      <c r="L201" s="45">
        <f>Учет!I201</f>
        <v>349526.07999999996</v>
      </c>
    </row>
    <row r="202" spans="1:12" x14ac:dyDescent="0.25">
      <c r="A202" s="48" t="str">
        <f>IF(Учет!A202&lt;&gt;"",Учет!A202,"")</f>
        <v/>
      </c>
      <c r="B202" s="52">
        <f>IF(Учет!$O202=Справочники!$F$2,Учет!$H202,0)</f>
        <v>0</v>
      </c>
      <c r="C202" s="52">
        <f>IF(Учет!$O202=Справочники!$F$3,Учет!$H202,0)</f>
        <v>0</v>
      </c>
      <c r="D202" s="52">
        <f>IF(Учет!$O202=Справочники!$F$4,Учет!$H202,0)</f>
        <v>0</v>
      </c>
      <c r="E202" s="52">
        <f>IF(Учет!$O202=Справочники!$F$5,Учет!$H202,0)</f>
        <v>0</v>
      </c>
      <c r="F202" s="52">
        <f>IF(Учет!$O202=Справочники!$F$6,Учет!$H202,0)</f>
        <v>0</v>
      </c>
      <c r="G202" s="43">
        <f>G201+Учет!B202-B202</f>
        <v>-488978.92000000004</v>
      </c>
      <c r="H202" s="43">
        <f>H201+Учет!C202-C202</f>
        <v>336855</v>
      </c>
      <c r="I202" s="43">
        <f>I201+Учет!D202-D202</f>
        <v>500</v>
      </c>
      <c r="J202" s="43">
        <f>J201+Учет!E202-E202</f>
        <v>1150</v>
      </c>
      <c r="K202" s="43">
        <f>K201+Учет!F202-F202</f>
        <v>500000</v>
      </c>
      <c r="L202" s="45">
        <f>Учет!I202</f>
        <v>349526.07999999996</v>
      </c>
    </row>
    <row r="203" spans="1:12" x14ac:dyDescent="0.25">
      <c r="A203" s="48" t="str">
        <f>IF(Учет!A203&lt;&gt;"",Учет!A203,"")</f>
        <v/>
      </c>
      <c r="B203" s="52">
        <f>IF(Учет!$O203=Справочники!$F$2,Учет!$H203,0)</f>
        <v>0</v>
      </c>
      <c r="C203" s="52">
        <f>IF(Учет!$O203=Справочники!$F$3,Учет!$H203,0)</f>
        <v>0</v>
      </c>
      <c r="D203" s="52">
        <f>IF(Учет!$O203=Справочники!$F$4,Учет!$H203,0)</f>
        <v>0</v>
      </c>
      <c r="E203" s="52">
        <f>IF(Учет!$O203=Справочники!$F$5,Учет!$H203,0)</f>
        <v>0</v>
      </c>
      <c r="F203" s="52">
        <f>IF(Учет!$O203=Справочники!$F$6,Учет!$H203,0)</f>
        <v>0</v>
      </c>
      <c r="G203" s="43">
        <f>G202+Учет!B203-B203</f>
        <v>-488978.92000000004</v>
      </c>
      <c r="H203" s="43">
        <f>H202+Учет!C203-C203</f>
        <v>336855</v>
      </c>
      <c r="I203" s="43">
        <f>I202+Учет!D203-D203</f>
        <v>500</v>
      </c>
      <c r="J203" s="43">
        <f>J202+Учет!E203-E203</f>
        <v>1150</v>
      </c>
      <c r="K203" s="43">
        <f>K202+Учет!F203-F203</f>
        <v>500000</v>
      </c>
      <c r="L203" s="45">
        <f>Учет!I203</f>
        <v>349526.07999999996</v>
      </c>
    </row>
    <row r="204" spans="1:12" x14ac:dyDescent="0.25">
      <c r="A204" s="48" t="str">
        <f>IF(Учет!A204&lt;&gt;"",Учет!A204,"")</f>
        <v/>
      </c>
      <c r="B204" s="52">
        <f>IF(Учет!$O204=Справочники!$F$2,Учет!$H204,0)</f>
        <v>0</v>
      </c>
      <c r="C204" s="52">
        <f>IF(Учет!$O204=Справочники!$F$3,Учет!$H204,0)</f>
        <v>0</v>
      </c>
      <c r="D204" s="52">
        <f>IF(Учет!$O204=Справочники!$F$4,Учет!$H204,0)</f>
        <v>0</v>
      </c>
      <c r="E204" s="52">
        <f>IF(Учет!$O204=Справочники!$F$5,Учет!$H204,0)</f>
        <v>0</v>
      </c>
      <c r="F204" s="52">
        <f>IF(Учет!$O204=Справочники!$F$6,Учет!$H204,0)</f>
        <v>0</v>
      </c>
      <c r="G204" s="43">
        <f>G203+Учет!B204-B204</f>
        <v>-488978.92000000004</v>
      </c>
      <c r="H204" s="43">
        <f>H203+Учет!C204-C204</f>
        <v>336855</v>
      </c>
      <c r="I204" s="43">
        <f>I203+Учет!D204-D204</f>
        <v>500</v>
      </c>
      <c r="J204" s="43">
        <f>J203+Учет!E204-E204</f>
        <v>1150</v>
      </c>
      <c r="K204" s="43">
        <f>K203+Учет!F204-F204</f>
        <v>500000</v>
      </c>
      <c r="L204" s="45">
        <f>Учет!I204</f>
        <v>349526.07999999996</v>
      </c>
    </row>
    <row r="205" spans="1:12" x14ac:dyDescent="0.25">
      <c r="A205" s="48" t="str">
        <f>IF(Учет!A205&lt;&gt;"",Учет!A205,"")</f>
        <v/>
      </c>
      <c r="B205" s="52">
        <f>IF(Учет!$O205=Справочники!$F$2,Учет!$H205,0)</f>
        <v>0</v>
      </c>
      <c r="C205" s="52">
        <f>IF(Учет!$O205=Справочники!$F$3,Учет!$H205,0)</f>
        <v>0</v>
      </c>
      <c r="D205" s="52">
        <f>IF(Учет!$O205=Справочники!$F$4,Учет!$H205,0)</f>
        <v>0</v>
      </c>
      <c r="E205" s="52">
        <f>IF(Учет!$O205=Справочники!$F$5,Учет!$H205,0)</f>
        <v>0</v>
      </c>
      <c r="F205" s="52">
        <f>IF(Учет!$O205=Справочники!$F$6,Учет!$H205,0)</f>
        <v>0</v>
      </c>
      <c r="G205" s="43">
        <f>G204+Учет!B205-B205</f>
        <v>-488978.92000000004</v>
      </c>
      <c r="H205" s="43">
        <f>H204+Учет!C205-C205</f>
        <v>336855</v>
      </c>
      <c r="I205" s="43">
        <f>I204+Учет!D205-D205</f>
        <v>500</v>
      </c>
      <c r="J205" s="43">
        <f>J204+Учет!E205-E205</f>
        <v>1150</v>
      </c>
      <c r="K205" s="43">
        <f>K204+Учет!F205-F205</f>
        <v>500000</v>
      </c>
      <c r="L205" s="45">
        <f>Учет!I205</f>
        <v>349526.07999999996</v>
      </c>
    </row>
    <row r="206" spans="1:12" x14ac:dyDescent="0.25">
      <c r="A206" s="48" t="str">
        <f>IF(Учет!A206&lt;&gt;"",Учет!A206,"")</f>
        <v/>
      </c>
      <c r="B206" s="52">
        <f>IF(Учет!$O206=Справочники!$F$2,Учет!$H206,0)</f>
        <v>0</v>
      </c>
      <c r="C206" s="52">
        <f>IF(Учет!$O206=Справочники!$F$3,Учет!$H206,0)</f>
        <v>0</v>
      </c>
      <c r="D206" s="52">
        <f>IF(Учет!$O206=Справочники!$F$4,Учет!$H206,0)</f>
        <v>0</v>
      </c>
      <c r="E206" s="52">
        <f>IF(Учет!$O206=Справочники!$F$5,Учет!$H206,0)</f>
        <v>0</v>
      </c>
      <c r="F206" s="52">
        <f>IF(Учет!$O206=Справочники!$F$6,Учет!$H206,0)</f>
        <v>0</v>
      </c>
      <c r="G206" s="43">
        <f>G205+Учет!B206-B206</f>
        <v>-488978.92000000004</v>
      </c>
      <c r="H206" s="43">
        <f>H205+Учет!C206-C206</f>
        <v>336855</v>
      </c>
      <c r="I206" s="43">
        <f>I205+Учет!D206-D206</f>
        <v>500</v>
      </c>
      <c r="J206" s="43">
        <f>J205+Учет!E206-E206</f>
        <v>1150</v>
      </c>
      <c r="K206" s="43">
        <f>K205+Учет!F206-F206</f>
        <v>500000</v>
      </c>
      <c r="L206" s="45">
        <f>Учет!I206</f>
        <v>349526.07999999996</v>
      </c>
    </row>
    <row r="207" spans="1:12" x14ac:dyDescent="0.25">
      <c r="A207" s="48" t="str">
        <f>IF(Учет!A207&lt;&gt;"",Учет!A207,"")</f>
        <v/>
      </c>
      <c r="B207" s="52">
        <f>IF(Учет!$O207=Справочники!$F$2,Учет!$H207,0)</f>
        <v>0</v>
      </c>
      <c r="C207" s="52">
        <f>IF(Учет!$O207=Справочники!$F$3,Учет!$H207,0)</f>
        <v>0</v>
      </c>
      <c r="D207" s="52">
        <f>IF(Учет!$O207=Справочники!$F$4,Учет!$H207,0)</f>
        <v>0</v>
      </c>
      <c r="E207" s="52">
        <f>IF(Учет!$O207=Справочники!$F$5,Учет!$H207,0)</f>
        <v>0</v>
      </c>
      <c r="F207" s="52">
        <f>IF(Учет!$O207=Справочники!$F$6,Учет!$H207,0)</f>
        <v>0</v>
      </c>
      <c r="G207" s="43">
        <f>G206+Учет!B207-B207</f>
        <v>-488978.92000000004</v>
      </c>
      <c r="H207" s="43">
        <f>H206+Учет!C207-C207</f>
        <v>336855</v>
      </c>
      <c r="I207" s="43">
        <f>I206+Учет!D207-D207</f>
        <v>500</v>
      </c>
      <c r="J207" s="43">
        <f>J206+Учет!E207-E207</f>
        <v>1150</v>
      </c>
      <c r="K207" s="43">
        <f>K206+Учет!F207-F207</f>
        <v>500000</v>
      </c>
      <c r="L207" s="45">
        <f>Учет!I207</f>
        <v>349526.07999999996</v>
      </c>
    </row>
    <row r="208" spans="1:12" x14ac:dyDescent="0.25">
      <c r="A208" s="48" t="str">
        <f>IF(Учет!A208&lt;&gt;"",Учет!A208,"")</f>
        <v/>
      </c>
      <c r="B208" s="52">
        <f>IF(Учет!$O208=Справочники!$F$2,Учет!$H208,0)</f>
        <v>0</v>
      </c>
      <c r="C208" s="52">
        <f>IF(Учет!$O208=Справочники!$F$3,Учет!$H208,0)</f>
        <v>0</v>
      </c>
      <c r="D208" s="52">
        <f>IF(Учет!$O208=Справочники!$F$4,Учет!$H208,0)</f>
        <v>0</v>
      </c>
      <c r="E208" s="52">
        <f>IF(Учет!$O208=Справочники!$F$5,Учет!$H208,0)</f>
        <v>0</v>
      </c>
      <c r="F208" s="52">
        <f>IF(Учет!$O208=Справочники!$F$6,Учет!$H208,0)</f>
        <v>0</v>
      </c>
      <c r="G208" s="43">
        <f>G207+Учет!B208-B208</f>
        <v>-488978.92000000004</v>
      </c>
      <c r="H208" s="43">
        <f>H207+Учет!C208-C208</f>
        <v>336855</v>
      </c>
      <c r="I208" s="43">
        <f>I207+Учет!D208-D208</f>
        <v>500</v>
      </c>
      <c r="J208" s="43">
        <f>J207+Учет!E208-E208</f>
        <v>1150</v>
      </c>
      <c r="K208" s="43">
        <f>K207+Учет!F208-F208</f>
        <v>500000</v>
      </c>
      <c r="L208" s="45">
        <f>Учет!I208</f>
        <v>349526.07999999996</v>
      </c>
    </row>
    <row r="209" spans="1:12" x14ac:dyDescent="0.25">
      <c r="A209" s="48" t="str">
        <f>IF(Учет!A209&lt;&gt;"",Учет!A209,"")</f>
        <v/>
      </c>
      <c r="B209" s="52">
        <f>IF(Учет!$O209=Справочники!$F$2,Учет!$H209,0)</f>
        <v>0</v>
      </c>
      <c r="C209" s="52">
        <f>IF(Учет!$O209=Справочники!$F$3,Учет!$H209,0)</f>
        <v>0</v>
      </c>
      <c r="D209" s="52">
        <f>IF(Учет!$O209=Справочники!$F$4,Учет!$H209,0)</f>
        <v>0</v>
      </c>
      <c r="E209" s="52">
        <f>IF(Учет!$O209=Справочники!$F$5,Учет!$H209,0)</f>
        <v>0</v>
      </c>
      <c r="F209" s="52">
        <f>IF(Учет!$O209=Справочники!$F$6,Учет!$H209,0)</f>
        <v>0</v>
      </c>
      <c r="G209" s="43">
        <f>G208+Учет!B209-B209</f>
        <v>-488978.92000000004</v>
      </c>
      <c r="H209" s="43">
        <f>H208+Учет!C209-C209</f>
        <v>336855</v>
      </c>
      <c r="I209" s="43">
        <f>I208+Учет!D209-D209</f>
        <v>500</v>
      </c>
      <c r="J209" s="43">
        <f>J208+Учет!E209-E209</f>
        <v>1150</v>
      </c>
      <c r="K209" s="43">
        <f>K208+Учет!F209-F209</f>
        <v>500000</v>
      </c>
      <c r="L209" s="45">
        <f>Учет!I209</f>
        <v>349526.07999999996</v>
      </c>
    </row>
    <row r="210" spans="1:12" x14ac:dyDescent="0.25">
      <c r="A210" s="48" t="str">
        <f>IF(Учет!A210&lt;&gt;"",Учет!A210,"")</f>
        <v/>
      </c>
      <c r="B210" s="52">
        <f>IF(Учет!$O210=Справочники!$F$2,Учет!$H210,0)</f>
        <v>0</v>
      </c>
      <c r="C210" s="52">
        <f>IF(Учет!$O210=Справочники!$F$3,Учет!$H210,0)</f>
        <v>0</v>
      </c>
      <c r="D210" s="52">
        <f>IF(Учет!$O210=Справочники!$F$4,Учет!$H210,0)</f>
        <v>0</v>
      </c>
      <c r="E210" s="52">
        <f>IF(Учет!$O210=Справочники!$F$5,Учет!$H210,0)</f>
        <v>0</v>
      </c>
      <c r="F210" s="52">
        <f>IF(Учет!$O210=Справочники!$F$6,Учет!$H210,0)</f>
        <v>0</v>
      </c>
      <c r="G210" s="43">
        <f>G209+Учет!B210-B210</f>
        <v>-488978.92000000004</v>
      </c>
      <c r="H210" s="43">
        <f>H209+Учет!C210-C210</f>
        <v>336855</v>
      </c>
      <c r="I210" s="43">
        <f>I209+Учет!D210-D210</f>
        <v>500</v>
      </c>
      <c r="J210" s="43">
        <f>J209+Учет!E210-E210</f>
        <v>1150</v>
      </c>
      <c r="K210" s="43">
        <f>K209+Учет!F210-F210</f>
        <v>500000</v>
      </c>
      <c r="L210" s="45">
        <f>Учет!I210</f>
        <v>349526.07999999996</v>
      </c>
    </row>
    <row r="211" spans="1:12" x14ac:dyDescent="0.25">
      <c r="A211" s="48" t="str">
        <f>IF(Учет!A211&lt;&gt;"",Учет!A211,"")</f>
        <v/>
      </c>
      <c r="B211" s="52">
        <f>IF(Учет!$O211=Справочники!$F$2,Учет!$H211,0)</f>
        <v>0</v>
      </c>
      <c r="C211" s="52">
        <f>IF(Учет!$O211=Справочники!$F$3,Учет!$H211,0)</f>
        <v>0</v>
      </c>
      <c r="D211" s="52">
        <f>IF(Учет!$O211=Справочники!$F$4,Учет!$H211,0)</f>
        <v>0</v>
      </c>
      <c r="E211" s="52">
        <f>IF(Учет!$O211=Справочники!$F$5,Учет!$H211,0)</f>
        <v>0</v>
      </c>
      <c r="F211" s="52">
        <f>IF(Учет!$O211=Справочники!$F$6,Учет!$H211,0)</f>
        <v>0</v>
      </c>
      <c r="G211" s="43">
        <f>G210+Учет!B211-B211</f>
        <v>-488978.92000000004</v>
      </c>
      <c r="H211" s="43">
        <f>H210+Учет!C211-C211</f>
        <v>336855</v>
      </c>
      <c r="I211" s="43">
        <f>I210+Учет!D211-D211</f>
        <v>500</v>
      </c>
      <c r="J211" s="43">
        <f>J210+Учет!E211-E211</f>
        <v>1150</v>
      </c>
      <c r="K211" s="43">
        <f>K210+Учет!F211-F211</f>
        <v>500000</v>
      </c>
      <c r="L211" s="45">
        <f>Учет!I211</f>
        <v>349526.07999999996</v>
      </c>
    </row>
    <row r="212" spans="1:12" x14ac:dyDescent="0.25">
      <c r="A212" s="48" t="str">
        <f>IF(Учет!A212&lt;&gt;"",Учет!A212,"")</f>
        <v/>
      </c>
      <c r="B212" s="52">
        <f>IF(Учет!$O212=Справочники!$F$2,Учет!$H212,0)</f>
        <v>0</v>
      </c>
      <c r="C212" s="52">
        <f>IF(Учет!$O212=Справочники!$F$3,Учет!$H212,0)</f>
        <v>0</v>
      </c>
      <c r="D212" s="52">
        <f>IF(Учет!$O212=Справочники!$F$4,Учет!$H212,0)</f>
        <v>0</v>
      </c>
      <c r="E212" s="52">
        <f>IF(Учет!$O212=Справочники!$F$5,Учет!$H212,0)</f>
        <v>0</v>
      </c>
      <c r="F212" s="52">
        <f>IF(Учет!$O212=Справочники!$F$6,Учет!$H212,0)</f>
        <v>0</v>
      </c>
      <c r="G212" s="43">
        <f>G211+Учет!B212-B212</f>
        <v>-488978.92000000004</v>
      </c>
      <c r="H212" s="43">
        <f>H211+Учет!C212-C212</f>
        <v>336855</v>
      </c>
      <c r="I212" s="43">
        <f>I211+Учет!D212-D212</f>
        <v>500</v>
      </c>
      <c r="J212" s="43">
        <f>J211+Учет!E212-E212</f>
        <v>1150</v>
      </c>
      <c r="K212" s="43">
        <f>K211+Учет!F212-F212</f>
        <v>500000</v>
      </c>
      <c r="L212" s="45">
        <f>Учет!I212</f>
        <v>349526.07999999996</v>
      </c>
    </row>
    <row r="213" spans="1:12" x14ac:dyDescent="0.25">
      <c r="A213" s="48" t="str">
        <f>IF(Учет!A213&lt;&gt;"",Учет!A213,"")</f>
        <v/>
      </c>
      <c r="B213" s="52">
        <f>IF(Учет!$O213=Справочники!$F$2,Учет!$H213,0)</f>
        <v>0</v>
      </c>
      <c r="C213" s="52">
        <f>IF(Учет!$O213=Справочники!$F$3,Учет!$H213,0)</f>
        <v>0</v>
      </c>
      <c r="D213" s="52">
        <f>IF(Учет!$O213=Справочники!$F$4,Учет!$H213,0)</f>
        <v>0</v>
      </c>
      <c r="E213" s="52">
        <f>IF(Учет!$O213=Справочники!$F$5,Учет!$H213,0)</f>
        <v>0</v>
      </c>
      <c r="F213" s="52">
        <f>IF(Учет!$O213=Справочники!$F$6,Учет!$H213,0)</f>
        <v>0</v>
      </c>
      <c r="G213" s="43">
        <f>G212+Учет!B213-B213</f>
        <v>-488978.92000000004</v>
      </c>
      <c r="H213" s="43">
        <f>H212+Учет!C213-C213</f>
        <v>336855</v>
      </c>
      <c r="I213" s="43">
        <f>I212+Учет!D213-D213</f>
        <v>500</v>
      </c>
      <c r="J213" s="43">
        <f>J212+Учет!E213-E213</f>
        <v>1150</v>
      </c>
      <c r="K213" s="43">
        <f>K212+Учет!F213-F213</f>
        <v>500000</v>
      </c>
      <c r="L213" s="45">
        <f>Учет!I213</f>
        <v>349526.07999999996</v>
      </c>
    </row>
    <row r="214" spans="1:12" x14ac:dyDescent="0.25">
      <c r="A214" s="48" t="str">
        <f>IF(Учет!A214&lt;&gt;"",Учет!A214,"")</f>
        <v/>
      </c>
      <c r="B214" s="52">
        <f>IF(Учет!$O214=Справочники!$F$2,Учет!$H214,0)</f>
        <v>0</v>
      </c>
      <c r="C214" s="52">
        <f>IF(Учет!$O214=Справочники!$F$3,Учет!$H214,0)</f>
        <v>0</v>
      </c>
      <c r="D214" s="52">
        <f>IF(Учет!$O214=Справочники!$F$4,Учет!$H214,0)</f>
        <v>0</v>
      </c>
      <c r="E214" s="52">
        <f>IF(Учет!$O214=Справочники!$F$5,Учет!$H214,0)</f>
        <v>0</v>
      </c>
      <c r="F214" s="52">
        <f>IF(Учет!$O214=Справочники!$F$6,Учет!$H214,0)</f>
        <v>0</v>
      </c>
      <c r="G214" s="43">
        <f>G213+Учет!B214-B214</f>
        <v>-488978.92000000004</v>
      </c>
      <c r="H214" s="43">
        <f>H213+Учет!C214-C214</f>
        <v>336855</v>
      </c>
      <c r="I214" s="43">
        <f>I213+Учет!D214-D214</f>
        <v>500</v>
      </c>
      <c r="J214" s="43">
        <f>J213+Учет!E214-E214</f>
        <v>1150</v>
      </c>
      <c r="K214" s="43">
        <f>K213+Учет!F214-F214</f>
        <v>500000</v>
      </c>
      <c r="L214" s="45">
        <f>Учет!I214</f>
        <v>349526.07999999996</v>
      </c>
    </row>
    <row r="215" spans="1:12" x14ac:dyDescent="0.25">
      <c r="A215" s="48" t="str">
        <f>IF(Учет!A215&lt;&gt;"",Учет!A215,"")</f>
        <v/>
      </c>
      <c r="B215" s="52">
        <f>IF(Учет!$O215=Справочники!$F$2,Учет!$H215,0)</f>
        <v>0</v>
      </c>
      <c r="C215" s="52">
        <f>IF(Учет!$O215=Справочники!$F$3,Учет!$H215,0)</f>
        <v>0</v>
      </c>
      <c r="D215" s="52">
        <f>IF(Учет!$O215=Справочники!$F$4,Учет!$H215,0)</f>
        <v>0</v>
      </c>
      <c r="E215" s="52">
        <f>IF(Учет!$O215=Справочники!$F$5,Учет!$H215,0)</f>
        <v>0</v>
      </c>
      <c r="F215" s="52">
        <f>IF(Учет!$O215=Справочники!$F$6,Учет!$H215,0)</f>
        <v>0</v>
      </c>
      <c r="G215" s="43">
        <f>G214+Учет!B215-B215</f>
        <v>-488978.92000000004</v>
      </c>
      <c r="H215" s="43">
        <f>H214+Учет!C215-C215</f>
        <v>336855</v>
      </c>
      <c r="I215" s="43">
        <f>I214+Учет!D215-D215</f>
        <v>500</v>
      </c>
      <c r="J215" s="43">
        <f>J214+Учет!E215-E215</f>
        <v>1150</v>
      </c>
      <c r="K215" s="43">
        <f>K214+Учет!F215-F215</f>
        <v>500000</v>
      </c>
      <c r="L215" s="45">
        <f>Учет!I215</f>
        <v>349526.07999999996</v>
      </c>
    </row>
    <row r="216" spans="1:12" x14ac:dyDescent="0.25">
      <c r="A216" s="48" t="str">
        <f>IF(Учет!A216&lt;&gt;"",Учет!A216,"")</f>
        <v/>
      </c>
      <c r="B216" s="52">
        <f>IF(Учет!$O216=Справочники!$F$2,Учет!$H216,0)</f>
        <v>0</v>
      </c>
      <c r="C216" s="52">
        <f>IF(Учет!$O216=Справочники!$F$3,Учет!$H216,0)</f>
        <v>0</v>
      </c>
      <c r="D216" s="52">
        <f>IF(Учет!$O216=Справочники!$F$4,Учет!$H216,0)</f>
        <v>0</v>
      </c>
      <c r="E216" s="52">
        <f>IF(Учет!$O216=Справочники!$F$5,Учет!$H216,0)</f>
        <v>0</v>
      </c>
      <c r="F216" s="52">
        <f>IF(Учет!$O216=Справочники!$F$6,Учет!$H216,0)</f>
        <v>0</v>
      </c>
      <c r="G216" s="43">
        <f>G215+Учет!B216-B216</f>
        <v>-488978.92000000004</v>
      </c>
      <c r="H216" s="43">
        <f>H215+Учет!C216-C216</f>
        <v>336855</v>
      </c>
      <c r="I216" s="43">
        <f>I215+Учет!D216-D216</f>
        <v>500</v>
      </c>
      <c r="J216" s="43">
        <f>J215+Учет!E216-E216</f>
        <v>1150</v>
      </c>
      <c r="K216" s="43">
        <f>K215+Учет!F216-F216</f>
        <v>500000</v>
      </c>
      <c r="L216" s="45">
        <f>Учет!I216</f>
        <v>349526.07999999996</v>
      </c>
    </row>
    <row r="217" spans="1:12" x14ac:dyDescent="0.25">
      <c r="A217" s="48" t="str">
        <f>IF(Учет!A217&lt;&gt;"",Учет!A217,"")</f>
        <v/>
      </c>
      <c r="B217" s="52">
        <f>IF(Учет!$O217=Справочники!$F$2,Учет!$H217,0)</f>
        <v>0</v>
      </c>
      <c r="C217" s="52">
        <f>IF(Учет!$O217=Справочники!$F$3,Учет!$H217,0)</f>
        <v>0</v>
      </c>
      <c r="D217" s="52">
        <f>IF(Учет!$O217=Справочники!$F$4,Учет!$H217,0)</f>
        <v>0</v>
      </c>
      <c r="E217" s="52">
        <f>IF(Учет!$O217=Справочники!$F$5,Учет!$H217,0)</f>
        <v>0</v>
      </c>
      <c r="F217" s="52">
        <f>IF(Учет!$O217=Справочники!$F$6,Учет!$H217,0)</f>
        <v>0</v>
      </c>
      <c r="G217" s="43">
        <f>G216+Учет!B217-B217</f>
        <v>-488978.92000000004</v>
      </c>
      <c r="H217" s="43">
        <f>H216+Учет!C217-C217</f>
        <v>336855</v>
      </c>
      <c r="I217" s="43">
        <f>I216+Учет!D217-D217</f>
        <v>500</v>
      </c>
      <c r="J217" s="43">
        <f>J216+Учет!E217-E217</f>
        <v>1150</v>
      </c>
      <c r="K217" s="43">
        <f>K216+Учет!F217-F217</f>
        <v>500000</v>
      </c>
      <c r="L217" s="45">
        <f>Учет!I217</f>
        <v>349526.07999999996</v>
      </c>
    </row>
    <row r="218" spans="1:12" x14ac:dyDescent="0.25">
      <c r="A218" s="48" t="str">
        <f>IF(Учет!A218&lt;&gt;"",Учет!A218,"")</f>
        <v/>
      </c>
      <c r="B218" s="52">
        <f>IF(Учет!$O218=Справочники!$F$2,Учет!$H218,0)</f>
        <v>0</v>
      </c>
      <c r="C218" s="52">
        <f>IF(Учет!$O218=Справочники!$F$3,Учет!$H218,0)</f>
        <v>0</v>
      </c>
      <c r="D218" s="52">
        <f>IF(Учет!$O218=Справочники!$F$4,Учет!$H218,0)</f>
        <v>0</v>
      </c>
      <c r="E218" s="52">
        <f>IF(Учет!$O218=Справочники!$F$5,Учет!$H218,0)</f>
        <v>0</v>
      </c>
      <c r="F218" s="52">
        <f>IF(Учет!$O218=Справочники!$F$6,Учет!$H218,0)</f>
        <v>0</v>
      </c>
      <c r="G218" s="43">
        <f>G217+Учет!B218-B218</f>
        <v>-488978.92000000004</v>
      </c>
      <c r="H218" s="43">
        <f>H217+Учет!C218-C218</f>
        <v>336855</v>
      </c>
      <c r="I218" s="43">
        <f>I217+Учет!D218-D218</f>
        <v>500</v>
      </c>
      <c r="J218" s="43">
        <f>J217+Учет!E218-E218</f>
        <v>1150</v>
      </c>
      <c r="K218" s="43">
        <f>K217+Учет!F218-F218</f>
        <v>500000</v>
      </c>
      <c r="L218" s="45">
        <f>Учет!I218</f>
        <v>349526.07999999996</v>
      </c>
    </row>
    <row r="219" spans="1:12" x14ac:dyDescent="0.25">
      <c r="A219" s="48" t="str">
        <f>IF(Учет!A219&lt;&gt;"",Учет!A219,"")</f>
        <v/>
      </c>
      <c r="B219" s="52">
        <f>IF(Учет!$O219=Справочники!$F$2,Учет!$H219,0)</f>
        <v>0</v>
      </c>
      <c r="C219" s="52">
        <f>IF(Учет!$O219=Справочники!$F$3,Учет!$H219,0)</f>
        <v>0</v>
      </c>
      <c r="D219" s="52">
        <f>IF(Учет!$O219=Справочники!$F$4,Учет!$H219,0)</f>
        <v>0</v>
      </c>
      <c r="E219" s="52">
        <f>IF(Учет!$O219=Справочники!$F$5,Учет!$H219,0)</f>
        <v>0</v>
      </c>
      <c r="F219" s="52">
        <f>IF(Учет!$O219=Справочники!$F$6,Учет!$H219,0)</f>
        <v>0</v>
      </c>
      <c r="G219" s="43">
        <f>G218+Учет!B219-B219</f>
        <v>-488978.92000000004</v>
      </c>
      <c r="H219" s="43">
        <f>H218+Учет!C219-C219</f>
        <v>336855</v>
      </c>
      <c r="I219" s="43">
        <f>I218+Учет!D219-D219</f>
        <v>500</v>
      </c>
      <c r="J219" s="43">
        <f>J218+Учет!E219-E219</f>
        <v>1150</v>
      </c>
      <c r="K219" s="43">
        <f>K218+Учет!F219-F219</f>
        <v>500000</v>
      </c>
      <c r="L219" s="45">
        <f>Учет!I219</f>
        <v>349526.07999999996</v>
      </c>
    </row>
    <row r="220" spans="1:12" x14ac:dyDescent="0.25">
      <c r="A220" s="48" t="str">
        <f>IF(Учет!A220&lt;&gt;"",Учет!A220,"")</f>
        <v/>
      </c>
      <c r="B220" s="52">
        <f>IF(Учет!$O220=Справочники!$F$2,Учет!$H220,0)</f>
        <v>0</v>
      </c>
      <c r="C220" s="52">
        <f>IF(Учет!$O220=Справочники!$F$3,Учет!$H220,0)</f>
        <v>0</v>
      </c>
      <c r="D220" s="52">
        <f>IF(Учет!$O220=Справочники!$F$4,Учет!$H220,0)</f>
        <v>0</v>
      </c>
      <c r="E220" s="52">
        <f>IF(Учет!$O220=Справочники!$F$5,Учет!$H220,0)</f>
        <v>0</v>
      </c>
      <c r="F220" s="52">
        <f>IF(Учет!$O220=Справочники!$F$6,Учет!$H220,0)</f>
        <v>0</v>
      </c>
      <c r="G220" s="43">
        <f>G219+Учет!B220-B220</f>
        <v>-488978.92000000004</v>
      </c>
      <c r="H220" s="43">
        <f>H219+Учет!C220-C220</f>
        <v>336855</v>
      </c>
      <c r="I220" s="43">
        <f>I219+Учет!D220-D220</f>
        <v>500</v>
      </c>
      <c r="J220" s="43">
        <f>J219+Учет!E220-E220</f>
        <v>1150</v>
      </c>
      <c r="K220" s="43">
        <f>K219+Учет!F220-F220</f>
        <v>500000</v>
      </c>
      <c r="L220" s="45">
        <f>Учет!I220</f>
        <v>349526.07999999996</v>
      </c>
    </row>
    <row r="221" spans="1:12" x14ac:dyDescent="0.25">
      <c r="A221" s="48" t="str">
        <f>IF(Учет!A221&lt;&gt;"",Учет!A221,"")</f>
        <v/>
      </c>
      <c r="B221" s="52">
        <f>IF(Учет!$O221=Справочники!$F$2,Учет!$H221,0)</f>
        <v>0</v>
      </c>
      <c r="C221" s="52">
        <f>IF(Учет!$O221=Справочники!$F$3,Учет!$H221,0)</f>
        <v>0</v>
      </c>
      <c r="D221" s="52">
        <f>IF(Учет!$O221=Справочники!$F$4,Учет!$H221,0)</f>
        <v>0</v>
      </c>
      <c r="E221" s="52">
        <f>IF(Учет!$O221=Справочники!$F$5,Учет!$H221,0)</f>
        <v>0</v>
      </c>
      <c r="F221" s="52">
        <f>IF(Учет!$O221=Справочники!$F$6,Учет!$H221,0)</f>
        <v>0</v>
      </c>
      <c r="G221" s="43">
        <f>G220+Учет!B221-B221</f>
        <v>-488978.92000000004</v>
      </c>
      <c r="H221" s="43">
        <f>H220+Учет!C221-C221</f>
        <v>336855</v>
      </c>
      <c r="I221" s="43">
        <f>I220+Учет!D221-D221</f>
        <v>500</v>
      </c>
      <c r="J221" s="43">
        <f>J220+Учет!E221-E221</f>
        <v>1150</v>
      </c>
      <c r="K221" s="43">
        <f>K220+Учет!F221-F221</f>
        <v>500000</v>
      </c>
      <c r="L221" s="45">
        <f>Учет!I221</f>
        <v>349526.07999999996</v>
      </c>
    </row>
    <row r="222" spans="1:12" x14ac:dyDescent="0.25">
      <c r="A222" s="48" t="str">
        <f>IF(Учет!A222&lt;&gt;"",Учет!A222,"")</f>
        <v/>
      </c>
      <c r="B222" s="52">
        <f>IF(Учет!$O222=Справочники!$F$2,Учет!$H222,0)</f>
        <v>0</v>
      </c>
      <c r="C222" s="52">
        <f>IF(Учет!$O222=Справочники!$F$3,Учет!$H222,0)</f>
        <v>0</v>
      </c>
      <c r="D222" s="52">
        <f>IF(Учет!$O222=Справочники!$F$4,Учет!$H222,0)</f>
        <v>0</v>
      </c>
      <c r="E222" s="52">
        <f>IF(Учет!$O222=Справочники!$F$5,Учет!$H222,0)</f>
        <v>0</v>
      </c>
      <c r="F222" s="52">
        <f>IF(Учет!$O222=Справочники!$F$6,Учет!$H222,0)</f>
        <v>0</v>
      </c>
      <c r="G222" s="43">
        <f>G221+Учет!B222-B222</f>
        <v>-488978.92000000004</v>
      </c>
      <c r="H222" s="43">
        <f>H221+Учет!C222-C222</f>
        <v>336855</v>
      </c>
      <c r="I222" s="43">
        <f>I221+Учет!D222-D222</f>
        <v>500</v>
      </c>
      <c r="J222" s="43">
        <f>J221+Учет!E222-E222</f>
        <v>1150</v>
      </c>
      <c r="K222" s="43">
        <f>K221+Учет!F222-F222</f>
        <v>500000</v>
      </c>
      <c r="L222" s="45">
        <f>Учет!I222</f>
        <v>349526.07999999996</v>
      </c>
    </row>
    <row r="223" spans="1:12" x14ac:dyDescent="0.25">
      <c r="A223" s="48" t="str">
        <f>IF(Учет!A223&lt;&gt;"",Учет!A223,"")</f>
        <v/>
      </c>
      <c r="B223" s="52">
        <f>IF(Учет!$O223=Справочники!$F$2,Учет!$H223,0)</f>
        <v>0</v>
      </c>
      <c r="C223" s="52">
        <f>IF(Учет!$O223=Справочники!$F$3,Учет!$H223,0)</f>
        <v>0</v>
      </c>
      <c r="D223" s="52">
        <f>IF(Учет!$O223=Справочники!$F$4,Учет!$H223,0)</f>
        <v>0</v>
      </c>
      <c r="E223" s="52">
        <f>IF(Учет!$O223=Справочники!$F$5,Учет!$H223,0)</f>
        <v>0</v>
      </c>
      <c r="F223" s="52">
        <f>IF(Учет!$O223=Справочники!$F$6,Учет!$H223,0)</f>
        <v>0</v>
      </c>
      <c r="G223" s="43">
        <f>G222+Учет!B223-B223</f>
        <v>-488978.92000000004</v>
      </c>
      <c r="H223" s="43">
        <f>H222+Учет!C223-C223</f>
        <v>336855</v>
      </c>
      <c r="I223" s="43">
        <f>I222+Учет!D223-D223</f>
        <v>500</v>
      </c>
      <c r="J223" s="43">
        <f>J222+Учет!E223-E223</f>
        <v>1150</v>
      </c>
      <c r="K223" s="43">
        <f>K222+Учет!F223-F223</f>
        <v>500000</v>
      </c>
      <c r="L223" s="45">
        <f>Учет!I223</f>
        <v>349526.07999999996</v>
      </c>
    </row>
    <row r="224" spans="1:12" x14ac:dyDescent="0.25">
      <c r="A224" s="48" t="str">
        <f>IF(Учет!A224&lt;&gt;"",Учет!A224,"")</f>
        <v/>
      </c>
      <c r="B224" s="52">
        <f>IF(Учет!$O224=Справочники!$F$2,Учет!$H224,0)</f>
        <v>0</v>
      </c>
      <c r="C224" s="52">
        <f>IF(Учет!$O224=Справочники!$F$3,Учет!$H224,0)</f>
        <v>0</v>
      </c>
      <c r="D224" s="52">
        <f>IF(Учет!$O224=Справочники!$F$4,Учет!$H224,0)</f>
        <v>0</v>
      </c>
      <c r="E224" s="52">
        <f>IF(Учет!$O224=Справочники!$F$5,Учет!$H224,0)</f>
        <v>0</v>
      </c>
      <c r="F224" s="52">
        <f>IF(Учет!$O224=Справочники!$F$6,Учет!$H224,0)</f>
        <v>0</v>
      </c>
      <c r="G224" s="43">
        <f>G223+Учет!B224-B224</f>
        <v>-488978.92000000004</v>
      </c>
      <c r="H224" s="43">
        <f>H223+Учет!C224-C224</f>
        <v>336855</v>
      </c>
      <c r="I224" s="43">
        <f>I223+Учет!D224-D224</f>
        <v>500</v>
      </c>
      <c r="J224" s="43">
        <f>J223+Учет!E224-E224</f>
        <v>1150</v>
      </c>
      <c r="K224" s="43">
        <f>K223+Учет!F224-F224</f>
        <v>500000</v>
      </c>
      <c r="L224" s="45">
        <f>Учет!I224</f>
        <v>349526.07999999996</v>
      </c>
    </row>
    <row r="225" spans="1:12" x14ac:dyDescent="0.25">
      <c r="A225" s="48" t="str">
        <f>IF(Учет!A225&lt;&gt;"",Учет!A225,"")</f>
        <v/>
      </c>
      <c r="B225" s="52">
        <f>IF(Учет!$O225=Справочники!$F$2,Учет!$H225,0)</f>
        <v>0</v>
      </c>
      <c r="C225" s="52">
        <f>IF(Учет!$O225=Справочники!$F$3,Учет!$H225,0)</f>
        <v>0</v>
      </c>
      <c r="D225" s="52">
        <f>IF(Учет!$O225=Справочники!$F$4,Учет!$H225,0)</f>
        <v>0</v>
      </c>
      <c r="E225" s="52">
        <f>IF(Учет!$O225=Справочники!$F$5,Учет!$H225,0)</f>
        <v>0</v>
      </c>
      <c r="F225" s="52">
        <f>IF(Учет!$O225=Справочники!$F$6,Учет!$H225,0)</f>
        <v>0</v>
      </c>
      <c r="G225" s="43">
        <f>G224+Учет!B225-B225</f>
        <v>-488978.92000000004</v>
      </c>
      <c r="H225" s="43">
        <f>H224+Учет!C225-C225</f>
        <v>336855</v>
      </c>
      <c r="I225" s="43">
        <f>I224+Учет!D225-D225</f>
        <v>500</v>
      </c>
      <c r="J225" s="43">
        <f>J224+Учет!E225-E225</f>
        <v>1150</v>
      </c>
      <c r="K225" s="43">
        <f>K224+Учет!F225-F225</f>
        <v>500000</v>
      </c>
      <c r="L225" s="45">
        <f>Учет!I225</f>
        <v>349526.07999999996</v>
      </c>
    </row>
    <row r="226" spans="1:12" x14ac:dyDescent="0.25">
      <c r="A226" s="48" t="str">
        <f>IF(Учет!A226&lt;&gt;"",Учет!A226,"")</f>
        <v/>
      </c>
      <c r="B226" s="52">
        <f>IF(Учет!$O226=Справочники!$F$2,Учет!$H226,0)</f>
        <v>0</v>
      </c>
      <c r="C226" s="52">
        <f>IF(Учет!$O226=Справочники!$F$3,Учет!$H226,0)</f>
        <v>0</v>
      </c>
      <c r="D226" s="52">
        <f>IF(Учет!$O226=Справочники!$F$4,Учет!$H226,0)</f>
        <v>0</v>
      </c>
      <c r="E226" s="52">
        <f>IF(Учет!$O226=Справочники!$F$5,Учет!$H226,0)</f>
        <v>0</v>
      </c>
      <c r="F226" s="52">
        <f>IF(Учет!$O226=Справочники!$F$6,Учет!$H226,0)</f>
        <v>0</v>
      </c>
      <c r="G226" s="43">
        <f>G225+Учет!B226-B226</f>
        <v>-488978.92000000004</v>
      </c>
      <c r="H226" s="43">
        <f>H225+Учет!C226-C226</f>
        <v>336855</v>
      </c>
      <c r="I226" s="43">
        <f>I225+Учет!D226-D226</f>
        <v>500</v>
      </c>
      <c r="J226" s="43">
        <f>J225+Учет!E226-E226</f>
        <v>1150</v>
      </c>
      <c r="K226" s="43">
        <f>K225+Учет!F226-F226</f>
        <v>500000</v>
      </c>
      <c r="L226" s="45">
        <f>Учет!I226</f>
        <v>349526.07999999996</v>
      </c>
    </row>
    <row r="227" spans="1:12" x14ac:dyDescent="0.25">
      <c r="A227" s="48" t="str">
        <f>IF(Учет!A227&lt;&gt;"",Учет!A227,"")</f>
        <v/>
      </c>
      <c r="B227" s="52">
        <f>IF(Учет!$O227=Справочники!$F$2,Учет!$H227,0)</f>
        <v>0</v>
      </c>
      <c r="C227" s="52">
        <f>IF(Учет!$O227=Справочники!$F$3,Учет!$H227,0)</f>
        <v>0</v>
      </c>
      <c r="D227" s="52">
        <f>IF(Учет!$O227=Справочники!$F$4,Учет!$H227,0)</f>
        <v>0</v>
      </c>
      <c r="E227" s="52">
        <f>IF(Учет!$O227=Справочники!$F$5,Учет!$H227,0)</f>
        <v>0</v>
      </c>
      <c r="F227" s="52">
        <f>IF(Учет!$O227=Справочники!$F$6,Учет!$H227,0)</f>
        <v>0</v>
      </c>
      <c r="G227" s="43">
        <f>G226+Учет!B227-B227</f>
        <v>-488978.92000000004</v>
      </c>
      <c r="H227" s="43">
        <f>H226+Учет!C227-C227</f>
        <v>336855</v>
      </c>
      <c r="I227" s="43">
        <f>I226+Учет!D227-D227</f>
        <v>500</v>
      </c>
      <c r="J227" s="43">
        <f>J226+Учет!E227-E227</f>
        <v>1150</v>
      </c>
      <c r="K227" s="43">
        <f>K226+Учет!F227-F227</f>
        <v>500000</v>
      </c>
      <c r="L227" s="45">
        <f>Учет!I227</f>
        <v>349526.07999999996</v>
      </c>
    </row>
    <row r="228" spans="1:12" x14ac:dyDescent="0.25">
      <c r="A228" s="48" t="str">
        <f>IF(Учет!A228&lt;&gt;"",Учет!A228,"")</f>
        <v/>
      </c>
      <c r="B228" s="52">
        <f>IF(Учет!$O228=Справочники!$F$2,Учет!$H228,0)</f>
        <v>0</v>
      </c>
      <c r="C228" s="52">
        <f>IF(Учет!$O228=Справочники!$F$3,Учет!$H228,0)</f>
        <v>0</v>
      </c>
      <c r="D228" s="52">
        <f>IF(Учет!$O228=Справочники!$F$4,Учет!$H228,0)</f>
        <v>0</v>
      </c>
      <c r="E228" s="52">
        <f>IF(Учет!$O228=Справочники!$F$5,Учет!$H228,0)</f>
        <v>0</v>
      </c>
      <c r="F228" s="52">
        <f>IF(Учет!$O228=Справочники!$F$6,Учет!$H228,0)</f>
        <v>0</v>
      </c>
      <c r="G228" s="43">
        <f>G227+Учет!B228-B228</f>
        <v>-488978.92000000004</v>
      </c>
      <c r="H228" s="43">
        <f>H227+Учет!C228-C228</f>
        <v>336855</v>
      </c>
      <c r="I228" s="43">
        <f>I227+Учет!D228-D228</f>
        <v>500</v>
      </c>
      <c r="J228" s="43">
        <f>J227+Учет!E228-E228</f>
        <v>1150</v>
      </c>
      <c r="K228" s="43">
        <f>K227+Учет!F228-F228</f>
        <v>500000</v>
      </c>
      <c r="L228" s="45">
        <f>Учет!I228</f>
        <v>349526.07999999996</v>
      </c>
    </row>
    <row r="229" spans="1:12" x14ac:dyDescent="0.25">
      <c r="A229" s="48" t="str">
        <f>IF(Учет!A229&lt;&gt;"",Учет!A229,"")</f>
        <v/>
      </c>
      <c r="B229" s="52">
        <f>IF(Учет!$O229=Справочники!$F$2,Учет!$H229,0)</f>
        <v>0</v>
      </c>
      <c r="C229" s="52">
        <f>IF(Учет!$O229=Справочники!$F$3,Учет!$H229,0)</f>
        <v>0</v>
      </c>
      <c r="D229" s="52">
        <f>IF(Учет!$O229=Справочники!$F$4,Учет!$H229,0)</f>
        <v>0</v>
      </c>
      <c r="E229" s="52">
        <f>IF(Учет!$O229=Справочники!$F$5,Учет!$H229,0)</f>
        <v>0</v>
      </c>
      <c r="F229" s="52">
        <f>IF(Учет!$O229=Справочники!$F$6,Учет!$H229,0)</f>
        <v>0</v>
      </c>
      <c r="G229" s="43">
        <f>G228+Учет!B229-B229</f>
        <v>-488978.92000000004</v>
      </c>
      <c r="H229" s="43">
        <f>H228+Учет!C229-C229</f>
        <v>336855</v>
      </c>
      <c r="I229" s="43">
        <f>I228+Учет!D229-D229</f>
        <v>500</v>
      </c>
      <c r="J229" s="43">
        <f>J228+Учет!E229-E229</f>
        <v>1150</v>
      </c>
      <c r="K229" s="43">
        <f>K228+Учет!F229-F229</f>
        <v>500000</v>
      </c>
      <c r="L229" s="45">
        <f>Учет!I229</f>
        <v>349526.07999999996</v>
      </c>
    </row>
    <row r="230" spans="1:12" x14ac:dyDescent="0.25">
      <c r="A230" s="48" t="str">
        <f>IF(Учет!A230&lt;&gt;"",Учет!A230,"")</f>
        <v/>
      </c>
      <c r="B230" s="52">
        <f>IF(Учет!$O230=Справочники!$F$2,Учет!$H230,0)</f>
        <v>0</v>
      </c>
      <c r="C230" s="52">
        <f>IF(Учет!$O230=Справочники!$F$3,Учет!$H230,0)</f>
        <v>0</v>
      </c>
      <c r="D230" s="52">
        <f>IF(Учет!$O230=Справочники!$F$4,Учет!$H230,0)</f>
        <v>0</v>
      </c>
      <c r="E230" s="52">
        <f>IF(Учет!$O230=Справочники!$F$5,Учет!$H230,0)</f>
        <v>0</v>
      </c>
      <c r="F230" s="52">
        <f>IF(Учет!$O230=Справочники!$F$6,Учет!$H230,0)</f>
        <v>0</v>
      </c>
      <c r="G230" s="43">
        <f>G229+Учет!B230-B230</f>
        <v>-488978.92000000004</v>
      </c>
      <c r="H230" s="43">
        <f>H229+Учет!C230-C230</f>
        <v>336855</v>
      </c>
      <c r="I230" s="43">
        <f>I229+Учет!D230-D230</f>
        <v>500</v>
      </c>
      <c r="J230" s="43">
        <f>J229+Учет!E230-E230</f>
        <v>1150</v>
      </c>
      <c r="K230" s="43">
        <f>K229+Учет!F230-F230</f>
        <v>500000</v>
      </c>
      <c r="L230" s="45">
        <f>Учет!I230</f>
        <v>349526.07999999996</v>
      </c>
    </row>
    <row r="231" spans="1:12" x14ac:dyDescent="0.25">
      <c r="A231" s="48" t="str">
        <f>IF(Учет!A231&lt;&gt;"",Учет!A231,"")</f>
        <v/>
      </c>
      <c r="B231" s="52">
        <f>IF(Учет!$O231=Справочники!$F$2,Учет!$H231,0)</f>
        <v>0</v>
      </c>
      <c r="C231" s="52">
        <f>IF(Учет!$O231=Справочники!$F$3,Учет!$H231,0)</f>
        <v>0</v>
      </c>
      <c r="D231" s="52">
        <f>IF(Учет!$O231=Справочники!$F$4,Учет!$H231,0)</f>
        <v>0</v>
      </c>
      <c r="E231" s="52">
        <f>IF(Учет!$O231=Справочники!$F$5,Учет!$H231,0)</f>
        <v>0</v>
      </c>
      <c r="F231" s="52">
        <f>IF(Учет!$O231=Справочники!$F$6,Учет!$H231,0)</f>
        <v>0</v>
      </c>
      <c r="G231" s="43">
        <f>G230+Учет!B231-B231</f>
        <v>-488978.92000000004</v>
      </c>
      <c r="H231" s="43">
        <f>H230+Учет!C231-C231</f>
        <v>336855</v>
      </c>
      <c r="I231" s="43">
        <f>I230+Учет!D231-D231</f>
        <v>500</v>
      </c>
      <c r="J231" s="43">
        <f>J230+Учет!E231-E231</f>
        <v>1150</v>
      </c>
      <c r="K231" s="43">
        <f>K230+Учет!F231-F231</f>
        <v>500000</v>
      </c>
      <c r="L231" s="45">
        <f>Учет!I231</f>
        <v>349526.07999999996</v>
      </c>
    </row>
    <row r="232" spans="1:12" x14ac:dyDescent="0.25">
      <c r="A232" s="48" t="str">
        <f>IF(Учет!A232&lt;&gt;"",Учет!A232,"")</f>
        <v/>
      </c>
      <c r="B232" s="52">
        <f>IF(Учет!$O232=Справочники!$F$2,Учет!$H232,0)</f>
        <v>0</v>
      </c>
      <c r="C232" s="52">
        <f>IF(Учет!$O232=Справочники!$F$3,Учет!$H232,0)</f>
        <v>0</v>
      </c>
      <c r="D232" s="52">
        <f>IF(Учет!$O232=Справочники!$F$4,Учет!$H232,0)</f>
        <v>0</v>
      </c>
      <c r="E232" s="52">
        <f>IF(Учет!$O232=Справочники!$F$5,Учет!$H232,0)</f>
        <v>0</v>
      </c>
      <c r="F232" s="52">
        <f>IF(Учет!$O232=Справочники!$F$6,Учет!$H232,0)</f>
        <v>0</v>
      </c>
      <c r="G232" s="43">
        <f>G231+Учет!B232-B232</f>
        <v>-488978.92000000004</v>
      </c>
      <c r="H232" s="43">
        <f>H231+Учет!C232-C232</f>
        <v>336855</v>
      </c>
      <c r="I232" s="43">
        <f>I231+Учет!D232-D232</f>
        <v>500</v>
      </c>
      <c r="J232" s="43">
        <f>J231+Учет!E232-E232</f>
        <v>1150</v>
      </c>
      <c r="K232" s="43">
        <f>K231+Учет!F232-F232</f>
        <v>500000</v>
      </c>
      <c r="L232" s="45">
        <f>Учет!I232</f>
        <v>349526.07999999996</v>
      </c>
    </row>
    <row r="233" spans="1:12" x14ac:dyDescent="0.25">
      <c r="A233" s="48" t="str">
        <f>IF(Учет!A233&lt;&gt;"",Учет!A233,"")</f>
        <v/>
      </c>
      <c r="B233" s="52">
        <f>IF(Учет!$O233=Справочники!$F$2,Учет!$H233,0)</f>
        <v>0</v>
      </c>
      <c r="C233" s="52">
        <f>IF(Учет!$O233=Справочники!$F$3,Учет!$H233,0)</f>
        <v>0</v>
      </c>
      <c r="D233" s="52">
        <f>IF(Учет!$O233=Справочники!$F$4,Учет!$H233,0)</f>
        <v>0</v>
      </c>
      <c r="E233" s="52">
        <f>IF(Учет!$O233=Справочники!$F$5,Учет!$H233,0)</f>
        <v>0</v>
      </c>
      <c r="F233" s="52">
        <f>IF(Учет!$O233=Справочники!$F$6,Учет!$H233,0)</f>
        <v>0</v>
      </c>
      <c r="G233" s="43">
        <f>G232+Учет!B233-B233</f>
        <v>-488978.92000000004</v>
      </c>
      <c r="H233" s="43">
        <f>H232+Учет!C233-C233</f>
        <v>336855</v>
      </c>
      <c r="I233" s="43">
        <f>I232+Учет!D233-D233</f>
        <v>500</v>
      </c>
      <c r="J233" s="43">
        <f>J232+Учет!E233-E233</f>
        <v>1150</v>
      </c>
      <c r="K233" s="43">
        <f>K232+Учет!F233-F233</f>
        <v>500000</v>
      </c>
      <c r="L233" s="45">
        <f>Учет!I233</f>
        <v>349526.07999999996</v>
      </c>
    </row>
    <row r="234" spans="1:12" x14ac:dyDescent="0.25">
      <c r="A234" s="48" t="str">
        <f>IF(Учет!A234&lt;&gt;"",Учет!A234,"")</f>
        <v/>
      </c>
      <c r="B234" s="52">
        <f>IF(Учет!$O234=Справочники!$F$2,Учет!$H234,0)</f>
        <v>0</v>
      </c>
      <c r="C234" s="52">
        <f>IF(Учет!$O234=Справочники!$F$3,Учет!$H234,0)</f>
        <v>0</v>
      </c>
      <c r="D234" s="52">
        <f>IF(Учет!$O234=Справочники!$F$4,Учет!$H234,0)</f>
        <v>0</v>
      </c>
      <c r="E234" s="52">
        <f>IF(Учет!$O234=Справочники!$F$5,Учет!$H234,0)</f>
        <v>0</v>
      </c>
      <c r="F234" s="52">
        <f>IF(Учет!$O234=Справочники!$F$6,Учет!$H234,0)</f>
        <v>0</v>
      </c>
      <c r="G234" s="43">
        <f>G233+Учет!B234-B234</f>
        <v>-488978.92000000004</v>
      </c>
      <c r="H234" s="43">
        <f>H233+Учет!C234-C234</f>
        <v>336855</v>
      </c>
      <c r="I234" s="43">
        <f>I233+Учет!D234-D234</f>
        <v>500</v>
      </c>
      <c r="J234" s="43">
        <f>J233+Учет!E234-E234</f>
        <v>1150</v>
      </c>
      <c r="K234" s="43">
        <f>K233+Учет!F234-F234</f>
        <v>500000</v>
      </c>
      <c r="L234" s="45">
        <f>Учет!I234</f>
        <v>349526.07999999996</v>
      </c>
    </row>
    <row r="235" spans="1:12" x14ac:dyDescent="0.25">
      <c r="A235" s="48" t="str">
        <f>IF(Учет!A235&lt;&gt;"",Учет!A235,"")</f>
        <v/>
      </c>
      <c r="B235" s="52">
        <f>IF(Учет!$O235=Справочники!$F$2,Учет!$H235,0)</f>
        <v>0</v>
      </c>
      <c r="C235" s="52">
        <f>IF(Учет!$O235=Справочники!$F$3,Учет!$H235,0)</f>
        <v>0</v>
      </c>
      <c r="D235" s="52">
        <f>IF(Учет!$O235=Справочники!$F$4,Учет!$H235,0)</f>
        <v>0</v>
      </c>
      <c r="E235" s="52">
        <f>IF(Учет!$O235=Справочники!$F$5,Учет!$H235,0)</f>
        <v>0</v>
      </c>
      <c r="F235" s="52">
        <f>IF(Учет!$O235=Справочники!$F$6,Учет!$H235,0)</f>
        <v>0</v>
      </c>
      <c r="G235" s="43">
        <f>G234+Учет!B235-B235</f>
        <v>-488978.92000000004</v>
      </c>
      <c r="H235" s="43">
        <f>H234+Учет!C235-C235</f>
        <v>336855</v>
      </c>
      <c r="I235" s="43">
        <f>I234+Учет!D235-D235</f>
        <v>500</v>
      </c>
      <c r="J235" s="43">
        <f>J234+Учет!E235-E235</f>
        <v>1150</v>
      </c>
      <c r="K235" s="43">
        <f>K234+Учет!F235-F235</f>
        <v>500000</v>
      </c>
      <c r="L235" s="45">
        <f>Учет!I235</f>
        <v>349526.07999999996</v>
      </c>
    </row>
    <row r="236" spans="1:12" x14ac:dyDescent="0.25">
      <c r="A236" s="48" t="str">
        <f>IF(Учет!A236&lt;&gt;"",Учет!A236,"")</f>
        <v/>
      </c>
      <c r="B236" s="52">
        <f>IF(Учет!$O236=Справочники!$F$2,Учет!$H236,0)</f>
        <v>0</v>
      </c>
      <c r="C236" s="52">
        <f>IF(Учет!$O236=Справочники!$F$3,Учет!$H236,0)</f>
        <v>0</v>
      </c>
      <c r="D236" s="52">
        <f>IF(Учет!$O236=Справочники!$F$4,Учет!$H236,0)</f>
        <v>0</v>
      </c>
      <c r="E236" s="52">
        <f>IF(Учет!$O236=Справочники!$F$5,Учет!$H236,0)</f>
        <v>0</v>
      </c>
      <c r="F236" s="52">
        <f>IF(Учет!$O236=Справочники!$F$6,Учет!$H236,0)</f>
        <v>0</v>
      </c>
      <c r="G236" s="43">
        <f>G235+Учет!B236-B236</f>
        <v>-488978.92000000004</v>
      </c>
      <c r="H236" s="43">
        <f>H235+Учет!C236-C236</f>
        <v>336855</v>
      </c>
      <c r="I236" s="43">
        <f>I235+Учет!D236-D236</f>
        <v>500</v>
      </c>
      <c r="J236" s="43">
        <f>J235+Учет!E236-E236</f>
        <v>1150</v>
      </c>
      <c r="K236" s="43">
        <f>K235+Учет!F236-F236</f>
        <v>500000</v>
      </c>
      <c r="L236" s="45">
        <f>Учет!I236</f>
        <v>349526.07999999996</v>
      </c>
    </row>
    <row r="237" spans="1:12" x14ac:dyDescent="0.25">
      <c r="A237" s="48" t="str">
        <f>IF(Учет!A237&lt;&gt;"",Учет!A237,"")</f>
        <v/>
      </c>
      <c r="B237" s="52">
        <f>IF(Учет!$O237=Справочники!$F$2,Учет!$H237,0)</f>
        <v>0</v>
      </c>
      <c r="C237" s="52">
        <f>IF(Учет!$O237=Справочники!$F$3,Учет!$H237,0)</f>
        <v>0</v>
      </c>
      <c r="D237" s="52">
        <f>IF(Учет!$O237=Справочники!$F$4,Учет!$H237,0)</f>
        <v>0</v>
      </c>
      <c r="E237" s="52">
        <f>IF(Учет!$O237=Справочники!$F$5,Учет!$H237,0)</f>
        <v>0</v>
      </c>
      <c r="F237" s="52">
        <f>IF(Учет!$O237=Справочники!$F$6,Учет!$H237,0)</f>
        <v>0</v>
      </c>
      <c r="G237" s="43">
        <f>G236+Учет!B237-B237</f>
        <v>-488978.92000000004</v>
      </c>
      <c r="H237" s="43">
        <f>H236+Учет!C237-C237</f>
        <v>336855</v>
      </c>
      <c r="I237" s="43">
        <f>I236+Учет!D237-D237</f>
        <v>500</v>
      </c>
      <c r="J237" s="43">
        <f>J236+Учет!E237-E237</f>
        <v>1150</v>
      </c>
      <c r="K237" s="43">
        <f>K236+Учет!F237-F237</f>
        <v>500000</v>
      </c>
      <c r="L237" s="45">
        <f>Учет!I237</f>
        <v>349526.07999999996</v>
      </c>
    </row>
    <row r="238" spans="1:12" x14ac:dyDescent="0.25">
      <c r="A238" s="48" t="str">
        <f>IF(Учет!A238&lt;&gt;"",Учет!A238,"")</f>
        <v/>
      </c>
      <c r="B238" s="52">
        <f>IF(Учет!$O238=Справочники!$F$2,Учет!$H238,0)</f>
        <v>0</v>
      </c>
      <c r="C238" s="52">
        <f>IF(Учет!$O238=Справочники!$F$3,Учет!$H238,0)</f>
        <v>0</v>
      </c>
      <c r="D238" s="52">
        <f>IF(Учет!$O238=Справочники!$F$4,Учет!$H238,0)</f>
        <v>0</v>
      </c>
      <c r="E238" s="52">
        <f>IF(Учет!$O238=Справочники!$F$5,Учет!$H238,0)</f>
        <v>0</v>
      </c>
      <c r="F238" s="52">
        <f>IF(Учет!$O238=Справочники!$F$6,Учет!$H238,0)</f>
        <v>0</v>
      </c>
      <c r="G238" s="43">
        <f>G237+Учет!B238-B238</f>
        <v>-488978.92000000004</v>
      </c>
      <c r="H238" s="43">
        <f>H237+Учет!C238-C238</f>
        <v>336855</v>
      </c>
      <c r="I238" s="43">
        <f>I237+Учет!D238-D238</f>
        <v>500</v>
      </c>
      <c r="J238" s="43">
        <f>J237+Учет!E238-E238</f>
        <v>1150</v>
      </c>
      <c r="K238" s="43">
        <f>K237+Учет!F238-F238</f>
        <v>500000</v>
      </c>
      <c r="L238" s="45">
        <f>Учет!I238</f>
        <v>349526.07999999996</v>
      </c>
    </row>
    <row r="239" spans="1:12" x14ac:dyDescent="0.25">
      <c r="A239" s="48" t="str">
        <f>IF(Учет!A239&lt;&gt;"",Учет!A239,"")</f>
        <v/>
      </c>
      <c r="B239" s="52">
        <f>IF(Учет!$O239=Справочники!$F$2,Учет!$H239,0)</f>
        <v>0</v>
      </c>
      <c r="C239" s="52">
        <f>IF(Учет!$O239=Справочники!$F$3,Учет!$H239,0)</f>
        <v>0</v>
      </c>
      <c r="D239" s="52">
        <f>IF(Учет!$O239=Справочники!$F$4,Учет!$H239,0)</f>
        <v>0</v>
      </c>
      <c r="E239" s="52">
        <f>IF(Учет!$O239=Справочники!$F$5,Учет!$H239,0)</f>
        <v>0</v>
      </c>
      <c r="F239" s="52">
        <f>IF(Учет!$O239=Справочники!$F$6,Учет!$H239,0)</f>
        <v>0</v>
      </c>
      <c r="G239" s="43">
        <f>G238+Учет!B239-B239</f>
        <v>-488978.92000000004</v>
      </c>
      <c r="H239" s="43">
        <f>H238+Учет!C239-C239</f>
        <v>336855</v>
      </c>
      <c r="I239" s="43">
        <f>I238+Учет!D239-D239</f>
        <v>500</v>
      </c>
      <c r="J239" s="43">
        <f>J238+Учет!E239-E239</f>
        <v>1150</v>
      </c>
      <c r="K239" s="43">
        <f>K238+Учет!F239-F239</f>
        <v>500000</v>
      </c>
      <c r="L239" s="45">
        <f>Учет!I239</f>
        <v>349526.07999999996</v>
      </c>
    </row>
    <row r="240" spans="1:12" x14ac:dyDescent="0.25">
      <c r="A240" s="48" t="str">
        <f>IF(Учет!A240&lt;&gt;"",Учет!A240,"")</f>
        <v/>
      </c>
      <c r="B240" s="52">
        <f>IF(Учет!$O240=Справочники!$F$2,Учет!$H240,0)</f>
        <v>0</v>
      </c>
      <c r="C240" s="52">
        <f>IF(Учет!$O240=Справочники!$F$3,Учет!$H240,0)</f>
        <v>0</v>
      </c>
      <c r="D240" s="52">
        <f>IF(Учет!$O240=Справочники!$F$4,Учет!$H240,0)</f>
        <v>0</v>
      </c>
      <c r="E240" s="52">
        <f>IF(Учет!$O240=Справочники!$F$5,Учет!$H240,0)</f>
        <v>0</v>
      </c>
      <c r="F240" s="52">
        <f>IF(Учет!$O240=Справочники!$F$6,Учет!$H240,0)</f>
        <v>0</v>
      </c>
      <c r="G240" s="43">
        <f>G239+Учет!B240-B240</f>
        <v>-488978.92000000004</v>
      </c>
      <c r="H240" s="43">
        <f>H239+Учет!C240-C240</f>
        <v>336855</v>
      </c>
      <c r="I240" s="43">
        <f>I239+Учет!D240-D240</f>
        <v>500</v>
      </c>
      <c r="J240" s="43">
        <f>J239+Учет!E240-E240</f>
        <v>1150</v>
      </c>
      <c r="K240" s="43">
        <f>K239+Учет!F240-F240</f>
        <v>500000</v>
      </c>
      <c r="L240" s="45">
        <f>Учет!I240</f>
        <v>349526.07999999996</v>
      </c>
    </row>
    <row r="241" spans="1:12" x14ac:dyDescent="0.25">
      <c r="A241" s="48" t="str">
        <f>IF(Учет!A241&lt;&gt;"",Учет!A241,"")</f>
        <v/>
      </c>
      <c r="B241" s="52">
        <f>IF(Учет!$O241=Справочники!$F$2,Учет!$H241,0)</f>
        <v>0</v>
      </c>
      <c r="C241" s="52">
        <f>IF(Учет!$O241=Справочники!$F$3,Учет!$H241,0)</f>
        <v>0</v>
      </c>
      <c r="D241" s="52">
        <f>IF(Учет!$O241=Справочники!$F$4,Учет!$H241,0)</f>
        <v>0</v>
      </c>
      <c r="E241" s="52">
        <f>IF(Учет!$O241=Справочники!$F$5,Учет!$H241,0)</f>
        <v>0</v>
      </c>
      <c r="F241" s="52">
        <f>IF(Учет!$O241=Справочники!$F$6,Учет!$H241,0)</f>
        <v>0</v>
      </c>
      <c r="G241" s="43">
        <f>G240+Учет!B241-B241</f>
        <v>-488978.92000000004</v>
      </c>
      <c r="H241" s="43">
        <f>H240+Учет!C241-C241</f>
        <v>336855</v>
      </c>
      <c r="I241" s="43">
        <f>I240+Учет!D241-D241</f>
        <v>500</v>
      </c>
      <c r="J241" s="43">
        <f>J240+Учет!E241-E241</f>
        <v>1150</v>
      </c>
      <c r="K241" s="43">
        <f>K240+Учет!F241-F241</f>
        <v>500000</v>
      </c>
      <c r="L241" s="45">
        <f>Учет!I241</f>
        <v>349526.07999999996</v>
      </c>
    </row>
    <row r="242" spans="1:12" x14ac:dyDescent="0.25">
      <c r="A242" s="48" t="str">
        <f>IF(Учет!A242&lt;&gt;"",Учет!A242,"")</f>
        <v/>
      </c>
      <c r="B242" s="52">
        <f>IF(Учет!$O242=Справочники!$F$2,Учет!$H242,0)</f>
        <v>0</v>
      </c>
      <c r="C242" s="52">
        <f>IF(Учет!$O242=Справочники!$F$3,Учет!$H242,0)</f>
        <v>0</v>
      </c>
      <c r="D242" s="52">
        <f>IF(Учет!$O242=Справочники!$F$4,Учет!$H242,0)</f>
        <v>0</v>
      </c>
      <c r="E242" s="52">
        <f>IF(Учет!$O242=Справочники!$F$5,Учет!$H242,0)</f>
        <v>0</v>
      </c>
      <c r="F242" s="52">
        <f>IF(Учет!$O242=Справочники!$F$6,Учет!$H242,0)</f>
        <v>0</v>
      </c>
      <c r="G242" s="43">
        <f>G241+Учет!B242-B242</f>
        <v>-488978.92000000004</v>
      </c>
      <c r="H242" s="43">
        <f>H241+Учет!C242-C242</f>
        <v>336855</v>
      </c>
      <c r="I242" s="43">
        <f>I241+Учет!D242-D242</f>
        <v>500</v>
      </c>
      <c r="J242" s="43">
        <f>J241+Учет!E242-E242</f>
        <v>1150</v>
      </c>
      <c r="K242" s="43">
        <f>K241+Учет!F242-F242</f>
        <v>500000</v>
      </c>
      <c r="L242" s="45">
        <f>Учет!I242</f>
        <v>349526.07999999996</v>
      </c>
    </row>
    <row r="243" spans="1:12" x14ac:dyDescent="0.25">
      <c r="A243" s="48" t="str">
        <f>IF(Учет!A243&lt;&gt;"",Учет!A243,"")</f>
        <v/>
      </c>
      <c r="B243" s="52">
        <f>IF(Учет!$O243=Справочники!$F$2,Учет!$H243,0)</f>
        <v>0</v>
      </c>
      <c r="C243" s="52">
        <f>IF(Учет!$O243=Справочники!$F$3,Учет!$H243,0)</f>
        <v>0</v>
      </c>
      <c r="D243" s="52">
        <f>IF(Учет!$O243=Справочники!$F$4,Учет!$H243,0)</f>
        <v>0</v>
      </c>
      <c r="E243" s="52">
        <f>IF(Учет!$O243=Справочники!$F$5,Учет!$H243,0)</f>
        <v>0</v>
      </c>
      <c r="F243" s="52">
        <f>IF(Учет!$O243=Справочники!$F$6,Учет!$H243,0)</f>
        <v>0</v>
      </c>
      <c r="G243" s="43">
        <f>G242+Учет!B243-B243</f>
        <v>-488978.92000000004</v>
      </c>
      <c r="H243" s="43">
        <f>H242+Учет!C243-C243</f>
        <v>336855</v>
      </c>
      <c r="I243" s="43">
        <f>I242+Учет!D243-D243</f>
        <v>500</v>
      </c>
      <c r="J243" s="43">
        <f>J242+Учет!E243-E243</f>
        <v>1150</v>
      </c>
      <c r="K243" s="43">
        <f>K242+Учет!F243-F243</f>
        <v>500000</v>
      </c>
      <c r="L243" s="45">
        <f>Учет!I243</f>
        <v>349526.07999999996</v>
      </c>
    </row>
    <row r="244" spans="1:12" x14ac:dyDescent="0.25">
      <c r="A244" s="48" t="str">
        <f>IF(Учет!A244&lt;&gt;"",Учет!A244,"")</f>
        <v/>
      </c>
      <c r="B244" s="52">
        <f>IF(Учет!$O244=Справочники!$F$2,Учет!$H244,0)</f>
        <v>0</v>
      </c>
      <c r="C244" s="52">
        <f>IF(Учет!$O244=Справочники!$F$3,Учет!$H244,0)</f>
        <v>0</v>
      </c>
      <c r="D244" s="52">
        <f>IF(Учет!$O244=Справочники!$F$4,Учет!$H244,0)</f>
        <v>0</v>
      </c>
      <c r="E244" s="52">
        <f>IF(Учет!$O244=Справочники!$F$5,Учет!$H244,0)</f>
        <v>0</v>
      </c>
      <c r="F244" s="52">
        <f>IF(Учет!$O244=Справочники!$F$6,Учет!$H244,0)</f>
        <v>0</v>
      </c>
      <c r="G244" s="43">
        <f>G243+Учет!B244-B244</f>
        <v>-488978.92000000004</v>
      </c>
      <c r="H244" s="43">
        <f>H243+Учет!C244-C244</f>
        <v>336855</v>
      </c>
      <c r="I244" s="43">
        <f>I243+Учет!D244-D244</f>
        <v>500</v>
      </c>
      <c r="J244" s="43">
        <f>J243+Учет!E244-E244</f>
        <v>1150</v>
      </c>
      <c r="K244" s="43">
        <f>K243+Учет!F244-F244</f>
        <v>500000</v>
      </c>
      <c r="L244" s="45">
        <f>Учет!I244</f>
        <v>349526.07999999996</v>
      </c>
    </row>
    <row r="245" spans="1:12" x14ac:dyDescent="0.25">
      <c r="A245" s="48" t="str">
        <f>IF(Учет!A245&lt;&gt;"",Учет!A245,"")</f>
        <v/>
      </c>
      <c r="B245" s="52">
        <f>IF(Учет!$O245=Справочники!$F$2,Учет!$H245,0)</f>
        <v>0</v>
      </c>
      <c r="C245" s="52">
        <f>IF(Учет!$O245=Справочники!$F$3,Учет!$H245,0)</f>
        <v>0</v>
      </c>
      <c r="D245" s="52">
        <f>IF(Учет!$O245=Справочники!$F$4,Учет!$H245,0)</f>
        <v>0</v>
      </c>
      <c r="E245" s="52">
        <f>IF(Учет!$O245=Справочники!$F$5,Учет!$H245,0)</f>
        <v>0</v>
      </c>
      <c r="F245" s="52">
        <f>IF(Учет!$O245=Справочники!$F$6,Учет!$H245,0)</f>
        <v>0</v>
      </c>
      <c r="G245" s="43">
        <f>G244+Учет!B245-B245</f>
        <v>-488978.92000000004</v>
      </c>
      <c r="H245" s="43">
        <f>H244+Учет!C245-C245</f>
        <v>336855</v>
      </c>
      <c r="I245" s="43">
        <f>I244+Учет!D245-D245</f>
        <v>500</v>
      </c>
      <c r="J245" s="43">
        <f>J244+Учет!E245-E245</f>
        <v>1150</v>
      </c>
      <c r="K245" s="43">
        <f>K244+Учет!F245-F245</f>
        <v>500000</v>
      </c>
      <c r="L245" s="45">
        <f>Учет!I245</f>
        <v>349526.07999999996</v>
      </c>
    </row>
    <row r="246" spans="1:12" x14ac:dyDescent="0.25">
      <c r="A246" s="48" t="str">
        <f>IF(Учет!A246&lt;&gt;"",Учет!A246,"")</f>
        <v/>
      </c>
      <c r="B246" s="52">
        <f>IF(Учет!$O246=Справочники!$F$2,Учет!$H246,0)</f>
        <v>0</v>
      </c>
      <c r="C246" s="52">
        <f>IF(Учет!$O246=Справочники!$F$3,Учет!$H246,0)</f>
        <v>0</v>
      </c>
      <c r="D246" s="52">
        <f>IF(Учет!$O246=Справочники!$F$4,Учет!$H246,0)</f>
        <v>0</v>
      </c>
      <c r="E246" s="52">
        <f>IF(Учет!$O246=Справочники!$F$5,Учет!$H246,0)</f>
        <v>0</v>
      </c>
      <c r="F246" s="52">
        <f>IF(Учет!$O246=Справочники!$F$6,Учет!$H246,0)</f>
        <v>0</v>
      </c>
      <c r="G246" s="43">
        <f>G245+Учет!B246-B246</f>
        <v>-488978.92000000004</v>
      </c>
      <c r="H246" s="43">
        <f>H245+Учет!C246-C246</f>
        <v>336855</v>
      </c>
      <c r="I246" s="43">
        <f>I245+Учет!D246-D246</f>
        <v>500</v>
      </c>
      <c r="J246" s="43">
        <f>J245+Учет!E246-E246</f>
        <v>1150</v>
      </c>
      <c r="K246" s="43">
        <f>K245+Учет!F246-F246</f>
        <v>500000</v>
      </c>
      <c r="L246" s="45">
        <f>Учет!I246</f>
        <v>349526.07999999996</v>
      </c>
    </row>
    <row r="247" spans="1:12" x14ac:dyDescent="0.25">
      <c r="A247" s="48" t="str">
        <f>IF(Учет!A247&lt;&gt;"",Учет!A247,"")</f>
        <v/>
      </c>
      <c r="B247" s="52">
        <f>IF(Учет!$O247=Справочники!$F$2,Учет!$H247,0)</f>
        <v>0</v>
      </c>
      <c r="C247" s="52">
        <f>IF(Учет!$O247=Справочники!$F$3,Учет!$H247,0)</f>
        <v>0</v>
      </c>
      <c r="D247" s="52">
        <f>IF(Учет!$O247=Справочники!$F$4,Учет!$H247,0)</f>
        <v>0</v>
      </c>
      <c r="E247" s="52">
        <f>IF(Учет!$O247=Справочники!$F$5,Учет!$H247,0)</f>
        <v>0</v>
      </c>
      <c r="F247" s="52">
        <f>IF(Учет!$O247=Справочники!$F$6,Учет!$H247,0)</f>
        <v>0</v>
      </c>
      <c r="G247" s="43">
        <f>G246+Учет!B247-B247</f>
        <v>-488978.92000000004</v>
      </c>
      <c r="H247" s="43">
        <f>H246+Учет!C247-C247</f>
        <v>336855</v>
      </c>
      <c r="I247" s="43">
        <f>I246+Учет!D247-D247</f>
        <v>500</v>
      </c>
      <c r="J247" s="43">
        <f>J246+Учет!E247-E247</f>
        <v>1150</v>
      </c>
      <c r="K247" s="43">
        <f>K246+Учет!F247-F247</f>
        <v>500000</v>
      </c>
      <c r="L247" s="45">
        <f>Учет!I247</f>
        <v>349526.07999999996</v>
      </c>
    </row>
    <row r="248" spans="1:12" x14ac:dyDescent="0.25">
      <c r="A248" s="48" t="str">
        <f>IF(Учет!A248&lt;&gt;"",Учет!A248,"")</f>
        <v/>
      </c>
      <c r="B248" s="52">
        <f>IF(Учет!$O248=Справочники!$F$2,Учет!$H248,0)</f>
        <v>0</v>
      </c>
      <c r="C248" s="52">
        <f>IF(Учет!$O248=Справочники!$F$3,Учет!$H248,0)</f>
        <v>0</v>
      </c>
      <c r="D248" s="52">
        <f>IF(Учет!$O248=Справочники!$F$4,Учет!$H248,0)</f>
        <v>0</v>
      </c>
      <c r="E248" s="52">
        <f>IF(Учет!$O248=Справочники!$F$5,Учет!$H248,0)</f>
        <v>0</v>
      </c>
      <c r="F248" s="52">
        <f>IF(Учет!$O248=Справочники!$F$6,Учет!$H248,0)</f>
        <v>0</v>
      </c>
      <c r="G248" s="43">
        <f>G247+Учет!B248-B248</f>
        <v>-488978.92000000004</v>
      </c>
      <c r="H248" s="43">
        <f>H247+Учет!C248-C248</f>
        <v>336855</v>
      </c>
      <c r="I248" s="43">
        <f>I247+Учет!D248-D248</f>
        <v>500</v>
      </c>
      <c r="J248" s="43">
        <f>J247+Учет!E248-E248</f>
        <v>1150</v>
      </c>
      <c r="K248" s="43">
        <f>K247+Учет!F248-F248</f>
        <v>500000</v>
      </c>
      <c r="L248" s="45">
        <f>Учет!I248</f>
        <v>349526.07999999996</v>
      </c>
    </row>
    <row r="249" spans="1:12" x14ac:dyDescent="0.25">
      <c r="A249" s="48" t="str">
        <f>IF(Учет!A249&lt;&gt;"",Учет!A249,"")</f>
        <v/>
      </c>
      <c r="B249" s="52">
        <f>IF(Учет!$O249=Справочники!$F$2,Учет!$H249,0)</f>
        <v>0</v>
      </c>
      <c r="C249" s="52">
        <f>IF(Учет!$O249=Справочники!$F$3,Учет!$H249,0)</f>
        <v>0</v>
      </c>
      <c r="D249" s="52">
        <f>IF(Учет!$O249=Справочники!$F$4,Учет!$H249,0)</f>
        <v>0</v>
      </c>
      <c r="E249" s="52">
        <f>IF(Учет!$O249=Справочники!$F$5,Учет!$H249,0)</f>
        <v>0</v>
      </c>
      <c r="F249" s="52">
        <f>IF(Учет!$O249=Справочники!$F$6,Учет!$H249,0)</f>
        <v>0</v>
      </c>
      <c r="G249" s="43">
        <f>G248+Учет!B249-B249</f>
        <v>-488978.92000000004</v>
      </c>
      <c r="H249" s="43">
        <f>H248+Учет!C249-C249</f>
        <v>336855</v>
      </c>
      <c r="I249" s="43">
        <f>I248+Учет!D249-D249</f>
        <v>500</v>
      </c>
      <c r="J249" s="43">
        <f>J248+Учет!E249-E249</f>
        <v>1150</v>
      </c>
      <c r="K249" s="43">
        <f>K248+Учет!F249-F249</f>
        <v>500000</v>
      </c>
      <c r="L249" s="45">
        <f>Учет!I249</f>
        <v>349526.07999999996</v>
      </c>
    </row>
    <row r="250" spans="1:12" x14ac:dyDescent="0.25">
      <c r="A250" s="48" t="str">
        <f>IF(Учет!A250&lt;&gt;"",Учет!A250,"")</f>
        <v/>
      </c>
      <c r="B250" s="52">
        <f>IF(Учет!$O250=Справочники!$F$2,Учет!$H250,0)</f>
        <v>0</v>
      </c>
      <c r="C250" s="52">
        <f>IF(Учет!$O250=Справочники!$F$3,Учет!$H250,0)</f>
        <v>0</v>
      </c>
      <c r="D250" s="52">
        <f>IF(Учет!$O250=Справочники!$F$4,Учет!$H250,0)</f>
        <v>0</v>
      </c>
      <c r="E250" s="52">
        <f>IF(Учет!$O250=Справочники!$F$5,Учет!$H250,0)</f>
        <v>0</v>
      </c>
      <c r="F250" s="52">
        <f>IF(Учет!$O250=Справочники!$F$6,Учет!$H250,0)</f>
        <v>0</v>
      </c>
      <c r="G250" s="43">
        <f>G249+Учет!B250-B250</f>
        <v>-488978.92000000004</v>
      </c>
      <c r="H250" s="43">
        <f>H249+Учет!C250-C250</f>
        <v>336855</v>
      </c>
      <c r="I250" s="43">
        <f>I249+Учет!D250-D250</f>
        <v>500</v>
      </c>
      <c r="J250" s="43">
        <f>J249+Учет!E250-E250</f>
        <v>1150</v>
      </c>
      <c r="K250" s="43">
        <f>K249+Учет!F250-F250</f>
        <v>500000</v>
      </c>
      <c r="L250" s="45">
        <f>Учет!I250</f>
        <v>349526.07999999996</v>
      </c>
    </row>
    <row r="251" spans="1:12" x14ac:dyDescent="0.25">
      <c r="A251" s="48" t="str">
        <f>IF(Учет!A251&lt;&gt;"",Учет!A251,"")</f>
        <v/>
      </c>
      <c r="B251" s="52">
        <f>IF(Учет!$O251=Справочники!$F$2,Учет!$H251,0)</f>
        <v>0</v>
      </c>
      <c r="C251" s="52">
        <f>IF(Учет!$O251=Справочники!$F$3,Учет!$H251,0)</f>
        <v>0</v>
      </c>
      <c r="D251" s="52">
        <f>IF(Учет!$O251=Справочники!$F$4,Учет!$H251,0)</f>
        <v>0</v>
      </c>
      <c r="E251" s="52">
        <f>IF(Учет!$O251=Справочники!$F$5,Учет!$H251,0)</f>
        <v>0</v>
      </c>
      <c r="F251" s="52">
        <f>IF(Учет!$O251=Справочники!$F$6,Учет!$H251,0)</f>
        <v>0</v>
      </c>
      <c r="G251" s="43">
        <f>G250+Учет!B251-B251</f>
        <v>-488978.92000000004</v>
      </c>
      <c r="H251" s="43">
        <f>H250+Учет!C251-C251</f>
        <v>336855</v>
      </c>
      <c r="I251" s="43">
        <f>I250+Учет!D251-D251</f>
        <v>500</v>
      </c>
      <c r="J251" s="43">
        <f>J250+Учет!E251-E251</f>
        <v>1150</v>
      </c>
      <c r="K251" s="43">
        <f>K250+Учет!F251-F251</f>
        <v>500000</v>
      </c>
      <c r="L251" s="45">
        <f>Учет!I251</f>
        <v>349526.07999999996</v>
      </c>
    </row>
    <row r="252" spans="1:12" x14ac:dyDescent="0.25">
      <c r="A252" s="48" t="str">
        <f>IF(Учет!A252&lt;&gt;"",Учет!A252,"")</f>
        <v/>
      </c>
      <c r="B252" s="52">
        <f>IF(Учет!$O252=Справочники!$F$2,Учет!$H252,0)</f>
        <v>0</v>
      </c>
      <c r="C252" s="52">
        <f>IF(Учет!$O252=Справочники!$F$3,Учет!$H252,0)</f>
        <v>0</v>
      </c>
      <c r="D252" s="52">
        <f>IF(Учет!$O252=Справочники!$F$4,Учет!$H252,0)</f>
        <v>0</v>
      </c>
      <c r="E252" s="52">
        <f>IF(Учет!$O252=Справочники!$F$5,Учет!$H252,0)</f>
        <v>0</v>
      </c>
      <c r="F252" s="52">
        <f>IF(Учет!$O252=Справочники!$F$6,Учет!$H252,0)</f>
        <v>0</v>
      </c>
      <c r="G252" s="43">
        <f>G251+Учет!B252-B252</f>
        <v>-488978.92000000004</v>
      </c>
      <c r="H252" s="43">
        <f>H251+Учет!C252-C252</f>
        <v>336855</v>
      </c>
      <c r="I252" s="43">
        <f>I251+Учет!D252-D252</f>
        <v>500</v>
      </c>
      <c r="J252" s="43">
        <f>J251+Учет!E252-E252</f>
        <v>1150</v>
      </c>
      <c r="K252" s="43">
        <f>K251+Учет!F252-F252</f>
        <v>500000</v>
      </c>
      <c r="L252" s="45">
        <f>Учет!I252</f>
        <v>349526.07999999996</v>
      </c>
    </row>
    <row r="253" spans="1:12" x14ac:dyDescent="0.25">
      <c r="A253" s="48" t="str">
        <f>IF(Учет!A253&lt;&gt;"",Учет!A253,"")</f>
        <v/>
      </c>
      <c r="B253" s="52">
        <f>IF(Учет!$O253=Справочники!$F$2,Учет!$H253,0)</f>
        <v>0</v>
      </c>
      <c r="C253" s="52">
        <f>IF(Учет!$O253=Справочники!$F$3,Учет!$H253,0)</f>
        <v>0</v>
      </c>
      <c r="D253" s="52">
        <f>IF(Учет!$O253=Справочники!$F$4,Учет!$H253,0)</f>
        <v>0</v>
      </c>
      <c r="E253" s="52">
        <f>IF(Учет!$O253=Справочники!$F$5,Учет!$H253,0)</f>
        <v>0</v>
      </c>
      <c r="F253" s="52">
        <f>IF(Учет!$O253=Справочники!$F$6,Учет!$H253,0)</f>
        <v>0</v>
      </c>
      <c r="G253" s="43">
        <f>G252+Учет!B253-B253</f>
        <v>-488978.92000000004</v>
      </c>
      <c r="H253" s="43">
        <f>H252+Учет!C253-C253</f>
        <v>336855</v>
      </c>
      <c r="I253" s="43">
        <f>I252+Учет!D253-D253</f>
        <v>500</v>
      </c>
      <c r="J253" s="43">
        <f>J252+Учет!E253-E253</f>
        <v>1150</v>
      </c>
      <c r="K253" s="43">
        <f>K252+Учет!F253-F253</f>
        <v>500000</v>
      </c>
      <c r="L253" s="45">
        <f>Учет!I253</f>
        <v>349526.07999999996</v>
      </c>
    </row>
    <row r="254" spans="1:12" x14ac:dyDescent="0.25">
      <c r="A254" s="48" t="str">
        <f>IF(Учет!A254&lt;&gt;"",Учет!A254,"")</f>
        <v/>
      </c>
      <c r="B254" s="52">
        <f>IF(Учет!$O254=Справочники!$F$2,Учет!$H254,0)</f>
        <v>0</v>
      </c>
      <c r="C254" s="52">
        <f>IF(Учет!$O254=Справочники!$F$3,Учет!$H254,0)</f>
        <v>0</v>
      </c>
      <c r="D254" s="52">
        <f>IF(Учет!$O254=Справочники!$F$4,Учет!$H254,0)</f>
        <v>0</v>
      </c>
      <c r="E254" s="52">
        <f>IF(Учет!$O254=Справочники!$F$5,Учет!$H254,0)</f>
        <v>0</v>
      </c>
      <c r="F254" s="52">
        <f>IF(Учет!$O254=Справочники!$F$6,Учет!$H254,0)</f>
        <v>0</v>
      </c>
      <c r="G254" s="43">
        <f>G253+Учет!B254-B254</f>
        <v>-488978.92000000004</v>
      </c>
      <c r="H254" s="43">
        <f>H253+Учет!C254-C254</f>
        <v>336855</v>
      </c>
      <c r="I254" s="43">
        <f>I253+Учет!D254-D254</f>
        <v>500</v>
      </c>
      <c r="J254" s="43">
        <f>J253+Учет!E254-E254</f>
        <v>1150</v>
      </c>
      <c r="K254" s="43">
        <f>K253+Учет!F254-F254</f>
        <v>500000</v>
      </c>
      <c r="L254" s="45">
        <f>Учет!I254</f>
        <v>349526.07999999996</v>
      </c>
    </row>
    <row r="255" spans="1:12" x14ac:dyDescent="0.25">
      <c r="A255" s="48" t="str">
        <f>IF(Учет!A255&lt;&gt;"",Учет!A255,"")</f>
        <v/>
      </c>
      <c r="B255" s="52">
        <f>IF(Учет!$O255=Справочники!$F$2,Учет!$H255,0)</f>
        <v>0</v>
      </c>
      <c r="C255" s="52">
        <f>IF(Учет!$O255=Справочники!$F$3,Учет!$H255,0)</f>
        <v>0</v>
      </c>
      <c r="D255" s="52">
        <f>IF(Учет!$O255=Справочники!$F$4,Учет!$H255,0)</f>
        <v>0</v>
      </c>
      <c r="E255" s="52">
        <f>IF(Учет!$O255=Справочники!$F$5,Учет!$H255,0)</f>
        <v>0</v>
      </c>
      <c r="F255" s="52">
        <f>IF(Учет!$O255=Справочники!$F$6,Учет!$H255,0)</f>
        <v>0</v>
      </c>
      <c r="G255" s="43">
        <f>G254+Учет!B255-B255</f>
        <v>-488978.92000000004</v>
      </c>
      <c r="H255" s="43">
        <f>H254+Учет!C255-C255</f>
        <v>336855</v>
      </c>
      <c r="I255" s="43">
        <f>I254+Учет!D255-D255</f>
        <v>500</v>
      </c>
      <c r="J255" s="43">
        <f>J254+Учет!E255-E255</f>
        <v>1150</v>
      </c>
      <c r="K255" s="43">
        <f>K254+Учет!F255-F255</f>
        <v>500000</v>
      </c>
      <c r="L255" s="45">
        <f>Учет!I255</f>
        <v>349526.07999999996</v>
      </c>
    </row>
    <row r="256" spans="1:12" x14ac:dyDescent="0.25">
      <c r="A256" s="48" t="str">
        <f>IF(Учет!A256&lt;&gt;"",Учет!A256,"")</f>
        <v/>
      </c>
      <c r="B256" s="52">
        <f>IF(Учет!$O256=Справочники!$F$2,Учет!$H256,0)</f>
        <v>0</v>
      </c>
      <c r="C256" s="52">
        <f>IF(Учет!$O256=Справочники!$F$3,Учет!$H256,0)</f>
        <v>0</v>
      </c>
      <c r="D256" s="52">
        <f>IF(Учет!$O256=Справочники!$F$4,Учет!$H256,0)</f>
        <v>0</v>
      </c>
      <c r="E256" s="52">
        <f>IF(Учет!$O256=Справочники!$F$5,Учет!$H256,0)</f>
        <v>0</v>
      </c>
      <c r="F256" s="52">
        <f>IF(Учет!$O256=Справочники!$F$6,Учет!$H256,0)</f>
        <v>0</v>
      </c>
      <c r="G256" s="43">
        <f>G255+Учет!B256-B256</f>
        <v>-488978.92000000004</v>
      </c>
      <c r="H256" s="43">
        <f>H255+Учет!C256-C256</f>
        <v>336855</v>
      </c>
      <c r="I256" s="43">
        <f>I255+Учет!D256-D256</f>
        <v>500</v>
      </c>
      <c r="J256" s="43">
        <f>J255+Учет!E256-E256</f>
        <v>1150</v>
      </c>
      <c r="K256" s="43">
        <f>K255+Учет!F256-F256</f>
        <v>500000</v>
      </c>
      <c r="L256" s="45">
        <f>Учет!I256</f>
        <v>349526.07999999996</v>
      </c>
    </row>
    <row r="257" spans="1:12" x14ac:dyDescent="0.25">
      <c r="A257" s="48" t="str">
        <f>IF(Учет!A257&lt;&gt;"",Учет!A257,"")</f>
        <v/>
      </c>
      <c r="B257" s="52">
        <f>IF(Учет!$O257=Справочники!$F$2,Учет!$H257,0)</f>
        <v>0</v>
      </c>
      <c r="C257" s="52">
        <f>IF(Учет!$O257=Справочники!$F$3,Учет!$H257,0)</f>
        <v>0</v>
      </c>
      <c r="D257" s="52">
        <f>IF(Учет!$O257=Справочники!$F$4,Учет!$H257,0)</f>
        <v>0</v>
      </c>
      <c r="E257" s="52">
        <f>IF(Учет!$O257=Справочники!$F$5,Учет!$H257,0)</f>
        <v>0</v>
      </c>
      <c r="F257" s="52">
        <f>IF(Учет!$O257=Справочники!$F$6,Учет!$H257,0)</f>
        <v>0</v>
      </c>
      <c r="G257" s="43">
        <f>G256+Учет!B257-B257</f>
        <v>-488978.92000000004</v>
      </c>
      <c r="H257" s="43">
        <f>H256+Учет!C257-C257</f>
        <v>336855</v>
      </c>
      <c r="I257" s="43">
        <f>I256+Учет!D257-D257</f>
        <v>500</v>
      </c>
      <c r="J257" s="43">
        <f>J256+Учет!E257-E257</f>
        <v>1150</v>
      </c>
      <c r="K257" s="43">
        <f>K256+Учет!F257-F257</f>
        <v>500000</v>
      </c>
      <c r="L257" s="45">
        <f>Учет!I257</f>
        <v>349526.07999999996</v>
      </c>
    </row>
    <row r="258" spans="1:12" x14ac:dyDescent="0.25">
      <c r="A258" s="48" t="str">
        <f>IF(Учет!A258&lt;&gt;"",Учет!A258,"")</f>
        <v/>
      </c>
      <c r="B258" s="52">
        <f>IF(Учет!$O258=Справочники!$F$2,Учет!$H258,0)</f>
        <v>0</v>
      </c>
      <c r="C258" s="52">
        <f>IF(Учет!$O258=Справочники!$F$3,Учет!$H258,0)</f>
        <v>0</v>
      </c>
      <c r="D258" s="52">
        <f>IF(Учет!$O258=Справочники!$F$4,Учет!$H258,0)</f>
        <v>0</v>
      </c>
      <c r="E258" s="52">
        <f>IF(Учет!$O258=Справочники!$F$5,Учет!$H258,0)</f>
        <v>0</v>
      </c>
      <c r="F258" s="52">
        <f>IF(Учет!$O258=Справочники!$F$6,Учет!$H258,0)</f>
        <v>0</v>
      </c>
      <c r="G258" s="43">
        <f>G257+Учет!B258-B258</f>
        <v>-488978.92000000004</v>
      </c>
      <c r="H258" s="43">
        <f>H257+Учет!C258-C258</f>
        <v>336855</v>
      </c>
      <c r="I258" s="43">
        <f>I257+Учет!D258-D258</f>
        <v>500</v>
      </c>
      <c r="J258" s="43">
        <f>J257+Учет!E258-E258</f>
        <v>1150</v>
      </c>
      <c r="K258" s="43">
        <f>K257+Учет!F258-F258</f>
        <v>500000</v>
      </c>
      <c r="L258" s="45">
        <f>Учет!I258</f>
        <v>349526.07999999996</v>
      </c>
    </row>
    <row r="259" spans="1:12" x14ac:dyDescent="0.25">
      <c r="A259" s="48" t="str">
        <f>IF(Учет!A259&lt;&gt;"",Учет!A259,"")</f>
        <v/>
      </c>
      <c r="B259" s="52">
        <f>IF(Учет!$O259=Справочники!$F$2,Учет!$H259,0)</f>
        <v>0</v>
      </c>
      <c r="C259" s="52">
        <f>IF(Учет!$O259=Справочники!$F$3,Учет!$H259,0)</f>
        <v>0</v>
      </c>
      <c r="D259" s="52">
        <f>IF(Учет!$O259=Справочники!$F$4,Учет!$H259,0)</f>
        <v>0</v>
      </c>
      <c r="E259" s="52">
        <f>IF(Учет!$O259=Справочники!$F$5,Учет!$H259,0)</f>
        <v>0</v>
      </c>
      <c r="F259" s="52">
        <f>IF(Учет!$O259=Справочники!$F$6,Учет!$H259,0)</f>
        <v>0</v>
      </c>
      <c r="G259" s="43">
        <f>G258+Учет!B259-B259</f>
        <v>-488978.92000000004</v>
      </c>
      <c r="H259" s="43">
        <f>H258+Учет!C259-C259</f>
        <v>336855</v>
      </c>
      <c r="I259" s="43">
        <f>I258+Учет!D259-D259</f>
        <v>500</v>
      </c>
      <c r="J259" s="43">
        <f>J258+Учет!E259-E259</f>
        <v>1150</v>
      </c>
      <c r="K259" s="43">
        <f>K258+Учет!F259-F259</f>
        <v>500000</v>
      </c>
      <c r="L259" s="45">
        <f>Учет!I259</f>
        <v>349526.07999999996</v>
      </c>
    </row>
    <row r="260" spans="1:12" x14ac:dyDescent="0.25">
      <c r="A260" s="48" t="str">
        <f>IF(Учет!A260&lt;&gt;"",Учет!A260,"")</f>
        <v/>
      </c>
      <c r="B260" s="52">
        <f>IF(Учет!$O260=Справочники!$F$2,Учет!$H260,0)</f>
        <v>0</v>
      </c>
      <c r="C260" s="52">
        <f>IF(Учет!$O260=Справочники!$F$3,Учет!$H260,0)</f>
        <v>0</v>
      </c>
      <c r="D260" s="52">
        <f>IF(Учет!$O260=Справочники!$F$4,Учет!$H260,0)</f>
        <v>0</v>
      </c>
      <c r="E260" s="52">
        <f>IF(Учет!$O260=Справочники!$F$5,Учет!$H260,0)</f>
        <v>0</v>
      </c>
      <c r="F260" s="52">
        <f>IF(Учет!$O260=Справочники!$F$6,Учет!$H260,0)</f>
        <v>0</v>
      </c>
      <c r="G260" s="43">
        <f>G259+Учет!B260-B260</f>
        <v>-488978.92000000004</v>
      </c>
      <c r="H260" s="43">
        <f>H259+Учет!C260-C260</f>
        <v>336855</v>
      </c>
      <c r="I260" s="43">
        <f>I259+Учет!D260-D260</f>
        <v>500</v>
      </c>
      <c r="J260" s="43">
        <f>J259+Учет!E260-E260</f>
        <v>1150</v>
      </c>
      <c r="K260" s="43">
        <f>K259+Учет!F260-F260</f>
        <v>500000</v>
      </c>
      <c r="L260" s="45">
        <f>Учет!I260</f>
        <v>349526.07999999996</v>
      </c>
    </row>
    <row r="261" spans="1:12" x14ac:dyDescent="0.25">
      <c r="A261" s="48" t="str">
        <f>IF(Учет!A261&lt;&gt;"",Учет!A261,"")</f>
        <v/>
      </c>
      <c r="B261" s="52">
        <f>IF(Учет!$O261=Справочники!$F$2,Учет!$H261,0)</f>
        <v>0</v>
      </c>
      <c r="C261" s="52">
        <f>IF(Учет!$O261=Справочники!$F$3,Учет!$H261,0)</f>
        <v>0</v>
      </c>
      <c r="D261" s="52">
        <f>IF(Учет!$O261=Справочники!$F$4,Учет!$H261,0)</f>
        <v>0</v>
      </c>
      <c r="E261" s="52">
        <f>IF(Учет!$O261=Справочники!$F$5,Учет!$H261,0)</f>
        <v>0</v>
      </c>
      <c r="F261" s="52">
        <f>IF(Учет!$O261=Справочники!$F$6,Учет!$H261,0)</f>
        <v>0</v>
      </c>
      <c r="G261" s="43">
        <f>G260+Учет!B261-B261</f>
        <v>-488978.92000000004</v>
      </c>
      <c r="H261" s="43">
        <f>H260+Учет!C261-C261</f>
        <v>336855</v>
      </c>
      <c r="I261" s="43">
        <f>I260+Учет!D261-D261</f>
        <v>500</v>
      </c>
      <c r="J261" s="43">
        <f>J260+Учет!E261-E261</f>
        <v>1150</v>
      </c>
      <c r="K261" s="43">
        <f>K260+Учет!F261-F261</f>
        <v>500000</v>
      </c>
      <c r="L261" s="45">
        <f>Учет!I261</f>
        <v>349526.07999999996</v>
      </c>
    </row>
    <row r="262" spans="1:12" x14ac:dyDescent="0.25">
      <c r="A262" s="48" t="str">
        <f>IF(Учет!A262&lt;&gt;"",Учет!A262,"")</f>
        <v/>
      </c>
      <c r="B262" s="52">
        <f>IF(Учет!$O262=Справочники!$F$2,Учет!$H262,0)</f>
        <v>0</v>
      </c>
      <c r="C262" s="52">
        <f>IF(Учет!$O262=Справочники!$F$3,Учет!$H262,0)</f>
        <v>0</v>
      </c>
      <c r="D262" s="52">
        <f>IF(Учет!$O262=Справочники!$F$4,Учет!$H262,0)</f>
        <v>0</v>
      </c>
      <c r="E262" s="52">
        <f>IF(Учет!$O262=Справочники!$F$5,Учет!$H262,0)</f>
        <v>0</v>
      </c>
      <c r="F262" s="52">
        <f>IF(Учет!$O262=Справочники!$F$6,Учет!$H262,0)</f>
        <v>0</v>
      </c>
      <c r="G262" s="43">
        <f>G261+Учет!B262-B262</f>
        <v>-488978.92000000004</v>
      </c>
      <c r="H262" s="43">
        <f>H261+Учет!C262-C262</f>
        <v>336855</v>
      </c>
      <c r="I262" s="43">
        <f>I261+Учет!D262-D262</f>
        <v>500</v>
      </c>
      <c r="J262" s="43">
        <f>J261+Учет!E262-E262</f>
        <v>1150</v>
      </c>
      <c r="K262" s="43">
        <f>K261+Учет!F262-F262</f>
        <v>500000</v>
      </c>
      <c r="L262" s="45">
        <f>Учет!I262</f>
        <v>349526.07999999996</v>
      </c>
    </row>
    <row r="263" spans="1:12" x14ac:dyDescent="0.25">
      <c r="A263" s="48" t="str">
        <f>IF(Учет!A263&lt;&gt;"",Учет!A263,"")</f>
        <v/>
      </c>
      <c r="B263" s="52">
        <f>IF(Учет!$O263=Справочники!$F$2,Учет!$H263,0)</f>
        <v>0</v>
      </c>
      <c r="C263" s="52">
        <f>IF(Учет!$O263=Справочники!$F$3,Учет!$H263,0)</f>
        <v>0</v>
      </c>
      <c r="D263" s="52">
        <f>IF(Учет!$O263=Справочники!$F$4,Учет!$H263,0)</f>
        <v>0</v>
      </c>
      <c r="E263" s="52">
        <f>IF(Учет!$O263=Справочники!$F$5,Учет!$H263,0)</f>
        <v>0</v>
      </c>
      <c r="F263" s="52">
        <f>IF(Учет!$O263=Справочники!$F$6,Учет!$H263,0)</f>
        <v>0</v>
      </c>
      <c r="G263" s="43">
        <f>G262+Учет!B263-B263</f>
        <v>-488978.92000000004</v>
      </c>
      <c r="H263" s="43">
        <f>H262+Учет!C263-C263</f>
        <v>336855</v>
      </c>
      <c r="I263" s="43">
        <f>I262+Учет!D263-D263</f>
        <v>500</v>
      </c>
      <c r="J263" s="43">
        <f>J262+Учет!E263-E263</f>
        <v>1150</v>
      </c>
      <c r="K263" s="43">
        <f>K262+Учет!F263-F263</f>
        <v>500000</v>
      </c>
      <c r="L263" s="45">
        <f>Учет!I263</f>
        <v>349526.07999999996</v>
      </c>
    </row>
    <row r="264" spans="1:12" x14ac:dyDescent="0.25">
      <c r="A264" s="48" t="str">
        <f>IF(Учет!A264&lt;&gt;"",Учет!A264,"")</f>
        <v/>
      </c>
      <c r="B264" s="52">
        <f>IF(Учет!$O264=Справочники!$F$2,Учет!$H264,0)</f>
        <v>0</v>
      </c>
      <c r="C264" s="52">
        <f>IF(Учет!$O264=Справочники!$F$3,Учет!$H264,0)</f>
        <v>0</v>
      </c>
      <c r="D264" s="52">
        <f>IF(Учет!$O264=Справочники!$F$4,Учет!$H264,0)</f>
        <v>0</v>
      </c>
      <c r="E264" s="52">
        <f>IF(Учет!$O264=Справочники!$F$5,Учет!$H264,0)</f>
        <v>0</v>
      </c>
      <c r="F264" s="52">
        <f>IF(Учет!$O264=Справочники!$F$6,Учет!$H264,0)</f>
        <v>0</v>
      </c>
      <c r="G264" s="43">
        <f>G263+Учет!B264-B264</f>
        <v>-488978.92000000004</v>
      </c>
      <c r="H264" s="43">
        <f>H263+Учет!C264-C264</f>
        <v>336855</v>
      </c>
      <c r="I264" s="43">
        <f>I263+Учет!D264-D264</f>
        <v>500</v>
      </c>
      <c r="J264" s="43">
        <f>J263+Учет!E264-E264</f>
        <v>1150</v>
      </c>
      <c r="K264" s="43">
        <f>K263+Учет!F264-F264</f>
        <v>500000</v>
      </c>
      <c r="L264" s="45">
        <f>Учет!I264</f>
        <v>349526.07999999996</v>
      </c>
    </row>
    <row r="265" spans="1:12" x14ac:dyDescent="0.25">
      <c r="A265" s="48" t="str">
        <f>IF(Учет!A265&lt;&gt;"",Учет!A265,"")</f>
        <v/>
      </c>
      <c r="B265" s="52">
        <f>IF(Учет!$O265=Справочники!$F$2,Учет!$H265,0)</f>
        <v>0</v>
      </c>
      <c r="C265" s="52">
        <f>IF(Учет!$O265=Справочники!$F$3,Учет!$H265,0)</f>
        <v>0</v>
      </c>
      <c r="D265" s="52">
        <f>IF(Учет!$O265=Справочники!$F$4,Учет!$H265,0)</f>
        <v>0</v>
      </c>
      <c r="E265" s="52">
        <f>IF(Учет!$O265=Справочники!$F$5,Учет!$H265,0)</f>
        <v>0</v>
      </c>
      <c r="F265" s="52">
        <f>IF(Учет!$O265=Справочники!$F$6,Учет!$H265,0)</f>
        <v>0</v>
      </c>
      <c r="G265" s="43">
        <f>G264+Учет!B265-B265</f>
        <v>-488978.92000000004</v>
      </c>
      <c r="H265" s="43">
        <f>H264+Учет!C265-C265</f>
        <v>336855</v>
      </c>
      <c r="I265" s="43">
        <f>I264+Учет!D265-D265</f>
        <v>500</v>
      </c>
      <c r="J265" s="43">
        <f>J264+Учет!E265-E265</f>
        <v>1150</v>
      </c>
      <c r="K265" s="43">
        <f>K264+Учет!F265-F265</f>
        <v>500000</v>
      </c>
      <c r="L265" s="45">
        <f>Учет!I265</f>
        <v>349526.07999999996</v>
      </c>
    </row>
    <row r="266" spans="1:12" x14ac:dyDescent="0.25">
      <c r="A266" s="48" t="str">
        <f>IF(Учет!A266&lt;&gt;"",Учет!A266,"")</f>
        <v/>
      </c>
      <c r="B266" s="52">
        <f>IF(Учет!$O266=Справочники!$F$2,Учет!$H266,0)</f>
        <v>0</v>
      </c>
      <c r="C266" s="52">
        <f>IF(Учет!$O266=Справочники!$F$3,Учет!$H266,0)</f>
        <v>0</v>
      </c>
      <c r="D266" s="52">
        <f>IF(Учет!$O266=Справочники!$F$4,Учет!$H266,0)</f>
        <v>0</v>
      </c>
      <c r="E266" s="52">
        <f>IF(Учет!$O266=Справочники!$F$5,Учет!$H266,0)</f>
        <v>0</v>
      </c>
      <c r="F266" s="52">
        <f>IF(Учет!$O266=Справочники!$F$6,Учет!$H266,0)</f>
        <v>0</v>
      </c>
      <c r="G266" s="43">
        <f>G265+Учет!B266-B266</f>
        <v>-488978.92000000004</v>
      </c>
      <c r="H266" s="43">
        <f>H265+Учет!C266-C266</f>
        <v>336855</v>
      </c>
      <c r="I266" s="43">
        <f>I265+Учет!D266-D266</f>
        <v>500</v>
      </c>
      <c r="J266" s="43">
        <f>J265+Учет!E266-E266</f>
        <v>1150</v>
      </c>
      <c r="K266" s="43">
        <f>K265+Учет!F266-F266</f>
        <v>500000</v>
      </c>
      <c r="L266" s="45">
        <f>Учет!I266</f>
        <v>349526.07999999996</v>
      </c>
    </row>
    <row r="267" spans="1:12" x14ac:dyDescent="0.25">
      <c r="A267" s="48" t="str">
        <f>IF(Учет!A267&lt;&gt;"",Учет!A267,"")</f>
        <v/>
      </c>
      <c r="B267" s="52">
        <f>IF(Учет!$O267=Справочники!$F$2,Учет!$H267,0)</f>
        <v>0</v>
      </c>
      <c r="C267" s="52">
        <f>IF(Учет!$O267=Справочники!$F$3,Учет!$H267,0)</f>
        <v>0</v>
      </c>
      <c r="D267" s="52">
        <f>IF(Учет!$O267=Справочники!$F$4,Учет!$H267,0)</f>
        <v>0</v>
      </c>
      <c r="E267" s="52">
        <f>IF(Учет!$O267=Справочники!$F$5,Учет!$H267,0)</f>
        <v>0</v>
      </c>
      <c r="F267" s="52">
        <f>IF(Учет!$O267=Справочники!$F$6,Учет!$H267,0)</f>
        <v>0</v>
      </c>
      <c r="G267" s="43">
        <f>G266+Учет!B267-B267</f>
        <v>-488978.92000000004</v>
      </c>
      <c r="H267" s="43">
        <f>H266+Учет!C267-C267</f>
        <v>336855</v>
      </c>
      <c r="I267" s="43">
        <f>I266+Учет!D267-D267</f>
        <v>500</v>
      </c>
      <c r="J267" s="43">
        <f>J266+Учет!E267-E267</f>
        <v>1150</v>
      </c>
      <c r="K267" s="43">
        <f>K266+Учет!F267-F267</f>
        <v>500000</v>
      </c>
      <c r="L267" s="45">
        <f>Учет!I267</f>
        <v>349526.07999999996</v>
      </c>
    </row>
    <row r="268" spans="1:12" x14ac:dyDescent="0.25">
      <c r="A268" s="48" t="str">
        <f>IF(Учет!A268&lt;&gt;"",Учет!A268,"")</f>
        <v/>
      </c>
      <c r="B268" s="52">
        <f>IF(Учет!$O268=Справочники!$F$2,Учет!$H268,0)</f>
        <v>0</v>
      </c>
      <c r="C268" s="52">
        <f>IF(Учет!$O268=Справочники!$F$3,Учет!$H268,0)</f>
        <v>0</v>
      </c>
      <c r="D268" s="52">
        <f>IF(Учет!$O268=Справочники!$F$4,Учет!$H268,0)</f>
        <v>0</v>
      </c>
      <c r="E268" s="52">
        <f>IF(Учет!$O268=Справочники!$F$5,Учет!$H268,0)</f>
        <v>0</v>
      </c>
      <c r="F268" s="52">
        <f>IF(Учет!$O268=Справочники!$F$6,Учет!$H268,0)</f>
        <v>0</v>
      </c>
      <c r="G268" s="43">
        <f>G267+Учет!B268-B268</f>
        <v>-488978.92000000004</v>
      </c>
      <c r="H268" s="43">
        <f>H267+Учет!C268-C268</f>
        <v>336855</v>
      </c>
      <c r="I268" s="43">
        <f>I267+Учет!D268-D268</f>
        <v>500</v>
      </c>
      <c r="J268" s="43">
        <f>J267+Учет!E268-E268</f>
        <v>1150</v>
      </c>
      <c r="K268" s="43">
        <f>K267+Учет!F268-F268</f>
        <v>500000</v>
      </c>
      <c r="L268" s="45">
        <f>Учет!I268</f>
        <v>349526.07999999996</v>
      </c>
    </row>
    <row r="269" spans="1:12" x14ac:dyDescent="0.25">
      <c r="A269" s="48" t="str">
        <f>IF(Учет!A269&lt;&gt;"",Учет!A269,"")</f>
        <v/>
      </c>
      <c r="B269" s="52">
        <f>IF(Учет!$O269=Справочники!$F$2,Учет!$H269,0)</f>
        <v>0</v>
      </c>
      <c r="C269" s="52">
        <f>IF(Учет!$O269=Справочники!$F$3,Учет!$H269,0)</f>
        <v>0</v>
      </c>
      <c r="D269" s="52">
        <f>IF(Учет!$O269=Справочники!$F$4,Учет!$H269,0)</f>
        <v>0</v>
      </c>
      <c r="E269" s="52">
        <f>IF(Учет!$O269=Справочники!$F$5,Учет!$H269,0)</f>
        <v>0</v>
      </c>
      <c r="F269" s="52">
        <f>IF(Учет!$O269=Справочники!$F$6,Учет!$H269,0)</f>
        <v>0</v>
      </c>
      <c r="G269" s="43">
        <f>G268+Учет!B269-B269</f>
        <v>-488978.92000000004</v>
      </c>
      <c r="H269" s="43">
        <f>H268+Учет!C269-C269</f>
        <v>336855</v>
      </c>
      <c r="I269" s="43">
        <f>I268+Учет!D269-D269</f>
        <v>500</v>
      </c>
      <c r="J269" s="43">
        <f>J268+Учет!E269-E269</f>
        <v>1150</v>
      </c>
      <c r="K269" s="43">
        <f>K268+Учет!F269-F269</f>
        <v>500000</v>
      </c>
      <c r="L269" s="45">
        <f>Учет!I269</f>
        <v>349526.07999999996</v>
      </c>
    </row>
    <row r="270" spans="1:12" x14ac:dyDescent="0.25">
      <c r="A270" s="48" t="str">
        <f>IF(Учет!A270&lt;&gt;"",Учет!A270,"")</f>
        <v/>
      </c>
      <c r="B270" s="52">
        <f>IF(Учет!$O270=Справочники!$F$2,Учет!$H270,0)</f>
        <v>0</v>
      </c>
      <c r="C270" s="52">
        <f>IF(Учет!$O270=Справочники!$F$3,Учет!$H270,0)</f>
        <v>0</v>
      </c>
      <c r="D270" s="52">
        <f>IF(Учет!$O270=Справочники!$F$4,Учет!$H270,0)</f>
        <v>0</v>
      </c>
      <c r="E270" s="52">
        <f>IF(Учет!$O270=Справочники!$F$5,Учет!$H270,0)</f>
        <v>0</v>
      </c>
      <c r="F270" s="52">
        <f>IF(Учет!$O270=Справочники!$F$6,Учет!$H270,0)</f>
        <v>0</v>
      </c>
      <c r="G270" s="43">
        <f>G269+Учет!B270-B270</f>
        <v>-488978.92000000004</v>
      </c>
      <c r="H270" s="43">
        <f>H269+Учет!C270-C270</f>
        <v>336855</v>
      </c>
      <c r="I270" s="43">
        <f>I269+Учет!D270-D270</f>
        <v>500</v>
      </c>
      <c r="J270" s="43">
        <f>J269+Учет!E270-E270</f>
        <v>1150</v>
      </c>
      <c r="K270" s="43">
        <f>K269+Учет!F270-F270</f>
        <v>500000</v>
      </c>
      <c r="L270" s="45">
        <f>Учет!I270</f>
        <v>349526.07999999996</v>
      </c>
    </row>
    <row r="271" spans="1:12" x14ac:dyDescent="0.25">
      <c r="A271" s="48" t="str">
        <f>IF(Учет!A271&lt;&gt;"",Учет!A271,"")</f>
        <v/>
      </c>
      <c r="B271" s="52">
        <f>IF(Учет!$O271=Справочники!$F$2,Учет!$H271,0)</f>
        <v>0</v>
      </c>
      <c r="C271" s="52">
        <f>IF(Учет!$O271=Справочники!$F$3,Учет!$H271,0)</f>
        <v>0</v>
      </c>
      <c r="D271" s="52">
        <f>IF(Учет!$O271=Справочники!$F$4,Учет!$H271,0)</f>
        <v>0</v>
      </c>
      <c r="E271" s="52">
        <f>IF(Учет!$O271=Справочники!$F$5,Учет!$H271,0)</f>
        <v>0</v>
      </c>
      <c r="F271" s="52">
        <f>IF(Учет!$O271=Справочники!$F$6,Учет!$H271,0)</f>
        <v>0</v>
      </c>
      <c r="G271" s="43">
        <f>G270+Учет!B271-B271</f>
        <v>-488978.92000000004</v>
      </c>
      <c r="H271" s="43">
        <f>H270+Учет!C271-C271</f>
        <v>336855</v>
      </c>
      <c r="I271" s="43">
        <f>I270+Учет!D271-D271</f>
        <v>500</v>
      </c>
      <c r="J271" s="43">
        <f>J270+Учет!E271-E271</f>
        <v>1150</v>
      </c>
      <c r="K271" s="43">
        <f>K270+Учет!F271-F271</f>
        <v>500000</v>
      </c>
      <c r="L271" s="45">
        <f>Учет!I271</f>
        <v>349526.07999999996</v>
      </c>
    </row>
    <row r="272" spans="1:12" x14ac:dyDescent="0.25">
      <c r="A272" s="48" t="str">
        <f>IF(Учет!A272&lt;&gt;"",Учет!A272,"")</f>
        <v/>
      </c>
      <c r="B272" s="52">
        <f>IF(Учет!$O272=Справочники!$F$2,Учет!$H272,0)</f>
        <v>0</v>
      </c>
      <c r="C272" s="52">
        <f>IF(Учет!$O272=Справочники!$F$3,Учет!$H272,0)</f>
        <v>0</v>
      </c>
      <c r="D272" s="52">
        <f>IF(Учет!$O272=Справочники!$F$4,Учет!$H272,0)</f>
        <v>0</v>
      </c>
      <c r="E272" s="52">
        <f>IF(Учет!$O272=Справочники!$F$5,Учет!$H272,0)</f>
        <v>0</v>
      </c>
      <c r="F272" s="52">
        <f>IF(Учет!$O272=Справочники!$F$6,Учет!$H272,0)</f>
        <v>0</v>
      </c>
      <c r="G272" s="43">
        <f>G271+Учет!B272-B272</f>
        <v>-488978.92000000004</v>
      </c>
      <c r="H272" s="43">
        <f>H271+Учет!C272-C272</f>
        <v>336855</v>
      </c>
      <c r="I272" s="43">
        <f>I271+Учет!D272-D272</f>
        <v>500</v>
      </c>
      <c r="J272" s="43">
        <f>J271+Учет!E272-E272</f>
        <v>1150</v>
      </c>
      <c r="K272" s="43">
        <f>K271+Учет!F272-F272</f>
        <v>500000</v>
      </c>
      <c r="L272" s="45">
        <f>Учет!I272</f>
        <v>349526.07999999996</v>
      </c>
    </row>
    <row r="273" spans="1:12" x14ac:dyDescent="0.25">
      <c r="A273" s="48" t="str">
        <f>IF(Учет!A273&lt;&gt;"",Учет!A273,"")</f>
        <v/>
      </c>
      <c r="B273" s="52">
        <f>IF(Учет!$O273=Справочники!$F$2,Учет!$H273,0)</f>
        <v>0</v>
      </c>
      <c r="C273" s="52">
        <f>IF(Учет!$O273=Справочники!$F$3,Учет!$H273,0)</f>
        <v>0</v>
      </c>
      <c r="D273" s="52">
        <f>IF(Учет!$O273=Справочники!$F$4,Учет!$H273,0)</f>
        <v>0</v>
      </c>
      <c r="E273" s="52">
        <f>IF(Учет!$O273=Справочники!$F$5,Учет!$H273,0)</f>
        <v>0</v>
      </c>
      <c r="F273" s="52">
        <f>IF(Учет!$O273=Справочники!$F$6,Учет!$H273,0)</f>
        <v>0</v>
      </c>
      <c r="G273" s="43">
        <f>G272+Учет!B273-B273</f>
        <v>-488978.92000000004</v>
      </c>
      <c r="H273" s="43">
        <f>H272+Учет!C273-C273</f>
        <v>336855</v>
      </c>
      <c r="I273" s="43">
        <f>I272+Учет!D273-D273</f>
        <v>500</v>
      </c>
      <c r="J273" s="43">
        <f>J272+Учет!E273-E273</f>
        <v>1150</v>
      </c>
      <c r="K273" s="43">
        <f>K272+Учет!F273-F273</f>
        <v>500000</v>
      </c>
      <c r="L273" s="45">
        <f>Учет!I273</f>
        <v>349526.07999999996</v>
      </c>
    </row>
    <row r="274" spans="1:12" x14ac:dyDescent="0.25">
      <c r="A274" s="48" t="str">
        <f>IF(Учет!A274&lt;&gt;"",Учет!A274,"")</f>
        <v/>
      </c>
      <c r="B274" s="52">
        <f>IF(Учет!$O274=Справочники!$F$2,Учет!$H274,0)</f>
        <v>0</v>
      </c>
      <c r="C274" s="52">
        <f>IF(Учет!$O274=Справочники!$F$3,Учет!$H274,0)</f>
        <v>0</v>
      </c>
      <c r="D274" s="52">
        <f>IF(Учет!$O274=Справочники!$F$4,Учет!$H274,0)</f>
        <v>0</v>
      </c>
      <c r="E274" s="52">
        <f>IF(Учет!$O274=Справочники!$F$5,Учет!$H274,0)</f>
        <v>0</v>
      </c>
      <c r="F274" s="52">
        <f>IF(Учет!$O274=Справочники!$F$6,Учет!$H274,0)</f>
        <v>0</v>
      </c>
      <c r="G274" s="43">
        <f>G273+Учет!B274-B274</f>
        <v>-488978.92000000004</v>
      </c>
      <c r="H274" s="43">
        <f>H273+Учет!C274-C274</f>
        <v>336855</v>
      </c>
      <c r="I274" s="43">
        <f>I273+Учет!D274-D274</f>
        <v>500</v>
      </c>
      <c r="J274" s="43">
        <f>J273+Учет!E274-E274</f>
        <v>1150</v>
      </c>
      <c r="K274" s="43">
        <f>K273+Учет!F274-F274</f>
        <v>500000</v>
      </c>
      <c r="L274" s="45">
        <f>Учет!I274</f>
        <v>349526.07999999996</v>
      </c>
    </row>
    <row r="275" spans="1:12" x14ac:dyDescent="0.25">
      <c r="A275" s="48" t="str">
        <f>IF(Учет!A275&lt;&gt;"",Учет!A275,"")</f>
        <v/>
      </c>
      <c r="B275" s="52">
        <f>IF(Учет!$O275=Справочники!$F$2,Учет!$H275,0)</f>
        <v>0</v>
      </c>
      <c r="C275" s="52">
        <f>IF(Учет!$O275=Справочники!$F$3,Учет!$H275,0)</f>
        <v>0</v>
      </c>
      <c r="D275" s="52">
        <f>IF(Учет!$O275=Справочники!$F$4,Учет!$H275,0)</f>
        <v>0</v>
      </c>
      <c r="E275" s="52">
        <f>IF(Учет!$O275=Справочники!$F$5,Учет!$H275,0)</f>
        <v>0</v>
      </c>
      <c r="F275" s="52">
        <f>IF(Учет!$O275=Справочники!$F$6,Учет!$H275,0)</f>
        <v>0</v>
      </c>
      <c r="G275" s="43">
        <f>G274+Учет!B275-B275</f>
        <v>-488978.92000000004</v>
      </c>
      <c r="H275" s="43">
        <f>H274+Учет!C275-C275</f>
        <v>336855</v>
      </c>
      <c r="I275" s="43">
        <f>I274+Учет!D275-D275</f>
        <v>500</v>
      </c>
      <c r="J275" s="43">
        <f>J274+Учет!E275-E275</f>
        <v>1150</v>
      </c>
      <c r="K275" s="43">
        <f>K274+Учет!F275-F275</f>
        <v>500000</v>
      </c>
      <c r="L275" s="45">
        <f>Учет!I275</f>
        <v>349526.07999999996</v>
      </c>
    </row>
    <row r="276" spans="1:12" x14ac:dyDescent="0.25">
      <c r="A276" s="48" t="str">
        <f>IF(Учет!A276&lt;&gt;"",Учет!A276,"")</f>
        <v/>
      </c>
      <c r="B276" s="52">
        <f>IF(Учет!$O276=Справочники!$F$2,Учет!$H276,0)</f>
        <v>0</v>
      </c>
      <c r="C276" s="52">
        <f>IF(Учет!$O276=Справочники!$F$3,Учет!$H276,0)</f>
        <v>0</v>
      </c>
      <c r="D276" s="52">
        <f>IF(Учет!$O276=Справочники!$F$4,Учет!$H276,0)</f>
        <v>0</v>
      </c>
      <c r="E276" s="52">
        <f>IF(Учет!$O276=Справочники!$F$5,Учет!$H276,0)</f>
        <v>0</v>
      </c>
      <c r="F276" s="52">
        <f>IF(Учет!$O276=Справочники!$F$6,Учет!$H276,0)</f>
        <v>0</v>
      </c>
      <c r="G276" s="43">
        <f>G275+Учет!B276-B276</f>
        <v>-488978.92000000004</v>
      </c>
      <c r="H276" s="43">
        <f>H275+Учет!C276-C276</f>
        <v>336855</v>
      </c>
      <c r="I276" s="43">
        <f>I275+Учет!D276-D276</f>
        <v>500</v>
      </c>
      <c r="J276" s="43">
        <f>J275+Учет!E276-E276</f>
        <v>1150</v>
      </c>
      <c r="K276" s="43">
        <f>K275+Учет!F276-F276</f>
        <v>500000</v>
      </c>
      <c r="L276" s="45">
        <f>Учет!I276</f>
        <v>349526.07999999996</v>
      </c>
    </row>
    <row r="277" spans="1:12" x14ac:dyDescent="0.25">
      <c r="A277" s="48" t="str">
        <f>IF(Учет!A277&lt;&gt;"",Учет!A277,"")</f>
        <v/>
      </c>
      <c r="B277" s="52">
        <f>IF(Учет!$O277=Справочники!$F$2,Учет!$H277,0)</f>
        <v>0</v>
      </c>
      <c r="C277" s="52">
        <f>IF(Учет!$O277=Справочники!$F$3,Учет!$H277,0)</f>
        <v>0</v>
      </c>
      <c r="D277" s="52">
        <f>IF(Учет!$O277=Справочники!$F$4,Учет!$H277,0)</f>
        <v>0</v>
      </c>
      <c r="E277" s="52">
        <f>IF(Учет!$O277=Справочники!$F$5,Учет!$H277,0)</f>
        <v>0</v>
      </c>
      <c r="F277" s="52">
        <f>IF(Учет!$O277=Справочники!$F$6,Учет!$H277,0)</f>
        <v>0</v>
      </c>
      <c r="G277" s="43">
        <f>G276+Учет!B277-B277</f>
        <v>-488978.92000000004</v>
      </c>
      <c r="H277" s="43">
        <f>H276+Учет!C277-C277</f>
        <v>336855</v>
      </c>
      <c r="I277" s="43">
        <f>I276+Учет!D277-D277</f>
        <v>500</v>
      </c>
      <c r="J277" s="43">
        <f>J276+Учет!E277-E277</f>
        <v>1150</v>
      </c>
      <c r="K277" s="43">
        <f>K276+Учет!F277-F277</f>
        <v>500000</v>
      </c>
      <c r="L277" s="45">
        <f>Учет!I277</f>
        <v>349526.07999999996</v>
      </c>
    </row>
    <row r="278" spans="1:12" x14ac:dyDescent="0.25">
      <c r="A278" s="48" t="str">
        <f>IF(Учет!A278&lt;&gt;"",Учет!A278,"")</f>
        <v/>
      </c>
      <c r="B278" s="52">
        <f>IF(Учет!$O278=Справочники!$F$2,Учет!$H278,0)</f>
        <v>0</v>
      </c>
      <c r="C278" s="52">
        <f>IF(Учет!$O278=Справочники!$F$3,Учет!$H278,0)</f>
        <v>0</v>
      </c>
      <c r="D278" s="52">
        <f>IF(Учет!$O278=Справочники!$F$4,Учет!$H278,0)</f>
        <v>0</v>
      </c>
      <c r="E278" s="52">
        <f>IF(Учет!$O278=Справочники!$F$5,Учет!$H278,0)</f>
        <v>0</v>
      </c>
      <c r="F278" s="52">
        <f>IF(Учет!$O278=Справочники!$F$6,Учет!$H278,0)</f>
        <v>0</v>
      </c>
      <c r="G278" s="43">
        <f>G277+Учет!B278-B278</f>
        <v>-488978.92000000004</v>
      </c>
      <c r="H278" s="43">
        <f>H277+Учет!C278-C278</f>
        <v>336855</v>
      </c>
      <c r="I278" s="43">
        <f>I277+Учет!D278-D278</f>
        <v>500</v>
      </c>
      <c r="J278" s="43">
        <f>J277+Учет!E278-E278</f>
        <v>1150</v>
      </c>
      <c r="K278" s="43">
        <f>K277+Учет!F278-F278</f>
        <v>500000</v>
      </c>
      <c r="L278" s="45">
        <f>Учет!I278</f>
        <v>349526.07999999996</v>
      </c>
    </row>
    <row r="279" spans="1:12" x14ac:dyDescent="0.25">
      <c r="A279" s="48" t="str">
        <f>IF(Учет!A279&lt;&gt;"",Учет!A279,"")</f>
        <v/>
      </c>
      <c r="B279" s="52">
        <f>IF(Учет!$O279=Справочники!$F$2,Учет!$H279,0)</f>
        <v>0</v>
      </c>
      <c r="C279" s="52">
        <f>IF(Учет!$O279=Справочники!$F$3,Учет!$H279,0)</f>
        <v>0</v>
      </c>
      <c r="D279" s="52">
        <f>IF(Учет!$O279=Справочники!$F$4,Учет!$H279,0)</f>
        <v>0</v>
      </c>
      <c r="E279" s="52">
        <f>IF(Учет!$O279=Справочники!$F$5,Учет!$H279,0)</f>
        <v>0</v>
      </c>
      <c r="F279" s="52">
        <f>IF(Учет!$O279=Справочники!$F$6,Учет!$H279,0)</f>
        <v>0</v>
      </c>
      <c r="G279" s="43">
        <f>G278+Учет!B279-B279</f>
        <v>-488978.92000000004</v>
      </c>
      <c r="H279" s="43">
        <f>H278+Учет!C279-C279</f>
        <v>336855</v>
      </c>
      <c r="I279" s="43">
        <f>I278+Учет!D279-D279</f>
        <v>500</v>
      </c>
      <c r="J279" s="43">
        <f>J278+Учет!E279-E279</f>
        <v>1150</v>
      </c>
      <c r="K279" s="43">
        <f>K278+Учет!F279-F279</f>
        <v>500000</v>
      </c>
      <c r="L279" s="45">
        <f>Учет!I279</f>
        <v>349526.07999999996</v>
      </c>
    </row>
    <row r="280" spans="1:12" x14ac:dyDescent="0.25">
      <c r="A280" s="48" t="str">
        <f>IF(Учет!A280&lt;&gt;"",Учет!A280,"")</f>
        <v/>
      </c>
      <c r="B280" s="52">
        <f>IF(Учет!$O280=Справочники!$F$2,Учет!$H280,0)</f>
        <v>0</v>
      </c>
      <c r="C280" s="52">
        <f>IF(Учет!$O280=Справочники!$F$3,Учет!$H280,0)</f>
        <v>0</v>
      </c>
      <c r="D280" s="52">
        <f>IF(Учет!$O280=Справочники!$F$4,Учет!$H280,0)</f>
        <v>0</v>
      </c>
      <c r="E280" s="52">
        <f>IF(Учет!$O280=Справочники!$F$5,Учет!$H280,0)</f>
        <v>0</v>
      </c>
      <c r="F280" s="52">
        <f>IF(Учет!$O280=Справочники!$F$6,Учет!$H280,0)</f>
        <v>0</v>
      </c>
      <c r="G280" s="43">
        <f>G279+Учет!B280-B280</f>
        <v>-488978.92000000004</v>
      </c>
      <c r="H280" s="43">
        <f>H279+Учет!C280-C280</f>
        <v>336855</v>
      </c>
      <c r="I280" s="43">
        <f>I279+Учет!D280-D280</f>
        <v>500</v>
      </c>
      <c r="J280" s="43">
        <f>J279+Учет!E280-E280</f>
        <v>1150</v>
      </c>
      <c r="K280" s="43">
        <f>K279+Учет!F280-F280</f>
        <v>500000</v>
      </c>
      <c r="L280" s="45">
        <f>Учет!I280</f>
        <v>349526.07999999996</v>
      </c>
    </row>
    <row r="281" spans="1:12" x14ac:dyDescent="0.25">
      <c r="A281" s="48" t="str">
        <f>IF(Учет!A281&lt;&gt;"",Учет!A281,"")</f>
        <v/>
      </c>
      <c r="B281" s="52">
        <f>IF(Учет!$O281=Справочники!$F$2,Учет!$H281,0)</f>
        <v>0</v>
      </c>
      <c r="C281" s="52">
        <f>IF(Учет!$O281=Справочники!$F$3,Учет!$H281,0)</f>
        <v>0</v>
      </c>
      <c r="D281" s="52">
        <f>IF(Учет!$O281=Справочники!$F$4,Учет!$H281,0)</f>
        <v>0</v>
      </c>
      <c r="E281" s="52">
        <f>IF(Учет!$O281=Справочники!$F$5,Учет!$H281,0)</f>
        <v>0</v>
      </c>
      <c r="F281" s="52">
        <f>IF(Учет!$O281=Справочники!$F$6,Учет!$H281,0)</f>
        <v>0</v>
      </c>
      <c r="G281" s="43">
        <f>G280+Учет!B281-B281</f>
        <v>-488978.92000000004</v>
      </c>
      <c r="H281" s="43">
        <f>H280+Учет!C281-C281</f>
        <v>336855</v>
      </c>
      <c r="I281" s="43">
        <f>I280+Учет!D281-D281</f>
        <v>500</v>
      </c>
      <c r="J281" s="43">
        <f>J280+Учет!E281-E281</f>
        <v>1150</v>
      </c>
      <c r="K281" s="43">
        <f>K280+Учет!F281-F281</f>
        <v>500000</v>
      </c>
      <c r="L281" s="45">
        <f>Учет!I281</f>
        <v>349526.07999999996</v>
      </c>
    </row>
    <row r="282" spans="1:12" x14ac:dyDescent="0.25">
      <c r="A282" s="48" t="str">
        <f>IF(Учет!A282&lt;&gt;"",Учет!A282,"")</f>
        <v/>
      </c>
      <c r="B282" s="52">
        <f>IF(Учет!$O282=Справочники!$F$2,Учет!$H282,0)</f>
        <v>0</v>
      </c>
      <c r="C282" s="52">
        <f>IF(Учет!$O282=Справочники!$F$3,Учет!$H282,0)</f>
        <v>0</v>
      </c>
      <c r="D282" s="52">
        <f>IF(Учет!$O282=Справочники!$F$4,Учет!$H282,0)</f>
        <v>0</v>
      </c>
      <c r="E282" s="52">
        <f>IF(Учет!$O282=Справочники!$F$5,Учет!$H282,0)</f>
        <v>0</v>
      </c>
      <c r="F282" s="52">
        <f>IF(Учет!$O282=Справочники!$F$6,Учет!$H282,0)</f>
        <v>0</v>
      </c>
      <c r="G282" s="43">
        <f>G281+Учет!B282-B282</f>
        <v>-488978.92000000004</v>
      </c>
      <c r="H282" s="43">
        <f>H281+Учет!C282-C282</f>
        <v>336855</v>
      </c>
      <c r="I282" s="43">
        <f>I281+Учет!D282-D282</f>
        <v>500</v>
      </c>
      <c r="J282" s="43">
        <f>J281+Учет!E282-E282</f>
        <v>1150</v>
      </c>
      <c r="K282" s="43">
        <f>K281+Учет!F282-F282</f>
        <v>500000</v>
      </c>
      <c r="L282" s="45">
        <f>Учет!I282</f>
        <v>349526.07999999996</v>
      </c>
    </row>
    <row r="283" spans="1:12" x14ac:dyDescent="0.25">
      <c r="A283" s="48" t="str">
        <f>IF(Учет!A283&lt;&gt;"",Учет!A283,"")</f>
        <v/>
      </c>
      <c r="B283" s="52">
        <f>IF(Учет!$O283=Справочники!$F$2,Учет!$H283,0)</f>
        <v>0</v>
      </c>
      <c r="C283" s="52">
        <f>IF(Учет!$O283=Справочники!$F$3,Учет!$H283,0)</f>
        <v>0</v>
      </c>
      <c r="D283" s="52">
        <f>IF(Учет!$O283=Справочники!$F$4,Учет!$H283,0)</f>
        <v>0</v>
      </c>
      <c r="E283" s="52">
        <f>IF(Учет!$O283=Справочники!$F$5,Учет!$H283,0)</f>
        <v>0</v>
      </c>
      <c r="F283" s="52">
        <f>IF(Учет!$O283=Справочники!$F$6,Учет!$H283,0)</f>
        <v>0</v>
      </c>
      <c r="G283" s="43">
        <f>G282+Учет!B283-B283</f>
        <v>-488978.92000000004</v>
      </c>
      <c r="H283" s="43">
        <f>H282+Учет!C283-C283</f>
        <v>336855</v>
      </c>
      <c r="I283" s="43">
        <f>I282+Учет!D283-D283</f>
        <v>500</v>
      </c>
      <c r="J283" s="43">
        <f>J282+Учет!E283-E283</f>
        <v>1150</v>
      </c>
      <c r="K283" s="43">
        <f>K282+Учет!F283-F283</f>
        <v>500000</v>
      </c>
      <c r="L283" s="45">
        <f>Учет!I283</f>
        <v>349526.07999999996</v>
      </c>
    </row>
    <row r="284" spans="1:12" x14ac:dyDescent="0.25">
      <c r="A284" s="48" t="str">
        <f>IF(Учет!A284&lt;&gt;"",Учет!A284,"")</f>
        <v/>
      </c>
      <c r="B284" s="52">
        <f>IF(Учет!$O284=Справочники!$F$2,Учет!$H284,0)</f>
        <v>0</v>
      </c>
      <c r="C284" s="52">
        <f>IF(Учет!$O284=Справочники!$F$3,Учет!$H284,0)</f>
        <v>0</v>
      </c>
      <c r="D284" s="52">
        <f>IF(Учет!$O284=Справочники!$F$4,Учет!$H284,0)</f>
        <v>0</v>
      </c>
      <c r="E284" s="52">
        <f>IF(Учет!$O284=Справочники!$F$5,Учет!$H284,0)</f>
        <v>0</v>
      </c>
      <c r="F284" s="52">
        <f>IF(Учет!$O284=Справочники!$F$6,Учет!$H284,0)</f>
        <v>0</v>
      </c>
      <c r="G284" s="43">
        <f>G283+Учет!B284-B284</f>
        <v>-488978.92000000004</v>
      </c>
      <c r="H284" s="43">
        <f>H283+Учет!C284-C284</f>
        <v>336855</v>
      </c>
      <c r="I284" s="43">
        <f>I283+Учет!D284-D284</f>
        <v>500</v>
      </c>
      <c r="J284" s="43">
        <f>J283+Учет!E284-E284</f>
        <v>1150</v>
      </c>
      <c r="K284" s="43">
        <f>K283+Учет!F284-F284</f>
        <v>500000</v>
      </c>
      <c r="L284" s="45">
        <f>Учет!I284</f>
        <v>349526.07999999996</v>
      </c>
    </row>
    <row r="285" spans="1:12" x14ac:dyDescent="0.25">
      <c r="A285" s="48" t="str">
        <f>IF(Учет!A285&lt;&gt;"",Учет!A285,"")</f>
        <v/>
      </c>
      <c r="B285" s="52">
        <f>IF(Учет!$O285=Справочники!$F$2,Учет!$H285,0)</f>
        <v>0</v>
      </c>
      <c r="C285" s="52">
        <f>IF(Учет!$O285=Справочники!$F$3,Учет!$H285,0)</f>
        <v>0</v>
      </c>
      <c r="D285" s="52">
        <f>IF(Учет!$O285=Справочники!$F$4,Учет!$H285,0)</f>
        <v>0</v>
      </c>
      <c r="E285" s="52">
        <f>IF(Учет!$O285=Справочники!$F$5,Учет!$H285,0)</f>
        <v>0</v>
      </c>
      <c r="F285" s="52">
        <f>IF(Учет!$O285=Справочники!$F$6,Учет!$H285,0)</f>
        <v>0</v>
      </c>
      <c r="G285" s="43">
        <f>G284+Учет!B285-B285</f>
        <v>-488978.92000000004</v>
      </c>
      <c r="H285" s="43">
        <f>H284+Учет!C285-C285</f>
        <v>336855</v>
      </c>
      <c r="I285" s="43">
        <f>I284+Учет!D285-D285</f>
        <v>500</v>
      </c>
      <c r="J285" s="43">
        <f>J284+Учет!E285-E285</f>
        <v>1150</v>
      </c>
      <c r="K285" s="43">
        <f>K284+Учет!F285-F285</f>
        <v>500000</v>
      </c>
      <c r="L285" s="45">
        <f>Учет!I285</f>
        <v>349526.07999999996</v>
      </c>
    </row>
    <row r="286" spans="1:12" x14ac:dyDescent="0.25">
      <c r="A286" s="48" t="str">
        <f>IF(Учет!A286&lt;&gt;"",Учет!A286,"")</f>
        <v/>
      </c>
      <c r="B286" s="52">
        <f>IF(Учет!$O286=Справочники!$F$2,Учет!$H286,0)</f>
        <v>0</v>
      </c>
      <c r="C286" s="52">
        <f>IF(Учет!$O286=Справочники!$F$3,Учет!$H286,0)</f>
        <v>0</v>
      </c>
      <c r="D286" s="52">
        <f>IF(Учет!$O286=Справочники!$F$4,Учет!$H286,0)</f>
        <v>0</v>
      </c>
      <c r="E286" s="52">
        <f>IF(Учет!$O286=Справочники!$F$5,Учет!$H286,0)</f>
        <v>0</v>
      </c>
      <c r="F286" s="52">
        <f>IF(Учет!$O286=Справочники!$F$6,Учет!$H286,0)</f>
        <v>0</v>
      </c>
      <c r="G286" s="43">
        <f>G285+Учет!B286-B286</f>
        <v>-488978.92000000004</v>
      </c>
      <c r="H286" s="43">
        <f>H285+Учет!C286-C286</f>
        <v>336855</v>
      </c>
      <c r="I286" s="43">
        <f>I285+Учет!D286-D286</f>
        <v>500</v>
      </c>
      <c r="J286" s="43">
        <f>J285+Учет!E286-E286</f>
        <v>1150</v>
      </c>
      <c r="K286" s="43">
        <f>K285+Учет!F286-F286</f>
        <v>500000</v>
      </c>
      <c r="L286" s="45">
        <f>Учет!I286</f>
        <v>349526.07999999996</v>
      </c>
    </row>
    <row r="287" spans="1:12" x14ac:dyDescent="0.25">
      <c r="A287" s="48" t="str">
        <f>IF(Учет!A287&lt;&gt;"",Учет!A287,"")</f>
        <v/>
      </c>
      <c r="B287" s="52">
        <f>IF(Учет!$O287=Справочники!$F$2,Учет!$H287,0)</f>
        <v>0</v>
      </c>
      <c r="C287" s="52">
        <f>IF(Учет!$O287=Справочники!$F$3,Учет!$H287,0)</f>
        <v>0</v>
      </c>
      <c r="D287" s="52">
        <f>IF(Учет!$O287=Справочники!$F$4,Учет!$H287,0)</f>
        <v>0</v>
      </c>
      <c r="E287" s="52">
        <f>IF(Учет!$O287=Справочники!$F$5,Учет!$H287,0)</f>
        <v>0</v>
      </c>
      <c r="F287" s="52">
        <f>IF(Учет!$O287=Справочники!$F$6,Учет!$H287,0)</f>
        <v>0</v>
      </c>
      <c r="G287" s="43">
        <f>G286+Учет!B287-B287</f>
        <v>-488978.92000000004</v>
      </c>
      <c r="H287" s="43">
        <f>H286+Учет!C287-C287</f>
        <v>336855</v>
      </c>
      <c r="I287" s="43">
        <f>I286+Учет!D287-D287</f>
        <v>500</v>
      </c>
      <c r="J287" s="43">
        <f>J286+Учет!E287-E287</f>
        <v>1150</v>
      </c>
      <c r="K287" s="43">
        <f>K286+Учет!F287-F287</f>
        <v>500000</v>
      </c>
      <c r="L287" s="45">
        <f>Учет!I287</f>
        <v>349526.07999999996</v>
      </c>
    </row>
    <row r="288" spans="1:12" x14ac:dyDescent="0.25">
      <c r="A288" s="48" t="str">
        <f>IF(Учет!A288&lt;&gt;"",Учет!A288,"")</f>
        <v/>
      </c>
      <c r="B288" s="52">
        <f>IF(Учет!$O288=Справочники!$F$2,Учет!$H288,0)</f>
        <v>0</v>
      </c>
      <c r="C288" s="52">
        <f>IF(Учет!$O288=Справочники!$F$3,Учет!$H288,0)</f>
        <v>0</v>
      </c>
      <c r="D288" s="52">
        <f>IF(Учет!$O288=Справочники!$F$4,Учет!$H288,0)</f>
        <v>0</v>
      </c>
      <c r="E288" s="52">
        <f>IF(Учет!$O288=Справочники!$F$5,Учет!$H288,0)</f>
        <v>0</v>
      </c>
      <c r="F288" s="52">
        <f>IF(Учет!$O288=Справочники!$F$6,Учет!$H288,0)</f>
        <v>0</v>
      </c>
      <c r="G288" s="43">
        <f>G287+Учет!B288-B288</f>
        <v>-488978.92000000004</v>
      </c>
      <c r="H288" s="43">
        <f>H287+Учет!C288-C288</f>
        <v>336855</v>
      </c>
      <c r="I288" s="43">
        <f>I287+Учет!D288-D288</f>
        <v>500</v>
      </c>
      <c r="J288" s="43">
        <f>J287+Учет!E288-E288</f>
        <v>1150</v>
      </c>
      <c r="K288" s="43">
        <f>K287+Учет!F288-F288</f>
        <v>500000</v>
      </c>
      <c r="L288" s="45">
        <f>Учет!I288</f>
        <v>349526.07999999996</v>
      </c>
    </row>
    <row r="289" spans="1:12" x14ac:dyDescent="0.25">
      <c r="A289" s="48" t="str">
        <f>IF(Учет!A289&lt;&gt;"",Учет!A289,"")</f>
        <v/>
      </c>
      <c r="B289" s="52">
        <f>IF(Учет!$O289=Справочники!$F$2,Учет!$H289,0)</f>
        <v>0</v>
      </c>
      <c r="C289" s="52">
        <f>IF(Учет!$O289=Справочники!$F$3,Учет!$H289,0)</f>
        <v>0</v>
      </c>
      <c r="D289" s="52">
        <f>IF(Учет!$O289=Справочники!$F$4,Учет!$H289,0)</f>
        <v>0</v>
      </c>
      <c r="E289" s="52">
        <f>IF(Учет!$O289=Справочники!$F$5,Учет!$H289,0)</f>
        <v>0</v>
      </c>
      <c r="F289" s="52">
        <f>IF(Учет!$O289=Справочники!$F$6,Учет!$H289,0)</f>
        <v>0</v>
      </c>
      <c r="G289" s="43">
        <f>G288+Учет!B289-B289</f>
        <v>-488978.92000000004</v>
      </c>
      <c r="H289" s="43">
        <f>H288+Учет!C289-C289</f>
        <v>336855</v>
      </c>
      <c r="I289" s="43">
        <f>I288+Учет!D289-D289</f>
        <v>500</v>
      </c>
      <c r="J289" s="43">
        <f>J288+Учет!E289-E289</f>
        <v>1150</v>
      </c>
      <c r="K289" s="43">
        <f>K288+Учет!F289-F289</f>
        <v>500000</v>
      </c>
      <c r="L289" s="45">
        <f>Учет!I289</f>
        <v>349526.07999999996</v>
      </c>
    </row>
    <row r="290" spans="1:12" x14ac:dyDescent="0.25">
      <c r="A290" s="48" t="str">
        <f>IF(Учет!A290&lt;&gt;"",Учет!A290,"")</f>
        <v/>
      </c>
      <c r="B290" s="52">
        <f>IF(Учет!$O290=Справочники!$F$2,Учет!$H290,0)</f>
        <v>0</v>
      </c>
      <c r="C290" s="52">
        <f>IF(Учет!$O290=Справочники!$F$3,Учет!$H290,0)</f>
        <v>0</v>
      </c>
      <c r="D290" s="52">
        <f>IF(Учет!$O290=Справочники!$F$4,Учет!$H290,0)</f>
        <v>0</v>
      </c>
      <c r="E290" s="52">
        <f>IF(Учет!$O290=Справочники!$F$5,Учет!$H290,0)</f>
        <v>0</v>
      </c>
      <c r="F290" s="52">
        <f>IF(Учет!$O290=Справочники!$F$6,Учет!$H290,0)</f>
        <v>0</v>
      </c>
      <c r="G290" s="43">
        <f>G289+Учет!B290-B290</f>
        <v>-488978.92000000004</v>
      </c>
      <c r="H290" s="43">
        <f>H289+Учет!C290-C290</f>
        <v>336855</v>
      </c>
      <c r="I290" s="43">
        <f>I289+Учет!D290-D290</f>
        <v>500</v>
      </c>
      <c r="J290" s="43">
        <f>J289+Учет!E290-E290</f>
        <v>1150</v>
      </c>
      <c r="K290" s="43">
        <f>K289+Учет!F290-F290</f>
        <v>500000</v>
      </c>
      <c r="L290" s="45">
        <f>Учет!I290</f>
        <v>349526.07999999996</v>
      </c>
    </row>
    <row r="291" spans="1:12" x14ac:dyDescent="0.25">
      <c r="A291" s="48" t="str">
        <f>IF(Учет!A291&lt;&gt;"",Учет!A291,"")</f>
        <v/>
      </c>
      <c r="B291" s="52">
        <f>IF(Учет!$O291=Справочники!$F$2,Учет!$H291,0)</f>
        <v>0</v>
      </c>
      <c r="C291" s="52">
        <f>IF(Учет!$O291=Справочники!$F$3,Учет!$H291,0)</f>
        <v>0</v>
      </c>
      <c r="D291" s="52">
        <f>IF(Учет!$O291=Справочники!$F$4,Учет!$H291,0)</f>
        <v>0</v>
      </c>
      <c r="E291" s="52">
        <f>IF(Учет!$O291=Справочники!$F$5,Учет!$H291,0)</f>
        <v>0</v>
      </c>
      <c r="F291" s="52">
        <f>IF(Учет!$O291=Справочники!$F$6,Учет!$H291,0)</f>
        <v>0</v>
      </c>
      <c r="G291" s="43">
        <f>G290+Учет!B291-B291</f>
        <v>-488978.92000000004</v>
      </c>
      <c r="H291" s="43">
        <f>H290+Учет!C291-C291</f>
        <v>336855</v>
      </c>
      <c r="I291" s="43">
        <f>I290+Учет!D291-D291</f>
        <v>500</v>
      </c>
      <c r="J291" s="43">
        <f>J290+Учет!E291-E291</f>
        <v>1150</v>
      </c>
      <c r="K291" s="43">
        <f>K290+Учет!F291-F291</f>
        <v>500000</v>
      </c>
      <c r="L291" s="45">
        <f>Учет!I291</f>
        <v>349526.07999999996</v>
      </c>
    </row>
    <row r="292" spans="1:12" x14ac:dyDescent="0.25">
      <c r="A292" s="48" t="str">
        <f>IF(Учет!A292&lt;&gt;"",Учет!A292,"")</f>
        <v/>
      </c>
      <c r="B292" s="52">
        <f>IF(Учет!$O292=Справочники!$F$2,Учет!$H292,0)</f>
        <v>0</v>
      </c>
      <c r="C292" s="52">
        <f>IF(Учет!$O292=Справочники!$F$3,Учет!$H292,0)</f>
        <v>0</v>
      </c>
      <c r="D292" s="52">
        <f>IF(Учет!$O292=Справочники!$F$4,Учет!$H292,0)</f>
        <v>0</v>
      </c>
      <c r="E292" s="52">
        <f>IF(Учет!$O292=Справочники!$F$5,Учет!$H292,0)</f>
        <v>0</v>
      </c>
      <c r="F292" s="52">
        <f>IF(Учет!$O292=Справочники!$F$6,Учет!$H292,0)</f>
        <v>0</v>
      </c>
      <c r="G292" s="43">
        <f>G291+Учет!B292-B292</f>
        <v>-488978.92000000004</v>
      </c>
      <c r="H292" s="43">
        <f>H291+Учет!C292-C292</f>
        <v>336855</v>
      </c>
      <c r="I292" s="43">
        <f>I291+Учет!D292-D292</f>
        <v>500</v>
      </c>
      <c r="J292" s="43">
        <f>J291+Учет!E292-E292</f>
        <v>1150</v>
      </c>
      <c r="K292" s="43">
        <f>K291+Учет!F292-F292</f>
        <v>500000</v>
      </c>
      <c r="L292" s="45">
        <f>Учет!I292</f>
        <v>349526.07999999996</v>
      </c>
    </row>
    <row r="293" spans="1:12" x14ac:dyDescent="0.25">
      <c r="A293" s="48" t="str">
        <f>IF(Учет!A293&lt;&gt;"",Учет!A293,"")</f>
        <v/>
      </c>
      <c r="B293" s="52">
        <f>IF(Учет!$O293=Справочники!$F$2,Учет!$H293,0)</f>
        <v>0</v>
      </c>
      <c r="C293" s="52">
        <f>IF(Учет!$O293=Справочники!$F$3,Учет!$H293,0)</f>
        <v>0</v>
      </c>
      <c r="D293" s="52">
        <f>IF(Учет!$O293=Справочники!$F$4,Учет!$H293,0)</f>
        <v>0</v>
      </c>
      <c r="E293" s="52">
        <f>IF(Учет!$O293=Справочники!$F$5,Учет!$H293,0)</f>
        <v>0</v>
      </c>
      <c r="F293" s="52">
        <f>IF(Учет!$O293=Справочники!$F$6,Учет!$H293,0)</f>
        <v>0</v>
      </c>
      <c r="G293" s="43">
        <f>G292+Учет!B293-B293</f>
        <v>-488978.92000000004</v>
      </c>
      <c r="H293" s="43">
        <f>H292+Учет!C293-C293</f>
        <v>336855</v>
      </c>
      <c r="I293" s="43">
        <f>I292+Учет!D293-D293</f>
        <v>500</v>
      </c>
      <c r="J293" s="43">
        <f>J292+Учет!E293-E293</f>
        <v>1150</v>
      </c>
      <c r="K293" s="43">
        <f>K292+Учет!F293-F293</f>
        <v>500000</v>
      </c>
      <c r="L293" s="45">
        <f>Учет!I293</f>
        <v>349526.07999999996</v>
      </c>
    </row>
    <row r="294" spans="1:12" x14ac:dyDescent="0.25">
      <c r="A294" s="48" t="str">
        <f>IF(Учет!A294&lt;&gt;"",Учет!A294,"")</f>
        <v/>
      </c>
      <c r="B294" s="52">
        <f>IF(Учет!$O294=Справочники!$F$2,Учет!$H294,0)</f>
        <v>0</v>
      </c>
      <c r="C294" s="52">
        <f>IF(Учет!$O294=Справочники!$F$3,Учет!$H294,0)</f>
        <v>0</v>
      </c>
      <c r="D294" s="52">
        <f>IF(Учет!$O294=Справочники!$F$4,Учет!$H294,0)</f>
        <v>0</v>
      </c>
      <c r="E294" s="52">
        <f>IF(Учет!$O294=Справочники!$F$5,Учет!$H294,0)</f>
        <v>0</v>
      </c>
      <c r="F294" s="52">
        <f>IF(Учет!$O294=Справочники!$F$6,Учет!$H294,0)</f>
        <v>0</v>
      </c>
      <c r="G294" s="43">
        <f>G293+Учет!B294-B294</f>
        <v>-488978.92000000004</v>
      </c>
      <c r="H294" s="43">
        <f>H293+Учет!C294-C294</f>
        <v>336855</v>
      </c>
      <c r="I294" s="43">
        <f>I293+Учет!D294-D294</f>
        <v>500</v>
      </c>
      <c r="J294" s="43">
        <f>J293+Учет!E294-E294</f>
        <v>1150</v>
      </c>
      <c r="K294" s="43">
        <f>K293+Учет!F294-F294</f>
        <v>500000</v>
      </c>
      <c r="L294" s="45">
        <f>Учет!I294</f>
        <v>349526.07999999996</v>
      </c>
    </row>
    <row r="295" spans="1:12" x14ac:dyDescent="0.25">
      <c r="A295" s="48" t="str">
        <f>IF(Учет!A295&lt;&gt;"",Учет!A295,"")</f>
        <v/>
      </c>
      <c r="B295" s="52">
        <f>IF(Учет!$O295=Справочники!$F$2,Учет!$H295,0)</f>
        <v>0</v>
      </c>
      <c r="C295" s="52">
        <f>IF(Учет!$O295=Справочники!$F$3,Учет!$H295,0)</f>
        <v>0</v>
      </c>
      <c r="D295" s="52">
        <f>IF(Учет!$O295=Справочники!$F$4,Учет!$H295,0)</f>
        <v>0</v>
      </c>
      <c r="E295" s="52">
        <f>IF(Учет!$O295=Справочники!$F$5,Учет!$H295,0)</f>
        <v>0</v>
      </c>
      <c r="F295" s="52">
        <f>IF(Учет!$O295=Справочники!$F$6,Учет!$H295,0)</f>
        <v>0</v>
      </c>
      <c r="G295" s="43">
        <f>G294+Учет!B295-B295</f>
        <v>-488978.92000000004</v>
      </c>
      <c r="H295" s="43">
        <f>H294+Учет!C295-C295</f>
        <v>336855</v>
      </c>
      <c r="I295" s="43">
        <f>I294+Учет!D295-D295</f>
        <v>500</v>
      </c>
      <c r="J295" s="43">
        <f>J294+Учет!E295-E295</f>
        <v>1150</v>
      </c>
      <c r="K295" s="43">
        <f>K294+Учет!F295-F295</f>
        <v>500000</v>
      </c>
      <c r="L295" s="45">
        <f>Учет!I295</f>
        <v>349526.07999999996</v>
      </c>
    </row>
    <row r="296" spans="1:12" x14ac:dyDescent="0.25">
      <c r="A296" s="48" t="str">
        <f>IF(Учет!A296&lt;&gt;"",Учет!A296,"")</f>
        <v/>
      </c>
      <c r="B296" s="52">
        <f>IF(Учет!$O296=Справочники!$F$2,Учет!$H296,0)</f>
        <v>0</v>
      </c>
      <c r="C296" s="52">
        <f>IF(Учет!$O296=Справочники!$F$3,Учет!$H296,0)</f>
        <v>0</v>
      </c>
      <c r="D296" s="52">
        <f>IF(Учет!$O296=Справочники!$F$4,Учет!$H296,0)</f>
        <v>0</v>
      </c>
      <c r="E296" s="52">
        <f>IF(Учет!$O296=Справочники!$F$5,Учет!$H296,0)</f>
        <v>0</v>
      </c>
      <c r="F296" s="52">
        <f>IF(Учет!$O296=Справочники!$F$6,Учет!$H296,0)</f>
        <v>0</v>
      </c>
      <c r="G296" s="43">
        <f>G295+Учет!B296-B296</f>
        <v>-488978.92000000004</v>
      </c>
      <c r="H296" s="43">
        <f>H295+Учет!C296-C296</f>
        <v>336855</v>
      </c>
      <c r="I296" s="43">
        <f>I295+Учет!D296-D296</f>
        <v>500</v>
      </c>
      <c r="J296" s="43">
        <f>J295+Учет!E296-E296</f>
        <v>1150</v>
      </c>
      <c r="K296" s="43">
        <f>K295+Учет!F296-F296</f>
        <v>500000</v>
      </c>
      <c r="L296" s="45">
        <f>Учет!I296</f>
        <v>349526.07999999996</v>
      </c>
    </row>
    <row r="297" spans="1:12" x14ac:dyDescent="0.25">
      <c r="A297" s="48" t="str">
        <f>IF(Учет!A297&lt;&gt;"",Учет!A297,"")</f>
        <v/>
      </c>
      <c r="B297" s="52">
        <f>IF(Учет!$O297=Справочники!$F$2,Учет!$H297,0)</f>
        <v>0</v>
      </c>
      <c r="C297" s="52">
        <f>IF(Учет!$O297=Справочники!$F$3,Учет!$H297,0)</f>
        <v>0</v>
      </c>
      <c r="D297" s="52">
        <f>IF(Учет!$O297=Справочники!$F$4,Учет!$H297,0)</f>
        <v>0</v>
      </c>
      <c r="E297" s="52">
        <f>IF(Учет!$O297=Справочники!$F$5,Учет!$H297,0)</f>
        <v>0</v>
      </c>
      <c r="F297" s="52">
        <f>IF(Учет!$O297=Справочники!$F$6,Учет!$H297,0)</f>
        <v>0</v>
      </c>
      <c r="G297" s="43">
        <f>G296+Учет!B297-B297</f>
        <v>-488978.92000000004</v>
      </c>
      <c r="H297" s="43">
        <f>H296+Учет!C297-C297</f>
        <v>336855</v>
      </c>
      <c r="I297" s="43">
        <f>I296+Учет!D297-D297</f>
        <v>500</v>
      </c>
      <c r="J297" s="43">
        <f>J296+Учет!E297-E297</f>
        <v>1150</v>
      </c>
      <c r="K297" s="43">
        <f>K296+Учет!F297-F297</f>
        <v>500000</v>
      </c>
      <c r="L297" s="45">
        <f>Учет!I297</f>
        <v>349526.07999999996</v>
      </c>
    </row>
    <row r="298" spans="1:12" x14ac:dyDescent="0.25">
      <c r="A298" s="48" t="str">
        <f>IF(Учет!A298&lt;&gt;"",Учет!A298,"")</f>
        <v/>
      </c>
      <c r="B298" s="52">
        <f>IF(Учет!$O298=Справочники!$F$2,Учет!$H298,0)</f>
        <v>0</v>
      </c>
      <c r="C298" s="52">
        <f>IF(Учет!$O298=Справочники!$F$3,Учет!$H298,0)</f>
        <v>0</v>
      </c>
      <c r="D298" s="52">
        <f>IF(Учет!$O298=Справочники!$F$4,Учет!$H298,0)</f>
        <v>0</v>
      </c>
      <c r="E298" s="52">
        <f>IF(Учет!$O298=Справочники!$F$5,Учет!$H298,0)</f>
        <v>0</v>
      </c>
      <c r="F298" s="52">
        <f>IF(Учет!$O298=Справочники!$F$6,Учет!$H298,0)</f>
        <v>0</v>
      </c>
      <c r="G298" s="43">
        <f>G297+Учет!B298-B298</f>
        <v>-488978.92000000004</v>
      </c>
      <c r="H298" s="43">
        <f>H297+Учет!C298-C298</f>
        <v>336855</v>
      </c>
      <c r="I298" s="43">
        <f>I297+Учет!D298-D298</f>
        <v>500</v>
      </c>
      <c r="J298" s="43">
        <f>J297+Учет!E298-E298</f>
        <v>1150</v>
      </c>
      <c r="K298" s="43">
        <f>K297+Учет!F298-F298</f>
        <v>500000</v>
      </c>
      <c r="L298" s="45">
        <f>Учет!I298</f>
        <v>349526.07999999996</v>
      </c>
    </row>
    <row r="299" spans="1:12" x14ac:dyDescent="0.25">
      <c r="A299" s="48" t="str">
        <f>IF(Учет!A299&lt;&gt;"",Учет!A299,"")</f>
        <v/>
      </c>
      <c r="B299" s="52">
        <f>IF(Учет!$O299=Справочники!$F$2,Учет!$H299,0)</f>
        <v>0</v>
      </c>
      <c r="C299" s="52">
        <f>IF(Учет!$O299=Справочники!$F$3,Учет!$H299,0)</f>
        <v>0</v>
      </c>
      <c r="D299" s="52">
        <f>IF(Учет!$O299=Справочники!$F$4,Учет!$H299,0)</f>
        <v>0</v>
      </c>
      <c r="E299" s="52">
        <f>IF(Учет!$O299=Справочники!$F$5,Учет!$H299,0)</f>
        <v>0</v>
      </c>
      <c r="F299" s="52">
        <f>IF(Учет!$O299=Справочники!$F$6,Учет!$H299,0)</f>
        <v>0</v>
      </c>
      <c r="G299" s="43">
        <f>G298+Учет!B299-B299</f>
        <v>-488978.92000000004</v>
      </c>
      <c r="H299" s="43">
        <f>H298+Учет!C299-C299</f>
        <v>336855</v>
      </c>
      <c r="I299" s="43">
        <f>I298+Учет!D299-D299</f>
        <v>500</v>
      </c>
      <c r="J299" s="43">
        <f>J298+Учет!E299-E299</f>
        <v>1150</v>
      </c>
      <c r="K299" s="43">
        <f>K298+Учет!F299-F299</f>
        <v>500000</v>
      </c>
      <c r="L299" s="45">
        <f>Учет!I299</f>
        <v>349526.07999999996</v>
      </c>
    </row>
    <row r="300" spans="1:12" x14ac:dyDescent="0.25">
      <c r="A300" s="48" t="str">
        <f>IF(Учет!A300&lt;&gt;"",Учет!A300,"")</f>
        <v/>
      </c>
      <c r="B300" s="52">
        <f>IF(Учет!$O300=Справочники!$F$2,Учет!$H300,0)</f>
        <v>0</v>
      </c>
      <c r="C300" s="52">
        <f>IF(Учет!$O300=Справочники!$F$3,Учет!$H300,0)</f>
        <v>0</v>
      </c>
      <c r="D300" s="52">
        <f>IF(Учет!$O300=Справочники!$F$4,Учет!$H300,0)</f>
        <v>0</v>
      </c>
      <c r="E300" s="52">
        <f>IF(Учет!$O300=Справочники!$F$5,Учет!$H300,0)</f>
        <v>0</v>
      </c>
      <c r="F300" s="52">
        <f>IF(Учет!$O300=Справочники!$F$6,Учет!$H300,0)</f>
        <v>0</v>
      </c>
      <c r="G300" s="43">
        <f>G299+Учет!B300-B300</f>
        <v>-488978.92000000004</v>
      </c>
      <c r="H300" s="43">
        <f>H299+Учет!C300-C300</f>
        <v>336855</v>
      </c>
      <c r="I300" s="43">
        <f>I299+Учет!D300-D300</f>
        <v>500</v>
      </c>
      <c r="J300" s="43">
        <f>J299+Учет!E300-E300</f>
        <v>1150</v>
      </c>
      <c r="K300" s="43">
        <f>K299+Учет!F300-F300</f>
        <v>500000</v>
      </c>
      <c r="L300" s="45">
        <f>Учет!I300</f>
        <v>349526.07999999996</v>
      </c>
    </row>
    <row r="301" spans="1:12" x14ac:dyDescent="0.25">
      <c r="A301" s="48" t="str">
        <f>IF(Учет!A301&lt;&gt;"",Учет!A301,"")</f>
        <v/>
      </c>
      <c r="B301" s="52">
        <f>IF(Учет!$O301=Справочники!$F$2,Учет!$H301,0)</f>
        <v>0</v>
      </c>
      <c r="C301" s="52">
        <f>IF(Учет!$O301=Справочники!$F$3,Учет!$H301,0)</f>
        <v>0</v>
      </c>
      <c r="D301" s="52">
        <f>IF(Учет!$O301=Справочники!$F$4,Учет!$H301,0)</f>
        <v>0</v>
      </c>
      <c r="E301" s="52">
        <f>IF(Учет!$O301=Справочники!$F$5,Учет!$H301,0)</f>
        <v>0</v>
      </c>
      <c r="F301" s="52">
        <f>IF(Учет!$O301=Справочники!$F$6,Учет!$H301,0)</f>
        <v>0</v>
      </c>
      <c r="G301" s="43">
        <f>G300+Учет!B301-B301</f>
        <v>-488978.92000000004</v>
      </c>
      <c r="H301" s="43">
        <f>H300+Учет!C301-C301</f>
        <v>336855</v>
      </c>
      <c r="I301" s="43">
        <f>I300+Учет!D301-D301</f>
        <v>500</v>
      </c>
      <c r="J301" s="43">
        <f>J300+Учет!E301-E301</f>
        <v>1150</v>
      </c>
      <c r="K301" s="43">
        <f>K300+Учет!F301-F301</f>
        <v>500000</v>
      </c>
      <c r="L301" s="45">
        <f>Учет!I301</f>
        <v>349526.07999999996</v>
      </c>
    </row>
    <row r="302" spans="1:12" x14ac:dyDescent="0.25">
      <c r="A302" s="48" t="str">
        <f>IF(Учет!A302&lt;&gt;"",Учет!A302,"")</f>
        <v/>
      </c>
      <c r="B302" s="52">
        <f>IF(Учет!$O302=Справочники!$F$2,Учет!$H302,0)</f>
        <v>0</v>
      </c>
      <c r="C302" s="52">
        <f>IF(Учет!$O302=Справочники!$F$3,Учет!$H302,0)</f>
        <v>0</v>
      </c>
      <c r="D302" s="52">
        <f>IF(Учет!$O302=Справочники!$F$4,Учет!$H302,0)</f>
        <v>0</v>
      </c>
      <c r="E302" s="52">
        <f>IF(Учет!$O302=Справочники!$F$5,Учет!$H302,0)</f>
        <v>0</v>
      </c>
      <c r="F302" s="52">
        <f>IF(Учет!$O302=Справочники!$F$6,Учет!$H302,0)</f>
        <v>0</v>
      </c>
      <c r="G302" s="43">
        <f>G301+Учет!B302-B302</f>
        <v>-488978.92000000004</v>
      </c>
      <c r="H302" s="43">
        <f>H301+Учет!C302-C302</f>
        <v>336855</v>
      </c>
      <c r="I302" s="43">
        <f>I301+Учет!D302-D302</f>
        <v>500</v>
      </c>
      <c r="J302" s="43">
        <f>J301+Учет!E302-E302</f>
        <v>1150</v>
      </c>
      <c r="K302" s="43">
        <f>K301+Учет!F302-F302</f>
        <v>500000</v>
      </c>
      <c r="L302" s="45">
        <f>Учет!I302</f>
        <v>349526.07999999996</v>
      </c>
    </row>
    <row r="303" spans="1:12" x14ac:dyDescent="0.25">
      <c r="A303" s="48" t="str">
        <f>IF(Учет!A303&lt;&gt;"",Учет!A303,"")</f>
        <v/>
      </c>
      <c r="B303" s="52">
        <f>IF(Учет!$O303=Справочники!$F$2,Учет!$H303,0)</f>
        <v>0</v>
      </c>
      <c r="C303" s="52">
        <f>IF(Учет!$O303=Справочники!$F$3,Учет!$H303,0)</f>
        <v>0</v>
      </c>
      <c r="D303" s="52">
        <f>IF(Учет!$O303=Справочники!$F$4,Учет!$H303,0)</f>
        <v>0</v>
      </c>
      <c r="E303" s="52">
        <f>IF(Учет!$O303=Справочники!$F$5,Учет!$H303,0)</f>
        <v>0</v>
      </c>
      <c r="F303" s="52">
        <f>IF(Учет!$O303=Справочники!$F$6,Учет!$H303,0)</f>
        <v>0</v>
      </c>
      <c r="G303" s="43">
        <f>G302+Учет!B303-B303</f>
        <v>-488978.92000000004</v>
      </c>
      <c r="H303" s="43">
        <f>H302+Учет!C303-C303</f>
        <v>336855</v>
      </c>
      <c r="I303" s="43">
        <f>I302+Учет!D303-D303</f>
        <v>500</v>
      </c>
      <c r="J303" s="43">
        <f>J302+Учет!E303-E303</f>
        <v>1150</v>
      </c>
      <c r="K303" s="43">
        <f>K302+Учет!F303-F303</f>
        <v>500000</v>
      </c>
      <c r="L303" s="45">
        <f>Учет!I303</f>
        <v>349526.07999999996</v>
      </c>
    </row>
    <row r="304" spans="1:12" x14ac:dyDescent="0.25">
      <c r="A304" s="48" t="str">
        <f>IF(Учет!A304&lt;&gt;"",Учет!A304,"")</f>
        <v/>
      </c>
      <c r="B304" s="52">
        <f>IF(Учет!$O304=Справочники!$F$2,Учет!$H304,0)</f>
        <v>0</v>
      </c>
      <c r="C304" s="52">
        <f>IF(Учет!$O304=Справочники!$F$3,Учет!$H304,0)</f>
        <v>0</v>
      </c>
      <c r="D304" s="52">
        <f>IF(Учет!$O304=Справочники!$F$4,Учет!$H304,0)</f>
        <v>0</v>
      </c>
      <c r="E304" s="52">
        <f>IF(Учет!$O304=Справочники!$F$5,Учет!$H304,0)</f>
        <v>0</v>
      </c>
      <c r="F304" s="52">
        <f>IF(Учет!$O304=Справочники!$F$6,Учет!$H304,0)</f>
        <v>0</v>
      </c>
      <c r="G304" s="43">
        <f>G303+Учет!B304-B304</f>
        <v>-488978.92000000004</v>
      </c>
      <c r="H304" s="43">
        <f>H303+Учет!C304-C304</f>
        <v>336855</v>
      </c>
      <c r="I304" s="43">
        <f>I303+Учет!D304-D304</f>
        <v>500</v>
      </c>
      <c r="J304" s="43">
        <f>J303+Учет!E304-E304</f>
        <v>1150</v>
      </c>
      <c r="K304" s="43">
        <f>K303+Учет!F304-F304</f>
        <v>500000</v>
      </c>
      <c r="L304" s="45">
        <f>Учет!I304</f>
        <v>349526.07999999996</v>
      </c>
    </row>
    <row r="305" spans="1:12" x14ac:dyDescent="0.25">
      <c r="A305" s="48" t="str">
        <f>IF(Учет!A305&lt;&gt;"",Учет!A305,"")</f>
        <v/>
      </c>
      <c r="B305" s="52">
        <f>IF(Учет!$O305=Справочники!$F$2,Учет!$H305,0)</f>
        <v>0</v>
      </c>
      <c r="C305" s="52">
        <f>IF(Учет!$O305=Справочники!$F$3,Учет!$H305,0)</f>
        <v>0</v>
      </c>
      <c r="D305" s="52">
        <f>IF(Учет!$O305=Справочники!$F$4,Учет!$H305,0)</f>
        <v>0</v>
      </c>
      <c r="E305" s="52">
        <f>IF(Учет!$O305=Справочники!$F$5,Учет!$H305,0)</f>
        <v>0</v>
      </c>
      <c r="F305" s="52">
        <f>IF(Учет!$O305=Справочники!$F$6,Учет!$H305,0)</f>
        <v>0</v>
      </c>
      <c r="G305" s="43">
        <f>G304+Учет!B305-B305</f>
        <v>-488978.92000000004</v>
      </c>
      <c r="H305" s="43">
        <f>H304+Учет!C305-C305</f>
        <v>336855</v>
      </c>
      <c r="I305" s="43">
        <f>I304+Учет!D305-D305</f>
        <v>500</v>
      </c>
      <c r="J305" s="43">
        <f>J304+Учет!E305-E305</f>
        <v>1150</v>
      </c>
      <c r="K305" s="43">
        <f>K304+Учет!F305-F305</f>
        <v>500000</v>
      </c>
      <c r="L305" s="45">
        <f>Учет!I305</f>
        <v>349526.07999999996</v>
      </c>
    </row>
    <row r="306" spans="1:12" x14ac:dyDescent="0.25">
      <c r="A306" s="48" t="str">
        <f>IF(Учет!A306&lt;&gt;"",Учет!A306,"")</f>
        <v/>
      </c>
      <c r="B306" s="52">
        <f>IF(Учет!$O306=Справочники!$F$2,Учет!$H306,0)</f>
        <v>0</v>
      </c>
      <c r="C306" s="52">
        <f>IF(Учет!$O306=Справочники!$F$3,Учет!$H306,0)</f>
        <v>0</v>
      </c>
      <c r="D306" s="52">
        <f>IF(Учет!$O306=Справочники!$F$4,Учет!$H306,0)</f>
        <v>0</v>
      </c>
      <c r="E306" s="52">
        <f>IF(Учет!$O306=Справочники!$F$5,Учет!$H306,0)</f>
        <v>0</v>
      </c>
      <c r="F306" s="52">
        <f>IF(Учет!$O306=Справочники!$F$6,Учет!$H306,0)</f>
        <v>0</v>
      </c>
      <c r="G306" s="43">
        <f>G305+Учет!B306-B306</f>
        <v>-488978.92000000004</v>
      </c>
      <c r="H306" s="43">
        <f>H305+Учет!C306-C306</f>
        <v>336855</v>
      </c>
      <c r="I306" s="43">
        <f>I305+Учет!D306-D306</f>
        <v>500</v>
      </c>
      <c r="J306" s="43">
        <f>J305+Учет!E306-E306</f>
        <v>1150</v>
      </c>
      <c r="K306" s="43">
        <f>K305+Учет!F306-F306</f>
        <v>500000</v>
      </c>
      <c r="L306" s="45">
        <f>Учет!I306</f>
        <v>349526.07999999996</v>
      </c>
    </row>
    <row r="307" spans="1:12" x14ac:dyDescent="0.25">
      <c r="A307" s="48" t="str">
        <f>IF(Учет!A307&lt;&gt;"",Учет!A307,"")</f>
        <v/>
      </c>
      <c r="B307" s="52">
        <f>IF(Учет!$O307=Справочники!$F$2,Учет!$H307,0)</f>
        <v>0</v>
      </c>
      <c r="C307" s="52">
        <f>IF(Учет!$O307=Справочники!$F$3,Учет!$H307,0)</f>
        <v>0</v>
      </c>
      <c r="D307" s="52">
        <f>IF(Учет!$O307=Справочники!$F$4,Учет!$H307,0)</f>
        <v>0</v>
      </c>
      <c r="E307" s="52">
        <f>IF(Учет!$O307=Справочники!$F$5,Учет!$H307,0)</f>
        <v>0</v>
      </c>
      <c r="F307" s="52">
        <f>IF(Учет!$O307=Справочники!$F$6,Учет!$H307,0)</f>
        <v>0</v>
      </c>
      <c r="G307" s="43">
        <f>G306+Учет!B307-B307</f>
        <v>-488978.92000000004</v>
      </c>
      <c r="H307" s="43">
        <f>H306+Учет!C307-C307</f>
        <v>336855</v>
      </c>
      <c r="I307" s="43">
        <f>I306+Учет!D307-D307</f>
        <v>500</v>
      </c>
      <c r="J307" s="43">
        <f>J306+Учет!E307-E307</f>
        <v>1150</v>
      </c>
      <c r="K307" s="43">
        <f>K306+Учет!F307-F307</f>
        <v>500000</v>
      </c>
      <c r="L307" s="45">
        <f>Учет!I307</f>
        <v>349526.07999999996</v>
      </c>
    </row>
    <row r="308" spans="1:12" x14ac:dyDescent="0.25">
      <c r="A308" s="48" t="str">
        <f>IF(Учет!A308&lt;&gt;"",Учет!A308,"")</f>
        <v/>
      </c>
      <c r="B308" s="52">
        <f>IF(Учет!$O308=Справочники!$F$2,Учет!$H308,0)</f>
        <v>0</v>
      </c>
      <c r="C308" s="52">
        <f>IF(Учет!$O308=Справочники!$F$3,Учет!$H308,0)</f>
        <v>0</v>
      </c>
      <c r="D308" s="52">
        <f>IF(Учет!$O308=Справочники!$F$4,Учет!$H308,0)</f>
        <v>0</v>
      </c>
      <c r="E308" s="52">
        <f>IF(Учет!$O308=Справочники!$F$5,Учет!$H308,0)</f>
        <v>0</v>
      </c>
      <c r="F308" s="52">
        <f>IF(Учет!$O308=Справочники!$F$6,Учет!$H308,0)</f>
        <v>0</v>
      </c>
      <c r="G308" s="43">
        <f>G307+Учет!B308-B308</f>
        <v>-488978.92000000004</v>
      </c>
      <c r="H308" s="43">
        <f>H307+Учет!C308-C308</f>
        <v>336855</v>
      </c>
      <c r="I308" s="43">
        <f>I307+Учет!D308-D308</f>
        <v>500</v>
      </c>
      <c r="J308" s="43">
        <f>J307+Учет!E308-E308</f>
        <v>1150</v>
      </c>
      <c r="K308" s="43">
        <f>K307+Учет!F308-F308</f>
        <v>500000</v>
      </c>
      <c r="L308" s="45">
        <f>Учет!I308</f>
        <v>349526.07999999996</v>
      </c>
    </row>
    <row r="309" spans="1:12" x14ac:dyDescent="0.25">
      <c r="A309" s="48" t="str">
        <f>IF(Учет!A309&lt;&gt;"",Учет!A309,"")</f>
        <v/>
      </c>
      <c r="B309" s="52">
        <f>IF(Учет!$O309=Справочники!$F$2,Учет!$H309,0)</f>
        <v>0</v>
      </c>
      <c r="C309" s="52">
        <f>IF(Учет!$O309=Справочники!$F$3,Учет!$H309,0)</f>
        <v>0</v>
      </c>
      <c r="D309" s="52">
        <f>IF(Учет!$O309=Справочники!$F$4,Учет!$H309,0)</f>
        <v>0</v>
      </c>
      <c r="E309" s="52">
        <f>IF(Учет!$O309=Справочники!$F$5,Учет!$H309,0)</f>
        <v>0</v>
      </c>
      <c r="F309" s="52">
        <f>IF(Учет!$O309=Справочники!$F$6,Учет!$H309,0)</f>
        <v>0</v>
      </c>
      <c r="G309" s="43">
        <f>G308+Учет!B309-B309</f>
        <v>-488978.92000000004</v>
      </c>
      <c r="H309" s="43">
        <f>H308+Учет!C309-C309</f>
        <v>336855</v>
      </c>
      <c r="I309" s="43">
        <f>I308+Учет!D309-D309</f>
        <v>500</v>
      </c>
      <c r="J309" s="43">
        <f>J308+Учет!E309-E309</f>
        <v>1150</v>
      </c>
      <c r="K309" s="43">
        <f>K308+Учет!F309-F309</f>
        <v>500000</v>
      </c>
      <c r="L309" s="45">
        <f>Учет!I309</f>
        <v>349526.07999999996</v>
      </c>
    </row>
    <row r="310" spans="1:12" x14ac:dyDescent="0.25">
      <c r="A310" s="48" t="str">
        <f>IF(Учет!A310&lt;&gt;"",Учет!A310,"")</f>
        <v/>
      </c>
      <c r="B310" s="52">
        <f>IF(Учет!$O310=Справочники!$F$2,Учет!$H310,0)</f>
        <v>0</v>
      </c>
      <c r="C310" s="52">
        <f>IF(Учет!$O310=Справочники!$F$3,Учет!$H310,0)</f>
        <v>0</v>
      </c>
      <c r="D310" s="52">
        <f>IF(Учет!$O310=Справочники!$F$4,Учет!$H310,0)</f>
        <v>0</v>
      </c>
      <c r="E310" s="52">
        <f>IF(Учет!$O310=Справочники!$F$5,Учет!$H310,0)</f>
        <v>0</v>
      </c>
      <c r="F310" s="52">
        <f>IF(Учет!$O310=Справочники!$F$6,Учет!$H310,0)</f>
        <v>0</v>
      </c>
      <c r="G310" s="43">
        <f>G309+Учет!B310-B310</f>
        <v>-488978.92000000004</v>
      </c>
      <c r="H310" s="43">
        <f>H309+Учет!C310-C310</f>
        <v>336855</v>
      </c>
      <c r="I310" s="43">
        <f>I309+Учет!D310-D310</f>
        <v>500</v>
      </c>
      <c r="J310" s="43">
        <f>J309+Учет!E310-E310</f>
        <v>1150</v>
      </c>
      <c r="K310" s="43">
        <f>K309+Учет!F310-F310</f>
        <v>500000</v>
      </c>
      <c r="L310" s="45">
        <f>Учет!I310</f>
        <v>349526.07999999996</v>
      </c>
    </row>
    <row r="311" spans="1:12" x14ac:dyDescent="0.25">
      <c r="A311" s="48" t="str">
        <f>IF(Учет!A311&lt;&gt;"",Учет!A311,"")</f>
        <v/>
      </c>
      <c r="B311" s="52">
        <f>IF(Учет!$O311=Справочники!$F$2,Учет!$H311,0)</f>
        <v>0</v>
      </c>
      <c r="C311" s="52">
        <f>IF(Учет!$O311=Справочники!$F$3,Учет!$H311,0)</f>
        <v>0</v>
      </c>
      <c r="D311" s="52">
        <f>IF(Учет!$O311=Справочники!$F$4,Учет!$H311,0)</f>
        <v>0</v>
      </c>
      <c r="E311" s="52">
        <f>IF(Учет!$O311=Справочники!$F$5,Учет!$H311,0)</f>
        <v>0</v>
      </c>
      <c r="F311" s="52">
        <f>IF(Учет!$O311=Справочники!$F$6,Учет!$H311,0)</f>
        <v>0</v>
      </c>
      <c r="G311" s="43">
        <f>G310+Учет!B311-B311</f>
        <v>-488978.92000000004</v>
      </c>
      <c r="H311" s="43">
        <f>H310+Учет!C311-C311</f>
        <v>336855</v>
      </c>
      <c r="I311" s="43">
        <f>I310+Учет!D311-D311</f>
        <v>500</v>
      </c>
      <c r="J311" s="43">
        <f>J310+Учет!E311-E311</f>
        <v>1150</v>
      </c>
      <c r="K311" s="43">
        <f>K310+Учет!F311-F311</f>
        <v>500000</v>
      </c>
      <c r="L311" s="45">
        <f>Учет!I311</f>
        <v>349526.07999999996</v>
      </c>
    </row>
    <row r="312" spans="1:12" x14ac:dyDescent="0.25">
      <c r="A312" s="48" t="str">
        <f>IF(Учет!A312&lt;&gt;"",Учет!A312,"")</f>
        <v/>
      </c>
      <c r="B312" s="52">
        <f>IF(Учет!$O312=Справочники!$F$2,Учет!$H312,0)</f>
        <v>0</v>
      </c>
      <c r="C312" s="52">
        <f>IF(Учет!$O312=Справочники!$F$3,Учет!$H312,0)</f>
        <v>0</v>
      </c>
      <c r="D312" s="52">
        <f>IF(Учет!$O312=Справочники!$F$4,Учет!$H312,0)</f>
        <v>0</v>
      </c>
      <c r="E312" s="52">
        <f>IF(Учет!$O312=Справочники!$F$5,Учет!$H312,0)</f>
        <v>0</v>
      </c>
      <c r="F312" s="52">
        <f>IF(Учет!$O312=Справочники!$F$6,Учет!$H312,0)</f>
        <v>0</v>
      </c>
      <c r="G312" s="43">
        <f>G311+Учет!B312-B312</f>
        <v>-488978.92000000004</v>
      </c>
      <c r="H312" s="43">
        <f>H311+Учет!C312-C312</f>
        <v>336855</v>
      </c>
      <c r="I312" s="43">
        <f>I311+Учет!D312-D312</f>
        <v>500</v>
      </c>
      <c r="J312" s="43">
        <f>J311+Учет!E312-E312</f>
        <v>1150</v>
      </c>
      <c r="K312" s="43">
        <f>K311+Учет!F312-F312</f>
        <v>500000</v>
      </c>
      <c r="L312" s="45">
        <f>Учет!I312</f>
        <v>349526.07999999996</v>
      </c>
    </row>
    <row r="313" spans="1:12" x14ac:dyDescent="0.25">
      <c r="A313" s="48" t="str">
        <f>IF(Учет!A313&lt;&gt;"",Учет!A313,"")</f>
        <v/>
      </c>
      <c r="B313" s="52">
        <f>IF(Учет!$O313=Справочники!$F$2,Учет!$H313,0)</f>
        <v>0</v>
      </c>
      <c r="C313" s="52">
        <f>IF(Учет!$O313=Справочники!$F$3,Учет!$H313,0)</f>
        <v>0</v>
      </c>
      <c r="D313" s="52">
        <f>IF(Учет!$O313=Справочники!$F$4,Учет!$H313,0)</f>
        <v>0</v>
      </c>
      <c r="E313" s="52">
        <f>IF(Учет!$O313=Справочники!$F$5,Учет!$H313,0)</f>
        <v>0</v>
      </c>
      <c r="F313" s="52">
        <f>IF(Учет!$O313=Справочники!$F$6,Учет!$H313,0)</f>
        <v>0</v>
      </c>
      <c r="G313" s="43">
        <f>G312+Учет!B313-B313</f>
        <v>-488978.92000000004</v>
      </c>
      <c r="H313" s="43">
        <f>H312+Учет!C313-C313</f>
        <v>336855</v>
      </c>
      <c r="I313" s="43">
        <f>I312+Учет!D313-D313</f>
        <v>500</v>
      </c>
      <c r="J313" s="43">
        <f>J312+Учет!E313-E313</f>
        <v>1150</v>
      </c>
      <c r="K313" s="43">
        <f>K312+Учет!F313-F313</f>
        <v>500000</v>
      </c>
      <c r="L313" s="45">
        <f>Учет!I313</f>
        <v>349526.07999999996</v>
      </c>
    </row>
    <row r="314" spans="1:12" x14ac:dyDescent="0.25">
      <c r="A314" s="48" t="str">
        <f>IF(Учет!A314&lt;&gt;"",Учет!A314,"")</f>
        <v/>
      </c>
      <c r="B314" s="52">
        <f>IF(Учет!$O314=Справочники!$F$2,Учет!$H314,0)</f>
        <v>0</v>
      </c>
      <c r="C314" s="52">
        <f>IF(Учет!$O314=Справочники!$F$3,Учет!$H314,0)</f>
        <v>0</v>
      </c>
      <c r="D314" s="52">
        <f>IF(Учет!$O314=Справочники!$F$4,Учет!$H314,0)</f>
        <v>0</v>
      </c>
      <c r="E314" s="52">
        <f>IF(Учет!$O314=Справочники!$F$5,Учет!$H314,0)</f>
        <v>0</v>
      </c>
      <c r="F314" s="52">
        <f>IF(Учет!$O314=Справочники!$F$6,Учет!$H314,0)</f>
        <v>0</v>
      </c>
      <c r="G314" s="43">
        <f>G313+Учет!B314-B314</f>
        <v>-488978.92000000004</v>
      </c>
      <c r="H314" s="43">
        <f>H313+Учет!C314-C314</f>
        <v>336855</v>
      </c>
      <c r="I314" s="43">
        <f>I313+Учет!D314-D314</f>
        <v>500</v>
      </c>
      <c r="J314" s="43">
        <f>J313+Учет!E314-E314</f>
        <v>1150</v>
      </c>
      <c r="K314" s="43">
        <f>K313+Учет!F314-F314</f>
        <v>500000</v>
      </c>
      <c r="L314" s="45">
        <f>Учет!I314</f>
        <v>349526.07999999996</v>
      </c>
    </row>
    <row r="315" spans="1:12" x14ac:dyDescent="0.25">
      <c r="A315" s="48" t="str">
        <f>IF(Учет!A315&lt;&gt;"",Учет!A315,"")</f>
        <v/>
      </c>
      <c r="B315" s="52">
        <f>IF(Учет!$O315=Справочники!$F$2,Учет!$H315,0)</f>
        <v>0</v>
      </c>
      <c r="C315" s="52">
        <f>IF(Учет!$O315=Справочники!$F$3,Учет!$H315,0)</f>
        <v>0</v>
      </c>
      <c r="D315" s="52">
        <f>IF(Учет!$O315=Справочники!$F$4,Учет!$H315,0)</f>
        <v>0</v>
      </c>
      <c r="E315" s="52">
        <f>IF(Учет!$O315=Справочники!$F$5,Учет!$H315,0)</f>
        <v>0</v>
      </c>
      <c r="F315" s="52">
        <f>IF(Учет!$O315=Справочники!$F$6,Учет!$H315,0)</f>
        <v>0</v>
      </c>
      <c r="G315" s="43">
        <f>G314+Учет!B315-B315</f>
        <v>-488978.92000000004</v>
      </c>
      <c r="H315" s="43">
        <f>H314+Учет!C315-C315</f>
        <v>336855</v>
      </c>
      <c r="I315" s="43">
        <f>I314+Учет!D315-D315</f>
        <v>500</v>
      </c>
      <c r="J315" s="43">
        <f>J314+Учет!E315-E315</f>
        <v>1150</v>
      </c>
      <c r="K315" s="43">
        <f>K314+Учет!F315-F315</f>
        <v>500000</v>
      </c>
      <c r="L315" s="45">
        <f>Учет!I315</f>
        <v>349526.07999999996</v>
      </c>
    </row>
    <row r="316" spans="1:12" x14ac:dyDescent="0.25">
      <c r="A316" s="48" t="str">
        <f>IF(Учет!A316&lt;&gt;"",Учет!A316,"")</f>
        <v/>
      </c>
      <c r="B316" s="52">
        <f>IF(Учет!$O316=Справочники!$F$2,Учет!$H316,0)</f>
        <v>0</v>
      </c>
      <c r="C316" s="52">
        <f>IF(Учет!$O316=Справочники!$F$3,Учет!$H316,0)</f>
        <v>0</v>
      </c>
      <c r="D316" s="52">
        <f>IF(Учет!$O316=Справочники!$F$4,Учет!$H316,0)</f>
        <v>0</v>
      </c>
      <c r="E316" s="52">
        <f>IF(Учет!$O316=Справочники!$F$5,Учет!$H316,0)</f>
        <v>0</v>
      </c>
      <c r="F316" s="52">
        <f>IF(Учет!$O316=Справочники!$F$6,Учет!$H316,0)</f>
        <v>0</v>
      </c>
      <c r="G316" s="43">
        <f>G315+Учет!B316-B316</f>
        <v>-488978.92000000004</v>
      </c>
      <c r="H316" s="43">
        <f>H315+Учет!C316-C316</f>
        <v>336855</v>
      </c>
      <c r="I316" s="43">
        <f>I315+Учет!D316-D316</f>
        <v>500</v>
      </c>
      <c r="J316" s="43">
        <f>J315+Учет!E316-E316</f>
        <v>1150</v>
      </c>
      <c r="K316" s="43">
        <f>K315+Учет!F316-F316</f>
        <v>500000</v>
      </c>
      <c r="L316" s="45">
        <f>Учет!I316</f>
        <v>349526.07999999996</v>
      </c>
    </row>
    <row r="317" spans="1:12" x14ac:dyDescent="0.25">
      <c r="A317" s="48" t="str">
        <f>IF(Учет!A317&lt;&gt;"",Учет!A317,"")</f>
        <v/>
      </c>
      <c r="B317" s="52">
        <f>IF(Учет!$O317=Справочники!$F$2,Учет!$H317,0)</f>
        <v>0</v>
      </c>
      <c r="C317" s="52">
        <f>IF(Учет!$O317=Справочники!$F$3,Учет!$H317,0)</f>
        <v>0</v>
      </c>
      <c r="D317" s="52">
        <f>IF(Учет!$O317=Справочники!$F$4,Учет!$H317,0)</f>
        <v>0</v>
      </c>
      <c r="E317" s="52">
        <f>IF(Учет!$O317=Справочники!$F$5,Учет!$H317,0)</f>
        <v>0</v>
      </c>
      <c r="F317" s="52">
        <f>IF(Учет!$O317=Справочники!$F$6,Учет!$H317,0)</f>
        <v>0</v>
      </c>
      <c r="G317" s="43">
        <f>G316+Учет!B317-B317</f>
        <v>-488978.92000000004</v>
      </c>
      <c r="H317" s="43">
        <f>H316+Учет!C317-C317</f>
        <v>336855</v>
      </c>
      <c r="I317" s="43">
        <f>I316+Учет!D317-D317</f>
        <v>500</v>
      </c>
      <c r="J317" s="43">
        <f>J316+Учет!E317-E317</f>
        <v>1150</v>
      </c>
      <c r="K317" s="43">
        <f>K316+Учет!F317-F317</f>
        <v>500000</v>
      </c>
      <c r="L317" s="45">
        <f>Учет!I317</f>
        <v>349526.07999999996</v>
      </c>
    </row>
    <row r="318" spans="1:12" x14ac:dyDescent="0.25">
      <c r="A318" s="48" t="str">
        <f>IF(Учет!A318&lt;&gt;"",Учет!A318,"")</f>
        <v/>
      </c>
      <c r="B318" s="52">
        <f>IF(Учет!$O318=Справочники!$F$2,Учет!$H318,0)</f>
        <v>0</v>
      </c>
      <c r="C318" s="52">
        <f>IF(Учет!$O318=Справочники!$F$3,Учет!$H318,0)</f>
        <v>0</v>
      </c>
      <c r="D318" s="52">
        <f>IF(Учет!$O318=Справочники!$F$4,Учет!$H318,0)</f>
        <v>0</v>
      </c>
      <c r="E318" s="52">
        <f>IF(Учет!$O318=Справочники!$F$5,Учет!$H318,0)</f>
        <v>0</v>
      </c>
      <c r="F318" s="52">
        <f>IF(Учет!$O318=Справочники!$F$6,Учет!$H318,0)</f>
        <v>0</v>
      </c>
      <c r="G318" s="43">
        <f>G317+Учет!B318-B318</f>
        <v>-488978.92000000004</v>
      </c>
      <c r="H318" s="43">
        <f>H317+Учет!C318-C318</f>
        <v>336855</v>
      </c>
      <c r="I318" s="43">
        <f>I317+Учет!D318-D318</f>
        <v>500</v>
      </c>
      <c r="J318" s="43">
        <f>J317+Учет!E318-E318</f>
        <v>1150</v>
      </c>
      <c r="K318" s="43">
        <f>K317+Учет!F318-F318</f>
        <v>500000</v>
      </c>
      <c r="L318" s="45">
        <f>Учет!I318</f>
        <v>349526.07999999996</v>
      </c>
    </row>
    <row r="319" spans="1:12" x14ac:dyDescent="0.25">
      <c r="A319" s="48" t="str">
        <f>IF(Учет!A319&lt;&gt;"",Учет!A319,"")</f>
        <v/>
      </c>
      <c r="B319" s="52">
        <f>IF(Учет!$O319=Справочники!$F$2,Учет!$H319,0)</f>
        <v>0</v>
      </c>
      <c r="C319" s="52">
        <f>IF(Учет!$O319=Справочники!$F$3,Учет!$H319,0)</f>
        <v>0</v>
      </c>
      <c r="D319" s="52">
        <f>IF(Учет!$O319=Справочники!$F$4,Учет!$H319,0)</f>
        <v>0</v>
      </c>
      <c r="E319" s="52">
        <f>IF(Учет!$O319=Справочники!$F$5,Учет!$H319,0)</f>
        <v>0</v>
      </c>
      <c r="F319" s="52">
        <f>IF(Учет!$O319=Справочники!$F$6,Учет!$H319,0)</f>
        <v>0</v>
      </c>
      <c r="G319" s="43">
        <f>G318+Учет!B319-B319</f>
        <v>-488978.92000000004</v>
      </c>
      <c r="H319" s="43">
        <f>H318+Учет!C319-C319</f>
        <v>336855</v>
      </c>
      <c r="I319" s="43">
        <f>I318+Учет!D319-D319</f>
        <v>500</v>
      </c>
      <c r="J319" s="43">
        <f>J318+Учет!E319-E319</f>
        <v>1150</v>
      </c>
      <c r="K319" s="43">
        <f>K318+Учет!F319-F319</f>
        <v>500000</v>
      </c>
      <c r="L319" s="45">
        <f>Учет!I319</f>
        <v>349526.07999999996</v>
      </c>
    </row>
    <row r="320" spans="1:12" x14ac:dyDescent="0.25">
      <c r="A320" s="48" t="str">
        <f>IF(Учет!A320&lt;&gt;"",Учет!A320,"")</f>
        <v/>
      </c>
      <c r="B320" s="52">
        <f>IF(Учет!$O320=Справочники!$F$2,Учет!$H320,0)</f>
        <v>0</v>
      </c>
      <c r="C320" s="52">
        <f>IF(Учет!$O320=Справочники!$F$3,Учет!$H320,0)</f>
        <v>0</v>
      </c>
      <c r="D320" s="52">
        <f>IF(Учет!$O320=Справочники!$F$4,Учет!$H320,0)</f>
        <v>0</v>
      </c>
      <c r="E320" s="52">
        <f>IF(Учет!$O320=Справочники!$F$5,Учет!$H320,0)</f>
        <v>0</v>
      </c>
      <c r="F320" s="52">
        <f>IF(Учет!$O320=Справочники!$F$6,Учет!$H320,0)</f>
        <v>0</v>
      </c>
      <c r="G320" s="43">
        <f>G319+Учет!B320-B320</f>
        <v>-488978.92000000004</v>
      </c>
      <c r="H320" s="43">
        <f>H319+Учет!C320-C320</f>
        <v>336855</v>
      </c>
      <c r="I320" s="43">
        <f>I319+Учет!D320-D320</f>
        <v>500</v>
      </c>
      <c r="J320" s="43">
        <f>J319+Учет!E320-E320</f>
        <v>1150</v>
      </c>
      <c r="K320" s="43">
        <f>K319+Учет!F320-F320</f>
        <v>500000</v>
      </c>
      <c r="L320" s="45">
        <f>Учет!I320</f>
        <v>349526.07999999996</v>
      </c>
    </row>
    <row r="321" spans="1:12" x14ac:dyDescent="0.25">
      <c r="A321" s="48" t="str">
        <f>IF(Учет!A321&lt;&gt;"",Учет!A321,"")</f>
        <v/>
      </c>
      <c r="B321" s="52">
        <f>IF(Учет!$O321=Справочники!$F$2,Учет!$H321,0)</f>
        <v>0</v>
      </c>
      <c r="C321" s="52">
        <f>IF(Учет!$O321=Справочники!$F$3,Учет!$H321,0)</f>
        <v>0</v>
      </c>
      <c r="D321" s="52">
        <f>IF(Учет!$O321=Справочники!$F$4,Учет!$H321,0)</f>
        <v>0</v>
      </c>
      <c r="E321" s="52">
        <f>IF(Учет!$O321=Справочники!$F$5,Учет!$H321,0)</f>
        <v>0</v>
      </c>
      <c r="F321" s="52">
        <f>IF(Учет!$O321=Справочники!$F$6,Учет!$H321,0)</f>
        <v>0</v>
      </c>
      <c r="G321" s="43">
        <f>G320+Учет!B321-B321</f>
        <v>-488978.92000000004</v>
      </c>
      <c r="H321" s="43">
        <f>H320+Учет!C321-C321</f>
        <v>336855</v>
      </c>
      <c r="I321" s="43">
        <f>I320+Учет!D321-D321</f>
        <v>500</v>
      </c>
      <c r="J321" s="43">
        <f>J320+Учет!E321-E321</f>
        <v>1150</v>
      </c>
      <c r="K321" s="43">
        <f>K320+Учет!F321-F321</f>
        <v>500000</v>
      </c>
      <c r="L321" s="45">
        <f>Учет!I321</f>
        <v>349526.07999999996</v>
      </c>
    </row>
    <row r="322" spans="1:12" x14ac:dyDescent="0.25">
      <c r="A322" s="48" t="str">
        <f>IF(Учет!A322&lt;&gt;"",Учет!A322,"")</f>
        <v/>
      </c>
      <c r="B322" s="52">
        <f>IF(Учет!$O322=Справочники!$F$2,Учет!$H322,0)</f>
        <v>0</v>
      </c>
      <c r="C322" s="52">
        <f>IF(Учет!$O322=Справочники!$F$3,Учет!$H322,0)</f>
        <v>0</v>
      </c>
      <c r="D322" s="52">
        <f>IF(Учет!$O322=Справочники!$F$4,Учет!$H322,0)</f>
        <v>0</v>
      </c>
      <c r="E322" s="52">
        <f>IF(Учет!$O322=Справочники!$F$5,Учет!$H322,0)</f>
        <v>0</v>
      </c>
      <c r="F322" s="52">
        <f>IF(Учет!$O322=Справочники!$F$6,Учет!$H322,0)</f>
        <v>0</v>
      </c>
      <c r="G322" s="43">
        <f>G321+Учет!B322-B322</f>
        <v>-488978.92000000004</v>
      </c>
      <c r="H322" s="43">
        <f>H321+Учет!C322-C322</f>
        <v>336855</v>
      </c>
      <c r="I322" s="43">
        <f>I321+Учет!D322-D322</f>
        <v>500</v>
      </c>
      <c r="J322" s="43">
        <f>J321+Учет!E322-E322</f>
        <v>1150</v>
      </c>
      <c r="K322" s="43">
        <f>K321+Учет!F322-F322</f>
        <v>500000</v>
      </c>
      <c r="L322" s="45">
        <f>Учет!I322</f>
        <v>349526.07999999996</v>
      </c>
    </row>
    <row r="323" spans="1:12" x14ac:dyDescent="0.25">
      <c r="A323" s="48" t="str">
        <f>IF(Учет!A323&lt;&gt;"",Учет!A323,"")</f>
        <v/>
      </c>
      <c r="B323" s="52">
        <f>IF(Учет!$O323=Справочники!$F$2,Учет!$H323,0)</f>
        <v>0</v>
      </c>
      <c r="C323" s="52">
        <f>IF(Учет!$O323=Справочники!$F$3,Учет!$H323,0)</f>
        <v>0</v>
      </c>
      <c r="D323" s="52">
        <f>IF(Учет!$O323=Справочники!$F$4,Учет!$H323,0)</f>
        <v>0</v>
      </c>
      <c r="E323" s="52">
        <f>IF(Учет!$O323=Справочники!$F$5,Учет!$H323,0)</f>
        <v>0</v>
      </c>
      <c r="F323" s="52">
        <f>IF(Учет!$O323=Справочники!$F$6,Учет!$H323,0)</f>
        <v>0</v>
      </c>
      <c r="G323" s="43">
        <f>G322+Учет!B323-B323</f>
        <v>-488978.92000000004</v>
      </c>
      <c r="H323" s="43">
        <f>H322+Учет!C323-C323</f>
        <v>336855</v>
      </c>
      <c r="I323" s="43">
        <f>I322+Учет!D323-D323</f>
        <v>500</v>
      </c>
      <c r="J323" s="43">
        <f>J322+Учет!E323-E323</f>
        <v>1150</v>
      </c>
      <c r="K323" s="43">
        <f>K322+Учет!F323-F323</f>
        <v>500000</v>
      </c>
      <c r="L323" s="45">
        <f>Учет!I323</f>
        <v>349526.07999999996</v>
      </c>
    </row>
    <row r="324" spans="1:12" x14ac:dyDescent="0.25">
      <c r="A324" s="48" t="str">
        <f>IF(Учет!A324&lt;&gt;"",Учет!A324,"")</f>
        <v/>
      </c>
      <c r="B324" s="52">
        <f>IF(Учет!$O324=Справочники!$F$2,Учет!$H324,0)</f>
        <v>0</v>
      </c>
      <c r="C324" s="52">
        <f>IF(Учет!$O324=Справочники!$F$3,Учет!$H324,0)</f>
        <v>0</v>
      </c>
      <c r="D324" s="52">
        <f>IF(Учет!$O324=Справочники!$F$4,Учет!$H324,0)</f>
        <v>0</v>
      </c>
      <c r="E324" s="52">
        <f>IF(Учет!$O324=Справочники!$F$5,Учет!$H324,0)</f>
        <v>0</v>
      </c>
      <c r="F324" s="52">
        <f>IF(Учет!$O324=Справочники!$F$6,Учет!$H324,0)</f>
        <v>0</v>
      </c>
      <c r="G324" s="43">
        <f>G323+Учет!B324-B324</f>
        <v>-488978.92000000004</v>
      </c>
      <c r="H324" s="43">
        <f>H323+Учет!C324-C324</f>
        <v>336855</v>
      </c>
      <c r="I324" s="43">
        <f>I323+Учет!D324-D324</f>
        <v>500</v>
      </c>
      <c r="J324" s="43">
        <f>J323+Учет!E324-E324</f>
        <v>1150</v>
      </c>
      <c r="K324" s="43">
        <f>K323+Учет!F324-F324</f>
        <v>500000</v>
      </c>
      <c r="L324" s="45">
        <f>Учет!I324</f>
        <v>349526.07999999996</v>
      </c>
    </row>
    <row r="325" spans="1:12" x14ac:dyDescent="0.25">
      <c r="A325" s="48" t="str">
        <f>IF(Учет!A325&lt;&gt;"",Учет!A325,"")</f>
        <v/>
      </c>
      <c r="B325" s="52">
        <f>IF(Учет!$O325=Справочники!$F$2,Учет!$H325,0)</f>
        <v>0</v>
      </c>
      <c r="C325" s="52">
        <f>IF(Учет!$O325=Справочники!$F$3,Учет!$H325,0)</f>
        <v>0</v>
      </c>
      <c r="D325" s="52">
        <f>IF(Учет!$O325=Справочники!$F$4,Учет!$H325,0)</f>
        <v>0</v>
      </c>
      <c r="E325" s="52">
        <f>IF(Учет!$O325=Справочники!$F$5,Учет!$H325,0)</f>
        <v>0</v>
      </c>
      <c r="F325" s="52">
        <f>IF(Учет!$O325=Справочники!$F$6,Учет!$H325,0)</f>
        <v>0</v>
      </c>
      <c r="G325" s="43">
        <f>G324+Учет!B325-B325</f>
        <v>-488978.92000000004</v>
      </c>
      <c r="H325" s="43">
        <f>H324+Учет!C325-C325</f>
        <v>336855</v>
      </c>
      <c r="I325" s="43">
        <f>I324+Учет!D325-D325</f>
        <v>500</v>
      </c>
      <c r="J325" s="43">
        <f>J324+Учет!E325-E325</f>
        <v>1150</v>
      </c>
      <c r="K325" s="43">
        <f>K324+Учет!F325-F325</f>
        <v>500000</v>
      </c>
      <c r="L325" s="45">
        <f>Учет!I325</f>
        <v>349526.07999999996</v>
      </c>
    </row>
    <row r="326" spans="1:12" x14ac:dyDescent="0.25">
      <c r="A326" s="48" t="str">
        <f>IF(Учет!A326&lt;&gt;"",Учет!A326,"")</f>
        <v/>
      </c>
      <c r="B326" s="52">
        <f>IF(Учет!$O326=Справочники!$F$2,Учет!$H326,0)</f>
        <v>0</v>
      </c>
      <c r="C326" s="52">
        <f>IF(Учет!$O326=Справочники!$F$3,Учет!$H326,0)</f>
        <v>0</v>
      </c>
      <c r="D326" s="52">
        <f>IF(Учет!$O326=Справочники!$F$4,Учет!$H326,0)</f>
        <v>0</v>
      </c>
      <c r="E326" s="52">
        <f>IF(Учет!$O326=Справочники!$F$5,Учет!$H326,0)</f>
        <v>0</v>
      </c>
      <c r="F326" s="52">
        <f>IF(Учет!$O326=Справочники!$F$6,Учет!$H326,0)</f>
        <v>0</v>
      </c>
      <c r="G326" s="43">
        <f>G325+Учет!B326-B326</f>
        <v>-488978.92000000004</v>
      </c>
      <c r="H326" s="43">
        <f>H325+Учет!C326-C326</f>
        <v>336855</v>
      </c>
      <c r="I326" s="43">
        <f>I325+Учет!D326-D326</f>
        <v>500</v>
      </c>
      <c r="J326" s="43">
        <f>J325+Учет!E326-E326</f>
        <v>1150</v>
      </c>
      <c r="K326" s="43">
        <f>K325+Учет!F326-F326</f>
        <v>500000</v>
      </c>
      <c r="L326" s="45">
        <f>Учет!I326</f>
        <v>349526.07999999996</v>
      </c>
    </row>
    <row r="327" spans="1:12" x14ac:dyDescent="0.25">
      <c r="A327" s="48" t="str">
        <f>IF(Учет!A327&lt;&gt;"",Учет!A327,"")</f>
        <v/>
      </c>
      <c r="B327" s="52">
        <f>IF(Учет!$O327=Справочники!$F$2,Учет!$H327,0)</f>
        <v>0</v>
      </c>
      <c r="C327" s="52">
        <f>IF(Учет!$O327=Справочники!$F$3,Учет!$H327,0)</f>
        <v>0</v>
      </c>
      <c r="D327" s="52">
        <f>IF(Учет!$O327=Справочники!$F$4,Учет!$H327,0)</f>
        <v>0</v>
      </c>
      <c r="E327" s="52">
        <f>IF(Учет!$O327=Справочники!$F$5,Учет!$H327,0)</f>
        <v>0</v>
      </c>
      <c r="F327" s="52">
        <f>IF(Учет!$O327=Справочники!$F$6,Учет!$H327,0)</f>
        <v>0</v>
      </c>
      <c r="G327" s="43">
        <f>G326+Учет!B327-B327</f>
        <v>-488978.92000000004</v>
      </c>
      <c r="H327" s="43">
        <f>H326+Учет!C327-C327</f>
        <v>336855</v>
      </c>
      <c r="I327" s="43">
        <f>I326+Учет!D327-D327</f>
        <v>500</v>
      </c>
      <c r="J327" s="43">
        <f>J326+Учет!E327-E327</f>
        <v>1150</v>
      </c>
      <c r="K327" s="43">
        <f>K326+Учет!F327-F327</f>
        <v>500000</v>
      </c>
      <c r="L327" s="45">
        <f>Учет!I327</f>
        <v>349526.07999999996</v>
      </c>
    </row>
    <row r="328" spans="1:12" x14ac:dyDescent="0.25">
      <c r="A328" s="48" t="str">
        <f>IF(Учет!A328&lt;&gt;"",Учет!A328,"")</f>
        <v/>
      </c>
      <c r="B328" s="52">
        <f>IF(Учет!$O328=Справочники!$F$2,Учет!$H328,0)</f>
        <v>0</v>
      </c>
      <c r="C328" s="52">
        <f>IF(Учет!$O328=Справочники!$F$3,Учет!$H328,0)</f>
        <v>0</v>
      </c>
      <c r="D328" s="52">
        <f>IF(Учет!$O328=Справочники!$F$4,Учет!$H328,0)</f>
        <v>0</v>
      </c>
      <c r="E328" s="52">
        <f>IF(Учет!$O328=Справочники!$F$5,Учет!$H328,0)</f>
        <v>0</v>
      </c>
      <c r="F328" s="52">
        <f>IF(Учет!$O328=Справочники!$F$6,Учет!$H328,0)</f>
        <v>0</v>
      </c>
      <c r="G328" s="43">
        <f>G327+Учет!B328-B328</f>
        <v>-488978.92000000004</v>
      </c>
      <c r="H328" s="43">
        <f>H327+Учет!C328-C328</f>
        <v>336855</v>
      </c>
      <c r="I328" s="43">
        <f>I327+Учет!D328-D328</f>
        <v>500</v>
      </c>
      <c r="J328" s="43">
        <f>J327+Учет!E328-E328</f>
        <v>1150</v>
      </c>
      <c r="K328" s="43">
        <f>K327+Учет!F328-F328</f>
        <v>500000</v>
      </c>
      <c r="L328" s="45">
        <f>Учет!I328</f>
        <v>349526.07999999996</v>
      </c>
    </row>
    <row r="329" spans="1:12" x14ac:dyDescent="0.25">
      <c r="A329" s="48" t="str">
        <f>IF(Учет!A329&lt;&gt;"",Учет!A329,"")</f>
        <v/>
      </c>
      <c r="B329" s="52">
        <f>IF(Учет!$O329=Справочники!$F$2,Учет!$H329,0)</f>
        <v>0</v>
      </c>
      <c r="C329" s="52">
        <f>IF(Учет!$O329=Справочники!$F$3,Учет!$H329,0)</f>
        <v>0</v>
      </c>
      <c r="D329" s="52">
        <f>IF(Учет!$O329=Справочники!$F$4,Учет!$H329,0)</f>
        <v>0</v>
      </c>
      <c r="E329" s="52">
        <f>IF(Учет!$O329=Справочники!$F$5,Учет!$H329,0)</f>
        <v>0</v>
      </c>
      <c r="F329" s="52">
        <f>IF(Учет!$O329=Справочники!$F$6,Учет!$H329,0)</f>
        <v>0</v>
      </c>
      <c r="G329" s="43">
        <f>G328+Учет!B329-B329</f>
        <v>-488978.92000000004</v>
      </c>
      <c r="H329" s="43">
        <f>H328+Учет!C329-C329</f>
        <v>336855</v>
      </c>
      <c r="I329" s="43">
        <f>I328+Учет!D329-D329</f>
        <v>500</v>
      </c>
      <c r="J329" s="43">
        <f>J328+Учет!E329-E329</f>
        <v>1150</v>
      </c>
      <c r="K329" s="43">
        <f>K328+Учет!F329-F329</f>
        <v>500000</v>
      </c>
      <c r="L329" s="45">
        <f>Учет!I329</f>
        <v>349526.07999999996</v>
      </c>
    </row>
    <row r="330" spans="1:12" x14ac:dyDescent="0.25">
      <c r="A330" s="48" t="str">
        <f>IF(Учет!A330&lt;&gt;"",Учет!A330,"")</f>
        <v/>
      </c>
      <c r="B330" s="52">
        <f>IF(Учет!$O330=Справочники!$F$2,Учет!$H330,0)</f>
        <v>0</v>
      </c>
      <c r="C330" s="52">
        <f>IF(Учет!$O330=Справочники!$F$3,Учет!$H330,0)</f>
        <v>0</v>
      </c>
      <c r="D330" s="52">
        <f>IF(Учет!$O330=Справочники!$F$4,Учет!$H330,0)</f>
        <v>0</v>
      </c>
      <c r="E330" s="52">
        <f>IF(Учет!$O330=Справочники!$F$5,Учет!$H330,0)</f>
        <v>0</v>
      </c>
      <c r="F330" s="52">
        <f>IF(Учет!$O330=Справочники!$F$6,Учет!$H330,0)</f>
        <v>0</v>
      </c>
      <c r="G330" s="43">
        <f>G329+Учет!B330-B330</f>
        <v>-488978.92000000004</v>
      </c>
      <c r="H330" s="43">
        <f>H329+Учет!C330-C330</f>
        <v>336855</v>
      </c>
      <c r="I330" s="43">
        <f>I329+Учет!D330-D330</f>
        <v>500</v>
      </c>
      <c r="J330" s="43">
        <f>J329+Учет!E330-E330</f>
        <v>1150</v>
      </c>
      <c r="K330" s="43">
        <f>K329+Учет!F330-F330</f>
        <v>500000</v>
      </c>
      <c r="L330" s="45">
        <f>Учет!I330</f>
        <v>349526.07999999996</v>
      </c>
    </row>
    <row r="331" spans="1:12" x14ac:dyDescent="0.25">
      <c r="A331" s="48" t="str">
        <f>IF(Учет!A331&lt;&gt;"",Учет!A331,"")</f>
        <v/>
      </c>
      <c r="B331" s="52">
        <f>IF(Учет!$O331=Справочники!$F$2,Учет!$H331,0)</f>
        <v>0</v>
      </c>
      <c r="C331" s="52">
        <f>IF(Учет!$O331=Справочники!$F$3,Учет!$H331,0)</f>
        <v>0</v>
      </c>
      <c r="D331" s="52">
        <f>IF(Учет!$O331=Справочники!$F$4,Учет!$H331,0)</f>
        <v>0</v>
      </c>
      <c r="E331" s="52">
        <f>IF(Учет!$O331=Справочники!$F$5,Учет!$H331,0)</f>
        <v>0</v>
      </c>
      <c r="F331" s="52">
        <f>IF(Учет!$O331=Справочники!$F$6,Учет!$H331,0)</f>
        <v>0</v>
      </c>
      <c r="G331" s="43">
        <f>G330+Учет!B331-B331</f>
        <v>-488978.92000000004</v>
      </c>
      <c r="H331" s="43">
        <f>H330+Учет!C331-C331</f>
        <v>336855</v>
      </c>
      <c r="I331" s="43">
        <f>I330+Учет!D331-D331</f>
        <v>500</v>
      </c>
      <c r="J331" s="43">
        <f>J330+Учет!E331-E331</f>
        <v>1150</v>
      </c>
      <c r="K331" s="43">
        <f>K330+Учет!F331-F331</f>
        <v>500000</v>
      </c>
      <c r="L331" s="45">
        <f>Учет!I331</f>
        <v>349526.07999999996</v>
      </c>
    </row>
    <row r="332" spans="1:12" x14ac:dyDescent="0.25">
      <c r="A332" s="48" t="str">
        <f>IF(Учет!A332&lt;&gt;"",Учет!A332,"")</f>
        <v/>
      </c>
      <c r="B332" s="52">
        <f>IF(Учет!$O332=Справочники!$F$2,Учет!$H332,0)</f>
        <v>0</v>
      </c>
      <c r="C332" s="52">
        <f>IF(Учет!$O332=Справочники!$F$3,Учет!$H332,0)</f>
        <v>0</v>
      </c>
      <c r="D332" s="52">
        <f>IF(Учет!$O332=Справочники!$F$4,Учет!$H332,0)</f>
        <v>0</v>
      </c>
      <c r="E332" s="52">
        <f>IF(Учет!$O332=Справочники!$F$5,Учет!$H332,0)</f>
        <v>0</v>
      </c>
      <c r="F332" s="52">
        <f>IF(Учет!$O332=Справочники!$F$6,Учет!$H332,0)</f>
        <v>0</v>
      </c>
      <c r="G332" s="43">
        <f>G331+Учет!B332-B332</f>
        <v>-488978.92000000004</v>
      </c>
      <c r="H332" s="43">
        <f>H331+Учет!C332-C332</f>
        <v>336855</v>
      </c>
      <c r="I332" s="43">
        <f>I331+Учет!D332-D332</f>
        <v>500</v>
      </c>
      <c r="J332" s="43">
        <f>J331+Учет!E332-E332</f>
        <v>1150</v>
      </c>
      <c r="K332" s="43">
        <f>K331+Учет!F332-F332</f>
        <v>500000</v>
      </c>
      <c r="L332" s="45">
        <f>Учет!I332</f>
        <v>349526.07999999996</v>
      </c>
    </row>
    <row r="333" spans="1:12" x14ac:dyDescent="0.25">
      <c r="A333" s="48" t="str">
        <f>IF(Учет!A333&lt;&gt;"",Учет!A333,"")</f>
        <v/>
      </c>
      <c r="B333" s="52">
        <f>IF(Учет!$O333=Справочники!$F$2,Учет!$H333,0)</f>
        <v>0</v>
      </c>
      <c r="C333" s="52">
        <f>IF(Учет!$O333=Справочники!$F$3,Учет!$H333,0)</f>
        <v>0</v>
      </c>
      <c r="D333" s="52">
        <f>IF(Учет!$O333=Справочники!$F$4,Учет!$H333,0)</f>
        <v>0</v>
      </c>
      <c r="E333" s="52">
        <f>IF(Учет!$O333=Справочники!$F$5,Учет!$H333,0)</f>
        <v>0</v>
      </c>
      <c r="F333" s="52">
        <f>IF(Учет!$O333=Справочники!$F$6,Учет!$H333,0)</f>
        <v>0</v>
      </c>
      <c r="G333" s="43">
        <f>G332+Учет!B333-B333</f>
        <v>-488978.92000000004</v>
      </c>
      <c r="H333" s="43">
        <f>H332+Учет!C333-C333</f>
        <v>336855</v>
      </c>
      <c r="I333" s="43">
        <f>I332+Учет!D333-D333</f>
        <v>500</v>
      </c>
      <c r="J333" s="43">
        <f>J332+Учет!E333-E333</f>
        <v>1150</v>
      </c>
      <c r="K333" s="43">
        <f>K332+Учет!F333-F333</f>
        <v>500000</v>
      </c>
      <c r="L333" s="45">
        <f>Учет!I333</f>
        <v>349526.07999999996</v>
      </c>
    </row>
    <row r="334" spans="1:12" x14ac:dyDescent="0.25">
      <c r="A334" s="48" t="str">
        <f>IF(Учет!A334&lt;&gt;"",Учет!A334,"")</f>
        <v/>
      </c>
      <c r="B334" s="52">
        <f>IF(Учет!$O334=Справочники!$F$2,Учет!$H334,0)</f>
        <v>0</v>
      </c>
      <c r="C334" s="52">
        <f>IF(Учет!$O334=Справочники!$F$3,Учет!$H334,0)</f>
        <v>0</v>
      </c>
      <c r="D334" s="52">
        <f>IF(Учет!$O334=Справочники!$F$4,Учет!$H334,0)</f>
        <v>0</v>
      </c>
      <c r="E334" s="52">
        <f>IF(Учет!$O334=Справочники!$F$5,Учет!$H334,0)</f>
        <v>0</v>
      </c>
      <c r="F334" s="52">
        <f>IF(Учет!$O334=Справочники!$F$6,Учет!$H334,0)</f>
        <v>0</v>
      </c>
      <c r="G334" s="43">
        <f>G333+Учет!B334-B334</f>
        <v>-488978.92000000004</v>
      </c>
      <c r="H334" s="43">
        <f>H333+Учет!C334-C334</f>
        <v>336855</v>
      </c>
      <c r="I334" s="43">
        <f>I333+Учет!D334-D334</f>
        <v>500</v>
      </c>
      <c r="J334" s="43">
        <f>J333+Учет!E334-E334</f>
        <v>1150</v>
      </c>
      <c r="K334" s="43">
        <f>K333+Учет!F334-F334</f>
        <v>500000</v>
      </c>
      <c r="L334" s="45">
        <f>Учет!I334</f>
        <v>349526.07999999996</v>
      </c>
    </row>
    <row r="335" spans="1:12" x14ac:dyDescent="0.25">
      <c r="A335" s="48" t="str">
        <f>IF(Учет!A335&lt;&gt;"",Учет!A335,"")</f>
        <v/>
      </c>
      <c r="B335" s="52">
        <f>IF(Учет!$O335=Справочники!$F$2,Учет!$H335,0)</f>
        <v>0</v>
      </c>
      <c r="C335" s="52">
        <f>IF(Учет!$O335=Справочники!$F$3,Учет!$H335,0)</f>
        <v>0</v>
      </c>
      <c r="D335" s="52">
        <f>IF(Учет!$O335=Справочники!$F$4,Учет!$H335,0)</f>
        <v>0</v>
      </c>
      <c r="E335" s="52">
        <f>IF(Учет!$O335=Справочники!$F$5,Учет!$H335,0)</f>
        <v>0</v>
      </c>
      <c r="F335" s="52">
        <f>IF(Учет!$O335=Справочники!$F$6,Учет!$H335,0)</f>
        <v>0</v>
      </c>
      <c r="G335" s="43">
        <f>G334+Учет!B335-B335</f>
        <v>-488978.92000000004</v>
      </c>
      <c r="H335" s="43">
        <f>H334+Учет!C335-C335</f>
        <v>336855</v>
      </c>
      <c r="I335" s="43">
        <f>I334+Учет!D335-D335</f>
        <v>500</v>
      </c>
      <c r="J335" s="43">
        <f>J334+Учет!E335-E335</f>
        <v>1150</v>
      </c>
      <c r="K335" s="43">
        <f>K334+Учет!F335-F335</f>
        <v>500000</v>
      </c>
      <c r="L335" s="45">
        <f>Учет!I335</f>
        <v>349526.07999999996</v>
      </c>
    </row>
    <row r="336" spans="1:12" x14ac:dyDescent="0.25">
      <c r="A336" s="48" t="str">
        <f>IF(Учет!A336&lt;&gt;"",Учет!A336,"")</f>
        <v/>
      </c>
      <c r="B336" s="52">
        <f>IF(Учет!$O336=Справочники!$F$2,Учет!$H336,0)</f>
        <v>0</v>
      </c>
      <c r="C336" s="52">
        <f>IF(Учет!$O336=Справочники!$F$3,Учет!$H336,0)</f>
        <v>0</v>
      </c>
      <c r="D336" s="52">
        <f>IF(Учет!$O336=Справочники!$F$4,Учет!$H336,0)</f>
        <v>0</v>
      </c>
      <c r="E336" s="52">
        <f>IF(Учет!$O336=Справочники!$F$5,Учет!$H336,0)</f>
        <v>0</v>
      </c>
      <c r="F336" s="52">
        <f>IF(Учет!$O336=Справочники!$F$6,Учет!$H336,0)</f>
        <v>0</v>
      </c>
      <c r="G336" s="43">
        <f>G335+Учет!B336-B336</f>
        <v>-488978.92000000004</v>
      </c>
      <c r="H336" s="43">
        <f>H335+Учет!C336-C336</f>
        <v>336855</v>
      </c>
      <c r="I336" s="43">
        <f>I335+Учет!D336-D336</f>
        <v>500</v>
      </c>
      <c r="J336" s="43">
        <f>J335+Учет!E336-E336</f>
        <v>1150</v>
      </c>
      <c r="K336" s="43">
        <f>K335+Учет!F336-F336</f>
        <v>500000</v>
      </c>
      <c r="L336" s="45">
        <f>Учет!I336</f>
        <v>349526.07999999996</v>
      </c>
    </row>
    <row r="337" spans="1:12" x14ac:dyDescent="0.25">
      <c r="A337" s="48" t="str">
        <f>IF(Учет!A337&lt;&gt;"",Учет!A337,"")</f>
        <v/>
      </c>
      <c r="B337" s="52">
        <f>IF(Учет!$O337=Справочники!$F$2,Учет!$H337,0)</f>
        <v>0</v>
      </c>
      <c r="C337" s="52">
        <f>IF(Учет!$O337=Справочники!$F$3,Учет!$H337,0)</f>
        <v>0</v>
      </c>
      <c r="D337" s="52">
        <f>IF(Учет!$O337=Справочники!$F$4,Учет!$H337,0)</f>
        <v>0</v>
      </c>
      <c r="E337" s="52">
        <f>IF(Учет!$O337=Справочники!$F$5,Учет!$H337,0)</f>
        <v>0</v>
      </c>
      <c r="F337" s="52">
        <f>IF(Учет!$O337=Справочники!$F$6,Учет!$H337,0)</f>
        <v>0</v>
      </c>
      <c r="G337" s="43">
        <f>G336+Учет!B337-B337</f>
        <v>-488978.92000000004</v>
      </c>
      <c r="H337" s="43">
        <f>H336+Учет!C337-C337</f>
        <v>336855</v>
      </c>
      <c r="I337" s="43">
        <f>I336+Учет!D337-D337</f>
        <v>500</v>
      </c>
      <c r="J337" s="43">
        <f>J336+Учет!E337-E337</f>
        <v>1150</v>
      </c>
      <c r="K337" s="43">
        <f>K336+Учет!F337-F337</f>
        <v>500000</v>
      </c>
      <c r="L337" s="45">
        <f>Учет!I337</f>
        <v>349526.07999999996</v>
      </c>
    </row>
    <row r="338" spans="1:12" x14ac:dyDescent="0.25">
      <c r="A338" s="48" t="str">
        <f>IF(Учет!A338&lt;&gt;"",Учет!A338,"")</f>
        <v/>
      </c>
      <c r="B338" s="52">
        <f>IF(Учет!$O338=Справочники!$F$2,Учет!$H338,0)</f>
        <v>0</v>
      </c>
      <c r="C338" s="52">
        <f>IF(Учет!$O338=Справочники!$F$3,Учет!$H338,0)</f>
        <v>0</v>
      </c>
      <c r="D338" s="52">
        <f>IF(Учет!$O338=Справочники!$F$4,Учет!$H338,0)</f>
        <v>0</v>
      </c>
      <c r="E338" s="52">
        <f>IF(Учет!$O338=Справочники!$F$5,Учет!$H338,0)</f>
        <v>0</v>
      </c>
      <c r="F338" s="52">
        <f>IF(Учет!$O338=Справочники!$F$6,Учет!$H338,0)</f>
        <v>0</v>
      </c>
      <c r="G338" s="43">
        <f>G337+Учет!B338-B338</f>
        <v>-488978.92000000004</v>
      </c>
      <c r="H338" s="43">
        <f>H337+Учет!C338-C338</f>
        <v>336855</v>
      </c>
      <c r="I338" s="43">
        <f>I337+Учет!D338-D338</f>
        <v>500</v>
      </c>
      <c r="J338" s="43">
        <f>J337+Учет!E338-E338</f>
        <v>1150</v>
      </c>
      <c r="K338" s="43">
        <f>K337+Учет!F338-F338</f>
        <v>500000</v>
      </c>
      <c r="L338" s="45">
        <f>Учет!I338</f>
        <v>349526.07999999996</v>
      </c>
    </row>
    <row r="339" spans="1:12" x14ac:dyDescent="0.25">
      <c r="A339" s="48" t="str">
        <f>IF(Учет!A339&lt;&gt;"",Учет!A339,"")</f>
        <v/>
      </c>
      <c r="B339" s="52">
        <f>IF(Учет!$O339=Справочники!$F$2,Учет!$H339,0)</f>
        <v>0</v>
      </c>
      <c r="C339" s="52">
        <f>IF(Учет!$O339=Справочники!$F$3,Учет!$H339,0)</f>
        <v>0</v>
      </c>
      <c r="D339" s="52">
        <f>IF(Учет!$O339=Справочники!$F$4,Учет!$H339,0)</f>
        <v>0</v>
      </c>
      <c r="E339" s="52">
        <f>IF(Учет!$O339=Справочники!$F$5,Учет!$H339,0)</f>
        <v>0</v>
      </c>
      <c r="F339" s="52">
        <f>IF(Учет!$O339=Справочники!$F$6,Учет!$H339,0)</f>
        <v>0</v>
      </c>
      <c r="G339" s="43">
        <f>G338+Учет!B339-B339</f>
        <v>-488978.92000000004</v>
      </c>
      <c r="H339" s="43">
        <f>H338+Учет!C339-C339</f>
        <v>336855</v>
      </c>
      <c r="I339" s="43">
        <f>I338+Учет!D339-D339</f>
        <v>500</v>
      </c>
      <c r="J339" s="43">
        <f>J338+Учет!E339-E339</f>
        <v>1150</v>
      </c>
      <c r="K339" s="43">
        <f>K338+Учет!F339-F339</f>
        <v>500000</v>
      </c>
      <c r="L339" s="45">
        <f>Учет!I339</f>
        <v>349526.07999999996</v>
      </c>
    </row>
    <row r="340" spans="1:12" x14ac:dyDescent="0.25">
      <c r="A340" s="48" t="str">
        <f>IF(Учет!A340&lt;&gt;"",Учет!A340,"")</f>
        <v/>
      </c>
      <c r="B340" s="52">
        <f>IF(Учет!$O340=Справочники!$F$2,Учет!$H340,0)</f>
        <v>0</v>
      </c>
      <c r="C340" s="52">
        <f>IF(Учет!$O340=Справочники!$F$3,Учет!$H340,0)</f>
        <v>0</v>
      </c>
      <c r="D340" s="52">
        <f>IF(Учет!$O340=Справочники!$F$4,Учет!$H340,0)</f>
        <v>0</v>
      </c>
      <c r="E340" s="52">
        <f>IF(Учет!$O340=Справочники!$F$5,Учет!$H340,0)</f>
        <v>0</v>
      </c>
      <c r="F340" s="52">
        <f>IF(Учет!$O340=Справочники!$F$6,Учет!$H340,0)</f>
        <v>0</v>
      </c>
      <c r="G340" s="43">
        <f>G339+Учет!B340-B340</f>
        <v>-488978.92000000004</v>
      </c>
      <c r="H340" s="43">
        <f>H339+Учет!C340-C340</f>
        <v>336855</v>
      </c>
      <c r="I340" s="43">
        <f>I339+Учет!D340-D340</f>
        <v>500</v>
      </c>
      <c r="J340" s="43">
        <f>J339+Учет!E340-E340</f>
        <v>1150</v>
      </c>
      <c r="K340" s="43">
        <f>K339+Учет!F340-F340</f>
        <v>500000</v>
      </c>
      <c r="L340" s="45">
        <f>Учет!I340</f>
        <v>349526.07999999996</v>
      </c>
    </row>
    <row r="341" spans="1:12" x14ac:dyDescent="0.25">
      <c r="A341" s="48" t="str">
        <f>IF(Учет!A341&lt;&gt;"",Учет!A341,"")</f>
        <v/>
      </c>
      <c r="B341" s="52">
        <f>IF(Учет!$O341=Справочники!$F$2,Учет!$H341,0)</f>
        <v>0</v>
      </c>
      <c r="C341" s="52">
        <f>IF(Учет!$O341=Справочники!$F$3,Учет!$H341,0)</f>
        <v>0</v>
      </c>
      <c r="D341" s="52">
        <f>IF(Учет!$O341=Справочники!$F$4,Учет!$H341,0)</f>
        <v>0</v>
      </c>
      <c r="E341" s="52">
        <f>IF(Учет!$O341=Справочники!$F$5,Учет!$H341,0)</f>
        <v>0</v>
      </c>
      <c r="F341" s="52">
        <f>IF(Учет!$O341=Справочники!$F$6,Учет!$H341,0)</f>
        <v>0</v>
      </c>
      <c r="G341" s="43">
        <f>G340+Учет!B341-B341</f>
        <v>-488978.92000000004</v>
      </c>
      <c r="H341" s="43">
        <f>H340+Учет!C341-C341</f>
        <v>336855</v>
      </c>
      <c r="I341" s="43">
        <f>I340+Учет!D341-D341</f>
        <v>500</v>
      </c>
      <c r="J341" s="43">
        <f>J340+Учет!E341-E341</f>
        <v>1150</v>
      </c>
      <c r="K341" s="43">
        <f>K340+Учет!F341-F341</f>
        <v>500000</v>
      </c>
      <c r="L341" s="45">
        <f>Учет!I341</f>
        <v>349526.07999999996</v>
      </c>
    </row>
    <row r="342" spans="1:12" x14ac:dyDescent="0.25">
      <c r="A342" s="48" t="str">
        <f>IF(Учет!A342&lt;&gt;"",Учет!A342,"")</f>
        <v/>
      </c>
      <c r="B342" s="52">
        <f>IF(Учет!$O342=Справочники!$F$2,Учет!$H342,0)</f>
        <v>0</v>
      </c>
      <c r="C342" s="52">
        <f>IF(Учет!$O342=Справочники!$F$3,Учет!$H342,0)</f>
        <v>0</v>
      </c>
      <c r="D342" s="52">
        <f>IF(Учет!$O342=Справочники!$F$4,Учет!$H342,0)</f>
        <v>0</v>
      </c>
      <c r="E342" s="52">
        <f>IF(Учет!$O342=Справочники!$F$5,Учет!$H342,0)</f>
        <v>0</v>
      </c>
      <c r="F342" s="52">
        <f>IF(Учет!$O342=Справочники!$F$6,Учет!$H342,0)</f>
        <v>0</v>
      </c>
      <c r="G342" s="43">
        <f>G341+Учет!B342-B342</f>
        <v>-488978.92000000004</v>
      </c>
      <c r="H342" s="43">
        <f>H341+Учет!C342-C342</f>
        <v>336855</v>
      </c>
      <c r="I342" s="43">
        <f>I341+Учет!D342-D342</f>
        <v>500</v>
      </c>
      <c r="J342" s="43">
        <f>J341+Учет!E342-E342</f>
        <v>1150</v>
      </c>
      <c r="K342" s="43">
        <f>K341+Учет!F342-F342</f>
        <v>500000</v>
      </c>
      <c r="L342" s="45">
        <f>Учет!I342</f>
        <v>349526.07999999996</v>
      </c>
    </row>
    <row r="343" spans="1:12" x14ac:dyDescent="0.25">
      <c r="A343" s="48" t="str">
        <f>IF(Учет!A343&lt;&gt;"",Учет!A343,"")</f>
        <v/>
      </c>
      <c r="B343" s="52">
        <f>IF(Учет!$O343=Справочники!$F$2,Учет!$H343,0)</f>
        <v>0</v>
      </c>
      <c r="C343" s="52">
        <f>IF(Учет!$O343=Справочники!$F$3,Учет!$H343,0)</f>
        <v>0</v>
      </c>
      <c r="D343" s="52">
        <f>IF(Учет!$O343=Справочники!$F$4,Учет!$H343,0)</f>
        <v>0</v>
      </c>
      <c r="E343" s="52">
        <f>IF(Учет!$O343=Справочники!$F$5,Учет!$H343,0)</f>
        <v>0</v>
      </c>
      <c r="F343" s="52">
        <f>IF(Учет!$O343=Справочники!$F$6,Учет!$H343,0)</f>
        <v>0</v>
      </c>
      <c r="G343" s="43">
        <f>G342+Учет!B343-B343</f>
        <v>-488978.92000000004</v>
      </c>
      <c r="H343" s="43">
        <f>H342+Учет!C343-C343</f>
        <v>336855</v>
      </c>
      <c r="I343" s="43">
        <f>I342+Учет!D343-D343</f>
        <v>500</v>
      </c>
      <c r="J343" s="43">
        <f>J342+Учет!E343-E343</f>
        <v>1150</v>
      </c>
      <c r="K343" s="43">
        <f>K342+Учет!F343-F343</f>
        <v>500000</v>
      </c>
      <c r="L343" s="45">
        <f>Учет!I343</f>
        <v>349526.07999999996</v>
      </c>
    </row>
    <row r="344" spans="1:12" x14ac:dyDescent="0.25">
      <c r="A344" s="48" t="str">
        <f>IF(Учет!A344&lt;&gt;"",Учет!A344,"")</f>
        <v/>
      </c>
      <c r="B344" s="52">
        <f>IF(Учет!$O344=Справочники!$F$2,Учет!$H344,0)</f>
        <v>0</v>
      </c>
      <c r="C344" s="52">
        <f>IF(Учет!$O344=Справочники!$F$3,Учет!$H344,0)</f>
        <v>0</v>
      </c>
      <c r="D344" s="52">
        <f>IF(Учет!$O344=Справочники!$F$4,Учет!$H344,0)</f>
        <v>0</v>
      </c>
      <c r="E344" s="52">
        <f>IF(Учет!$O344=Справочники!$F$5,Учет!$H344,0)</f>
        <v>0</v>
      </c>
      <c r="F344" s="52">
        <f>IF(Учет!$O344=Справочники!$F$6,Учет!$H344,0)</f>
        <v>0</v>
      </c>
      <c r="G344" s="43">
        <f>G343+Учет!B344-B344</f>
        <v>-488978.92000000004</v>
      </c>
      <c r="H344" s="43">
        <f>H343+Учет!C344-C344</f>
        <v>336855</v>
      </c>
      <c r="I344" s="43">
        <f>I343+Учет!D344-D344</f>
        <v>500</v>
      </c>
      <c r="J344" s="43">
        <f>J343+Учет!E344-E344</f>
        <v>1150</v>
      </c>
      <c r="K344" s="43">
        <f>K343+Учет!F344-F344</f>
        <v>500000</v>
      </c>
      <c r="L344" s="45">
        <f>Учет!I344</f>
        <v>349526.07999999996</v>
      </c>
    </row>
    <row r="345" spans="1:12" x14ac:dyDescent="0.25">
      <c r="A345" s="48" t="str">
        <f>IF(Учет!A345&lt;&gt;"",Учет!A345,"")</f>
        <v/>
      </c>
      <c r="B345" s="52">
        <f>IF(Учет!$O345=Справочники!$F$2,Учет!$H345,0)</f>
        <v>0</v>
      </c>
      <c r="C345" s="52">
        <f>IF(Учет!$O345=Справочники!$F$3,Учет!$H345,0)</f>
        <v>0</v>
      </c>
      <c r="D345" s="52">
        <f>IF(Учет!$O345=Справочники!$F$4,Учет!$H345,0)</f>
        <v>0</v>
      </c>
      <c r="E345" s="52">
        <f>IF(Учет!$O345=Справочники!$F$5,Учет!$H345,0)</f>
        <v>0</v>
      </c>
      <c r="F345" s="52">
        <f>IF(Учет!$O345=Справочники!$F$6,Учет!$H345,0)</f>
        <v>0</v>
      </c>
      <c r="G345" s="43">
        <f>G344+Учет!B345-B345</f>
        <v>-488978.92000000004</v>
      </c>
      <c r="H345" s="43">
        <f>H344+Учет!C345-C345</f>
        <v>336855</v>
      </c>
      <c r="I345" s="43">
        <f>I344+Учет!D345-D345</f>
        <v>500</v>
      </c>
      <c r="J345" s="43">
        <f>J344+Учет!E345-E345</f>
        <v>1150</v>
      </c>
      <c r="K345" s="43">
        <f>K344+Учет!F345-F345</f>
        <v>500000</v>
      </c>
      <c r="L345" s="45">
        <f>Учет!I345</f>
        <v>349526.07999999996</v>
      </c>
    </row>
    <row r="346" spans="1:12" x14ac:dyDescent="0.25">
      <c r="A346" s="48" t="str">
        <f>IF(Учет!A346&lt;&gt;"",Учет!A346,"")</f>
        <v/>
      </c>
      <c r="B346" s="52">
        <f>IF(Учет!$O346=Справочники!$F$2,Учет!$H346,0)</f>
        <v>0</v>
      </c>
      <c r="C346" s="52">
        <f>IF(Учет!$O346=Справочники!$F$3,Учет!$H346,0)</f>
        <v>0</v>
      </c>
      <c r="D346" s="52">
        <f>IF(Учет!$O346=Справочники!$F$4,Учет!$H346,0)</f>
        <v>0</v>
      </c>
      <c r="E346" s="52">
        <f>IF(Учет!$O346=Справочники!$F$5,Учет!$H346,0)</f>
        <v>0</v>
      </c>
      <c r="F346" s="52">
        <f>IF(Учет!$O346=Справочники!$F$6,Учет!$H346,0)</f>
        <v>0</v>
      </c>
      <c r="G346" s="43">
        <f>G345+Учет!B346-B346</f>
        <v>-488978.92000000004</v>
      </c>
      <c r="H346" s="43">
        <f>H345+Учет!C346-C346</f>
        <v>336855</v>
      </c>
      <c r="I346" s="43">
        <f>I345+Учет!D346-D346</f>
        <v>500</v>
      </c>
      <c r="J346" s="43">
        <f>J345+Учет!E346-E346</f>
        <v>1150</v>
      </c>
      <c r="K346" s="43">
        <f>K345+Учет!F346-F346</f>
        <v>500000</v>
      </c>
      <c r="L346" s="45">
        <f>Учет!I346</f>
        <v>349526.07999999996</v>
      </c>
    </row>
    <row r="347" spans="1:12" x14ac:dyDescent="0.25">
      <c r="A347" s="48" t="str">
        <f>IF(Учет!A347&lt;&gt;"",Учет!A347,"")</f>
        <v/>
      </c>
      <c r="B347" s="52">
        <f>IF(Учет!$O347=Справочники!$F$2,Учет!$H347,0)</f>
        <v>0</v>
      </c>
      <c r="C347" s="52">
        <f>IF(Учет!$O347=Справочники!$F$3,Учет!$H347,0)</f>
        <v>0</v>
      </c>
      <c r="D347" s="52">
        <f>IF(Учет!$O347=Справочники!$F$4,Учет!$H347,0)</f>
        <v>0</v>
      </c>
      <c r="E347" s="52">
        <f>IF(Учет!$O347=Справочники!$F$5,Учет!$H347,0)</f>
        <v>0</v>
      </c>
      <c r="F347" s="52">
        <f>IF(Учет!$O347=Справочники!$F$6,Учет!$H347,0)</f>
        <v>0</v>
      </c>
      <c r="G347" s="43">
        <f>G346+Учет!B347-B347</f>
        <v>-488978.92000000004</v>
      </c>
      <c r="H347" s="43">
        <f>H346+Учет!C347-C347</f>
        <v>336855</v>
      </c>
      <c r="I347" s="43">
        <f>I346+Учет!D347-D347</f>
        <v>500</v>
      </c>
      <c r="J347" s="43">
        <f>J346+Учет!E347-E347</f>
        <v>1150</v>
      </c>
      <c r="K347" s="43">
        <f>K346+Учет!F347-F347</f>
        <v>500000</v>
      </c>
      <c r="L347" s="45">
        <f>Учет!I347</f>
        <v>349526.07999999996</v>
      </c>
    </row>
    <row r="348" spans="1:12" x14ac:dyDescent="0.25">
      <c r="A348" s="48" t="str">
        <f>IF(Учет!A348&lt;&gt;"",Учет!A348,"")</f>
        <v/>
      </c>
      <c r="B348" s="52">
        <f>IF(Учет!$O348=Справочники!$F$2,Учет!$H348,0)</f>
        <v>0</v>
      </c>
      <c r="C348" s="52">
        <f>IF(Учет!$O348=Справочники!$F$3,Учет!$H348,0)</f>
        <v>0</v>
      </c>
      <c r="D348" s="52">
        <f>IF(Учет!$O348=Справочники!$F$4,Учет!$H348,0)</f>
        <v>0</v>
      </c>
      <c r="E348" s="52">
        <f>IF(Учет!$O348=Справочники!$F$5,Учет!$H348,0)</f>
        <v>0</v>
      </c>
      <c r="F348" s="52">
        <f>IF(Учет!$O348=Справочники!$F$6,Учет!$H348,0)</f>
        <v>0</v>
      </c>
      <c r="G348" s="43">
        <f>G347+Учет!B348-B348</f>
        <v>-488978.92000000004</v>
      </c>
      <c r="H348" s="43">
        <f>H347+Учет!C348-C348</f>
        <v>336855</v>
      </c>
      <c r="I348" s="43">
        <f>I347+Учет!D348-D348</f>
        <v>500</v>
      </c>
      <c r="J348" s="43">
        <f>J347+Учет!E348-E348</f>
        <v>1150</v>
      </c>
      <c r="K348" s="43">
        <f>K347+Учет!F348-F348</f>
        <v>500000</v>
      </c>
      <c r="L348" s="45">
        <f>Учет!I348</f>
        <v>349526.07999999996</v>
      </c>
    </row>
    <row r="349" spans="1:12" x14ac:dyDescent="0.25">
      <c r="A349" s="48" t="str">
        <f>IF(Учет!A349&lt;&gt;"",Учет!A349,"")</f>
        <v/>
      </c>
      <c r="B349" s="52">
        <f>IF(Учет!$O349=Справочники!$F$2,Учет!$H349,0)</f>
        <v>0</v>
      </c>
      <c r="C349" s="52">
        <f>IF(Учет!$O349=Справочники!$F$3,Учет!$H349,0)</f>
        <v>0</v>
      </c>
      <c r="D349" s="52">
        <f>IF(Учет!$O349=Справочники!$F$4,Учет!$H349,0)</f>
        <v>0</v>
      </c>
      <c r="E349" s="52">
        <f>IF(Учет!$O349=Справочники!$F$5,Учет!$H349,0)</f>
        <v>0</v>
      </c>
      <c r="F349" s="52">
        <f>IF(Учет!$O349=Справочники!$F$6,Учет!$H349,0)</f>
        <v>0</v>
      </c>
      <c r="G349" s="43">
        <f>G348+Учет!B349-B349</f>
        <v>-488978.92000000004</v>
      </c>
      <c r="H349" s="43">
        <f>H348+Учет!C349-C349</f>
        <v>336855</v>
      </c>
      <c r="I349" s="43">
        <f>I348+Учет!D349-D349</f>
        <v>500</v>
      </c>
      <c r="J349" s="43">
        <f>J348+Учет!E349-E349</f>
        <v>1150</v>
      </c>
      <c r="K349" s="43">
        <f>K348+Учет!F349-F349</f>
        <v>500000</v>
      </c>
      <c r="L349" s="45">
        <f>Учет!I349</f>
        <v>349526.07999999996</v>
      </c>
    </row>
    <row r="350" spans="1:12" x14ac:dyDescent="0.25">
      <c r="A350" s="48" t="str">
        <f>IF(Учет!A350&lt;&gt;"",Учет!A350,"")</f>
        <v/>
      </c>
      <c r="B350" s="52">
        <f>IF(Учет!$O350=Справочники!$F$2,Учет!$H350,0)</f>
        <v>0</v>
      </c>
      <c r="C350" s="52">
        <f>IF(Учет!$O350=Справочники!$F$3,Учет!$H350,0)</f>
        <v>0</v>
      </c>
      <c r="D350" s="52">
        <f>IF(Учет!$O350=Справочники!$F$4,Учет!$H350,0)</f>
        <v>0</v>
      </c>
      <c r="E350" s="52">
        <f>IF(Учет!$O350=Справочники!$F$5,Учет!$H350,0)</f>
        <v>0</v>
      </c>
      <c r="F350" s="52">
        <f>IF(Учет!$O350=Справочники!$F$6,Учет!$H350,0)</f>
        <v>0</v>
      </c>
      <c r="G350" s="43">
        <f>G349+Учет!B350-B350</f>
        <v>-488978.92000000004</v>
      </c>
      <c r="H350" s="43">
        <f>H349+Учет!C350-C350</f>
        <v>336855</v>
      </c>
      <c r="I350" s="43">
        <f>I349+Учет!D350-D350</f>
        <v>500</v>
      </c>
      <c r="J350" s="43">
        <f>J349+Учет!E350-E350</f>
        <v>1150</v>
      </c>
      <c r="K350" s="43">
        <f>K349+Учет!F350-F350</f>
        <v>500000</v>
      </c>
      <c r="L350" s="45">
        <f>Учет!I350</f>
        <v>349526.07999999996</v>
      </c>
    </row>
    <row r="351" spans="1:12" x14ac:dyDescent="0.25">
      <c r="A351" s="48" t="str">
        <f>IF(Учет!A351&lt;&gt;"",Учет!A351,"")</f>
        <v/>
      </c>
      <c r="B351" s="52">
        <f>IF(Учет!$O351=Справочники!$F$2,Учет!$H351,0)</f>
        <v>0</v>
      </c>
      <c r="C351" s="52">
        <f>IF(Учет!$O351=Справочники!$F$3,Учет!$H351,0)</f>
        <v>0</v>
      </c>
      <c r="D351" s="52">
        <f>IF(Учет!$O351=Справочники!$F$4,Учет!$H351,0)</f>
        <v>0</v>
      </c>
      <c r="E351" s="52">
        <f>IF(Учет!$O351=Справочники!$F$5,Учет!$H351,0)</f>
        <v>0</v>
      </c>
      <c r="F351" s="52">
        <f>IF(Учет!$O351=Справочники!$F$6,Учет!$H351,0)</f>
        <v>0</v>
      </c>
      <c r="G351" s="43">
        <f>G350+Учет!B351-B351</f>
        <v>-488978.92000000004</v>
      </c>
      <c r="H351" s="43">
        <f>H350+Учет!C351-C351</f>
        <v>336855</v>
      </c>
      <c r="I351" s="43">
        <f>I350+Учет!D351-D351</f>
        <v>500</v>
      </c>
      <c r="J351" s="43">
        <f>J350+Учет!E351-E351</f>
        <v>1150</v>
      </c>
      <c r="K351" s="43">
        <f>K350+Учет!F351-F351</f>
        <v>500000</v>
      </c>
      <c r="L351" s="45">
        <f>Учет!I351</f>
        <v>349526.07999999996</v>
      </c>
    </row>
    <row r="352" spans="1:12" x14ac:dyDescent="0.25">
      <c r="A352" s="48" t="str">
        <f>IF(Учет!A352&lt;&gt;"",Учет!A352,"")</f>
        <v/>
      </c>
      <c r="B352" s="52">
        <f>IF(Учет!$O352=Справочники!$F$2,Учет!$H352,0)</f>
        <v>0</v>
      </c>
      <c r="C352" s="52">
        <f>IF(Учет!$O352=Справочники!$F$3,Учет!$H352,0)</f>
        <v>0</v>
      </c>
      <c r="D352" s="52">
        <f>IF(Учет!$O352=Справочники!$F$4,Учет!$H352,0)</f>
        <v>0</v>
      </c>
      <c r="E352" s="52">
        <f>IF(Учет!$O352=Справочники!$F$5,Учет!$H352,0)</f>
        <v>0</v>
      </c>
      <c r="F352" s="52">
        <f>IF(Учет!$O352=Справочники!$F$6,Учет!$H352,0)</f>
        <v>0</v>
      </c>
      <c r="G352" s="43">
        <f>G351+Учет!B352-B352</f>
        <v>-488978.92000000004</v>
      </c>
      <c r="H352" s="43">
        <f>H351+Учет!C352-C352</f>
        <v>336855</v>
      </c>
      <c r="I352" s="43">
        <f>I351+Учет!D352-D352</f>
        <v>500</v>
      </c>
      <c r="J352" s="43">
        <f>J351+Учет!E352-E352</f>
        <v>1150</v>
      </c>
      <c r="K352" s="43">
        <f>K351+Учет!F352-F352</f>
        <v>500000</v>
      </c>
      <c r="L352" s="45">
        <f>Учет!I352</f>
        <v>349526.07999999996</v>
      </c>
    </row>
    <row r="353" spans="1:12" x14ac:dyDescent="0.25">
      <c r="A353" s="48" t="str">
        <f>IF(Учет!A353&lt;&gt;"",Учет!A353,"")</f>
        <v/>
      </c>
      <c r="B353" s="52">
        <f>IF(Учет!$O353=Справочники!$F$2,Учет!$H353,0)</f>
        <v>0</v>
      </c>
      <c r="C353" s="52">
        <f>IF(Учет!$O353=Справочники!$F$3,Учет!$H353,0)</f>
        <v>0</v>
      </c>
      <c r="D353" s="52">
        <f>IF(Учет!$O353=Справочники!$F$4,Учет!$H353,0)</f>
        <v>0</v>
      </c>
      <c r="E353" s="52">
        <f>IF(Учет!$O353=Справочники!$F$5,Учет!$H353,0)</f>
        <v>0</v>
      </c>
      <c r="F353" s="52">
        <f>IF(Учет!$O353=Справочники!$F$6,Учет!$H353,0)</f>
        <v>0</v>
      </c>
      <c r="G353" s="43">
        <f>G352+Учет!B353-B353</f>
        <v>-488978.92000000004</v>
      </c>
      <c r="H353" s="43">
        <f>H352+Учет!C353-C353</f>
        <v>336855</v>
      </c>
      <c r="I353" s="43">
        <f>I352+Учет!D353-D353</f>
        <v>500</v>
      </c>
      <c r="J353" s="43">
        <f>J352+Учет!E353-E353</f>
        <v>1150</v>
      </c>
      <c r="K353" s="43">
        <f>K352+Учет!F353-F353</f>
        <v>500000</v>
      </c>
      <c r="L353" s="45">
        <f>Учет!I353</f>
        <v>349526.07999999996</v>
      </c>
    </row>
    <row r="354" spans="1:12" x14ac:dyDescent="0.25">
      <c r="A354" s="48" t="str">
        <f>IF(Учет!A354&lt;&gt;"",Учет!A354,"")</f>
        <v/>
      </c>
      <c r="B354" s="52">
        <f>IF(Учет!$O354=Справочники!$F$2,Учет!$H354,0)</f>
        <v>0</v>
      </c>
      <c r="C354" s="52">
        <f>IF(Учет!$O354=Справочники!$F$3,Учет!$H354,0)</f>
        <v>0</v>
      </c>
      <c r="D354" s="52">
        <f>IF(Учет!$O354=Справочники!$F$4,Учет!$H354,0)</f>
        <v>0</v>
      </c>
      <c r="E354" s="52">
        <f>IF(Учет!$O354=Справочники!$F$5,Учет!$H354,0)</f>
        <v>0</v>
      </c>
      <c r="F354" s="52">
        <f>IF(Учет!$O354=Справочники!$F$6,Учет!$H354,0)</f>
        <v>0</v>
      </c>
      <c r="G354" s="43">
        <f>G353+Учет!B354-B354</f>
        <v>-488978.92000000004</v>
      </c>
      <c r="H354" s="43">
        <f>H353+Учет!C354-C354</f>
        <v>336855</v>
      </c>
      <c r="I354" s="43">
        <f>I353+Учет!D354-D354</f>
        <v>500</v>
      </c>
      <c r="J354" s="43">
        <f>J353+Учет!E354-E354</f>
        <v>1150</v>
      </c>
      <c r="K354" s="43">
        <f>K353+Учет!F354-F354</f>
        <v>500000</v>
      </c>
      <c r="L354" s="45">
        <f>Учет!I354</f>
        <v>349526.07999999996</v>
      </c>
    </row>
    <row r="355" spans="1:12" x14ac:dyDescent="0.25">
      <c r="A355" s="48" t="str">
        <f>IF(Учет!A355&lt;&gt;"",Учет!A355,"")</f>
        <v/>
      </c>
      <c r="B355" s="52">
        <f>IF(Учет!$O355=Справочники!$F$2,Учет!$H355,0)</f>
        <v>0</v>
      </c>
      <c r="C355" s="52">
        <f>IF(Учет!$O355=Справочники!$F$3,Учет!$H355,0)</f>
        <v>0</v>
      </c>
      <c r="D355" s="52">
        <f>IF(Учет!$O355=Справочники!$F$4,Учет!$H355,0)</f>
        <v>0</v>
      </c>
      <c r="E355" s="52">
        <f>IF(Учет!$O355=Справочники!$F$5,Учет!$H355,0)</f>
        <v>0</v>
      </c>
      <c r="F355" s="52">
        <f>IF(Учет!$O355=Справочники!$F$6,Учет!$H355,0)</f>
        <v>0</v>
      </c>
      <c r="G355" s="43">
        <f>G354+Учет!B355-B355</f>
        <v>-488978.92000000004</v>
      </c>
      <c r="H355" s="43">
        <f>H354+Учет!C355-C355</f>
        <v>336855</v>
      </c>
      <c r="I355" s="43">
        <f>I354+Учет!D355-D355</f>
        <v>500</v>
      </c>
      <c r="J355" s="43">
        <f>J354+Учет!E355-E355</f>
        <v>1150</v>
      </c>
      <c r="K355" s="43">
        <f>K354+Учет!F355-F355</f>
        <v>500000</v>
      </c>
      <c r="L355" s="45">
        <f>Учет!I355</f>
        <v>349526.07999999996</v>
      </c>
    </row>
    <row r="356" spans="1:12" x14ac:dyDescent="0.25">
      <c r="A356" s="48" t="str">
        <f>IF(Учет!A356&lt;&gt;"",Учет!A356,"")</f>
        <v/>
      </c>
      <c r="B356" s="52">
        <f>IF(Учет!$O356=Справочники!$F$2,Учет!$H356,0)</f>
        <v>0</v>
      </c>
      <c r="C356" s="52">
        <f>IF(Учет!$O356=Справочники!$F$3,Учет!$H356,0)</f>
        <v>0</v>
      </c>
      <c r="D356" s="52">
        <f>IF(Учет!$O356=Справочники!$F$4,Учет!$H356,0)</f>
        <v>0</v>
      </c>
      <c r="E356" s="52">
        <f>IF(Учет!$O356=Справочники!$F$5,Учет!$H356,0)</f>
        <v>0</v>
      </c>
      <c r="F356" s="52">
        <f>IF(Учет!$O356=Справочники!$F$6,Учет!$H356,0)</f>
        <v>0</v>
      </c>
      <c r="G356" s="43">
        <f>G355+Учет!B356-B356</f>
        <v>-488978.92000000004</v>
      </c>
      <c r="H356" s="43">
        <f>H355+Учет!C356-C356</f>
        <v>336855</v>
      </c>
      <c r="I356" s="43">
        <f>I355+Учет!D356-D356</f>
        <v>500</v>
      </c>
      <c r="J356" s="43">
        <f>J355+Учет!E356-E356</f>
        <v>1150</v>
      </c>
      <c r="K356" s="43">
        <f>K355+Учет!F356-F356</f>
        <v>500000</v>
      </c>
      <c r="L356" s="45">
        <f>Учет!I356</f>
        <v>349526.07999999996</v>
      </c>
    </row>
    <row r="357" spans="1:12" x14ac:dyDescent="0.25">
      <c r="A357" s="48" t="str">
        <f>IF(Учет!A357&lt;&gt;"",Учет!A357,"")</f>
        <v/>
      </c>
      <c r="B357" s="52">
        <f>IF(Учет!$O357=Справочники!$F$2,Учет!$H357,0)</f>
        <v>0</v>
      </c>
      <c r="C357" s="52">
        <f>IF(Учет!$O357=Справочники!$F$3,Учет!$H357,0)</f>
        <v>0</v>
      </c>
      <c r="D357" s="52">
        <f>IF(Учет!$O357=Справочники!$F$4,Учет!$H357,0)</f>
        <v>0</v>
      </c>
      <c r="E357" s="52">
        <f>IF(Учет!$O357=Справочники!$F$5,Учет!$H357,0)</f>
        <v>0</v>
      </c>
      <c r="F357" s="52">
        <f>IF(Учет!$O357=Справочники!$F$6,Учет!$H357,0)</f>
        <v>0</v>
      </c>
      <c r="G357" s="43">
        <f>G356+Учет!B357-B357</f>
        <v>-488978.92000000004</v>
      </c>
      <c r="H357" s="43">
        <f>H356+Учет!C357-C357</f>
        <v>336855</v>
      </c>
      <c r="I357" s="43">
        <f>I356+Учет!D357-D357</f>
        <v>500</v>
      </c>
      <c r="J357" s="43">
        <f>J356+Учет!E357-E357</f>
        <v>1150</v>
      </c>
      <c r="K357" s="43">
        <f>K356+Учет!F357-F357</f>
        <v>500000</v>
      </c>
      <c r="L357" s="45">
        <f>Учет!I357</f>
        <v>349526.07999999996</v>
      </c>
    </row>
    <row r="358" spans="1:12" x14ac:dyDescent="0.25">
      <c r="A358" s="48" t="str">
        <f>IF(Учет!A358&lt;&gt;"",Учет!A358,"")</f>
        <v/>
      </c>
      <c r="B358" s="52">
        <f>IF(Учет!$O358=Справочники!$F$2,Учет!$H358,0)</f>
        <v>0</v>
      </c>
      <c r="C358" s="52">
        <f>IF(Учет!$O358=Справочники!$F$3,Учет!$H358,0)</f>
        <v>0</v>
      </c>
      <c r="D358" s="52">
        <f>IF(Учет!$O358=Справочники!$F$4,Учет!$H358,0)</f>
        <v>0</v>
      </c>
      <c r="E358" s="52">
        <f>IF(Учет!$O358=Справочники!$F$5,Учет!$H358,0)</f>
        <v>0</v>
      </c>
      <c r="F358" s="52">
        <f>IF(Учет!$O358=Справочники!$F$6,Учет!$H358,0)</f>
        <v>0</v>
      </c>
      <c r="G358" s="43">
        <f>G357+Учет!B358-B358</f>
        <v>-488978.92000000004</v>
      </c>
      <c r="H358" s="43">
        <f>H357+Учет!C358-C358</f>
        <v>336855</v>
      </c>
      <c r="I358" s="43">
        <f>I357+Учет!D358-D358</f>
        <v>500</v>
      </c>
      <c r="J358" s="43">
        <f>J357+Учет!E358-E358</f>
        <v>1150</v>
      </c>
      <c r="K358" s="43">
        <f>K357+Учет!F358-F358</f>
        <v>500000</v>
      </c>
      <c r="L358" s="45">
        <f>Учет!I358</f>
        <v>349526.07999999996</v>
      </c>
    </row>
    <row r="359" spans="1:12" x14ac:dyDescent="0.25">
      <c r="A359" s="48" t="str">
        <f>IF(Учет!A359&lt;&gt;"",Учет!A359,"")</f>
        <v/>
      </c>
      <c r="B359" s="52">
        <f>IF(Учет!$O359=Справочники!$F$2,Учет!$H359,0)</f>
        <v>0</v>
      </c>
      <c r="C359" s="52">
        <f>IF(Учет!$O359=Справочники!$F$3,Учет!$H359,0)</f>
        <v>0</v>
      </c>
      <c r="D359" s="52">
        <f>IF(Учет!$O359=Справочники!$F$4,Учет!$H359,0)</f>
        <v>0</v>
      </c>
      <c r="E359" s="52">
        <f>IF(Учет!$O359=Справочники!$F$5,Учет!$H359,0)</f>
        <v>0</v>
      </c>
      <c r="F359" s="52">
        <f>IF(Учет!$O359=Справочники!$F$6,Учет!$H359,0)</f>
        <v>0</v>
      </c>
      <c r="G359" s="43">
        <f>G358+Учет!B359-B359</f>
        <v>-488978.92000000004</v>
      </c>
      <c r="H359" s="43">
        <f>H358+Учет!C359-C359</f>
        <v>336855</v>
      </c>
      <c r="I359" s="43">
        <f>I358+Учет!D359-D359</f>
        <v>500</v>
      </c>
      <c r="J359" s="43">
        <f>J358+Учет!E359-E359</f>
        <v>1150</v>
      </c>
      <c r="K359" s="43">
        <f>K358+Учет!F359-F359</f>
        <v>500000</v>
      </c>
      <c r="L359" s="45">
        <f>Учет!I359</f>
        <v>349526.07999999996</v>
      </c>
    </row>
    <row r="360" spans="1:12" x14ac:dyDescent="0.25">
      <c r="A360" s="48" t="str">
        <f>IF(Учет!A360&lt;&gt;"",Учет!A360,"")</f>
        <v/>
      </c>
      <c r="B360" s="52">
        <f>IF(Учет!$O360=Справочники!$F$2,Учет!$H360,0)</f>
        <v>0</v>
      </c>
      <c r="C360" s="52">
        <f>IF(Учет!$O360=Справочники!$F$3,Учет!$H360,0)</f>
        <v>0</v>
      </c>
      <c r="D360" s="52">
        <f>IF(Учет!$O360=Справочники!$F$4,Учет!$H360,0)</f>
        <v>0</v>
      </c>
      <c r="E360" s="52">
        <f>IF(Учет!$O360=Справочники!$F$5,Учет!$H360,0)</f>
        <v>0</v>
      </c>
      <c r="F360" s="52">
        <f>IF(Учет!$O360=Справочники!$F$6,Учет!$H360,0)</f>
        <v>0</v>
      </c>
      <c r="G360" s="43">
        <f>G359+Учет!B360-B360</f>
        <v>-488978.92000000004</v>
      </c>
      <c r="H360" s="43">
        <f>H359+Учет!C360-C360</f>
        <v>336855</v>
      </c>
      <c r="I360" s="43">
        <f>I359+Учет!D360-D360</f>
        <v>500</v>
      </c>
      <c r="J360" s="43">
        <f>J359+Учет!E360-E360</f>
        <v>1150</v>
      </c>
      <c r="K360" s="43">
        <f>K359+Учет!F360-F360</f>
        <v>500000</v>
      </c>
      <c r="L360" s="45">
        <f>Учет!I360</f>
        <v>349526.07999999996</v>
      </c>
    </row>
    <row r="361" spans="1:12" x14ac:dyDescent="0.25">
      <c r="A361" s="48" t="str">
        <f>IF(Учет!A361&lt;&gt;"",Учет!A361,"")</f>
        <v/>
      </c>
      <c r="B361" s="52">
        <f>IF(Учет!$O361=Справочники!$F$2,Учет!$H361,0)</f>
        <v>0</v>
      </c>
      <c r="C361" s="52">
        <f>IF(Учет!$O361=Справочники!$F$3,Учет!$H361,0)</f>
        <v>0</v>
      </c>
      <c r="D361" s="52">
        <f>IF(Учет!$O361=Справочники!$F$4,Учет!$H361,0)</f>
        <v>0</v>
      </c>
      <c r="E361" s="52">
        <f>IF(Учет!$O361=Справочники!$F$5,Учет!$H361,0)</f>
        <v>0</v>
      </c>
      <c r="F361" s="52">
        <f>IF(Учет!$O361=Справочники!$F$6,Учет!$H361,0)</f>
        <v>0</v>
      </c>
      <c r="G361" s="43">
        <f>G360+Учет!B361-B361</f>
        <v>-488978.92000000004</v>
      </c>
      <c r="H361" s="43">
        <f>H360+Учет!C361-C361</f>
        <v>336855</v>
      </c>
      <c r="I361" s="43">
        <f>I360+Учет!D361-D361</f>
        <v>500</v>
      </c>
      <c r="J361" s="43">
        <f>J360+Учет!E361-E361</f>
        <v>1150</v>
      </c>
      <c r="K361" s="43">
        <f>K360+Учет!F361-F361</f>
        <v>500000</v>
      </c>
      <c r="L361" s="45">
        <f>Учет!I361</f>
        <v>349526.07999999996</v>
      </c>
    </row>
    <row r="362" spans="1:12" x14ac:dyDescent="0.25">
      <c r="A362" s="48" t="str">
        <f>IF(Учет!A362&lt;&gt;"",Учет!A362,"")</f>
        <v/>
      </c>
      <c r="B362" s="52">
        <f>IF(Учет!$O362=Справочники!$F$2,Учет!$H362,0)</f>
        <v>0</v>
      </c>
      <c r="C362" s="52">
        <f>IF(Учет!$O362=Справочники!$F$3,Учет!$H362,0)</f>
        <v>0</v>
      </c>
      <c r="D362" s="52">
        <f>IF(Учет!$O362=Справочники!$F$4,Учет!$H362,0)</f>
        <v>0</v>
      </c>
      <c r="E362" s="52">
        <f>IF(Учет!$O362=Справочники!$F$5,Учет!$H362,0)</f>
        <v>0</v>
      </c>
      <c r="F362" s="52">
        <f>IF(Учет!$O362=Справочники!$F$6,Учет!$H362,0)</f>
        <v>0</v>
      </c>
      <c r="G362" s="43">
        <f>G361+Учет!B362-B362</f>
        <v>-488978.92000000004</v>
      </c>
      <c r="H362" s="43">
        <f>H361+Учет!C362-C362</f>
        <v>336855</v>
      </c>
      <c r="I362" s="43">
        <f>I361+Учет!D362-D362</f>
        <v>500</v>
      </c>
      <c r="J362" s="43">
        <f>J361+Учет!E362-E362</f>
        <v>1150</v>
      </c>
      <c r="K362" s="43">
        <f>K361+Учет!F362-F362</f>
        <v>500000</v>
      </c>
      <c r="L362" s="45">
        <f>Учет!I362</f>
        <v>349526.07999999996</v>
      </c>
    </row>
    <row r="363" spans="1:12" x14ac:dyDescent="0.25">
      <c r="A363" s="48" t="str">
        <f>IF(Учет!A363&lt;&gt;"",Учет!A363,"")</f>
        <v/>
      </c>
      <c r="B363" s="52">
        <f>IF(Учет!$O363=Справочники!$F$2,Учет!$H363,0)</f>
        <v>0</v>
      </c>
      <c r="C363" s="52">
        <f>IF(Учет!$O363=Справочники!$F$3,Учет!$H363,0)</f>
        <v>0</v>
      </c>
      <c r="D363" s="52">
        <f>IF(Учет!$O363=Справочники!$F$4,Учет!$H363,0)</f>
        <v>0</v>
      </c>
      <c r="E363" s="52">
        <f>IF(Учет!$O363=Справочники!$F$5,Учет!$H363,0)</f>
        <v>0</v>
      </c>
      <c r="F363" s="52">
        <f>IF(Учет!$O363=Справочники!$F$6,Учет!$H363,0)</f>
        <v>0</v>
      </c>
      <c r="G363" s="43">
        <f>G362+Учет!B363-B363</f>
        <v>-488978.92000000004</v>
      </c>
      <c r="H363" s="43">
        <f>H362+Учет!C363-C363</f>
        <v>336855</v>
      </c>
      <c r="I363" s="43">
        <f>I362+Учет!D363-D363</f>
        <v>500</v>
      </c>
      <c r="J363" s="43">
        <f>J362+Учет!E363-E363</f>
        <v>1150</v>
      </c>
      <c r="K363" s="43">
        <f>K362+Учет!F363-F363</f>
        <v>500000</v>
      </c>
      <c r="L363" s="45">
        <f>Учет!I363</f>
        <v>349526.07999999996</v>
      </c>
    </row>
    <row r="364" spans="1:12" x14ac:dyDescent="0.25">
      <c r="A364" s="48" t="str">
        <f>IF(Учет!A364&lt;&gt;"",Учет!A364,"")</f>
        <v/>
      </c>
      <c r="B364" s="52">
        <f>IF(Учет!$O364=Справочники!$F$2,Учет!$H364,0)</f>
        <v>0</v>
      </c>
      <c r="C364" s="52">
        <f>IF(Учет!$O364=Справочники!$F$3,Учет!$H364,0)</f>
        <v>0</v>
      </c>
      <c r="D364" s="52">
        <f>IF(Учет!$O364=Справочники!$F$4,Учет!$H364,0)</f>
        <v>0</v>
      </c>
      <c r="E364" s="52">
        <f>IF(Учет!$O364=Справочники!$F$5,Учет!$H364,0)</f>
        <v>0</v>
      </c>
      <c r="F364" s="52">
        <f>IF(Учет!$O364=Справочники!$F$6,Учет!$H364,0)</f>
        <v>0</v>
      </c>
      <c r="G364" s="43">
        <f>G363+Учет!B364-B364</f>
        <v>-488978.92000000004</v>
      </c>
      <c r="H364" s="43">
        <f>H363+Учет!C364-C364</f>
        <v>336855</v>
      </c>
      <c r="I364" s="43">
        <f>I363+Учет!D364-D364</f>
        <v>500</v>
      </c>
      <c r="J364" s="43">
        <f>J363+Учет!E364-E364</f>
        <v>1150</v>
      </c>
      <c r="K364" s="43">
        <f>K363+Учет!F364-F364</f>
        <v>500000</v>
      </c>
      <c r="L364" s="45">
        <f>Учет!I364</f>
        <v>349526.07999999996</v>
      </c>
    </row>
    <row r="365" spans="1:12" x14ac:dyDescent="0.25">
      <c r="A365" s="48" t="str">
        <f>IF(Учет!A365&lt;&gt;"",Учет!A365,"")</f>
        <v/>
      </c>
      <c r="B365" s="52">
        <f>IF(Учет!$O365=Справочники!$F$2,Учет!$H365,0)</f>
        <v>0</v>
      </c>
      <c r="C365" s="52">
        <f>IF(Учет!$O365=Справочники!$F$3,Учет!$H365,0)</f>
        <v>0</v>
      </c>
      <c r="D365" s="52">
        <f>IF(Учет!$O365=Справочники!$F$4,Учет!$H365,0)</f>
        <v>0</v>
      </c>
      <c r="E365" s="52">
        <f>IF(Учет!$O365=Справочники!$F$5,Учет!$H365,0)</f>
        <v>0</v>
      </c>
      <c r="F365" s="52">
        <f>IF(Учет!$O365=Справочники!$F$6,Учет!$H365,0)</f>
        <v>0</v>
      </c>
      <c r="G365" s="43">
        <f>G364+Учет!B365-B365</f>
        <v>-488978.92000000004</v>
      </c>
      <c r="H365" s="43">
        <f>H364+Учет!C365-C365</f>
        <v>336855</v>
      </c>
      <c r="I365" s="43">
        <f>I364+Учет!D365-D365</f>
        <v>500</v>
      </c>
      <c r="J365" s="43">
        <f>J364+Учет!E365-E365</f>
        <v>1150</v>
      </c>
      <c r="K365" s="43">
        <f>K364+Учет!F365-F365</f>
        <v>500000</v>
      </c>
      <c r="L365" s="45">
        <f>Учет!I365</f>
        <v>349526.07999999996</v>
      </c>
    </row>
    <row r="366" spans="1:12" x14ac:dyDescent="0.25">
      <c r="A366" s="48" t="str">
        <f>IF(Учет!A366&lt;&gt;"",Учет!A366,"")</f>
        <v/>
      </c>
      <c r="B366" s="52">
        <f>IF(Учет!$O366=Справочники!$F$2,Учет!$H366,0)</f>
        <v>0</v>
      </c>
      <c r="C366" s="52">
        <f>IF(Учет!$O366=Справочники!$F$3,Учет!$H366,0)</f>
        <v>0</v>
      </c>
      <c r="D366" s="52">
        <f>IF(Учет!$O366=Справочники!$F$4,Учет!$H366,0)</f>
        <v>0</v>
      </c>
      <c r="E366" s="52">
        <f>IF(Учет!$O366=Справочники!$F$5,Учет!$H366,0)</f>
        <v>0</v>
      </c>
      <c r="F366" s="52">
        <f>IF(Учет!$O366=Справочники!$F$6,Учет!$H366,0)</f>
        <v>0</v>
      </c>
      <c r="G366" s="43">
        <f>G365+Учет!B366-B366</f>
        <v>-488978.92000000004</v>
      </c>
      <c r="H366" s="43">
        <f>H365+Учет!C366-C366</f>
        <v>336855</v>
      </c>
      <c r="I366" s="43">
        <f>I365+Учет!D366-D366</f>
        <v>500</v>
      </c>
      <c r="J366" s="43">
        <f>J365+Учет!E366-E366</f>
        <v>1150</v>
      </c>
      <c r="K366" s="43">
        <f>K365+Учет!F366-F366</f>
        <v>500000</v>
      </c>
      <c r="L366" s="45">
        <f>Учет!I366</f>
        <v>349526.07999999996</v>
      </c>
    </row>
    <row r="367" spans="1:12" x14ac:dyDescent="0.25">
      <c r="A367" s="48" t="str">
        <f>IF(Учет!A367&lt;&gt;"",Учет!A367,"")</f>
        <v/>
      </c>
      <c r="B367" s="52">
        <f>IF(Учет!$O367=Справочники!$F$2,Учет!$H367,0)</f>
        <v>0</v>
      </c>
      <c r="C367" s="52">
        <f>IF(Учет!$O367=Справочники!$F$3,Учет!$H367,0)</f>
        <v>0</v>
      </c>
      <c r="D367" s="52">
        <f>IF(Учет!$O367=Справочники!$F$4,Учет!$H367,0)</f>
        <v>0</v>
      </c>
      <c r="E367" s="52">
        <f>IF(Учет!$O367=Справочники!$F$5,Учет!$H367,0)</f>
        <v>0</v>
      </c>
      <c r="F367" s="52">
        <f>IF(Учет!$O367=Справочники!$F$6,Учет!$H367,0)</f>
        <v>0</v>
      </c>
      <c r="G367" s="43">
        <f>G366+Учет!B367-B367</f>
        <v>-488978.92000000004</v>
      </c>
      <c r="H367" s="43">
        <f>H366+Учет!C367-C367</f>
        <v>336855</v>
      </c>
      <c r="I367" s="43">
        <f>I366+Учет!D367-D367</f>
        <v>500</v>
      </c>
      <c r="J367" s="43">
        <f>J366+Учет!E367-E367</f>
        <v>1150</v>
      </c>
      <c r="K367" s="43">
        <f>K366+Учет!F367-F367</f>
        <v>500000</v>
      </c>
      <c r="L367" s="45">
        <f>Учет!I367</f>
        <v>349526.07999999996</v>
      </c>
    </row>
    <row r="368" spans="1:12" x14ac:dyDescent="0.25">
      <c r="A368" s="48" t="str">
        <f>IF(Учет!A368&lt;&gt;"",Учет!A368,"")</f>
        <v/>
      </c>
      <c r="B368" s="52">
        <f>IF(Учет!$O368=Справочники!$F$2,Учет!$H368,0)</f>
        <v>0</v>
      </c>
      <c r="C368" s="52">
        <f>IF(Учет!$O368=Справочники!$F$3,Учет!$H368,0)</f>
        <v>0</v>
      </c>
      <c r="D368" s="52">
        <f>IF(Учет!$O368=Справочники!$F$4,Учет!$H368,0)</f>
        <v>0</v>
      </c>
      <c r="E368" s="52">
        <f>IF(Учет!$O368=Справочники!$F$5,Учет!$H368,0)</f>
        <v>0</v>
      </c>
      <c r="F368" s="52">
        <f>IF(Учет!$O368=Справочники!$F$6,Учет!$H368,0)</f>
        <v>0</v>
      </c>
      <c r="G368" s="43">
        <f>G367+Учет!B368-B368</f>
        <v>-488978.92000000004</v>
      </c>
      <c r="H368" s="43">
        <f>H367+Учет!C368-C368</f>
        <v>336855</v>
      </c>
      <c r="I368" s="43">
        <f>I367+Учет!D368-D368</f>
        <v>500</v>
      </c>
      <c r="J368" s="43">
        <f>J367+Учет!E368-E368</f>
        <v>1150</v>
      </c>
      <c r="K368" s="43">
        <f>K367+Учет!F368-F368</f>
        <v>500000</v>
      </c>
      <c r="L368" s="45">
        <f>Учет!I368</f>
        <v>349526.07999999996</v>
      </c>
    </row>
    <row r="369" spans="1:12" x14ac:dyDescent="0.25">
      <c r="A369" s="48" t="str">
        <f>IF(Учет!A369&lt;&gt;"",Учет!A369,"")</f>
        <v/>
      </c>
      <c r="B369" s="52">
        <f>IF(Учет!$O369=Справочники!$F$2,Учет!$H369,0)</f>
        <v>0</v>
      </c>
      <c r="C369" s="52">
        <f>IF(Учет!$O369=Справочники!$F$3,Учет!$H369,0)</f>
        <v>0</v>
      </c>
      <c r="D369" s="52">
        <f>IF(Учет!$O369=Справочники!$F$4,Учет!$H369,0)</f>
        <v>0</v>
      </c>
      <c r="E369" s="52">
        <f>IF(Учет!$O369=Справочники!$F$5,Учет!$H369,0)</f>
        <v>0</v>
      </c>
      <c r="F369" s="52">
        <f>IF(Учет!$O369=Справочники!$F$6,Учет!$H369,0)</f>
        <v>0</v>
      </c>
      <c r="G369" s="43">
        <f>G368+Учет!B369-B369</f>
        <v>-488978.92000000004</v>
      </c>
      <c r="H369" s="43">
        <f>H368+Учет!C369-C369</f>
        <v>336855</v>
      </c>
      <c r="I369" s="43">
        <f>I368+Учет!D369-D369</f>
        <v>500</v>
      </c>
      <c r="J369" s="43">
        <f>J368+Учет!E369-E369</f>
        <v>1150</v>
      </c>
      <c r="K369" s="43">
        <f>K368+Учет!F369-F369</f>
        <v>500000</v>
      </c>
      <c r="L369" s="45">
        <f>Учет!I369</f>
        <v>349526.07999999996</v>
      </c>
    </row>
    <row r="370" spans="1:12" x14ac:dyDescent="0.25">
      <c r="A370" s="48" t="str">
        <f>IF(Учет!A370&lt;&gt;"",Учет!A370,"")</f>
        <v/>
      </c>
      <c r="B370" s="52">
        <f>IF(Учет!$O370=Справочники!$F$2,Учет!$H370,0)</f>
        <v>0</v>
      </c>
      <c r="C370" s="52">
        <f>IF(Учет!$O370=Справочники!$F$3,Учет!$H370,0)</f>
        <v>0</v>
      </c>
      <c r="D370" s="52">
        <f>IF(Учет!$O370=Справочники!$F$4,Учет!$H370,0)</f>
        <v>0</v>
      </c>
      <c r="E370" s="52">
        <f>IF(Учет!$O370=Справочники!$F$5,Учет!$H370,0)</f>
        <v>0</v>
      </c>
      <c r="F370" s="52">
        <f>IF(Учет!$O370=Справочники!$F$6,Учет!$H370,0)</f>
        <v>0</v>
      </c>
      <c r="G370" s="43">
        <f>G369+Учет!B370-B370</f>
        <v>-488978.92000000004</v>
      </c>
      <c r="H370" s="43">
        <f>H369+Учет!C370-C370</f>
        <v>336855</v>
      </c>
      <c r="I370" s="43">
        <f>I369+Учет!D370-D370</f>
        <v>500</v>
      </c>
      <c r="J370" s="43">
        <f>J369+Учет!E370-E370</f>
        <v>1150</v>
      </c>
      <c r="K370" s="43">
        <f>K369+Учет!F370-F370</f>
        <v>500000</v>
      </c>
      <c r="L370" s="45">
        <f>Учет!I370</f>
        <v>349526.07999999996</v>
      </c>
    </row>
    <row r="371" spans="1:12" x14ac:dyDescent="0.25">
      <c r="A371" s="48" t="str">
        <f>IF(Учет!A371&lt;&gt;"",Учет!A371,"")</f>
        <v/>
      </c>
      <c r="B371" s="52">
        <f>IF(Учет!$O371=Справочники!$F$2,Учет!$H371,0)</f>
        <v>0</v>
      </c>
      <c r="C371" s="52">
        <f>IF(Учет!$O371=Справочники!$F$3,Учет!$H371,0)</f>
        <v>0</v>
      </c>
      <c r="D371" s="52">
        <f>IF(Учет!$O371=Справочники!$F$4,Учет!$H371,0)</f>
        <v>0</v>
      </c>
      <c r="E371" s="52">
        <f>IF(Учет!$O371=Справочники!$F$5,Учет!$H371,0)</f>
        <v>0</v>
      </c>
      <c r="F371" s="52">
        <f>IF(Учет!$O371=Справочники!$F$6,Учет!$H371,0)</f>
        <v>0</v>
      </c>
      <c r="G371" s="43">
        <f>G370+Учет!B371-B371</f>
        <v>-488978.92000000004</v>
      </c>
      <c r="H371" s="43">
        <f>H370+Учет!C371-C371</f>
        <v>336855</v>
      </c>
      <c r="I371" s="43">
        <f>I370+Учет!D371-D371</f>
        <v>500</v>
      </c>
      <c r="J371" s="43">
        <f>J370+Учет!E371-E371</f>
        <v>1150</v>
      </c>
      <c r="K371" s="43">
        <f>K370+Учет!F371-F371</f>
        <v>500000</v>
      </c>
      <c r="L371" s="45">
        <f>Учет!I371</f>
        <v>349526.07999999996</v>
      </c>
    </row>
    <row r="372" spans="1:12" x14ac:dyDescent="0.25">
      <c r="A372" s="48" t="str">
        <f>IF(Учет!A372&lt;&gt;"",Учет!A372,"")</f>
        <v/>
      </c>
      <c r="B372" s="52">
        <f>IF(Учет!$O372=Справочники!$F$2,Учет!$H372,0)</f>
        <v>0</v>
      </c>
      <c r="C372" s="52">
        <f>IF(Учет!$O372=Справочники!$F$3,Учет!$H372,0)</f>
        <v>0</v>
      </c>
      <c r="D372" s="52">
        <f>IF(Учет!$O372=Справочники!$F$4,Учет!$H372,0)</f>
        <v>0</v>
      </c>
      <c r="E372" s="52">
        <f>IF(Учет!$O372=Справочники!$F$5,Учет!$H372,0)</f>
        <v>0</v>
      </c>
      <c r="F372" s="52">
        <f>IF(Учет!$O372=Справочники!$F$6,Учет!$H372,0)</f>
        <v>0</v>
      </c>
      <c r="G372" s="43">
        <f>G371+Учет!B372-B372</f>
        <v>-488978.92000000004</v>
      </c>
      <c r="H372" s="43">
        <f>H371+Учет!C372-C372</f>
        <v>336855</v>
      </c>
      <c r="I372" s="43">
        <f>I371+Учет!D372-D372</f>
        <v>500</v>
      </c>
      <c r="J372" s="43">
        <f>J371+Учет!E372-E372</f>
        <v>1150</v>
      </c>
      <c r="K372" s="43">
        <f>K371+Учет!F372-F372</f>
        <v>500000</v>
      </c>
      <c r="L372" s="45">
        <f>Учет!I372</f>
        <v>349526.07999999996</v>
      </c>
    </row>
    <row r="373" spans="1:12" x14ac:dyDescent="0.25">
      <c r="A373" s="48" t="str">
        <f>IF(Учет!A373&lt;&gt;"",Учет!A373,"")</f>
        <v/>
      </c>
      <c r="B373" s="52">
        <f>IF(Учет!$O373=Справочники!$F$2,Учет!$H373,0)</f>
        <v>0</v>
      </c>
      <c r="C373" s="52">
        <f>IF(Учет!$O373=Справочники!$F$3,Учет!$H373,0)</f>
        <v>0</v>
      </c>
      <c r="D373" s="52">
        <f>IF(Учет!$O373=Справочники!$F$4,Учет!$H373,0)</f>
        <v>0</v>
      </c>
      <c r="E373" s="52">
        <f>IF(Учет!$O373=Справочники!$F$5,Учет!$H373,0)</f>
        <v>0</v>
      </c>
      <c r="F373" s="52">
        <f>IF(Учет!$O373=Справочники!$F$6,Учет!$H373,0)</f>
        <v>0</v>
      </c>
      <c r="G373" s="43">
        <f>G372+Учет!B373-B373</f>
        <v>-488978.92000000004</v>
      </c>
      <c r="H373" s="43">
        <f>H372+Учет!C373-C373</f>
        <v>336855</v>
      </c>
      <c r="I373" s="43">
        <f>I372+Учет!D373-D373</f>
        <v>500</v>
      </c>
      <c r="J373" s="43">
        <f>J372+Учет!E373-E373</f>
        <v>1150</v>
      </c>
      <c r="K373" s="43">
        <f>K372+Учет!F373-F373</f>
        <v>500000</v>
      </c>
      <c r="L373" s="45">
        <f>Учет!I373</f>
        <v>349526.07999999996</v>
      </c>
    </row>
    <row r="374" spans="1:12" x14ac:dyDescent="0.25">
      <c r="A374" s="48" t="str">
        <f>IF(Учет!A374&lt;&gt;"",Учет!A374,"")</f>
        <v/>
      </c>
      <c r="B374" s="52">
        <f>IF(Учет!$O374=Справочники!$F$2,Учет!$H374,0)</f>
        <v>0</v>
      </c>
      <c r="C374" s="52">
        <f>IF(Учет!$O374=Справочники!$F$3,Учет!$H374,0)</f>
        <v>0</v>
      </c>
      <c r="D374" s="52">
        <f>IF(Учет!$O374=Справочники!$F$4,Учет!$H374,0)</f>
        <v>0</v>
      </c>
      <c r="E374" s="52">
        <f>IF(Учет!$O374=Справочники!$F$5,Учет!$H374,0)</f>
        <v>0</v>
      </c>
      <c r="F374" s="52">
        <f>IF(Учет!$O374=Справочники!$F$6,Учет!$H374,0)</f>
        <v>0</v>
      </c>
      <c r="G374" s="43">
        <f>G373+Учет!B374-B374</f>
        <v>-488978.92000000004</v>
      </c>
      <c r="H374" s="43">
        <f>H373+Учет!C374-C374</f>
        <v>336855</v>
      </c>
      <c r="I374" s="43">
        <f>I373+Учет!D374-D374</f>
        <v>500</v>
      </c>
      <c r="J374" s="43">
        <f>J373+Учет!E374-E374</f>
        <v>1150</v>
      </c>
      <c r="K374" s="43">
        <f>K373+Учет!F374-F374</f>
        <v>500000</v>
      </c>
      <c r="L374" s="45">
        <f>Учет!I374</f>
        <v>349526.07999999996</v>
      </c>
    </row>
    <row r="375" spans="1:12" x14ac:dyDescent="0.25">
      <c r="A375" s="48" t="str">
        <f>IF(Учет!A375&lt;&gt;"",Учет!A375,"")</f>
        <v/>
      </c>
      <c r="B375" s="52">
        <f>IF(Учет!$O375=Справочники!$F$2,Учет!$H375,0)</f>
        <v>0</v>
      </c>
      <c r="C375" s="52">
        <f>IF(Учет!$O375=Справочники!$F$3,Учет!$H375,0)</f>
        <v>0</v>
      </c>
      <c r="D375" s="52">
        <f>IF(Учет!$O375=Справочники!$F$4,Учет!$H375,0)</f>
        <v>0</v>
      </c>
      <c r="E375" s="52">
        <f>IF(Учет!$O375=Справочники!$F$5,Учет!$H375,0)</f>
        <v>0</v>
      </c>
      <c r="F375" s="52">
        <f>IF(Учет!$O375=Справочники!$F$6,Учет!$H375,0)</f>
        <v>0</v>
      </c>
      <c r="G375" s="43">
        <f>G374+Учет!B375-B375</f>
        <v>-488978.92000000004</v>
      </c>
      <c r="H375" s="43">
        <f>H374+Учет!C375-C375</f>
        <v>336855</v>
      </c>
      <c r="I375" s="43">
        <f>I374+Учет!D375-D375</f>
        <v>500</v>
      </c>
      <c r="J375" s="43">
        <f>J374+Учет!E375-E375</f>
        <v>1150</v>
      </c>
      <c r="K375" s="43">
        <f>K374+Учет!F375-F375</f>
        <v>500000</v>
      </c>
      <c r="L375" s="45">
        <f>Учет!I375</f>
        <v>349526.07999999996</v>
      </c>
    </row>
    <row r="376" spans="1:12" x14ac:dyDescent="0.25">
      <c r="A376" s="48" t="str">
        <f>IF(Учет!A376&lt;&gt;"",Учет!A376,"")</f>
        <v/>
      </c>
      <c r="B376" s="52">
        <f>IF(Учет!$O376=Справочники!$F$2,Учет!$H376,0)</f>
        <v>0</v>
      </c>
      <c r="C376" s="52">
        <f>IF(Учет!$O376=Справочники!$F$3,Учет!$H376,0)</f>
        <v>0</v>
      </c>
      <c r="D376" s="52">
        <f>IF(Учет!$O376=Справочники!$F$4,Учет!$H376,0)</f>
        <v>0</v>
      </c>
      <c r="E376" s="52">
        <f>IF(Учет!$O376=Справочники!$F$5,Учет!$H376,0)</f>
        <v>0</v>
      </c>
      <c r="F376" s="52">
        <f>IF(Учет!$O376=Справочники!$F$6,Учет!$H376,0)</f>
        <v>0</v>
      </c>
      <c r="G376" s="43">
        <f>G375+Учет!B376-B376</f>
        <v>-488978.92000000004</v>
      </c>
      <c r="H376" s="43">
        <f>H375+Учет!C376-C376</f>
        <v>336855</v>
      </c>
      <c r="I376" s="43">
        <f>I375+Учет!D376-D376</f>
        <v>500</v>
      </c>
      <c r="J376" s="43">
        <f>J375+Учет!E376-E376</f>
        <v>1150</v>
      </c>
      <c r="K376" s="43">
        <f>K375+Учет!F376-F376</f>
        <v>500000</v>
      </c>
      <c r="L376" s="45">
        <f>Учет!I376</f>
        <v>349526.07999999996</v>
      </c>
    </row>
    <row r="377" spans="1:12" x14ac:dyDescent="0.25">
      <c r="A377" s="48" t="str">
        <f>IF(Учет!A377&lt;&gt;"",Учет!A377,"")</f>
        <v/>
      </c>
      <c r="B377" s="52">
        <f>IF(Учет!$O377=Справочники!$F$2,Учет!$H377,0)</f>
        <v>0</v>
      </c>
      <c r="C377" s="52">
        <f>IF(Учет!$O377=Справочники!$F$3,Учет!$H377,0)</f>
        <v>0</v>
      </c>
      <c r="D377" s="52">
        <f>IF(Учет!$O377=Справочники!$F$4,Учет!$H377,0)</f>
        <v>0</v>
      </c>
      <c r="E377" s="52">
        <f>IF(Учет!$O377=Справочники!$F$5,Учет!$H377,0)</f>
        <v>0</v>
      </c>
      <c r="F377" s="52">
        <f>IF(Учет!$O377=Справочники!$F$6,Учет!$H377,0)</f>
        <v>0</v>
      </c>
      <c r="G377" s="43">
        <f>G376+Учет!B377-B377</f>
        <v>-488978.92000000004</v>
      </c>
      <c r="H377" s="43">
        <f>H376+Учет!C377-C377</f>
        <v>336855</v>
      </c>
      <c r="I377" s="43">
        <f>I376+Учет!D377-D377</f>
        <v>500</v>
      </c>
      <c r="J377" s="43">
        <f>J376+Учет!E377-E377</f>
        <v>1150</v>
      </c>
      <c r="K377" s="43">
        <f>K376+Учет!F377-F377</f>
        <v>500000</v>
      </c>
      <c r="L377" s="45">
        <f>Учет!I377</f>
        <v>349526.07999999996</v>
      </c>
    </row>
    <row r="378" spans="1:12" x14ac:dyDescent="0.25">
      <c r="A378" s="48" t="str">
        <f>IF(Учет!A378&lt;&gt;"",Учет!A378,"")</f>
        <v/>
      </c>
      <c r="B378" s="52">
        <f>IF(Учет!$O378=Справочники!$F$2,Учет!$H378,0)</f>
        <v>0</v>
      </c>
      <c r="C378" s="52">
        <f>IF(Учет!$O378=Справочники!$F$3,Учет!$H378,0)</f>
        <v>0</v>
      </c>
      <c r="D378" s="52">
        <f>IF(Учет!$O378=Справочники!$F$4,Учет!$H378,0)</f>
        <v>0</v>
      </c>
      <c r="E378" s="52">
        <f>IF(Учет!$O378=Справочники!$F$5,Учет!$H378,0)</f>
        <v>0</v>
      </c>
      <c r="F378" s="52">
        <f>IF(Учет!$O378=Справочники!$F$6,Учет!$H378,0)</f>
        <v>0</v>
      </c>
      <c r="G378" s="43">
        <f>G377+Учет!B378-B378</f>
        <v>-488978.92000000004</v>
      </c>
      <c r="H378" s="43">
        <f>H377+Учет!C378-C378</f>
        <v>336855</v>
      </c>
      <c r="I378" s="43">
        <f>I377+Учет!D378-D378</f>
        <v>500</v>
      </c>
      <c r="J378" s="43">
        <f>J377+Учет!E378-E378</f>
        <v>1150</v>
      </c>
      <c r="K378" s="43">
        <f>K377+Учет!F378-F378</f>
        <v>500000</v>
      </c>
      <c r="L378" s="45">
        <f>Учет!I378</f>
        <v>349526.07999999996</v>
      </c>
    </row>
    <row r="379" spans="1:12" x14ac:dyDescent="0.25">
      <c r="A379" s="48" t="str">
        <f>IF(Учет!A379&lt;&gt;"",Учет!A379,"")</f>
        <v/>
      </c>
      <c r="B379" s="52">
        <f>IF(Учет!$O379=Справочники!$F$2,Учет!$H379,0)</f>
        <v>0</v>
      </c>
      <c r="C379" s="52">
        <f>IF(Учет!$O379=Справочники!$F$3,Учет!$H379,0)</f>
        <v>0</v>
      </c>
      <c r="D379" s="52">
        <f>IF(Учет!$O379=Справочники!$F$4,Учет!$H379,0)</f>
        <v>0</v>
      </c>
      <c r="E379" s="52">
        <f>IF(Учет!$O379=Справочники!$F$5,Учет!$H379,0)</f>
        <v>0</v>
      </c>
      <c r="F379" s="52">
        <f>IF(Учет!$O379=Справочники!$F$6,Учет!$H379,0)</f>
        <v>0</v>
      </c>
      <c r="G379" s="43">
        <f>G378+Учет!B379-B379</f>
        <v>-488978.92000000004</v>
      </c>
      <c r="H379" s="43">
        <f>H378+Учет!C379-C379</f>
        <v>336855</v>
      </c>
      <c r="I379" s="43">
        <f>I378+Учет!D379-D379</f>
        <v>500</v>
      </c>
      <c r="J379" s="43">
        <f>J378+Учет!E379-E379</f>
        <v>1150</v>
      </c>
      <c r="K379" s="43">
        <f>K378+Учет!F379-F379</f>
        <v>500000</v>
      </c>
      <c r="L379" s="45">
        <f>Учет!I379</f>
        <v>349526.07999999996</v>
      </c>
    </row>
    <row r="380" spans="1:12" x14ac:dyDescent="0.25">
      <c r="A380" s="48" t="str">
        <f>IF(Учет!A380&lt;&gt;"",Учет!A380,"")</f>
        <v/>
      </c>
      <c r="B380" s="52">
        <f>IF(Учет!$O380=Справочники!$F$2,Учет!$H380,0)</f>
        <v>0</v>
      </c>
      <c r="C380" s="52">
        <f>IF(Учет!$O380=Справочники!$F$3,Учет!$H380,0)</f>
        <v>0</v>
      </c>
      <c r="D380" s="52">
        <f>IF(Учет!$O380=Справочники!$F$4,Учет!$H380,0)</f>
        <v>0</v>
      </c>
      <c r="E380" s="52">
        <f>IF(Учет!$O380=Справочники!$F$5,Учет!$H380,0)</f>
        <v>0</v>
      </c>
      <c r="F380" s="52">
        <f>IF(Учет!$O380=Справочники!$F$6,Учет!$H380,0)</f>
        <v>0</v>
      </c>
      <c r="G380" s="43">
        <f>G379+Учет!B380-B380</f>
        <v>-488978.92000000004</v>
      </c>
      <c r="H380" s="43">
        <f>H379+Учет!C380-C380</f>
        <v>336855</v>
      </c>
      <c r="I380" s="43">
        <f>I379+Учет!D380-D380</f>
        <v>500</v>
      </c>
      <c r="J380" s="43">
        <f>J379+Учет!E380-E380</f>
        <v>1150</v>
      </c>
      <c r="K380" s="43">
        <f>K379+Учет!F380-F380</f>
        <v>500000</v>
      </c>
      <c r="L380" s="45">
        <f>Учет!I380</f>
        <v>349526.07999999996</v>
      </c>
    </row>
    <row r="381" spans="1:12" x14ac:dyDescent="0.25">
      <c r="A381" s="48" t="str">
        <f>IF(Учет!A381&lt;&gt;"",Учет!A381,"")</f>
        <v/>
      </c>
      <c r="B381" s="52">
        <f>IF(Учет!$O381=Справочники!$F$2,Учет!$H381,0)</f>
        <v>0</v>
      </c>
      <c r="C381" s="52">
        <f>IF(Учет!$O381=Справочники!$F$3,Учет!$H381,0)</f>
        <v>0</v>
      </c>
      <c r="D381" s="52">
        <f>IF(Учет!$O381=Справочники!$F$4,Учет!$H381,0)</f>
        <v>0</v>
      </c>
      <c r="E381" s="52">
        <f>IF(Учет!$O381=Справочники!$F$5,Учет!$H381,0)</f>
        <v>0</v>
      </c>
      <c r="F381" s="52">
        <f>IF(Учет!$O381=Справочники!$F$6,Учет!$H381,0)</f>
        <v>0</v>
      </c>
      <c r="G381" s="43">
        <f>G380+Учет!B381-B381</f>
        <v>-488978.92000000004</v>
      </c>
      <c r="H381" s="43">
        <f>H380+Учет!C381-C381</f>
        <v>336855</v>
      </c>
      <c r="I381" s="43">
        <f>I380+Учет!D381-D381</f>
        <v>500</v>
      </c>
      <c r="J381" s="43">
        <f>J380+Учет!E381-E381</f>
        <v>1150</v>
      </c>
      <c r="K381" s="43">
        <f>K380+Учет!F381-F381</f>
        <v>500000</v>
      </c>
      <c r="L381" s="45">
        <f>Учет!I381</f>
        <v>349526.07999999996</v>
      </c>
    </row>
    <row r="382" spans="1:12" x14ac:dyDescent="0.25">
      <c r="A382" s="48" t="str">
        <f>IF(Учет!A382&lt;&gt;"",Учет!A382,"")</f>
        <v/>
      </c>
      <c r="B382" s="52">
        <f>IF(Учет!$O382=Справочники!$F$2,Учет!$H382,0)</f>
        <v>0</v>
      </c>
      <c r="C382" s="52">
        <f>IF(Учет!$O382=Справочники!$F$3,Учет!$H382,0)</f>
        <v>0</v>
      </c>
      <c r="D382" s="52">
        <f>IF(Учет!$O382=Справочники!$F$4,Учет!$H382,0)</f>
        <v>0</v>
      </c>
      <c r="E382" s="52">
        <f>IF(Учет!$O382=Справочники!$F$5,Учет!$H382,0)</f>
        <v>0</v>
      </c>
      <c r="F382" s="52">
        <f>IF(Учет!$O382=Справочники!$F$6,Учет!$H382,0)</f>
        <v>0</v>
      </c>
      <c r="G382" s="43">
        <f>G381+Учет!B382-B382</f>
        <v>-488978.92000000004</v>
      </c>
      <c r="H382" s="43">
        <f>H381+Учет!C382-C382</f>
        <v>336855</v>
      </c>
      <c r="I382" s="43">
        <f>I381+Учет!D382-D382</f>
        <v>500</v>
      </c>
      <c r="J382" s="43">
        <f>J381+Учет!E382-E382</f>
        <v>1150</v>
      </c>
      <c r="K382" s="43">
        <f>K381+Учет!F382-F382</f>
        <v>500000</v>
      </c>
      <c r="L382" s="45">
        <f>Учет!I382</f>
        <v>349526.07999999996</v>
      </c>
    </row>
    <row r="383" spans="1:12" x14ac:dyDescent="0.25">
      <c r="A383" s="48" t="str">
        <f>IF(Учет!A383&lt;&gt;"",Учет!A383,"")</f>
        <v/>
      </c>
      <c r="B383" s="52">
        <f>IF(Учет!$O383=Справочники!$F$2,Учет!$H383,0)</f>
        <v>0</v>
      </c>
      <c r="C383" s="52">
        <f>IF(Учет!$O383=Справочники!$F$3,Учет!$H383,0)</f>
        <v>0</v>
      </c>
      <c r="D383" s="52">
        <f>IF(Учет!$O383=Справочники!$F$4,Учет!$H383,0)</f>
        <v>0</v>
      </c>
      <c r="E383" s="52">
        <f>IF(Учет!$O383=Справочники!$F$5,Учет!$H383,0)</f>
        <v>0</v>
      </c>
      <c r="F383" s="52">
        <f>IF(Учет!$O383=Справочники!$F$6,Учет!$H383,0)</f>
        <v>0</v>
      </c>
      <c r="G383" s="43">
        <f>G382+Учет!B383-B383</f>
        <v>-488978.92000000004</v>
      </c>
      <c r="H383" s="43">
        <f>H382+Учет!C383-C383</f>
        <v>336855</v>
      </c>
      <c r="I383" s="43">
        <f>I382+Учет!D383-D383</f>
        <v>500</v>
      </c>
      <c r="J383" s="43">
        <f>J382+Учет!E383-E383</f>
        <v>1150</v>
      </c>
      <c r="K383" s="43">
        <f>K382+Учет!F383-F383</f>
        <v>500000</v>
      </c>
      <c r="L383" s="45">
        <f>Учет!I383</f>
        <v>349526.07999999996</v>
      </c>
    </row>
    <row r="384" spans="1:12" x14ac:dyDescent="0.25">
      <c r="A384" s="48" t="str">
        <f>IF(Учет!A384&lt;&gt;"",Учет!A384,"")</f>
        <v/>
      </c>
      <c r="B384" s="52">
        <f>IF(Учет!$O384=Справочники!$F$2,Учет!$H384,0)</f>
        <v>0</v>
      </c>
      <c r="C384" s="52">
        <f>IF(Учет!$O384=Справочники!$F$3,Учет!$H384,0)</f>
        <v>0</v>
      </c>
      <c r="D384" s="52">
        <f>IF(Учет!$O384=Справочники!$F$4,Учет!$H384,0)</f>
        <v>0</v>
      </c>
      <c r="E384" s="52">
        <f>IF(Учет!$O384=Справочники!$F$5,Учет!$H384,0)</f>
        <v>0</v>
      </c>
      <c r="F384" s="52">
        <f>IF(Учет!$O384=Справочники!$F$6,Учет!$H384,0)</f>
        <v>0</v>
      </c>
      <c r="G384" s="43">
        <f>G383+Учет!B384-B384</f>
        <v>-488978.92000000004</v>
      </c>
      <c r="H384" s="43">
        <f>H383+Учет!C384-C384</f>
        <v>336855</v>
      </c>
      <c r="I384" s="43">
        <f>I383+Учет!D384-D384</f>
        <v>500</v>
      </c>
      <c r="J384" s="43">
        <f>J383+Учет!E384-E384</f>
        <v>1150</v>
      </c>
      <c r="K384" s="43">
        <f>K383+Учет!F384-F384</f>
        <v>500000</v>
      </c>
      <c r="L384" s="45">
        <f>Учет!I384</f>
        <v>349526.07999999996</v>
      </c>
    </row>
    <row r="385" spans="1:12" x14ac:dyDescent="0.25">
      <c r="A385" s="48" t="str">
        <f>IF(Учет!A385&lt;&gt;"",Учет!A385,"")</f>
        <v/>
      </c>
      <c r="B385" s="52">
        <f>IF(Учет!$O385=Справочники!$F$2,Учет!$H385,0)</f>
        <v>0</v>
      </c>
      <c r="C385" s="52">
        <f>IF(Учет!$O385=Справочники!$F$3,Учет!$H385,0)</f>
        <v>0</v>
      </c>
      <c r="D385" s="52">
        <f>IF(Учет!$O385=Справочники!$F$4,Учет!$H385,0)</f>
        <v>0</v>
      </c>
      <c r="E385" s="52">
        <f>IF(Учет!$O385=Справочники!$F$5,Учет!$H385,0)</f>
        <v>0</v>
      </c>
      <c r="F385" s="52">
        <f>IF(Учет!$O385=Справочники!$F$6,Учет!$H385,0)</f>
        <v>0</v>
      </c>
      <c r="G385" s="43">
        <f>G384+Учет!B385-B385</f>
        <v>-488978.92000000004</v>
      </c>
      <c r="H385" s="43">
        <f>H384+Учет!C385-C385</f>
        <v>336855</v>
      </c>
      <c r="I385" s="43">
        <f>I384+Учет!D385-D385</f>
        <v>500</v>
      </c>
      <c r="J385" s="43">
        <f>J384+Учет!E385-E385</f>
        <v>1150</v>
      </c>
      <c r="K385" s="43">
        <f>K384+Учет!F385-F385</f>
        <v>500000</v>
      </c>
      <c r="L385" s="45">
        <f>Учет!I385</f>
        <v>349526.07999999996</v>
      </c>
    </row>
    <row r="386" spans="1:12" x14ac:dyDescent="0.25">
      <c r="A386" s="48" t="str">
        <f>IF(Учет!A386&lt;&gt;"",Учет!A386,"")</f>
        <v/>
      </c>
      <c r="B386" s="52">
        <f>IF(Учет!$O386=Справочники!$F$2,Учет!$H386,0)</f>
        <v>0</v>
      </c>
      <c r="C386" s="52">
        <f>IF(Учет!$O386=Справочники!$F$3,Учет!$H386,0)</f>
        <v>0</v>
      </c>
      <c r="D386" s="52">
        <f>IF(Учет!$O386=Справочники!$F$4,Учет!$H386,0)</f>
        <v>0</v>
      </c>
      <c r="E386" s="52">
        <f>IF(Учет!$O386=Справочники!$F$5,Учет!$H386,0)</f>
        <v>0</v>
      </c>
      <c r="F386" s="52">
        <f>IF(Учет!$O386=Справочники!$F$6,Учет!$H386,0)</f>
        <v>0</v>
      </c>
      <c r="G386" s="43">
        <f>G385+Учет!B386-B386</f>
        <v>-488978.92000000004</v>
      </c>
      <c r="H386" s="43">
        <f>H385+Учет!C386-C386</f>
        <v>336855</v>
      </c>
      <c r="I386" s="43">
        <f>I385+Учет!D386-D386</f>
        <v>500</v>
      </c>
      <c r="J386" s="43">
        <f>J385+Учет!E386-E386</f>
        <v>1150</v>
      </c>
      <c r="K386" s="43">
        <f>K385+Учет!F386-F386</f>
        <v>500000</v>
      </c>
      <c r="L386" s="45">
        <f>Учет!I386</f>
        <v>349526.07999999996</v>
      </c>
    </row>
    <row r="387" spans="1:12" x14ac:dyDescent="0.25">
      <c r="A387" s="48" t="str">
        <f>IF(Учет!A387&lt;&gt;"",Учет!A387,"")</f>
        <v/>
      </c>
      <c r="B387" s="52">
        <f>IF(Учет!$O387=Справочники!$F$2,Учет!$H387,0)</f>
        <v>0</v>
      </c>
      <c r="C387" s="52">
        <f>IF(Учет!$O387=Справочники!$F$3,Учет!$H387,0)</f>
        <v>0</v>
      </c>
      <c r="D387" s="52">
        <f>IF(Учет!$O387=Справочники!$F$4,Учет!$H387,0)</f>
        <v>0</v>
      </c>
      <c r="E387" s="52">
        <f>IF(Учет!$O387=Справочники!$F$5,Учет!$H387,0)</f>
        <v>0</v>
      </c>
      <c r="F387" s="52">
        <f>IF(Учет!$O387=Справочники!$F$6,Учет!$H387,0)</f>
        <v>0</v>
      </c>
      <c r="G387" s="43">
        <f>G386+Учет!B387-B387</f>
        <v>-488978.92000000004</v>
      </c>
      <c r="H387" s="43">
        <f>H386+Учет!C387-C387</f>
        <v>336855</v>
      </c>
      <c r="I387" s="43">
        <f>I386+Учет!D387-D387</f>
        <v>500</v>
      </c>
      <c r="J387" s="43">
        <f>J386+Учет!E387-E387</f>
        <v>1150</v>
      </c>
      <c r="K387" s="43">
        <f>K386+Учет!F387-F387</f>
        <v>500000</v>
      </c>
      <c r="L387" s="45">
        <f>Учет!I387</f>
        <v>349526.07999999996</v>
      </c>
    </row>
    <row r="388" spans="1:12" x14ac:dyDescent="0.25">
      <c r="A388" s="48" t="str">
        <f>IF(Учет!A388&lt;&gt;"",Учет!A388,"")</f>
        <v/>
      </c>
      <c r="B388" s="52">
        <f>IF(Учет!$O388=Справочники!$F$2,Учет!$H388,0)</f>
        <v>0</v>
      </c>
      <c r="C388" s="52">
        <f>IF(Учет!$O388=Справочники!$F$3,Учет!$H388,0)</f>
        <v>0</v>
      </c>
      <c r="D388" s="52">
        <f>IF(Учет!$O388=Справочники!$F$4,Учет!$H388,0)</f>
        <v>0</v>
      </c>
      <c r="E388" s="52">
        <f>IF(Учет!$O388=Справочники!$F$5,Учет!$H388,0)</f>
        <v>0</v>
      </c>
      <c r="F388" s="52">
        <f>IF(Учет!$O388=Справочники!$F$6,Учет!$H388,0)</f>
        <v>0</v>
      </c>
      <c r="G388" s="43">
        <f>G387+Учет!B388-B388</f>
        <v>-488978.92000000004</v>
      </c>
      <c r="H388" s="43">
        <f>H387+Учет!C388-C388</f>
        <v>336855</v>
      </c>
      <c r="I388" s="43">
        <f>I387+Учет!D388-D388</f>
        <v>500</v>
      </c>
      <c r="J388" s="43">
        <f>J387+Учет!E388-E388</f>
        <v>1150</v>
      </c>
      <c r="K388" s="43">
        <f>K387+Учет!F388-F388</f>
        <v>500000</v>
      </c>
      <c r="L388" s="45">
        <f>Учет!I388</f>
        <v>349526.07999999996</v>
      </c>
    </row>
    <row r="389" spans="1:12" x14ac:dyDescent="0.25">
      <c r="A389" s="48" t="str">
        <f>IF(Учет!A389&lt;&gt;"",Учет!A389,"")</f>
        <v/>
      </c>
      <c r="B389" s="52">
        <f>IF(Учет!$O389=Справочники!$F$2,Учет!$H389,0)</f>
        <v>0</v>
      </c>
      <c r="C389" s="52">
        <f>IF(Учет!$O389=Справочники!$F$3,Учет!$H389,0)</f>
        <v>0</v>
      </c>
      <c r="D389" s="52">
        <f>IF(Учет!$O389=Справочники!$F$4,Учет!$H389,0)</f>
        <v>0</v>
      </c>
      <c r="E389" s="52">
        <f>IF(Учет!$O389=Справочники!$F$5,Учет!$H389,0)</f>
        <v>0</v>
      </c>
      <c r="F389" s="52">
        <f>IF(Учет!$O389=Справочники!$F$6,Учет!$H389,0)</f>
        <v>0</v>
      </c>
      <c r="G389" s="43">
        <f>G388+Учет!B389-B389</f>
        <v>-488978.92000000004</v>
      </c>
      <c r="H389" s="43">
        <f>H388+Учет!C389-C389</f>
        <v>336855</v>
      </c>
      <c r="I389" s="43">
        <f>I388+Учет!D389-D389</f>
        <v>500</v>
      </c>
      <c r="J389" s="43">
        <f>J388+Учет!E389-E389</f>
        <v>1150</v>
      </c>
      <c r="K389" s="43">
        <f>K388+Учет!F389-F389</f>
        <v>500000</v>
      </c>
      <c r="L389" s="45">
        <f>Учет!I389</f>
        <v>349526.07999999996</v>
      </c>
    </row>
    <row r="390" spans="1:12" x14ac:dyDescent="0.25">
      <c r="A390" s="48" t="str">
        <f>IF(Учет!A390&lt;&gt;"",Учет!A390,"")</f>
        <v/>
      </c>
      <c r="B390" s="52">
        <f>IF(Учет!$O390=Справочники!$F$2,Учет!$H390,0)</f>
        <v>0</v>
      </c>
      <c r="C390" s="52">
        <f>IF(Учет!$O390=Справочники!$F$3,Учет!$H390,0)</f>
        <v>0</v>
      </c>
      <c r="D390" s="52">
        <f>IF(Учет!$O390=Справочники!$F$4,Учет!$H390,0)</f>
        <v>0</v>
      </c>
      <c r="E390" s="52">
        <f>IF(Учет!$O390=Справочники!$F$5,Учет!$H390,0)</f>
        <v>0</v>
      </c>
      <c r="F390" s="52">
        <f>IF(Учет!$O390=Справочники!$F$6,Учет!$H390,0)</f>
        <v>0</v>
      </c>
      <c r="G390" s="43">
        <f>G389+Учет!B390-B390</f>
        <v>-488978.92000000004</v>
      </c>
      <c r="H390" s="43">
        <f>H389+Учет!C390-C390</f>
        <v>336855</v>
      </c>
      <c r="I390" s="43">
        <f>I389+Учет!D390-D390</f>
        <v>500</v>
      </c>
      <c r="J390" s="43">
        <f>J389+Учет!E390-E390</f>
        <v>1150</v>
      </c>
      <c r="K390" s="43">
        <f>K389+Учет!F390-F390</f>
        <v>500000</v>
      </c>
      <c r="L390" s="45">
        <f>Учет!I390</f>
        <v>349526.07999999996</v>
      </c>
    </row>
    <row r="391" spans="1:12" x14ac:dyDescent="0.25">
      <c r="A391" s="48" t="str">
        <f>IF(Учет!A391&lt;&gt;"",Учет!A391,"")</f>
        <v/>
      </c>
      <c r="B391" s="52">
        <f>IF(Учет!$O391=Справочники!$F$2,Учет!$H391,0)</f>
        <v>0</v>
      </c>
      <c r="C391" s="52">
        <f>IF(Учет!$O391=Справочники!$F$3,Учет!$H391,0)</f>
        <v>0</v>
      </c>
      <c r="D391" s="52">
        <f>IF(Учет!$O391=Справочники!$F$4,Учет!$H391,0)</f>
        <v>0</v>
      </c>
      <c r="E391" s="52">
        <f>IF(Учет!$O391=Справочники!$F$5,Учет!$H391,0)</f>
        <v>0</v>
      </c>
      <c r="F391" s="52">
        <f>IF(Учет!$O391=Справочники!$F$6,Учет!$H391,0)</f>
        <v>0</v>
      </c>
      <c r="G391" s="43">
        <f>G390+Учет!B391-B391</f>
        <v>-488978.92000000004</v>
      </c>
      <c r="H391" s="43">
        <f>H390+Учет!C391-C391</f>
        <v>336855</v>
      </c>
      <c r="I391" s="43">
        <f>I390+Учет!D391-D391</f>
        <v>500</v>
      </c>
      <c r="J391" s="43">
        <f>J390+Учет!E391-E391</f>
        <v>1150</v>
      </c>
      <c r="K391" s="43">
        <f>K390+Учет!F391-F391</f>
        <v>500000</v>
      </c>
      <c r="L391" s="45">
        <f>Учет!I391</f>
        <v>349526.07999999996</v>
      </c>
    </row>
    <row r="392" spans="1:12" x14ac:dyDescent="0.25">
      <c r="A392" s="48" t="str">
        <f>IF(Учет!A392&lt;&gt;"",Учет!A392,"")</f>
        <v/>
      </c>
      <c r="B392" s="52">
        <f>IF(Учет!$O392=Справочники!$F$2,Учет!$H392,0)</f>
        <v>0</v>
      </c>
      <c r="C392" s="52">
        <f>IF(Учет!$O392=Справочники!$F$3,Учет!$H392,0)</f>
        <v>0</v>
      </c>
      <c r="D392" s="52">
        <f>IF(Учет!$O392=Справочники!$F$4,Учет!$H392,0)</f>
        <v>0</v>
      </c>
      <c r="E392" s="52">
        <f>IF(Учет!$O392=Справочники!$F$5,Учет!$H392,0)</f>
        <v>0</v>
      </c>
      <c r="F392" s="52">
        <f>IF(Учет!$O392=Справочники!$F$6,Учет!$H392,0)</f>
        <v>0</v>
      </c>
      <c r="G392" s="43">
        <f>G391+Учет!B392-B392</f>
        <v>-488978.92000000004</v>
      </c>
      <c r="H392" s="43">
        <f>H391+Учет!C392-C392</f>
        <v>336855</v>
      </c>
      <c r="I392" s="43">
        <f>I391+Учет!D392-D392</f>
        <v>500</v>
      </c>
      <c r="J392" s="43">
        <f>J391+Учет!E392-E392</f>
        <v>1150</v>
      </c>
      <c r="K392" s="43">
        <f>K391+Учет!F392-F392</f>
        <v>500000</v>
      </c>
      <c r="L392" s="45">
        <f>Учет!I392</f>
        <v>349526.07999999996</v>
      </c>
    </row>
    <row r="393" spans="1:12" x14ac:dyDescent="0.25">
      <c r="A393" s="48" t="str">
        <f>IF(Учет!A393&lt;&gt;"",Учет!A393,"")</f>
        <v/>
      </c>
      <c r="B393" s="52">
        <f>IF(Учет!$O393=Справочники!$F$2,Учет!$H393,0)</f>
        <v>0</v>
      </c>
      <c r="C393" s="52">
        <f>IF(Учет!$O393=Справочники!$F$3,Учет!$H393,0)</f>
        <v>0</v>
      </c>
      <c r="D393" s="52">
        <f>IF(Учет!$O393=Справочники!$F$4,Учет!$H393,0)</f>
        <v>0</v>
      </c>
      <c r="E393" s="52">
        <f>IF(Учет!$O393=Справочники!$F$5,Учет!$H393,0)</f>
        <v>0</v>
      </c>
      <c r="F393" s="52">
        <f>IF(Учет!$O393=Справочники!$F$6,Учет!$H393,0)</f>
        <v>0</v>
      </c>
      <c r="G393" s="43">
        <f>G392+Учет!B393-B393</f>
        <v>-488978.92000000004</v>
      </c>
      <c r="H393" s="43">
        <f>H392+Учет!C393-C393</f>
        <v>336855</v>
      </c>
      <c r="I393" s="43">
        <f>I392+Учет!D393-D393</f>
        <v>500</v>
      </c>
      <c r="J393" s="43">
        <f>J392+Учет!E393-E393</f>
        <v>1150</v>
      </c>
      <c r="K393" s="43">
        <f>K392+Учет!F393-F393</f>
        <v>500000</v>
      </c>
      <c r="L393" s="45">
        <f>Учет!I393</f>
        <v>349526.07999999996</v>
      </c>
    </row>
    <row r="394" spans="1:12" x14ac:dyDescent="0.25">
      <c r="A394" s="48" t="str">
        <f>IF(Учет!A394&lt;&gt;"",Учет!A394,"")</f>
        <v/>
      </c>
      <c r="B394" s="52">
        <f>IF(Учет!$O394=Справочники!$F$2,Учет!$H394,0)</f>
        <v>0</v>
      </c>
      <c r="C394" s="52">
        <f>IF(Учет!$O394=Справочники!$F$3,Учет!$H394,0)</f>
        <v>0</v>
      </c>
      <c r="D394" s="52">
        <f>IF(Учет!$O394=Справочники!$F$4,Учет!$H394,0)</f>
        <v>0</v>
      </c>
      <c r="E394" s="52">
        <f>IF(Учет!$O394=Справочники!$F$5,Учет!$H394,0)</f>
        <v>0</v>
      </c>
      <c r="F394" s="52">
        <f>IF(Учет!$O394=Справочники!$F$6,Учет!$H394,0)</f>
        <v>0</v>
      </c>
      <c r="G394" s="43">
        <f>G393+Учет!B394-B394</f>
        <v>-488978.92000000004</v>
      </c>
      <c r="H394" s="43">
        <f>H393+Учет!C394-C394</f>
        <v>336855</v>
      </c>
      <c r="I394" s="43">
        <f>I393+Учет!D394-D394</f>
        <v>500</v>
      </c>
      <c r="J394" s="43">
        <f>J393+Учет!E394-E394</f>
        <v>1150</v>
      </c>
      <c r="K394" s="43">
        <f>K393+Учет!F394-F394</f>
        <v>500000</v>
      </c>
      <c r="L394" s="45">
        <f>Учет!I394</f>
        <v>349526.07999999996</v>
      </c>
    </row>
    <row r="395" spans="1:12" x14ac:dyDescent="0.25">
      <c r="A395" s="48" t="str">
        <f>IF(Учет!A395&lt;&gt;"",Учет!A395,"")</f>
        <v/>
      </c>
      <c r="B395" s="52">
        <f>IF(Учет!$O395=Справочники!$F$2,Учет!$H395,0)</f>
        <v>0</v>
      </c>
      <c r="C395" s="52">
        <f>IF(Учет!$O395=Справочники!$F$3,Учет!$H395,0)</f>
        <v>0</v>
      </c>
      <c r="D395" s="52">
        <f>IF(Учет!$O395=Справочники!$F$4,Учет!$H395,0)</f>
        <v>0</v>
      </c>
      <c r="E395" s="52">
        <f>IF(Учет!$O395=Справочники!$F$5,Учет!$H395,0)</f>
        <v>0</v>
      </c>
      <c r="F395" s="52">
        <f>IF(Учет!$O395=Справочники!$F$6,Учет!$H395,0)</f>
        <v>0</v>
      </c>
      <c r="G395" s="43">
        <f>G394+Учет!B395-B395</f>
        <v>-488978.92000000004</v>
      </c>
      <c r="H395" s="43">
        <f>H394+Учет!C395-C395</f>
        <v>336855</v>
      </c>
      <c r="I395" s="43">
        <f>I394+Учет!D395-D395</f>
        <v>500</v>
      </c>
      <c r="J395" s="43">
        <f>J394+Учет!E395-E395</f>
        <v>1150</v>
      </c>
      <c r="K395" s="43">
        <f>K394+Учет!F395-F395</f>
        <v>500000</v>
      </c>
      <c r="L395" s="45">
        <f>Учет!I395</f>
        <v>349526.07999999996</v>
      </c>
    </row>
    <row r="396" spans="1:12" x14ac:dyDescent="0.25">
      <c r="A396" s="48" t="str">
        <f>IF(Учет!A396&lt;&gt;"",Учет!A396,"")</f>
        <v/>
      </c>
      <c r="B396" s="52">
        <f>IF(Учет!$O396=Справочники!$F$2,Учет!$H396,0)</f>
        <v>0</v>
      </c>
      <c r="C396" s="52">
        <f>IF(Учет!$O396=Справочники!$F$3,Учет!$H396,0)</f>
        <v>0</v>
      </c>
      <c r="D396" s="52">
        <f>IF(Учет!$O396=Справочники!$F$4,Учет!$H396,0)</f>
        <v>0</v>
      </c>
      <c r="E396" s="52">
        <f>IF(Учет!$O396=Справочники!$F$5,Учет!$H396,0)</f>
        <v>0</v>
      </c>
      <c r="F396" s="52">
        <f>IF(Учет!$O396=Справочники!$F$6,Учет!$H396,0)</f>
        <v>0</v>
      </c>
      <c r="G396" s="43">
        <f>G395+Учет!B396-B396</f>
        <v>-488978.92000000004</v>
      </c>
      <c r="H396" s="43">
        <f>H395+Учет!C396-C396</f>
        <v>336855</v>
      </c>
      <c r="I396" s="43">
        <f>I395+Учет!D396-D396</f>
        <v>500</v>
      </c>
      <c r="J396" s="43">
        <f>J395+Учет!E396-E396</f>
        <v>1150</v>
      </c>
      <c r="K396" s="43">
        <f>K395+Учет!F396-F396</f>
        <v>500000</v>
      </c>
      <c r="L396" s="45">
        <f>Учет!I396</f>
        <v>349526.07999999996</v>
      </c>
    </row>
    <row r="397" spans="1:12" x14ac:dyDescent="0.25">
      <c r="A397" s="48" t="str">
        <f>IF(Учет!A397&lt;&gt;"",Учет!A397,"")</f>
        <v/>
      </c>
      <c r="B397" s="52">
        <f>IF(Учет!$O397=Справочники!$F$2,Учет!$H397,0)</f>
        <v>0</v>
      </c>
      <c r="C397" s="52">
        <f>IF(Учет!$O397=Справочники!$F$3,Учет!$H397,0)</f>
        <v>0</v>
      </c>
      <c r="D397" s="52">
        <f>IF(Учет!$O397=Справочники!$F$4,Учет!$H397,0)</f>
        <v>0</v>
      </c>
      <c r="E397" s="52">
        <f>IF(Учет!$O397=Справочники!$F$5,Учет!$H397,0)</f>
        <v>0</v>
      </c>
      <c r="F397" s="52">
        <f>IF(Учет!$O397=Справочники!$F$6,Учет!$H397,0)</f>
        <v>0</v>
      </c>
      <c r="G397" s="43">
        <f>G396+Учет!B397-B397</f>
        <v>-488978.92000000004</v>
      </c>
      <c r="H397" s="43">
        <f>H396+Учет!C397-C397</f>
        <v>336855</v>
      </c>
      <c r="I397" s="43">
        <f>I396+Учет!D397-D397</f>
        <v>500</v>
      </c>
      <c r="J397" s="43">
        <f>J396+Учет!E397-E397</f>
        <v>1150</v>
      </c>
      <c r="K397" s="43">
        <f>K396+Учет!F397-F397</f>
        <v>500000</v>
      </c>
      <c r="L397" s="45">
        <f>Учет!I397</f>
        <v>349526.07999999996</v>
      </c>
    </row>
    <row r="398" spans="1:12" x14ac:dyDescent="0.25">
      <c r="A398" s="48" t="str">
        <f>IF(Учет!A398&lt;&gt;"",Учет!A398,"")</f>
        <v/>
      </c>
      <c r="B398" s="52">
        <f>IF(Учет!$O398=Справочники!$F$2,Учет!$H398,0)</f>
        <v>0</v>
      </c>
      <c r="C398" s="52">
        <f>IF(Учет!$O398=Справочники!$F$3,Учет!$H398,0)</f>
        <v>0</v>
      </c>
      <c r="D398" s="52">
        <f>IF(Учет!$O398=Справочники!$F$4,Учет!$H398,0)</f>
        <v>0</v>
      </c>
      <c r="E398" s="52">
        <f>IF(Учет!$O398=Справочники!$F$5,Учет!$H398,0)</f>
        <v>0</v>
      </c>
      <c r="F398" s="52">
        <f>IF(Учет!$O398=Справочники!$F$6,Учет!$H398,0)</f>
        <v>0</v>
      </c>
      <c r="G398" s="43">
        <f>G397+Учет!B398-B398</f>
        <v>-488978.92000000004</v>
      </c>
      <c r="H398" s="43">
        <f>H397+Учет!C398-C398</f>
        <v>336855</v>
      </c>
      <c r="I398" s="43">
        <f>I397+Учет!D398-D398</f>
        <v>500</v>
      </c>
      <c r="J398" s="43">
        <f>J397+Учет!E398-E398</f>
        <v>1150</v>
      </c>
      <c r="K398" s="43">
        <f>K397+Учет!F398-F398</f>
        <v>500000</v>
      </c>
      <c r="L398" s="45">
        <f>Учет!I398</f>
        <v>349526.07999999996</v>
      </c>
    </row>
    <row r="399" spans="1:12" x14ac:dyDescent="0.25">
      <c r="A399" s="48" t="str">
        <f>IF(Учет!A399&lt;&gt;"",Учет!A399,"")</f>
        <v/>
      </c>
      <c r="B399" s="52">
        <f>IF(Учет!$O399=Справочники!$F$2,Учет!$H399,0)</f>
        <v>0</v>
      </c>
      <c r="C399" s="52">
        <f>IF(Учет!$O399=Справочники!$F$3,Учет!$H399,0)</f>
        <v>0</v>
      </c>
      <c r="D399" s="52">
        <f>IF(Учет!$O399=Справочники!$F$4,Учет!$H399,0)</f>
        <v>0</v>
      </c>
      <c r="E399" s="52">
        <f>IF(Учет!$O399=Справочники!$F$5,Учет!$H399,0)</f>
        <v>0</v>
      </c>
      <c r="F399" s="52">
        <f>IF(Учет!$O399=Справочники!$F$6,Учет!$H399,0)</f>
        <v>0</v>
      </c>
      <c r="G399" s="43">
        <f>G398+Учет!B399-B399</f>
        <v>-488978.92000000004</v>
      </c>
      <c r="H399" s="43">
        <f>H398+Учет!C399-C399</f>
        <v>336855</v>
      </c>
      <c r="I399" s="43">
        <f>I398+Учет!D399-D399</f>
        <v>500</v>
      </c>
      <c r="J399" s="43">
        <f>J398+Учет!E399-E399</f>
        <v>1150</v>
      </c>
      <c r="K399" s="43">
        <f>K398+Учет!F399-F399</f>
        <v>500000</v>
      </c>
      <c r="L399" s="45">
        <f>Учет!I399</f>
        <v>349526.07999999996</v>
      </c>
    </row>
    <row r="400" spans="1:12" x14ac:dyDescent="0.25">
      <c r="A400" s="48" t="str">
        <f>IF(Учет!A400&lt;&gt;"",Учет!A400,"")</f>
        <v/>
      </c>
      <c r="B400" s="52">
        <f>IF(Учет!$O400=Справочники!$F$2,Учет!$H400,0)</f>
        <v>0</v>
      </c>
      <c r="C400" s="52">
        <f>IF(Учет!$O400=Справочники!$F$3,Учет!$H400,0)</f>
        <v>0</v>
      </c>
      <c r="D400" s="52">
        <f>IF(Учет!$O400=Справочники!$F$4,Учет!$H400,0)</f>
        <v>0</v>
      </c>
      <c r="E400" s="52">
        <f>IF(Учет!$O400=Справочники!$F$5,Учет!$H400,0)</f>
        <v>0</v>
      </c>
      <c r="F400" s="52">
        <f>IF(Учет!$O400=Справочники!$F$6,Учет!$H400,0)</f>
        <v>0</v>
      </c>
      <c r="G400" s="43">
        <f>G399+Учет!B400-B400</f>
        <v>-488978.92000000004</v>
      </c>
      <c r="H400" s="43">
        <f>H399+Учет!C400-C400</f>
        <v>336855</v>
      </c>
      <c r="I400" s="43">
        <f>I399+Учет!D400-D400</f>
        <v>500</v>
      </c>
      <c r="J400" s="43">
        <f>J399+Учет!E400-E400</f>
        <v>1150</v>
      </c>
      <c r="K400" s="43">
        <f>K399+Учет!F400-F400</f>
        <v>500000</v>
      </c>
      <c r="L400" s="45">
        <f>Учет!I400</f>
        <v>349526.07999999996</v>
      </c>
    </row>
    <row r="401" spans="1:12" x14ac:dyDescent="0.25">
      <c r="A401" s="48" t="str">
        <f>IF(Учет!A401&lt;&gt;"",Учет!A401,"")</f>
        <v/>
      </c>
      <c r="B401" s="52">
        <f>IF(Учет!$O401=Справочники!$F$2,Учет!$H401,0)</f>
        <v>0</v>
      </c>
      <c r="C401" s="52">
        <f>IF(Учет!$O401=Справочники!$F$3,Учет!$H401,0)</f>
        <v>0</v>
      </c>
      <c r="D401" s="52">
        <f>IF(Учет!$O401=Справочники!$F$4,Учет!$H401,0)</f>
        <v>0</v>
      </c>
      <c r="E401" s="52">
        <f>IF(Учет!$O401=Справочники!$F$5,Учет!$H401,0)</f>
        <v>0</v>
      </c>
      <c r="F401" s="52">
        <f>IF(Учет!$O401=Справочники!$F$6,Учет!$H401,0)</f>
        <v>0</v>
      </c>
      <c r="G401" s="43">
        <f>G400+Учет!B401-B401</f>
        <v>-488978.92000000004</v>
      </c>
      <c r="H401" s="43">
        <f>H400+Учет!C401-C401</f>
        <v>336855</v>
      </c>
      <c r="I401" s="43">
        <f>I400+Учет!D401-D401</f>
        <v>500</v>
      </c>
      <c r="J401" s="43">
        <f>J400+Учет!E401-E401</f>
        <v>1150</v>
      </c>
      <c r="K401" s="43">
        <f>K400+Учет!F401-F401</f>
        <v>500000</v>
      </c>
      <c r="L401" s="45">
        <f>Учет!I401</f>
        <v>349526.07999999996</v>
      </c>
    </row>
    <row r="402" spans="1:12" x14ac:dyDescent="0.25">
      <c r="A402" s="48" t="str">
        <f>IF(Учет!A402&lt;&gt;"",Учет!A402,"")</f>
        <v/>
      </c>
      <c r="B402" s="52">
        <f>IF(Учет!$O402=Справочники!$F$2,Учет!$H402,0)</f>
        <v>0</v>
      </c>
      <c r="C402" s="52">
        <f>IF(Учет!$O402=Справочники!$F$3,Учет!$H402,0)</f>
        <v>0</v>
      </c>
      <c r="D402" s="52">
        <f>IF(Учет!$O402=Справочники!$F$4,Учет!$H402,0)</f>
        <v>0</v>
      </c>
      <c r="E402" s="52">
        <f>IF(Учет!$O402=Справочники!$F$5,Учет!$H402,0)</f>
        <v>0</v>
      </c>
      <c r="F402" s="52">
        <f>IF(Учет!$O402=Справочники!$F$6,Учет!$H402,0)</f>
        <v>0</v>
      </c>
      <c r="G402" s="43">
        <f>G401+Учет!B402-B402</f>
        <v>-488978.92000000004</v>
      </c>
      <c r="H402" s="43">
        <f>H401+Учет!C402-C402</f>
        <v>336855</v>
      </c>
      <c r="I402" s="43">
        <f>I401+Учет!D402-D402</f>
        <v>500</v>
      </c>
      <c r="J402" s="43">
        <f>J401+Учет!E402-E402</f>
        <v>1150</v>
      </c>
      <c r="K402" s="43">
        <f>K401+Учет!F402-F402</f>
        <v>500000</v>
      </c>
      <c r="L402" s="45">
        <f>Учет!I402</f>
        <v>349526.07999999996</v>
      </c>
    </row>
    <row r="403" spans="1:12" x14ac:dyDescent="0.25">
      <c r="A403" s="48" t="str">
        <f>IF(Учет!A403&lt;&gt;"",Учет!A403,"")</f>
        <v/>
      </c>
      <c r="B403" s="52">
        <f>IF(Учет!$O403=Справочники!$F$2,Учет!$H403,0)</f>
        <v>0</v>
      </c>
      <c r="C403" s="52">
        <f>IF(Учет!$O403=Справочники!$F$3,Учет!$H403,0)</f>
        <v>0</v>
      </c>
      <c r="D403" s="52">
        <f>IF(Учет!$O403=Справочники!$F$4,Учет!$H403,0)</f>
        <v>0</v>
      </c>
      <c r="E403" s="52">
        <f>IF(Учет!$O403=Справочники!$F$5,Учет!$H403,0)</f>
        <v>0</v>
      </c>
      <c r="F403" s="52">
        <f>IF(Учет!$O403=Справочники!$F$6,Учет!$H403,0)</f>
        <v>0</v>
      </c>
      <c r="G403" s="43">
        <f>G402+Учет!B403-B403</f>
        <v>-488978.92000000004</v>
      </c>
      <c r="H403" s="43">
        <f>H402+Учет!C403-C403</f>
        <v>336855</v>
      </c>
      <c r="I403" s="43">
        <f>I402+Учет!D403-D403</f>
        <v>500</v>
      </c>
      <c r="J403" s="43">
        <f>J402+Учет!E403-E403</f>
        <v>1150</v>
      </c>
      <c r="K403" s="43">
        <f>K402+Учет!F403-F403</f>
        <v>500000</v>
      </c>
      <c r="L403" s="45">
        <f>Учет!I403</f>
        <v>349526.07999999996</v>
      </c>
    </row>
    <row r="404" spans="1:12" x14ac:dyDescent="0.25">
      <c r="A404" s="48" t="str">
        <f>IF(Учет!A404&lt;&gt;"",Учет!A404,"")</f>
        <v/>
      </c>
      <c r="B404" s="52">
        <f>IF(Учет!$O404=Справочники!$F$2,Учет!$H404,0)</f>
        <v>0</v>
      </c>
      <c r="C404" s="52">
        <f>IF(Учет!$O404=Справочники!$F$3,Учет!$H404,0)</f>
        <v>0</v>
      </c>
      <c r="D404" s="52">
        <f>IF(Учет!$O404=Справочники!$F$4,Учет!$H404,0)</f>
        <v>0</v>
      </c>
      <c r="E404" s="52">
        <f>IF(Учет!$O404=Справочники!$F$5,Учет!$H404,0)</f>
        <v>0</v>
      </c>
      <c r="F404" s="52">
        <f>IF(Учет!$O404=Справочники!$F$6,Учет!$H404,0)</f>
        <v>0</v>
      </c>
      <c r="G404" s="43">
        <f>G403+Учет!B404-B404</f>
        <v>-488978.92000000004</v>
      </c>
      <c r="H404" s="43">
        <f>H403+Учет!C404-C404</f>
        <v>336855</v>
      </c>
      <c r="I404" s="43">
        <f>I403+Учет!D404-D404</f>
        <v>500</v>
      </c>
      <c r="J404" s="43">
        <f>J403+Учет!E404-E404</f>
        <v>1150</v>
      </c>
      <c r="K404" s="43">
        <f>K403+Учет!F404-F404</f>
        <v>500000</v>
      </c>
      <c r="L404" s="45">
        <f>Учет!I404</f>
        <v>349526.07999999996</v>
      </c>
    </row>
    <row r="405" spans="1:12" x14ac:dyDescent="0.25">
      <c r="A405" s="48" t="str">
        <f>IF(Учет!A405&lt;&gt;"",Учет!A405,"")</f>
        <v/>
      </c>
      <c r="B405" s="52">
        <f>IF(Учет!$O405=Справочники!$F$2,Учет!$H405,0)</f>
        <v>0</v>
      </c>
      <c r="C405" s="52">
        <f>IF(Учет!$O405=Справочники!$F$3,Учет!$H405,0)</f>
        <v>0</v>
      </c>
      <c r="D405" s="52">
        <f>IF(Учет!$O405=Справочники!$F$4,Учет!$H405,0)</f>
        <v>0</v>
      </c>
      <c r="E405" s="52">
        <f>IF(Учет!$O405=Справочники!$F$5,Учет!$H405,0)</f>
        <v>0</v>
      </c>
      <c r="F405" s="52">
        <f>IF(Учет!$O405=Справочники!$F$6,Учет!$H405,0)</f>
        <v>0</v>
      </c>
      <c r="G405" s="43">
        <f>G404+Учет!B405-B405</f>
        <v>-488978.92000000004</v>
      </c>
      <c r="H405" s="43">
        <f>H404+Учет!C405-C405</f>
        <v>336855</v>
      </c>
      <c r="I405" s="43">
        <f>I404+Учет!D405-D405</f>
        <v>500</v>
      </c>
      <c r="J405" s="43">
        <f>J404+Учет!E405-E405</f>
        <v>1150</v>
      </c>
      <c r="K405" s="43">
        <f>K404+Учет!F405-F405</f>
        <v>500000</v>
      </c>
      <c r="L405" s="45">
        <f>Учет!I405</f>
        <v>349526.07999999996</v>
      </c>
    </row>
    <row r="406" spans="1:12" x14ac:dyDescent="0.25">
      <c r="A406" s="48" t="str">
        <f>IF(Учет!A406&lt;&gt;"",Учет!A406,"")</f>
        <v/>
      </c>
      <c r="B406" s="52">
        <f>IF(Учет!$O406=Справочники!$F$2,Учет!$H406,0)</f>
        <v>0</v>
      </c>
      <c r="C406" s="52">
        <f>IF(Учет!$O406=Справочники!$F$3,Учет!$H406,0)</f>
        <v>0</v>
      </c>
      <c r="D406" s="52">
        <f>IF(Учет!$O406=Справочники!$F$4,Учет!$H406,0)</f>
        <v>0</v>
      </c>
      <c r="E406" s="52">
        <f>IF(Учет!$O406=Справочники!$F$5,Учет!$H406,0)</f>
        <v>0</v>
      </c>
      <c r="F406" s="52">
        <f>IF(Учет!$O406=Справочники!$F$6,Учет!$H406,0)</f>
        <v>0</v>
      </c>
      <c r="G406" s="43">
        <f>G405+Учет!B406-B406</f>
        <v>-488978.92000000004</v>
      </c>
      <c r="H406" s="43">
        <f>H405+Учет!C406-C406</f>
        <v>336855</v>
      </c>
      <c r="I406" s="43">
        <f>I405+Учет!D406-D406</f>
        <v>500</v>
      </c>
      <c r="J406" s="43">
        <f>J405+Учет!E406-E406</f>
        <v>1150</v>
      </c>
      <c r="K406" s="43">
        <f>K405+Учет!F406-F406</f>
        <v>500000</v>
      </c>
      <c r="L406" s="45">
        <f>Учет!I406</f>
        <v>349526.07999999996</v>
      </c>
    </row>
    <row r="407" spans="1:12" x14ac:dyDescent="0.25">
      <c r="A407" s="48" t="str">
        <f>IF(Учет!A407&lt;&gt;"",Учет!A407,"")</f>
        <v/>
      </c>
      <c r="B407" s="52">
        <f>IF(Учет!$O407=Справочники!$F$2,Учет!$H407,0)</f>
        <v>0</v>
      </c>
      <c r="C407" s="52">
        <f>IF(Учет!$O407=Справочники!$F$3,Учет!$H407,0)</f>
        <v>0</v>
      </c>
      <c r="D407" s="52">
        <f>IF(Учет!$O407=Справочники!$F$4,Учет!$H407,0)</f>
        <v>0</v>
      </c>
      <c r="E407" s="52">
        <f>IF(Учет!$O407=Справочники!$F$5,Учет!$H407,0)</f>
        <v>0</v>
      </c>
      <c r="F407" s="52">
        <f>IF(Учет!$O407=Справочники!$F$6,Учет!$H407,0)</f>
        <v>0</v>
      </c>
      <c r="G407" s="43">
        <f>G406+Учет!B407-B407</f>
        <v>-488978.92000000004</v>
      </c>
      <c r="H407" s="43">
        <f>H406+Учет!C407-C407</f>
        <v>336855</v>
      </c>
      <c r="I407" s="43">
        <f>I406+Учет!D407-D407</f>
        <v>500</v>
      </c>
      <c r="J407" s="43">
        <f>J406+Учет!E407-E407</f>
        <v>1150</v>
      </c>
      <c r="K407" s="43">
        <f>K406+Учет!F407-F407</f>
        <v>500000</v>
      </c>
      <c r="L407" s="45">
        <f>Учет!I407</f>
        <v>349526.07999999996</v>
      </c>
    </row>
    <row r="408" spans="1:12" x14ac:dyDescent="0.25">
      <c r="A408" s="48" t="str">
        <f>IF(Учет!A408&lt;&gt;"",Учет!A408,"")</f>
        <v/>
      </c>
      <c r="B408" s="52">
        <f>IF(Учет!$O408=Справочники!$F$2,Учет!$H408,0)</f>
        <v>0</v>
      </c>
      <c r="C408" s="52">
        <f>IF(Учет!$O408=Справочники!$F$3,Учет!$H408,0)</f>
        <v>0</v>
      </c>
      <c r="D408" s="52">
        <f>IF(Учет!$O408=Справочники!$F$4,Учет!$H408,0)</f>
        <v>0</v>
      </c>
      <c r="E408" s="52">
        <f>IF(Учет!$O408=Справочники!$F$5,Учет!$H408,0)</f>
        <v>0</v>
      </c>
      <c r="F408" s="52">
        <f>IF(Учет!$O408=Справочники!$F$6,Учет!$H408,0)</f>
        <v>0</v>
      </c>
      <c r="G408" s="43">
        <f>G407+Учет!B408-B408</f>
        <v>-488978.92000000004</v>
      </c>
      <c r="H408" s="43">
        <f>H407+Учет!C408-C408</f>
        <v>336855</v>
      </c>
      <c r="I408" s="43">
        <f>I407+Учет!D408-D408</f>
        <v>500</v>
      </c>
      <c r="J408" s="43">
        <f>J407+Учет!E408-E408</f>
        <v>1150</v>
      </c>
      <c r="K408" s="43">
        <f>K407+Учет!F408-F408</f>
        <v>500000</v>
      </c>
      <c r="L408" s="45">
        <f>Учет!I408</f>
        <v>349526.07999999996</v>
      </c>
    </row>
    <row r="409" spans="1:12" x14ac:dyDescent="0.25">
      <c r="A409" s="48" t="str">
        <f>IF(Учет!A409&lt;&gt;"",Учет!A409,"")</f>
        <v/>
      </c>
      <c r="B409" s="52">
        <f>IF(Учет!$O409=Справочники!$F$2,Учет!$H409,0)</f>
        <v>0</v>
      </c>
      <c r="C409" s="52">
        <f>IF(Учет!$O409=Справочники!$F$3,Учет!$H409,0)</f>
        <v>0</v>
      </c>
      <c r="D409" s="52">
        <f>IF(Учет!$O409=Справочники!$F$4,Учет!$H409,0)</f>
        <v>0</v>
      </c>
      <c r="E409" s="52">
        <f>IF(Учет!$O409=Справочники!$F$5,Учет!$H409,0)</f>
        <v>0</v>
      </c>
      <c r="F409" s="52">
        <f>IF(Учет!$O409=Справочники!$F$6,Учет!$H409,0)</f>
        <v>0</v>
      </c>
      <c r="G409" s="43">
        <f>G408+Учет!B409-B409</f>
        <v>-488978.92000000004</v>
      </c>
      <c r="H409" s="43">
        <f>H408+Учет!C409-C409</f>
        <v>336855</v>
      </c>
      <c r="I409" s="43">
        <f>I408+Учет!D409-D409</f>
        <v>500</v>
      </c>
      <c r="J409" s="43">
        <f>J408+Учет!E409-E409</f>
        <v>1150</v>
      </c>
      <c r="K409" s="43">
        <f>K408+Учет!F409-F409</f>
        <v>500000</v>
      </c>
      <c r="L409" s="45">
        <f>Учет!I409</f>
        <v>349526.07999999996</v>
      </c>
    </row>
    <row r="410" spans="1:12" x14ac:dyDescent="0.25">
      <c r="A410" s="48" t="str">
        <f>IF(Учет!A410&lt;&gt;"",Учет!A410,"")</f>
        <v/>
      </c>
      <c r="B410" s="52">
        <f>IF(Учет!$O410=Справочники!$F$2,Учет!$H410,0)</f>
        <v>0</v>
      </c>
      <c r="C410" s="52">
        <f>IF(Учет!$O410=Справочники!$F$3,Учет!$H410,0)</f>
        <v>0</v>
      </c>
      <c r="D410" s="52">
        <f>IF(Учет!$O410=Справочники!$F$4,Учет!$H410,0)</f>
        <v>0</v>
      </c>
      <c r="E410" s="52">
        <f>IF(Учет!$O410=Справочники!$F$5,Учет!$H410,0)</f>
        <v>0</v>
      </c>
      <c r="F410" s="52">
        <f>IF(Учет!$O410=Справочники!$F$6,Учет!$H410,0)</f>
        <v>0</v>
      </c>
      <c r="G410" s="43">
        <f>G409+Учет!B410-B410</f>
        <v>-488978.92000000004</v>
      </c>
      <c r="H410" s="43">
        <f>H409+Учет!C410-C410</f>
        <v>336855</v>
      </c>
      <c r="I410" s="43">
        <f>I409+Учет!D410-D410</f>
        <v>500</v>
      </c>
      <c r="J410" s="43">
        <f>J409+Учет!E410-E410</f>
        <v>1150</v>
      </c>
      <c r="K410" s="43">
        <f>K409+Учет!F410-F410</f>
        <v>500000</v>
      </c>
      <c r="L410" s="45">
        <f>Учет!I410</f>
        <v>349526.07999999996</v>
      </c>
    </row>
    <row r="411" spans="1:12" x14ac:dyDescent="0.25">
      <c r="A411" s="48" t="str">
        <f>IF(Учет!A411&lt;&gt;"",Учет!A411,"")</f>
        <v/>
      </c>
      <c r="B411" s="52">
        <f>IF(Учет!$O411=Справочники!$F$2,Учет!$H411,0)</f>
        <v>0</v>
      </c>
      <c r="C411" s="52">
        <f>IF(Учет!$O411=Справочники!$F$3,Учет!$H411,0)</f>
        <v>0</v>
      </c>
      <c r="D411" s="52">
        <f>IF(Учет!$O411=Справочники!$F$4,Учет!$H411,0)</f>
        <v>0</v>
      </c>
      <c r="E411" s="52">
        <f>IF(Учет!$O411=Справочники!$F$5,Учет!$H411,0)</f>
        <v>0</v>
      </c>
      <c r="F411" s="52">
        <f>IF(Учет!$O411=Справочники!$F$6,Учет!$H411,0)</f>
        <v>0</v>
      </c>
      <c r="G411" s="43">
        <f>G410+Учет!B411-B411</f>
        <v>-488978.92000000004</v>
      </c>
      <c r="H411" s="43">
        <f>H410+Учет!C411-C411</f>
        <v>336855</v>
      </c>
      <c r="I411" s="43">
        <f>I410+Учет!D411-D411</f>
        <v>500</v>
      </c>
      <c r="J411" s="43">
        <f>J410+Учет!E411-E411</f>
        <v>1150</v>
      </c>
      <c r="K411" s="43">
        <f>K410+Учет!F411-F411</f>
        <v>500000</v>
      </c>
      <c r="L411" s="45">
        <f>Учет!I411</f>
        <v>349526.07999999996</v>
      </c>
    </row>
    <row r="412" spans="1:12" x14ac:dyDescent="0.25">
      <c r="A412" s="48" t="str">
        <f>IF(Учет!A412&lt;&gt;"",Учет!A412,"")</f>
        <v/>
      </c>
      <c r="B412" s="52">
        <f>IF(Учет!$O412=Справочники!$F$2,Учет!$H412,0)</f>
        <v>0</v>
      </c>
      <c r="C412" s="52">
        <f>IF(Учет!$O412=Справочники!$F$3,Учет!$H412,0)</f>
        <v>0</v>
      </c>
      <c r="D412" s="52">
        <f>IF(Учет!$O412=Справочники!$F$4,Учет!$H412,0)</f>
        <v>0</v>
      </c>
      <c r="E412" s="52">
        <f>IF(Учет!$O412=Справочники!$F$5,Учет!$H412,0)</f>
        <v>0</v>
      </c>
      <c r="F412" s="52">
        <f>IF(Учет!$O412=Справочники!$F$6,Учет!$H412,0)</f>
        <v>0</v>
      </c>
      <c r="G412" s="43">
        <f>G411+Учет!B412-B412</f>
        <v>-488978.92000000004</v>
      </c>
      <c r="H412" s="43">
        <f>H411+Учет!C412-C412</f>
        <v>336855</v>
      </c>
      <c r="I412" s="43">
        <f>I411+Учет!D412-D412</f>
        <v>500</v>
      </c>
      <c r="J412" s="43">
        <f>J411+Учет!E412-E412</f>
        <v>1150</v>
      </c>
      <c r="K412" s="43">
        <f>K411+Учет!F412-F412</f>
        <v>500000</v>
      </c>
      <c r="L412" s="45">
        <f>Учет!I412</f>
        <v>349526.07999999996</v>
      </c>
    </row>
    <row r="413" spans="1:12" x14ac:dyDescent="0.25">
      <c r="A413" s="48" t="str">
        <f>IF(Учет!A413&lt;&gt;"",Учет!A413,"")</f>
        <v/>
      </c>
      <c r="B413" s="52">
        <f>IF(Учет!$O413=Справочники!$F$2,Учет!$H413,0)</f>
        <v>0</v>
      </c>
      <c r="C413" s="52">
        <f>IF(Учет!$O413=Справочники!$F$3,Учет!$H413,0)</f>
        <v>0</v>
      </c>
      <c r="D413" s="52">
        <f>IF(Учет!$O413=Справочники!$F$4,Учет!$H413,0)</f>
        <v>0</v>
      </c>
      <c r="E413" s="52">
        <f>IF(Учет!$O413=Справочники!$F$5,Учет!$H413,0)</f>
        <v>0</v>
      </c>
      <c r="F413" s="52">
        <f>IF(Учет!$O413=Справочники!$F$6,Учет!$H413,0)</f>
        <v>0</v>
      </c>
      <c r="G413" s="43">
        <f>G412+Учет!B413-B413</f>
        <v>-488978.92000000004</v>
      </c>
      <c r="H413" s="43">
        <f>H412+Учет!C413-C413</f>
        <v>336855</v>
      </c>
      <c r="I413" s="43">
        <f>I412+Учет!D413-D413</f>
        <v>500</v>
      </c>
      <c r="J413" s="43">
        <f>J412+Учет!E413-E413</f>
        <v>1150</v>
      </c>
      <c r="K413" s="43">
        <f>K412+Учет!F413-F413</f>
        <v>500000</v>
      </c>
      <c r="L413" s="45">
        <f>Учет!I413</f>
        <v>349526.07999999996</v>
      </c>
    </row>
    <row r="414" spans="1:12" x14ac:dyDescent="0.25">
      <c r="A414" s="48" t="str">
        <f>IF(Учет!A414&lt;&gt;"",Учет!A414,"")</f>
        <v/>
      </c>
      <c r="B414" s="52">
        <f>IF(Учет!$O414=Справочники!$F$2,Учет!$H414,0)</f>
        <v>0</v>
      </c>
      <c r="C414" s="52">
        <f>IF(Учет!$O414=Справочники!$F$3,Учет!$H414,0)</f>
        <v>0</v>
      </c>
      <c r="D414" s="52">
        <f>IF(Учет!$O414=Справочники!$F$4,Учет!$H414,0)</f>
        <v>0</v>
      </c>
      <c r="E414" s="52">
        <f>IF(Учет!$O414=Справочники!$F$5,Учет!$H414,0)</f>
        <v>0</v>
      </c>
      <c r="F414" s="52">
        <f>IF(Учет!$O414=Справочники!$F$6,Учет!$H414,0)</f>
        <v>0</v>
      </c>
      <c r="G414" s="43">
        <f>G413+Учет!B414-B414</f>
        <v>-488978.92000000004</v>
      </c>
      <c r="H414" s="43">
        <f>H413+Учет!C414-C414</f>
        <v>336855</v>
      </c>
      <c r="I414" s="43">
        <f>I413+Учет!D414-D414</f>
        <v>500</v>
      </c>
      <c r="J414" s="43">
        <f>J413+Учет!E414-E414</f>
        <v>1150</v>
      </c>
      <c r="K414" s="43">
        <f>K413+Учет!F414-F414</f>
        <v>500000</v>
      </c>
      <c r="L414" s="45">
        <f>Учет!I414</f>
        <v>349526.07999999996</v>
      </c>
    </row>
    <row r="415" spans="1:12" x14ac:dyDescent="0.25">
      <c r="A415" s="48" t="str">
        <f>IF(Учет!A415&lt;&gt;"",Учет!A415,"")</f>
        <v/>
      </c>
      <c r="B415" s="52">
        <f>IF(Учет!$O415=Справочники!$F$2,Учет!$H415,0)</f>
        <v>0</v>
      </c>
      <c r="C415" s="52">
        <f>IF(Учет!$O415=Справочники!$F$3,Учет!$H415,0)</f>
        <v>0</v>
      </c>
      <c r="D415" s="52">
        <f>IF(Учет!$O415=Справочники!$F$4,Учет!$H415,0)</f>
        <v>0</v>
      </c>
      <c r="E415" s="52">
        <f>IF(Учет!$O415=Справочники!$F$5,Учет!$H415,0)</f>
        <v>0</v>
      </c>
      <c r="F415" s="52">
        <f>IF(Учет!$O415=Справочники!$F$6,Учет!$H415,0)</f>
        <v>0</v>
      </c>
      <c r="G415" s="43">
        <f>G414+Учет!B415-B415</f>
        <v>-488978.92000000004</v>
      </c>
      <c r="H415" s="43">
        <f>H414+Учет!C415-C415</f>
        <v>336855</v>
      </c>
      <c r="I415" s="43">
        <f>I414+Учет!D415-D415</f>
        <v>500</v>
      </c>
      <c r="J415" s="43">
        <f>J414+Учет!E415-E415</f>
        <v>1150</v>
      </c>
      <c r="K415" s="43">
        <f>K414+Учет!F415-F415</f>
        <v>500000</v>
      </c>
      <c r="L415" s="45">
        <f>Учет!I415</f>
        <v>349526.07999999996</v>
      </c>
    </row>
    <row r="416" spans="1:12" x14ac:dyDescent="0.25">
      <c r="A416" s="48" t="str">
        <f>IF(Учет!A416&lt;&gt;"",Учет!A416,"")</f>
        <v/>
      </c>
      <c r="B416" s="52">
        <f>IF(Учет!$O416=Справочники!$F$2,Учет!$H416,0)</f>
        <v>0</v>
      </c>
      <c r="C416" s="52">
        <f>IF(Учет!$O416=Справочники!$F$3,Учет!$H416,0)</f>
        <v>0</v>
      </c>
      <c r="D416" s="52">
        <f>IF(Учет!$O416=Справочники!$F$4,Учет!$H416,0)</f>
        <v>0</v>
      </c>
      <c r="E416" s="52">
        <f>IF(Учет!$O416=Справочники!$F$5,Учет!$H416,0)</f>
        <v>0</v>
      </c>
      <c r="F416" s="52">
        <f>IF(Учет!$O416=Справочники!$F$6,Учет!$H416,0)</f>
        <v>0</v>
      </c>
      <c r="G416" s="43">
        <f>G415+Учет!B416-B416</f>
        <v>-488978.92000000004</v>
      </c>
      <c r="H416" s="43">
        <f>H415+Учет!C416-C416</f>
        <v>336855</v>
      </c>
      <c r="I416" s="43">
        <f>I415+Учет!D416-D416</f>
        <v>500</v>
      </c>
      <c r="J416" s="43">
        <f>J415+Учет!E416-E416</f>
        <v>1150</v>
      </c>
      <c r="K416" s="43">
        <f>K415+Учет!F416-F416</f>
        <v>500000</v>
      </c>
      <c r="L416" s="45">
        <f>Учет!I416</f>
        <v>349526.07999999996</v>
      </c>
    </row>
    <row r="417" spans="1:12" x14ac:dyDescent="0.25">
      <c r="A417" s="48" t="str">
        <f>IF(Учет!A417&lt;&gt;"",Учет!A417,"")</f>
        <v/>
      </c>
      <c r="B417" s="52">
        <f>IF(Учет!$O417=Справочники!$F$2,Учет!$H417,0)</f>
        <v>0</v>
      </c>
      <c r="C417" s="52">
        <f>IF(Учет!$O417=Справочники!$F$3,Учет!$H417,0)</f>
        <v>0</v>
      </c>
      <c r="D417" s="52">
        <f>IF(Учет!$O417=Справочники!$F$4,Учет!$H417,0)</f>
        <v>0</v>
      </c>
      <c r="E417" s="52">
        <f>IF(Учет!$O417=Справочники!$F$5,Учет!$H417,0)</f>
        <v>0</v>
      </c>
      <c r="F417" s="52">
        <f>IF(Учет!$O417=Справочники!$F$6,Учет!$H417,0)</f>
        <v>0</v>
      </c>
      <c r="G417" s="43">
        <f>G416+Учет!B417-B417</f>
        <v>-488978.92000000004</v>
      </c>
      <c r="H417" s="43">
        <f>H416+Учет!C417-C417</f>
        <v>336855</v>
      </c>
      <c r="I417" s="43">
        <f>I416+Учет!D417-D417</f>
        <v>500</v>
      </c>
      <c r="J417" s="43">
        <f>J416+Учет!E417-E417</f>
        <v>1150</v>
      </c>
      <c r="K417" s="43">
        <f>K416+Учет!F417-F417</f>
        <v>500000</v>
      </c>
      <c r="L417" s="45">
        <f>Учет!I417</f>
        <v>349526.07999999996</v>
      </c>
    </row>
    <row r="418" spans="1:12" x14ac:dyDescent="0.25">
      <c r="A418" s="48" t="str">
        <f>IF(Учет!A418&lt;&gt;"",Учет!A418,"")</f>
        <v/>
      </c>
      <c r="B418" s="52">
        <f>IF(Учет!$O418=Справочники!$F$2,Учет!$H418,0)</f>
        <v>0</v>
      </c>
      <c r="C418" s="52">
        <f>IF(Учет!$O418=Справочники!$F$3,Учет!$H418,0)</f>
        <v>0</v>
      </c>
      <c r="D418" s="52">
        <f>IF(Учет!$O418=Справочники!$F$4,Учет!$H418,0)</f>
        <v>0</v>
      </c>
      <c r="E418" s="52">
        <f>IF(Учет!$O418=Справочники!$F$5,Учет!$H418,0)</f>
        <v>0</v>
      </c>
      <c r="F418" s="52">
        <f>IF(Учет!$O418=Справочники!$F$6,Учет!$H418,0)</f>
        <v>0</v>
      </c>
      <c r="G418" s="43">
        <f>G417+Учет!B418-B418</f>
        <v>-488978.92000000004</v>
      </c>
      <c r="H418" s="43">
        <f>H417+Учет!C418-C418</f>
        <v>336855</v>
      </c>
      <c r="I418" s="43">
        <f>I417+Учет!D418-D418</f>
        <v>500</v>
      </c>
      <c r="J418" s="43">
        <f>J417+Учет!E418-E418</f>
        <v>1150</v>
      </c>
      <c r="K418" s="43">
        <f>K417+Учет!F418-F418</f>
        <v>500000</v>
      </c>
      <c r="L418" s="45">
        <f>Учет!I418</f>
        <v>349526.07999999996</v>
      </c>
    </row>
    <row r="419" spans="1:12" x14ac:dyDescent="0.25">
      <c r="A419" s="48" t="str">
        <f>IF(Учет!A419&lt;&gt;"",Учет!A419,"")</f>
        <v/>
      </c>
      <c r="B419" s="52">
        <f>IF(Учет!$O419=Справочники!$F$2,Учет!$H419,0)</f>
        <v>0</v>
      </c>
      <c r="C419" s="52">
        <f>IF(Учет!$O419=Справочники!$F$3,Учет!$H419,0)</f>
        <v>0</v>
      </c>
      <c r="D419" s="52">
        <f>IF(Учет!$O419=Справочники!$F$4,Учет!$H419,0)</f>
        <v>0</v>
      </c>
      <c r="E419" s="52">
        <f>IF(Учет!$O419=Справочники!$F$5,Учет!$H419,0)</f>
        <v>0</v>
      </c>
      <c r="F419" s="52">
        <f>IF(Учет!$O419=Справочники!$F$6,Учет!$H419,0)</f>
        <v>0</v>
      </c>
      <c r="G419" s="43">
        <f>G418+Учет!B419-B419</f>
        <v>-488978.92000000004</v>
      </c>
      <c r="H419" s="43">
        <f>H418+Учет!C419-C419</f>
        <v>336855</v>
      </c>
      <c r="I419" s="43">
        <f>I418+Учет!D419-D419</f>
        <v>500</v>
      </c>
      <c r="J419" s="43">
        <f>J418+Учет!E419-E419</f>
        <v>1150</v>
      </c>
      <c r="K419" s="43">
        <f>K418+Учет!F419-F419</f>
        <v>500000</v>
      </c>
      <c r="L419" s="45">
        <f>Учет!I419</f>
        <v>349526.07999999996</v>
      </c>
    </row>
    <row r="420" spans="1:12" x14ac:dyDescent="0.25">
      <c r="A420" s="48" t="str">
        <f>IF(Учет!A420&lt;&gt;"",Учет!A420,"")</f>
        <v/>
      </c>
      <c r="B420" s="52">
        <f>IF(Учет!$O420=Справочники!$F$2,Учет!$H420,0)</f>
        <v>0</v>
      </c>
      <c r="C420" s="52">
        <f>IF(Учет!$O420=Справочники!$F$3,Учет!$H420,0)</f>
        <v>0</v>
      </c>
      <c r="D420" s="52">
        <f>IF(Учет!$O420=Справочники!$F$4,Учет!$H420,0)</f>
        <v>0</v>
      </c>
      <c r="E420" s="52">
        <f>IF(Учет!$O420=Справочники!$F$5,Учет!$H420,0)</f>
        <v>0</v>
      </c>
      <c r="F420" s="52">
        <f>IF(Учет!$O420=Справочники!$F$6,Учет!$H420,0)</f>
        <v>0</v>
      </c>
      <c r="G420" s="43">
        <f>G419+Учет!B420-B420</f>
        <v>-488978.92000000004</v>
      </c>
      <c r="H420" s="43">
        <f>H419+Учет!C420-C420</f>
        <v>336855</v>
      </c>
      <c r="I420" s="43">
        <f>I419+Учет!D420-D420</f>
        <v>500</v>
      </c>
      <c r="J420" s="43">
        <f>J419+Учет!E420-E420</f>
        <v>1150</v>
      </c>
      <c r="K420" s="43">
        <f>K419+Учет!F420-F420</f>
        <v>500000</v>
      </c>
      <c r="L420" s="45">
        <f>Учет!I420</f>
        <v>349526.07999999996</v>
      </c>
    </row>
    <row r="421" spans="1:12" x14ac:dyDescent="0.25">
      <c r="A421" s="48" t="str">
        <f>IF(Учет!A421&lt;&gt;"",Учет!A421,"")</f>
        <v/>
      </c>
      <c r="B421" s="52">
        <f>IF(Учет!$O421=Справочники!$F$2,Учет!$H421,0)</f>
        <v>0</v>
      </c>
      <c r="C421" s="52">
        <f>IF(Учет!$O421=Справочники!$F$3,Учет!$H421,0)</f>
        <v>0</v>
      </c>
      <c r="D421" s="52">
        <f>IF(Учет!$O421=Справочники!$F$4,Учет!$H421,0)</f>
        <v>0</v>
      </c>
      <c r="E421" s="52">
        <f>IF(Учет!$O421=Справочники!$F$5,Учет!$H421,0)</f>
        <v>0</v>
      </c>
      <c r="F421" s="52">
        <f>IF(Учет!$O421=Справочники!$F$6,Учет!$H421,0)</f>
        <v>0</v>
      </c>
      <c r="G421" s="43">
        <f>G420+Учет!B421-B421</f>
        <v>-488978.92000000004</v>
      </c>
      <c r="H421" s="43">
        <f>H420+Учет!C421-C421</f>
        <v>336855</v>
      </c>
      <c r="I421" s="43">
        <f>I420+Учет!D421-D421</f>
        <v>500</v>
      </c>
      <c r="J421" s="43">
        <f>J420+Учет!E421-E421</f>
        <v>1150</v>
      </c>
      <c r="K421" s="43">
        <f>K420+Учет!F421-F421</f>
        <v>500000</v>
      </c>
      <c r="L421" s="45">
        <f>Учет!I421</f>
        <v>349526.07999999996</v>
      </c>
    </row>
    <row r="422" spans="1:12" x14ac:dyDescent="0.25">
      <c r="A422" s="48" t="str">
        <f>IF(Учет!A422&lt;&gt;"",Учет!A422,"")</f>
        <v/>
      </c>
      <c r="B422" s="52">
        <f>IF(Учет!$O422=Справочники!$F$2,Учет!$H422,0)</f>
        <v>0</v>
      </c>
      <c r="C422" s="52">
        <f>IF(Учет!$O422=Справочники!$F$3,Учет!$H422,0)</f>
        <v>0</v>
      </c>
      <c r="D422" s="52">
        <f>IF(Учет!$O422=Справочники!$F$4,Учет!$H422,0)</f>
        <v>0</v>
      </c>
      <c r="E422" s="52">
        <f>IF(Учет!$O422=Справочники!$F$5,Учет!$H422,0)</f>
        <v>0</v>
      </c>
      <c r="F422" s="52">
        <f>IF(Учет!$O422=Справочники!$F$6,Учет!$H422,0)</f>
        <v>0</v>
      </c>
      <c r="G422" s="43">
        <f>G421+Учет!B422-B422</f>
        <v>-488978.92000000004</v>
      </c>
      <c r="H422" s="43">
        <f>H421+Учет!C422-C422</f>
        <v>336855</v>
      </c>
      <c r="I422" s="43">
        <f>I421+Учет!D422-D422</f>
        <v>500</v>
      </c>
      <c r="J422" s="43">
        <f>J421+Учет!E422-E422</f>
        <v>1150</v>
      </c>
      <c r="K422" s="43">
        <f>K421+Учет!F422-F422</f>
        <v>500000</v>
      </c>
      <c r="L422" s="45">
        <f>Учет!I422</f>
        <v>349526.07999999996</v>
      </c>
    </row>
    <row r="423" spans="1:12" x14ac:dyDescent="0.25">
      <c r="A423" s="48" t="str">
        <f>IF(Учет!A423&lt;&gt;"",Учет!A423,"")</f>
        <v/>
      </c>
      <c r="B423" s="52">
        <f>IF(Учет!$O423=Справочники!$F$2,Учет!$H423,0)</f>
        <v>0</v>
      </c>
      <c r="C423" s="52">
        <f>IF(Учет!$O423=Справочники!$F$3,Учет!$H423,0)</f>
        <v>0</v>
      </c>
      <c r="D423" s="52">
        <f>IF(Учет!$O423=Справочники!$F$4,Учет!$H423,0)</f>
        <v>0</v>
      </c>
      <c r="E423" s="52">
        <f>IF(Учет!$O423=Справочники!$F$5,Учет!$H423,0)</f>
        <v>0</v>
      </c>
      <c r="F423" s="52">
        <f>IF(Учет!$O423=Справочники!$F$6,Учет!$H423,0)</f>
        <v>0</v>
      </c>
      <c r="G423" s="43">
        <f>G422+Учет!B423-B423</f>
        <v>-488978.92000000004</v>
      </c>
      <c r="H423" s="43">
        <f>H422+Учет!C423-C423</f>
        <v>336855</v>
      </c>
      <c r="I423" s="43">
        <f>I422+Учет!D423-D423</f>
        <v>500</v>
      </c>
      <c r="J423" s="43">
        <f>J422+Учет!E423-E423</f>
        <v>1150</v>
      </c>
      <c r="K423" s="43">
        <f>K422+Учет!F423-F423</f>
        <v>500000</v>
      </c>
      <c r="L423" s="45">
        <f>Учет!I423</f>
        <v>349526.07999999996</v>
      </c>
    </row>
    <row r="424" spans="1:12" x14ac:dyDescent="0.25">
      <c r="A424" s="48" t="str">
        <f>IF(Учет!A424&lt;&gt;"",Учет!A424,"")</f>
        <v/>
      </c>
      <c r="B424" s="52">
        <f>IF(Учет!$O424=Справочники!$F$2,Учет!$H424,0)</f>
        <v>0</v>
      </c>
      <c r="C424" s="52">
        <f>IF(Учет!$O424=Справочники!$F$3,Учет!$H424,0)</f>
        <v>0</v>
      </c>
      <c r="D424" s="52">
        <f>IF(Учет!$O424=Справочники!$F$4,Учет!$H424,0)</f>
        <v>0</v>
      </c>
      <c r="E424" s="52">
        <f>IF(Учет!$O424=Справочники!$F$5,Учет!$H424,0)</f>
        <v>0</v>
      </c>
      <c r="F424" s="52">
        <f>IF(Учет!$O424=Справочники!$F$6,Учет!$H424,0)</f>
        <v>0</v>
      </c>
      <c r="G424" s="43">
        <f>G423+Учет!B424-B424</f>
        <v>-488978.92000000004</v>
      </c>
      <c r="H424" s="43">
        <f>H423+Учет!C424-C424</f>
        <v>336855</v>
      </c>
      <c r="I424" s="43">
        <f>I423+Учет!D424-D424</f>
        <v>500</v>
      </c>
      <c r="J424" s="43">
        <f>J423+Учет!E424-E424</f>
        <v>1150</v>
      </c>
      <c r="K424" s="43">
        <f>K423+Учет!F424-F424</f>
        <v>500000</v>
      </c>
      <c r="L424" s="45">
        <f>Учет!I424</f>
        <v>349526.07999999996</v>
      </c>
    </row>
    <row r="425" spans="1:12" x14ac:dyDescent="0.25">
      <c r="A425" s="48" t="str">
        <f>IF(Учет!A425&lt;&gt;"",Учет!A425,"")</f>
        <v/>
      </c>
      <c r="B425" s="52">
        <f>IF(Учет!$O425=Справочники!$F$2,Учет!$H425,0)</f>
        <v>0</v>
      </c>
      <c r="C425" s="52">
        <f>IF(Учет!$O425=Справочники!$F$3,Учет!$H425,0)</f>
        <v>0</v>
      </c>
      <c r="D425" s="52">
        <f>IF(Учет!$O425=Справочники!$F$4,Учет!$H425,0)</f>
        <v>0</v>
      </c>
      <c r="E425" s="52">
        <f>IF(Учет!$O425=Справочники!$F$5,Учет!$H425,0)</f>
        <v>0</v>
      </c>
      <c r="F425" s="52">
        <f>IF(Учет!$O425=Справочники!$F$6,Учет!$H425,0)</f>
        <v>0</v>
      </c>
      <c r="G425" s="43">
        <f>G424+Учет!B425-B425</f>
        <v>-488978.92000000004</v>
      </c>
      <c r="H425" s="43">
        <f>H424+Учет!C425-C425</f>
        <v>336855</v>
      </c>
      <c r="I425" s="43">
        <f>I424+Учет!D425-D425</f>
        <v>500</v>
      </c>
      <c r="J425" s="43">
        <f>J424+Учет!E425-E425</f>
        <v>1150</v>
      </c>
      <c r="K425" s="43">
        <f>K424+Учет!F425-F425</f>
        <v>500000</v>
      </c>
      <c r="L425" s="45">
        <f>Учет!I425</f>
        <v>349526.07999999996</v>
      </c>
    </row>
    <row r="426" spans="1:12" x14ac:dyDescent="0.25">
      <c r="A426" s="48" t="str">
        <f>IF(Учет!A426&lt;&gt;"",Учет!A426,"")</f>
        <v/>
      </c>
      <c r="B426" s="52">
        <f>IF(Учет!$O426=Справочники!$F$2,Учет!$H426,0)</f>
        <v>0</v>
      </c>
      <c r="C426" s="52">
        <f>IF(Учет!$O426=Справочники!$F$3,Учет!$H426,0)</f>
        <v>0</v>
      </c>
      <c r="D426" s="52">
        <f>IF(Учет!$O426=Справочники!$F$4,Учет!$H426,0)</f>
        <v>0</v>
      </c>
      <c r="E426" s="52">
        <f>IF(Учет!$O426=Справочники!$F$5,Учет!$H426,0)</f>
        <v>0</v>
      </c>
      <c r="F426" s="52">
        <f>IF(Учет!$O426=Справочники!$F$6,Учет!$H426,0)</f>
        <v>0</v>
      </c>
      <c r="G426" s="43">
        <f>G425+Учет!B426-B426</f>
        <v>-488978.92000000004</v>
      </c>
      <c r="H426" s="43">
        <f>H425+Учет!C426-C426</f>
        <v>336855</v>
      </c>
      <c r="I426" s="43">
        <f>I425+Учет!D426-D426</f>
        <v>500</v>
      </c>
      <c r="J426" s="43">
        <f>J425+Учет!E426-E426</f>
        <v>1150</v>
      </c>
      <c r="K426" s="43">
        <f>K425+Учет!F426-F426</f>
        <v>500000</v>
      </c>
      <c r="L426" s="45">
        <f>Учет!I426</f>
        <v>349526.07999999996</v>
      </c>
    </row>
    <row r="427" spans="1:12" x14ac:dyDescent="0.25">
      <c r="A427" s="48" t="str">
        <f>IF(Учет!A427&lt;&gt;"",Учет!A427,"")</f>
        <v/>
      </c>
      <c r="B427" s="52">
        <f>IF(Учет!$O427=Справочники!$F$2,Учет!$H427,0)</f>
        <v>0</v>
      </c>
      <c r="C427" s="52">
        <f>IF(Учет!$O427=Справочники!$F$3,Учет!$H427,0)</f>
        <v>0</v>
      </c>
      <c r="D427" s="52">
        <f>IF(Учет!$O427=Справочники!$F$4,Учет!$H427,0)</f>
        <v>0</v>
      </c>
      <c r="E427" s="52">
        <f>IF(Учет!$O427=Справочники!$F$5,Учет!$H427,0)</f>
        <v>0</v>
      </c>
      <c r="F427" s="52">
        <f>IF(Учет!$O427=Справочники!$F$6,Учет!$H427,0)</f>
        <v>0</v>
      </c>
      <c r="G427" s="43">
        <f>G426+Учет!B427-B427</f>
        <v>-488978.92000000004</v>
      </c>
      <c r="H427" s="43">
        <f>H426+Учет!C427-C427</f>
        <v>336855</v>
      </c>
      <c r="I427" s="43">
        <f>I426+Учет!D427-D427</f>
        <v>500</v>
      </c>
      <c r="J427" s="43">
        <f>J426+Учет!E427-E427</f>
        <v>1150</v>
      </c>
      <c r="K427" s="43">
        <f>K426+Учет!F427-F427</f>
        <v>500000</v>
      </c>
      <c r="L427" s="45">
        <f>Учет!I427</f>
        <v>349526.07999999996</v>
      </c>
    </row>
    <row r="428" spans="1:12" x14ac:dyDescent="0.25">
      <c r="A428" s="48" t="str">
        <f>IF(Учет!A428&lt;&gt;"",Учет!A428,"")</f>
        <v/>
      </c>
      <c r="B428" s="52">
        <f>IF(Учет!$O428=Справочники!$F$2,Учет!$H428,0)</f>
        <v>0</v>
      </c>
      <c r="C428" s="52">
        <f>IF(Учет!$O428=Справочники!$F$3,Учет!$H428,0)</f>
        <v>0</v>
      </c>
      <c r="D428" s="52">
        <f>IF(Учет!$O428=Справочники!$F$4,Учет!$H428,0)</f>
        <v>0</v>
      </c>
      <c r="E428" s="52">
        <f>IF(Учет!$O428=Справочники!$F$5,Учет!$H428,0)</f>
        <v>0</v>
      </c>
      <c r="F428" s="52">
        <f>IF(Учет!$O428=Справочники!$F$6,Учет!$H428,0)</f>
        <v>0</v>
      </c>
      <c r="G428" s="43">
        <f>G427+Учет!B428-B428</f>
        <v>-488978.92000000004</v>
      </c>
      <c r="H428" s="43">
        <f>H427+Учет!C428-C428</f>
        <v>336855</v>
      </c>
      <c r="I428" s="43">
        <f>I427+Учет!D428-D428</f>
        <v>500</v>
      </c>
      <c r="J428" s="43">
        <f>J427+Учет!E428-E428</f>
        <v>1150</v>
      </c>
      <c r="K428" s="43">
        <f>K427+Учет!F428-F428</f>
        <v>500000</v>
      </c>
      <c r="L428" s="45">
        <f>Учет!I428</f>
        <v>349526.07999999996</v>
      </c>
    </row>
    <row r="429" spans="1:12" x14ac:dyDescent="0.25">
      <c r="A429" s="48" t="str">
        <f>IF(Учет!A429&lt;&gt;"",Учет!A429,"")</f>
        <v/>
      </c>
      <c r="B429" s="52">
        <f>IF(Учет!$O429=Справочники!$F$2,Учет!$H429,0)</f>
        <v>0</v>
      </c>
      <c r="C429" s="52">
        <f>IF(Учет!$O429=Справочники!$F$3,Учет!$H429,0)</f>
        <v>0</v>
      </c>
      <c r="D429" s="52">
        <f>IF(Учет!$O429=Справочники!$F$4,Учет!$H429,0)</f>
        <v>0</v>
      </c>
      <c r="E429" s="52">
        <f>IF(Учет!$O429=Справочники!$F$5,Учет!$H429,0)</f>
        <v>0</v>
      </c>
      <c r="F429" s="52">
        <f>IF(Учет!$O429=Справочники!$F$6,Учет!$H429,0)</f>
        <v>0</v>
      </c>
      <c r="G429" s="43">
        <f>G428+Учет!B429-B429</f>
        <v>-488978.92000000004</v>
      </c>
      <c r="H429" s="43">
        <f>H428+Учет!C429-C429</f>
        <v>336855</v>
      </c>
      <c r="I429" s="43">
        <f>I428+Учет!D429-D429</f>
        <v>500</v>
      </c>
      <c r="J429" s="43">
        <f>J428+Учет!E429-E429</f>
        <v>1150</v>
      </c>
      <c r="K429" s="43">
        <f>K428+Учет!F429-F429</f>
        <v>500000</v>
      </c>
      <c r="L429" s="45">
        <f>Учет!I429</f>
        <v>349526.07999999996</v>
      </c>
    </row>
    <row r="430" spans="1:12" x14ac:dyDescent="0.25">
      <c r="A430" s="48" t="str">
        <f>IF(Учет!A430&lt;&gt;"",Учет!A430,"")</f>
        <v/>
      </c>
      <c r="B430" s="52">
        <f>IF(Учет!$O430=Справочники!$F$2,Учет!$H430,0)</f>
        <v>0</v>
      </c>
      <c r="C430" s="52">
        <f>IF(Учет!$O430=Справочники!$F$3,Учет!$H430,0)</f>
        <v>0</v>
      </c>
      <c r="D430" s="52">
        <f>IF(Учет!$O430=Справочники!$F$4,Учет!$H430,0)</f>
        <v>0</v>
      </c>
      <c r="E430" s="52">
        <f>IF(Учет!$O430=Справочники!$F$5,Учет!$H430,0)</f>
        <v>0</v>
      </c>
      <c r="F430" s="52">
        <f>IF(Учет!$O430=Справочники!$F$6,Учет!$H430,0)</f>
        <v>0</v>
      </c>
      <c r="G430" s="43">
        <f>G429+Учет!B430-B430</f>
        <v>-488978.92000000004</v>
      </c>
      <c r="H430" s="43">
        <f>H429+Учет!C430-C430</f>
        <v>336855</v>
      </c>
      <c r="I430" s="43">
        <f>I429+Учет!D430-D430</f>
        <v>500</v>
      </c>
      <c r="J430" s="43">
        <f>J429+Учет!E430-E430</f>
        <v>1150</v>
      </c>
      <c r="K430" s="43">
        <f>K429+Учет!F430-F430</f>
        <v>500000</v>
      </c>
      <c r="L430" s="45">
        <f>Учет!I430</f>
        <v>349526.07999999996</v>
      </c>
    </row>
    <row r="431" spans="1:12" x14ac:dyDescent="0.25">
      <c r="A431" s="48" t="str">
        <f>IF(Учет!A431&lt;&gt;"",Учет!A431,"")</f>
        <v/>
      </c>
      <c r="B431" s="52">
        <f>IF(Учет!$O431=Справочники!$F$2,Учет!$H431,0)</f>
        <v>0</v>
      </c>
      <c r="C431" s="52">
        <f>IF(Учет!$O431=Справочники!$F$3,Учет!$H431,0)</f>
        <v>0</v>
      </c>
      <c r="D431" s="52">
        <f>IF(Учет!$O431=Справочники!$F$4,Учет!$H431,0)</f>
        <v>0</v>
      </c>
      <c r="E431" s="52">
        <f>IF(Учет!$O431=Справочники!$F$5,Учет!$H431,0)</f>
        <v>0</v>
      </c>
      <c r="F431" s="52">
        <f>IF(Учет!$O431=Справочники!$F$6,Учет!$H431,0)</f>
        <v>0</v>
      </c>
      <c r="G431" s="43">
        <f>G430+Учет!B431-B431</f>
        <v>-488978.92000000004</v>
      </c>
      <c r="H431" s="43">
        <f>H430+Учет!C431-C431</f>
        <v>336855</v>
      </c>
      <c r="I431" s="43">
        <f>I430+Учет!D431-D431</f>
        <v>500</v>
      </c>
      <c r="J431" s="43">
        <f>J430+Учет!E431-E431</f>
        <v>1150</v>
      </c>
      <c r="K431" s="43">
        <f>K430+Учет!F431-F431</f>
        <v>500000</v>
      </c>
      <c r="L431" s="45">
        <f>Учет!I431</f>
        <v>349526.07999999996</v>
      </c>
    </row>
    <row r="432" spans="1:12" x14ac:dyDescent="0.25">
      <c r="A432" s="48" t="str">
        <f>IF(Учет!A432&lt;&gt;"",Учет!A432,"")</f>
        <v/>
      </c>
      <c r="B432" s="52">
        <f>IF(Учет!$O432=Справочники!$F$2,Учет!$H432,0)</f>
        <v>0</v>
      </c>
      <c r="C432" s="52">
        <f>IF(Учет!$O432=Справочники!$F$3,Учет!$H432,0)</f>
        <v>0</v>
      </c>
      <c r="D432" s="52">
        <f>IF(Учет!$O432=Справочники!$F$4,Учет!$H432,0)</f>
        <v>0</v>
      </c>
      <c r="E432" s="52">
        <f>IF(Учет!$O432=Справочники!$F$5,Учет!$H432,0)</f>
        <v>0</v>
      </c>
      <c r="F432" s="52">
        <f>IF(Учет!$O432=Справочники!$F$6,Учет!$H432,0)</f>
        <v>0</v>
      </c>
      <c r="G432" s="43">
        <f>G431+Учет!B432-B432</f>
        <v>-488978.92000000004</v>
      </c>
      <c r="H432" s="43">
        <f>H431+Учет!C432-C432</f>
        <v>336855</v>
      </c>
      <c r="I432" s="43">
        <f>I431+Учет!D432-D432</f>
        <v>500</v>
      </c>
      <c r="J432" s="43">
        <f>J431+Учет!E432-E432</f>
        <v>1150</v>
      </c>
      <c r="K432" s="43">
        <f>K431+Учет!F432-F432</f>
        <v>500000</v>
      </c>
      <c r="L432" s="45">
        <f>Учет!I432</f>
        <v>349526.07999999996</v>
      </c>
    </row>
    <row r="433" spans="1:12" x14ac:dyDescent="0.25">
      <c r="A433" s="48" t="str">
        <f>IF(Учет!A433&lt;&gt;"",Учет!A433,"")</f>
        <v/>
      </c>
      <c r="B433" s="52">
        <f>IF(Учет!$O433=Справочники!$F$2,Учет!$H433,0)</f>
        <v>0</v>
      </c>
      <c r="C433" s="52">
        <f>IF(Учет!$O433=Справочники!$F$3,Учет!$H433,0)</f>
        <v>0</v>
      </c>
      <c r="D433" s="52">
        <f>IF(Учет!$O433=Справочники!$F$4,Учет!$H433,0)</f>
        <v>0</v>
      </c>
      <c r="E433" s="52">
        <f>IF(Учет!$O433=Справочники!$F$5,Учет!$H433,0)</f>
        <v>0</v>
      </c>
      <c r="F433" s="52">
        <f>IF(Учет!$O433=Справочники!$F$6,Учет!$H433,0)</f>
        <v>0</v>
      </c>
      <c r="G433" s="43">
        <f>G432+Учет!B433-B433</f>
        <v>-488978.92000000004</v>
      </c>
      <c r="H433" s="43">
        <f>H432+Учет!C433-C433</f>
        <v>336855</v>
      </c>
      <c r="I433" s="43">
        <f>I432+Учет!D433-D433</f>
        <v>500</v>
      </c>
      <c r="J433" s="43">
        <f>J432+Учет!E433-E433</f>
        <v>1150</v>
      </c>
      <c r="K433" s="43">
        <f>K432+Учет!F433-F433</f>
        <v>500000</v>
      </c>
      <c r="L433" s="45">
        <f>Учет!I433</f>
        <v>349526.07999999996</v>
      </c>
    </row>
    <row r="434" spans="1:12" x14ac:dyDescent="0.25">
      <c r="A434" s="48" t="str">
        <f>IF(Учет!A434&lt;&gt;"",Учет!A434,"")</f>
        <v/>
      </c>
      <c r="B434" s="52">
        <f>IF(Учет!$O434=Справочники!$F$2,Учет!$H434,0)</f>
        <v>0</v>
      </c>
      <c r="C434" s="52">
        <f>IF(Учет!$O434=Справочники!$F$3,Учет!$H434,0)</f>
        <v>0</v>
      </c>
      <c r="D434" s="52">
        <f>IF(Учет!$O434=Справочники!$F$4,Учет!$H434,0)</f>
        <v>0</v>
      </c>
      <c r="E434" s="52">
        <f>IF(Учет!$O434=Справочники!$F$5,Учет!$H434,0)</f>
        <v>0</v>
      </c>
      <c r="F434" s="52">
        <f>IF(Учет!$O434=Справочники!$F$6,Учет!$H434,0)</f>
        <v>0</v>
      </c>
      <c r="G434" s="43">
        <f>G433+Учет!B434-B434</f>
        <v>-488978.92000000004</v>
      </c>
      <c r="H434" s="43">
        <f>H433+Учет!C434-C434</f>
        <v>336855</v>
      </c>
      <c r="I434" s="43">
        <f>I433+Учет!D434-D434</f>
        <v>500</v>
      </c>
      <c r="J434" s="43">
        <f>J433+Учет!E434-E434</f>
        <v>1150</v>
      </c>
      <c r="K434" s="43">
        <f>K433+Учет!F434-F434</f>
        <v>500000</v>
      </c>
      <c r="L434" s="45">
        <f>Учет!I434</f>
        <v>349526.07999999996</v>
      </c>
    </row>
    <row r="435" spans="1:12" x14ac:dyDescent="0.25">
      <c r="A435" s="48" t="str">
        <f>IF(Учет!A435&lt;&gt;"",Учет!A435,"")</f>
        <v/>
      </c>
      <c r="B435" s="52">
        <f>IF(Учет!$O435=Справочники!$F$2,Учет!$H435,0)</f>
        <v>0</v>
      </c>
      <c r="C435" s="52">
        <f>IF(Учет!$O435=Справочники!$F$3,Учет!$H435,0)</f>
        <v>0</v>
      </c>
      <c r="D435" s="52">
        <f>IF(Учет!$O435=Справочники!$F$4,Учет!$H435,0)</f>
        <v>0</v>
      </c>
      <c r="E435" s="52">
        <f>IF(Учет!$O435=Справочники!$F$5,Учет!$H435,0)</f>
        <v>0</v>
      </c>
      <c r="F435" s="52">
        <f>IF(Учет!$O435=Справочники!$F$6,Учет!$H435,0)</f>
        <v>0</v>
      </c>
      <c r="G435" s="43">
        <f>G434+Учет!B435-B435</f>
        <v>-488978.92000000004</v>
      </c>
      <c r="H435" s="43">
        <f>H434+Учет!C435-C435</f>
        <v>336855</v>
      </c>
      <c r="I435" s="43">
        <f>I434+Учет!D435-D435</f>
        <v>500</v>
      </c>
      <c r="J435" s="43">
        <f>J434+Учет!E435-E435</f>
        <v>1150</v>
      </c>
      <c r="K435" s="43">
        <f>K434+Учет!F435-F435</f>
        <v>500000</v>
      </c>
      <c r="L435" s="45">
        <f>Учет!I435</f>
        <v>349526.07999999996</v>
      </c>
    </row>
    <row r="436" spans="1:12" x14ac:dyDescent="0.25">
      <c r="A436" s="48" t="str">
        <f>IF(Учет!A436&lt;&gt;"",Учет!A436,"")</f>
        <v/>
      </c>
      <c r="B436" s="52">
        <f>IF(Учет!$O436=Справочники!$F$2,Учет!$H436,0)</f>
        <v>0</v>
      </c>
      <c r="C436" s="52">
        <f>IF(Учет!$O436=Справочники!$F$3,Учет!$H436,0)</f>
        <v>0</v>
      </c>
      <c r="D436" s="52">
        <f>IF(Учет!$O436=Справочники!$F$4,Учет!$H436,0)</f>
        <v>0</v>
      </c>
      <c r="E436" s="52">
        <f>IF(Учет!$O436=Справочники!$F$5,Учет!$H436,0)</f>
        <v>0</v>
      </c>
      <c r="F436" s="52">
        <f>IF(Учет!$O436=Справочники!$F$6,Учет!$H436,0)</f>
        <v>0</v>
      </c>
      <c r="G436" s="43">
        <f>G435+Учет!B436-B436</f>
        <v>-488978.92000000004</v>
      </c>
      <c r="H436" s="43">
        <f>H435+Учет!C436-C436</f>
        <v>336855</v>
      </c>
      <c r="I436" s="43">
        <f>I435+Учет!D436-D436</f>
        <v>500</v>
      </c>
      <c r="J436" s="43">
        <f>J435+Учет!E436-E436</f>
        <v>1150</v>
      </c>
      <c r="K436" s="43">
        <f>K435+Учет!F436-F436</f>
        <v>500000</v>
      </c>
      <c r="L436" s="45">
        <f>Учет!I436</f>
        <v>349526.07999999996</v>
      </c>
    </row>
    <row r="437" spans="1:12" x14ac:dyDescent="0.25">
      <c r="A437" s="48" t="str">
        <f>IF(Учет!A437&lt;&gt;"",Учет!A437,"")</f>
        <v/>
      </c>
      <c r="B437" s="52">
        <f>IF(Учет!$O437=Справочники!$F$2,Учет!$H437,0)</f>
        <v>0</v>
      </c>
      <c r="C437" s="52">
        <f>IF(Учет!$O437=Справочники!$F$3,Учет!$H437,0)</f>
        <v>0</v>
      </c>
      <c r="D437" s="52">
        <f>IF(Учет!$O437=Справочники!$F$4,Учет!$H437,0)</f>
        <v>0</v>
      </c>
      <c r="E437" s="52">
        <f>IF(Учет!$O437=Справочники!$F$5,Учет!$H437,0)</f>
        <v>0</v>
      </c>
      <c r="F437" s="52">
        <f>IF(Учет!$O437=Справочники!$F$6,Учет!$H437,0)</f>
        <v>0</v>
      </c>
      <c r="G437" s="43">
        <f>G436+Учет!B437-B437</f>
        <v>-488978.92000000004</v>
      </c>
      <c r="H437" s="43">
        <f>H436+Учет!C437-C437</f>
        <v>336855</v>
      </c>
      <c r="I437" s="43">
        <f>I436+Учет!D437-D437</f>
        <v>500</v>
      </c>
      <c r="J437" s="43">
        <f>J436+Учет!E437-E437</f>
        <v>1150</v>
      </c>
      <c r="K437" s="43">
        <f>K436+Учет!F437-F437</f>
        <v>500000</v>
      </c>
      <c r="L437" s="45">
        <f>Учет!I437</f>
        <v>349526.07999999996</v>
      </c>
    </row>
    <row r="438" spans="1:12" x14ac:dyDescent="0.25">
      <c r="A438" s="48" t="str">
        <f>IF(Учет!A438&lt;&gt;"",Учет!A438,"")</f>
        <v/>
      </c>
      <c r="B438" s="52">
        <f>IF(Учет!$O438=Справочники!$F$2,Учет!$H438,0)</f>
        <v>0</v>
      </c>
      <c r="C438" s="52">
        <f>IF(Учет!$O438=Справочники!$F$3,Учет!$H438,0)</f>
        <v>0</v>
      </c>
      <c r="D438" s="52">
        <f>IF(Учет!$O438=Справочники!$F$4,Учет!$H438,0)</f>
        <v>0</v>
      </c>
      <c r="E438" s="52">
        <f>IF(Учет!$O438=Справочники!$F$5,Учет!$H438,0)</f>
        <v>0</v>
      </c>
      <c r="F438" s="52">
        <f>IF(Учет!$O438=Справочники!$F$6,Учет!$H438,0)</f>
        <v>0</v>
      </c>
      <c r="G438" s="43">
        <f>G437+Учет!B438-B438</f>
        <v>-488978.92000000004</v>
      </c>
      <c r="H438" s="43">
        <f>H437+Учет!C438-C438</f>
        <v>336855</v>
      </c>
      <c r="I438" s="43">
        <f>I437+Учет!D438-D438</f>
        <v>500</v>
      </c>
      <c r="J438" s="43">
        <f>J437+Учет!E438-E438</f>
        <v>1150</v>
      </c>
      <c r="K438" s="43">
        <f>K437+Учет!F438-F438</f>
        <v>500000</v>
      </c>
      <c r="L438" s="45">
        <f>Учет!I438</f>
        <v>349526.07999999996</v>
      </c>
    </row>
    <row r="439" spans="1:12" x14ac:dyDescent="0.25">
      <c r="A439" s="48" t="str">
        <f>IF(Учет!A439&lt;&gt;"",Учет!A439,"")</f>
        <v/>
      </c>
      <c r="B439" s="52">
        <f>IF(Учет!$O439=Справочники!$F$2,Учет!$H439,0)</f>
        <v>0</v>
      </c>
      <c r="C439" s="52">
        <f>IF(Учет!$O439=Справочники!$F$3,Учет!$H439,0)</f>
        <v>0</v>
      </c>
      <c r="D439" s="52">
        <f>IF(Учет!$O439=Справочники!$F$4,Учет!$H439,0)</f>
        <v>0</v>
      </c>
      <c r="E439" s="52">
        <f>IF(Учет!$O439=Справочники!$F$5,Учет!$H439,0)</f>
        <v>0</v>
      </c>
      <c r="F439" s="52">
        <f>IF(Учет!$O439=Справочники!$F$6,Учет!$H439,0)</f>
        <v>0</v>
      </c>
      <c r="G439" s="43">
        <f>G438+Учет!B439-B439</f>
        <v>-488978.92000000004</v>
      </c>
      <c r="H439" s="43">
        <f>H438+Учет!C439-C439</f>
        <v>336855</v>
      </c>
      <c r="I439" s="43">
        <f>I438+Учет!D439-D439</f>
        <v>500</v>
      </c>
      <c r="J439" s="43">
        <f>J438+Учет!E439-E439</f>
        <v>1150</v>
      </c>
      <c r="K439" s="43">
        <f>K438+Учет!F439-F439</f>
        <v>500000</v>
      </c>
      <c r="L439" s="45">
        <f>Учет!I439</f>
        <v>349526.07999999996</v>
      </c>
    </row>
    <row r="440" spans="1:12" x14ac:dyDescent="0.25">
      <c r="A440" s="48" t="str">
        <f>IF(Учет!A440&lt;&gt;"",Учет!A440,"")</f>
        <v/>
      </c>
      <c r="B440" s="52">
        <f>IF(Учет!$O440=Справочники!$F$2,Учет!$H440,0)</f>
        <v>0</v>
      </c>
      <c r="C440" s="52">
        <f>IF(Учет!$O440=Справочники!$F$3,Учет!$H440,0)</f>
        <v>0</v>
      </c>
      <c r="D440" s="52">
        <f>IF(Учет!$O440=Справочники!$F$4,Учет!$H440,0)</f>
        <v>0</v>
      </c>
      <c r="E440" s="52">
        <f>IF(Учет!$O440=Справочники!$F$5,Учет!$H440,0)</f>
        <v>0</v>
      </c>
      <c r="F440" s="52">
        <f>IF(Учет!$O440=Справочники!$F$6,Учет!$H440,0)</f>
        <v>0</v>
      </c>
      <c r="G440" s="43">
        <f>G439+Учет!B440-B440</f>
        <v>-488978.92000000004</v>
      </c>
      <c r="H440" s="43">
        <f>H439+Учет!C440-C440</f>
        <v>336855</v>
      </c>
      <c r="I440" s="43">
        <f>I439+Учет!D440-D440</f>
        <v>500</v>
      </c>
      <c r="J440" s="43">
        <f>J439+Учет!E440-E440</f>
        <v>1150</v>
      </c>
      <c r="K440" s="43">
        <f>K439+Учет!F440-F440</f>
        <v>500000</v>
      </c>
      <c r="L440" s="45">
        <f>Учет!I440</f>
        <v>349526.07999999996</v>
      </c>
    </row>
    <row r="441" spans="1:12" x14ac:dyDescent="0.25">
      <c r="A441" s="48" t="str">
        <f>IF(Учет!A441&lt;&gt;"",Учет!A441,"")</f>
        <v/>
      </c>
      <c r="B441" s="52">
        <f>IF(Учет!$O441=Справочники!$F$2,Учет!$H441,0)</f>
        <v>0</v>
      </c>
      <c r="C441" s="52">
        <f>IF(Учет!$O441=Справочники!$F$3,Учет!$H441,0)</f>
        <v>0</v>
      </c>
      <c r="D441" s="52">
        <f>IF(Учет!$O441=Справочники!$F$4,Учет!$H441,0)</f>
        <v>0</v>
      </c>
      <c r="E441" s="52">
        <f>IF(Учет!$O441=Справочники!$F$5,Учет!$H441,0)</f>
        <v>0</v>
      </c>
      <c r="F441" s="52">
        <f>IF(Учет!$O441=Справочники!$F$6,Учет!$H441,0)</f>
        <v>0</v>
      </c>
      <c r="G441" s="43">
        <f>G440+Учет!B441-B441</f>
        <v>-488978.92000000004</v>
      </c>
      <c r="H441" s="43">
        <f>H440+Учет!C441-C441</f>
        <v>336855</v>
      </c>
      <c r="I441" s="43">
        <f>I440+Учет!D441-D441</f>
        <v>500</v>
      </c>
      <c r="J441" s="43">
        <f>J440+Учет!E441-E441</f>
        <v>1150</v>
      </c>
      <c r="K441" s="43">
        <f>K440+Учет!F441-F441</f>
        <v>500000</v>
      </c>
      <c r="L441" s="45">
        <f>Учет!I441</f>
        <v>349526.07999999996</v>
      </c>
    </row>
    <row r="442" spans="1:12" x14ac:dyDescent="0.25">
      <c r="A442" s="48" t="str">
        <f>IF(Учет!A442&lt;&gt;"",Учет!A442,"")</f>
        <v/>
      </c>
      <c r="B442" s="52">
        <f>IF(Учет!$O442=Справочники!$F$2,Учет!$H442,0)</f>
        <v>0</v>
      </c>
      <c r="C442" s="52">
        <f>IF(Учет!$O442=Справочники!$F$3,Учет!$H442,0)</f>
        <v>0</v>
      </c>
      <c r="D442" s="52">
        <f>IF(Учет!$O442=Справочники!$F$4,Учет!$H442,0)</f>
        <v>0</v>
      </c>
      <c r="E442" s="52">
        <f>IF(Учет!$O442=Справочники!$F$5,Учет!$H442,0)</f>
        <v>0</v>
      </c>
      <c r="F442" s="52">
        <f>IF(Учет!$O442=Справочники!$F$6,Учет!$H442,0)</f>
        <v>0</v>
      </c>
      <c r="G442" s="43">
        <f>G441+Учет!B442-B442</f>
        <v>-488978.92000000004</v>
      </c>
      <c r="H442" s="43">
        <f>H441+Учет!C442-C442</f>
        <v>336855</v>
      </c>
      <c r="I442" s="43">
        <f>I441+Учет!D442-D442</f>
        <v>500</v>
      </c>
      <c r="J442" s="43">
        <f>J441+Учет!E442-E442</f>
        <v>1150</v>
      </c>
      <c r="K442" s="43">
        <f>K441+Учет!F442-F442</f>
        <v>500000</v>
      </c>
      <c r="L442" s="45">
        <f>Учет!I442</f>
        <v>349526.07999999996</v>
      </c>
    </row>
    <row r="443" spans="1:12" x14ac:dyDescent="0.25">
      <c r="A443" s="48" t="str">
        <f>IF(Учет!A443&lt;&gt;"",Учет!A443,"")</f>
        <v/>
      </c>
      <c r="B443" s="52">
        <f>IF(Учет!$O443=Справочники!$F$2,Учет!$H443,0)</f>
        <v>0</v>
      </c>
      <c r="C443" s="52">
        <f>IF(Учет!$O443=Справочники!$F$3,Учет!$H443,0)</f>
        <v>0</v>
      </c>
      <c r="D443" s="52">
        <f>IF(Учет!$O443=Справочники!$F$4,Учет!$H443,0)</f>
        <v>0</v>
      </c>
      <c r="E443" s="52">
        <f>IF(Учет!$O443=Справочники!$F$5,Учет!$H443,0)</f>
        <v>0</v>
      </c>
      <c r="F443" s="52">
        <f>IF(Учет!$O443=Справочники!$F$6,Учет!$H443,0)</f>
        <v>0</v>
      </c>
      <c r="G443" s="43">
        <f>G442+Учет!B443-B443</f>
        <v>-488978.92000000004</v>
      </c>
      <c r="H443" s="43">
        <f>H442+Учет!C443-C443</f>
        <v>336855</v>
      </c>
      <c r="I443" s="43">
        <f>I442+Учет!D443-D443</f>
        <v>500</v>
      </c>
      <c r="J443" s="43">
        <f>J442+Учет!E443-E443</f>
        <v>1150</v>
      </c>
      <c r="K443" s="43">
        <f>K442+Учет!F443-F443</f>
        <v>500000</v>
      </c>
      <c r="L443" s="45">
        <f>Учет!I443</f>
        <v>349526.07999999996</v>
      </c>
    </row>
    <row r="444" spans="1:12" x14ac:dyDescent="0.25">
      <c r="A444" s="48" t="str">
        <f>IF(Учет!A444&lt;&gt;"",Учет!A444,"")</f>
        <v/>
      </c>
      <c r="B444" s="52">
        <f>IF(Учет!$O444=Справочники!$F$2,Учет!$H444,0)</f>
        <v>0</v>
      </c>
      <c r="C444" s="52">
        <f>IF(Учет!$O444=Справочники!$F$3,Учет!$H444,0)</f>
        <v>0</v>
      </c>
      <c r="D444" s="52">
        <f>IF(Учет!$O444=Справочники!$F$4,Учет!$H444,0)</f>
        <v>0</v>
      </c>
      <c r="E444" s="52">
        <f>IF(Учет!$O444=Справочники!$F$5,Учет!$H444,0)</f>
        <v>0</v>
      </c>
      <c r="F444" s="52">
        <f>IF(Учет!$O444=Справочники!$F$6,Учет!$H444,0)</f>
        <v>0</v>
      </c>
      <c r="G444" s="43">
        <f>G443+Учет!B444-B444</f>
        <v>-488978.92000000004</v>
      </c>
      <c r="H444" s="43">
        <f>H443+Учет!C444-C444</f>
        <v>336855</v>
      </c>
      <c r="I444" s="43">
        <f>I443+Учет!D444-D444</f>
        <v>500</v>
      </c>
      <c r="J444" s="43">
        <f>J443+Учет!E444-E444</f>
        <v>1150</v>
      </c>
      <c r="K444" s="43">
        <f>K443+Учет!F444-F444</f>
        <v>500000</v>
      </c>
      <c r="L444" s="45">
        <f>Учет!I444</f>
        <v>349526.07999999996</v>
      </c>
    </row>
    <row r="445" spans="1:12" x14ac:dyDescent="0.25">
      <c r="A445" s="48" t="str">
        <f>IF(Учет!A445&lt;&gt;"",Учет!A445,"")</f>
        <v/>
      </c>
      <c r="B445" s="52">
        <f>IF(Учет!$O445=Справочники!$F$2,Учет!$H445,0)</f>
        <v>0</v>
      </c>
      <c r="C445" s="52">
        <f>IF(Учет!$O445=Справочники!$F$3,Учет!$H445,0)</f>
        <v>0</v>
      </c>
      <c r="D445" s="52">
        <f>IF(Учет!$O445=Справочники!$F$4,Учет!$H445,0)</f>
        <v>0</v>
      </c>
      <c r="E445" s="52">
        <f>IF(Учет!$O445=Справочники!$F$5,Учет!$H445,0)</f>
        <v>0</v>
      </c>
      <c r="F445" s="52">
        <f>IF(Учет!$O445=Справочники!$F$6,Учет!$H445,0)</f>
        <v>0</v>
      </c>
      <c r="G445" s="43">
        <f>G444+Учет!B445-B445</f>
        <v>-488978.92000000004</v>
      </c>
      <c r="H445" s="43">
        <f>H444+Учет!C445-C445</f>
        <v>336855</v>
      </c>
      <c r="I445" s="43">
        <f>I444+Учет!D445-D445</f>
        <v>500</v>
      </c>
      <c r="J445" s="43">
        <f>J444+Учет!E445-E445</f>
        <v>1150</v>
      </c>
      <c r="K445" s="43">
        <f>K444+Учет!F445-F445</f>
        <v>500000</v>
      </c>
      <c r="L445" s="45">
        <f>Учет!I445</f>
        <v>349526.07999999996</v>
      </c>
    </row>
    <row r="446" spans="1:12" x14ac:dyDescent="0.25">
      <c r="A446" s="48" t="str">
        <f>IF(Учет!A446&lt;&gt;"",Учет!A446,"")</f>
        <v/>
      </c>
      <c r="B446" s="52">
        <f>IF(Учет!$O446=Справочники!$F$2,Учет!$H446,0)</f>
        <v>0</v>
      </c>
      <c r="C446" s="52">
        <f>IF(Учет!$O446=Справочники!$F$3,Учет!$H446,0)</f>
        <v>0</v>
      </c>
      <c r="D446" s="52">
        <f>IF(Учет!$O446=Справочники!$F$4,Учет!$H446,0)</f>
        <v>0</v>
      </c>
      <c r="E446" s="52">
        <f>IF(Учет!$O446=Справочники!$F$5,Учет!$H446,0)</f>
        <v>0</v>
      </c>
      <c r="F446" s="52">
        <f>IF(Учет!$O446=Справочники!$F$6,Учет!$H446,0)</f>
        <v>0</v>
      </c>
      <c r="G446" s="43">
        <f>G445+Учет!B446-B446</f>
        <v>-488978.92000000004</v>
      </c>
      <c r="H446" s="43">
        <f>H445+Учет!C446-C446</f>
        <v>336855</v>
      </c>
      <c r="I446" s="43">
        <f>I445+Учет!D446-D446</f>
        <v>500</v>
      </c>
      <c r="J446" s="43">
        <f>J445+Учет!E446-E446</f>
        <v>1150</v>
      </c>
      <c r="K446" s="43">
        <f>K445+Учет!F446-F446</f>
        <v>500000</v>
      </c>
      <c r="L446" s="45">
        <f>Учет!I446</f>
        <v>349526.07999999996</v>
      </c>
    </row>
    <row r="447" spans="1:12" x14ac:dyDescent="0.25">
      <c r="A447" s="48" t="str">
        <f>IF(Учет!A447&lt;&gt;"",Учет!A447,"")</f>
        <v/>
      </c>
      <c r="B447" s="52">
        <f>IF(Учет!$O447=Справочники!$F$2,Учет!$H447,0)</f>
        <v>0</v>
      </c>
      <c r="C447" s="52">
        <f>IF(Учет!$O447=Справочники!$F$3,Учет!$H447,0)</f>
        <v>0</v>
      </c>
      <c r="D447" s="52">
        <f>IF(Учет!$O447=Справочники!$F$4,Учет!$H447,0)</f>
        <v>0</v>
      </c>
      <c r="E447" s="52">
        <f>IF(Учет!$O447=Справочники!$F$5,Учет!$H447,0)</f>
        <v>0</v>
      </c>
      <c r="F447" s="52">
        <f>IF(Учет!$O447=Справочники!$F$6,Учет!$H447,0)</f>
        <v>0</v>
      </c>
      <c r="G447" s="43">
        <f>G446+Учет!B447-B447</f>
        <v>-488978.92000000004</v>
      </c>
      <c r="H447" s="43">
        <f>H446+Учет!C447-C447</f>
        <v>336855</v>
      </c>
      <c r="I447" s="43">
        <f>I446+Учет!D447-D447</f>
        <v>500</v>
      </c>
      <c r="J447" s="43">
        <f>J446+Учет!E447-E447</f>
        <v>1150</v>
      </c>
      <c r="K447" s="43">
        <f>K446+Учет!F447-F447</f>
        <v>500000</v>
      </c>
      <c r="L447" s="45">
        <f>Учет!I447</f>
        <v>349526.07999999996</v>
      </c>
    </row>
    <row r="448" spans="1:12" x14ac:dyDescent="0.25">
      <c r="A448" s="48" t="str">
        <f>IF(Учет!A448&lt;&gt;"",Учет!A448,"")</f>
        <v/>
      </c>
      <c r="B448" s="52">
        <f>IF(Учет!$O448=Справочники!$F$2,Учет!$H448,0)</f>
        <v>0</v>
      </c>
      <c r="C448" s="52">
        <f>IF(Учет!$O448=Справочники!$F$3,Учет!$H448,0)</f>
        <v>0</v>
      </c>
      <c r="D448" s="52">
        <f>IF(Учет!$O448=Справочники!$F$4,Учет!$H448,0)</f>
        <v>0</v>
      </c>
      <c r="E448" s="52">
        <f>IF(Учет!$O448=Справочники!$F$5,Учет!$H448,0)</f>
        <v>0</v>
      </c>
      <c r="F448" s="52">
        <f>IF(Учет!$O448=Справочники!$F$6,Учет!$H448,0)</f>
        <v>0</v>
      </c>
      <c r="G448" s="43">
        <f>G447+Учет!B448-B448</f>
        <v>-488978.92000000004</v>
      </c>
      <c r="H448" s="43">
        <f>H447+Учет!C448-C448</f>
        <v>336855</v>
      </c>
      <c r="I448" s="43">
        <f>I447+Учет!D448-D448</f>
        <v>500</v>
      </c>
      <c r="J448" s="43">
        <f>J447+Учет!E448-E448</f>
        <v>1150</v>
      </c>
      <c r="K448" s="43">
        <f>K447+Учет!F448-F448</f>
        <v>500000</v>
      </c>
      <c r="L448" s="45">
        <f>Учет!I448</f>
        <v>349526.07999999996</v>
      </c>
    </row>
    <row r="449" spans="1:12" x14ac:dyDescent="0.25">
      <c r="A449" s="48" t="str">
        <f>IF(Учет!A449&lt;&gt;"",Учет!A449,"")</f>
        <v/>
      </c>
      <c r="B449" s="52">
        <f>IF(Учет!$O449=Справочники!$F$2,Учет!$H449,0)</f>
        <v>0</v>
      </c>
      <c r="C449" s="52">
        <f>IF(Учет!$O449=Справочники!$F$3,Учет!$H449,0)</f>
        <v>0</v>
      </c>
      <c r="D449" s="52">
        <f>IF(Учет!$O449=Справочники!$F$4,Учет!$H449,0)</f>
        <v>0</v>
      </c>
      <c r="E449" s="52">
        <f>IF(Учет!$O449=Справочники!$F$5,Учет!$H449,0)</f>
        <v>0</v>
      </c>
      <c r="F449" s="52">
        <f>IF(Учет!$O449=Справочники!$F$6,Учет!$H449,0)</f>
        <v>0</v>
      </c>
      <c r="G449" s="43">
        <f>G448+Учет!B449-B449</f>
        <v>-488978.92000000004</v>
      </c>
      <c r="H449" s="43">
        <f>H448+Учет!C449-C449</f>
        <v>336855</v>
      </c>
      <c r="I449" s="43">
        <f>I448+Учет!D449-D449</f>
        <v>500</v>
      </c>
      <c r="J449" s="43">
        <f>J448+Учет!E449-E449</f>
        <v>1150</v>
      </c>
      <c r="K449" s="43">
        <f>K448+Учет!F449-F449</f>
        <v>500000</v>
      </c>
      <c r="L449" s="45">
        <f>Учет!I449</f>
        <v>349526.07999999996</v>
      </c>
    </row>
    <row r="450" spans="1:12" x14ac:dyDescent="0.25">
      <c r="A450" s="48" t="str">
        <f>IF(Учет!A450&lt;&gt;"",Учет!A450,"")</f>
        <v/>
      </c>
      <c r="B450" s="52">
        <f>IF(Учет!$O450=Справочники!$F$2,Учет!$H450,0)</f>
        <v>0</v>
      </c>
      <c r="C450" s="52">
        <f>IF(Учет!$O450=Справочники!$F$3,Учет!$H450,0)</f>
        <v>0</v>
      </c>
      <c r="D450" s="52">
        <f>IF(Учет!$O450=Справочники!$F$4,Учет!$H450,0)</f>
        <v>0</v>
      </c>
      <c r="E450" s="52">
        <f>IF(Учет!$O450=Справочники!$F$5,Учет!$H450,0)</f>
        <v>0</v>
      </c>
      <c r="F450" s="52">
        <f>IF(Учет!$O450=Справочники!$F$6,Учет!$H450,0)</f>
        <v>0</v>
      </c>
      <c r="G450" s="43">
        <f>G449+Учет!B450-B450</f>
        <v>-488978.92000000004</v>
      </c>
      <c r="H450" s="43">
        <f>H449+Учет!C450-C450</f>
        <v>336855</v>
      </c>
      <c r="I450" s="43">
        <f>I449+Учет!D450-D450</f>
        <v>500</v>
      </c>
      <c r="J450" s="43">
        <f>J449+Учет!E450-E450</f>
        <v>1150</v>
      </c>
      <c r="K450" s="43">
        <f>K449+Учет!F450-F450</f>
        <v>500000</v>
      </c>
      <c r="L450" s="45">
        <f>Учет!I450</f>
        <v>349526.07999999996</v>
      </c>
    </row>
    <row r="451" spans="1:12" x14ac:dyDescent="0.25">
      <c r="A451" s="48" t="str">
        <f>IF(Учет!A451&lt;&gt;"",Учет!A451,"")</f>
        <v/>
      </c>
      <c r="B451" s="52">
        <f>IF(Учет!$O451=Справочники!$F$2,Учет!$H451,0)</f>
        <v>0</v>
      </c>
      <c r="C451" s="52">
        <f>IF(Учет!$O451=Справочники!$F$3,Учет!$H451,0)</f>
        <v>0</v>
      </c>
      <c r="D451" s="52">
        <f>IF(Учет!$O451=Справочники!$F$4,Учет!$H451,0)</f>
        <v>0</v>
      </c>
      <c r="E451" s="52">
        <f>IF(Учет!$O451=Справочники!$F$5,Учет!$H451,0)</f>
        <v>0</v>
      </c>
      <c r="F451" s="52">
        <f>IF(Учет!$O451=Справочники!$F$6,Учет!$H451,0)</f>
        <v>0</v>
      </c>
      <c r="G451" s="43">
        <f>G450+Учет!B451-B451</f>
        <v>-488978.92000000004</v>
      </c>
      <c r="H451" s="43">
        <f>H450+Учет!C451-C451</f>
        <v>336855</v>
      </c>
      <c r="I451" s="43">
        <f>I450+Учет!D451-D451</f>
        <v>500</v>
      </c>
      <c r="J451" s="43">
        <f>J450+Учет!E451-E451</f>
        <v>1150</v>
      </c>
      <c r="K451" s="43">
        <f>K450+Учет!F451-F451</f>
        <v>500000</v>
      </c>
      <c r="L451" s="45">
        <f>Учет!I451</f>
        <v>349526.07999999996</v>
      </c>
    </row>
    <row r="452" spans="1:12" x14ac:dyDescent="0.25">
      <c r="A452" s="48" t="str">
        <f>IF(Учет!A452&lt;&gt;"",Учет!A452,"")</f>
        <v/>
      </c>
      <c r="B452" s="52">
        <f>IF(Учет!$O452=Справочники!$F$2,Учет!$H452,0)</f>
        <v>0</v>
      </c>
      <c r="C452" s="52">
        <f>IF(Учет!$O452=Справочники!$F$3,Учет!$H452,0)</f>
        <v>0</v>
      </c>
      <c r="D452" s="52">
        <f>IF(Учет!$O452=Справочники!$F$4,Учет!$H452,0)</f>
        <v>0</v>
      </c>
      <c r="E452" s="52">
        <f>IF(Учет!$O452=Справочники!$F$5,Учет!$H452,0)</f>
        <v>0</v>
      </c>
      <c r="F452" s="52">
        <f>IF(Учет!$O452=Справочники!$F$6,Учет!$H452,0)</f>
        <v>0</v>
      </c>
      <c r="G452" s="43">
        <f>G451+Учет!B452-B452</f>
        <v>-488978.92000000004</v>
      </c>
      <c r="H452" s="43">
        <f>H451+Учет!C452-C452</f>
        <v>336855</v>
      </c>
      <c r="I452" s="43">
        <f>I451+Учет!D452-D452</f>
        <v>500</v>
      </c>
      <c r="J452" s="43">
        <f>J451+Учет!E452-E452</f>
        <v>1150</v>
      </c>
      <c r="K452" s="43">
        <f>K451+Учет!F452-F452</f>
        <v>500000</v>
      </c>
      <c r="L452" s="45">
        <f>Учет!I452</f>
        <v>349526.07999999996</v>
      </c>
    </row>
    <row r="453" spans="1:12" x14ac:dyDescent="0.25">
      <c r="A453" s="48" t="str">
        <f>IF(Учет!A453&lt;&gt;"",Учет!A453,"")</f>
        <v/>
      </c>
      <c r="B453" s="52">
        <f>IF(Учет!$O453=Справочники!$F$2,Учет!$H453,0)</f>
        <v>0</v>
      </c>
      <c r="C453" s="52">
        <f>IF(Учет!$O453=Справочники!$F$3,Учет!$H453,0)</f>
        <v>0</v>
      </c>
      <c r="D453" s="52">
        <f>IF(Учет!$O453=Справочники!$F$4,Учет!$H453,0)</f>
        <v>0</v>
      </c>
      <c r="E453" s="52">
        <f>IF(Учет!$O453=Справочники!$F$5,Учет!$H453,0)</f>
        <v>0</v>
      </c>
      <c r="F453" s="52">
        <f>IF(Учет!$O453=Справочники!$F$6,Учет!$H453,0)</f>
        <v>0</v>
      </c>
      <c r="G453" s="43">
        <f>G452+Учет!B453-B453</f>
        <v>-488978.92000000004</v>
      </c>
      <c r="H453" s="43">
        <f>H452+Учет!C453-C453</f>
        <v>336855</v>
      </c>
      <c r="I453" s="43">
        <f>I452+Учет!D453-D453</f>
        <v>500</v>
      </c>
      <c r="J453" s="43">
        <f>J452+Учет!E453-E453</f>
        <v>1150</v>
      </c>
      <c r="K453" s="43">
        <f>K452+Учет!F453-F453</f>
        <v>500000</v>
      </c>
      <c r="L453" s="45">
        <f>Учет!I453</f>
        <v>349526.07999999996</v>
      </c>
    </row>
    <row r="454" spans="1:12" x14ac:dyDescent="0.25">
      <c r="A454" s="48" t="str">
        <f>IF(Учет!A454&lt;&gt;"",Учет!A454,"")</f>
        <v/>
      </c>
      <c r="B454" s="52">
        <f>IF(Учет!$O454=Справочники!$F$2,Учет!$H454,0)</f>
        <v>0</v>
      </c>
      <c r="C454" s="52">
        <f>IF(Учет!$O454=Справочники!$F$3,Учет!$H454,0)</f>
        <v>0</v>
      </c>
      <c r="D454" s="52">
        <f>IF(Учет!$O454=Справочники!$F$4,Учет!$H454,0)</f>
        <v>0</v>
      </c>
      <c r="E454" s="52">
        <f>IF(Учет!$O454=Справочники!$F$5,Учет!$H454,0)</f>
        <v>0</v>
      </c>
      <c r="F454" s="52">
        <f>IF(Учет!$O454=Справочники!$F$6,Учет!$H454,0)</f>
        <v>0</v>
      </c>
      <c r="G454" s="43">
        <f>G453+Учет!B454-B454</f>
        <v>-488978.92000000004</v>
      </c>
      <c r="H454" s="43">
        <f>H453+Учет!C454-C454</f>
        <v>336855</v>
      </c>
      <c r="I454" s="43">
        <f>I453+Учет!D454-D454</f>
        <v>500</v>
      </c>
      <c r="J454" s="43">
        <f>J453+Учет!E454-E454</f>
        <v>1150</v>
      </c>
      <c r="K454" s="43">
        <f>K453+Учет!F454-F454</f>
        <v>500000</v>
      </c>
      <c r="L454" s="45">
        <f>Учет!I454</f>
        <v>349526.07999999996</v>
      </c>
    </row>
    <row r="455" spans="1:12" x14ac:dyDescent="0.25">
      <c r="A455" s="48" t="str">
        <f>IF(Учет!A455&lt;&gt;"",Учет!A455,"")</f>
        <v/>
      </c>
      <c r="B455" s="52">
        <f>IF(Учет!$O455=Справочники!$F$2,Учет!$H455,0)</f>
        <v>0</v>
      </c>
      <c r="C455" s="52">
        <f>IF(Учет!$O455=Справочники!$F$3,Учет!$H455,0)</f>
        <v>0</v>
      </c>
      <c r="D455" s="52">
        <f>IF(Учет!$O455=Справочники!$F$4,Учет!$H455,0)</f>
        <v>0</v>
      </c>
      <c r="E455" s="52">
        <f>IF(Учет!$O455=Справочники!$F$5,Учет!$H455,0)</f>
        <v>0</v>
      </c>
      <c r="F455" s="52">
        <f>IF(Учет!$O455=Справочники!$F$6,Учет!$H455,0)</f>
        <v>0</v>
      </c>
      <c r="G455" s="43">
        <f>G454+Учет!B455-B455</f>
        <v>-488978.92000000004</v>
      </c>
      <c r="H455" s="43">
        <f>H454+Учет!C455-C455</f>
        <v>336855</v>
      </c>
      <c r="I455" s="43">
        <f>I454+Учет!D455-D455</f>
        <v>500</v>
      </c>
      <c r="J455" s="43">
        <f>J454+Учет!E455-E455</f>
        <v>1150</v>
      </c>
      <c r="K455" s="43">
        <f>K454+Учет!F455-F455</f>
        <v>500000</v>
      </c>
      <c r="L455" s="45">
        <f>Учет!I455</f>
        <v>349526.07999999996</v>
      </c>
    </row>
    <row r="456" spans="1:12" x14ac:dyDescent="0.25">
      <c r="A456" s="48" t="str">
        <f>IF(Учет!A456&lt;&gt;"",Учет!A456,"")</f>
        <v/>
      </c>
      <c r="B456" s="52">
        <f>IF(Учет!$O456=Справочники!$F$2,Учет!$H456,0)</f>
        <v>0</v>
      </c>
      <c r="C456" s="52">
        <f>IF(Учет!$O456=Справочники!$F$3,Учет!$H456,0)</f>
        <v>0</v>
      </c>
      <c r="D456" s="52">
        <f>IF(Учет!$O456=Справочники!$F$4,Учет!$H456,0)</f>
        <v>0</v>
      </c>
      <c r="E456" s="52">
        <f>IF(Учет!$O456=Справочники!$F$5,Учет!$H456,0)</f>
        <v>0</v>
      </c>
      <c r="F456" s="52">
        <f>IF(Учет!$O456=Справочники!$F$6,Учет!$H456,0)</f>
        <v>0</v>
      </c>
      <c r="G456" s="43">
        <f>G455+Учет!B456-B456</f>
        <v>-488978.92000000004</v>
      </c>
      <c r="H456" s="43">
        <f>H455+Учет!C456-C456</f>
        <v>336855</v>
      </c>
      <c r="I456" s="43">
        <f>I455+Учет!D456-D456</f>
        <v>500</v>
      </c>
      <c r="J456" s="43">
        <f>J455+Учет!E456-E456</f>
        <v>1150</v>
      </c>
      <c r="K456" s="43">
        <f>K455+Учет!F456-F456</f>
        <v>500000</v>
      </c>
      <c r="L456" s="45">
        <f>Учет!I456</f>
        <v>349526.07999999996</v>
      </c>
    </row>
    <row r="457" spans="1:12" x14ac:dyDescent="0.25">
      <c r="A457" s="48" t="str">
        <f>IF(Учет!A457&lt;&gt;"",Учет!A457,"")</f>
        <v/>
      </c>
      <c r="B457" s="52">
        <f>IF(Учет!$O457=Справочники!$F$2,Учет!$H457,0)</f>
        <v>0</v>
      </c>
      <c r="C457" s="52">
        <f>IF(Учет!$O457=Справочники!$F$3,Учет!$H457,0)</f>
        <v>0</v>
      </c>
      <c r="D457" s="52">
        <f>IF(Учет!$O457=Справочники!$F$4,Учет!$H457,0)</f>
        <v>0</v>
      </c>
      <c r="E457" s="52">
        <f>IF(Учет!$O457=Справочники!$F$5,Учет!$H457,0)</f>
        <v>0</v>
      </c>
      <c r="F457" s="52">
        <f>IF(Учет!$O457=Справочники!$F$6,Учет!$H457,0)</f>
        <v>0</v>
      </c>
      <c r="G457" s="43">
        <f>G456+Учет!B457-B457</f>
        <v>-488978.92000000004</v>
      </c>
      <c r="H457" s="43">
        <f>H456+Учет!C457-C457</f>
        <v>336855</v>
      </c>
      <c r="I457" s="43">
        <f>I456+Учет!D457-D457</f>
        <v>500</v>
      </c>
      <c r="J457" s="43">
        <f>J456+Учет!E457-E457</f>
        <v>1150</v>
      </c>
      <c r="K457" s="43">
        <f>K456+Учет!F457-F457</f>
        <v>500000</v>
      </c>
      <c r="L457" s="45">
        <f>Учет!I457</f>
        <v>349526.07999999996</v>
      </c>
    </row>
    <row r="458" spans="1:12" x14ac:dyDescent="0.25">
      <c r="A458" s="48" t="str">
        <f>IF(Учет!A458&lt;&gt;"",Учет!A458,"")</f>
        <v/>
      </c>
      <c r="B458" s="52">
        <f>IF(Учет!$O458=Справочники!$F$2,Учет!$H458,0)</f>
        <v>0</v>
      </c>
      <c r="C458" s="52">
        <f>IF(Учет!$O458=Справочники!$F$3,Учет!$H458,0)</f>
        <v>0</v>
      </c>
      <c r="D458" s="52">
        <f>IF(Учет!$O458=Справочники!$F$4,Учет!$H458,0)</f>
        <v>0</v>
      </c>
      <c r="E458" s="52">
        <f>IF(Учет!$O458=Справочники!$F$5,Учет!$H458,0)</f>
        <v>0</v>
      </c>
      <c r="F458" s="52">
        <f>IF(Учет!$O458=Справочники!$F$6,Учет!$H458,0)</f>
        <v>0</v>
      </c>
      <c r="G458" s="43">
        <f>G457+Учет!B458-B458</f>
        <v>-488978.92000000004</v>
      </c>
      <c r="H458" s="43">
        <f>H457+Учет!C458-C458</f>
        <v>336855</v>
      </c>
      <c r="I458" s="43">
        <f>I457+Учет!D458-D458</f>
        <v>500</v>
      </c>
      <c r="J458" s="43">
        <f>J457+Учет!E458-E458</f>
        <v>1150</v>
      </c>
      <c r="K458" s="43">
        <f>K457+Учет!F458-F458</f>
        <v>500000</v>
      </c>
      <c r="L458" s="45">
        <f>Учет!I458</f>
        <v>349526.07999999996</v>
      </c>
    </row>
    <row r="459" spans="1:12" x14ac:dyDescent="0.25">
      <c r="A459" s="48" t="str">
        <f>IF(Учет!A459&lt;&gt;"",Учет!A459,"")</f>
        <v/>
      </c>
      <c r="B459" s="52">
        <f>IF(Учет!$O459=Справочники!$F$2,Учет!$H459,0)</f>
        <v>0</v>
      </c>
      <c r="C459" s="52">
        <f>IF(Учет!$O459=Справочники!$F$3,Учет!$H459,0)</f>
        <v>0</v>
      </c>
      <c r="D459" s="52">
        <f>IF(Учет!$O459=Справочники!$F$4,Учет!$H459,0)</f>
        <v>0</v>
      </c>
      <c r="E459" s="52">
        <f>IF(Учет!$O459=Справочники!$F$5,Учет!$H459,0)</f>
        <v>0</v>
      </c>
      <c r="F459" s="52">
        <f>IF(Учет!$O459=Справочники!$F$6,Учет!$H459,0)</f>
        <v>0</v>
      </c>
      <c r="G459" s="43">
        <f>G458+Учет!B459-B459</f>
        <v>-488978.92000000004</v>
      </c>
      <c r="H459" s="43">
        <f>H458+Учет!C459-C459</f>
        <v>336855</v>
      </c>
      <c r="I459" s="43">
        <f>I458+Учет!D459-D459</f>
        <v>500</v>
      </c>
      <c r="J459" s="43">
        <f>J458+Учет!E459-E459</f>
        <v>1150</v>
      </c>
      <c r="K459" s="43">
        <f>K458+Учет!F459-F459</f>
        <v>500000</v>
      </c>
      <c r="L459" s="45">
        <f>Учет!I459</f>
        <v>349526.07999999996</v>
      </c>
    </row>
    <row r="460" spans="1:12" x14ac:dyDescent="0.25">
      <c r="A460" s="48" t="str">
        <f>IF(Учет!A460&lt;&gt;"",Учет!A460,"")</f>
        <v/>
      </c>
      <c r="B460" s="52">
        <f>IF(Учет!$O460=Справочники!$F$2,Учет!$H460,0)</f>
        <v>0</v>
      </c>
      <c r="C460" s="52">
        <f>IF(Учет!$O460=Справочники!$F$3,Учет!$H460,0)</f>
        <v>0</v>
      </c>
      <c r="D460" s="52">
        <f>IF(Учет!$O460=Справочники!$F$4,Учет!$H460,0)</f>
        <v>0</v>
      </c>
      <c r="E460" s="52">
        <f>IF(Учет!$O460=Справочники!$F$5,Учет!$H460,0)</f>
        <v>0</v>
      </c>
      <c r="F460" s="52">
        <f>IF(Учет!$O460=Справочники!$F$6,Учет!$H460,0)</f>
        <v>0</v>
      </c>
      <c r="G460" s="43">
        <f>G459+Учет!B460-B460</f>
        <v>-488978.92000000004</v>
      </c>
      <c r="H460" s="43">
        <f>H459+Учет!C460-C460</f>
        <v>336855</v>
      </c>
      <c r="I460" s="43">
        <f>I459+Учет!D460-D460</f>
        <v>500</v>
      </c>
      <c r="J460" s="43">
        <f>J459+Учет!E460-E460</f>
        <v>1150</v>
      </c>
      <c r="K460" s="43">
        <f>K459+Учет!F460-F460</f>
        <v>500000</v>
      </c>
      <c r="L460" s="45">
        <f>Учет!I460</f>
        <v>349526.07999999996</v>
      </c>
    </row>
    <row r="461" spans="1:12" x14ac:dyDescent="0.25">
      <c r="A461" s="48" t="str">
        <f>IF(Учет!A461&lt;&gt;"",Учет!A461,"")</f>
        <v/>
      </c>
      <c r="B461" s="52">
        <f>IF(Учет!$O461=Справочники!$F$2,Учет!$H461,0)</f>
        <v>0</v>
      </c>
      <c r="C461" s="52">
        <f>IF(Учет!$O461=Справочники!$F$3,Учет!$H461,0)</f>
        <v>0</v>
      </c>
      <c r="D461" s="52">
        <f>IF(Учет!$O461=Справочники!$F$4,Учет!$H461,0)</f>
        <v>0</v>
      </c>
      <c r="E461" s="52">
        <f>IF(Учет!$O461=Справочники!$F$5,Учет!$H461,0)</f>
        <v>0</v>
      </c>
      <c r="F461" s="52">
        <f>IF(Учет!$O461=Справочники!$F$6,Учет!$H461,0)</f>
        <v>0</v>
      </c>
      <c r="G461" s="43">
        <f>G460+Учет!B461-B461</f>
        <v>-488978.92000000004</v>
      </c>
      <c r="H461" s="43">
        <f>H460+Учет!C461-C461</f>
        <v>336855</v>
      </c>
      <c r="I461" s="43">
        <f>I460+Учет!D461-D461</f>
        <v>500</v>
      </c>
      <c r="J461" s="43">
        <f>J460+Учет!E461-E461</f>
        <v>1150</v>
      </c>
      <c r="K461" s="43">
        <f>K460+Учет!F461-F461</f>
        <v>500000</v>
      </c>
      <c r="L461" s="45">
        <f>Учет!I461</f>
        <v>349526.07999999996</v>
      </c>
    </row>
    <row r="462" spans="1:12" x14ac:dyDescent="0.25">
      <c r="A462" s="48" t="str">
        <f>IF(Учет!A462&lt;&gt;"",Учет!A462,"")</f>
        <v/>
      </c>
      <c r="B462" s="52">
        <f>IF(Учет!$O462=Справочники!$F$2,Учет!$H462,0)</f>
        <v>0</v>
      </c>
      <c r="C462" s="52">
        <f>IF(Учет!$O462=Справочники!$F$3,Учет!$H462,0)</f>
        <v>0</v>
      </c>
      <c r="D462" s="52">
        <f>IF(Учет!$O462=Справочники!$F$4,Учет!$H462,0)</f>
        <v>0</v>
      </c>
      <c r="E462" s="52">
        <f>IF(Учет!$O462=Справочники!$F$5,Учет!$H462,0)</f>
        <v>0</v>
      </c>
      <c r="F462" s="52">
        <f>IF(Учет!$O462=Справочники!$F$6,Учет!$H462,0)</f>
        <v>0</v>
      </c>
      <c r="G462" s="43">
        <f>G461+Учет!B462-B462</f>
        <v>-488978.92000000004</v>
      </c>
      <c r="H462" s="43">
        <f>H461+Учет!C462-C462</f>
        <v>336855</v>
      </c>
      <c r="I462" s="43">
        <f>I461+Учет!D462-D462</f>
        <v>500</v>
      </c>
      <c r="J462" s="43">
        <f>J461+Учет!E462-E462</f>
        <v>1150</v>
      </c>
      <c r="K462" s="43">
        <f>K461+Учет!F462-F462</f>
        <v>500000</v>
      </c>
      <c r="L462" s="45">
        <f>Учет!I462</f>
        <v>349526.07999999996</v>
      </c>
    </row>
    <row r="463" spans="1:12" x14ac:dyDescent="0.25">
      <c r="A463" s="48" t="str">
        <f>IF(Учет!A463&lt;&gt;"",Учет!A463,"")</f>
        <v/>
      </c>
      <c r="B463" s="52">
        <f>IF(Учет!$O463=Справочники!$F$2,Учет!$H463,0)</f>
        <v>0</v>
      </c>
      <c r="C463" s="52">
        <f>IF(Учет!$O463=Справочники!$F$3,Учет!$H463,0)</f>
        <v>0</v>
      </c>
      <c r="D463" s="52">
        <f>IF(Учет!$O463=Справочники!$F$4,Учет!$H463,0)</f>
        <v>0</v>
      </c>
      <c r="E463" s="52">
        <f>IF(Учет!$O463=Справочники!$F$5,Учет!$H463,0)</f>
        <v>0</v>
      </c>
      <c r="F463" s="52">
        <f>IF(Учет!$O463=Справочники!$F$6,Учет!$H463,0)</f>
        <v>0</v>
      </c>
      <c r="G463" s="43">
        <f>G462+Учет!B463-B463</f>
        <v>-488978.92000000004</v>
      </c>
      <c r="H463" s="43">
        <f>H462+Учет!C463-C463</f>
        <v>336855</v>
      </c>
      <c r="I463" s="43">
        <f>I462+Учет!D463-D463</f>
        <v>500</v>
      </c>
      <c r="J463" s="43">
        <f>J462+Учет!E463-E463</f>
        <v>1150</v>
      </c>
      <c r="K463" s="43">
        <f>K462+Учет!F463-F463</f>
        <v>500000</v>
      </c>
      <c r="L463" s="45">
        <f>Учет!I463</f>
        <v>349526.07999999996</v>
      </c>
    </row>
    <row r="464" spans="1:12" x14ac:dyDescent="0.25">
      <c r="A464" s="48" t="str">
        <f>IF(Учет!A464&lt;&gt;"",Учет!A464,"")</f>
        <v/>
      </c>
      <c r="B464" s="52">
        <f>IF(Учет!$O464=Справочники!$F$2,Учет!$H464,0)</f>
        <v>0</v>
      </c>
      <c r="C464" s="52">
        <f>IF(Учет!$O464=Справочники!$F$3,Учет!$H464,0)</f>
        <v>0</v>
      </c>
      <c r="D464" s="52">
        <f>IF(Учет!$O464=Справочники!$F$4,Учет!$H464,0)</f>
        <v>0</v>
      </c>
      <c r="E464" s="52">
        <f>IF(Учет!$O464=Справочники!$F$5,Учет!$H464,0)</f>
        <v>0</v>
      </c>
      <c r="F464" s="52">
        <f>IF(Учет!$O464=Справочники!$F$6,Учет!$H464,0)</f>
        <v>0</v>
      </c>
      <c r="G464" s="43">
        <f>G463+Учет!B464-B464</f>
        <v>-488978.92000000004</v>
      </c>
      <c r="H464" s="43">
        <f>H463+Учет!C464-C464</f>
        <v>336855</v>
      </c>
      <c r="I464" s="43">
        <f>I463+Учет!D464-D464</f>
        <v>500</v>
      </c>
      <c r="J464" s="43">
        <f>J463+Учет!E464-E464</f>
        <v>1150</v>
      </c>
      <c r="K464" s="43">
        <f>K463+Учет!F464-F464</f>
        <v>500000</v>
      </c>
      <c r="L464" s="45">
        <f>Учет!I464</f>
        <v>349526.07999999996</v>
      </c>
    </row>
    <row r="465" spans="1:12" x14ac:dyDescent="0.25">
      <c r="A465" s="48" t="str">
        <f>IF(Учет!A465&lt;&gt;"",Учет!A465,"")</f>
        <v/>
      </c>
      <c r="B465" s="52">
        <f>IF(Учет!$O465=Справочники!$F$2,Учет!$H465,0)</f>
        <v>0</v>
      </c>
      <c r="C465" s="52">
        <f>IF(Учет!$O465=Справочники!$F$3,Учет!$H465,0)</f>
        <v>0</v>
      </c>
      <c r="D465" s="52">
        <f>IF(Учет!$O465=Справочники!$F$4,Учет!$H465,0)</f>
        <v>0</v>
      </c>
      <c r="E465" s="52">
        <f>IF(Учет!$O465=Справочники!$F$5,Учет!$H465,0)</f>
        <v>0</v>
      </c>
      <c r="F465" s="52">
        <f>IF(Учет!$O465=Справочники!$F$6,Учет!$H465,0)</f>
        <v>0</v>
      </c>
      <c r="G465" s="43">
        <f>G464+Учет!B465-B465</f>
        <v>-488978.92000000004</v>
      </c>
      <c r="H465" s="43">
        <f>H464+Учет!C465-C465</f>
        <v>336855</v>
      </c>
      <c r="I465" s="43">
        <f>I464+Учет!D465-D465</f>
        <v>500</v>
      </c>
      <c r="J465" s="43">
        <f>J464+Учет!E465-E465</f>
        <v>1150</v>
      </c>
      <c r="K465" s="43">
        <f>K464+Учет!F465-F465</f>
        <v>500000</v>
      </c>
      <c r="L465" s="45">
        <f>Учет!I465</f>
        <v>349526.07999999996</v>
      </c>
    </row>
    <row r="466" spans="1:12" x14ac:dyDescent="0.25">
      <c r="A466" s="48" t="str">
        <f>IF(Учет!A466&lt;&gt;"",Учет!A466,"")</f>
        <v/>
      </c>
      <c r="B466" s="52">
        <f>IF(Учет!$O466=Справочники!$F$2,Учет!$H466,0)</f>
        <v>0</v>
      </c>
      <c r="C466" s="52">
        <f>IF(Учет!$O466=Справочники!$F$3,Учет!$H466,0)</f>
        <v>0</v>
      </c>
      <c r="D466" s="52">
        <f>IF(Учет!$O466=Справочники!$F$4,Учет!$H466,0)</f>
        <v>0</v>
      </c>
      <c r="E466" s="52">
        <f>IF(Учет!$O466=Справочники!$F$5,Учет!$H466,0)</f>
        <v>0</v>
      </c>
      <c r="F466" s="52">
        <f>IF(Учет!$O466=Справочники!$F$6,Учет!$H466,0)</f>
        <v>0</v>
      </c>
      <c r="G466" s="43">
        <f>G465+Учет!B466-B466</f>
        <v>-488978.92000000004</v>
      </c>
      <c r="H466" s="43">
        <f>H465+Учет!C466-C466</f>
        <v>336855</v>
      </c>
      <c r="I466" s="43">
        <f>I465+Учет!D466-D466</f>
        <v>500</v>
      </c>
      <c r="J466" s="43">
        <f>J465+Учет!E466-E466</f>
        <v>1150</v>
      </c>
      <c r="K466" s="43">
        <f>K465+Учет!F466-F466</f>
        <v>500000</v>
      </c>
      <c r="L466" s="45">
        <f>Учет!I466</f>
        <v>349526.07999999996</v>
      </c>
    </row>
    <row r="467" spans="1:12" x14ac:dyDescent="0.25">
      <c r="A467" s="48" t="str">
        <f>IF(Учет!A467&lt;&gt;"",Учет!A467,"")</f>
        <v/>
      </c>
      <c r="B467" s="52">
        <f>IF(Учет!$O467=Справочники!$F$2,Учет!$H467,0)</f>
        <v>0</v>
      </c>
      <c r="C467" s="52">
        <f>IF(Учет!$O467=Справочники!$F$3,Учет!$H467,0)</f>
        <v>0</v>
      </c>
      <c r="D467" s="52">
        <f>IF(Учет!$O467=Справочники!$F$4,Учет!$H467,0)</f>
        <v>0</v>
      </c>
      <c r="E467" s="52">
        <f>IF(Учет!$O467=Справочники!$F$5,Учет!$H467,0)</f>
        <v>0</v>
      </c>
      <c r="F467" s="52">
        <f>IF(Учет!$O467=Справочники!$F$6,Учет!$H467,0)</f>
        <v>0</v>
      </c>
      <c r="G467" s="43">
        <f>G466+Учет!B467-B467</f>
        <v>-488978.92000000004</v>
      </c>
      <c r="H467" s="43">
        <f>H466+Учет!C467-C467</f>
        <v>336855</v>
      </c>
      <c r="I467" s="43">
        <f>I466+Учет!D467-D467</f>
        <v>500</v>
      </c>
      <c r="J467" s="43">
        <f>J466+Учет!E467-E467</f>
        <v>1150</v>
      </c>
      <c r="K467" s="43">
        <f>K466+Учет!F467-F467</f>
        <v>500000</v>
      </c>
      <c r="L467" s="45">
        <f>Учет!I467</f>
        <v>349526.07999999996</v>
      </c>
    </row>
    <row r="468" spans="1:12" x14ac:dyDescent="0.25">
      <c r="A468" s="48" t="str">
        <f>IF(Учет!A468&lt;&gt;"",Учет!A468,"")</f>
        <v/>
      </c>
      <c r="B468" s="52">
        <f>IF(Учет!$O468=Справочники!$F$2,Учет!$H468,0)</f>
        <v>0</v>
      </c>
      <c r="C468" s="52">
        <f>IF(Учет!$O468=Справочники!$F$3,Учет!$H468,0)</f>
        <v>0</v>
      </c>
      <c r="D468" s="52">
        <f>IF(Учет!$O468=Справочники!$F$4,Учет!$H468,0)</f>
        <v>0</v>
      </c>
      <c r="E468" s="52">
        <f>IF(Учет!$O468=Справочники!$F$5,Учет!$H468,0)</f>
        <v>0</v>
      </c>
      <c r="F468" s="52">
        <f>IF(Учет!$O468=Справочники!$F$6,Учет!$H468,0)</f>
        <v>0</v>
      </c>
      <c r="G468" s="43">
        <f>G467+Учет!B468-B468</f>
        <v>-488978.92000000004</v>
      </c>
      <c r="H468" s="43">
        <f>H467+Учет!C468-C468</f>
        <v>336855</v>
      </c>
      <c r="I468" s="43">
        <f>I467+Учет!D468-D468</f>
        <v>500</v>
      </c>
      <c r="J468" s="43">
        <f>J467+Учет!E468-E468</f>
        <v>1150</v>
      </c>
      <c r="K468" s="43">
        <f>K467+Учет!F468-F468</f>
        <v>500000</v>
      </c>
      <c r="L468" s="45">
        <f>Учет!I468</f>
        <v>349526.07999999996</v>
      </c>
    </row>
    <row r="469" spans="1:12" x14ac:dyDescent="0.25">
      <c r="A469" s="48" t="str">
        <f>IF(Учет!A469&lt;&gt;"",Учет!A469,"")</f>
        <v/>
      </c>
      <c r="B469" s="52">
        <f>IF(Учет!$O469=Справочники!$F$2,Учет!$H469,0)</f>
        <v>0</v>
      </c>
      <c r="C469" s="52">
        <f>IF(Учет!$O469=Справочники!$F$3,Учет!$H469,0)</f>
        <v>0</v>
      </c>
      <c r="D469" s="52">
        <f>IF(Учет!$O469=Справочники!$F$4,Учет!$H469,0)</f>
        <v>0</v>
      </c>
      <c r="E469" s="52">
        <f>IF(Учет!$O469=Справочники!$F$5,Учет!$H469,0)</f>
        <v>0</v>
      </c>
      <c r="F469" s="52">
        <f>IF(Учет!$O469=Справочники!$F$6,Учет!$H469,0)</f>
        <v>0</v>
      </c>
      <c r="G469" s="43">
        <f>G468+Учет!B469-B469</f>
        <v>-488978.92000000004</v>
      </c>
      <c r="H469" s="43">
        <f>H468+Учет!C469-C469</f>
        <v>336855</v>
      </c>
      <c r="I469" s="43">
        <f>I468+Учет!D469-D469</f>
        <v>500</v>
      </c>
      <c r="J469" s="43">
        <f>J468+Учет!E469-E469</f>
        <v>1150</v>
      </c>
      <c r="K469" s="43">
        <f>K468+Учет!F469-F469</f>
        <v>500000</v>
      </c>
      <c r="L469" s="45">
        <f>Учет!I469</f>
        <v>349526.07999999996</v>
      </c>
    </row>
    <row r="470" spans="1:12" x14ac:dyDescent="0.25">
      <c r="A470" s="48" t="str">
        <f>IF(Учет!A470&lt;&gt;"",Учет!A470,"")</f>
        <v/>
      </c>
      <c r="B470" s="52">
        <f>IF(Учет!$O470=Справочники!$F$2,Учет!$H470,0)</f>
        <v>0</v>
      </c>
      <c r="C470" s="52">
        <f>IF(Учет!$O470=Справочники!$F$3,Учет!$H470,0)</f>
        <v>0</v>
      </c>
      <c r="D470" s="52">
        <f>IF(Учет!$O470=Справочники!$F$4,Учет!$H470,0)</f>
        <v>0</v>
      </c>
      <c r="E470" s="52">
        <f>IF(Учет!$O470=Справочники!$F$5,Учет!$H470,0)</f>
        <v>0</v>
      </c>
      <c r="F470" s="52">
        <f>IF(Учет!$O470=Справочники!$F$6,Учет!$H470,0)</f>
        <v>0</v>
      </c>
      <c r="G470" s="43">
        <f>G469+Учет!B470-B470</f>
        <v>-488978.92000000004</v>
      </c>
      <c r="H470" s="43">
        <f>H469+Учет!C470-C470</f>
        <v>336855</v>
      </c>
      <c r="I470" s="43">
        <f>I469+Учет!D470-D470</f>
        <v>500</v>
      </c>
      <c r="J470" s="43">
        <f>J469+Учет!E470-E470</f>
        <v>1150</v>
      </c>
      <c r="K470" s="43">
        <f>K469+Учет!F470-F470</f>
        <v>500000</v>
      </c>
      <c r="L470" s="45">
        <f>Учет!I470</f>
        <v>349526.07999999996</v>
      </c>
    </row>
    <row r="471" spans="1:12" x14ac:dyDescent="0.25">
      <c r="A471" s="48" t="str">
        <f>IF(Учет!A471&lt;&gt;"",Учет!A471,"")</f>
        <v/>
      </c>
      <c r="B471" s="52">
        <f>IF(Учет!$O471=Справочники!$F$2,Учет!$H471,0)</f>
        <v>0</v>
      </c>
      <c r="C471" s="52">
        <f>IF(Учет!$O471=Справочники!$F$3,Учет!$H471,0)</f>
        <v>0</v>
      </c>
      <c r="D471" s="52">
        <f>IF(Учет!$O471=Справочники!$F$4,Учет!$H471,0)</f>
        <v>0</v>
      </c>
      <c r="E471" s="52">
        <f>IF(Учет!$O471=Справочники!$F$5,Учет!$H471,0)</f>
        <v>0</v>
      </c>
      <c r="F471" s="52">
        <f>IF(Учет!$O471=Справочники!$F$6,Учет!$H471,0)</f>
        <v>0</v>
      </c>
      <c r="G471" s="43">
        <f>G470+Учет!B471-B471</f>
        <v>-488978.92000000004</v>
      </c>
      <c r="H471" s="43">
        <f>H470+Учет!C471-C471</f>
        <v>336855</v>
      </c>
      <c r="I471" s="43">
        <f>I470+Учет!D471-D471</f>
        <v>500</v>
      </c>
      <c r="J471" s="43">
        <f>J470+Учет!E471-E471</f>
        <v>1150</v>
      </c>
      <c r="K471" s="43">
        <f>K470+Учет!F471-F471</f>
        <v>500000</v>
      </c>
      <c r="L471" s="45">
        <f>Учет!I471</f>
        <v>349526.07999999996</v>
      </c>
    </row>
    <row r="472" spans="1:12" x14ac:dyDescent="0.25">
      <c r="A472" s="48" t="str">
        <f>IF(Учет!A472&lt;&gt;"",Учет!A472,"")</f>
        <v/>
      </c>
      <c r="B472" s="52">
        <f>IF(Учет!$O472=Справочники!$F$2,Учет!$H472,0)</f>
        <v>0</v>
      </c>
      <c r="C472" s="52">
        <f>IF(Учет!$O472=Справочники!$F$3,Учет!$H472,0)</f>
        <v>0</v>
      </c>
      <c r="D472" s="52">
        <f>IF(Учет!$O472=Справочники!$F$4,Учет!$H472,0)</f>
        <v>0</v>
      </c>
      <c r="E472" s="52">
        <f>IF(Учет!$O472=Справочники!$F$5,Учет!$H472,0)</f>
        <v>0</v>
      </c>
      <c r="F472" s="52">
        <f>IF(Учет!$O472=Справочники!$F$6,Учет!$H472,0)</f>
        <v>0</v>
      </c>
      <c r="G472" s="43">
        <f>G471+Учет!B472-B472</f>
        <v>-488978.92000000004</v>
      </c>
      <c r="H472" s="43">
        <f>H471+Учет!C472-C472</f>
        <v>336855</v>
      </c>
      <c r="I472" s="43">
        <f>I471+Учет!D472-D472</f>
        <v>500</v>
      </c>
      <c r="J472" s="43">
        <f>J471+Учет!E472-E472</f>
        <v>1150</v>
      </c>
      <c r="K472" s="43">
        <f>K471+Учет!F472-F472</f>
        <v>500000</v>
      </c>
      <c r="L472" s="45">
        <f>Учет!I472</f>
        <v>349526.07999999996</v>
      </c>
    </row>
    <row r="473" spans="1:12" x14ac:dyDescent="0.25">
      <c r="A473" s="48" t="str">
        <f>IF(Учет!A473&lt;&gt;"",Учет!A473,"")</f>
        <v/>
      </c>
      <c r="B473" s="52">
        <f>IF(Учет!$O473=Справочники!$F$2,Учет!$H473,0)</f>
        <v>0</v>
      </c>
      <c r="C473" s="52">
        <f>IF(Учет!$O473=Справочники!$F$3,Учет!$H473,0)</f>
        <v>0</v>
      </c>
      <c r="D473" s="52">
        <f>IF(Учет!$O473=Справочники!$F$4,Учет!$H473,0)</f>
        <v>0</v>
      </c>
      <c r="E473" s="52">
        <f>IF(Учет!$O473=Справочники!$F$5,Учет!$H473,0)</f>
        <v>0</v>
      </c>
      <c r="F473" s="52">
        <f>IF(Учет!$O473=Справочники!$F$6,Учет!$H473,0)</f>
        <v>0</v>
      </c>
      <c r="G473" s="43">
        <f>G472+Учет!B473-B473</f>
        <v>-488978.92000000004</v>
      </c>
      <c r="H473" s="43">
        <f>H472+Учет!C473-C473</f>
        <v>336855</v>
      </c>
      <c r="I473" s="43">
        <f>I472+Учет!D473-D473</f>
        <v>500</v>
      </c>
      <c r="J473" s="43">
        <f>J472+Учет!E473-E473</f>
        <v>1150</v>
      </c>
      <c r="K473" s="43">
        <f>K472+Учет!F473-F473</f>
        <v>500000</v>
      </c>
      <c r="L473" s="45">
        <f>Учет!I473</f>
        <v>349526.07999999996</v>
      </c>
    </row>
    <row r="474" spans="1:12" x14ac:dyDescent="0.25">
      <c r="A474" s="48" t="str">
        <f>IF(Учет!A474&lt;&gt;"",Учет!A474,"")</f>
        <v/>
      </c>
      <c r="B474" s="52">
        <f>IF(Учет!$O474=Справочники!$F$2,Учет!$H474,0)</f>
        <v>0</v>
      </c>
      <c r="C474" s="52">
        <f>IF(Учет!$O474=Справочники!$F$3,Учет!$H474,0)</f>
        <v>0</v>
      </c>
      <c r="D474" s="52">
        <f>IF(Учет!$O474=Справочники!$F$4,Учет!$H474,0)</f>
        <v>0</v>
      </c>
      <c r="E474" s="52">
        <f>IF(Учет!$O474=Справочники!$F$5,Учет!$H474,0)</f>
        <v>0</v>
      </c>
      <c r="F474" s="52">
        <f>IF(Учет!$O474=Справочники!$F$6,Учет!$H474,0)</f>
        <v>0</v>
      </c>
      <c r="G474" s="43">
        <f>G473+Учет!B474-B474</f>
        <v>-488978.92000000004</v>
      </c>
      <c r="H474" s="43">
        <f>H473+Учет!C474-C474</f>
        <v>336855</v>
      </c>
      <c r="I474" s="43">
        <f>I473+Учет!D474-D474</f>
        <v>500</v>
      </c>
      <c r="J474" s="43">
        <f>J473+Учет!E474-E474</f>
        <v>1150</v>
      </c>
      <c r="K474" s="43">
        <f>K473+Учет!F474-F474</f>
        <v>500000</v>
      </c>
      <c r="L474" s="45">
        <f>Учет!I474</f>
        <v>349526.07999999996</v>
      </c>
    </row>
    <row r="475" spans="1:12" x14ac:dyDescent="0.25">
      <c r="A475" s="48" t="str">
        <f>IF(Учет!A475&lt;&gt;"",Учет!A475,"")</f>
        <v/>
      </c>
      <c r="B475" s="52">
        <f>IF(Учет!$O475=Справочники!$F$2,Учет!$H475,0)</f>
        <v>0</v>
      </c>
      <c r="C475" s="52">
        <f>IF(Учет!$O475=Справочники!$F$3,Учет!$H475,0)</f>
        <v>0</v>
      </c>
      <c r="D475" s="52">
        <f>IF(Учет!$O475=Справочники!$F$4,Учет!$H475,0)</f>
        <v>0</v>
      </c>
      <c r="E475" s="52">
        <f>IF(Учет!$O475=Справочники!$F$5,Учет!$H475,0)</f>
        <v>0</v>
      </c>
      <c r="F475" s="52">
        <f>IF(Учет!$O475=Справочники!$F$6,Учет!$H475,0)</f>
        <v>0</v>
      </c>
      <c r="G475" s="43">
        <f>G474+Учет!B475-B475</f>
        <v>-488978.92000000004</v>
      </c>
      <c r="H475" s="43">
        <f>H474+Учет!C475-C475</f>
        <v>336855</v>
      </c>
      <c r="I475" s="43">
        <f>I474+Учет!D475-D475</f>
        <v>500</v>
      </c>
      <c r="J475" s="43">
        <f>J474+Учет!E475-E475</f>
        <v>1150</v>
      </c>
      <c r="K475" s="43">
        <f>K474+Учет!F475-F475</f>
        <v>500000</v>
      </c>
      <c r="L475" s="45">
        <f>Учет!I475</f>
        <v>349526.07999999996</v>
      </c>
    </row>
    <row r="476" spans="1:12" x14ac:dyDescent="0.25">
      <c r="A476" s="48" t="str">
        <f>IF(Учет!A476&lt;&gt;"",Учет!A476,"")</f>
        <v/>
      </c>
      <c r="B476" s="52">
        <f>IF(Учет!$O476=Справочники!$F$2,Учет!$H476,0)</f>
        <v>0</v>
      </c>
      <c r="C476" s="52">
        <f>IF(Учет!$O476=Справочники!$F$3,Учет!$H476,0)</f>
        <v>0</v>
      </c>
      <c r="D476" s="52">
        <f>IF(Учет!$O476=Справочники!$F$4,Учет!$H476,0)</f>
        <v>0</v>
      </c>
      <c r="E476" s="52">
        <f>IF(Учет!$O476=Справочники!$F$5,Учет!$H476,0)</f>
        <v>0</v>
      </c>
      <c r="F476" s="52">
        <f>IF(Учет!$O476=Справочники!$F$6,Учет!$H476,0)</f>
        <v>0</v>
      </c>
      <c r="G476" s="43">
        <f>G475+Учет!B476-B476</f>
        <v>-488978.92000000004</v>
      </c>
      <c r="H476" s="43">
        <f>H475+Учет!C476-C476</f>
        <v>336855</v>
      </c>
      <c r="I476" s="43">
        <f>I475+Учет!D476-D476</f>
        <v>500</v>
      </c>
      <c r="J476" s="43">
        <f>J475+Учет!E476-E476</f>
        <v>1150</v>
      </c>
      <c r="K476" s="43">
        <f>K475+Учет!F476-F476</f>
        <v>500000</v>
      </c>
      <c r="L476" s="45">
        <f>Учет!I476</f>
        <v>349526.07999999996</v>
      </c>
    </row>
    <row r="477" spans="1:12" x14ac:dyDescent="0.25">
      <c r="A477" s="48" t="str">
        <f>IF(Учет!A477&lt;&gt;"",Учет!A477,"")</f>
        <v/>
      </c>
      <c r="B477" s="52">
        <f>IF(Учет!$O477=Справочники!$F$2,Учет!$H477,0)</f>
        <v>0</v>
      </c>
      <c r="C477" s="52">
        <f>IF(Учет!$O477=Справочники!$F$3,Учет!$H477,0)</f>
        <v>0</v>
      </c>
      <c r="D477" s="52">
        <f>IF(Учет!$O477=Справочники!$F$4,Учет!$H477,0)</f>
        <v>0</v>
      </c>
      <c r="E477" s="52">
        <f>IF(Учет!$O477=Справочники!$F$5,Учет!$H477,0)</f>
        <v>0</v>
      </c>
      <c r="F477" s="52">
        <f>IF(Учет!$O477=Справочники!$F$6,Учет!$H477,0)</f>
        <v>0</v>
      </c>
      <c r="G477" s="43">
        <f>G476+Учет!B477-B477</f>
        <v>-488978.92000000004</v>
      </c>
      <c r="H477" s="43">
        <f>H476+Учет!C477-C477</f>
        <v>336855</v>
      </c>
      <c r="I477" s="43">
        <f>I476+Учет!D477-D477</f>
        <v>500</v>
      </c>
      <c r="J477" s="43">
        <f>J476+Учет!E477-E477</f>
        <v>1150</v>
      </c>
      <c r="K477" s="43">
        <f>K476+Учет!F477-F477</f>
        <v>500000</v>
      </c>
      <c r="L477" s="45">
        <f>Учет!I477</f>
        <v>349526.07999999996</v>
      </c>
    </row>
    <row r="478" spans="1:12" x14ac:dyDescent="0.25">
      <c r="A478" s="48" t="str">
        <f>IF(Учет!A478&lt;&gt;"",Учет!A478,"")</f>
        <v/>
      </c>
      <c r="B478" s="52">
        <f>IF(Учет!$O478=Справочники!$F$2,Учет!$H478,0)</f>
        <v>0</v>
      </c>
      <c r="C478" s="52">
        <f>IF(Учет!$O478=Справочники!$F$3,Учет!$H478,0)</f>
        <v>0</v>
      </c>
      <c r="D478" s="52">
        <f>IF(Учет!$O478=Справочники!$F$4,Учет!$H478,0)</f>
        <v>0</v>
      </c>
      <c r="E478" s="52">
        <f>IF(Учет!$O478=Справочники!$F$5,Учет!$H478,0)</f>
        <v>0</v>
      </c>
      <c r="F478" s="52">
        <f>IF(Учет!$O478=Справочники!$F$6,Учет!$H478,0)</f>
        <v>0</v>
      </c>
      <c r="G478" s="43">
        <f>G477+Учет!B478-B478</f>
        <v>-488978.92000000004</v>
      </c>
      <c r="H478" s="43">
        <f>H477+Учет!C478-C478</f>
        <v>336855</v>
      </c>
      <c r="I478" s="43">
        <f>I477+Учет!D478-D478</f>
        <v>500</v>
      </c>
      <c r="J478" s="43">
        <f>J477+Учет!E478-E478</f>
        <v>1150</v>
      </c>
      <c r="K478" s="43">
        <f>K477+Учет!F478-F478</f>
        <v>500000</v>
      </c>
      <c r="L478" s="45">
        <f>Учет!I478</f>
        <v>349526.07999999996</v>
      </c>
    </row>
    <row r="479" spans="1:12" x14ac:dyDescent="0.25">
      <c r="A479" s="48" t="str">
        <f>IF(Учет!A479&lt;&gt;"",Учет!A479,"")</f>
        <v/>
      </c>
      <c r="B479" s="52">
        <f>IF(Учет!$O479=Справочники!$F$2,Учет!$H479,0)</f>
        <v>0</v>
      </c>
      <c r="C479" s="52">
        <f>IF(Учет!$O479=Справочники!$F$3,Учет!$H479,0)</f>
        <v>0</v>
      </c>
      <c r="D479" s="52">
        <f>IF(Учет!$O479=Справочники!$F$4,Учет!$H479,0)</f>
        <v>0</v>
      </c>
      <c r="E479" s="52">
        <f>IF(Учет!$O479=Справочники!$F$5,Учет!$H479,0)</f>
        <v>0</v>
      </c>
      <c r="F479" s="52">
        <f>IF(Учет!$O479=Справочники!$F$6,Учет!$H479,0)</f>
        <v>0</v>
      </c>
      <c r="G479" s="43">
        <f>G478+Учет!B479-B479</f>
        <v>-488978.92000000004</v>
      </c>
      <c r="H479" s="43">
        <f>H478+Учет!C479-C479</f>
        <v>336855</v>
      </c>
      <c r="I479" s="43">
        <f>I478+Учет!D479-D479</f>
        <v>500</v>
      </c>
      <c r="J479" s="43">
        <f>J478+Учет!E479-E479</f>
        <v>1150</v>
      </c>
      <c r="K479" s="43">
        <f>K478+Учет!F479-F479</f>
        <v>500000</v>
      </c>
      <c r="L479" s="45">
        <f>Учет!I479</f>
        <v>349526.07999999996</v>
      </c>
    </row>
    <row r="480" spans="1:12" x14ac:dyDescent="0.25">
      <c r="A480" s="48" t="str">
        <f>IF(Учет!A480&lt;&gt;"",Учет!A480,"")</f>
        <v/>
      </c>
      <c r="B480" s="52">
        <f>IF(Учет!$O480=Справочники!$F$2,Учет!$H480,0)</f>
        <v>0</v>
      </c>
      <c r="C480" s="52">
        <f>IF(Учет!$O480=Справочники!$F$3,Учет!$H480,0)</f>
        <v>0</v>
      </c>
      <c r="D480" s="52">
        <f>IF(Учет!$O480=Справочники!$F$4,Учет!$H480,0)</f>
        <v>0</v>
      </c>
      <c r="E480" s="52">
        <f>IF(Учет!$O480=Справочники!$F$5,Учет!$H480,0)</f>
        <v>0</v>
      </c>
      <c r="F480" s="52">
        <f>IF(Учет!$O480=Справочники!$F$6,Учет!$H480,0)</f>
        <v>0</v>
      </c>
      <c r="G480" s="43">
        <f>G479+Учет!B480-B480</f>
        <v>-488978.92000000004</v>
      </c>
      <c r="H480" s="43">
        <f>H479+Учет!C480-C480</f>
        <v>336855</v>
      </c>
      <c r="I480" s="43">
        <f>I479+Учет!D480-D480</f>
        <v>500</v>
      </c>
      <c r="J480" s="43">
        <f>J479+Учет!E480-E480</f>
        <v>1150</v>
      </c>
      <c r="K480" s="43">
        <f>K479+Учет!F480-F480</f>
        <v>500000</v>
      </c>
      <c r="L480" s="45">
        <f>Учет!I480</f>
        <v>349526.07999999996</v>
      </c>
    </row>
    <row r="481" spans="1:12" x14ac:dyDescent="0.25">
      <c r="A481" s="48" t="str">
        <f>IF(Учет!A481&lt;&gt;"",Учет!A481,"")</f>
        <v/>
      </c>
      <c r="B481" s="52">
        <f>IF(Учет!$O481=Справочники!$F$2,Учет!$H481,0)</f>
        <v>0</v>
      </c>
      <c r="C481" s="52">
        <f>IF(Учет!$O481=Справочники!$F$3,Учет!$H481,0)</f>
        <v>0</v>
      </c>
      <c r="D481" s="52">
        <f>IF(Учет!$O481=Справочники!$F$4,Учет!$H481,0)</f>
        <v>0</v>
      </c>
      <c r="E481" s="52">
        <f>IF(Учет!$O481=Справочники!$F$5,Учет!$H481,0)</f>
        <v>0</v>
      </c>
      <c r="F481" s="52">
        <f>IF(Учет!$O481=Справочники!$F$6,Учет!$H481,0)</f>
        <v>0</v>
      </c>
      <c r="G481" s="43">
        <f>G480+Учет!B481-B481</f>
        <v>-488978.92000000004</v>
      </c>
      <c r="H481" s="43">
        <f>H480+Учет!C481-C481</f>
        <v>336855</v>
      </c>
      <c r="I481" s="43">
        <f>I480+Учет!D481-D481</f>
        <v>500</v>
      </c>
      <c r="J481" s="43">
        <f>J480+Учет!E481-E481</f>
        <v>1150</v>
      </c>
      <c r="K481" s="43">
        <f>K480+Учет!F481-F481</f>
        <v>500000</v>
      </c>
      <c r="L481" s="45">
        <f>Учет!I481</f>
        <v>349526.07999999996</v>
      </c>
    </row>
    <row r="482" spans="1:12" x14ac:dyDescent="0.25">
      <c r="A482" s="48" t="str">
        <f>IF(Учет!A482&lt;&gt;"",Учет!A482,"")</f>
        <v/>
      </c>
      <c r="B482" s="52">
        <f>IF(Учет!$O482=Справочники!$F$2,Учет!$H482,0)</f>
        <v>0</v>
      </c>
      <c r="C482" s="52">
        <f>IF(Учет!$O482=Справочники!$F$3,Учет!$H482,0)</f>
        <v>0</v>
      </c>
      <c r="D482" s="52">
        <f>IF(Учет!$O482=Справочники!$F$4,Учет!$H482,0)</f>
        <v>0</v>
      </c>
      <c r="E482" s="52">
        <f>IF(Учет!$O482=Справочники!$F$5,Учет!$H482,0)</f>
        <v>0</v>
      </c>
      <c r="F482" s="52">
        <f>IF(Учет!$O482=Справочники!$F$6,Учет!$H482,0)</f>
        <v>0</v>
      </c>
      <c r="G482" s="43">
        <f>G481+Учет!B482-B482</f>
        <v>-488978.92000000004</v>
      </c>
      <c r="H482" s="43">
        <f>H481+Учет!C482-C482</f>
        <v>336855</v>
      </c>
      <c r="I482" s="43">
        <f>I481+Учет!D482-D482</f>
        <v>500</v>
      </c>
      <c r="J482" s="43">
        <f>J481+Учет!E482-E482</f>
        <v>1150</v>
      </c>
      <c r="K482" s="43">
        <f>K481+Учет!F482-F482</f>
        <v>500000</v>
      </c>
      <c r="L482" s="45">
        <f>Учет!I482</f>
        <v>349526.07999999996</v>
      </c>
    </row>
    <row r="483" spans="1:12" x14ac:dyDescent="0.25">
      <c r="A483" s="48" t="str">
        <f>IF(Учет!A483&lt;&gt;"",Учет!A483,"")</f>
        <v/>
      </c>
      <c r="B483" s="52">
        <f>IF(Учет!$O483=Справочники!$F$2,Учет!$H483,0)</f>
        <v>0</v>
      </c>
      <c r="C483" s="52">
        <f>IF(Учет!$O483=Справочники!$F$3,Учет!$H483,0)</f>
        <v>0</v>
      </c>
      <c r="D483" s="52">
        <f>IF(Учет!$O483=Справочники!$F$4,Учет!$H483,0)</f>
        <v>0</v>
      </c>
      <c r="E483" s="52">
        <f>IF(Учет!$O483=Справочники!$F$5,Учет!$H483,0)</f>
        <v>0</v>
      </c>
      <c r="F483" s="52">
        <f>IF(Учет!$O483=Справочники!$F$6,Учет!$H483,0)</f>
        <v>0</v>
      </c>
      <c r="G483" s="43">
        <f>G482+Учет!B483-B483</f>
        <v>-488978.92000000004</v>
      </c>
      <c r="H483" s="43">
        <f>H482+Учет!C483-C483</f>
        <v>336855</v>
      </c>
      <c r="I483" s="43">
        <f>I482+Учет!D483-D483</f>
        <v>500</v>
      </c>
      <c r="J483" s="43">
        <f>J482+Учет!E483-E483</f>
        <v>1150</v>
      </c>
      <c r="K483" s="43">
        <f>K482+Учет!F483-F483</f>
        <v>500000</v>
      </c>
      <c r="L483" s="45">
        <f>Учет!I483</f>
        <v>349526.07999999996</v>
      </c>
    </row>
    <row r="484" spans="1:12" x14ac:dyDescent="0.25">
      <c r="A484" s="48" t="str">
        <f>IF(Учет!A484&lt;&gt;"",Учет!A484,"")</f>
        <v/>
      </c>
      <c r="B484" s="52">
        <f>IF(Учет!$O484=Справочники!$F$2,Учет!$H484,0)</f>
        <v>0</v>
      </c>
      <c r="C484" s="52">
        <f>IF(Учет!$O484=Справочники!$F$3,Учет!$H484,0)</f>
        <v>0</v>
      </c>
      <c r="D484" s="52">
        <f>IF(Учет!$O484=Справочники!$F$4,Учет!$H484,0)</f>
        <v>0</v>
      </c>
      <c r="E484" s="52">
        <f>IF(Учет!$O484=Справочники!$F$5,Учет!$H484,0)</f>
        <v>0</v>
      </c>
      <c r="F484" s="52">
        <f>IF(Учет!$O484=Справочники!$F$6,Учет!$H484,0)</f>
        <v>0</v>
      </c>
      <c r="G484" s="43">
        <f>G483+Учет!B484-B484</f>
        <v>-488978.92000000004</v>
      </c>
      <c r="H484" s="43">
        <f>H483+Учет!C484-C484</f>
        <v>336855</v>
      </c>
      <c r="I484" s="43">
        <f>I483+Учет!D484-D484</f>
        <v>500</v>
      </c>
      <c r="J484" s="43">
        <f>J483+Учет!E484-E484</f>
        <v>1150</v>
      </c>
      <c r="K484" s="43">
        <f>K483+Учет!F484-F484</f>
        <v>500000</v>
      </c>
      <c r="L484" s="45">
        <f>Учет!I484</f>
        <v>349526.07999999996</v>
      </c>
    </row>
    <row r="485" spans="1:12" x14ac:dyDescent="0.25">
      <c r="A485" s="48" t="str">
        <f>IF(Учет!A485&lt;&gt;"",Учет!A485,"")</f>
        <v/>
      </c>
      <c r="B485" s="52">
        <f>IF(Учет!$O485=Справочники!$F$2,Учет!$H485,0)</f>
        <v>0</v>
      </c>
      <c r="C485" s="52">
        <f>IF(Учет!$O485=Справочники!$F$3,Учет!$H485,0)</f>
        <v>0</v>
      </c>
      <c r="D485" s="52">
        <f>IF(Учет!$O485=Справочники!$F$4,Учет!$H485,0)</f>
        <v>0</v>
      </c>
      <c r="E485" s="52">
        <f>IF(Учет!$O485=Справочники!$F$5,Учет!$H485,0)</f>
        <v>0</v>
      </c>
      <c r="F485" s="52">
        <f>IF(Учет!$O485=Справочники!$F$6,Учет!$H485,0)</f>
        <v>0</v>
      </c>
      <c r="G485" s="43">
        <f>G484+Учет!B485-B485</f>
        <v>-488978.92000000004</v>
      </c>
      <c r="H485" s="43">
        <f>H484+Учет!C485-C485</f>
        <v>336855</v>
      </c>
      <c r="I485" s="43">
        <f>I484+Учет!D485-D485</f>
        <v>500</v>
      </c>
      <c r="J485" s="43">
        <f>J484+Учет!E485-E485</f>
        <v>1150</v>
      </c>
      <c r="K485" s="43">
        <f>K484+Учет!F485-F485</f>
        <v>500000</v>
      </c>
      <c r="L485" s="45">
        <f>Учет!I485</f>
        <v>349526.07999999996</v>
      </c>
    </row>
    <row r="486" spans="1:12" x14ac:dyDescent="0.25">
      <c r="A486" s="48" t="str">
        <f>IF(Учет!A486&lt;&gt;"",Учет!A486,"")</f>
        <v/>
      </c>
      <c r="B486" s="52">
        <f>IF(Учет!$O486=Справочники!$F$2,Учет!$H486,0)</f>
        <v>0</v>
      </c>
      <c r="C486" s="52">
        <f>IF(Учет!$O486=Справочники!$F$3,Учет!$H486,0)</f>
        <v>0</v>
      </c>
      <c r="D486" s="52">
        <f>IF(Учет!$O486=Справочники!$F$4,Учет!$H486,0)</f>
        <v>0</v>
      </c>
      <c r="E486" s="52">
        <f>IF(Учет!$O486=Справочники!$F$5,Учет!$H486,0)</f>
        <v>0</v>
      </c>
      <c r="F486" s="52">
        <f>IF(Учет!$O486=Справочники!$F$6,Учет!$H486,0)</f>
        <v>0</v>
      </c>
      <c r="G486" s="43">
        <f>G485+Учет!B486-B486</f>
        <v>-488978.92000000004</v>
      </c>
      <c r="H486" s="43">
        <f>H485+Учет!C486-C486</f>
        <v>336855</v>
      </c>
      <c r="I486" s="43">
        <f>I485+Учет!D486-D486</f>
        <v>500</v>
      </c>
      <c r="J486" s="43">
        <f>J485+Учет!E486-E486</f>
        <v>1150</v>
      </c>
      <c r="K486" s="43">
        <f>K485+Учет!F486-F486</f>
        <v>500000</v>
      </c>
      <c r="L486" s="45">
        <f>Учет!I486</f>
        <v>349526.07999999996</v>
      </c>
    </row>
    <row r="487" spans="1:12" x14ac:dyDescent="0.25">
      <c r="A487" s="48" t="str">
        <f>IF(Учет!A487&lt;&gt;"",Учет!A487,"")</f>
        <v/>
      </c>
      <c r="B487" s="52">
        <f>IF(Учет!$O487=Справочники!$F$2,Учет!$H487,0)</f>
        <v>0</v>
      </c>
      <c r="C487" s="52">
        <f>IF(Учет!$O487=Справочники!$F$3,Учет!$H487,0)</f>
        <v>0</v>
      </c>
      <c r="D487" s="52">
        <f>IF(Учет!$O487=Справочники!$F$4,Учет!$H487,0)</f>
        <v>0</v>
      </c>
      <c r="E487" s="52">
        <f>IF(Учет!$O487=Справочники!$F$5,Учет!$H487,0)</f>
        <v>0</v>
      </c>
      <c r="F487" s="52">
        <f>IF(Учет!$O487=Справочники!$F$6,Учет!$H487,0)</f>
        <v>0</v>
      </c>
      <c r="G487" s="43">
        <f>G486+Учет!B487-B487</f>
        <v>-488978.92000000004</v>
      </c>
      <c r="H487" s="43">
        <f>H486+Учет!C487-C487</f>
        <v>336855</v>
      </c>
      <c r="I487" s="43">
        <f>I486+Учет!D487-D487</f>
        <v>500</v>
      </c>
      <c r="J487" s="43">
        <f>J486+Учет!E487-E487</f>
        <v>1150</v>
      </c>
      <c r="K487" s="43">
        <f>K486+Учет!F487-F487</f>
        <v>500000</v>
      </c>
      <c r="L487" s="45">
        <f>Учет!I487</f>
        <v>349526.07999999996</v>
      </c>
    </row>
    <row r="488" spans="1:12" x14ac:dyDescent="0.25">
      <c r="A488" s="48" t="str">
        <f>IF(Учет!A488&lt;&gt;"",Учет!A488,"")</f>
        <v/>
      </c>
      <c r="B488" s="52">
        <f>IF(Учет!$O488=Справочники!$F$2,Учет!$H488,0)</f>
        <v>0</v>
      </c>
      <c r="C488" s="52">
        <f>IF(Учет!$O488=Справочники!$F$3,Учет!$H488,0)</f>
        <v>0</v>
      </c>
      <c r="D488" s="52">
        <f>IF(Учет!$O488=Справочники!$F$4,Учет!$H488,0)</f>
        <v>0</v>
      </c>
      <c r="E488" s="52">
        <f>IF(Учет!$O488=Справочники!$F$5,Учет!$H488,0)</f>
        <v>0</v>
      </c>
      <c r="F488" s="52">
        <f>IF(Учет!$O488=Справочники!$F$6,Учет!$H488,0)</f>
        <v>0</v>
      </c>
      <c r="G488" s="43">
        <f>G487+Учет!B488-B488</f>
        <v>-488978.92000000004</v>
      </c>
      <c r="H488" s="43">
        <f>H487+Учет!C488-C488</f>
        <v>336855</v>
      </c>
      <c r="I488" s="43">
        <f>I487+Учет!D488-D488</f>
        <v>500</v>
      </c>
      <c r="J488" s="43">
        <f>J487+Учет!E488-E488</f>
        <v>1150</v>
      </c>
      <c r="K488" s="43">
        <f>K487+Учет!F488-F488</f>
        <v>500000</v>
      </c>
      <c r="L488" s="45">
        <f>Учет!I488</f>
        <v>349526.07999999996</v>
      </c>
    </row>
    <row r="489" spans="1:12" x14ac:dyDescent="0.25">
      <c r="A489" s="48" t="str">
        <f>IF(Учет!A489&lt;&gt;"",Учет!A489,"")</f>
        <v/>
      </c>
      <c r="B489" s="52">
        <f>IF(Учет!$O489=Справочники!$F$2,Учет!$H489,0)</f>
        <v>0</v>
      </c>
      <c r="C489" s="52">
        <f>IF(Учет!$O489=Справочники!$F$3,Учет!$H489,0)</f>
        <v>0</v>
      </c>
      <c r="D489" s="52">
        <f>IF(Учет!$O489=Справочники!$F$4,Учет!$H489,0)</f>
        <v>0</v>
      </c>
      <c r="E489" s="52">
        <f>IF(Учет!$O489=Справочники!$F$5,Учет!$H489,0)</f>
        <v>0</v>
      </c>
      <c r="F489" s="52">
        <f>IF(Учет!$O489=Справочники!$F$6,Учет!$H489,0)</f>
        <v>0</v>
      </c>
      <c r="G489" s="43">
        <f>G488+Учет!B489-B489</f>
        <v>-488978.92000000004</v>
      </c>
      <c r="H489" s="43">
        <f>H488+Учет!C489-C489</f>
        <v>336855</v>
      </c>
      <c r="I489" s="43">
        <f>I488+Учет!D489-D489</f>
        <v>500</v>
      </c>
      <c r="J489" s="43">
        <f>J488+Учет!E489-E489</f>
        <v>1150</v>
      </c>
      <c r="K489" s="43">
        <f>K488+Учет!F489-F489</f>
        <v>500000</v>
      </c>
      <c r="L489" s="45">
        <f>Учет!I489</f>
        <v>349526.07999999996</v>
      </c>
    </row>
    <row r="490" spans="1:12" x14ac:dyDescent="0.25">
      <c r="A490" s="48" t="str">
        <f>IF(Учет!A490&lt;&gt;"",Учет!A490,"")</f>
        <v/>
      </c>
      <c r="B490" s="52">
        <f>IF(Учет!$O490=Справочники!$F$2,Учет!$H490,0)</f>
        <v>0</v>
      </c>
      <c r="C490" s="52">
        <f>IF(Учет!$O490=Справочники!$F$3,Учет!$H490,0)</f>
        <v>0</v>
      </c>
      <c r="D490" s="52">
        <f>IF(Учет!$O490=Справочники!$F$4,Учет!$H490,0)</f>
        <v>0</v>
      </c>
      <c r="E490" s="52">
        <f>IF(Учет!$O490=Справочники!$F$5,Учет!$H490,0)</f>
        <v>0</v>
      </c>
      <c r="F490" s="52">
        <f>IF(Учет!$O490=Справочники!$F$6,Учет!$H490,0)</f>
        <v>0</v>
      </c>
      <c r="G490" s="43">
        <f>G489+Учет!B490-B490</f>
        <v>-488978.92000000004</v>
      </c>
      <c r="H490" s="43">
        <f>H489+Учет!C490-C490</f>
        <v>336855</v>
      </c>
      <c r="I490" s="43">
        <f>I489+Учет!D490-D490</f>
        <v>500</v>
      </c>
      <c r="J490" s="43">
        <f>J489+Учет!E490-E490</f>
        <v>1150</v>
      </c>
      <c r="K490" s="43">
        <f>K489+Учет!F490-F490</f>
        <v>500000</v>
      </c>
      <c r="L490" s="45">
        <f>Учет!I490</f>
        <v>349526.07999999996</v>
      </c>
    </row>
    <row r="491" spans="1:12" x14ac:dyDescent="0.25">
      <c r="A491" s="48" t="str">
        <f>IF(Учет!A491&lt;&gt;"",Учет!A491,"")</f>
        <v/>
      </c>
      <c r="B491" s="52">
        <f>IF(Учет!$O491=Справочники!$F$2,Учет!$H491,0)</f>
        <v>0</v>
      </c>
      <c r="C491" s="52">
        <f>IF(Учет!$O491=Справочники!$F$3,Учет!$H491,0)</f>
        <v>0</v>
      </c>
      <c r="D491" s="52">
        <f>IF(Учет!$O491=Справочники!$F$4,Учет!$H491,0)</f>
        <v>0</v>
      </c>
      <c r="E491" s="52">
        <f>IF(Учет!$O491=Справочники!$F$5,Учет!$H491,0)</f>
        <v>0</v>
      </c>
      <c r="F491" s="52">
        <f>IF(Учет!$O491=Справочники!$F$6,Учет!$H491,0)</f>
        <v>0</v>
      </c>
      <c r="G491" s="43">
        <f>G490+Учет!B491-B491</f>
        <v>-488978.92000000004</v>
      </c>
      <c r="H491" s="43">
        <f>H490+Учет!C491-C491</f>
        <v>336855</v>
      </c>
      <c r="I491" s="43">
        <f>I490+Учет!D491-D491</f>
        <v>500</v>
      </c>
      <c r="J491" s="43">
        <f>J490+Учет!E491-E491</f>
        <v>1150</v>
      </c>
      <c r="K491" s="43">
        <f>K490+Учет!F491-F491</f>
        <v>500000</v>
      </c>
      <c r="L491" s="45">
        <f>Учет!I491</f>
        <v>349526.07999999996</v>
      </c>
    </row>
    <row r="492" spans="1:12" x14ac:dyDescent="0.25">
      <c r="A492" s="48" t="str">
        <f>IF(Учет!A492&lt;&gt;"",Учет!A492,"")</f>
        <v/>
      </c>
      <c r="B492" s="52">
        <f>IF(Учет!$O492=Справочники!$F$2,Учет!$H492,0)</f>
        <v>0</v>
      </c>
      <c r="C492" s="52">
        <f>IF(Учет!$O492=Справочники!$F$3,Учет!$H492,0)</f>
        <v>0</v>
      </c>
      <c r="D492" s="52">
        <f>IF(Учет!$O492=Справочники!$F$4,Учет!$H492,0)</f>
        <v>0</v>
      </c>
      <c r="E492" s="52">
        <f>IF(Учет!$O492=Справочники!$F$5,Учет!$H492,0)</f>
        <v>0</v>
      </c>
      <c r="F492" s="52">
        <f>IF(Учет!$O492=Справочники!$F$6,Учет!$H492,0)</f>
        <v>0</v>
      </c>
      <c r="G492" s="43">
        <f>G491+Учет!B492-B492</f>
        <v>-488978.92000000004</v>
      </c>
      <c r="H492" s="43">
        <f>H491+Учет!C492-C492</f>
        <v>336855</v>
      </c>
      <c r="I492" s="43">
        <f>I491+Учет!D492-D492</f>
        <v>500</v>
      </c>
      <c r="J492" s="43">
        <f>J491+Учет!E492-E492</f>
        <v>1150</v>
      </c>
      <c r="K492" s="43">
        <f>K491+Учет!F492-F492</f>
        <v>500000</v>
      </c>
      <c r="L492" s="45">
        <f>Учет!I492</f>
        <v>349526.07999999996</v>
      </c>
    </row>
    <row r="493" spans="1:12" x14ac:dyDescent="0.25">
      <c r="A493" s="48" t="str">
        <f>IF(Учет!A493&lt;&gt;"",Учет!A493,"")</f>
        <v/>
      </c>
      <c r="B493" s="52">
        <f>IF(Учет!$O493=Справочники!$F$2,Учет!$H493,0)</f>
        <v>0</v>
      </c>
      <c r="C493" s="52">
        <f>IF(Учет!$O493=Справочники!$F$3,Учет!$H493,0)</f>
        <v>0</v>
      </c>
      <c r="D493" s="52">
        <f>IF(Учет!$O493=Справочники!$F$4,Учет!$H493,0)</f>
        <v>0</v>
      </c>
      <c r="E493" s="52">
        <f>IF(Учет!$O493=Справочники!$F$5,Учет!$H493,0)</f>
        <v>0</v>
      </c>
      <c r="F493" s="52">
        <f>IF(Учет!$O493=Справочники!$F$6,Учет!$H493,0)</f>
        <v>0</v>
      </c>
      <c r="G493" s="43">
        <f>G492+Учет!B493-B493</f>
        <v>-488978.92000000004</v>
      </c>
      <c r="H493" s="43">
        <f>H492+Учет!C493-C493</f>
        <v>336855</v>
      </c>
      <c r="I493" s="43">
        <f>I492+Учет!D493-D493</f>
        <v>500</v>
      </c>
      <c r="J493" s="43">
        <f>J492+Учет!E493-E493</f>
        <v>1150</v>
      </c>
      <c r="K493" s="43">
        <f>K492+Учет!F493-F493</f>
        <v>500000</v>
      </c>
      <c r="L493" s="45">
        <f>Учет!I493</f>
        <v>349526.07999999996</v>
      </c>
    </row>
    <row r="494" spans="1:12" x14ac:dyDescent="0.25">
      <c r="A494" s="48" t="str">
        <f>IF(Учет!A494&lt;&gt;"",Учет!A494,"")</f>
        <v/>
      </c>
      <c r="B494" s="52">
        <f>IF(Учет!$O494=Справочники!$F$2,Учет!$H494,0)</f>
        <v>0</v>
      </c>
      <c r="C494" s="52">
        <f>IF(Учет!$O494=Справочники!$F$3,Учет!$H494,0)</f>
        <v>0</v>
      </c>
      <c r="D494" s="52">
        <f>IF(Учет!$O494=Справочники!$F$4,Учет!$H494,0)</f>
        <v>0</v>
      </c>
      <c r="E494" s="52">
        <f>IF(Учет!$O494=Справочники!$F$5,Учет!$H494,0)</f>
        <v>0</v>
      </c>
      <c r="F494" s="52">
        <f>IF(Учет!$O494=Справочники!$F$6,Учет!$H494,0)</f>
        <v>0</v>
      </c>
      <c r="G494" s="43">
        <f>G493+Учет!B494-B494</f>
        <v>-488978.92000000004</v>
      </c>
      <c r="H494" s="43">
        <f>H493+Учет!C494-C494</f>
        <v>336855</v>
      </c>
      <c r="I494" s="43">
        <f>I493+Учет!D494-D494</f>
        <v>500</v>
      </c>
      <c r="J494" s="43">
        <f>J493+Учет!E494-E494</f>
        <v>1150</v>
      </c>
      <c r="K494" s="43">
        <f>K493+Учет!F494-F494</f>
        <v>500000</v>
      </c>
      <c r="L494" s="45">
        <f>Учет!I494</f>
        <v>349526.07999999996</v>
      </c>
    </row>
    <row r="495" spans="1:12" x14ac:dyDescent="0.25">
      <c r="A495" s="48" t="str">
        <f>IF(Учет!A495&lt;&gt;"",Учет!A495,"")</f>
        <v/>
      </c>
      <c r="B495" s="52">
        <f>IF(Учет!$O495=Справочники!$F$2,Учет!$H495,0)</f>
        <v>0</v>
      </c>
      <c r="C495" s="52">
        <f>IF(Учет!$O495=Справочники!$F$3,Учет!$H495,0)</f>
        <v>0</v>
      </c>
      <c r="D495" s="52">
        <f>IF(Учет!$O495=Справочники!$F$4,Учет!$H495,0)</f>
        <v>0</v>
      </c>
      <c r="E495" s="52">
        <f>IF(Учет!$O495=Справочники!$F$5,Учет!$H495,0)</f>
        <v>0</v>
      </c>
      <c r="F495" s="52">
        <f>IF(Учет!$O495=Справочники!$F$6,Учет!$H495,0)</f>
        <v>0</v>
      </c>
      <c r="G495" s="43">
        <f>G494+Учет!B495-B495</f>
        <v>-488978.92000000004</v>
      </c>
      <c r="H495" s="43">
        <f>H494+Учет!C495-C495</f>
        <v>336855</v>
      </c>
      <c r="I495" s="43">
        <f>I494+Учет!D495-D495</f>
        <v>500</v>
      </c>
      <c r="J495" s="43">
        <f>J494+Учет!E495-E495</f>
        <v>1150</v>
      </c>
      <c r="K495" s="43">
        <f>K494+Учет!F495-F495</f>
        <v>500000</v>
      </c>
      <c r="L495" s="45">
        <f>Учет!I495</f>
        <v>349526.07999999996</v>
      </c>
    </row>
    <row r="496" spans="1:12" x14ac:dyDescent="0.25">
      <c r="A496" s="48" t="str">
        <f>IF(Учет!A496&lt;&gt;"",Учет!A496,"")</f>
        <v/>
      </c>
      <c r="B496" s="52">
        <f>IF(Учет!$O496=Справочники!$F$2,Учет!$H496,0)</f>
        <v>0</v>
      </c>
      <c r="C496" s="52">
        <f>IF(Учет!$O496=Справочники!$F$3,Учет!$H496,0)</f>
        <v>0</v>
      </c>
      <c r="D496" s="52">
        <f>IF(Учет!$O496=Справочники!$F$4,Учет!$H496,0)</f>
        <v>0</v>
      </c>
      <c r="E496" s="52">
        <f>IF(Учет!$O496=Справочники!$F$5,Учет!$H496,0)</f>
        <v>0</v>
      </c>
      <c r="F496" s="52">
        <f>IF(Учет!$O496=Справочники!$F$6,Учет!$H496,0)</f>
        <v>0</v>
      </c>
      <c r="G496" s="43">
        <f>G495+Учет!B496-B496</f>
        <v>-488978.92000000004</v>
      </c>
      <c r="H496" s="43">
        <f>H495+Учет!C496-C496</f>
        <v>336855</v>
      </c>
      <c r="I496" s="43">
        <f>I495+Учет!D496-D496</f>
        <v>500</v>
      </c>
      <c r="J496" s="43">
        <f>J495+Учет!E496-E496</f>
        <v>1150</v>
      </c>
      <c r="K496" s="43">
        <f>K495+Учет!F496-F496</f>
        <v>500000</v>
      </c>
      <c r="L496" s="45">
        <f>Учет!I496</f>
        <v>349526.07999999996</v>
      </c>
    </row>
    <row r="497" spans="1:12" x14ac:dyDescent="0.25">
      <c r="A497" s="48" t="str">
        <f>IF(Учет!A497&lt;&gt;"",Учет!A497,"")</f>
        <v/>
      </c>
      <c r="B497" s="52">
        <f>IF(Учет!$O497=Справочники!$F$2,Учет!$H497,0)</f>
        <v>0</v>
      </c>
      <c r="C497" s="52">
        <f>IF(Учет!$O497=Справочники!$F$3,Учет!$H497,0)</f>
        <v>0</v>
      </c>
      <c r="D497" s="52">
        <f>IF(Учет!$O497=Справочники!$F$4,Учет!$H497,0)</f>
        <v>0</v>
      </c>
      <c r="E497" s="52">
        <f>IF(Учет!$O497=Справочники!$F$5,Учет!$H497,0)</f>
        <v>0</v>
      </c>
      <c r="F497" s="52">
        <f>IF(Учет!$O497=Справочники!$F$6,Учет!$H497,0)</f>
        <v>0</v>
      </c>
      <c r="G497" s="43">
        <f>G496+Учет!B497-B497</f>
        <v>-488978.92000000004</v>
      </c>
      <c r="H497" s="43">
        <f>H496+Учет!C497-C497</f>
        <v>336855</v>
      </c>
      <c r="I497" s="43">
        <f>I496+Учет!D497-D497</f>
        <v>500</v>
      </c>
      <c r="J497" s="43">
        <f>J496+Учет!E497-E497</f>
        <v>1150</v>
      </c>
      <c r="K497" s="43">
        <f>K496+Учет!F497-F497</f>
        <v>500000</v>
      </c>
      <c r="L497" s="45">
        <f>Учет!I497</f>
        <v>349526.07999999996</v>
      </c>
    </row>
    <row r="498" spans="1:12" x14ac:dyDescent="0.25">
      <c r="A498" s="48" t="str">
        <f>IF(Учет!A498&lt;&gt;"",Учет!A498,"")</f>
        <v/>
      </c>
      <c r="B498" s="52">
        <f>IF(Учет!$O498=Справочники!$F$2,Учет!$H498,0)</f>
        <v>0</v>
      </c>
      <c r="C498" s="52">
        <f>IF(Учет!$O498=Справочники!$F$3,Учет!$H498,0)</f>
        <v>0</v>
      </c>
      <c r="D498" s="52">
        <f>IF(Учет!$O498=Справочники!$F$4,Учет!$H498,0)</f>
        <v>0</v>
      </c>
      <c r="E498" s="52">
        <f>IF(Учет!$O498=Справочники!$F$5,Учет!$H498,0)</f>
        <v>0</v>
      </c>
      <c r="F498" s="52">
        <f>IF(Учет!$O498=Справочники!$F$6,Учет!$H498,0)</f>
        <v>0</v>
      </c>
      <c r="G498" s="43">
        <f>G497+Учет!B498-B498</f>
        <v>-488978.92000000004</v>
      </c>
      <c r="H498" s="43">
        <f>H497+Учет!C498-C498</f>
        <v>336855</v>
      </c>
      <c r="I498" s="43">
        <f>I497+Учет!D498-D498</f>
        <v>500</v>
      </c>
      <c r="J498" s="43">
        <f>J497+Учет!E498-E498</f>
        <v>1150</v>
      </c>
      <c r="K498" s="43">
        <f>K497+Учет!F498-F498</f>
        <v>500000</v>
      </c>
      <c r="L498" s="45">
        <f>Учет!I498</f>
        <v>349526.07999999996</v>
      </c>
    </row>
    <row r="499" spans="1:12" x14ac:dyDescent="0.25">
      <c r="A499" s="48" t="str">
        <f>IF(Учет!A499&lt;&gt;"",Учет!A499,"")</f>
        <v/>
      </c>
      <c r="B499" s="52">
        <f>IF(Учет!$O499=Справочники!$F$2,Учет!$H499,0)</f>
        <v>0</v>
      </c>
      <c r="C499" s="52">
        <f>IF(Учет!$O499=Справочники!$F$3,Учет!$H499,0)</f>
        <v>0</v>
      </c>
      <c r="D499" s="52">
        <f>IF(Учет!$O499=Справочники!$F$4,Учет!$H499,0)</f>
        <v>0</v>
      </c>
      <c r="E499" s="52">
        <f>IF(Учет!$O499=Справочники!$F$5,Учет!$H499,0)</f>
        <v>0</v>
      </c>
      <c r="F499" s="52">
        <f>IF(Учет!$O499=Справочники!$F$6,Учет!$H499,0)</f>
        <v>0</v>
      </c>
      <c r="G499" s="43">
        <f>G498+Учет!B499-B499</f>
        <v>-488978.92000000004</v>
      </c>
      <c r="H499" s="43">
        <f>H498+Учет!C499-C499</f>
        <v>336855</v>
      </c>
      <c r="I499" s="43">
        <f>I498+Учет!D499-D499</f>
        <v>500</v>
      </c>
      <c r="J499" s="43">
        <f>J498+Учет!E499-E499</f>
        <v>1150</v>
      </c>
      <c r="K499" s="43">
        <f>K498+Учет!F499-F499</f>
        <v>500000</v>
      </c>
      <c r="L499" s="45">
        <f>Учет!I499</f>
        <v>349526.07999999996</v>
      </c>
    </row>
    <row r="500" spans="1:12" x14ac:dyDescent="0.25">
      <c r="A500" s="48" t="str">
        <f>IF(Учет!A500&lt;&gt;"",Учет!A500,"")</f>
        <v/>
      </c>
      <c r="B500" s="52">
        <f>IF(Учет!$O500=Справочники!$F$2,Учет!$H500,0)</f>
        <v>0</v>
      </c>
      <c r="C500" s="52">
        <f>IF(Учет!$O500=Справочники!$F$3,Учет!$H500,0)</f>
        <v>0</v>
      </c>
      <c r="D500" s="52">
        <f>IF(Учет!$O500=Справочники!$F$4,Учет!$H500,0)</f>
        <v>0</v>
      </c>
      <c r="E500" s="52">
        <f>IF(Учет!$O500=Справочники!$F$5,Учет!$H500,0)</f>
        <v>0</v>
      </c>
      <c r="F500" s="52">
        <f>IF(Учет!$O500=Справочники!$F$6,Учет!$H500,0)</f>
        <v>0</v>
      </c>
      <c r="G500" s="43">
        <f>G499+Учет!B500-B500</f>
        <v>-488978.92000000004</v>
      </c>
      <c r="H500" s="43">
        <f>H499+Учет!C500-C500</f>
        <v>336855</v>
      </c>
      <c r="I500" s="43">
        <f>I499+Учет!D500-D500</f>
        <v>500</v>
      </c>
      <c r="J500" s="43">
        <f>J499+Учет!E500-E500</f>
        <v>1150</v>
      </c>
      <c r="K500" s="43">
        <f>K499+Учет!F500-F500</f>
        <v>500000</v>
      </c>
      <c r="L500" s="45">
        <f>Учет!I500</f>
        <v>349526.07999999996</v>
      </c>
    </row>
    <row r="501" spans="1:12" x14ac:dyDescent="0.25">
      <c r="A501" s="48" t="str">
        <f>IF(Учет!A501&lt;&gt;"",Учет!A501,"")</f>
        <v/>
      </c>
      <c r="B501" s="52">
        <f>IF(Учет!$O501=Справочники!$F$2,Учет!$H501,0)</f>
        <v>0</v>
      </c>
      <c r="C501" s="52">
        <f>IF(Учет!$O501=Справочники!$F$3,Учет!$H501,0)</f>
        <v>0</v>
      </c>
      <c r="D501" s="52">
        <f>IF(Учет!$O501=Справочники!$F$4,Учет!$H501,0)</f>
        <v>0</v>
      </c>
      <c r="E501" s="52">
        <f>IF(Учет!$O501=Справочники!$F$5,Учет!$H501,0)</f>
        <v>0</v>
      </c>
      <c r="F501" s="52">
        <f>IF(Учет!$O501=Справочники!$F$6,Учет!$H501,0)</f>
        <v>0</v>
      </c>
      <c r="G501" s="43">
        <f>G500+Учет!B501-B501</f>
        <v>-488978.92000000004</v>
      </c>
      <c r="H501" s="43">
        <f>H500+Учет!C501-C501</f>
        <v>336855</v>
      </c>
      <c r="I501" s="43">
        <f>I500+Учет!D501-D501</f>
        <v>500</v>
      </c>
      <c r="J501" s="43">
        <f>J500+Учет!E501-E501</f>
        <v>1150</v>
      </c>
      <c r="K501" s="43">
        <f>K500+Учет!F501-F501</f>
        <v>500000</v>
      </c>
      <c r="L501" s="45">
        <f>Учет!I501</f>
        <v>349526.07999999996</v>
      </c>
    </row>
    <row r="502" spans="1:12" x14ac:dyDescent="0.25">
      <c r="A502" s="48" t="str">
        <f>IF(Учет!A502&lt;&gt;"",Учет!A502,"")</f>
        <v/>
      </c>
      <c r="B502" s="52">
        <f>IF(Учет!$O502=Справочники!$F$2,Учет!$H502,0)</f>
        <v>0</v>
      </c>
      <c r="C502" s="52">
        <f>IF(Учет!$O502=Справочники!$F$3,Учет!$H502,0)</f>
        <v>0</v>
      </c>
      <c r="D502" s="52">
        <f>IF(Учет!$O502=Справочники!$F$4,Учет!$H502,0)</f>
        <v>0</v>
      </c>
      <c r="E502" s="52">
        <f>IF(Учет!$O502=Справочники!$F$5,Учет!$H502,0)</f>
        <v>0</v>
      </c>
      <c r="F502" s="52">
        <f>IF(Учет!$O502=Справочники!$F$6,Учет!$H502,0)</f>
        <v>0</v>
      </c>
      <c r="G502" s="43">
        <f>G501+Учет!B502-B502</f>
        <v>-488978.92000000004</v>
      </c>
      <c r="H502" s="43">
        <f>H501+Учет!C502-C502</f>
        <v>336855</v>
      </c>
      <c r="I502" s="43">
        <f>I501+Учет!D502-D502</f>
        <v>500</v>
      </c>
      <c r="J502" s="43">
        <f>J501+Учет!E502-E502</f>
        <v>1150</v>
      </c>
      <c r="K502" s="43">
        <f>K501+Учет!F502-F502</f>
        <v>500000</v>
      </c>
      <c r="L502" s="45">
        <f>Учет!I502</f>
        <v>349526.07999999996</v>
      </c>
    </row>
    <row r="503" spans="1:12" x14ac:dyDescent="0.25">
      <c r="A503" s="48" t="str">
        <f>IF(Учет!A503&lt;&gt;"",Учет!A503,"")</f>
        <v/>
      </c>
      <c r="B503" s="52">
        <f>IF(Учет!$O503=Справочники!$F$2,Учет!$H503,0)</f>
        <v>0</v>
      </c>
      <c r="C503" s="52">
        <f>IF(Учет!$O503=Справочники!$F$3,Учет!$H503,0)</f>
        <v>0</v>
      </c>
      <c r="D503" s="52">
        <f>IF(Учет!$O503=Справочники!$F$4,Учет!$H503,0)</f>
        <v>0</v>
      </c>
      <c r="E503" s="52">
        <f>IF(Учет!$O503=Справочники!$F$5,Учет!$H503,0)</f>
        <v>0</v>
      </c>
      <c r="F503" s="52">
        <f>IF(Учет!$O503=Справочники!$F$6,Учет!$H503,0)</f>
        <v>0</v>
      </c>
      <c r="G503" s="43">
        <f>G502+Учет!B503-B503</f>
        <v>-488978.92000000004</v>
      </c>
      <c r="H503" s="43">
        <f>H502+Учет!C503-C503</f>
        <v>336855</v>
      </c>
      <c r="I503" s="43">
        <f>I502+Учет!D503-D503</f>
        <v>500</v>
      </c>
      <c r="J503" s="43">
        <f>J502+Учет!E503-E503</f>
        <v>1150</v>
      </c>
      <c r="K503" s="43">
        <f>K502+Учет!F503-F503</f>
        <v>500000</v>
      </c>
      <c r="L503" s="45">
        <f>Учет!I503</f>
        <v>349526.07999999996</v>
      </c>
    </row>
    <row r="504" spans="1:12" x14ac:dyDescent="0.25">
      <c r="A504" s="48" t="str">
        <f>IF(Учет!A504&lt;&gt;"",Учет!A504,"")</f>
        <v/>
      </c>
      <c r="B504" s="52">
        <f>IF(Учет!$O504=Справочники!$F$2,Учет!$H504,0)</f>
        <v>0</v>
      </c>
      <c r="C504" s="52">
        <f>IF(Учет!$O504=Справочники!$F$3,Учет!$H504,0)</f>
        <v>0</v>
      </c>
      <c r="D504" s="52">
        <f>IF(Учет!$O504=Справочники!$F$4,Учет!$H504,0)</f>
        <v>0</v>
      </c>
      <c r="E504" s="52">
        <f>IF(Учет!$O504=Справочники!$F$5,Учет!$H504,0)</f>
        <v>0</v>
      </c>
      <c r="F504" s="52">
        <f>IF(Учет!$O504=Справочники!$F$6,Учет!$H504,0)</f>
        <v>0</v>
      </c>
      <c r="G504" s="43">
        <f>G503+Учет!B504-B504</f>
        <v>-488978.92000000004</v>
      </c>
      <c r="H504" s="43">
        <f>H503+Учет!C504-C504</f>
        <v>336855</v>
      </c>
      <c r="I504" s="43">
        <f>I503+Учет!D504-D504</f>
        <v>500</v>
      </c>
      <c r="J504" s="43">
        <f>J503+Учет!E504-E504</f>
        <v>1150</v>
      </c>
      <c r="K504" s="43">
        <f>K503+Учет!F504-F504</f>
        <v>500000</v>
      </c>
      <c r="L504" s="45">
        <f>Учет!I504</f>
        <v>349526.07999999996</v>
      </c>
    </row>
    <row r="505" spans="1:12" x14ac:dyDescent="0.25">
      <c r="A505" s="48" t="str">
        <f>IF(Учет!A505&lt;&gt;"",Учет!A505,"")</f>
        <v/>
      </c>
      <c r="B505" s="52">
        <f>IF(Учет!$O505=Справочники!$F$2,Учет!$H505,0)</f>
        <v>0</v>
      </c>
      <c r="C505" s="52">
        <f>IF(Учет!$O505=Справочники!$F$3,Учет!$H505,0)</f>
        <v>0</v>
      </c>
      <c r="D505" s="52">
        <f>IF(Учет!$O505=Справочники!$F$4,Учет!$H505,0)</f>
        <v>0</v>
      </c>
      <c r="E505" s="52">
        <f>IF(Учет!$O505=Справочники!$F$5,Учет!$H505,0)</f>
        <v>0</v>
      </c>
      <c r="F505" s="52">
        <f>IF(Учет!$O505=Справочники!$F$6,Учет!$H505,0)</f>
        <v>0</v>
      </c>
      <c r="G505" s="43">
        <f>G504+Учет!B505-B505</f>
        <v>-488978.92000000004</v>
      </c>
      <c r="H505" s="43">
        <f>H504+Учет!C505-C505</f>
        <v>336855</v>
      </c>
      <c r="I505" s="43">
        <f>I504+Учет!D505-D505</f>
        <v>500</v>
      </c>
      <c r="J505" s="43">
        <f>J504+Учет!E505-E505</f>
        <v>1150</v>
      </c>
      <c r="K505" s="43">
        <f>K504+Учет!F505-F505</f>
        <v>500000</v>
      </c>
      <c r="L505" s="45">
        <f>Учет!I505</f>
        <v>349526.07999999996</v>
      </c>
    </row>
    <row r="506" spans="1:12" x14ac:dyDescent="0.25">
      <c r="A506" s="48" t="str">
        <f>IF(Учет!A506&lt;&gt;"",Учет!A506,"")</f>
        <v/>
      </c>
      <c r="B506" s="52">
        <f>IF(Учет!$O506=Справочники!$F$2,Учет!$H506,0)</f>
        <v>0</v>
      </c>
      <c r="C506" s="52">
        <f>IF(Учет!$O506=Справочники!$F$3,Учет!$H506,0)</f>
        <v>0</v>
      </c>
      <c r="D506" s="52">
        <f>IF(Учет!$O506=Справочники!$F$4,Учет!$H506,0)</f>
        <v>0</v>
      </c>
      <c r="E506" s="52">
        <f>IF(Учет!$O506=Справочники!$F$5,Учет!$H506,0)</f>
        <v>0</v>
      </c>
      <c r="F506" s="52">
        <f>IF(Учет!$O506=Справочники!$F$6,Учет!$H506,0)</f>
        <v>0</v>
      </c>
      <c r="G506" s="43">
        <f>G505+Учет!B506-B506</f>
        <v>-488978.92000000004</v>
      </c>
      <c r="H506" s="43">
        <f>H505+Учет!C506-C506</f>
        <v>336855</v>
      </c>
      <c r="I506" s="43">
        <f>I505+Учет!D506-D506</f>
        <v>500</v>
      </c>
      <c r="J506" s="43">
        <f>J505+Учет!E506-E506</f>
        <v>1150</v>
      </c>
      <c r="K506" s="43">
        <f>K505+Учет!F506-F506</f>
        <v>500000</v>
      </c>
      <c r="L506" s="45">
        <f>Учет!I506</f>
        <v>349526.07999999996</v>
      </c>
    </row>
    <row r="507" spans="1:12" x14ac:dyDescent="0.25">
      <c r="A507" s="48" t="str">
        <f>IF(Учет!A507&lt;&gt;"",Учет!A507,"")</f>
        <v/>
      </c>
      <c r="B507" s="52">
        <f>IF(Учет!$O507=Справочники!$F$2,Учет!$H507,0)</f>
        <v>0</v>
      </c>
      <c r="C507" s="52">
        <f>IF(Учет!$O507=Справочники!$F$3,Учет!$H507,0)</f>
        <v>0</v>
      </c>
      <c r="D507" s="52">
        <f>IF(Учет!$O507=Справочники!$F$4,Учет!$H507,0)</f>
        <v>0</v>
      </c>
      <c r="E507" s="52">
        <f>IF(Учет!$O507=Справочники!$F$5,Учет!$H507,0)</f>
        <v>0</v>
      </c>
      <c r="F507" s="52">
        <f>IF(Учет!$O507=Справочники!$F$6,Учет!$H507,0)</f>
        <v>0</v>
      </c>
      <c r="G507" s="43">
        <f>G506+Учет!B507-B507</f>
        <v>-488978.92000000004</v>
      </c>
      <c r="H507" s="43">
        <f>H506+Учет!C507-C507</f>
        <v>336855</v>
      </c>
      <c r="I507" s="43">
        <f>I506+Учет!D507-D507</f>
        <v>500</v>
      </c>
      <c r="J507" s="43">
        <f>J506+Учет!E507-E507</f>
        <v>1150</v>
      </c>
      <c r="K507" s="43">
        <f>K506+Учет!F507-F507</f>
        <v>500000</v>
      </c>
      <c r="L507" s="45">
        <f>Учет!I507</f>
        <v>349526.07999999996</v>
      </c>
    </row>
    <row r="508" spans="1:12" x14ac:dyDescent="0.25">
      <c r="A508" s="48" t="str">
        <f>IF(Учет!A508&lt;&gt;"",Учет!A508,"")</f>
        <v/>
      </c>
      <c r="B508" s="52">
        <f>IF(Учет!$O508=Справочники!$F$2,Учет!$H508,0)</f>
        <v>0</v>
      </c>
      <c r="C508" s="52">
        <f>IF(Учет!$O508=Справочники!$F$3,Учет!$H508,0)</f>
        <v>0</v>
      </c>
      <c r="D508" s="52">
        <f>IF(Учет!$O508=Справочники!$F$4,Учет!$H508,0)</f>
        <v>0</v>
      </c>
      <c r="E508" s="52">
        <f>IF(Учет!$O508=Справочники!$F$5,Учет!$H508,0)</f>
        <v>0</v>
      </c>
      <c r="F508" s="52">
        <f>IF(Учет!$O508=Справочники!$F$6,Учет!$H508,0)</f>
        <v>0</v>
      </c>
      <c r="G508" s="43">
        <f>G507+Учет!B508-B508</f>
        <v>-488978.92000000004</v>
      </c>
      <c r="H508" s="43">
        <f>H507+Учет!C508-C508</f>
        <v>336855</v>
      </c>
      <c r="I508" s="43">
        <f>I507+Учет!D508-D508</f>
        <v>500</v>
      </c>
      <c r="J508" s="43">
        <f>J507+Учет!E508-E508</f>
        <v>1150</v>
      </c>
      <c r="K508" s="43">
        <f>K507+Учет!F508-F508</f>
        <v>500000</v>
      </c>
      <c r="L508" s="45">
        <f>Учет!I508</f>
        <v>349526.07999999996</v>
      </c>
    </row>
    <row r="509" spans="1:12" x14ac:dyDescent="0.25">
      <c r="A509" s="48" t="str">
        <f>IF(Учет!A509&lt;&gt;"",Учет!A509,"")</f>
        <v/>
      </c>
      <c r="B509" s="52">
        <f>IF(Учет!$O509=Справочники!$F$2,Учет!$H509,0)</f>
        <v>0</v>
      </c>
      <c r="C509" s="52">
        <f>IF(Учет!$O509=Справочники!$F$3,Учет!$H509,0)</f>
        <v>0</v>
      </c>
      <c r="D509" s="52">
        <f>IF(Учет!$O509=Справочники!$F$4,Учет!$H509,0)</f>
        <v>0</v>
      </c>
      <c r="E509" s="52">
        <f>IF(Учет!$O509=Справочники!$F$5,Учет!$H509,0)</f>
        <v>0</v>
      </c>
      <c r="F509" s="52">
        <f>IF(Учет!$O509=Справочники!$F$6,Учет!$H509,0)</f>
        <v>0</v>
      </c>
      <c r="G509" s="43">
        <f>G508+Учет!B509-B509</f>
        <v>-488978.92000000004</v>
      </c>
      <c r="H509" s="43">
        <f>H508+Учет!C509-C509</f>
        <v>336855</v>
      </c>
      <c r="I509" s="43">
        <f>I508+Учет!D509-D509</f>
        <v>500</v>
      </c>
      <c r="J509" s="43">
        <f>J508+Учет!E509-E509</f>
        <v>1150</v>
      </c>
      <c r="K509" s="43">
        <f>K508+Учет!F509-F509</f>
        <v>500000</v>
      </c>
      <c r="L509" s="45">
        <f>Учет!I509</f>
        <v>349526.07999999996</v>
      </c>
    </row>
    <row r="510" spans="1:12" x14ac:dyDescent="0.25">
      <c r="A510" s="48" t="str">
        <f>IF(Учет!A510&lt;&gt;"",Учет!A510,"")</f>
        <v/>
      </c>
      <c r="B510" s="52">
        <f>IF(Учет!$O510=Справочники!$F$2,Учет!$H510,0)</f>
        <v>0</v>
      </c>
      <c r="C510" s="52">
        <f>IF(Учет!$O510=Справочники!$F$3,Учет!$H510,0)</f>
        <v>0</v>
      </c>
      <c r="D510" s="52">
        <f>IF(Учет!$O510=Справочники!$F$4,Учет!$H510,0)</f>
        <v>0</v>
      </c>
      <c r="E510" s="52">
        <f>IF(Учет!$O510=Справочники!$F$5,Учет!$H510,0)</f>
        <v>0</v>
      </c>
      <c r="F510" s="52">
        <f>IF(Учет!$O510=Справочники!$F$6,Учет!$H510,0)</f>
        <v>0</v>
      </c>
      <c r="G510" s="43">
        <f>G509+Учет!B510-B510</f>
        <v>-488978.92000000004</v>
      </c>
      <c r="H510" s="43">
        <f>H509+Учет!C510-C510</f>
        <v>336855</v>
      </c>
      <c r="I510" s="43">
        <f>I509+Учет!D510-D510</f>
        <v>500</v>
      </c>
      <c r="J510" s="43">
        <f>J509+Учет!E510-E510</f>
        <v>1150</v>
      </c>
      <c r="K510" s="43">
        <f>K509+Учет!F510-F510</f>
        <v>500000</v>
      </c>
      <c r="L510" s="45">
        <f>Учет!I510</f>
        <v>349526.07999999996</v>
      </c>
    </row>
    <row r="511" spans="1:12" x14ac:dyDescent="0.25">
      <c r="A511" s="48" t="str">
        <f>IF(Учет!A511&lt;&gt;"",Учет!A511,"")</f>
        <v/>
      </c>
      <c r="B511" s="52">
        <f>IF(Учет!$O511=Справочники!$F$2,Учет!$H511,0)</f>
        <v>0</v>
      </c>
      <c r="C511" s="52">
        <f>IF(Учет!$O511=Справочники!$F$3,Учет!$H511,0)</f>
        <v>0</v>
      </c>
      <c r="D511" s="52">
        <f>IF(Учет!$O511=Справочники!$F$4,Учет!$H511,0)</f>
        <v>0</v>
      </c>
      <c r="E511" s="52">
        <f>IF(Учет!$O511=Справочники!$F$5,Учет!$H511,0)</f>
        <v>0</v>
      </c>
      <c r="F511" s="52">
        <f>IF(Учет!$O511=Справочники!$F$6,Учет!$H511,0)</f>
        <v>0</v>
      </c>
      <c r="G511" s="43">
        <f>G510+Учет!B511-B511</f>
        <v>-488978.92000000004</v>
      </c>
      <c r="H511" s="43">
        <f>H510+Учет!C511-C511</f>
        <v>336855</v>
      </c>
      <c r="I511" s="43">
        <f>I510+Учет!D511-D511</f>
        <v>500</v>
      </c>
      <c r="J511" s="43">
        <f>J510+Учет!E511-E511</f>
        <v>1150</v>
      </c>
      <c r="K511" s="43">
        <f>K510+Учет!F511-F511</f>
        <v>500000</v>
      </c>
      <c r="L511" s="45">
        <f>Учет!I511</f>
        <v>349526.07999999996</v>
      </c>
    </row>
    <row r="512" spans="1:12" x14ac:dyDescent="0.25">
      <c r="A512" s="48" t="str">
        <f>IF(Учет!A512&lt;&gt;"",Учет!A512,"")</f>
        <v/>
      </c>
      <c r="B512" s="52">
        <f>IF(Учет!$O512=Справочники!$F$2,Учет!$H512,0)</f>
        <v>0</v>
      </c>
      <c r="C512" s="52">
        <f>IF(Учет!$O512=Справочники!$F$3,Учет!$H512,0)</f>
        <v>0</v>
      </c>
      <c r="D512" s="52">
        <f>IF(Учет!$O512=Справочники!$F$4,Учет!$H512,0)</f>
        <v>0</v>
      </c>
      <c r="E512" s="52">
        <f>IF(Учет!$O512=Справочники!$F$5,Учет!$H512,0)</f>
        <v>0</v>
      </c>
      <c r="F512" s="52">
        <f>IF(Учет!$O512=Справочники!$F$6,Учет!$H512,0)</f>
        <v>0</v>
      </c>
      <c r="G512" s="43">
        <f>G511+Учет!B512-B512</f>
        <v>-488978.92000000004</v>
      </c>
      <c r="H512" s="43">
        <f>H511+Учет!C512-C512</f>
        <v>336855</v>
      </c>
      <c r="I512" s="43">
        <f>I511+Учет!D512-D512</f>
        <v>500</v>
      </c>
      <c r="J512" s="43">
        <f>J511+Учет!E512-E512</f>
        <v>1150</v>
      </c>
      <c r="K512" s="43">
        <f>K511+Учет!F512-F512</f>
        <v>500000</v>
      </c>
      <c r="L512" s="45">
        <f>Учет!I512</f>
        <v>349526.07999999996</v>
      </c>
    </row>
    <row r="513" spans="1:12" x14ac:dyDescent="0.25">
      <c r="A513" s="48" t="str">
        <f>IF(Учет!A513&lt;&gt;"",Учет!A513,"")</f>
        <v/>
      </c>
      <c r="B513" s="52">
        <f>IF(Учет!$O513=Справочники!$F$2,Учет!$H513,0)</f>
        <v>0</v>
      </c>
      <c r="C513" s="52">
        <f>IF(Учет!$O513=Справочники!$F$3,Учет!$H513,0)</f>
        <v>0</v>
      </c>
      <c r="D513" s="52">
        <f>IF(Учет!$O513=Справочники!$F$4,Учет!$H513,0)</f>
        <v>0</v>
      </c>
      <c r="E513" s="52">
        <f>IF(Учет!$O513=Справочники!$F$5,Учет!$H513,0)</f>
        <v>0</v>
      </c>
      <c r="F513" s="52">
        <f>IF(Учет!$O513=Справочники!$F$6,Учет!$H513,0)</f>
        <v>0</v>
      </c>
      <c r="G513" s="43">
        <f>G512+Учет!B513-B513</f>
        <v>-488978.92000000004</v>
      </c>
      <c r="H513" s="43">
        <f>H512+Учет!C513-C513</f>
        <v>336855</v>
      </c>
      <c r="I513" s="43">
        <f>I512+Учет!D513-D513</f>
        <v>500</v>
      </c>
      <c r="J513" s="43">
        <f>J512+Учет!E513-E513</f>
        <v>1150</v>
      </c>
      <c r="K513" s="43">
        <f>K512+Учет!F513-F513</f>
        <v>500000</v>
      </c>
      <c r="L513" s="45">
        <f>Учет!I513</f>
        <v>349526.07999999996</v>
      </c>
    </row>
    <row r="514" spans="1:12" x14ac:dyDescent="0.25">
      <c r="A514" s="48" t="str">
        <f>IF(Учет!A514&lt;&gt;"",Учет!A514,"")</f>
        <v/>
      </c>
      <c r="B514" s="52">
        <f>IF(Учет!$O514=Справочники!$F$2,Учет!$H514,0)</f>
        <v>0</v>
      </c>
      <c r="C514" s="52">
        <f>IF(Учет!$O514=Справочники!$F$3,Учет!$H514,0)</f>
        <v>0</v>
      </c>
      <c r="D514" s="52">
        <f>IF(Учет!$O514=Справочники!$F$4,Учет!$H514,0)</f>
        <v>0</v>
      </c>
      <c r="E514" s="52">
        <f>IF(Учет!$O514=Справочники!$F$5,Учет!$H514,0)</f>
        <v>0</v>
      </c>
      <c r="F514" s="52">
        <f>IF(Учет!$O514=Справочники!$F$6,Учет!$H514,0)</f>
        <v>0</v>
      </c>
      <c r="G514" s="43">
        <f>G513+Учет!B514-B514</f>
        <v>-488978.92000000004</v>
      </c>
      <c r="H514" s="43">
        <f>H513+Учет!C514-C514</f>
        <v>336855</v>
      </c>
      <c r="I514" s="43">
        <f>I513+Учет!D514-D514</f>
        <v>500</v>
      </c>
      <c r="J514" s="43">
        <f>J513+Учет!E514-E514</f>
        <v>1150</v>
      </c>
      <c r="K514" s="43">
        <f>K513+Учет!F514-F514</f>
        <v>500000</v>
      </c>
      <c r="L514" s="45">
        <f>Учет!I514</f>
        <v>349526.07999999996</v>
      </c>
    </row>
    <row r="515" spans="1:12" x14ac:dyDescent="0.25">
      <c r="A515" s="48" t="str">
        <f>IF(Учет!A515&lt;&gt;"",Учет!A515,"")</f>
        <v/>
      </c>
      <c r="B515" s="52">
        <f>IF(Учет!$O515=Справочники!$F$2,Учет!$H515,0)</f>
        <v>0</v>
      </c>
      <c r="C515" s="52">
        <f>IF(Учет!$O515=Справочники!$F$3,Учет!$H515,0)</f>
        <v>0</v>
      </c>
      <c r="D515" s="52">
        <f>IF(Учет!$O515=Справочники!$F$4,Учет!$H515,0)</f>
        <v>0</v>
      </c>
      <c r="E515" s="52">
        <f>IF(Учет!$O515=Справочники!$F$5,Учет!$H515,0)</f>
        <v>0</v>
      </c>
      <c r="F515" s="52">
        <f>IF(Учет!$O515=Справочники!$F$6,Учет!$H515,0)</f>
        <v>0</v>
      </c>
      <c r="G515" s="43">
        <f>G514+Учет!B515-B515</f>
        <v>-488978.92000000004</v>
      </c>
      <c r="H515" s="43">
        <f>H514+Учет!C515-C515</f>
        <v>336855</v>
      </c>
      <c r="I515" s="43">
        <f>I514+Учет!D515-D515</f>
        <v>500</v>
      </c>
      <c r="J515" s="43">
        <f>J514+Учет!E515-E515</f>
        <v>1150</v>
      </c>
      <c r="K515" s="43">
        <f>K514+Учет!F515-F515</f>
        <v>500000</v>
      </c>
      <c r="L515" s="45">
        <f>Учет!I515</f>
        <v>349526.07999999996</v>
      </c>
    </row>
    <row r="516" spans="1:12" x14ac:dyDescent="0.25">
      <c r="A516" s="48" t="str">
        <f>IF(Учет!A516&lt;&gt;"",Учет!A516,"")</f>
        <v/>
      </c>
      <c r="B516" s="52">
        <f>IF(Учет!$O516=Справочники!$F$2,Учет!$H516,0)</f>
        <v>0</v>
      </c>
      <c r="C516" s="52">
        <f>IF(Учет!$O516=Справочники!$F$3,Учет!$H516,0)</f>
        <v>0</v>
      </c>
      <c r="D516" s="52">
        <f>IF(Учет!$O516=Справочники!$F$4,Учет!$H516,0)</f>
        <v>0</v>
      </c>
      <c r="E516" s="52">
        <f>IF(Учет!$O516=Справочники!$F$5,Учет!$H516,0)</f>
        <v>0</v>
      </c>
      <c r="F516" s="52">
        <f>IF(Учет!$O516=Справочники!$F$6,Учет!$H516,0)</f>
        <v>0</v>
      </c>
      <c r="G516" s="43">
        <f>G515+Учет!B516-B516</f>
        <v>-488978.92000000004</v>
      </c>
      <c r="H516" s="43">
        <f>H515+Учет!C516-C516</f>
        <v>336855</v>
      </c>
      <c r="I516" s="43">
        <f>I515+Учет!D516-D516</f>
        <v>500</v>
      </c>
      <c r="J516" s="43">
        <f>J515+Учет!E516-E516</f>
        <v>1150</v>
      </c>
      <c r="K516" s="43">
        <f>K515+Учет!F516-F516</f>
        <v>500000</v>
      </c>
      <c r="L516" s="45">
        <f>Учет!I516</f>
        <v>349526.07999999996</v>
      </c>
    </row>
    <row r="517" spans="1:12" x14ac:dyDescent="0.25">
      <c r="A517" s="48" t="str">
        <f>IF(Учет!A517&lt;&gt;"",Учет!A517,"")</f>
        <v/>
      </c>
      <c r="B517" s="52">
        <f>IF(Учет!$O517=Справочники!$F$2,Учет!$H517,0)</f>
        <v>0</v>
      </c>
      <c r="C517" s="52">
        <f>IF(Учет!$O517=Справочники!$F$3,Учет!$H517,0)</f>
        <v>0</v>
      </c>
      <c r="D517" s="52">
        <f>IF(Учет!$O517=Справочники!$F$4,Учет!$H517,0)</f>
        <v>0</v>
      </c>
      <c r="E517" s="52">
        <f>IF(Учет!$O517=Справочники!$F$5,Учет!$H517,0)</f>
        <v>0</v>
      </c>
      <c r="F517" s="52">
        <f>IF(Учет!$O517=Справочники!$F$6,Учет!$H517,0)</f>
        <v>0</v>
      </c>
      <c r="G517" s="43">
        <f>G516+Учет!B517-B517</f>
        <v>-488978.92000000004</v>
      </c>
      <c r="H517" s="43">
        <f>H516+Учет!C517-C517</f>
        <v>336855</v>
      </c>
      <c r="I517" s="43">
        <f>I516+Учет!D517-D517</f>
        <v>500</v>
      </c>
      <c r="J517" s="43">
        <f>J516+Учет!E517-E517</f>
        <v>1150</v>
      </c>
      <c r="K517" s="43">
        <f>K516+Учет!F517-F517</f>
        <v>500000</v>
      </c>
      <c r="L517" s="45">
        <f>Учет!I517</f>
        <v>349526.07999999996</v>
      </c>
    </row>
    <row r="518" spans="1:12" x14ac:dyDescent="0.25">
      <c r="A518" s="48" t="str">
        <f>IF(Учет!A518&lt;&gt;"",Учет!A518,"")</f>
        <v/>
      </c>
      <c r="B518" s="52">
        <f>IF(Учет!$O518=Справочники!$F$2,Учет!$H518,0)</f>
        <v>0</v>
      </c>
      <c r="C518" s="52">
        <f>IF(Учет!$O518=Справочники!$F$3,Учет!$H518,0)</f>
        <v>0</v>
      </c>
      <c r="D518" s="52">
        <f>IF(Учет!$O518=Справочники!$F$4,Учет!$H518,0)</f>
        <v>0</v>
      </c>
      <c r="E518" s="52">
        <f>IF(Учет!$O518=Справочники!$F$5,Учет!$H518,0)</f>
        <v>0</v>
      </c>
      <c r="F518" s="52">
        <f>IF(Учет!$O518=Справочники!$F$6,Учет!$H518,0)</f>
        <v>0</v>
      </c>
      <c r="G518" s="43">
        <f>G517+Учет!B518-B518</f>
        <v>-488978.92000000004</v>
      </c>
      <c r="H518" s="43">
        <f>H517+Учет!C518-C518</f>
        <v>336855</v>
      </c>
      <c r="I518" s="43">
        <f>I517+Учет!D518-D518</f>
        <v>500</v>
      </c>
      <c r="J518" s="43">
        <f>J517+Учет!E518-E518</f>
        <v>1150</v>
      </c>
      <c r="K518" s="43">
        <f>K517+Учет!F518-F518</f>
        <v>500000</v>
      </c>
      <c r="L518" s="45">
        <f>Учет!I518</f>
        <v>349526.07999999996</v>
      </c>
    </row>
    <row r="519" spans="1:12" x14ac:dyDescent="0.25">
      <c r="A519" s="48" t="str">
        <f>IF(Учет!A519&lt;&gt;"",Учет!A519,"")</f>
        <v/>
      </c>
      <c r="B519" s="52">
        <f>IF(Учет!$O519=Справочники!$F$2,Учет!$H519,0)</f>
        <v>0</v>
      </c>
      <c r="C519" s="52">
        <f>IF(Учет!$O519=Справочники!$F$3,Учет!$H519,0)</f>
        <v>0</v>
      </c>
      <c r="D519" s="52">
        <f>IF(Учет!$O519=Справочники!$F$4,Учет!$H519,0)</f>
        <v>0</v>
      </c>
      <c r="E519" s="52">
        <f>IF(Учет!$O519=Справочники!$F$5,Учет!$H519,0)</f>
        <v>0</v>
      </c>
      <c r="F519" s="52">
        <f>IF(Учет!$O519=Справочники!$F$6,Учет!$H519,0)</f>
        <v>0</v>
      </c>
      <c r="G519" s="43">
        <f>G518+Учет!B519-B519</f>
        <v>-488978.92000000004</v>
      </c>
      <c r="H519" s="43">
        <f>H518+Учет!C519-C519</f>
        <v>336855</v>
      </c>
      <c r="I519" s="43">
        <f>I518+Учет!D519-D519</f>
        <v>500</v>
      </c>
      <c r="J519" s="43">
        <f>J518+Учет!E519-E519</f>
        <v>1150</v>
      </c>
      <c r="K519" s="43">
        <f>K518+Учет!F519-F519</f>
        <v>500000</v>
      </c>
      <c r="L519" s="45">
        <f>Учет!I519</f>
        <v>349526.07999999996</v>
      </c>
    </row>
    <row r="520" spans="1:12" x14ac:dyDescent="0.25">
      <c r="A520" s="48" t="str">
        <f>IF(Учет!A520&lt;&gt;"",Учет!A520,"")</f>
        <v/>
      </c>
      <c r="B520" s="52">
        <f>IF(Учет!$O520=Справочники!$F$2,Учет!$H520,0)</f>
        <v>0</v>
      </c>
      <c r="C520" s="52">
        <f>IF(Учет!$O520=Справочники!$F$3,Учет!$H520,0)</f>
        <v>0</v>
      </c>
      <c r="D520" s="52">
        <f>IF(Учет!$O520=Справочники!$F$4,Учет!$H520,0)</f>
        <v>0</v>
      </c>
      <c r="E520" s="52">
        <f>IF(Учет!$O520=Справочники!$F$5,Учет!$H520,0)</f>
        <v>0</v>
      </c>
      <c r="F520" s="52">
        <f>IF(Учет!$O520=Справочники!$F$6,Учет!$H520,0)</f>
        <v>0</v>
      </c>
      <c r="G520" s="43">
        <f>G519+Учет!B520-B520</f>
        <v>-488978.92000000004</v>
      </c>
      <c r="H520" s="43">
        <f>H519+Учет!C520-C520</f>
        <v>336855</v>
      </c>
      <c r="I520" s="43">
        <f>I519+Учет!D520-D520</f>
        <v>500</v>
      </c>
      <c r="J520" s="43">
        <f>J519+Учет!E520-E520</f>
        <v>1150</v>
      </c>
      <c r="K520" s="43">
        <f>K519+Учет!F520-F520</f>
        <v>500000</v>
      </c>
      <c r="L520" s="45">
        <f>Учет!I520</f>
        <v>349526.07999999996</v>
      </c>
    </row>
    <row r="521" spans="1:12" x14ac:dyDescent="0.25">
      <c r="A521" s="48" t="str">
        <f>IF(Учет!A521&lt;&gt;"",Учет!A521,"")</f>
        <v/>
      </c>
      <c r="B521" s="52">
        <f>IF(Учет!$O521=Справочники!$F$2,Учет!$H521,0)</f>
        <v>0</v>
      </c>
      <c r="C521" s="52">
        <f>IF(Учет!$O521=Справочники!$F$3,Учет!$H521,0)</f>
        <v>0</v>
      </c>
      <c r="D521" s="52">
        <f>IF(Учет!$O521=Справочники!$F$4,Учет!$H521,0)</f>
        <v>0</v>
      </c>
      <c r="E521" s="52">
        <f>IF(Учет!$O521=Справочники!$F$5,Учет!$H521,0)</f>
        <v>0</v>
      </c>
      <c r="F521" s="52">
        <f>IF(Учет!$O521=Справочники!$F$6,Учет!$H521,0)</f>
        <v>0</v>
      </c>
      <c r="G521" s="43">
        <f>G520+Учет!B521-B521</f>
        <v>-488978.92000000004</v>
      </c>
      <c r="H521" s="43">
        <f>H520+Учет!C521-C521</f>
        <v>336855</v>
      </c>
      <c r="I521" s="43">
        <f>I520+Учет!D521-D521</f>
        <v>500</v>
      </c>
      <c r="J521" s="43">
        <f>J520+Учет!E521-E521</f>
        <v>1150</v>
      </c>
      <c r="K521" s="43">
        <f>K520+Учет!F521-F521</f>
        <v>500000</v>
      </c>
      <c r="L521" s="45">
        <f>Учет!I521</f>
        <v>349526.07999999996</v>
      </c>
    </row>
    <row r="522" spans="1:12" x14ac:dyDescent="0.25">
      <c r="A522" s="48" t="str">
        <f>IF(Учет!A522&lt;&gt;"",Учет!A522,"")</f>
        <v/>
      </c>
      <c r="B522" s="52">
        <f>IF(Учет!$O522=Справочники!$F$2,Учет!$H522,0)</f>
        <v>0</v>
      </c>
      <c r="C522" s="52">
        <f>IF(Учет!$O522=Справочники!$F$3,Учет!$H522,0)</f>
        <v>0</v>
      </c>
      <c r="D522" s="52">
        <f>IF(Учет!$O522=Справочники!$F$4,Учет!$H522,0)</f>
        <v>0</v>
      </c>
      <c r="E522" s="52">
        <f>IF(Учет!$O522=Справочники!$F$5,Учет!$H522,0)</f>
        <v>0</v>
      </c>
      <c r="F522" s="52">
        <f>IF(Учет!$O522=Справочники!$F$6,Учет!$H522,0)</f>
        <v>0</v>
      </c>
      <c r="G522" s="43">
        <f>G521+Учет!B522-B522</f>
        <v>-488978.92000000004</v>
      </c>
      <c r="H522" s="43">
        <f>H521+Учет!C522-C522</f>
        <v>336855</v>
      </c>
      <c r="I522" s="43">
        <f>I521+Учет!D522-D522</f>
        <v>500</v>
      </c>
      <c r="J522" s="43">
        <f>J521+Учет!E522-E522</f>
        <v>1150</v>
      </c>
      <c r="K522" s="43">
        <f>K521+Учет!F522-F522</f>
        <v>500000</v>
      </c>
      <c r="L522" s="45">
        <f>Учет!I522</f>
        <v>349526.07999999996</v>
      </c>
    </row>
    <row r="523" spans="1:12" x14ac:dyDescent="0.25">
      <c r="A523" s="48" t="str">
        <f>IF(Учет!A523&lt;&gt;"",Учет!A523,"")</f>
        <v/>
      </c>
      <c r="B523" s="52">
        <f>IF(Учет!$O523=Справочники!$F$2,Учет!$H523,0)</f>
        <v>0</v>
      </c>
      <c r="C523" s="52">
        <f>IF(Учет!$O523=Справочники!$F$3,Учет!$H523,0)</f>
        <v>0</v>
      </c>
      <c r="D523" s="52">
        <f>IF(Учет!$O523=Справочники!$F$4,Учет!$H523,0)</f>
        <v>0</v>
      </c>
      <c r="E523" s="52">
        <f>IF(Учет!$O523=Справочники!$F$5,Учет!$H523,0)</f>
        <v>0</v>
      </c>
      <c r="F523" s="52">
        <f>IF(Учет!$O523=Справочники!$F$6,Учет!$H523,0)</f>
        <v>0</v>
      </c>
      <c r="G523" s="43">
        <f>G522+Учет!B523-B523</f>
        <v>-488978.92000000004</v>
      </c>
      <c r="H523" s="43">
        <f>H522+Учет!C523-C523</f>
        <v>336855</v>
      </c>
      <c r="I523" s="43">
        <f>I522+Учет!D523-D523</f>
        <v>500</v>
      </c>
      <c r="J523" s="43">
        <f>J522+Учет!E523-E523</f>
        <v>1150</v>
      </c>
      <c r="K523" s="43">
        <f>K522+Учет!F523-F523</f>
        <v>500000</v>
      </c>
      <c r="L523" s="45">
        <f>Учет!I523</f>
        <v>349526.07999999996</v>
      </c>
    </row>
    <row r="524" spans="1:12" x14ac:dyDescent="0.25">
      <c r="A524" s="48" t="str">
        <f>IF(Учет!A524&lt;&gt;"",Учет!A524,"")</f>
        <v/>
      </c>
      <c r="B524" s="52">
        <f>IF(Учет!$O524=Справочники!$F$2,Учет!$H524,0)</f>
        <v>0</v>
      </c>
      <c r="C524" s="52">
        <f>IF(Учет!$O524=Справочники!$F$3,Учет!$H524,0)</f>
        <v>0</v>
      </c>
      <c r="D524" s="52">
        <f>IF(Учет!$O524=Справочники!$F$4,Учет!$H524,0)</f>
        <v>0</v>
      </c>
      <c r="E524" s="52">
        <f>IF(Учет!$O524=Справочники!$F$5,Учет!$H524,0)</f>
        <v>0</v>
      </c>
      <c r="F524" s="52">
        <f>IF(Учет!$O524=Справочники!$F$6,Учет!$H524,0)</f>
        <v>0</v>
      </c>
      <c r="G524" s="43">
        <f>G523+Учет!B524-B524</f>
        <v>-488978.92000000004</v>
      </c>
      <c r="H524" s="43">
        <f>H523+Учет!C524-C524</f>
        <v>336855</v>
      </c>
      <c r="I524" s="43">
        <f>I523+Учет!D524-D524</f>
        <v>500</v>
      </c>
      <c r="J524" s="43">
        <f>J523+Учет!E524-E524</f>
        <v>1150</v>
      </c>
      <c r="K524" s="43">
        <f>K523+Учет!F524-F524</f>
        <v>500000</v>
      </c>
      <c r="L524" s="45">
        <f>Учет!I524</f>
        <v>349526.07999999996</v>
      </c>
    </row>
    <row r="525" spans="1:12" x14ac:dyDescent="0.25">
      <c r="A525" s="48" t="str">
        <f>IF(Учет!A525&lt;&gt;"",Учет!A525,"")</f>
        <v/>
      </c>
      <c r="B525" s="52">
        <f>IF(Учет!$O525=Справочники!$F$2,Учет!$H525,0)</f>
        <v>0</v>
      </c>
      <c r="C525" s="52">
        <f>IF(Учет!$O525=Справочники!$F$3,Учет!$H525,0)</f>
        <v>0</v>
      </c>
      <c r="D525" s="52">
        <f>IF(Учет!$O525=Справочники!$F$4,Учет!$H525,0)</f>
        <v>0</v>
      </c>
      <c r="E525" s="52">
        <f>IF(Учет!$O525=Справочники!$F$5,Учет!$H525,0)</f>
        <v>0</v>
      </c>
      <c r="F525" s="52">
        <f>IF(Учет!$O525=Справочники!$F$6,Учет!$H525,0)</f>
        <v>0</v>
      </c>
      <c r="G525" s="43">
        <f>G524+Учет!B525-B525</f>
        <v>-488978.92000000004</v>
      </c>
      <c r="H525" s="43">
        <f>H524+Учет!C525-C525</f>
        <v>336855</v>
      </c>
      <c r="I525" s="43">
        <f>I524+Учет!D525-D525</f>
        <v>500</v>
      </c>
      <c r="J525" s="43">
        <f>J524+Учет!E525-E525</f>
        <v>1150</v>
      </c>
      <c r="K525" s="43">
        <f>K524+Учет!F525-F525</f>
        <v>500000</v>
      </c>
      <c r="L525" s="45">
        <f>Учет!I525</f>
        <v>349526.07999999996</v>
      </c>
    </row>
    <row r="526" spans="1:12" x14ac:dyDescent="0.25">
      <c r="A526" s="48" t="str">
        <f>IF(Учет!A526&lt;&gt;"",Учет!A526,"")</f>
        <v/>
      </c>
      <c r="B526" s="52">
        <f>IF(Учет!$O526=Справочники!$F$2,Учет!$H526,0)</f>
        <v>0</v>
      </c>
      <c r="C526" s="52">
        <f>IF(Учет!$O526=Справочники!$F$3,Учет!$H526,0)</f>
        <v>0</v>
      </c>
      <c r="D526" s="52">
        <f>IF(Учет!$O526=Справочники!$F$4,Учет!$H526,0)</f>
        <v>0</v>
      </c>
      <c r="E526" s="52">
        <f>IF(Учет!$O526=Справочники!$F$5,Учет!$H526,0)</f>
        <v>0</v>
      </c>
      <c r="F526" s="52">
        <f>IF(Учет!$O526=Справочники!$F$6,Учет!$H526,0)</f>
        <v>0</v>
      </c>
      <c r="G526" s="43">
        <f>G525+Учет!B526-B526</f>
        <v>-488978.92000000004</v>
      </c>
      <c r="H526" s="43">
        <f>H525+Учет!C526-C526</f>
        <v>336855</v>
      </c>
      <c r="I526" s="43">
        <f>I525+Учет!D526-D526</f>
        <v>500</v>
      </c>
      <c r="J526" s="43">
        <f>J525+Учет!E526-E526</f>
        <v>1150</v>
      </c>
      <c r="K526" s="43">
        <f>K525+Учет!F526-F526</f>
        <v>500000</v>
      </c>
      <c r="L526" s="45">
        <f>Учет!I526</f>
        <v>349526.07999999996</v>
      </c>
    </row>
    <row r="527" spans="1:12" x14ac:dyDescent="0.25">
      <c r="A527" s="48" t="str">
        <f>IF(Учет!A527&lt;&gt;"",Учет!A527,"")</f>
        <v/>
      </c>
      <c r="B527" s="52">
        <f>IF(Учет!$O527=Справочники!$F$2,Учет!$H527,0)</f>
        <v>0</v>
      </c>
      <c r="C527" s="52">
        <f>IF(Учет!$O527=Справочники!$F$3,Учет!$H527,0)</f>
        <v>0</v>
      </c>
      <c r="D527" s="52">
        <f>IF(Учет!$O527=Справочники!$F$4,Учет!$H527,0)</f>
        <v>0</v>
      </c>
      <c r="E527" s="52">
        <f>IF(Учет!$O527=Справочники!$F$5,Учет!$H527,0)</f>
        <v>0</v>
      </c>
      <c r="F527" s="52">
        <f>IF(Учет!$O527=Справочники!$F$6,Учет!$H527,0)</f>
        <v>0</v>
      </c>
      <c r="G527" s="43">
        <f>G526+Учет!B527-B527</f>
        <v>-488978.92000000004</v>
      </c>
      <c r="H527" s="43">
        <f>H526+Учет!C527-C527</f>
        <v>336855</v>
      </c>
      <c r="I527" s="43">
        <f>I526+Учет!D527-D527</f>
        <v>500</v>
      </c>
      <c r="J527" s="43">
        <f>J526+Учет!E527-E527</f>
        <v>1150</v>
      </c>
      <c r="K527" s="43">
        <f>K526+Учет!F527-F527</f>
        <v>500000</v>
      </c>
      <c r="L527" s="45">
        <f>Учет!I527</f>
        <v>349526.07999999996</v>
      </c>
    </row>
    <row r="528" spans="1:12" x14ac:dyDescent="0.25">
      <c r="A528" s="48" t="str">
        <f>IF(Учет!A528&lt;&gt;"",Учет!A528,"")</f>
        <v/>
      </c>
      <c r="B528" s="52">
        <f>IF(Учет!$O528=Справочники!$F$2,Учет!$H528,0)</f>
        <v>0</v>
      </c>
      <c r="C528" s="52">
        <f>IF(Учет!$O528=Справочники!$F$3,Учет!$H528,0)</f>
        <v>0</v>
      </c>
      <c r="D528" s="52">
        <f>IF(Учет!$O528=Справочники!$F$4,Учет!$H528,0)</f>
        <v>0</v>
      </c>
      <c r="E528" s="52">
        <f>IF(Учет!$O528=Справочники!$F$5,Учет!$H528,0)</f>
        <v>0</v>
      </c>
      <c r="F528" s="52">
        <f>IF(Учет!$O528=Справочники!$F$6,Учет!$H528,0)</f>
        <v>0</v>
      </c>
      <c r="G528" s="43">
        <f>G527+Учет!B528-B528</f>
        <v>-488978.92000000004</v>
      </c>
      <c r="H528" s="43">
        <f>H527+Учет!C528-C528</f>
        <v>336855</v>
      </c>
      <c r="I528" s="43">
        <f>I527+Учет!D528-D528</f>
        <v>500</v>
      </c>
      <c r="J528" s="43">
        <f>J527+Учет!E528-E528</f>
        <v>1150</v>
      </c>
      <c r="K528" s="43">
        <f>K527+Учет!F528-F528</f>
        <v>500000</v>
      </c>
      <c r="L528" s="45">
        <f>Учет!I528</f>
        <v>349526.07999999996</v>
      </c>
    </row>
    <row r="529" spans="1:12" x14ac:dyDescent="0.25">
      <c r="A529" s="48" t="str">
        <f>IF(Учет!A529&lt;&gt;"",Учет!A529,"")</f>
        <v/>
      </c>
      <c r="B529" s="52">
        <f>IF(Учет!$O529=Справочники!$F$2,Учет!$H529,0)</f>
        <v>0</v>
      </c>
      <c r="C529" s="52">
        <f>IF(Учет!$O529=Справочники!$F$3,Учет!$H529,0)</f>
        <v>0</v>
      </c>
      <c r="D529" s="52">
        <f>IF(Учет!$O529=Справочники!$F$4,Учет!$H529,0)</f>
        <v>0</v>
      </c>
      <c r="E529" s="52">
        <f>IF(Учет!$O529=Справочники!$F$5,Учет!$H529,0)</f>
        <v>0</v>
      </c>
      <c r="F529" s="52">
        <f>IF(Учет!$O529=Справочники!$F$6,Учет!$H529,0)</f>
        <v>0</v>
      </c>
      <c r="G529" s="43">
        <f>G528+Учет!B529-B529</f>
        <v>-488978.92000000004</v>
      </c>
      <c r="H529" s="43">
        <f>H528+Учет!C529-C529</f>
        <v>336855</v>
      </c>
      <c r="I529" s="43">
        <f>I528+Учет!D529-D529</f>
        <v>500</v>
      </c>
      <c r="J529" s="43">
        <f>J528+Учет!E529-E529</f>
        <v>1150</v>
      </c>
      <c r="K529" s="43">
        <f>K528+Учет!F529-F529</f>
        <v>500000</v>
      </c>
      <c r="L529" s="45">
        <f>Учет!I529</f>
        <v>349526.07999999996</v>
      </c>
    </row>
    <row r="530" spans="1:12" x14ac:dyDescent="0.25">
      <c r="A530" s="48" t="str">
        <f>IF(Учет!A530&lt;&gt;"",Учет!A530,"")</f>
        <v/>
      </c>
      <c r="B530" s="52">
        <f>IF(Учет!$O530=Справочники!$F$2,Учет!$H530,0)</f>
        <v>0</v>
      </c>
      <c r="C530" s="52">
        <f>IF(Учет!$O530=Справочники!$F$3,Учет!$H530,0)</f>
        <v>0</v>
      </c>
      <c r="D530" s="52">
        <f>IF(Учет!$O530=Справочники!$F$4,Учет!$H530,0)</f>
        <v>0</v>
      </c>
      <c r="E530" s="52">
        <f>IF(Учет!$O530=Справочники!$F$5,Учет!$H530,0)</f>
        <v>0</v>
      </c>
      <c r="F530" s="52">
        <f>IF(Учет!$O530=Справочники!$F$6,Учет!$H530,0)</f>
        <v>0</v>
      </c>
      <c r="G530" s="43">
        <f>G529+Учет!B530-B530</f>
        <v>-488978.92000000004</v>
      </c>
      <c r="H530" s="43">
        <f>H529+Учет!C530-C530</f>
        <v>336855</v>
      </c>
      <c r="I530" s="43">
        <f>I529+Учет!D530-D530</f>
        <v>500</v>
      </c>
      <c r="J530" s="43">
        <f>J529+Учет!E530-E530</f>
        <v>1150</v>
      </c>
      <c r="K530" s="43">
        <f>K529+Учет!F530-F530</f>
        <v>500000</v>
      </c>
      <c r="L530" s="45">
        <f>Учет!I530</f>
        <v>349526.07999999996</v>
      </c>
    </row>
    <row r="531" spans="1:12" x14ac:dyDescent="0.25">
      <c r="A531" s="48" t="str">
        <f>IF(Учет!A531&lt;&gt;"",Учет!A531,"")</f>
        <v/>
      </c>
      <c r="B531" s="52">
        <f>IF(Учет!$O531=Справочники!$F$2,Учет!$H531,0)</f>
        <v>0</v>
      </c>
      <c r="C531" s="52">
        <f>IF(Учет!$O531=Справочники!$F$3,Учет!$H531,0)</f>
        <v>0</v>
      </c>
      <c r="D531" s="52">
        <f>IF(Учет!$O531=Справочники!$F$4,Учет!$H531,0)</f>
        <v>0</v>
      </c>
      <c r="E531" s="52">
        <f>IF(Учет!$O531=Справочники!$F$5,Учет!$H531,0)</f>
        <v>0</v>
      </c>
      <c r="F531" s="52">
        <f>IF(Учет!$O531=Справочники!$F$6,Учет!$H531,0)</f>
        <v>0</v>
      </c>
      <c r="G531" s="43">
        <f>G530+Учет!B531-B531</f>
        <v>-488978.92000000004</v>
      </c>
      <c r="H531" s="43">
        <f>H530+Учет!C531-C531</f>
        <v>336855</v>
      </c>
      <c r="I531" s="43">
        <f>I530+Учет!D531-D531</f>
        <v>500</v>
      </c>
      <c r="J531" s="43">
        <f>J530+Учет!E531-E531</f>
        <v>1150</v>
      </c>
      <c r="K531" s="43">
        <f>K530+Учет!F531-F531</f>
        <v>500000</v>
      </c>
      <c r="L531" s="45">
        <f>Учет!I531</f>
        <v>349526.07999999996</v>
      </c>
    </row>
    <row r="532" spans="1:12" x14ac:dyDescent="0.25">
      <c r="A532" s="48" t="str">
        <f>IF(Учет!A532&lt;&gt;"",Учет!A532,"")</f>
        <v/>
      </c>
      <c r="B532" s="52">
        <f>IF(Учет!$O532=Справочники!$F$2,Учет!$H532,0)</f>
        <v>0</v>
      </c>
      <c r="C532" s="52">
        <f>IF(Учет!$O532=Справочники!$F$3,Учет!$H532,0)</f>
        <v>0</v>
      </c>
      <c r="D532" s="52">
        <f>IF(Учет!$O532=Справочники!$F$4,Учет!$H532,0)</f>
        <v>0</v>
      </c>
      <c r="E532" s="52">
        <f>IF(Учет!$O532=Справочники!$F$5,Учет!$H532,0)</f>
        <v>0</v>
      </c>
      <c r="F532" s="52">
        <f>IF(Учет!$O532=Справочники!$F$6,Учет!$H532,0)</f>
        <v>0</v>
      </c>
      <c r="G532" s="43">
        <f>G531+Учет!B532-B532</f>
        <v>-488978.92000000004</v>
      </c>
      <c r="H532" s="43">
        <f>H531+Учет!C532-C532</f>
        <v>336855</v>
      </c>
      <c r="I532" s="43">
        <f>I531+Учет!D532-D532</f>
        <v>500</v>
      </c>
      <c r="J532" s="43">
        <f>J531+Учет!E532-E532</f>
        <v>1150</v>
      </c>
      <c r="K532" s="43">
        <f>K531+Учет!F532-F532</f>
        <v>500000</v>
      </c>
      <c r="L532" s="45">
        <f>Учет!I532</f>
        <v>349526.07999999996</v>
      </c>
    </row>
    <row r="533" spans="1:12" x14ac:dyDescent="0.25">
      <c r="A533" s="48" t="str">
        <f>IF(Учет!A533&lt;&gt;"",Учет!A533,"")</f>
        <v/>
      </c>
      <c r="B533" s="52">
        <f>IF(Учет!$O533=Справочники!$F$2,Учет!$H533,0)</f>
        <v>0</v>
      </c>
      <c r="C533" s="52">
        <f>IF(Учет!$O533=Справочники!$F$3,Учет!$H533,0)</f>
        <v>0</v>
      </c>
      <c r="D533" s="52">
        <f>IF(Учет!$O533=Справочники!$F$4,Учет!$H533,0)</f>
        <v>0</v>
      </c>
      <c r="E533" s="52">
        <f>IF(Учет!$O533=Справочники!$F$5,Учет!$H533,0)</f>
        <v>0</v>
      </c>
      <c r="F533" s="52">
        <f>IF(Учет!$O533=Справочники!$F$6,Учет!$H533,0)</f>
        <v>0</v>
      </c>
      <c r="G533" s="43">
        <f>G532+Учет!B533-B533</f>
        <v>-488978.92000000004</v>
      </c>
      <c r="H533" s="43">
        <f>H532+Учет!C533-C533</f>
        <v>336855</v>
      </c>
      <c r="I533" s="43">
        <f>I532+Учет!D533-D533</f>
        <v>500</v>
      </c>
      <c r="J533" s="43">
        <f>J532+Учет!E533-E533</f>
        <v>1150</v>
      </c>
      <c r="K533" s="43">
        <f>K532+Учет!F533-F533</f>
        <v>500000</v>
      </c>
      <c r="L533" s="45">
        <f>Учет!I533</f>
        <v>349526.07999999996</v>
      </c>
    </row>
    <row r="534" spans="1:12" x14ac:dyDescent="0.25">
      <c r="A534" s="48" t="str">
        <f>IF(Учет!A534&lt;&gt;"",Учет!A534,"")</f>
        <v/>
      </c>
      <c r="B534" s="52">
        <f>IF(Учет!$O534=Справочники!$F$2,Учет!$H534,0)</f>
        <v>0</v>
      </c>
      <c r="C534" s="52">
        <f>IF(Учет!$O534=Справочники!$F$3,Учет!$H534,0)</f>
        <v>0</v>
      </c>
      <c r="D534" s="52">
        <f>IF(Учет!$O534=Справочники!$F$4,Учет!$H534,0)</f>
        <v>0</v>
      </c>
      <c r="E534" s="52">
        <f>IF(Учет!$O534=Справочники!$F$5,Учет!$H534,0)</f>
        <v>0</v>
      </c>
      <c r="F534" s="52">
        <f>IF(Учет!$O534=Справочники!$F$6,Учет!$H534,0)</f>
        <v>0</v>
      </c>
      <c r="G534" s="43">
        <f>G533+Учет!B534-B534</f>
        <v>-488978.92000000004</v>
      </c>
      <c r="H534" s="43">
        <f>H533+Учет!C534-C534</f>
        <v>336855</v>
      </c>
      <c r="I534" s="43">
        <f>I533+Учет!D534-D534</f>
        <v>500</v>
      </c>
      <c r="J534" s="43">
        <f>J533+Учет!E534-E534</f>
        <v>1150</v>
      </c>
      <c r="K534" s="43">
        <f>K533+Учет!F534-F534</f>
        <v>500000</v>
      </c>
      <c r="L534" s="45">
        <f>Учет!I534</f>
        <v>349526.07999999996</v>
      </c>
    </row>
    <row r="535" spans="1:12" x14ac:dyDescent="0.25">
      <c r="A535" s="48" t="str">
        <f>IF(Учет!A535&lt;&gt;"",Учет!A535,"")</f>
        <v/>
      </c>
      <c r="B535" s="52">
        <f>IF(Учет!$O535=Справочники!$F$2,Учет!$H535,0)</f>
        <v>0</v>
      </c>
      <c r="C535" s="52">
        <f>IF(Учет!$O535=Справочники!$F$3,Учет!$H535,0)</f>
        <v>0</v>
      </c>
      <c r="D535" s="52">
        <f>IF(Учет!$O535=Справочники!$F$4,Учет!$H535,0)</f>
        <v>0</v>
      </c>
      <c r="E535" s="52">
        <f>IF(Учет!$O535=Справочники!$F$5,Учет!$H535,0)</f>
        <v>0</v>
      </c>
      <c r="F535" s="52">
        <f>IF(Учет!$O535=Справочники!$F$6,Учет!$H535,0)</f>
        <v>0</v>
      </c>
      <c r="G535" s="43">
        <f>G534+Учет!B535-B535</f>
        <v>-488978.92000000004</v>
      </c>
      <c r="H535" s="43">
        <f>H534+Учет!C535-C535</f>
        <v>336855</v>
      </c>
      <c r="I535" s="43">
        <f>I534+Учет!D535-D535</f>
        <v>500</v>
      </c>
      <c r="J535" s="43">
        <f>J534+Учет!E535-E535</f>
        <v>1150</v>
      </c>
      <c r="K535" s="43">
        <f>K534+Учет!F535-F535</f>
        <v>500000</v>
      </c>
      <c r="L535" s="45">
        <f>Учет!I535</f>
        <v>349526.07999999996</v>
      </c>
    </row>
    <row r="536" spans="1:12" x14ac:dyDescent="0.25">
      <c r="A536" s="48" t="str">
        <f>IF(Учет!A536&lt;&gt;"",Учет!A536,"")</f>
        <v/>
      </c>
      <c r="B536" s="52">
        <f>IF(Учет!$O536=Справочники!$F$2,Учет!$H536,0)</f>
        <v>0</v>
      </c>
      <c r="C536" s="52">
        <f>IF(Учет!$O536=Справочники!$F$3,Учет!$H536,0)</f>
        <v>0</v>
      </c>
      <c r="D536" s="52">
        <f>IF(Учет!$O536=Справочники!$F$4,Учет!$H536,0)</f>
        <v>0</v>
      </c>
      <c r="E536" s="52">
        <f>IF(Учет!$O536=Справочники!$F$5,Учет!$H536,0)</f>
        <v>0</v>
      </c>
      <c r="F536" s="52">
        <f>IF(Учет!$O536=Справочники!$F$6,Учет!$H536,0)</f>
        <v>0</v>
      </c>
      <c r="G536" s="43">
        <f>G535+Учет!B536-B536</f>
        <v>-488978.92000000004</v>
      </c>
      <c r="H536" s="43">
        <f>H535+Учет!C536-C536</f>
        <v>336855</v>
      </c>
      <c r="I536" s="43">
        <f>I535+Учет!D536-D536</f>
        <v>500</v>
      </c>
      <c r="J536" s="43">
        <f>J535+Учет!E536-E536</f>
        <v>1150</v>
      </c>
      <c r="K536" s="43">
        <f>K535+Учет!F536-F536</f>
        <v>500000</v>
      </c>
      <c r="L536" s="45">
        <f>Учет!I536</f>
        <v>349526.07999999996</v>
      </c>
    </row>
    <row r="537" spans="1:12" x14ac:dyDescent="0.25">
      <c r="A537" s="48" t="str">
        <f>IF(Учет!A537&lt;&gt;"",Учет!A537,"")</f>
        <v/>
      </c>
      <c r="B537" s="52">
        <f>IF(Учет!$O537=Справочники!$F$2,Учет!$H537,0)</f>
        <v>0</v>
      </c>
      <c r="C537" s="52">
        <f>IF(Учет!$O537=Справочники!$F$3,Учет!$H537,0)</f>
        <v>0</v>
      </c>
      <c r="D537" s="52">
        <f>IF(Учет!$O537=Справочники!$F$4,Учет!$H537,0)</f>
        <v>0</v>
      </c>
      <c r="E537" s="52">
        <f>IF(Учет!$O537=Справочники!$F$5,Учет!$H537,0)</f>
        <v>0</v>
      </c>
      <c r="F537" s="52">
        <f>IF(Учет!$O537=Справочники!$F$6,Учет!$H537,0)</f>
        <v>0</v>
      </c>
      <c r="G537" s="43">
        <f>G536+Учет!B537-B537</f>
        <v>-488978.92000000004</v>
      </c>
      <c r="H537" s="43">
        <f>H536+Учет!C537-C537</f>
        <v>336855</v>
      </c>
      <c r="I537" s="43">
        <f>I536+Учет!D537-D537</f>
        <v>500</v>
      </c>
      <c r="J537" s="43">
        <f>J536+Учет!E537-E537</f>
        <v>1150</v>
      </c>
      <c r="K537" s="43">
        <f>K536+Учет!F537-F537</f>
        <v>500000</v>
      </c>
      <c r="L537" s="45">
        <f>Учет!I537</f>
        <v>349526.07999999996</v>
      </c>
    </row>
    <row r="538" spans="1:12" x14ac:dyDescent="0.25">
      <c r="A538" s="48" t="str">
        <f>IF(Учет!A538&lt;&gt;"",Учет!A538,"")</f>
        <v/>
      </c>
      <c r="B538" s="52">
        <f>IF(Учет!$O538=Справочники!$F$2,Учет!$H538,0)</f>
        <v>0</v>
      </c>
      <c r="C538" s="52">
        <f>IF(Учет!$O538=Справочники!$F$3,Учет!$H538,0)</f>
        <v>0</v>
      </c>
      <c r="D538" s="52">
        <f>IF(Учет!$O538=Справочники!$F$4,Учет!$H538,0)</f>
        <v>0</v>
      </c>
      <c r="E538" s="52">
        <f>IF(Учет!$O538=Справочники!$F$5,Учет!$H538,0)</f>
        <v>0</v>
      </c>
      <c r="F538" s="52">
        <f>IF(Учет!$O538=Справочники!$F$6,Учет!$H538,0)</f>
        <v>0</v>
      </c>
      <c r="G538" s="43">
        <f>G537+Учет!B538-B538</f>
        <v>-488978.92000000004</v>
      </c>
      <c r="H538" s="43">
        <f>H537+Учет!C538-C538</f>
        <v>336855</v>
      </c>
      <c r="I538" s="43">
        <f>I537+Учет!D538-D538</f>
        <v>500</v>
      </c>
      <c r="J538" s="43">
        <f>J537+Учет!E538-E538</f>
        <v>1150</v>
      </c>
      <c r="K538" s="43">
        <f>K537+Учет!F538-F538</f>
        <v>500000</v>
      </c>
      <c r="L538" s="45">
        <f>Учет!I538</f>
        <v>349526.07999999996</v>
      </c>
    </row>
    <row r="539" spans="1:12" x14ac:dyDescent="0.25">
      <c r="A539" s="48" t="str">
        <f>IF(Учет!A539&lt;&gt;"",Учет!A539,"")</f>
        <v/>
      </c>
      <c r="B539" s="52">
        <f>IF(Учет!$O539=Справочники!$F$2,Учет!$H539,0)</f>
        <v>0</v>
      </c>
      <c r="C539" s="52">
        <f>IF(Учет!$O539=Справочники!$F$3,Учет!$H539,0)</f>
        <v>0</v>
      </c>
      <c r="D539" s="52">
        <f>IF(Учет!$O539=Справочники!$F$4,Учет!$H539,0)</f>
        <v>0</v>
      </c>
      <c r="E539" s="52">
        <f>IF(Учет!$O539=Справочники!$F$5,Учет!$H539,0)</f>
        <v>0</v>
      </c>
      <c r="F539" s="52">
        <f>IF(Учет!$O539=Справочники!$F$6,Учет!$H539,0)</f>
        <v>0</v>
      </c>
      <c r="G539" s="43">
        <f>G538+Учет!B539-B539</f>
        <v>-488978.92000000004</v>
      </c>
      <c r="H539" s="43">
        <f>H538+Учет!C539-C539</f>
        <v>336855</v>
      </c>
      <c r="I539" s="43">
        <f>I538+Учет!D539-D539</f>
        <v>500</v>
      </c>
      <c r="J539" s="43">
        <f>J538+Учет!E539-E539</f>
        <v>1150</v>
      </c>
      <c r="K539" s="43">
        <f>K538+Учет!F539-F539</f>
        <v>500000</v>
      </c>
      <c r="L539" s="45">
        <f>Учет!I539</f>
        <v>349526.07999999996</v>
      </c>
    </row>
    <row r="540" spans="1:12" x14ac:dyDescent="0.25">
      <c r="A540" s="48" t="str">
        <f>IF(Учет!A540&lt;&gt;"",Учет!A540,"")</f>
        <v/>
      </c>
      <c r="B540" s="52">
        <f>IF(Учет!$O540=Справочники!$F$2,Учет!$H540,0)</f>
        <v>0</v>
      </c>
      <c r="C540" s="52">
        <f>IF(Учет!$O540=Справочники!$F$3,Учет!$H540,0)</f>
        <v>0</v>
      </c>
      <c r="D540" s="52">
        <f>IF(Учет!$O540=Справочники!$F$4,Учет!$H540,0)</f>
        <v>0</v>
      </c>
      <c r="E540" s="52">
        <f>IF(Учет!$O540=Справочники!$F$5,Учет!$H540,0)</f>
        <v>0</v>
      </c>
      <c r="F540" s="52">
        <f>IF(Учет!$O540=Справочники!$F$6,Учет!$H540,0)</f>
        <v>0</v>
      </c>
      <c r="G540" s="43">
        <f>G539+Учет!B540-B540</f>
        <v>-488978.92000000004</v>
      </c>
      <c r="H540" s="43">
        <f>H539+Учет!C540-C540</f>
        <v>336855</v>
      </c>
      <c r="I540" s="43">
        <f>I539+Учет!D540-D540</f>
        <v>500</v>
      </c>
      <c r="J540" s="43">
        <f>J539+Учет!E540-E540</f>
        <v>1150</v>
      </c>
      <c r="K540" s="43">
        <f>K539+Учет!F540-F540</f>
        <v>500000</v>
      </c>
      <c r="L540" s="45">
        <f>Учет!I540</f>
        <v>349526.07999999996</v>
      </c>
    </row>
    <row r="541" spans="1:12" x14ac:dyDescent="0.25">
      <c r="A541" s="48" t="str">
        <f>IF(Учет!A541&lt;&gt;"",Учет!A541,"")</f>
        <v/>
      </c>
      <c r="B541" s="52">
        <f>IF(Учет!$O541=Справочники!$F$2,Учет!$H541,0)</f>
        <v>0</v>
      </c>
      <c r="C541" s="52">
        <f>IF(Учет!$O541=Справочники!$F$3,Учет!$H541,0)</f>
        <v>0</v>
      </c>
      <c r="D541" s="52">
        <f>IF(Учет!$O541=Справочники!$F$4,Учет!$H541,0)</f>
        <v>0</v>
      </c>
      <c r="E541" s="52">
        <f>IF(Учет!$O541=Справочники!$F$5,Учет!$H541,0)</f>
        <v>0</v>
      </c>
      <c r="F541" s="52">
        <f>IF(Учет!$O541=Справочники!$F$6,Учет!$H541,0)</f>
        <v>0</v>
      </c>
      <c r="G541" s="43">
        <f>G540+Учет!B541-B541</f>
        <v>-488978.92000000004</v>
      </c>
      <c r="H541" s="43">
        <f>H540+Учет!C541-C541</f>
        <v>336855</v>
      </c>
      <c r="I541" s="43">
        <f>I540+Учет!D541-D541</f>
        <v>500</v>
      </c>
      <c r="J541" s="43">
        <f>J540+Учет!E541-E541</f>
        <v>1150</v>
      </c>
      <c r="K541" s="43">
        <f>K540+Учет!F541-F541</f>
        <v>500000</v>
      </c>
      <c r="L541" s="45">
        <f>Учет!I541</f>
        <v>349526.07999999996</v>
      </c>
    </row>
    <row r="542" spans="1:12" x14ac:dyDescent="0.25">
      <c r="A542" s="48" t="str">
        <f>IF(Учет!A542&lt;&gt;"",Учет!A542,"")</f>
        <v/>
      </c>
      <c r="B542" s="52">
        <f>IF(Учет!$O542=Справочники!$F$2,Учет!$H542,0)</f>
        <v>0</v>
      </c>
      <c r="C542" s="52">
        <f>IF(Учет!$O542=Справочники!$F$3,Учет!$H542,0)</f>
        <v>0</v>
      </c>
      <c r="D542" s="52">
        <f>IF(Учет!$O542=Справочники!$F$4,Учет!$H542,0)</f>
        <v>0</v>
      </c>
      <c r="E542" s="52">
        <f>IF(Учет!$O542=Справочники!$F$5,Учет!$H542,0)</f>
        <v>0</v>
      </c>
      <c r="F542" s="52">
        <f>IF(Учет!$O542=Справочники!$F$6,Учет!$H542,0)</f>
        <v>0</v>
      </c>
      <c r="G542" s="43">
        <f>G541+Учет!B542-B542</f>
        <v>-488978.92000000004</v>
      </c>
      <c r="H542" s="43">
        <f>H541+Учет!C542-C542</f>
        <v>336855</v>
      </c>
      <c r="I542" s="43">
        <f>I541+Учет!D542-D542</f>
        <v>500</v>
      </c>
      <c r="J542" s="43">
        <f>J541+Учет!E542-E542</f>
        <v>1150</v>
      </c>
      <c r="K542" s="43">
        <f>K541+Учет!F542-F542</f>
        <v>500000</v>
      </c>
      <c r="L542" s="45">
        <f>Учет!I542</f>
        <v>349526.07999999996</v>
      </c>
    </row>
    <row r="543" spans="1:12" x14ac:dyDescent="0.25">
      <c r="A543" s="48" t="str">
        <f>IF(Учет!A543&lt;&gt;"",Учет!A543,"")</f>
        <v/>
      </c>
      <c r="B543" s="52">
        <f>IF(Учет!$O543=Справочники!$F$2,Учет!$H543,0)</f>
        <v>0</v>
      </c>
      <c r="C543" s="52">
        <f>IF(Учет!$O543=Справочники!$F$3,Учет!$H543,0)</f>
        <v>0</v>
      </c>
      <c r="D543" s="52">
        <f>IF(Учет!$O543=Справочники!$F$4,Учет!$H543,0)</f>
        <v>0</v>
      </c>
      <c r="E543" s="52">
        <f>IF(Учет!$O543=Справочники!$F$5,Учет!$H543,0)</f>
        <v>0</v>
      </c>
      <c r="F543" s="52">
        <f>IF(Учет!$O543=Справочники!$F$6,Учет!$H543,0)</f>
        <v>0</v>
      </c>
      <c r="G543" s="43">
        <f>G542+Учет!B543-B543</f>
        <v>-488978.92000000004</v>
      </c>
      <c r="H543" s="43">
        <f>H542+Учет!C543-C543</f>
        <v>336855</v>
      </c>
      <c r="I543" s="43">
        <f>I542+Учет!D543-D543</f>
        <v>500</v>
      </c>
      <c r="J543" s="43">
        <f>J542+Учет!E543-E543</f>
        <v>1150</v>
      </c>
      <c r="K543" s="43">
        <f>K542+Учет!F543-F543</f>
        <v>500000</v>
      </c>
      <c r="L543" s="45">
        <f>Учет!I543</f>
        <v>349526.07999999996</v>
      </c>
    </row>
    <row r="544" spans="1:12" x14ac:dyDescent="0.25">
      <c r="A544" s="48" t="str">
        <f>IF(Учет!A544&lt;&gt;"",Учет!A544,"")</f>
        <v/>
      </c>
      <c r="B544" s="52">
        <f>IF(Учет!$O544=Справочники!$F$2,Учет!$H544,0)</f>
        <v>0</v>
      </c>
      <c r="C544" s="52">
        <f>IF(Учет!$O544=Справочники!$F$3,Учет!$H544,0)</f>
        <v>0</v>
      </c>
      <c r="D544" s="52">
        <f>IF(Учет!$O544=Справочники!$F$4,Учет!$H544,0)</f>
        <v>0</v>
      </c>
      <c r="E544" s="52">
        <f>IF(Учет!$O544=Справочники!$F$5,Учет!$H544,0)</f>
        <v>0</v>
      </c>
      <c r="F544" s="52">
        <f>IF(Учет!$O544=Справочники!$F$6,Учет!$H544,0)</f>
        <v>0</v>
      </c>
      <c r="G544" s="43">
        <f>G543+Учет!B544-B544</f>
        <v>-488978.92000000004</v>
      </c>
      <c r="H544" s="43">
        <f>H543+Учет!C544-C544</f>
        <v>336855</v>
      </c>
      <c r="I544" s="43">
        <f>I543+Учет!D544-D544</f>
        <v>500</v>
      </c>
      <c r="J544" s="43">
        <f>J543+Учет!E544-E544</f>
        <v>1150</v>
      </c>
      <c r="K544" s="43">
        <f>K543+Учет!F544-F544</f>
        <v>500000</v>
      </c>
      <c r="L544" s="45">
        <f>Учет!I544</f>
        <v>349526.07999999996</v>
      </c>
    </row>
    <row r="545" spans="1:12" x14ac:dyDescent="0.25">
      <c r="A545" s="48" t="str">
        <f>IF(Учет!A545&lt;&gt;"",Учет!A545,"")</f>
        <v/>
      </c>
      <c r="B545" s="52">
        <f>IF(Учет!$O545=Справочники!$F$2,Учет!$H545,0)</f>
        <v>0</v>
      </c>
      <c r="C545" s="52">
        <f>IF(Учет!$O545=Справочники!$F$3,Учет!$H545,0)</f>
        <v>0</v>
      </c>
      <c r="D545" s="52">
        <f>IF(Учет!$O545=Справочники!$F$4,Учет!$H545,0)</f>
        <v>0</v>
      </c>
      <c r="E545" s="52">
        <f>IF(Учет!$O545=Справочники!$F$5,Учет!$H545,0)</f>
        <v>0</v>
      </c>
      <c r="F545" s="52">
        <f>IF(Учет!$O545=Справочники!$F$6,Учет!$H545,0)</f>
        <v>0</v>
      </c>
      <c r="G545" s="43">
        <f>G544+Учет!B545-B545</f>
        <v>-488978.92000000004</v>
      </c>
      <c r="H545" s="43">
        <f>H544+Учет!C545-C545</f>
        <v>336855</v>
      </c>
      <c r="I545" s="43">
        <f>I544+Учет!D545-D545</f>
        <v>500</v>
      </c>
      <c r="J545" s="43">
        <f>J544+Учет!E545-E545</f>
        <v>1150</v>
      </c>
      <c r="K545" s="43">
        <f>K544+Учет!F545-F545</f>
        <v>500000</v>
      </c>
      <c r="L545" s="45">
        <f>Учет!I545</f>
        <v>349526.07999999996</v>
      </c>
    </row>
    <row r="546" spans="1:12" x14ac:dyDescent="0.25">
      <c r="A546" s="48" t="str">
        <f>IF(Учет!A546&lt;&gt;"",Учет!A546,"")</f>
        <v/>
      </c>
      <c r="B546" s="52">
        <f>IF(Учет!$O546=Справочники!$F$2,Учет!$H546,0)</f>
        <v>0</v>
      </c>
      <c r="C546" s="52">
        <f>IF(Учет!$O546=Справочники!$F$3,Учет!$H546,0)</f>
        <v>0</v>
      </c>
      <c r="D546" s="52">
        <f>IF(Учет!$O546=Справочники!$F$4,Учет!$H546,0)</f>
        <v>0</v>
      </c>
      <c r="E546" s="52">
        <f>IF(Учет!$O546=Справочники!$F$5,Учет!$H546,0)</f>
        <v>0</v>
      </c>
      <c r="F546" s="52">
        <f>IF(Учет!$O546=Справочники!$F$6,Учет!$H546,0)</f>
        <v>0</v>
      </c>
      <c r="G546" s="43">
        <f>G545+Учет!B546-B546</f>
        <v>-488978.92000000004</v>
      </c>
      <c r="H546" s="43">
        <f>H545+Учет!C546-C546</f>
        <v>336855</v>
      </c>
      <c r="I546" s="43">
        <f>I545+Учет!D546-D546</f>
        <v>500</v>
      </c>
      <c r="J546" s="43">
        <f>J545+Учет!E546-E546</f>
        <v>1150</v>
      </c>
      <c r="K546" s="43">
        <f>K545+Учет!F546-F546</f>
        <v>500000</v>
      </c>
      <c r="L546" s="45">
        <f>Учет!I546</f>
        <v>349526.07999999996</v>
      </c>
    </row>
    <row r="547" spans="1:12" x14ac:dyDescent="0.25">
      <c r="A547" s="48" t="str">
        <f>IF(Учет!A547&lt;&gt;"",Учет!A547,"")</f>
        <v/>
      </c>
      <c r="B547" s="52">
        <f>IF(Учет!$O547=Справочники!$F$2,Учет!$H547,0)</f>
        <v>0</v>
      </c>
      <c r="C547" s="52">
        <f>IF(Учет!$O547=Справочники!$F$3,Учет!$H547,0)</f>
        <v>0</v>
      </c>
      <c r="D547" s="52">
        <f>IF(Учет!$O547=Справочники!$F$4,Учет!$H547,0)</f>
        <v>0</v>
      </c>
      <c r="E547" s="52">
        <f>IF(Учет!$O547=Справочники!$F$5,Учет!$H547,0)</f>
        <v>0</v>
      </c>
      <c r="F547" s="52">
        <f>IF(Учет!$O547=Справочники!$F$6,Учет!$H547,0)</f>
        <v>0</v>
      </c>
      <c r="G547" s="43">
        <f>G546+Учет!B547-B547</f>
        <v>-488978.92000000004</v>
      </c>
      <c r="H547" s="43">
        <f>H546+Учет!C547-C547</f>
        <v>336855</v>
      </c>
      <c r="I547" s="43">
        <f>I546+Учет!D547-D547</f>
        <v>500</v>
      </c>
      <c r="J547" s="43">
        <f>J546+Учет!E547-E547</f>
        <v>1150</v>
      </c>
      <c r="K547" s="43">
        <f>K546+Учет!F547-F547</f>
        <v>500000</v>
      </c>
      <c r="L547" s="45">
        <f>Учет!I547</f>
        <v>349526.07999999996</v>
      </c>
    </row>
    <row r="548" spans="1:12" x14ac:dyDescent="0.25">
      <c r="A548" s="48" t="str">
        <f>IF(Учет!A548&lt;&gt;"",Учет!A548,"")</f>
        <v/>
      </c>
      <c r="B548" s="52">
        <f>IF(Учет!$O548=Справочники!$F$2,Учет!$H548,0)</f>
        <v>0</v>
      </c>
      <c r="C548" s="52">
        <f>IF(Учет!$O548=Справочники!$F$3,Учет!$H548,0)</f>
        <v>0</v>
      </c>
      <c r="D548" s="52">
        <f>IF(Учет!$O548=Справочники!$F$4,Учет!$H548,0)</f>
        <v>0</v>
      </c>
      <c r="E548" s="52">
        <f>IF(Учет!$O548=Справочники!$F$5,Учет!$H548,0)</f>
        <v>0</v>
      </c>
      <c r="F548" s="52">
        <f>IF(Учет!$O548=Справочники!$F$6,Учет!$H548,0)</f>
        <v>0</v>
      </c>
      <c r="G548" s="43">
        <f>G547+Учет!B548-B548</f>
        <v>-488978.92000000004</v>
      </c>
      <c r="H548" s="43">
        <f>H547+Учет!C548-C548</f>
        <v>336855</v>
      </c>
      <c r="I548" s="43">
        <f>I547+Учет!D548-D548</f>
        <v>500</v>
      </c>
      <c r="J548" s="43">
        <f>J547+Учет!E548-E548</f>
        <v>1150</v>
      </c>
      <c r="K548" s="43">
        <f>K547+Учет!F548-F548</f>
        <v>500000</v>
      </c>
      <c r="L548" s="45">
        <f>Учет!I548</f>
        <v>349526.07999999996</v>
      </c>
    </row>
    <row r="549" spans="1:12" x14ac:dyDescent="0.25">
      <c r="A549" s="48" t="str">
        <f>IF(Учет!A549&lt;&gt;"",Учет!A549,"")</f>
        <v/>
      </c>
      <c r="B549" s="52">
        <f>IF(Учет!$O549=Справочники!$F$2,Учет!$H549,0)</f>
        <v>0</v>
      </c>
      <c r="C549" s="52">
        <f>IF(Учет!$O549=Справочники!$F$3,Учет!$H549,0)</f>
        <v>0</v>
      </c>
      <c r="D549" s="52">
        <f>IF(Учет!$O549=Справочники!$F$4,Учет!$H549,0)</f>
        <v>0</v>
      </c>
      <c r="E549" s="52">
        <f>IF(Учет!$O549=Справочники!$F$5,Учет!$H549,0)</f>
        <v>0</v>
      </c>
      <c r="F549" s="52">
        <f>IF(Учет!$O549=Справочники!$F$6,Учет!$H549,0)</f>
        <v>0</v>
      </c>
      <c r="G549" s="43">
        <f>G548+Учет!B549-B549</f>
        <v>-488978.92000000004</v>
      </c>
      <c r="H549" s="43">
        <f>H548+Учет!C549-C549</f>
        <v>336855</v>
      </c>
      <c r="I549" s="43">
        <f>I548+Учет!D549-D549</f>
        <v>500</v>
      </c>
      <c r="J549" s="43">
        <f>J548+Учет!E549-E549</f>
        <v>1150</v>
      </c>
      <c r="K549" s="43">
        <f>K548+Учет!F549-F549</f>
        <v>500000</v>
      </c>
      <c r="L549" s="45">
        <f>Учет!I549</f>
        <v>349526.07999999996</v>
      </c>
    </row>
    <row r="550" spans="1:12" x14ac:dyDescent="0.25">
      <c r="A550" s="48" t="str">
        <f>IF(Учет!A550&lt;&gt;"",Учет!A550,"")</f>
        <v/>
      </c>
      <c r="B550" s="52">
        <f>IF(Учет!$O550=Справочники!$F$2,Учет!$H550,0)</f>
        <v>0</v>
      </c>
      <c r="C550" s="52">
        <f>IF(Учет!$O550=Справочники!$F$3,Учет!$H550,0)</f>
        <v>0</v>
      </c>
      <c r="D550" s="52">
        <f>IF(Учет!$O550=Справочники!$F$4,Учет!$H550,0)</f>
        <v>0</v>
      </c>
      <c r="E550" s="52">
        <f>IF(Учет!$O550=Справочники!$F$5,Учет!$H550,0)</f>
        <v>0</v>
      </c>
      <c r="F550" s="52">
        <f>IF(Учет!$O550=Справочники!$F$6,Учет!$H550,0)</f>
        <v>0</v>
      </c>
      <c r="G550" s="43">
        <f>G549+Учет!B550-B550</f>
        <v>-488978.92000000004</v>
      </c>
      <c r="H550" s="43">
        <f>H549+Учет!C550-C550</f>
        <v>336855</v>
      </c>
      <c r="I550" s="43">
        <f>I549+Учет!D550-D550</f>
        <v>500</v>
      </c>
      <c r="J550" s="43">
        <f>J549+Учет!E550-E550</f>
        <v>1150</v>
      </c>
      <c r="K550" s="43">
        <f>K549+Учет!F550-F550</f>
        <v>500000</v>
      </c>
      <c r="L550" s="45">
        <f>Учет!I550</f>
        <v>349526.07999999996</v>
      </c>
    </row>
    <row r="551" spans="1:12" x14ac:dyDescent="0.25">
      <c r="A551" s="48" t="str">
        <f>IF(Учет!A551&lt;&gt;"",Учет!A551,"")</f>
        <v/>
      </c>
      <c r="B551" s="52">
        <f>IF(Учет!$O551=Справочники!$F$2,Учет!$H551,0)</f>
        <v>0</v>
      </c>
      <c r="C551" s="52">
        <f>IF(Учет!$O551=Справочники!$F$3,Учет!$H551,0)</f>
        <v>0</v>
      </c>
      <c r="D551" s="52">
        <f>IF(Учет!$O551=Справочники!$F$4,Учет!$H551,0)</f>
        <v>0</v>
      </c>
      <c r="E551" s="52">
        <f>IF(Учет!$O551=Справочники!$F$5,Учет!$H551,0)</f>
        <v>0</v>
      </c>
      <c r="F551" s="52">
        <f>IF(Учет!$O551=Справочники!$F$6,Учет!$H551,0)</f>
        <v>0</v>
      </c>
      <c r="G551" s="43">
        <f>G550+Учет!B551-B551</f>
        <v>-488978.92000000004</v>
      </c>
      <c r="H551" s="43">
        <f>H550+Учет!C551-C551</f>
        <v>336855</v>
      </c>
      <c r="I551" s="43">
        <f>I550+Учет!D551-D551</f>
        <v>500</v>
      </c>
      <c r="J551" s="43">
        <f>J550+Учет!E551-E551</f>
        <v>1150</v>
      </c>
      <c r="K551" s="43">
        <f>K550+Учет!F551-F551</f>
        <v>500000</v>
      </c>
      <c r="L551" s="45">
        <f>Учет!I551</f>
        <v>349526.07999999996</v>
      </c>
    </row>
    <row r="552" spans="1:12" x14ac:dyDescent="0.25">
      <c r="A552" s="48" t="str">
        <f>IF(Учет!A552&lt;&gt;"",Учет!A552,"")</f>
        <v/>
      </c>
      <c r="B552" s="52">
        <f>IF(Учет!$O552=Справочники!$F$2,Учет!$H552,0)</f>
        <v>0</v>
      </c>
      <c r="C552" s="52">
        <f>IF(Учет!$O552=Справочники!$F$3,Учет!$H552,0)</f>
        <v>0</v>
      </c>
      <c r="D552" s="52">
        <f>IF(Учет!$O552=Справочники!$F$4,Учет!$H552,0)</f>
        <v>0</v>
      </c>
      <c r="E552" s="52">
        <f>IF(Учет!$O552=Справочники!$F$5,Учет!$H552,0)</f>
        <v>0</v>
      </c>
      <c r="F552" s="52">
        <f>IF(Учет!$O552=Справочники!$F$6,Учет!$H552,0)</f>
        <v>0</v>
      </c>
      <c r="G552" s="43">
        <f>G551+Учет!B552-B552</f>
        <v>-488978.92000000004</v>
      </c>
      <c r="H552" s="43">
        <f>H551+Учет!C552-C552</f>
        <v>336855</v>
      </c>
      <c r="I552" s="43">
        <f>I551+Учет!D552-D552</f>
        <v>500</v>
      </c>
      <c r="J552" s="43">
        <f>J551+Учет!E552-E552</f>
        <v>1150</v>
      </c>
      <c r="K552" s="43">
        <f>K551+Учет!F552-F552</f>
        <v>500000</v>
      </c>
      <c r="L552" s="45">
        <f>Учет!I552</f>
        <v>349526.07999999996</v>
      </c>
    </row>
    <row r="553" spans="1:12" x14ac:dyDescent="0.25">
      <c r="A553" s="48" t="str">
        <f>IF(Учет!A553&lt;&gt;"",Учет!A553,"")</f>
        <v/>
      </c>
      <c r="B553" s="52">
        <f>IF(Учет!$O553=Справочники!$F$2,Учет!$H553,0)</f>
        <v>0</v>
      </c>
      <c r="C553" s="52">
        <f>IF(Учет!$O553=Справочники!$F$3,Учет!$H553,0)</f>
        <v>0</v>
      </c>
      <c r="D553" s="52">
        <f>IF(Учет!$O553=Справочники!$F$4,Учет!$H553,0)</f>
        <v>0</v>
      </c>
      <c r="E553" s="52">
        <f>IF(Учет!$O553=Справочники!$F$5,Учет!$H553,0)</f>
        <v>0</v>
      </c>
      <c r="F553" s="52">
        <f>IF(Учет!$O553=Справочники!$F$6,Учет!$H553,0)</f>
        <v>0</v>
      </c>
      <c r="G553" s="43">
        <f>G552+Учет!B553-B553</f>
        <v>-488978.92000000004</v>
      </c>
      <c r="H553" s="43">
        <f>H552+Учет!C553-C553</f>
        <v>336855</v>
      </c>
      <c r="I553" s="43">
        <f>I552+Учет!D553-D553</f>
        <v>500</v>
      </c>
      <c r="J553" s="43">
        <f>J552+Учет!E553-E553</f>
        <v>1150</v>
      </c>
      <c r="K553" s="43">
        <f>K552+Учет!F553-F553</f>
        <v>500000</v>
      </c>
      <c r="L553" s="45">
        <f>Учет!I553</f>
        <v>349526.07999999996</v>
      </c>
    </row>
    <row r="554" spans="1:12" x14ac:dyDescent="0.25">
      <c r="A554" s="48" t="str">
        <f>IF(Учет!A554&lt;&gt;"",Учет!A554,"")</f>
        <v/>
      </c>
      <c r="B554" s="52">
        <f>IF(Учет!$O554=Справочники!$F$2,Учет!$H554,0)</f>
        <v>0</v>
      </c>
      <c r="C554" s="52">
        <f>IF(Учет!$O554=Справочники!$F$3,Учет!$H554,0)</f>
        <v>0</v>
      </c>
      <c r="D554" s="52">
        <f>IF(Учет!$O554=Справочники!$F$4,Учет!$H554,0)</f>
        <v>0</v>
      </c>
      <c r="E554" s="52">
        <f>IF(Учет!$O554=Справочники!$F$5,Учет!$H554,0)</f>
        <v>0</v>
      </c>
      <c r="F554" s="52">
        <f>IF(Учет!$O554=Справочники!$F$6,Учет!$H554,0)</f>
        <v>0</v>
      </c>
      <c r="G554" s="43">
        <f>G553+Учет!B554-B554</f>
        <v>-488978.92000000004</v>
      </c>
      <c r="H554" s="43">
        <f>H553+Учет!C554-C554</f>
        <v>336855</v>
      </c>
      <c r="I554" s="43">
        <f>I553+Учет!D554-D554</f>
        <v>500</v>
      </c>
      <c r="J554" s="43">
        <f>J553+Учет!E554-E554</f>
        <v>1150</v>
      </c>
      <c r="K554" s="43">
        <f>K553+Учет!F554-F554</f>
        <v>500000</v>
      </c>
      <c r="L554" s="45">
        <f>Учет!I554</f>
        <v>349526.07999999996</v>
      </c>
    </row>
    <row r="555" spans="1:12" x14ac:dyDescent="0.25">
      <c r="A555" s="48" t="str">
        <f>IF(Учет!A555&lt;&gt;"",Учет!A555,"")</f>
        <v/>
      </c>
      <c r="B555" s="52">
        <f>IF(Учет!$O555=Справочники!$F$2,Учет!$H555,0)</f>
        <v>0</v>
      </c>
      <c r="C555" s="52">
        <f>IF(Учет!$O555=Справочники!$F$3,Учет!$H555,0)</f>
        <v>0</v>
      </c>
      <c r="D555" s="52">
        <f>IF(Учет!$O555=Справочники!$F$4,Учет!$H555,0)</f>
        <v>0</v>
      </c>
      <c r="E555" s="52">
        <f>IF(Учет!$O555=Справочники!$F$5,Учет!$H555,0)</f>
        <v>0</v>
      </c>
      <c r="F555" s="52">
        <f>IF(Учет!$O555=Справочники!$F$6,Учет!$H555,0)</f>
        <v>0</v>
      </c>
      <c r="G555" s="43">
        <f>G554+Учет!B555-B555</f>
        <v>-488978.92000000004</v>
      </c>
      <c r="H555" s="43">
        <f>H554+Учет!C555-C555</f>
        <v>336855</v>
      </c>
      <c r="I555" s="43">
        <f>I554+Учет!D555-D555</f>
        <v>500</v>
      </c>
      <c r="J555" s="43">
        <f>J554+Учет!E555-E555</f>
        <v>1150</v>
      </c>
      <c r="K555" s="43">
        <f>K554+Учет!F555-F555</f>
        <v>500000</v>
      </c>
      <c r="L555" s="45">
        <f>Учет!I555</f>
        <v>349526.07999999996</v>
      </c>
    </row>
    <row r="556" spans="1:12" x14ac:dyDescent="0.25">
      <c r="A556" s="48" t="str">
        <f>IF(Учет!A556&lt;&gt;"",Учет!A556,"")</f>
        <v/>
      </c>
      <c r="B556" s="52">
        <f>IF(Учет!$O556=Справочники!$F$2,Учет!$H556,0)</f>
        <v>0</v>
      </c>
      <c r="C556" s="52">
        <f>IF(Учет!$O556=Справочники!$F$3,Учет!$H556,0)</f>
        <v>0</v>
      </c>
      <c r="D556" s="52">
        <f>IF(Учет!$O556=Справочники!$F$4,Учет!$H556,0)</f>
        <v>0</v>
      </c>
      <c r="E556" s="52">
        <f>IF(Учет!$O556=Справочники!$F$5,Учет!$H556,0)</f>
        <v>0</v>
      </c>
      <c r="F556" s="52">
        <f>IF(Учет!$O556=Справочники!$F$6,Учет!$H556,0)</f>
        <v>0</v>
      </c>
      <c r="G556" s="43">
        <f>G555+Учет!B556-B556</f>
        <v>-488978.92000000004</v>
      </c>
      <c r="H556" s="43">
        <f>H555+Учет!C556-C556</f>
        <v>336855</v>
      </c>
      <c r="I556" s="43">
        <f>I555+Учет!D556-D556</f>
        <v>500</v>
      </c>
      <c r="J556" s="43">
        <f>J555+Учет!E556-E556</f>
        <v>1150</v>
      </c>
      <c r="K556" s="43">
        <f>K555+Учет!F556-F556</f>
        <v>500000</v>
      </c>
      <c r="L556" s="45">
        <f>Учет!I556</f>
        <v>349526.07999999996</v>
      </c>
    </row>
    <row r="557" spans="1:12" x14ac:dyDescent="0.25">
      <c r="A557" s="48" t="str">
        <f>IF(Учет!A557&lt;&gt;"",Учет!A557,"")</f>
        <v/>
      </c>
      <c r="B557" s="52">
        <f>IF(Учет!$O557=Справочники!$F$2,Учет!$H557,0)</f>
        <v>0</v>
      </c>
      <c r="C557" s="52">
        <f>IF(Учет!$O557=Справочники!$F$3,Учет!$H557,0)</f>
        <v>0</v>
      </c>
      <c r="D557" s="52">
        <f>IF(Учет!$O557=Справочники!$F$4,Учет!$H557,0)</f>
        <v>0</v>
      </c>
      <c r="E557" s="52">
        <f>IF(Учет!$O557=Справочники!$F$5,Учет!$H557,0)</f>
        <v>0</v>
      </c>
      <c r="F557" s="52">
        <f>IF(Учет!$O557=Справочники!$F$6,Учет!$H557,0)</f>
        <v>0</v>
      </c>
      <c r="G557" s="43">
        <f>G556+Учет!B557-B557</f>
        <v>-488978.92000000004</v>
      </c>
      <c r="H557" s="43">
        <f>H556+Учет!C557-C557</f>
        <v>336855</v>
      </c>
      <c r="I557" s="43">
        <f>I556+Учет!D557-D557</f>
        <v>500</v>
      </c>
      <c r="J557" s="43">
        <f>J556+Учет!E557-E557</f>
        <v>1150</v>
      </c>
      <c r="K557" s="43">
        <f>K556+Учет!F557-F557</f>
        <v>500000</v>
      </c>
      <c r="L557" s="45">
        <f>Учет!I557</f>
        <v>349526.07999999996</v>
      </c>
    </row>
    <row r="558" spans="1:12" x14ac:dyDescent="0.25">
      <c r="A558" s="48" t="str">
        <f>IF(Учет!A558&lt;&gt;"",Учет!A558,"")</f>
        <v/>
      </c>
      <c r="B558" s="52">
        <f>IF(Учет!$O558=Справочники!$F$2,Учет!$H558,0)</f>
        <v>0</v>
      </c>
      <c r="C558" s="52">
        <f>IF(Учет!$O558=Справочники!$F$3,Учет!$H558,0)</f>
        <v>0</v>
      </c>
      <c r="D558" s="52">
        <f>IF(Учет!$O558=Справочники!$F$4,Учет!$H558,0)</f>
        <v>0</v>
      </c>
      <c r="E558" s="52">
        <f>IF(Учет!$O558=Справочники!$F$5,Учет!$H558,0)</f>
        <v>0</v>
      </c>
      <c r="F558" s="52">
        <f>IF(Учет!$O558=Справочники!$F$6,Учет!$H558,0)</f>
        <v>0</v>
      </c>
      <c r="G558" s="43">
        <f>G557+Учет!B558-B558</f>
        <v>-488978.92000000004</v>
      </c>
      <c r="H558" s="43">
        <f>H557+Учет!C558-C558</f>
        <v>336855</v>
      </c>
      <c r="I558" s="43">
        <f>I557+Учет!D558-D558</f>
        <v>500</v>
      </c>
      <c r="J558" s="43">
        <f>J557+Учет!E558-E558</f>
        <v>1150</v>
      </c>
      <c r="K558" s="43">
        <f>K557+Учет!F558-F558</f>
        <v>500000</v>
      </c>
      <c r="L558" s="45">
        <f>Учет!I558</f>
        <v>349526.07999999996</v>
      </c>
    </row>
    <row r="559" spans="1:12" x14ac:dyDescent="0.25">
      <c r="A559" s="48" t="str">
        <f>IF(Учет!A559&lt;&gt;"",Учет!A559,"")</f>
        <v/>
      </c>
      <c r="B559" s="52">
        <f>IF(Учет!$O559=Справочники!$F$2,Учет!$H559,0)</f>
        <v>0</v>
      </c>
      <c r="C559" s="52">
        <f>IF(Учет!$O559=Справочники!$F$3,Учет!$H559,0)</f>
        <v>0</v>
      </c>
      <c r="D559" s="52">
        <f>IF(Учет!$O559=Справочники!$F$4,Учет!$H559,0)</f>
        <v>0</v>
      </c>
      <c r="E559" s="52">
        <f>IF(Учет!$O559=Справочники!$F$5,Учет!$H559,0)</f>
        <v>0</v>
      </c>
      <c r="F559" s="52">
        <f>IF(Учет!$O559=Справочники!$F$6,Учет!$H559,0)</f>
        <v>0</v>
      </c>
      <c r="G559" s="43">
        <f>G558+Учет!B559-B559</f>
        <v>-488978.92000000004</v>
      </c>
      <c r="H559" s="43">
        <f>H558+Учет!C559-C559</f>
        <v>336855</v>
      </c>
      <c r="I559" s="43">
        <f>I558+Учет!D559-D559</f>
        <v>500</v>
      </c>
      <c r="J559" s="43">
        <f>J558+Учет!E559-E559</f>
        <v>1150</v>
      </c>
      <c r="K559" s="43">
        <f>K558+Учет!F559-F559</f>
        <v>500000</v>
      </c>
      <c r="L559" s="45">
        <f>Учет!I559</f>
        <v>349526.07999999996</v>
      </c>
    </row>
    <row r="560" spans="1:12" x14ac:dyDescent="0.25">
      <c r="A560" s="48" t="str">
        <f>IF(Учет!A560&lt;&gt;"",Учет!A560,"")</f>
        <v/>
      </c>
      <c r="B560" s="52">
        <f>IF(Учет!$O560=Справочники!$F$2,Учет!$H560,0)</f>
        <v>0</v>
      </c>
      <c r="C560" s="52">
        <f>IF(Учет!$O560=Справочники!$F$3,Учет!$H560,0)</f>
        <v>0</v>
      </c>
      <c r="D560" s="52">
        <f>IF(Учет!$O560=Справочники!$F$4,Учет!$H560,0)</f>
        <v>0</v>
      </c>
      <c r="E560" s="52">
        <f>IF(Учет!$O560=Справочники!$F$5,Учет!$H560,0)</f>
        <v>0</v>
      </c>
      <c r="F560" s="52">
        <f>IF(Учет!$O560=Справочники!$F$6,Учет!$H560,0)</f>
        <v>0</v>
      </c>
      <c r="G560" s="43">
        <f>G559+Учет!B560-B560</f>
        <v>-488978.92000000004</v>
      </c>
      <c r="H560" s="43">
        <f>H559+Учет!C560-C560</f>
        <v>336855</v>
      </c>
      <c r="I560" s="43">
        <f>I559+Учет!D560-D560</f>
        <v>500</v>
      </c>
      <c r="J560" s="43">
        <f>J559+Учет!E560-E560</f>
        <v>1150</v>
      </c>
      <c r="K560" s="43">
        <f>K559+Учет!F560-F560</f>
        <v>500000</v>
      </c>
      <c r="L560" s="45">
        <f>Учет!I560</f>
        <v>349526.07999999996</v>
      </c>
    </row>
    <row r="561" spans="1:12" x14ac:dyDescent="0.25">
      <c r="A561" s="48" t="str">
        <f>IF(Учет!A561&lt;&gt;"",Учет!A561,"")</f>
        <v/>
      </c>
      <c r="B561" s="52">
        <f>IF(Учет!$O561=Справочники!$F$2,Учет!$H561,0)</f>
        <v>0</v>
      </c>
      <c r="C561" s="52">
        <f>IF(Учет!$O561=Справочники!$F$3,Учет!$H561,0)</f>
        <v>0</v>
      </c>
      <c r="D561" s="52">
        <f>IF(Учет!$O561=Справочники!$F$4,Учет!$H561,0)</f>
        <v>0</v>
      </c>
      <c r="E561" s="52">
        <f>IF(Учет!$O561=Справочники!$F$5,Учет!$H561,0)</f>
        <v>0</v>
      </c>
      <c r="F561" s="52">
        <f>IF(Учет!$O561=Справочники!$F$6,Учет!$H561,0)</f>
        <v>0</v>
      </c>
      <c r="G561" s="43">
        <f>G560+Учет!B561-B561</f>
        <v>-488978.92000000004</v>
      </c>
      <c r="H561" s="43">
        <f>H560+Учет!C561-C561</f>
        <v>336855</v>
      </c>
      <c r="I561" s="43">
        <f>I560+Учет!D561-D561</f>
        <v>500</v>
      </c>
      <c r="J561" s="43">
        <f>J560+Учет!E561-E561</f>
        <v>1150</v>
      </c>
      <c r="K561" s="43">
        <f>K560+Учет!F561-F561</f>
        <v>500000</v>
      </c>
      <c r="L561" s="45">
        <f>Учет!I561</f>
        <v>349526.07999999996</v>
      </c>
    </row>
    <row r="562" spans="1:12" x14ac:dyDescent="0.25">
      <c r="A562" s="48" t="str">
        <f>IF(Учет!A562&lt;&gt;"",Учет!A562,"")</f>
        <v/>
      </c>
      <c r="B562" s="52">
        <f>IF(Учет!$O562=Справочники!$F$2,Учет!$H562,0)</f>
        <v>0</v>
      </c>
      <c r="C562" s="52">
        <f>IF(Учет!$O562=Справочники!$F$3,Учет!$H562,0)</f>
        <v>0</v>
      </c>
      <c r="D562" s="52">
        <f>IF(Учет!$O562=Справочники!$F$4,Учет!$H562,0)</f>
        <v>0</v>
      </c>
      <c r="E562" s="52">
        <f>IF(Учет!$O562=Справочники!$F$5,Учет!$H562,0)</f>
        <v>0</v>
      </c>
      <c r="F562" s="52">
        <f>IF(Учет!$O562=Справочники!$F$6,Учет!$H562,0)</f>
        <v>0</v>
      </c>
      <c r="G562" s="43">
        <f>G561+Учет!B562-B562</f>
        <v>-488978.92000000004</v>
      </c>
      <c r="H562" s="43">
        <f>H561+Учет!C562-C562</f>
        <v>336855</v>
      </c>
      <c r="I562" s="43">
        <f>I561+Учет!D562-D562</f>
        <v>500</v>
      </c>
      <c r="J562" s="43">
        <f>J561+Учет!E562-E562</f>
        <v>1150</v>
      </c>
      <c r="K562" s="43">
        <f>K561+Учет!F562-F562</f>
        <v>500000</v>
      </c>
      <c r="L562" s="45">
        <f>Учет!I562</f>
        <v>349526.07999999996</v>
      </c>
    </row>
    <row r="563" spans="1:12" x14ac:dyDescent="0.25">
      <c r="A563" s="48" t="str">
        <f>IF(Учет!A563&lt;&gt;"",Учет!A563,"")</f>
        <v/>
      </c>
      <c r="B563" s="52">
        <f>IF(Учет!$O563=Справочники!$F$2,Учет!$H563,0)</f>
        <v>0</v>
      </c>
      <c r="C563" s="52">
        <f>IF(Учет!$O563=Справочники!$F$3,Учет!$H563,0)</f>
        <v>0</v>
      </c>
      <c r="D563" s="52">
        <f>IF(Учет!$O563=Справочники!$F$4,Учет!$H563,0)</f>
        <v>0</v>
      </c>
      <c r="E563" s="52">
        <f>IF(Учет!$O563=Справочники!$F$5,Учет!$H563,0)</f>
        <v>0</v>
      </c>
      <c r="F563" s="52">
        <f>IF(Учет!$O563=Справочники!$F$6,Учет!$H563,0)</f>
        <v>0</v>
      </c>
      <c r="G563" s="43">
        <f>G562+Учет!B563-B563</f>
        <v>-488978.92000000004</v>
      </c>
      <c r="H563" s="43">
        <f>H562+Учет!C563-C563</f>
        <v>336855</v>
      </c>
      <c r="I563" s="43">
        <f>I562+Учет!D563-D563</f>
        <v>500</v>
      </c>
      <c r="J563" s="43">
        <f>J562+Учет!E563-E563</f>
        <v>1150</v>
      </c>
      <c r="K563" s="43">
        <f>K562+Учет!F563-F563</f>
        <v>500000</v>
      </c>
      <c r="L563" s="45">
        <f>Учет!I563</f>
        <v>349526.07999999996</v>
      </c>
    </row>
    <row r="564" spans="1:12" x14ac:dyDescent="0.25">
      <c r="A564" s="48" t="str">
        <f>IF(Учет!A564&lt;&gt;"",Учет!A564,"")</f>
        <v/>
      </c>
      <c r="B564" s="52">
        <f>IF(Учет!$O564=Справочники!$F$2,Учет!$H564,0)</f>
        <v>0</v>
      </c>
      <c r="C564" s="52">
        <f>IF(Учет!$O564=Справочники!$F$3,Учет!$H564,0)</f>
        <v>0</v>
      </c>
      <c r="D564" s="52">
        <f>IF(Учет!$O564=Справочники!$F$4,Учет!$H564,0)</f>
        <v>0</v>
      </c>
      <c r="E564" s="52">
        <f>IF(Учет!$O564=Справочники!$F$5,Учет!$H564,0)</f>
        <v>0</v>
      </c>
      <c r="F564" s="52">
        <f>IF(Учет!$O564=Справочники!$F$6,Учет!$H564,0)</f>
        <v>0</v>
      </c>
      <c r="G564" s="43">
        <f>G563+Учет!B564-B564</f>
        <v>-488978.92000000004</v>
      </c>
      <c r="H564" s="43">
        <f>H563+Учет!C564-C564</f>
        <v>336855</v>
      </c>
      <c r="I564" s="43">
        <f>I563+Учет!D564-D564</f>
        <v>500</v>
      </c>
      <c r="J564" s="43">
        <f>J563+Учет!E564-E564</f>
        <v>1150</v>
      </c>
      <c r="K564" s="43">
        <f>K563+Учет!F564-F564</f>
        <v>500000</v>
      </c>
      <c r="L564" s="45">
        <f>Учет!I564</f>
        <v>349526.07999999996</v>
      </c>
    </row>
    <row r="565" spans="1:12" x14ac:dyDescent="0.25">
      <c r="A565" s="48" t="str">
        <f>IF(Учет!A565&lt;&gt;"",Учет!A565,"")</f>
        <v/>
      </c>
      <c r="B565" s="52">
        <f>IF(Учет!$O565=Справочники!$F$2,Учет!$H565,0)</f>
        <v>0</v>
      </c>
      <c r="C565" s="52">
        <f>IF(Учет!$O565=Справочники!$F$3,Учет!$H565,0)</f>
        <v>0</v>
      </c>
      <c r="D565" s="52">
        <f>IF(Учет!$O565=Справочники!$F$4,Учет!$H565,0)</f>
        <v>0</v>
      </c>
      <c r="E565" s="52">
        <f>IF(Учет!$O565=Справочники!$F$5,Учет!$H565,0)</f>
        <v>0</v>
      </c>
      <c r="F565" s="52">
        <f>IF(Учет!$O565=Справочники!$F$6,Учет!$H565,0)</f>
        <v>0</v>
      </c>
      <c r="G565" s="43">
        <f>G564+Учет!B565-B565</f>
        <v>-488978.92000000004</v>
      </c>
      <c r="H565" s="43">
        <f>H564+Учет!C565-C565</f>
        <v>336855</v>
      </c>
      <c r="I565" s="43">
        <f>I564+Учет!D565-D565</f>
        <v>500</v>
      </c>
      <c r="J565" s="43">
        <f>J564+Учет!E565-E565</f>
        <v>1150</v>
      </c>
      <c r="K565" s="43">
        <f>K564+Учет!F565-F565</f>
        <v>500000</v>
      </c>
      <c r="L565" s="45">
        <f>Учет!I565</f>
        <v>349526.07999999996</v>
      </c>
    </row>
    <row r="566" spans="1:12" x14ac:dyDescent="0.25">
      <c r="A566" s="48" t="str">
        <f>IF(Учет!A566&lt;&gt;"",Учет!A566,"")</f>
        <v/>
      </c>
      <c r="B566" s="52">
        <f>IF(Учет!$O566=Справочники!$F$2,Учет!$H566,0)</f>
        <v>0</v>
      </c>
      <c r="C566" s="52">
        <f>IF(Учет!$O566=Справочники!$F$3,Учет!$H566,0)</f>
        <v>0</v>
      </c>
      <c r="D566" s="52">
        <f>IF(Учет!$O566=Справочники!$F$4,Учет!$H566,0)</f>
        <v>0</v>
      </c>
      <c r="E566" s="52">
        <f>IF(Учет!$O566=Справочники!$F$5,Учет!$H566,0)</f>
        <v>0</v>
      </c>
      <c r="F566" s="52">
        <f>IF(Учет!$O566=Справочники!$F$6,Учет!$H566,0)</f>
        <v>0</v>
      </c>
      <c r="G566" s="43">
        <f>G565+Учет!B566-B566</f>
        <v>-488978.92000000004</v>
      </c>
      <c r="H566" s="43">
        <f>H565+Учет!C566-C566</f>
        <v>336855</v>
      </c>
      <c r="I566" s="43">
        <f>I565+Учет!D566-D566</f>
        <v>500</v>
      </c>
      <c r="J566" s="43">
        <f>J565+Учет!E566-E566</f>
        <v>1150</v>
      </c>
      <c r="K566" s="43">
        <f>K565+Учет!F566-F566</f>
        <v>500000</v>
      </c>
      <c r="L566" s="45">
        <f>Учет!I566</f>
        <v>349526.07999999996</v>
      </c>
    </row>
    <row r="567" spans="1:12" x14ac:dyDescent="0.25">
      <c r="A567" s="48" t="str">
        <f>IF(Учет!A567&lt;&gt;"",Учет!A567,"")</f>
        <v/>
      </c>
      <c r="B567" s="52">
        <f>IF(Учет!$O567=Справочники!$F$2,Учет!$H567,0)</f>
        <v>0</v>
      </c>
      <c r="C567" s="52">
        <f>IF(Учет!$O567=Справочники!$F$3,Учет!$H567,0)</f>
        <v>0</v>
      </c>
      <c r="D567" s="52">
        <f>IF(Учет!$O567=Справочники!$F$4,Учет!$H567,0)</f>
        <v>0</v>
      </c>
      <c r="E567" s="52">
        <f>IF(Учет!$O567=Справочники!$F$5,Учет!$H567,0)</f>
        <v>0</v>
      </c>
      <c r="F567" s="52">
        <f>IF(Учет!$O567=Справочники!$F$6,Учет!$H567,0)</f>
        <v>0</v>
      </c>
      <c r="G567" s="43">
        <f>G566+Учет!B567-B567</f>
        <v>-488978.92000000004</v>
      </c>
      <c r="H567" s="43">
        <f>H566+Учет!C567-C567</f>
        <v>336855</v>
      </c>
      <c r="I567" s="43">
        <f>I566+Учет!D567-D567</f>
        <v>500</v>
      </c>
      <c r="J567" s="43">
        <f>J566+Учет!E567-E567</f>
        <v>1150</v>
      </c>
      <c r="K567" s="43">
        <f>K566+Учет!F567-F567</f>
        <v>500000</v>
      </c>
      <c r="L567" s="45">
        <f>Учет!I567</f>
        <v>349526.07999999996</v>
      </c>
    </row>
    <row r="568" spans="1:12" x14ac:dyDescent="0.25">
      <c r="A568" s="48" t="str">
        <f>IF(Учет!A568&lt;&gt;"",Учет!A568,"")</f>
        <v/>
      </c>
      <c r="B568" s="52">
        <f>IF(Учет!$O568=Справочники!$F$2,Учет!$H568,0)</f>
        <v>0</v>
      </c>
      <c r="C568" s="52">
        <f>IF(Учет!$O568=Справочники!$F$3,Учет!$H568,0)</f>
        <v>0</v>
      </c>
      <c r="D568" s="52">
        <f>IF(Учет!$O568=Справочники!$F$4,Учет!$H568,0)</f>
        <v>0</v>
      </c>
      <c r="E568" s="52">
        <f>IF(Учет!$O568=Справочники!$F$5,Учет!$H568,0)</f>
        <v>0</v>
      </c>
      <c r="F568" s="52">
        <f>IF(Учет!$O568=Справочники!$F$6,Учет!$H568,0)</f>
        <v>0</v>
      </c>
      <c r="G568" s="43">
        <f>G567+Учет!B568-B568</f>
        <v>-488978.92000000004</v>
      </c>
      <c r="H568" s="43">
        <f>H567+Учет!C568-C568</f>
        <v>336855</v>
      </c>
      <c r="I568" s="43">
        <f>I567+Учет!D568-D568</f>
        <v>500</v>
      </c>
      <c r="J568" s="43">
        <f>J567+Учет!E568-E568</f>
        <v>1150</v>
      </c>
      <c r="K568" s="43">
        <f>K567+Учет!F568-F568</f>
        <v>500000</v>
      </c>
      <c r="L568" s="45">
        <f>Учет!I568</f>
        <v>349526.07999999996</v>
      </c>
    </row>
    <row r="569" spans="1:12" x14ac:dyDescent="0.25">
      <c r="A569" s="48" t="str">
        <f>IF(Учет!A569&lt;&gt;"",Учет!A569,"")</f>
        <v/>
      </c>
      <c r="B569" s="52">
        <f>IF(Учет!$O569=Справочники!$F$2,Учет!$H569,0)</f>
        <v>0</v>
      </c>
      <c r="C569" s="52">
        <f>IF(Учет!$O569=Справочники!$F$3,Учет!$H569,0)</f>
        <v>0</v>
      </c>
      <c r="D569" s="52">
        <f>IF(Учет!$O569=Справочники!$F$4,Учет!$H569,0)</f>
        <v>0</v>
      </c>
      <c r="E569" s="52">
        <f>IF(Учет!$O569=Справочники!$F$5,Учет!$H569,0)</f>
        <v>0</v>
      </c>
      <c r="F569" s="52">
        <f>IF(Учет!$O569=Справочники!$F$6,Учет!$H569,0)</f>
        <v>0</v>
      </c>
      <c r="G569" s="43">
        <f>G568+Учет!B569-B569</f>
        <v>-488978.92000000004</v>
      </c>
      <c r="H569" s="43">
        <f>H568+Учет!C569-C569</f>
        <v>336855</v>
      </c>
      <c r="I569" s="43">
        <f>I568+Учет!D569-D569</f>
        <v>500</v>
      </c>
      <c r="J569" s="43">
        <f>J568+Учет!E569-E569</f>
        <v>1150</v>
      </c>
      <c r="K569" s="43">
        <f>K568+Учет!F569-F569</f>
        <v>500000</v>
      </c>
      <c r="L569" s="45">
        <f>Учет!I569</f>
        <v>349526.07999999996</v>
      </c>
    </row>
    <row r="570" spans="1:12" x14ac:dyDescent="0.25">
      <c r="A570" s="48" t="str">
        <f>IF(Учет!A570&lt;&gt;"",Учет!A570,"")</f>
        <v/>
      </c>
      <c r="B570" s="52">
        <f>IF(Учет!$O570=Справочники!$F$2,Учет!$H570,0)</f>
        <v>0</v>
      </c>
      <c r="C570" s="52">
        <f>IF(Учет!$O570=Справочники!$F$3,Учет!$H570,0)</f>
        <v>0</v>
      </c>
      <c r="D570" s="52">
        <f>IF(Учет!$O570=Справочники!$F$4,Учет!$H570,0)</f>
        <v>0</v>
      </c>
      <c r="E570" s="52">
        <f>IF(Учет!$O570=Справочники!$F$5,Учет!$H570,0)</f>
        <v>0</v>
      </c>
      <c r="F570" s="52">
        <f>IF(Учет!$O570=Справочники!$F$6,Учет!$H570,0)</f>
        <v>0</v>
      </c>
      <c r="G570" s="43">
        <f>G569+Учет!B570-B570</f>
        <v>-488978.92000000004</v>
      </c>
      <c r="H570" s="43">
        <f>H569+Учет!C570-C570</f>
        <v>336855</v>
      </c>
      <c r="I570" s="43">
        <f>I569+Учет!D570-D570</f>
        <v>500</v>
      </c>
      <c r="J570" s="43">
        <f>J569+Учет!E570-E570</f>
        <v>1150</v>
      </c>
      <c r="K570" s="43">
        <f>K569+Учет!F570-F570</f>
        <v>500000</v>
      </c>
      <c r="L570" s="45">
        <f>Учет!I570</f>
        <v>349526.07999999996</v>
      </c>
    </row>
    <row r="571" spans="1:12" x14ac:dyDescent="0.25">
      <c r="A571" s="48" t="str">
        <f>IF(Учет!A571&lt;&gt;"",Учет!A571,"")</f>
        <v/>
      </c>
      <c r="B571" s="52">
        <f>IF(Учет!$O571=Справочники!$F$2,Учет!$H571,0)</f>
        <v>0</v>
      </c>
      <c r="C571" s="52">
        <f>IF(Учет!$O571=Справочники!$F$3,Учет!$H571,0)</f>
        <v>0</v>
      </c>
      <c r="D571" s="52">
        <f>IF(Учет!$O571=Справочники!$F$4,Учет!$H571,0)</f>
        <v>0</v>
      </c>
      <c r="E571" s="52">
        <f>IF(Учет!$O571=Справочники!$F$5,Учет!$H571,0)</f>
        <v>0</v>
      </c>
      <c r="F571" s="52">
        <f>IF(Учет!$O571=Справочники!$F$6,Учет!$H571,0)</f>
        <v>0</v>
      </c>
      <c r="G571" s="43">
        <f>G570+Учет!B571-B571</f>
        <v>-488978.92000000004</v>
      </c>
      <c r="H571" s="43">
        <f>H570+Учет!C571-C571</f>
        <v>336855</v>
      </c>
      <c r="I571" s="43">
        <f>I570+Учет!D571-D571</f>
        <v>500</v>
      </c>
      <c r="J571" s="43">
        <f>J570+Учет!E571-E571</f>
        <v>1150</v>
      </c>
      <c r="K571" s="43">
        <f>K570+Учет!F571-F571</f>
        <v>500000</v>
      </c>
      <c r="L571" s="45">
        <f>Учет!I571</f>
        <v>349526.07999999996</v>
      </c>
    </row>
    <row r="572" spans="1:12" x14ac:dyDescent="0.25">
      <c r="A572" s="48" t="str">
        <f>IF(Учет!A572&lt;&gt;"",Учет!A572,"")</f>
        <v/>
      </c>
      <c r="B572" s="52">
        <f>IF(Учет!$O572=Справочники!$F$2,Учет!$H572,0)</f>
        <v>0</v>
      </c>
      <c r="C572" s="52">
        <f>IF(Учет!$O572=Справочники!$F$3,Учет!$H572,0)</f>
        <v>0</v>
      </c>
      <c r="D572" s="52">
        <f>IF(Учет!$O572=Справочники!$F$4,Учет!$H572,0)</f>
        <v>0</v>
      </c>
      <c r="E572" s="52">
        <f>IF(Учет!$O572=Справочники!$F$5,Учет!$H572,0)</f>
        <v>0</v>
      </c>
      <c r="F572" s="52">
        <f>IF(Учет!$O572=Справочники!$F$6,Учет!$H572,0)</f>
        <v>0</v>
      </c>
      <c r="G572" s="43">
        <f>G571+Учет!B572-B572</f>
        <v>-488978.92000000004</v>
      </c>
      <c r="H572" s="43">
        <f>H571+Учет!C572-C572</f>
        <v>336855</v>
      </c>
      <c r="I572" s="43">
        <f>I571+Учет!D572-D572</f>
        <v>500</v>
      </c>
      <c r="J572" s="43">
        <f>J571+Учет!E572-E572</f>
        <v>1150</v>
      </c>
      <c r="K572" s="43">
        <f>K571+Учет!F572-F572</f>
        <v>500000</v>
      </c>
      <c r="L572" s="45">
        <f>Учет!I572</f>
        <v>349526.07999999996</v>
      </c>
    </row>
    <row r="573" spans="1:12" x14ac:dyDescent="0.25">
      <c r="A573" s="48" t="str">
        <f>IF(Учет!A573&lt;&gt;"",Учет!A573,"")</f>
        <v/>
      </c>
      <c r="B573" s="52">
        <f>IF(Учет!$O573=Справочники!$F$2,Учет!$H573,0)</f>
        <v>0</v>
      </c>
      <c r="C573" s="52">
        <f>IF(Учет!$O573=Справочники!$F$3,Учет!$H573,0)</f>
        <v>0</v>
      </c>
      <c r="D573" s="52">
        <f>IF(Учет!$O573=Справочники!$F$4,Учет!$H573,0)</f>
        <v>0</v>
      </c>
      <c r="E573" s="52">
        <f>IF(Учет!$O573=Справочники!$F$5,Учет!$H573,0)</f>
        <v>0</v>
      </c>
      <c r="F573" s="52">
        <f>IF(Учет!$O573=Справочники!$F$6,Учет!$H573,0)</f>
        <v>0</v>
      </c>
      <c r="G573" s="43">
        <f>G572+Учет!B573-B573</f>
        <v>-488978.92000000004</v>
      </c>
      <c r="H573" s="43">
        <f>H572+Учет!C573-C573</f>
        <v>336855</v>
      </c>
      <c r="I573" s="43">
        <f>I572+Учет!D573-D573</f>
        <v>500</v>
      </c>
      <c r="J573" s="43">
        <f>J572+Учет!E573-E573</f>
        <v>1150</v>
      </c>
      <c r="K573" s="43">
        <f>K572+Учет!F573-F573</f>
        <v>500000</v>
      </c>
      <c r="L573" s="45">
        <f>Учет!I573</f>
        <v>349526.07999999996</v>
      </c>
    </row>
    <row r="574" spans="1:12" x14ac:dyDescent="0.25">
      <c r="A574" s="48" t="str">
        <f>IF(Учет!A574&lt;&gt;"",Учет!A574,"")</f>
        <v/>
      </c>
      <c r="B574" s="52">
        <f>IF(Учет!$O574=Справочники!$F$2,Учет!$H574,0)</f>
        <v>0</v>
      </c>
      <c r="C574" s="52">
        <f>IF(Учет!$O574=Справочники!$F$3,Учет!$H574,0)</f>
        <v>0</v>
      </c>
      <c r="D574" s="52">
        <f>IF(Учет!$O574=Справочники!$F$4,Учет!$H574,0)</f>
        <v>0</v>
      </c>
      <c r="E574" s="52">
        <f>IF(Учет!$O574=Справочники!$F$5,Учет!$H574,0)</f>
        <v>0</v>
      </c>
      <c r="F574" s="52">
        <f>IF(Учет!$O574=Справочники!$F$6,Учет!$H574,0)</f>
        <v>0</v>
      </c>
      <c r="G574" s="43">
        <f>G573+Учет!B574-B574</f>
        <v>-488978.92000000004</v>
      </c>
      <c r="H574" s="43">
        <f>H573+Учет!C574-C574</f>
        <v>336855</v>
      </c>
      <c r="I574" s="43">
        <f>I573+Учет!D574-D574</f>
        <v>500</v>
      </c>
      <c r="J574" s="43">
        <f>J573+Учет!E574-E574</f>
        <v>1150</v>
      </c>
      <c r="K574" s="43">
        <f>K573+Учет!F574-F574</f>
        <v>500000</v>
      </c>
      <c r="L574" s="45">
        <f>Учет!I574</f>
        <v>349526.07999999996</v>
      </c>
    </row>
    <row r="575" spans="1:12" x14ac:dyDescent="0.25">
      <c r="A575" s="48" t="str">
        <f>IF(Учет!A575&lt;&gt;"",Учет!A575,"")</f>
        <v/>
      </c>
      <c r="B575" s="52">
        <f>IF(Учет!$O575=Справочники!$F$2,Учет!$H575,0)</f>
        <v>0</v>
      </c>
      <c r="C575" s="52">
        <f>IF(Учет!$O575=Справочники!$F$3,Учет!$H575,0)</f>
        <v>0</v>
      </c>
      <c r="D575" s="52">
        <f>IF(Учет!$O575=Справочники!$F$4,Учет!$H575,0)</f>
        <v>0</v>
      </c>
      <c r="E575" s="52">
        <f>IF(Учет!$O575=Справочники!$F$5,Учет!$H575,0)</f>
        <v>0</v>
      </c>
      <c r="F575" s="52">
        <f>IF(Учет!$O575=Справочники!$F$6,Учет!$H575,0)</f>
        <v>0</v>
      </c>
      <c r="G575" s="43">
        <f>G574+Учет!B575-B575</f>
        <v>-488978.92000000004</v>
      </c>
      <c r="H575" s="43">
        <f>H574+Учет!C575-C575</f>
        <v>336855</v>
      </c>
      <c r="I575" s="43">
        <f>I574+Учет!D575-D575</f>
        <v>500</v>
      </c>
      <c r="J575" s="43">
        <f>J574+Учет!E575-E575</f>
        <v>1150</v>
      </c>
      <c r="K575" s="43">
        <f>K574+Учет!F575-F575</f>
        <v>500000</v>
      </c>
      <c r="L575" s="45">
        <f>Учет!I575</f>
        <v>349526.07999999996</v>
      </c>
    </row>
    <row r="576" spans="1:12" x14ac:dyDescent="0.25">
      <c r="A576" s="48" t="str">
        <f>IF(Учет!A576&lt;&gt;"",Учет!A576,"")</f>
        <v/>
      </c>
      <c r="B576" s="52">
        <f>IF(Учет!$O576=Справочники!$F$2,Учет!$H576,0)</f>
        <v>0</v>
      </c>
      <c r="C576" s="52">
        <f>IF(Учет!$O576=Справочники!$F$3,Учет!$H576,0)</f>
        <v>0</v>
      </c>
      <c r="D576" s="52">
        <f>IF(Учет!$O576=Справочники!$F$4,Учет!$H576,0)</f>
        <v>0</v>
      </c>
      <c r="E576" s="52">
        <f>IF(Учет!$O576=Справочники!$F$5,Учет!$H576,0)</f>
        <v>0</v>
      </c>
      <c r="F576" s="52">
        <f>IF(Учет!$O576=Справочники!$F$6,Учет!$H576,0)</f>
        <v>0</v>
      </c>
      <c r="G576" s="43">
        <f>G575+Учет!B576-B576</f>
        <v>-488978.92000000004</v>
      </c>
      <c r="H576" s="43">
        <f>H575+Учет!C576-C576</f>
        <v>336855</v>
      </c>
      <c r="I576" s="43">
        <f>I575+Учет!D576-D576</f>
        <v>500</v>
      </c>
      <c r="J576" s="43">
        <f>J575+Учет!E576-E576</f>
        <v>1150</v>
      </c>
      <c r="K576" s="43">
        <f>K575+Учет!F576-F576</f>
        <v>500000</v>
      </c>
      <c r="L576" s="45">
        <f>Учет!I576</f>
        <v>349526.07999999996</v>
      </c>
    </row>
    <row r="577" spans="1:12" x14ac:dyDescent="0.25">
      <c r="A577" s="48" t="str">
        <f>IF(Учет!A577&lt;&gt;"",Учет!A577,"")</f>
        <v/>
      </c>
      <c r="B577" s="52">
        <f>IF(Учет!$O577=Справочники!$F$2,Учет!$H577,0)</f>
        <v>0</v>
      </c>
      <c r="C577" s="52">
        <f>IF(Учет!$O577=Справочники!$F$3,Учет!$H577,0)</f>
        <v>0</v>
      </c>
      <c r="D577" s="52">
        <f>IF(Учет!$O577=Справочники!$F$4,Учет!$H577,0)</f>
        <v>0</v>
      </c>
      <c r="E577" s="52">
        <f>IF(Учет!$O577=Справочники!$F$5,Учет!$H577,0)</f>
        <v>0</v>
      </c>
      <c r="F577" s="52">
        <f>IF(Учет!$O577=Справочники!$F$6,Учет!$H577,0)</f>
        <v>0</v>
      </c>
      <c r="G577" s="43">
        <f>G576+Учет!B577-B577</f>
        <v>-488978.92000000004</v>
      </c>
      <c r="H577" s="43">
        <f>H576+Учет!C577-C577</f>
        <v>336855</v>
      </c>
      <c r="I577" s="43">
        <f>I576+Учет!D577-D577</f>
        <v>500</v>
      </c>
      <c r="J577" s="43">
        <f>J576+Учет!E577-E577</f>
        <v>1150</v>
      </c>
      <c r="K577" s="43">
        <f>K576+Учет!F577-F577</f>
        <v>500000</v>
      </c>
      <c r="L577" s="45">
        <f>Учет!I577</f>
        <v>349526.07999999996</v>
      </c>
    </row>
    <row r="578" spans="1:12" x14ac:dyDescent="0.25">
      <c r="A578" s="48" t="str">
        <f>IF(Учет!A578&lt;&gt;"",Учет!A578,"")</f>
        <v/>
      </c>
      <c r="B578" s="52">
        <f>IF(Учет!$O578=Справочники!$F$2,Учет!$H578,0)</f>
        <v>0</v>
      </c>
      <c r="C578" s="52">
        <f>IF(Учет!$O578=Справочники!$F$3,Учет!$H578,0)</f>
        <v>0</v>
      </c>
      <c r="D578" s="52">
        <f>IF(Учет!$O578=Справочники!$F$4,Учет!$H578,0)</f>
        <v>0</v>
      </c>
      <c r="E578" s="52">
        <f>IF(Учет!$O578=Справочники!$F$5,Учет!$H578,0)</f>
        <v>0</v>
      </c>
      <c r="F578" s="52">
        <f>IF(Учет!$O578=Справочники!$F$6,Учет!$H578,0)</f>
        <v>0</v>
      </c>
      <c r="G578" s="43">
        <f>G577+Учет!B578-B578</f>
        <v>-488978.92000000004</v>
      </c>
      <c r="H578" s="43">
        <f>H577+Учет!C578-C578</f>
        <v>336855</v>
      </c>
      <c r="I578" s="43">
        <f>I577+Учет!D578-D578</f>
        <v>500</v>
      </c>
      <c r="J578" s="43">
        <f>J577+Учет!E578-E578</f>
        <v>1150</v>
      </c>
      <c r="K578" s="43">
        <f>K577+Учет!F578-F578</f>
        <v>500000</v>
      </c>
      <c r="L578" s="45">
        <f>Учет!I578</f>
        <v>349526.07999999996</v>
      </c>
    </row>
    <row r="579" spans="1:12" x14ac:dyDescent="0.25">
      <c r="A579" s="48" t="str">
        <f>IF(Учет!A579&lt;&gt;"",Учет!A579,"")</f>
        <v/>
      </c>
      <c r="B579" s="52">
        <f>IF(Учет!$O579=Справочники!$F$2,Учет!$H579,0)</f>
        <v>0</v>
      </c>
      <c r="C579" s="52">
        <f>IF(Учет!$O579=Справочники!$F$3,Учет!$H579,0)</f>
        <v>0</v>
      </c>
      <c r="D579" s="52">
        <f>IF(Учет!$O579=Справочники!$F$4,Учет!$H579,0)</f>
        <v>0</v>
      </c>
      <c r="E579" s="52">
        <f>IF(Учет!$O579=Справочники!$F$5,Учет!$H579,0)</f>
        <v>0</v>
      </c>
      <c r="F579" s="52">
        <f>IF(Учет!$O579=Справочники!$F$6,Учет!$H579,0)</f>
        <v>0</v>
      </c>
      <c r="G579" s="43">
        <f>G578+Учет!B579-B579</f>
        <v>-488978.92000000004</v>
      </c>
      <c r="H579" s="43">
        <f>H578+Учет!C579-C579</f>
        <v>336855</v>
      </c>
      <c r="I579" s="43">
        <f>I578+Учет!D579-D579</f>
        <v>500</v>
      </c>
      <c r="J579" s="43">
        <f>J578+Учет!E579-E579</f>
        <v>1150</v>
      </c>
      <c r="K579" s="43">
        <f>K578+Учет!F579-F579</f>
        <v>500000</v>
      </c>
      <c r="L579" s="45">
        <f>Учет!I579</f>
        <v>349526.07999999996</v>
      </c>
    </row>
    <row r="580" spans="1:12" x14ac:dyDescent="0.25">
      <c r="A580" s="48" t="str">
        <f>IF(Учет!A580&lt;&gt;"",Учет!A580,"")</f>
        <v/>
      </c>
      <c r="B580" s="52">
        <f>IF(Учет!$O580=Справочники!$F$2,Учет!$H580,0)</f>
        <v>0</v>
      </c>
      <c r="C580" s="52">
        <f>IF(Учет!$O580=Справочники!$F$3,Учет!$H580,0)</f>
        <v>0</v>
      </c>
      <c r="D580" s="52">
        <f>IF(Учет!$O580=Справочники!$F$4,Учет!$H580,0)</f>
        <v>0</v>
      </c>
      <c r="E580" s="52">
        <f>IF(Учет!$O580=Справочники!$F$5,Учет!$H580,0)</f>
        <v>0</v>
      </c>
      <c r="F580" s="52">
        <f>IF(Учет!$O580=Справочники!$F$6,Учет!$H580,0)</f>
        <v>0</v>
      </c>
      <c r="G580" s="43">
        <f>G579+Учет!B580-B580</f>
        <v>-488978.92000000004</v>
      </c>
      <c r="H580" s="43">
        <f>H579+Учет!C580-C580</f>
        <v>336855</v>
      </c>
      <c r="I580" s="43">
        <f>I579+Учет!D580-D580</f>
        <v>500</v>
      </c>
      <c r="J580" s="43">
        <f>J579+Учет!E580-E580</f>
        <v>1150</v>
      </c>
      <c r="K580" s="43">
        <f>K579+Учет!F580-F580</f>
        <v>500000</v>
      </c>
      <c r="L580" s="45">
        <f>Учет!I580</f>
        <v>349526.07999999996</v>
      </c>
    </row>
    <row r="581" spans="1:12" x14ac:dyDescent="0.25">
      <c r="A581" s="48" t="str">
        <f>IF(Учет!A581&lt;&gt;"",Учет!A581,"")</f>
        <v/>
      </c>
      <c r="B581" s="52">
        <f>IF(Учет!$O581=Справочники!$F$2,Учет!$H581,0)</f>
        <v>0</v>
      </c>
      <c r="C581" s="52">
        <f>IF(Учет!$O581=Справочники!$F$3,Учет!$H581,0)</f>
        <v>0</v>
      </c>
      <c r="D581" s="52">
        <f>IF(Учет!$O581=Справочники!$F$4,Учет!$H581,0)</f>
        <v>0</v>
      </c>
      <c r="E581" s="52">
        <f>IF(Учет!$O581=Справочники!$F$5,Учет!$H581,0)</f>
        <v>0</v>
      </c>
      <c r="F581" s="52">
        <f>IF(Учет!$O581=Справочники!$F$6,Учет!$H581,0)</f>
        <v>0</v>
      </c>
      <c r="G581" s="43">
        <f>G580+Учет!B581-B581</f>
        <v>-488978.92000000004</v>
      </c>
      <c r="H581" s="43">
        <f>H580+Учет!C581-C581</f>
        <v>336855</v>
      </c>
      <c r="I581" s="43">
        <f>I580+Учет!D581-D581</f>
        <v>500</v>
      </c>
      <c r="J581" s="43">
        <f>J580+Учет!E581-E581</f>
        <v>1150</v>
      </c>
      <c r="K581" s="43">
        <f>K580+Учет!F581-F581</f>
        <v>500000</v>
      </c>
      <c r="L581" s="45">
        <f>Учет!I581</f>
        <v>349526.07999999996</v>
      </c>
    </row>
    <row r="582" spans="1:12" x14ac:dyDescent="0.25">
      <c r="A582" s="48" t="str">
        <f>IF(Учет!A582&lt;&gt;"",Учет!A582,"")</f>
        <v/>
      </c>
      <c r="B582" s="52">
        <f>IF(Учет!$O582=Справочники!$F$2,Учет!$H582,0)</f>
        <v>0</v>
      </c>
      <c r="C582" s="52">
        <f>IF(Учет!$O582=Справочники!$F$3,Учет!$H582,0)</f>
        <v>0</v>
      </c>
      <c r="D582" s="52">
        <f>IF(Учет!$O582=Справочники!$F$4,Учет!$H582,0)</f>
        <v>0</v>
      </c>
      <c r="E582" s="52">
        <f>IF(Учет!$O582=Справочники!$F$5,Учет!$H582,0)</f>
        <v>0</v>
      </c>
      <c r="F582" s="52">
        <f>IF(Учет!$O582=Справочники!$F$6,Учет!$H582,0)</f>
        <v>0</v>
      </c>
      <c r="G582" s="43">
        <f>G581+Учет!B582-B582</f>
        <v>-488978.92000000004</v>
      </c>
      <c r="H582" s="43">
        <f>H581+Учет!C582-C582</f>
        <v>336855</v>
      </c>
      <c r="I582" s="43">
        <f>I581+Учет!D582-D582</f>
        <v>500</v>
      </c>
      <c r="J582" s="43">
        <f>J581+Учет!E582-E582</f>
        <v>1150</v>
      </c>
      <c r="K582" s="43">
        <f>K581+Учет!F582-F582</f>
        <v>500000</v>
      </c>
      <c r="L582" s="45">
        <f>Учет!I582</f>
        <v>349526.07999999996</v>
      </c>
    </row>
    <row r="583" spans="1:12" x14ac:dyDescent="0.25">
      <c r="A583" s="48" t="str">
        <f>IF(Учет!A583&lt;&gt;"",Учет!A583,"")</f>
        <v/>
      </c>
      <c r="B583" s="52">
        <f>IF(Учет!$O583=Справочники!$F$2,Учет!$H583,0)</f>
        <v>0</v>
      </c>
      <c r="C583" s="52">
        <f>IF(Учет!$O583=Справочники!$F$3,Учет!$H583,0)</f>
        <v>0</v>
      </c>
      <c r="D583" s="52">
        <f>IF(Учет!$O583=Справочники!$F$4,Учет!$H583,0)</f>
        <v>0</v>
      </c>
      <c r="E583" s="52">
        <f>IF(Учет!$O583=Справочники!$F$5,Учет!$H583,0)</f>
        <v>0</v>
      </c>
      <c r="F583" s="52">
        <f>IF(Учет!$O583=Справочники!$F$6,Учет!$H583,0)</f>
        <v>0</v>
      </c>
      <c r="G583" s="43">
        <f>G582+Учет!B583-B583</f>
        <v>-488978.92000000004</v>
      </c>
      <c r="H583" s="43">
        <f>H582+Учет!C583-C583</f>
        <v>336855</v>
      </c>
      <c r="I583" s="43">
        <f>I582+Учет!D583-D583</f>
        <v>500</v>
      </c>
      <c r="J583" s="43">
        <f>J582+Учет!E583-E583</f>
        <v>1150</v>
      </c>
      <c r="K583" s="43">
        <f>K582+Учет!F583-F583</f>
        <v>500000</v>
      </c>
      <c r="L583" s="45">
        <f>Учет!I583</f>
        <v>349526.07999999996</v>
      </c>
    </row>
    <row r="584" spans="1:12" x14ac:dyDescent="0.25">
      <c r="A584" s="48" t="str">
        <f>IF(Учет!A584&lt;&gt;"",Учет!A584,"")</f>
        <v/>
      </c>
      <c r="B584" s="52">
        <f>IF(Учет!$O584=Справочники!$F$2,Учет!$H584,0)</f>
        <v>0</v>
      </c>
      <c r="C584" s="52">
        <f>IF(Учет!$O584=Справочники!$F$3,Учет!$H584,0)</f>
        <v>0</v>
      </c>
      <c r="D584" s="52">
        <f>IF(Учет!$O584=Справочники!$F$4,Учет!$H584,0)</f>
        <v>0</v>
      </c>
      <c r="E584" s="52">
        <f>IF(Учет!$O584=Справочники!$F$5,Учет!$H584,0)</f>
        <v>0</v>
      </c>
      <c r="F584" s="52">
        <f>IF(Учет!$O584=Справочники!$F$6,Учет!$H584,0)</f>
        <v>0</v>
      </c>
      <c r="G584" s="43">
        <f>G583+Учет!B584-B584</f>
        <v>-488978.92000000004</v>
      </c>
      <c r="H584" s="43">
        <f>H583+Учет!C584-C584</f>
        <v>336855</v>
      </c>
      <c r="I584" s="43">
        <f>I583+Учет!D584-D584</f>
        <v>500</v>
      </c>
      <c r="J584" s="43">
        <f>J583+Учет!E584-E584</f>
        <v>1150</v>
      </c>
      <c r="K584" s="43">
        <f>K583+Учет!F584-F584</f>
        <v>500000</v>
      </c>
      <c r="L584" s="45">
        <f>Учет!I584</f>
        <v>349526.07999999996</v>
      </c>
    </row>
    <row r="585" spans="1:12" x14ac:dyDescent="0.25">
      <c r="A585" s="48" t="str">
        <f>IF(Учет!A585&lt;&gt;"",Учет!A585,"")</f>
        <v/>
      </c>
      <c r="B585" s="52">
        <f>IF(Учет!$O585=Справочники!$F$2,Учет!$H585,0)</f>
        <v>0</v>
      </c>
      <c r="C585" s="52">
        <f>IF(Учет!$O585=Справочники!$F$3,Учет!$H585,0)</f>
        <v>0</v>
      </c>
      <c r="D585" s="52">
        <f>IF(Учет!$O585=Справочники!$F$4,Учет!$H585,0)</f>
        <v>0</v>
      </c>
      <c r="E585" s="52">
        <f>IF(Учет!$O585=Справочники!$F$5,Учет!$H585,0)</f>
        <v>0</v>
      </c>
      <c r="F585" s="52">
        <f>IF(Учет!$O585=Справочники!$F$6,Учет!$H585,0)</f>
        <v>0</v>
      </c>
      <c r="G585" s="43">
        <f>G584+Учет!B585-B585</f>
        <v>-488978.92000000004</v>
      </c>
      <c r="H585" s="43">
        <f>H584+Учет!C585-C585</f>
        <v>336855</v>
      </c>
      <c r="I585" s="43">
        <f>I584+Учет!D585-D585</f>
        <v>500</v>
      </c>
      <c r="J585" s="43">
        <f>J584+Учет!E585-E585</f>
        <v>1150</v>
      </c>
      <c r="K585" s="43">
        <f>K584+Учет!F585-F585</f>
        <v>500000</v>
      </c>
      <c r="L585" s="45">
        <f>Учет!I585</f>
        <v>349526.07999999996</v>
      </c>
    </row>
    <row r="586" spans="1:12" x14ac:dyDescent="0.25">
      <c r="A586" s="48" t="str">
        <f>IF(Учет!A586&lt;&gt;"",Учет!A586,"")</f>
        <v/>
      </c>
      <c r="B586" s="52">
        <f>IF(Учет!$O586=Справочники!$F$2,Учет!$H586,0)</f>
        <v>0</v>
      </c>
      <c r="C586" s="52">
        <f>IF(Учет!$O586=Справочники!$F$3,Учет!$H586,0)</f>
        <v>0</v>
      </c>
      <c r="D586" s="52">
        <f>IF(Учет!$O586=Справочники!$F$4,Учет!$H586,0)</f>
        <v>0</v>
      </c>
      <c r="E586" s="52">
        <f>IF(Учет!$O586=Справочники!$F$5,Учет!$H586,0)</f>
        <v>0</v>
      </c>
      <c r="F586" s="52">
        <f>IF(Учет!$O586=Справочники!$F$6,Учет!$H586,0)</f>
        <v>0</v>
      </c>
      <c r="G586" s="43">
        <f>G585+Учет!B586-B586</f>
        <v>-488978.92000000004</v>
      </c>
      <c r="H586" s="43">
        <f>H585+Учет!C586-C586</f>
        <v>336855</v>
      </c>
      <c r="I586" s="43">
        <f>I585+Учет!D586-D586</f>
        <v>500</v>
      </c>
      <c r="J586" s="43">
        <f>J585+Учет!E586-E586</f>
        <v>1150</v>
      </c>
      <c r="K586" s="43">
        <f>K585+Учет!F586-F586</f>
        <v>500000</v>
      </c>
      <c r="L586" s="45">
        <f>Учет!I586</f>
        <v>349526.07999999996</v>
      </c>
    </row>
    <row r="587" spans="1:12" x14ac:dyDescent="0.25">
      <c r="A587" s="48" t="str">
        <f>IF(Учет!A587&lt;&gt;"",Учет!A587,"")</f>
        <v/>
      </c>
      <c r="B587" s="52">
        <f>IF(Учет!$O587=Справочники!$F$2,Учет!$H587,0)</f>
        <v>0</v>
      </c>
      <c r="C587" s="52">
        <f>IF(Учет!$O587=Справочники!$F$3,Учет!$H587,0)</f>
        <v>0</v>
      </c>
      <c r="D587" s="52">
        <f>IF(Учет!$O587=Справочники!$F$4,Учет!$H587,0)</f>
        <v>0</v>
      </c>
      <c r="E587" s="52">
        <f>IF(Учет!$O587=Справочники!$F$5,Учет!$H587,0)</f>
        <v>0</v>
      </c>
      <c r="F587" s="52">
        <f>IF(Учет!$O587=Справочники!$F$6,Учет!$H587,0)</f>
        <v>0</v>
      </c>
      <c r="G587" s="43">
        <f>G586+Учет!B587-B587</f>
        <v>-488978.92000000004</v>
      </c>
      <c r="H587" s="43">
        <f>H586+Учет!C587-C587</f>
        <v>336855</v>
      </c>
      <c r="I587" s="43">
        <f>I586+Учет!D587-D587</f>
        <v>500</v>
      </c>
      <c r="J587" s="43">
        <f>J586+Учет!E587-E587</f>
        <v>1150</v>
      </c>
      <c r="K587" s="43">
        <f>K586+Учет!F587-F587</f>
        <v>500000</v>
      </c>
      <c r="L587" s="45">
        <f>Учет!I587</f>
        <v>349526.07999999996</v>
      </c>
    </row>
    <row r="588" spans="1:12" x14ac:dyDescent="0.25">
      <c r="A588" s="48" t="str">
        <f>IF(Учет!A588&lt;&gt;"",Учет!A588,"")</f>
        <v/>
      </c>
      <c r="B588" s="52">
        <f>IF(Учет!$O588=Справочники!$F$2,Учет!$H588,0)</f>
        <v>0</v>
      </c>
      <c r="C588" s="52">
        <f>IF(Учет!$O588=Справочники!$F$3,Учет!$H588,0)</f>
        <v>0</v>
      </c>
      <c r="D588" s="52">
        <f>IF(Учет!$O588=Справочники!$F$4,Учет!$H588,0)</f>
        <v>0</v>
      </c>
      <c r="E588" s="52">
        <f>IF(Учет!$O588=Справочники!$F$5,Учет!$H588,0)</f>
        <v>0</v>
      </c>
      <c r="F588" s="52">
        <f>IF(Учет!$O588=Справочники!$F$6,Учет!$H588,0)</f>
        <v>0</v>
      </c>
      <c r="G588" s="43">
        <f>G587+Учет!B588-B588</f>
        <v>-488978.92000000004</v>
      </c>
      <c r="H588" s="43">
        <f>H587+Учет!C588-C588</f>
        <v>336855</v>
      </c>
      <c r="I588" s="43">
        <f>I587+Учет!D588-D588</f>
        <v>500</v>
      </c>
      <c r="J588" s="43">
        <f>J587+Учет!E588-E588</f>
        <v>1150</v>
      </c>
      <c r="K588" s="43">
        <f>K587+Учет!F588-F588</f>
        <v>500000</v>
      </c>
      <c r="L588" s="45">
        <f>Учет!I588</f>
        <v>349526.07999999996</v>
      </c>
    </row>
    <row r="589" spans="1:12" x14ac:dyDescent="0.25">
      <c r="A589" s="48" t="str">
        <f>IF(Учет!A589&lt;&gt;"",Учет!A589,"")</f>
        <v/>
      </c>
      <c r="B589" s="52">
        <f>IF(Учет!$O589=Справочники!$F$2,Учет!$H589,0)</f>
        <v>0</v>
      </c>
      <c r="C589" s="52">
        <f>IF(Учет!$O589=Справочники!$F$3,Учет!$H589,0)</f>
        <v>0</v>
      </c>
      <c r="D589" s="52">
        <f>IF(Учет!$O589=Справочники!$F$4,Учет!$H589,0)</f>
        <v>0</v>
      </c>
      <c r="E589" s="52">
        <f>IF(Учет!$O589=Справочники!$F$5,Учет!$H589,0)</f>
        <v>0</v>
      </c>
      <c r="F589" s="52">
        <f>IF(Учет!$O589=Справочники!$F$6,Учет!$H589,0)</f>
        <v>0</v>
      </c>
      <c r="G589" s="43">
        <f>G588+Учет!B589-B589</f>
        <v>-488978.92000000004</v>
      </c>
      <c r="H589" s="43">
        <f>H588+Учет!C589-C589</f>
        <v>336855</v>
      </c>
      <c r="I589" s="43">
        <f>I588+Учет!D589-D589</f>
        <v>500</v>
      </c>
      <c r="J589" s="43">
        <f>J588+Учет!E589-E589</f>
        <v>1150</v>
      </c>
      <c r="K589" s="43">
        <f>K588+Учет!F589-F589</f>
        <v>500000</v>
      </c>
      <c r="L589" s="45">
        <f>Учет!I589</f>
        <v>349526.07999999996</v>
      </c>
    </row>
    <row r="590" spans="1:12" x14ac:dyDescent="0.25">
      <c r="A590" s="48" t="str">
        <f>IF(Учет!A590&lt;&gt;"",Учет!A590,"")</f>
        <v/>
      </c>
      <c r="B590" s="52">
        <f>IF(Учет!$O590=Справочники!$F$2,Учет!$H590,0)</f>
        <v>0</v>
      </c>
      <c r="C590" s="52">
        <f>IF(Учет!$O590=Справочники!$F$3,Учет!$H590,0)</f>
        <v>0</v>
      </c>
      <c r="D590" s="52">
        <f>IF(Учет!$O590=Справочники!$F$4,Учет!$H590,0)</f>
        <v>0</v>
      </c>
      <c r="E590" s="52">
        <f>IF(Учет!$O590=Справочники!$F$5,Учет!$H590,0)</f>
        <v>0</v>
      </c>
      <c r="F590" s="52">
        <f>IF(Учет!$O590=Справочники!$F$6,Учет!$H590,0)</f>
        <v>0</v>
      </c>
      <c r="G590" s="43">
        <f>G589+Учет!B590-B590</f>
        <v>-488978.92000000004</v>
      </c>
      <c r="H590" s="43">
        <f>H589+Учет!C590-C590</f>
        <v>336855</v>
      </c>
      <c r="I590" s="43">
        <f>I589+Учет!D590-D590</f>
        <v>500</v>
      </c>
      <c r="J590" s="43">
        <f>J589+Учет!E590-E590</f>
        <v>1150</v>
      </c>
      <c r="K590" s="43">
        <f>K589+Учет!F590-F590</f>
        <v>500000</v>
      </c>
      <c r="L590" s="45">
        <f>Учет!I590</f>
        <v>349526.07999999996</v>
      </c>
    </row>
    <row r="591" spans="1:12" x14ac:dyDescent="0.25">
      <c r="A591" s="48" t="str">
        <f>IF(Учет!A591&lt;&gt;"",Учет!A591,"")</f>
        <v/>
      </c>
      <c r="B591" s="52">
        <f>IF(Учет!$O591=Справочники!$F$2,Учет!$H591,0)</f>
        <v>0</v>
      </c>
      <c r="C591" s="52">
        <f>IF(Учет!$O591=Справочники!$F$3,Учет!$H591,0)</f>
        <v>0</v>
      </c>
      <c r="D591" s="52">
        <f>IF(Учет!$O591=Справочники!$F$4,Учет!$H591,0)</f>
        <v>0</v>
      </c>
      <c r="E591" s="52">
        <f>IF(Учет!$O591=Справочники!$F$5,Учет!$H591,0)</f>
        <v>0</v>
      </c>
      <c r="F591" s="52">
        <f>IF(Учет!$O591=Справочники!$F$6,Учет!$H591,0)</f>
        <v>0</v>
      </c>
      <c r="G591" s="43">
        <f>G590+Учет!B591-B591</f>
        <v>-488978.92000000004</v>
      </c>
      <c r="H591" s="43">
        <f>H590+Учет!C591-C591</f>
        <v>336855</v>
      </c>
      <c r="I591" s="43">
        <f>I590+Учет!D591-D591</f>
        <v>500</v>
      </c>
      <c r="J591" s="43">
        <f>J590+Учет!E591-E591</f>
        <v>1150</v>
      </c>
      <c r="K591" s="43">
        <f>K590+Учет!F591-F591</f>
        <v>500000</v>
      </c>
      <c r="L591" s="45">
        <f>Учет!I591</f>
        <v>349526.07999999996</v>
      </c>
    </row>
    <row r="592" spans="1:12" x14ac:dyDescent="0.25">
      <c r="A592" s="48" t="str">
        <f>IF(Учет!A592&lt;&gt;"",Учет!A592,"")</f>
        <v/>
      </c>
      <c r="B592" s="52">
        <f>IF(Учет!$O592=Справочники!$F$2,Учет!$H592,0)</f>
        <v>0</v>
      </c>
      <c r="C592" s="52">
        <f>IF(Учет!$O592=Справочники!$F$3,Учет!$H592,0)</f>
        <v>0</v>
      </c>
      <c r="D592" s="52">
        <f>IF(Учет!$O592=Справочники!$F$4,Учет!$H592,0)</f>
        <v>0</v>
      </c>
      <c r="E592" s="52">
        <f>IF(Учет!$O592=Справочники!$F$5,Учет!$H592,0)</f>
        <v>0</v>
      </c>
      <c r="F592" s="52">
        <f>IF(Учет!$O592=Справочники!$F$6,Учет!$H592,0)</f>
        <v>0</v>
      </c>
      <c r="G592" s="43">
        <f>G591+Учет!B592-B592</f>
        <v>-488978.92000000004</v>
      </c>
      <c r="H592" s="43">
        <f>H591+Учет!C592-C592</f>
        <v>336855</v>
      </c>
      <c r="I592" s="43">
        <f>I591+Учет!D592-D592</f>
        <v>500</v>
      </c>
      <c r="J592" s="43">
        <f>J591+Учет!E592-E592</f>
        <v>1150</v>
      </c>
      <c r="K592" s="43">
        <f>K591+Учет!F592-F592</f>
        <v>500000</v>
      </c>
      <c r="L592" s="45">
        <f>Учет!I592</f>
        <v>349526.07999999996</v>
      </c>
    </row>
    <row r="593" spans="1:12" x14ac:dyDescent="0.25">
      <c r="A593" s="48" t="str">
        <f>IF(Учет!A593&lt;&gt;"",Учет!A593,"")</f>
        <v/>
      </c>
      <c r="B593" s="52">
        <f>IF(Учет!$O593=Справочники!$F$2,Учет!$H593,0)</f>
        <v>0</v>
      </c>
      <c r="C593" s="52">
        <f>IF(Учет!$O593=Справочники!$F$3,Учет!$H593,0)</f>
        <v>0</v>
      </c>
      <c r="D593" s="52">
        <f>IF(Учет!$O593=Справочники!$F$4,Учет!$H593,0)</f>
        <v>0</v>
      </c>
      <c r="E593" s="52">
        <f>IF(Учет!$O593=Справочники!$F$5,Учет!$H593,0)</f>
        <v>0</v>
      </c>
      <c r="F593" s="52">
        <f>IF(Учет!$O593=Справочники!$F$6,Учет!$H593,0)</f>
        <v>0</v>
      </c>
      <c r="G593" s="43">
        <f>G592+Учет!B593-B593</f>
        <v>-488978.92000000004</v>
      </c>
      <c r="H593" s="43">
        <f>H592+Учет!C593-C593</f>
        <v>336855</v>
      </c>
      <c r="I593" s="43">
        <f>I592+Учет!D593-D593</f>
        <v>500</v>
      </c>
      <c r="J593" s="43">
        <f>J592+Учет!E593-E593</f>
        <v>1150</v>
      </c>
      <c r="K593" s="43">
        <f>K592+Учет!F593-F593</f>
        <v>500000</v>
      </c>
      <c r="L593" s="45">
        <f>Учет!I593</f>
        <v>349526.07999999996</v>
      </c>
    </row>
    <row r="594" spans="1:12" x14ac:dyDescent="0.25">
      <c r="A594" s="48" t="str">
        <f>IF(Учет!A594&lt;&gt;"",Учет!A594,"")</f>
        <v/>
      </c>
      <c r="B594" s="52">
        <f>IF(Учет!$O594=Справочники!$F$2,Учет!$H594,0)</f>
        <v>0</v>
      </c>
      <c r="C594" s="52">
        <f>IF(Учет!$O594=Справочники!$F$3,Учет!$H594,0)</f>
        <v>0</v>
      </c>
      <c r="D594" s="52">
        <f>IF(Учет!$O594=Справочники!$F$4,Учет!$H594,0)</f>
        <v>0</v>
      </c>
      <c r="E594" s="52">
        <f>IF(Учет!$O594=Справочники!$F$5,Учет!$H594,0)</f>
        <v>0</v>
      </c>
      <c r="F594" s="52">
        <f>IF(Учет!$O594=Справочники!$F$6,Учет!$H594,0)</f>
        <v>0</v>
      </c>
      <c r="G594" s="43">
        <f>G593+Учет!B594-B594</f>
        <v>-488978.92000000004</v>
      </c>
      <c r="H594" s="43">
        <f>H593+Учет!C594-C594</f>
        <v>336855</v>
      </c>
      <c r="I594" s="43">
        <f>I593+Учет!D594-D594</f>
        <v>500</v>
      </c>
      <c r="J594" s="43">
        <f>J593+Учет!E594-E594</f>
        <v>1150</v>
      </c>
      <c r="K594" s="43">
        <f>K593+Учет!F594-F594</f>
        <v>500000</v>
      </c>
      <c r="L594" s="45">
        <f>Учет!I594</f>
        <v>349526.07999999996</v>
      </c>
    </row>
    <row r="595" spans="1:12" x14ac:dyDescent="0.25">
      <c r="A595" s="48" t="str">
        <f>IF(Учет!A595&lt;&gt;"",Учет!A595,"")</f>
        <v/>
      </c>
      <c r="B595" s="52">
        <f>IF(Учет!$O595=Справочники!$F$2,Учет!$H595,0)</f>
        <v>0</v>
      </c>
      <c r="C595" s="52">
        <f>IF(Учет!$O595=Справочники!$F$3,Учет!$H595,0)</f>
        <v>0</v>
      </c>
      <c r="D595" s="52">
        <f>IF(Учет!$O595=Справочники!$F$4,Учет!$H595,0)</f>
        <v>0</v>
      </c>
      <c r="E595" s="52">
        <f>IF(Учет!$O595=Справочники!$F$5,Учет!$H595,0)</f>
        <v>0</v>
      </c>
      <c r="F595" s="52">
        <f>IF(Учет!$O595=Справочники!$F$6,Учет!$H595,0)</f>
        <v>0</v>
      </c>
      <c r="G595" s="43">
        <f>G594+Учет!B595-B595</f>
        <v>-488978.92000000004</v>
      </c>
      <c r="H595" s="43">
        <f>H594+Учет!C595-C595</f>
        <v>336855</v>
      </c>
      <c r="I595" s="43">
        <f>I594+Учет!D595-D595</f>
        <v>500</v>
      </c>
      <c r="J595" s="43">
        <f>J594+Учет!E595-E595</f>
        <v>1150</v>
      </c>
      <c r="K595" s="43">
        <f>K594+Учет!F595-F595</f>
        <v>500000</v>
      </c>
      <c r="L595" s="45">
        <f>Учет!I595</f>
        <v>349526.07999999996</v>
      </c>
    </row>
    <row r="596" spans="1:12" x14ac:dyDescent="0.25">
      <c r="A596" s="48" t="str">
        <f>IF(Учет!A596&lt;&gt;"",Учет!A596,"")</f>
        <v/>
      </c>
      <c r="B596" s="52">
        <f>IF(Учет!$O596=Справочники!$F$2,Учет!$H596,0)</f>
        <v>0</v>
      </c>
      <c r="C596" s="52">
        <f>IF(Учет!$O596=Справочники!$F$3,Учет!$H596,0)</f>
        <v>0</v>
      </c>
      <c r="D596" s="52">
        <f>IF(Учет!$O596=Справочники!$F$4,Учет!$H596,0)</f>
        <v>0</v>
      </c>
      <c r="E596" s="52">
        <f>IF(Учет!$O596=Справочники!$F$5,Учет!$H596,0)</f>
        <v>0</v>
      </c>
      <c r="F596" s="52">
        <f>IF(Учет!$O596=Справочники!$F$6,Учет!$H596,0)</f>
        <v>0</v>
      </c>
      <c r="G596" s="43">
        <f>G595+Учет!B596-B596</f>
        <v>-488978.92000000004</v>
      </c>
      <c r="H596" s="43">
        <f>H595+Учет!C596-C596</f>
        <v>336855</v>
      </c>
      <c r="I596" s="43">
        <f>I595+Учет!D596-D596</f>
        <v>500</v>
      </c>
      <c r="J596" s="43">
        <f>J595+Учет!E596-E596</f>
        <v>1150</v>
      </c>
      <c r="K596" s="43">
        <f>K595+Учет!F596-F596</f>
        <v>500000</v>
      </c>
      <c r="L596" s="45">
        <f>Учет!I596</f>
        <v>349526.07999999996</v>
      </c>
    </row>
    <row r="597" spans="1:12" x14ac:dyDescent="0.25">
      <c r="A597" s="48" t="str">
        <f>IF(Учет!A597&lt;&gt;"",Учет!A597,"")</f>
        <v/>
      </c>
      <c r="B597" s="52">
        <f>IF(Учет!$O597=Справочники!$F$2,Учет!$H597,0)</f>
        <v>0</v>
      </c>
      <c r="C597" s="52">
        <f>IF(Учет!$O597=Справочники!$F$3,Учет!$H597,0)</f>
        <v>0</v>
      </c>
      <c r="D597" s="52">
        <f>IF(Учет!$O597=Справочники!$F$4,Учет!$H597,0)</f>
        <v>0</v>
      </c>
      <c r="E597" s="52">
        <f>IF(Учет!$O597=Справочники!$F$5,Учет!$H597,0)</f>
        <v>0</v>
      </c>
      <c r="F597" s="52">
        <f>IF(Учет!$O597=Справочники!$F$6,Учет!$H597,0)</f>
        <v>0</v>
      </c>
      <c r="G597" s="43">
        <f>G596+Учет!B597-B597</f>
        <v>-488978.92000000004</v>
      </c>
      <c r="H597" s="43">
        <f>H596+Учет!C597-C597</f>
        <v>336855</v>
      </c>
      <c r="I597" s="43">
        <f>I596+Учет!D597-D597</f>
        <v>500</v>
      </c>
      <c r="J597" s="43">
        <f>J596+Учет!E597-E597</f>
        <v>1150</v>
      </c>
      <c r="K597" s="43">
        <f>K596+Учет!F597-F597</f>
        <v>500000</v>
      </c>
      <c r="L597" s="45">
        <f>Учет!I597</f>
        <v>349526.07999999996</v>
      </c>
    </row>
    <row r="598" spans="1:12" x14ac:dyDescent="0.25">
      <c r="A598" s="48" t="str">
        <f>IF(Учет!A598&lt;&gt;"",Учет!A598,"")</f>
        <v/>
      </c>
      <c r="B598" s="52">
        <f>IF(Учет!$O598=Справочники!$F$2,Учет!$H598,0)</f>
        <v>0</v>
      </c>
      <c r="C598" s="52">
        <f>IF(Учет!$O598=Справочники!$F$3,Учет!$H598,0)</f>
        <v>0</v>
      </c>
      <c r="D598" s="52">
        <f>IF(Учет!$O598=Справочники!$F$4,Учет!$H598,0)</f>
        <v>0</v>
      </c>
      <c r="E598" s="52">
        <f>IF(Учет!$O598=Справочники!$F$5,Учет!$H598,0)</f>
        <v>0</v>
      </c>
      <c r="F598" s="52">
        <f>IF(Учет!$O598=Справочники!$F$6,Учет!$H598,0)</f>
        <v>0</v>
      </c>
      <c r="G598" s="43">
        <f>G597+Учет!B598-B598</f>
        <v>-488978.92000000004</v>
      </c>
      <c r="H598" s="43">
        <f>H597+Учет!C598-C598</f>
        <v>336855</v>
      </c>
      <c r="I598" s="43">
        <f>I597+Учет!D598-D598</f>
        <v>500</v>
      </c>
      <c r="J598" s="43">
        <f>J597+Учет!E598-E598</f>
        <v>1150</v>
      </c>
      <c r="K598" s="43">
        <f>K597+Учет!F598-F598</f>
        <v>500000</v>
      </c>
      <c r="L598" s="45">
        <f>Учет!I598</f>
        <v>349526.07999999996</v>
      </c>
    </row>
    <row r="599" spans="1:12" x14ac:dyDescent="0.25">
      <c r="A599" s="48" t="str">
        <f>IF(Учет!A599&lt;&gt;"",Учет!A599,"")</f>
        <v/>
      </c>
      <c r="B599" s="52">
        <f>IF(Учет!$O599=Справочники!$F$2,Учет!$H599,0)</f>
        <v>0</v>
      </c>
      <c r="C599" s="52">
        <f>IF(Учет!$O599=Справочники!$F$3,Учет!$H599,0)</f>
        <v>0</v>
      </c>
      <c r="D599" s="52">
        <f>IF(Учет!$O599=Справочники!$F$4,Учет!$H599,0)</f>
        <v>0</v>
      </c>
      <c r="E599" s="52">
        <f>IF(Учет!$O599=Справочники!$F$5,Учет!$H599,0)</f>
        <v>0</v>
      </c>
      <c r="F599" s="52">
        <f>IF(Учет!$O599=Справочники!$F$6,Учет!$H599,0)</f>
        <v>0</v>
      </c>
      <c r="G599" s="43">
        <f>G598+Учет!B599-B599</f>
        <v>-488978.92000000004</v>
      </c>
      <c r="H599" s="43">
        <f>H598+Учет!C599-C599</f>
        <v>336855</v>
      </c>
      <c r="I599" s="43">
        <f>I598+Учет!D599-D599</f>
        <v>500</v>
      </c>
      <c r="J599" s="43">
        <f>J598+Учет!E599-E599</f>
        <v>1150</v>
      </c>
      <c r="K599" s="43">
        <f>K598+Учет!F599-F599</f>
        <v>500000</v>
      </c>
      <c r="L599" s="45">
        <f>Учет!I599</f>
        <v>349526.07999999996</v>
      </c>
    </row>
    <row r="600" spans="1:12" x14ac:dyDescent="0.25">
      <c r="A600" s="48" t="str">
        <f>IF(Учет!A600&lt;&gt;"",Учет!A600,"")</f>
        <v/>
      </c>
      <c r="B600" s="52">
        <f>IF(Учет!$O600=Справочники!$F$2,Учет!$H600,0)</f>
        <v>0</v>
      </c>
      <c r="C600" s="52">
        <f>IF(Учет!$O600=Справочники!$F$3,Учет!$H600,0)</f>
        <v>0</v>
      </c>
      <c r="D600" s="52">
        <f>IF(Учет!$O600=Справочники!$F$4,Учет!$H600,0)</f>
        <v>0</v>
      </c>
      <c r="E600" s="52">
        <f>IF(Учет!$O600=Справочники!$F$5,Учет!$H600,0)</f>
        <v>0</v>
      </c>
      <c r="F600" s="52">
        <f>IF(Учет!$O600=Справочники!$F$6,Учет!$H600,0)</f>
        <v>0</v>
      </c>
      <c r="G600" s="43">
        <f>G599+Учет!B600-B600</f>
        <v>-488978.92000000004</v>
      </c>
      <c r="H600" s="43">
        <f>H599+Учет!C600-C600</f>
        <v>336855</v>
      </c>
      <c r="I600" s="43">
        <f>I599+Учет!D600-D600</f>
        <v>500</v>
      </c>
      <c r="J600" s="43">
        <f>J599+Учет!E600-E600</f>
        <v>1150</v>
      </c>
      <c r="K600" s="43">
        <f>K599+Учет!F600-F600</f>
        <v>500000</v>
      </c>
      <c r="L600" s="45">
        <f>Учет!I600</f>
        <v>349526.07999999996</v>
      </c>
    </row>
    <row r="601" spans="1:12" x14ac:dyDescent="0.25">
      <c r="A601" s="48" t="str">
        <f>IF(Учет!A601&lt;&gt;"",Учет!A601,"")</f>
        <v/>
      </c>
      <c r="B601" s="52">
        <f>IF(Учет!$O601=Справочники!$F$2,Учет!$H601,0)</f>
        <v>0</v>
      </c>
      <c r="C601" s="52">
        <f>IF(Учет!$O601=Справочники!$F$3,Учет!$H601,0)</f>
        <v>0</v>
      </c>
      <c r="D601" s="52">
        <f>IF(Учет!$O601=Справочники!$F$4,Учет!$H601,0)</f>
        <v>0</v>
      </c>
      <c r="E601" s="52">
        <f>IF(Учет!$O601=Справочники!$F$5,Учет!$H601,0)</f>
        <v>0</v>
      </c>
      <c r="F601" s="52">
        <f>IF(Учет!$O601=Справочники!$F$6,Учет!$H601,0)</f>
        <v>0</v>
      </c>
      <c r="G601" s="43">
        <f>G600+Учет!B601-B601</f>
        <v>-488978.92000000004</v>
      </c>
      <c r="H601" s="43">
        <f>H600+Учет!C601-C601</f>
        <v>336855</v>
      </c>
      <c r="I601" s="43">
        <f>I600+Учет!D601-D601</f>
        <v>500</v>
      </c>
      <c r="J601" s="43">
        <f>J600+Учет!E601-E601</f>
        <v>1150</v>
      </c>
      <c r="K601" s="43">
        <f>K600+Учет!F601-F601</f>
        <v>500000</v>
      </c>
      <c r="L601" s="45">
        <f>Учет!I601</f>
        <v>349526.07999999996</v>
      </c>
    </row>
    <row r="602" spans="1:12" x14ac:dyDescent="0.25">
      <c r="A602" s="48" t="str">
        <f>IF(Учет!A602&lt;&gt;"",Учет!A602,"")</f>
        <v/>
      </c>
      <c r="B602" s="52">
        <f>IF(Учет!$O602=Справочники!$F$2,Учет!$H602,0)</f>
        <v>0</v>
      </c>
      <c r="C602" s="52">
        <f>IF(Учет!$O602=Справочники!$F$3,Учет!$H602,0)</f>
        <v>0</v>
      </c>
      <c r="D602" s="52">
        <f>IF(Учет!$O602=Справочники!$F$4,Учет!$H602,0)</f>
        <v>0</v>
      </c>
      <c r="E602" s="52">
        <f>IF(Учет!$O602=Справочники!$F$5,Учет!$H602,0)</f>
        <v>0</v>
      </c>
      <c r="F602" s="52">
        <f>IF(Учет!$O602=Справочники!$F$6,Учет!$H602,0)</f>
        <v>0</v>
      </c>
      <c r="G602" s="43">
        <f>G601+Учет!B602-B602</f>
        <v>-488978.92000000004</v>
      </c>
      <c r="H602" s="43">
        <f>H601+Учет!C602-C602</f>
        <v>336855</v>
      </c>
      <c r="I602" s="43">
        <f>I601+Учет!D602-D602</f>
        <v>500</v>
      </c>
      <c r="J602" s="43">
        <f>J601+Учет!E602-E602</f>
        <v>1150</v>
      </c>
      <c r="K602" s="43">
        <f>K601+Учет!F602-F602</f>
        <v>500000</v>
      </c>
      <c r="L602" s="45">
        <f>Учет!I602</f>
        <v>349526.07999999996</v>
      </c>
    </row>
    <row r="603" spans="1:12" x14ac:dyDescent="0.25">
      <c r="A603" s="48" t="str">
        <f>IF(Учет!A603&lt;&gt;"",Учет!A603,"")</f>
        <v/>
      </c>
      <c r="B603" s="52">
        <f>IF(Учет!$O603=Справочники!$F$2,Учет!$H603,0)</f>
        <v>0</v>
      </c>
      <c r="C603" s="52">
        <f>IF(Учет!$O603=Справочники!$F$3,Учет!$H603,0)</f>
        <v>0</v>
      </c>
      <c r="D603" s="52">
        <f>IF(Учет!$O603=Справочники!$F$4,Учет!$H603,0)</f>
        <v>0</v>
      </c>
      <c r="E603" s="52">
        <f>IF(Учет!$O603=Справочники!$F$5,Учет!$H603,0)</f>
        <v>0</v>
      </c>
      <c r="F603" s="52">
        <f>IF(Учет!$O603=Справочники!$F$6,Учет!$H603,0)</f>
        <v>0</v>
      </c>
      <c r="G603" s="43">
        <f>G602+Учет!B603-B603</f>
        <v>-488978.92000000004</v>
      </c>
      <c r="H603" s="43">
        <f>H602+Учет!C603-C603</f>
        <v>336855</v>
      </c>
      <c r="I603" s="43">
        <f>I602+Учет!D603-D603</f>
        <v>500</v>
      </c>
      <c r="J603" s="43">
        <f>J602+Учет!E603-E603</f>
        <v>1150</v>
      </c>
      <c r="K603" s="43">
        <f>K602+Учет!F603-F603</f>
        <v>500000</v>
      </c>
      <c r="L603" s="45">
        <f>Учет!I603</f>
        <v>349526.07999999996</v>
      </c>
    </row>
    <row r="604" spans="1:12" x14ac:dyDescent="0.25">
      <c r="A604" s="48" t="str">
        <f>IF(Учет!A604&lt;&gt;"",Учет!A604,"")</f>
        <v/>
      </c>
      <c r="B604" s="52">
        <f>IF(Учет!$O604=Справочники!$F$2,Учет!$H604,0)</f>
        <v>0</v>
      </c>
      <c r="C604" s="52">
        <f>IF(Учет!$O604=Справочники!$F$3,Учет!$H604,0)</f>
        <v>0</v>
      </c>
      <c r="D604" s="52">
        <f>IF(Учет!$O604=Справочники!$F$4,Учет!$H604,0)</f>
        <v>0</v>
      </c>
      <c r="E604" s="52">
        <f>IF(Учет!$O604=Справочники!$F$5,Учет!$H604,0)</f>
        <v>0</v>
      </c>
      <c r="F604" s="52">
        <f>IF(Учет!$O604=Справочники!$F$6,Учет!$H604,0)</f>
        <v>0</v>
      </c>
      <c r="G604" s="43">
        <f>G603+Учет!B604-B604</f>
        <v>-488978.92000000004</v>
      </c>
      <c r="H604" s="43">
        <f>H603+Учет!C604-C604</f>
        <v>336855</v>
      </c>
      <c r="I604" s="43">
        <f>I603+Учет!D604-D604</f>
        <v>500</v>
      </c>
      <c r="J604" s="43">
        <f>J603+Учет!E604-E604</f>
        <v>1150</v>
      </c>
      <c r="K604" s="43">
        <f>K603+Учет!F604-F604</f>
        <v>500000</v>
      </c>
      <c r="L604" s="45">
        <f>Учет!I604</f>
        <v>349526.07999999996</v>
      </c>
    </row>
    <row r="605" spans="1:12" x14ac:dyDescent="0.25">
      <c r="A605" s="48" t="str">
        <f>IF(Учет!A605&lt;&gt;"",Учет!A605,"")</f>
        <v/>
      </c>
      <c r="B605" s="52">
        <f>IF(Учет!$O605=Справочники!$F$2,Учет!$H605,0)</f>
        <v>0</v>
      </c>
      <c r="C605" s="52">
        <f>IF(Учет!$O605=Справочники!$F$3,Учет!$H605,0)</f>
        <v>0</v>
      </c>
      <c r="D605" s="52">
        <f>IF(Учет!$O605=Справочники!$F$4,Учет!$H605,0)</f>
        <v>0</v>
      </c>
      <c r="E605" s="52">
        <f>IF(Учет!$O605=Справочники!$F$5,Учет!$H605,0)</f>
        <v>0</v>
      </c>
      <c r="F605" s="52">
        <f>IF(Учет!$O605=Справочники!$F$6,Учет!$H605,0)</f>
        <v>0</v>
      </c>
      <c r="G605" s="43">
        <f>G604+Учет!B605-B605</f>
        <v>-488978.92000000004</v>
      </c>
      <c r="H605" s="43">
        <f>H604+Учет!C605-C605</f>
        <v>336855</v>
      </c>
      <c r="I605" s="43">
        <f>I604+Учет!D605-D605</f>
        <v>500</v>
      </c>
      <c r="J605" s="43">
        <f>J604+Учет!E605-E605</f>
        <v>1150</v>
      </c>
      <c r="K605" s="43">
        <f>K604+Учет!F605-F605</f>
        <v>500000</v>
      </c>
      <c r="L605" s="45">
        <f>Учет!I605</f>
        <v>349526.07999999996</v>
      </c>
    </row>
    <row r="606" spans="1:12" x14ac:dyDescent="0.25">
      <c r="A606" s="48" t="str">
        <f>IF(Учет!A606&lt;&gt;"",Учет!A606,"")</f>
        <v/>
      </c>
      <c r="B606" s="52">
        <f>IF(Учет!$O606=Справочники!$F$2,Учет!$H606,0)</f>
        <v>0</v>
      </c>
      <c r="C606" s="52">
        <f>IF(Учет!$O606=Справочники!$F$3,Учет!$H606,0)</f>
        <v>0</v>
      </c>
      <c r="D606" s="52">
        <f>IF(Учет!$O606=Справочники!$F$4,Учет!$H606,0)</f>
        <v>0</v>
      </c>
      <c r="E606" s="52">
        <f>IF(Учет!$O606=Справочники!$F$5,Учет!$H606,0)</f>
        <v>0</v>
      </c>
      <c r="F606" s="52">
        <f>IF(Учет!$O606=Справочники!$F$6,Учет!$H606,0)</f>
        <v>0</v>
      </c>
      <c r="G606" s="43">
        <f>G605+Учет!B606-B606</f>
        <v>-488978.92000000004</v>
      </c>
      <c r="H606" s="43">
        <f>H605+Учет!C606-C606</f>
        <v>336855</v>
      </c>
      <c r="I606" s="43">
        <f>I605+Учет!D606-D606</f>
        <v>500</v>
      </c>
      <c r="J606" s="43">
        <f>J605+Учет!E606-E606</f>
        <v>1150</v>
      </c>
      <c r="K606" s="43">
        <f>K605+Учет!F606-F606</f>
        <v>500000</v>
      </c>
      <c r="L606" s="45">
        <f>Учет!I606</f>
        <v>349526.07999999996</v>
      </c>
    </row>
    <row r="607" spans="1:12" x14ac:dyDescent="0.25">
      <c r="A607" s="48" t="str">
        <f>IF(Учет!A607&lt;&gt;"",Учет!A607,"")</f>
        <v/>
      </c>
      <c r="B607" s="52">
        <f>IF(Учет!$O607=Справочники!$F$2,Учет!$H607,0)</f>
        <v>0</v>
      </c>
      <c r="C607" s="52">
        <f>IF(Учет!$O607=Справочники!$F$3,Учет!$H607,0)</f>
        <v>0</v>
      </c>
      <c r="D607" s="52">
        <f>IF(Учет!$O607=Справочники!$F$4,Учет!$H607,0)</f>
        <v>0</v>
      </c>
      <c r="E607" s="52">
        <f>IF(Учет!$O607=Справочники!$F$5,Учет!$H607,0)</f>
        <v>0</v>
      </c>
      <c r="F607" s="52">
        <f>IF(Учет!$O607=Справочники!$F$6,Учет!$H607,0)</f>
        <v>0</v>
      </c>
      <c r="G607" s="43">
        <f>G606+Учет!B607-B607</f>
        <v>-488978.92000000004</v>
      </c>
      <c r="H607" s="43">
        <f>H606+Учет!C607-C607</f>
        <v>336855</v>
      </c>
      <c r="I607" s="43">
        <f>I606+Учет!D607-D607</f>
        <v>500</v>
      </c>
      <c r="J607" s="43">
        <f>J606+Учет!E607-E607</f>
        <v>1150</v>
      </c>
      <c r="K607" s="43">
        <f>K606+Учет!F607-F607</f>
        <v>500000</v>
      </c>
      <c r="L607" s="45">
        <f>Учет!I607</f>
        <v>349526.07999999996</v>
      </c>
    </row>
    <row r="608" spans="1:12" x14ac:dyDescent="0.25">
      <c r="A608" s="48" t="str">
        <f>IF(Учет!A608&lt;&gt;"",Учет!A608,"")</f>
        <v/>
      </c>
      <c r="B608" s="52">
        <f>IF(Учет!$O608=Справочники!$F$2,Учет!$H608,0)</f>
        <v>0</v>
      </c>
      <c r="C608" s="52">
        <f>IF(Учет!$O608=Справочники!$F$3,Учет!$H608,0)</f>
        <v>0</v>
      </c>
      <c r="D608" s="52">
        <f>IF(Учет!$O608=Справочники!$F$4,Учет!$H608,0)</f>
        <v>0</v>
      </c>
      <c r="E608" s="52">
        <f>IF(Учет!$O608=Справочники!$F$5,Учет!$H608,0)</f>
        <v>0</v>
      </c>
      <c r="F608" s="52">
        <f>IF(Учет!$O608=Справочники!$F$6,Учет!$H608,0)</f>
        <v>0</v>
      </c>
      <c r="G608" s="43">
        <f>G607+Учет!B608-B608</f>
        <v>-488978.92000000004</v>
      </c>
      <c r="H608" s="43">
        <f>H607+Учет!C608-C608</f>
        <v>336855</v>
      </c>
      <c r="I608" s="43">
        <f>I607+Учет!D608-D608</f>
        <v>500</v>
      </c>
      <c r="J608" s="43">
        <f>J607+Учет!E608-E608</f>
        <v>1150</v>
      </c>
      <c r="K608" s="43">
        <f>K607+Учет!F608-F608</f>
        <v>500000</v>
      </c>
      <c r="L608" s="45">
        <f>Учет!I608</f>
        <v>349526.07999999996</v>
      </c>
    </row>
    <row r="609" spans="1:12" x14ac:dyDescent="0.25">
      <c r="A609" s="48" t="str">
        <f>IF(Учет!A609&lt;&gt;"",Учет!A609,"")</f>
        <v/>
      </c>
      <c r="B609" s="52">
        <f>IF(Учет!$O609=Справочники!$F$2,Учет!$H609,0)</f>
        <v>0</v>
      </c>
      <c r="C609" s="52">
        <f>IF(Учет!$O609=Справочники!$F$3,Учет!$H609,0)</f>
        <v>0</v>
      </c>
      <c r="D609" s="52">
        <f>IF(Учет!$O609=Справочники!$F$4,Учет!$H609,0)</f>
        <v>0</v>
      </c>
      <c r="E609" s="52">
        <f>IF(Учет!$O609=Справочники!$F$5,Учет!$H609,0)</f>
        <v>0</v>
      </c>
      <c r="F609" s="52">
        <f>IF(Учет!$O609=Справочники!$F$6,Учет!$H609,0)</f>
        <v>0</v>
      </c>
      <c r="G609" s="43">
        <f>G608+Учет!B609-B609</f>
        <v>-488978.92000000004</v>
      </c>
      <c r="H609" s="43">
        <f>H608+Учет!C609-C609</f>
        <v>336855</v>
      </c>
      <c r="I609" s="43">
        <f>I608+Учет!D609-D609</f>
        <v>500</v>
      </c>
      <c r="J609" s="43">
        <f>J608+Учет!E609-E609</f>
        <v>1150</v>
      </c>
      <c r="K609" s="43">
        <f>K608+Учет!F609-F609</f>
        <v>500000</v>
      </c>
      <c r="L609" s="45">
        <f>Учет!I609</f>
        <v>349526.07999999996</v>
      </c>
    </row>
    <row r="610" spans="1:12" x14ac:dyDescent="0.25">
      <c r="A610" s="48" t="str">
        <f>IF(Учет!A610&lt;&gt;"",Учет!A610,"")</f>
        <v/>
      </c>
      <c r="B610" s="52">
        <f>IF(Учет!$O610=Справочники!$F$2,Учет!$H610,0)</f>
        <v>0</v>
      </c>
      <c r="C610" s="52">
        <f>IF(Учет!$O610=Справочники!$F$3,Учет!$H610,0)</f>
        <v>0</v>
      </c>
      <c r="D610" s="52">
        <f>IF(Учет!$O610=Справочники!$F$4,Учет!$H610,0)</f>
        <v>0</v>
      </c>
      <c r="E610" s="52">
        <f>IF(Учет!$O610=Справочники!$F$5,Учет!$H610,0)</f>
        <v>0</v>
      </c>
      <c r="F610" s="52">
        <f>IF(Учет!$O610=Справочники!$F$6,Учет!$H610,0)</f>
        <v>0</v>
      </c>
      <c r="G610" s="43">
        <f>G609+Учет!B610-B610</f>
        <v>-488978.92000000004</v>
      </c>
      <c r="H610" s="43">
        <f>H609+Учет!C610-C610</f>
        <v>336855</v>
      </c>
      <c r="I610" s="43">
        <f>I609+Учет!D610-D610</f>
        <v>500</v>
      </c>
      <c r="J610" s="43">
        <f>J609+Учет!E610-E610</f>
        <v>1150</v>
      </c>
      <c r="K610" s="43">
        <f>K609+Учет!F610-F610</f>
        <v>500000</v>
      </c>
      <c r="L610" s="45">
        <f>Учет!I610</f>
        <v>349526.07999999996</v>
      </c>
    </row>
    <row r="611" spans="1:12" x14ac:dyDescent="0.25">
      <c r="A611" s="48" t="str">
        <f>IF(Учет!A611&lt;&gt;"",Учет!A611,"")</f>
        <v/>
      </c>
      <c r="B611" s="52">
        <f>IF(Учет!$O611=Справочники!$F$2,Учет!$H611,0)</f>
        <v>0</v>
      </c>
      <c r="C611" s="52">
        <f>IF(Учет!$O611=Справочники!$F$3,Учет!$H611,0)</f>
        <v>0</v>
      </c>
      <c r="D611" s="52">
        <f>IF(Учет!$O611=Справочники!$F$4,Учет!$H611,0)</f>
        <v>0</v>
      </c>
      <c r="E611" s="52">
        <f>IF(Учет!$O611=Справочники!$F$5,Учет!$H611,0)</f>
        <v>0</v>
      </c>
      <c r="F611" s="52">
        <f>IF(Учет!$O611=Справочники!$F$6,Учет!$H611,0)</f>
        <v>0</v>
      </c>
      <c r="G611" s="43">
        <f>G610+Учет!B611-B611</f>
        <v>-488978.92000000004</v>
      </c>
      <c r="H611" s="43">
        <f>H610+Учет!C611-C611</f>
        <v>336855</v>
      </c>
      <c r="I611" s="43">
        <f>I610+Учет!D611-D611</f>
        <v>500</v>
      </c>
      <c r="J611" s="43">
        <f>J610+Учет!E611-E611</f>
        <v>1150</v>
      </c>
      <c r="K611" s="43">
        <f>K610+Учет!F611-F611</f>
        <v>500000</v>
      </c>
      <c r="L611" s="45">
        <f>Учет!I611</f>
        <v>349526.07999999996</v>
      </c>
    </row>
    <row r="612" spans="1:12" x14ac:dyDescent="0.25">
      <c r="A612" s="48" t="str">
        <f>IF(Учет!A612&lt;&gt;"",Учет!A612,"")</f>
        <v/>
      </c>
      <c r="B612" s="52">
        <f>IF(Учет!$O612=Справочники!$F$2,Учет!$H612,0)</f>
        <v>0</v>
      </c>
      <c r="C612" s="52">
        <f>IF(Учет!$O612=Справочники!$F$3,Учет!$H612,0)</f>
        <v>0</v>
      </c>
      <c r="D612" s="52">
        <f>IF(Учет!$O612=Справочники!$F$4,Учет!$H612,0)</f>
        <v>0</v>
      </c>
      <c r="E612" s="52">
        <f>IF(Учет!$O612=Справочники!$F$5,Учет!$H612,0)</f>
        <v>0</v>
      </c>
      <c r="F612" s="52">
        <f>IF(Учет!$O612=Справочники!$F$6,Учет!$H612,0)</f>
        <v>0</v>
      </c>
      <c r="G612" s="43">
        <f>G611+Учет!B612-B612</f>
        <v>-488978.92000000004</v>
      </c>
      <c r="H612" s="43">
        <f>H611+Учет!C612-C612</f>
        <v>336855</v>
      </c>
      <c r="I612" s="43">
        <f>I611+Учет!D612-D612</f>
        <v>500</v>
      </c>
      <c r="J612" s="43">
        <f>J611+Учет!E612-E612</f>
        <v>1150</v>
      </c>
      <c r="K612" s="43">
        <f>K611+Учет!F612-F612</f>
        <v>500000</v>
      </c>
      <c r="L612" s="45">
        <f>Учет!I612</f>
        <v>349526.07999999996</v>
      </c>
    </row>
    <row r="613" spans="1:12" x14ac:dyDescent="0.25">
      <c r="A613" s="48" t="str">
        <f>IF(Учет!A613&lt;&gt;"",Учет!A613,"")</f>
        <v/>
      </c>
      <c r="B613" s="52">
        <f>IF(Учет!$O613=Справочники!$F$2,Учет!$H613,0)</f>
        <v>0</v>
      </c>
      <c r="C613" s="52">
        <f>IF(Учет!$O613=Справочники!$F$3,Учет!$H613,0)</f>
        <v>0</v>
      </c>
      <c r="D613" s="52">
        <f>IF(Учет!$O613=Справочники!$F$4,Учет!$H613,0)</f>
        <v>0</v>
      </c>
      <c r="E613" s="52">
        <f>IF(Учет!$O613=Справочники!$F$5,Учет!$H613,0)</f>
        <v>0</v>
      </c>
      <c r="F613" s="52">
        <f>IF(Учет!$O613=Справочники!$F$6,Учет!$H613,0)</f>
        <v>0</v>
      </c>
      <c r="G613" s="43">
        <f>G612+Учет!B613-B613</f>
        <v>-488978.92000000004</v>
      </c>
      <c r="H613" s="43">
        <f>H612+Учет!C613-C613</f>
        <v>336855</v>
      </c>
      <c r="I613" s="43">
        <f>I612+Учет!D613-D613</f>
        <v>500</v>
      </c>
      <c r="J613" s="43">
        <f>J612+Учет!E613-E613</f>
        <v>1150</v>
      </c>
      <c r="K613" s="43">
        <f>K612+Учет!F613-F613</f>
        <v>500000</v>
      </c>
      <c r="L613" s="45">
        <f>Учет!I613</f>
        <v>349526.07999999996</v>
      </c>
    </row>
    <row r="614" spans="1:12" x14ac:dyDescent="0.25">
      <c r="A614" s="48" t="str">
        <f>IF(Учет!A614&lt;&gt;"",Учет!A614,"")</f>
        <v/>
      </c>
      <c r="B614" s="52">
        <f>IF(Учет!$O614=Справочники!$F$2,Учет!$H614,0)</f>
        <v>0</v>
      </c>
      <c r="C614" s="52">
        <f>IF(Учет!$O614=Справочники!$F$3,Учет!$H614,0)</f>
        <v>0</v>
      </c>
      <c r="D614" s="52">
        <f>IF(Учет!$O614=Справочники!$F$4,Учет!$H614,0)</f>
        <v>0</v>
      </c>
      <c r="E614" s="52">
        <f>IF(Учет!$O614=Справочники!$F$5,Учет!$H614,0)</f>
        <v>0</v>
      </c>
      <c r="F614" s="52">
        <f>IF(Учет!$O614=Справочники!$F$6,Учет!$H614,0)</f>
        <v>0</v>
      </c>
      <c r="G614" s="43">
        <f>G613+Учет!B614-B614</f>
        <v>-488978.92000000004</v>
      </c>
      <c r="H614" s="43">
        <f>H613+Учет!C614-C614</f>
        <v>336855</v>
      </c>
      <c r="I614" s="43">
        <f>I613+Учет!D614-D614</f>
        <v>500</v>
      </c>
      <c r="J614" s="43">
        <f>J613+Учет!E614-E614</f>
        <v>1150</v>
      </c>
      <c r="K614" s="43">
        <f>K613+Учет!F614-F614</f>
        <v>500000</v>
      </c>
      <c r="L614" s="45">
        <f>Учет!I614</f>
        <v>349526.07999999996</v>
      </c>
    </row>
    <row r="615" spans="1:12" x14ac:dyDescent="0.25">
      <c r="A615" s="48" t="str">
        <f>IF(Учет!A615&lt;&gt;"",Учет!A615,"")</f>
        <v/>
      </c>
      <c r="B615" s="52">
        <f>IF(Учет!$O615=Справочники!$F$2,Учет!$H615,0)</f>
        <v>0</v>
      </c>
      <c r="C615" s="52">
        <f>IF(Учет!$O615=Справочники!$F$3,Учет!$H615,0)</f>
        <v>0</v>
      </c>
      <c r="D615" s="52">
        <f>IF(Учет!$O615=Справочники!$F$4,Учет!$H615,0)</f>
        <v>0</v>
      </c>
      <c r="E615" s="52">
        <f>IF(Учет!$O615=Справочники!$F$5,Учет!$H615,0)</f>
        <v>0</v>
      </c>
      <c r="F615" s="52">
        <f>IF(Учет!$O615=Справочники!$F$6,Учет!$H615,0)</f>
        <v>0</v>
      </c>
      <c r="G615" s="43">
        <f>G614+Учет!B615-B615</f>
        <v>-488978.92000000004</v>
      </c>
      <c r="H615" s="43">
        <f>H614+Учет!C615-C615</f>
        <v>336855</v>
      </c>
      <c r="I615" s="43">
        <f>I614+Учет!D615-D615</f>
        <v>500</v>
      </c>
      <c r="J615" s="43">
        <f>J614+Учет!E615-E615</f>
        <v>1150</v>
      </c>
      <c r="K615" s="43">
        <f>K614+Учет!F615-F615</f>
        <v>500000</v>
      </c>
      <c r="L615" s="45">
        <f>Учет!I615</f>
        <v>349526.07999999996</v>
      </c>
    </row>
    <row r="616" spans="1:12" x14ac:dyDescent="0.25">
      <c r="A616" s="48" t="str">
        <f>IF(Учет!A616&lt;&gt;"",Учет!A616,"")</f>
        <v/>
      </c>
      <c r="B616" s="52">
        <f>IF(Учет!$O616=Справочники!$F$2,Учет!$H616,0)</f>
        <v>0</v>
      </c>
      <c r="C616" s="52">
        <f>IF(Учет!$O616=Справочники!$F$3,Учет!$H616,0)</f>
        <v>0</v>
      </c>
      <c r="D616" s="52">
        <f>IF(Учет!$O616=Справочники!$F$4,Учет!$H616,0)</f>
        <v>0</v>
      </c>
      <c r="E616" s="52">
        <f>IF(Учет!$O616=Справочники!$F$5,Учет!$H616,0)</f>
        <v>0</v>
      </c>
      <c r="F616" s="52">
        <f>IF(Учет!$O616=Справочники!$F$6,Учет!$H616,0)</f>
        <v>0</v>
      </c>
      <c r="G616" s="43">
        <f>G615+Учет!B616-B616</f>
        <v>-488978.92000000004</v>
      </c>
      <c r="H616" s="43">
        <f>H615+Учет!C616-C616</f>
        <v>336855</v>
      </c>
      <c r="I616" s="43">
        <f>I615+Учет!D616-D616</f>
        <v>500</v>
      </c>
      <c r="J616" s="43">
        <f>J615+Учет!E616-E616</f>
        <v>1150</v>
      </c>
      <c r="K616" s="43">
        <f>K615+Учет!F616-F616</f>
        <v>500000</v>
      </c>
      <c r="L616" s="45">
        <f>Учет!I616</f>
        <v>349526.07999999996</v>
      </c>
    </row>
    <row r="617" spans="1:12" x14ac:dyDescent="0.25">
      <c r="A617" s="48" t="str">
        <f>IF(Учет!A617&lt;&gt;"",Учет!A617,"")</f>
        <v/>
      </c>
      <c r="B617" s="52">
        <f>IF(Учет!$O617=Справочники!$F$2,Учет!$H617,0)</f>
        <v>0</v>
      </c>
      <c r="C617" s="52">
        <f>IF(Учет!$O617=Справочники!$F$3,Учет!$H617,0)</f>
        <v>0</v>
      </c>
      <c r="D617" s="52">
        <f>IF(Учет!$O617=Справочники!$F$4,Учет!$H617,0)</f>
        <v>0</v>
      </c>
      <c r="E617" s="52">
        <f>IF(Учет!$O617=Справочники!$F$5,Учет!$H617,0)</f>
        <v>0</v>
      </c>
      <c r="F617" s="52">
        <f>IF(Учет!$O617=Справочники!$F$6,Учет!$H617,0)</f>
        <v>0</v>
      </c>
      <c r="G617" s="43">
        <f>G616+Учет!B617-B617</f>
        <v>-488978.92000000004</v>
      </c>
      <c r="H617" s="43">
        <f>H616+Учет!C617-C617</f>
        <v>336855</v>
      </c>
      <c r="I617" s="43">
        <f>I616+Учет!D617-D617</f>
        <v>500</v>
      </c>
      <c r="J617" s="43">
        <f>J616+Учет!E617-E617</f>
        <v>1150</v>
      </c>
      <c r="K617" s="43">
        <f>K616+Учет!F617-F617</f>
        <v>500000</v>
      </c>
      <c r="L617" s="45">
        <f>Учет!I617</f>
        <v>349526.07999999996</v>
      </c>
    </row>
    <row r="618" spans="1:12" x14ac:dyDescent="0.25">
      <c r="A618" s="48" t="str">
        <f>IF(Учет!A618&lt;&gt;"",Учет!A618,"")</f>
        <v/>
      </c>
      <c r="B618" s="52">
        <f>IF(Учет!$O618=Справочники!$F$2,Учет!$H618,0)</f>
        <v>0</v>
      </c>
      <c r="C618" s="52">
        <f>IF(Учет!$O618=Справочники!$F$3,Учет!$H618,0)</f>
        <v>0</v>
      </c>
      <c r="D618" s="52">
        <f>IF(Учет!$O618=Справочники!$F$4,Учет!$H618,0)</f>
        <v>0</v>
      </c>
      <c r="E618" s="52">
        <f>IF(Учет!$O618=Справочники!$F$5,Учет!$H618,0)</f>
        <v>0</v>
      </c>
      <c r="F618" s="52">
        <f>IF(Учет!$O618=Справочники!$F$6,Учет!$H618,0)</f>
        <v>0</v>
      </c>
      <c r="G618" s="43">
        <f>G617+Учет!B618-B618</f>
        <v>-488978.92000000004</v>
      </c>
      <c r="H618" s="43">
        <f>H617+Учет!C618-C618</f>
        <v>336855</v>
      </c>
      <c r="I618" s="43">
        <f>I617+Учет!D618-D618</f>
        <v>500</v>
      </c>
      <c r="J618" s="43">
        <f>J617+Учет!E618-E618</f>
        <v>1150</v>
      </c>
      <c r="K618" s="43">
        <f>K617+Учет!F618-F618</f>
        <v>500000</v>
      </c>
      <c r="L618" s="45">
        <f>Учет!I618</f>
        <v>349526.07999999996</v>
      </c>
    </row>
    <row r="619" spans="1:12" x14ac:dyDescent="0.25">
      <c r="A619" s="48" t="str">
        <f>IF(Учет!A619&lt;&gt;"",Учет!A619,"")</f>
        <v/>
      </c>
      <c r="B619" s="52">
        <f>IF(Учет!$O619=Справочники!$F$2,Учет!$H619,0)</f>
        <v>0</v>
      </c>
      <c r="C619" s="52">
        <f>IF(Учет!$O619=Справочники!$F$3,Учет!$H619,0)</f>
        <v>0</v>
      </c>
      <c r="D619" s="52">
        <f>IF(Учет!$O619=Справочники!$F$4,Учет!$H619,0)</f>
        <v>0</v>
      </c>
      <c r="E619" s="52">
        <f>IF(Учет!$O619=Справочники!$F$5,Учет!$H619,0)</f>
        <v>0</v>
      </c>
      <c r="F619" s="52">
        <f>IF(Учет!$O619=Справочники!$F$6,Учет!$H619,0)</f>
        <v>0</v>
      </c>
      <c r="G619" s="43">
        <f>G618+Учет!B619-B619</f>
        <v>-488978.92000000004</v>
      </c>
      <c r="H619" s="43">
        <f>H618+Учет!C619-C619</f>
        <v>336855</v>
      </c>
      <c r="I619" s="43">
        <f>I618+Учет!D619-D619</f>
        <v>500</v>
      </c>
      <c r="J619" s="43">
        <f>J618+Учет!E619-E619</f>
        <v>1150</v>
      </c>
      <c r="K619" s="43">
        <f>K618+Учет!F619-F619</f>
        <v>500000</v>
      </c>
      <c r="L619" s="45">
        <f>Учет!I619</f>
        <v>349526.07999999996</v>
      </c>
    </row>
    <row r="620" spans="1:12" x14ac:dyDescent="0.25">
      <c r="A620" s="48" t="str">
        <f>IF(Учет!A620&lt;&gt;"",Учет!A620,"")</f>
        <v/>
      </c>
      <c r="B620" s="52">
        <f>IF(Учет!$O620=Справочники!$F$2,Учет!$H620,0)</f>
        <v>0</v>
      </c>
      <c r="C620" s="52">
        <f>IF(Учет!$O620=Справочники!$F$3,Учет!$H620,0)</f>
        <v>0</v>
      </c>
      <c r="D620" s="52">
        <f>IF(Учет!$O620=Справочники!$F$4,Учет!$H620,0)</f>
        <v>0</v>
      </c>
      <c r="E620" s="52">
        <f>IF(Учет!$O620=Справочники!$F$5,Учет!$H620,0)</f>
        <v>0</v>
      </c>
      <c r="F620" s="52">
        <f>IF(Учет!$O620=Справочники!$F$6,Учет!$H620,0)</f>
        <v>0</v>
      </c>
      <c r="G620" s="43">
        <f>G619+Учет!B620-B620</f>
        <v>-488978.92000000004</v>
      </c>
      <c r="H620" s="43">
        <f>H619+Учет!C620-C620</f>
        <v>336855</v>
      </c>
      <c r="I620" s="43">
        <f>I619+Учет!D620-D620</f>
        <v>500</v>
      </c>
      <c r="J620" s="43">
        <f>J619+Учет!E620-E620</f>
        <v>1150</v>
      </c>
      <c r="K620" s="43">
        <f>K619+Учет!F620-F620</f>
        <v>500000</v>
      </c>
      <c r="L620" s="45">
        <f>Учет!I620</f>
        <v>349526.07999999996</v>
      </c>
    </row>
    <row r="621" spans="1:12" x14ac:dyDescent="0.25">
      <c r="A621" s="48" t="str">
        <f>IF(Учет!A621&lt;&gt;"",Учет!A621,"")</f>
        <v/>
      </c>
      <c r="B621" s="52">
        <f>IF(Учет!$O621=Справочники!$F$2,Учет!$H621,0)</f>
        <v>0</v>
      </c>
      <c r="C621" s="52">
        <f>IF(Учет!$O621=Справочники!$F$3,Учет!$H621,0)</f>
        <v>0</v>
      </c>
      <c r="D621" s="52">
        <f>IF(Учет!$O621=Справочники!$F$4,Учет!$H621,0)</f>
        <v>0</v>
      </c>
      <c r="E621" s="52">
        <f>IF(Учет!$O621=Справочники!$F$5,Учет!$H621,0)</f>
        <v>0</v>
      </c>
      <c r="F621" s="52">
        <f>IF(Учет!$O621=Справочники!$F$6,Учет!$H621,0)</f>
        <v>0</v>
      </c>
      <c r="G621" s="43">
        <f>G620+Учет!B621-B621</f>
        <v>-488978.92000000004</v>
      </c>
      <c r="H621" s="43">
        <f>H620+Учет!C621-C621</f>
        <v>336855</v>
      </c>
      <c r="I621" s="43">
        <f>I620+Учет!D621-D621</f>
        <v>500</v>
      </c>
      <c r="J621" s="43">
        <f>J620+Учет!E621-E621</f>
        <v>1150</v>
      </c>
      <c r="K621" s="43">
        <f>K620+Учет!F621-F621</f>
        <v>500000</v>
      </c>
      <c r="L621" s="45">
        <f>Учет!I621</f>
        <v>349526.07999999996</v>
      </c>
    </row>
    <row r="622" spans="1:12" x14ac:dyDescent="0.25">
      <c r="A622" s="48" t="str">
        <f>IF(Учет!A622&lt;&gt;"",Учет!A622,"")</f>
        <v/>
      </c>
      <c r="B622" s="52">
        <f>IF(Учет!$O622=Справочники!$F$2,Учет!$H622,0)</f>
        <v>0</v>
      </c>
      <c r="C622" s="52">
        <f>IF(Учет!$O622=Справочники!$F$3,Учет!$H622,0)</f>
        <v>0</v>
      </c>
      <c r="D622" s="52">
        <f>IF(Учет!$O622=Справочники!$F$4,Учет!$H622,0)</f>
        <v>0</v>
      </c>
      <c r="E622" s="52">
        <f>IF(Учет!$O622=Справочники!$F$5,Учет!$H622,0)</f>
        <v>0</v>
      </c>
      <c r="F622" s="52">
        <f>IF(Учет!$O622=Справочники!$F$6,Учет!$H622,0)</f>
        <v>0</v>
      </c>
      <c r="G622" s="43">
        <f>G621+Учет!B622-B622</f>
        <v>-488978.92000000004</v>
      </c>
      <c r="H622" s="43">
        <f>H621+Учет!C622-C622</f>
        <v>336855</v>
      </c>
      <c r="I622" s="43">
        <f>I621+Учет!D622-D622</f>
        <v>500</v>
      </c>
      <c r="J622" s="43">
        <f>J621+Учет!E622-E622</f>
        <v>1150</v>
      </c>
      <c r="K622" s="43">
        <f>K621+Учет!F622-F622</f>
        <v>500000</v>
      </c>
      <c r="L622" s="45">
        <f>Учет!I622</f>
        <v>349526.07999999996</v>
      </c>
    </row>
    <row r="623" spans="1:12" x14ac:dyDescent="0.25">
      <c r="A623" s="48" t="str">
        <f>IF(Учет!A623&lt;&gt;"",Учет!A623,"")</f>
        <v/>
      </c>
      <c r="B623" s="52">
        <f>IF(Учет!$O623=Справочники!$F$2,Учет!$H623,0)</f>
        <v>0</v>
      </c>
      <c r="C623" s="52">
        <f>IF(Учет!$O623=Справочники!$F$3,Учет!$H623,0)</f>
        <v>0</v>
      </c>
      <c r="D623" s="52">
        <f>IF(Учет!$O623=Справочники!$F$4,Учет!$H623,0)</f>
        <v>0</v>
      </c>
      <c r="E623" s="52">
        <f>IF(Учет!$O623=Справочники!$F$5,Учет!$H623,0)</f>
        <v>0</v>
      </c>
      <c r="F623" s="52">
        <f>IF(Учет!$O623=Справочники!$F$6,Учет!$H623,0)</f>
        <v>0</v>
      </c>
      <c r="G623" s="43">
        <f>G622+Учет!B623-B623</f>
        <v>-488978.92000000004</v>
      </c>
      <c r="H623" s="43">
        <f>H622+Учет!C623-C623</f>
        <v>336855</v>
      </c>
      <c r="I623" s="43">
        <f>I622+Учет!D623-D623</f>
        <v>500</v>
      </c>
      <c r="J623" s="43">
        <f>J622+Учет!E623-E623</f>
        <v>1150</v>
      </c>
      <c r="K623" s="43">
        <f>K622+Учет!F623-F623</f>
        <v>500000</v>
      </c>
      <c r="L623" s="45">
        <f>Учет!I623</f>
        <v>349526.07999999996</v>
      </c>
    </row>
    <row r="624" spans="1:12" x14ac:dyDescent="0.25">
      <c r="A624" s="48" t="str">
        <f>IF(Учет!A624&lt;&gt;"",Учет!A624,"")</f>
        <v/>
      </c>
      <c r="B624" s="52">
        <f>IF(Учет!$O624=Справочники!$F$2,Учет!$H624,0)</f>
        <v>0</v>
      </c>
      <c r="C624" s="52">
        <f>IF(Учет!$O624=Справочники!$F$3,Учет!$H624,0)</f>
        <v>0</v>
      </c>
      <c r="D624" s="52">
        <f>IF(Учет!$O624=Справочники!$F$4,Учет!$H624,0)</f>
        <v>0</v>
      </c>
      <c r="E624" s="52">
        <f>IF(Учет!$O624=Справочники!$F$5,Учет!$H624,0)</f>
        <v>0</v>
      </c>
      <c r="F624" s="52">
        <f>IF(Учет!$O624=Справочники!$F$6,Учет!$H624,0)</f>
        <v>0</v>
      </c>
      <c r="G624" s="43">
        <f>G623+Учет!B624-B624</f>
        <v>-488978.92000000004</v>
      </c>
      <c r="H624" s="43">
        <f>H623+Учет!C624-C624</f>
        <v>336855</v>
      </c>
      <c r="I624" s="43">
        <f>I623+Учет!D624-D624</f>
        <v>500</v>
      </c>
      <c r="J624" s="43">
        <f>J623+Учет!E624-E624</f>
        <v>1150</v>
      </c>
      <c r="K624" s="43">
        <f>K623+Учет!F624-F624</f>
        <v>500000</v>
      </c>
      <c r="L624" s="45">
        <f>Учет!I624</f>
        <v>349526.07999999996</v>
      </c>
    </row>
    <row r="625" spans="1:12" x14ac:dyDescent="0.25">
      <c r="A625" s="48" t="str">
        <f>IF(Учет!A625&lt;&gt;"",Учет!A625,"")</f>
        <v/>
      </c>
      <c r="B625" s="52">
        <f>IF(Учет!$O625=Справочники!$F$2,Учет!$H625,0)</f>
        <v>0</v>
      </c>
      <c r="C625" s="52">
        <f>IF(Учет!$O625=Справочники!$F$3,Учет!$H625,0)</f>
        <v>0</v>
      </c>
      <c r="D625" s="52">
        <f>IF(Учет!$O625=Справочники!$F$4,Учет!$H625,0)</f>
        <v>0</v>
      </c>
      <c r="E625" s="52">
        <f>IF(Учет!$O625=Справочники!$F$5,Учет!$H625,0)</f>
        <v>0</v>
      </c>
      <c r="F625" s="52">
        <f>IF(Учет!$O625=Справочники!$F$6,Учет!$H625,0)</f>
        <v>0</v>
      </c>
      <c r="G625" s="43">
        <f>G624+Учет!B625-B625</f>
        <v>-488978.92000000004</v>
      </c>
      <c r="H625" s="43">
        <f>H624+Учет!C625-C625</f>
        <v>336855</v>
      </c>
      <c r="I625" s="43">
        <f>I624+Учет!D625-D625</f>
        <v>500</v>
      </c>
      <c r="J625" s="43">
        <f>J624+Учет!E625-E625</f>
        <v>1150</v>
      </c>
      <c r="K625" s="43">
        <f>K624+Учет!F625-F625</f>
        <v>500000</v>
      </c>
      <c r="L625" s="45">
        <f>Учет!I625</f>
        <v>349526.07999999996</v>
      </c>
    </row>
    <row r="626" spans="1:12" x14ac:dyDescent="0.25">
      <c r="A626" s="48" t="str">
        <f>IF(Учет!A626&lt;&gt;"",Учет!A626,"")</f>
        <v/>
      </c>
      <c r="B626" s="52">
        <f>IF(Учет!$O626=Справочники!$F$2,Учет!$H626,0)</f>
        <v>0</v>
      </c>
      <c r="C626" s="52">
        <f>IF(Учет!$O626=Справочники!$F$3,Учет!$H626,0)</f>
        <v>0</v>
      </c>
      <c r="D626" s="52">
        <f>IF(Учет!$O626=Справочники!$F$4,Учет!$H626,0)</f>
        <v>0</v>
      </c>
      <c r="E626" s="52">
        <f>IF(Учет!$O626=Справочники!$F$5,Учет!$H626,0)</f>
        <v>0</v>
      </c>
      <c r="F626" s="52">
        <f>IF(Учет!$O626=Справочники!$F$6,Учет!$H626,0)</f>
        <v>0</v>
      </c>
      <c r="G626" s="43">
        <f>G625+Учет!B626-B626</f>
        <v>-488978.92000000004</v>
      </c>
      <c r="H626" s="43">
        <f>H625+Учет!C626-C626</f>
        <v>336855</v>
      </c>
      <c r="I626" s="43">
        <f>I625+Учет!D626-D626</f>
        <v>500</v>
      </c>
      <c r="J626" s="43">
        <f>J625+Учет!E626-E626</f>
        <v>1150</v>
      </c>
      <c r="K626" s="43">
        <f>K625+Учет!F626-F626</f>
        <v>500000</v>
      </c>
      <c r="L626" s="45">
        <f>Учет!I626</f>
        <v>349526.07999999996</v>
      </c>
    </row>
    <row r="627" spans="1:12" x14ac:dyDescent="0.25">
      <c r="A627" s="48" t="str">
        <f>IF(Учет!A627&lt;&gt;"",Учет!A627,"")</f>
        <v/>
      </c>
      <c r="B627" s="52">
        <f>IF(Учет!$O627=Справочники!$F$2,Учет!$H627,0)</f>
        <v>0</v>
      </c>
      <c r="C627" s="52">
        <f>IF(Учет!$O627=Справочники!$F$3,Учет!$H627,0)</f>
        <v>0</v>
      </c>
      <c r="D627" s="52">
        <f>IF(Учет!$O627=Справочники!$F$4,Учет!$H627,0)</f>
        <v>0</v>
      </c>
      <c r="E627" s="52">
        <f>IF(Учет!$O627=Справочники!$F$5,Учет!$H627,0)</f>
        <v>0</v>
      </c>
      <c r="F627" s="52">
        <f>IF(Учет!$O627=Справочники!$F$6,Учет!$H627,0)</f>
        <v>0</v>
      </c>
      <c r="G627" s="43">
        <f>G626+Учет!B627-B627</f>
        <v>-488978.92000000004</v>
      </c>
      <c r="H627" s="43">
        <f>H626+Учет!C627-C627</f>
        <v>336855</v>
      </c>
      <c r="I627" s="43">
        <f>I626+Учет!D627-D627</f>
        <v>500</v>
      </c>
      <c r="J627" s="43">
        <f>J626+Учет!E627-E627</f>
        <v>1150</v>
      </c>
      <c r="K627" s="43">
        <f>K626+Учет!F627-F627</f>
        <v>500000</v>
      </c>
      <c r="L627" s="45">
        <f>Учет!I627</f>
        <v>349526.07999999996</v>
      </c>
    </row>
    <row r="628" spans="1:12" x14ac:dyDescent="0.25">
      <c r="A628" s="48" t="str">
        <f>IF(Учет!A628&lt;&gt;"",Учет!A628,"")</f>
        <v/>
      </c>
      <c r="B628" s="52">
        <f>IF(Учет!$O628=Справочники!$F$2,Учет!$H628,0)</f>
        <v>0</v>
      </c>
      <c r="C628" s="52">
        <f>IF(Учет!$O628=Справочники!$F$3,Учет!$H628,0)</f>
        <v>0</v>
      </c>
      <c r="D628" s="52">
        <f>IF(Учет!$O628=Справочники!$F$4,Учет!$H628,0)</f>
        <v>0</v>
      </c>
      <c r="E628" s="52">
        <f>IF(Учет!$O628=Справочники!$F$5,Учет!$H628,0)</f>
        <v>0</v>
      </c>
      <c r="F628" s="52">
        <f>IF(Учет!$O628=Справочники!$F$6,Учет!$H628,0)</f>
        <v>0</v>
      </c>
      <c r="G628" s="43">
        <f>G627+Учет!B628-B628</f>
        <v>-488978.92000000004</v>
      </c>
      <c r="H628" s="43">
        <f>H627+Учет!C628-C628</f>
        <v>336855</v>
      </c>
      <c r="I628" s="43">
        <f>I627+Учет!D628-D628</f>
        <v>500</v>
      </c>
      <c r="J628" s="43">
        <f>J627+Учет!E628-E628</f>
        <v>1150</v>
      </c>
      <c r="K628" s="43">
        <f>K627+Учет!F628-F628</f>
        <v>500000</v>
      </c>
      <c r="L628" s="45">
        <f>Учет!I628</f>
        <v>349526.07999999996</v>
      </c>
    </row>
    <row r="629" spans="1:12" x14ac:dyDescent="0.25">
      <c r="A629" s="48" t="str">
        <f>IF(Учет!A629&lt;&gt;"",Учет!A629,"")</f>
        <v/>
      </c>
      <c r="B629" s="52">
        <f>IF(Учет!$O629=Справочники!$F$2,Учет!$H629,0)</f>
        <v>0</v>
      </c>
      <c r="C629" s="52">
        <f>IF(Учет!$O629=Справочники!$F$3,Учет!$H629,0)</f>
        <v>0</v>
      </c>
      <c r="D629" s="52">
        <f>IF(Учет!$O629=Справочники!$F$4,Учет!$H629,0)</f>
        <v>0</v>
      </c>
      <c r="E629" s="52">
        <f>IF(Учет!$O629=Справочники!$F$5,Учет!$H629,0)</f>
        <v>0</v>
      </c>
      <c r="F629" s="52">
        <f>IF(Учет!$O629=Справочники!$F$6,Учет!$H629,0)</f>
        <v>0</v>
      </c>
      <c r="G629" s="43">
        <f>G628+Учет!B629-B629</f>
        <v>-488978.92000000004</v>
      </c>
      <c r="H629" s="43">
        <f>H628+Учет!C629-C629</f>
        <v>336855</v>
      </c>
      <c r="I629" s="43">
        <f>I628+Учет!D629-D629</f>
        <v>500</v>
      </c>
      <c r="J629" s="43">
        <f>J628+Учет!E629-E629</f>
        <v>1150</v>
      </c>
      <c r="K629" s="43">
        <f>K628+Учет!F629-F629</f>
        <v>500000</v>
      </c>
      <c r="L629" s="45">
        <f>Учет!I629</f>
        <v>349526.07999999996</v>
      </c>
    </row>
    <row r="630" spans="1:12" x14ac:dyDescent="0.25">
      <c r="A630" s="48" t="str">
        <f>IF(Учет!A630&lt;&gt;"",Учет!A630,"")</f>
        <v/>
      </c>
      <c r="B630" s="52">
        <f>IF(Учет!$O630=Справочники!$F$2,Учет!$H630,0)</f>
        <v>0</v>
      </c>
      <c r="C630" s="52">
        <f>IF(Учет!$O630=Справочники!$F$3,Учет!$H630,0)</f>
        <v>0</v>
      </c>
      <c r="D630" s="52">
        <f>IF(Учет!$O630=Справочники!$F$4,Учет!$H630,0)</f>
        <v>0</v>
      </c>
      <c r="E630" s="52">
        <f>IF(Учет!$O630=Справочники!$F$5,Учет!$H630,0)</f>
        <v>0</v>
      </c>
      <c r="F630" s="52">
        <f>IF(Учет!$O630=Справочники!$F$6,Учет!$H630,0)</f>
        <v>0</v>
      </c>
      <c r="G630" s="43">
        <f>G629+Учет!B630-B630</f>
        <v>-488978.92000000004</v>
      </c>
      <c r="H630" s="43">
        <f>H629+Учет!C630-C630</f>
        <v>336855</v>
      </c>
      <c r="I630" s="43">
        <f>I629+Учет!D630-D630</f>
        <v>500</v>
      </c>
      <c r="J630" s="43">
        <f>J629+Учет!E630-E630</f>
        <v>1150</v>
      </c>
      <c r="K630" s="43">
        <f>K629+Учет!F630-F630</f>
        <v>500000</v>
      </c>
      <c r="L630" s="45">
        <f>Учет!I630</f>
        <v>349526.07999999996</v>
      </c>
    </row>
    <row r="631" spans="1:12" x14ac:dyDescent="0.25">
      <c r="A631" s="48" t="str">
        <f>IF(Учет!A631&lt;&gt;"",Учет!A631,"")</f>
        <v/>
      </c>
      <c r="B631" s="52">
        <f>IF(Учет!$O631=Справочники!$F$2,Учет!$H631,0)</f>
        <v>0</v>
      </c>
      <c r="C631" s="52">
        <f>IF(Учет!$O631=Справочники!$F$3,Учет!$H631,0)</f>
        <v>0</v>
      </c>
      <c r="D631" s="52">
        <f>IF(Учет!$O631=Справочники!$F$4,Учет!$H631,0)</f>
        <v>0</v>
      </c>
      <c r="E631" s="52">
        <f>IF(Учет!$O631=Справочники!$F$5,Учет!$H631,0)</f>
        <v>0</v>
      </c>
      <c r="F631" s="52">
        <f>IF(Учет!$O631=Справочники!$F$6,Учет!$H631,0)</f>
        <v>0</v>
      </c>
      <c r="G631" s="43">
        <f>G630+Учет!B631-B631</f>
        <v>-488978.92000000004</v>
      </c>
      <c r="H631" s="43">
        <f>H630+Учет!C631-C631</f>
        <v>336855</v>
      </c>
      <c r="I631" s="43">
        <f>I630+Учет!D631-D631</f>
        <v>500</v>
      </c>
      <c r="J631" s="43">
        <f>J630+Учет!E631-E631</f>
        <v>1150</v>
      </c>
      <c r="K631" s="43">
        <f>K630+Учет!F631-F631</f>
        <v>500000</v>
      </c>
      <c r="L631" s="45">
        <f>Учет!I631</f>
        <v>349526.07999999996</v>
      </c>
    </row>
    <row r="632" spans="1:12" x14ac:dyDescent="0.25">
      <c r="A632" s="48" t="str">
        <f>IF(Учет!A632&lt;&gt;"",Учет!A632,"")</f>
        <v/>
      </c>
      <c r="B632" s="52">
        <f>IF(Учет!$O632=Справочники!$F$2,Учет!$H632,0)</f>
        <v>0</v>
      </c>
      <c r="C632" s="52">
        <f>IF(Учет!$O632=Справочники!$F$3,Учет!$H632,0)</f>
        <v>0</v>
      </c>
      <c r="D632" s="52">
        <f>IF(Учет!$O632=Справочники!$F$4,Учет!$H632,0)</f>
        <v>0</v>
      </c>
      <c r="E632" s="52">
        <f>IF(Учет!$O632=Справочники!$F$5,Учет!$H632,0)</f>
        <v>0</v>
      </c>
      <c r="F632" s="52">
        <f>IF(Учет!$O632=Справочники!$F$6,Учет!$H632,0)</f>
        <v>0</v>
      </c>
      <c r="G632" s="43">
        <f>G631+Учет!B632-B632</f>
        <v>-488978.92000000004</v>
      </c>
      <c r="H632" s="43">
        <f>H631+Учет!C632-C632</f>
        <v>336855</v>
      </c>
      <c r="I632" s="43">
        <f>I631+Учет!D632-D632</f>
        <v>500</v>
      </c>
      <c r="J632" s="43">
        <f>J631+Учет!E632-E632</f>
        <v>1150</v>
      </c>
      <c r="K632" s="43">
        <f>K631+Учет!F632-F632</f>
        <v>500000</v>
      </c>
      <c r="L632" s="45">
        <f>Учет!I632</f>
        <v>349526.07999999996</v>
      </c>
    </row>
    <row r="633" spans="1:12" x14ac:dyDescent="0.25">
      <c r="A633" s="48" t="str">
        <f>IF(Учет!A633&lt;&gt;"",Учет!A633,"")</f>
        <v/>
      </c>
      <c r="B633" s="52">
        <f>IF(Учет!$O633=Справочники!$F$2,Учет!$H633,0)</f>
        <v>0</v>
      </c>
      <c r="C633" s="52">
        <f>IF(Учет!$O633=Справочники!$F$3,Учет!$H633,0)</f>
        <v>0</v>
      </c>
      <c r="D633" s="52">
        <f>IF(Учет!$O633=Справочники!$F$4,Учет!$H633,0)</f>
        <v>0</v>
      </c>
      <c r="E633" s="52">
        <f>IF(Учет!$O633=Справочники!$F$5,Учет!$H633,0)</f>
        <v>0</v>
      </c>
      <c r="F633" s="52">
        <f>IF(Учет!$O633=Справочники!$F$6,Учет!$H633,0)</f>
        <v>0</v>
      </c>
      <c r="G633" s="43">
        <f>G632+Учет!B633-B633</f>
        <v>-488978.92000000004</v>
      </c>
      <c r="H633" s="43">
        <f>H632+Учет!C633-C633</f>
        <v>336855</v>
      </c>
      <c r="I633" s="43">
        <f>I632+Учет!D633-D633</f>
        <v>500</v>
      </c>
      <c r="J633" s="43">
        <f>J632+Учет!E633-E633</f>
        <v>1150</v>
      </c>
      <c r="K633" s="43">
        <f>K632+Учет!F633-F633</f>
        <v>500000</v>
      </c>
      <c r="L633" s="45">
        <f>Учет!I633</f>
        <v>349526.07999999996</v>
      </c>
    </row>
    <row r="634" spans="1:12" x14ac:dyDescent="0.25">
      <c r="A634" s="48" t="str">
        <f>IF(Учет!A634&lt;&gt;"",Учет!A634,"")</f>
        <v/>
      </c>
      <c r="B634" s="52">
        <f>IF(Учет!$O634=Справочники!$F$2,Учет!$H634,0)</f>
        <v>0</v>
      </c>
      <c r="C634" s="52">
        <f>IF(Учет!$O634=Справочники!$F$3,Учет!$H634,0)</f>
        <v>0</v>
      </c>
      <c r="D634" s="52">
        <f>IF(Учет!$O634=Справочники!$F$4,Учет!$H634,0)</f>
        <v>0</v>
      </c>
      <c r="E634" s="52">
        <f>IF(Учет!$O634=Справочники!$F$5,Учет!$H634,0)</f>
        <v>0</v>
      </c>
      <c r="F634" s="52">
        <f>IF(Учет!$O634=Справочники!$F$6,Учет!$H634,0)</f>
        <v>0</v>
      </c>
      <c r="G634" s="43">
        <f>G633+Учет!B634-B634</f>
        <v>-488978.92000000004</v>
      </c>
      <c r="H634" s="43">
        <f>H633+Учет!C634-C634</f>
        <v>336855</v>
      </c>
      <c r="I634" s="43">
        <f>I633+Учет!D634-D634</f>
        <v>500</v>
      </c>
      <c r="J634" s="43">
        <f>J633+Учет!E634-E634</f>
        <v>1150</v>
      </c>
      <c r="K634" s="43">
        <f>K633+Учет!F634-F634</f>
        <v>500000</v>
      </c>
      <c r="L634" s="45">
        <f>Учет!I634</f>
        <v>349526.07999999996</v>
      </c>
    </row>
    <row r="635" spans="1:12" x14ac:dyDescent="0.25">
      <c r="A635" s="48" t="str">
        <f>IF(Учет!A635&lt;&gt;"",Учет!A635,"")</f>
        <v/>
      </c>
      <c r="B635" s="52">
        <f>IF(Учет!$O635=Справочники!$F$2,Учет!$H635,0)</f>
        <v>0</v>
      </c>
      <c r="C635" s="52">
        <f>IF(Учет!$O635=Справочники!$F$3,Учет!$H635,0)</f>
        <v>0</v>
      </c>
      <c r="D635" s="52">
        <f>IF(Учет!$O635=Справочники!$F$4,Учет!$H635,0)</f>
        <v>0</v>
      </c>
      <c r="E635" s="52">
        <f>IF(Учет!$O635=Справочники!$F$5,Учет!$H635,0)</f>
        <v>0</v>
      </c>
      <c r="F635" s="52">
        <f>IF(Учет!$O635=Справочники!$F$6,Учет!$H635,0)</f>
        <v>0</v>
      </c>
      <c r="G635" s="43">
        <f>G634+Учет!B635-B635</f>
        <v>-488978.92000000004</v>
      </c>
      <c r="H635" s="43">
        <f>H634+Учет!C635-C635</f>
        <v>336855</v>
      </c>
      <c r="I635" s="43">
        <f>I634+Учет!D635-D635</f>
        <v>500</v>
      </c>
      <c r="J635" s="43">
        <f>J634+Учет!E635-E635</f>
        <v>1150</v>
      </c>
      <c r="K635" s="43">
        <f>K634+Учет!F635-F635</f>
        <v>500000</v>
      </c>
      <c r="L635" s="45">
        <f>Учет!I635</f>
        <v>349526.07999999996</v>
      </c>
    </row>
    <row r="636" spans="1:12" x14ac:dyDescent="0.25">
      <c r="A636" s="48" t="str">
        <f>IF(Учет!A636&lt;&gt;"",Учет!A636,"")</f>
        <v/>
      </c>
      <c r="B636" s="52">
        <f>IF(Учет!$O636=Справочники!$F$2,Учет!$H636,0)</f>
        <v>0</v>
      </c>
      <c r="C636" s="52">
        <f>IF(Учет!$O636=Справочники!$F$3,Учет!$H636,0)</f>
        <v>0</v>
      </c>
      <c r="D636" s="52">
        <f>IF(Учет!$O636=Справочники!$F$4,Учет!$H636,0)</f>
        <v>0</v>
      </c>
      <c r="E636" s="52">
        <f>IF(Учет!$O636=Справочники!$F$5,Учет!$H636,0)</f>
        <v>0</v>
      </c>
      <c r="F636" s="52">
        <f>IF(Учет!$O636=Справочники!$F$6,Учет!$H636,0)</f>
        <v>0</v>
      </c>
      <c r="G636" s="43">
        <f>G635+Учет!B636-B636</f>
        <v>-488978.92000000004</v>
      </c>
      <c r="H636" s="43">
        <f>H635+Учет!C636-C636</f>
        <v>336855</v>
      </c>
      <c r="I636" s="43">
        <f>I635+Учет!D636-D636</f>
        <v>500</v>
      </c>
      <c r="J636" s="43">
        <f>J635+Учет!E636-E636</f>
        <v>1150</v>
      </c>
      <c r="K636" s="43">
        <f>K635+Учет!F636-F636</f>
        <v>500000</v>
      </c>
      <c r="L636" s="45">
        <f>Учет!I636</f>
        <v>349526.07999999996</v>
      </c>
    </row>
    <row r="637" spans="1:12" x14ac:dyDescent="0.25">
      <c r="A637" s="48" t="str">
        <f>IF(Учет!A637&lt;&gt;"",Учет!A637,"")</f>
        <v/>
      </c>
      <c r="B637" s="52">
        <f>IF(Учет!$O637=Справочники!$F$2,Учет!$H637,0)</f>
        <v>0</v>
      </c>
      <c r="C637" s="52">
        <f>IF(Учет!$O637=Справочники!$F$3,Учет!$H637,0)</f>
        <v>0</v>
      </c>
      <c r="D637" s="52">
        <f>IF(Учет!$O637=Справочники!$F$4,Учет!$H637,0)</f>
        <v>0</v>
      </c>
      <c r="E637" s="52">
        <f>IF(Учет!$O637=Справочники!$F$5,Учет!$H637,0)</f>
        <v>0</v>
      </c>
      <c r="F637" s="52">
        <f>IF(Учет!$O637=Справочники!$F$6,Учет!$H637,0)</f>
        <v>0</v>
      </c>
      <c r="G637" s="43">
        <f>G636+Учет!B637-B637</f>
        <v>-488978.92000000004</v>
      </c>
      <c r="H637" s="43">
        <f>H636+Учет!C637-C637</f>
        <v>336855</v>
      </c>
      <c r="I637" s="43">
        <f>I636+Учет!D637-D637</f>
        <v>500</v>
      </c>
      <c r="J637" s="43">
        <f>J636+Учет!E637-E637</f>
        <v>1150</v>
      </c>
      <c r="K637" s="43">
        <f>K636+Учет!F637-F637</f>
        <v>500000</v>
      </c>
      <c r="L637" s="45">
        <f>Учет!I637</f>
        <v>349526.07999999996</v>
      </c>
    </row>
    <row r="638" spans="1:12" x14ac:dyDescent="0.25">
      <c r="A638" s="48" t="str">
        <f>IF(Учет!A638&lt;&gt;"",Учет!A638,"")</f>
        <v/>
      </c>
      <c r="B638" s="52">
        <f>IF(Учет!$O638=Справочники!$F$2,Учет!$H638,0)</f>
        <v>0</v>
      </c>
      <c r="C638" s="52">
        <f>IF(Учет!$O638=Справочники!$F$3,Учет!$H638,0)</f>
        <v>0</v>
      </c>
      <c r="D638" s="52">
        <f>IF(Учет!$O638=Справочники!$F$4,Учет!$H638,0)</f>
        <v>0</v>
      </c>
      <c r="E638" s="52">
        <f>IF(Учет!$O638=Справочники!$F$5,Учет!$H638,0)</f>
        <v>0</v>
      </c>
      <c r="F638" s="52">
        <f>IF(Учет!$O638=Справочники!$F$6,Учет!$H638,0)</f>
        <v>0</v>
      </c>
      <c r="G638" s="43">
        <f>G637+Учет!B638-B638</f>
        <v>-488978.92000000004</v>
      </c>
      <c r="H638" s="43">
        <f>H637+Учет!C638-C638</f>
        <v>336855</v>
      </c>
      <c r="I638" s="43">
        <f>I637+Учет!D638-D638</f>
        <v>500</v>
      </c>
      <c r="J638" s="43">
        <f>J637+Учет!E638-E638</f>
        <v>1150</v>
      </c>
      <c r="K638" s="43">
        <f>K637+Учет!F638-F638</f>
        <v>500000</v>
      </c>
      <c r="L638" s="45">
        <f>Учет!I638</f>
        <v>349526.07999999996</v>
      </c>
    </row>
    <row r="639" spans="1:12" x14ac:dyDescent="0.25">
      <c r="A639" s="48" t="str">
        <f>IF(Учет!A639&lt;&gt;"",Учет!A639,"")</f>
        <v/>
      </c>
      <c r="B639" s="52">
        <f>IF(Учет!$O639=Справочники!$F$2,Учет!$H639,0)</f>
        <v>0</v>
      </c>
      <c r="C639" s="52">
        <f>IF(Учет!$O639=Справочники!$F$3,Учет!$H639,0)</f>
        <v>0</v>
      </c>
      <c r="D639" s="52">
        <f>IF(Учет!$O639=Справочники!$F$4,Учет!$H639,0)</f>
        <v>0</v>
      </c>
      <c r="E639" s="52">
        <f>IF(Учет!$O639=Справочники!$F$5,Учет!$H639,0)</f>
        <v>0</v>
      </c>
      <c r="F639" s="52">
        <f>IF(Учет!$O639=Справочники!$F$6,Учет!$H639,0)</f>
        <v>0</v>
      </c>
      <c r="G639" s="43">
        <f>G638+Учет!B639-B639</f>
        <v>-488978.92000000004</v>
      </c>
      <c r="H639" s="43">
        <f>H638+Учет!C639-C639</f>
        <v>336855</v>
      </c>
      <c r="I639" s="43">
        <f>I638+Учет!D639-D639</f>
        <v>500</v>
      </c>
      <c r="J639" s="43">
        <f>J638+Учет!E639-E639</f>
        <v>1150</v>
      </c>
      <c r="K639" s="43">
        <f>K638+Учет!F639-F639</f>
        <v>500000</v>
      </c>
      <c r="L639" s="45">
        <f>Учет!I639</f>
        <v>349526.07999999996</v>
      </c>
    </row>
    <row r="640" spans="1:12" x14ac:dyDescent="0.25">
      <c r="A640" s="48" t="str">
        <f>IF(Учет!A640&lt;&gt;"",Учет!A640,"")</f>
        <v/>
      </c>
      <c r="B640" s="52">
        <f>IF(Учет!$O640=Справочники!$F$2,Учет!$H640,0)</f>
        <v>0</v>
      </c>
      <c r="C640" s="52">
        <f>IF(Учет!$O640=Справочники!$F$3,Учет!$H640,0)</f>
        <v>0</v>
      </c>
      <c r="D640" s="52">
        <f>IF(Учет!$O640=Справочники!$F$4,Учет!$H640,0)</f>
        <v>0</v>
      </c>
      <c r="E640" s="52">
        <f>IF(Учет!$O640=Справочники!$F$5,Учет!$H640,0)</f>
        <v>0</v>
      </c>
      <c r="F640" s="52">
        <f>IF(Учет!$O640=Справочники!$F$6,Учет!$H640,0)</f>
        <v>0</v>
      </c>
      <c r="G640" s="43">
        <f>G639+Учет!B640-B640</f>
        <v>-488978.92000000004</v>
      </c>
      <c r="H640" s="43">
        <f>H639+Учет!C640-C640</f>
        <v>336855</v>
      </c>
      <c r="I640" s="43">
        <f>I639+Учет!D640-D640</f>
        <v>500</v>
      </c>
      <c r="J640" s="43">
        <f>J639+Учет!E640-E640</f>
        <v>1150</v>
      </c>
      <c r="K640" s="43">
        <f>K639+Учет!F640-F640</f>
        <v>500000</v>
      </c>
      <c r="L640" s="45">
        <f>Учет!I640</f>
        <v>349526.07999999996</v>
      </c>
    </row>
    <row r="641" spans="1:12" x14ac:dyDescent="0.25">
      <c r="A641" s="48" t="str">
        <f>IF(Учет!A641&lt;&gt;"",Учет!A641,"")</f>
        <v/>
      </c>
      <c r="B641" s="52">
        <f>IF(Учет!$O641=Справочники!$F$2,Учет!$H641,0)</f>
        <v>0</v>
      </c>
      <c r="C641" s="52">
        <f>IF(Учет!$O641=Справочники!$F$3,Учет!$H641,0)</f>
        <v>0</v>
      </c>
      <c r="D641" s="52">
        <f>IF(Учет!$O641=Справочники!$F$4,Учет!$H641,0)</f>
        <v>0</v>
      </c>
      <c r="E641" s="52">
        <f>IF(Учет!$O641=Справочники!$F$5,Учет!$H641,0)</f>
        <v>0</v>
      </c>
      <c r="F641" s="52">
        <f>IF(Учет!$O641=Справочники!$F$6,Учет!$H641,0)</f>
        <v>0</v>
      </c>
      <c r="G641" s="43">
        <f>G640+Учет!B641-B641</f>
        <v>-488978.92000000004</v>
      </c>
      <c r="H641" s="43">
        <f>H640+Учет!C641-C641</f>
        <v>336855</v>
      </c>
      <c r="I641" s="43">
        <f>I640+Учет!D641-D641</f>
        <v>500</v>
      </c>
      <c r="J641" s="43">
        <f>J640+Учет!E641-E641</f>
        <v>1150</v>
      </c>
      <c r="K641" s="43">
        <f>K640+Учет!F641-F641</f>
        <v>500000</v>
      </c>
      <c r="L641" s="45">
        <f>Учет!I641</f>
        <v>349526.07999999996</v>
      </c>
    </row>
    <row r="642" spans="1:12" x14ac:dyDescent="0.25">
      <c r="A642" s="48" t="str">
        <f>IF(Учет!A642&lt;&gt;"",Учет!A642,"")</f>
        <v/>
      </c>
      <c r="B642" s="52">
        <f>IF(Учет!$O642=Справочники!$F$2,Учет!$H642,0)</f>
        <v>0</v>
      </c>
      <c r="C642" s="52">
        <f>IF(Учет!$O642=Справочники!$F$3,Учет!$H642,0)</f>
        <v>0</v>
      </c>
      <c r="D642" s="52">
        <f>IF(Учет!$O642=Справочники!$F$4,Учет!$H642,0)</f>
        <v>0</v>
      </c>
      <c r="E642" s="52">
        <f>IF(Учет!$O642=Справочники!$F$5,Учет!$H642,0)</f>
        <v>0</v>
      </c>
      <c r="F642" s="52">
        <f>IF(Учет!$O642=Справочники!$F$6,Учет!$H642,0)</f>
        <v>0</v>
      </c>
      <c r="G642" s="43">
        <f>G641+Учет!B642-B642</f>
        <v>-488978.92000000004</v>
      </c>
      <c r="H642" s="43">
        <f>H641+Учет!C642-C642</f>
        <v>336855</v>
      </c>
      <c r="I642" s="43">
        <f>I641+Учет!D642-D642</f>
        <v>500</v>
      </c>
      <c r="J642" s="43">
        <f>J641+Учет!E642-E642</f>
        <v>1150</v>
      </c>
      <c r="K642" s="43">
        <f>K641+Учет!F642-F642</f>
        <v>500000</v>
      </c>
      <c r="L642" s="45">
        <f>Учет!I642</f>
        <v>349526.07999999996</v>
      </c>
    </row>
    <row r="643" spans="1:12" x14ac:dyDescent="0.25">
      <c r="A643" s="48" t="str">
        <f>IF(Учет!A643&lt;&gt;"",Учет!A643,"")</f>
        <v/>
      </c>
      <c r="B643" s="52">
        <f>IF(Учет!$O643=Справочники!$F$2,Учет!$H643,0)</f>
        <v>0</v>
      </c>
      <c r="C643" s="52">
        <f>IF(Учет!$O643=Справочники!$F$3,Учет!$H643,0)</f>
        <v>0</v>
      </c>
      <c r="D643" s="52">
        <f>IF(Учет!$O643=Справочники!$F$4,Учет!$H643,0)</f>
        <v>0</v>
      </c>
      <c r="E643" s="52">
        <f>IF(Учет!$O643=Справочники!$F$5,Учет!$H643,0)</f>
        <v>0</v>
      </c>
      <c r="F643" s="52">
        <f>IF(Учет!$O643=Справочники!$F$6,Учет!$H643,0)</f>
        <v>0</v>
      </c>
      <c r="G643" s="43">
        <f>G642+Учет!B643-B643</f>
        <v>-488978.92000000004</v>
      </c>
      <c r="H643" s="43">
        <f>H642+Учет!C643-C643</f>
        <v>336855</v>
      </c>
      <c r="I643" s="43">
        <f>I642+Учет!D643-D643</f>
        <v>500</v>
      </c>
      <c r="J643" s="43">
        <f>J642+Учет!E643-E643</f>
        <v>1150</v>
      </c>
      <c r="K643" s="43">
        <f>K642+Учет!F643-F643</f>
        <v>500000</v>
      </c>
      <c r="L643" s="45">
        <f>Учет!I643</f>
        <v>349526.07999999996</v>
      </c>
    </row>
    <row r="644" spans="1:12" x14ac:dyDescent="0.25">
      <c r="A644" s="48" t="str">
        <f>IF(Учет!A644&lt;&gt;"",Учет!A644,"")</f>
        <v/>
      </c>
      <c r="B644" s="52">
        <f>IF(Учет!$O644=Справочники!$F$2,Учет!$H644,0)</f>
        <v>0</v>
      </c>
      <c r="C644" s="52">
        <f>IF(Учет!$O644=Справочники!$F$3,Учет!$H644,0)</f>
        <v>0</v>
      </c>
      <c r="D644" s="52">
        <f>IF(Учет!$O644=Справочники!$F$4,Учет!$H644,0)</f>
        <v>0</v>
      </c>
      <c r="E644" s="52">
        <f>IF(Учет!$O644=Справочники!$F$5,Учет!$H644,0)</f>
        <v>0</v>
      </c>
      <c r="F644" s="52">
        <f>IF(Учет!$O644=Справочники!$F$6,Учет!$H644,0)</f>
        <v>0</v>
      </c>
      <c r="G644" s="43">
        <f>G643+Учет!B644-B644</f>
        <v>-488978.92000000004</v>
      </c>
      <c r="H644" s="43">
        <f>H643+Учет!C644-C644</f>
        <v>336855</v>
      </c>
      <c r="I644" s="43">
        <f>I643+Учет!D644-D644</f>
        <v>500</v>
      </c>
      <c r="J644" s="43">
        <f>J643+Учет!E644-E644</f>
        <v>1150</v>
      </c>
      <c r="K644" s="43">
        <f>K643+Учет!F644-F644</f>
        <v>500000</v>
      </c>
      <c r="L644" s="45">
        <f>Учет!I644</f>
        <v>349526.07999999996</v>
      </c>
    </row>
    <row r="645" spans="1:12" x14ac:dyDescent="0.25">
      <c r="A645" s="48" t="str">
        <f>IF(Учет!A645&lt;&gt;"",Учет!A645,"")</f>
        <v/>
      </c>
      <c r="B645" s="52">
        <f>IF(Учет!$O645=Справочники!$F$2,Учет!$H645,0)</f>
        <v>0</v>
      </c>
      <c r="C645" s="52">
        <f>IF(Учет!$O645=Справочники!$F$3,Учет!$H645,0)</f>
        <v>0</v>
      </c>
      <c r="D645" s="52">
        <f>IF(Учет!$O645=Справочники!$F$4,Учет!$H645,0)</f>
        <v>0</v>
      </c>
      <c r="E645" s="52">
        <f>IF(Учет!$O645=Справочники!$F$5,Учет!$H645,0)</f>
        <v>0</v>
      </c>
      <c r="F645" s="52">
        <f>IF(Учет!$O645=Справочники!$F$6,Учет!$H645,0)</f>
        <v>0</v>
      </c>
      <c r="G645" s="43">
        <f>G644+Учет!B645-B645</f>
        <v>-488978.92000000004</v>
      </c>
      <c r="H645" s="43">
        <f>H644+Учет!C645-C645</f>
        <v>336855</v>
      </c>
      <c r="I645" s="43">
        <f>I644+Учет!D645-D645</f>
        <v>500</v>
      </c>
      <c r="J645" s="43">
        <f>J644+Учет!E645-E645</f>
        <v>1150</v>
      </c>
      <c r="K645" s="43">
        <f>K644+Учет!F645-F645</f>
        <v>500000</v>
      </c>
      <c r="L645" s="45">
        <f>Учет!I645</f>
        <v>349526.07999999996</v>
      </c>
    </row>
    <row r="646" spans="1:12" x14ac:dyDescent="0.25">
      <c r="A646" s="48" t="str">
        <f>IF(Учет!A646&lt;&gt;"",Учет!A646,"")</f>
        <v/>
      </c>
      <c r="B646" s="52">
        <f>IF(Учет!$O646=Справочники!$F$2,Учет!$H646,0)</f>
        <v>0</v>
      </c>
      <c r="C646" s="52">
        <f>IF(Учет!$O646=Справочники!$F$3,Учет!$H646,0)</f>
        <v>0</v>
      </c>
      <c r="D646" s="52">
        <f>IF(Учет!$O646=Справочники!$F$4,Учет!$H646,0)</f>
        <v>0</v>
      </c>
      <c r="E646" s="52">
        <f>IF(Учет!$O646=Справочники!$F$5,Учет!$H646,0)</f>
        <v>0</v>
      </c>
      <c r="F646" s="52">
        <f>IF(Учет!$O646=Справочники!$F$6,Учет!$H646,0)</f>
        <v>0</v>
      </c>
      <c r="G646" s="43">
        <f>G645+Учет!B646-B646</f>
        <v>-488978.92000000004</v>
      </c>
      <c r="H646" s="43">
        <f>H645+Учет!C646-C646</f>
        <v>336855</v>
      </c>
      <c r="I646" s="43">
        <f>I645+Учет!D646-D646</f>
        <v>500</v>
      </c>
      <c r="J646" s="43">
        <f>J645+Учет!E646-E646</f>
        <v>1150</v>
      </c>
      <c r="K646" s="43">
        <f>K645+Учет!F646-F646</f>
        <v>500000</v>
      </c>
      <c r="L646" s="45">
        <f>Учет!I646</f>
        <v>349526.07999999996</v>
      </c>
    </row>
    <row r="647" spans="1:12" x14ac:dyDescent="0.25">
      <c r="A647" s="48" t="str">
        <f>IF(Учет!A647&lt;&gt;"",Учет!A647,"")</f>
        <v/>
      </c>
      <c r="B647" s="52">
        <f>IF(Учет!$O647=Справочники!$F$2,Учет!$H647,0)</f>
        <v>0</v>
      </c>
      <c r="C647" s="52">
        <f>IF(Учет!$O647=Справочники!$F$3,Учет!$H647,0)</f>
        <v>0</v>
      </c>
      <c r="D647" s="52">
        <f>IF(Учет!$O647=Справочники!$F$4,Учет!$H647,0)</f>
        <v>0</v>
      </c>
      <c r="E647" s="52">
        <f>IF(Учет!$O647=Справочники!$F$5,Учет!$H647,0)</f>
        <v>0</v>
      </c>
      <c r="F647" s="52">
        <f>IF(Учет!$O647=Справочники!$F$6,Учет!$H647,0)</f>
        <v>0</v>
      </c>
      <c r="G647" s="43">
        <f>G646+Учет!B647-B647</f>
        <v>-488978.92000000004</v>
      </c>
      <c r="H647" s="43">
        <f>H646+Учет!C647-C647</f>
        <v>336855</v>
      </c>
      <c r="I647" s="43">
        <f>I646+Учет!D647-D647</f>
        <v>500</v>
      </c>
      <c r="J647" s="43">
        <f>J646+Учет!E647-E647</f>
        <v>1150</v>
      </c>
      <c r="K647" s="43">
        <f>K646+Учет!F647-F647</f>
        <v>500000</v>
      </c>
      <c r="L647" s="45">
        <f>Учет!I647</f>
        <v>349526.07999999996</v>
      </c>
    </row>
    <row r="648" spans="1:12" x14ac:dyDescent="0.25">
      <c r="A648" s="48" t="str">
        <f>IF(Учет!A648&lt;&gt;"",Учет!A648,"")</f>
        <v/>
      </c>
      <c r="B648" s="52">
        <f>IF(Учет!$O648=Справочники!$F$2,Учет!$H648,0)</f>
        <v>0</v>
      </c>
      <c r="C648" s="52">
        <f>IF(Учет!$O648=Справочники!$F$3,Учет!$H648,0)</f>
        <v>0</v>
      </c>
      <c r="D648" s="52">
        <f>IF(Учет!$O648=Справочники!$F$4,Учет!$H648,0)</f>
        <v>0</v>
      </c>
      <c r="E648" s="52">
        <f>IF(Учет!$O648=Справочники!$F$5,Учет!$H648,0)</f>
        <v>0</v>
      </c>
      <c r="F648" s="52">
        <f>IF(Учет!$O648=Справочники!$F$6,Учет!$H648,0)</f>
        <v>0</v>
      </c>
      <c r="G648" s="43">
        <f>G647+Учет!B648-B648</f>
        <v>-488978.92000000004</v>
      </c>
      <c r="H648" s="43">
        <f>H647+Учет!C648-C648</f>
        <v>336855</v>
      </c>
      <c r="I648" s="43">
        <f>I647+Учет!D648-D648</f>
        <v>500</v>
      </c>
      <c r="J648" s="43">
        <f>J647+Учет!E648-E648</f>
        <v>1150</v>
      </c>
      <c r="K648" s="43">
        <f>K647+Учет!F648-F648</f>
        <v>500000</v>
      </c>
      <c r="L648" s="45">
        <f>Учет!I648</f>
        <v>349526.07999999996</v>
      </c>
    </row>
    <row r="649" spans="1:12" x14ac:dyDescent="0.25">
      <c r="A649" s="48" t="str">
        <f>IF(Учет!A649&lt;&gt;"",Учет!A649,"")</f>
        <v/>
      </c>
      <c r="B649" s="52">
        <f>IF(Учет!$O649=Справочники!$F$2,Учет!$H649,0)</f>
        <v>0</v>
      </c>
      <c r="C649" s="52">
        <f>IF(Учет!$O649=Справочники!$F$3,Учет!$H649,0)</f>
        <v>0</v>
      </c>
      <c r="D649" s="52">
        <f>IF(Учет!$O649=Справочники!$F$4,Учет!$H649,0)</f>
        <v>0</v>
      </c>
      <c r="E649" s="52">
        <f>IF(Учет!$O649=Справочники!$F$5,Учет!$H649,0)</f>
        <v>0</v>
      </c>
      <c r="F649" s="52">
        <f>IF(Учет!$O649=Справочники!$F$6,Учет!$H649,0)</f>
        <v>0</v>
      </c>
      <c r="G649" s="43">
        <f>G648+Учет!B649-B649</f>
        <v>-488978.92000000004</v>
      </c>
      <c r="H649" s="43">
        <f>H648+Учет!C649-C649</f>
        <v>336855</v>
      </c>
      <c r="I649" s="43">
        <f>I648+Учет!D649-D649</f>
        <v>500</v>
      </c>
      <c r="J649" s="43">
        <f>J648+Учет!E649-E649</f>
        <v>1150</v>
      </c>
      <c r="K649" s="43">
        <f>K648+Учет!F649-F649</f>
        <v>500000</v>
      </c>
      <c r="L649" s="45">
        <f>Учет!I649</f>
        <v>349526.07999999996</v>
      </c>
    </row>
    <row r="650" spans="1:12" x14ac:dyDescent="0.25">
      <c r="A650" s="48" t="str">
        <f>IF(Учет!A650&lt;&gt;"",Учет!A650,"")</f>
        <v/>
      </c>
      <c r="B650" s="52">
        <f>IF(Учет!$O650=Справочники!$F$2,Учет!$H650,0)</f>
        <v>0</v>
      </c>
      <c r="C650" s="52">
        <f>IF(Учет!$O650=Справочники!$F$3,Учет!$H650,0)</f>
        <v>0</v>
      </c>
      <c r="D650" s="52">
        <f>IF(Учет!$O650=Справочники!$F$4,Учет!$H650,0)</f>
        <v>0</v>
      </c>
      <c r="E650" s="52">
        <f>IF(Учет!$O650=Справочники!$F$5,Учет!$H650,0)</f>
        <v>0</v>
      </c>
      <c r="F650" s="52">
        <f>IF(Учет!$O650=Справочники!$F$6,Учет!$H650,0)</f>
        <v>0</v>
      </c>
      <c r="G650" s="43">
        <f>G649+Учет!B650-B650</f>
        <v>-488978.92000000004</v>
      </c>
      <c r="H650" s="43">
        <f>H649+Учет!C650-C650</f>
        <v>336855</v>
      </c>
      <c r="I650" s="43">
        <f>I649+Учет!D650-D650</f>
        <v>500</v>
      </c>
      <c r="J650" s="43">
        <f>J649+Учет!E650-E650</f>
        <v>1150</v>
      </c>
      <c r="K650" s="43">
        <f>K649+Учет!F650-F650</f>
        <v>500000</v>
      </c>
      <c r="L650" s="45">
        <f>Учет!I650</f>
        <v>349526.07999999996</v>
      </c>
    </row>
    <row r="651" spans="1:12" x14ac:dyDescent="0.25">
      <c r="A651" s="48" t="str">
        <f>IF(Учет!A651&lt;&gt;"",Учет!A651,"")</f>
        <v/>
      </c>
      <c r="B651" s="52">
        <f>IF(Учет!$O651=Справочники!$F$2,Учет!$H651,0)</f>
        <v>0</v>
      </c>
      <c r="C651" s="52">
        <f>IF(Учет!$O651=Справочники!$F$3,Учет!$H651,0)</f>
        <v>0</v>
      </c>
      <c r="D651" s="52">
        <f>IF(Учет!$O651=Справочники!$F$4,Учет!$H651,0)</f>
        <v>0</v>
      </c>
      <c r="E651" s="52">
        <f>IF(Учет!$O651=Справочники!$F$5,Учет!$H651,0)</f>
        <v>0</v>
      </c>
      <c r="F651" s="52">
        <f>IF(Учет!$O651=Справочники!$F$6,Учет!$H651,0)</f>
        <v>0</v>
      </c>
      <c r="G651" s="43">
        <f>G650+Учет!B651-B651</f>
        <v>-488978.92000000004</v>
      </c>
      <c r="H651" s="43">
        <f>H650+Учет!C651-C651</f>
        <v>336855</v>
      </c>
      <c r="I651" s="43">
        <f>I650+Учет!D651-D651</f>
        <v>500</v>
      </c>
      <c r="J651" s="43">
        <f>J650+Учет!E651-E651</f>
        <v>1150</v>
      </c>
      <c r="K651" s="43">
        <f>K650+Учет!F651-F651</f>
        <v>500000</v>
      </c>
      <c r="L651" s="45">
        <f>Учет!I651</f>
        <v>349526.07999999996</v>
      </c>
    </row>
    <row r="652" spans="1:12" x14ac:dyDescent="0.25">
      <c r="A652" s="48" t="str">
        <f>IF(Учет!A652&lt;&gt;"",Учет!A652,"")</f>
        <v/>
      </c>
      <c r="B652" s="52">
        <f>IF(Учет!$O652=Справочники!$F$2,Учет!$H652,0)</f>
        <v>0</v>
      </c>
      <c r="C652" s="52">
        <f>IF(Учет!$O652=Справочники!$F$3,Учет!$H652,0)</f>
        <v>0</v>
      </c>
      <c r="D652" s="52">
        <f>IF(Учет!$O652=Справочники!$F$4,Учет!$H652,0)</f>
        <v>0</v>
      </c>
      <c r="E652" s="52">
        <f>IF(Учет!$O652=Справочники!$F$5,Учет!$H652,0)</f>
        <v>0</v>
      </c>
      <c r="F652" s="52">
        <f>IF(Учет!$O652=Справочники!$F$6,Учет!$H652,0)</f>
        <v>0</v>
      </c>
      <c r="G652" s="43">
        <f>G651+Учет!B652-B652</f>
        <v>-488978.92000000004</v>
      </c>
      <c r="H652" s="43">
        <f>H651+Учет!C652-C652</f>
        <v>336855</v>
      </c>
      <c r="I652" s="43">
        <f>I651+Учет!D652-D652</f>
        <v>500</v>
      </c>
      <c r="J652" s="43">
        <f>J651+Учет!E652-E652</f>
        <v>1150</v>
      </c>
      <c r="K652" s="43">
        <f>K651+Учет!F652-F652</f>
        <v>500000</v>
      </c>
      <c r="L652" s="45">
        <f>Учет!I652</f>
        <v>349526.07999999996</v>
      </c>
    </row>
    <row r="653" spans="1:12" x14ac:dyDescent="0.25">
      <c r="A653" s="48" t="str">
        <f>IF(Учет!A653&lt;&gt;"",Учет!A653,"")</f>
        <v/>
      </c>
      <c r="B653" s="52">
        <f>IF(Учет!$O653=Справочники!$F$2,Учет!$H653,0)</f>
        <v>0</v>
      </c>
      <c r="C653" s="52">
        <f>IF(Учет!$O653=Справочники!$F$3,Учет!$H653,0)</f>
        <v>0</v>
      </c>
      <c r="D653" s="52">
        <f>IF(Учет!$O653=Справочники!$F$4,Учет!$H653,0)</f>
        <v>0</v>
      </c>
      <c r="E653" s="52">
        <f>IF(Учет!$O653=Справочники!$F$5,Учет!$H653,0)</f>
        <v>0</v>
      </c>
      <c r="F653" s="52">
        <f>IF(Учет!$O653=Справочники!$F$6,Учет!$H653,0)</f>
        <v>0</v>
      </c>
      <c r="G653" s="43">
        <f>G652+Учет!B653-B653</f>
        <v>-488978.92000000004</v>
      </c>
      <c r="H653" s="43">
        <f>H652+Учет!C653-C653</f>
        <v>336855</v>
      </c>
      <c r="I653" s="43">
        <f>I652+Учет!D653-D653</f>
        <v>500</v>
      </c>
      <c r="J653" s="43">
        <f>J652+Учет!E653-E653</f>
        <v>1150</v>
      </c>
      <c r="K653" s="43">
        <f>K652+Учет!F653-F653</f>
        <v>500000</v>
      </c>
      <c r="L653" s="45">
        <f>Учет!I653</f>
        <v>349526.07999999996</v>
      </c>
    </row>
    <row r="654" spans="1:12" x14ac:dyDescent="0.25">
      <c r="A654" s="48" t="str">
        <f>IF(Учет!A654&lt;&gt;"",Учет!A654,"")</f>
        <v/>
      </c>
      <c r="B654" s="52">
        <f>IF(Учет!$O654=Справочники!$F$2,Учет!$H654,0)</f>
        <v>0</v>
      </c>
      <c r="C654" s="52">
        <f>IF(Учет!$O654=Справочники!$F$3,Учет!$H654,0)</f>
        <v>0</v>
      </c>
      <c r="D654" s="52">
        <f>IF(Учет!$O654=Справочники!$F$4,Учет!$H654,0)</f>
        <v>0</v>
      </c>
      <c r="E654" s="52">
        <f>IF(Учет!$O654=Справочники!$F$5,Учет!$H654,0)</f>
        <v>0</v>
      </c>
      <c r="F654" s="52">
        <f>IF(Учет!$O654=Справочники!$F$6,Учет!$H654,0)</f>
        <v>0</v>
      </c>
      <c r="G654" s="43">
        <f>G653+Учет!B654-B654</f>
        <v>-488978.92000000004</v>
      </c>
      <c r="H654" s="43">
        <f>H653+Учет!C654-C654</f>
        <v>336855</v>
      </c>
      <c r="I654" s="43">
        <f>I653+Учет!D654-D654</f>
        <v>500</v>
      </c>
      <c r="J654" s="43">
        <f>J653+Учет!E654-E654</f>
        <v>1150</v>
      </c>
      <c r="K654" s="43">
        <f>K653+Учет!F654-F654</f>
        <v>500000</v>
      </c>
      <c r="L654" s="45">
        <f>Учет!I654</f>
        <v>349526.07999999996</v>
      </c>
    </row>
    <row r="655" spans="1:12" x14ac:dyDescent="0.25">
      <c r="A655" s="48" t="str">
        <f>IF(Учет!A655&lt;&gt;"",Учет!A655,"")</f>
        <v/>
      </c>
      <c r="B655" s="52">
        <f>IF(Учет!$O655=Справочники!$F$2,Учет!$H655,0)</f>
        <v>0</v>
      </c>
      <c r="C655" s="52">
        <f>IF(Учет!$O655=Справочники!$F$3,Учет!$H655,0)</f>
        <v>0</v>
      </c>
      <c r="D655" s="52">
        <f>IF(Учет!$O655=Справочники!$F$4,Учет!$H655,0)</f>
        <v>0</v>
      </c>
      <c r="E655" s="52">
        <f>IF(Учет!$O655=Справочники!$F$5,Учет!$H655,0)</f>
        <v>0</v>
      </c>
      <c r="F655" s="52">
        <f>IF(Учет!$O655=Справочники!$F$6,Учет!$H655,0)</f>
        <v>0</v>
      </c>
      <c r="G655" s="43">
        <f>G654+Учет!B655-B655</f>
        <v>-488978.92000000004</v>
      </c>
      <c r="H655" s="43">
        <f>H654+Учет!C655-C655</f>
        <v>336855</v>
      </c>
      <c r="I655" s="43">
        <f>I654+Учет!D655-D655</f>
        <v>500</v>
      </c>
      <c r="J655" s="43">
        <f>J654+Учет!E655-E655</f>
        <v>1150</v>
      </c>
      <c r="K655" s="43">
        <f>K654+Учет!F655-F655</f>
        <v>500000</v>
      </c>
      <c r="L655" s="45">
        <f>Учет!I655</f>
        <v>349526.07999999996</v>
      </c>
    </row>
    <row r="656" spans="1:12" x14ac:dyDescent="0.25">
      <c r="A656" s="48" t="str">
        <f>IF(Учет!A656&lt;&gt;"",Учет!A656,"")</f>
        <v/>
      </c>
      <c r="B656" s="52">
        <f>IF(Учет!$O656=Справочники!$F$2,Учет!$H656,0)</f>
        <v>0</v>
      </c>
      <c r="C656" s="52">
        <f>IF(Учет!$O656=Справочники!$F$3,Учет!$H656,0)</f>
        <v>0</v>
      </c>
      <c r="D656" s="52">
        <f>IF(Учет!$O656=Справочники!$F$4,Учет!$H656,0)</f>
        <v>0</v>
      </c>
      <c r="E656" s="52">
        <f>IF(Учет!$O656=Справочники!$F$5,Учет!$H656,0)</f>
        <v>0</v>
      </c>
      <c r="F656" s="52">
        <f>IF(Учет!$O656=Справочники!$F$6,Учет!$H656,0)</f>
        <v>0</v>
      </c>
      <c r="G656" s="43">
        <f>G655+Учет!B656-B656</f>
        <v>-488978.92000000004</v>
      </c>
      <c r="H656" s="43">
        <f>H655+Учет!C656-C656</f>
        <v>336855</v>
      </c>
      <c r="I656" s="43">
        <f>I655+Учет!D656-D656</f>
        <v>500</v>
      </c>
      <c r="J656" s="43">
        <f>J655+Учет!E656-E656</f>
        <v>1150</v>
      </c>
      <c r="K656" s="43">
        <f>K655+Учет!F656-F656</f>
        <v>500000</v>
      </c>
      <c r="L656" s="45">
        <f>Учет!I656</f>
        <v>349526.07999999996</v>
      </c>
    </row>
    <row r="657" spans="1:12" x14ac:dyDescent="0.25">
      <c r="A657" s="48" t="str">
        <f>IF(Учет!A657&lt;&gt;"",Учет!A657,"")</f>
        <v/>
      </c>
      <c r="B657" s="52">
        <f>IF(Учет!$O657=Справочники!$F$2,Учет!$H657,0)</f>
        <v>0</v>
      </c>
      <c r="C657" s="52">
        <f>IF(Учет!$O657=Справочники!$F$3,Учет!$H657,0)</f>
        <v>0</v>
      </c>
      <c r="D657" s="52">
        <f>IF(Учет!$O657=Справочники!$F$4,Учет!$H657,0)</f>
        <v>0</v>
      </c>
      <c r="E657" s="52">
        <f>IF(Учет!$O657=Справочники!$F$5,Учет!$H657,0)</f>
        <v>0</v>
      </c>
      <c r="F657" s="52">
        <f>IF(Учет!$O657=Справочники!$F$6,Учет!$H657,0)</f>
        <v>0</v>
      </c>
      <c r="G657" s="43">
        <f>G656+Учет!B657-B657</f>
        <v>-488978.92000000004</v>
      </c>
      <c r="H657" s="43">
        <f>H656+Учет!C657-C657</f>
        <v>336855</v>
      </c>
      <c r="I657" s="43">
        <f>I656+Учет!D657-D657</f>
        <v>500</v>
      </c>
      <c r="J657" s="43">
        <f>J656+Учет!E657-E657</f>
        <v>1150</v>
      </c>
      <c r="K657" s="43">
        <f>K656+Учет!F657-F657</f>
        <v>500000</v>
      </c>
      <c r="L657" s="45">
        <f>Учет!I657</f>
        <v>349526.07999999996</v>
      </c>
    </row>
    <row r="658" spans="1:12" x14ac:dyDescent="0.25">
      <c r="A658" s="48" t="str">
        <f>IF(Учет!A658&lt;&gt;"",Учет!A658,"")</f>
        <v/>
      </c>
      <c r="B658" s="52">
        <f>IF(Учет!$O658=Справочники!$F$2,Учет!$H658,0)</f>
        <v>0</v>
      </c>
      <c r="C658" s="52">
        <f>IF(Учет!$O658=Справочники!$F$3,Учет!$H658,0)</f>
        <v>0</v>
      </c>
      <c r="D658" s="52">
        <f>IF(Учет!$O658=Справочники!$F$4,Учет!$H658,0)</f>
        <v>0</v>
      </c>
      <c r="E658" s="52">
        <f>IF(Учет!$O658=Справочники!$F$5,Учет!$H658,0)</f>
        <v>0</v>
      </c>
      <c r="F658" s="52">
        <f>IF(Учет!$O658=Справочники!$F$6,Учет!$H658,0)</f>
        <v>0</v>
      </c>
      <c r="G658" s="43">
        <f>G657+Учет!B658-B658</f>
        <v>-488978.92000000004</v>
      </c>
      <c r="H658" s="43">
        <f>H657+Учет!C658-C658</f>
        <v>336855</v>
      </c>
      <c r="I658" s="43">
        <f>I657+Учет!D658-D658</f>
        <v>500</v>
      </c>
      <c r="J658" s="43">
        <f>J657+Учет!E658-E658</f>
        <v>1150</v>
      </c>
      <c r="K658" s="43">
        <f>K657+Учет!F658-F658</f>
        <v>500000</v>
      </c>
      <c r="L658" s="45">
        <f>Учет!I658</f>
        <v>349526.07999999996</v>
      </c>
    </row>
    <row r="659" spans="1:12" x14ac:dyDescent="0.25">
      <c r="A659" s="48" t="str">
        <f>IF(Учет!A659&lt;&gt;"",Учет!A659,"")</f>
        <v/>
      </c>
      <c r="B659" s="52">
        <f>IF(Учет!$O659=Справочники!$F$2,Учет!$H659,0)</f>
        <v>0</v>
      </c>
      <c r="C659" s="52">
        <f>IF(Учет!$O659=Справочники!$F$3,Учет!$H659,0)</f>
        <v>0</v>
      </c>
      <c r="D659" s="52">
        <f>IF(Учет!$O659=Справочники!$F$4,Учет!$H659,0)</f>
        <v>0</v>
      </c>
      <c r="E659" s="52">
        <f>IF(Учет!$O659=Справочники!$F$5,Учет!$H659,0)</f>
        <v>0</v>
      </c>
      <c r="F659" s="52">
        <f>IF(Учет!$O659=Справочники!$F$6,Учет!$H659,0)</f>
        <v>0</v>
      </c>
      <c r="G659" s="43">
        <f>G658+Учет!B659-B659</f>
        <v>-488978.92000000004</v>
      </c>
      <c r="H659" s="43">
        <f>H658+Учет!C659-C659</f>
        <v>336855</v>
      </c>
      <c r="I659" s="43">
        <f>I658+Учет!D659-D659</f>
        <v>500</v>
      </c>
      <c r="J659" s="43">
        <f>J658+Учет!E659-E659</f>
        <v>1150</v>
      </c>
      <c r="K659" s="43">
        <f>K658+Учет!F659-F659</f>
        <v>500000</v>
      </c>
      <c r="L659" s="45">
        <f>Учет!I659</f>
        <v>349526.07999999996</v>
      </c>
    </row>
    <row r="660" spans="1:12" x14ac:dyDescent="0.25">
      <c r="A660" s="48" t="str">
        <f>IF(Учет!A660&lt;&gt;"",Учет!A660,"")</f>
        <v/>
      </c>
      <c r="B660" s="52">
        <f>IF(Учет!$O660=Справочники!$F$2,Учет!$H660,0)</f>
        <v>0</v>
      </c>
      <c r="C660" s="52">
        <f>IF(Учет!$O660=Справочники!$F$3,Учет!$H660,0)</f>
        <v>0</v>
      </c>
      <c r="D660" s="52">
        <f>IF(Учет!$O660=Справочники!$F$4,Учет!$H660,0)</f>
        <v>0</v>
      </c>
      <c r="E660" s="52">
        <f>IF(Учет!$O660=Справочники!$F$5,Учет!$H660,0)</f>
        <v>0</v>
      </c>
      <c r="F660" s="52">
        <f>IF(Учет!$O660=Справочники!$F$6,Учет!$H660,0)</f>
        <v>0</v>
      </c>
      <c r="G660" s="43">
        <f>G659+Учет!B660-B660</f>
        <v>-488978.92000000004</v>
      </c>
      <c r="H660" s="43">
        <f>H659+Учет!C660-C660</f>
        <v>336855</v>
      </c>
      <c r="I660" s="43">
        <f>I659+Учет!D660-D660</f>
        <v>500</v>
      </c>
      <c r="J660" s="43">
        <f>J659+Учет!E660-E660</f>
        <v>1150</v>
      </c>
      <c r="K660" s="43">
        <f>K659+Учет!F660-F660</f>
        <v>500000</v>
      </c>
      <c r="L660" s="45">
        <f>Учет!I660</f>
        <v>349526.07999999996</v>
      </c>
    </row>
    <row r="661" spans="1:12" x14ac:dyDescent="0.25">
      <c r="A661" s="48" t="str">
        <f>IF(Учет!A661&lt;&gt;"",Учет!A661,"")</f>
        <v/>
      </c>
      <c r="B661" s="52">
        <f>IF(Учет!$O661=Справочники!$F$2,Учет!$H661,0)</f>
        <v>0</v>
      </c>
      <c r="C661" s="52">
        <f>IF(Учет!$O661=Справочники!$F$3,Учет!$H661,0)</f>
        <v>0</v>
      </c>
      <c r="D661" s="52">
        <f>IF(Учет!$O661=Справочники!$F$4,Учет!$H661,0)</f>
        <v>0</v>
      </c>
      <c r="E661" s="52">
        <f>IF(Учет!$O661=Справочники!$F$5,Учет!$H661,0)</f>
        <v>0</v>
      </c>
      <c r="F661" s="52">
        <f>IF(Учет!$O661=Справочники!$F$6,Учет!$H661,0)</f>
        <v>0</v>
      </c>
      <c r="G661" s="43">
        <f>G660+Учет!B661-B661</f>
        <v>-488978.92000000004</v>
      </c>
      <c r="H661" s="43">
        <f>H660+Учет!C661-C661</f>
        <v>336855</v>
      </c>
      <c r="I661" s="43">
        <f>I660+Учет!D661-D661</f>
        <v>500</v>
      </c>
      <c r="J661" s="43">
        <f>J660+Учет!E661-E661</f>
        <v>1150</v>
      </c>
      <c r="K661" s="43">
        <f>K660+Учет!F661-F661</f>
        <v>500000</v>
      </c>
      <c r="L661" s="45">
        <f>Учет!I661</f>
        <v>349526.07999999996</v>
      </c>
    </row>
    <row r="662" spans="1:12" x14ac:dyDescent="0.25">
      <c r="A662" s="48" t="str">
        <f>IF(Учет!A662&lt;&gt;"",Учет!A662,"")</f>
        <v/>
      </c>
      <c r="B662" s="52">
        <f>IF(Учет!$O662=Справочники!$F$2,Учет!$H662,0)</f>
        <v>0</v>
      </c>
      <c r="C662" s="52">
        <f>IF(Учет!$O662=Справочники!$F$3,Учет!$H662,0)</f>
        <v>0</v>
      </c>
      <c r="D662" s="52">
        <f>IF(Учет!$O662=Справочники!$F$4,Учет!$H662,0)</f>
        <v>0</v>
      </c>
      <c r="E662" s="52">
        <f>IF(Учет!$O662=Справочники!$F$5,Учет!$H662,0)</f>
        <v>0</v>
      </c>
      <c r="F662" s="52">
        <f>IF(Учет!$O662=Справочники!$F$6,Учет!$H662,0)</f>
        <v>0</v>
      </c>
      <c r="G662" s="43">
        <f>G661+Учет!B662-B662</f>
        <v>-488978.92000000004</v>
      </c>
      <c r="H662" s="43">
        <f>H661+Учет!C662-C662</f>
        <v>336855</v>
      </c>
      <c r="I662" s="43">
        <f>I661+Учет!D662-D662</f>
        <v>500</v>
      </c>
      <c r="J662" s="43">
        <f>J661+Учет!E662-E662</f>
        <v>1150</v>
      </c>
      <c r="K662" s="43">
        <f>K661+Учет!F662-F662</f>
        <v>500000</v>
      </c>
      <c r="L662" s="45">
        <f>Учет!I662</f>
        <v>349526.07999999996</v>
      </c>
    </row>
    <row r="663" spans="1:12" x14ac:dyDescent="0.25">
      <c r="A663" s="48" t="str">
        <f>IF(Учет!A663&lt;&gt;"",Учет!A663,"")</f>
        <v/>
      </c>
      <c r="B663" s="52">
        <f>IF(Учет!$O663=Справочники!$F$2,Учет!$H663,0)</f>
        <v>0</v>
      </c>
      <c r="C663" s="52">
        <f>IF(Учет!$O663=Справочники!$F$3,Учет!$H663,0)</f>
        <v>0</v>
      </c>
      <c r="D663" s="52">
        <f>IF(Учет!$O663=Справочники!$F$4,Учет!$H663,0)</f>
        <v>0</v>
      </c>
      <c r="E663" s="52">
        <f>IF(Учет!$O663=Справочники!$F$5,Учет!$H663,0)</f>
        <v>0</v>
      </c>
      <c r="F663" s="52">
        <f>IF(Учет!$O663=Справочники!$F$6,Учет!$H663,0)</f>
        <v>0</v>
      </c>
      <c r="G663" s="43">
        <f>G662+Учет!B663-B663</f>
        <v>-488978.92000000004</v>
      </c>
      <c r="H663" s="43">
        <f>H662+Учет!C663-C663</f>
        <v>336855</v>
      </c>
      <c r="I663" s="43">
        <f>I662+Учет!D663-D663</f>
        <v>500</v>
      </c>
      <c r="J663" s="43">
        <f>J662+Учет!E663-E663</f>
        <v>1150</v>
      </c>
      <c r="K663" s="43">
        <f>K662+Учет!F663-F663</f>
        <v>500000</v>
      </c>
      <c r="L663" s="45">
        <f>Учет!I663</f>
        <v>349526.07999999996</v>
      </c>
    </row>
    <row r="664" spans="1:12" x14ac:dyDescent="0.25">
      <c r="A664" s="48" t="str">
        <f>IF(Учет!A664&lt;&gt;"",Учет!A664,"")</f>
        <v/>
      </c>
      <c r="B664" s="52">
        <f>IF(Учет!$O664=Справочники!$F$2,Учет!$H664,0)</f>
        <v>0</v>
      </c>
      <c r="C664" s="52">
        <f>IF(Учет!$O664=Справочники!$F$3,Учет!$H664,0)</f>
        <v>0</v>
      </c>
      <c r="D664" s="52">
        <f>IF(Учет!$O664=Справочники!$F$4,Учет!$H664,0)</f>
        <v>0</v>
      </c>
      <c r="E664" s="52">
        <f>IF(Учет!$O664=Справочники!$F$5,Учет!$H664,0)</f>
        <v>0</v>
      </c>
      <c r="F664" s="52">
        <f>IF(Учет!$O664=Справочники!$F$6,Учет!$H664,0)</f>
        <v>0</v>
      </c>
      <c r="G664" s="43">
        <f>G663+Учет!B664-B664</f>
        <v>-488978.92000000004</v>
      </c>
      <c r="H664" s="43">
        <f>H663+Учет!C664-C664</f>
        <v>336855</v>
      </c>
      <c r="I664" s="43">
        <f>I663+Учет!D664-D664</f>
        <v>500</v>
      </c>
      <c r="J664" s="43">
        <f>J663+Учет!E664-E664</f>
        <v>1150</v>
      </c>
      <c r="K664" s="43">
        <f>K663+Учет!F664-F664</f>
        <v>500000</v>
      </c>
      <c r="L664" s="45">
        <f>Учет!I664</f>
        <v>349526.07999999996</v>
      </c>
    </row>
    <row r="665" spans="1:12" x14ac:dyDescent="0.25">
      <c r="A665" s="48" t="str">
        <f>IF(Учет!A665&lt;&gt;"",Учет!A665,"")</f>
        <v/>
      </c>
      <c r="B665" s="52">
        <f>IF(Учет!$O665=Справочники!$F$2,Учет!$H665,0)</f>
        <v>0</v>
      </c>
      <c r="C665" s="52">
        <f>IF(Учет!$O665=Справочники!$F$3,Учет!$H665,0)</f>
        <v>0</v>
      </c>
      <c r="D665" s="52">
        <f>IF(Учет!$O665=Справочники!$F$4,Учет!$H665,0)</f>
        <v>0</v>
      </c>
      <c r="E665" s="52">
        <f>IF(Учет!$O665=Справочники!$F$5,Учет!$H665,0)</f>
        <v>0</v>
      </c>
      <c r="F665" s="52">
        <f>IF(Учет!$O665=Справочники!$F$6,Учет!$H665,0)</f>
        <v>0</v>
      </c>
      <c r="G665" s="43">
        <f>G664+Учет!B665-B665</f>
        <v>-488978.92000000004</v>
      </c>
      <c r="H665" s="43">
        <f>H664+Учет!C665-C665</f>
        <v>336855</v>
      </c>
      <c r="I665" s="43">
        <f>I664+Учет!D665-D665</f>
        <v>500</v>
      </c>
      <c r="J665" s="43">
        <f>J664+Учет!E665-E665</f>
        <v>1150</v>
      </c>
      <c r="K665" s="43">
        <f>K664+Учет!F665-F665</f>
        <v>500000</v>
      </c>
      <c r="L665" s="45">
        <f>Учет!I665</f>
        <v>349526.07999999996</v>
      </c>
    </row>
    <row r="666" spans="1:12" x14ac:dyDescent="0.25">
      <c r="A666" s="48" t="str">
        <f>IF(Учет!A666&lt;&gt;"",Учет!A666,"")</f>
        <v/>
      </c>
      <c r="B666" s="52">
        <f>IF(Учет!$O666=Справочники!$F$2,Учет!$H666,0)</f>
        <v>0</v>
      </c>
      <c r="C666" s="52">
        <f>IF(Учет!$O666=Справочники!$F$3,Учет!$H666,0)</f>
        <v>0</v>
      </c>
      <c r="D666" s="52">
        <f>IF(Учет!$O666=Справочники!$F$4,Учет!$H666,0)</f>
        <v>0</v>
      </c>
      <c r="E666" s="52">
        <f>IF(Учет!$O666=Справочники!$F$5,Учет!$H666,0)</f>
        <v>0</v>
      </c>
      <c r="F666" s="52">
        <f>IF(Учет!$O666=Справочники!$F$6,Учет!$H666,0)</f>
        <v>0</v>
      </c>
      <c r="G666" s="43">
        <f>G665+Учет!B666-B666</f>
        <v>-488978.92000000004</v>
      </c>
      <c r="H666" s="43">
        <f>H665+Учет!C666-C666</f>
        <v>336855</v>
      </c>
      <c r="I666" s="43">
        <f>I665+Учет!D666-D666</f>
        <v>500</v>
      </c>
      <c r="J666" s="43">
        <f>J665+Учет!E666-E666</f>
        <v>1150</v>
      </c>
      <c r="K666" s="43">
        <f>K665+Учет!F666-F666</f>
        <v>500000</v>
      </c>
      <c r="L666" s="45">
        <f>Учет!I666</f>
        <v>349526.07999999996</v>
      </c>
    </row>
    <row r="667" spans="1:12" x14ac:dyDescent="0.25">
      <c r="A667" s="48" t="str">
        <f>IF(Учет!A667&lt;&gt;"",Учет!A667,"")</f>
        <v/>
      </c>
      <c r="B667" s="52">
        <f>IF(Учет!$O667=Справочники!$F$2,Учет!$H667,0)</f>
        <v>0</v>
      </c>
      <c r="C667" s="52">
        <f>IF(Учет!$O667=Справочники!$F$3,Учет!$H667,0)</f>
        <v>0</v>
      </c>
      <c r="D667" s="52">
        <f>IF(Учет!$O667=Справочники!$F$4,Учет!$H667,0)</f>
        <v>0</v>
      </c>
      <c r="E667" s="52">
        <f>IF(Учет!$O667=Справочники!$F$5,Учет!$H667,0)</f>
        <v>0</v>
      </c>
      <c r="F667" s="52">
        <f>IF(Учет!$O667=Справочники!$F$6,Учет!$H667,0)</f>
        <v>0</v>
      </c>
      <c r="G667" s="43">
        <f>G666+Учет!B667-B667</f>
        <v>-488978.92000000004</v>
      </c>
      <c r="H667" s="43">
        <f>H666+Учет!C667-C667</f>
        <v>336855</v>
      </c>
      <c r="I667" s="43">
        <f>I666+Учет!D667-D667</f>
        <v>500</v>
      </c>
      <c r="J667" s="43">
        <f>J666+Учет!E667-E667</f>
        <v>1150</v>
      </c>
      <c r="K667" s="43">
        <f>K666+Учет!F667-F667</f>
        <v>500000</v>
      </c>
      <c r="L667" s="45">
        <f>Учет!I667</f>
        <v>349526.07999999996</v>
      </c>
    </row>
    <row r="668" spans="1:12" x14ac:dyDescent="0.25">
      <c r="A668" s="48" t="str">
        <f>IF(Учет!A668&lt;&gt;"",Учет!A668,"")</f>
        <v/>
      </c>
      <c r="B668" s="52">
        <f>IF(Учет!$O668=Справочники!$F$2,Учет!$H668,0)</f>
        <v>0</v>
      </c>
      <c r="C668" s="52">
        <f>IF(Учет!$O668=Справочники!$F$3,Учет!$H668,0)</f>
        <v>0</v>
      </c>
      <c r="D668" s="52">
        <f>IF(Учет!$O668=Справочники!$F$4,Учет!$H668,0)</f>
        <v>0</v>
      </c>
      <c r="E668" s="52">
        <f>IF(Учет!$O668=Справочники!$F$5,Учет!$H668,0)</f>
        <v>0</v>
      </c>
      <c r="F668" s="52">
        <f>IF(Учет!$O668=Справочники!$F$6,Учет!$H668,0)</f>
        <v>0</v>
      </c>
      <c r="G668" s="43">
        <f>G667+Учет!B668-B668</f>
        <v>-488978.92000000004</v>
      </c>
      <c r="H668" s="43">
        <f>H667+Учет!C668-C668</f>
        <v>336855</v>
      </c>
      <c r="I668" s="43">
        <f>I667+Учет!D668-D668</f>
        <v>500</v>
      </c>
      <c r="J668" s="43">
        <f>J667+Учет!E668-E668</f>
        <v>1150</v>
      </c>
      <c r="K668" s="43">
        <f>K667+Учет!F668-F668</f>
        <v>500000</v>
      </c>
      <c r="L668" s="45">
        <f>Учет!I668</f>
        <v>349526.07999999996</v>
      </c>
    </row>
    <row r="669" spans="1:12" x14ac:dyDescent="0.25">
      <c r="A669" s="48" t="str">
        <f>IF(Учет!A669&lt;&gt;"",Учет!A669,"")</f>
        <v/>
      </c>
      <c r="B669" s="52">
        <f>IF(Учет!$O669=Справочники!$F$2,Учет!$H669,0)</f>
        <v>0</v>
      </c>
      <c r="C669" s="52">
        <f>IF(Учет!$O669=Справочники!$F$3,Учет!$H669,0)</f>
        <v>0</v>
      </c>
      <c r="D669" s="52">
        <f>IF(Учет!$O669=Справочники!$F$4,Учет!$H669,0)</f>
        <v>0</v>
      </c>
      <c r="E669" s="52">
        <f>IF(Учет!$O669=Справочники!$F$5,Учет!$H669,0)</f>
        <v>0</v>
      </c>
      <c r="F669" s="52">
        <f>IF(Учет!$O669=Справочники!$F$6,Учет!$H669,0)</f>
        <v>0</v>
      </c>
      <c r="G669" s="43">
        <f>G668+Учет!B669-B669</f>
        <v>-488978.92000000004</v>
      </c>
      <c r="H669" s="43">
        <f>H668+Учет!C669-C669</f>
        <v>336855</v>
      </c>
      <c r="I669" s="43">
        <f>I668+Учет!D669-D669</f>
        <v>500</v>
      </c>
      <c r="J669" s="43">
        <f>J668+Учет!E669-E669</f>
        <v>1150</v>
      </c>
      <c r="K669" s="43">
        <f>K668+Учет!F669-F669</f>
        <v>500000</v>
      </c>
      <c r="L669" s="45">
        <f>Учет!I669</f>
        <v>349526.07999999996</v>
      </c>
    </row>
    <row r="670" spans="1:12" x14ac:dyDescent="0.25">
      <c r="A670" s="48" t="str">
        <f>IF(Учет!A670&lt;&gt;"",Учет!A670,"")</f>
        <v/>
      </c>
      <c r="B670" s="52">
        <f>IF(Учет!$O670=Справочники!$F$2,Учет!$H670,0)</f>
        <v>0</v>
      </c>
      <c r="C670" s="52">
        <f>IF(Учет!$O670=Справочники!$F$3,Учет!$H670,0)</f>
        <v>0</v>
      </c>
      <c r="D670" s="52">
        <f>IF(Учет!$O670=Справочники!$F$4,Учет!$H670,0)</f>
        <v>0</v>
      </c>
      <c r="E670" s="52">
        <f>IF(Учет!$O670=Справочники!$F$5,Учет!$H670,0)</f>
        <v>0</v>
      </c>
      <c r="F670" s="52">
        <f>IF(Учет!$O670=Справочники!$F$6,Учет!$H670,0)</f>
        <v>0</v>
      </c>
      <c r="G670" s="43">
        <f>G669+Учет!B670-B670</f>
        <v>-488978.92000000004</v>
      </c>
      <c r="H670" s="43">
        <f>H669+Учет!C670-C670</f>
        <v>336855</v>
      </c>
      <c r="I670" s="43">
        <f>I669+Учет!D670-D670</f>
        <v>500</v>
      </c>
      <c r="J670" s="43">
        <f>J669+Учет!E670-E670</f>
        <v>1150</v>
      </c>
      <c r="K670" s="43">
        <f>K669+Учет!F670-F670</f>
        <v>500000</v>
      </c>
      <c r="L670" s="45">
        <f>Учет!I670</f>
        <v>349526.07999999996</v>
      </c>
    </row>
    <row r="671" spans="1:12" x14ac:dyDescent="0.25">
      <c r="A671" s="48" t="str">
        <f>IF(Учет!A671&lt;&gt;"",Учет!A671,"")</f>
        <v/>
      </c>
      <c r="B671" s="52">
        <f>IF(Учет!$O671=Справочники!$F$2,Учет!$H671,0)</f>
        <v>0</v>
      </c>
      <c r="C671" s="52">
        <f>IF(Учет!$O671=Справочники!$F$3,Учет!$H671,0)</f>
        <v>0</v>
      </c>
      <c r="D671" s="52">
        <f>IF(Учет!$O671=Справочники!$F$4,Учет!$H671,0)</f>
        <v>0</v>
      </c>
      <c r="E671" s="52">
        <f>IF(Учет!$O671=Справочники!$F$5,Учет!$H671,0)</f>
        <v>0</v>
      </c>
      <c r="F671" s="52">
        <f>IF(Учет!$O671=Справочники!$F$6,Учет!$H671,0)</f>
        <v>0</v>
      </c>
      <c r="G671" s="43">
        <f>G670+Учет!B671-B671</f>
        <v>-488978.92000000004</v>
      </c>
      <c r="H671" s="43">
        <f>H670+Учет!C671-C671</f>
        <v>336855</v>
      </c>
      <c r="I671" s="43">
        <f>I670+Учет!D671-D671</f>
        <v>500</v>
      </c>
      <c r="J671" s="43">
        <f>J670+Учет!E671-E671</f>
        <v>1150</v>
      </c>
      <c r="K671" s="43">
        <f>K670+Учет!F671-F671</f>
        <v>500000</v>
      </c>
      <c r="L671" s="45">
        <f>Учет!I671</f>
        <v>349526.07999999996</v>
      </c>
    </row>
    <row r="672" spans="1:12" x14ac:dyDescent="0.25">
      <c r="A672" s="48" t="str">
        <f>IF(Учет!A672&lt;&gt;"",Учет!A672,"")</f>
        <v/>
      </c>
      <c r="B672" s="52">
        <f>IF(Учет!$O672=Справочники!$F$2,Учет!$H672,0)</f>
        <v>0</v>
      </c>
      <c r="C672" s="52">
        <f>IF(Учет!$O672=Справочники!$F$3,Учет!$H672,0)</f>
        <v>0</v>
      </c>
      <c r="D672" s="52">
        <f>IF(Учет!$O672=Справочники!$F$4,Учет!$H672,0)</f>
        <v>0</v>
      </c>
      <c r="E672" s="52">
        <f>IF(Учет!$O672=Справочники!$F$5,Учет!$H672,0)</f>
        <v>0</v>
      </c>
      <c r="F672" s="52">
        <f>IF(Учет!$O672=Справочники!$F$6,Учет!$H672,0)</f>
        <v>0</v>
      </c>
      <c r="G672" s="43">
        <f>G671+Учет!B672-B672</f>
        <v>-488978.92000000004</v>
      </c>
      <c r="H672" s="43">
        <f>H671+Учет!C672-C672</f>
        <v>336855</v>
      </c>
      <c r="I672" s="43">
        <f>I671+Учет!D672-D672</f>
        <v>500</v>
      </c>
      <c r="J672" s="43">
        <f>J671+Учет!E672-E672</f>
        <v>1150</v>
      </c>
      <c r="K672" s="43">
        <f>K671+Учет!F672-F672</f>
        <v>500000</v>
      </c>
      <c r="L672" s="45">
        <f>Учет!I672</f>
        <v>349526.07999999996</v>
      </c>
    </row>
    <row r="673" spans="1:12" x14ac:dyDescent="0.25">
      <c r="A673" s="48" t="str">
        <f>IF(Учет!A673&lt;&gt;"",Учет!A673,"")</f>
        <v/>
      </c>
      <c r="B673" s="52">
        <f>IF(Учет!$O673=Справочники!$F$2,Учет!$H673,0)</f>
        <v>0</v>
      </c>
      <c r="C673" s="52">
        <f>IF(Учет!$O673=Справочники!$F$3,Учет!$H673,0)</f>
        <v>0</v>
      </c>
      <c r="D673" s="52">
        <f>IF(Учет!$O673=Справочники!$F$4,Учет!$H673,0)</f>
        <v>0</v>
      </c>
      <c r="E673" s="52">
        <f>IF(Учет!$O673=Справочники!$F$5,Учет!$H673,0)</f>
        <v>0</v>
      </c>
      <c r="F673" s="52">
        <f>IF(Учет!$O673=Справочники!$F$6,Учет!$H673,0)</f>
        <v>0</v>
      </c>
      <c r="G673" s="43">
        <f>G672+Учет!B673-B673</f>
        <v>-488978.92000000004</v>
      </c>
      <c r="H673" s="43">
        <f>H672+Учет!C673-C673</f>
        <v>336855</v>
      </c>
      <c r="I673" s="43">
        <f>I672+Учет!D673-D673</f>
        <v>500</v>
      </c>
      <c r="J673" s="43">
        <f>J672+Учет!E673-E673</f>
        <v>1150</v>
      </c>
      <c r="K673" s="43">
        <f>K672+Учет!F673-F673</f>
        <v>500000</v>
      </c>
      <c r="L673" s="45">
        <f>Учет!I673</f>
        <v>349526.07999999996</v>
      </c>
    </row>
    <row r="674" spans="1:12" x14ac:dyDescent="0.25">
      <c r="A674" s="48" t="str">
        <f>IF(Учет!A674&lt;&gt;"",Учет!A674,"")</f>
        <v/>
      </c>
      <c r="B674" s="52">
        <f>IF(Учет!$O674=Справочники!$F$2,Учет!$H674,0)</f>
        <v>0</v>
      </c>
      <c r="C674" s="52">
        <f>IF(Учет!$O674=Справочники!$F$3,Учет!$H674,0)</f>
        <v>0</v>
      </c>
      <c r="D674" s="52">
        <f>IF(Учет!$O674=Справочники!$F$4,Учет!$H674,0)</f>
        <v>0</v>
      </c>
      <c r="E674" s="52">
        <f>IF(Учет!$O674=Справочники!$F$5,Учет!$H674,0)</f>
        <v>0</v>
      </c>
      <c r="F674" s="52">
        <f>IF(Учет!$O674=Справочники!$F$6,Учет!$H674,0)</f>
        <v>0</v>
      </c>
      <c r="G674" s="43">
        <f>G673+Учет!B674-B674</f>
        <v>-488978.92000000004</v>
      </c>
      <c r="H674" s="43">
        <f>H673+Учет!C674-C674</f>
        <v>336855</v>
      </c>
      <c r="I674" s="43">
        <f>I673+Учет!D674-D674</f>
        <v>500</v>
      </c>
      <c r="J674" s="43">
        <f>J673+Учет!E674-E674</f>
        <v>1150</v>
      </c>
      <c r="K674" s="43">
        <f>K673+Учет!F674-F674</f>
        <v>500000</v>
      </c>
      <c r="L674" s="45">
        <f>Учет!I674</f>
        <v>349526.07999999996</v>
      </c>
    </row>
    <row r="675" spans="1:12" x14ac:dyDescent="0.25">
      <c r="A675" s="48" t="str">
        <f>IF(Учет!A675&lt;&gt;"",Учет!A675,"")</f>
        <v/>
      </c>
      <c r="B675" s="52">
        <f>IF(Учет!$O675=Справочники!$F$2,Учет!$H675,0)</f>
        <v>0</v>
      </c>
      <c r="C675" s="52">
        <f>IF(Учет!$O675=Справочники!$F$3,Учет!$H675,0)</f>
        <v>0</v>
      </c>
      <c r="D675" s="52">
        <f>IF(Учет!$O675=Справочники!$F$4,Учет!$H675,0)</f>
        <v>0</v>
      </c>
      <c r="E675" s="52">
        <f>IF(Учет!$O675=Справочники!$F$5,Учет!$H675,0)</f>
        <v>0</v>
      </c>
      <c r="F675" s="52">
        <f>IF(Учет!$O675=Справочники!$F$6,Учет!$H675,0)</f>
        <v>0</v>
      </c>
      <c r="G675" s="43">
        <f>G674+Учет!B675-B675</f>
        <v>-488978.92000000004</v>
      </c>
      <c r="H675" s="43">
        <f>H674+Учет!C675-C675</f>
        <v>336855</v>
      </c>
      <c r="I675" s="43">
        <f>I674+Учет!D675-D675</f>
        <v>500</v>
      </c>
      <c r="J675" s="43">
        <f>J674+Учет!E675-E675</f>
        <v>1150</v>
      </c>
      <c r="K675" s="43">
        <f>K674+Учет!F675-F675</f>
        <v>500000</v>
      </c>
      <c r="L675" s="45">
        <f>Учет!I675</f>
        <v>349526.07999999996</v>
      </c>
    </row>
    <row r="676" spans="1:12" x14ac:dyDescent="0.25">
      <c r="A676" s="48" t="str">
        <f>IF(Учет!A676&lt;&gt;"",Учет!A676,"")</f>
        <v/>
      </c>
      <c r="B676" s="52">
        <f>IF(Учет!$O676=Справочники!$F$2,Учет!$H676,0)</f>
        <v>0</v>
      </c>
      <c r="C676" s="52">
        <f>IF(Учет!$O676=Справочники!$F$3,Учет!$H676,0)</f>
        <v>0</v>
      </c>
      <c r="D676" s="52">
        <f>IF(Учет!$O676=Справочники!$F$4,Учет!$H676,0)</f>
        <v>0</v>
      </c>
      <c r="E676" s="52">
        <f>IF(Учет!$O676=Справочники!$F$5,Учет!$H676,0)</f>
        <v>0</v>
      </c>
      <c r="F676" s="52">
        <f>IF(Учет!$O676=Справочники!$F$6,Учет!$H676,0)</f>
        <v>0</v>
      </c>
      <c r="G676" s="43">
        <f>G675+Учет!B676-B676</f>
        <v>-488978.92000000004</v>
      </c>
      <c r="H676" s="43">
        <f>H675+Учет!C676-C676</f>
        <v>336855</v>
      </c>
      <c r="I676" s="43">
        <f>I675+Учет!D676-D676</f>
        <v>500</v>
      </c>
      <c r="J676" s="43">
        <f>J675+Учет!E676-E676</f>
        <v>1150</v>
      </c>
      <c r="K676" s="43">
        <f>K675+Учет!F676-F676</f>
        <v>500000</v>
      </c>
      <c r="L676" s="45">
        <f>Учет!I676</f>
        <v>349526.07999999996</v>
      </c>
    </row>
    <row r="677" spans="1:12" x14ac:dyDescent="0.25">
      <c r="A677" s="48" t="str">
        <f>IF(Учет!A677&lt;&gt;"",Учет!A677,"")</f>
        <v/>
      </c>
      <c r="B677" s="52">
        <f>IF(Учет!$O677=Справочники!$F$2,Учет!$H677,0)</f>
        <v>0</v>
      </c>
      <c r="C677" s="52">
        <f>IF(Учет!$O677=Справочники!$F$3,Учет!$H677,0)</f>
        <v>0</v>
      </c>
      <c r="D677" s="52">
        <f>IF(Учет!$O677=Справочники!$F$4,Учет!$H677,0)</f>
        <v>0</v>
      </c>
      <c r="E677" s="52">
        <f>IF(Учет!$O677=Справочники!$F$5,Учет!$H677,0)</f>
        <v>0</v>
      </c>
      <c r="F677" s="52">
        <f>IF(Учет!$O677=Справочники!$F$6,Учет!$H677,0)</f>
        <v>0</v>
      </c>
      <c r="G677" s="43">
        <f>G676+Учет!B677-B677</f>
        <v>-488978.92000000004</v>
      </c>
      <c r="H677" s="43">
        <f>H676+Учет!C677-C677</f>
        <v>336855</v>
      </c>
      <c r="I677" s="43">
        <f>I676+Учет!D677-D677</f>
        <v>500</v>
      </c>
      <c r="J677" s="43">
        <f>J676+Учет!E677-E677</f>
        <v>1150</v>
      </c>
      <c r="K677" s="43">
        <f>K676+Учет!F677-F677</f>
        <v>500000</v>
      </c>
      <c r="L677" s="45">
        <f>Учет!I677</f>
        <v>349526.07999999996</v>
      </c>
    </row>
    <row r="678" spans="1:12" x14ac:dyDescent="0.25">
      <c r="A678" s="48" t="str">
        <f>IF(Учет!A678&lt;&gt;"",Учет!A678,"")</f>
        <v/>
      </c>
      <c r="B678" s="52">
        <f>IF(Учет!$O678=Справочники!$F$2,Учет!$H678,0)</f>
        <v>0</v>
      </c>
      <c r="C678" s="52">
        <f>IF(Учет!$O678=Справочники!$F$3,Учет!$H678,0)</f>
        <v>0</v>
      </c>
      <c r="D678" s="52">
        <f>IF(Учет!$O678=Справочники!$F$4,Учет!$H678,0)</f>
        <v>0</v>
      </c>
      <c r="E678" s="52">
        <f>IF(Учет!$O678=Справочники!$F$5,Учет!$H678,0)</f>
        <v>0</v>
      </c>
      <c r="F678" s="52">
        <f>IF(Учет!$O678=Справочники!$F$6,Учет!$H678,0)</f>
        <v>0</v>
      </c>
      <c r="G678" s="43">
        <f>G677+Учет!B678-B678</f>
        <v>-488978.92000000004</v>
      </c>
      <c r="H678" s="43">
        <f>H677+Учет!C678-C678</f>
        <v>336855</v>
      </c>
      <c r="I678" s="43">
        <f>I677+Учет!D678-D678</f>
        <v>500</v>
      </c>
      <c r="J678" s="43">
        <f>J677+Учет!E678-E678</f>
        <v>1150</v>
      </c>
      <c r="K678" s="43">
        <f>K677+Учет!F678-F678</f>
        <v>500000</v>
      </c>
      <c r="L678" s="45">
        <f>Учет!I678</f>
        <v>349526.07999999996</v>
      </c>
    </row>
    <row r="679" spans="1:12" x14ac:dyDescent="0.25">
      <c r="A679" s="48" t="str">
        <f>IF(Учет!A679&lt;&gt;"",Учет!A679,"")</f>
        <v/>
      </c>
      <c r="B679" s="52">
        <f>IF(Учет!$O679=Справочники!$F$2,Учет!$H679,0)</f>
        <v>0</v>
      </c>
      <c r="C679" s="52">
        <f>IF(Учет!$O679=Справочники!$F$3,Учет!$H679,0)</f>
        <v>0</v>
      </c>
      <c r="D679" s="52">
        <f>IF(Учет!$O679=Справочники!$F$4,Учет!$H679,0)</f>
        <v>0</v>
      </c>
      <c r="E679" s="52">
        <f>IF(Учет!$O679=Справочники!$F$5,Учет!$H679,0)</f>
        <v>0</v>
      </c>
      <c r="F679" s="52">
        <f>IF(Учет!$O679=Справочники!$F$6,Учет!$H679,0)</f>
        <v>0</v>
      </c>
      <c r="G679" s="43">
        <f>G678+Учет!B679-B679</f>
        <v>-488978.92000000004</v>
      </c>
      <c r="H679" s="43">
        <f>H678+Учет!C679-C679</f>
        <v>336855</v>
      </c>
      <c r="I679" s="43">
        <f>I678+Учет!D679-D679</f>
        <v>500</v>
      </c>
      <c r="J679" s="43">
        <f>J678+Учет!E679-E679</f>
        <v>1150</v>
      </c>
      <c r="K679" s="43">
        <f>K678+Учет!F679-F679</f>
        <v>500000</v>
      </c>
      <c r="L679" s="45">
        <f>Учет!I679</f>
        <v>349526.07999999996</v>
      </c>
    </row>
    <row r="680" spans="1:12" x14ac:dyDescent="0.25">
      <c r="A680" s="48" t="str">
        <f>IF(Учет!A680&lt;&gt;"",Учет!A680,"")</f>
        <v/>
      </c>
      <c r="B680" s="52">
        <f>IF(Учет!$O680=Справочники!$F$2,Учет!$H680,0)</f>
        <v>0</v>
      </c>
      <c r="C680" s="52">
        <f>IF(Учет!$O680=Справочники!$F$3,Учет!$H680,0)</f>
        <v>0</v>
      </c>
      <c r="D680" s="52">
        <f>IF(Учет!$O680=Справочники!$F$4,Учет!$H680,0)</f>
        <v>0</v>
      </c>
      <c r="E680" s="52">
        <f>IF(Учет!$O680=Справочники!$F$5,Учет!$H680,0)</f>
        <v>0</v>
      </c>
      <c r="F680" s="52">
        <f>IF(Учет!$O680=Справочники!$F$6,Учет!$H680,0)</f>
        <v>0</v>
      </c>
      <c r="G680" s="43">
        <f>G679+Учет!B680-B680</f>
        <v>-488978.92000000004</v>
      </c>
      <c r="H680" s="43">
        <f>H679+Учет!C680-C680</f>
        <v>336855</v>
      </c>
      <c r="I680" s="43">
        <f>I679+Учет!D680-D680</f>
        <v>500</v>
      </c>
      <c r="J680" s="43">
        <f>J679+Учет!E680-E680</f>
        <v>1150</v>
      </c>
      <c r="K680" s="43">
        <f>K679+Учет!F680-F680</f>
        <v>500000</v>
      </c>
      <c r="L680" s="45">
        <f>Учет!I680</f>
        <v>349526.07999999996</v>
      </c>
    </row>
    <row r="681" spans="1:12" x14ac:dyDescent="0.25">
      <c r="A681" s="48" t="str">
        <f>IF(Учет!A681&lt;&gt;"",Учет!A681,"")</f>
        <v/>
      </c>
      <c r="B681" s="52">
        <f>IF(Учет!$O681=Справочники!$F$2,Учет!$H681,0)</f>
        <v>0</v>
      </c>
      <c r="C681" s="52">
        <f>IF(Учет!$O681=Справочники!$F$3,Учет!$H681,0)</f>
        <v>0</v>
      </c>
      <c r="D681" s="52">
        <f>IF(Учет!$O681=Справочники!$F$4,Учет!$H681,0)</f>
        <v>0</v>
      </c>
      <c r="E681" s="52">
        <f>IF(Учет!$O681=Справочники!$F$5,Учет!$H681,0)</f>
        <v>0</v>
      </c>
      <c r="F681" s="52">
        <f>IF(Учет!$O681=Справочники!$F$6,Учет!$H681,0)</f>
        <v>0</v>
      </c>
      <c r="G681" s="43">
        <f>G680+Учет!B681-B681</f>
        <v>-488978.92000000004</v>
      </c>
      <c r="H681" s="43">
        <f>H680+Учет!C681-C681</f>
        <v>336855</v>
      </c>
      <c r="I681" s="43">
        <f>I680+Учет!D681-D681</f>
        <v>500</v>
      </c>
      <c r="J681" s="43">
        <f>J680+Учет!E681-E681</f>
        <v>1150</v>
      </c>
      <c r="K681" s="43">
        <f>K680+Учет!F681-F681</f>
        <v>500000</v>
      </c>
      <c r="L681" s="45">
        <f>Учет!I681</f>
        <v>349526.07999999996</v>
      </c>
    </row>
    <row r="682" spans="1:12" x14ac:dyDescent="0.25">
      <c r="A682" s="48" t="str">
        <f>IF(Учет!A682&lt;&gt;"",Учет!A682,"")</f>
        <v/>
      </c>
      <c r="B682" s="52">
        <f>IF(Учет!$O682=Справочники!$F$2,Учет!$H682,0)</f>
        <v>0</v>
      </c>
      <c r="C682" s="52">
        <f>IF(Учет!$O682=Справочники!$F$3,Учет!$H682,0)</f>
        <v>0</v>
      </c>
      <c r="D682" s="52">
        <f>IF(Учет!$O682=Справочники!$F$4,Учет!$H682,0)</f>
        <v>0</v>
      </c>
      <c r="E682" s="52">
        <f>IF(Учет!$O682=Справочники!$F$5,Учет!$H682,0)</f>
        <v>0</v>
      </c>
      <c r="F682" s="52">
        <f>IF(Учет!$O682=Справочники!$F$6,Учет!$H682,0)</f>
        <v>0</v>
      </c>
      <c r="G682" s="43">
        <f>G681+Учет!B682-B682</f>
        <v>-488978.92000000004</v>
      </c>
      <c r="H682" s="43">
        <f>H681+Учет!C682-C682</f>
        <v>336855</v>
      </c>
      <c r="I682" s="43">
        <f>I681+Учет!D682-D682</f>
        <v>500</v>
      </c>
      <c r="J682" s="43">
        <f>J681+Учет!E682-E682</f>
        <v>1150</v>
      </c>
      <c r="K682" s="43">
        <f>K681+Учет!F682-F682</f>
        <v>500000</v>
      </c>
      <c r="L682" s="45">
        <f>Учет!I682</f>
        <v>349526.07999999996</v>
      </c>
    </row>
    <row r="683" spans="1:12" x14ac:dyDescent="0.25">
      <c r="A683" s="48" t="str">
        <f>IF(Учет!A683&lt;&gt;"",Учет!A683,"")</f>
        <v/>
      </c>
      <c r="B683" s="52">
        <f>IF(Учет!$O683=Справочники!$F$2,Учет!$H683,0)</f>
        <v>0</v>
      </c>
      <c r="C683" s="52">
        <f>IF(Учет!$O683=Справочники!$F$3,Учет!$H683,0)</f>
        <v>0</v>
      </c>
      <c r="D683" s="52">
        <f>IF(Учет!$O683=Справочники!$F$4,Учет!$H683,0)</f>
        <v>0</v>
      </c>
      <c r="E683" s="52">
        <f>IF(Учет!$O683=Справочники!$F$5,Учет!$H683,0)</f>
        <v>0</v>
      </c>
      <c r="F683" s="52">
        <f>IF(Учет!$O683=Справочники!$F$6,Учет!$H683,0)</f>
        <v>0</v>
      </c>
      <c r="G683" s="43">
        <f>G682+Учет!B683-B683</f>
        <v>-488978.92000000004</v>
      </c>
      <c r="H683" s="43">
        <f>H682+Учет!C683-C683</f>
        <v>336855</v>
      </c>
      <c r="I683" s="43">
        <f>I682+Учет!D683-D683</f>
        <v>500</v>
      </c>
      <c r="J683" s="43">
        <f>J682+Учет!E683-E683</f>
        <v>1150</v>
      </c>
      <c r="K683" s="43">
        <f>K682+Учет!F683-F683</f>
        <v>500000</v>
      </c>
      <c r="L683" s="45">
        <f>Учет!I683</f>
        <v>349526.07999999996</v>
      </c>
    </row>
    <row r="684" spans="1:12" x14ac:dyDescent="0.25">
      <c r="A684" s="48" t="str">
        <f>IF(Учет!A684&lt;&gt;"",Учет!A684,"")</f>
        <v/>
      </c>
      <c r="B684" s="52">
        <f>IF(Учет!$O684=Справочники!$F$2,Учет!$H684,0)</f>
        <v>0</v>
      </c>
      <c r="C684" s="52">
        <f>IF(Учет!$O684=Справочники!$F$3,Учет!$H684,0)</f>
        <v>0</v>
      </c>
      <c r="D684" s="52">
        <f>IF(Учет!$O684=Справочники!$F$4,Учет!$H684,0)</f>
        <v>0</v>
      </c>
      <c r="E684" s="52">
        <f>IF(Учет!$O684=Справочники!$F$5,Учет!$H684,0)</f>
        <v>0</v>
      </c>
      <c r="F684" s="52">
        <f>IF(Учет!$O684=Справочники!$F$6,Учет!$H684,0)</f>
        <v>0</v>
      </c>
      <c r="G684" s="43">
        <f>G683+Учет!B684-B684</f>
        <v>-488978.92000000004</v>
      </c>
      <c r="H684" s="43">
        <f>H683+Учет!C684-C684</f>
        <v>336855</v>
      </c>
      <c r="I684" s="43">
        <f>I683+Учет!D684-D684</f>
        <v>500</v>
      </c>
      <c r="J684" s="43">
        <f>J683+Учет!E684-E684</f>
        <v>1150</v>
      </c>
      <c r="K684" s="43">
        <f>K683+Учет!F684-F684</f>
        <v>500000</v>
      </c>
      <c r="L684" s="45">
        <f>Учет!I684</f>
        <v>349526.07999999996</v>
      </c>
    </row>
    <row r="685" spans="1:12" x14ac:dyDescent="0.25">
      <c r="A685" s="48" t="str">
        <f>IF(Учет!A685&lt;&gt;"",Учет!A685,"")</f>
        <v/>
      </c>
      <c r="B685" s="52">
        <f>IF(Учет!$O685=Справочники!$F$2,Учет!$H685,0)</f>
        <v>0</v>
      </c>
      <c r="C685" s="52">
        <f>IF(Учет!$O685=Справочники!$F$3,Учет!$H685,0)</f>
        <v>0</v>
      </c>
      <c r="D685" s="52">
        <f>IF(Учет!$O685=Справочники!$F$4,Учет!$H685,0)</f>
        <v>0</v>
      </c>
      <c r="E685" s="52">
        <f>IF(Учет!$O685=Справочники!$F$5,Учет!$H685,0)</f>
        <v>0</v>
      </c>
      <c r="F685" s="52">
        <f>IF(Учет!$O685=Справочники!$F$6,Учет!$H685,0)</f>
        <v>0</v>
      </c>
      <c r="G685" s="43">
        <f>G684+Учет!B685-B685</f>
        <v>-488978.92000000004</v>
      </c>
      <c r="H685" s="43">
        <f>H684+Учет!C685-C685</f>
        <v>336855</v>
      </c>
      <c r="I685" s="43">
        <f>I684+Учет!D685-D685</f>
        <v>500</v>
      </c>
      <c r="J685" s="43">
        <f>J684+Учет!E685-E685</f>
        <v>1150</v>
      </c>
      <c r="K685" s="43">
        <f>K684+Учет!F685-F685</f>
        <v>500000</v>
      </c>
      <c r="L685" s="45">
        <f>Учет!I685</f>
        <v>349526.07999999996</v>
      </c>
    </row>
    <row r="686" spans="1:12" x14ac:dyDescent="0.25">
      <c r="A686" s="48" t="str">
        <f>IF(Учет!A686&lt;&gt;"",Учет!A686,"")</f>
        <v/>
      </c>
      <c r="B686" s="52">
        <f>IF(Учет!$O686=Справочники!$F$2,Учет!$H686,0)</f>
        <v>0</v>
      </c>
      <c r="C686" s="52">
        <f>IF(Учет!$O686=Справочники!$F$3,Учет!$H686,0)</f>
        <v>0</v>
      </c>
      <c r="D686" s="52">
        <f>IF(Учет!$O686=Справочники!$F$4,Учет!$H686,0)</f>
        <v>0</v>
      </c>
      <c r="E686" s="52">
        <f>IF(Учет!$O686=Справочники!$F$5,Учет!$H686,0)</f>
        <v>0</v>
      </c>
      <c r="F686" s="52">
        <f>IF(Учет!$O686=Справочники!$F$6,Учет!$H686,0)</f>
        <v>0</v>
      </c>
      <c r="G686" s="43">
        <f>G685+Учет!B686-B686</f>
        <v>-488978.92000000004</v>
      </c>
      <c r="H686" s="43">
        <f>H685+Учет!C686-C686</f>
        <v>336855</v>
      </c>
      <c r="I686" s="43">
        <f>I685+Учет!D686-D686</f>
        <v>500</v>
      </c>
      <c r="J686" s="43">
        <f>J685+Учет!E686-E686</f>
        <v>1150</v>
      </c>
      <c r="K686" s="43">
        <f>K685+Учет!F686-F686</f>
        <v>500000</v>
      </c>
      <c r="L686" s="45">
        <f>Учет!I686</f>
        <v>349526.07999999996</v>
      </c>
    </row>
    <row r="687" spans="1:12" x14ac:dyDescent="0.25">
      <c r="A687" s="48" t="str">
        <f>IF(Учет!A687&lt;&gt;"",Учет!A687,"")</f>
        <v/>
      </c>
      <c r="B687" s="52">
        <f>IF(Учет!$O687=Справочники!$F$2,Учет!$H687,0)</f>
        <v>0</v>
      </c>
      <c r="C687" s="52">
        <f>IF(Учет!$O687=Справочники!$F$3,Учет!$H687,0)</f>
        <v>0</v>
      </c>
      <c r="D687" s="52">
        <f>IF(Учет!$O687=Справочники!$F$4,Учет!$H687,0)</f>
        <v>0</v>
      </c>
      <c r="E687" s="52">
        <f>IF(Учет!$O687=Справочники!$F$5,Учет!$H687,0)</f>
        <v>0</v>
      </c>
      <c r="F687" s="52">
        <f>IF(Учет!$O687=Справочники!$F$6,Учет!$H687,0)</f>
        <v>0</v>
      </c>
      <c r="G687" s="43">
        <f>G686+Учет!B687-B687</f>
        <v>-488978.92000000004</v>
      </c>
      <c r="H687" s="43">
        <f>H686+Учет!C687-C687</f>
        <v>336855</v>
      </c>
      <c r="I687" s="43">
        <f>I686+Учет!D687-D687</f>
        <v>500</v>
      </c>
      <c r="J687" s="43">
        <f>J686+Учет!E687-E687</f>
        <v>1150</v>
      </c>
      <c r="K687" s="43">
        <f>K686+Учет!F687-F687</f>
        <v>500000</v>
      </c>
      <c r="L687" s="45">
        <f>Учет!I687</f>
        <v>349526.07999999996</v>
      </c>
    </row>
    <row r="688" spans="1:12" x14ac:dyDescent="0.25">
      <c r="A688" s="48" t="str">
        <f>IF(Учет!A688&lt;&gt;"",Учет!A688,"")</f>
        <v/>
      </c>
      <c r="B688" s="52">
        <f>IF(Учет!$O688=Справочники!$F$2,Учет!$H688,0)</f>
        <v>0</v>
      </c>
      <c r="C688" s="52">
        <f>IF(Учет!$O688=Справочники!$F$3,Учет!$H688,0)</f>
        <v>0</v>
      </c>
      <c r="D688" s="52">
        <f>IF(Учет!$O688=Справочники!$F$4,Учет!$H688,0)</f>
        <v>0</v>
      </c>
      <c r="E688" s="52">
        <f>IF(Учет!$O688=Справочники!$F$5,Учет!$H688,0)</f>
        <v>0</v>
      </c>
      <c r="F688" s="52">
        <f>IF(Учет!$O688=Справочники!$F$6,Учет!$H688,0)</f>
        <v>0</v>
      </c>
      <c r="G688" s="43">
        <f>G687+Учет!B688-B688</f>
        <v>-488978.92000000004</v>
      </c>
      <c r="H688" s="43">
        <f>H687+Учет!C688-C688</f>
        <v>336855</v>
      </c>
      <c r="I688" s="43">
        <f>I687+Учет!D688-D688</f>
        <v>500</v>
      </c>
      <c r="J688" s="43">
        <f>J687+Учет!E688-E688</f>
        <v>1150</v>
      </c>
      <c r="K688" s="43">
        <f>K687+Учет!F688-F688</f>
        <v>500000</v>
      </c>
      <c r="L688" s="45">
        <f>Учет!I688</f>
        <v>349526.07999999996</v>
      </c>
    </row>
    <row r="689" spans="1:12" x14ac:dyDescent="0.25">
      <c r="A689" s="48" t="str">
        <f>IF(Учет!A689&lt;&gt;"",Учет!A689,"")</f>
        <v/>
      </c>
      <c r="B689" s="52">
        <f>IF(Учет!$O689=Справочники!$F$2,Учет!$H689,0)</f>
        <v>0</v>
      </c>
      <c r="C689" s="52">
        <f>IF(Учет!$O689=Справочники!$F$3,Учет!$H689,0)</f>
        <v>0</v>
      </c>
      <c r="D689" s="52">
        <f>IF(Учет!$O689=Справочники!$F$4,Учет!$H689,0)</f>
        <v>0</v>
      </c>
      <c r="E689" s="52">
        <f>IF(Учет!$O689=Справочники!$F$5,Учет!$H689,0)</f>
        <v>0</v>
      </c>
      <c r="F689" s="52">
        <f>IF(Учет!$O689=Справочники!$F$6,Учет!$H689,0)</f>
        <v>0</v>
      </c>
      <c r="G689" s="43">
        <f>G688+Учет!B689-B689</f>
        <v>-488978.92000000004</v>
      </c>
      <c r="H689" s="43">
        <f>H688+Учет!C689-C689</f>
        <v>336855</v>
      </c>
      <c r="I689" s="43">
        <f>I688+Учет!D689-D689</f>
        <v>500</v>
      </c>
      <c r="J689" s="43">
        <f>J688+Учет!E689-E689</f>
        <v>1150</v>
      </c>
      <c r="K689" s="43">
        <f>K688+Учет!F689-F689</f>
        <v>500000</v>
      </c>
      <c r="L689" s="45">
        <f>Учет!I689</f>
        <v>349526.07999999996</v>
      </c>
    </row>
    <row r="690" spans="1:12" x14ac:dyDescent="0.25">
      <c r="A690" s="48" t="str">
        <f>IF(Учет!A690&lt;&gt;"",Учет!A690,"")</f>
        <v/>
      </c>
      <c r="B690" s="52">
        <f>IF(Учет!$O690=Справочники!$F$2,Учет!$H690,0)</f>
        <v>0</v>
      </c>
      <c r="C690" s="52">
        <f>IF(Учет!$O690=Справочники!$F$3,Учет!$H690,0)</f>
        <v>0</v>
      </c>
      <c r="D690" s="52">
        <f>IF(Учет!$O690=Справочники!$F$4,Учет!$H690,0)</f>
        <v>0</v>
      </c>
      <c r="E690" s="52">
        <f>IF(Учет!$O690=Справочники!$F$5,Учет!$H690,0)</f>
        <v>0</v>
      </c>
      <c r="F690" s="52">
        <f>IF(Учет!$O690=Справочники!$F$6,Учет!$H690,0)</f>
        <v>0</v>
      </c>
      <c r="G690" s="43">
        <f>G689+Учет!B690-B690</f>
        <v>-488978.92000000004</v>
      </c>
      <c r="H690" s="43">
        <f>H689+Учет!C690-C690</f>
        <v>336855</v>
      </c>
      <c r="I690" s="43">
        <f>I689+Учет!D690-D690</f>
        <v>500</v>
      </c>
      <c r="J690" s="43">
        <f>J689+Учет!E690-E690</f>
        <v>1150</v>
      </c>
      <c r="K690" s="43">
        <f>K689+Учет!F690-F690</f>
        <v>500000</v>
      </c>
      <c r="L690" s="45">
        <f>Учет!I690</f>
        <v>349526.07999999996</v>
      </c>
    </row>
    <row r="691" spans="1:12" x14ac:dyDescent="0.25">
      <c r="A691" s="48" t="str">
        <f>IF(Учет!A691&lt;&gt;"",Учет!A691,"")</f>
        <v/>
      </c>
      <c r="B691" s="52">
        <f>IF(Учет!$O691=Справочники!$F$2,Учет!$H691,0)</f>
        <v>0</v>
      </c>
      <c r="C691" s="52">
        <f>IF(Учет!$O691=Справочники!$F$3,Учет!$H691,0)</f>
        <v>0</v>
      </c>
      <c r="D691" s="52">
        <f>IF(Учет!$O691=Справочники!$F$4,Учет!$H691,0)</f>
        <v>0</v>
      </c>
      <c r="E691" s="52">
        <f>IF(Учет!$O691=Справочники!$F$5,Учет!$H691,0)</f>
        <v>0</v>
      </c>
      <c r="F691" s="52">
        <f>IF(Учет!$O691=Справочники!$F$6,Учет!$H691,0)</f>
        <v>0</v>
      </c>
      <c r="G691" s="43">
        <f>G690+Учет!B691-B691</f>
        <v>-488978.92000000004</v>
      </c>
      <c r="H691" s="43">
        <f>H690+Учет!C691-C691</f>
        <v>336855</v>
      </c>
      <c r="I691" s="43">
        <f>I690+Учет!D691-D691</f>
        <v>500</v>
      </c>
      <c r="J691" s="43">
        <f>J690+Учет!E691-E691</f>
        <v>1150</v>
      </c>
      <c r="K691" s="43">
        <f>K690+Учет!F691-F691</f>
        <v>500000</v>
      </c>
      <c r="L691" s="45">
        <f>Учет!I691</f>
        <v>349526.07999999996</v>
      </c>
    </row>
    <row r="692" spans="1:12" x14ac:dyDescent="0.25">
      <c r="A692" s="48" t="str">
        <f>IF(Учет!A692&lt;&gt;"",Учет!A692,"")</f>
        <v/>
      </c>
      <c r="B692" s="52">
        <f>IF(Учет!$O692=Справочники!$F$2,Учет!$H692,0)</f>
        <v>0</v>
      </c>
      <c r="C692" s="52">
        <f>IF(Учет!$O692=Справочники!$F$3,Учет!$H692,0)</f>
        <v>0</v>
      </c>
      <c r="D692" s="52">
        <f>IF(Учет!$O692=Справочники!$F$4,Учет!$H692,0)</f>
        <v>0</v>
      </c>
      <c r="E692" s="52">
        <f>IF(Учет!$O692=Справочники!$F$5,Учет!$H692,0)</f>
        <v>0</v>
      </c>
      <c r="F692" s="52">
        <f>IF(Учет!$O692=Справочники!$F$6,Учет!$H692,0)</f>
        <v>0</v>
      </c>
      <c r="G692" s="43">
        <f>G691+Учет!B692-B692</f>
        <v>-488978.92000000004</v>
      </c>
      <c r="H692" s="43">
        <f>H691+Учет!C692-C692</f>
        <v>336855</v>
      </c>
      <c r="I692" s="43">
        <f>I691+Учет!D692-D692</f>
        <v>500</v>
      </c>
      <c r="J692" s="43">
        <f>J691+Учет!E692-E692</f>
        <v>1150</v>
      </c>
      <c r="K692" s="43">
        <f>K691+Учет!F692-F692</f>
        <v>500000</v>
      </c>
      <c r="L692" s="45">
        <f>Учет!I692</f>
        <v>349526.07999999996</v>
      </c>
    </row>
    <row r="693" spans="1:12" x14ac:dyDescent="0.25">
      <c r="A693" s="48" t="str">
        <f>IF(Учет!A693&lt;&gt;"",Учет!A693,"")</f>
        <v/>
      </c>
      <c r="B693" s="52">
        <f>IF(Учет!$O693=Справочники!$F$2,Учет!$H693,0)</f>
        <v>0</v>
      </c>
      <c r="C693" s="52">
        <f>IF(Учет!$O693=Справочники!$F$3,Учет!$H693,0)</f>
        <v>0</v>
      </c>
      <c r="D693" s="52">
        <f>IF(Учет!$O693=Справочники!$F$4,Учет!$H693,0)</f>
        <v>0</v>
      </c>
      <c r="E693" s="52">
        <f>IF(Учет!$O693=Справочники!$F$5,Учет!$H693,0)</f>
        <v>0</v>
      </c>
      <c r="F693" s="52">
        <f>IF(Учет!$O693=Справочники!$F$6,Учет!$H693,0)</f>
        <v>0</v>
      </c>
      <c r="G693" s="43">
        <f>G692+Учет!B693-B693</f>
        <v>-488978.92000000004</v>
      </c>
      <c r="H693" s="43">
        <f>H692+Учет!C693-C693</f>
        <v>336855</v>
      </c>
      <c r="I693" s="43">
        <f>I692+Учет!D693-D693</f>
        <v>500</v>
      </c>
      <c r="J693" s="43">
        <f>J692+Учет!E693-E693</f>
        <v>1150</v>
      </c>
      <c r="K693" s="43">
        <f>K692+Учет!F693-F693</f>
        <v>500000</v>
      </c>
      <c r="L693" s="45">
        <f>Учет!I693</f>
        <v>349526.07999999996</v>
      </c>
    </row>
    <row r="694" spans="1:12" x14ac:dyDescent="0.25">
      <c r="A694" s="48" t="str">
        <f>IF(Учет!A694&lt;&gt;"",Учет!A694,"")</f>
        <v/>
      </c>
      <c r="B694" s="52">
        <f>IF(Учет!$O694=Справочники!$F$2,Учет!$H694,0)</f>
        <v>0</v>
      </c>
      <c r="C694" s="52">
        <f>IF(Учет!$O694=Справочники!$F$3,Учет!$H694,0)</f>
        <v>0</v>
      </c>
      <c r="D694" s="52">
        <f>IF(Учет!$O694=Справочники!$F$4,Учет!$H694,0)</f>
        <v>0</v>
      </c>
      <c r="E694" s="52">
        <f>IF(Учет!$O694=Справочники!$F$5,Учет!$H694,0)</f>
        <v>0</v>
      </c>
      <c r="F694" s="52">
        <f>IF(Учет!$O694=Справочники!$F$6,Учет!$H694,0)</f>
        <v>0</v>
      </c>
      <c r="G694" s="43">
        <f>G693+Учет!B694-B694</f>
        <v>-488978.92000000004</v>
      </c>
      <c r="H694" s="43">
        <f>H693+Учет!C694-C694</f>
        <v>336855</v>
      </c>
      <c r="I694" s="43">
        <f>I693+Учет!D694-D694</f>
        <v>500</v>
      </c>
      <c r="J694" s="43">
        <f>J693+Учет!E694-E694</f>
        <v>1150</v>
      </c>
      <c r="K694" s="43">
        <f>K693+Учет!F694-F694</f>
        <v>500000</v>
      </c>
      <c r="L694" s="45">
        <f>Учет!I694</f>
        <v>349526.07999999996</v>
      </c>
    </row>
    <row r="695" spans="1:12" x14ac:dyDescent="0.25">
      <c r="A695" s="48" t="str">
        <f>IF(Учет!A695&lt;&gt;"",Учет!A695,"")</f>
        <v/>
      </c>
      <c r="B695" s="52">
        <f>IF(Учет!$O695=Справочники!$F$2,Учет!$H695,0)</f>
        <v>0</v>
      </c>
      <c r="C695" s="52">
        <f>IF(Учет!$O695=Справочники!$F$3,Учет!$H695,0)</f>
        <v>0</v>
      </c>
      <c r="D695" s="52">
        <f>IF(Учет!$O695=Справочники!$F$4,Учет!$H695,0)</f>
        <v>0</v>
      </c>
      <c r="E695" s="52">
        <f>IF(Учет!$O695=Справочники!$F$5,Учет!$H695,0)</f>
        <v>0</v>
      </c>
      <c r="F695" s="52">
        <f>IF(Учет!$O695=Справочники!$F$6,Учет!$H695,0)</f>
        <v>0</v>
      </c>
      <c r="G695" s="43">
        <f>G694+Учет!B695-B695</f>
        <v>-488978.92000000004</v>
      </c>
      <c r="H695" s="43">
        <f>H694+Учет!C695-C695</f>
        <v>336855</v>
      </c>
      <c r="I695" s="43">
        <f>I694+Учет!D695-D695</f>
        <v>500</v>
      </c>
      <c r="J695" s="43">
        <f>J694+Учет!E695-E695</f>
        <v>1150</v>
      </c>
      <c r="K695" s="43">
        <f>K694+Учет!F695-F695</f>
        <v>500000</v>
      </c>
      <c r="L695" s="45">
        <f>Учет!I695</f>
        <v>349526.07999999996</v>
      </c>
    </row>
    <row r="696" spans="1:12" x14ac:dyDescent="0.25">
      <c r="A696" s="48" t="str">
        <f>IF(Учет!A696&lt;&gt;"",Учет!A696,"")</f>
        <v/>
      </c>
      <c r="B696" s="52">
        <f>IF(Учет!$O696=Справочники!$F$2,Учет!$H696,0)</f>
        <v>0</v>
      </c>
      <c r="C696" s="52">
        <f>IF(Учет!$O696=Справочники!$F$3,Учет!$H696,0)</f>
        <v>0</v>
      </c>
      <c r="D696" s="52">
        <f>IF(Учет!$O696=Справочники!$F$4,Учет!$H696,0)</f>
        <v>0</v>
      </c>
      <c r="E696" s="52">
        <f>IF(Учет!$O696=Справочники!$F$5,Учет!$H696,0)</f>
        <v>0</v>
      </c>
      <c r="F696" s="52">
        <f>IF(Учет!$O696=Справочники!$F$6,Учет!$H696,0)</f>
        <v>0</v>
      </c>
      <c r="G696" s="43">
        <f>G695+Учет!B696-B696</f>
        <v>-488978.92000000004</v>
      </c>
      <c r="H696" s="43">
        <f>H695+Учет!C696-C696</f>
        <v>336855</v>
      </c>
      <c r="I696" s="43">
        <f>I695+Учет!D696-D696</f>
        <v>500</v>
      </c>
      <c r="J696" s="43">
        <f>J695+Учет!E696-E696</f>
        <v>1150</v>
      </c>
      <c r="K696" s="43">
        <f>K695+Учет!F696-F696</f>
        <v>500000</v>
      </c>
      <c r="L696" s="45">
        <f>Учет!I696</f>
        <v>349526.07999999996</v>
      </c>
    </row>
    <row r="697" spans="1:12" x14ac:dyDescent="0.25">
      <c r="A697" s="48" t="str">
        <f>IF(Учет!A697&lt;&gt;"",Учет!A697,"")</f>
        <v/>
      </c>
      <c r="B697" s="52">
        <f>IF(Учет!$O697=Справочники!$F$2,Учет!$H697,0)</f>
        <v>0</v>
      </c>
      <c r="C697" s="52">
        <f>IF(Учет!$O697=Справочники!$F$3,Учет!$H697,0)</f>
        <v>0</v>
      </c>
      <c r="D697" s="52">
        <f>IF(Учет!$O697=Справочники!$F$4,Учет!$H697,0)</f>
        <v>0</v>
      </c>
      <c r="E697" s="52">
        <f>IF(Учет!$O697=Справочники!$F$5,Учет!$H697,0)</f>
        <v>0</v>
      </c>
      <c r="F697" s="52">
        <f>IF(Учет!$O697=Справочники!$F$6,Учет!$H697,0)</f>
        <v>0</v>
      </c>
      <c r="G697" s="43">
        <f>G696+Учет!B697-B697</f>
        <v>-488978.92000000004</v>
      </c>
      <c r="H697" s="43">
        <f>H696+Учет!C697-C697</f>
        <v>336855</v>
      </c>
      <c r="I697" s="43">
        <f>I696+Учет!D697-D697</f>
        <v>500</v>
      </c>
      <c r="J697" s="43">
        <f>J696+Учет!E697-E697</f>
        <v>1150</v>
      </c>
      <c r="K697" s="43">
        <f>K696+Учет!F697-F697</f>
        <v>500000</v>
      </c>
      <c r="L697" s="45">
        <f>Учет!I697</f>
        <v>349526.07999999996</v>
      </c>
    </row>
    <row r="698" spans="1:12" x14ac:dyDescent="0.25">
      <c r="A698" s="48" t="str">
        <f>IF(Учет!A698&lt;&gt;"",Учет!A698,"")</f>
        <v/>
      </c>
      <c r="B698" s="52">
        <f>IF(Учет!$O698=Справочники!$F$2,Учет!$H698,0)</f>
        <v>0</v>
      </c>
      <c r="C698" s="52">
        <f>IF(Учет!$O698=Справочники!$F$3,Учет!$H698,0)</f>
        <v>0</v>
      </c>
      <c r="D698" s="52">
        <f>IF(Учет!$O698=Справочники!$F$4,Учет!$H698,0)</f>
        <v>0</v>
      </c>
      <c r="E698" s="52">
        <f>IF(Учет!$O698=Справочники!$F$5,Учет!$H698,0)</f>
        <v>0</v>
      </c>
      <c r="F698" s="52">
        <f>IF(Учет!$O698=Справочники!$F$6,Учет!$H698,0)</f>
        <v>0</v>
      </c>
      <c r="G698" s="43">
        <f>G697+Учет!B698-B698</f>
        <v>-488978.92000000004</v>
      </c>
      <c r="H698" s="43">
        <f>H697+Учет!C698-C698</f>
        <v>336855</v>
      </c>
      <c r="I698" s="43">
        <f>I697+Учет!D698-D698</f>
        <v>500</v>
      </c>
      <c r="J698" s="43">
        <f>J697+Учет!E698-E698</f>
        <v>1150</v>
      </c>
      <c r="K698" s="43">
        <f>K697+Учет!F698-F698</f>
        <v>500000</v>
      </c>
      <c r="L698" s="45">
        <f>Учет!I698</f>
        <v>349526.07999999996</v>
      </c>
    </row>
    <row r="699" spans="1:12" x14ac:dyDescent="0.25">
      <c r="A699" s="48" t="str">
        <f>IF(Учет!A699&lt;&gt;"",Учет!A699,"")</f>
        <v/>
      </c>
      <c r="B699" s="52">
        <f>IF(Учет!$O699=Справочники!$F$2,Учет!$H699,0)</f>
        <v>0</v>
      </c>
      <c r="C699" s="52">
        <f>IF(Учет!$O699=Справочники!$F$3,Учет!$H699,0)</f>
        <v>0</v>
      </c>
      <c r="D699" s="52">
        <f>IF(Учет!$O699=Справочники!$F$4,Учет!$H699,0)</f>
        <v>0</v>
      </c>
      <c r="E699" s="52">
        <f>IF(Учет!$O699=Справочники!$F$5,Учет!$H699,0)</f>
        <v>0</v>
      </c>
      <c r="F699" s="52">
        <f>IF(Учет!$O699=Справочники!$F$6,Учет!$H699,0)</f>
        <v>0</v>
      </c>
      <c r="G699" s="43">
        <f>G698+Учет!B699-B699</f>
        <v>-488978.92000000004</v>
      </c>
      <c r="H699" s="43">
        <f>H698+Учет!C699-C699</f>
        <v>336855</v>
      </c>
      <c r="I699" s="43">
        <f>I698+Учет!D699-D699</f>
        <v>500</v>
      </c>
      <c r="J699" s="43">
        <f>J698+Учет!E699-E699</f>
        <v>1150</v>
      </c>
      <c r="K699" s="43">
        <f>K698+Учет!F699-F699</f>
        <v>500000</v>
      </c>
      <c r="L699" s="45">
        <f>Учет!I699</f>
        <v>349526.07999999996</v>
      </c>
    </row>
    <row r="700" spans="1:12" x14ac:dyDescent="0.25">
      <c r="A700" s="48" t="str">
        <f>IF(Учет!A700&lt;&gt;"",Учет!A700,"")</f>
        <v/>
      </c>
      <c r="B700" s="52">
        <f>IF(Учет!$O700=Справочники!$F$2,Учет!$H700,0)</f>
        <v>0</v>
      </c>
      <c r="C700" s="52">
        <f>IF(Учет!$O700=Справочники!$F$3,Учет!$H700,0)</f>
        <v>0</v>
      </c>
      <c r="D700" s="52">
        <f>IF(Учет!$O700=Справочники!$F$4,Учет!$H700,0)</f>
        <v>0</v>
      </c>
      <c r="E700" s="52">
        <f>IF(Учет!$O700=Справочники!$F$5,Учет!$H700,0)</f>
        <v>0</v>
      </c>
      <c r="F700" s="52">
        <f>IF(Учет!$O700=Справочники!$F$6,Учет!$H700,0)</f>
        <v>0</v>
      </c>
      <c r="G700" s="43">
        <f>G699+Учет!B700-B700</f>
        <v>-488978.92000000004</v>
      </c>
      <c r="H700" s="43">
        <f>H699+Учет!C700-C700</f>
        <v>336855</v>
      </c>
      <c r="I700" s="43">
        <f>I699+Учет!D700-D700</f>
        <v>500</v>
      </c>
      <c r="J700" s="43">
        <f>J699+Учет!E700-E700</f>
        <v>1150</v>
      </c>
      <c r="K700" s="43">
        <f>K699+Учет!F700-F700</f>
        <v>500000</v>
      </c>
      <c r="L700" s="45">
        <f>Учет!I700</f>
        <v>349526.07999999996</v>
      </c>
    </row>
    <row r="701" spans="1:12" x14ac:dyDescent="0.25">
      <c r="A701" s="48" t="str">
        <f>IF(Учет!A701&lt;&gt;"",Учет!A701,"")</f>
        <v/>
      </c>
      <c r="B701" s="52">
        <f>IF(Учет!$O701=Справочники!$F$2,Учет!$H701,0)</f>
        <v>0</v>
      </c>
      <c r="C701" s="52">
        <f>IF(Учет!$O701=Справочники!$F$3,Учет!$H701,0)</f>
        <v>0</v>
      </c>
      <c r="D701" s="52">
        <f>IF(Учет!$O701=Справочники!$F$4,Учет!$H701,0)</f>
        <v>0</v>
      </c>
      <c r="E701" s="52">
        <f>IF(Учет!$O701=Справочники!$F$5,Учет!$H701,0)</f>
        <v>0</v>
      </c>
      <c r="F701" s="52">
        <f>IF(Учет!$O701=Справочники!$F$6,Учет!$H701,0)</f>
        <v>0</v>
      </c>
      <c r="G701" s="43">
        <f>G700+Учет!B701-B701</f>
        <v>-488978.92000000004</v>
      </c>
      <c r="H701" s="43">
        <f>H700+Учет!C701-C701</f>
        <v>336855</v>
      </c>
      <c r="I701" s="43">
        <f>I700+Учет!D701-D701</f>
        <v>500</v>
      </c>
      <c r="J701" s="43">
        <f>J700+Учет!E701-E701</f>
        <v>1150</v>
      </c>
      <c r="K701" s="43">
        <f>K700+Учет!F701-F701</f>
        <v>500000</v>
      </c>
      <c r="L701" s="45">
        <f>Учет!I701</f>
        <v>349526.07999999996</v>
      </c>
    </row>
    <row r="702" spans="1:12" x14ac:dyDescent="0.25">
      <c r="A702" s="48" t="str">
        <f>IF(Учет!A702&lt;&gt;"",Учет!A702,"")</f>
        <v/>
      </c>
      <c r="B702" s="52">
        <f>IF(Учет!$O702=Справочники!$F$2,Учет!$H702,0)</f>
        <v>0</v>
      </c>
      <c r="C702" s="52">
        <f>IF(Учет!$O702=Справочники!$F$3,Учет!$H702,0)</f>
        <v>0</v>
      </c>
      <c r="D702" s="52">
        <f>IF(Учет!$O702=Справочники!$F$4,Учет!$H702,0)</f>
        <v>0</v>
      </c>
      <c r="E702" s="52">
        <f>IF(Учет!$O702=Справочники!$F$5,Учет!$H702,0)</f>
        <v>0</v>
      </c>
      <c r="F702" s="52">
        <f>IF(Учет!$O702=Справочники!$F$6,Учет!$H702,0)</f>
        <v>0</v>
      </c>
      <c r="G702" s="43">
        <f>G701+Учет!B702-B702</f>
        <v>-488978.92000000004</v>
      </c>
      <c r="H702" s="43">
        <f>H701+Учет!C702-C702</f>
        <v>336855</v>
      </c>
      <c r="I702" s="43">
        <f>I701+Учет!D702-D702</f>
        <v>500</v>
      </c>
      <c r="J702" s="43">
        <f>J701+Учет!E702-E702</f>
        <v>1150</v>
      </c>
      <c r="K702" s="43">
        <f>K701+Учет!F702-F702</f>
        <v>500000</v>
      </c>
      <c r="L702" s="45">
        <f>Учет!I702</f>
        <v>349526.07999999996</v>
      </c>
    </row>
    <row r="703" spans="1:12" x14ac:dyDescent="0.25">
      <c r="A703" s="48" t="str">
        <f>IF(Учет!A703&lt;&gt;"",Учет!A703,"")</f>
        <v/>
      </c>
      <c r="B703" s="52">
        <f>IF(Учет!$O703=Справочники!$F$2,Учет!$H703,0)</f>
        <v>0</v>
      </c>
      <c r="C703" s="52">
        <f>IF(Учет!$O703=Справочники!$F$3,Учет!$H703,0)</f>
        <v>0</v>
      </c>
      <c r="D703" s="52">
        <f>IF(Учет!$O703=Справочники!$F$4,Учет!$H703,0)</f>
        <v>0</v>
      </c>
      <c r="E703" s="52">
        <f>IF(Учет!$O703=Справочники!$F$5,Учет!$H703,0)</f>
        <v>0</v>
      </c>
      <c r="F703" s="52">
        <f>IF(Учет!$O703=Справочники!$F$6,Учет!$H703,0)</f>
        <v>0</v>
      </c>
      <c r="G703" s="43">
        <f>G702+Учет!B703-B703</f>
        <v>-488978.92000000004</v>
      </c>
      <c r="H703" s="43">
        <f>H702+Учет!C703-C703</f>
        <v>336855</v>
      </c>
      <c r="I703" s="43">
        <f>I702+Учет!D703-D703</f>
        <v>500</v>
      </c>
      <c r="J703" s="43">
        <f>J702+Учет!E703-E703</f>
        <v>1150</v>
      </c>
      <c r="K703" s="43">
        <f>K702+Учет!F703-F703</f>
        <v>500000</v>
      </c>
      <c r="L703" s="45">
        <f>Учет!I703</f>
        <v>349526.07999999996</v>
      </c>
    </row>
    <row r="704" spans="1:12" x14ac:dyDescent="0.25">
      <c r="A704" s="48" t="str">
        <f>IF(Учет!A704&lt;&gt;"",Учет!A704,"")</f>
        <v/>
      </c>
      <c r="B704" s="52">
        <f>IF(Учет!$O704=Справочники!$F$2,Учет!$H704,0)</f>
        <v>0</v>
      </c>
      <c r="C704" s="52">
        <f>IF(Учет!$O704=Справочники!$F$3,Учет!$H704,0)</f>
        <v>0</v>
      </c>
      <c r="D704" s="52">
        <f>IF(Учет!$O704=Справочники!$F$4,Учет!$H704,0)</f>
        <v>0</v>
      </c>
      <c r="E704" s="52">
        <f>IF(Учет!$O704=Справочники!$F$5,Учет!$H704,0)</f>
        <v>0</v>
      </c>
      <c r="F704" s="52">
        <f>IF(Учет!$O704=Справочники!$F$6,Учет!$H704,0)</f>
        <v>0</v>
      </c>
      <c r="G704" s="43">
        <f>G703+Учет!B704-B704</f>
        <v>-488978.92000000004</v>
      </c>
      <c r="H704" s="43">
        <f>H703+Учет!C704-C704</f>
        <v>336855</v>
      </c>
      <c r="I704" s="43">
        <f>I703+Учет!D704-D704</f>
        <v>500</v>
      </c>
      <c r="J704" s="43">
        <f>J703+Учет!E704-E704</f>
        <v>1150</v>
      </c>
      <c r="K704" s="43">
        <f>K703+Учет!F704-F704</f>
        <v>500000</v>
      </c>
      <c r="L704" s="45">
        <f>Учет!I704</f>
        <v>349526.07999999996</v>
      </c>
    </row>
    <row r="705" spans="1:12" x14ac:dyDescent="0.25">
      <c r="A705" s="48" t="str">
        <f>IF(Учет!A705&lt;&gt;"",Учет!A705,"")</f>
        <v/>
      </c>
      <c r="B705" s="52">
        <f>IF(Учет!$O705=Справочники!$F$2,Учет!$H705,0)</f>
        <v>0</v>
      </c>
      <c r="C705" s="52">
        <f>IF(Учет!$O705=Справочники!$F$3,Учет!$H705,0)</f>
        <v>0</v>
      </c>
      <c r="D705" s="52">
        <f>IF(Учет!$O705=Справочники!$F$4,Учет!$H705,0)</f>
        <v>0</v>
      </c>
      <c r="E705" s="52">
        <f>IF(Учет!$O705=Справочники!$F$5,Учет!$H705,0)</f>
        <v>0</v>
      </c>
      <c r="F705" s="52">
        <f>IF(Учет!$O705=Справочники!$F$6,Учет!$H705,0)</f>
        <v>0</v>
      </c>
      <c r="G705" s="43">
        <f>G704+Учет!B705-B705</f>
        <v>-488978.92000000004</v>
      </c>
      <c r="H705" s="43">
        <f>H704+Учет!C705-C705</f>
        <v>336855</v>
      </c>
      <c r="I705" s="43">
        <f>I704+Учет!D705-D705</f>
        <v>500</v>
      </c>
      <c r="J705" s="43">
        <f>J704+Учет!E705-E705</f>
        <v>1150</v>
      </c>
      <c r="K705" s="43">
        <f>K704+Учет!F705-F705</f>
        <v>500000</v>
      </c>
      <c r="L705" s="45">
        <f>Учет!I705</f>
        <v>349526.07999999996</v>
      </c>
    </row>
    <row r="706" spans="1:12" x14ac:dyDescent="0.25">
      <c r="A706" s="48" t="str">
        <f>IF(Учет!A706&lt;&gt;"",Учет!A706,"")</f>
        <v/>
      </c>
      <c r="B706" s="52">
        <f>IF(Учет!$O706=Справочники!$F$2,Учет!$H706,0)</f>
        <v>0</v>
      </c>
      <c r="C706" s="52">
        <f>IF(Учет!$O706=Справочники!$F$3,Учет!$H706,0)</f>
        <v>0</v>
      </c>
      <c r="D706" s="52">
        <f>IF(Учет!$O706=Справочники!$F$4,Учет!$H706,0)</f>
        <v>0</v>
      </c>
      <c r="E706" s="52">
        <f>IF(Учет!$O706=Справочники!$F$5,Учет!$H706,0)</f>
        <v>0</v>
      </c>
      <c r="F706" s="52">
        <f>IF(Учет!$O706=Справочники!$F$6,Учет!$H706,0)</f>
        <v>0</v>
      </c>
      <c r="G706" s="43">
        <f>G705+Учет!B706-B706</f>
        <v>-488978.92000000004</v>
      </c>
      <c r="H706" s="43">
        <f>H705+Учет!C706-C706</f>
        <v>336855</v>
      </c>
      <c r="I706" s="43">
        <f>I705+Учет!D706-D706</f>
        <v>500</v>
      </c>
      <c r="J706" s="43">
        <f>J705+Учет!E706-E706</f>
        <v>1150</v>
      </c>
      <c r="K706" s="43">
        <f>K705+Учет!F706-F706</f>
        <v>500000</v>
      </c>
      <c r="L706" s="45">
        <f>Учет!I706</f>
        <v>349526.07999999996</v>
      </c>
    </row>
    <row r="707" spans="1:12" x14ac:dyDescent="0.25">
      <c r="A707" s="48" t="str">
        <f>IF(Учет!A707&lt;&gt;"",Учет!A707,"")</f>
        <v/>
      </c>
      <c r="B707" s="52">
        <f>IF(Учет!$O707=Справочники!$F$2,Учет!$H707,0)</f>
        <v>0</v>
      </c>
      <c r="C707" s="52">
        <f>IF(Учет!$O707=Справочники!$F$3,Учет!$H707,0)</f>
        <v>0</v>
      </c>
      <c r="D707" s="52">
        <f>IF(Учет!$O707=Справочники!$F$4,Учет!$H707,0)</f>
        <v>0</v>
      </c>
      <c r="E707" s="52">
        <f>IF(Учет!$O707=Справочники!$F$5,Учет!$H707,0)</f>
        <v>0</v>
      </c>
      <c r="F707" s="52">
        <f>IF(Учет!$O707=Справочники!$F$6,Учет!$H707,0)</f>
        <v>0</v>
      </c>
      <c r="G707" s="43">
        <f>G706+Учет!B707-B707</f>
        <v>-488978.92000000004</v>
      </c>
      <c r="H707" s="43">
        <f>H706+Учет!C707-C707</f>
        <v>336855</v>
      </c>
      <c r="I707" s="43">
        <f>I706+Учет!D707-D707</f>
        <v>500</v>
      </c>
      <c r="J707" s="43">
        <f>J706+Учет!E707-E707</f>
        <v>1150</v>
      </c>
      <c r="K707" s="43">
        <f>K706+Учет!F707-F707</f>
        <v>500000</v>
      </c>
      <c r="L707" s="45">
        <f>Учет!I707</f>
        <v>349526.07999999996</v>
      </c>
    </row>
    <row r="708" spans="1:12" x14ac:dyDescent="0.25">
      <c r="A708" s="48" t="str">
        <f>IF(Учет!A708&lt;&gt;"",Учет!A708,"")</f>
        <v/>
      </c>
      <c r="B708" s="52">
        <f>IF(Учет!$O708=Справочники!$F$2,Учет!$H708,0)</f>
        <v>0</v>
      </c>
      <c r="C708" s="52">
        <f>IF(Учет!$O708=Справочники!$F$3,Учет!$H708,0)</f>
        <v>0</v>
      </c>
      <c r="D708" s="52">
        <f>IF(Учет!$O708=Справочники!$F$4,Учет!$H708,0)</f>
        <v>0</v>
      </c>
      <c r="E708" s="52">
        <f>IF(Учет!$O708=Справочники!$F$5,Учет!$H708,0)</f>
        <v>0</v>
      </c>
      <c r="F708" s="52">
        <f>IF(Учет!$O708=Справочники!$F$6,Учет!$H708,0)</f>
        <v>0</v>
      </c>
      <c r="G708" s="43">
        <f>G707+Учет!B708-B708</f>
        <v>-488978.92000000004</v>
      </c>
      <c r="H708" s="43">
        <f>H707+Учет!C708-C708</f>
        <v>336855</v>
      </c>
      <c r="I708" s="43">
        <f>I707+Учет!D708-D708</f>
        <v>500</v>
      </c>
      <c r="J708" s="43">
        <f>J707+Учет!E708-E708</f>
        <v>1150</v>
      </c>
      <c r="K708" s="43">
        <f>K707+Учет!F708-F708</f>
        <v>500000</v>
      </c>
      <c r="L708" s="45">
        <f>Учет!I708</f>
        <v>349526.07999999996</v>
      </c>
    </row>
    <row r="709" spans="1:12" x14ac:dyDescent="0.25">
      <c r="A709" s="48" t="str">
        <f>IF(Учет!A709&lt;&gt;"",Учет!A709,"")</f>
        <v/>
      </c>
      <c r="B709" s="52">
        <f>IF(Учет!$O709=Справочники!$F$2,Учет!$H709,0)</f>
        <v>0</v>
      </c>
      <c r="C709" s="52">
        <f>IF(Учет!$O709=Справочники!$F$3,Учет!$H709,0)</f>
        <v>0</v>
      </c>
      <c r="D709" s="52">
        <f>IF(Учет!$O709=Справочники!$F$4,Учет!$H709,0)</f>
        <v>0</v>
      </c>
      <c r="E709" s="52">
        <f>IF(Учет!$O709=Справочники!$F$5,Учет!$H709,0)</f>
        <v>0</v>
      </c>
      <c r="F709" s="52">
        <f>IF(Учет!$O709=Справочники!$F$6,Учет!$H709,0)</f>
        <v>0</v>
      </c>
      <c r="G709" s="43">
        <f>G708+Учет!B709-B709</f>
        <v>-488978.92000000004</v>
      </c>
      <c r="H709" s="43">
        <f>H708+Учет!C709-C709</f>
        <v>336855</v>
      </c>
      <c r="I709" s="43">
        <f>I708+Учет!D709-D709</f>
        <v>500</v>
      </c>
      <c r="J709" s="43">
        <f>J708+Учет!E709-E709</f>
        <v>1150</v>
      </c>
      <c r="K709" s="43">
        <f>K708+Учет!F709-F709</f>
        <v>500000</v>
      </c>
      <c r="L709" s="45">
        <f>Учет!I709</f>
        <v>349526.07999999996</v>
      </c>
    </row>
    <row r="710" spans="1:12" x14ac:dyDescent="0.25">
      <c r="A710" s="48" t="str">
        <f>IF(Учет!A710&lt;&gt;"",Учет!A710,"")</f>
        <v/>
      </c>
      <c r="B710" s="52">
        <f>IF(Учет!$O710=Справочники!$F$2,Учет!$H710,0)</f>
        <v>0</v>
      </c>
      <c r="C710" s="52">
        <f>IF(Учет!$O710=Справочники!$F$3,Учет!$H710,0)</f>
        <v>0</v>
      </c>
      <c r="D710" s="52">
        <f>IF(Учет!$O710=Справочники!$F$4,Учет!$H710,0)</f>
        <v>0</v>
      </c>
      <c r="E710" s="52">
        <f>IF(Учет!$O710=Справочники!$F$5,Учет!$H710,0)</f>
        <v>0</v>
      </c>
      <c r="F710" s="52">
        <f>IF(Учет!$O710=Справочники!$F$6,Учет!$H710,0)</f>
        <v>0</v>
      </c>
      <c r="G710" s="43">
        <f>G709+Учет!B710-B710</f>
        <v>-488978.92000000004</v>
      </c>
      <c r="H710" s="43">
        <f>H709+Учет!C710-C710</f>
        <v>336855</v>
      </c>
      <c r="I710" s="43">
        <f>I709+Учет!D710-D710</f>
        <v>500</v>
      </c>
      <c r="J710" s="43">
        <f>J709+Учет!E710-E710</f>
        <v>1150</v>
      </c>
      <c r="K710" s="43">
        <f>K709+Учет!F710-F710</f>
        <v>500000</v>
      </c>
      <c r="L710" s="45">
        <f>Учет!I710</f>
        <v>349526.07999999996</v>
      </c>
    </row>
    <row r="711" spans="1:12" x14ac:dyDescent="0.25">
      <c r="A711" s="48" t="str">
        <f>IF(Учет!A711&lt;&gt;"",Учет!A711,"")</f>
        <v/>
      </c>
      <c r="B711" s="52">
        <f>IF(Учет!$O711=Справочники!$F$2,Учет!$H711,0)</f>
        <v>0</v>
      </c>
      <c r="C711" s="52">
        <f>IF(Учет!$O711=Справочники!$F$3,Учет!$H711,0)</f>
        <v>0</v>
      </c>
      <c r="D711" s="52">
        <f>IF(Учет!$O711=Справочники!$F$4,Учет!$H711,0)</f>
        <v>0</v>
      </c>
      <c r="E711" s="52">
        <f>IF(Учет!$O711=Справочники!$F$5,Учет!$H711,0)</f>
        <v>0</v>
      </c>
      <c r="F711" s="52">
        <f>IF(Учет!$O711=Справочники!$F$6,Учет!$H711,0)</f>
        <v>0</v>
      </c>
      <c r="G711" s="43">
        <f>G710+Учет!B711-B711</f>
        <v>-488978.92000000004</v>
      </c>
      <c r="H711" s="43">
        <f>H710+Учет!C711-C711</f>
        <v>336855</v>
      </c>
      <c r="I711" s="43">
        <f>I710+Учет!D711-D711</f>
        <v>500</v>
      </c>
      <c r="J711" s="43">
        <f>J710+Учет!E711-E711</f>
        <v>1150</v>
      </c>
      <c r="K711" s="43">
        <f>K710+Учет!F711-F711</f>
        <v>500000</v>
      </c>
      <c r="L711" s="45">
        <f>Учет!I711</f>
        <v>349526.07999999996</v>
      </c>
    </row>
    <row r="712" spans="1:12" x14ac:dyDescent="0.25">
      <c r="A712" s="48" t="str">
        <f>IF(Учет!A712&lt;&gt;"",Учет!A712,"")</f>
        <v/>
      </c>
      <c r="B712" s="52">
        <f>IF(Учет!$O712=Справочники!$F$2,Учет!$H712,0)</f>
        <v>0</v>
      </c>
      <c r="C712" s="52">
        <f>IF(Учет!$O712=Справочники!$F$3,Учет!$H712,0)</f>
        <v>0</v>
      </c>
      <c r="D712" s="52">
        <f>IF(Учет!$O712=Справочники!$F$4,Учет!$H712,0)</f>
        <v>0</v>
      </c>
      <c r="E712" s="52">
        <f>IF(Учет!$O712=Справочники!$F$5,Учет!$H712,0)</f>
        <v>0</v>
      </c>
      <c r="F712" s="52">
        <f>IF(Учет!$O712=Справочники!$F$6,Учет!$H712,0)</f>
        <v>0</v>
      </c>
      <c r="G712" s="43">
        <f>G711+Учет!B712-B712</f>
        <v>-488978.92000000004</v>
      </c>
      <c r="H712" s="43">
        <f>H711+Учет!C712-C712</f>
        <v>336855</v>
      </c>
      <c r="I712" s="43">
        <f>I711+Учет!D712-D712</f>
        <v>500</v>
      </c>
      <c r="J712" s="43">
        <f>J711+Учет!E712-E712</f>
        <v>1150</v>
      </c>
      <c r="K712" s="43">
        <f>K711+Учет!F712-F712</f>
        <v>500000</v>
      </c>
      <c r="L712" s="45">
        <f>Учет!I712</f>
        <v>349526.07999999996</v>
      </c>
    </row>
    <row r="713" spans="1:12" x14ac:dyDescent="0.25">
      <c r="A713" s="48" t="str">
        <f>IF(Учет!A713&lt;&gt;"",Учет!A713,"")</f>
        <v/>
      </c>
      <c r="B713" s="52">
        <f>IF(Учет!$O713=Справочники!$F$2,Учет!$H713,0)</f>
        <v>0</v>
      </c>
      <c r="C713" s="52">
        <f>IF(Учет!$O713=Справочники!$F$3,Учет!$H713,0)</f>
        <v>0</v>
      </c>
      <c r="D713" s="52">
        <f>IF(Учет!$O713=Справочники!$F$4,Учет!$H713,0)</f>
        <v>0</v>
      </c>
      <c r="E713" s="52">
        <f>IF(Учет!$O713=Справочники!$F$5,Учет!$H713,0)</f>
        <v>0</v>
      </c>
      <c r="F713" s="52">
        <f>IF(Учет!$O713=Справочники!$F$6,Учет!$H713,0)</f>
        <v>0</v>
      </c>
      <c r="G713" s="43">
        <f>G712+Учет!B713-B713</f>
        <v>-488978.92000000004</v>
      </c>
      <c r="H713" s="43">
        <f>H712+Учет!C713-C713</f>
        <v>336855</v>
      </c>
      <c r="I713" s="43">
        <f>I712+Учет!D713-D713</f>
        <v>500</v>
      </c>
      <c r="J713" s="43">
        <f>J712+Учет!E713-E713</f>
        <v>1150</v>
      </c>
      <c r="K713" s="43">
        <f>K712+Учет!F713-F713</f>
        <v>500000</v>
      </c>
      <c r="L713" s="45">
        <f>Учет!I713</f>
        <v>349526.07999999996</v>
      </c>
    </row>
    <row r="714" spans="1:12" x14ac:dyDescent="0.25">
      <c r="A714" s="48" t="str">
        <f>IF(Учет!A714&lt;&gt;"",Учет!A714,"")</f>
        <v/>
      </c>
      <c r="B714" s="52">
        <f>IF(Учет!$O714=Справочники!$F$2,Учет!$H714,0)</f>
        <v>0</v>
      </c>
      <c r="C714" s="52">
        <f>IF(Учет!$O714=Справочники!$F$3,Учет!$H714,0)</f>
        <v>0</v>
      </c>
      <c r="D714" s="52">
        <f>IF(Учет!$O714=Справочники!$F$4,Учет!$H714,0)</f>
        <v>0</v>
      </c>
      <c r="E714" s="52">
        <f>IF(Учет!$O714=Справочники!$F$5,Учет!$H714,0)</f>
        <v>0</v>
      </c>
      <c r="F714" s="52">
        <f>IF(Учет!$O714=Справочники!$F$6,Учет!$H714,0)</f>
        <v>0</v>
      </c>
      <c r="G714" s="43">
        <f>G713+Учет!B714-B714</f>
        <v>-488978.92000000004</v>
      </c>
      <c r="H714" s="43">
        <f>H713+Учет!C714-C714</f>
        <v>336855</v>
      </c>
      <c r="I714" s="43">
        <f>I713+Учет!D714-D714</f>
        <v>500</v>
      </c>
      <c r="J714" s="43">
        <f>J713+Учет!E714-E714</f>
        <v>1150</v>
      </c>
      <c r="K714" s="43">
        <f>K713+Учет!F714-F714</f>
        <v>500000</v>
      </c>
      <c r="L714" s="45">
        <f>Учет!I714</f>
        <v>349526.07999999996</v>
      </c>
    </row>
    <row r="715" spans="1:12" x14ac:dyDescent="0.25">
      <c r="A715" s="48" t="str">
        <f>IF(Учет!A715&lt;&gt;"",Учет!A715,"")</f>
        <v/>
      </c>
      <c r="B715" s="52">
        <f>IF(Учет!$O715=Справочники!$F$2,Учет!$H715,0)</f>
        <v>0</v>
      </c>
      <c r="C715" s="52">
        <f>IF(Учет!$O715=Справочники!$F$3,Учет!$H715,0)</f>
        <v>0</v>
      </c>
      <c r="D715" s="52">
        <f>IF(Учет!$O715=Справочники!$F$4,Учет!$H715,0)</f>
        <v>0</v>
      </c>
      <c r="E715" s="52">
        <f>IF(Учет!$O715=Справочники!$F$5,Учет!$H715,0)</f>
        <v>0</v>
      </c>
      <c r="F715" s="52">
        <f>IF(Учет!$O715=Справочники!$F$6,Учет!$H715,0)</f>
        <v>0</v>
      </c>
      <c r="G715" s="43">
        <f>G714+Учет!B715-B715</f>
        <v>-488978.92000000004</v>
      </c>
      <c r="H715" s="43">
        <f>H714+Учет!C715-C715</f>
        <v>336855</v>
      </c>
      <c r="I715" s="43">
        <f>I714+Учет!D715-D715</f>
        <v>500</v>
      </c>
      <c r="J715" s="43">
        <f>J714+Учет!E715-E715</f>
        <v>1150</v>
      </c>
      <c r="K715" s="43">
        <f>K714+Учет!F715-F715</f>
        <v>500000</v>
      </c>
      <c r="L715" s="45">
        <f>Учет!I715</f>
        <v>349526.07999999996</v>
      </c>
    </row>
    <row r="716" spans="1:12" x14ac:dyDescent="0.25">
      <c r="A716" s="48" t="str">
        <f>IF(Учет!A716&lt;&gt;"",Учет!A716,"")</f>
        <v/>
      </c>
      <c r="B716" s="52">
        <f>IF(Учет!$O716=Справочники!$F$2,Учет!$H716,0)</f>
        <v>0</v>
      </c>
      <c r="C716" s="52">
        <f>IF(Учет!$O716=Справочники!$F$3,Учет!$H716,0)</f>
        <v>0</v>
      </c>
      <c r="D716" s="52">
        <f>IF(Учет!$O716=Справочники!$F$4,Учет!$H716,0)</f>
        <v>0</v>
      </c>
      <c r="E716" s="52">
        <f>IF(Учет!$O716=Справочники!$F$5,Учет!$H716,0)</f>
        <v>0</v>
      </c>
      <c r="F716" s="52">
        <f>IF(Учет!$O716=Справочники!$F$6,Учет!$H716,0)</f>
        <v>0</v>
      </c>
      <c r="G716" s="43">
        <f>G715+Учет!B716-B716</f>
        <v>-488978.92000000004</v>
      </c>
      <c r="H716" s="43">
        <f>H715+Учет!C716-C716</f>
        <v>336855</v>
      </c>
      <c r="I716" s="43">
        <f>I715+Учет!D716-D716</f>
        <v>500</v>
      </c>
      <c r="J716" s="43">
        <f>J715+Учет!E716-E716</f>
        <v>1150</v>
      </c>
      <c r="K716" s="43">
        <f>K715+Учет!F716-F716</f>
        <v>500000</v>
      </c>
      <c r="L716" s="45">
        <f>Учет!I716</f>
        <v>349526.07999999996</v>
      </c>
    </row>
    <row r="717" spans="1:12" x14ac:dyDescent="0.25">
      <c r="A717" s="48" t="str">
        <f>IF(Учет!A717&lt;&gt;"",Учет!A717,"")</f>
        <v/>
      </c>
      <c r="B717" s="52">
        <f>IF(Учет!$O717=Справочники!$F$2,Учет!$H717,0)</f>
        <v>0</v>
      </c>
      <c r="C717" s="52">
        <f>IF(Учет!$O717=Справочники!$F$3,Учет!$H717,0)</f>
        <v>0</v>
      </c>
      <c r="D717" s="52">
        <f>IF(Учет!$O717=Справочники!$F$4,Учет!$H717,0)</f>
        <v>0</v>
      </c>
      <c r="E717" s="52">
        <f>IF(Учет!$O717=Справочники!$F$5,Учет!$H717,0)</f>
        <v>0</v>
      </c>
      <c r="F717" s="52">
        <f>IF(Учет!$O717=Справочники!$F$6,Учет!$H717,0)</f>
        <v>0</v>
      </c>
      <c r="G717" s="43">
        <f>G716+Учет!B717-B717</f>
        <v>-488978.92000000004</v>
      </c>
      <c r="H717" s="43">
        <f>H716+Учет!C717-C717</f>
        <v>336855</v>
      </c>
      <c r="I717" s="43">
        <f>I716+Учет!D717-D717</f>
        <v>500</v>
      </c>
      <c r="J717" s="43">
        <f>J716+Учет!E717-E717</f>
        <v>1150</v>
      </c>
      <c r="K717" s="43">
        <f>K716+Учет!F717-F717</f>
        <v>500000</v>
      </c>
      <c r="L717" s="45">
        <f>Учет!I717</f>
        <v>349526.07999999996</v>
      </c>
    </row>
    <row r="718" spans="1:12" x14ac:dyDescent="0.25">
      <c r="A718" s="48" t="str">
        <f>IF(Учет!A718&lt;&gt;"",Учет!A718,"")</f>
        <v/>
      </c>
      <c r="B718" s="52">
        <f>IF(Учет!$O718=Справочники!$F$2,Учет!$H718,0)</f>
        <v>0</v>
      </c>
      <c r="C718" s="52">
        <f>IF(Учет!$O718=Справочники!$F$3,Учет!$H718,0)</f>
        <v>0</v>
      </c>
      <c r="D718" s="52">
        <f>IF(Учет!$O718=Справочники!$F$4,Учет!$H718,0)</f>
        <v>0</v>
      </c>
      <c r="E718" s="52">
        <f>IF(Учет!$O718=Справочники!$F$5,Учет!$H718,0)</f>
        <v>0</v>
      </c>
      <c r="F718" s="52">
        <f>IF(Учет!$O718=Справочники!$F$6,Учет!$H718,0)</f>
        <v>0</v>
      </c>
      <c r="G718" s="43">
        <f>G717+Учет!B718-B718</f>
        <v>-488978.92000000004</v>
      </c>
      <c r="H718" s="43">
        <f>H717+Учет!C718-C718</f>
        <v>336855</v>
      </c>
      <c r="I718" s="43">
        <f>I717+Учет!D718-D718</f>
        <v>500</v>
      </c>
      <c r="J718" s="43">
        <f>J717+Учет!E718-E718</f>
        <v>1150</v>
      </c>
      <c r="K718" s="43">
        <f>K717+Учет!F718-F718</f>
        <v>500000</v>
      </c>
      <c r="L718" s="45">
        <f>Учет!I718</f>
        <v>349526.07999999996</v>
      </c>
    </row>
    <row r="719" spans="1:12" x14ac:dyDescent="0.25">
      <c r="A719" s="48" t="str">
        <f>IF(Учет!A719&lt;&gt;"",Учет!A719,"")</f>
        <v/>
      </c>
      <c r="B719" s="52">
        <f>IF(Учет!$O719=Справочники!$F$2,Учет!$H719,0)</f>
        <v>0</v>
      </c>
      <c r="C719" s="52">
        <f>IF(Учет!$O719=Справочники!$F$3,Учет!$H719,0)</f>
        <v>0</v>
      </c>
      <c r="D719" s="52">
        <f>IF(Учет!$O719=Справочники!$F$4,Учет!$H719,0)</f>
        <v>0</v>
      </c>
      <c r="E719" s="52">
        <f>IF(Учет!$O719=Справочники!$F$5,Учет!$H719,0)</f>
        <v>0</v>
      </c>
      <c r="F719" s="52">
        <f>IF(Учет!$O719=Справочники!$F$6,Учет!$H719,0)</f>
        <v>0</v>
      </c>
      <c r="G719" s="43">
        <f>G718+Учет!B719-B719</f>
        <v>-488978.92000000004</v>
      </c>
      <c r="H719" s="43">
        <f>H718+Учет!C719-C719</f>
        <v>336855</v>
      </c>
      <c r="I719" s="43">
        <f>I718+Учет!D719-D719</f>
        <v>500</v>
      </c>
      <c r="J719" s="43">
        <f>J718+Учет!E719-E719</f>
        <v>1150</v>
      </c>
      <c r="K719" s="43">
        <f>K718+Учет!F719-F719</f>
        <v>500000</v>
      </c>
      <c r="L719" s="45">
        <f>Учет!I719</f>
        <v>349526.07999999996</v>
      </c>
    </row>
    <row r="720" spans="1:12" x14ac:dyDescent="0.25">
      <c r="A720" s="48" t="str">
        <f>IF(Учет!A720&lt;&gt;"",Учет!A720,"")</f>
        <v/>
      </c>
      <c r="B720" s="52">
        <f>IF(Учет!$O720=Справочники!$F$2,Учет!$H720,0)</f>
        <v>0</v>
      </c>
      <c r="C720" s="52">
        <f>IF(Учет!$O720=Справочники!$F$3,Учет!$H720,0)</f>
        <v>0</v>
      </c>
      <c r="D720" s="52">
        <f>IF(Учет!$O720=Справочники!$F$4,Учет!$H720,0)</f>
        <v>0</v>
      </c>
      <c r="E720" s="52">
        <f>IF(Учет!$O720=Справочники!$F$5,Учет!$H720,0)</f>
        <v>0</v>
      </c>
      <c r="F720" s="52">
        <f>IF(Учет!$O720=Справочники!$F$6,Учет!$H720,0)</f>
        <v>0</v>
      </c>
      <c r="G720" s="43">
        <f>G719+Учет!B720-B720</f>
        <v>-488978.92000000004</v>
      </c>
      <c r="H720" s="43">
        <f>H719+Учет!C720-C720</f>
        <v>336855</v>
      </c>
      <c r="I720" s="43">
        <f>I719+Учет!D720-D720</f>
        <v>500</v>
      </c>
      <c r="J720" s="43">
        <f>J719+Учет!E720-E720</f>
        <v>1150</v>
      </c>
      <c r="K720" s="43">
        <f>K719+Учет!F720-F720</f>
        <v>500000</v>
      </c>
      <c r="L720" s="45">
        <f>Учет!I720</f>
        <v>349526.07999999996</v>
      </c>
    </row>
    <row r="721" spans="1:12" x14ac:dyDescent="0.25">
      <c r="A721" s="48" t="str">
        <f>IF(Учет!A721&lt;&gt;"",Учет!A721,"")</f>
        <v/>
      </c>
      <c r="B721" s="52">
        <f>IF(Учет!$O721=Справочники!$F$2,Учет!$H721,0)</f>
        <v>0</v>
      </c>
      <c r="C721" s="52">
        <f>IF(Учет!$O721=Справочники!$F$3,Учет!$H721,0)</f>
        <v>0</v>
      </c>
      <c r="D721" s="52">
        <f>IF(Учет!$O721=Справочники!$F$4,Учет!$H721,0)</f>
        <v>0</v>
      </c>
      <c r="E721" s="52">
        <f>IF(Учет!$O721=Справочники!$F$5,Учет!$H721,0)</f>
        <v>0</v>
      </c>
      <c r="F721" s="52">
        <f>IF(Учет!$O721=Справочники!$F$6,Учет!$H721,0)</f>
        <v>0</v>
      </c>
      <c r="G721" s="43">
        <f>G720+Учет!B721-B721</f>
        <v>-488978.92000000004</v>
      </c>
      <c r="H721" s="43">
        <f>H720+Учет!C721-C721</f>
        <v>336855</v>
      </c>
      <c r="I721" s="43">
        <f>I720+Учет!D721-D721</f>
        <v>500</v>
      </c>
      <c r="J721" s="43">
        <f>J720+Учет!E721-E721</f>
        <v>1150</v>
      </c>
      <c r="K721" s="43">
        <f>K720+Учет!F721-F721</f>
        <v>500000</v>
      </c>
      <c r="L721" s="45">
        <f>Учет!I721</f>
        <v>349526.07999999996</v>
      </c>
    </row>
    <row r="722" spans="1:12" x14ac:dyDescent="0.25">
      <c r="A722" s="48" t="str">
        <f>IF(Учет!A722&lt;&gt;"",Учет!A722,"")</f>
        <v/>
      </c>
      <c r="B722" s="52">
        <f>IF(Учет!$O722=Справочники!$F$2,Учет!$H722,0)</f>
        <v>0</v>
      </c>
      <c r="C722" s="52">
        <f>IF(Учет!$O722=Справочники!$F$3,Учет!$H722,0)</f>
        <v>0</v>
      </c>
      <c r="D722" s="52">
        <f>IF(Учет!$O722=Справочники!$F$4,Учет!$H722,0)</f>
        <v>0</v>
      </c>
      <c r="E722" s="52">
        <f>IF(Учет!$O722=Справочники!$F$5,Учет!$H722,0)</f>
        <v>0</v>
      </c>
      <c r="F722" s="52">
        <f>IF(Учет!$O722=Справочники!$F$6,Учет!$H722,0)</f>
        <v>0</v>
      </c>
      <c r="G722" s="43">
        <f>G721+Учет!B722-B722</f>
        <v>-488978.92000000004</v>
      </c>
      <c r="H722" s="43">
        <f>H721+Учет!C722-C722</f>
        <v>336855</v>
      </c>
      <c r="I722" s="43">
        <f>I721+Учет!D722-D722</f>
        <v>500</v>
      </c>
      <c r="J722" s="43">
        <f>J721+Учет!E722-E722</f>
        <v>1150</v>
      </c>
      <c r="K722" s="43">
        <f>K721+Учет!F722-F722</f>
        <v>500000</v>
      </c>
      <c r="L722" s="45">
        <f>Учет!I722</f>
        <v>349526.07999999996</v>
      </c>
    </row>
    <row r="723" spans="1:12" x14ac:dyDescent="0.25">
      <c r="A723" s="48" t="str">
        <f>IF(Учет!A723&lt;&gt;"",Учет!A723,"")</f>
        <v/>
      </c>
      <c r="B723" s="52">
        <f>IF(Учет!$O723=Справочники!$F$2,Учет!$H723,0)</f>
        <v>0</v>
      </c>
      <c r="C723" s="52">
        <f>IF(Учет!$O723=Справочники!$F$3,Учет!$H723,0)</f>
        <v>0</v>
      </c>
      <c r="D723" s="52">
        <f>IF(Учет!$O723=Справочники!$F$4,Учет!$H723,0)</f>
        <v>0</v>
      </c>
      <c r="E723" s="52">
        <f>IF(Учет!$O723=Справочники!$F$5,Учет!$H723,0)</f>
        <v>0</v>
      </c>
      <c r="F723" s="52">
        <f>IF(Учет!$O723=Справочники!$F$6,Учет!$H723,0)</f>
        <v>0</v>
      </c>
      <c r="G723" s="43">
        <f>G722+Учет!B723-B723</f>
        <v>-488978.92000000004</v>
      </c>
      <c r="H723" s="43">
        <f>H722+Учет!C723-C723</f>
        <v>336855</v>
      </c>
      <c r="I723" s="43">
        <f>I722+Учет!D723-D723</f>
        <v>500</v>
      </c>
      <c r="J723" s="43">
        <f>J722+Учет!E723-E723</f>
        <v>1150</v>
      </c>
      <c r="K723" s="43">
        <f>K722+Учет!F723-F723</f>
        <v>500000</v>
      </c>
      <c r="L723" s="45">
        <f>Учет!I723</f>
        <v>349526.07999999996</v>
      </c>
    </row>
    <row r="724" spans="1:12" x14ac:dyDescent="0.25">
      <c r="A724" s="48" t="str">
        <f>IF(Учет!A724&lt;&gt;"",Учет!A724,"")</f>
        <v/>
      </c>
      <c r="B724" s="52">
        <f>IF(Учет!$O724=Справочники!$F$2,Учет!$H724,0)</f>
        <v>0</v>
      </c>
      <c r="C724" s="52">
        <f>IF(Учет!$O724=Справочники!$F$3,Учет!$H724,0)</f>
        <v>0</v>
      </c>
      <c r="D724" s="52">
        <f>IF(Учет!$O724=Справочники!$F$4,Учет!$H724,0)</f>
        <v>0</v>
      </c>
      <c r="E724" s="52">
        <f>IF(Учет!$O724=Справочники!$F$5,Учет!$H724,0)</f>
        <v>0</v>
      </c>
      <c r="F724" s="52">
        <f>IF(Учет!$O724=Справочники!$F$6,Учет!$H724,0)</f>
        <v>0</v>
      </c>
      <c r="G724" s="43">
        <f>G723+Учет!B724-B724</f>
        <v>-488978.92000000004</v>
      </c>
      <c r="H724" s="43">
        <f>H723+Учет!C724-C724</f>
        <v>336855</v>
      </c>
      <c r="I724" s="43">
        <f>I723+Учет!D724-D724</f>
        <v>500</v>
      </c>
      <c r="J724" s="43">
        <f>J723+Учет!E724-E724</f>
        <v>1150</v>
      </c>
      <c r="K724" s="43">
        <f>K723+Учет!F724-F724</f>
        <v>500000</v>
      </c>
      <c r="L724" s="45">
        <f>Учет!I724</f>
        <v>349526.07999999996</v>
      </c>
    </row>
    <row r="725" spans="1:12" x14ac:dyDescent="0.25">
      <c r="A725" s="48" t="str">
        <f>IF(Учет!A725&lt;&gt;"",Учет!A725,"")</f>
        <v/>
      </c>
      <c r="B725" s="52">
        <f>IF(Учет!$O725=Справочники!$F$2,Учет!$H725,0)</f>
        <v>0</v>
      </c>
      <c r="C725" s="52">
        <f>IF(Учет!$O725=Справочники!$F$3,Учет!$H725,0)</f>
        <v>0</v>
      </c>
      <c r="D725" s="52">
        <f>IF(Учет!$O725=Справочники!$F$4,Учет!$H725,0)</f>
        <v>0</v>
      </c>
      <c r="E725" s="52">
        <f>IF(Учет!$O725=Справочники!$F$5,Учет!$H725,0)</f>
        <v>0</v>
      </c>
      <c r="F725" s="52">
        <f>IF(Учет!$O725=Справочники!$F$6,Учет!$H725,0)</f>
        <v>0</v>
      </c>
      <c r="G725" s="43">
        <f>G724+Учет!B725-B725</f>
        <v>-488978.92000000004</v>
      </c>
      <c r="H725" s="43">
        <f>H724+Учет!C725-C725</f>
        <v>336855</v>
      </c>
      <c r="I725" s="43">
        <f>I724+Учет!D725-D725</f>
        <v>500</v>
      </c>
      <c r="J725" s="43">
        <f>J724+Учет!E725-E725</f>
        <v>1150</v>
      </c>
      <c r="K725" s="43">
        <f>K724+Учет!F725-F725</f>
        <v>500000</v>
      </c>
      <c r="L725" s="45">
        <f>Учет!I725</f>
        <v>349526.07999999996</v>
      </c>
    </row>
    <row r="726" spans="1:12" x14ac:dyDescent="0.25">
      <c r="A726" s="48" t="str">
        <f>IF(Учет!A726&lt;&gt;"",Учет!A726,"")</f>
        <v/>
      </c>
      <c r="B726" s="52">
        <f>IF(Учет!$O726=Справочники!$F$2,Учет!$H726,0)</f>
        <v>0</v>
      </c>
      <c r="C726" s="52">
        <f>IF(Учет!$O726=Справочники!$F$3,Учет!$H726,0)</f>
        <v>0</v>
      </c>
      <c r="D726" s="52">
        <f>IF(Учет!$O726=Справочники!$F$4,Учет!$H726,0)</f>
        <v>0</v>
      </c>
      <c r="E726" s="52">
        <f>IF(Учет!$O726=Справочники!$F$5,Учет!$H726,0)</f>
        <v>0</v>
      </c>
      <c r="F726" s="52">
        <f>IF(Учет!$O726=Справочники!$F$6,Учет!$H726,0)</f>
        <v>0</v>
      </c>
      <c r="G726" s="43">
        <f>G725+Учет!B726-B726</f>
        <v>-488978.92000000004</v>
      </c>
      <c r="H726" s="43">
        <f>H725+Учет!C726-C726</f>
        <v>336855</v>
      </c>
      <c r="I726" s="43">
        <f>I725+Учет!D726-D726</f>
        <v>500</v>
      </c>
      <c r="J726" s="43">
        <f>J725+Учет!E726-E726</f>
        <v>1150</v>
      </c>
      <c r="K726" s="43">
        <f>K725+Учет!F726-F726</f>
        <v>500000</v>
      </c>
      <c r="L726" s="45">
        <f>Учет!I726</f>
        <v>349526.07999999996</v>
      </c>
    </row>
    <row r="727" spans="1:12" x14ac:dyDescent="0.25">
      <c r="A727" s="48" t="str">
        <f>IF(Учет!A727&lt;&gt;"",Учет!A727,"")</f>
        <v/>
      </c>
      <c r="B727" s="52">
        <f>IF(Учет!$O727=Справочники!$F$2,Учет!$H727,0)</f>
        <v>0</v>
      </c>
      <c r="C727" s="52">
        <f>IF(Учет!$O727=Справочники!$F$3,Учет!$H727,0)</f>
        <v>0</v>
      </c>
      <c r="D727" s="52">
        <f>IF(Учет!$O727=Справочники!$F$4,Учет!$H727,0)</f>
        <v>0</v>
      </c>
      <c r="E727" s="52">
        <f>IF(Учет!$O727=Справочники!$F$5,Учет!$H727,0)</f>
        <v>0</v>
      </c>
      <c r="F727" s="52">
        <f>IF(Учет!$O727=Справочники!$F$6,Учет!$H727,0)</f>
        <v>0</v>
      </c>
      <c r="G727" s="43">
        <f>G726+Учет!B727-B727</f>
        <v>-488978.92000000004</v>
      </c>
      <c r="H727" s="43">
        <f>H726+Учет!C727-C727</f>
        <v>336855</v>
      </c>
      <c r="I727" s="43">
        <f>I726+Учет!D727-D727</f>
        <v>500</v>
      </c>
      <c r="J727" s="43">
        <f>J726+Учет!E727-E727</f>
        <v>1150</v>
      </c>
      <c r="K727" s="43">
        <f>K726+Учет!F727-F727</f>
        <v>500000</v>
      </c>
      <c r="L727" s="45">
        <f>Учет!I727</f>
        <v>349526.07999999996</v>
      </c>
    </row>
    <row r="728" spans="1:12" x14ac:dyDescent="0.25">
      <c r="A728" s="48" t="str">
        <f>IF(Учет!A728&lt;&gt;"",Учет!A728,"")</f>
        <v/>
      </c>
      <c r="B728" s="52">
        <f>IF(Учет!$O728=Справочники!$F$2,Учет!$H728,0)</f>
        <v>0</v>
      </c>
      <c r="C728" s="52">
        <f>IF(Учет!$O728=Справочники!$F$3,Учет!$H728,0)</f>
        <v>0</v>
      </c>
      <c r="D728" s="52">
        <f>IF(Учет!$O728=Справочники!$F$4,Учет!$H728,0)</f>
        <v>0</v>
      </c>
      <c r="E728" s="52">
        <f>IF(Учет!$O728=Справочники!$F$5,Учет!$H728,0)</f>
        <v>0</v>
      </c>
      <c r="F728" s="52">
        <f>IF(Учет!$O728=Справочники!$F$6,Учет!$H728,0)</f>
        <v>0</v>
      </c>
      <c r="G728" s="43">
        <f>G727+Учет!B728-B728</f>
        <v>-488978.92000000004</v>
      </c>
      <c r="H728" s="43">
        <f>H727+Учет!C728-C728</f>
        <v>336855</v>
      </c>
      <c r="I728" s="43">
        <f>I727+Учет!D728-D728</f>
        <v>500</v>
      </c>
      <c r="J728" s="43">
        <f>J727+Учет!E728-E728</f>
        <v>1150</v>
      </c>
      <c r="K728" s="43">
        <f>K727+Учет!F728-F728</f>
        <v>500000</v>
      </c>
      <c r="L728" s="45">
        <f>Учет!I728</f>
        <v>349526.07999999996</v>
      </c>
    </row>
    <row r="729" spans="1:12" x14ac:dyDescent="0.25">
      <c r="A729" s="48" t="str">
        <f>IF(Учет!A729&lt;&gt;"",Учет!A729,"")</f>
        <v/>
      </c>
      <c r="B729" s="52">
        <f>IF(Учет!$O729=Справочники!$F$2,Учет!$H729,0)</f>
        <v>0</v>
      </c>
      <c r="C729" s="52">
        <f>IF(Учет!$O729=Справочники!$F$3,Учет!$H729,0)</f>
        <v>0</v>
      </c>
      <c r="D729" s="52">
        <f>IF(Учет!$O729=Справочники!$F$4,Учет!$H729,0)</f>
        <v>0</v>
      </c>
      <c r="E729" s="52">
        <f>IF(Учет!$O729=Справочники!$F$5,Учет!$H729,0)</f>
        <v>0</v>
      </c>
      <c r="F729" s="52">
        <f>IF(Учет!$O729=Справочники!$F$6,Учет!$H729,0)</f>
        <v>0</v>
      </c>
      <c r="G729" s="43">
        <f>G728+Учет!B729-B729</f>
        <v>-488978.92000000004</v>
      </c>
      <c r="H729" s="43">
        <f>H728+Учет!C729-C729</f>
        <v>336855</v>
      </c>
      <c r="I729" s="43">
        <f>I728+Учет!D729-D729</f>
        <v>500</v>
      </c>
      <c r="J729" s="43">
        <f>J728+Учет!E729-E729</f>
        <v>1150</v>
      </c>
      <c r="K729" s="43">
        <f>K728+Учет!F729-F729</f>
        <v>500000</v>
      </c>
      <c r="L729" s="45">
        <f>Учет!I729</f>
        <v>349526.07999999996</v>
      </c>
    </row>
    <row r="730" spans="1:12" x14ac:dyDescent="0.25">
      <c r="A730" s="48" t="str">
        <f>IF(Учет!A730&lt;&gt;"",Учет!A730,"")</f>
        <v/>
      </c>
      <c r="B730" s="52">
        <f>IF(Учет!$O730=Справочники!$F$2,Учет!$H730,0)</f>
        <v>0</v>
      </c>
      <c r="C730" s="52">
        <f>IF(Учет!$O730=Справочники!$F$3,Учет!$H730,0)</f>
        <v>0</v>
      </c>
      <c r="D730" s="52">
        <f>IF(Учет!$O730=Справочники!$F$4,Учет!$H730,0)</f>
        <v>0</v>
      </c>
      <c r="E730" s="52">
        <f>IF(Учет!$O730=Справочники!$F$5,Учет!$H730,0)</f>
        <v>0</v>
      </c>
      <c r="F730" s="52">
        <f>IF(Учет!$O730=Справочники!$F$6,Учет!$H730,0)</f>
        <v>0</v>
      </c>
      <c r="G730" s="43">
        <f>G729+Учет!B730-B730</f>
        <v>-488978.92000000004</v>
      </c>
      <c r="H730" s="43">
        <f>H729+Учет!C730-C730</f>
        <v>336855</v>
      </c>
      <c r="I730" s="43">
        <f>I729+Учет!D730-D730</f>
        <v>500</v>
      </c>
      <c r="J730" s="43">
        <f>J729+Учет!E730-E730</f>
        <v>1150</v>
      </c>
      <c r="K730" s="43">
        <f>K729+Учет!F730-F730</f>
        <v>500000</v>
      </c>
      <c r="L730" s="45">
        <f>Учет!I730</f>
        <v>349526.07999999996</v>
      </c>
    </row>
    <row r="731" spans="1:12" x14ac:dyDescent="0.25">
      <c r="A731" s="48" t="str">
        <f>IF(Учет!A731&lt;&gt;"",Учет!A731,"")</f>
        <v/>
      </c>
      <c r="B731" s="52">
        <f>IF(Учет!$O731=Справочники!$F$2,Учет!$H731,0)</f>
        <v>0</v>
      </c>
      <c r="C731" s="52">
        <f>IF(Учет!$O731=Справочники!$F$3,Учет!$H731,0)</f>
        <v>0</v>
      </c>
      <c r="D731" s="52">
        <f>IF(Учет!$O731=Справочники!$F$4,Учет!$H731,0)</f>
        <v>0</v>
      </c>
      <c r="E731" s="52">
        <f>IF(Учет!$O731=Справочники!$F$5,Учет!$H731,0)</f>
        <v>0</v>
      </c>
      <c r="F731" s="52">
        <f>IF(Учет!$O731=Справочники!$F$6,Учет!$H731,0)</f>
        <v>0</v>
      </c>
      <c r="G731" s="43">
        <f>G730+Учет!B731-B731</f>
        <v>-488978.92000000004</v>
      </c>
      <c r="H731" s="43">
        <f>H730+Учет!C731-C731</f>
        <v>336855</v>
      </c>
      <c r="I731" s="43">
        <f>I730+Учет!D731-D731</f>
        <v>500</v>
      </c>
      <c r="J731" s="43">
        <f>J730+Учет!E731-E731</f>
        <v>1150</v>
      </c>
      <c r="K731" s="43">
        <f>K730+Учет!F731-F731</f>
        <v>500000</v>
      </c>
      <c r="L731" s="45">
        <f>Учет!I731</f>
        <v>349526.07999999996</v>
      </c>
    </row>
    <row r="732" spans="1:12" x14ac:dyDescent="0.25">
      <c r="A732" s="48" t="str">
        <f>IF(Учет!A732&lt;&gt;"",Учет!A732,"")</f>
        <v/>
      </c>
      <c r="B732" s="52">
        <f>IF(Учет!$O732=Справочники!$F$2,Учет!$H732,0)</f>
        <v>0</v>
      </c>
      <c r="C732" s="52">
        <f>IF(Учет!$O732=Справочники!$F$3,Учет!$H732,0)</f>
        <v>0</v>
      </c>
      <c r="D732" s="52">
        <f>IF(Учет!$O732=Справочники!$F$4,Учет!$H732,0)</f>
        <v>0</v>
      </c>
      <c r="E732" s="52">
        <f>IF(Учет!$O732=Справочники!$F$5,Учет!$H732,0)</f>
        <v>0</v>
      </c>
      <c r="F732" s="52">
        <f>IF(Учет!$O732=Справочники!$F$6,Учет!$H732,0)</f>
        <v>0</v>
      </c>
      <c r="G732" s="43">
        <f>G731+Учет!B732-B732</f>
        <v>-488978.92000000004</v>
      </c>
      <c r="H732" s="43">
        <f>H731+Учет!C732-C732</f>
        <v>336855</v>
      </c>
      <c r="I732" s="43">
        <f>I731+Учет!D732-D732</f>
        <v>500</v>
      </c>
      <c r="J732" s="43">
        <f>J731+Учет!E732-E732</f>
        <v>1150</v>
      </c>
      <c r="K732" s="43">
        <f>K731+Учет!F732-F732</f>
        <v>500000</v>
      </c>
      <c r="L732" s="45">
        <f>Учет!I732</f>
        <v>349526.07999999996</v>
      </c>
    </row>
    <row r="733" spans="1:12" x14ac:dyDescent="0.25">
      <c r="A733" s="48" t="str">
        <f>IF(Учет!A733&lt;&gt;"",Учет!A733,"")</f>
        <v/>
      </c>
      <c r="B733" s="52">
        <f>IF(Учет!$O733=Справочники!$F$2,Учет!$H733,0)</f>
        <v>0</v>
      </c>
      <c r="C733" s="52">
        <f>IF(Учет!$O733=Справочники!$F$3,Учет!$H733,0)</f>
        <v>0</v>
      </c>
      <c r="D733" s="52">
        <f>IF(Учет!$O733=Справочники!$F$4,Учет!$H733,0)</f>
        <v>0</v>
      </c>
      <c r="E733" s="52">
        <f>IF(Учет!$O733=Справочники!$F$5,Учет!$H733,0)</f>
        <v>0</v>
      </c>
      <c r="F733" s="52">
        <f>IF(Учет!$O733=Справочники!$F$6,Учет!$H733,0)</f>
        <v>0</v>
      </c>
      <c r="G733" s="43">
        <f>G732+Учет!B733-B733</f>
        <v>-488978.92000000004</v>
      </c>
      <c r="H733" s="43">
        <f>H732+Учет!C733-C733</f>
        <v>336855</v>
      </c>
      <c r="I733" s="43">
        <f>I732+Учет!D733-D733</f>
        <v>500</v>
      </c>
      <c r="J733" s="43">
        <f>J732+Учет!E733-E733</f>
        <v>1150</v>
      </c>
      <c r="K733" s="43">
        <f>K732+Учет!F733-F733</f>
        <v>500000</v>
      </c>
      <c r="L733" s="45">
        <f>Учет!I733</f>
        <v>349526.07999999996</v>
      </c>
    </row>
    <row r="734" spans="1:12" x14ac:dyDescent="0.25">
      <c r="A734" s="48" t="str">
        <f>IF(Учет!A734&lt;&gt;"",Учет!A734,"")</f>
        <v/>
      </c>
      <c r="B734" s="52">
        <f>IF(Учет!$O734=Справочники!$F$2,Учет!$H734,0)</f>
        <v>0</v>
      </c>
      <c r="C734" s="52">
        <f>IF(Учет!$O734=Справочники!$F$3,Учет!$H734,0)</f>
        <v>0</v>
      </c>
      <c r="D734" s="52">
        <f>IF(Учет!$O734=Справочники!$F$4,Учет!$H734,0)</f>
        <v>0</v>
      </c>
      <c r="E734" s="52">
        <f>IF(Учет!$O734=Справочники!$F$5,Учет!$H734,0)</f>
        <v>0</v>
      </c>
      <c r="F734" s="52">
        <f>IF(Учет!$O734=Справочники!$F$6,Учет!$H734,0)</f>
        <v>0</v>
      </c>
      <c r="G734" s="43">
        <f>G733+Учет!B734-B734</f>
        <v>-488978.92000000004</v>
      </c>
      <c r="H734" s="43">
        <f>H733+Учет!C734-C734</f>
        <v>336855</v>
      </c>
      <c r="I734" s="43">
        <f>I733+Учет!D734-D734</f>
        <v>500</v>
      </c>
      <c r="J734" s="43">
        <f>J733+Учет!E734-E734</f>
        <v>1150</v>
      </c>
      <c r="K734" s="43">
        <f>K733+Учет!F734-F734</f>
        <v>500000</v>
      </c>
      <c r="L734" s="45">
        <f>Учет!I734</f>
        <v>349526.07999999996</v>
      </c>
    </row>
    <row r="735" spans="1:12" x14ac:dyDescent="0.25">
      <c r="A735" s="48" t="str">
        <f>IF(Учет!A735&lt;&gt;"",Учет!A735,"")</f>
        <v/>
      </c>
      <c r="B735" s="52">
        <f>IF(Учет!$O735=Справочники!$F$2,Учет!$H735,0)</f>
        <v>0</v>
      </c>
      <c r="C735" s="52">
        <f>IF(Учет!$O735=Справочники!$F$3,Учет!$H735,0)</f>
        <v>0</v>
      </c>
      <c r="D735" s="52">
        <f>IF(Учет!$O735=Справочники!$F$4,Учет!$H735,0)</f>
        <v>0</v>
      </c>
      <c r="E735" s="52">
        <f>IF(Учет!$O735=Справочники!$F$5,Учет!$H735,0)</f>
        <v>0</v>
      </c>
      <c r="F735" s="52">
        <f>IF(Учет!$O735=Справочники!$F$6,Учет!$H735,0)</f>
        <v>0</v>
      </c>
      <c r="G735" s="43">
        <f>G734+Учет!B735-B735</f>
        <v>-488978.92000000004</v>
      </c>
      <c r="H735" s="43">
        <f>H734+Учет!C735-C735</f>
        <v>336855</v>
      </c>
      <c r="I735" s="43">
        <f>I734+Учет!D735-D735</f>
        <v>500</v>
      </c>
      <c r="J735" s="43">
        <f>J734+Учет!E735-E735</f>
        <v>1150</v>
      </c>
      <c r="K735" s="43">
        <f>K734+Учет!F735-F735</f>
        <v>500000</v>
      </c>
      <c r="L735" s="45">
        <f>Учет!I735</f>
        <v>349526.07999999996</v>
      </c>
    </row>
    <row r="736" spans="1:12" x14ac:dyDescent="0.25">
      <c r="A736" s="48" t="str">
        <f>IF(Учет!A736&lt;&gt;"",Учет!A736,"")</f>
        <v/>
      </c>
      <c r="B736" s="52">
        <f>IF(Учет!$O736=Справочники!$F$2,Учет!$H736,0)</f>
        <v>0</v>
      </c>
      <c r="C736" s="52">
        <f>IF(Учет!$O736=Справочники!$F$3,Учет!$H736,0)</f>
        <v>0</v>
      </c>
      <c r="D736" s="52">
        <f>IF(Учет!$O736=Справочники!$F$4,Учет!$H736,0)</f>
        <v>0</v>
      </c>
      <c r="E736" s="52">
        <f>IF(Учет!$O736=Справочники!$F$5,Учет!$H736,0)</f>
        <v>0</v>
      </c>
      <c r="F736" s="52">
        <f>IF(Учет!$O736=Справочники!$F$6,Учет!$H736,0)</f>
        <v>0</v>
      </c>
      <c r="G736" s="43">
        <f>G735+Учет!B736-B736</f>
        <v>-488978.92000000004</v>
      </c>
      <c r="H736" s="43">
        <f>H735+Учет!C736-C736</f>
        <v>336855</v>
      </c>
      <c r="I736" s="43">
        <f>I735+Учет!D736-D736</f>
        <v>500</v>
      </c>
      <c r="J736" s="43">
        <f>J735+Учет!E736-E736</f>
        <v>1150</v>
      </c>
      <c r="K736" s="43">
        <f>K735+Учет!F736-F736</f>
        <v>500000</v>
      </c>
      <c r="L736" s="45">
        <f>Учет!I736</f>
        <v>349526.07999999996</v>
      </c>
    </row>
    <row r="737" spans="1:12" x14ac:dyDescent="0.25">
      <c r="A737" s="48" t="str">
        <f>IF(Учет!A737&lt;&gt;"",Учет!A737,"")</f>
        <v/>
      </c>
      <c r="B737" s="52">
        <f>IF(Учет!$O737=Справочники!$F$2,Учет!$H737,0)</f>
        <v>0</v>
      </c>
      <c r="C737" s="52">
        <f>IF(Учет!$O737=Справочники!$F$3,Учет!$H737,0)</f>
        <v>0</v>
      </c>
      <c r="D737" s="52">
        <f>IF(Учет!$O737=Справочники!$F$4,Учет!$H737,0)</f>
        <v>0</v>
      </c>
      <c r="E737" s="52">
        <f>IF(Учет!$O737=Справочники!$F$5,Учет!$H737,0)</f>
        <v>0</v>
      </c>
      <c r="F737" s="52">
        <f>IF(Учет!$O737=Справочники!$F$6,Учет!$H737,0)</f>
        <v>0</v>
      </c>
      <c r="G737" s="43">
        <f>G736+Учет!B737-B737</f>
        <v>-488978.92000000004</v>
      </c>
      <c r="H737" s="43">
        <f>H736+Учет!C737-C737</f>
        <v>336855</v>
      </c>
      <c r="I737" s="43">
        <f>I736+Учет!D737-D737</f>
        <v>500</v>
      </c>
      <c r="J737" s="43">
        <f>J736+Учет!E737-E737</f>
        <v>1150</v>
      </c>
      <c r="K737" s="43">
        <f>K736+Учет!F737-F737</f>
        <v>500000</v>
      </c>
      <c r="L737" s="45">
        <f>Учет!I737</f>
        <v>349526.07999999996</v>
      </c>
    </row>
    <row r="738" spans="1:12" x14ac:dyDescent="0.25">
      <c r="A738" s="48" t="str">
        <f>IF(Учет!A738&lt;&gt;"",Учет!A738,"")</f>
        <v/>
      </c>
      <c r="B738" s="52">
        <f>IF(Учет!$O738=Справочники!$F$2,Учет!$H738,0)</f>
        <v>0</v>
      </c>
      <c r="C738" s="52">
        <f>IF(Учет!$O738=Справочники!$F$3,Учет!$H738,0)</f>
        <v>0</v>
      </c>
      <c r="D738" s="52">
        <f>IF(Учет!$O738=Справочники!$F$4,Учет!$H738,0)</f>
        <v>0</v>
      </c>
      <c r="E738" s="52">
        <f>IF(Учет!$O738=Справочники!$F$5,Учет!$H738,0)</f>
        <v>0</v>
      </c>
      <c r="F738" s="52">
        <f>IF(Учет!$O738=Справочники!$F$6,Учет!$H738,0)</f>
        <v>0</v>
      </c>
      <c r="G738" s="43">
        <f>G737+Учет!B738-B738</f>
        <v>-488978.92000000004</v>
      </c>
      <c r="H738" s="43">
        <f>H737+Учет!C738-C738</f>
        <v>336855</v>
      </c>
      <c r="I738" s="43">
        <f>I737+Учет!D738-D738</f>
        <v>500</v>
      </c>
      <c r="J738" s="43">
        <f>J737+Учет!E738-E738</f>
        <v>1150</v>
      </c>
      <c r="K738" s="43">
        <f>K737+Учет!F738-F738</f>
        <v>500000</v>
      </c>
      <c r="L738" s="45">
        <f>Учет!I738</f>
        <v>349526.07999999996</v>
      </c>
    </row>
    <row r="739" spans="1:12" x14ac:dyDescent="0.25">
      <c r="A739" s="48" t="str">
        <f>IF(Учет!A739&lt;&gt;"",Учет!A739,"")</f>
        <v/>
      </c>
      <c r="B739" s="52">
        <f>IF(Учет!$O739=Справочники!$F$2,Учет!$H739,0)</f>
        <v>0</v>
      </c>
      <c r="C739" s="52">
        <f>IF(Учет!$O739=Справочники!$F$3,Учет!$H739,0)</f>
        <v>0</v>
      </c>
      <c r="D739" s="52">
        <f>IF(Учет!$O739=Справочники!$F$4,Учет!$H739,0)</f>
        <v>0</v>
      </c>
      <c r="E739" s="52">
        <f>IF(Учет!$O739=Справочники!$F$5,Учет!$H739,0)</f>
        <v>0</v>
      </c>
      <c r="F739" s="52">
        <f>IF(Учет!$O739=Справочники!$F$6,Учет!$H739,0)</f>
        <v>0</v>
      </c>
      <c r="G739" s="43">
        <f>G738+Учет!B739-B739</f>
        <v>-488978.92000000004</v>
      </c>
      <c r="H739" s="43">
        <f>H738+Учет!C739-C739</f>
        <v>336855</v>
      </c>
      <c r="I739" s="43">
        <f>I738+Учет!D739-D739</f>
        <v>500</v>
      </c>
      <c r="J739" s="43">
        <f>J738+Учет!E739-E739</f>
        <v>1150</v>
      </c>
      <c r="K739" s="43">
        <f>K738+Учет!F739-F739</f>
        <v>500000</v>
      </c>
      <c r="L739" s="45">
        <f>Учет!I739</f>
        <v>349526.07999999996</v>
      </c>
    </row>
    <row r="740" spans="1:12" x14ac:dyDescent="0.25">
      <c r="A740" s="48" t="str">
        <f>IF(Учет!A740&lt;&gt;"",Учет!A740,"")</f>
        <v/>
      </c>
      <c r="B740" s="52">
        <f>IF(Учет!$O740=Справочники!$F$2,Учет!$H740,0)</f>
        <v>0</v>
      </c>
      <c r="C740" s="52">
        <f>IF(Учет!$O740=Справочники!$F$3,Учет!$H740,0)</f>
        <v>0</v>
      </c>
      <c r="D740" s="52">
        <f>IF(Учет!$O740=Справочники!$F$4,Учет!$H740,0)</f>
        <v>0</v>
      </c>
      <c r="E740" s="52">
        <f>IF(Учет!$O740=Справочники!$F$5,Учет!$H740,0)</f>
        <v>0</v>
      </c>
      <c r="F740" s="52">
        <f>IF(Учет!$O740=Справочники!$F$6,Учет!$H740,0)</f>
        <v>0</v>
      </c>
      <c r="G740" s="43">
        <f>G739+Учет!B740-B740</f>
        <v>-488978.92000000004</v>
      </c>
      <c r="H740" s="43">
        <f>H739+Учет!C740-C740</f>
        <v>336855</v>
      </c>
      <c r="I740" s="43">
        <f>I739+Учет!D740-D740</f>
        <v>500</v>
      </c>
      <c r="J740" s="43">
        <f>J739+Учет!E740-E740</f>
        <v>1150</v>
      </c>
      <c r="K740" s="43">
        <f>K739+Учет!F740-F740</f>
        <v>500000</v>
      </c>
      <c r="L740" s="45">
        <f>Учет!I740</f>
        <v>349526.07999999996</v>
      </c>
    </row>
    <row r="741" spans="1:12" x14ac:dyDescent="0.25">
      <c r="A741" s="48" t="str">
        <f>IF(Учет!A741&lt;&gt;"",Учет!A741,"")</f>
        <v/>
      </c>
      <c r="B741" s="52">
        <f>IF(Учет!$O741=Справочники!$F$2,Учет!$H741,0)</f>
        <v>0</v>
      </c>
      <c r="C741" s="52">
        <f>IF(Учет!$O741=Справочники!$F$3,Учет!$H741,0)</f>
        <v>0</v>
      </c>
      <c r="D741" s="52">
        <f>IF(Учет!$O741=Справочники!$F$4,Учет!$H741,0)</f>
        <v>0</v>
      </c>
      <c r="E741" s="52">
        <f>IF(Учет!$O741=Справочники!$F$5,Учет!$H741,0)</f>
        <v>0</v>
      </c>
      <c r="F741" s="52">
        <f>IF(Учет!$O741=Справочники!$F$6,Учет!$H741,0)</f>
        <v>0</v>
      </c>
      <c r="G741" s="43">
        <f>G740+Учет!B741-B741</f>
        <v>-488978.92000000004</v>
      </c>
      <c r="H741" s="43">
        <f>H740+Учет!C741-C741</f>
        <v>336855</v>
      </c>
      <c r="I741" s="43">
        <f>I740+Учет!D741-D741</f>
        <v>500</v>
      </c>
      <c r="J741" s="43">
        <f>J740+Учет!E741-E741</f>
        <v>1150</v>
      </c>
      <c r="K741" s="43">
        <f>K740+Учет!F741-F741</f>
        <v>500000</v>
      </c>
      <c r="L741" s="45">
        <f>Учет!I741</f>
        <v>349526.07999999996</v>
      </c>
    </row>
    <row r="742" spans="1:12" x14ac:dyDescent="0.25">
      <c r="A742" s="48" t="str">
        <f>IF(Учет!A742&lt;&gt;"",Учет!A742,"")</f>
        <v/>
      </c>
      <c r="B742" s="52">
        <f>IF(Учет!$O742=Справочники!$F$2,Учет!$H742,0)</f>
        <v>0</v>
      </c>
      <c r="C742" s="52">
        <f>IF(Учет!$O742=Справочники!$F$3,Учет!$H742,0)</f>
        <v>0</v>
      </c>
      <c r="D742" s="52">
        <f>IF(Учет!$O742=Справочники!$F$4,Учет!$H742,0)</f>
        <v>0</v>
      </c>
      <c r="E742" s="52">
        <f>IF(Учет!$O742=Справочники!$F$5,Учет!$H742,0)</f>
        <v>0</v>
      </c>
      <c r="F742" s="52">
        <f>IF(Учет!$O742=Справочники!$F$6,Учет!$H742,0)</f>
        <v>0</v>
      </c>
      <c r="G742" s="43">
        <f>G741+Учет!B742-B742</f>
        <v>-488978.92000000004</v>
      </c>
      <c r="H742" s="43">
        <f>H741+Учет!C742-C742</f>
        <v>336855</v>
      </c>
      <c r="I742" s="43">
        <f>I741+Учет!D742-D742</f>
        <v>500</v>
      </c>
      <c r="J742" s="43">
        <f>J741+Учет!E742-E742</f>
        <v>1150</v>
      </c>
      <c r="K742" s="43">
        <f>K741+Учет!F742-F742</f>
        <v>500000</v>
      </c>
      <c r="L742" s="45">
        <f>Учет!I742</f>
        <v>349526.07999999996</v>
      </c>
    </row>
    <row r="743" spans="1:12" x14ac:dyDescent="0.25">
      <c r="A743" s="48" t="str">
        <f>IF(Учет!A743&lt;&gt;"",Учет!A743,"")</f>
        <v/>
      </c>
      <c r="B743" s="52">
        <f>IF(Учет!$O743=Справочники!$F$2,Учет!$H743,0)</f>
        <v>0</v>
      </c>
      <c r="C743" s="52">
        <f>IF(Учет!$O743=Справочники!$F$3,Учет!$H743,0)</f>
        <v>0</v>
      </c>
      <c r="D743" s="52">
        <f>IF(Учет!$O743=Справочники!$F$4,Учет!$H743,0)</f>
        <v>0</v>
      </c>
      <c r="E743" s="52">
        <f>IF(Учет!$O743=Справочники!$F$5,Учет!$H743,0)</f>
        <v>0</v>
      </c>
      <c r="F743" s="52">
        <f>IF(Учет!$O743=Справочники!$F$6,Учет!$H743,0)</f>
        <v>0</v>
      </c>
      <c r="G743" s="43">
        <f>G742+Учет!B743-B743</f>
        <v>-488978.92000000004</v>
      </c>
      <c r="H743" s="43">
        <f>H742+Учет!C743-C743</f>
        <v>336855</v>
      </c>
      <c r="I743" s="43">
        <f>I742+Учет!D743-D743</f>
        <v>500</v>
      </c>
      <c r="J743" s="43">
        <f>J742+Учет!E743-E743</f>
        <v>1150</v>
      </c>
      <c r="K743" s="43">
        <f>K742+Учет!F743-F743</f>
        <v>500000</v>
      </c>
      <c r="L743" s="45">
        <f>Учет!I743</f>
        <v>349526.07999999996</v>
      </c>
    </row>
    <row r="744" spans="1:12" x14ac:dyDescent="0.25">
      <c r="A744" s="48" t="str">
        <f>IF(Учет!A744&lt;&gt;"",Учет!A744,"")</f>
        <v/>
      </c>
      <c r="B744" s="52">
        <f>IF(Учет!$O744=Справочники!$F$2,Учет!$H744,0)</f>
        <v>0</v>
      </c>
      <c r="C744" s="52">
        <f>IF(Учет!$O744=Справочники!$F$3,Учет!$H744,0)</f>
        <v>0</v>
      </c>
      <c r="D744" s="52">
        <f>IF(Учет!$O744=Справочники!$F$4,Учет!$H744,0)</f>
        <v>0</v>
      </c>
      <c r="E744" s="52">
        <f>IF(Учет!$O744=Справочники!$F$5,Учет!$H744,0)</f>
        <v>0</v>
      </c>
      <c r="F744" s="52">
        <f>IF(Учет!$O744=Справочники!$F$6,Учет!$H744,0)</f>
        <v>0</v>
      </c>
      <c r="G744" s="43">
        <f>G743+Учет!B744-B744</f>
        <v>-488978.92000000004</v>
      </c>
      <c r="H744" s="43">
        <f>H743+Учет!C744-C744</f>
        <v>336855</v>
      </c>
      <c r="I744" s="43">
        <f>I743+Учет!D744-D744</f>
        <v>500</v>
      </c>
      <c r="J744" s="43">
        <f>J743+Учет!E744-E744</f>
        <v>1150</v>
      </c>
      <c r="K744" s="43">
        <f>K743+Учет!F744-F744</f>
        <v>500000</v>
      </c>
      <c r="L744" s="45">
        <f>Учет!I744</f>
        <v>349526.07999999996</v>
      </c>
    </row>
    <row r="745" spans="1:12" x14ac:dyDescent="0.25">
      <c r="A745" s="48" t="str">
        <f>IF(Учет!A745&lt;&gt;"",Учет!A745,"")</f>
        <v/>
      </c>
      <c r="B745" s="52">
        <f>IF(Учет!$O745=Справочники!$F$2,Учет!$H745,0)</f>
        <v>0</v>
      </c>
      <c r="C745" s="52">
        <f>IF(Учет!$O745=Справочники!$F$3,Учет!$H745,0)</f>
        <v>0</v>
      </c>
      <c r="D745" s="52">
        <f>IF(Учет!$O745=Справочники!$F$4,Учет!$H745,0)</f>
        <v>0</v>
      </c>
      <c r="E745" s="52">
        <f>IF(Учет!$O745=Справочники!$F$5,Учет!$H745,0)</f>
        <v>0</v>
      </c>
      <c r="F745" s="52">
        <f>IF(Учет!$O745=Справочники!$F$6,Учет!$H745,0)</f>
        <v>0</v>
      </c>
      <c r="G745" s="43">
        <f>G744+Учет!B745-B745</f>
        <v>-488978.92000000004</v>
      </c>
      <c r="H745" s="43">
        <f>H744+Учет!C745-C745</f>
        <v>336855</v>
      </c>
      <c r="I745" s="43">
        <f>I744+Учет!D745-D745</f>
        <v>500</v>
      </c>
      <c r="J745" s="43">
        <f>J744+Учет!E745-E745</f>
        <v>1150</v>
      </c>
      <c r="K745" s="43">
        <f>K744+Учет!F745-F745</f>
        <v>500000</v>
      </c>
      <c r="L745" s="45">
        <f>Учет!I745</f>
        <v>349526.07999999996</v>
      </c>
    </row>
    <row r="746" spans="1:12" x14ac:dyDescent="0.25">
      <c r="A746" s="48" t="str">
        <f>IF(Учет!A746&lt;&gt;"",Учет!A746,"")</f>
        <v/>
      </c>
      <c r="B746" s="52">
        <f>IF(Учет!$O746=Справочники!$F$2,Учет!$H746,0)</f>
        <v>0</v>
      </c>
      <c r="C746" s="52">
        <f>IF(Учет!$O746=Справочники!$F$3,Учет!$H746,0)</f>
        <v>0</v>
      </c>
      <c r="D746" s="52">
        <f>IF(Учет!$O746=Справочники!$F$4,Учет!$H746,0)</f>
        <v>0</v>
      </c>
      <c r="E746" s="52">
        <f>IF(Учет!$O746=Справочники!$F$5,Учет!$H746,0)</f>
        <v>0</v>
      </c>
      <c r="F746" s="52">
        <f>IF(Учет!$O746=Справочники!$F$6,Учет!$H746,0)</f>
        <v>0</v>
      </c>
      <c r="G746" s="43">
        <f>G745+Учет!B746-B746</f>
        <v>-488978.92000000004</v>
      </c>
      <c r="H746" s="43">
        <f>H745+Учет!C746-C746</f>
        <v>336855</v>
      </c>
      <c r="I746" s="43">
        <f>I745+Учет!D746-D746</f>
        <v>500</v>
      </c>
      <c r="J746" s="43">
        <f>J745+Учет!E746-E746</f>
        <v>1150</v>
      </c>
      <c r="K746" s="43">
        <f>K745+Учет!F746-F746</f>
        <v>500000</v>
      </c>
      <c r="L746" s="45">
        <f>Учет!I746</f>
        <v>349526.07999999996</v>
      </c>
    </row>
    <row r="747" spans="1:12" x14ac:dyDescent="0.25">
      <c r="A747" s="48" t="str">
        <f>IF(Учет!A747&lt;&gt;"",Учет!A747,"")</f>
        <v/>
      </c>
      <c r="B747" s="52">
        <f>IF(Учет!$O747=Справочники!$F$2,Учет!$H747,0)</f>
        <v>0</v>
      </c>
      <c r="C747" s="52">
        <f>IF(Учет!$O747=Справочники!$F$3,Учет!$H747,0)</f>
        <v>0</v>
      </c>
      <c r="D747" s="52">
        <f>IF(Учет!$O747=Справочники!$F$4,Учет!$H747,0)</f>
        <v>0</v>
      </c>
      <c r="E747" s="52">
        <f>IF(Учет!$O747=Справочники!$F$5,Учет!$H747,0)</f>
        <v>0</v>
      </c>
      <c r="F747" s="52">
        <f>IF(Учет!$O747=Справочники!$F$6,Учет!$H747,0)</f>
        <v>0</v>
      </c>
      <c r="G747" s="43">
        <f>G746+Учет!B747-B747</f>
        <v>-488978.92000000004</v>
      </c>
      <c r="H747" s="43">
        <f>H746+Учет!C747-C747</f>
        <v>336855</v>
      </c>
      <c r="I747" s="43">
        <f>I746+Учет!D747-D747</f>
        <v>500</v>
      </c>
      <c r="J747" s="43">
        <f>J746+Учет!E747-E747</f>
        <v>1150</v>
      </c>
      <c r="K747" s="43">
        <f>K746+Учет!F747-F747</f>
        <v>500000</v>
      </c>
      <c r="L747" s="45">
        <f>Учет!I747</f>
        <v>349526.07999999996</v>
      </c>
    </row>
    <row r="748" spans="1:12" x14ac:dyDescent="0.25">
      <c r="A748" s="48" t="str">
        <f>IF(Учет!A748&lt;&gt;"",Учет!A748,"")</f>
        <v/>
      </c>
      <c r="B748" s="52">
        <f>IF(Учет!$O748=Справочники!$F$2,Учет!$H748,0)</f>
        <v>0</v>
      </c>
      <c r="C748" s="52">
        <f>IF(Учет!$O748=Справочники!$F$3,Учет!$H748,0)</f>
        <v>0</v>
      </c>
      <c r="D748" s="52">
        <f>IF(Учет!$O748=Справочники!$F$4,Учет!$H748,0)</f>
        <v>0</v>
      </c>
      <c r="E748" s="52">
        <f>IF(Учет!$O748=Справочники!$F$5,Учет!$H748,0)</f>
        <v>0</v>
      </c>
      <c r="F748" s="52">
        <f>IF(Учет!$O748=Справочники!$F$6,Учет!$H748,0)</f>
        <v>0</v>
      </c>
      <c r="G748" s="43">
        <f>G747+Учет!B748-B748</f>
        <v>-488978.92000000004</v>
      </c>
      <c r="H748" s="43">
        <f>H747+Учет!C748-C748</f>
        <v>336855</v>
      </c>
      <c r="I748" s="43">
        <f>I747+Учет!D748-D748</f>
        <v>500</v>
      </c>
      <c r="J748" s="43">
        <f>J747+Учет!E748-E748</f>
        <v>1150</v>
      </c>
      <c r="K748" s="43">
        <f>K747+Учет!F748-F748</f>
        <v>500000</v>
      </c>
      <c r="L748" s="45">
        <f>Учет!I748</f>
        <v>349526.07999999996</v>
      </c>
    </row>
    <row r="749" spans="1:12" x14ac:dyDescent="0.25">
      <c r="A749" s="48" t="str">
        <f>IF(Учет!A749&lt;&gt;"",Учет!A749,"")</f>
        <v/>
      </c>
      <c r="B749" s="52">
        <f>IF(Учет!$O749=Справочники!$F$2,Учет!$H749,0)</f>
        <v>0</v>
      </c>
      <c r="C749" s="52">
        <f>IF(Учет!$O749=Справочники!$F$3,Учет!$H749,0)</f>
        <v>0</v>
      </c>
      <c r="D749" s="52">
        <f>IF(Учет!$O749=Справочники!$F$4,Учет!$H749,0)</f>
        <v>0</v>
      </c>
      <c r="E749" s="52">
        <f>IF(Учет!$O749=Справочники!$F$5,Учет!$H749,0)</f>
        <v>0</v>
      </c>
      <c r="F749" s="52">
        <f>IF(Учет!$O749=Справочники!$F$6,Учет!$H749,0)</f>
        <v>0</v>
      </c>
      <c r="G749" s="43">
        <f>G748+Учет!B749-B749</f>
        <v>-488978.92000000004</v>
      </c>
      <c r="H749" s="43">
        <f>H748+Учет!C749-C749</f>
        <v>336855</v>
      </c>
      <c r="I749" s="43">
        <f>I748+Учет!D749-D749</f>
        <v>500</v>
      </c>
      <c r="J749" s="43">
        <f>J748+Учет!E749-E749</f>
        <v>1150</v>
      </c>
      <c r="K749" s="43">
        <f>K748+Учет!F749-F749</f>
        <v>500000</v>
      </c>
      <c r="L749" s="45">
        <f>Учет!I749</f>
        <v>349526.07999999996</v>
      </c>
    </row>
    <row r="750" spans="1:12" x14ac:dyDescent="0.25">
      <c r="A750" s="48" t="str">
        <f>IF(Учет!A750&lt;&gt;"",Учет!A750,"")</f>
        <v/>
      </c>
      <c r="B750" s="52">
        <f>IF(Учет!$O750=Справочники!$F$2,Учет!$H750,0)</f>
        <v>0</v>
      </c>
      <c r="C750" s="52">
        <f>IF(Учет!$O750=Справочники!$F$3,Учет!$H750,0)</f>
        <v>0</v>
      </c>
      <c r="D750" s="52">
        <f>IF(Учет!$O750=Справочники!$F$4,Учет!$H750,0)</f>
        <v>0</v>
      </c>
      <c r="E750" s="52">
        <f>IF(Учет!$O750=Справочники!$F$5,Учет!$H750,0)</f>
        <v>0</v>
      </c>
      <c r="F750" s="52">
        <f>IF(Учет!$O750=Справочники!$F$6,Учет!$H750,0)</f>
        <v>0</v>
      </c>
      <c r="G750" s="43">
        <f>G749+Учет!B750-B750</f>
        <v>-488978.92000000004</v>
      </c>
      <c r="H750" s="43">
        <f>H749+Учет!C750-C750</f>
        <v>336855</v>
      </c>
      <c r="I750" s="43">
        <f>I749+Учет!D750-D750</f>
        <v>500</v>
      </c>
      <c r="J750" s="43">
        <f>J749+Учет!E750-E750</f>
        <v>1150</v>
      </c>
      <c r="K750" s="43">
        <f>K749+Учет!F750-F750</f>
        <v>500000</v>
      </c>
      <c r="L750" s="45">
        <f>Учет!I750</f>
        <v>349526.07999999996</v>
      </c>
    </row>
    <row r="751" spans="1:12" x14ac:dyDescent="0.25">
      <c r="A751" s="48" t="str">
        <f>IF(Учет!A751&lt;&gt;"",Учет!A751,"")</f>
        <v/>
      </c>
      <c r="B751" s="52">
        <f>IF(Учет!$O751=Справочники!$F$2,Учет!$H751,0)</f>
        <v>0</v>
      </c>
      <c r="C751" s="52">
        <f>IF(Учет!$O751=Справочники!$F$3,Учет!$H751,0)</f>
        <v>0</v>
      </c>
      <c r="D751" s="52">
        <f>IF(Учет!$O751=Справочники!$F$4,Учет!$H751,0)</f>
        <v>0</v>
      </c>
      <c r="E751" s="52">
        <f>IF(Учет!$O751=Справочники!$F$5,Учет!$H751,0)</f>
        <v>0</v>
      </c>
      <c r="F751" s="52">
        <f>IF(Учет!$O751=Справочники!$F$6,Учет!$H751,0)</f>
        <v>0</v>
      </c>
      <c r="G751" s="43">
        <f>G750+Учет!B751-B751</f>
        <v>-488978.92000000004</v>
      </c>
      <c r="H751" s="43">
        <f>H750+Учет!C751-C751</f>
        <v>336855</v>
      </c>
      <c r="I751" s="43">
        <f>I750+Учет!D751-D751</f>
        <v>500</v>
      </c>
      <c r="J751" s="43">
        <f>J750+Учет!E751-E751</f>
        <v>1150</v>
      </c>
      <c r="K751" s="43">
        <f>K750+Учет!F751-F751</f>
        <v>500000</v>
      </c>
      <c r="L751" s="45">
        <f>Учет!I751</f>
        <v>349526.07999999996</v>
      </c>
    </row>
    <row r="752" spans="1:12" x14ac:dyDescent="0.25">
      <c r="A752" s="48" t="str">
        <f>IF(Учет!A752&lt;&gt;"",Учет!A752,"")</f>
        <v/>
      </c>
      <c r="B752" s="52">
        <f>IF(Учет!$O752=Справочники!$F$2,Учет!$H752,0)</f>
        <v>0</v>
      </c>
      <c r="C752" s="52">
        <f>IF(Учет!$O752=Справочники!$F$3,Учет!$H752,0)</f>
        <v>0</v>
      </c>
      <c r="D752" s="52">
        <f>IF(Учет!$O752=Справочники!$F$4,Учет!$H752,0)</f>
        <v>0</v>
      </c>
      <c r="E752" s="52">
        <f>IF(Учет!$O752=Справочники!$F$5,Учет!$H752,0)</f>
        <v>0</v>
      </c>
      <c r="F752" s="52">
        <f>IF(Учет!$O752=Справочники!$F$6,Учет!$H752,0)</f>
        <v>0</v>
      </c>
      <c r="G752" s="43">
        <f>G751+Учет!B752-B752</f>
        <v>-488978.92000000004</v>
      </c>
      <c r="H752" s="43">
        <f>H751+Учет!C752-C752</f>
        <v>336855</v>
      </c>
      <c r="I752" s="43">
        <f>I751+Учет!D752-D752</f>
        <v>500</v>
      </c>
      <c r="J752" s="43">
        <f>J751+Учет!E752-E752</f>
        <v>1150</v>
      </c>
      <c r="K752" s="43">
        <f>K751+Учет!F752-F752</f>
        <v>500000</v>
      </c>
      <c r="L752" s="45">
        <f>Учет!I752</f>
        <v>349526.07999999996</v>
      </c>
    </row>
    <row r="753" spans="1:12" x14ac:dyDescent="0.25">
      <c r="A753" s="48" t="str">
        <f>IF(Учет!A753&lt;&gt;"",Учет!A753,"")</f>
        <v/>
      </c>
      <c r="B753" s="52">
        <f>IF(Учет!$O753=Справочники!$F$2,Учет!$H753,0)</f>
        <v>0</v>
      </c>
      <c r="C753" s="52">
        <f>IF(Учет!$O753=Справочники!$F$3,Учет!$H753,0)</f>
        <v>0</v>
      </c>
      <c r="D753" s="52">
        <f>IF(Учет!$O753=Справочники!$F$4,Учет!$H753,0)</f>
        <v>0</v>
      </c>
      <c r="E753" s="52">
        <f>IF(Учет!$O753=Справочники!$F$5,Учет!$H753,0)</f>
        <v>0</v>
      </c>
      <c r="F753" s="52">
        <f>IF(Учет!$O753=Справочники!$F$6,Учет!$H753,0)</f>
        <v>0</v>
      </c>
      <c r="G753" s="43">
        <f>G752+Учет!B753-B753</f>
        <v>-488978.92000000004</v>
      </c>
      <c r="H753" s="43">
        <f>H752+Учет!C753-C753</f>
        <v>336855</v>
      </c>
      <c r="I753" s="43">
        <f>I752+Учет!D753-D753</f>
        <v>500</v>
      </c>
      <c r="J753" s="43">
        <f>J752+Учет!E753-E753</f>
        <v>1150</v>
      </c>
      <c r="K753" s="43">
        <f>K752+Учет!F753-F753</f>
        <v>500000</v>
      </c>
      <c r="L753" s="45">
        <f>Учет!I753</f>
        <v>349526.07999999996</v>
      </c>
    </row>
    <row r="754" spans="1:12" x14ac:dyDescent="0.25">
      <c r="A754" s="48" t="str">
        <f>IF(Учет!A754&lt;&gt;"",Учет!A754,"")</f>
        <v/>
      </c>
      <c r="B754" s="52">
        <f>IF(Учет!$O754=Справочники!$F$2,Учет!$H754,0)</f>
        <v>0</v>
      </c>
      <c r="C754" s="52">
        <f>IF(Учет!$O754=Справочники!$F$3,Учет!$H754,0)</f>
        <v>0</v>
      </c>
      <c r="D754" s="52">
        <f>IF(Учет!$O754=Справочники!$F$4,Учет!$H754,0)</f>
        <v>0</v>
      </c>
      <c r="E754" s="52">
        <f>IF(Учет!$O754=Справочники!$F$5,Учет!$H754,0)</f>
        <v>0</v>
      </c>
      <c r="F754" s="52">
        <f>IF(Учет!$O754=Справочники!$F$6,Учет!$H754,0)</f>
        <v>0</v>
      </c>
      <c r="G754" s="43">
        <f>G753+Учет!B754-B754</f>
        <v>-488978.92000000004</v>
      </c>
      <c r="H754" s="43">
        <f>H753+Учет!C754-C754</f>
        <v>336855</v>
      </c>
      <c r="I754" s="43">
        <f>I753+Учет!D754-D754</f>
        <v>500</v>
      </c>
      <c r="J754" s="43">
        <f>J753+Учет!E754-E754</f>
        <v>1150</v>
      </c>
      <c r="K754" s="43">
        <f>K753+Учет!F754-F754</f>
        <v>500000</v>
      </c>
      <c r="L754" s="45">
        <f>Учет!I754</f>
        <v>349526.07999999996</v>
      </c>
    </row>
    <row r="755" spans="1:12" x14ac:dyDescent="0.25">
      <c r="A755" s="48" t="str">
        <f>IF(Учет!A755&lt;&gt;"",Учет!A755,"")</f>
        <v/>
      </c>
      <c r="B755" s="52">
        <f>IF(Учет!$O755=Справочники!$F$2,Учет!$H755,0)</f>
        <v>0</v>
      </c>
      <c r="C755" s="52">
        <f>IF(Учет!$O755=Справочники!$F$3,Учет!$H755,0)</f>
        <v>0</v>
      </c>
      <c r="D755" s="52">
        <f>IF(Учет!$O755=Справочники!$F$4,Учет!$H755,0)</f>
        <v>0</v>
      </c>
      <c r="E755" s="52">
        <f>IF(Учет!$O755=Справочники!$F$5,Учет!$H755,0)</f>
        <v>0</v>
      </c>
      <c r="F755" s="52">
        <f>IF(Учет!$O755=Справочники!$F$6,Учет!$H755,0)</f>
        <v>0</v>
      </c>
      <c r="G755" s="43">
        <f>G754+Учет!B755-B755</f>
        <v>-488978.92000000004</v>
      </c>
      <c r="H755" s="43">
        <f>H754+Учет!C755-C755</f>
        <v>336855</v>
      </c>
      <c r="I755" s="43">
        <f>I754+Учет!D755-D755</f>
        <v>500</v>
      </c>
      <c r="J755" s="43">
        <f>J754+Учет!E755-E755</f>
        <v>1150</v>
      </c>
      <c r="K755" s="43">
        <f>K754+Учет!F755-F755</f>
        <v>500000</v>
      </c>
      <c r="L755" s="45">
        <f>Учет!I755</f>
        <v>349526.07999999996</v>
      </c>
    </row>
    <row r="756" spans="1:12" x14ac:dyDescent="0.25">
      <c r="A756" s="48" t="str">
        <f>IF(Учет!A756&lt;&gt;"",Учет!A756,"")</f>
        <v/>
      </c>
      <c r="B756" s="52">
        <f>IF(Учет!$O756=Справочники!$F$2,Учет!$H756,0)</f>
        <v>0</v>
      </c>
      <c r="C756" s="52">
        <f>IF(Учет!$O756=Справочники!$F$3,Учет!$H756,0)</f>
        <v>0</v>
      </c>
      <c r="D756" s="52">
        <f>IF(Учет!$O756=Справочники!$F$4,Учет!$H756,0)</f>
        <v>0</v>
      </c>
      <c r="E756" s="52">
        <f>IF(Учет!$O756=Справочники!$F$5,Учет!$H756,0)</f>
        <v>0</v>
      </c>
      <c r="F756" s="52">
        <f>IF(Учет!$O756=Справочники!$F$6,Учет!$H756,0)</f>
        <v>0</v>
      </c>
      <c r="G756" s="43">
        <f>G755+Учет!B756-B756</f>
        <v>-488978.92000000004</v>
      </c>
      <c r="H756" s="43">
        <f>H755+Учет!C756-C756</f>
        <v>336855</v>
      </c>
      <c r="I756" s="43">
        <f>I755+Учет!D756-D756</f>
        <v>500</v>
      </c>
      <c r="J756" s="43">
        <f>J755+Учет!E756-E756</f>
        <v>1150</v>
      </c>
      <c r="K756" s="43">
        <f>K755+Учет!F756-F756</f>
        <v>500000</v>
      </c>
      <c r="L756" s="45">
        <f>Учет!I756</f>
        <v>349526.07999999996</v>
      </c>
    </row>
    <row r="757" spans="1:12" x14ac:dyDescent="0.25">
      <c r="A757" s="48" t="str">
        <f>IF(Учет!A757&lt;&gt;"",Учет!A757,"")</f>
        <v/>
      </c>
      <c r="B757" s="52">
        <f>IF(Учет!$O757=Справочники!$F$2,Учет!$H757,0)</f>
        <v>0</v>
      </c>
      <c r="C757" s="52">
        <f>IF(Учет!$O757=Справочники!$F$3,Учет!$H757,0)</f>
        <v>0</v>
      </c>
      <c r="D757" s="52">
        <f>IF(Учет!$O757=Справочники!$F$4,Учет!$H757,0)</f>
        <v>0</v>
      </c>
      <c r="E757" s="52">
        <f>IF(Учет!$O757=Справочники!$F$5,Учет!$H757,0)</f>
        <v>0</v>
      </c>
      <c r="F757" s="52">
        <f>IF(Учет!$O757=Справочники!$F$6,Учет!$H757,0)</f>
        <v>0</v>
      </c>
      <c r="G757" s="43">
        <f>G756+Учет!B757-B757</f>
        <v>-488978.92000000004</v>
      </c>
      <c r="H757" s="43">
        <f>H756+Учет!C757-C757</f>
        <v>336855</v>
      </c>
      <c r="I757" s="43">
        <f>I756+Учет!D757-D757</f>
        <v>500</v>
      </c>
      <c r="J757" s="43">
        <f>J756+Учет!E757-E757</f>
        <v>1150</v>
      </c>
      <c r="K757" s="43">
        <f>K756+Учет!F757-F757</f>
        <v>500000</v>
      </c>
      <c r="L757" s="45">
        <f>Учет!I757</f>
        <v>349526.07999999996</v>
      </c>
    </row>
    <row r="758" spans="1:12" x14ac:dyDescent="0.25">
      <c r="A758" s="48" t="str">
        <f>IF(Учет!A758&lt;&gt;"",Учет!A758,"")</f>
        <v/>
      </c>
      <c r="B758" s="52">
        <f>IF(Учет!$O758=Справочники!$F$2,Учет!$H758,0)</f>
        <v>0</v>
      </c>
      <c r="C758" s="52">
        <f>IF(Учет!$O758=Справочники!$F$3,Учет!$H758,0)</f>
        <v>0</v>
      </c>
      <c r="D758" s="52">
        <f>IF(Учет!$O758=Справочники!$F$4,Учет!$H758,0)</f>
        <v>0</v>
      </c>
      <c r="E758" s="52">
        <f>IF(Учет!$O758=Справочники!$F$5,Учет!$H758,0)</f>
        <v>0</v>
      </c>
      <c r="F758" s="52">
        <f>IF(Учет!$O758=Справочники!$F$6,Учет!$H758,0)</f>
        <v>0</v>
      </c>
      <c r="G758" s="43">
        <f>G757+Учет!B758-B758</f>
        <v>-488978.92000000004</v>
      </c>
      <c r="H758" s="43">
        <f>H757+Учет!C758-C758</f>
        <v>336855</v>
      </c>
      <c r="I758" s="43">
        <f>I757+Учет!D758-D758</f>
        <v>500</v>
      </c>
      <c r="J758" s="43">
        <f>J757+Учет!E758-E758</f>
        <v>1150</v>
      </c>
      <c r="K758" s="43">
        <f>K757+Учет!F758-F758</f>
        <v>500000</v>
      </c>
      <c r="L758" s="45">
        <f>Учет!I758</f>
        <v>349526.07999999996</v>
      </c>
    </row>
    <row r="759" spans="1:12" x14ac:dyDescent="0.25">
      <c r="A759" s="48" t="str">
        <f>IF(Учет!A759&lt;&gt;"",Учет!A759,"")</f>
        <v/>
      </c>
      <c r="B759" s="52">
        <f>IF(Учет!$O759=Справочники!$F$2,Учет!$H759,0)</f>
        <v>0</v>
      </c>
      <c r="C759" s="52">
        <f>IF(Учет!$O759=Справочники!$F$3,Учет!$H759,0)</f>
        <v>0</v>
      </c>
      <c r="D759" s="52">
        <f>IF(Учет!$O759=Справочники!$F$4,Учет!$H759,0)</f>
        <v>0</v>
      </c>
      <c r="E759" s="52">
        <f>IF(Учет!$O759=Справочники!$F$5,Учет!$H759,0)</f>
        <v>0</v>
      </c>
      <c r="F759" s="52">
        <f>IF(Учет!$O759=Справочники!$F$6,Учет!$H759,0)</f>
        <v>0</v>
      </c>
      <c r="G759" s="43">
        <f>G758+Учет!B759-B759</f>
        <v>-488978.92000000004</v>
      </c>
      <c r="H759" s="43">
        <f>H758+Учет!C759-C759</f>
        <v>336855</v>
      </c>
      <c r="I759" s="43">
        <f>I758+Учет!D759-D759</f>
        <v>500</v>
      </c>
      <c r="J759" s="43">
        <f>J758+Учет!E759-E759</f>
        <v>1150</v>
      </c>
      <c r="K759" s="43">
        <f>K758+Учет!F759-F759</f>
        <v>500000</v>
      </c>
      <c r="L759" s="45">
        <f>Учет!I759</f>
        <v>349526.07999999996</v>
      </c>
    </row>
    <row r="760" spans="1:12" x14ac:dyDescent="0.25">
      <c r="A760" s="48" t="str">
        <f>IF(Учет!A760&lt;&gt;"",Учет!A760,"")</f>
        <v/>
      </c>
      <c r="B760" s="52">
        <f>IF(Учет!$O760=Справочники!$F$2,Учет!$H760,0)</f>
        <v>0</v>
      </c>
      <c r="C760" s="52">
        <f>IF(Учет!$O760=Справочники!$F$3,Учет!$H760,0)</f>
        <v>0</v>
      </c>
      <c r="D760" s="52">
        <f>IF(Учет!$O760=Справочники!$F$4,Учет!$H760,0)</f>
        <v>0</v>
      </c>
      <c r="E760" s="52">
        <f>IF(Учет!$O760=Справочники!$F$5,Учет!$H760,0)</f>
        <v>0</v>
      </c>
      <c r="F760" s="52">
        <f>IF(Учет!$O760=Справочники!$F$6,Учет!$H760,0)</f>
        <v>0</v>
      </c>
      <c r="G760" s="43">
        <f>G759+Учет!B760-B760</f>
        <v>-488978.92000000004</v>
      </c>
      <c r="H760" s="43">
        <f>H759+Учет!C760-C760</f>
        <v>336855</v>
      </c>
      <c r="I760" s="43">
        <f>I759+Учет!D760-D760</f>
        <v>500</v>
      </c>
      <c r="J760" s="43">
        <f>J759+Учет!E760-E760</f>
        <v>1150</v>
      </c>
      <c r="K760" s="43">
        <f>K759+Учет!F760-F760</f>
        <v>500000</v>
      </c>
      <c r="L760" s="45">
        <f>Учет!I760</f>
        <v>349526.07999999996</v>
      </c>
    </row>
    <row r="761" spans="1:12" x14ac:dyDescent="0.25">
      <c r="A761" s="48" t="str">
        <f>IF(Учет!A761&lt;&gt;"",Учет!A761,"")</f>
        <v/>
      </c>
      <c r="B761" s="52">
        <f>IF(Учет!$O761=Справочники!$F$2,Учет!$H761,0)</f>
        <v>0</v>
      </c>
      <c r="C761" s="52">
        <f>IF(Учет!$O761=Справочники!$F$3,Учет!$H761,0)</f>
        <v>0</v>
      </c>
      <c r="D761" s="52">
        <f>IF(Учет!$O761=Справочники!$F$4,Учет!$H761,0)</f>
        <v>0</v>
      </c>
      <c r="E761" s="52">
        <f>IF(Учет!$O761=Справочники!$F$5,Учет!$H761,0)</f>
        <v>0</v>
      </c>
      <c r="F761" s="52">
        <f>IF(Учет!$O761=Справочники!$F$6,Учет!$H761,0)</f>
        <v>0</v>
      </c>
      <c r="G761" s="43">
        <f>G760+Учет!B761-B761</f>
        <v>-488978.92000000004</v>
      </c>
      <c r="H761" s="43">
        <f>H760+Учет!C761-C761</f>
        <v>336855</v>
      </c>
      <c r="I761" s="43">
        <f>I760+Учет!D761-D761</f>
        <v>500</v>
      </c>
      <c r="J761" s="43">
        <f>J760+Учет!E761-E761</f>
        <v>1150</v>
      </c>
      <c r="K761" s="43">
        <f>K760+Учет!F761-F761</f>
        <v>500000</v>
      </c>
      <c r="L761" s="45">
        <f>Учет!I761</f>
        <v>349526.07999999996</v>
      </c>
    </row>
    <row r="762" spans="1:12" x14ac:dyDescent="0.25">
      <c r="A762" s="48" t="str">
        <f>IF(Учет!A762&lt;&gt;"",Учет!A762,"")</f>
        <v/>
      </c>
      <c r="B762" s="52">
        <f>IF(Учет!$O762=Справочники!$F$2,Учет!$H762,0)</f>
        <v>0</v>
      </c>
      <c r="C762" s="52">
        <f>IF(Учет!$O762=Справочники!$F$3,Учет!$H762,0)</f>
        <v>0</v>
      </c>
      <c r="D762" s="52">
        <f>IF(Учет!$O762=Справочники!$F$4,Учет!$H762,0)</f>
        <v>0</v>
      </c>
      <c r="E762" s="52">
        <f>IF(Учет!$O762=Справочники!$F$5,Учет!$H762,0)</f>
        <v>0</v>
      </c>
      <c r="F762" s="52">
        <f>IF(Учет!$O762=Справочники!$F$6,Учет!$H762,0)</f>
        <v>0</v>
      </c>
      <c r="G762" s="43">
        <f>G761+Учет!B762-B762</f>
        <v>-488978.92000000004</v>
      </c>
      <c r="H762" s="43">
        <f>H761+Учет!C762-C762</f>
        <v>336855</v>
      </c>
      <c r="I762" s="43">
        <f>I761+Учет!D762-D762</f>
        <v>500</v>
      </c>
      <c r="J762" s="43">
        <f>J761+Учет!E762-E762</f>
        <v>1150</v>
      </c>
      <c r="K762" s="43">
        <f>K761+Учет!F762-F762</f>
        <v>500000</v>
      </c>
      <c r="L762" s="45">
        <f>Учет!I762</f>
        <v>349526.07999999996</v>
      </c>
    </row>
    <row r="763" spans="1:12" x14ac:dyDescent="0.25">
      <c r="A763" s="48" t="str">
        <f>IF(Учет!A763&lt;&gt;"",Учет!A763,"")</f>
        <v/>
      </c>
      <c r="B763" s="52">
        <f>IF(Учет!$O763=Справочники!$F$2,Учет!$H763,0)</f>
        <v>0</v>
      </c>
      <c r="C763" s="52">
        <f>IF(Учет!$O763=Справочники!$F$3,Учет!$H763,0)</f>
        <v>0</v>
      </c>
      <c r="D763" s="52">
        <f>IF(Учет!$O763=Справочники!$F$4,Учет!$H763,0)</f>
        <v>0</v>
      </c>
      <c r="E763" s="52">
        <f>IF(Учет!$O763=Справочники!$F$5,Учет!$H763,0)</f>
        <v>0</v>
      </c>
      <c r="F763" s="52">
        <f>IF(Учет!$O763=Справочники!$F$6,Учет!$H763,0)</f>
        <v>0</v>
      </c>
      <c r="G763" s="43">
        <f>G762+Учет!B763-B763</f>
        <v>-488978.92000000004</v>
      </c>
      <c r="H763" s="43">
        <f>H762+Учет!C763-C763</f>
        <v>336855</v>
      </c>
      <c r="I763" s="43">
        <f>I762+Учет!D763-D763</f>
        <v>500</v>
      </c>
      <c r="J763" s="43">
        <f>J762+Учет!E763-E763</f>
        <v>1150</v>
      </c>
      <c r="K763" s="43">
        <f>K762+Учет!F763-F763</f>
        <v>500000</v>
      </c>
      <c r="L763" s="45">
        <f>Учет!I763</f>
        <v>349526.07999999996</v>
      </c>
    </row>
    <row r="764" spans="1:12" x14ac:dyDescent="0.25">
      <c r="A764" s="48" t="str">
        <f>IF(Учет!A764&lt;&gt;"",Учет!A764,"")</f>
        <v/>
      </c>
      <c r="B764" s="52">
        <f>IF(Учет!$O764=Справочники!$F$2,Учет!$H764,0)</f>
        <v>0</v>
      </c>
      <c r="C764" s="52">
        <f>IF(Учет!$O764=Справочники!$F$3,Учет!$H764,0)</f>
        <v>0</v>
      </c>
      <c r="D764" s="52">
        <f>IF(Учет!$O764=Справочники!$F$4,Учет!$H764,0)</f>
        <v>0</v>
      </c>
      <c r="E764" s="52">
        <f>IF(Учет!$O764=Справочники!$F$5,Учет!$H764,0)</f>
        <v>0</v>
      </c>
      <c r="F764" s="52">
        <f>IF(Учет!$O764=Справочники!$F$6,Учет!$H764,0)</f>
        <v>0</v>
      </c>
      <c r="G764" s="43">
        <f>G763+Учет!B764-B764</f>
        <v>-488978.92000000004</v>
      </c>
      <c r="H764" s="43">
        <f>H763+Учет!C764-C764</f>
        <v>336855</v>
      </c>
      <c r="I764" s="43">
        <f>I763+Учет!D764-D764</f>
        <v>500</v>
      </c>
      <c r="J764" s="43">
        <f>J763+Учет!E764-E764</f>
        <v>1150</v>
      </c>
      <c r="K764" s="43">
        <f>K763+Учет!F764-F764</f>
        <v>500000</v>
      </c>
      <c r="L764" s="45">
        <f>Учет!I764</f>
        <v>349526.07999999996</v>
      </c>
    </row>
    <row r="765" spans="1:12" x14ac:dyDescent="0.25">
      <c r="A765" s="48" t="str">
        <f>IF(Учет!A765&lt;&gt;"",Учет!A765,"")</f>
        <v/>
      </c>
      <c r="B765" s="52">
        <f>IF(Учет!$O765=Справочники!$F$2,Учет!$H765,0)</f>
        <v>0</v>
      </c>
      <c r="C765" s="52">
        <f>IF(Учет!$O765=Справочники!$F$3,Учет!$H765,0)</f>
        <v>0</v>
      </c>
      <c r="D765" s="52">
        <f>IF(Учет!$O765=Справочники!$F$4,Учет!$H765,0)</f>
        <v>0</v>
      </c>
      <c r="E765" s="52">
        <f>IF(Учет!$O765=Справочники!$F$5,Учет!$H765,0)</f>
        <v>0</v>
      </c>
      <c r="F765" s="52">
        <f>IF(Учет!$O765=Справочники!$F$6,Учет!$H765,0)</f>
        <v>0</v>
      </c>
      <c r="G765" s="43">
        <f>G764+Учет!B765-B765</f>
        <v>-488978.92000000004</v>
      </c>
      <c r="H765" s="43">
        <f>H764+Учет!C765-C765</f>
        <v>336855</v>
      </c>
      <c r="I765" s="43">
        <f>I764+Учет!D765-D765</f>
        <v>500</v>
      </c>
      <c r="J765" s="43">
        <f>J764+Учет!E765-E765</f>
        <v>1150</v>
      </c>
      <c r="K765" s="43">
        <f>K764+Учет!F765-F765</f>
        <v>500000</v>
      </c>
      <c r="L765" s="45">
        <f>Учет!I765</f>
        <v>349526.07999999996</v>
      </c>
    </row>
    <row r="766" spans="1:12" x14ac:dyDescent="0.25">
      <c r="A766" s="48" t="str">
        <f>IF(Учет!A766&lt;&gt;"",Учет!A766,"")</f>
        <v/>
      </c>
      <c r="B766" s="52">
        <f>IF(Учет!$O766=Справочники!$F$2,Учет!$H766,0)</f>
        <v>0</v>
      </c>
      <c r="C766" s="52">
        <f>IF(Учет!$O766=Справочники!$F$3,Учет!$H766,0)</f>
        <v>0</v>
      </c>
      <c r="D766" s="52">
        <f>IF(Учет!$O766=Справочники!$F$4,Учет!$H766,0)</f>
        <v>0</v>
      </c>
      <c r="E766" s="52">
        <f>IF(Учет!$O766=Справочники!$F$5,Учет!$H766,0)</f>
        <v>0</v>
      </c>
      <c r="F766" s="52">
        <f>IF(Учет!$O766=Справочники!$F$6,Учет!$H766,0)</f>
        <v>0</v>
      </c>
      <c r="G766" s="43">
        <f>G765+Учет!B766-B766</f>
        <v>-488978.92000000004</v>
      </c>
      <c r="H766" s="43">
        <f>H765+Учет!C766-C766</f>
        <v>336855</v>
      </c>
      <c r="I766" s="43">
        <f>I765+Учет!D766-D766</f>
        <v>500</v>
      </c>
      <c r="J766" s="43">
        <f>J765+Учет!E766-E766</f>
        <v>1150</v>
      </c>
      <c r="K766" s="43">
        <f>K765+Учет!F766-F766</f>
        <v>500000</v>
      </c>
      <c r="L766" s="45">
        <f>Учет!I766</f>
        <v>349526.07999999996</v>
      </c>
    </row>
    <row r="767" spans="1:12" x14ac:dyDescent="0.25">
      <c r="A767" s="48" t="str">
        <f>IF(Учет!A767&lt;&gt;"",Учет!A767,"")</f>
        <v/>
      </c>
      <c r="B767" s="52">
        <f>IF(Учет!$O767=Справочники!$F$2,Учет!$H767,0)</f>
        <v>0</v>
      </c>
      <c r="C767" s="52">
        <f>IF(Учет!$O767=Справочники!$F$3,Учет!$H767,0)</f>
        <v>0</v>
      </c>
      <c r="D767" s="52">
        <f>IF(Учет!$O767=Справочники!$F$4,Учет!$H767,0)</f>
        <v>0</v>
      </c>
      <c r="E767" s="52">
        <f>IF(Учет!$O767=Справочники!$F$5,Учет!$H767,0)</f>
        <v>0</v>
      </c>
      <c r="F767" s="52">
        <f>IF(Учет!$O767=Справочники!$F$6,Учет!$H767,0)</f>
        <v>0</v>
      </c>
      <c r="G767" s="43">
        <f>G766+Учет!B767-B767</f>
        <v>-488978.92000000004</v>
      </c>
      <c r="H767" s="43">
        <f>H766+Учет!C767-C767</f>
        <v>336855</v>
      </c>
      <c r="I767" s="43">
        <f>I766+Учет!D767-D767</f>
        <v>500</v>
      </c>
      <c r="J767" s="43">
        <f>J766+Учет!E767-E767</f>
        <v>1150</v>
      </c>
      <c r="K767" s="43">
        <f>K766+Учет!F767-F767</f>
        <v>500000</v>
      </c>
      <c r="L767" s="45">
        <f>Учет!I767</f>
        <v>349526.07999999996</v>
      </c>
    </row>
    <row r="768" spans="1:12" x14ac:dyDescent="0.25">
      <c r="A768" s="48" t="str">
        <f>IF(Учет!A768&lt;&gt;"",Учет!A768,"")</f>
        <v/>
      </c>
      <c r="B768" s="52">
        <f>IF(Учет!$O768=Справочники!$F$2,Учет!$H768,0)</f>
        <v>0</v>
      </c>
      <c r="C768" s="52">
        <f>IF(Учет!$O768=Справочники!$F$3,Учет!$H768,0)</f>
        <v>0</v>
      </c>
      <c r="D768" s="52">
        <f>IF(Учет!$O768=Справочники!$F$4,Учет!$H768,0)</f>
        <v>0</v>
      </c>
      <c r="E768" s="52">
        <f>IF(Учет!$O768=Справочники!$F$5,Учет!$H768,0)</f>
        <v>0</v>
      </c>
      <c r="F768" s="52">
        <f>IF(Учет!$O768=Справочники!$F$6,Учет!$H768,0)</f>
        <v>0</v>
      </c>
      <c r="G768" s="43">
        <f>G767+Учет!B768-B768</f>
        <v>-488978.92000000004</v>
      </c>
      <c r="H768" s="43">
        <f>H767+Учет!C768-C768</f>
        <v>336855</v>
      </c>
      <c r="I768" s="43">
        <f>I767+Учет!D768-D768</f>
        <v>500</v>
      </c>
      <c r="J768" s="43">
        <f>J767+Учет!E768-E768</f>
        <v>1150</v>
      </c>
      <c r="K768" s="43">
        <f>K767+Учет!F768-F768</f>
        <v>500000</v>
      </c>
      <c r="L768" s="45">
        <f>Учет!I768</f>
        <v>349526.07999999996</v>
      </c>
    </row>
    <row r="769" spans="1:12" x14ac:dyDescent="0.25">
      <c r="A769" s="48" t="str">
        <f>IF(Учет!A769&lt;&gt;"",Учет!A769,"")</f>
        <v/>
      </c>
      <c r="B769" s="52">
        <f>IF(Учет!$O769=Справочники!$F$2,Учет!$H769,0)</f>
        <v>0</v>
      </c>
      <c r="C769" s="52">
        <f>IF(Учет!$O769=Справочники!$F$3,Учет!$H769,0)</f>
        <v>0</v>
      </c>
      <c r="D769" s="52">
        <f>IF(Учет!$O769=Справочники!$F$4,Учет!$H769,0)</f>
        <v>0</v>
      </c>
      <c r="E769" s="52">
        <f>IF(Учет!$O769=Справочники!$F$5,Учет!$H769,0)</f>
        <v>0</v>
      </c>
      <c r="F769" s="52">
        <f>IF(Учет!$O769=Справочники!$F$6,Учет!$H769,0)</f>
        <v>0</v>
      </c>
      <c r="G769" s="43">
        <f>G768+Учет!B769-B769</f>
        <v>-488978.92000000004</v>
      </c>
      <c r="H769" s="43">
        <f>H768+Учет!C769-C769</f>
        <v>336855</v>
      </c>
      <c r="I769" s="43">
        <f>I768+Учет!D769-D769</f>
        <v>500</v>
      </c>
      <c r="J769" s="43">
        <f>J768+Учет!E769-E769</f>
        <v>1150</v>
      </c>
      <c r="K769" s="43">
        <f>K768+Учет!F769-F769</f>
        <v>500000</v>
      </c>
      <c r="L769" s="45">
        <f>Учет!I769</f>
        <v>349526.07999999996</v>
      </c>
    </row>
    <row r="770" spans="1:12" x14ac:dyDescent="0.25">
      <c r="A770" s="48" t="str">
        <f>IF(Учет!A770&lt;&gt;"",Учет!A770,"")</f>
        <v/>
      </c>
      <c r="B770" s="52">
        <f>IF(Учет!$O770=Справочники!$F$2,Учет!$H770,0)</f>
        <v>0</v>
      </c>
      <c r="C770" s="52">
        <f>IF(Учет!$O770=Справочники!$F$3,Учет!$H770,0)</f>
        <v>0</v>
      </c>
      <c r="D770" s="52">
        <f>IF(Учет!$O770=Справочники!$F$4,Учет!$H770,0)</f>
        <v>0</v>
      </c>
      <c r="E770" s="52">
        <f>IF(Учет!$O770=Справочники!$F$5,Учет!$H770,0)</f>
        <v>0</v>
      </c>
      <c r="F770" s="52">
        <f>IF(Учет!$O770=Справочники!$F$6,Учет!$H770,0)</f>
        <v>0</v>
      </c>
      <c r="G770" s="43">
        <f>G769+Учет!B770-B770</f>
        <v>-488978.92000000004</v>
      </c>
      <c r="H770" s="43">
        <f>H769+Учет!C770-C770</f>
        <v>336855</v>
      </c>
      <c r="I770" s="43">
        <f>I769+Учет!D770-D770</f>
        <v>500</v>
      </c>
      <c r="J770" s="43">
        <f>J769+Учет!E770-E770</f>
        <v>1150</v>
      </c>
      <c r="K770" s="43">
        <f>K769+Учет!F770-F770</f>
        <v>500000</v>
      </c>
      <c r="L770" s="45">
        <f>Учет!I770</f>
        <v>349526.07999999996</v>
      </c>
    </row>
    <row r="771" spans="1:12" x14ac:dyDescent="0.25">
      <c r="A771" s="48" t="str">
        <f>IF(Учет!A771&lt;&gt;"",Учет!A771,"")</f>
        <v/>
      </c>
      <c r="B771" s="52">
        <f>IF(Учет!$O771=Справочники!$F$2,Учет!$H771,0)</f>
        <v>0</v>
      </c>
      <c r="C771" s="52">
        <f>IF(Учет!$O771=Справочники!$F$3,Учет!$H771,0)</f>
        <v>0</v>
      </c>
      <c r="D771" s="52">
        <f>IF(Учет!$O771=Справочники!$F$4,Учет!$H771,0)</f>
        <v>0</v>
      </c>
      <c r="E771" s="52">
        <f>IF(Учет!$O771=Справочники!$F$5,Учет!$H771,0)</f>
        <v>0</v>
      </c>
      <c r="F771" s="52">
        <f>IF(Учет!$O771=Справочники!$F$6,Учет!$H771,0)</f>
        <v>0</v>
      </c>
      <c r="G771" s="43">
        <f>G770+Учет!B771-B771</f>
        <v>-488978.92000000004</v>
      </c>
      <c r="H771" s="43">
        <f>H770+Учет!C771-C771</f>
        <v>336855</v>
      </c>
      <c r="I771" s="43">
        <f>I770+Учет!D771-D771</f>
        <v>500</v>
      </c>
      <c r="J771" s="43">
        <f>J770+Учет!E771-E771</f>
        <v>1150</v>
      </c>
      <c r="K771" s="43">
        <f>K770+Учет!F771-F771</f>
        <v>500000</v>
      </c>
      <c r="L771" s="45">
        <f>Учет!I771</f>
        <v>349526.07999999996</v>
      </c>
    </row>
    <row r="772" spans="1:12" x14ac:dyDescent="0.25">
      <c r="A772" s="48" t="str">
        <f>IF(Учет!A772&lt;&gt;"",Учет!A772,"")</f>
        <v/>
      </c>
      <c r="B772" s="52">
        <f>IF(Учет!$O772=Справочники!$F$2,Учет!$H772,0)</f>
        <v>0</v>
      </c>
      <c r="C772" s="52">
        <f>IF(Учет!$O772=Справочники!$F$3,Учет!$H772,0)</f>
        <v>0</v>
      </c>
      <c r="D772" s="52">
        <f>IF(Учет!$O772=Справочники!$F$4,Учет!$H772,0)</f>
        <v>0</v>
      </c>
      <c r="E772" s="52">
        <f>IF(Учет!$O772=Справочники!$F$5,Учет!$H772,0)</f>
        <v>0</v>
      </c>
      <c r="F772" s="52">
        <f>IF(Учет!$O772=Справочники!$F$6,Учет!$H772,0)</f>
        <v>0</v>
      </c>
      <c r="G772" s="43">
        <f>G771+Учет!B772-B772</f>
        <v>-488978.92000000004</v>
      </c>
      <c r="H772" s="43">
        <f>H771+Учет!C772-C772</f>
        <v>336855</v>
      </c>
      <c r="I772" s="43">
        <f>I771+Учет!D772-D772</f>
        <v>500</v>
      </c>
      <c r="J772" s="43">
        <f>J771+Учет!E772-E772</f>
        <v>1150</v>
      </c>
      <c r="K772" s="43">
        <f>K771+Учет!F772-F772</f>
        <v>500000</v>
      </c>
      <c r="L772" s="45">
        <f>Учет!I772</f>
        <v>349526.07999999996</v>
      </c>
    </row>
    <row r="773" spans="1:12" x14ac:dyDescent="0.25">
      <c r="A773" s="48" t="str">
        <f>IF(Учет!A773&lt;&gt;"",Учет!A773,"")</f>
        <v/>
      </c>
      <c r="B773" s="52">
        <f>IF(Учет!$O773=Справочники!$F$2,Учет!$H773,0)</f>
        <v>0</v>
      </c>
      <c r="C773" s="52">
        <f>IF(Учет!$O773=Справочники!$F$3,Учет!$H773,0)</f>
        <v>0</v>
      </c>
      <c r="D773" s="52">
        <f>IF(Учет!$O773=Справочники!$F$4,Учет!$H773,0)</f>
        <v>0</v>
      </c>
      <c r="E773" s="52">
        <f>IF(Учет!$O773=Справочники!$F$5,Учет!$H773,0)</f>
        <v>0</v>
      </c>
      <c r="F773" s="52">
        <f>IF(Учет!$O773=Справочники!$F$6,Учет!$H773,0)</f>
        <v>0</v>
      </c>
      <c r="G773" s="43">
        <f>G772+Учет!B773-B773</f>
        <v>-488978.92000000004</v>
      </c>
      <c r="H773" s="43">
        <f>H772+Учет!C773-C773</f>
        <v>336855</v>
      </c>
      <c r="I773" s="43">
        <f>I772+Учет!D773-D773</f>
        <v>500</v>
      </c>
      <c r="J773" s="43">
        <f>J772+Учет!E773-E773</f>
        <v>1150</v>
      </c>
      <c r="K773" s="43">
        <f>K772+Учет!F773-F773</f>
        <v>500000</v>
      </c>
      <c r="L773" s="45">
        <f>Учет!I773</f>
        <v>349526.07999999996</v>
      </c>
    </row>
    <row r="774" spans="1:12" x14ac:dyDescent="0.25">
      <c r="A774" s="48" t="str">
        <f>IF(Учет!A774&lt;&gt;"",Учет!A774,"")</f>
        <v/>
      </c>
      <c r="B774" s="52">
        <f>IF(Учет!$O774=Справочники!$F$2,Учет!$H774,0)</f>
        <v>0</v>
      </c>
      <c r="C774" s="52">
        <f>IF(Учет!$O774=Справочники!$F$3,Учет!$H774,0)</f>
        <v>0</v>
      </c>
      <c r="D774" s="52">
        <f>IF(Учет!$O774=Справочники!$F$4,Учет!$H774,0)</f>
        <v>0</v>
      </c>
      <c r="E774" s="52">
        <f>IF(Учет!$O774=Справочники!$F$5,Учет!$H774,0)</f>
        <v>0</v>
      </c>
      <c r="F774" s="52">
        <f>IF(Учет!$O774=Справочники!$F$6,Учет!$H774,0)</f>
        <v>0</v>
      </c>
      <c r="G774" s="43">
        <f>G773+Учет!B774-B774</f>
        <v>-488978.92000000004</v>
      </c>
      <c r="H774" s="43">
        <f>H773+Учет!C774-C774</f>
        <v>336855</v>
      </c>
      <c r="I774" s="43">
        <f>I773+Учет!D774-D774</f>
        <v>500</v>
      </c>
      <c r="J774" s="43">
        <f>J773+Учет!E774-E774</f>
        <v>1150</v>
      </c>
      <c r="K774" s="43">
        <f>K773+Учет!F774-F774</f>
        <v>500000</v>
      </c>
      <c r="L774" s="45">
        <f>Учет!I774</f>
        <v>349526.07999999996</v>
      </c>
    </row>
    <row r="775" spans="1:12" x14ac:dyDescent="0.25">
      <c r="A775" s="48" t="str">
        <f>IF(Учет!A775&lt;&gt;"",Учет!A775,"")</f>
        <v/>
      </c>
      <c r="B775" s="52">
        <f>IF(Учет!$O775=Справочники!$F$2,Учет!$H775,0)</f>
        <v>0</v>
      </c>
      <c r="C775" s="52">
        <f>IF(Учет!$O775=Справочники!$F$3,Учет!$H775,0)</f>
        <v>0</v>
      </c>
      <c r="D775" s="52">
        <f>IF(Учет!$O775=Справочники!$F$4,Учет!$H775,0)</f>
        <v>0</v>
      </c>
      <c r="E775" s="52">
        <f>IF(Учет!$O775=Справочники!$F$5,Учет!$H775,0)</f>
        <v>0</v>
      </c>
      <c r="F775" s="52">
        <f>IF(Учет!$O775=Справочники!$F$6,Учет!$H775,0)</f>
        <v>0</v>
      </c>
      <c r="G775" s="43">
        <f>G774+Учет!B775-B775</f>
        <v>-488978.92000000004</v>
      </c>
      <c r="H775" s="43">
        <f>H774+Учет!C775-C775</f>
        <v>336855</v>
      </c>
      <c r="I775" s="43">
        <f>I774+Учет!D775-D775</f>
        <v>500</v>
      </c>
      <c r="J775" s="43">
        <f>J774+Учет!E775-E775</f>
        <v>1150</v>
      </c>
      <c r="K775" s="43">
        <f>K774+Учет!F775-F775</f>
        <v>500000</v>
      </c>
      <c r="L775" s="45">
        <f>Учет!I775</f>
        <v>349526.07999999996</v>
      </c>
    </row>
    <row r="776" spans="1:12" x14ac:dyDescent="0.25">
      <c r="A776" s="48" t="str">
        <f>IF(Учет!A776&lt;&gt;"",Учет!A776,"")</f>
        <v/>
      </c>
      <c r="B776" s="52">
        <f>IF(Учет!$O776=Справочники!$F$2,Учет!$H776,0)</f>
        <v>0</v>
      </c>
      <c r="C776" s="52">
        <f>IF(Учет!$O776=Справочники!$F$3,Учет!$H776,0)</f>
        <v>0</v>
      </c>
      <c r="D776" s="52">
        <f>IF(Учет!$O776=Справочники!$F$4,Учет!$H776,0)</f>
        <v>0</v>
      </c>
      <c r="E776" s="52">
        <f>IF(Учет!$O776=Справочники!$F$5,Учет!$H776,0)</f>
        <v>0</v>
      </c>
      <c r="F776" s="52">
        <f>IF(Учет!$O776=Справочники!$F$6,Учет!$H776,0)</f>
        <v>0</v>
      </c>
      <c r="G776" s="43">
        <f>G775+Учет!B776-B776</f>
        <v>-488978.92000000004</v>
      </c>
      <c r="H776" s="43">
        <f>H775+Учет!C776-C776</f>
        <v>336855</v>
      </c>
      <c r="I776" s="43">
        <f>I775+Учет!D776-D776</f>
        <v>500</v>
      </c>
      <c r="J776" s="43">
        <f>J775+Учет!E776-E776</f>
        <v>1150</v>
      </c>
      <c r="K776" s="43">
        <f>K775+Учет!F776-F776</f>
        <v>500000</v>
      </c>
      <c r="L776" s="45">
        <f>Учет!I776</f>
        <v>349526.07999999996</v>
      </c>
    </row>
    <row r="777" spans="1:12" x14ac:dyDescent="0.25">
      <c r="A777" s="48" t="str">
        <f>IF(Учет!A777&lt;&gt;"",Учет!A777,"")</f>
        <v/>
      </c>
      <c r="B777" s="52">
        <f>IF(Учет!$O777=Справочники!$F$2,Учет!$H777,0)</f>
        <v>0</v>
      </c>
      <c r="C777" s="52">
        <f>IF(Учет!$O777=Справочники!$F$3,Учет!$H777,0)</f>
        <v>0</v>
      </c>
      <c r="D777" s="52">
        <f>IF(Учет!$O777=Справочники!$F$4,Учет!$H777,0)</f>
        <v>0</v>
      </c>
      <c r="E777" s="52">
        <f>IF(Учет!$O777=Справочники!$F$5,Учет!$H777,0)</f>
        <v>0</v>
      </c>
      <c r="F777" s="52">
        <f>IF(Учет!$O777=Справочники!$F$6,Учет!$H777,0)</f>
        <v>0</v>
      </c>
      <c r="G777" s="43">
        <f>G776+Учет!B777-B777</f>
        <v>-488978.92000000004</v>
      </c>
      <c r="H777" s="43">
        <f>H776+Учет!C777-C777</f>
        <v>336855</v>
      </c>
      <c r="I777" s="43">
        <f>I776+Учет!D777-D777</f>
        <v>500</v>
      </c>
      <c r="J777" s="43">
        <f>J776+Учет!E777-E777</f>
        <v>1150</v>
      </c>
      <c r="K777" s="43">
        <f>K776+Учет!F777-F777</f>
        <v>500000</v>
      </c>
      <c r="L777" s="45">
        <f>Учет!I777</f>
        <v>349526.07999999996</v>
      </c>
    </row>
    <row r="778" spans="1:12" x14ac:dyDescent="0.25">
      <c r="A778" s="48" t="str">
        <f>IF(Учет!A778&lt;&gt;"",Учет!A778,"")</f>
        <v/>
      </c>
      <c r="B778" s="52">
        <f>IF(Учет!$O778=Справочники!$F$2,Учет!$H778,0)</f>
        <v>0</v>
      </c>
      <c r="C778" s="52">
        <f>IF(Учет!$O778=Справочники!$F$3,Учет!$H778,0)</f>
        <v>0</v>
      </c>
      <c r="D778" s="52">
        <f>IF(Учет!$O778=Справочники!$F$4,Учет!$H778,0)</f>
        <v>0</v>
      </c>
      <c r="E778" s="52">
        <f>IF(Учет!$O778=Справочники!$F$5,Учет!$H778,0)</f>
        <v>0</v>
      </c>
      <c r="F778" s="52">
        <f>IF(Учет!$O778=Справочники!$F$6,Учет!$H778,0)</f>
        <v>0</v>
      </c>
      <c r="G778" s="43">
        <f>G777+Учет!B778-B778</f>
        <v>-488978.92000000004</v>
      </c>
      <c r="H778" s="43">
        <f>H777+Учет!C778-C778</f>
        <v>336855</v>
      </c>
      <c r="I778" s="43">
        <f>I777+Учет!D778-D778</f>
        <v>500</v>
      </c>
      <c r="J778" s="43">
        <f>J777+Учет!E778-E778</f>
        <v>1150</v>
      </c>
      <c r="K778" s="43">
        <f>K777+Учет!F778-F778</f>
        <v>500000</v>
      </c>
      <c r="L778" s="45">
        <f>Учет!I778</f>
        <v>349526.07999999996</v>
      </c>
    </row>
    <row r="779" spans="1:12" x14ac:dyDescent="0.25">
      <c r="A779" s="48" t="str">
        <f>IF(Учет!A779&lt;&gt;"",Учет!A779,"")</f>
        <v/>
      </c>
      <c r="B779" s="52">
        <f>IF(Учет!$O779=Справочники!$F$2,Учет!$H779,0)</f>
        <v>0</v>
      </c>
      <c r="C779" s="52">
        <f>IF(Учет!$O779=Справочники!$F$3,Учет!$H779,0)</f>
        <v>0</v>
      </c>
      <c r="D779" s="52">
        <f>IF(Учет!$O779=Справочники!$F$4,Учет!$H779,0)</f>
        <v>0</v>
      </c>
      <c r="E779" s="52">
        <f>IF(Учет!$O779=Справочники!$F$5,Учет!$H779,0)</f>
        <v>0</v>
      </c>
      <c r="F779" s="52">
        <f>IF(Учет!$O779=Справочники!$F$6,Учет!$H779,0)</f>
        <v>0</v>
      </c>
      <c r="G779" s="43">
        <f>G778+Учет!B779-B779</f>
        <v>-488978.92000000004</v>
      </c>
      <c r="H779" s="43">
        <f>H778+Учет!C779-C779</f>
        <v>336855</v>
      </c>
      <c r="I779" s="43">
        <f>I778+Учет!D779-D779</f>
        <v>500</v>
      </c>
      <c r="J779" s="43">
        <f>J778+Учет!E779-E779</f>
        <v>1150</v>
      </c>
      <c r="K779" s="43">
        <f>K778+Учет!F779-F779</f>
        <v>500000</v>
      </c>
      <c r="L779" s="45">
        <f>Учет!I779</f>
        <v>349526.07999999996</v>
      </c>
    </row>
    <row r="780" spans="1:12" x14ac:dyDescent="0.25">
      <c r="A780" s="48" t="str">
        <f>IF(Учет!A780&lt;&gt;"",Учет!A780,"")</f>
        <v/>
      </c>
      <c r="B780" s="52">
        <f>IF(Учет!$O780=Справочники!$F$2,Учет!$H780,0)</f>
        <v>0</v>
      </c>
      <c r="C780" s="52">
        <f>IF(Учет!$O780=Справочники!$F$3,Учет!$H780,0)</f>
        <v>0</v>
      </c>
      <c r="D780" s="52">
        <f>IF(Учет!$O780=Справочники!$F$4,Учет!$H780,0)</f>
        <v>0</v>
      </c>
      <c r="E780" s="52">
        <f>IF(Учет!$O780=Справочники!$F$5,Учет!$H780,0)</f>
        <v>0</v>
      </c>
      <c r="F780" s="52">
        <f>IF(Учет!$O780=Справочники!$F$6,Учет!$H780,0)</f>
        <v>0</v>
      </c>
      <c r="G780" s="43">
        <f>G779+Учет!B780-B780</f>
        <v>-488978.92000000004</v>
      </c>
      <c r="H780" s="43">
        <f>H779+Учет!C780-C780</f>
        <v>336855</v>
      </c>
      <c r="I780" s="43">
        <f>I779+Учет!D780-D780</f>
        <v>500</v>
      </c>
      <c r="J780" s="43">
        <f>J779+Учет!E780-E780</f>
        <v>1150</v>
      </c>
      <c r="K780" s="43">
        <f>K779+Учет!F780-F780</f>
        <v>500000</v>
      </c>
      <c r="L780" s="45">
        <f>Учет!I780</f>
        <v>349526.07999999996</v>
      </c>
    </row>
    <row r="781" spans="1:12" x14ac:dyDescent="0.25">
      <c r="A781" s="48" t="str">
        <f>IF(Учет!A781&lt;&gt;"",Учет!A781,"")</f>
        <v/>
      </c>
      <c r="B781" s="52">
        <f>IF(Учет!$O781=Справочники!$F$2,Учет!$H781,0)</f>
        <v>0</v>
      </c>
      <c r="C781" s="52">
        <f>IF(Учет!$O781=Справочники!$F$3,Учет!$H781,0)</f>
        <v>0</v>
      </c>
      <c r="D781" s="52">
        <f>IF(Учет!$O781=Справочники!$F$4,Учет!$H781,0)</f>
        <v>0</v>
      </c>
      <c r="E781" s="52">
        <f>IF(Учет!$O781=Справочники!$F$5,Учет!$H781,0)</f>
        <v>0</v>
      </c>
      <c r="F781" s="52">
        <f>IF(Учет!$O781=Справочники!$F$6,Учет!$H781,0)</f>
        <v>0</v>
      </c>
      <c r="G781" s="43">
        <f>G780+Учет!B781-B781</f>
        <v>-488978.92000000004</v>
      </c>
      <c r="H781" s="43">
        <f>H780+Учет!C781-C781</f>
        <v>336855</v>
      </c>
      <c r="I781" s="43">
        <f>I780+Учет!D781-D781</f>
        <v>500</v>
      </c>
      <c r="J781" s="43">
        <f>J780+Учет!E781-E781</f>
        <v>1150</v>
      </c>
      <c r="K781" s="43">
        <f>K780+Учет!F781-F781</f>
        <v>500000</v>
      </c>
      <c r="L781" s="45">
        <f>Учет!I781</f>
        <v>349526.07999999996</v>
      </c>
    </row>
    <row r="782" spans="1:12" x14ac:dyDescent="0.25">
      <c r="A782" s="48" t="str">
        <f>IF(Учет!A782&lt;&gt;"",Учет!A782,"")</f>
        <v/>
      </c>
      <c r="B782" s="52">
        <f>IF(Учет!$O782=Справочники!$F$2,Учет!$H782,0)</f>
        <v>0</v>
      </c>
      <c r="C782" s="52">
        <f>IF(Учет!$O782=Справочники!$F$3,Учет!$H782,0)</f>
        <v>0</v>
      </c>
      <c r="D782" s="52">
        <f>IF(Учет!$O782=Справочники!$F$4,Учет!$H782,0)</f>
        <v>0</v>
      </c>
      <c r="E782" s="52">
        <f>IF(Учет!$O782=Справочники!$F$5,Учет!$H782,0)</f>
        <v>0</v>
      </c>
      <c r="F782" s="52">
        <f>IF(Учет!$O782=Справочники!$F$6,Учет!$H782,0)</f>
        <v>0</v>
      </c>
      <c r="G782" s="43">
        <f>G781+Учет!B782-B782</f>
        <v>-488978.92000000004</v>
      </c>
      <c r="H782" s="43">
        <f>H781+Учет!C782-C782</f>
        <v>336855</v>
      </c>
      <c r="I782" s="43">
        <f>I781+Учет!D782-D782</f>
        <v>500</v>
      </c>
      <c r="J782" s="43">
        <f>J781+Учет!E782-E782</f>
        <v>1150</v>
      </c>
      <c r="K782" s="43">
        <f>K781+Учет!F782-F782</f>
        <v>500000</v>
      </c>
      <c r="L782" s="45">
        <f>Учет!I782</f>
        <v>349526.07999999996</v>
      </c>
    </row>
    <row r="783" spans="1:12" x14ac:dyDescent="0.25">
      <c r="A783" s="48" t="str">
        <f>IF(Учет!A783&lt;&gt;"",Учет!A783,"")</f>
        <v/>
      </c>
      <c r="B783" s="52">
        <f>IF(Учет!$O783=Справочники!$F$2,Учет!$H783,0)</f>
        <v>0</v>
      </c>
      <c r="C783" s="52">
        <f>IF(Учет!$O783=Справочники!$F$3,Учет!$H783,0)</f>
        <v>0</v>
      </c>
      <c r="D783" s="52">
        <f>IF(Учет!$O783=Справочники!$F$4,Учет!$H783,0)</f>
        <v>0</v>
      </c>
      <c r="E783" s="52">
        <f>IF(Учет!$O783=Справочники!$F$5,Учет!$H783,0)</f>
        <v>0</v>
      </c>
      <c r="F783" s="52">
        <f>IF(Учет!$O783=Справочники!$F$6,Учет!$H783,0)</f>
        <v>0</v>
      </c>
      <c r="G783" s="43">
        <f>G782+Учет!B783-B783</f>
        <v>-488978.92000000004</v>
      </c>
      <c r="H783" s="43">
        <f>H782+Учет!C783-C783</f>
        <v>336855</v>
      </c>
      <c r="I783" s="43">
        <f>I782+Учет!D783-D783</f>
        <v>500</v>
      </c>
      <c r="J783" s="43">
        <f>J782+Учет!E783-E783</f>
        <v>1150</v>
      </c>
      <c r="K783" s="43">
        <f>K782+Учет!F783-F783</f>
        <v>500000</v>
      </c>
      <c r="L783" s="45">
        <f>Учет!I783</f>
        <v>349526.07999999996</v>
      </c>
    </row>
    <row r="784" spans="1:12" x14ac:dyDescent="0.25">
      <c r="A784" s="48" t="str">
        <f>IF(Учет!A784&lt;&gt;"",Учет!A784,"")</f>
        <v/>
      </c>
      <c r="B784" s="52">
        <f>IF(Учет!$O784=Справочники!$F$2,Учет!$H784,0)</f>
        <v>0</v>
      </c>
      <c r="C784" s="52">
        <f>IF(Учет!$O784=Справочники!$F$3,Учет!$H784,0)</f>
        <v>0</v>
      </c>
      <c r="D784" s="52">
        <f>IF(Учет!$O784=Справочники!$F$4,Учет!$H784,0)</f>
        <v>0</v>
      </c>
      <c r="E784" s="52">
        <f>IF(Учет!$O784=Справочники!$F$5,Учет!$H784,0)</f>
        <v>0</v>
      </c>
      <c r="F784" s="52">
        <f>IF(Учет!$O784=Справочники!$F$6,Учет!$H784,0)</f>
        <v>0</v>
      </c>
      <c r="G784" s="43">
        <f>G783+Учет!B784-B784</f>
        <v>-488978.92000000004</v>
      </c>
      <c r="H784" s="43">
        <f>H783+Учет!C784-C784</f>
        <v>336855</v>
      </c>
      <c r="I784" s="43">
        <f>I783+Учет!D784-D784</f>
        <v>500</v>
      </c>
      <c r="J784" s="43">
        <f>J783+Учет!E784-E784</f>
        <v>1150</v>
      </c>
      <c r="K784" s="43">
        <f>K783+Учет!F784-F784</f>
        <v>500000</v>
      </c>
      <c r="L784" s="45">
        <f>Учет!I784</f>
        <v>349526.07999999996</v>
      </c>
    </row>
    <row r="785" spans="1:12" x14ac:dyDescent="0.25">
      <c r="A785" s="48" t="str">
        <f>IF(Учет!A785&lt;&gt;"",Учет!A785,"")</f>
        <v/>
      </c>
      <c r="B785" s="52">
        <f>IF(Учет!$O785=Справочники!$F$2,Учет!$H785,0)</f>
        <v>0</v>
      </c>
      <c r="C785" s="52">
        <f>IF(Учет!$O785=Справочники!$F$3,Учет!$H785,0)</f>
        <v>0</v>
      </c>
      <c r="D785" s="52">
        <f>IF(Учет!$O785=Справочники!$F$4,Учет!$H785,0)</f>
        <v>0</v>
      </c>
      <c r="E785" s="52">
        <f>IF(Учет!$O785=Справочники!$F$5,Учет!$H785,0)</f>
        <v>0</v>
      </c>
      <c r="F785" s="52">
        <f>IF(Учет!$O785=Справочники!$F$6,Учет!$H785,0)</f>
        <v>0</v>
      </c>
      <c r="G785" s="43">
        <f>G784+Учет!B785-B785</f>
        <v>-488978.92000000004</v>
      </c>
      <c r="H785" s="43">
        <f>H784+Учет!C785-C785</f>
        <v>336855</v>
      </c>
      <c r="I785" s="43">
        <f>I784+Учет!D785-D785</f>
        <v>500</v>
      </c>
      <c r="J785" s="43">
        <f>J784+Учет!E785-E785</f>
        <v>1150</v>
      </c>
      <c r="K785" s="43">
        <f>K784+Учет!F785-F785</f>
        <v>500000</v>
      </c>
      <c r="L785" s="45">
        <f>Учет!I785</f>
        <v>349526.07999999996</v>
      </c>
    </row>
    <row r="786" spans="1:12" x14ac:dyDescent="0.25">
      <c r="A786" s="48" t="str">
        <f>IF(Учет!A786&lt;&gt;"",Учет!A786,"")</f>
        <v/>
      </c>
      <c r="B786" s="52">
        <f>IF(Учет!$O786=Справочники!$F$2,Учет!$H786,0)</f>
        <v>0</v>
      </c>
      <c r="C786" s="52">
        <f>IF(Учет!$O786=Справочники!$F$3,Учет!$H786,0)</f>
        <v>0</v>
      </c>
      <c r="D786" s="52">
        <f>IF(Учет!$O786=Справочники!$F$4,Учет!$H786,0)</f>
        <v>0</v>
      </c>
      <c r="E786" s="52">
        <f>IF(Учет!$O786=Справочники!$F$5,Учет!$H786,0)</f>
        <v>0</v>
      </c>
      <c r="F786" s="52">
        <f>IF(Учет!$O786=Справочники!$F$6,Учет!$H786,0)</f>
        <v>0</v>
      </c>
      <c r="G786" s="43">
        <f>G785+Учет!B786-B786</f>
        <v>-488978.92000000004</v>
      </c>
      <c r="H786" s="43">
        <f>H785+Учет!C786-C786</f>
        <v>336855</v>
      </c>
      <c r="I786" s="43">
        <f>I785+Учет!D786-D786</f>
        <v>500</v>
      </c>
      <c r="J786" s="43">
        <f>J785+Учет!E786-E786</f>
        <v>1150</v>
      </c>
      <c r="K786" s="43">
        <f>K785+Учет!F786-F786</f>
        <v>500000</v>
      </c>
      <c r="L786" s="45">
        <f>Учет!I786</f>
        <v>349526.07999999996</v>
      </c>
    </row>
    <row r="787" spans="1:12" x14ac:dyDescent="0.25">
      <c r="A787" s="48" t="str">
        <f>IF(Учет!A787&lt;&gt;"",Учет!A787,"")</f>
        <v/>
      </c>
      <c r="B787" s="52">
        <f>IF(Учет!$O787=Справочники!$F$2,Учет!$H787,0)</f>
        <v>0</v>
      </c>
      <c r="C787" s="52">
        <f>IF(Учет!$O787=Справочники!$F$3,Учет!$H787,0)</f>
        <v>0</v>
      </c>
      <c r="D787" s="52">
        <f>IF(Учет!$O787=Справочники!$F$4,Учет!$H787,0)</f>
        <v>0</v>
      </c>
      <c r="E787" s="52">
        <f>IF(Учет!$O787=Справочники!$F$5,Учет!$H787,0)</f>
        <v>0</v>
      </c>
      <c r="F787" s="52">
        <f>IF(Учет!$O787=Справочники!$F$6,Учет!$H787,0)</f>
        <v>0</v>
      </c>
      <c r="G787" s="43">
        <f>G786+Учет!B787-B787</f>
        <v>-488978.92000000004</v>
      </c>
      <c r="H787" s="43">
        <f>H786+Учет!C787-C787</f>
        <v>336855</v>
      </c>
      <c r="I787" s="43">
        <f>I786+Учет!D787-D787</f>
        <v>500</v>
      </c>
      <c r="J787" s="43">
        <f>J786+Учет!E787-E787</f>
        <v>1150</v>
      </c>
      <c r="K787" s="43">
        <f>K786+Учет!F787-F787</f>
        <v>500000</v>
      </c>
      <c r="L787" s="45">
        <f>Учет!I787</f>
        <v>349526.07999999996</v>
      </c>
    </row>
    <row r="788" spans="1:12" x14ac:dyDescent="0.25">
      <c r="A788" s="48" t="str">
        <f>IF(Учет!A788&lt;&gt;"",Учет!A788,"")</f>
        <v/>
      </c>
      <c r="B788" s="52">
        <f>IF(Учет!$O788=Справочники!$F$2,Учет!$H788,0)</f>
        <v>0</v>
      </c>
      <c r="C788" s="52">
        <f>IF(Учет!$O788=Справочники!$F$3,Учет!$H788,0)</f>
        <v>0</v>
      </c>
      <c r="D788" s="52">
        <f>IF(Учет!$O788=Справочники!$F$4,Учет!$H788,0)</f>
        <v>0</v>
      </c>
      <c r="E788" s="52">
        <f>IF(Учет!$O788=Справочники!$F$5,Учет!$H788,0)</f>
        <v>0</v>
      </c>
      <c r="F788" s="52">
        <f>IF(Учет!$O788=Справочники!$F$6,Учет!$H788,0)</f>
        <v>0</v>
      </c>
      <c r="G788" s="43">
        <f>G787+Учет!B788-B788</f>
        <v>-488978.92000000004</v>
      </c>
      <c r="H788" s="43">
        <f>H787+Учет!C788-C788</f>
        <v>336855</v>
      </c>
      <c r="I788" s="43">
        <f>I787+Учет!D788-D788</f>
        <v>500</v>
      </c>
      <c r="J788" s="43">
        <f>J787+Учет!E788-E788</f>
        <v>1150</v>
      </c>
      <c r="K788" s="43">
        <f>K787+Учет!F788-F788</f>
        <v>500000</v>
      </c>
      <c r="L788" s="45">
        <f>Учет!I788</f>
        <v>349526.07999999996</v>
      </c>
    </row>
    <row r="789" spans="1:12" x14ac:dyDescent="0.25">
      <c r="A789" s="48" t="str">
        <f>IF(Учет!A789&lt;&gt;"",Учет!A789,"")</f>
        <v/>
      </c>
      <c r="B789" s="52">
        <f>IF(Учет!$O789=Справочники!$F$2,Учет!$H789,0)</f>
        <v>0</v>
      </c>
      <c r="C789" s="52">
        <f>IF(Учет!$O789=Справочники!$F$3,Учет!$H789,0)</f>
        <v>0</v>
      </c>
      <c r="D789" s="52">
        <f>IF(Учет!$O789=Справочники!$F$4,Учет!$H789,0)</f>
        <v>0</v>
      </c>
      <c r="E789" s="52">
        <f>IF(Учет!$O789=Справочники!$F$5,Учет!$H789,0)</f>
        <v>0</v>
      </c>
      <c r="F789" s="52">
        <f>IF(Учет!$O789=Справочники!$F$6,Учет!$H789,0)</f>
        <v>0</v>
      </c>
      <c r="G789" s="43">
        <f>G788+Учет!B789-B789</f>
        <v>-488978.92000000004</v>
      </c>
      <c r="H789" s="43">
        <f>H788+Учет!C789-C789</f>
        <v>336855</v>
      </c>
      <c r="I789" s="43">
        <f>I788+Учет!D789-D789</f>
        <v>500</v>
      </c>
      <c r="J789" s="43">
        <f>J788+Учет!E789-E789</f>
        <v>1150</v>
      </c>
      <c r="K789" s="43">
        <f>K788+Учет!F789-F789</f>
        <v>500000</v>
      </c>
      <c r="L789" s="45">
        <f>Учет!I789</f>
        <v>349526.07999999996</v>
      </c>
    </row>
    <row r="790" spans="1:12" x14ac:dyDescent="0.25">
      <c r="A790" s="48" t="str">
        <f>IF(Учет!A790&lt;&gt;"",Учет!A790,"")</f>
        <v/>
      </c>
      <c r="B790" s="52">
        <f>IF(Учет!$O790=Справочники!$F$2,Учет!$H790,0)</f>
        <v>0</v>
      </c>
      <c r="C790" s="52">
        <f>IF(Учет!$O790=Справочники!$F$3,Учет!$H790,0)</f>
        <v>0</v>
      </c>
      <c r="D790" s="52">
        <f>IF(Учет!$O790=Справочники!$F$4,Учет!$H790,0)</f>
        <v>0</v>
      </c>
      <c r="E790" s="52">
        <f>IF(Учет!$O790=Справочники!$F$5,Учет!$H790,0)</f>
        <v>0</v>
      </c>
      <c r="F790" s="52">
        <f>IF(Учет!$O790=Справочники!$F$6,Учет!$H790,0)</f>
        <v>0</v>
      </c>
      <c r="G790" s="43">
        <f>G789+Учет!B790-B790</f>
        <v>-488978.92000000004</v>
      </c>
      <c r="H790" s="43">
        <f>H789+Учет!C790-C790</f>
        <v>336855</v>
      </c>
      <c r="I790" s="43">
        <f>I789+Учет!D790-D790</f>
        <v>500</v>
      </c>
      <c r="J790" s="43">
        <f>J789+Учет!E790-E790</f>
        <v>1150</v>
      </c>
      <c r="K790" s="43">
        <f>K789+Учет!F790-F790</f>
        <v>500000</v>
      </c>
      <c r="L790" s="45">
        <f>Учет!I790</f>
        <v>349526.07999999996</v>
      </c>
    </row>
    <row r="791" spans="1:12" x14ac:dyDescent="0.25">
      <c r="A791" s="48" t="str">
        <f>IF(Учет!A791&lt;&gt;"",Учет!A791,"")</f>
        <v/>
      </c>
      <c r="B791" s="52">
        <f>IF(Учет!$O791=Справочники!$F$2,Учет!$H791,0)</f>
        <v>0</v>
      </c>
      <c r="C791" s="52">
        <f>IF(Учет!$O791=Справочники!$F$3,Учет!$H791,0)</f>
        <v>0</v>
      </c>
      <c r="D791" s="52">
        <f>IF(Учет!$O791=Справочники!$F$4,Учет!$H791,0)</f>
        <v>0</v>
      </c>
      <c r="E791" s="52">
        <f>IF(Учет!$O791=Справочники!$F$5,Учет!$H791,0)</f>
        <v>0</v>
      </c>
      <c r="F791" s="52">
        <f>IF(Учет!$O791=Справочники!$F$6,Учет!$H791,0)</f>
        <v>0</v>
      </c>
      <c r="G791" s="43">
        <f>G790+Учет!B791-B791</f>
        <v>-488978.92000000004</v>
      </c>
      <c r="H791" s="43">
        <f>H790+Учет!C791-C791</f>
        <v>336855</v>
      </c>
      <c r="I791" s="43">
        <f>I790+Учет!D791-D791</f>
        <v>500</v>
      </c>
      <c r="J791" s="43">
        <f>J790+Учет!E791-E791</f>
        <v>1150</v>
      </c>
      <c r="K791" s="43">
        <f>K790+Учет!F791-F791</f>
        <v>500000</v>
      </c>
      <c r="L791" s="45">
        <f>Учет!I791</f>
        <v>349526.07999999996</v>
      </c>
    </row>
    <row r="792" spans="1:12" x14ac:dyDescent="0.25">
      <c r="A792" s="48" t="str">
        <f>IF(Учет!A792&lt;&gt;"",Учет!A792,"")</f>
        <v/>
      </c>
      <c r="B792" s="52">
        <f>IF(Учет!$O792=Справочники!$F$2,Учет!$H792,0)</f>
        <v>0</v>
      </c>
      <c r="C792" s="52">
        <f>IF(Учет!$O792=Справочники!$F$3,Учет!$H792,0)</f>
        <v>0</v>
      </c>
      <c r="D792" s="52">
        <f>IF(Учет!$O792=Справочники!$F$4,Учет!$H792,0)</f>
        <v>0</v>
      </c>
      <c r="E792" s="52">
        <f>IF(Учет!$O792=Справочники!$F$5,Учет!$H792,0)</f>
        <v>0</v>
      </c>
      <c r="F792" s="52">
        <f>IF(Учет!$O792=Справочники!$F$6,Учет!$H792,0)</f>
        <v>0</v>
      </c>
      <c r="G792" s="43">
        <f>G791+Учет!B792-B792</f>
        <v>-488978.92000000004</v>
      </c>
      <c r="H792" s="43">
        <f>H791+Учет!C792-C792</f>
        <v>336855</v>
      </c>
      <c r="I792" s="43">
        <f>I791+Учет!D792-D792</f>
        <v>500</v>
      </c>
      <c r="J792" s="43">
        <f>J791+Учет!E792-E792</f>
        <v>1150</v>
      </c>
      <c r="K792" s="43">
        <f>K791+Учет!F792-F792</f>
        <v>500000</v>
      </c>
      <c r="L792" s="45">
        <f>Учет!I792</f>
        <v>349526.07999999996</v>
      </c>
    </row>
    <row r="793" spans="1:12" x14ac:dyDescent="0.25">
      <c r="A793" s="48" t="str">
        <f>IF(Учет!A793&lt;&gt;"",Учет!A793,"")</f>
        <v/>
      </c>
      <c r="B793" s="52">
        <f>IF(Учет!$O793=Справочники!$F$2,Учет!$H793,0)</f>
        <v>0</v>
      </c>
      <c r="C793" s="52">
        <f>IF(Учет!$O793=Справочники!$F$3,Учет!$H793,0)</f>
        <v>0</v>
      </c>
      <c r="D793" s="52">
        <f>IF(Учет!$O793=Справочники!$F$4,Учет!$H793,0)</f>
        <v>0</v>
      </c>
      <c r="E793" s="52">
        <f>IF(Учет!$O793=Справочники!$F$5,Учет!$H793,0)</f>
        <v>0</v>
      </c>
      <c r="F793" s="52">
        <f>IF(Учет!$O793=Справочники!$F$6,Учет!$H793,0)</f>
        <v>0</v>
      </c>
      <c r="G793" s="43">
        <f>G792+Учет!B793-B793</f>
        <v>-488978.92000000004</v>
      </c>
      <c r="H793" s="43">
        <f>H792+Учет!C793-C793</f>
        <v>336855</v>
      </c>
      <c r="I793" s="43">
        <f>I792+Учет!D793-D793</f>
        <v>500</v>
      </c>
      <c r="J793" s="43">
        <f>J792+Учет!E793-E793</f>
        <v>1150</v>
      </c>
      <c r="K793" s="43">
        <f>K792+Учет!F793-F793</f>
        <v>500000</v>
      </c>
      <c r="L793" s="45">
        <f>Учет!I793</f>
        <v>349526.07999999996</v>
      </c>
    </row>
    <row r="794" spans="1:12" x14ac:dyDescent="0.25">
      <c r="A794" s="48" t="str">
        <f>IF(Учет!A794&lt;&gt;"",Учет!A794,"")</f>
        <v/>
      </c>
      <c r="B794" s="52">
        <f>IF(Учет!$O794=Справочники!$F$2,Учет!$H794,0)</f>
        <v>0</v>
      </c>
      <c r="C794" s="52">
        <f>IF(Учет!$O794=Справочники!$F$3,Учет!$H794,0)</f>
        <v>0</v>
      </c>
      <c r="D794" s="52">
        <f>IF(Учет!$O794=Справочники!$F$4,Учет!$H794,0)</f>
        <v>0</v>
      </c>
      <c r="E794" s="52">
        <f>IF(Учет!$O794=Справочники!$F$5,Учет!$H794,0)</f>
        <v>0</v>
      </c>
      <c r="F794" s="52">
        <f>IF(Учет!$O794=Справочники!$F$6,Учет!$H794,0)</f>
        <v>0</v>
      </c>
      <c r="G794" s="43">
        <f>G793+Учет!B794-B794</f>
        <v>-488978.92000000004</v>
      </c>
      <c r="H794" s="43">
        <f>H793+Учет!C794-C794</f>
        <v>336855</v>
      </c>
      <c r="I794" s="43">
        <f>I793+Учет!D794-D794</f>
        <v>500</v>
      </c>
      <c r="J794" s="43">
        <f>J793+Учет!E794-E794</f>
        <v>1150</v>
      </c>
      <c r="K794" s="43">
        <f>K793+Учет!F794-F794</f>
        <v>500000</v>
      </c>
      <c r="L794" s="45">
        <f>Учет!I794</f>
        <v>349526.07999999996</v>
      </c>
    </row>
    <row r="795" spans="1:12" x14ac:dyDescent="0.25">
      <c r="A795" s="48" t="str">
        <f>IF(Учет!A795&lt;&gt;"",Учет!A795,"")</f>
        <v/>
      </c>
      <c r="B795" s="52">
        <f>IF(Учет!$O795=Справочники!$F$2,Учет!$H795,0)</f>
        <v>0</v>
      </c>
      <c r="C795" s="52">
        <f>IF(Учет!$O795=Справочники!$F$3,Учет!$H795,0)</f>
        <v>0</v>
      </c>
      <c r="D795" s="52">
        <f>IF(Учет!$O795=Справочники!$F$4,Учет!$H795,0)</f>
        <v>0</v>
      </c>
      <c r="E795" s="52">
        <f>IF(Учет!$O795=Справочники!$F$5,Учет!$H795,0)</f>
        <v>0</v>
      </c>
      <c r="F795" s="52">
        <f>IF(Учет!$O795=Справочники!$F$6,Учет!$H795,0)</f>
        <v>0</v>
      </c>
      <c r="G795" s="43">
        <f>G794+Учет!B795-B795</f>
        <v>-488978.92000000004</v>
      </c>
      <c r="H795" s="43">
        <f>H794+Учет!C795-C795</f>
        <v>336855</v>
      </c>
      <c r="I795" s="43">
        <f>I794+Учет!D795-D795</f>
        <v>500</v>
      </c>
      <c r="J795" s="43">
        <f>J794+Учет!E795-E795</f>
        <v>1150</v>
      </c>
      <c r="K795" s="43">
        <f>K794+Учет!F795-F795</f>
        <v>500000</v>
      </c>
      <c r="L795" s="45">
        <f>Учет!I795</f>
        <v>349526.07999999996</v>
      </c>
    </row>
    <row r="796" spans="1:12" x14ac:dyDescent="0.25">
      <c r="A796" s="48" t="str">
        <f>IF(Учет!A796&lt;&gt;"",Учет!A796,"")</f>
        <v/>
      </c>
      <c r="B796" s="52">
        <f>IF(Учет!$O796=Справочники!$F$2,Учет!$H796,0)</f>
        <v>0</v>
      </c>
      <c r="C796" s="52">
        <f>IF(Учет!$O796=Справочники!$F$3,Учет!$H796,0)</f>
        <v>0</v>
      </c>
      <c r="D796" s="52">
        <f>IF(Учет!$O796=Справочники!$F$4,Учет!$H796,0)</f>
        <v>0</v>
      </c>
      <c r="E796" s="52">
        <f>IF(Учет!$O796=Справочники!$F$5,Учет!$H796,0)</f>
        <v>0</v>
      </c>
      <c r="F796" s="52">
        <f>IF(Учет!$O796=Справочники!$F$6,Учет!$H796,0)</f>
        <v>0</v>
      </c>
      <c r="G796" s="43">
        <f>G795+Учет!B796-B796</f>
        <v>-488978.92000000004</v>
      </c>
      <c r="H796" s="43">
        <f>H795+Учет!C796-C796</f>
        <v>336855</v>
      </c>
      <c r="I796" s="43">
        <f>I795+Учет!D796-D796</f>
        <v>500</v>
      </c>
      <c r="J796" s="43">
        <f>J795+Учет!E796-E796</f>
        <v>1150</v>
      </c>
      <c r="K796" s="43">
        <f>K795+Учет!F796-F796</f>
        <v>500000</v>
      </c>
      <c r="L796" s="45">
        <f>Учет!I796</f>
        <v>349526.07999999996</v>
      </c>
    </row>
    <row r="797" spans="1:12" x14ac:dyDescent="0.25">
      <c r="A797" s="48" t="str">
        <f>IF(Учет!A797&lt;&gt;"",Учет!A797,"")</f>
        <v/>
      </c>
      <c r="B797" s="52">
        <f>IF(Учет!$O797=Справочники!$F$2,Учет!$H797,0)</f>
        <v>0</v>
      </c>
      <c r="C797" s="52">
        <f>IF(Учет!$O797=Справочники!$F$3,Учет!$H797,0)</f>
        <v>0</v>
      </c>
      <c r="D797" s="52">
        <f>IF(Учет!$O797=Справочники!$F$4,Учет!$H797,0)</f>
        <v>0</v>
      </c>
      <c r="E797" s="52">
        <f>IF(Учет!$O797=Справочники!$F$5,Учет!$H797,0)</f>
        <v>0</v>
      </c>
      <c r="F797" s="52">
        <f>IF(Учет!$O797=Справочники!$F$6,Учет!$H797,0)</f>
        <v>0</v>
      </c>
      <c r="G797" s="43">
        <f>G796+Учет!B797-B797</f>
        <v>-488978.92000000004</v>
      </c>
      <c r="H797" s="43">
        <f>H796+Учет!C797-C797</f>
        <v>336855</v>
      </c>
      <c r="I797" s="43">
        <f>I796+Учет!D797-D797</f>
        <v>500</v>
      </c>
      <c r="J797" s="43">
        <f>J796+Учет!E797-E797</f>
        <v>1150</v>
      </c>
      <c r="K797" s="43">
        <f>K796+Учет!F797-F797</f>
        <v>500000</v>
      </c>
      <c r="L797" s="45">
        <f>Учет!I797</f>
        <v>349526.07999999996</v>
      </c>
    </row>
    <row r="798" spans="1:12" x14ac:dyDescent="0.25">
      <c r="A798" s="48" t="str">
        <f>IF(Учет!A798&lt;&gt;"",Учет!A798,"")</f>
        <v/>
      </c>
      <c r="B798" s="52">
        <f>IF(Учет!$O798=Справочники!$F$2,Учет!$H798,0)</f>
        <v>0</v>
      </c>
      <c r="C798" s="52">
        <f>IF(Учет!$O798=Справочники!$F$3,Учет!$H798,0)</f>
        <v>0</v>
      </c>
      <c r="D798" s="52">
        <f>IF(Учет!$O798=Справочники!$F$4,Учет!$H798,0)</f>
        <v>0</v>
      </c>
      <c r="E798" s="52">
        <f>IF(Учет!$O798=Справочники!$F$5,Учет!$H798,0)</f>
        <v>0</v>
      </c>
      <c r="F798" s="52">
        <f>IF(Учет!$O798=Справочники!$F$6,Учет!$H798,0)</f>
        <v>0</v>
      </c>
      <c r="G798" s="43">
        <f>G797+Учет!B798-B798</f>
        <v>-488978.92000000004</v>
      </c>
      <c r="H798" s="43">
        <f>H797+Учет!C798-C798</f>
        <v>336855</v>
      </c>
      <c r="I798" s="43">
        <f>I797+Учет!D798-D798</f>
        <v>500</v>
      </c>
      <c r="J798" s="43">
        <f>J797+Учет!E798-E798</f>
        <v>1150</v>
      </c>
      <c r="K798" s="43">
        <f>K797+Учет!F798-F798</f>
        <v>500000</v>
      </c>
      <c r="L798" s="45">
        <f>Учет!I798</f>
        <v>349526.07999999996</v>
      </c>
    </row>
    <row r="799" spans="1:12" x14ac:dyDescent="0.25">
      <c r="A799" s="48" t="str">
        <f>IF(Учет!A799&lt;&gt;"",Учет!A799,"")</f>
        <v/>
      </c>
      <c r="B799" s="52">
        <f>IF(Учет!$O799=Справочники!$F$2,Учет!$H799,0)</f>
        <v>0</v>
      </c>
      <c r="C799" s="52">
        <f>IF(Учет!$O799=Справочники!$F$3,Учет!$H799,0)</f>
        <v>0</v>
      </c>
      <c r="D799" s="52">
        <f>IF(Учет!$O799=Справочники!$F$4,Учет!$H799,0)</f>
        <v>0</v>
      </c>
      <c r="E799" s="52">
        <f>IF(Учет!$O799=Справочники!$F$5,Учет!$H799,0)</f>
        <v>0</v>
      </c>
      <c r="F799" s="52">
        <f>IF(Учет!$O799=Справочники!$F$6,Учет!$H799,0)</f>
        <v>0</v>
      </c>
      <c r="G799" s="43">
        <f>G798+Учет!B799-B799</f>
        <v>-488978.92000000004</v>
      </c>
      <c r="H799" s="43">
        <f>H798+Учет!C799-C799</f>
        <v>336855</v>
      </c>
      <c r="I799" s="43">
        <f>I798+Учет!D799-D799</f>
        <v>500</v>
      </c>
      <c r="J799" s="43">
        <f>J798+Учет!E799-E799</f>
        <v>1150</v>
      </c>
      <c r="K799" s="43">
        <f>K798+Учет!F799-F799</f>
        <v>500000</v>
      </c>
      <c r="L799" s="45">
        <f>Учет!I799</f>
        <v>349526.07999999996</v>
      </c>
    </row>
    <row r="800" spans="1:12" x14ac:dyDescent="0.25">
      <c r="A800" s="48" t="str">
        <f>IF(Учет!A800&lt;&gt;"",Учет!A800,"")</f>
        <v/>
      </c>
      <c r="B800" s="52">
        <f>IF(Учет!$O800=Справочники!$F$2,Учет!$H800,0)</f>
        <v>0</v>
      </c>
      <c r="C800" s="52">
        <f>IF(Учет!$O800=Справочники!$F$3,Учет!$H800,0)</f>
        <v>0</v>
      </c>
      <c r="D800" s="52">
        <f>IF(Учет!$O800=Справочники!$F$4,Учет!$H800,0)</f>
        <v>0</v>
      </c>
      <c r="E800" s="52">
        <f>IF(Учет!$O800=Справочники!$F$5,Учет!$H800,0)</f>
        <v>0</v>
      </c>
      <c r="F800" s="52">
        <f>IF(Учет!$O800=Справочники!$F$6,Учет!$H800,0)</f>
        <v>0</v>
      </c>
      <c r="G800" s="43">
        <f>G799+Учет!B800-B800</f>
        <v>-488978.92000000004</v>
      </c>
      <c r="H800" s="43">
        <f>H799+Учет!C800-C800</f>
        <v>336855</v>
      </c>
      <c r="I800" s="43">
        <f>I799+Учет!D800-D800</f>
        <v>500</v>
      </c>
      <c r="J800" s="43">
        <f>J799+Учет!E800-E800</f>
        <v>1150</v>
      </c>
      <c r="K800" s="43">
        <f>K799+Учет!F800-F800</f>
        <v>500000</v>
      </c>
      <c r="L800" s="45">
        <f>Учет!I800</f>
        <v>349526.07999999996</v>
      </c>
    </row>
    <row r="801" spans="1:12" x14ac:dyDescent="0.25">
      <c r="A801" s="48" t="str">
        <f>IF(Учет!A801&lt;&gt;"",Учет!A801,"")</f>
        <v/>
      </c>
      <c r="B801" s="52">
        <f>IF(Учет!$O801=Справочники!$F$2,Учет!$H801,0)</f>
        <v>0</v>
      </c>
      <c r="C801" s="52">
        <f>IF(Учет!$O801=Справочники!$F$3,Учет!$H801,0)</f>
        <v>0</v>
      </c>
      <c r="D801" s="52">
        <f>IF(Учет!$O801=Справочники!$F$4,Учет!$H801,0)</f>
        <v>0</v>
      </c>
      <c r="E801" s="52">
        <f>IF(Учет!$O801=Справочники!$F$5,Учет!$H801,0)</f>
        <v>0</v>
      </c>
      <c r="F801" s="52">
        <f>IF(Учет!$O801=Справочники!$F$6,Учет!$H801,0)</f>
        <v>0</v>
      </c>
      <c r="G801" s="43">
        <f>G800+Учет!B801-B801</f>
        <v>-488978.92000000004</v>
      </c>
      <c r="H801" s="43">
        <f>H800+Учет!C801-C801</f>
        <v>336855</v>
      </c>
      <c r="I801" s="43">
        <f>I800+Учет!D801-D801</f>
        <v>500</v>
      </c>
      <c r="J801" s="43">
        <f>J800+Учет!E801-E801</f>
        <v>1150</v>
      </c>
      <c r="K801" s="43">
        <f>K800+Учет!F801-F801</f>
        <v>500000</v>
      </c>
      <c r="L801" s="45">
        <f>Учет!I801</f>
        <v>349526.07999999996</v>
      </c>
    </row>
    <row r="802" spans="1:12" x14ac:dyDescent="0.25">
      <c r="A802" s="48" t="str">
        <f>IF(Учет!A802&lt;&gt;"",Учет!A802,"")</f>
        <v/>
      </c>
      <c r="B802" s="52">
        <f>IF(Учет!$O802=Справочники!$F$2,Учет!$H802,0)</f>
        <v>0</v>
      </c>
      <c r="C802" s="52">
        <f>IF(Учет!$O802=Справочники!$F$3,Учет!$H802,0)</f>
        <v>0</v>
      </c>
      <c r="D802" s="52">
        <f>IF(Учет!$O802=Справочники!$F$4,Учет!$H802,0)</f>
        <v>0</v>
      </c>
      <c r="E802" s="52">
        <f>IF(Учет!$O802=Справочники!$F$5,Учет!$H802,0)</f>
        <v>0</v>
      </c>
      <c r="F802" s="52">
        <f>IF(Учет!$O802=Справочники!$F$6,Учет!$H802,0)</f>
        <v>0</v>
      </c>
      <c r="G802" s="43">
        <f>G801+Учет!B802-B802</f>
        <v>-488978.92000000004</v>
      </c>
      <c r="H802" s="43">
        <f>H801+Учет!C802-C802</f>
        <v>336855</v>
      </c>
      <c r="I802" s="43">
        <f>I801+Учет!D802-D802</f>
        <v>500</v>
      </c>
      <c r="J802" s="43">
        <f>J801+Учет!E802-E802</f>
        <v>1150</v>
      </c>
      <c r="K802" s="43">
        <f>K801+Учет!F802-F802</f>
        <v>500000</v>
      </c>
      <c r="L802" s="45">
        <f>Учет!I802</f>
        <v>349526.07999999996</v>
      </c>
    </row>
    <row r="803" spans="1:12" x14ac:dyDescent="0.25">
      <c r="A803" s="48" t="str">
        <f>IF(Учет!A803&lt;&gt;"",Учет!A803,"")</f>
        <v/>
      </c>
      <c r="B803" s="52">
        <f>IF(Учет!$O803=Справочники!$F$2,Учет!$H803,0)</f>
        <v>0</v>
      </c>
      <c r="C803" s="52">
        <f>IF(Учет!$O803=Справочники!$F$3,Учет!$H803,0)</f>
        <v>0</v>
      </c>
      <c r="D803" s="52">
        <f>IF(Учет!$O803=Справочники!$F$4,Учет!$H803,0)</f>
        <v>0</v>
      </c>
      <c r="E803" s="52">
        <f>IF(Учет!$O803=Справочники!$F$5,Учет!$H803,0)</f>
        <v>0</v>
      </c>
      <c r="F803" s="52">
        <f>IF(Учет!$O803=Справочники!$F$6,Учет!$H803,0)</f>
        <v>0</v>
      </c>
      <c r="G803" s="43">
        <f>G802+Учет!B803-B803</f>
        <v>-488978.92000000004</v>
      </c>
      <c r="H803" s="43">
        <f>H802+Учет!C803-C803</f>
        <v>336855</v>
      </c>
      <c r="I803" s="43">
        <f>I802+Учет!D803-D803</f>
        <v>500</v>
      </c>
      <c r="J803" s="43">
        <f>J802+Учет!E803-E803</f>
        <v>1150</v>
      </c>
      <c r="K803" s="43">
        <f>K802+Учет!F803-F803</f>
        <v>500000</v>
      </c>
      <c r="L803" s="45">
        <f>Учет!I803</f>
        <v>349526.07999999996</v>
      </c>
    </row>
    <row r="804" spans="1:12" x14ac:dyDescent="0.25">
      <c r="A804" s="48" t="str">
        <f>IF(Учет!A804&lt;&gt;"",Учет!A804,"")</f>
        <v/>
      </c>
      <c r="B804" s="52">
        <f>IF(Учет!$O804=Справочники!$F$2,Учет!$H804,0)</f>
        <v>0</v>
      </c>
      <c r="C804" s="52">
        <f>IF(Учет!$O804=Справочники!$F$3,Учет!$H804,0)</f>
        <v>0</v>
      </c>
      <c r="D804" s="52">
        <f>IF(Учет!$O804=Справочники!$F$4,Учет!$H804,0)</f>
        <v>0</v>
      </c>
      <c r="E804" s="52">
        <f>IF(Учет!$O804=Справочники!$F$5,Учет!$H804,0)</f>
        <v>0</v>
      </c>
      <c r="F804" s="52">
        <f>IF(Учет!$O804=Справочники!$F$6,Учет!$H804,0)</f>
        <v>0</v>
      </c>
      <c r="G804" s="43">
        <f>G803+Учет!B804-B804</f>
        <v>-488978.92000000004</v>
      </c>
      <c r="H804" s="43">
        <f>H803+Учет!C804-C804</f>
        <v>336855</v>
      </c>
      <c r="I804" s="43">
        <f>I803+Учет!D804-D804</f>
        <v>500</v>
      </c>
      <c r="J804" s="43">
        <f>J803+Учет!E804-E804</f>
        <v>1150</v>
      </c>
      <c r="K804" s="43">
        <f>K803+Учет!F804-F804</f>
        <v>500000</v>
      </c>
      <c r="L804" s="45">
        <f>Учет!I804</f>
        <v>349526.07999999996</v>
      </c>
    </row>
    <row r="805" spans="1:12" x14ac:dyDescent="0.25">
      <c r="A805" s="48" t="str">
        <f>IF(Учет!A805&lt;&gt;"",Учет!A805,"")</f>
        <v/>
      </c>
      <c r="B805" s="52">
        <f>IF(Учет!$O805=Справочники!$F$2,Учет!$H805,0)</f>
        <v>0</v>
      </c>
      <c r="C805" s="52">
        <f>IF(Учет!$O805=Справочники!$F$3,Учет!$H805,0)</f>
        <v>0</v>
      </c>
      <c r="D805" s="52">
        <f>IF(Учет!$O805=Справочники!$F$4,Учет!$H805,0)</f>
        <v>0</v>
      </c>
      <c r="E805" s="52">
        <f>IF(Учет!$O805=Справочники!$F$5,Учет!$H805,0)</f>
        <v>0</v>
      </c>
      <c r="F805" s="52">
        <f>IF(Учет!$O805=Справочники!$F$6,Учет!$H805,0)</f>
        <v>0</v>
      </c>
      <c r="G805" s="43">
        <f>G804+Учет!B805-B805</f>
        <v>-488978.92000000004</v>
      </c>
      <c r="H805" s="43">
        <f>H804+Учет!C805-C805</f>
        <v>336855</v>
      </c>
      <c r="I805" s="43">
        <f>I804+Учет!D805-D805</f>
        <v>500</v>
      </c>
      <c r="J805" s="43">
        <f>J804+Учет!E805-E805</f>
        <v>1150</v>
      </c>
      <c r="K805" s="43">
        <f>K804+Учет!F805-F805</f>
        <v>500000</v>
      </c>
      <c r="L805" s="45">
        <f>Учет!I805</f>
        <v>349526.07999999996</v>
      </c>
    </row>
    <row r="806" spans="1:12" x14ac:dyDescent="0.25">
      <c r="A806" s="48" t="str">
        <f>IF(Учет!A806&lt;&gt;"",Учет!A806,"")</f>
        <v/>
      </c>
      <c r="B806" s="52">
        <f>IF(Учет!$O806=Справочники!$F$2,Учет!$H806,0)</f>
        <v>0</v>
      </c>
      <c r="C806" s="52">
        <f>IF(Учет!$O806=Справочники!$F$3,Учет!$H806,0)</f>
        <v>0</v>
      </c>
      <c r="D806" s="52">
        <f>IF(Учет!$O806=Справочники!$F$4,Учет!$H806,0)</f>
        <v>0</v>
      </c>
      <c r="E806" s="52">
        <f>IF(Учет!$O806=Справочники!$F$5,Учет!$H806,0)</f>
        <v>0</v>
      </c>
      <c r="F806" s="52">
        <f>IF(Учет!$O806=Справочники!$F$6,Учет!$H806,0)</f>
        <v>0</v>
      </c>
      <c r="G806" s="43">
        <f>G805+Учет!B806-B806</f>
        <v>-488978.92000000004</v>
      </c>
      <c r="H806" s="43">
        <f>H805+Учет!C806-C806</f>
        <v>336855</v>
      </c>
      <c r="I806" s="43">
        <f>I805+Учет!D806-D806</f>
        <v>500</v>
      </c>
      <c r="J806" s="43">
        <f>J805+Учет!E806-E806</f>
        <v>1150</v>
      </c>
      <c r="K806" s="43">
        <f>K805+Учет!F806-F806</f>
        <v>500000</v>
      </c>
      <c r="L806" s="45">
        <f>Учет!I806</f>
        <v>349526.07999999996</v>
      </c>
    </row>
    <row r="807" spans="1:12" x14ac:dyDescent="0.25">
      <c r="A807" s="48" t="str">
        <f>IF(Учет!A807&lt;&gt;"",Учет!A807,"")</f>
        <v/>
      </c>
      <c r="B807" s="52">
        <f>IF(Учет!$O807=Справочники!$F$2,Учет!$H807,0)</f>
        <v>0</v>
      </c>
      <c r="C807" s="52">
        <f>IF(Учет!$O807=Справочники!$F$3,Учет!$H807,0)</f>
        <v>0</v>
      </c>
      <c r="D807" s="52">
        <f>IF(Учет!$O807=Справочники!$F$4,Учет!$H807,0)</f>
        <v>0</v>
      </c>
      <c r="E807" s="52">
        <f>IF(Учет!$O807=Справочники!$F$5,Учет!$H807,0)</f>
        <v>0</v>
      </c>
      <c r="F807" s="52">
        <f>IF(Учет!$O807=Справочники!$F$6,Учет!$H807,0)</f>
        <v>0</v>
      </c>
      <c r="G807" s="43">
        <f>G806+Учет!B807-B807</f>
        <v>-488978.92000000004</v>
      </c>
      <c r="H807" s="43">
        <f>H806+Учет!C807-C807</f>
        <v>336855</v>
      </c>
      <c r="I807" s="43">
        <f>I806+Учет!D807-D807</f>
        <v>500</v>
      </c>
      <c r="J807" s="43">
        <f>J806+Учет!E807-E807</f>
        <v>1150</v>
      </c>
      <c r="K807" s="43">
        <f>K806+Учет!F807-F807</f>
        <v>500000</v>
      </c>
      <c r="L807" s="45">
        <f>Учет!I807</f>
        <v>349526.07999999996</v>
      </c>
    </row>
    <row r="808" spans="1:12" x14ac:dyDescent="0.25">
      <c r="A808" s="48" t="str">
        <f>IF(Учет!A808&lt;&gt;"",Учет!A808,"")</f>
        <v/>
      </c>
      <c r="B808" s="52">
        <f>IF(Учет!$O808=Справочники!$F$2,Учет!$H808,0)</f>
        <v>0</v>
      </c>
      <c r="C808" s="52">
        <f>IF(Учет!$O808=Справочники!$F$3,Учет!$H808,0)</f>
        <v>0</v>
      </c>
      <c r="D808" s="52">
        <f>IF(Учет!$O808=Справочники!$F$4,Учет!$H808,0)</f>
        <v>0</v>
      </c>
      <c r="E808" s="52">
        <f>IF(Учет!$O808=Справочники!$F$5,Учет!$H808,0)</f>
        <v>0</v>
      </c>
      <c r="F808" s="52">
        <f>IF(Учет!$O808=Справочники!$F$6,Учет!$H808,0)</f>
        <v>0</v>
      </c>
      <c r="G808" s="43">
        <f>G807+Учет!B808-B808</f>
        <v>-488978.92000000004</v>
      </c>
      <c r="H808" s="43">
        <f>H807+Учет!C808-C808</f>
        <v>336855</v>
      </c>
      <c r="I808" s="43">
        <f>I807+Учет!D808-D808</f>
        <v>500</v>
      </c>
      <c r="J808" s="43">
        <f>J807+Учет!E808-E808</f>
        <v>1150</v>
      </c>
      <c r="K808" s="43">
        <f>K807+Учет!F808-F808</f>
        <v>500000</v>
      </c>
      <c r="L808" s="45">
        <f>Учет!I808</f>
        <v>349526.07999999996</v>
      </c>
    </row>
    <row r="809" spans="1:12" x14ac:dyDescent="0.25">
      <c r="A809" s="48" t="str">
        <f>IF(Учет!A809&lt;&gt;"",Учет!A809,"")</f>
        <v/>
      </c>
      <c r="B809" s="52">
        <f>IF(Учет!$O809=Справочники!$F$2,Учет!$H809,0)</f>
        <v>0</v>
      </c>
      <c r="C809" s="52">
        <f>IF(Учет!$O809=Справочники!$F$3,Учет!$H809,0)</f>
        <v>0</v>
      </c>
      <c r="D809" s="52">
        <f>IF(Учет!$O809=Справочники!$F$4,Учет!$H809,0)</f>
        <v>0</v>
      </c>
      <c r="E809" s="52">
        <f>IF(Учет!$O809=Справочники!$F$5,Учет!$H809,0)</f>
        <v>0</v>
      </c>
      <c r="F809" s="52">
        <f>IF(Учет!$O809=Справочники!$F$6,Учет!$H809,0)</f>
        <v>0</v>
      </c>
      <c r="G809" s="43">
        <f>G808+Учет!B809-B809</f>
        <v>-488978.92000000004</v>
      </c>
      <c r="H809" s="43">
        <f>H808+Учет!C809-C809</f>
        <v>336855</v>
      </c>
      <c r="I809" s="43">
        <f>I808+Учет!D809-D809</f>
        <v>500</v>
      </c>
      <c r="J809" s="43">
        <f>J808+Учет!E809-E809</f>
        <v>1150</v>
      </c>
      <c r="K809" s="43">
        <f>K808+Учет!F809-F809</f>
        <v>500000</v>
      </c>
      <c r="L809" s="45">
        <f>Учет!I809</f>
        <v>349526.07999999996</v>
      </c>
    </row>
    <row r="810" spans="1:12" x14ac:dyDescent="0.25">
      <c r="A810" s="48" t="str">
        <f>IF(Учет!A810&lt;&gt;"",Учет!A810,"")</f>
        <v/>
      </c>
      <c r="B810" s="52">
        <f>IF(Учет!$O810=Справочники!$F$2,Учет!$H810,0)</f>
        <v>0</v>
      </c>
      <c r="C810" s="52">
        <f>IF(Учет!$O810=Справочники!$F$3,Учет!$H810,0)</f>
        <v>0</v>
      </c>
      <c r="D810" s="52">
        <f>IF(Учет!$O810=Справочники!$F$4,Учет!$H810,0)</f>
        <v>0</v>
      </c>
      <c r="E810" s="52">
        <f>IF(Учет!$O810=Справочники!$F$5,Учет!$H810,0)</f>
        <v>0</v>
      </c>
      <c r="F810" s="52">
        <f>IF(Учет!$O810=Справочники!$F$6,Учет!$H810,0)</f>
        <v>0</v>
      </c>
      <c r="G810" s="43">
        <f>G809+Учет!B810-B810</f>
        <v>-488978.92000000004</v>
      </c>
      <c r="H810" s="43">
        <f>H809+Учет!C810-C810</f>
        <v>336855</v>
      </c>
      <c r="I810" s="43">
        <f>I809+Учет!D810-D810</f>
        <v>500</v>
      </c>
      <c r="J810" s="43">
        <f>J809+Учет!E810-E810</f>
        <v>1150</v>
      </c>
      <c r="K810" s="43">
        <f>K809+Учет!F810-F810</f>
        <v>500000</v>
      </c>
      <c r="L810" s="45">
        <f>Учет!I810</f>
        <v>349526.07999999996</v>
      </c>
    </row>
    <row r="811" spans="1:12" x14ac:dyDescent="0.25">
      <c r="A811" s="48" t="str">
        <f>IF(Учет!A811&lt;&gt;"",Учет!A811,"")</f>
        <v/>
      </c>
      <c r="B811" s="52">
        <f>IF(Учет!$O811=Справочники!$F$2,Учет!$H811,0)</f>
        <v>0</v>
      </c>
      <c r="C811" s="52">
        <f>IF(Учет!$O811=Справочники!$F$3,Учет!$H811,0)</f>
        <v>0</v>
      </c>
      <c r="D811" s="52">
        <f>IF(Учет!$O811=Справочники!$F$4,Учет!$H811,0)</f>
        <v>0</v>
      </c>
      <c r="E811" s="52">
        <f>IF(Учет!$O811=Справочники!$F$5,Учет!$H811,0)</f>
        <v>0</v>
      </c>
      <c r="F811" s="52">
        <f>IF(Учет!$O811=Справочники!$F$6,Учет!$H811,0)</f>
        <v>0</v>
      </c>
      <c r="G811" s="43">
        <f>G810+Учет!B811-B811</f>
        <v>-488978.92000000004</v>
      </c>
      <c r="H811" s="43">
        <f>H810+Учет!C811-C811</f>
        <v>336855</v>
      </c>
      <c r="I811" s="43">
        <f>I810+Учет!D811-D811</f>
        <v>500</v>
      </c>
      <c r="J811" s="43">
        <f>J810+Учет!E811-E811</f>
        <v>1150</v>
      </c>
      <c r="K811" s="43">
        <f>K810+Учет!F811-F811</f>
        <v>500000</v>
      </c>
      <c r="L811" s="45">
        <f>Учет!I811</f>
        <v>349526.07999999996</v>
      </c>
    </row>
    <row r="812" spans="1:12" x14ac:dyDescent="0.25">
      <c r="A812" s="48" t="str">
        <f>IF(Учет!A812&lt;&gt;"",Учет!A812,"")</f>
        <v/>
      </c>
      <c r="B812" s="52">
        <f>IF(Учет!$O812=Справочники!$F$2,Учет!$H812,0)</f>
        <v>0</v>
      </c>
      <c r="C812" s="52">
        <f>IF(Учет!$O812=Справочники!$F$3,Учет!$H812,0)</f>
        <v>0</v>
      </c>
      <c r="D812" s="52">
        <f>IF(Учет!$O812=Справочники!$F$4,Учет!$H812,0)</f>
        <v>0</v>
      </c>
      <c r="E812" s="52">
        <f>IF(Учет!$O812=Справочники!$F$5,Учет!$H812,0)</f>
        <v>0</v>
      </c>
      <c r="F812" s="52">
        <f>IF(Учет!$O812=Справочники!$F$6,Учет!$H812,0)</f>
        <v>0</v>
      </c>
      <c r="G812" s="43">
        <f>G811+Учет!B812-B812</f>
        <v>-488978.92000000004</v>
      </c>
      <c r="H812" s="43">
        <f>H811+Учет!C812-C812</f>
        <v>336855</v>
      </c>
      <c r="I812" s="43">
        <f>I811+Учет!D812-D812</f>
        <v>500</v>
      </c>
      <c r="J812" s="43">
        <f>J811+Учет!E812-E812</f>
        <v>1150</v>
      </c>
      <c r="K812" s="43">
        <f>K811+Учет!F812-F812</f>
        <v>500000</v>
      </c>
      <c r="L812" s="45">
        <f>Учет!I812</f>
        <v>349526.07999999996</v>
      </c>
    </row>
    <row r="813" spans="1:12" x14ac:dyDescent="0.25">
      <c r="A813" s="48" t="str">
        <f>IF(Учет!A813&lt;&gt;"",Учет!A813,"")</f>
        <v/>
      </c>
      <c r="B813" s="52">
        <f>IF(Учет!$O813=Справочники!$F$2,Учет!$H813,0)</f>
        <v>0</v>
      </c>
      <c r="C813" s="52">
        <f>IF(Учет!$O813=Справочники!$F$3,Учет!$H813,0)</f>
        <v>0</v>
      </c>
      <c r="D813" s="52">
        <f>IF(Учет!$O813=Справочники!$F$4,Учет!$H813,0)</f>
        <v>0</v>
      </c>
      <c r="E813" s="52">
        <f>IF(Учет!$O813=Справочники!$F$5,Учет!$H813,0)</f>
        <v>0</v>
      </c>
      <c r="F813" s="52">
        <f>IF(Учет!$O813=Справочники!$F$6,Учет!$H813,0)</f>
        <v>0</v>
      </c>
      <c r="G813" s="43">
        <f>G812+Учет!B813-B813</f>
        <v>-488978.92000000004</v>
      </c>
      <c r="H813" s="43">
        <f>H812+Учет!C813-C813</f>
        <v>336855</v>
      </c>
      <c r="I813" s="43">
        <f>I812+Учет!D813-D813</f>
        <v>500</v>
      </c>
      <c r="J813" s="43">
        <f>J812+Учет!E813-E813</f>
        <v>1150</v>
      </c>
      <c r="K813" s="43">
        <f>K812+Учет!F813-F813</f>
        <v>500000</v>
      </c>
      <c r="L813" s="45">
        <f>Учет!I813</f>
        <v>349526.07999999996</v>
      </c>
    </row>
    <row r="814" spans="1:12" x14ac:dyDescent="0.25">
      <c r="A814" s="48" t="str">
        <f>IF(Учет!A814&lt;&gt;"",Учет!A814,"")</f>
        <v/>
      </c>
      <c r="B814" s="52">
        <f>IF(Учет!$O814=Справочники!$F$2,Учет!$H814,0)</f>
        <v>0</v>
      </c>
      <c r="C814" s="52">
        <f>IF(Учет!$O814=Справочники!$F$3,Учет!$H814,0)</f>
        <v>0</v>
      </c>
      <c r="D814" s="52">
        <f>IF(Учет!$O814=Справочники!$F$4,Учет!$H814,0)</f>
        <v>0</v>
      </c>
      <c r="E814" s="52">
        <f>IF(Учет!$O814=Справочники!$F$5,Учет!$H814,0)</f>
        <v>0</v>
      </c>
      <c r="F814" s="52">
        <f>IF(Учет!$O814=Справочники!$F$6,Учет!$H814,0)</f>
        <v>0</v>
      </c>
      <c r="G814" s="43">
        <f>G813+Учет!B814-B814</f>
        <v>-488978.92000000004</v>
      </c>
      <c r="H814" s="43">
        <f>H813+Учет!C814-C814</f>
        <v>336855</v>
      </c>
      <c r="I814" s="43">
        <f>I813+Учет!D814-D814</f>
        <v>500</v>
      </c>
      <c r="J814" s="43">
        <f>J813+Учет!E814-E814</f>
        <v>1150</v>
      </c>
      <c r="K814" s="43">
        <f>K813+Учет!F814-F814</f>
        <v>500000</v>
      </c>
      <c r="L814" s="45">
        <f>Учет!I814</f>
        <v>349526.07999999996</v>
      </c>
    </row>
    <row r="815" spans="1:12" x14ac:dyDescent="0.25">
      <c r="A815" s="48" t="str">
        <f>IF(Учет!A815&lt;&gt;"",Учет!A815,"")</f>
        <v/>
      </c>
      <c r="B815" s="52">
        <f>IF(Учет!$O815=Справочники!$F$2,Учет!$H815,0)</f>
        <v>0</v>
      </c>
      <c r="C815" s="52">
        <f>IF(Учет!$O815=Справочники!$F$3,Учет!$H815,0)</f>
        <v>0</v>
      </c>
      <c r="D815" s="52">
        <f>IF(Учет!$O815=Справочники!$F$4,Учет!$H815,0)</f>
        <v>0</v>
      </c>
      <c r="E815" s="52">
        <f>IF(Учет!$O815=Справочники!$F$5,Учет!$H815,0)</f>
        <v>0</v>
      </c>
      <c r="F815" s="52">
        <f>IF(Учет!$O815=Справочники!$F$6,Учет!$H815,0)</f>
        <v>0</v>
      </c>
      <c r="G815" s="43">
        <f>G814+Учет!B815-B815</f>
        <v>-488978.92000000004</v>
      </c>
      <c r="H815" s="43">
        <f>H814+Учет!C815-C815</f>
        <v>336855</v>
      </c>
      <c r="I815" s="43">
        <f>I814+Учет!D815-D815</f>
        <v>500</v>
      </c>
      <c r="J815" s="43">
        <f>J814+Учет!E815-E815</f>
        <v>1150</v>
      </c>
      <c r="K815" s="43">
        <f>K814+Учет!F815-F815</f>
        <v>500000</v>
      </c>
      <c r="L815" s="45">
        <f>Учет!I815</f>
        <v>349526.07999999996</v>
      </c>
    </row>
    <row r="816" spans="1:12" x14ac:dyDescent="0.25">
      <c r="A816" s="48" t="str">
        <f>IF(Учет!A816&lt;&gt;"",Учет!A816,"")</f>
        <v/>
      </c>
      <c r="B816" s="52">
        <f>IF(Учет!$O816=Справочники!$F$2,Учет!$H816,0)</f>
        <v>0</v>
      </c>
      <c r="C816" s="52">
        <f>IF(Учет!$O816=Справочники!$F$3,Учет!$H816,0)</f>
        <v>0</v>
      </c>
      <c r="D816" s="52">
        <f>IF(Учет!$O816=Справочники!$F$4,Учет!$H816,0)</f>
        <v>0</v>
      </c>
      <c r="E816" s="52">
        <f>IF(Учет!$O816=Справочники!$F$5,Учет!$H816,0)</f>
        <v>0</v>
      </c>
      <c r="F816" s="52">
        <f>IF(Учет!$O816=Справочники!$F$6,Учет!$H816,0)</f>
        <v>0</v>
      </c>
      <c r="G816" s="43">
        <f>G815+Учет!B816-B816</f>
        <v>-488978.92000000004</v>
      </c>
      <c r="H816" s="43">
        <f>H815+Учет!C816-C816</f>
        <v>336855</v>
      </c>
      <c r="I816" s="43">
        <f>I815+Учет!D816-D816</f>
        <v>500</v>
      </c>
      <c r="J816" s="43">
        <f>J815+Учет!E816-E816</f>
        <v>1150</v>
      </c>
      <c r="K816" s="43">
        <f>K815+Учет!F816-F816</f>
        <v>500000</v>
      </c>
      <c r="L816" s="45">
        <f>Учет!I816</f>
        <v>349526.07999999996</v>
      </c>
    </row>
    <row r="817" spans="1:12" x14ac:dyDescent="0.25">
      <c r="A817" s="48" t="str">
        <f>IF(Учет!A817&lt;&gt;"",Учет!A817,"")</f>
        <v/>
      </c>
      <c r="B817" s="52">
        <f>IF(Учет!$O817=Справочники!$F$2,Учет!$H817,0)</f>
        <v>0</v>
      </c>
      <c r="C817" s="52">
        <f>IF(Учет!$O817=Справочники!$F$3,Учет!$H817,0)</f>
        <v>0</v>
      </c>
      <c r="D817" s="52">
        <f>IF(Учет!$O817=Справочники!$F$4,Учет!$H817,0)</f>
        <v>0</v>
      </c>
      <c r="E817" s="52">
        <f>IF(Учет!$O817=Справочники!$F$5,Учет!$H817,0)</f>
        <v>0</v>
      </c>
      <c r="F817" s="52">
        <f>IF(Учет!$O817=Справочники!$F$6,Учет!$H817,0)</f>
        <v>0</v>
      </c>
      <c r="G817" s="43">
        <f>G816+Учет!B817-B817</f>
        <v>-488978.92000000004</v>
      </c>
      <c r="H817" s="43">
        <f>H816+Учет!C817-C817</f>
        <v>336855</v>
      </c>
      <c r="I817" s="43">
        <f>I816+Учет!D817-D817</f>
        <v>500</v>
      </c>
      <c r="J817" s="43">
        <f>J816+Учет!E817-E817</f>
        <v>1150</v>
      </c>
      <c r="K817" s="43">
        <f>K816+Учет!F817-F817</f>
        <v>500000</v>
      </c>
      <c r="L817" s="45">
        <f>Учет!I817</f>
        <v>349526.07999999996</v>
      </c>
    </row>
    <row r="818" spans="1:12" x14ac:dyDescent="0.25">
      <c r="A818" s="48" t="str">
        <f>IF(Учет!A818&lt;&gt;"",Учет!A818,"")</f>
        <v/>
      </c>
      <c r="B818" s="52">
        <f>IF(Учет!$O818=Справочники!$F$2,Учет!$H818,0)</f>
        <v>0</v>
      </c>
      <c r="C818" s="52">
        <f>IF(Учет!$O818=Справочники!$F$3,Учет!$H818,0)</f>
        <v>0</v>
      </c>
      <c r="D818" s="52">
        <f>IF(Учет!$O818=Справочники!$F$4,Учет!$H818,0)</f>
        <v>0</v>
      </c>
      <c r="E818" s="52">
        <f>IF(Учет!$O818=Справочники!$F$5,Учет!$H818,0)</f>
        <v>0</v>
      </c>
      <c r="F818" s="52">
        <f>IF(Учет!$O818=Справочники!$F$6,Учет!$H818,0)</f>
        <v>0</v>
      </c>
      <c r="G818" s="43">
        <f>G817+Учет!B818-B818</f>
        <v>-488978.92000000004</v>
      </c>
      <c r="H818" s="43">
        <f>H817+Учет!C818-C818</f>
        <v>336855</v>
      </c>
      <c r="I818" s="43">
        <f>I817+Учет!D818-D818</f>
        <v>500</v>
      </c>
      <c r="J818" s="43">
        <f>J817+Учет!E818-E818</f>
        <v>1150</v>
      </c>
      <c r="K818" s="43">
        <f>K817+Учет!F818-F818</f>
        <v>500000</v>
      </c>
      <c r="L818" s="45">
        <f>Учет!I818</f>
        <v>349526.07999999996</v>
      </c>
    </row>
    <row r="819" spans="1:12" x14ac:dyDescent="0.25">
      <c r="A819" s="48" t="str">
        <f>IF(Учет!A819&lt;&gt;"",Учет!A819,"")</f>
        <v/>
      </c>
      <c r="B819" s="52">
        <f>IF(Учет!$O819=Справочники!$F$2,Учет!$H819,0)</f>
        <v>0</v>
      </c>
      <c r="C819" s="52">
        <f>IF(Учет!$O819=Справочники!$F$3,Учет!$H819,0)</f>
        <v>0</v>
      </c>
      <c r="D819" s="52">
        <f>IF(Учет!$O819=Справочники!$F$4,Учет!$H819,0)</f>
        <v>0</v>
      </c>
      <c r="E819" s="52">
        <f>IF(Учет!$O819=Справочники!$F$5,Учет!$H819,0)</f>
        <v>0</v>
      </c>
      <c r="F819" s="52">
        <f>IF(Учет!$O819=Справочники!$F$6,Учет!$H819,0)</f>
        <v>0</v>
      </c>
      <c r="G819" s="43">
        <f>G818+Учет!B819-B819</f>
        <v>-488978.92000000004</v>
      </c>
      <c r="H819" s="43">
        <f>H818+Учет!C819-C819</f>
        <v>336855</v>
      </c>
      <c r="I819" s="43">
        <f>I818+Учет!D819-D819</f>
        <v>500</v>
      </c>
      <c r="J819" s="43">
        <f>J818+Учет!E819-E819</f>
        <v>1150</v>
      </c>
      <c r="K819" s="43">
        <f>K818+Учет!F819-F819</f>
        <v>500000</v>
      </c>
      <c r="L819" s="45">
        <f>Учет!I819</f>
        <v>349526.07999999996</v>
      </c>
    </row>
    <row r="820" spans="1:12" x14ac:dyDescent="0.25">
      <c r="A820" s="48" t="str">
        <f>IF(Учет!A820&lt;&gt;"",Учет!A820,"")</f>
        <v/>
      </c>
      <c r="B820" s="52">
        <f>IF(Учет!$O820=Справочники!$F$2,Учет!$H820,0)</f>
        <v>0</v>
      </c>
      <c r="C820" s="52">
        <f>IF(Учет!$O820=Справочники!$F$3,Учет!$H820,0)</f>
        <v>0</v>
      </c>
      <c r="D820" s="52">
        <f>IF(Учет!$O820=Справочники!$F$4,Учет!$H820,0)</f>
        <v>0</v>
      </c>
      <c r="E820" s="52">
        <f>IF(Учет!$O820=Справочники!$F$5,Учет!$H820,0)</f>
        <v>0</v>
      </c>
      <c r="F820" s="52">
        <f>IF(Учет!$O820=Справочники!$F$6,Учет!$H820,0)</f>
        <v>0</v>
      </c>
      <c r="G820" s="43">
        <f>G819+Учет!B820-B820</f>
        <v>-488978.92000000004</v>
      </c>
      <c r="H820" s="43">
        <f>H819+Учет!C820-C820</f>
        <v>336855</v>
      </c>
      <c r="I820" s="43">
        <f>I819+Учет!D820-D820</f>
        <v>500</v>
      </c>
      <c r="J820" s="43">
        <f>J819+Учет!E820-E820</f>
        <v>1150</v>
      </c>
      <c r="K820" s="43">
        <f>K819+Учет!F820-F820</f>
        <v>500000</v>
      </c>
      <c r="L820" s="45">
        <f>Учет!I820</f>
        <v>349526.07999999996</v>
      </c>
    </row>
    <row r="821" spans="1:12" x14ac:dyDescent="0.25">
      <c r="A821" s="48" t="str">
        <f>IF(Учет!A821&lt;&gt;"",Учет!A821,"")</f>
        <v/>
      </c>
      <c r="B821" s="52">
        <f>IF(Учет!$O821=Справочники!$F$2,Учет!$H821,0)</f>
        <v>0</v>
      </c>
      <c r="C821" s="52">
        <f>IF(Учет!$O821=Справочники!$F$3,Учет!$H821,0)</f>
        <v>0</v>
      </c>
      <c r="D821" s="52">
        <f>IF(Учет!$O821=Справочники!$F$4,Учет!$H821,0)</f>
        <v>0</v>
      </c>
      <c r="E821" s="52">
        <f>IF(Учет!$O821=Справочники!$F$5,Учет!$H821,0)</f>
        <v>0</v>
      </c>
      <c r="F821" s="52">
        <f>IF(Учет!$O821=Справочники!$F$6,Учет!$H821,0)</f>
        <v>0</v>
      </c>
      <c r="G821" s="43">
        <f>G820+Учет!B821-B821</f>
        <v>-488978.92000000004</v>
      </c>
      <c r="H821" s="43">
        <f>H820+Учет!C821-C821</f>
        <v>336855</v>
      </c>
      <c r="I821" s="43">
        <f>I820+Учет!D821-D821</f>
        <v>500</v>
      </c>
      <c r="J821" s="43">
        <f>J820+Учет!E821-E821</f>
        <v>1150</v>
      </c>
      <c r="K821" s="43">
        <f>K820+Учет!F821-F821</f>
        <v>500000</v>
      </c>
      <c r="L821" s="45">
        <f>Учет!I821</f>
        <v>349526.07999999996</v>
      </c>
    </row>
    <row r="822" spans="1:12" x14ac:dyDescent="0.25">
      <c r="A822" s="48" t="str">
        <f>IF(Учет!A822&lt;&gt;"",Учет!A822,"")</f>
        <v/>
      </c>
      <c r="B822" s="52">
        <f>IF(Учет!$O822=Справочники!$F$2,Учет!$H822,0)</f>
        <v>0</v>
      </c>
      <c r="C822" s="52">
        <f>IF(Учет!$O822=Справочники!$F$3,Учет!$H822,0)</f>
        <v>0</v>
      </c>
      <c r="D822" s="52">
        <f>IF(Учет!$O822=Справочники!$F$4,Учет!$H822,0)</f>
        <v>0</v>
      </c>
      <c r="E822" s="52">
        <f>IF(Учет!$O822=Справочники!$F$5,Учет!$H822,0)</f>
        <v>0</v>
      </c>
      <c r="F822" s="52">
        <f>IF(Учет!$O822=Справочники!$F$6,Учет!$H822,0)</f>
        <v>0</v>
      </c>
      <c r="G822" s="43">
        <f>G821+Учет!B822-B822</f>
        <v>-488978.92000000004</v>
      </c>
      <c r="H822" s="43">
        <f>H821+Учет!C822-C822</f>
        <v>336855</v>
      </c>
      <c r="I822" s="43">
        <f>I821+Учет!D822-D822</f>
        <v>500</v>
      </c>
      <c r="J822" s="43">
        <f>J821+Учет!E822-E822</f>
        <v>1150</v>
      </c>
      <c r="K822" s="43">
        <f>K821+Учет!F822-F822</f>
        <v>500000</v>
      </c>
      <c r="L822" s="45">
        <f>Учет!I822</f>
        <v>349526.07999999996</v>
      </c>
    </row>
    <row r="823" spans="1:12" x14ac:dyDescent="0.25">
      <c r="A823" s="48" t="str">
        <f>IF(Учет!A823&lt;&gt;"",Учет!A823,"")</f>
        <v/>
      </c>
      <c r="B823" s="52">
        <f>IF(Учет!$O823=Справочники!$F$2,Учет!$H823,0)</f>
        <v>0</v>
      </c>
      <c r="C823" s="52">
        <f>IF(Учет!$O823=Справочники!$F$3,Учет!$H823,0)</f>
        <v>0</v>
      </c>
      <c r="D823" s="52">
        <f>IF(Учет!$O823=Справочники!$F$4,Учет!$H823,0)</f>
        <v>0</v>
      </c>
      <c r="E823" s="52">
        <f>IF(Учет!$O823=Справочники!$F$5,Учет!$H823,0)</f>
        <v>0</v>
      </c>
      <c r="F823" s="52">
        <f>IF(Учет!$O823=Справочники!$F$6,Учет!$H823,0)</f>
        <v>0</v>
      </c>
      <c r="G823" s="43">
        <f>G822+Учет!B823-B823</f>
        <v>-488978.92000000004</v>
      </c>
      <c r="H823" s="43">
        <f>H822+Учет!C823-C823</f>
        <v>336855</v>
      </c>
      <c r="I823" s="43">
        <f>I822+Учет!D823-D823</f>
        <v>500</v>
      </c>
      <c r="J823" s="43">
        <f>J822+Учет!E823-E823</f>
        <v>1150</v>
      </c>
      <c r="K823" s="43">
        <f>K822+Учет!F823-F823</f>
        <v>500000</v>
      </c>
      <c r="L823" s="45">
        <f>Учет!I823</f>
        <v>349526.07999999996</v>
      </c>
    </row>
    <row r="824" spans="1:12" x14ac:dyDescent="0.25">
      <c r="A824" s="48" t="str">
        <f>IF(Учет!A824&lt;&gt;"",Учет!A824,"")</f>
        <v/>
      </c>
      <c r="B824" s="52">
        <f>IF(Учет!$O824=Справочники!$F$2,Учет!$H824,0)</f>
        <v>0</v>
      </c>
      <c r="C824" s="52">
        <f>IF(Учет!$O824=Справочники!$F$3,Учет!$H824,0)</f>
        <v>0</v>
      </c>
      <c r="D824" s="52">
        <f>IF(Учет!$O824=Справочники!$F$4,Учет!$H824,0)</f>
        <v>0</v>
      </c>
      <c r="E824" s="52">
        <f>IF(Учет!$O824=Справочники!$F$5,Учет!$H824,0)</f>
        <v>0</v>
      </c>
      <c r="F824" s="52">
        <f>IF(Учет!$O824=Справочники!$F$6,Учет!$H824,0)</f>
        <v>0</v>
      </c>
      <c r="G824" s="43">
        <f>G823+Учет!B824-B824</f>
        <v>-488978.92000000004</v>
      </c>
      <c r="H824" s="43">
        <f>H823+Учет!C824-C824</f>
        <v>336855</v>
      </c>
      <c r="I824" s="43">
        <f>I823+Учет!D824-D824</f>
        <v>500</v>
      </c>
      <c r="J824" s="43">
        <f>J823+Учет!E824-E824</f>
        <v>1150</v>
      </c>
      <c r="K824" s="43">
        <f>K823+Учет!F824-F824</f>
        <v>500000</v>
      </c>
      <c r="L824" s="45">
        <f>Учет!I824</f>
        <v>349526.07999999996</v>
      </c>
    </row>
    <row r="825" spans="1:12" x14ac:dyDescent="0.25">
      <c r="A825" s="48" t="str">
        <f>IF(Учет!A825&lt;&gt;"",Учет!A825,"")</f>
        <v/>
      </c>
      <c r="B825" s="52">
        <f>IF(Учет!$O825=Справочники!$F$2,Учет!$H825,0)</f>
        <v>0</v>
      </c>
      <c r="C825" s="52">
        <f>IF(Учет!$O825=Справочники!$F$3,Учет!$H825,0)</f>
        <v>0</v>
      </c>
      <c r="D825" s="52">
        <f>IF(Учет!$O825=Справочники!$F$4,Учет!$H825,0)</f>
        <v>0</v>
      </c>
      <c r="E825" s="52">
        <f>IF(Учет!$O825=Справочники!$F$5,Учет!$H825,0)</f>
        <v>0</v>
      </c>
      <c r="F825" s="52">
        <f>IF(Учет!$O825=Справочники!$F$6,Учет!$H825,0)</f>
        <v>0</v>
      </c>
      <c r="G825" s="43">
        <f>G824+Учет!B825-B825</f>
        <v>-488978.92000000004</v>
      </c>
      <c r="H825" s="43">
        <f>H824+Учет!C825-C825</f>
        <v>336855</v>
      </c>
      <c r="I825" s="43">
        <f>I824+Учет!D825-D825</f>
        <v>500</v>
      </c>
      <c r="J825" s="43">
        <f>J824+Учет!E825-E825</f>
        <v>1150</v>
      </c>
      <c r="K825" s="43">
        <f>K824+Учет!F825-F825</f>
        <v>500000</v>
      </c>
      <c r="L825" s="45">
        <f>Учет!I825</f>
        <v>349526.07999999996</v>
      </c>
    </row>
    <row r="826" spans="1:12" x14ac:dyDescent="0.25">
      <c r="A826" s="48" t="str">
        <f>IF(Учет!A826&lt;&gt;"",Учет!A826,"")</f>
        <v/>
      </c>
      <c r="B826" s="52">
        <f>IF(Учет!$O826=Справочники!$F$2,Учет!$H826,0)</f>
        <v>0</v>
      </c>
      <c r="C826" s="52">
        <f>IF(Учет!$O826=Справочники!$F$3,Учет!$H826,0)</f>
        <v>0</v>
      </c>
      <c r="D826" s="52">
        <f>IF(Учет!$O826=Справочники!$F$4,Учет!$H826,0)</f>
        <v>0</v>
      </c>
      <c r="E826" s="52">
        <f>IF(Учет!$O826=Справочники!$F$5,Учет!$H826,0)</f>
        <v>0</v>
      </c>
      <c r="F826" s="52">
        <f>IF(Учет!$O826=Справочники!$F$6,Учет!$H826,0)</f>
        <v>0</v>
      </c>
      <c r="G826" s="43">
        <f>G825+Учет!B826-B826</f>
        <v>-488978.92000000004</v>
      </c>
      <c r="H826" s="43">
        <f>H825+Учет!C826-C826</f>
        <v>336855</v>
      </c>
      <c r="I826" s="43">
        <f>I825+Учет!D826-D826</f>
        <v>500</v>
      </c>
      <c r="J826" s="43">
        <f>J825+Учет!E826-E826</f>
        <v>1150</v>
      </c>
      <c r="K826" s="43">
        <f>K825+Учет!F826-F826</f>
        <v>500000</v>
      </c>
      <c r="L826" s="45">
        <f>Учет!I826</f>
        <v>349526.07999999996</v>
      </c>
    </row>
    <row r="827" spans="1:12" x14ac:dyDescent="0.25">
      <c r="A827" s="48" t="str">
        <f>IF(Учет!A827&lt;&gt;"",Учет!A827,"")</f>
        <v/>
      </c>
      <c r="B827" s="52">
        <f>IF(Учет!$O827=Справочники!$F$2,Учет!$H827,0)</f>
        <v>0</v>
      </c>
      <c r="C827" s="52">
        <f>IF(Учет!$O827=Справочники!$F$3,Учет!$H827,0)</f>
        <v>0</v>
      </c>
      <c r="D827" s="52">
        <f>IF(Учет!$O827=Справочники!$F$4,Учет!$H827,0)</f>
        <v>0</v>
      </c>
      <c r="E827" s="52">
        <f>IF(Учет!$O827=Справочники!$F$5,Учет!$H827,0)</f>
        <v>0</v>
      </c>
      <c r="F827" s="52">
        <f>IF(Учет!$O827=Справочники!$F$6,Учет!$H827,0)</f>
        <v>0</v>
      </c>
      <c r="G827" s="43">
        <f>G826+Учет!B827-B827</f>
        <v>-488978.92000000004</v>
      </c>
      <c r="H827" s="43">
        <f>H826+Учет!C827-C827</f>
        <v>336855</v>
      </c>
      <c r="I827" s="43">
        <f>I826+Учет!D827-D827</f>
        <v>500</v>
      </c>
      <c r="J827" s="43">
        <f>J826+Учет!E827-E827</f>
        <v>1150</v>
      </c>
      <c r="K827" s="43">
        <f>K826+Учет!F827-F827</f>
        <v>500000</v>
      </c>
      <c r="L827" s="45">
        <f>Учет!I827</f>
        <v>349526.07999999996</v>
      </c>
    </row>
    <row r="828" spans="1:12" x14ac:dyDescent="0.25">
      <c r="A828" s="48" t="str">
        <f>IF(Учет!A828&lt;&gt;"",Учет!A828,"")</f>
        <v/>
      </c>
      <c r="B828" s="52">
        <f>IF(Учет!$O828=Справочники!$F$2,Учет!$H828,0)</f>
        <v>0</v>
      </c>
      <c r="C828" s="52">
        <f>IF(Учет!$O828=Справочники!$F$3,Учет!$H828,0)</f>
        <v>0</v>
      </c>
      <c r="D828" s="52">
        <f>IF(Учет!$O828=Справочники!$F$4,Учет!$H828,0)</f>
        <v>0</v>
      </c>
      <c r="E828" s="52">
        <f>IF(Учет!$O828=Справочники!$F$5,Учет!$H828,0)</f>
        <v>0</v>
      </c>
      <c r="F828" s="52">
        <f>IF(Учет!$O828=Справочники!$F$6,Учет!$H828,0)</f>
        <v>0</v>
      </c>
      <c r="G828" s="43">
        <f>G827+Учет!B828-B828</f>
        <v>-488978.92000000004</v>
      </c>
      <c r="H828" s="43">
        <f>H827+Учет!C828-C828</f>
        <v>336855</v>
      </c>
      <c r="I828" s="43">
        <f>I827+Учет!D828-D828</f>
        <v>500</v>
      </c>
      <c r="J828" s="43">
        <f>J827+Учет!E828-E828</f>
        <v>1150</v>
      </c>
      <c r="K828" s="43">
        <f>K827+Учет!F828-F828</f>
        <v>500000</v>
      </c>
      <c r="L828" s="45">
        <f>Учет!I828</f>
        <v>349526.07999999996</v>
      </c>
    </row>
    <row r="829" spans="1:12" x14ac:dyDescent="0.25">
      <c r="A829" s="48" t="str">
        <f>IF(Учет!A829&lt;&gt;"",Учет!A829,"")</f>
        <v/>
      </c>
      <c r="B829" s="52">
        <f>IF(Учет!$O829=Справочники!$F$2,Учет!$H829,0)</f>
        <v>0</v>
      </c>
      <c r="C829" s="52">
        <f>IF(Учет!$O829=Справочники!$F$3,Учет!$H829,0)</f>
        <v>0</v>
      </c>
      <c r="D829" s="52">
        <f>IF(Учет!$O829=Справочники!$F$4,Учет!$H829,0)</f>
        <v>0</v>
      </c>
      <c r="E829" s="52">
        <f>IF(Учет!$O829=Справочники!$F$5,Учет!$H829,0)</f>
        <v>0</v>
      </c>
      <c r="F829" s="52">
        <f>IF(Учет!$O829=Справочники!$F$6,Учет!$H829,0)</f>
        <v>0</v>
      </c>
      <c r="G829" s="43">
        <f>G828+Учет!B829-B829</f>
        <v>-488978.92000000004</v>
      </c>
      <c r="H829" s="43">
        <f>H828+Учет!C829-C829</f>
        <v>336855</v>
      </c>
      <c r="I829" s="43">
        <f>I828+Учет!D829-D829</f>
        <v>500</v>
      </c>
      <c r="J829" s="43">
        <f>J828+Учет!E829-E829</f>
        <v>1150</v>
      </c>
      <c r="K829" s="43">
        <f>K828+Учет!F829-F829</f>
        <v>500000</v>
      </c>
      <c r="L829" s="45">
        <f>Учет!I829</f>
        <v>349526.07999999996</v>
      </c>
    </row>
    <row r="830" spans="1:12" x14ac:dyDescent="0.25">
      <c r="A830" s="48" t="str">
        <f>IF(Учет!A830&lt;&gt;"",Учет!A830,"")</f>
        <v/>
      </c>
      <c r="B830" s="52">
        <f>IF(Учет!$O830=Справочники!$F$2,Учет!$H830,0)</f>
        <v>0</v>
      </c>
      <c r="C830" s="52">
        <f>IF(Учет!$O830=Справочники!$F$3,Учет!$H830,0)</f>
        <v>0</v>
      </c>
      <c r="D830" s="52">
        <f>IF(Учет!$O830=Справочники!$F$4,Учет!$H830,0)</f>
        <v>0</v>
      </c>
      <c r="E830" s="52">
        <f>IF(Учет!$O830=Справочники!$F$5,Учет!$H830,0)</f>
        <v>0</v>
      </c>
      <c r="F830" s="52">
        <f>IF(Учет!$O830=Справочники!$F$6,Учет!$H830,0)</f>
        <v>0</v>
      </c>
      <c r="G830" s="43">
        <f>G829+Учет!B830-B830</f>
        <v>-488978.92000000004</v>
      </c>
      <c r="H830" s="43">
        <f>H829+Учет!C830-C830</f>
        <v>336855</v>
      </c>
      <c r="I830" s="43">
        <f>I829+Учет!D830-D830</f>
        <v>500</v>
      </c>
      <c r="J830" s="43">
        <f>J829+Учет!E830-E830</f>
        <v>1150</v>
      </c>
      <c r="K830" s="43">
        <f>K829+Учет!F830-F830</f>
        <v>500000</v>
      </c>
      <c r="L830" s="45">
        <f>Учет!I830</f>
        <v>349526.07999999996</v>
      </c>
    </row>
    <row r="831" spans="1:12" x14ac:dyDescent="0.25">
      <c r="A831" s="48" t="str">
        <f>IF(Учет!A831&lt;&gt;"",Учет!A831,"")</f>
        <v/>
      </c>
      <c r="B831" s="52">
        <f>IF(Учет!$O831=Справочники!$F$2,Учет!$H831,0)</f>
        <v>0</v>
      </c>
      <c r="C831" s="52">
        <f>IF(Учет!$O831=Справочники!$F$3,Учет!$H831,0)</f>
        <v>0</v>
      </c>
      <c r="D831" s="52">
        <f>IF(Учет!$O831=Справочники!$F$4,Учет!$H831,0)</f>
        <v>0</v>
      </c>
      <c r="E831" s="52">
        <f>IF(Учет!$O831=Справочники!$F$5,Учет!$H831,0)</f>
        <v>0</v>
      </c>
      <c r="F831" s="52">
        <f>IF(Учет!$O831=Справочники!$F$6,Учет!$H831,0)</f>
        <v>0</v>
      </c>
      <c r="G831" s="43">
        <f>G830+Учет!B831-B831</f>
        <v>-488978.92000000004</v>
      </c>
      <c r="H831" s="43">
        <f>H830+Учет!C831-C831</f>
        <v>336855</v>
      </c>
      <c r="I831" s="43">
        <f>I830+Учет!D831-D831</f>
        <v>500</v>
      </c>
      <c r="J831" s="43">
        <f>J830+Учет!E831-E831</f>
        <v>1150</v>
      </c>
      <c r="K831" s="43">
        <f>K830+Учет!F831-F831</f>
        <v>500000</v>
      </c>
      <c r="L831" s="45">
        <f>Учет!I831</f>
        <v>349526.07999999996</v>
      </c>
    </row>
    <row r="832" spans="1:12" x14ac:dyDescent="0.25">
      <c r="A832" s="48" t="str">
        <f>IF(Учет!A832&lt;&gt;"",Учет!A832,"")</f>
        <v/>
      </c>
      <c r="B832" s="52">
        <f>IF(Учет!$O832=Справочники!$F$2,Учет!$H832,0)</f>
        <v>0</v>
      </c>
      <c r="C832" s="52">
        <f>IF(Учет!$O832=Справочники!$F$3,Учет!$H832,0)</f>
        <v>0</v>
      </c>
      <c r="D832" s="52">
        <f>IF(Учет!$O832=Справочники!$F$4,Учет!$H832,0)</f>
        <v>0</v>
      </c>
      <c r="E832" s="52">
        <f>IF(Учет!$O832=Справочники!$F$5,Учет!$H832,0)</f>
        <v>0</v>
      </c>
      <c r="F832" s="52">
        <f>IF(Учет!$O832=Справочники!$F$6,Учет!$H832,0)</f>
        <v>0</v>
      </c>
      <c r="G832" s="43">
        <f>G831+Учет!B832-B832</f>
        <v>-488978.92000000004</v>
      </c>
      <c r="H832" s="43">
        <f>H831+Учет!C832-C832</f>
        <v>336855</v>
      </c>
      <c r="I832" s="43">
        <f>I831+Учет!D832-D832</f>
        <v>500</v>
      </c>
      <c r="J832" s="43">
        <f>J831+Учет!E832-E832</f>
        <v>1150</v>
      </c>
      <c r="K832" s="43">
        <f>K831+Учет!F832-F832</f>
        <v>500000</v>
      </c>
      <c r="L832" s="45">
        <f>Учет!I832</f>
        <v>349526.07999999996</v>
      </c>
    </row>
    <row r="833" spans="1:12" x14ac:dyDescent="0.25">
      <c r="A833" s="48" t="str">
        <f>IF(Учет!A833&lt;&gt;"",Учет!A833,"")</f>
        <v/>
      </c>
      <c r="B833" s="52">
        <f>IF(Учет!$O833=Справочники!$F$2,Учет!$H833,0)</f>
        <v>0</v>
      </c>
      <c r="C833" s="52">
        <f>IF(Учет!$O833=Справочники!$F$3,Учет!$H833,0)</f>
        <v>0</v>
      </c>
      <c r="D833" s="52">
        <f>IF(Учет!$O833=Справочники!$F$4,Учет!$H833,0)</f>
        <v>0</v>
      </c>
      <c r="E833" s="52">
        <f>IF(Учет!$O833=Справочники!$F$5,Учет!$H833,0)</f>
        <v>0</v>
      </c>
      <c r="F833" s="52">
        <f>IF(Учет!$O833=Справочники!$F$6,Учет!$H833,0)</f>
        <v>0</v>
      </c>
      <c r="G833" s="43">
        <f>G832+Учет!B833-B833</f>
        <v>-488978.92000000004</v>
      </c>
      <c r="H833" s="43">
        <f>H832+Учет!C833-C833</f>
        <v>336855</v>
      </c>
      <c r="I833" s="43">
        <f>I832+Учет!D833-D833</f>
        <v>500</v>
      </c>
      <c r="J833" s="43">
        <f>J832+Учет!E833-E833</f>
        <v>1150</v>
      </c>
      <c r="K833" s="43">
        <f>K832+Учет!F833-F833</f>
        <v>500000</v>
      </c>
      <c r="L833" s="45">
        <f>Учет!I833</f>
        <v>349526.07999999996</v>
      </c>
    </row>
    <row r="834" spans="1:12" x14ac:dyDescent="0.25">
      <c r="A834" s="48" t="str">
        <f>IF(Учет!A834&lt;&gt;"",Учет!A834,"")</f>
        <v/>
      </c>
      <c r="B834" s="52">
        <f>IF(Учет!$O834=Справочники!$F$2,Учет!$H834,0)</f>
        <v>0</v>
      </c>
      <c r="C834" s="52">
        <f>IF(Учет!$O834=Справочники!$F$3,Учет!$H834,0)</f>
        <v>0</v>
      </c>
      <c r="D834" s="52">
        <f>IF(Учет!$O834=Справочники!$F$4,Учет!$H834,0)</f>
        <v>0</v>
      </c>
      <c r="E834" s="52">
        <f>IF(Учет!$O834=Справочники!$F$5,Учет!$H834,0)</f>
        <v>0</v>
      </c>
      <c r="F834" s="52">
        <f>IF(Учет!$O834=Справочники!$F$6,Учет!$H834,0)</f>
        <v>0</v>
      </c>
      <c r="G834" s="43">
        <f>G833+Учет!B834-B834</f>
        <v>-488978.92000000004</v>
      </c>
      <c r="H834" s="43">
        <f>H833+Учет!C834-C834</f>
        <v>336855</v>
      </c>
      <c r="I834" s="43">
        <f>I833+Учет!D834-D834</f>
        <v>500</v>
      </c>
      <c r="J834" s="43">
        <f>J833+Учет!E834-E834</f>
        <v>1150</v>
      </c>
      <c r="K834" s="43">
        <f>K833+Учет!F834-F834</f>
        <v>500000</v>
      </c>
      <c r="L834" s="45">
        <f>Учет!I834</f>
        <v>349526.07999999996</v>
      </c>
    </row>
    <row r="835" spans="1:12" x14ac:dyDescent="0.25">
      <c r="A835" s="48" t="str">
        <f>IF(Учет!A835&lt;&gt;"",Учет!A835,"")</f>
        <v/>
      </c>
      <c r="B835" s="52">
        <f>IF(Учет!$O835=Справочники!$F$2,Учет!$H835,0)</f>
        <v>0</v>
      </c>
      <c r="C835" s="52">
        <f>IF(Учет!$O835=Справочники!$F$3,Учет!$H835,0)</f>
        <v>0</v>
      </c>
      <c r="D835" s="52">
        <f>IF(Учет!$O835=Справочники!$F$4,Учет!$H835,0)</f>
        <v>0</v>
      </c>
      <c r="E835" s="52">
        <f>IF(Учет!$O835=Справочники!$F$5,Учет!$H835,0)</f>
        <v>0</v>
      </c>
      <c r="F835" s="52">
        <f>IF(Учет!$O835=Справочники!$F$6,Учет!$H835,0)</f>
        <v>0</v>
      </c>
      <c r="G835" s="43">
        <f>G834+Учет!B835-B835</f>
        <v>-488978.92000000004</v>
      </c>
      <c r="H835" s="43">
        <f>H834+Учет!C835-C835</f>
        <v>336855</v>
      </c>
      <c r="I835" s="43">
        <f>I834+Учет!D835-D835</f>
        <v>500</v>
      </c>
      <c r="J835" s="43">
        <f>J834+Учет!E835-E835</f>
        <v>1150</v>
      </c>
      <c r="K835" s="43">
        <f>K834+Учет!F835-F835</f>
        <v>500000</v>
      </c>
      <c r="L835" s="45">
        <f>Учет!I835</f>
        <v>349526.07999999996</v>
      </c>
    </row>
    <row r="836" spans="1:12" x14ac:dyDescent="0.25">
      <c r="A836" s="48" t="str">
        <f>IF(Учет!A836&lt;&gt;"",Учет!A836,"")</f>
        <v/>
      </c>
      <c r="B836" s="52">
        <f>IF(Учет!$O836=Справочники!$F$2,Учет!$H836,0)</f>
        <v>0</v>
      </c>
      <c r="C836" s="52">
        <f>IF(Учет!$O836=Справочники!$F$3,Учет!$H836,0)</f>
        <v>0</v>
      </c>
      <c r="D836" s="52">
        <f>IF(Учет!$O836=Справочники!$F$4,Учет!$H836,0)</f>
        <v>0</v>
      </c>
      <c r="E836" s="52">
        <f>IF(Учет!$O836=Справочники!$F$5,Учет!$H836,0)</f>
        <v>0</v>
      </c>
      <c r="F836" s="52">
        <f>IF(Учет!$O836=Справочники!$F$6,Учет!$H836,0)</f>
        <v>0</v>
      </c>
      <c r="G836" s="43">
        <f>G835+Учет!B836-B836</f>
        <v>-488978.92000000004</v>
      </c>
      <c r="H836" s="43">
        <f>H835+Учет!C836-C836</f>
        <v>336855</v>
      </c>
      <c r="I836" s="43">
        <f>I835+Учет!D836-D836</f>
        <v>500</v>
      </c>
      <c r="J836" s="43">
        <f>J835+Учет!E836-E836</f>
        <v>1150</v>
      </c>
      <c r="K836" s="43">
        <f>K835+Учет!F836-F836</f>
        <v>500000</v>
      </c>
      <c r="L836" s="45">
        <f>Учет!I836</f>
        <v>349526.07999999996</v>
      </c>
    </row>
    <row r="837" spans="1:12" x14ac:dyDescent="0.25">
      <c r="A837" s="48" t="str">
        <f>IF(Учет!A837&lt;&gt;"",Учет!A837,"")</f>
        <v/>
      </c>
      <c r="B837" s="52">
        <f>IF(Учет!$O837=Справочники!$F$2,Учет!$H837,0)</f>
        <v>0</v>
      </c>
      <c r="C837" s="52">
        <f>IF(Учет!$O837=Справочники!$F$3,Учет!$H837,0)</f>
        <v>0</v>
      </c>
      <c r="D837" s="52">
        <f>IF(Учет!$O837=Справочники!$F$4,Учет!$H837,0)</f>
        <v>0</v>
      </c>
      <c r="E837" s="52">
        <f>IF(Учет!$O837=Справочники!$F$5,Учет!$H837,0)</f>
        <v>0</v>
      </c>
      <c r="F837" s="52">
        <f>IF(Учет!$O837=Справочники!$F$6,Учет!$H837,0)</f>
        <v>0</v>
      </c>
      <c r="G837" s="43">
        <f>G836+Учет!B837-B837</f>
        <v>-488978.92000000004</v>
      </c>
      <c r="H837" s="43">
        <f>H836+Учет!C837-C837</f>
        <v>336855</v>
      </c>
      <c r="I837" s="43">
        <f>I836+Учет!D837-D837</f>
        <v>500</v>
      </c>
      <c r="J837" s="43">
        <f>J836+Учет!E837-E837</f>
        <v>1150</v>
      </c>
      <c r="K837" s="43">
        <f>K836+Учет!F837-F837</f>
        <v>500000</v>
      </c>
      <c r="L837" s="45">
        <f>Учет!I837</f>
        <v>349526.07999999996</v>
      </c>
    </row>
    <row r="838" spans="1:12" x14ac:dyDescent="0.25">
      <c r="A838" s="48" t="str">
        <f>IF(Учет!A838&lt;&gt;"",Учет!A838,"")</f>
        <v/>
      </c>
      <c r="B838" s="52">
        <f>IF(Учет!$O838=Справочники!$F$2,Учет!$H838,0)</f>
        <v>0</v>
      </c>
      <c r="C838" s="52">
        <f>IF(Учет!$O838=Справочники!$F$3,Учет!$H838,0)</f>
        <v>0</v>
      </c>
      <c r="D838" s="52">
        <f>IF(Учет!$O838=Справочники!$F$4,Учет!$H838,0)</f>
        <v>0</v>
      </c>
      <c r="E838" s="52">
        <f>IF(Учет!$O838=Справочники!$F$5,Учет!$H838,0)</f>
        <v>0</v>
      </c>
      <c r="F838" s="52">
        <f>IF(Учет!$O838=Справочники!$F$6,Учет!$H838,0)</f>
        <v>0</v>
      </c>
      <c r="G838" s="43">
        <f>G837+Учет!B838-B838</f>
        <v>-488978.92000000004</v>
      </c>
      <c r="H838" s="43">
        <f>H837+Учет!C838-C838</f>
        <v>336855</v>
      </c>
      <c r="I838" s="43">
        <f>I837+Учет!D838-D838</f>
        <v>500</v>
      </c>
      <c r="J838" s="43">
        <f>J837+Учет!E838-E838</f>
        <v>1150</v>
      </c>
      <c r="K838" s="43">
        <f>K837+Учет!F838-F838</f>
        <v>500000</v>
      </c>
      <c r="L838" s="45">
        <f>Учет!I838</f>
        <v>349526.07999999996</v>
      </c>
    </row>
    <row r="839" spans="1:12" x14ac:dyDescent="0.25">
      <c r="A839" s="48" t="str">
        <f>IF(Учет!A839&lt;&gt;"",Учет!A839,"")</f>
        <v/>
      </c>
      <c r="B839" s="52">
        <f>IF(Учет!$O839=Справочники!$F$2,Учет!$H839,0)</f>
        <v>0</v>
      </c>
      <c r="C839" s="52">
        <f>IF(Учет!$O839=Справочники!$F$3,Учет!$H839,0)</f>
        <v>0</v>
      </c>
      <c r="D839" s="52">
        <f>IF(Учет!$O839=Справочники!$F$4,Учет!$H839,0)</f>
        <v>0</v>
      </c>
      <c r="E839" s="52">
        <f>IF(Учет!$O839=Справочники!$F$5,Учет!$H839,0)</f>
        <v>0</v>
      </c>
      <c r="F839" s="52">
        <f>IF(Учет!$O839=Справочники!$F$6,Учет!$H839,0)</f>
        <v>0</v>
      </c>
      <c r="G839" s="43">
        <f>G838+Учет!B839-B839</f>
        <v>-488978.92000000004</v>
      </c>
      <c r="H839" s="43">
        <f>H838+Учет!C839-C839</f>
        <v>336855</v>
      </c>
      <c r="I839" s="43">
        <f>I838+Учет!D839-D839</f>
        <v>500</v>
      </c>
      <c r="J839" s="43">
        <f>J838+Учет!E839-E839</f>
        <v>1150</v>
      </c>
      <c r="K839" s="43">
        <f>K838+Учет!F839-F839</f>
        <v>500000</v>
      </c>
      <c r="L839" s="45">
        <f>Учет!I839</f>
        <v>349526.07999999996</v>
      </c>
    </row>
    <row r="840" spans="1:12" x14ac:dyDescent="0.25">
      <c r="A840" s="48" t="str">
        <f>IF(Учет!A840&lt;&gt;"",Учет!A840,"")</f>
        <v/>
      </c>
      <c r="B840" s="52">
        <f>IF(Учет!$O840=Справочники!$F$2,Учет!$H840,0)</f>
        <v>0</v>
      </c>
      <c r="C840" s="52">
        <f>IF(Учет!$O840=Справочники!$F$3,Учет!$H840,0)</f>
        <v>0</v>
      </c>
      <c r="D840" s="52">
        <f>IF(Учет!$O840=Справочники!$F$4,Учет!$H840,0)</f>
        <v>0</v>
      </c>
      <c r="E840" s="52">
        <f>IF(Учет!$O840=Справочники!$F$5,Учет!$H840,0)</f>
        <v>0</v>
      </c>
      <c r="F840" s="52">
        <f>IF(Учет!$O840=Справочники!$F$6,Учет!$H840,0)</f>
        <v>0</v>
      </c>
      <c r="G840" s="43">
        <f>G839+Учет!B840-B840</f>
        <v>-488978.92000000004</v>
      </c>
      <c r="H840" s="43">
        <f>H839+Учет!C840-C840</f>
        <v>336855</v>
      </c>
      <c r="I840" s="43">
        <f>I839+Учет!D840-D840</f>
        <v>500</v>
      </c>
      <c r="J840" s="43">
        <f>J839+Учет!E840-E840</f>
        <v>1150</v>
      </c>
      <c r="K840" s="43">
        <f>K839+Учет!F840-F840</f>
        <v>500000</v>
      </c>
      <c r="L840" s="45">
        <f>Учет!I840</f>
        <v>349526.07999999996</v>
      </c>
    </row>
    <row r="841" spans="1:12" x14ac:dyDescent="0.25">
      <c r="A841" s="48" t="str">
        <f>IF(Учет!A841&lt;&gt;"",Учет!A841,"")</f>
        <v/>
      </c>
      <c r="B841" s="52">
        <f>IF(Учет!$O841=Справочники!$F$2,Учет!$H841,0)</f>
        <v>0</v>
      </c>
      <c r="C841" s="52">
        <f>IF(Учет!$O841=Справочники!$F$3,Учет!$H841,0)</f>
        <v>0</v>
      </c>
      <c r="D841" s="52">
        <f>IF(Учет!$O841=Справочники!$F$4,Учет!$H841,0)</f>
        <v>0</v>
      </c>
      <c r="E841" s="52">
        <f>IF(Учет!$O841=Справочники!$F$5,Учет!$H841,0)</f>
        <v>0</v>
      </c>
      <c r="F841" s="52">
        <f>IF(Учет!$O841=Справочники!$F$6,Учет!$H841,0)</f>
        <v>0</v>
      </c>
      <c r="G841" s="43">
        <f>G840+Учет!B841-B841</f>
        <v>-488978.92000000004</v>
      </c>
      <c r="H841" s="43">
        <f>H840+Учет!C841-C841</f>
        <v>336855</v>
      </c>
      <c r="I841" s="43">
        <f>I840+Учет!D841-D841</f>
        <v>500</v>
      </c>
      <c r="J841" s="43">
        <f>J840+Учет!E841-E841</f>
        <v>1150</v>
      </c>
      <c r="K841" s="43">
        <f>K840+Учет!F841-F841</f>
        <v>500000</v>
      </c>
      <c r="L841" s="45">
        <f>Учет!I841</f>
        <v>349526.07999999996</v>
      </c>
    </row>
    <row r="842" spans="1:12" x14ac:dyDescent="0.25">
      <c r="A842" s="48" t="str">
        <f>IF(Учет!A842&lt;&gt;"",Учет!A842,"")</f>
        <v/>
      </c>
      <c r="B842" s="52">
        <f>IF(Учет!$O842=Справочники!$F$2,Учет!$H842,0)</f>
        <v>0</v>
      </c>
      <c r="C842" s="52">
        <f>IF(Учет!$O842=Справочники!$F$3,Учет!$H842,0)</f>
        <v>0</v>
      </c>
      <c r="D842" s="52">
        <f>IF(Учет!$O842=Справочники!$F$4,Учет!$H842,0)</f>
        <v>0</v>
      </c>
      <c r="E842" s="52">
        <f>IF(Учет!$O842=Справочники!$F$5,Учет!$H842,0)</f>
        <v>0</v>
      </c>
      <c r="F842" s="52">
        <f>IF(Учет!$O842=Справочники!$F$6,Учет!$H842,0)</f>
        <v>0</v>
      </c>
      <c r="G842" s="43">
        <f>G841+Учет!B842-B842</f>
        <v>-488978.92000000004</v>
      </c>
      <c r="H842" s="43">
        <f>H841+Учет!C842-C842</f>
        <v>336855</v>
      </c>
      <c r="I842" s="43">
        <f>I841+Учет!D842-D842</f>
        <v>500</v>
      </c>
      <c r="J842" s="43">
        <f>J841+Учет!E842-E842</f>
        <v>1150</v>
      </c>
      <c r="K842" s="43">
        <f>K841+Учет!F842-F842</f>
        <v>500000</v>
      </c>
      <c r="L842" s="45">
        <f>Учет!I842</f>
        <v>349526.07999999996</v>
      </c>
    </row>
    <row r="843" spans="1:12" x14ac:dyDescent="0.25">
      <c r="A843" s="48" t="str">
        <f>IF(Учет!A843&lt;&gt;"",Учет!A843,"")</f>
        <v/>
      </c>
      <c r="B843" s="52">
        <f>IF(Учет!$O843=Справочники!$F$2,Учет!$H843,0)</f>
        <v>0</v>
      </c>
      <c r="C843" s="52">
        <f>IF(Учет!$O843=Справочники!$F$3,Учет!$H843,0)</f>
        <v>0</v>
      </c>
      <c r="D843" s="52">
        <f>IF(Учет!$O843=Справочники!$F$4,Учет!$H843,0)</f>
        <v>0</v>
      </c>
      <c r="E843" s="52">
        <f>IF(Учет!$O843=Справочники!$F$5,Учет!$H843,0)</f>
        <v>0</v>
      </c>
      <c r="F843" s="52">
        <f>IF(Учет!$O843=Справочники!$F$6,Учет!$H843,0)</f>
        <v>0</v>
      </c>
      <c r="G843" s="43">
        <f>G842+Учет!B843-B843</f>
        <v>-488978.92000000004</v>
      </c>
      <c r="H843" s="43">
        <f>H842+Учет!C843-C843</f>
        <v>336855</v>
      </c>
      <c r="I843" s="43">
        <f>I842+Учет!D843-D843</f>
        <v>500</v>
      </c>
      <c r="J843" s="43">
        <f>J842+Учет!E843-E843</f>
        <v>1150</v>
      </c>
      <c r="K843" s="43">
        <f>K842+Учет!F843-F843</f>
        <v>500000</v>
      </c>
      <c r="L843" s="45">
        <f>Учет!I843</f>
        <v>349526.07999999996</v>
      </c>
    </row>
    <row r="844" spans="1:12" x14ac:dyDescent="0.25">
      <c r="A844" s="48" t="str">
        <f>IF(Учет!A844&lt;&gt;"",Учет!A844,"")</f>
        <v/>
      </c>
      <c r="B844" s="52">
        <f>IF(Учет!$O844=Справочники!$F$2,Учет!$H844,0)</f>
        <v>0</v>
      </c>
      <c r="C844" s="52">
        <f>IF(Учет!$O844=Справочники!$F$3,Учет!$H844,0)</f>
        <v>0</v>
      </c>
      <c r="D844" s="52">
        <f>IF(Учет!$O844=Справочники!$F$4,Учет!$H844,0)</f>
        <v>0</v>
      </c>
      <c r="E844" s="52">
        <f>IF(Учет!$O844=Справочники!$F$5,Учет!$H844,0)</f>
        <v>0</v>
      </c>
      <c r="F844" s="52">
        <f>IF(Учет!$O844=Справочники!$F$6,Учет!$H844,0)</f>
        <v>0</v>
      </c>
      <c r="G844" s="43">
        <f>G843+Учет!B844-B844</f>
        <v>-488978.92000000004</v>
      </c>
      <c r="H844" s="43">
        <f>H843+Учет!C844-C844</f>
        <v>336855</v>
      </c>
      <c r="I844" s="43">
        <f>I843+Учет!D844-D844</f>
        <v>500</v>
      </c>
      <c r="J844" s="43">
        <f>J843+Учет!E844-E844</f>
        <v>1150</v>
      </c>
      <c r="K844" s="43">
        <f>K843+Учет!F844-F844</f>
        <v>500000</v>
      </c>
      <c r="L844" s="45">
        <f>Учет!I844</f>
        <v>349526.07999999996</v>
      </c>
    </row>
    <row r="845" spans="1:12" x14ac:dyDescent="0.25">
      <c r="A845" s="48" t="str">
        <f>IF(Учет!A845&lt;&gt;"",Учет!A845,"")</f>
        <v/>
      </c>
      <c r="B845" s="52">
        <f>IF(Учет!$O845=Справочники!$F$2,Учет!$H845,0)</f>
        <v>0</v>
      </c>
      <c r="C845" s="52">
        <f>IF(Учет!$O845=Справочники!$F$3,Учет!$H845,0)</f>
        <v>0</v>
      </c>
      <c r="D845" s="52">
        <f>IF(Учет!$O845=Справочники!$F$4,Учет!$H845,0)</f>
        <v>0</v>
      </c>
      <c r="E845" s="52">
        <f>IF(Учет!$O845=Справочники!$F$5,Учет!$H845,0)</f>
        <v>0</v>
      </c>
      <c r="F845" s="52">
        <f>IF(Учет!$O845=Справочники!$F$6,Учет!$H845,0)</f>
        <v>0</v>
      </c>
      <c r="G845" s="43">
        <f>G844+Учет!B845-B845</f>
        <v>-488978.92000000004</v>
      </c>
      <c r="H845" s="43">
        <f>H844+Учет!C845-C845</f>
        <v>336855</v>
      </c>
      <c r="I845" s="43">
        <f>I844+Учет!D845-D845</f>
        <v>500</v>
      </c>
      <c r="J845" s="43">
        <f>J844+Учет!E845-E845</f>
        <v>1150</v>
      </c>
      <c r="K845" s="43">
        <f>K844+Учет!F845-F845</f>
        <v>500000</v>
      </c>
      <c r="L845" s="45">
        <f>Учет!I845</f>
        <v>349526.07999999996</v>
      </c>
    </row>
    <row r="846" spans="1:12" x14ac:dyDescent="0.25">
      <c r="A846" s="48" t="str">
        <f>IF(Учет!A846&lt;&gt;"",Учет!A846,"")</f>
        <v/>
      </c>
      <c r="B846" s="52">
        <f>IF(Учет!$O846=Справочники!$F$2,Учет!$H846,0)</f>
        <v>0</v>
      </c>
      <c r="C846" s="52">
        <f>IF(Учет!$O846=Справочники!$F$3,Учет!$H846,0)</f>
        <v>0</v>
      </c>
      <c r="D846" s="52">
        <f>IF(Учет!$O846=Справочники!$F$4,Учет!$H846,0)</f>
        <v>0</v>
      </c>
      <c r="E846" s="52">
        <f>IF(Учет!$O846=Справочники!$F$5,Учет!$H846,0)</f>
        <v>0</v>
      </c>
      <c r="F846" s="52">
        <f>IF(Учет!$O846=Справочники!$F$6,Учет!$H846,0)</f>
        <v>0</v>
      </c>
      <c r="G846" s="43">
        <f>G845+Учет!B846-B846</f>
        <v>-488978.92000000004</v>
      </c>
      <c r="H846" s="43">
        <f>H845+Учет!C846-C846</f>
        <v>336855</v>
      </c>
      <c r="I846" s="43">
        <f>I845+Учет!D846-D846</f>
        <v>500</v>
      </c>
      <c r="J846" s="43">
        <f>J845+Учет!E846-E846</f>
        <v>1150</v>
      </c>
      <c r="K846" s="43">
        <f>K845+Учет!F846-F846</f>
        <v>500000</v>
      </c>
      <c r="L846" s="45">
        <f>Учет!I846</f>
        <v>349526.07999999996</v>
      </c>
    </row>
    <row r="847" spans="1:12" x14ac:dyDescent="0.25">
      <c r="A847" s="48" t="str">
        <f>IF(Учет!A847&lt;&gt;"",Учет!A847,"")</f>
        <v/>
      </c>
      <c r="B847" s="52">
        <f>IF(Учет!$O847=Справочники!$F$2,Учет!$H847,0)</f>
        <v>0</v>
      </c>
      <c r="C847" s="52">
        <f>IF(Учет!$O847=Справочники!$F$3,Учет!$H847,0)</f>
        <v>0</v>
      </c>
      <c r="D847" s="52">
        <f>IF(Учет!$O847=Справочники!$F$4,Учет!$H847,0)</f>
        <v>0</v>
      </c>
      <c r="E847" s="52">
        <f>IF(Учет!$O847=Справочники!$F$5,Учет!$H847,0)</f>
        <v>0</v>
      </c>
      <c r="F847" s="52">
        <f>IF(Учет!$O847=Справочники!$F$6,Учет!$H847,0)</f>
        <v>0</v>
      </c>
      <c r="G847" s="43">
        <f>G846+Учет!B847-B847</f>
        <v>-488978.92000000004</v>
      </c>
      <c r="H847" s="43">
        <f>H846+Учет!C847-C847</f>
        <v>336855</v>
      </c>
      <c r="I847" s="43">
        <f>I846+Учет!D847-D847</f>
        <v>500</v>
      </c>
      <c r="J847" s="43">
        <f>J846+Учет!E847-E847</f>
        <v>1150</v>
      </c>
      <c r="K847" s="43">
        <f>K846+Учет!F847-F847</f>
        <v>500000</v>
      </c>
      <c r="L847" s="45">
        <f>Учет!I847</f>
        <v>349526.07999999996</v>
      </c>
    </row>
    <row r="848" spans="1:12" x14ac:dyDescent="0.25">
      <c r="A848" s="48" t="str">
        <f>IF(Учет!A848&lt;&gt;"",Учет!A848,"")</f>
        <v/>
      </c>
      <c r="B848" s="52">
        <f>IF(Учет!$O848=Справочники!$F$2,Учет!$H848,0)</f>
        <v>0</v>
      </c>
      <c r="C848" s="52">
        <f>IF(Учет!$O848=Справочники!$F$3,Учет!$H848,0)</f>
        <v>0</v>
      </c>
      <c r="D848" s="52">
        <f>IF(Учет!$O848=Справочники!$F$4,Учет!$H848,0)</f>
        <v>0</v>
      </c>
      <c r="E848" s="52">
        <f>IF(Учет!$O848=Справочники!$F$5,Учет!$H848,0)</f>
        <v>0</v>
      </c>
      <c r="F848" s="52">
        <f>IF(Учет!$O848=Справочники!$F$6,Учет!$H848,0)</f>
        <v>0</v>
      </c>
      <c r="G848" s="43">
        <f>G847+Учет!B848-B848</f>
        <v>-488978.92000000004</v>
      </c>
      <c r="H848" s="43">
        <f>H847+Учет!C848-C848</f>
        <v>336855</v>
      </c>
      <c r="I848" s="43">
        <f>I847+Учет!D848-D848</f>
        <v>500</v>
      </c>
      <c r="J848" s="43">
        <f>J847+Учет!E848-E848</f>
        <v>1150</v>
      </c>
      <c r="K848" s="43">
        <f>K847+Учет!F848-F848</f>
        <v>500000</v>
      </c>
      <c r="L848" s="45">
        <f>Учет!I848</f>
        <v>349526.07999999996</v>
      </c>
    </row>
    <row r="849" spans="1:12" x14ac:dyDescent="0.25">
      <c r="A849" s="48" t="str">
        <f>IF(Учет!A849&lt;&gt;"",Учет!A849,"")</f>
        <v/>
      </c>
      <c r="B849" s="52">
        <f>IF(Учет!$O849=Справочники!$F$2,Учет!$H849,0)</f>
        <v>0</v>
      </c>
      <c r="C849" s="52">
        <f>IF(Учет!$O849=Справочники!$F$3,Учет!$H849,0)</f>
        <v>0</v>
      </c>
      <c r="D849" s="52">
        <f>IF(Учет!$O849=Справочники!$F$4,Учет!$H849,0)</f>
        <v>0</v>
      </c>
      <c r="E849" s="52">
        <f>IF(Учет!$O849=Справочники!$F$5,Учет!$H849,0)</f>
        <v>0</v>
      </c>
      <c r="F849" s="52">
        <f>IF(Учет!$O849=Справочники!$F$6,Учет!$H849,0)</f>
        <v>0</v>
      </c>
      <c r="G849" s="43">
        <f>G848+Учет!B849-B849</f>
        <v>-488978.92000000004</v>
      </c>
      <c r="H849" s="43">
        <f>H848+Учет!C849-C849</f>
        <v>336855</v>
      </c>
      <c r="I849" s="43">
        <f>I848+Учет!D849-D849</f>
        <v>500</v>
      </c>
      <c r="J849" s="43">
        <f>J848+Учет!E849-E849</f>
        <v>1150</v>
      </c>
      <c r="K849" s="43">
        <f>K848+Учет!F849-F849</f>
        <v>500000</v>
      </c>
      <c r="L849" s="45">
        <f>Учет!I849</f>
        <v>349526.07999999996</v>
      </c>
    </row>
    <row r="850" spans="1:12" x14ac:dyDescent="0.25">
      <c r="A850" s="48" t="str">
        <f>IF(Учет!A850&lt;&gt;"",Учет!A850,"")</f>
        <v/>
      </c>
      <c r="B850" s="52">
        <f>IF(Учет!$O850=Справочники!$F$2,Учет!$H850,0)</f>
        <v>0</v>
      </c>
      <c r="C850" s="52">
        <f>IF(Учет!$O850=Справочники!$F$3,Учет!$H850,0)</f>
        <v>0</v>
      </c>
      <c r="D850" s="52">
        <f>IF(Учет!$O850=Справочники!$F$4,Учет!$H850,0)</f>
        <v>0</v>
      </c>
      <c r="E850" s="52">
        <f>IF(Учет!$O850=Справочники!$F$5,Учет!$H850,0)</f>
        <v>0</v>
      </c>
      <c r="F850" s="52">
        <f>IF(Учет!$O850=Справочники!$F$6,Учет!$H850,0)</f>
        <v>0</v>
      </c>
      <c r="G850" s="43">
        <f>G849+Учет!B850-B850</f>
        <v>-488978.92000000004</v>
      </c>
      <c r="H850" s="43">
        <f>H849+Учет!C850-C850</f>
        <v>336855</v>
      </c>
      <c r="I850" s="43">
        <f>I849+Учет!D850-D850</f>
        <v>500</v>
      </c>
      <c r="J850" s="43">
        <f>J849+Учет!E850-E850</f>
        <v>1150</v>
      </c>
      <c r="K850" s="43">
        <f>K849+Учет!F850-F850</f>
        <v>500000</v>
      </c>
      <c r="L850" s="45">
        <f>Учет!I850</f>
        <v>349526.07999999996</v>
      </c>
    </row>
    <row r="851" spans="1:12" x14ac:dyDescent="0.25">
      <c r="A851" s="48" t="str">
        <f>IF(Учет!A851&lt;&gt;"",Учет!A851,"")</f>
        <v/>
      </c>
      <c r="B851" s="52">
        <f>IF(Учет!$O851=Справочники!$F$2,Учет!$H851,0)</f>
        <v>0</v>
      </c>
      <c r="C851" s="52">
        <f>IF(Учет!$O851=Справочники!$F$3,Учет!$H851,0)</f>
        <v>0</v>
      </c>
      <c r="D851" s="52">
        <f>IF(Учет!$O851=Справочники!$F$4,Учет!$H851,0)</f>
        <v>0</v>
      </c>
      <c r="E851" s="52">
        <f>IF(Учет!$O851=Справочники!$F$5,Учет!$H851,0)</f>
        <v>0</v>
      </c>
      <c r="F851" s="52">
        <f>IF(Учет!$O851=Справочники!$F$6,Учет!$H851,0)</f>
        <v>0</v>
      </c>
      <c r="G851" s="43">
        <f>G850+Учет!B851-B851</f>
        <v>-488978.92000000004</v>
      </c>
      <c r="H851" s="43">
        <f>H850+Учет!C851-C851</f>
        <v>336855</v>
      </c>
      <c r="I851" s="43">
        <f>I850+Учет!D851-D851</f>
        <v>500</v>
      </c>
      <c r="J851" s="43">
        <f>J850+Учет!E851-E851</f>
        <v>1150</v>
      </c>
      <c r="K851" s="43">
        <f>K850+Учет!F851-F851</f>
        <v>500000</v>
      </c>
      <c r="L851" s="45">
        <f>Учет!I851</f>
        <v>349526.07999999996</v>
      </c>
    </row>
    <row r="852" spans="1:12" x14ac:dyDescent="0.25">
      <c r="A852" s="48" t="str">
        <f>IF(Учет!A852&lt;&gt;"",Учет!A852,"")</f>
        <v/>
      </c>
      <c r="B852" s="52">
        <f>IF(Учет!$O852=Справочники!$F$2,Учет!$H852,0)</f>
        <v>0</v>
      </c>
      <c r="C852" s="52">
        <f>IF(Учет!$O852=Справочники!$F$3,Учет!$H852,0)</f>
        <v>0</v>
      </c>
      <c r="D852" s="52">
        <f>IF(Учет!$O852=Справочники!$F$4,Учет!$H852,0)</f>
        <v>0</v>
      </c>
      <c r="E852" s="52">
        <f>IF(Учет!$O852=Справочники!$F$5,Учет!$H852,0)</f>
        <v>0</v>
      </c>
      <c r="F852" s="52">
        <f>IF(Учет!$O852=Справочники!$F$6,Учет!$H852,0)</f>
        <v>0</v>
      </c>
      <c r="G852" s="43">
        <f>G851+Учет!B852-B852</f>
        <v>-488978.92000000004</v>
      </c>
      <c r="H852" s="43">
        <f>H851+Учет!C852-C852</f>
        <v>336855</v>
      </c>
      <c r="I852" s="43">
        <f>I851+Учет!D852-D852</f>
        <v>500</v>
      </c>
      <c r="J852" s="43">
        <f>J851+Учет!E852-E852</f>
        <v>1150</v>
      </c>
      <c r="K852" s="43">
        <f>K851+Учет!F852-F852</f>
        <v>500000</v>
      </c>
      <c r="L852" s="45">
        <f>Учет!I852</f>
        <v>349526.07999999996</v>
      </c>
    </row>
    <row r="853" spans="1:12" x14ac:dyDescent="0.25">
      <c r="A853" s="48" t="str">
        <f>IF(Учет!A853&lt;&gt;"",Учет!A853,"")</f>
        <v/>
      </c>
      <c r="B853" s="52">
        <f>IF(Учет!$O853=Справочники!$F$2,Учет!$H853,0)</f>
        <v>0</v>
      </c>
      <c r="C853" s="52">
        <f>IF(Учет!$O853=Справочники!$F$3,Учет!$H853,0)</f>
        <v>0</v>
      </c>
      <c r="D853" s="52">
        <f>IF(Учет!$O853=Справочники!$F$4,Учет!$H853,0)</f>
        <v>0</v>
      </c>
      <c r="E853" s="52">
        <f>IF(Учет!$O853=Справочники!$F$5,Учет!$H853,0)</f>
        <v>0</v>
      </c>
      <c r="F853" s="52">
        <f>IF(Учет!$O853=Справочники!$F$6,Учет!$H853,0)</f>
        <v>0</v>
      </c>
      <c r="G853" s="43">
        <f>G852+Учет!B853-B853</f>
        <v>-488978.92000000004</v>
      </c>
      <c r="H853" s="43">
        <f>H852+Учет!C853-C853</f>
        <v>336855</v>
      </c>
      <c r="I853" s="43">
        <f>I852+Учет!D853-D853</f>
        <v>500</v>
      </c>
      <c r="J853" s="43">
        <f>J852+Учет!E853-E853</f>
        <v>1150</v>
      </c>
      <c r="K853" s="43">
        <f>K852+Учет!F853-F853</f>
        <v>500000</v>
      </c>
      <c r="L853" s="45">
        <f>Учет!I853</f>
        <v>349526.07999999996</v>
      </c>
    </row>
    <row r="854" spans="1:12" x14ac:dyDescent="0.25">
      <c r="A854" s="48" t="str">
        <f>IF(Учет!A854&lt;&gt;"",Учет!A854,"")</f>
        <v/>
      </c>
      <c r="B854" s="52">
        <f>IF(Учет!$O854=Справочники!$F$2,Учет!$H854,0)</f>
        <v>0</v>
      </c>
      <c r="C854" s="52">
        <f>IF(Учет!$O854=Справочники!$F$3,Учет!$H854,0)</f>
        <v>0</v>
      </c>
      <c r="D854" s="52">
        <f>IF(Учет!$O854=Справочники!$F$4,Учет!$H854,0)</f>
        <v>0</v>
      </c>
      <c r="E854" s="52">
        <f>IF(Учет!$O854=Справочники!$F$5,Учет!$H854,0)</f>
        <v>0</v>
      </c>
      <c r="F854" s="52">
        <f>IF(Учет!$O854=Справочники!$F$6,Учет!$H854,0)</f>
        <v>0</v>
      </c>
      <c r="G854" s="43">
        <f>G853+Учет!B854-B854</f>
        <v>-488978.92000000004</v>
      </c>
      <c r="H854" s="43">
        <f>H853+Учет!C854-C854</f>
        <v>336855</v>
      </c>
      <c r="I854" s="43">
        <f>I853+Учет!D854-D854</f>
        <v>500</v>
      </c>
      <c r="J854" s="43">
        <f>J853+Учет!E854-E854</f>
        <v>1150</v>
      </c>
      <c r="K854" s="43">
        <f>K853+Учет!F854-F854</f>
        <v>500000</v>
      </c>
      <c r="L854" s="45">
        <f>Учет!I854</f>
        <v>349526.07999999996</v>
      </c>
    </row>
    <row r="855" spans="1:12" x14ac:dyDescent="0.25">
      <c r="A855" s="48" t="str">
        <f>IF(Учет!A855&lt;&gt;"",Учет!A855,"")</f>
        <v/>
      </c>
      <c r="B855" s="52">
        <f>IF(Учет!$O855=Справочники!$F$2,Учет!$H855,0)</f>
        <v>0</v>
      </c>
      <c r="C855" s="52">
        <f>IF(Учет!$O855=Справочники!$F$3,Учет!$H855,0)</f>
        <v>0</v>
      </c>
      <c r="D855" s="52">
        <f>IF(Учет!$O855=Справочники!$F$4,Учет!$H855,0)</f>
        <v>0</v>
      </c>
      <c r="E855" s="52">
        <f>IF(Учет!$O855=Справочники!$F$5,Учет!$H855,0)</f>
        <v>0</v>
      </c>
      <c r="F855" s="52">
        <f>IF(Учет!$O855=Справочники!$F$6,Учет!$H855,0)</f>
        <v>0</v>
      </c>
      <c r="G855" s="43">
        <f>G854+Учет!B855-B855</f>
        <v>-488978.92000000004</v>
      </c>
      <c r="H855" s="43">
        <f>H854+Учет!C855-C855</f>
        <v>336855</v>
      </c>
      <c r="I855" s="43">
        <f>I854+Учет!D855-D855</f>
        <v>500</v>
      </c>
      <c r="J855" s="43">
        <f>J854+Учет!E855-E855</f>
        <v>1150</v>
      </c>
      <c r="K855" s="43">
        <f>K854+Учет!F855-F855</f>
        <v>500000</v>
      </c>
      <c r="L855" s="45">
        <f>Учет!I855</f>
        <v>349526.07999999996</v>
      </c>
    </row>
    <row r="856" spans="1:12" x14ac:dyDescent="0.25">
      <c r="A856" s="48" t="str">
        <f>IF(Учет!A856&lt;&gt;"",Учет!A856,"")</f>
        <v/>
      </c>
      <c r="B856" s="52">
        <f>IF(Учет!$O856=Справочники!$F$2,Учет!$H856,0)</f>
        <v>0</v>
      </c>
      <c r="C856" s="52">
        <f>IF(Учет!$O856=Справочники!$F$3,Учет!$H856,0)</f>
        <v>0</v>
      </c>
      <c r="D856" s="52">
        <f>IF(Учет!$O856=Справочники!$F$4,Учет!$H856,0)</f>
        <v>0</v>
      </c>
      <c r="E856" s="52">
        <f>IF(Учет!$O856=Справочники!$F$5,Учет!$H856,0)</f>
        <v>0</v>
      </c>
      <c r="F856" s="52">
        <f>IF(Учет!$O856=Справочники!$F$6,Учет!$H856,0)</f>
        <v>0</v>
      </c>
      <c r="G856" s="43">
        <f>G855+Учет!B856-B856</f>
        <v>-488978.92000000004</v>
      </c>
      <c r="H856" s="43">
        <f>H855+Учет!C856-C856</f>
        <v>336855</v>
      </c>
      <c r="I856" s="43">
        <f>I855+Учет!D856-D856</f>
        <v>500</v>
      </c>
      <c r="J856" s="43">
        <f>J855+Учет!E856-E856</f>
        <v>1150</v>
      </c>
      <c r="K856" s="43">
        <f>K855+Учет!F856-F856</f>
        <v>500000</v>
      </c>
      <c r="L856" s="45">
        <f>Учет!I856</f>
        <v>349526.07999999996</v>
      </c>
    </row>
    <row r="857" spans="1:12" x14ac:dyDescent="0.25">
      <c r="A857" s="48" t="str">
        <f>IF(Учет!A857&lt;&gt;"",Учет!A857,"")</f>
        <v/>
      </c>
      <c r="B857" s="52">
        <f>IF(Учет!$O857=Справочники!$F$2,Учет!$H857,0)</f>
        <v>0</v>
      </c>
      <c r="C857" s="52">
        <f>IF(Учет!$O857=Справочники!$F$3,Учет!$H857,0)</f>
        <v>0</v>
      </c>
      <c r="D857" s="52">
        <f>IF(Учет!$O857=Справочники!$F$4,Учет!$H857,0)</f>
        <v>0</v>
      </c>
      <c r="E857" s="52">
        <f>IF(Учет!$O857=Справочники!$F$5,Учет!$H857,0)</f>
        <v>0</v>
      </c>
      <c r="F857" s="52">
        <f>IF(Учет!$O857=Справочники!$F$6,Учет!$H857,0)</f>
        <v>0</v>
      </c>
      <c r="G857" s="43">
        <f>G856+Учет!B857-B857</f>
        <v>-488978.92000000004</v>
      </c>
      <c r="H857" s="43">
        <f>H856+Учет!C857-C857</f>
        <v>336855</v>
      </c>
      <c r="I857" s="43">
        <f>I856+Учет!D857-D857</f>
        <v>500</v>
      </c>
      <c r="J857" s="43">
        <f>J856+Учет!E857-E857</f>
        <v>1150</v>
      </c>
      <c r="K857" s="43">
        <f>K856+Учет!F857-F857</f>
        <v>500000</v>
      </c>
      <c r="L857" s="45">
        <f>Учет!I857</f>
        <v>349526.07999999996</v>
      </c>
    </row>
    <row r="858" spans="1:12" x14ac:dyDescent="0.25">
      <c r="A858" s="48" t="str">
        <f>IF(Учет!A858&lt;&gt;"",Учет!A858,"")</f>
        <v/>
      </c>
      <c r="B858" s="52">
        <f>IF(Учет!$O858=Справочники!$F$2,Учет!$H858,0)</f>
        <v>0</v>
      </c>
      <c r="C858" s="52">
        <f>IF(Учет!$O858=Справочники!$F$3,Учет!$H858,0)</f>
        <v>0</v>
      </c>
      <c r="D858" s="52">
        <f>IF(Учет!$O858=Справочники!$F$4,Учет!$H858,0)</f>
        <v>0</v>
      </c>
      <c r="E858" s="52">
        <f>IF(Учет!$O858=Справочники!$F$5,Учет!$H858,0)</f>
        <v>0</v>
      </c>
      <c r="F858" s="52">
        <f>IF(Учет!$O858=Справочники!$F$6,Учет!$H858,0)</f>
        <v>0</v>
      </c>
      <c r="G858" s="43">
        <f>G857+Учет!B858-B858</f>
        <v>-488978.92000000004</v>
      </c>
      <c r="H858" s="43">
        <f>H857+Учет!C858-C858</f>
        <v>336855</v>
      </c>
      <c r="I858" s="43">
        <f>I857+Учет!D858-D858</f>
        <v>500</v>
      </c>
      <c r="J858" s="43">
        <f>J857+Учет!E858-E858</f>
        <v>1150</v>
      </c>
      <c r="K858" s="43">
        <f>K857+Учет!F858-F858</f>
        <v>500000</v>
      </c>
      <c r="L858" s="45">
        <f>Учет!I858</f>
        <v>349526.07999999996</v>
      </c>
    </row>
    <row r="859" spans="1:12" x14ac:dyDescent="0.25">
      <c r="A859" s="48" t="str">
        <f>IF(Учет!A859&lt;&gt;"",Учет!A859,"")</f>
        <v/>
      </c>
      <c r="B859" s="52">
        <f>IF(Учет!$O859=Справочники!$F$2,Учет!$H859,0)</f>
        <v>0</v>
      </c>
      <c r="C859" s="52">
        <f>IF(Учет!$O859=Справочники!$F$3,Учет!$H859,0)</f>
        <v>0</v>
      </c>
      <c r="D859" s="52">
        <f>IF(Учет!$O859=Справочники!$F$4,Учет!$H859,0)</f>
        <v>0</v>
      </c>
      <c r="E859" s="52">
        <f>IF(Учет!$O859=Справочники!$F$5,Учет!$H859,0)</f>
        <v>0</v>
      </c>
      <c r="F859" s="52">
        <f>IF(Учет!$O859=Справочники!$F$6,Учет!$H859,0)</f>
        <v>0</v>
      </c>
      <c r="G859" s="43">
        <f>G858+Учет!B859-B859</f>
        <v>-488978.92000000004</v>
      </c>
      <c r="H859" s="43">
        <f>H858+Учет!C859-C859</f>
        <v>336855</v>
      </c>
      <c r="I859" s="43">
        <f>I858+Учет!D859-D859</f>
        <v>500</v>
      </c>
      <c r="J859" s="43">
        <f>J858+Учет!E859-E859</f>
        <v>1150</v>
      </c>
      <c r="K859" s="43">
        <f>K858+Учет!F859-F859</f>
        <v>500000</v>
      </c>
      <c r="L859" s="45">
        <f>Учет!I859</f>
        <v>349526.07999999996</v>
      </c>
    </row>
    <row r="860" spans="1:12" x14ac:dyDescent="0.25">
      <c r="A860" s="48" t="str">
        <f>IF(Учет!A860&lt;&gt;"",Учет!A860,"")</f>
        <v/>
      </c>
      <c r="B860" s="52">
        <f>IF(Учет!$O860=Справочники!$F$2,Учет!$H860,0)</f>
        <v>0</v>
      </c>
      <c r="C860" s="52">
        <f>IF(Учет!$O860=Справочники!$F$3,Учет!$H860,0)</f>
        <v>0</v>
      </c>
      <c r="D860" s="52">
        <f>IF(Учет!$O860=Справочники!$F$4,Учет!$H860,0)</f>
        <v>0</v>
      </c>
      <c r="E860" s="52">
        <f>IF(Учет!$O860=Справочники!$F$5,Учет!$H860,0)</f>
        <v>0</v>
      </c>
      <c r="F860" s="52">
        <f>IF(Учет!$O860=Справочники!$F$6,Учет!$H860,0)</f>
        <v>0</v>
      </c>
      <c r="G860" s="43">
        <f>G859+Учет!B860-B860</f>
        <v>-488978.92000000004</v>
      </c>
      <c r="H860" s="43">
        <f>H859+Учет!C860-C860</f>
        <v>336855</v>
      </c>
      <c r="I860" s="43">
        <f>I859+Учет!D860-D860</f>
        <v>500</v>
      </c>
      <c r="J860" s="43">
        <f>J859+Учет!E860-E860</f>
        <v>1150</v>
      </c>
      <c r="K860" s="43">
        <f>K859+Учет!F860-F860</f>
        <v>500000</v>
      </c>
      <c r="L860" s="45">
        <f>Учет!I860</f>
        <v>349526.07999999996</v>
      </c>
    </row>
    <row r="861" spans="1:12" x14ac:dyDescent="0.25">
      <c r="A861" s="48" t="str">
        <f>IF(Учет!A861&lt;&gt;"",Учет!A861,"")</f>
        <v/>
      </c>
      <c r="B861" s="52">
        <f>IF(Учет!$O861=Справочники!$F$2,Учет!$H861,0)</f>
        <v>0</v>
      </c>
      <c r="C861" s="52">
        <f>IF(Учет!$O861=Справочники!$F$3,Учет!$H861,0)</f>
        <v>0</v>
      </c>
      <c r="D861" s="52">
        <f>IF(Учет!$O861=Справочники!$F$4,Учет!$H861,0)</f>
        <v>0</v>
      </c>
      <c r="E861" s="52">
        <f>IF(Учет!$O861=Справочники!$F$5,Учет!$H861,0)</f>
        <v>0</v>
      </c>
      <c r="F861" s="52">
        <f>IF(Учет!$O861=Справочники!$F$6,Учет!$H861,0)</f>
        <v>0</v>
      </c>
      <c r="G861" s="43">
        <f>G860+Учет!B861-B861</f>
        <v>-488978.92000000004</v>
      </c>
      <c r="H861" s="43">
        <f>H860+Учет!C861-C861</f>
        <v>336855</v>
      </c>
      <c r="I861" s="43">
        <f>I860+Учет!D861-D861</f>
        <v>500</v>
      </c>
      <c r="J861" s="43">
        <f>J860+Учет!E861-E861</f>
        <v>1150</v>
      </c>
      <c r="K861" s="43">
        <f>K860+Учет!F861-F861</f>
        <v>500000</v>
      </c>
      <c r="L861" s="45">
        <f>Учет!I861</f>
        <v>349526.07999999996</v>
      </c>
    </row>
    <row r="862" spans="1:12" x14ac:dyDescent="0.25">
      <c r="A862" s="48" t="str">
        <f>IF(Учет!A862&lt;&gt;"",Учет!A862,"")</f>
        <v/>
      </c>
      <c r="B862" s="52">
        <f>IF(Учет!$O862=Справочники!$F$2,Учет!$H862,0)</f>
        <v>0</v>
      </c>
      <c r="C862" s="52">
        <f>IF(Учет!$O862=Справочники!$F$3,Учет!$H862,0)</f>
        <v>0</v>
      </c>
      <c r="D862" s="52">
        <f>IF(Учет!$O862=Справочники!$F$4,Учет!$H862,0)</f>
        <v>0</v>
      </c>
      <c r="E862" s="52">
        <f>IF(Учет!$O862=Справочники!$F$5,Учет!$H862,0)</f>
        <v>0</v>
      </c>
      <c r="F862" s="52">
        <f>IF(Учет!$O862=Справочники!$F$6,Учет!$H862,0)</f>
        <v>0</v>
      </c>
      <c r="G862" s="43">
        <f>G861+Учет!B862-B862</f>
        <v>-488978.92000000004</v>
      </c>
      <c r="H862" s="43">
        <f>H861+Учет!C862-C862</f>
        <v>336855</v>
      </c>
      <c r="I862" s="43">
        <f>I861+Учет!D862-D862</f>
        <v>500</v>
      </c>
      <c r="J862" s="43">
        <f>J861+Учет!E862-E862</f>
        <v>1150</v>
      </c>
      <c r="K862" s="43">
        <f>K861+Учет!F862-F862</f>
        <v>500000</v>
      </c>
      <c r="L862" s="45">
        <f>Учет!I862</f>
        <v>349526.07999999996</v>
      </c>
    </row>
    <row r="863" spans="1:12" x14ac:dyDescent="0.25">
      <c r="A863" s="48" t="str">
        <f>IF(Учет!A863&lt;&gt;"",Учет!A863,"")</f>
        <v/>
      </c>
      <c r="B863" s="52">
        <f>IF(Учет!$O863=Справочники!$F$2,Учет!$H863,0)</f>
        <v>0</v>
      </c>
      <c r="C863" s="52">
        <f>IF(Учет!$O863=Справочники!$F$3,Учет!$H863,0)</f>
        <v>0</v>
      </c>
      <c r="D863" s="52">
        <f>IF(Учет!$O863=Справочники!$F$4,Учет!$H863,0)</f>
        <v>0</v>
      </c>
      <c r="E863" s="52">
        <f>IF(Учет!$O863=Справочники!$F$5,Учет!$H863,0)</f>
        <v>0</v>
      </c>
      <c r="F863" s="52">
        <f>IF(Учет!$O863=Справочники!$F$6,Учет!$H863,0)</f>
        <v>0</v>
      </c>
      <c r="G863" s="43">
        <f>G862+Учет!B863-B863</f>
        <v>-488978.92000000004</v>
      </c>
      <c r="H863" s="43">
        <f>H862+Учет!C863-C863</f>
        <v>336855</v>
      </c>
      <c r="I863" s="43">
        <f>I862+Учет!D863-D863</f>
        <v>500</v>
      </c>
      <c r="J863" s="43">
        <f>J862+Учет!E863-E863</f>
        <v>1150</v>
      </c>
      <c r="K863" s="43">
        <f>K862+Учет!F863-F863</f>
        <v>500000</v>
      </c>
      <c r="L863" s="45">
        <f>Учет!I863</f>
        <v>349526.07999999996</v>
      </c>
    </row>
    <row r="864" spans="1:12" x14ac:dyDescent="0.25">
      <c r="A864" s="48" t="str">
        <f>IF(Учет!A864&lt;&gt;"",Учет!A864,"")</f>
        <v/>
      </c>
      <c r="B864" s="52">
        <f>IF(Учет!$O864=Справочники!$F$2,Учет!$H864,0)</f>
        <v>0</v>
      </c>
      <c r="C864" s="52">
        <f>IF(Учет!$O864=Справочники!$F$3,Учет!$H864,0)</f>
        <v>0</v>
      </c>
      <c r="D864" s="52">
        <f>IF(Учет!$O864=Справочники!$F$4,Учет!$H864,0)</f>
        <v>0</v>
      </c>
      <c r="E864" s="52">
        <f>IF(Учет!$O864=Справочники!$F$5,Учет!$H864,0)</f>
        <v>0</v>
      </c>
      <c r="F864" s="52">
        <f>IF(Учет!$O864=Справочники!$F$6,Учет!$H864,0)</f>
        <v>0</v>
      </c>
      <c r="G864" s="43">
        <f>G863+Учет!B864-B864</f>
        <v>-488978.92000000004</v>
      </c>
      <c r="H864" s="43">
        <f>H863+Учет!C864-C864</f>
        <v>336855</v>
      </c>
      <c r="I864" s="43">
        <f>I863+Учет!D864-D864</f>
        <v>500</v>
      </c>
      <c r="J864" s="43">
        <f>J863+Учет!E864-E864</f>
        <v>1150</v>
      </c>
      <c r="K864" s="43">
        <f>K863+Учет!F864-F864</f>
        <v>500000</v>
      </c>
      <c r="L864" s="45">
        <f>Учет!I864</f>
        <v>349526.07999999996</v>
      </c>
    </row>
    <row r="865" spans="1:12" x14ac:dyDescent="0.25">
      <c r="A865" s="48" t="str">
        <f>IF(Учет!A865&lt;&gt;"",Учет!A865,"")</f>
        <v/>
      </c>
      <c r="B865" s="52">
        <f>IF(Учет!$O865=Справочники!$F$2,Учет!$H865,0)</f>
        <v>0</v>
      </c>
      <c r="C865" s="52">
        <f>IF(Учет!$O865=Справочники!$F$3,Учет!$H865,0)</f>
        <v>0</v>
      </c>
      <c r="D865" s="52">
        <f>IF(Учет!$O865=Справочники!$F$4,Учет!$H865,0)</f>
        <v>0</v>
      </c>
      <c r="E865" s="52">
        <f>IF(Учет!$O865=Справочники!$F$5,Учет!$H865,0)</f>
        <v>0</v>
      </c>
      <c r="F865" s="52">
        <f>IF(Учет!$O865=Справочники!$F$6,Учет!$H865,0)</f>
        <v>0</v>
      </c>
      <c r="G865" s="43">
        <f>G864+Учет!B865-B865</f>
        <v>-488978.92000000004</v>
      </c>
      <c r="H865" s="43">
        <f>H864+Учет!C865-C865</f>
        <v>336855</v>
      </c>
      <c r="I865" s="43">
        <f>I864+Учет!D865-D865</f>
        <v>500</v>
      </c>
      <c r="J865" s="43">
        <f>J864+Учет!E865-E865</f>
        <v>1150</v>
      </c>
      <c r="K865" s="43">
        <f>K864+Учет!F865-F865</f>
        <v>500000</v>
      </c>
      <c r="L865" s="45">
        <f>Учет!I865</f>
        <v>349526.07999999996</v>
      </c>
    </row>
    <row r="866" spans="1:12" x14ac:dyDescent="0.25">
      <c r="A866" s="48" t="str">
        <f>IF(Учет!A866&lt;&gt;"",Учет!A866,"")</f>
        <v/>
      </c>
      <c r="B866" s="52">
        <f>IF(Учет!$O866=Справочники!$F$2,Учет!$H866,0)</f>
        <v>0</v>
      </c>
      <c r="C866" s="52">
        <f>IF(Учет!$O866=Справочники!$F$3,Учет!$H866,0)</f>
        <v>0</v>
      </c>
      <c r="D866" s="52">
        <f>IF(Учет!$O866=Справочники!$F$4,Учет!$H866,0)</f>
        <v>0</v>
      </c>
      <c r="E866" s="52">
        <f>IF(Учет!$O866=Справочники!$F$5,Учет!$H866,0)</f>
        <v>0</v>
      </c>
      <c r="F866" s="52">
        <f>IF(Учет!$O866=Справочники!$F$6,Учет!$H866,0)</f>
        <v>0</v>
      </c>
      <c r="G866" s="43">
        <f>G865+Учет!B866-B866</f>
        <v>-488978.92000000004</v>
      </c>
      <c r="H866" s="43">
        <f>H865+Учет!C866-C866</f>
        <v>336855</v>
      </c>
      <c r="I866" s="43">
        <f>I865+Учет!D866-D866</f>
        <v>500</v>
      </c>
      <c r="J866" s="43">
        <f>J865+Учет!E866-E866</f>
        <v>1150</v>
      </c>
      <c r="K866" s="43">
        <f>K865+Учет!F866-F866</f>
        <v>500000</v>
      </c>
      <c r="L866" s="45">
        <f>Учет!I866</f>
        <v>349526.07999999996</v>
      </c>
    </row>
    <row r="867" spans="1:12" x14ac:dyDescent="0.25">
      <c r="A867" s="48" t="str">
        <f>IF(Учет!A867&lt;&gt;"",Учет!A867,"")</f>
        <v/>
      </c>
      <c r="B867" s="52">
        <f>IF(Учет!$O867=Справочники!$F$2,Учет!$H867,0)</f>
        <v>0</v>
      </c>
      <c r="C867" s="52">
        <f>IF(Учет!$O867=Справочники!$F$3,Учет!$H867,0)</f>
        <v>0</v>
      </c>
      <c r="D867" s="52">
        <f>IF(Учет!$O867=Справочники!$F$4,Учет!$H867,0)</f>
        <v>0</v>
      </c>
      <c r="E867" s="52">
        <f>IF(Учет!$O867=Справочники!$F$5,Учет!$H867,0)</f>
        <v>0</v>
      </c>
      <c r="F867" s="52">
        <f>IF(Учет!$O867=Справочники!$F$6,Учет!$H867,0)</f>
        <v>0</v>
      </c>
      <c r="G867" s="43">
        <f>G866+Учет!B867-B867</f>
        <v>-488978.92000000004</v>
      </c>
      <c r="H867" s="43">
        <f>H866+Учет!C867-C867</f>
        <v>336855</v>
      </c>
      <c r="I867" s="43">
        <f>I866+Учет!D867-D867</f>
        <v>500</v>
      </c>
      <c r="J867" s="43">
        <f>J866+Учет!E867-E867</f>
        <v>1150</v>
      </c>
      <c r="K867" s="43">
        <f>K866+Учет!F867-F867</f>
        <v>500000</v>
      </c>
      <c r="L867" s="45">
        <f>Учет!I867</f>
        <v>349526.07999999996</v>
      </c>
    </row>
    <row r="868" spans="1:12" x14ac:dyDescent="0.25">
      <c r="A868" s="48" t="str">
        <f>IF(Учет!A868&lt;&gt;"",Учет!A868,"")</f>
        <v/>
      </c>
      <c r="B868" s="52">
        <f>IF(Учет!$O868=Справочники!$F$2,Учет!$H868,0)</f>
        <v>0</v>
      </c>
      <c r="C868" s="52">
        <f>IF(Учет!$O868=Справочники!$F$3,Учет!$H868,0)</f>
        <v>0</v>
      </c>
      <c r="D868" s="52">
        <f>IF(Учет!$O868=Справочники!$F$4,Учет!$H868,0)</f>
        <v>0</v>
      </c>
      <c r="E868" s="52">
        <f>IF(Учет!$O868=Справочники!$F$5,Учет!$H868,0)</f>
        <v>0</v>
      </c>
      <c r="F868" s="52">
        <f>IF(Учет!$O868=Справочники!$F$6,Учет!$H868,0)</f>
        <v>0</v>
      </c>
      <c r="G868" s="43">
        <f>G867+Учет!B868-B868</f>
        <v>-488978.92000000004</v>
      </c>
      <c r="H868" s="43">
        <f>H867+Учет!C868-C868</f>
        <v>336855</v>
      </c>
      <c r="I868" s="43">
        <f>I867+Учет!D868-D868</f>
        <v>500</v>
      </c>
      <c r="J868" s="43">
        <f>J867+Учет!E868-E868</f>
        <v>1150</v>
      </c>
      <c r="K868" s="43">
        <f>K867+Учет!F868-F868</f>
        <v>500000</v>
      </c>
      <c r="L868" s="45">
        <f>Учет!I868</f>
        <v>349526.07999999996</v>
      </c>
    </row>
    <row r="869" spans="1:12" x14ac:dyDescent="0.25">
      <c r="A869" s="48" t="str">
        <f>IF(Учет!A869&lt;&gt;"",Учет!A869,"")</f>
        <v/>
      </c>
      <c r="B869" s="52">
        <f>IF(Учет!$O869=Справочники!$F$2,Учет!$H869,0)</f>
        <v>0</v>
      </c>
      <c r="C869" s="52">
        <f>IF(Учет!$O869=Справочники!$F$3,Учет!$H869,0)</f>
        <v>0</v>
      </c>
      <c r="D869" s="52">
        <f>IF(Учет!$O869=Справочники!$F$4,Учет!$H869,0)</f>
        <v>0</v>
      </c>
      <c r="E869" s="52">
        <f>IF(Учет!$O869=Справочники!$F$5,Учет!$H869,0)</f>
        <v>0</v>
      </c>
      <c r="F869" s="52">
        <f>IF(Учет!$O869=Справочники!$F$6,Учет!$H869,0)</f>
        <v>0</v>
      </c>
      <c r="G869" s="43">
        <f>G868+Учет!B869-B869</f>
        <v>-488978.92000000004</v>
      </c>
      <c r="H869" s="43">
        <f>H868+Учет!C869-C869</f>
        <v>336855</v>
      </c>
      <c r="I869" s="43">
        <f>I868+Учет!D869-D869</f>
        <v>500</v>
      </c>
      <c r="J869" s="43">
        <f>J868+Учет!E869-E869</f>
        <v>1150</v>
      </c>
      <c r="K869" s="43">
        <f>K868+Учет!F869-F869</f>
        <v>500000</v>
      </c>
      <c r="L869" s="45">
        <f>Учет!I869</f>
        <v>349526.07999999996</v>
      </c>
    </row>
    <row r="870" spans="1:12" x14ac:dyDescent="0.25">
      <c r="A870" s="48" t="str">
        <f>IF(Учет!A870&lt;&gt;"",Учет!A870,"")</f>
        <v/>
      </c>
      <c r="B870" s="52">
        <f>IF(Учет!$O870=Справочники!$F$2,Учет!$H870,0)</f>
        <v>0</v>
      </c>
      <c r="C870" s="52">
        <f>IF(Учет!$O870=Справочники!$F$3,Учет!$H870,0)</f>
        <v>0</v>
      </c>
      <c r="D870" s="52">
        <f>IF(Учет!$O870=Справочники!$F$4,Учет!$H870,0)</f>
        <v>0</v>
      </c>
      <c r="E870" s="52">
        <f>IF(Учет!$O870=Справочники!$F$5,Учет!$H870,0)</f>
        <v>0</v>
      </c>
      <c r="F870" s="52">
        <f>IF(Учет!$O870=Справочники!$F$6,Учет!$H870,0)</f>
        <v>0</v>
      </c>
      <c r="G870" s="43">
        <f>G869+Учет!B870-B870</f>
        <v>-488978.92000000004</v>
      </c>
      <c r="H870" s="43">
        <f>H869+Учет!C870-C870</f>
        <v>336855</v>
      </c>
      <c r="I870" s="43">
        <f>I869+Учет!D870-D870</f>
        <v>500</v>
      </c>
      <c r="J870" s="43">
        <f>J869+Учет!E870-E870</f>
        <v>1150</v>
      </c>
      <c r="K870" s="43">
        <f>K869+Учет!F870-F870</f>
        <v>500000</v>
      </c>
      <c r="L870" s="45">
        <f>Учет!I870</f>
        <v>349526.07999999996</v>
      </c>
    </row>
    <row r="871" spans="1:12" x14ac:dyDescent="0.25">
      <c r="A871" s="48" t="str">
        <f>IF(Учет!A871&lt;&gt;"",Учет!A871,"")</f>
        <v/>
      </c>
      <c r="B871" s="52">
        <f>IF(Учет!$O871=Справочники!$F$2,Учет!$H871,0)</f>
        <v>0</v>
      </c>
      <c r="C871" s="52">
        <f>IF(Учет!$O871=Справочники!$F$3,Учет!$H871,0)</f>
        <v>0</v>
      </c>
      <c r="D871" s="52">
        <f>IF(Учет!$O871=Справочники!$F$4,Учет!$H871,0)</f>
        <v>0</v>
      </c>
      <c r="E871" s="52">
        <f>IF(Учет!$O871=Справочники!$F$5,Учет!$H871,0)</f>
        <v>0</v>
      </c>
      <c r="F871" s="52">
        <f>IF(Учет!$O871=Справочники!$F$6,Учет!$H871,0)</f>
        <v>0</v>
      </c>
      <c r="G871" s="43">
        <f>G870+Учет!B871-B871</f>
        <v>-488978.92000000004</v>
      </c>
      <c r="H871" s="43">
        <f>H870+Учет!C871-C871</f>
        <v>336855</v>
      </c>
      <c r="I871" s="43">
        <f>I870+Учет!D871-D871</f>
        <v>500</v>
      </c>
      <c r="J871" s="43">
        <f>J870+Учет!E871-E871</f>
        <v>1150</v>
      </c>
      <c r="K871" s="43">
        <f>K870+Учет!F871-F871</f>
        <v>500000</v>
      </c>
      <c r="L871" s="45">
        <f>Учет!I871</f>
        <v>349526.07999999996</v>
      </c>
    </row>
    <row r="872" spans="1:12" x14ac:dyDescent="0.25">
      <c r="A872" s="48" t="str">
        <f>IF(Учет!A872&lt;&gt;"",Учет!A872,"")</f>
        <v/>
      </c>
      <c r="B872" s="52">
        <f>IF(Учет!$O872=Справочники!$F$2,Учет!$H872,0)</f>
        <v>0</v>
      </c>
      <c r="C872" s="52">
        <f>IF(Учет!$O872=Справочники!$F$3,Учет!$H872,0)</f>
        <v>0</v>
      </c>
      <c r="D872" s="52">
        <f>IF(Учет!$O872=Справочники!$F$4,Учет!$H872,0)</f>
        <v>0</v>
      </c>
      <c r="E872" s="52">
        <f>IF(Учет!$O872=Справочники!$F$5,Учет!$H872,0)</f>
        <v>0</v>
      </c>
      <c r="F872" s="52">
        <f>IF(Учет!$O872=Справочники!$F$6,Учет!$H872,0)</f>
        <v>0</v>
      </c>
      <c r="G872" s="43">
        <f>G871+Учет!B872-B872</f>
        <v>-488978.92000000004</v>
      </c>
      <c r="H872" s="43">
        <f>H871+Учет!C872-C872</f>
        <v>336855</v>
      </c>
      <c r="I872" s="43">
        <f>I871+Учет!D872-D872</f>
        <v>500</v>
      </c>
      <c r="J872" s="43">
        <f>J871+Учет!E872-E872</f>
        <v>1150</v>
      </c>
      <c r="K872" s="43">
        <f>K871+Учет!F872-F872</f>
        <v>500000</v>
      </c>
      <c r="L872" s="45">
        <f>Учет!I872</f>
        <v>349526.07999999996</v>
      </c>
    </row>
    <row r="873" spans="1:12" x14ac:dyDescent="0.25">
      <c r="A873" s="48" t="str">
        <f>IF(Учет!A873&lt;&gt;"",Учет!A873,"")</f>
        <v/>
      </c>
      <c r="B873" s="52">
        <f>IF(Учет!$O873=Справочники!$F$2,Учет!$H873,0)</f>
        <v>0</v>
      </c>
      <c r="C873" s="52">
        <f>IF(Учет!$O873=Справочники!$F$3,Учет!$H873,0)</f>
        <v>0</v>
      </c>
      <c r="D873" s="52">
        <f>IF(Учет!$O873=Справочники!$F$4,Учет!$H873,0)</f>
        <v>0</v>
      </c>
      <c r="E873" s="52">
        <f>IF(Учет!$O873=Справочники!$F$5,Учет!$H873,0)</f>
        <v>0</v>
      </c>
      <c r="F873" s="52">
        <f>IF(Учет!$O873=Справочники!$F$6,Учет!$H873,0)</f>
        <v>0</v>
      </c>
      <c r="G873" s="43">
        <f>G872+Учет!B873-B873</f>
        <v>-488978.92000000004</v>
      </c>
      <c r="H873" s="43">
        <f>H872+Учет!C873-C873</f>
        <v>336855</v>
      </c>
      <c r="I873" s="43">
        <f>I872+Учет!D873-D873</f>
        <v>500</v>
      </c>
      <c r="J873" s="43">
        <f>J872+Учет!E873-E873</f>
        <v>1150</v>
      </c>
      <c r="K873" s="43">
        <f>K872+Учет!F873-F873</f>
        <v>500000</v>
      </c>
      <c r="L873" s="45">
        <f>Учет!I873</f>
        <v>349526.07999999996</v>
      </c>
    </row>
    <row r="874" spans="1:12" x14ac:dyDescent="0.25">
      <c r="A874" s="48" t="str">
        <f>IF(Учет!A874&lt;&gt;"",Учет!A874,"")</f>
        <v/>
      </c>
      <c r="B874" s="52">
        <f>IF(Учет!$O874=Справочники!$F$2,Учет!$H874,0)</f>
        <v>0</v>
      </c>
      <c r="C874" s="52">
        <f>IF(Учет!$O874=Справочники!$F$3,Учет!$H874,0)</f>
        <v>0</v>
      </c>
      <c r="D874" s="52">
        <f>IF(Учет!$O874=Справочники!$F$4,Учет!$H874,0)</f>
        <v>0</v>
      </c>
      <c r="E874" s="52">
        <f>IF(Учет!$O874=Справочники!$F$5,Учет!$H874,0)</f>
        <v>0</v>
      </c>
      <c r="F874" s="52">
        <f>IF(Учет!$O874=Справочники!$F$6,Учет!$H874,0)</f>
        <v>0</v>
      </c>
      <c r="G874" s="43">
        <f>G873+Учет!B874-B874</f>
        <v>-488978.92000000004</v>
      </c>
      <c r="H874" s="43">
        <f>H873+Учет!C874-C874</f>
        <v>336855</v>
      </c>
      <c r="I874" s="43">
        <f>I873+Учет!D874-D874</f>
        <v>500</v>
      </c>
      <c r="J874" s="43">
        <f>J873+Учет!E874-E874</f>
        <v>1150</v>
      </c>
      <c r="K874" s="43">
        <f>K873+Учет!F874-F874</f>
        <v>500000</v>
      </c>
      <c r="L874" s="45">
        <f>Учет!I874</f>
        <v>349526.07999999996</v>
      </c>
    </row>
    <row r="875" spans="1:12" x14ac:dyDescent="0.25">
      <c r="A875" s="48" t="str">
        <f>IF(Учет!A875&lt;&gt;"",Учет!A875,"")</f>
        <v/>
      </c>
      <c r="B875" s="52">
        <f>IF(Учет!$O875=Справочники!$F$2,Учет!$H875,0)</f>
        <v>0</v>
      </c>
      <c r="C875" s="52">
        <f>IF(Учет!$O875=Справочники!$F$3,Учет!$H875,0)</f>
        <v>0</v>
      </c>
      <c r="D875" s="52">
        <f>IF(Учет!$O875=Справочники!$F$4,Учет!$H875,0)</f>
        <v>0</v>
      </c>
      <c r="E875" s="52">
        <f>IF(Учет!$O875=Справочники!$F$5,Учет!$H875,0)</f>
        <v>0</v>
      </c>
      <c r="F875" s="52">
        <f>IF(Учет!$O875=Справочники!$F$6,Учет!$H875,0)</f>
        <v>0</v>
      </c>
      <c r="G875" s="43">
        <f>G874+Учет!B875-B875</f>
        <v>-488978.92000000004</v>
      </c>
      <c r="H875" s="43">
        <f>H874+Учет!C875-C875</f>
        <v>336855</v>
      </c>
      <c r="I875" s="43">
        <f>I874+Учет!D875-D875</f>
        <v>500</v>
      </c>
      <c r="J875" s="43">
        <f>J874+Учет!E875-E875</f>
        <v>1150</v>
      </c>
      <c r="K875" s="43">
        <f>K874+Учет!F875-F875</f>
        <v>500000</v>
      </c>
      <c r="L875" s="45">
        <f>Учет!I875</f>
        <v>349526.07999999996</v>
      </c>
    </row>
    <row r="876" spans="1:12" x14ac:dyDescent="0.25">
      <c r="A876" s="48" t="str">
        <f>IF(Учет!A876&lt;&gt;"",Учет!A876,"")</f>
        <v/>
      </c>
      <c r="B876" s="52">
        <f>IF(Учет!$O876=Справочники!$F$2,Учет!$H876,0)</f>
        <v>0</v>
      </c>
      <c r="C876" s="52">
        <f>IF(Учет!$O876=Справочники!$F$3,Учет!$H876,0)</f>
        <v>0</v>
      </c>
      <c r="D876" s="52">
        <f>IF(Учет!$O876=Справочники!$F$4,Учет!$H876,0)</f>
        <v>0</v>
      </c>
      <c r="E876" s="52">
        <f>IF(Учет!$O876=Справочники!$F$5,Учет!$H876,0)</f>
        <v>0</v>
      </c>
      <c r="F876" s="52">
        <f>IF(Учет!$O876=Справочники!$F$6,Учет!$H876,0)</f>
        <v>0</v>
      </c>
      <c r="G876" s="43">
        <f>G875+Учет!B876-B876</f>
        <v>-488978.92000000004</v>
      </c>
      <c r="H876" s="43">
        <f>H875+Учет!C876-C876</f>
        <v>336855</v>
      </c>
      <c r="I876" s="43">
        <f>I875+Учет!D876-D876</f>
        <v>500</v>
      </c>
      <c r="J876" s="43">
        <f>J875+Учет!E876-E876</f>
        <v>1150</v>
      </c>
      <c r="K876" s="43">
        <f>K875+Учет!F876-F876</f>
        <v>500000</v>
      </c>
      <c r="L876" s="45">
        <f>Учет!I876</f>
        <v>349526.07999999996</v>
      </c>
    </row>
    <row r="877" spans="1:12" x14ac:dyDescent="0.25">
      <c r="A877" s="48" t="str">
        <f>IF(Учет!A877&lt;&gt;"",Учет!A877,"")</f>
        <v/>
      </c>
      <c r="B877" s="52">
        <f>IF(Учет!$O877=Справочники!$F$2,Учет!$H877,0)</f>
        <v>0</v>
      </c>
      <c r="C877" s="52">
        <f>IF(Учет!$O877=Справочники!$F$3,Учет!$H877,0)</f>
        <v>0</v>
      </c>
      <c r="D877" s="52">
        <f>IF(Учет!$O877=Справочники!$F$4,Учет!$H877,0)</f>
        <v>0</v>
      </c>
      <c r="E877" s="52">
        <f>IF(Учет!$O877=Справочники!$F$5,Учет!$H877,0)</f>
        <v>0</v>
      </c>
      <c r="F877" s="52">
        <f>IF(Учет!$O877=Справочники!$F$6,Учет!$H877,0)</f>
        <v>0</v>
      </c>
      <c r="G877" s="43">
        <f>G876+Учет!B877-B877</f>
        <v>-488978.92000000004</v>
      </c>
      <c r="H877" s="43">
        <f>H876+Учет!C877-C877</f>
        <v>336855</v>
      </c>
      <c r="I877" s="43">
        <f>I876+Учет!D877-D877</f>
        <v>500</v>
      </c>
      <c r="J877" s="43">
        <f>J876+Учет!E877-E877</f>
        <v>1150</v>
      </c>
      <c r="K877" s="43">
        <f>K876+Учет!F877-F877</f>
        <v>500000</v>
      </c>
      <c r="L877" s="45">
        <f>Учет!I877</f>
        <v>349526.07999999996</v>
      </c>
    </row>
    <row r="878" spans="1:12" x14ac:dyDescent="0.25">
      <c r="A878" s="48" t="str">
        <f>IF(Учет!A878&lt;&gt;"",Учет!A878,"")</f>
        <v/>
      </c>
      <c r="B878" s="52">
        <f>IF(Учет!$O878=Справочники!$F$2,Учет!$H878,0)</f>
        <v>0</v>
      </c>
      <c r="C878" s="52">
        <f>IF(Учет!$O878=Справочники!$F$3,Учет!$H878,0)</f>
        <v>0</v>
      </c>
      <c r="D878" s="52">
        <f>IF(Учет!$O878=Справочники!$F$4,Учет!$H878,0)</f>
        <v>0</v>
      </c>
      <c r="E878" s="52">
        <f>IF(Учет!$O878=Справочники!$F$5,Учет!$H878,0)</f>
        <v>0</v>
      </c>
      <c r="F878" s="52">
        <f>IF(Учет!$O878=Справочники!$F$6,Учет!$H878,0)</f>
        <v>0</v>
      </c>
      <c r="G878" s="43">
        <f>G877+Учет!B878-B878</f>
        <v>-488978.92000000004</v>
      </c>
      <c r="H878" s="43">
        <f>H877+Учет!C878-C878</f>
        <v>336855</v>
      </c>
      <c r="I878" s="43">
        <f>I877+Учет!D878-D878</f>
        <v>500</v>
      </c>
      <c r="J878" s="43">
        <f>J877+Учет!E878-E878</f>
        <v>1150</v>
      </c>
      <c r="K878" s="43">
        <f>K877+Учет!F878-F878</f>
        <v>500000</v>
      </c>
      <c r="L878" s="45">
        <f>Учет!I878</f>
        <v>349526.07999999996</v>
      </c>
    </row>
    <row r="879" spans="1:12" x14ac:dyDescent="0.25">
      <c r="A879" s="48" t="str">
        <f>IF(Учет!A879&lt;&gt;"",Учет!A879,"")</f>
        <v/>
      </c>
      <c r="B879" s="52">
        <f>IF(Учет!$O879=Справочники!$F$2,Учет!$H879,0)</f>
        <v>0</v>
      </c>
      <c r="C879" s="52">
        <f>IF(Учет!$O879=Справочники!$F$3,Учет!$H879,0)</f>
        <v>0</v>
      </c>
      <c r="D879" s="52">
        <f>IF(Учет!$O879=Справочники!$F$4,Учет!$H879,0)</f>
        <v>0</v>
      </c>
      <c r="E879" s="52">
        <f>IF(Учет!$O879=Справочники!$F$5,Учет!$H879,0)</f>
        <v>0</v>
      </c>
      <c r="F879" s="52">
        <f>IF(Учет!$O879=Справочники!$F$6,Учет!$H879,0)</f>
        <v>0</v>
      </c>
      <c r="G879" s="43">
        <f>G878+Учет!B879-B879</f>
        <v>-488978.92000000004</v>
      </c>
      <c r="H879" s="43">
        <f>H878+Учет!C879-C879</f>
        <v>336855</v>
      </c>
      <c r="I879" s="43">
        <f>I878+Учет!D879-D879</f>
        <v>500</v>
      </c>
      <c r="J879" s="43">
        <f>J878+Учет!E879-E879</f>
        <v>1150</v>
      </c>
      <c r="K879" s="43">
        <f>K878+Учет!F879-F879</f>
        <v>500000</v>
      </c>
      <c r="L879" s="45">
        <f>Учет!I879</f>
        <v>349526.07999999996</v>
      </c>
    </row>
    <row r="880" spans="1:12" x14ac:dyDescent="0.25">
      <c r="A880" s="48" t="str">
        <f>IF(Учет!A880&lt;&gt;"",Учет!A880,"")</f>
        <v/>
      </c>
      <c r="B880" s="52">
        <f>IF(Учет!$O880=Справочники!$F$2,Учет!$H880,0)</f>
        <v>0</v>
      </c>
      <c r="C880" s="52">
        <f>IF(Учет!$O880=Справочники!$F$3,Учет!$H880,0)</f>
        <v>0</v>
      </c>
      <c r="D880" s="52">
        <f>IF(Учет!$O880=Справочники!$F$4,Учет!$H880,0)</f>
        <v>0</v>
      </c>
      <c r="E880" s="52">
        <f>IF(Учет!$O880=Справочники!$F$5,Учет!$H880,0)</f>
        <v>0</v>
      </c>
      <c r="F880" s="52">
        <f>IF(Учет!$O880=Справочники!$F$6,Учет!$H880,0)</f>
        <v>0</v>
      </c>
      <c r="G880" s="43">
        <f>G879+Учет!B880-B880</f>
        <v>-488978.92000000004</v>
      </c>
      <c r="H880" s="43">
        <f>H879+Учет!C880-C880</f>
        <v>336855</v>
      </c>
      <c r="I880" s="43">
        <f>I879+Учет!D880-D880</f>
        <v>500</v>
      </c>
      <c r="J880" s="43">
        <f>J879+Учет!E880-E880</f>
        <v>1150</v>
      </c>
      <c r="K880" s="43">
        <f>K879+Учет!F880-F880</f>
        <v>500000</v>
      </c>
      <c r="L880" s="45">
        <f>Учет!I880</f>
        <v>349526.07999999996</v>
      </c>
    </row>
    <row r="881" spans="1:12" x14ac:dyDescent="0.25">
      <c r="A881" s="48" t="str">
        <f>IF(Учет!A881&lt;&gt;"",Учет!A881,"")</f>
        <v/>
      </c>
      <c r="B881" s="52">
        <f>IF(Учет!$O881=Справочники!$F$2,Учет!$H881,0)</f>
        <v>0</v>
      </c>
      <c r="C881" s="52">
        <f>IF(Учет!$O881=Справочники!$F$3,Учет!$H881,0)</f>
        <v>0</v>
      </c>
      <c r="D881" s="52">
        <f>IF(Учет!$O881=Справочники!$F$4,Учет!$H881,0)</f>
        <v>0</v>
      </c>
      <c r="E881" s="52">
        <f>IF(Учет!$O881=Справочники!$F$5,Учет!$H881,0)</f>
        <v>0</v>
      </c>
      <c r="F881" s="52">
        <f>IF(Учет!$O881=Справочники!$F$6,Учет!$H881,0)</f>
        <v>0</v>
      </c>
      <c r="G881" s="43">
        <f>G880+Учет!B881-B881</f>
        <v>-488978.92000000004</v>
      </c>
      <c r="H881" s="43">
        <f>H880+Учет!C881-C881</f>
        <v>336855</v>
      </c>
      <c r="I881" s="43">
        <f>I880+Учет!D881-D881</f>
        <v>500</v>
      </c>
      <c r="J881" s="43">
        <f>J880+Учет!E881-E881</f>
        <v>1150</v>
      </c>
      <c r="K881" s="43">
        <f>K880+Учет!F881-F881</f>
        <v>500000</v>
      </c>
      <c r="L881" s="45">
        <f>Учет!I881</f>
        <v>349526.07999999996</v>
      </c>
    </row>
    <row r="882" spans="1:12" x14ac:dyDescent="0.25">
      <c r="A882" s="48" t="str">
        <f>IF(Учет!A882&lt;&gt;"",Учет!A882,"")</f>
        <v/>
      </c>
      <c r="B882" s="52">
        <f>IF(Учет!$O882=Справочники!$F$2,Учет!$H882,0)</f>
        <v>0</v>
      </c>
      <c r="C882" s="52">
        <f>IF(Учет!$O882=Справочники!$F$3,Учет!$H882,0)</f>
        <v>0</v>
      </c>
      <c r="D882" s="52">
        <f>IF(Учет!$O882=Справочники!$F$4,Учет!$H882,0)</f>
        <v>0</v>
      </c>
      <c r="E882" s="52">
        <f>IF(Учет!$O882=Справочники!$F$5,Учет!$H882,0)</f>
        <v>0</v>
      </c>
      <c r="F882" s="52">
        <f>IF(Учет!$O882=Справочники!$F$6,Учет!$H882,0)</f>
        <v>0</v>
      </c>
      <c r="G882" s="43">
        <f>G881+Учет!B882-B882</f>
        <v>-488978.92000000004</v>
      </c>
      <c r="H882" s="43">
        <f>H881+Учет!C882-C882</f>
        <v>336855</v>
      </c>
      <c r="I882" s="43">
        <f>I881+Учет!D882-D882</f>
        <v>500</v>
      </c>
      <c r="J882" s="43">
        <f>J881+Учет!E882-E882</f>
        <v>1150</v>
      </c>
      <c r="K882" s="43">
        <f>K881+Учет!F882-F882</f>
        <v>500000</v>
      </c>
      <c r="L882" s="45">
        <f>Учет!I882</f>
        <v>349526.07999999996</v>
      </c>
    </row>
    <row r="883" spans="1:12" x14ac:dyDescent="0.25">
      <c r="A883" s="48" t="str">
        <f>IF(Учет!A883&lt;&gt;"",Учет!A883,"")</f>
        <v/>
      </c>
      <c r="B883" s="52">
        <f>IF(Учет!$O883=Справочники!$F$2,Учет!$H883,0)</f>
        <v>0</v>
      </c>
      <c r="C883" s="52">
        <f>IF(Учет!$O883=Справочники!$F$3,Учет!$H883,0)</f>
        <v>0</v>
      </c>
      <c r="D883" s="52">
        <f>IF(Учет!$O883=Справочники!$F$4,Учет!$H883,0)</f>
        <v>0</v>
      </c>
      <c r="E883" s="52">
        <f>IF(Учет!$O883=Справочники!$F$5,Учет!$H883,0)</f>
        <v>0</v>
      </c>
      <c r="F883" s="52">
        <f>IF(Учет!$O883=Справочники!$F$6,Учет!$H883,0)</f>
        <v>0</v>
      </c>
      <c r="G883" s="43">
        <f>G882+Учет!B883-B883</f>
        <v>-488978.92000000004</v>
      </c>
      <c r="H883" s="43">
        <f>H882+Учет!C883-C883</f>
        <v>336855</v>
      </c>
      <c r="I883" s="43">
        <f>I882+Учет!D883-D883</f>
        <v>500</v>
      </c>
      <c r="J883" s="43">
        <f>J882+Учет!E883-E883</f>
        <v>1150</v>
      </c>
      <c r="K883" s="43">
        <f>K882+Учет!F883-F883</f>
        <v>500000</v>
      </c>
      <c r="L883" s="45">
        <f>Учет!I883</f>
        <v>349526.07999999996</v>
      </c>
    </row>
    <row r="884" spans="1:12" x14ac:dyDescent="0.25">
      <c r="A884" s="48" t="str">
        <f>IF(Учет!A884&lt;&gt;"",Учет!A884,"")</f>
        <v/>
      </c>
      <c r="B884" s="52">
        <f>IF(Учет!$O884=Справочники!$F$2,Учет!$H884,0)</f>
        <v>0</v>
      </c>
      <c r="C884" s="52">
        <f>IF(Учет!$O884=Справочники!$F$3,Учет!$H884,0)</f>
        <v>0</v>
      </c>
      <c r="D884" s="52">
        <f>IF(Учет!$O884=Справочники!$F$4,Учет!$H884,0)</f>
        <v>0</v>
      </c>
      <c r="E884" s="52">
        <f>IF(Учет!$O884=Справочники!$F$5,Учет!$H884,0)</f>
        <v>0</v>
      </c>
      <c r="F884" s="52">
        <f>IF(Учет!$O884=Справочники!$F$6,Учет!$H884,0)</f>
        <v>0</v>
      </c>
      <c r="G884" s="43">
        <f>G883+Учет!B884-B884</f>
        <v>-488978.92000000004</v>
      </c>
      <c r="H884" s="43">
        <f>H883+Учет!C884-C884</f>
        <v>336855</v>
      </c>
      <c r="I884" s="43">
        <f>I883+Учет!D884-D884</f>
        <v>500</v>
      </c>
      <c r="J884" s="43">
        <f>J883+Учет!E884-E884</f>
        <v>1150</v>
      </c>
      <c r="K884" s="43">
        <f>K883+Учет!F884-F884</f>
        <v>500000</v>
      </c>
      <c r="L884" s="45">
        <f>Учет!I884</f>
        <v>349526.07999999996</v>
      </c>
    </row>
    <row r="885" spans="1:12" x14ac:dyDescent="0.25">
      <c r="A885" s="48" t="str">
        <f>IF(Учет!A885&lt;&gt;"",Учет!A885,"")</f>
        <v/>
      </c>
      <c r="B885" s="52">
        <f>IF(Учет!$O885=Справочники!$F$2,Учет!$H885,0)</f>
        <v>0</v>
      </c>
      <c r="C885" s="52">
        <f>IF(Учет!$O885=Справочники!$F$3,Учет!$H885,0)</f>
        <v>0</v>
      </c>
      <c r="D885" s="52">
        <f>IF(Учет!$O885=Справочники!$F$4,Учет!$H885,0)</f>
        <v>0</v>
      </c>
      <c r="E885" s="52">
        <f>IF(Учет!$O885=Справочники!$F$5,Учет!$H885,0)</f>
        <v>0</v>
      </c>
      <c r="F885" s="52">
        <f>IF(Учет!$O885=Справочники!$F$6,Учет!$H885,0)</f>
        <v>0</v>
      </c>
      <c r="G885" s="43">
        <f>G884+Учет!B885-B885</f>
        <v>-488978.92000000004</v>
      </c>
      <c r="H885" s="43">
        <f>H884+Учет!C885-C885</f>
        <v>336855</v>
      </c>
      <c r="I885" s="43">
        <f>I884+Учет!D885-D885</f>
        <v>500</v>
      </c>
      <c r="J885" s="43">
        <f>J884+Учет!E885-E885</f>
        <v>1150</v>
      </c>
      <c r="K885" s="43">
        <f>K884+Учет!F885-F885</f>
        <v>500000</v>
      </c>
      <c r="L885" s="45">
        <f>Учет!I885</f>
        <v>349526.07999999996</v>
      </c>
    </row>
    <row r="886" spans="1:12" x14ac:dyDescent="0.25">
      <c r="A886" s="48" t="str">
        <f>IF(Учет!A886&lt;&gt;"",Учет!A886,"")</f>
        <v/>
      </c>
      <c r="B886" s="52">
        <f>IF(Учет!$O886=Справочники!$F$2,Учет!$H886,0)</f>
        <v>0</v>
      </c>
      <c r="C886" s="52">
        <f>IF(Учет!$O886=Справочники!$F$3,Учет!$H886,0)</f>
        <v>0</v>
      </c>
      <c r="D886" s="52">
        <f>IF(Учет!$O886=Справочники!$F$4,Учет!$H886,0)</f>
        <v>0</v>
      </c>
      <c r="E886" s="52">
        <f>IF(Учет!$O886=Справочники!$F$5,Учет!$H886,0)</f>
        <v>0</v>
      </c>
      <c r="F886" s="52">
        <f>IF(Учет!$O886=Справочники!$F$6,Учет!$H886,0)</f>
        <v>0</v>
      </c>
      <c r="G886" s="43">
        <f>G885+Учет!B886-B886</f>
        <v>-488978.92000000004</v>
      </c>
      <c r="H886" s="43">
        <f>H885+Учет!C886-C886</f>
        <v>336855</v>
      </c>
      <c r="I886" s="43">
        <f>I885+Учет!D886-D886</f>
        <v>500</v>
      </c>
      <c r="J886" s="43">
        <f>J885+Учет!E886-E886</f>
        <v>1150</v>
      </c>
      <c r="K886" s="43">
        <f>K885+Учет!F886-F886</f>
        <v>500000</v>
      </c>
      <c r="L886" s="45">
        <f>Учет!I886</f>
        <v>349526.07999999996</v>
      </c>
    </row>
    <row r="887" spans="1:12" x14ac:dyDescent="0.25">
      <c r="A887" s="48" t="str">
        <f>IF(Учет!A887&lt;&gt;"",Учет!A887,"")</f>
        <v/>
      </c>
      <c r="B887" s="52">
        <f>IF(Учет!$O887=Справочники!$F$2,Учет!$H887,0)</f>
        <v>0</v>
      </c>
      <c r="C887" s="52">
        <f>IF(Учет!$O887=Справочники!$F$3,Учет!$H887,0)</f>
        <v>0</v>
      </c>
      <c r="D887" s="52">
        <f>IF(Учет!$O887=Справочники!$F$4,Учет!$H887,0)</f>
        <v>0</v>
      </c>
      <c r="E887" s="52">
        <f>IF(Учет!$O887=Справочники!$F$5,Учет!$H887,0)</f>
        <v>0</v>
      </c>
      <c r="F887" s="52">
        <f>IF(Учет!$O887=Справочники!$F$6,Учет!$H887,0)</f>
        <v>0</v>
      </c>
      <c r="G887" s="43">
        <f>G886+Учет!B887-B887</f>
        <v>-488978.92000000004</v>
      </c>
      <c r="H887" s="43">
        <f>H886+Учет!C887-C887</f>
        <v>336855</v>
      </c>
      <c r="I887" s="43">
        <f>I886+Учет!D887-D887</f>
        <v>500</v>
      </c>
      <c r="J887" s="43">
        <f>J886+Учет!E887-E887</f>
        <v>1150</v>
      </c>
      <c r="K887" s="43">
        <f>K886+Учет!F887-F887</f>
        <v>500000</v>
      </c>
      <c r="L887" s="45">
        <f>Учет!I887</f>
        <v>349526.07999999996</v>
      </c>
    </row>
    <row r="888" spans="1:12" x14ac:dyDescent="0.25">
      <c r="A888" s="48" t="str">
        <f>IF(Учет!A888&lt;&gt;"",Учет!A888,"")</f>
        <v/>
      </c>
      <c r="B888" s="52">
        <f>IF(Учет!$O888=Справочники!$F$2,Учет!$H888,0)</f>
        <v>0</v>
      </c>
      <c r="C888" s="52">
        <f>IF(Учет!$O888=Справочники!$F$3,Учет!$H888,0)</f>
        <v>0</v>
      </c>
      <c r="D888" s="52">
        <f>IF(Учет!$O888=Справочники!$F$4,Учет!$H888,0)</f>
        <v>0</v>
      </c>
      <c r="E888" s="52">
        <f>IF(Учет!$O888=Справочники!$F$5,Учет!$H888,0)</f>
        <v>0</v>
      </c>
      <c r="F888" s="52">
        <f>IF(Учет!$O888=Справочники!$F$6,Учет!$H888,0)</f>
        <v>0</v>
      </c>
      <c r="G888" s="43">
        <f>G887+Учет!B888-B888</f>
        <v>-488978.92000000004</v>
      </c>
      <c r="H888" s="43">
        <f>H887+Учет!C888-C888</f>
        <v>336855</v>
      </c>
      <c r="I888" s="43">
        <f>I887+Учет!D888-D888</f>
        <v>500</v>
      </c>
      <c r="J888" s="43">
        <f>J887+Учет!E888-E888</f>
        <v>1150</v>
      </c>
      <c r="K888" s="43">
        <f>K887+Учет!F888-F888</f>
        <v>500000</v>
      </c>
      <c r="L888" s="45">
        <f>Учет!I888</f>
        <v>349526.07999999996</v>
      </c>
    </row>
    <row r="889" spans="1:12" x14ac:dyDescent="0.25">
      <c r="A889" s="48" t="str">
        <f>IF(Учет!A889&lt;&gt;"",Учет!A889,"")</f>
        <v/>
      </c>
      <c r="B889" s="52">
        <f>IF(Учет!$O889=Справочники!$F$2,Учет!$H889,0)</f>
        <v>0</v>
      </c>
      <c r="C889" s="52">
        <f>IF(Учет!$O889=Справочники!$F$3,Учет!$H889,0)</f>
        <v>0</v>
      </c>
      <c r="D889" s="52">
        <f>IF(Учет!$O889=Справочники!$F$4,Учет!$H889,0)</f>
        <v>0</v>
      </c>
      <c r="E889" s="52">
        <f>IF(Учет!$O889=Справочники!$F$5,Учет!$H889,0)</f>
        <v>0</v>
      </c>
      <c r="F889" s="52">
        <f>IF(Учет!$O889=Справочники!$F$6,Учет!$H889,0)</f>
        <v>0</v>
      </c>
      <c r="G889" s="43">
        <f>G888+Учет!B889-B889</f>
        <v>-488978.92000000004</v>
      </c>
      <c r="H889" s="43">
        <f>H888+Учет!C889-C889</f>
        <v>336855</v>
      </c>
      <c r="I889" s="43">
        <f>I888+Учет!D889-D889</f>
        <v>500</v>
      </c>
      <c r="J889" s="43">
        <f>J888+Учет!E889-E889</f>
        <v>1150</v>
      </c>
      <c r="K889" s="43">
        <f>K888+Учет!F889-F889</f>
        <v>500000</v>
      </c>
      <c r="L889" s="45">
        <f>Учет!I889</f>
        <v>349526.07999999996</v>
      </c>
    </row>
    <row r="890" spans="1:12" x14ac:dyDescent="0.25">
      <c r="A890" s="48" t="str">
        <f>IF(Учет!A890&lt;&gt;"",Учет!A890,"")</f>
        <v/>
      </c>
      <c r="B890" s="52">
        <f>IF(Учет!$O890=Справочники!$F$2,Учет!$H890,0)</f>
        <v>0</v>
      </c>
      <c r="C890" s="52">
        <f>IF(Учет!$O890=Справочники!$F$3,Учет!$H890,0)</f>
        <v>0</v>
      </c>
      <c r="D890" s="52">
        <f>IF(Учет!$O890=Справочники!$F$4,Учет!$H890,0)</f>
        <v>0</v>
      </c>
      <c r="E890" s="52">
        <f>IF(Учет!$O890=Справочники!$F$5,Учет!$H890,0)</f>
        <v>0</v>
      </c>
      <c r="F890" s="52">
        <f>IF(Учет!$O890=Справочники!$F$6,Учет!$H890,0)</f>
        <v>0</v>
      </c>
      <c r="G890" s="43">
        <f>G889+Учет!B890-B890</f>
        <v>-488978.92000000004</v>
      </c>
      <c r="H890" s="43">
        <f>H889+Учет!C890-C890</f>
        <v>336855</v>
      </c>
      <c r="I890" s="43">
        <f>I889+Учет!D890-D890</f>
        <v>500</v>
      </c>
      <c r="J890" s="43">
        <f>J889+Учет!E890-E890</f>
        <v>1150</v>
      </c>
      <c r="K890" s="43">
        <f>K889+Учет!F890-F890</f>
        <v>500000</v>
      </c>
      <c r="L890" s="45">
        <f>Учет!I890</f>
        <v>349526.07999999996</v>
      </c>
    </row>
    <row r="891" spans="1:12" x14ac:dyDescent="0.25">
      <c r="A891" s="48" t="str">
        <f>IF(Учет!A891&lt;&gt;"",Учет!A891,"")</f>
        <v/>
      </c>
      <c r="B891" s="52">
        <f>IF(Учет!$O891=Справочники!$F$2,Учет!$H891,0)</f>
        <v>0</v>
      </c>
      <c r="C891" s="52">
        <f>IF(Учет!$O891=Справочники!$F$3,Учет!$H891,0)</f>
        <v>0</v>
      </c>
      <c r="D891" s="52">
        <f>IF(Учет!$O891=Справочники!$F$4,Учет!$H891,0)</f>
        <v>0</v>
      </c>
      <c r="E891" s="52">
        <f>IF(Учет!$O891=Справочники!$F$5,Учет!$H891,0)</f>
        <v>0</v>
      </c>
      <c r="F891" s="52">
        <f>IF(Учет!$O891=Справочники!$F$6,Учет!$H891,0)</f>
        <v>0</v>
      </c>
      <c r="G891" s="43">
        <f>G890+Учет!B891-B891</f>
        <v>-488978.92000000004</v>
      </c>
      <c r="H891" s="43">
        <f>H890+Учет!C891-C891</f>
        <v>336855</v>
      </c>
      <c r="I891" s="43">
        <f>I890+Учет!D891-D891</f>
        <v>500</v>
      </c>
      <c r="J891" s="43">
        <f>J890+Учет!E891-E891</f>
        <v>1150</v>
      </c>
      <c r="K891" s="43">
        <f>K890+Учет!F891-F891</f>
        <v>500000</v>
      </c>
      <c r="L891" s="45">
        <f>Учет!I891</f>
        <v>349526.07999999996</v>
      </c>
    </row>
    <row r="892" spans="1:12" x14ac:dyDescent="0.25">
      <c r="A892" s="48" t="str">
        <f>IF(Учет!A892&lt;&gt;"",Учет!A892,"")</f>
        <v/>
      </c>
      <c r="B892" s="52">
        <f>IF(Учет!$O892=Справочники!$F$2,Учет!$H892,0)</f>
        <v>0</v>
      </c>
      <c r="C892" s="52">
        <f>IF(Учет!$O892=Справочники!$F$3,Учет!$H892,0)</f>
        <v>0</v>
      </c>
      <c r="D892" s="52">
        <f>IF(Учет!$O892=Справочники!$F$4,Учет!$H892,0)</f>
        <v>0</v>
      </c>
      <c r="E892" s="52">
        <f>IF(Учет!$O892=Справочники!$F$5,Учет!$H892,0)</f>
        <v>0</v>
      </c>
      <c r="F892" s="52">
        <f>IF(Учет!$O892=Справочники!$F$6,Учет!$H892,0)</f>
        <v>0</v>
      </c>
      <c r="G892" s="43">
        <f>G891+Учет!B892-B892</f>
        <v>-488978.92000000004</v>
      </c>
      <c r="H892" s="43">
        <f>H891+Учет!C892-C892</f>
        <v>336855</v>
      </c>
      <c r="I892" s="43">
        <f>I891+Учет!D892-D892</f>
        <v>500</v>
      </c>
      <c r="J892" s="43">
        <f>J891+Учет!E892-E892</f>
        <v>1150</v>
      </c>
      <c r="K892" s="43">
        <f>K891+Учет!F892-F892</f>
        <v>500000</v>
      </c>
      <c r="L892" s="45">
        <f>Учет!I892</f>
        <v>349526.07999999996</v>
      </c>
    </row>
    <row r="893" spans="1:12" x14ac:dyDescent="0.25">
      <c r="A893" s="48" t="str">
        <f>IF(Учет!A893&lt;&gt;"",Учет!A893,"")</f>
        <v/>
      </c>
      <c r="B893" s="52">
        <f>IF(Учет!$O893=Справочники!$F$2,Учет!$H893,0)</f>
        <v>0</v>
      </c>
      <c r="C893" s="52">
        <f>IF(Учет!$O893=Справочники!$F$3,Учет!$H893,0)</f>
        <v>0</v>
      </c>
      <c r="D893" s="52">
        <f>IF(Учет!$O893=Справочники!$F$4,Учет!$H893,0)</f>
        <v>0</v>
      </c>
      <c r="E893" s="52">
        <f>IF(Учет!$O893=Справочники!$F$5,Учет!$H893,0)</f>
        <v>0</v>
      </c>
      <c r="F893" s="52">
        <f>IF(Учет!$O893=Справочники!$F$6,Учет!$H893,0)</f>
        <v>0</v>
      </c>
      <c r="G893" s="43">
        <f>G892+Учет!B893-B893</f>
        <v>-488978.92000000004</v>
      </c>
      <c r="H893" s="43">
        <f>H892+Учет!C893-C893</f>
        <v>336855</v>
      </c>
      <c r="I893" s="43">
        <f>I892+Учет!D893-D893</f>
        <v>500</v>
      </c>
      <c r="J893" s="43">
        <f>J892+Учет!E893-E893</f>
        <v>1150</v>
      </c>
      <c r="K893" s="43">
        <f>K892+Учет!F893-F893</f>
        <v>500000</v>
      </c>
      <c r="L893" s="45">
        <f>Учет!I893</f>
        <v>349526.07999999996</v>
      </c>
    </row>
    <row r="894" spans="1:12" x14ac:dyDescent="0.25">
      <c r="A894" s="48" t="str">
        <f>IF(Учет!A894&lt;&gt;"",Учет!A894,"")</f>
        <v/>
      </c>
      <c r="B894" s="52">
        <f>IF(Учет!$O894=Справочники!$F$2,Учет!$H894,0)</f>
        <v>0</v>
      </c>
      <c r="C894" s="52">
        <f>IF(Учет!$O894=Справочники!$F$3,Учет!$H894,0)</f>
        <v>0</v>
      </c>
      <c r="D894" s="52">
        <f>IF(Учет!$O894=Справочники!$F$4,Учет!$H894,0)</f>
        <v>0</v>
      </c>
      <c r="E894" s="52">
        <f>IF(Учет!$O894=Справочники!$F$5,Учет!$H894,0)</f>
        <v>0</v>
      </c>
      <c r="F894" s="52">
        <f>IF(Учет!$O894=Справочники!$F$6,Учет!$H894,0)</f>
        <v>0</v>
      </c>
      <c r="G894" s="43">
        <f>G893+Учет!B894-B894</f>
        <v>-488978.92000000004</v>
      </c>
      <c r="H894" s="43">
        <f>H893+Учет!C894-C894</f>
        <v>336855</v>
      </c>
      <c r="I894" s="43">
        <f>I893+Учет!D894-D894</f>
        <v>500</v>
      </c>
      <c r="J894" s="43">
        <f>J893+Учет!E894-E894</f>
        <v>1150</v>
      </c>
      <c r="K894" s="43">
        <f>K893+Учет!F894-F894</f>
        <v>500000</v>
      </c>
      <c r="L894" s="45">
        <f>Учет!I894</f>
        <v>349526.07999999996</v>
      </c>
    </row>
    <row r="895" spans="1:12" x14ac:dyDescent="0.25">
      <c r="A895" s="48" t="str">
        <f>IF(Учет!A895&lt;&gt;"",Учет!A895,"")</f>
        <v/>
      </c>
      <c r="B895" s="52">
        <f>IF(Учет!$O895=Справочники!$F$2,Учет!$H895,0)</f>
        <v>0</v>
      </c>
      <c r="C895" s="52">
        <f>IF(Учет!$O895=Справочники!$F$3,Учет!$H895,0)</f>
        <v>0</v>
      </c>
      <c r="D895" s="52">
        <f>IF(Учет!$O895=Справочники!$F$4,Учет!$H895,0)</f>
        <v>0</v>
      </c>
      <c r="E895" s="52">
        <f>IF(Учет!$O895=Справочники!$F$5,Учет!$H895,0)</f>
        <v>0</v>
      </c>
      <c r="F895" s="52">
        <f>IF(Учет!$O895=Справочники!$F$6,Учет!$H895,0)</f>
        <v>0</v>
      </c>
      <c r="G895" s="43">
        <f>G894+Учет!B895-B895</f>
        <v>-488978.92000000004</v>
      </c>
      <c r="H895" s="43">
        <f>H894+Учет!C895-C895</f>
        <v>336855</v>
      </c>
      <c r="I895" s="43">
        <f>I894+Учет!D895-D895</f>
        <v>500</v>
      </c>
      <c r="J895" s="43">
        <f>J894+Учет!E895-E895</f>
        <v>1150</v>
      </c>
      <c r="K895" s="43">
        <f>K894+Учет!F895-F895</f>
        <v>500000</v>
      </c>
      <c r="L895" s="45">
        <f>Учет!I895</f>
        <v>349526.07999999996</v>
      </c>
    </row>
    <row r="896" spans="1:12" x14ac:dyDescent="0.25">
      <c r="A896" s="48" t="str">
        <f>IF(Учет!A896&lt;&gt;"",Учет!A896,"")</f>
        <v/>
      </c>
      <c r="B896" s="52">
        <f>IF(Учет!$O896=Справочники!$F$2,Учет!$H896,0)</f>
        <v>0</v>
      </c>
      <c r="C896" s="52">
        <f>IF(Учет!$O896=Справочники!$F$3,Учет!$H896,0)</f>
        <v>0</v>
      </c>
      <c r="D896" s="52">
        <f>IF(Учет!$O896=Справочники!$F$4,Учет!$H896,0)</f>
        <v>0</v>
      </c>
      <c r="E896" s="52">
        <f>IF(Учет!$O896=Справочники!$F$5,Учет!$H896,0)</f>
        <v>0</v>
      </c>
      <c r="F896" s="52">
        <f>IF(Учет!$O896=Справочники!$F$6,Учет!$H896,0)</f>
        <v>0</v>
      </c>
      <c r="G896" s="43">
        <f>G895+Учет!B896-B896</f>
        <v>-488978.92000000004</v>
      </c>
      <c r="H896" s="43">
        <f>H895+Учет!C896-C896</f>
        <v>336855</v>
      </c>
      <c r="I896" s="43">
        <f>I895+Учет!D896-D896</f>
        <v>500</v>
      </c>
      <c r="J896" s="43">
        <f>J895+Учет!E896-E896</f>
        <v>1150</v>
      </c>
      <c r="K896" s="43">
        <f>K895+Учет!F896-F896</f>
        <v>500000</v>
      </c>
      <c r="L896" s="45">
        <f>Учет!I896</f>
        <v>349526.07999999996</v>
      </c>
    </row>
    <row r="897" spans="1:12" x14ac:dyDescent="0.25">
      <c r="A897" s="48" t="str">
        <f>IF(Учет!A897&lt;&gt;"",Учет!A897,"")</f>
        <v/>
      </c>
      <c r="B897" s="52">
        <f>IF(Учет!$O897=Справочники!$F$2,Учет!$H897,0)</f>
        <v>0</v>
      </c>
      <c r="C897" s="52">
        <f>IF(Учет!$O897=Справочники!$F$3,Учет!$H897,0)</f>
        <v>0</v>
      </c>
      <c r="D897" s="52">
        <f>IF(Учет!$O897=Справочники!$F$4,Учет!$H897,0)</f>
        <v>0</v>
      </c>
      <c r="E897" s="52">
        <f>IF(Учет!$O897=Справочники!$F$5,Учет!$H897,0)</f>
        <v>0</v>
      </c>
      <c r="F897" s="52">
        <f>IF(Учет!$O897=Справочники!$F$6,Учет!$H897,0)</f>
        <v>0</v>
      </c>
      <c r="G897" s="43">
        <f>G896+Учет!B897-B897</f>
        <v>-488978.92000000004</v>
      </c>
      <c r="H897" s="43">
        <f>H896+Учет!C897-C897</f>
        <v>336855</v>
      </c>
      <c r="I897" s="43">
        <f>I896+Учет!D897-D897</f>
        <v>500</v>
      </c>
      <c r="J897" s="43">
        <f>J896+Учет!E897-E897</f>
        <v>1150</v>
      </c>
      <c r="K897" s="43">
        <f>K896+Учет!F897-F897</f>
        <v>500000</v>
      </c>
      <c r="L897" s="45">
        <f>Учет!I897</f>
        <v>349526.07999999996</v>
      </c>
    </row>
    <row r="898" spans="1:12" x14ac:dyDescent="0.25">
      <c r="A898" s="48" t="str">
        <f>IF(Учет!A898&lt;&gt;"",Учет!A898,"")</f>
        <v/>
      </c>
      <c r="B898" s="52">
        <f>IF(Учет!$O898=Справочники!$F$2,Учет!$H898,0)</f>
        <v>0</v>
      </c>
      <c r="C898" s="52">
        <f>IF(Учет!$O898=Справочники!$F$3,Учет!$H898,0)</f>
        <v>0</v>
      </c>
      <c r="D898" s="52">
        <f>IF(Учет!$O898=Справочники!$F$4,Учет!$H898,0)</f>
        <v>0</v>
      </c>
      <c r="E898" s="52">
        <f>IF(Учет!$O898=Справочники!$F$5,Учет!$H898,0)</f>
        <v>0</v>
      </c>
      <c r="F898" s="52">
        <f>IF(Учет!$O898=Справочники!$F$6,Учет!$H898,0)</f>
        <v>0</v>
      </c>
      <c r="G898" s="43">
        <f>G897+Учет!B898-B898</f>
        <v>-488978.92000000004</v>
      </c>
      <c r="H898" s="43">
        <f>H897+Учет!C898-C898</f>
        <v>336855</v>
      </c>
      <c r="I898" s="43">
        <f>I897+Учет!D898-D898</f>
        <v>500</v>
      </c>
      <c r="J898" s="43">
        <f>J897+Учет!E898-E898</f>
        <v>1150</v>
      </c>
      <c r="K898" s="43">
        <f>K897+Учет!F898-F898</f>
        <v>500000</v>
      </c>
      <c r="L898" s="45">
        <f>Учет!I898</f>
        <v>349526.07999999996</v>
      </c>
    </row>
    <row r="899" spans="1:12" x14ac:dyDescent="0.25">
      <c r="A899" s="48" t="str">
        <f>IF(Учет!A899&lt;&gt;"",Учет!A899,"")</f>
        <v/>
      </c>
      <c r="B899" s="52">
        <f>IF(Учет!$O899=Справочники!$F$2,Учет!$H899,0)</f>
        <v>0</v>
      </c>
      <c r="C899" s="52">
        <f>IF(Учет!$O899=Справочники!$F$3,Учет!$H899,0)</f>
        <v>0</v>
      </c>
      <c r="D899" s="52">
        <f>IF(Учет!$O899=Справочники!$F$4,Учет!$H899,0)</f>
        <v>0</v>
      </c>
      <c r="E899" s="52">
        <f>IF(Учет!$O899=Справочники!$F$5,Учет!$H899,0)</f>
        <v>0</v>
      </c>
      <c r="F899" s="52">
        <f>IF(Учет!$O899=Справочники!$F$6,Учет!$H899,0)</f>
        <v>0</v>
      </c>
      <c r="G899" s="43">
        <f>G898+Учет!B899-B899</f>
        <v>-488978.92000000004</v>
      </c>
      <c r="H899" s="43">
        <f>H898+Учет!C899-C899</f>
        <v>336855</v>
      </c>
      <c r="I899" s="43">
        <f>I898+Учет!D899-D899</f>
        <v>500</v>
      </c>
      <c r="J899" s="43">
        <f>J898+Учет!E899-E899</f>
        <v>1150</v>
      </c>
      <c r="K899" s="43">
        <f>K898+Учет!F899-F899</f>
        <v>500000</v>
      </c>
      <c r="L899" s="45">
        <f>Учет!I899</f>
        <v>349526.07999999996</v>
      </c>
    </row>
    <row r="900" spans="1:12" x14ac:dyDescent="0.25">
      <c r="A900" s="48" t="str">
        <f>IF(Учет!A900&lt;&gt;"",Учет!A900,"")</f>
        <v/>
      </c>
      <c r="B900" s="52">
        <f>IF(Учет!$O900=Справочники!$F$2,Учет!$H900,0)</f>
        <v>0</v>
      </c>
      <c r="C900" s="52">
        <f>IF(Учет!$O900=Справочники!$F$3,Учет!$H900,0)</f>
        <v>0</v>
      </c>
      <c r="D900" s="52">
        <f>IF(Учет!$O900=Справочники!$F$4,Учет!$H900,0)</f>
        <v>0</v>
      </c>
      <c r="E900" s="52">
        <f>IF(Учет!$O900=Справочники!$F$5,Учет!$H900,0)</f>
        <v>0</v>
      </c>
      <c r="F900" s="52">
        <f>IF(Учет!$O900=Справочники!$F$6,Учет!$H900,0)</f>
        <v>0</v>
      </c>
      <c r="G900" s="43">
        <f>G899+Учет!B900-B900</f>
        <v>-488978.92000000004</v>
      </c>
      <c r="H900" s="43">
        <f>H899+Учет!C900-C900</f>
        <v>336855</v>
      </c>
      <c r="I900" s="43">
        <f>I899+Учет!D900-D900</f>
        <v>500</v>
      </c>
      <c r="J900" s="43">
        <f>J899+Учет!E900-E900</f>
        <v>1150</v>
      </c>
      <c r="K900" s="43">
        <f>K899+Учет!F900-F900</f>
        <v>500000</v>
      </c>
      <c r="L900" s="45">
        <f>Учет!I900</f>
        <v>349526.07999999996</v>
      </c>
    </row>
    <row r="901" spans="1:12" x14ac:dyDescent="0.25">
      <c r="A901" s="48" t="str">
        <f>IF(Учет!A901&lt;&gt;"",Учет!A901,"")</f>
        <v/>
      </c>
      <c r="B901" s="52">
        <f>IF(Учет!$O901=Справочники!$F$2,Учет!$H901,0)</f>
        <v>0</v>
      </c>
      <c r="C901" s="52">
        <f>IF(Учет!$O901=Справочники!$F$3,Учет!$H901,0)</f>
        <v>0</v>
      </c>
      <c r="D901" s="52">
        <f>IF(Учет!$O901=Справочники!$F$4,Учет!$H901,0)</f>
        <v>0</v>
      </c>
      <c r="E901" s="52">
        <f>IF(Учет!$O901=Справочники!$F$5,Учет!$H901,0)</f>
        <v>0</v>
      </c>
      <c r="F901" s="52">
        <f>IF(Учет!$O901=Справочники!$F$6,Учет!$H901,0)</f>
        <v>0</v>
      </c>
      <c r="G901" s="43">
        <f>G900+Учет!B901-B901</f>
        <v>-488978.92000000004</v>
      </c>
      <c r="H901" s="43">
        <f>H900+Учет!C901-C901</f>
        <v>336855</v>
      </c>
      <c r="I901" s="43">
        <f>I900+Учет!D901-D901</f>
        <v>500</v>
      </c>
      <c r="J901" s="43">
        <f>J900+Учет!E901-E901</f>
        <v>1150</v>
      </c>
      <c r="K901" s="43">
        <f>K900+Учет!F901-F901</f>
        <v>500000</v>
      </c>
      <c r="L901" s="45">
        <f>Учет!I901</f>
        <v>349526.07999999996</v>
      </c>
    </row>
    <row r="902" spans="1:12" x14ac:dyDescent="0.25">
      <c r="A902" s="48" t="str">
        <f>IF(Учет!A902&lt;&gt;"",Учет!A902,"")</f>
        <v/>
      </c>
      <c r="B902" s="52">
        <f>IF(Учет!$O902=Справочники!$F$2,Учет!$H902,0)</f>
        <v>0</v>
      </c>
      <c r="C902" s="52">
        <f>IF(Учет!$O902=Справочники!$F$3,Учет!$H902,0)</f>
        <v>0</v>
      </c>
      <c r="D902" s="52">
        <f>IF(Учет!$O902=Справочники!$F$4,Учет!$H902,0)</f>
        <v>0</v>
      </c>
      <c r="E902" s="52">
        <f>IF(Учет!$O902=Справочники!$F$5,Учет!$H902,0)</f>
        <v>0</v>
      </c>
      <c r="F902" s="52">
        <f>IF(Учет!$O902=Справочники!$F$6,Учет!$H902,0)</f>
        <v>0</v>
      </c>
      <c r="G902" s="43">
        <f>G901+Учет!B902-B902</f>
        <v>-488978.92000000004</v>
      </c>
      <c r="H902" s="43">
        <f>H901+Учет!C902-C902</f>
        <v>336855</v>
      </c>
      <c r="I902" s="43">
        <f>I901+Учет!D902-D902</f>
        <v>500</v>
      </c>
      <c r="J902" s="43">
        <f>J901+Учет!E902-E902</f>
        <v>1150</v>
      </c>
      <c r="K902" s="43">
        <f>K901+Учет!F902-F902</f>
        <v>500000</v>
      </c>
      <c r="L902" s="45">
        <f>Учет!I902</f>
        <v>349526.07999999996</v>
      </c>
    </row>
    <row r="903" spans="1:12" x14ac:dyDescent="0.25">
      <c r="A903" s="48" t="str">
        <f>IF(Учет!A903&lt;&gt;"",Учет!A903,"")</f>
        <v/>
      </c>
      <c r="B903" s="52">
        <f>IF(Учет!$O903=Справочники!$F$2,Учет!$H903,0)</f>
        <v>0</v>
      </c>
      <c r="C903" s="52">
        <f>IF(Учет!$O903=Справочники!$F$3,Учет!$H903,0)</f>
        <v>0</v>
      </c>
      <c r="D903" s="52">
        <f>IF(Учет!$O903=Справочники!$F$4,Учет!$H903,0)</f>
        <v>0</v>
      </c>
      <c r="E903" s="52">
        <f>IF(Учет!$O903=Справочники!$F$5,Учет!$H903,0)</f>
        <v>0</v>
      </c>
      <c r="F903" s="52">
        <f>IF(Учет!$O903=Справочники!$F$6,Учет!$H903,0)</f>
        <v>0</v>
      </c>
      <c r="G903" s="43">
        <f>G902+Учет!B903-B903</f>
        <v>-488978.92000000004</v>
      </c>
      <c r="H903" s="43">
        <f>H902+Учет!C903-C903</f>
        <v>336855</v>
      </c>
      <c r="I903" s="43">
        <f>I902+Учет!D903-D903</f>
        <v>500</v>
      </c>
      <c r="J903" s="43">
        <f>J902+Учет!E903-E903</f>
        <v>1150</v>
      </c>
      <c r="K903" s="43">
        <f>K902+Учет!F903-F903</f>
        <v>500000</v>
      </c>
      <c r="L903" s="45">
        <f>Учет!I903</f>
        <v>349526.07999999996</v>
      </c>
    </row>
    <row r="904" spans="1:12" x14ac:dyDescent="0.25">
      <c r="A904" s="48" t="str">
        <f>IF(Учет!A904&lt;&gt;"",Учет!A904,"")</f>
        <v/>
      </c>
      <c r="B904" s="52">
        <f>IF(Учет!$O904=Справочники!$F$2,Учет!$H904,0)</f>
        <v>0</v>
      </c>
      <c r="C904" s="52">
        <f>IF(Учет!$O904=Справочники!$F$3,Учет!$H904,0)</f>
        <v>0</v>
      </c>
      <c r="D904" s="52">
        <f>IF(Учет!$O904=Справочники!$F$4,Учет!$H904,0)</f>
        <v>0</v>
      </c>
      <c r="E904" s="52">
        <f>IF(Учет!$O904=Справочники!$F$5,Учет!$H904,0)</f>
        <v>0</v>
      </c>
      <c r="F904" s="52">
        <f>IF(Учет!$O904=Справочники!$F$6,Учет!$H904,0)</f>
        <v>0</v>
      </c>
      <c r="G904" s="43">
        <f>G903+Учет!B904-B904</f>
        <v>-488978.92000000004</v>
      </c>
      <c r="H904" s="43">
        <f>H903+Учет!C904-C904</f>
        <v>336855</v>
      </c>
      <c r="I904" s="43">
        <f>I903+Учет!D904-D904</f>
        <v>500</v>
      </c>
      <c r="J904" s="43">
        <f>J903+Учет!E904-E904</f>
        <v>1150</v>
      </c>
      <c r="K904" s="43">
        <f>K903+Учет!F904-F904</f>
        <v>500000</v>
      </c>
      <c r="L904" s="45">
        <f>Учет!I904</f>
        <v>349526.07999999996</v>
      </c>
    </row>
    <row r="905" spans="1:12" x14ac:dyDescent="0.25">
      <c r="A905" s="48" t="str">
        <f>IF(Учет!A905&lt;&gt;"",Учет!A905,"")</f>
        <v/>
      </c>
      <c r="B905" s="52">
        <f>IF(Учет!$O905=Справочники!$F$2,Учет!$H905,0)</f>
        <v>0</v>
      </c>
      <c r="C905" s="52">
        <f>IF(Учет!$O905=Справочники!$F$3,Учет!$H905,0)</f>
        <v>0</v>
      </c>
      <c r="D905" s="52">
        <f>IF(Учет!$O905=Справочники!$F$4,Учет!$H905,0)</f>
        <v>0</v>
      </c>
      <c r="E905" s="52">
        <f>IF(Учет!$O905=Справочники!$F$5,Учет!$H905,0)</f>
        <v>0</v>
      </c>
      <c r="F905" s="52">
        <f>IF(Учет!$O905=Справочники!$F$6,Учет!$H905,0)</f>
        <v>0</v>
      </c>
      <c r="G905" s="43">
        <f>G904+Учет!B905-B905</f>
        <v>-488978.92000000004</v>
      </c>
      <c r="H905" s="43">
        <f>H904+Учет!C905-C905</f>
        <v>336855</v>
      </c>
      <c r="I905" s="43">
        <f>I904+Учет!D905-D905</f>
        <v>500</v>
      </c>
      <c r="J905" s="43">
        <f>J904+Учет!E905-E905</f>
        <v>1150</v>
      </c>
      <c r="K905" s="43">
        <f>K904+Учет!F905-F905</f>
        <v>500000</v>
      </c>
      <c r="L905" s="45">
        <f>Учет!I905</f>
        <v>349526.07999999996</v>
      </c>
    </row>
    <row r="906" spans="1:12" x14ac:dyDescent="0.25">
      <c r="A906" s="48" t="str">
        <f>IF(Учет!A906&lt;&gt;"",Учет!A906,"")</f>
        <v/>
      </c>
      <c r="B906" s="52">
        <f>IF(Учет!$O906=Справочники!$F$2,Учет!$H906,0)</f>
        <v>0</v>
      </c>
      <c r="C906" s="52">
        <f>IF(Учет!$O906=Справочники!$F$3,Учет!$H906,0)</f>
        <v>0</v>
      </c>
      <c r="D906" s="52">
        <f>IF(Учет!$O906=Справочники!$F$4,Учет!$H906,0)</f>
        <v>0</v>
      </c>
      <c r="E906" s="52">
        <f>IF(Учет!$O906=Справочники!$F$5,Учет!$H906,0)</f>
        <v>0</v>
      </c>
      <c r="F906" s="52">
        <f>IF(Учет!$O906=Справочники!$F$6,Учет!$H906,0)</f>
        <v>0</v>
      </c>
      <c r="G906" s="43">
        <f>G905+Учет!B906-B906</f>
        <v>-488978.92000000004</v>
      </c>
      <c r="H906" s="43">
        <f>H905+Учет!C906-C906</f>
        <v>336855</v>
      </c>
      <c r="I906" s="43">
        <f>I905+Учет!D906-D906</f>
        <v>500</v>
      </c>
      <c r="J906" s="43">
        <f>J905+Учет!E906-E906</f>
        <v>1150</v>
      </c>
      <c r="K906" s="43">
        <f>K905+Учет!F906-F906</f>
        <v>500000</v>
      </c>
      <c r="L906" s="45">
        <f>Учет!I906</f>
        <v>349526.07999999996</v>
      </c>
    </row>
    <row r="907" spans="1:12" x14ac:dyDescent="0.25">
      <c r="A907" s="48" t="str">
        <f>IF(Учет!A907&lt;&gt;"",Учет!A907,"")</f>
        <v/>
      </c>
      <c r="B907" s="52">
        <f>IF(Учет!$O907=Справочники!$F$2,Учет!$H907,0)</f>
        <v>0</v>
      </c>
      <c r="C907" s="52">
        <f>IF(Учет!$O907=Справочники!$F$3,Учет!$H907,0)</f>
        <v>0</v>
      </c>
      <c r="D907" s="52">
        <f>IF(Учет!$O907=Справочники!$F$4,Учет!$H907,0)</f>
        <v>0</v>
      </c>
      <c r="E907" s="52">
        <f>IF(Учет!$O907=Справочники!$F$5,Учет!$H907,0)</f>
        <v>0</v>
      </c>
      <c r="F907" s="52">
        <f>IF(Учет!$O907=Справочники!$F$6,Учет!$H907,0)</f>
        <v>0</v>
      </c>
      <c r="G907" s="43">
        <f>G906+Учет!B907-B907</f>
        <v>-488978.92000000004</v>
      </c>
      <c r="H907" s="43">
        <f>H906+Учет!C907-C907</f>
        <v>336855</v>
      </c>
      <c r="I907" s="43">
        <f>I906+Учет!D907-D907</f>
        <v>500</v>
      </c>
      <c r="J907" s="43">
        <f>J906+Учет!E907-E907</f>
        <v>1150</v>
      </c>
      <c r="K907" s="43">
        <f>K906+Учет!F907-F907</f>
        <v>500000</v>
      </c>
      <c r="L907" s="45">
        <f>Учет!I907</f>
        <v>349526.07999999996</v>
      </c>
    </row>
    <row r="908" spans="1:12" x14ac:dyDescent="0.25">
      <c r="A908" s="48" t="str">
        <f>IF(Учет!A908&lt;&gt;"",Учет!A908,"")</f>
        <v/>
      </c>
      <c r="B908" s="52">
        <f>IF(Учет!$O908=Справочники!$F$2,Учет!$H908,0)</f>
        <v>0</v>
      </c>
      <c r="C908" s="52">
        <f>IF(Учет!$O908=Справочники!$F$3,Учет!$H908,0)</f>
        <v>0</v>
      </c>
      <c r="D908" s="52">
        <f>IF(Учет!$O908=Справочники!$F$4,Учет!$H908,0)</f>
        <v>0</v>
      </c>
      <c r="E908" s="52">
        <f>IF(Учет!$O908=Справочники!$F$5,Учет!$H908,0)</f>
        <v>0</v>
      </c>
      <c r="F908" s="52">
        <f>IF(Учет!$O908=Справочники!$F$6,Учет!$H908,0)</f>
        <v>0</v>
      </c>
      <c r="G908" s="43">
        <f>G907+Учет!B908-B908</f>
        <v>-488978.92000000004</v>
      </c>
      <c r="H908" s="43">
        <f>H907+Учет!C908-C908</f>
        <v>336855</v>
      </c>
      <c r="I908" s="43">
        <f>I907+Учет!D908-D908</f>
        <v>500</v>
      </c>
      <c r="J908" s="43">
        <f>J907+Учет!E908-E908</f>
        <v>1150</v>
      </c>
      <c r="K908" s="43">
        <f>K907+Учет!F908-F908</f>
        <v>500000</v>
      </c>
      <c r="L908" s="45">
        <f>Учет!I908</f>
        <v>349526.07999999996</v>
      </c>
    </row>
    <row r="909" spans="1:12" x14ac:dyDescent="0.25">
      <c r="A909" s="48" t="str">
        <f>IF(Учет!A909&lt;&gt;"",Учет!A909,"")</f>
        <v/>
      </c>
      <c r="B909" s="52">
        <f>IF(Учет!$O909=Справочники!$F$2,Учет!$H909,0)</f>
        <v>0</v>
      </c>
      <c r="C909" s="52">
        <f>IF(Учет!$O909=Справочники!$F$3,Учет!$H909,0)</f>
        <v>0</v>
      </c>
      <c r="D909" s="52">
        <f>IF(Учет!$O909=Справочники!$F$4,Учет!$H909,0)</f>
        <v>0</v>
      </c>
      <c r="E909" s="52">
        <f>IF(Учет!$O909=Справочники!$F$5,Учет!$H909,0)</f>
        <v>0</v>
      </c>
      <c r="F909" s="52">
        <f>IF(Учет!$O909=Справочники!$F$6,Учет!$H909,0)</f>
        <v>0</v>
      </c>
      <c r="G909" s="43">
        <f>G908+Учет!B909-B909</f>
        <v>-488978.92000000004</v>
      </c>
      <c r="H909" s="43">
        <f>H908+Учет!C909-C909</f>
        <v>336855</v>
      </c>
      <c r="I909" s="43">
        <f>I908+Учет!D909-D909</f>
        <v>500</v>
      </c>
      <c r="J909" s="43">
        <f>J908+Учет!E909-E909</f>
        <v>1150</v>
      </c>
      <c r="K909" s="43">
        <f>K908+Учет!F909-F909</f>
        <v>500000</v>
      </c>
      <c r="L909" s="45">
        <f>Учет!I909</f>
        <v>349526.07999999996</v>
      </c>
    </row>
    <row r="910" spans="1:12" x14ac:dyDescent="0.25">
      <c r="A910" s="48" t="str">
        <f>IF(Учет!A910&lt;&gt;"",Учет!A910,"")</f>
        <v/>
      </c>
      <c r="B910" s="52">
        <f>IF(Учет!$O910=Справочники!$F$2,Учет!$H910,0)</f>
        <v>0</v>
      </c>
      <c r="C910" s="52">
        <f>IF(Учет!$O910=Справочники!$F$3,Учет!$H910,0)</f>
        <v>0</v>
      </c>
      <c r="D910" s="52">
        <f>IF(Учет!$O910=Справочники!$F$4,Учет!$H910,0)</f>
        <v>0</v>
      </c>
      <c r="E910" s="52">
        <f>IF(Учет!$O910=Справочники!$F$5,Учет!$H910,0)</f>
        <v>0</v>
      </c>
      <c r="F910" s="52">
        <f>IF(Учет!$O910=Справочники!$F$6,Учет!$H910,0)</f>
        <v>0</v>
      </c>
      <c r="G910" s="43">
        <f>G909+Учет!B910-B910</f>
        <v>-488978.92000000004</v>
      </c>
      <c r="H910" s="43">
        <f>H909+Учет!C910-C910</f>
        <v>336855</v>
      </c>
      <c r="I910" s="43">
        <f>I909+Учет!D910-D910</f>
        <v>500</v>
      </c>
      <c r="J910" s="43">
        <f>J909+Учет!E910-E910</f>
        <v>1150</v>
      </c>
      <c r="K910" s="43">
        <f>K909+Учет!F910-F910</f>
        <v>500000</v>
      </c>
      <c r="L910" s="45">
        <f>Учет!I910</f>
        <v>349526.07999999996</v>
      </c>
    </row>
    <row r="911" spans="1:12" x14ac:dyDescent="0.25">
      <c r="A911" s="48" t="str">
        <f>IF(Учет!A911&lt;&gt;"",Учет!A911,"")</f>
        <v/>
      </c>
      <c r="B911" s="52">
        <f>IF(Учет!$O911=Справочники!$F$2,Учет!$H911,0)</f>
        <v>0</v>
      </c>
      <c r="C911" s="52">
        <f>IF(Учет!$O911=Справочники!$F$3,Учет!$H911,0)</f>
        <v>0</v>
      </c>
      <c r="D911" s="52">
        <f>IF(Учет!$O911=Справочники!$F$4,Учет!$H911,0)</f>
        <v>0</v>
      </c>
      <c r="E911" s="52">
        <f>IF(Учет!$O911=Справочники!$F$5,Учет!$H911,0)</f>
        <v>0</v>
      </c>
      <c r="F911" s="52">
        <f>IF(Учет!$O911=Справочники!$F$6,Учет!$H911,0)</f>
        <v>0</v>
      </c>
      <c r="G911" s="43">
        <f>G910+Учет!B911-B911</f>
        <v>-488978.92000000004</v>
      </c>
      <c r="H911" s="43">
        <f>H910+Учет!C911-C911</f>
        <v>336855</v>
      </c>
      <c r="I911" s="43">
        <f>I910+Учет!D911-D911</f>
        <v>500</v>
      </c>
      <c r="J911" s="43">
        <f>J910+Учет!E911-E911</f>
        <v>1150</v>
      </c>
      <c r="K911" s="43">
        <f>K910+Учет!F911-F911</f>
        <v>500000</v>
      </c>
      <c r="L911" s="45">
        <f>Учет!I911</f>
        <v>349526.07999999996</v>
      </c>
    </row>
    <row r="912" spans="1:12" x14ac:dyDescent="0.25">
      <c r="A912" s="48" t="str">
        <f>IF(Учет!A912&lt;&gt;"",Учет!A912,"")</f>
        <v/>
      </c>
      <c r="B912" s="52">
        <f>IF(Учет!$O912=Справочники!$F$2,Учет!$H912,0)</f>
        <v>0</v>
      </c>
      <c r="C912" s="52">
        <f>IF(Учет!$O912=Справочники!$F$3,Учет!$H912,0)</f>
        <v>0</v>
      </c>
      <c r="D912" s="52">
        <f>IF(Учет!$O912=Справочники!$F$4,Учет!$H912,0)</f>
        <v>0</v>
      </c>
      <c r="E912" s="52">
        <f>IF(Учет!$O912=Справочники!$F$5,Учет!$H912,0)</f>
        <v>0</v>
      </c>
      <c r="F912" s="52">
        <f>IF(Учет!$O912=Справочники!$F$6,Учет!$H912,0)</f>
        <v>0</v>
      </c>
      <c r="G912" s="43">
        <f>G911+Учет!B912-B912</f>
        <v>-488978.92000000004</v>
      </c>
      <c r="H912" s="43">
        <f>H911+Учет!C912-C912</f>
        <v>336855</v>
      </c>
      <c r="I912" s="43">
        <f>I911+Учет!D912-D912</f>
        <v>500</v>
      </c>
      <c r="J912" s="43">
        <f>J911+Учет!E912-E912</f>
        <v>1150</v>
      </c>
      <c r="K912" s="43">
        <f>K911+Учет!F912-F912</f>
        <v>500000</v>
      </c>
      <c r="L912" s="45">
        <f>Учет!I912</f>
        <v>349526.07999999996</v>
      </c>
    </row>
    <row r="913" spans="1:12" x14ac:dyDescent="0.25">
      <c r="A913" s="48" t="str">
        <f>IF(Учет!A913&lt;&gt;"",Учет!A913,"")</f>
        <v/>
      </c>
      <c r="B913" s="52">
        <f>IF(Учет!$O913=Справочники!$F$2,Учет!$H913,0)</f>
        <v>0</v>
      </c>
      <c r="C913" s="52">
        <f>IF(Учет!$O913=Справочники!$F$3,Учет!$H913,0)</f>
        <v>0</v>
      </c>
      <c r="D913" s="52">
        <f>IF(Учет!$O913=Справочники!$F$4,Учет!$H913,0)</f>
        <v>0</v>
      </c>
      <c r="E913" s="52">
        <f>IF(Учет!$O913=Справочники!$F$5,Учет!$H913,0)</f>
        <v>0</v>
      </c>
      <c r="F913" s="52">
        <f>IF(Учет!$O913=Справочники!$F$6,Учет!$H913,0)</f>
        <v>0</v>
      </c>
      <c r="G913" s="43">
        <f>G912+Учет!B913-B913</f>
        <v>-488978.92000000004</v>
      </c>
      <c r="H913" s="43">
        <f>H912+Учет!C913-C913</f>
        <v>336855</v>
      </c>
      <c r="I913" s="43">
        <f>I912+Учет!D913-D913</f>
        <v>500</v>
      </c>
      <c r="J913" s="43">
        <f>J912+Учет!E913-E913</f>
        <v>1150</v>
      </c>
      <c r="K913" s="43">
        <f>K912+Учет!F913-F913</f>
        <v>500000</v>
      </c>
      <c r="L913" s="45">
        <f>Учет!I913</f>
        <v>349526.07999999996</v>
      </c>
    </row>
    <row r="914" spans="1:12" x14ac:dyDescent="0.25">
      <c r="A914" s="48" t="str">
        <f>IF(Учет!A914&lt;&gt;"",Учет!A914,"")</f>
        <v/>
      </c>
      <c r="B914" s="52">
        <f>IF(Учет!$O914=Справочники!$F$2,Учет!$H914,0)</f>
        <v>0</v>
      </c>
      <c r="C914" s="52">
        <f>IF(Учет!$O914=Справочники!$F$3,Учет!$H914,0)</f>
        <v>0</v>
      </c>
      <c r="D914" s="52">
        <f>IF(Учет!$O914=Справочники!$F$4,Учет!$H914,0)</f>
        <v>0</v>
      </c>
      <c r="E914" s="52">
        <f>IF(Учет!$O914=Справочники!$F$5,Учет!$H914,0)</f>
        <v>0</v>
      </c>
      <c r="F914" s="52">
        <f>IF(Учет!$O914=Справочники!$F$6,Учет!$H914,0)</f>
        <v>0</v>
      </c>
      <c r="G914" s="43">
        <f>G913+Учет!B914-B914</f>
        <v>-488978.92000000004</v>
      </c>
      <c r="H914" s="43">
        <f>H913+Учет!C914-C914</f>
        <v>336855</v>
      </c>
      <c r="I914" s="43">
        <f>I913+Учет!D914-D914</f>
        <v>500</v>
      </c>
      <c r="J914" s="43">
        <f>J913+Учет!E914-E914</f>
        <v>1150</v>
      </c>
      <c r="K914" s="43">
        <f>K913+Учет!F914-F914</f>
        <v>500000</v>
      </c>
      <c r="L914" s="45">
        <f>Учет!I914</f>
        <v>349526.07999999996</v>
      </c>
    </row>
    <row r="915" spans="1:12" x14ac:dyDescent="0.25">
      <c r="A915" s="48" t="str">
        <f>IF(Учет!A915&lt;&gt;"",Учет!A915,"")</f>
        <v/>
      </c>
      <c r="B915" s="52">
        <f>IF(Учет!$O915=Справочники!$F$2,Учет!$H915,0)</f>
        <v>0</v>
      </c>
      <c r="C915" s="52">
        <f>IF(Учет!$O915=Справочники!$F$3,Учет!$H915,0)</f>
        <v>0</v>
      </c>
      <c r="D915" s="52">
        <f>IF(Учет!$O915=Справочники!$F$4,Учет!$H915,0)</f>
        <v>0</v>
      </c>
      <c r="E915" s="52">
        <f>IF(Учет!$O915=Справочники!$F$5,Учет!$H915,0)</f>
        <v>0</v>
      </c>
      <c r="F915" s="52">
        <f>IF(Учет!$O915=Справочники!$F$6,Учет!$H915,0)</f>
        <v>0</v>
      </c>
      <c r="G915" s="43">
        <f>G914+Учет!B915-B915</f>
        <v>-488978.92000000004</v>
      </c>
      <c r="H915" s="43">
        <f>H914+Учет!C915-C915</f>
        <v>336855</v>
      </c>
      <c r="I915" s="43">
        <f>I914+Учет!D915-D915</f>
        <v>500</v>
      </c>
      <c r="J915" s="43">
        <f>J914+Учет!E915-E915</f>
        <v>1150</v>
      </c>
      <c r="K915" s="43">
        <f>K914+Учет!F915-F915</f>
        <v>500000</v>
      </c>
      <c r="L915" s="45">
        <f>Учет!I915</f>
        <v>349526.07999999996</v>
      </c>
    </row>
    <row r="916" spans="1:12" x14ac:dyDescent="0.25">
      <c r="A916" s="48" t="str">
        <f>IF(Учет!A916&lt;&gt;"",Учет!A916,"")</f>
        <v/>
      </c>
      <c r="B916" s="52">
        <f>IF(Учет!$O916=Справочники!$F$2,Учет!$H916,0)</f>
        <v>0</v>
      </c>
      <c r="C916" s="52">
        <f>IF(Учет!$O916=Справочники!$F$3,Учет!$H916,0)</f>
        <v>0</v>
      </c>
      <c r="D916" s="52">
        <f>IF(Учет!$O916=Справочники!$F$4,Учет!$H916,0)</f>
        <v>0</v>
      </c>
      <c r="E916" s="52">
        <f>IF(Учет!$O916=Справочники!$F$5,Учет!$H916,0)</f>
        <v>0</v>
      </c>
      <c r="F916" s="52">
        <f>IF(Учет!$O916=Справочники!$F$6,Учет!$H916,0)</f>
        <v>0</v>
      </c>
      <c r="G916" s="43">
        <f>G915+Учет!B916-B916</f>
        <v>-488978.92000000004</v>
      </c>
      <c r="H916" s="43">
        <f>H915+Учет!C916-C916</f>
        <v>336855</v>
      </c>
      <c r="I916" s="43">
        <f>I915+Учет!D916-D916</f>
        <v>500</v>
      </c>
      <c r="J916" s="43">
        <f>J915+Учет!E916-E916</f>
        <v>1150</v>
      </c>
      <c r="K916" s="43">
        <f>K915+Учет!F916-F916</f>
        <v>500000</v>
      </c>
      <c r="L916" s="45">
        <f>Учет!I916</f>
        <v>349526.07999999996</v>
      </c>
    </row>
    <row r="917" spans="1:12" x14ac:dyDescent="0.25">
      <c r="A917" s="48" t="str">
        <f>IF(Учет!A917&lt;&gt;"",Учет!A917,"")</f>
        <v/>
      </c>
      <c r="B917" s="52">
        <f>IF(Учет!$O917=Справочники!$F$2,Учет!$H917,0)</f>
        <v>0</v>
      </c>
      <c r="C917" s="52">
        <f>IF(Учет!$O917=Справочники!$F$3,Учет!$H917,0)</f>
        <v>0</v>
      </c>
      <c r="D917" s="52">
        <f>IF(Учет!$O917=Справочники!$F$4,Учет!$H917,0)</f>
        <v>0</v>
      </c>
      <c r="E917" s="52">
        <f>IF(Учет!$O917=Справочники!$F$5,Учет!$H917,0)</f>
        <v>0</v>
      </c>
      <c r="F917" s="52">
        <f>IF(Учет!$O917=Справочники!$F$6,Учет!$H917,0)</f>
        <v>0</v>
      </c>
      <c r="G917" s="43">
        <f>G916+Учет!B917-B917</f>
        <v>-488978.92000000004</v>
      </c>
      <c r="H917" s="43">
        <f>H916+Учет!C917-C917</f>
        <v>336855</v>
      </c>
      <c r="I917" s="43">
        <f>I916+Учет!D917-D917</f>
        <v>500</v>
      </c>
      <c r="J917" s="43">
        <f>J916+Учет!E917-E917</f>
        <v>1150</v>
      </c>
      <c r="K917" s="43">
        <f>K916+Учет!F917-F917</f>
        <v>500000</v>
      </c>
      <c r="L917" s="45">
        <f>Учет!I917</f>
        <v>349526.07999999996</v>
      </c>
    </row>
    <row r="918" spans="1:12" x14ac:dyDescent="0.25">
      <c r="A918" s="48" t="str">
        <f>IF(Учет!A918&lt;&gt;"",Учет!A918,"")</f>
        <v/>
      </c>
      <c r="B918" s="52">
        <f>IF(Учет!$O918=Справочники!$F$2,Учет!$H918,0)</f>
        <v>0</v>
      </c>
      <c r="C918" s="52">
        <f>IF(Учет!$O918=Справочники!$F$3,Учет!$H918,0)</f>
        <v>0</v>
      </c>
      <c r="D918" s="52">
        <f>IF(Учет!$O918=Справочники!$F$4,Учет!$H918,0)</f>
        <v>0</v>
      </c>
      <c r="E918" s="52">
        <f>IF(Учет!$O918=Справочники!$F$5,Учет!$H918,0)</f>
        <v>0</v>
      </c>
      <c r="F918" s="52">
        <f>IF(Учет!$O918=Справочники!$F$6,Учет!$H918,0)</f>
        <v>0</v>
      </c>
      <c r="G918" s="43">
        <f>G917+Учет!B918-B918</f>
        <v>-488978.92000000004</v>
      </c>
      <c r="H918" s="43">
        <f>H917+Учет!C918-C918</f>
        <v>336855</v>
      </c>
      <c r="I918" s="43">
        <f>I917+Учет!D918-D918</f>
        <v>500</v>
      </c>
      <c r="J918" s="43">
        <f>J917+Учет!E918-E918</f>
        <v>1150</v>
      </c>
      <c r="K918" s="43">
        <f>K917+Учет!F918-F918</f>
        <v>500000</v>
      </c>
      <c r="L918" s="45">
        <f>Учет!I918</f>
        <v>349526.07999999996</v>
      </c>
    </row>
    <row r="919" spans="1:12" x14ac:dyDescent="0.25">
      <c r="A919" s="48" t="str">
        <f>IF(Учет!A919&lt;&gt;"",Учет!A919,"")</f>
        <v/>
      </c>
      <c r="B919" s="52">
        <f>IF(Учет!$O919=Справочники!$F$2,Учет!$H919,0)</f>
        <v>0</v>
      </c>
      <c r="C919" s="52">
        <f>IF(Учет!$O919=Справочники!$F$3,Учет!$H919,0)</f>
        <v>0</v>
      </c>
      <c r="D919" s="52">
        <f>IF(Учет!$O919=Справочники!$F$4,Учет!$H919,0)</f>
        <v>0</v>
      </c>
      <c r="E919" s="52">
        <f>IF(Учет!$O919=Справочники!$F$5,Учет!$H919,0)</f>
        <v>0</v>
      </c>
      <c r="F919" s="52">
        <f>IF(Учет!$O919=Справочники!$F$6,Учет!$H919,0)</f>
        <v>0</v>
      </c>
      <c r="G919" s="43">
        <f>G918+Учет!B919-B919</f>
        <v>-488978.92000000004</v>
      </c>
      <c r="H919" s="43">
        <f>H918+Учет!C919-C919</f>
        <v>336855</v>
      </c>
      <c r="I919" s="43">
        <f>I918+Учет!D919-D919</f>
        <v>500</v>
      </c>
      <c r="J919" s="43">
        <f>J918+Учет!E919-E919</f>
        <v>1150</v>
      </c>
      <c r="K919" s="43">
        <f>K918+Учет!F919-F919</f>
        <v>500000</v>
      </c>
      <c r="L919" s="45">
        <f>Учет!I919</f>
        <v>349526.07999999996</v>
      </c>
    </row>
    <row r="920" spans="1:12" x14ac:dyDescent="0.25">
      <c r="A920" s="48" t="str">
        <f>IF(Учет!A920&lt;&gt;"",Учет!A920,"")</f>
        <v/>
      </c>
      <c r="B920" s="52">
        <f>IF(Учет!$O920=Справочники!$F$2,Учет!$H920,0)</f>
        <v>0</v>
      </c>
      <c r="C920" s="52">
        <f>IF(Учет!$O920=Справочники!$F$3,Учет!$H920,0)</f>
        <v>0</v>
      </c>
      <c r="D920" s="52">
        <f>IF(Учет!$O920=Справочники!$F$4,Учет!$H920,0)</f>
        <v>0</v>
      </c>
      <c r="E920" s="52">
        <f>IF(Учет!$O920=Справочники!$F$5,Учет!$H920,0)</f>
        <v>0</v>
      </c>
      <c r="F920" s="52">
        <f>IF(Учет!$O920=Справочники!$F$6,Учет!$H920,0)</f>
        <v>0</v>
      </c>
      <c r="G920" s="43">
        <f>G919+Учет!B920-B920</f>
        <v>-488978.92000000004</v>
      </c>
      <c r="H920" s="43">
        <f>H919+Учет!C920-C920</f>
        <v>336855</v>
      </c>
      <c r="I920" s="43">
        <f>I919+Учет!D920-D920</f>
        <v>500</v>
      </c>
      <c r="J920" s="43">
        <f>J919+Учет!E920-E920</f>
        <v>1150</v>
      </c>
      <c r="K920" s="43">
        <f>K919+Учет!F920-F920</f>
        <v>500000</v>
      </c>
      <c r="L920" s="45">
        <f>Учет!I920</f>
        <v>349526.07999999996</v>
      </c>
    </row>
    <row r="921" spans="1:12" x14ac:dyDescent="0.25">
      <c r="A921" s="48" t="str">
        <f>IF(Учет!A921&lt;&gt;"",Учет!A921,"")</f>
        <v/>
      </c>
      <c r="B921" s="52">
        <f>IF(Учет!$O921=Справочники!$F$2,Учет!$H921,0)</f>
        <v>0</v>
      </c>
      <c r="C921" s="52">
        <f>IF(Учет!$O921=Справочники!$F$3,Учет!$H921,0)</f>
        <v>0</v>
      </c>
      <c r="D921" s="52">
        <f>IF(Учет!$O921=Справочники!$F$4,Учет!$H921,0)</f>
        <v>0</v>
      </c>
      <c r="E921" s="52">
        <f>IF(Учет!$O921=Справочники!$F$5,Учет!$H921,0)</f>
        <v>0</v>
      </c>
      <c r="F921" s="52">
        <f>IF(Учет!$O921=Справочники!$F$6,Учет!$H921,0)</f>
        <v>0</v>
      </c>
      <c r="G921" s="43">
        <f>G920+Учет!B921-B921</f>
        <v>-488978.92000000004</v>
      </c>
      <c r="H921" s="43">
        <f>H920+Учет!C921-C921</f>
        <v>336855</v>
      </c>
      <c r="I921" s="43">
        <f>I920+Учет!D921-D921</f>
        <v>500</v>
      </c>
      <c r="J921" s="43">
        <f>J920+Учет!E921-E921</f>
        <v>1150</v>
      </c>
      <c r="K921" s="43">
        <f>K920+Учет!F921-F921</f>
        <v>500000</v>
      </c>
      <c r="L921" s="45">
        <f>Учет!I921</f>
        <v>349526.07999999996</v>
      </c>
    </row>
    <row r="922" spans="1:12" x14ac:dyDescent="0.25">
      <c r="A922" s="48" t="str">
        <f>IF(Учет!A922&lt;&gt;"",Учет!A922,"")</f>
        <v/>
      </c>
      <c r="B922" s="52">
        <f>IF(Учет!$O922=Справочники!$F$2,Учет!$H922,0)</f>
        <v>0</v>
      </c>
      <c r="C922" s="52">
        <f>IF(Учет!$O922=Справочники!$F$3,Учет!$H922,0)</f>
        <v>0</v>
      </c>
      <c r="D922" s="52">
        <f>IF(Учет!$O922=Справочники!$F$4,Учет!$H922,0)</f>
        <v>0</v>
      </c>
      <c r="E922" s="52">
        <f>IF(Учет!$O922=Справочники!$F$5,Учет!$H922,0)</f>
        <v>0</v>
      </c>
      <c r="F922" s="52">
        <f>IF(Учет!$O922=Справочники!$F$6,Учет!$H922,0)</f>
        <v>0</v>
      </c>
      <c r="G922" s="43">
        <f>G921+Учет!B922-B922</f>
        <v>-488978.92000000004</v>
      </c>
      <c r="H922" s="43">
        <f>H921+Учет!C922-C922</f>
        <v>336855</v>
      </c>
      <c r="I922" s="43">
        <f>I921+Учет!D922-D922</f>
        <v>500</v>
      </c>
      <c r="J922" s="43">
        <f>J921+Учет!E922-E922</f>
        <v>1150</v>
      </c>
      <c r="K922" s="43">
        <f>K921+Учет!F922-F922</f>
        <v>500000</v>
      </c>
      <c r="L922" s="45">
        <f>Учет!I922</f>
        <v>349526.07999999996</v>
      </c>
    </row>
    <row r="923" spans="1:12" x14ac:dyDescent="0.25">
      <c r="A923" s="48" t="str">
        <f>IF(Учет!A923&lt;&gt;"",Учет!A923,"")</f>
        <v/>
      </c>
      <c r="B923" s="52">
        <f>IF(Учет!$O923=Справочники!$F$2,Учет!$H923,0)</f>
        <v>0</v>
      </c>
      <c r="C923" s="52">
        <f>IF(Учет!$O923=Справочники!$F$3,Учет!$H923,0)</f>
        <v>0</v>
      </c>
      <c r="D923" s="52">
        <f>IF(Учет!$O923=Справочники!$F$4,Учет!$H923,0)</f>
        <v>0</v>
      </c>
      <c r="E923" s="52">
        <f>IF(Учет!$O923=Справочники!$F$5,Учет!$H923,0)</f>
        <v>0</v>
      </c>
      <c r="F923" s="52">
        <f>IF(Учет!$O923=Справочники!$F$6,Учет!$H923,0)</f>
        <v>0</v>
      </c>
      <c r="G923" s="43">
        <f>G922+Учет!B923-B923</f>
        <v>-488978.92000000004</v>
      </c>
      <c r="H923" s="43">
        <f>H922+Учет!C923-C923</f>
        <v>336855</v>
      </c>
      <c r="I923" s="43">
        <f>I922+Учет!D923-D923</f>
        <v>500</v>
      </c>
      <c r="J923" s="43">
        <f>J922+Учет!E923-E923</f>
        <v>1150</v>
      </c>
      <c r="K923" s="43">
        <f>K922+Учет!F923-F923</f>
        <v>500000</v>
      </c>
      <c r="L923" s="45">
        <f>Учет!I923</f>
        <v>349526.07999999996</v>
      </c>
    </row>
    <row r="924" spans="1:12" x14ac:dyDescent="0.25">
      <c r="A924" s="48" t="str">
        <f>IF(Учет!A924&lt;&gt;"",Учет!A924,"")</f>
        <v/>
      </c>
      <c r="B924" s="52">
        <f>IF(Учет!$O924=Справочники!$F$2,Учет!$H924,0)</f>
        <v>0</v>
      </c>
      <c r="C924" s="52">
        <f>IF(Учет!$O924=Справочники!$F$3,Учет!$H924,0)</f>
        <v>0</v>
      </c>
      <c r="D924" s="52">
        <f>IF(Учет!$O924=Справочники!$F$4,Учет!$H924,0)</f>
        <v>0</v>
      </c>
      <c r="E924" s="52">
        <f>IF(Учет!$O924=Справочники!$F$5,Учет!$H924,0)</f>
        <v>0</v>
      </c>
      <c r="F924" s="52">
        <f>IF(Учет!$O924=Справочники!$F$6,Учет!$H924,0)</f>
        <v>0</v>
      </c>
      <c r="G924" s="43">
        <f>G923+Учет!B924-B924</f>
        <v>-488978.92000000004</v>
      </c>
      <c r="H924" s="43">
        <f>H923+Учет!C924-C924</f>
        <v>336855</v>
      </c>
      <c r="I924" s="43">
        <f>I923+Учет!D924-D924</f>
        <v>500</v>
      </c>
      <c r="J924" s="43">
        <f>J923+Учет!E924-E924</f>
        <v>1150</v>
      </c>
      <c r="K924" s="43">
        <f>K923+Учет!F924-F924</f>
        <v>500000</v>
      </c>
      <c r="L924" s="45">
        <f>Учет!I924</f>
        <v>349526.07999999996</v>
      </c>
    </row>
    <row r="925" spans="1:12" x14ac:dyDescent="0.25">
      <c r="A925" s="48" t="str">
        <f>IF(Учет!A925&lt;&gt;"",Учет!A925,"")</f>
        <v/>
      </c>
      <c r="B925" s="52">
        <f>IF(Учет!$O925=Справочники!$F$2,Учет!$H925,0)</f>
        <v>0</v>
      </c>
      <c r="C925" s="52">
        <f>IF(Учет!$O925=Справочники!$F$3,Учет!$H925,0)</f>
        <v>0</v>
      </c>
      <c r="D925" s="52">
        <f>IF(Учет!$O925=Справочники!$F$4,Учет!$H925,0)</f>
        <v>0</v>
      </c>
      <c r="E925" s="52">
        <f>IF(Учет!$O925=Справочники!$F$5,Учет!$H925,0)</f>
        <v>0</v>
      </c>
      <c r="F925" s="52">
        <f>IF(Учет!$O925=Справочники!$F$6,Учет!$H925,0)</f>
        <v>0</v>
      </c>
      <c r="G925" s="43">
        <f>G924+Учет!B925-B925</f>
        <v>-488978.92000000004</v>
      </c>
      <c r="H925" s="43">
        <f>H924+Учет!C925-C925</f>
        <v>336855</v>
      </c>
      <c r="I925" s="43">
        <f>I924+Учет!D925-D925</f>
        <v>500</v>
      </c>
      <c r="J925" s="43">
        <f>J924+Учет!E925-E925</f>
        <v>1150</v>
      </c>
      <c r="K925" s="43">
        <f>K924+Учет!F925-F925</f>
        <v>500000</v>
      </c>
      <c r="L925" s="45">
        <f>Учет!I925</f>
        <v>349526.07999999996</v>
      </c>
    </row>
    <row r="926" spans="1:12" x14ac:dyDescent="0.25">
      <c r="A926" s="48" t="str">
        <f>IF(Учет!A926&lt;&gt;"",Учет!A926,"")</f>
        <v/>
      </c>
      <c r="B926" s="52">
        <f>IF(Учет!$O926=Справочники!$F$2,Учет!$H926,0)</f>
        <v>0</v>
      </c>
      <c r="C926" s="52">
        <f>IF(Учет!$O926=Справочники!$F$3,Учет!$H926,0)</f>
        <v>0</v>
      </c>
      <c r="D926" s="52">
        <f>IF(Учет!$O926=Справочники!$F$4,Учет!$H926,0)</f>
        <v>0</v>
      </c>
      <c r="E926" s="52">
        <f>IF(Учет!$O926=Справочники!$F$5,Учет!$H926,0)</f>
        <v>0</v>
      </c>
      <c r="F926" s="52">
        <f>IF(Учет!$O926=Справочники!$F$6,Учет!$H926,0)</f>
        <v>0</v>
      </c>
      <c r="G926" s="43">
        <f>G925+Учет!B926-B926</f>
        <v>-488978.92000000004</v>
      </c>
      <c r="H926" s="43">
        <f>H925+Учет!C926-C926</f>
        <v>336855</v>
      </c>
      <c r="I926" s="43">
        <f>I925+Учет!D926-D926</f>
        <v>500</v>
      </c>
      <c r="J926" s="43">
        <f>J925+Учет!E926-E926</f>
        <v>1150</v>
      </c>
      <c r="K926" s="43">
        <f>K925+Учет!F926-F926</f>
        <v>500000</v>
      </c>
      <c r="L926" s="45">
        <f>Учет!I926</f>
        <v>349526.07999999996</v>
      </c>
    </row>
    <row r="927" spans="1:12" x14ac:dyDescent="0.25">
      <c r="A927" s="48" t="str">
        <f>IF(Учет!A927&lt;&gt;"",Учет!A927,"")</f>
        <v/>
      </c>
      <c r="B927" s="52">
        <f>IF(Учет!$O927=Справочники!$F$2,Учет!$H927,0)</f>
        <v>0</v>
      </c>
      <c r="C927" s="52">
        <f>IF(Учет!$O927=Справочники!$F$3,Учет!$H927,0)</f>
        <v>0</v>
      </c>
      <c r="D927" s="52">
        <f>IF(Учет!$O927=Справочники!$F$4,Учет!$H927,0)</f>
        <v>0</v>
      </c>
      <c r="E927" s="52">
        <f>IF(Учет!$O927=Справочники!$F$5,Учет!$H927,0)</f>
        <v>0</v>
      </c>
      <c r="F927" s="52">
        <f>IF(Учет!$O927=Справочники!$F$6,Учет!$H927,0)</f>
        <v>0</v>
      </c>
      <c r="G927" s="43">
        <f>G926+Учет!B927-B927</f>
        <v>-488978.92000000004</v>
      </c>
      <c r="H927" s="43">
        <f>H926+Учет!C927-C927</f>
        <v>336855</v>
      </c>
      <c r="I927" s="43">
        <f>I926+Учет!D927-D927</f>
        <v>500</v>
      </c>
      <c r="J927" s="43">
        <f>J926+Учет!E927-E927</f>
        <v>1150</v>
      </c>
      <c r="K927" s="43">
        <f>K926+Учет!F927-F927</f>
        <v>500000</v>
      </c>
      <c r="L927" s="45">
        <f>Учет!I927</f>
        <v>349526.07999999996</v>
      </c>
    </row>
    <row r="928" spans="1:12" x14ac:dyDescent="0.25">
      <c r="A928" s="48" t="str">
        <f>IF(Учет!A928&lt;&gt;"",Учет!A928,"")</f>
        <v/>
      </c>
      <c r="B928" s="52">
        <f>IF(Учет!$O928=Справочники!$F$2,Учет!$H928,0)</f>
        <v>0</v>
      </c>
      <c r="C928" s="52">
        <f>IF(Учет!$O928=Справочники!$F$3,Учет!$H928,0)</f>
        <v>0</v>
      </c>
      <c r="D928" s="52">
        <f>IF(Учет!$O928=Справочники!$F$4,Учет!$H928,0)</f>
        <v>0</v>
      </c>
      <c r="E928" s="52">
        <f>IF(Учет!$O928=Справочники!$F$5,Учет!$H928,0)</f>
        <v>0</v>
      </c>
      <c r="F928" s="52">
        <f>IF(Учет!$O928=Справочники!$F$6,Учет!$H928,0)</f>
        <v>0</v>
      </c>
      <c r="G928" s="43">
        <f>G927+Учет!B928-B928</f>
        <v>-488978.92000000004</v>
      </c>
      <c r="H928" s="43">
        <f>H927+Учет!C928-C928</f>
        <v>336855</v>
      </c>
      <c r="I928" s="43">
        <f>I927+Учет!D928-D928</f>
        <v>500</v>
      </c>
      <c r="J928" s="43">
        <f>J927+Учет!E928-E928</f>
        <v>1150</v>
      </c>
      <c r="K928" s="43">
        <f>K927+Учет!F928-F928</f>
        <v>500000</v>
      </c>
      <c r="L928" s="45">
        <f>Учет!I928</f>
        <v>349526.07999999996</v>
      </c>
    </row>
    <row r="929" spans="1:12" x14ac:dyDescent="0.25">
      <c r="A929" s="48" t="str">
        <f>IF(Учет!A929&lt;&gt;"",Учет!A929,"")</f>
        <v/>
      </c>
      <c r="B929" s="52">
        <f>IF(Учет!$O929=Справочники!$F$2,Учет!$H929,0)</f>
        <v>0</v>
      </c>
      <c r="C929" s="52">
        <f>IF(Учет!$O929=Справочники!$F$3,Учет!$H929,0)</f>
        <v>0</v>
      </c>
      <c r="D929" s="52">
        <f>IF(Учет!$O929=Справочники!$F$4,Учет!$H929,0)</f>
        <v>0</v>
      </c>
      <c r="E929" s="52">
        <f>IF(Учет!$O929=Справочники!$F$5,Учет!$H929,0)</f>
        <v>0</v>
      </c>
      <c r="F929" s="52">
        <f>IF(Учет!$O929=Справочники!$F$6,Учет!$H929,0)</f>
        <v>0</v>
      </c>
      <c r="G929" s="43">
        <f>G928+Учет!B929-B929</f>
        <v>-488978.92000000004</v>
      </c>
      <c r="H929" s="43">
        <f>H928+Учет!C929-C929</f>
        <v>336855</v>
      </c>
      <c r="I929" s="43">
        <f>I928+Учет!D929-D929</f>
        <v>500</v>
      </c>
      <c r="J929" s="43">
        <f>J928+Учет!E929-E929</f>
        <v>1150</v>
      </c>
      <c r="K929" s="43">
        <f>K928+Учет!F929-F929</f>
        <v>500000</v>
      </c>
      <c r="L929" s="45">
        <f>Учет!I929</f>
        <v>349526.07999999996</v>
      </c>
    </row>
    <row r="930" spans="1:12" x14ac:dyDescent="0.25">
      <c r="A930" s="48" t="str">
        <f>IF(Учет!A930&lt;&gt;"",Учет!A930,"")</f>
        <v/>
      </c>
      <c r="B930" s="52">
        <f>IF(Учет!$O930=Справочники!$F$2,Учет!$H930,0)</f>
        <v>0</v>
      </c>
      <c r="C930" s="52">
        <f>IF(Учет!$O930=Справочники!$F$3,Учет!$H930,0)</f>
        <v>0</v>
      </c>
      <c r="D930" s="52">
        <f>IF(Учет!$O930=Справочники!$F$4,Учет!$H930,0)</f>
        <v>0</v>
      </c>
      <c r="E930" s="52">
        <f>IF(Учет!$O930=Справочники!$F$5,Учет!$H930,0)</f>
        <v>0</v>
      </c>
      <c r="F930" s="52">
        <f>IF(Учет!$O930=Справочники!$F$6,Учет!$H930,0)</f>
        <v>0</v>
      </c>
      <c r="G930" s="43">
        <f>G929+Учет!B930-B930</f>
        <v>-488978.92000000004</v>
      </c>
      <c r="H930" s="43">
        <f>H929+Учет!C930-C930</f>
        <v>336855</v>
      </c>
      <c r="I930" s="43">
        <f>I929+Учет!D930-D930</f>
        <v>500</v>
      </c>
      <c r="J930" s="43">
        <f>J929+Учет!E930-E930</f>
        <v>1150</v>
      </c>
      <c r="K930" s="43">
        <f>K929+Учет!F930-F930</f>
        <v>500000</v>
      </c>
      <c r="L930" s="45">
        <f>Учет!I930</f>
        <v>349526.07999999996</v>
      </c>
    </row>
    <row r="931" spans="1:12" x14ac:dyDescent="0.25">
      <c r="A931" s="48" t="str">
        <f>IF(Учет!A931&lt;&gt;"",Учет!A931,"")</f>
        <v/>
      </c>
      <c r="B931" s="52">
        <f>IF(Учет!$O931=Справочники!$F$2,Учет!$H931,0)</f>
        <v>0</v>
      </c>
      <c r="C931" s="52">
        <f>IF(Учет!$O931=Справочники!$F$3,Учет!$H931,0)</f>
        <v>0</v>
      </c>
      <c r="D931" s="52">
        <f>IF(Учет!$O931=Справочники!$F$4,Учет!$H931,0)</f>
        <v>0</v>
      </c>
      <c r="E931" s="52">
        <f>IF(Учет!$O931=Справочники!$F$5,Учет!$H931,0)</f>
        <v>0</v>
      </c>
      <c r="F931" s="52">
        <f>IF(Учет!$O931=Справочники!$F$6,Учет!$H931,0)</f>
        <v>0</v>
      </c>
      <c r="G931" s="43">
        <f>G930+Учет!B931-B931</f>
        <v>-488978.92000000004</v>
      </c>
      <c r="H931" s="43">
        <f>H930+Учет!C931-C931</f>
        <v>336855</v>
      </c>
      <c r="I931" s="43">
        <f>I930+Учет!D931-D931</f>
        <v>500</v>
      </c>
      <c r="J931" s="43">
        <f>J930+Учет!E931-E931</f>
        <v>1150</v>
      </c>
      <c r="K931" s="43">
        <f>K930+Учет!F931-F931</f>
        <v>500000</v>
      </c>
      <c r="L931" s="45">
        <f>Учет!I931</f>
        <v>349526.07999999996</v>
      </c>
    </row>
    <row r="932" spans="1:12" x14ac:dyDescent="0.25">
      <c r="A932" s="48" t="str">
        <f>IF(Учет!A932&lt;&gt;"",Учет!A932,"")</f>
        <v/>
      </c>
      <c r="B932" s="52">
        <f>IF(Учет!$O932=Справочники!$F$2,Учет!$H932,0)</f>
        <v>0</v>
      </c>
      <c r="C932" s="52">
        <f>IF(Учет!$O932=Справочники!$F$3,Учет!$H932,0)</f>
        <v>0</v>
      </c>
      <c r="D932" s="52">
        <f>IF(Учет!$O932=Справочники!$F$4,Учет!$H932,0)</f>
        <v>0</v>
      </c>
      <c r="E932" s="52">
        <f>IF(Учет!$O932=Справочники!$F$5,Учет!$H932,0)</f>
        <v>0</v>
      </c>
      <c r="F932" s="52">
        <f>IF(Учет!$O932=Справочники!$F$6,Учет!$H932,0)</f>
        <v>0</v>
      </c>
      <c r="G932" s="43">
        <f>G931+Учет!B932-B932</f>
        <v>-488978.92000000004</v>
      </c>
      <c r="H932" s="43">
        <f>H931+Учет!C932-C932</f>
        <v>336855</v>
      </c>
      <c r="I932" s="43">
        <f>I931+Учет!D932-D932</f>
        <v>500</v>
      </c>
      <c r="J932" s="43">
        <f>J931+Учет!E932-E932</f>
        <v>1150</v>
      </c>
      <c r="K932" s="43">
        <f>K931+Учет!F932-F932</f>
        <v>500000</v>
      </c>
      <c r="L932" s="45">
        <f>Учет!I932</f>
        <v>349526.07999999996</v>
      </c>
    </row>
    <row r="933" spans="1:12" x14ac:dyDescent="0.25">
      <c r="A933" s="48" t="str">
        <f>IF(Учет!A933&lt;&gt;"",Учет!A933,"")</f>
        <v/>
      </c>
      <c r="B933" s="52">
        <f>IF(Учет!$O933=Справочники!$F$2,Учет!$H933,0)</f>
        <v>0</v>
      </c>
      <c r="C933" s="52">
        <f>IF(Учет!$O933=Справочники!$F$3,Учет!$H933,0)</f>
        <v>0</v>
      </c>
      <c r="D933" s="52">
        <f>IF(Учет!$O933=Справочники!$F$4,Учет!$H933,0)</f>
        <v>0</v>
      </c>
      <c r="E933" s="52">
        <f>IF(Учет!$O933=Справочники!$F$5,Учет!$H933,0)</f>
        <v>0</v>
      </c>
      <c r="F933" s="52">
        <f>IF(Учет!$O933=Справочники!$F$6,Учет!$H933,0)</f>
        <v>0</v>
      </c>
      <c r="G933" s="43">
        <f>G932+Учет!B933-B933</f>
        <v>-488978.92000000004</v>
      </c>
      <c r="H933" s="43">
        <f>H932+Учет!C933-C933</f>
        <v>336855</v>
      </c>
      <c r="I933" s="43">
        <f>I932+Учет!D933-D933</f>
        <v>500</v>
      </c>
      <c r="J933" s="43">
        <f>J932+Учет!E933-E933</f>
        <v>1150</v>
      </c>
      <c r="K933" s="43">
        <f>K932+Учет!F933-F933</f>
        <v>500000</v>
      </c>
      <c r="L933" s="45">
        <f>Учет!I933</f>
        <v>349526.07999999996</v>
      </c>
    </row>
    <row r="934" spans="1:12" x14ac:dyDescent="0.25">
      <c r="A934" s="48" t="str">
        <f>IF(Учет!A934&lt;&gt;"",Учет!A934,"")</f>
        <v/>
      </c>
      <c r="B934" s="52">
        <f>IF(Учет!$O934=Справочники!$F$2,Учет!$H934,0)</f>
        <v>0</v>
      </c>
      <c r="C934" s="52">
        <f>IF(Учет!$O934=Справочники!$F$3,Учет!$H934,0)</f>
        <v>0</v>
      </c>
      <c r="D934" s="52">
        <f>IF(Учет!$O934=Справочники!$F$4,Учет!$H934,0)</f>
        <v>0</v>
      </c>
      <c r="E934" s="52">
        <f>IF(Учет!$O934=Справочники!$F$5,Учет!$H934,0)</f>
        <v>0</v>
      </c>
      <c r="F934" s="52">
        <f>IF(Учет!$O934=Справочники!$F$6,Учет!$H934,0)</f>
        <v>0</v>
      </c>
      <c r="G934" s="43">
        <f>G933+Учет!B934-B934</f>
        <v>-488978.92000000004</v>
      </c>
      <c r="H934" s="43">
        <f>H933+Учет!C934-C934</f>
        <v>336855</v>
      </c>
      <c r="I934" s="43">
        <f>I933+Учет!D934-D934</f>
        <v>500</v>
      </c>
      <c r="J934" s="43">
        <f>J933+Учет!E934-E934</f>
        <v>1150</v>
      </c>
      <c r="K934" s="43">
        <f>K933+Учет!F934-F934</f>
        <v>500000</v>
      </c>
      <c r="L934" s="45">
        <f>Учет!I934</f>
        <v>349526.07999999996</v>
      </c>
    </row>
    <row r="935" spans="1:12" x14ac:dyDescent="0.25">
      <c r="A935" s="48" t="str">
        <f>IF(Учет!A935&lt;&gt;"",Учет!A935,"")</f>
        <v/>
      </c>
      <c r="B935" s="52">
        <f>IF(Учет!$O935=Справочники!$F$2,Учет!$H935,0)</f>
        <v>0</v>
      </c>
      <c r="C935" s="52">
        <f>IF(Учет!$O935=Справочники!$F$3,Учет!$H935,0)</f>
        <v>0</v>
      </c>
      <c r="D935" s="52">
        <f>IF(Учет!$O935=Справочники!$F$4,Учет!$H935,0)</f>
        <v>0</v>
      </c>
      <c r="E935" s="52">
        <f>IF(Учет!$O935=Справочники!$F$5,Учет!$H935,0)</f>
        <v>0</v>
      </c>
      <c r="F935" s="52">
        <f>IF(Учет!$O935=Справочники!$F$6,Учет!$H935,0)</f>
        <v>0</v>
      </c>
      <c r="G935" s="43">
        <f>G934+Учет!B935-B935</f>
        <v>-488978.92000000004</v>
      </c>
      <c r="H935" s="43">
        <f>H934+Учет!C935-C935</f>
        <v>336855</v>
      </c>
      <c r="I935" s="43">
        <f>I934+Учет!D935-D935</f>
        <v>500</v>
      </c>
      <c r="J935" s="43">
        <f>J934+Учет!E935-E935</f>
        <v>1150</v>
      </c>
      <c r="K935" s="43">
        <f>K934+Учет!F935-F935</f>
        <v>500000</v>
      </c>
      <c r="L935" s="45">
        <f>Учет!I935</f>
        <v>349526.07999999996</v>
      </c>
    </row>
    <row r="936" spans="1:12" x14ac:dyDescent="0.25">
      <c r="A936" s="48" t="str">
        <f>IF(Учет!A936&lt;&gt;"",Учет!A936,"")</f>
        <v/>
      </c>
      <c r="B936" s="52">
        <f>IF(Учет!$O936=Справочники!$F$2,Учет!$H936,0)</f>
        <v>0</v>
      </c>
      <c r="C936" s="52">
        <f>IF(Учет!$O936=Справочники!$F$3,Учет!$H936,0)</f>
        <v>0</v>
      </c>
      <c r="D936" s="52">
        <f>IF(Учет!$O936=Справочники!$F$4,Учет!$H936,0)</f>
        <v>0</v>
      </c>
      <c r="E936" s="52">
        <f>IF(Учет!$O936=Справочники!$F$5,Учет!$H936,0)</f>
        <v>0</v>
      </c>
      <c r="F936" s="52">
        <f>IF(Учет!$O936=Справочники!$F$6,Учет!$H936,0)</f>
        <v>0</v>
      </c>
      <c r="G936" s="43">
        <f>G935+Учет!B936-B936</f>
        <v>-488978.92000000004</v>
      </c>
      <c r="H936" s="43">
        <f>H935+Учет!C936-C936</f>
        <v>336855</v>
      </c>
      <c r="I936" s="43">
        <f>I935+Учет!D936-D936</f>
        <v>500</v>
      </c>
      <c r="J936" s="43">
        <f>J935+Учет!E936-E936</f>
        <v>1150</v>
      </c>
      <c r="K936" s="43">
        <f>K935+Учет!F936-F936</f>
        <v>500000</v>
      </c>
      <c r="L936" s="45">
        <f>Учет!I936</f>
        <v>349526.07999999996</v>
      </c>
    </row>
    <row r="937" spans="1:12" x14ac:dyDescent="0.25">
      <c r="A937" s="48" t="str">
        <f>IF(Учет!A937&lt;&gt;"",Учет!A937,"")</f>
        <v/>
      </c>
      <c r="B937" s="52">
        <f>IF(Учет!$O937=Справочники!$F$2,Учет!$H937,0)</f>
        <v>0</v>
      </c>
      <c r="C937" s="52">
        <f>IF(Учет!$O937=Справочники!$F$3,Учет!$H937,0)</f>
        <v>0</v>
      </c>
      <c r="D937" s="52">
        <f>IF(Учет!$O937=Справочники!$F$4,Учет!$H937,0)</f>
        <v>0</v>
      </c>
      <c r="E937" s="52">
        <f>IF(Учет!$O937=Справочники!$F$5,Учет!$H937,0)</f>
        <v>0</v>
      </c>
      <c r="F937" s="52">
        <f>IF(Учет!$O937=Справочники!$F$6,Учет!$H937,0)</f>
        <v>0</v>
      </c>
      <c r="G937" s="43">
        <f>G936+Учет!B937-B937</f>
        <v>-488978.92000000004</v>
      </c>
      <c r="H937" s="43">
        <f>H936+Учет!C937-C937</f>
        <v>336855</v>
      </c>
      <c r="I937" s="43">
        <f>I936+Учет!D937-D937</f>
        <v>500</v>
      </c>
      <c r="J937" s="43">
        <f>J936+Учет!E937-E937</f>
        <v>1150</v>
      </c>
      <c r="K937" s="43">
        <f>K936+Учет!F937-F937</f>
        <v>500000</v>
      </c>
      <c r="L937" s="45">
        <f>Учет!I937</f>
        <v>349526.07999999996</v>
      </c>
    </row>
    <row r="938" spans="1:12" x14ac:dyDescent="0.25">
      <c r="A938" s="48" t="str">
        <f>IF(Учет!A938&lt;&gt;"",Учет!A938,"")</f>
        <v/>
      </c>
      <c r="B938" s="52">
        <f>IF(Учет!$O938=Справочники!$F$2,Учет!$H938,0)</f>
        <v>0</v>
      </c>
      <c r="C938" s="52">
        <f>IF(Учет!$O938=Справочники!$F$3,Учет!$H938,0)</f>
        <v>0</v>
      </c>
      <c r="D938" s="52">
        <f>IF(Учет!$O938=Справочники!$F$4,Учет!$H938,0)</f>
        <v>0</v>
      </c>
      <c r="E938" s="52">
        <f>IF(Учет!$O938=Справочники!$F$5,Учет!$H938,0)</f>
        <v>0</v>
      </c>
      <c r="F938" s="52">
        <f>IF(Учет!$O938=Справочники!$F$6,Учет!$H938,0)</f>
        <v>0</v>
      </c>
      <c r="G938" s="43">
        <f>G937+Учет!B938-B938</f>
        <v>-488978.92000000004</v>
      </c>
      <c r="H938" s="43">
        <f>H937+Учет!C938-C938</f>
        <v>336855</v>
      </c>
      <c r="I938" s="43">
        <f>I937+Учет!D938-D938</f>
        <v>500</v>
      </c>
      <c r="J938" s="43">
        <f>J937+Учет!E938-E938</f>
        <v>1150</v>
      </c>
      <c r="K938" s="43">
        <f>K937+Учет!F938-F938</f>
        <v>500000</v>
      </c>
      <c r="L938" s="45">
        <f>Учет!I938</f>
        <v>349526.07999999996</v>
      </c>
    </row>
    <row r="939" spans="1:12" x14ac:dyDescent="0.25">
      <c r="A939" s="48" t="str">
        <f>IF(Учет!A939&lt;&gt;"",Учет!A939,"")</f>
        <v/>
      </c>
      <c r="B939" s="52">
        <f>IF(Учет!$O939=Справочники!$F$2,Учет!$H939,0)</f>
        <v>0</v>
      </c>
      <c r="C939" s="52">
        <f>IF(Учет!$O939=Справочники!$F$3,Учет!$H939,0)</f>
        <v>0</v>
      </c>
      <c r="D939" s="52">
        <f>IF(Учет!$O939=Справочники!$F$4,Учет!$H939,0)</f>
        <v>0</v>
      </c>
      <c r="E939" s="52">
        <f>IF(Учет!$O939=Справочники!$F$5,Учет!$H939,0)</f>
        <v>0</v>
      </c>
      <c r="F939" s="52">
        <f>IF(Учет!$O939=Справочники!$F$6,Учет!$H939,0)</f>
        <v>0</v>
      </c>
      <c r="G939" s="43">
        <f>G938+Учет!B939-B939</f>
        <v>-488978.92000000004</v>
      </c>
      <c r="H939" s="43">
        <f>H938+Учет!C939-C939</f>
        <v>336855</v>
      </c>
      <c r="I939" s="43">
        <f>I938+Учет!D939-D939</f>
        <v>500</v>
      </c>
      <c r="J939" s="43">
        <f>J938+Учет!E939-E939</f>
        <v>1150</v>
      </c>
      <c r="K939" s="43">
        <f>K938+Учет!F939-F939</f>
        <v>500000</v>
      </c>
      <c r="L939" s="45">
        <f>Учет!I939</f>
        <v>349526.07999999996</v>
      </c>
    </row>
    <row r="940" spans="1:12" x14ac:dyDescent="0.25">
      <c r="A940" s="48" t="str">
        <f>IF(Учет!A940&lt;&gt;"",Учет!A940,"")</f>
        <v/>
      </c>
      <c r="B940" s="52">
        <f>IF(Учет!$O940=Справочники!$F$2,Учет!$H940,0)</f>
        <v>0</v>
      </c>
      <c r="C940" s="52">
        <f>IF(Учет!$O940=Справочники!$F$3,Учет!$H940,0)</f>
        <v>0</v>
      </c>
      <c r="D940" s="52">
        <f>IF(Учет!$O940=Справочники!$F$4,Учет!$H940,0)</f>
        <v>0</v>
      </c>
      <c r="E940" s="52">
        <f>IF(Учет!$O940=Справочники!$F$5,Учет!$H940,0)</f>
        <v>0</v>
      </c>
      <c r="F940" s="52">
        <f>IF(Учет!$O940=Справочники!$F$6,Учет!$H940,0)</f>
        <v>0</v>
      </c>
      <c r="G940" s="43">
        <f>G939+Учет!B940-B940</f>
        <v>-488978.92000000004</v>
      </c>
      <c r="H940" s="43">
        <f>H939+Учет!C940-C940</f>
        <v>336855</v>
      </c>
      <c r="I940" s="43">
        <f>I939+Учет!D940-D940</f>
        <v>500</v>
      </c>
      <c r="J940" s="43">
        <f>J939+Учет!E940-E940</f>
        <v>1150</v>
      </c>
      <c r="K940" s="43">
        <f>K939+Учет!F940-F940</f>
        <v>500000</v>
      </c>
      <c r="L940" s="45">
        <f>Учет!I940</f>
        <v>349526.07999999996</v>
      </c>
    </row>
    <row r="941" spans="1:12" x14ac:dyDescent="0.25">
      <c r="A941" s="48" t="str">
        <f>IF(Учет!A941&lt;&gt;"",Учет!A941,"")</f>
        <v/>
      </c>
      <c r="B941" s="52">
        <f>IF(Учет!$O941=Справочники!$F$2,Учет!$H941,0)</f>
        <v>0</v>
      </c>
      <c r="C941" s="52">
        <f>IF(Учет!$O941=Справочники!$F$3,Учет!$H941,0)</f>
        <v>0</v>
      </c>
      <c r="D941" s="52">
        <f>IF(Учет!$O941=Справочники!$F$4,Учет!$H941,0)</f>
        <v>0</v>
      </c>
      <c r="E941" s="52">
        <f>IF(Учет!$O941=Справочники!$F$5,Учет!$H941,0)</f>
        <v>0</v>
      </c>
      <c r="F941" s="52">
        <f>IF(Учет!$O941=Справочники!$F$6,Учет!$H941,0)</f>
        <v>0</v>
      </c>
      <c r="G941" s="43">
        <f>G940+Учет!B941-B941</f>
        <v>-488978.92000000004</v>
      </c>
      <c r="H941" s="43">
        <f>H940+Учет!C941-C941</f>
        <v>336855</v>
      </c>
      <c r="I941" s="43">
        <f>I940+Учет!D941-D941</f>
        <v>500</v>
      </c>
      <c r="J941" s="43">
        <f>J940+Учет!E941-E941</f>
        <v>1150</v>
      </c>
      <c r="K941" s="43">
        <f>K940+Учет!F941-F941</f>
        <v>500000</v>
      </c>
      <c r="L941" s="45">
        <f>Учет!I941</f>
        <v>349526.07999999996</v>
      </c>
    </row>
    <row r="942" spans="1:12" x14ac:dyDescent="0.25">
      <c r="A942" s="48" t="str">
        <f>IF(Учет!A942&lt;&gt;"",Учет!A942,"")</f>
        <v/>
      </c>
      <c r="B942" s="52">
        <f>IF(Учет!$O942=Справочники!$F$2,Учет!$H942,0)</f>
        <v>0</v>
      </c>
      <c r="C942" s="52">
        <f>IF(Учет!$O942=Справочники!$F$3,Учет!$H942,0)</f>
        <v>0</v>
      </c>
      <c r="D942" s="52">
        <f>IF(Учет!$O942=Справочники!$F$4,Учет!$H942,0)</f>
        <v>0</v>
      </c>
      <c r="E942" s="52">
        <f>IF(Учет!$O942=Справочники!$F$5,Учет!$H942,0)</f>
        <v>0</v>
      </c>
      <c r="F942" s="52">
        <f>IF(Учет!$O942=Справочники!$F$6,Учет!$H942,0)</f>
        <v>0</v>
      </c>
      <c r="G942" s="43">
        <f>G941+Учет!B942-B942</f>
        <v>-488978.92000000004</v>
      </c>
      <c r="H942" s="43">
        <f>H941+Учет!C942-C942</f>
        <v>336855</v>
      </c>
      <c r="I942" s="43">
        <f>I941+Учет!D942-D942</f>
        <v>500</v>
      </c>
      <c r="J942" s="43">
        <f>J941+Учет!E942-E942</f>
        <v>1150</v>
      </c>
      <c r="K942" s="43">
        <f>K941+Учет!F942-F942</f>
        <v>500000</v>
      </c>
      <c r="L942" s="45">
        <f>Учет!I942</f>
        <v>349526.07999999996</v>
      </c>
    </row>
    <row r="943" spans="1:12" x14ac:dyDescent="0.25">
      <c r="A943" s="48" t="str">
        <f>IF(Учет!A943&lt;&gt;"",Учет!A943,"")</f>
        <v/>
      </c>
      <c r="B943" s="52">
        <f>IF(Учет!$O943=Справочники!$F$2,Учет!$H943,0)</f>
        <v>0</v>
      </c>
      <c r="C943" s="52">
        <f>IF(Учет!$O943=Справочники!$F$3,Учет!$H943,0)</f>
        <v>0</v>
      </c>
      <c r="D943" s="52">
        <f>IF(Учет!$O943=Справочники!$F$4,Учет!$H943,0)</f>
        <v>0</v>
      </c>
      <c r="E943" s="52">
        <f>IF(Учет!$O943=Справочники!$F$5,Учет!$H943,0)</f>
        <v>0</v>
      </c>
      <c r="F943" s="52">
        <f>IF(Учет!$O943=Справочники!$F$6,Учет!$H943,0)</f>
        <v>0</v>
      </c>
      <c r="G943" s="43">
        <f>G942+Учет!B943-B943</f>
        <v>-488978.92000000004</v>
      </c>
      <c r="H943" s="43">
        <f>H942+Учет!C943-C943</f>
        <v>336855</v>
      </c>
      <c r="I943" s="43">
        <f>I942+Учет!D943-D943</f>
        <v>500</v>
      </c>
      <c r="J943" s="43">
        <f>J942+Учет!E943-E943</f>
        <v>1150</v>
      </c>
      <c r="K943" s="43">
        <f>K942+Учет!F943-F943</f>
        <v>500000</v>
      </c>
      <c r="L943" s="45">
        <f>Учет!I943</f>
        <v>349526.07999999996</v>
      </c>
    </row>
    <row r="944" spans="1:12" x14ac:dyDescent="0.25">
      <c r="A944" s="48" t="str">
        <f>IF(Учет!A944&lt;&gt;"",Учет!A944,"")</f>
        <v/>
      </c>
      <c r="B944" s="52">
        <f>IF(Учет!$O944=Справочники!$F$2,Учет!$H944,0)</f>
        <v>0</v>
      </c>
      <c r="C944" s="52">
        <f>IF(Учет!$O944=Справочники!$F$3,Учет!$H944,0)</f>
        <v>0</v>
      </c>
      <c r="D944" s="52">
        <f>IF(Учет!$O944=Справочники!$F$4,Учет!$H944,0)</f>
        <v>0</v>
      </c>
      <c r="E944" s="52">
        <f>IF(Учет!$O944=Справочники!$F$5,Учет!$H944,0)</f>
        <v>0</v>
      </c>
      <c r="F944" s="52">
        <f>IF(Учет!$O944=Справочники!$F$6,Учет!$H944,0)</f>
        <v>0</v>
      </c>
      <c r="G944" s="43">
        <f>G943+Учет!B944-B944</f>
        <v>-488978.92000000004</v>
      </c>
      <c r="H944" s="43">
        <f>H943+Учет!C944-C944</f>
        <v>336855</v>
      </c>
      <c r="I944" s="43">
        <f>I943+Учет!D944-D944</f>
        <v>500</v>
      </c>
      <c r="J944" s="43">
        <f>J943+Учет!E944-E944</f>
        <v>1150</v>
      </c>
      <c r="K944" s="43">
        <f>K943+Учет!F944-F944</f>
        <v>500000</v>
      </c>
      <c r="L944" s="45">
        <f>Учет!I944</f>
        <v>349526.07999999996</v>
      </c>
    </row>
    <row r="945" spans="1:12" x14ac:dyDescent="0.25">
      <c r="A945" s="48" t="str">
        <f>IF(Учет!A945&lt;&gt;"",Учет!A945,"")</f>
        <v/>
      </c>
      <c r="B945" s="52">
        <f>IF(Учет!$O945=Справочники!$F$2,Учет!$H945,0)</f>
        <v>0</v>
      </c>
      <c r="C945" s="52">
        <f>IF(Учет!$O945=Справочники!$F$3,Учет!$H945,0)</f>
        <v>0</v>
      </c>
      <c r="D945" s="52">
        <f>IF(Учет!$O945=Справочники!$F$4,Учет!$H945,0)</f>
        <v>0</v>
      </c>
      <c r="E945" s="52">
        <f>IF(Учет!$O945=Справочники!$F$5,Учет!$H945,0)</f>
        <v>0</v>
      </c>
      <c r="F945" s="52">
        <f>IF(Учет!$O945=Справочники!$F$6,Учет!$H945,0)</f>
        <v>0</v>
      </c>
      <c r="G945" s="43">
        <f>G944+Учет!B945-B945</f>
        <v>-488978.92000000004</v>
      </c>
      <c r="H945" s="43">
        <f>H944+Учет!C945-C945</f>
        <v>336855</v>
      </c>
      <c r="I945" s="43">
        <f>I944+Учет!D945-D945</f>
        <v>500</v>
      </c>
      <c r="J945" s="43">
        <f>J944+Учет!E945-E945</f>
        <v>1150</v>
      </c>
      <c r="K945" s="43">
        <f>K944+Учет!F945-F945</f>
        <v>500000</v>
      </c>
      <c r="L945" s="45">
        <f>Учет!I945</f>
        <v>349526.07999999996</v>
      </c>
    </row>
    <row r="946" spans="1:12" x14ac:dyDescent="0.25">
      <c r="A946" s="48" t="str">
        <f>IF(Учет!A946&lt;&gt;"",Учет!A946,"")</f>
        <v/>
      </c>
      <c r="B946" s="52">
        <f>IF(Учет!$O946=Справочники!$F$2,Учет!$H946,0)</f>
        <v>0</v>
      </c>
      <c r="C946" s="52">
        <f>IF(Учет!$O946=Справочники!$F$3,Учет!$H946,0)</f>
        <v>0</v>
      </c>
      <c r="D946" s="52">
        <f>IF(Учет!$O946=Справочники!$F$4,Учет!$H946,0)</f>
        <v>0</v>
      </c>
      <c r="E946" s="52">
        <f>IF(Учет!$O946=Справочники!$F$5,Учет!$H946,0)</f>
        <v>0</v>
      </c>
      <c r="F946" s="52">
        <f>IF(Учет!$O946=Справочники!$F$6,Учет!$H946,0)</f>
        <v>0</v>
      </c>
      <c r="G946" s="43">
        <f>G945+Учет!B946-B946</f>
        <v>-488978.92000000004</v>
      </c>
      <c r="H946" s="43">
        <f>H945+Учет!C946-C946</f>
        <v>336855</v>
      </c>
      <c r="I946" s="43">
        <f>I945+Учет!D946-D946</f>
        <v>500</v>
      </c>
      <c r="J946" s="43">
        <f>J945+Учет!E946-E946</f>
        <v>1150</v>
      </c>
      <c r="K946" s="43">
        <f>K945+Учет!F946-F946</f>
        <v>500000</v>
      </c>
      <c r="L946" s="45">
        <f>Учет!I946</f>
        <v>349526.07999999996</v>
      </c>
    </row>
    <row r="947" spans="1:12" x14ac:dyDescent="0.25">
      <c r="A947" s="48" t="str">
        <f>IF(Учет!A947&lt;&gt;"",Учет!A947,"")</f>
        <v/>
      </c>
      <c r="B947" s="52">
        <f>IF(Учет!$O947=Справочники!$F$2,Учет!$H947,0)</f>
        <v>0</v>
      </c>
      <c r="C947" s="52">
        <f>IF(Учет!$O947=Справочники!$F$3,Учет!$H947,0)</f>
        <v>0</v>
      </c>
      <c r="D947" s="52">
        <f>IF(Учет!$O947=Справочники!$F$4,Учет!$H947,0)</f>
        <v>0</v>
      </c>
      <c r="E947" s="52">
        <f>IF(Учет!$O947=Справочники!$F$5,Учет!$H947,0)</f>
        <v>0</v>
      </c>
      <c r="F947" s="52">
        <f>IF(Учет!$O947=Справочники!$F$6,Учет!$H947,0)</f>
        <v>0</v>
      </c>
      <c r="G947" s="43">
        <f>G946+Учет!B947-B947</f>
        <v>-488978.92000000004</v>
      </c>
      <c r="H947" s="43">
        <f>H946+Учет!C947-C947</f>
        <v>336855</v>
      </c>
      <c r="I947" s="43">
        <f>I946+Учет!D947-D947</f>
        <v>500</v>
      </c>
      <c r="J947" s="43">
        <f>J946+Учет!E947-E947</f>
        <v>1150</v>
      </c>
      <c r="K947" s="43">
        <f>K946+Учет!F947-F947</f>
        <v>500000</v>
      </c>
      <c r="L947" s="45">
        <f>Учет!I947</f>
        <v>349526.07999999996</v>
      </c>
    </row>
    <row r="948" spans="1:12" x14ac:dyDescent="0.25">
      <c r="A948" s="48" t="str">
        <f>IF(Учет!A948&lt;&gt;"",Учет!A948,"")</f>
        <v/>
      </c>
      <c r="B948" s="52">
        <f>IF(Учет!$O948=Справочники!$F$2,Учет!$H948,0)</f>
        <v>0</v>
      </c>
      <c r="C948" s="52">
        <f>IF(Учет!$O948=Справочники!$F$3,Учет!$H948,0)</f>
        <v>0</v>
      </c>
      <c r="D948" s="52">
        <f>IF(Учет!$O948=Справочники!$F$4,Учет!$H948,0)</f>
        <v>0</v>
      </c>
      <c r="E948" s="52">
        <f>IF(Учет!$O948=Справочники!$F$5,Учет!$H948,0)</f>
        <v>0</v>
      </c>
      <c r="F948" s="52">
        <f>IF(Учет!$O948=Справочники!$F$6,Учет!$H948,0)</f>
        <v>0</v>
      </c>
      <c r="G948" s="43">
        <f>G947+Учет!B948-B948</f>
        <v>-488978.92000000004</v>
      </c>
      <c r="H948" s="43">
        <f>H947+Учет!C948-C948</f>
        <v>336855</v>
      </c>
      <c r="I948" s="43">
        <f>I947+Учет!D948-D948</f>
        <v>500</v>
      </c>
      <c r="J948" s="43">
        <f>J947+Учет!E948-E948</f>
        <v>1150</v>
      </c>
      <c r="K948" s="43">
        <f>K947+Учет!F948-F948</f>
        <v>500000</v>
      </c>
      <c r="L948" s="45">
        <f>Учет!I948</f>
        <v>349526.07999999996</v>
      </c>
    </row>
    <row r="949" spans="1:12" x14ac:dyDescent="0.25">
      <c r="A949" s="48" t="str">
        <f>IF(Учет!A949&lt;&gt;"",Учет!A949,"")</f>
        <v/>
      </c>
      <c r="B949" s="52">
        <f>IF(Учет!$O949=Справочники!$F$2,Учет!$H949,0)</f>
        <v>0</v>
      </c>
      <c r="C949" s="52">
        <f>IF(Учет!$O949=Справочники!$F$3,Учет!$H949,0)</f>
        <v>0</v>
      </c>
      <c r="D949" s="52">
        <f>IF(Учет!$O949=Справочники!$F$4,Учет!$H949,0)</f>
        <v>0</v>
      </c>
      <c r="E949" s="52">
        <f>IF(Учет!$O949=Справочники!$F$5,Учет!$H949,0)</f>
        <v>0</v>
      </c>
      <c r="F949" s="52">
        <f>IF(Учет!$O949=Справочники!$F$6,Учет!$H949,0)</f>
        <v>0</v>
      </c>
      <c r="G949" s="43">
        <f>G948+Учет!B949-B949</f>
        <v>-488978.92000000004</v>
      </c>
      <c r="H949" s="43">
        <f>H948+Учет!C949-C949</f>
        <v>336855</v>
      </c>
      <c r="I949" s="43">
        <f>I948+Учет!D949-D949</f>
        <v>500</v>
      </c>
      <c r="J949" s="43">
        <f>J948+Учет!E949-E949</f>
        <v>1150</v>
      </c>
      <c r="K949" s="43">
        <f>K948+Учет!F949-F949</f>
        <v>500000</v>
      </c>
      <c r="L949" s="45">
        <f>Учет!I949</f>
        <v>349526.07999999996</v>
      </c>
    </row>
    <row r="950" spans="1:12" x14ac:dyDescent="0.25">
      <c r="A950" s="48" t="str">
        <f>IF(Учет!A950&lt;&gt;"",Учет!A950,"")</f>
        <v/>
      </c>
      <c r="B950" s="52">
        <f>IF(Учет!$O950=Справочники!$F$2,Учет!$H950,0)</f>
        <v>0</v>
      </c>
      <c r="C950" s="52">
        <f>IF(Учет!$O950=Справочники!$F$3,Учет!$H950,0)</f>
        <v>0</v>
      </c>
      <c r="D950" s="52">
        <f>IF(Учет!$O950=Справочники!$F$4,Учет!$H950,0)</f>
        <v>0</v>
      </c>
      <c r="E950" s="52">
        <f>IF(Учет!$O950=Справочники!$F$5,Учет!$H950,0)</f>
        <v>0</v>
      </c>
      <c r="F950" s="52">
        <f>IF(Учет!$O950=Справочники!$F$6,Учет!$H950,0)</f>
        <v>0</v>
      </c>
      <c r="G950" s="43">
        <f>G949+Учет!B950-B950</f>
        <v>-488978.92000000004</v>
      </c>
      <c r="H950" s="43">
        <f>H949+Учет!C950-C950</f>
        <v>336855</v>
      </c>
      <c r="I950" s="43">
        <f>I949+Учет!D950-D950</f>
        <v>500</v>
      </c>
      <c r="J950" s="43">
        <f>J949+Учет!E950-E950</f>
        <v>1150</v>
      </c>
      <c r="K950" s="43">
        <f>K949+Учет!F950-F950</f>
        <v>500000</v>
      </c>
      <c r="L950" s="45">
        <f>Учет!I950</f>
        <v>349526.07999999996</v>
      </c>
    </row>
    <row r="951" spans="1:12" x14ac:dyDescent="0.25">
      <c r="A951" s="48" t="str">
        <f>IF(Учет!A951&lt;&gt;"",Учет!A951,"")</f>
        <v/>
      </c>
      <c r="B951" s="52">
        <f>IF(Учет!$O951=Справочники!$F$2,Учет!$H951,0)</f>
        <v>0</v>
      </c>
      <c r="C951" s="52">
        <f>IF(Учет!$O951=Справочники!$F$3,Учет!$H951,0)</f>
        <v>0</v>
      </c>
      <c r="D951" s="52">
        <f>IF(Учет!$O951=Справочники!$F$4,Учет!$H951,0)</f>
        <v>0</v>
      </c>
      <c r="E951" s="52">
        <f>IF(Учет!$O951=Справочники!$F$5,Учет!$H951,0)</f>
        <v>0</v>
      </c>
      <c r="F951" s="52">
        <f>IF(Учет!$O951=Справочники!$F$6,Учет!$H951,0)</f>
        <v>0</v>
      </c>
      <c r="G951" s="43">
        <f>G950+Учет!B951-B951</f>
        <v>-488978.92000000004</v>
      </c>
      <c r="H951" s="43">
        <f>H950+Учет!C951-C951</f>
        <v>336855</v>
      </c>
      <c r="I951" s="43">
        <f>I950+Учет!D951-D951</f>
        <v>500</v>
      </c>
      <c r="J951" s="43">
        <f>J950+Учет!E951-E951</f>
        <v>1150</v>
      </c>
      <c r="K951" s="43">
        <f>K950+Учет!F951-F951</f>
        <v>500000</v>
      </c>
      <c r="L951" s="45">
        <f>Учет!I951</f>
        <v>349526.07999999996</v>
      </c>
    </row>
    <row r="952" spans="1:12" x14ac:dyDescent="0.25">
      <c r="A952" s="48" t="str">
        <f>IF(Учет!A952&lt;&gt;"",Учет!A952,"")</f>
        <v/>
      </c>
      <c r="B952" s="52">
        <f>IF(Учет!$O952=Справочники!$F$2,Учет!$H952,0)</f>
        <v>0</v>
      </c>
      <c r="C952" s="52">
        <f>IF(Учет!$O952=Справочники!$F$3,Учет!$H952,0)</f>
        <v>0</v>
      </c>
      <c r="D952" s="52">
        <f>IF(Учет!$O952=Справочники!$F$4,Учет!$H952,0)</f>
        <v>0</v>
      </c>
      <c r="E952" s="52">
        <f>IF(Учет!$O952=Справочники!$F$5,Учет!$H952,0)</f>
        <v>0</v>
      </c>
      <c r="F952" s="52">
        <f>IF(Учет!$O952=Справочники!$F$6,Учет!$H952,0)</f>
        <v>0</v>
      </c>
      <c r="G952" s="43">
        <f>G951+Учет!B952-B952</f>
        <v>-488978.92000000004</v>
      </c>
      <c r="H952" s="43">
        <f>H951+Учет!C952-C952</f>
        <v>336855</v>
      </c>
      <c r="I952" s="43">
        <f>I951+Учет!D952-D952</f>
        <v>500</v>
      </c>
      <c r="J952" s="43">
        <f>J951+Учет!E952-E952</f>
        <v>1150</v>
      </c>
      <c r="K952" s="43">
        <f>K951+Учет!F952-F952</f>
        <v>500000</v>
      </c>
      <c r="L952" s="45">
        <f>Учет!I952</f>
        <v>349526.07999999996</v>
      </c>
    </row>
    <row r="953" spans="1:12" x14ac:dyDescent="0.25">
      <c r="A953" s="48" t="str">
        <f>IF(Учет!A953&lt;&gt;"",Учет!A953,"")</f>
        <v/>
      </c>
      <c r="B953" s="52">
        <f>IF(Учет!$O953=Справочники!$F$2,Учет!$H953,0)</f>
        <v>0</v>
      </c>
      <c r="C953" s="52">
        <f>IF(Учет!$O953=Справочники!$F$3,Учет!$H953,0)</f>
        <v>0</v>
      </c>
      <c r="D953" s="52">
        <f>IF(Учет!$O953=Справочники!$F$4,Учет!$H953,0)</f>
        <v>0</v>
      </c>
      <c r="E953" s="52">
        <f>IF(Учет!$O953=Справочники!$F$5,Учет!$H953,0)</f>
        <v>0</v>
      </c>
      <c r="F953" s="52">
        <f>IF(Учет!$O953=Справочники!$F$6,Учет!$H953,0)</f>
        <v>0</v>
      </c>
      <c r="G953" s="43">
        <f>G952+Учет!B953-B953</f>
        <v>-488978.92000000004</v>
      </c>
      <c r="H953" s="43">
        <f>H952+Учет!C953-C953</f>
        <v>336855</v>
      </c>
      <c r="I953" s="43">
        <f>I952+Учет!D953-D953</f>
        <v>500</v>
      </c>
      <c r="J953" s="43">
        <f>J952+Учет!E953-E953</f>
        <v>1150</v>
      </c>
      <c r="K953" s="43">
        <f>K952+Учет!F953-F953</f>
        <v>500000</v>
      </c>
      <c r="L953" s="45">
        <f>Учет!I953</f>
        <v>349526.07999999996</v>
      </c>
    </row>
    <row r="954" spans="1:12" x14ac:dyDescent="0.25">
      <c r="A954" s="48" t="str">
        <f>IF(Учет!A954&lt;&gt;"",Учет!A954,"")</f>
        <v/>
      </c>
      <c r="B954" s="52">
        <f>IF(Учет!$O954=Справочники!$F$2,Учет!$H954,0)</f>
        <v>0</v>
      </c>
      <c r="C954" s="52">
        <f>IF(Учет!$O954=Справочники!$F$3,Учет!$H954,0)</f>
        <v>0</v>
      </c>
      <c r="D954" s="52">
        <f>IF(Учет!$O954=Справочники!$F$4,Учет!$H954,0)</f>
        <v>0</v>
      </c>
      <c r="E954" s="52">
        <f>IF(Учет!$O954=Справочники!$F$5,Учет!$H954,0)</f>
        <v>0</v>
      </c>
      <c r="F954" s="52">
        <f>IF(Учет!$O954=Справочники!$F$6,Учет!$H954,0)</f>
        <v>0</v>
      </c>
      <c r="G954" s="43">
        <f>G953+Учет!B954-B954</f>
        <v>-488978.92000000004</v>
      </c>
      <c r="H954" s="43">
        <f>H953+Учет!C954-C954</f>
        <v>336855</v>
      </c>
      <c r="I954" s="43">
        <f>I953+Учет!D954-D954</f>
        <v>500</v>
      </c>
      <c r="J954" s="43">
        <f>J953+Учет!E954-E954</f>
        <v>1150</v>
      </c>
      <c r="K954" s="43">
        <f>K953+Учет!F954-F954</f>
        <v>500000</v>
      </c>
      <c r="L954" s="45">
        <f>Учет!I954</f>
        <v>349526.07999999996</v>
      </c>
    </row>
    <row r="955" spans="1:12" x14ac:dyDescent="0.25">
      <c r="A955" s="48" t="str">
        <f>IF(Учет!A955&lt;&gt;"",Учет!A955,"")</f>
        <v/>
      </c>
      <c r="B955" s="52">
        <f>IF(Учет!$O955=Справочники!$F$2,Учет!$H955,0)</f>
        <v>0</v>
      </c>
      <c r="C955" s="52">
        <f>IF(Учет!$O955=Справочники!$F$3,Учет!$H955,0)</f>
        <v>0</v>
      </c>
      <c r="D955" s="52">
        <f>IF(Учет!$O955=Справочники!$F$4,Учет!$H955,0)</f>
        <v>0</v>
      </c>
      <c r="E955" s="52">
        <f>IF(Учет!$O955=Справочники!$F$5,Учет!$H955,0)</f>
        <v>0</v>
      </c>
      <c r="F955" s="52">
        <f>IF(Учет!$O955=Справочники!$F$6,Учет!$H955,0)</f>
        <v>0</v>
      </c>
      <c r="G955" s="43">
        <f>G954+Учет!B955-B955</f>
        <v>-488978.92000000004</v>
      </c>
      <c r="H955" s="43">
        <f>H954+Учет!C955-C955</f>
        <v>336855</v>
      </c>
      <c r="I955" s="43">
        <f>I954+Учет!D955-D955</f>
        <v>500</v>
      </c>
      <c r="J955" s="43">
        <f>J954+Учет!E955-E955</f>
        <v>1150</v>
      </c>
      <c r="K955" s="43">
        <f>K954+Учет!F955-F955</f>
        <v>500000</v>
      </c>
      <c r="L955" s="45">
        <f>Учет!I955</f>
        <v>349526.07999999996</v>
      </c>
    </row>
    <row r="956" spans="1:12" x14ac:dyDescent="0.25">
      <c r="A956" s="48" t="str">
        <f>IF(Учет!A956&lt;&gt;"",Учет!A956,"")</f>
        <v/>
      </c>
      <c r="B956" s="52">
        <f>IF(Учет!$O956=Справочники!$F$2,Учет!$H956,0)</f>
        <v>0</v>
      </c>
      <c r="C956" s="52">
        <f>IF(Учет!$O956=Справочники!$F$3,Учет!$H956,0)</f>
        <v>0</v>
      </c>
      <c r="D956" s="52">
        <f>IF(Учет!$O956=Справочники!$F$4,Учет!$H956,0)</f>
        <v>0</v>
      </c>
      <c r="E956" s="52">
        <f>IF(Учет!$O956=Справочники!$F$5,Учет!$H956,0)</f>
        <v>0</v>
      </c>
      <c r="F956" s="52">
        <f>IF(Учет!$O956=Справочники!$F$6,Учет!$H956,0)</f>
        <v>0</v>
      </c>
      <c r="G956" s="43">
        <f>G955+Учет!B956-B956</f>
        <v>-488978.92000000004</v>
      </c>
      <c r="H956" s="43">
        <f>H955+Учет!C956-C956</f>
        <v>336855</v>
      </c>
      <c r="I956" s="43">
        <f>I955+Учет!D956-D956</f>
        <v>500</v>
      </c>
      <c r="J956" s="43">
        <f>J955+Учет!E956-E956</f>
        <v>1150</v>
      </c>
      <c r="K956" s="43">
        <f>K955+Учет!F956-F956</f>
        <v>500000</v>
      </c>
      <c r="L956" s="45">
        <f>Учет!I956</f>
        <v>349526.07999999996</v>
      </c>
    </row>
    <row r="957" spans="1:12" x14ac:dyDescent="0.25">
      <c r="A957" s="48" t="str">
        <f>IF(Учет!A957&lt;&gt;"",Учет!A957,"")</f>
        <v/>
      </c>
      <c r="B957" s="52">
        <f>IF(Учет!$O957=Справочники!$F$2,Учет!$H957,0)</f>
        <v>0</v>
      </c>
      <c r="C957" s="52">
        <f>IF(Учет!$O957=Справочники!$F$3,Учет!$H957,0)</f>
        <v>0</v>
      </c>
      <c r="D957" s="52">
        <f>IF(Учет!$O957=Справочники!$F$4,Учет!$H957,0)</f>
        <v>0</v>
      </c>
      <c r="E957" s="52">
        <f>IF(Учет!$O957=Справочники!$F$5,Учет!$H957,0)</f>
        <v>0</v>
      </c>
      <c r="F957" s="52">
        <f>IF(Учет!$O957=Справочники!$F$6,Учет!$H957,0)</f>
        <v>0</v>
      </c>
      <c r="G957" s="43">
        <f>G956+Учет!B957-B957</f>
        <v>-488978.92000000004</v>
      </c>
      <c r="H957" s="43">
        <f>H956+Учет!C957-C957</f>
        <v>336855</v>
      </c>
      <c r="I957" s="43">
        <f>I956+Учет!D957-D957</f>
        <v>500</v>
      </c>
      <c r="J957" s="43">
        <f>J956+Учет!E957-E957</f>
        <v>1150</v>
      </c>
      <c r="K957" s="43">
        <f>K956+Учет!F957-F957</f>
        <v>500000</v>
      </c>
      <c r="L957" s="45">
        <f>Учет!I957</f>
        <v>349526.07999999996</v>
      </c>
    </row>
    <row r="958" spans="1:12" x14ac:dyDescent="0.25">
      <c r="A958" s="48" t="str">
        <f>IF(Учет!A958&lt;&gt;"",Учет!A958,"")</f>
        <v/>
      </c>
      <c r="B958" s="52">
        <f>IF(Учет!$O958=Справочники!$F$2,Учет!$H958,0)</f>
        <v>0</v>
      </c>
      <c r="C958" s="52">
        <f>IF(Учет!$O958=Справочники!$F$3,Учет!$H958,0)</f>
        <v>0</v>
      </c>
      <c r="D958" s="52">
        <f>IF(Учет!$O958=Справочники!$F$4,Учет!$H958,0)</f>
        <v>0</v>
      </c>
      <c r="E958" s="52">
        <f>IF(Учет!$O958=Справочники!$F$5,Учет!$H958,0)</f>
        <v>0</v>
      </c>
      <c r="F958" s="52">
        <f>IF(Учет!$O958=Справочники!$F$6,Учет!$H958,0)</f>
        <v>0</v>
      </c>
      <c r="G958" s="43">
        <f>G957+Учет!B958-B958</f>
        <v>-488978.92000000004</v>
      </c>
      <c r="H958" s="43">
        <f>H957+Учет!C958-C958</f>
        <v>336855</v>
      </c>
      <c r="I958" s="43">
        <f>I957+Учет!D958-D958</f>
        <v>500</v>
      </c>
      <c r="J958" s="43">
        <f>J957+Учет!E958-E958</f>
        <v>1150</v>
      </c>
      <c r="K958" s="43">
        <f>K957+Учет!F958-F958</f>
        <v>500000</v>
      </c>
      <c r="L958" s="45">
        <f>Учет!I958</f>
        <v>349526.07999999996</v>
      </c>
    </row>
    <row r="959" spans="1:12" x14ac:dyDescent="0.25">
      <c r="A959" s="48" t="str">
        <f>IF(Учет!A959&lt;&gt;"",Учет!A959,"")</f>
        <v/>
      </c>
      <c r="B959" s="52">
        <f>IF(Учет!$O959=Справочники!$F$2,Учет!$H959,0)</f>
        <v>0</v>
      </c>
      <c r="C959" s="52">
        <f>IF(Учет!$O959=Справочники!$F$3,Учет!$H959,0)</f>
        <v>0</v>
      </c>
      <c r="D959" s="52">
        <f>IF(Учет!$O959=Справочники!$F$4,Учет!$H959,0)</f>
        <v>0</v>
      </c>
      <c r="E959" s="52">
        <f>IF(Учет!$O959=Справочники!$F$5,Учет!$H959,0)</f>
        <v>0</v>
      </c>
      <c r="F959" s="52">
        <f>IF(Учет!$O959=Справочники!$F$6,Учет!$H959,0)</f>
        <v>0</v>
      </c>
      <c r="G959" s="43">
        <f>G958+Учет!B959-B959</f>
        <v>-488978.92000000004</v>
      </c>
      <c r="H959" s="43">
        <f>H958+Учет!C959-C959</f>
        <v>336855</v>
      </c>
      <c r="I959" s="43">
        <f>I958+Учет!D959-D959</f>
        <v>500</v>
      </c>
      <c r="J959" s="43">
        <f>J958+Учет!E959-E959</f>
        <v>1150</v>
      </c>
      <c r="K959" s="43">
        <f>K958+Учет!F959-F959</f>
        <v>500000</v>
      </c>
      <c r="L959" s="45">
        <f>Учет!I959</f>
        <v>349526.07999999996</v>
      </c>
    </row>
    <row r="960" spans="1:12" x14ac:dyDescent="0.25">
      <c r="A960" s="48" t="str">
        <f>IF(Учет!A960&lt;&gt;"",Учет!A960,"")</f>
        <v/>
      </c>
      <c r="B960" s="52">
        <f>IF(Учет!$O960=Справочники!$F$2,Учет!$H960,0)</f>
        <v>0</v>
      </c>
      <c r="C960" s="52">
        <f>IF(Учет!$O960=Справочники!$F$3,Учет!$H960,0)</f>
        <v>0</v>
      </c>
      <c r="D960" s="52">
        <f>IF(Учет!$O960=Справочники!$F$4,Учет!$H960,0)</f>
        <v>0</v>
      </c>
      <c r="E960" s="52">
        <f>IF(Учет!$O960=Справочники!$F$5,Учет!$H960,0)</f>
        <v>0</v>
      </c>
      <c r="F960" s="52">
        <f>IF(Учет!$O960=Справочники!$F$6,Учет!$H960,0)</f>
        <v>0</v>
      </c>
      <c r="G960" s="43">
        <f>G959+Учет!B960-B960</f>
        <v>-488978.92000000004</v>
      </c>
      <c r="H960" s="43">
        <f>H959+Учет!C960-C960</f>
        <v>336855</v>
      </c>
      <c r="I960" s="43">
        <f>I959+Учет!D960-D960</f>
        <v>500</v>
      </c>
      <c r="J960" s="43">
        <f>J959+Учет!E960-E960</f>
        <v>1150</v>
      </c>
      <c r="K960" s="43">
        <f>K959+Учет!F960-F960</f>
        <v>500000</v>
      </c>
      <c r="L960" s="45">
        <f>Учет!I960</f>
        <v>349526.07999999996</v>
      </c>
    </row>
    <row r="961" spans="1:12" x14ac:dyDescent="0.25">
      <c r="A961" s="48" t="str">
        <f>IF(Учет!A961&lt;&gt;"",Учет!A961,"")</f>
        <v/>
      </c>
      <c r="B961" s="52">
        <f>IF(Учет!$O961=Справочники!$F$2,Учет!$H961,0)</f>
        <v>0</v>
      </c>
      <c r="C961" s="52">
        <f>IF(Учет!$O961=Справочники!$F$3,Учет!$H961,0)</f>
        <v>0</v>
      </c>
      <c r="D961" s="52">
        <f>IF(Учет!$O961=Справочники!$F$4,Учет!$H961,0)</f>
        <v>0</v>
      </c>
      <c r="E961" s="52">
        <f>IF(Учет!$O961=Справочники!$F$5,Учет!$H961,0)</f>
        <v>0</v>
      </c>
      <c r="F961" s="52">
        <f>IF(Учет!$O961=Справочники!$F$6,Учет!$H961,0)</f>
        <v>0</v>
      </c>
      <c r="G961" s="43">
        <f>G960+Учет!B961-B961</f>
        <v>-488978.92000000004</v>
      </c>
      <c r="H961" s="43">
        <f>H960+Учет!C961-C961</f>
        <v>336855</v>
      </c>
      <c r="I961" s="43">
        <f>I960+Учет!D961-D961</f>
        <v>500</v>
      </c>
      <c r="J961" s="43">
        <f>J960+Учет!E961-E961</f>
        <v>1150</v>
      </c>
      <c r="K961" s="43">
        <f>K960+Учет!F961-F961</f>
        <v>500000</v>
      </c>
      <c r="L961" s="45">
        <f>Учет!I961</f>
        <v>349526.07999999996</v>
      </c>
    </row>
    <row r="962" spans="1:12" x14ac:dyDescent="0.25">
      <c r="A962" s="48" t="str">
        <f>IF(Учет!A962&lt;&gt;"",Учет!A962,"")</f>
        <v/>
      </c>
      <c r="B962" s="52">
        <f>IF(Учет!$O962=Справочники!$F$2,Учет!$H962,0)</f>
        <v>0</v>
      </c>
      <c r="C962" s="52">
        <f>IF(Учет!$O962=Справочники!$F$3,Учет!$H962,0)</f>
        <v>0</v>
      </c>
      <c r="D962" s="52">
        <f>IF(Учет!$O962=Справочники!$F$4,Учет!$H962,0)</f>
        <v>0</v>
      </c>
      <c r="E962" s="52">
        <f>IF(Учет!$O962=Справочники!$F$5,Учет!$H962,0)</f>
        <v>0</v>
      </c>
      <c r="F962" s="52">
        <f>IF(Учет!$O962=Справочники!$F$6,Учет!$H962,0)</f>
        <v>0</v>
      </c>
      <c r="G962" s="43">
        <f>G961+Учет!B962-B962</f>
        <v>-488978.92000000004</v>
      </c>
      <c r="H962" s="43">
        <f>H961+Учет!C962-C962</f>
        <v>336855</v>
      </c>
      <c r="I962" s="43">
        <f>I961+Учет!D962-D962</f>
        <v>500</v>
      </c>
      <c r="J962" s="43">
        <f>J961+Учет!E962-E962</f>
        <v>1150</v>
      </c>
      <c r="K962" s="43">
        <f>K961+Учет!F962-F962</f>
        <v>500000</v>
      </c>
      <c r="L962" s="45">
        <f>Учет!I962</f>
        <v>349526.07999999996</v>
      </c>
    </row>
    <row r="963" spans="1:12" x14ac:dyDescent="0.25">
      <c r="A963" s="48" t="str">
        <f>IF(Учет!A963&lt;&gt;"",Учет!A963,"")</f>
        <v/>
      </c>
      <c r="B963" s="52">
        <f>IF(Учет!$O963=Справочники!$F$2,Учет!$H963,0)</f>
        <v>0</v>
      </c>
      <c r="C963" s="52">
        <f>IF(Учет!$O963=Справочники!$F$3,Учет!$H963,0)</f>
        <v>0</v>
      </c>
      <c r="D963" s="52">
        <f>IF(Учет!$O963=Справочники!$F$4,Учет!$H963,0)</f>
        <v>0</v>
      </c>
      <c r="E963" s="52">
        <f>IF(Учет!$O963=Справочники!$F$5,Учет!$H963,0)</f>
        <v>0</v>
      </c>
      <c r="F963" s="52">
        <f>IF(Учет!$O963=Справочники!$F$6,Учет!$H963,0)</f>
        <v>0</v>
      </c>
      <c r="G963" s="43">
        <f>G962+Учет!B963-B963</f>
        <v>-488978.92000000004</v>
      </c>
      <c r="H963" s="43">
        <f>H962+Учет!C963-C963</f>
        <v>336855</v>
      </c>
      <c r="I963" s="43">
        <f>I962+Учет!D963-D963</f>
        <v>500</v>
      </c>
      <c r="J963" s="43">
        <f>J962+Учет!E963-E963</f>
        <v>1150</v>
      </c>
      <c r="K963" s="43">
        <f>K962+Учет!F963-F963</f>
        <v>500000</v>
      </c>
      <c r="L963" s="45">
        <f>Учет!I963</f>
        <v>349526.07999999996</v>
      </c>
    </row>
    <row r="964" spans="1:12" x14ac:dyDescent="0.25">
      <c r="A964" s="48" t="str">
        <f>IF(Учет!A964&lt;&gt;"",Учет!A964,"")</f>
        <v/>
      </c>
      <c r="B964" s="52">
        <f>IF(Учет!$O964=Справочники!$F$2,Учет!$H964,0)</f>
        <v>0</v>
      </c>
      <c r="C964" s="52">
        <f>IF(Учет!$O964=Справочники!$F$3,Учет!$H964,0)</f>
        <v>0</v>
      </c>
      <c r="D964" s="52">
        <f>IF(Учет!$O964=Справочники!$F$4,Учет!$H964,0)</f>
        <v>0</v>
      </c>
      <c r="E964" s="52">
        <f>IF(Учет!$O964=Справочники!$F$5,Учет!$H964,0)</f>
        <v>0</v>
      </c>
      <c r="F964" s="52">
        <f>IF(Учет!$O964=Справочники!$F$6,Учет!$H964,0)</f>
        <v>0</v>
      </c>
      <c r="G964" s="43">
        <f>G963+Учет!B964-B964</f>
        <v>-488978.92000000004</v>
      </c>
      <c r="H964" s="43">
        <f>H963+Учет!C964-C964</f>
        <v>336855</v>
      </c>
      <c r="I964" s="43">
        <f>I963+Учет!D964-D964</f>
        <v>500</v>
      </c>
      <c r="J964" s="43">
        <f>J963+Учет!E964-E964</f>
        <v>1150</v>
      </c>
      <c r="K964" s="43">
        <f>K963+Учет!F964-F964</f>
        <v>500000</v>
      </c>
      <c r="L964" s="45">
        <f>Учет!I964</f>
        <v>349526.07999999996</v>
      </c>
    </row>
    <row r="965" spans="1:12" x14ac:dyDescent="0.25">
      <c r="A965" s="48" t="str">
        <f>IF(Учет!A965&lt;&gt;"",Учет!A965,"")</f>
        <v/>
      </c>
      <c r="B965" s="52">
        <f>IF(Учет!$O965=Справочники!$F$2,Учет!$H965,0)</f>
        <v>0</v>
      </c>
      <c r="C965" s="52">
        <f>IF(Учет!$O965=Справочники!$F$3,Учет!$H965,0)</f>
        <v>0</v>
      </c>
      <c r="D965" s="52">
        <f>IF(Учет!$O965=Справочники!$F$4,Учет!$H965,0)</f>
        <v>0</v>
      </c>
      <c r="E965" s="52">
        <f>IF(Учет!$O965=Справочники!$F$5,Учет!$H965,0)</f>
        <v>0</v>
      </c>
      <c r="F965" s="52">
        <f>IF(Учет!$O965=Справочники!$F$6,Учет!$H965,0)</f>
        <v>0</v>
      </c>
      <c r="G965" s="43">
        <f>G964+Учет!B965-B965</f>
        <v>-488978.92000000004</v>
      </c>
      <c r="H965" s="43">
        <f>H964+Учет!C965-C965</f>
        <v>336855</v>
      </c>
      <c r="I965" s="43">
        <f>I964+Учет!D965-D965</f>
        <v>500</v>
      </c>
      <c r="J965" s="43">
        <f>J964+Учет!E965-E965</f>
        <v>1150</v>
      </c>
      <c r="K965" s="43">
        <f>K964+Учет!F965-F965</f>
        <v>500000</v>
      </c>
      <c r="L965" s="45">
        <f>Учет!I965</f>
        <v>349526.07999999996</v>
      </c>
    </row>
    <row r="966" spans="1:12" x14ac:dyDescent="0.25">
      <c r="A966" s="48" t="str">
        <f>IF(Учет!A966&lt;&gt;"",Учет!A966,"")</f>
        <v/>
      </c>
      <c r="B966" s="52">
        <f>IF(Учет!$O966=Справочники!$F$2,Учет!$H966,0)</f>
        <v>0</v>
      </c>
      <c r="C966" s="52">
        <f>IF(Учет!$O966=Справочники!$F$3,Учет!$H966,0)</f>
        <v>0</v>
      </c>
      <c r="D966" s="52">
        <f>IF(Учет!$O966=Справочники!$F$4,Учет!$H966,0)</f>
        <v>0</v>
      </c>
      <c r="E966" s="52">
        <f>IF(Учет!$O966=Справочники!$F$5,Учет!$H966,0)</f>
        <v>0</v>
      </c>
      <c r="F966" s="52">
        <f>IF(Учет!$O966=Справочники!$F$6,Учет!$H966,0)</f>
        <v>0</v>
      </c>
      <c r="G966" s="43">
        <f>G965+Учет!B966-B966</f>
        <v>-488978.92000000004</v>
      </c>
      <c r="H966" s="43">
        <f>H965+Учет!C966-C966</f>
        <v>336855</v>
      </c>
      <c r="I966" s="43">
        <f>I965+Учет!D966-D966</f>
        <v>500</v>
      </c>
      <c r="J966" s="43">
        <f>J965+Учет!E966-E966</f>
        <v>1150</v>
      </c>
      <c r="K966" s="43">
        <f>K965+Учет!F966-F966</f>
        <v>500000</v>
      </c>
      <c r="L966" s="45">
        <f>Учет!I966</f>
        <v>349526.07999999996</v>
      </c>
    </row>
    <row r="967" spans="1:12" x14ac:dyDescent="0.25">
      <c r="A967" s="48" t="str">
        <f>IF(Учет!A967&lt;&gt;"",Учет!A967,"")</f>
        <v/>
      </c>
      <c r="B967" s="52">
        <f>IF(Учет!$O967=Справочники!$F$2,Учет!$H967,0)</f>
        <v>0</v>
      </c>
      <c r="C967" s="52">
        <f>IF(Учет!$O967=Справочники!$F$3,Учет!$H967,0)</f>
        <v>0</v>
      </c>
      <c r="D967" s="52">
        <f>IF(Учет!$O967=Справочники!$F$4,Учет!$H967,0)</f>
        <v>0</v>
      </c>
      <c r="E967" s="52">
        <f>IF(Учет!$O967=Справочники!$F$5,Учет!$H967,0)</f>
        <v>0</v>
      </c>
      <c r="F967" s="52">
        <f>IF(Учет!$O967=Справочники!$F$6,Учет!$H967,0)</f>
        <v>0</v>
      </c>
      <c r="G967" s="43">
        <f>G966+Учет!B967-B967</f>
        <v>-488978.92000000004</v>
      </c>
      <c r="H967" s="43">
        <f>H966+Учет!C967-C967</f>
        <v>336855</v>
      </c>
      <c r="I967" s="43">
        <f>I966+Учет!D967-D967</f>
        <v>500</v>
      </c>
      <c r="J967" s="43">
        <f>J966+Учет!E967-E967</f>
        <v>1150</v>
      </c>
      <c r="K967" s="43">
        <f>K966+Учет!F967-F967</f>
        <v>500000</v>
      </c>
      <c r="L967" s="45">
        <f>Учет!I967</f>
        <v>349526.07999999996</v>
      </c>
    </row>
    <row r="968" spans="1:12" x14ac:dyDescent="0.25">
      <c r="A968" s="48" t="str">
        <f>IF(Учет!A968&lt;&gt;"",Учет!A968,"")</f>
        <v/>
      </c>
      <c r="B968" s="52">
        <f>IF(Учет!$O968=Справочники!$F$2,Учет!$H968,0)</f>
        <v>0</v>
      </c>
      <c r="C968" s="52">
        <f>IF(Учет!$O968=Справочники!$F$3,Учет!$H968,0)</f>
        <v>0</v>
      </c>
      <c r="D968" s="52">
        <f>IF(Учет!$O968=Справочники!$F$4,Учет!$H968,0)</f>
        <v>0</v>
      </c>
      <c r="E968" s="52">
        <f>IF(Учет!$O968=Справочники!$F$5,Учет!$H968,0)</f>
        <v>0</v>
      </c>
      <c r="F968" s="52">
        <f>IF(Учет!$O968=Справочники!$F$6,Учет!$H968,0)</f>
        <v>0</v>
      </c>
      <c r="G968" s="43">
        <f>G967+Учет!B968-B968</f>
        <v>-488978.92000000004</v>
      </c>
      <c r="H968" s="43">
        <f>H967+Учет!C968-C968</f>
        <v>336855</v>
      </c>
      <c r="I968" s="43">
        <f>I967+Учет!D968-D968</f>
        <v>500</v>
      </c>
      <c r="J968" s="43">
        <f>J967+Учет!E968-E968</f>
        <v>1150</v>
      </c>
      <c r="K968" s="43">
        <f>K967+Учет!F968-F968</f>
        <v>500000</v>
      </c>
      <c r="L968" s="45">
        <f>Учет!I968</f>
        <v>349526.07999999996</v>
      </c>
    </row>
    <row r="969" spans="1:12" x14ac:dyDescent="0.25">
      <c r="A969" s="48" t="str">
        <f>IF(Учет!A969&lt;&gt;"",Учет!A969,"")</f>
        <v/>
      </c>
      <c r="B969" s="52">
        <f>IF(Учет!$O969=Справочники!$F$2,Учет!$H969,0)</f>
        <v>0</v>
      </c>
      <c r="C969" s="52">
        <f>IF(Учет!$O969=Справочники!$F$3,Учет!$H969,0)</f>
        <v>0</v>
      </c>
      <c r="D969" s="52">
        <f>IF(Учет!$O969=Справочники!$F$4,Учет!$H969,0)</f>
        <v>0</v>
      </c>
      <c r="E969" s="52">
        <f>IF(Учет!$O969=Справочники!$F$5,Учет!$H969,0)</f>
        <v>0</v>
      </c>
      <c r="F969" s="52">
        <f>IF(Учет!$O969=Справочники!$F$6,Учет!$H969,0)</f>
        <v>0</v>
      </c>
      <c r="G969" s="43">
        <f>G968+Учет!B969-B969</f>
        <v>-488978.92000000004</v>
      </c>
      <c r="H969" s="43">
        <f>H968+Учет!C969-C969</f>
        <v>336855</v>
      </c>
      <c r="I969" s="43">
        <f>I968+Учет!D969-D969</f>
        <v>500</v>
      </c>
      <c r="J969" s="43">
        <f>J968+Учет!E969-E969</f>
        <v>1150</v>
      </c>
      <c r="K969" s="43">
        <f>K968+Учет!F969-F969</f>
        <v>500000</v>
      </c>
      <c r="L969" s="45">
        <f>Учет!I969</f>
        <v>349526.07999999996</v>
      </c>
    </row>
    <row r="970" spans="1:12" x14ac:dyDescent="0.25">
      <c r="A970" s="48" t="str">
        <f>IF(Учет!A970&lt;&gt;"",Учет!A970,"")</f>
        <v/>
      </c>
      <c r="B970" s="52">
        <f>IF(Учет!$O970=Справочники!$F$2,Учет!$H970,0)</f>
        <v>0</v>
      </c>
      <c r="C970" s="52">
        <f>IF(Учет!$O970=Справочники!$F$3,Учет!$H970,0)</f>
        <v>0</v>
      </c>
      <c r="D970" s="52">
        <f>IF(Учет!$O970=Справочники!$F$4,Учет!$H970,0)</f>
        <v>0</v>
      </c>
      <c r="E970" s="52">
        <f>IF(Учет!$O970=Справочники!$F$5,Учет!$H970,0)</f>
        <v>0</v>
      </c>
      <c r="F970" s="52">
        <f>IF(Учет!$O970=Справочники!$F$6,Учет!$H970,0)</f>
        <v>0</v>
      </c>
      <c r="G970" s="43">
        <f>G969+Учет!B970-B970</f>
        <v>-488978.92000000004</v>
      </c>
      <c r="H970" s="43">
        <f>H969+Учет!C970-C970</f>
        <v>336855</v>
      </c>
      <c r="I970" s="43">
        <f>I969+Учет!D970-D970</f>
        <v>500</v>
      </c>
      <c r="J970" s="43">
        <f>J969+Учет!E970-E970</f>
        <v>1150</v>
      </c>
      <c r="K970" s="43">
        <f>K969+Учет!F970-F970</f>
        <v>500000</v>
      </c>
      <c r="L970" s="45">
        <f>Учет!I970</f>
        <v>349526.07999999996</v>
      </c>
    </row>
    <row r="971" spans="1:12" x14ac:dyDescent="0.25">
      <c r="A971" s="48" t="str">
        <f>IF(Учет!A971&lt;&gt;"",Учет!A971,"")</f>
        <v/>
      </c>
      <c r="B971" s="52">
        <f>IF(Учет!$O971=Справочники!$F$2,Учет!$H971,0)</f>
        <v>0</v>
      </c>
      <c r="C971" s="52">
        <f>IF(Учет!$O971=Справочники!$F$3,Учет!$H971,0)</f>
        <v>0</v>
      </c>
      <c r="D971" s="52">
        <f>IF(Учет!$O971=Справочники!$F$4,Учет!$H971,0)</f>
        <v>0</v>
      </c>
      <c r="E971" s="52">
        <f>IF(Учет!$O971=Справочники!$F$5,Учет!$H971,0)</f>
        <v>0</v>
      </c>
      <c r="F971" s="52">
        <f>IF(Учет!$O971=Справочники!$F$6,Учет!$H971,0)</f>
        <v>0</v>
      </c>
      <c r="G971" s="43">
        <f>G970+Учет!B971-B971</f>
        <v>-488978.92000000004</v>
      </c>
      <c r="H971" s="43">
        <f>H970+Учет!C971-C971</f>
        <v>336855</v>
      </c>
      <c r="I971" s="43">
        <f>I970+Учет!D971-D971</f>
        <v>500</v>
      </c>
      <c r="J971" s="43">
        <f>J970+Учет!E971-E971</f>
        <v>1150</v>
      </c>
      <c r="K971" s="43">
        <f>K970+Учет!F971-F971</f>
        <v>500000</v>
      </c>
      <c r="L971" s="45">
        <f>Учет!I971</f>
        <v>349526.07999999996</v>
      </c>
    </row>
    <row r="972" spans="1:12" x14ac:dyDescent="0.25">
      <c r="A972" s="48" t="str">
        <f>IF(Учет!A972&lt;&gt;"",Учет!A972,"")</f>
        <v/>
      </c>
      <c r="B972" s="52">
        <f>IF(Учет!$O972=Справочники!$F$2,Учет!$H972,0)</f>
        <v>0</v>
      </c>
      <c r="C972" s="52">
        <f>IF(Учет!$O972=Справочники!$F$3,Учет!$H972,0)</f>
        <v>0</v>
      </c>
      <c r="D972" s="52">
        <f>IF(Учет!$O972=Справочники!$F$4,Учет!$H972,0)</f>
        <v>0</v>
      </c>
      <c r="E972" s="52">
        <f>IF(Учет!$O972=Справочники!$F$5,Учет!$H972,0)</f>
        <v>0</v>
      </c>
      <c r="F972" s="52">
        <f>IF(Учет!$O972=Справочники!$F$6,Учет!$H972,0)</f>
        <v>0</v>
      </c>
      <c r="G972" s="43">
        <f>G971+Учет!B972-B972</f>
        <v>-488978.92000000004</v>
      </c>
      <c r="H972" s="43">
        <f>H971+Учет!C972-C972</f>
        <v>336855</v>
      </c>
      <c r="I972" s="43">
        <f>I971+Учет!D972-D972</f>
        <v>500</v>
      </c>
      <c r="J972" s="43">
        <f>J971+Учет!E972-E972</f>
        <v>1150</v>
      </c>
      <c r="K972" s="43">
        <f>K971+Учет!F972-F972</f>
        <v>500000</v>
      </c>
      <c r="L972" s="45">
        <f>Учет!I972</f>
        <v>349526.07999999996</v>
      </c>
    </row>
    <row r="973" spans="1:12" x14ac:dyDescent="0.25">
      <c r="A973" s="48" t="str">
        <f>IF(Учет!A973&lt;&gt;"",Учет!A973,"")</f>
        <v/>
      </c>
      <c r="B973" s="52">
        <f>IF(Учет!$O973=Справочники!$F$2,Учет!$H973,0)</f>
        <v>0</v>
      </c>
      <c r="C973" s="52">
        <f>IF(Учет!$O973=Справочники!$F$3,Учет!$H973,0)</f>
        <v>0</v>
      </c>
      <c r="D973" s="52">
        <f>IF(Учет!$O973=Справочники!$F$4,Учет!$H973,0)</f>
        <v>0</v>
      </c>
      <c r="E973" s="52">
        <f>IF(Учет!$O973=Справочники!$F$5,Учет!$H973,0)</f>
        <v>0</v>
      </c>
      <c r="F973" s="52">
        <f>IF(Учет!$O973=Справочники!$F$6,Учет!$H973,0)</f>
        <v>0</v>
      </c>
      <c r="G973" s="43">
        <f>G972+Учет!B973-B973</f>
        <v>-488978.92000000004</v>
      </c>
      <c r="H973" s="43">
        <f>H972+Учет!C973-C973</f>
        <v>336855</v>
      </c>
      <c r="I973" s="43">
        <f>I972+Учет!D973-D973</f>
        <v>500</v>
      </c>
      <c r="J973" s="43">
        <f>J972+Учет!E973-E973</f>
        <v>1150</v>
      </c>
      <c r="K973" s="43">
        <f>K972+Учет!F973-F973</f>
        <v>500000</v>
      </c>
      <c r="L973" s="45">
        <f>Учет!I973</f>
        <v>349526.07999999996</v>
      </c>
    </row>
    <row r="974" spans="1:12" x14ac:dyDescent="0.25">
      <c r="A974" s="48" t="str">
        <f>IF(Учет!A974&lt;&gt;"",Учет!A974,"")</f>
        <v/>
      </c>
      <c r="B974" s="52">
        <f>IF(Учет!$O974=Справочники!$F$2,Учет!$H974,0)</f>
        <v>0</v>
      </c>
      <c r="C974" s="52">
        <f>IF(Учет!$O974=Справочники!$F$3,Учет!$H974,0)</f>
        <v>0</v>
      </c>
      <c r="D974" s="52">
        <f>IF(Учет!$O974=Справочники!$F$4,Учет!$H974,0)</f>
        <v>0</v>
      </c>
      <c r="E974" s="52">
        <f>IF(Учет!$O974=Справочники!$F$5,Учет!$H974,0)</f>
        <v>0</v>
      </c>
      <c r="F974" s="52">
        <f>IF(Учет!$O974=Справочники!$F$6,Учет!$H974,0)</f>
        <v>0</v>
      </c>
      <c r="G974" s="43">
        <f>G973+Учет!B974-B974</f>
        <v>-488978.92000000004</v>
      </c>
      <c r="H974" s="43">
        <f>H973+Учет!C974-C974</f>
        <v>336855</v>
      </c>
      <c r="I974" s="43">
        <f>I973+Учет!D974-D974</f>
        <v>500</v>
      </c>
      <c r="J974" s="43">
        <f>J973+Учет!E974-E974</f>
        <v>1150</v>
      </c>
      <c r="K974" s="43">
        <f>K973+Учет!F974-F974</f>
        <v>500000</v>
      </c>
      <c r="L974" s="45">
        <f>Учет!I974</f>
        <v>349526.07999999996</v>
      </c>
    </row>
    <row r="975" spans="1:12" x14ac:dyDescent="0.25">
      <c r="A975" s="48" t="str">
        <f>IF(Учет!A975&lt;&gt;"",Учет!A975,"")</f>
        <v/>
      </c>
      <c r="B975" s="52">
        <f>IF(Учет!$O975=Справочники!$F$2,Учет!$H975,0)</f>
        <v>0</v>
      </c>
      <c r="C975" s="52">
        <f>IF(Учет!$O975=Справочники!$F$3,Учет!$H975,0)</f>
        <v>0</v>
      </c>
      <c r="D975" s="52">
        <f>IF(Учет!$O975=Справочники!$F$4,Учет!$H975,0)</f>
        <v>0</v>
      </c>
      <c r="E975" s="52">
        <f>IF(Учет!$O975=Справочники!$F$5,Учет!$H975,0)</f>
        <v>0</v>
      </c>
      <c r="F975" s="52">
        <f>IF(Учет!$O975=Справочники!$F$6,Учет!$H975,0)</f>
        <v>0</v>
      </c>
      <c r="G975" s="43">
        <f>G974+Учет!B975-B975</f>
        <v>-488978.92000000004</v>
      </c>
      <c r="H975" s="43">
        <f>H974+Учет!C975-C975</f>
        <v>336855</v>
      </c>
      <c r="I975" s="43">
        <f>I974+Учет!D975-D975</f>
        <v>500</v>
      </c>
      <c r="J975" s="43">
        <f>J974+Учет!E975-E975</f>
        <v>1150</v>
      </c>
      <c r="K975" s="43">
        <f>K974+Учет!F975-F975</f>
        <v>500000</v>
      </c>
      <c r="L975" s="45">
        <f>Учет!I975</f>
        <v>349526.07999999996</v>
      </c>
    </row>
    <row r="976" spans="1:12" x14ac:dyDescent="0.25">
      <c r="A976" s="48" t="str">
        <f>IF(Учет!A976&lt;&gt;"",Учет!A976,"")</f>
        <v/>
      </c>
      <c r="B976" s="52">
        <f>IF(Учет!$O976=Справочники!$F$2,Учет!$H976,0)</f>
        <v>0</v>
      </c>
      <c r="C976" s="52">
        <f>IF(Учет!$O976=Справочники!$F$3,Учет!$H976,0)</f>
        <v>0</v>
      </c>
      <c r="D976" s="52">
        <f>IF(Учет!$O976=Справочники!$F$4,Учет!$H976,0)</f>
        <v>0</v>
      </c>
      <c r="E976" s="52">
        <f>IF(Учет!$O976=Справочники!$F$5,Учет!$H976,0)</f>
        <v>0</v>
      </c>
      <c r="F976" s="52">
        <f>IF(Учет!$O976=Справочники!$F$6,Учет!$H976,0)</f>
        <v>0</v>
      </c>
      <c r="G976" s="43">
        <f>G975+Учет!B976-B976</f>
        <v>-488978.92000000004</v>
      </c>
      <c r="H976" s="43">
        <f>H975+Учет!C976-C976</f>
        <v>336855</v>
      </c>
      <c r="I976" s="43">
        <f>I975+Учет!D976-D976</f>
        <v>500</v>
      </c>
      <c r="J976" s="43">
        <f>J975+Учет!E976-E976</f>
        <v>1150</v>
      </c>
      <c r="K976" s="43">
        <f>K975+Учет!F976-F976</f>
        <v>500000</v>
      </c>
      <c r="L976" s="45">
        <f>Учет!I976</f>
        <v>349526.07999999996</v>
      </c>
    </row>
    <row r="977" spans="1:12" x14ac:dyDescent="0.25">
      <c r="A977" s="48" t="str">
        <f>IF(Учет!A977&lt;&gt;"",Учет!A977,"")</f>
        <v/>
      </c>
      <c r="B977" s="52">
        <f>IF(Учет!$O977=Справочники!$F$2,Учет!$H977,0)</f>
        <v>0</v>
      </c>
      <c r="C977" s="52">
        <f>IF(Учет!$O977=Справочники!$F$3,Учет!$H977,0)</f>
        <v>0</v>
      </c>
      <c r="D977" s="52">
        <f>IF(Учет!$O977=Справочники!$F$4,Учет!$H977,0)</f>
        <v>0</v>
      </c>
      <c r="E977" s="52">
        <f>IF(Учет!$O977=Справочники!$F$5,Учет!$H977,0)</f>
        <v>0</v>
      </c>
      <c r="F977" s="52">
        <f>IF(Учет!$O977=Справочники!$F$6,Учет!$H977,0)</f>
        <v>0</v>
      </c>
      <c r="G977" s="43">
        <f>G976+Учет!B977-B977</f>
        <v>-488978.92000000004</v>
      </c>
      <c r="H977" s="43">
        <f>H976+Учет!C977-C977</f>
        <v>336855</v>
      </c>
      <c r="I977" s="43">
        <f>I976+Учет!D977-D977</f>
        <v>500</v>
      </c>
      <c r="J977" s="43">
        <f>J976+Учет!E977-E977</f>
        <v>1150</v>
      </c>
      <c r="K977" s="43">
        <f>K976+Учет!F977-F977</f>
        <v>500000</v>
      </c>
      <c r="L977" s="45">
        <f>Учет!I977</f>
        <v>349526.07999999996</v>
      </c>
    </row>
    <row r="978" spans="1:12" x14ac:dyDescent="0.25">
      <c r="A978" s="48" t="str">
        <f>IF(Учет!A978&lt;&gt;"",Учет!A978,"")</f>
        <v/>
      </c>
      <c r="B978" s="52">
        <f>IF(Учет!$O978=Справочники!$F$2,Учет!$H978,0)</f>
        <v>0</v>
      </c>
      <c r="C978" s="52">
        <f>IF(Учет!$O978=Справочники!$F$3,Учет!$H978,0)</f>
        <v>0</v>
      </c>
      <c r="D978" s="52">
        <f>IF(Учет!$O978=Справочники!$F$4,Учет!$H978,0)</f>
        <v>0</v>
      </c>
      <c r="E978" s="52">
        <f>IF(Учет!$O978=Справочники!$F$5,Учет!$H978,0)</f>
        <v>0</v>
      </c>
      <c r="F978" s="52">
        <f>IF(Учет!$O978=Справочники!$F$6,Учет!$H978,0)</f>
        <v>0</v>
      </c>
      <c r="G978" s="43">
        <f>G977+Учет!B978-B978</f>
        <v>-488978.92000000004</v>
      </c>
      <c r="H978" s="43">
        <f>H977+Учет!C978-C978</f>
        <v>336855</v>
      </c>
      <c r="I978" s="43">
        <f>I977+Учет!D978-D978</f>
        <v>500</v>
      </c>
      <c r="J978" s="43">
        <f>J977+Учет!E978-E978</f>
        <v>1150</v>
      </c>
      <c r="K978" s="43">
        <f>K977+Учет!F978-F978</f>
        <v>500000</v>
      </c>
      <c r="L978" s="45">
        <f>Учет!I978</f>
        <v>349526.07999999996</v>
      </c>
    </row>
    <row r="979" spans="1:12" x14ac:dyDescent="0.25">
      <c r="A979" s="48" t="str">
        <f>IF(Учет!A979&lt;&gt;"",Учет!A979,"")</f>
        <v/>
      </c>
      <c r="B979" s="52">
        <f>IF(Учет!$O979=Справочники!$F$2,Учет!$H979,0)</f>
        <v>0</v>
      </c>
      <c r="C979" s="52">
        <f>IF(Учет!$O979=Справочники!$F$3,Учет!$H979,0)</f>
        <v>0</v>
      </c>
      <c r="D979" s="52">
        <f>IF(Учет!$O979=Справочники!$F$4,Учет!$H979,0)</f>
        <v>0</v>
      </c>
      <c r="E979" s="52">
        <f>IF(Учет!$O979=Справочники!$F$5,Учет!$H979,0)</f>
        <v>0</v>
      </c>
      <c r="F979" s="52">
        <f>IF(Учет!$O979=Справочники!$F$6,Учет!$H979,0)</f>
        <v>0</v>
      </c>
      <c r="G979" s="43">
        <f>G978+Учет!B979-B979</f>
        <v>-488978.92000000004</v>
      </c>
      <c r="H979" s="43">
        <f>H978+Учет!C979-C979</f>
        <v>336855</v>
      </c>
      <c r="I979" s="43">
        <f>I978+Учет!D979-D979</f>
        <v>500</v>
      </c>
      <c r="J979" s="43">
        <f>J978+Учет!E979-E979</f>
        <v>1150</v>
      </c>
      <c r="K979" s="43">
        <f>K978+Учет!F979-F979</f>
        <v>500000</v>
      </c>
      <c r="L979" s="45">
        <f>Учет!I979</f>
        <v>349526.07999999996</v>
      </c>
    </row>
    <row r="980" spans="1:12" x14ac:dyDescent="0.25">
      <c r="A980" s="48" t="str">
        <f>IF(Учет!A980&lt;&gt;"",Учет!A980,"")</f>
        <v/>
      </c>
      <c r="B980" s="52">
        <f>IF(Учет!$O980=Справочники!$F$2,Учет!$H980,0)</f>
        <v>0</v>
      </c>
      <c r="C980" s="52">
        <f>IF(Учет!$O980=Справочники!$F$3,Учет!$H980,0)</f>
        <v>0</v>
      </c>
      <c r="D980" s="52">
        <f>IF(Учет!$O980=Справочники!$F$4,Учет!$H980,0)</f>
        <v>0</v>
      </c>
      <c r="E980" s="52">
        <f>IF(Учет!$O980=Справочники!$F$5,Учет!$H980,0)</f>
        <v>0</v>
      </c>
      <c r="F980" s="52">
        <f>IF(Учет!$O980=Справочники!$F$6,Учет!$H980,0)</f>
        <v>0</v>
      </c>
      <c r="G980" s="43">
        <f>G979+Учет!B980-B980</f>
        <v>-488978.92000000004</v>
      </c>
      <c r="H980" s="43">
        <f>H979+Учет!C980-C980</f>
        <v>336855</v>
      </c>
      <c r="I980" s="43">
        <f>I979+Учет!D980-D980</f>
        <v>500</v>
      </c>
      <c r="J980" s="43">
        <f>J979+Учет!E980-E980</f>
        <v>1150</v>
      </c>
      <c r="K980" s="43">
        <f>K979+Учет!F980-F980</f>
        <v>500000</v>
      </c>
      <c r="L980" s="45">
        <f>Учет!I980</f>
        <v>349526.07999999996</v>
      </c>
    </row>
    <row r="981" spans="1:12" x14ac:dyDescent="0.25">
      <c r="A981" s="48" t="str">
        <f>IF(Учет!A981&lt;&gt;"",Учет!A981,"")</f>
        <v/>
      </c>
      <c r="B981" s="52">
        <f>IF(Учет!$O981=Справочники!$F$2,Учет!$H981,0)</f>
        <v>0</v>
      </c>
      <c r="C981" s="52">
        <f>IF(Учет!$O981=Справочники!$F$3,Учет!$H981,0)</f>
        <v>0</v>
      </c>
      <c r="D981" s="52">
        <f>IF(Учет!$O981=Справочники!$F$4,Учет!$H981,0)</f>
        <v>0</v>
      </c>
      <c r="E981" s="52">
        <f>IF(Учет!$O981=Справочники!$F$5,Учет!$H981,0)</f>
        <v>0</v>
      </c>
      <c r="F981" s="52">
        <f>IF(Учет!$O981=Справочники!$F$6,Учет!$H981,0)</f>
        <v>0</v>
      </c>
      <c r="G981" s="43">
        <f>G980+Учет!B981-B981</f>
        <v>-488978.92000000004</v>
      </c>
      <c r="H981" s="43">
        <f>H980+Учет!C981-C981</f>
        <v>336855</v>
      </c>
      <c r="I981" s="43">
        <f>I980+Учет!D981-D981</f>
        <v>500</v>
      </c>
      <c r="J981" s="43">
        <f>J980+Учет!E981-E981</f>
        <v>1150</v>
      </c>
      <c r="K981" s="43">
        <f>K980+Учет!F981-F981</f>
        <v>500000</v>
      </c>
      <c r="L981" s="45">
        <f>Учет!I981</f>
        <v>349526.07999999996</v>
      </c>
    </row>
    <row r="982" spans="1:12" x14ac:dyDescent="0.25">
      <c r="A982" s="48" t="str">
        <f>IF(Учет!A982&lt;&gt;"",Учет!A982,"")</f>
        <v/>
      </c>
      <c r="B982" s="52">
        <f>IF(Учет!$O982=Справочники!$F$2,Учет!$H982,0)</f>
        <v>0</v>
      </c>
      <c r="C982" s="52">
        <f>IF(Учет!$O982=Справочники!$F$3,Учет!$H982,0)</f>
        <v>0</v>
      </c>
      <c r="D982" s="52">
        <f>IF(Учет!$O982=Справочники!$F$4,Учет!$H982,0)</f>
        <v>0</v>
      </c>
      <c r="E982" s="52">
        <f>IF(Учет!$O982=Справочники!$F$5,Учет!$H982,0)</f>
        <v>0</v>
      </c>
      <c r="F982" s="52">
        <f>IF(Учет!$O982=Справочники!$F$6,Учет!$H982,0)</f>
        <v>0</v>
      </c>
      <c r="G982" s="43">
        <f>G981+Учет!B982-B982</f>
        <v>-488978.92000000004</v>
      </c>
      <c r="H982" s="43">
        <f>H981+Учет!C982-C982</f>
        <v>336855</v>
      </c>
      <c r="I982" s="43">
        <f>I981+Учет!D982-D982</f>
        <v>500</v>
      </c>
      <c r="J982" s="43">
        <f>J981+Учет!E982-E982</f>
        <v>1150</v>
      </c>
      <c r="K982" s="43">
        <f>K981+Учет!F982-F982</f>
        <v>500000</v>
      </c>
      <c r="L982" s="45">
        <f>Учет!I982</f>
        <v>349526.07999999996</v>
      </c>
    </row>
    <row r="983" spans="1:12" x14ac:dyDescent="0.25">
      <c r="A983" s="48" t="str">
        <f>IF(Учет!A983&lt;&gt;"",Учет!A983,"")</f>
        <v/>
      </c>
      <c r="B983" s="52">
        <f>IF(Учет!$O983=Справочники!$F$2,Учет!$H983,0)</f>
        <v>0</v>
      </c>
      <c r="C983" s="52">
        <f>IF(Учет!$O983=Справочники!$F$3,Учет!$H983,0)</f>
        <v>0</v>
      </c>
      <c r="D983" s="52">
        <f>IF(Учет!$O983=Справочники!$F$4,Учет!$H983,0)</f>
        <v>0</v>
      </c>
      <c r="E983" s="52">
        <f>IF(Учет!$O983=Справочники!$F$5,Учет!$H983,0)</f>
        <v>0</v>
      </c>
      <c r="F983" s="52">
        <f>IF(Учет!$O983=Справочники!$F$6,Учет!$H983,0)</f>
        <v>0</v>
      </c>
      <c r="G983" s="43">
        <f>G982+Учет!B983-B983</f>
        <v>-488978.92000000004</v>
      </c>
      <c r="H983" s="43">
        <f>H982+Учет!C983-C983</f>
        <v>336855</v>
      </c>
      <c r="I983" s="43">
        <f>I982+Учет!D983-D983</f>
        <v>500</v>
      </c>
      <c r="J983" s="43">
        <f>J982+Учет!E983-E983</f>
        <v>1150</v>
      </c>
      <c r="K983" s="43">
        <f>K982+Учет!F983-F983</f>
        <v>500000</v>
      </c>
      <c r="L983" s="45">
        <f>Учет!I983</f>
        <v>349526.07999999996</v>
      </c>
    </row>
    <row r="984" spans="1:12" x14ac:dyDescent="0.25">
      <c r="A984" s="48" t="str">
        <f>IF(Учет!A984&lt;&gt;"",Учет!A984,"")</f>
        <v/>
      </c>
      <c r="B984" s="52">
        <f>IF(Учет!$O984=Справочники!$F$2,Учет!$H984,0)</f>
        <v>0</v>
      </c>
      <c r="C984" s="52">
        <f>IF(Учет!$O984=Справочники!$F$3,Учет!$H984,0)</f>
        <v>0</v>
      </c>
      <c r="D984" s="52">
        <f>IF(Учет!$O984=Справочники!$F$4,Учет!$H984,0)</f>
        <v>0</v>
      </c>
      <c r="E984" s="52">
        <f>IF(Учет!$O984=Справочники!$F$5,Учет!$H984,0)</f>
        <v>0</v>
      </c>
      <c r="F984" s="52">
        <f>IF(Учет!$O984=Справочники!$F$6,Учет!$H984,0)</f>
        <v>0</v>
      </c>
      <c r="G984" s="43">
        <f>G983+Учет!B984-B984</f>
        <v>-488978.92000000004</v>
      </c>
      <c r="H984" s="43">
        <f>H983+Учет!C984-C984</f>
        <v>336855</v>
      </c>
      <c r="I984" s="43">
        <f>I983+Учет!D984-D984</f>
        <v>500</v>
      </c>
      <c r="J984" s="43">
        <f>J983+Учет!E984-E984</f>
        <v>1150</v>
      </c>
      <c r="K984" s="43">
        <f>K983+Учет!F984-F984</f>
        <v>500000</v>
      </c>
      <c r="L984" s="45">
        <f>Учет!I984</f>
        <v>349526.07999999996</v>
      </c>
    </row>
    <row r="985" spans="1:12" x14ac:dyDescent="0.25">
      <c r="A985" s="48" t="str">
        <f>IF(Учет!A985&lt;&gt;"",Учет!A985,"")</f>
        <v/>
      </c>
      <c r="B985" s="52">
        <f>IF(Учет!$O985=Справочники!$F$2,Учет!$H985,0)</f>
        <v>0</v>
      </c>
      <c r="C985" s="52">
        <f>IF(Учет!$O985=Справочники!$F$3,Учет!$H985,0)</f>
        <v>0</v>
      </c>
      <c r="D985" s="52">
        <f>IF(Учет!$O985=Справочники!$F$4,Учет!$H985,0)</f>
        <v>0</v>
      </c>
      <c r="E985" s="52">
        <f>IF(Учет!$O985=Справочники!$F$5,Учет!$H985,0)</f>
        <v>0</v>
      </c>
      <c r="F985" s="52">
        <f>IF(Учет!$O985=Справочники!$F$6,Учет!$H985,0)</f>
        <v>0</v>
      </c>
      <c r="G985" s="43">
        <f>G984+Учет!B985-B985</f>
        <v>-488978.92000000004</v>
      </c>
      <c r="H985" s="43">
        <f>H984+Учет!C985-C985</f>
        <v>336855</v>
      </c>
      <c r="I985" s="43">
        <f>I984+Учет!D985-D985</f>
        <v>500</v>
      </c>
      <c r="J985" s="43">
        <f>J984+Учет!E985-E985</f>
        <v>1150</v>
      </c>
      <c r="K985" s="43">
        <f>K984+Учет!F985-F985</f>
        <v>500000</v>
      </c>
      <c r="L985" s="45">
        <f>Учет!I985</f>
        <v>349526.07999999996</v>
      </c>
    </row>
    <row r="986" spans="1:12" x14ac:dyDescent="0.25">
      <c r="A986" s="48" t="str">
        <f>IF(Учет!A986&lt;&gt;"",Учет!A986,"")</f>
        <v/>
      </c>
      <c r="B986" s="52">
        <f>IF(Учет!$O986=Справочники!$F$2,Учет!$H986,0)</f>
        <v>0</v>
      </c>
      <c r="C986" s="52">
        <f>IF(Учет!$O986=Справочники!$F$3,Учет!$H986,0)</f>
        <v>0</v>
      </c>
      <c r="D986" s="52">
        <f>IF(Учет!$O986=Справочники!$F$4,Учет!$H986,0)</f>
        <v>0</v>
      </c>
      <c r="E986" s="52">
        <f>IF(Учет!$O986=Справочники!$F$5,Учет!$H986,0)</f>
        <v>0</v>
      </c>
      <c r="F986" s="52">
        <f>IF(Учет!$O986=Справочники!$F$6,Учет!$H986,0)</f>
        <v>0</v>
      </c>
      <c r="G986" s="43">
        <f>G985+Учет!B986-B986</f>
        <v>-488978.92000000004</v>
      </c>
      <c r="H986" s="43">
        <f>H985+Учет!C986-C986</f>
        <v>336855</v>
      </c>
      <c r="I986" s="43">
        <f>I985+Учет!D986-D986</f>
        <v>500</v>
      </c>
      <c r="J986" s="43">
        <f>J985+Учет!E986-E986</f>
        <v>1150</v>
      </c>
      <c r="K986" s="43">
        <f>K985+Учет!F986-F986</f>
        <v>500000</v>
      </c>
      <c r="L986" s="45">
        <f>Учет!I986</f>
        <v>349526.07999999996</v>
      </c>
    </row>
    <row r="987" spans="1:12" x14ac:dyDescent="0.25">
      <c r="A987" s="48" t="str">
        <f>IF(Учет!A987&lt;&gt;"",Учет!A987,"")</f>
        <v/>
      </c>
      <c r="B987" s="52">
        <f>IF(Учет!$O987=Справочники!$F$2,Учет!$H987,0)</f>
        <v>0</v>
      </c>
      <c r="C987" s="52">
        <f>IF(Учет!$O987=Справочники!$F$3,Учет!$H987,0)</f>
        <v>0</v>
      </c>
      <c r="D987" s="52">
        <f>IF(Учет!$O987=Справочники!$F$4,Учет!$H987,0)</f>
        <v>0</v>
      </c>
      <c r="E987" s="52">
        <f>IF(Учет!$O987=Справочники!$F$5,Учет!$H987,0)</f>
        <v>0</v>
      </c>
      <c r="F987" s="52">
        <f>IF(Учет!$O987=Справочники!$F$6,Учет!$H987,0)</f>
        <v>0</v>
      </c>
      <c r="G987" s="43">
        <f>G986+Учет!B987-B987</f>
        <v>-488978.92000000004</v>
      </c>
      <c r="H987" s="43">
        <f>H986+Учет!C987-C987</f>
        <v>336855</v>
      </c>
      <c r="I987" s="43">
        <f>I986+Учет!D987-D987</f>
        <v>500</v>
      </c>
      <c r="J987" s="43">
        <f>J986+Учет!E987-E987</f>
        <v>1150</v>
      </c>
      <c r="K987" s="43">
        <f>K986+Учет!F987-F987</f>
        <v>500000</v>
      </c>
      <c r="L987" s="45">
        <f>Учет!I987</f>
        <v>349526.07999999996</v>
      </c>
    </row>
    <row r="988" spans="1:12" x14ac:dyDescent="0.25">
      <c r="A988" s="48" t="str">
        <f>IF(Учет!A988&lt;&gt;"",Учет!A988,"")</f>
        <v/>
      </c>
      <c r="B988" s="52">
        <f>IF(Учет!$O988=Справочники!$F$2,Учет!$H988,0)</f>
        <v>0</v>
      </c>
      <c r="C988" s="52">
        <f>IF(Учет!$O988=Справочники!$F$3,Учет!$H988,0)</f>
        <v>0</v>
      </c>
      <c r="D988" s="52">
        <f>IF(Учет!$O988=Справочники!$F$4,Учет!$H988,0)</f>
        <v>0</v>
      </c>
      <c r="E988" s="52">
        <f>IF(Учет!$O988=Справочники!$F$5,Учет!$H988,0)</f>
        <v>0</v>
      </c>
      <c r="F988" s="52">
        <f>IF(Учет!$O988=Справочники!$F$6,Учет!$H988,0)</f>
        <v>0</v>
      </c>
      <c r="G988" s="43">
        <f>G987+Учет!B988-B988</f>
        <v>-488978.92000000004</v>
      </c>
      <c r="H988" s="43">
        <f>H987+Учет!C988-C988</f>
        <v>336855</v>
      </c>
      <c r="I988" s="43">
        <f>I987+Учет!D988-D988</f>
        <v>500</v>
      </c>
      <c r="J988" s="43">
        <f>J987+Учет!E988-E988</f>
        <v>1150</v>
      </c>
      <c r="K988" s="43">
        <f>K987+Учет!F988-F988</f>
        <v>500000</v>
      </c>
      <c r="L988" s="45">
        <f>Учет!I988</f>
        <v>349526.07999999996</v>
      </c>
    </row>
    <row r="989" spans="1:12" x14ac:dyDescent="0.25">
      <c r="A989" s="48" t="str">
        <f>IF(Учет!A989&lt;&gt;"",Учет!A989,"")</f>
        <v/>
      </c>
      <c r="B989" s="52">
        <f>IF(Учет!$O989=Справочники!$F$2,Учет!$H989,0)</f>
        <v>0</v>
      </c>
      <c r="C989" s="52">
        <f>IF(Учет!$O989=Справочники!$F$3,Учет!$H989,0)</f>
        <v>0</v>
      </c>
      <c r="D989" s="52">
        <f>IF(Учет!$O989=Справочники!$F$4,Учет!$H989,0)</f>
        <v>0</v>
      </c>
      <c r="E989" s="52">
        <f>IF(Учет!$O989=Справочники!$F$5,Учет!$H989,0)</f>
        <v>0</v>
      </c>
      <c r="F989" s="52">
        <f>IF(Учет!$O989=Справочники!$F$6,Учет!$H989,0)</f>
        <v>0</v>
      </c>
      <c r="G989" s="43">
        <f>G988+Учет!B989-B989</f>
        <v>-488978.92000000004</v>
      </c>
      <c r="H989" s="43">
        <f>H988+Учет!C989-C989</f>
        <v>336855</v>
      </c>
      <c r="I989" s="43">
        <f>I988+Учет!D989-D989</f>
        <v>500</v>
      </c>
      <c r="J989" s="43">
        <f>J988+Учет!E989-E989</f>
        <v>1150</v>
      </c>
      <c r="K989" s="43">
        <f>K988+Учет!F989-F989</f>
        <v>500000</v>
      </c>
      <c r="L989" s="45">
        <f>Учет!I989</f>
        <v>349526.07999999996</v>
      </c>
    </row>
    <row r="990" spans="1:12" x14ac:dyDescent="0.25">
      <c r="A990" s="48" t="str">
        <f>IF(Учет!A990&lt;&gt;"",Учет!A990,"")</f>
        <v/>
      </c>
      <c r="B990" s="52">
        <f>IF(Учет!$O990=Справочники!$F$2,Учет!$H990,0)</f>
        <v>0</v>
      </c>
      <c r="C990" s="52">
        <f>IF(Учет!$O990=Справочники!$F$3,Учет!$H990,0)</f>
        <v>0</v>
      </c>
      <c r="D990" s="52">
        <f>IF(Учет!$O990=Справочники!$F$4,Учет!$H990,0)</f>
        <v>0</v>
      </c>
      <c r="E990" s="52">
        <f>IF(Учет!$O990=Справочники!$F$5,Учет!$H990,0)</f>
        <v>0</v>
      </c>
      <c r="F990" s="52">
        <f>IF(Учет!$O990=Справочники!$F$6,Учет!$H990,0)</f>
        <v>0</v>
      </c>
      <c r="G990" s="43">
        <f>G989+Учет!B990-B990</f>
        <v>-488978.92000000004</v>
      </c>
      <c r="H990" s="43">
        <f>H989+Учет!C990-C990</f>
        <v>336855</v>
      </c>
      <c r="I990" s="43">
        <f>I989+Учет!D990-D990</f>
        <v>500</v>
      </c>
      <c r="J990" s="43">
        <f>J989+Учет!E990-E990</f>
        <v>1150</v>
      </c>
      <c r="K990" s="43">
        <f>K989+Учет!F990-F990</f>
        <v>500000</v>
      </c>
      <c r="L990" s="45">
        <f>Учет!I990</f>
        <v>349526.07999999996</v>
      </c>
    </row>
    <row r="991" spans="1:12" x14ac:dyDescent="0.25">
      <c r="A991" s="48" t="str">
        <f>IF(Учет!A991&lt;&gt;"",Учет!A991,"")</f>
        <v/>
      </c>
      <c r="B991" s="52">
        <f>IF(Учет!$O991=Справочники!$F$2,Учет!$H991,0)</f>
        <v>0</v>
      </c>
      <c r="C991" s="52">
        <f>IF(Учет!$O991=Справочники!$F$3,Учет!$H991,0)</f>
        <v>0</v>
      </c>
      <c r="D991" s="52">
        <f>IF(Учет!$O991=Справочники!$F$4,Учет!$H991,0)</f>
        <v>0</v>
      </c>
      <c r="E991" s="52">
        <f>IF(Учет!$O991=Справочники!$F$5,Учет!$H991,0)</f>
        <v>0</v>
      </c>
      <c r="F991" s="52">
        <f>IF(Учет!$O991=Справочники!$F$6,Учет!$H991,0)</f>
        <v>0</v>
      </c>
      <c r="G991" s="43">
        <f>G990+Учет!B991-B991</f>
        <v>-488978.92000000004</v>
      </c>
      <c r="H991" s="43">
        <f>H990+Учет!C991-C991</f>
        <v>336855</v>
      </c>
      <c r="I991" s="43">
        <f>I990+Учет!D991-D991</f>
        <v>500</v>
      </c>
      <c r="J991" s="43">
        <f>J990+Учет!E991-E991</f>
        <v>1150</v>
      </c>
      <c r="K991" s="43">
        <f>K990+Учет!F991-F991</f>
        <v>500000</v>
      </c>
      <c r="L991" s="45">
        <f>Учет!I991</f>
        <v>349526.07999999996</v>
      </c>
    </row>
    <row r="992" spans="1:12" x14ac:dyDescent="0.25">
      <c r="A992" s="48" t="str">
        <f>IF(Учет!A992&lt;&gt;"",Учет!A992,"")</f>
        <v/>
      </c>
      <c r="B992" s="52">
        <f>IF(Учет!$O992=Справочники!$F$2,Учет!$H992,0)</f>
        <v>0</v>
      </c>
      <c r="C992" s="52">
        <f>IF(Учет!$O992=Справочники!$F$3,Учет!$H992,0)</f>
        <v>0</v>
      </c>
      <c r="D992" s="52">
        <f>IF(Учет!$O992=Справочники!$F$4,Учет!$H992,0)</f>
        <v>0</v>
      </c>
      <c r="E992" s="52">
        <f>IF(Учет!$O992=Справочники!$F$5,Учет!$H992,0)</f>
        <v>0</v>
      </c>
      <c r="F992" s="52">
        <f>IF(Учет!$O992=Справочники!$F$6,Учет!$H992,0)</f>
        <v>0</v>
      </c>
      <c r="G992" s="43">
        <f>G991+Учет!B992-B992</f>
        <v>-488978.92000000004</v>
      </c>
      <c r="H992" s="43">
        <f>H991+Учет!C992-C992</f>
        <v>336855</v>
      </c>
      <c r="I992" s="43">
        <f>I991+Учет!D992-D992</f>
        <v>500</v>
      </c>
      <c r="J992" s="43">
        <f>J991+Учет!E992-E992</f>
        <v>1150</v>
      </c>
      <c r="K992" s="43">
        <f>K991+Учет!F992-F992</f>
        <v>500000</v>
      </c>
      <c r="L992" s="45">
        <f>Учет!I992</f>
        <v>349526.07999999996</v>
      </c>
    </row>
    <row r="993" spans="1:12" x14ac:dyDescent="0.25">
      <c r="A993" s="48" t="str">
        <f>IF(Учет!A993&lt;&gt;"",Учет!A993,"")</f>
        <v/>
      </c>
      <c r="B993" s="52">
        <f>IF(Учет!$O993=Справочники!$F$2,Учет!$H993,0)</f>
        <v>0</v>
      </c>
      <c r="C993" s="52">
        <f>IF(Учет!$O993=Справочники!$F$3,Учет!$H993,0)</f>
        <v>0</v>
      </c>
      <c r="D993" s="52">
        <f>IF(Учет!$O993=Справочники!$F$4,Учет!$H993,0)</f>
        <v>0</v>
      </c>
      <c r="E993" s="52">
        <f>IF(Учет!$O993=Справочники!$F$5,Учет!$H993,0)</f>
        <v>0</v>
      </c>
      <c r="F993" s="52">
        <f>IF(Учет!$O993=Справочники!$F$6,Учет!$H993,0)</f>
        <v>0</v>
      </c>
      <c r="G993" s="43">
        <f>G992+Учет!B993-B993</f>
        <v>-488978.92000000004</v>
      </c>
      <c r="H993" s="43">
        <f>H992+Учет!C993-C993</f>
        <v>336855</v>
      </c>
      <c r="I993" s="43">
        <f>I992+Учет!D993-D993</f>
        <v>500</v>
      </c>
      <c r="J993" s="43">
        <f>J992+Учет!E993-E993</f>
        <v>1150</v>
      </c>
      <c r="K993" s="43">
        <f>K992+Учет!F993-F993</f>
        <v>500000</v>
      </c>
      <c r="L993" s="45">
        <f>Учет!I993</f>
        <v>349526.07999999996</v>
      </c>
    </row>
    <row r="994" spans="1:12" x14ac:dyDescent="0.25">
      <c r="A994" s="48" t="str">
        <f>IF(Учет!A994&lt;&gt;"",Учет!A994,"")</f>
        <v/>
      </c>
      <c r="B994" s="52">
        <f>IF(Учет!$O994=Справочники!$F$2,Учет!$H994,0)</f>
        <v>0</v>
      </c>
      <c r="C994" s="52">
        <f>IF(Учет!$O994=Справочники!$F$3,Учет!$H994,0)</f>
        <v>0</v>
      </c>
      <c r="D994" s="52">
        <f>IF(Учет!$O994=Справочники!$F$4,Учет!$H994,0)</f>
        <v>0</v>
      </c>
      <c r="E994" s="52">
        <f>IF(Учет!$O994=Справочники!$F$5,Учет!$H994,0)</f>
        <v>0</v>
      </c>
      <c r="F994" s="52">
        <f>IF(Учет!$O994=Справочники!$F$6,Учет!$H994,0)</f>
        <v>0</v>
      </c>
      <c r="G994" s="43">
        <f>G993+Учет!B994-B994</f>
        <v>-488978.92000000004</v>
      </c>
      <c r="H994" s="43">
        <f>H993+Учет!C994-C994</f>
        <v>336855</v>
      </c>
      <c r="I994" s="43">
        <f>I993+Учет!D994-D994</f>
        <v>500</v>
      </c>
      <c r="J994" s="43">
        <f>J993+Учет!E994-E994</f>
        <v>1150</v>
      </c>
      <c r="K994" s="43">
        <f>K993+Учет!F994-F994</f>
        <v>500000</v>
      </c>
      <c r="L994" s="45">
        <f>Учет!I994</f>
        <v>349526.07999999996</v>
      </c>
    </row>
    <row r="995" spans="1:12" x14ac:dyDescent="0.25">
      <c r="A995" s="48" t="str">
        <f>IF(Учет!A995&lt;&gt;"",Учет!A995,"")</f>
        <v/>
      </c>
      <c r="B995" s="52">
        <f>IF(Учет!$O995=Справочники!$F$2,Учет!$H995,0)</f>
        <v>0</v>
      </c>
      <c r="C995" s="52">
        <f>IF(Учет!$O995=Справочники!$F$3,Учет!$H995,0)</f>
        <v>0</v>
      </c>
      <c r="D995" s="52">
        <f>IF(Учет!$O995=Справочники!$F$4,Учет!$H995,0)</f>
        <v>0</v>
      </c>
      <c r="E995" s="52">
        <f>IF(Учет!$O995=Справочники!$F$5,Учет!$H995,0)</f>
        <v>0</v>
      </c>
      <c r="F995" s="52">
        <f>IF(Учет!$O995=Справочники!$F$6,Учет!$H995,0)</f>
        <v>0</v>
      </c>
      <c r="G995" s="43">
        <f>G994+Учет!B995-B995</f>
        <v>-488978.92000000004</v>
      </c>
      <c r="H995" s="43">
        <f>H994+Учет!C995-C995</f>
        <v>336855</v>
      </c>
      <c r="I995" s="43">
        <f>I994+Учет!D995-D995</f>
        <v>500</v>
      </c>
      <c r="J995" s="43">
        <f>J994+Учет!E995-E995</f>
        <v>1150</v>
      </c>
      <c r="K995" s="43">
        <f>K994+Учет!F995-F995</f>
        <v>500000</v>
      </c>
      <c r="L995" s="45">
        <f>Учет!I995</f>
        <v>349526.07999999996</v>
      </c>
    </row>
    <row r="996" spans="1:12" x14ac:dyDescent="0.25">
      <c r="A996" s="48" t="str">
        <f>IF(Учет!A996&lt;&gt;"",Учет!A996,"")</f>
        <v/>
      </c>
      <c r="B996" s="52">
        <f>IF(Учет!$O996=Справочники!$F$2,Учет!$H996,0)</f>
        <v>0</v>
      </c>
      <c r="C996" s="52">
        <f>IF(Учет!$O996=Справочники!$F$3,Учет!$H996,0)</f>
        <v>0</v>
      </c>
      <c r="D996" s="52">
        <f>IF(Учет!$O996=Справочники!$F$4,Учет!$H996,0)</f>
        <v>0</v>
      </c>
      <c r="E996" s="52">
        <f>IF(Учет!$O996=Справочники!$F$5,Учет!$H996,0)</f>
        <v>0</v>
      </c>
      <c r="F996" s="52">
        <f>IF(Учет!$O996=Справочники!$F$6,Учет!$H996,0)</f>
        <v>0</v>
      </c>
      <c r="G996" s="43">
        <f>G995+Учет!B996-B996</f>
        <v>-488978.92000000004</v>
      </c>
      <c r="H996" s="43">
        <f>H995+Учет!C996-C996</f>
        <v>336855</v>
      </c>
      <c r="I996" s="43">
        <f>I995+Учет!D996-D996</f>
        <v>500</v>
      </c>
      <c r="J996" s="43">
        <f>J995+Учет!E996-E996</f>
        <v>1150</v>
      </c>
      <c r="K996" s="43">
        <f>K995+Учет!F996-F996</f>
        <v>500000</v>
      </c>
      <c r="L996" s="45">
        <f>Учет!I996</f>
        <v>349526.07999999996</v>
      </c>
    </row>
    <row r="997" spans="1:12" x14ac:dyDescent="0.25">
      <c r="A997" s="48" t="str">
        <f>IF(Учет!A997&lt;&gt;"",Учет!A997,"")</f>
        <v/>
      </c>
      <c r="B997" s="52">
        <f>IF(Учет!$O997=Справочники!$F$2,Учет!$H997,0)</f>
        <v>0</v>
      </c>
      <c r="C997" s="52">
        <f>IF(Учет!$O997=Справочники!$F$3,Учет!$H997,0)</f>
        <v>0</v>
      </c>
      <c r="D997" s="52">
        <f>IF(Учет!$O997=Справочники!$F$4,Учет!$H997,0)</f>
        <v>0</v>
      </c>
      <c r="E997" s="52">
        <f>IF(Учет!$O997=Справочники!$F$5,Учет!$H997,0)</f>
        <v>0</v>
      </c>
      <c r="F997" s="52">
        <f>IF(Учет!$O997=Справочники!$F$6,Учет!$H997,0)</f>
        <v>0</v>
      </c>
      <c r="G997" s="43">
        <f>G996+Учет!B997-B997</f>
        <v>-488978.92000000004</v>
      </c>
      <c r="H997" s="43">
        <f>H996+Учет!C997-C997</f>
        <v>336855</v>
      </c>
      <c r="I997" s="43">
        <f>I996+Учет!D997-D997</f>
        <v>500</v>
      </c>
      <c r="J997" s="43">
        <f>J996+Учет!E997-E997</f>
        <v>1150</v>
      </c>
      <c r="K997" s="43">
        <f>K996+Учет!F997-F997</f>
        <v>500000</v>
      </c>
      <c r="L997" s="45">
        <f>Учет!I997</f>
        <v>349526.07999999996</v>
      </c>
    </row>
    <row r="998" spans="1:12" x14ac:dyDescent="0.25">
      <c r="A998" s="48" t="str">
        <f>IF(Учет!A998&lt;&gt;"",Учет!A998,"")</f>
        <v/>
      </c>
      <c r="B998" s="52">
        <f>IF(Учет!$O998=Справочники!$F$2,Учет!$H998,0)</f>
        <v>0</v>
      </c>
      <c r="C998" s="52">
        <f>IF(Учет!$O998=Справочники!$F$3,Учет!$H998,0)</f>
        <v>0</v>
      </c>
      <c r="D998" s="52">
        <f>IF(Учет!$O998=Справочники!$F$4,Учет!$H998,0)</f>
        <v>0</v>
      </c>
      <c r="E998" s="52">
        <f>IF(Учет!$O998=Справочники!$F$5,Учет!$H998,0)</f>
        <v>0</v>
      </c>
      <c r="F998" s="52">
        <f>IF(Учет!$O998=Справочники!$F$6,Учет!$H998,0)</f>
        <v>0</v>
      </c>
      <c r="G998" s="43">
        <f>G997+Учет!B998-B998</f>
        <v>-488978.92000000004</v>
      </c>
      <c r="H998" s="43">
        <f>H997+Учет!C998-C998</f>
        <v>336855</v>
      </c>
      <c r="I998" s="43">
        <f>I997+Учет!D998-D998</f>
        <v>500</v>
      </c>
      <c r="J998" s="43">
        <f>J997+Учет!E998-E998</f>
        <v>1150</v>
      </c>
      <c r="K998" s="43">
        <f>K997+Учет!F998-F998</f>
        <v>500000</v>
      </c>
      <c r="L998" s="45">
        <f>Учет!I998</f>
        <v>349526.07999999996</v>
      </c>
    </row>
    <row r="999" spans="1:12" x14ac:dyDescent="0.25">
      <c r="A999" s="48" t="str">
        <f>IF(Учет!A999&lt;&gt;"",Учет!A999,"")</f>
        <v/>
      </c>
      <c r="B999" s="52">
        <f>IF(Учет!$O999=Справочники!$F$2,Учет!$H999,0)</f>
        <v>0</v>
      </c>
      <c r="C999" s="52">
        <f>IF(Учет!$O999=Справочники!$F$3,Учет!$H999,0)</f>
        <v>0</v>
      </c>
      <c r="D999" s="52">
        <f>IF(Учет!$O999=Справочники!$F$4,Учет!$H999,0)</f>
        <v>0</v>
      </c>
      <c r="E999" s="52">
        <f>IF(Учет!$O999=Справочники!$F$5,Учет!$H999,0)</f>
        <v>0</v>
      </c>
      <c r="F999" s="52">
        <f>IF(Учет!$O999=Справочники!$F$6,Учет!$H999,0)</f>
        <v>0</v>
      </c>
      <c r="G999" s="43">
        <f>G998+Учет!B999-B999</f>
        <v>-488978.92000000004</v>
      </c>
      <c r="H999" s="43">
        <f>H998+Учет!C999-C999</f>
        <v>336855</v>
      </c>
      <c r="I999" s="43">
        <f>I998+Учет!D999-D999</f>
        <v>500</v>
      </c>
      <c r="J999" s="43">
        <f>J998+Учет!E999-E999</f>
        <v>1150</v>
      </c>
      <c r="K999" s="43">
        <f>K998+Учет!F999-F999</f>
        <v>500000</v>
      </c>
      <c r="L999" s="45">
        <f>Учет!I999</f>
        <v>349526.07999999996</v>
      </c>
    </row>
    <row r="1000" spans="1:12" x14ac:dyDescent="0.25">
      <c r="A1000" s="48" t="str">
        <f>IF(Учет!A1000&lt;&gt;"",Учет!A1000,"")</f>
        <v/>
      </c>
      <c r="B1000" s="52">
        <f>IF(Учет!$O1000=Справочники!$F$2,Учет!$H1000,0)</f>
        <v>0</v>
      </c>
      <c r="C1000" s="52">
        <f>IF(Учет!$O1000=Справочники!$F$3,Учет!$H1000,0)</f>
        <v>0</v>
      </c>
      <c r="D1000" s="52">
        <f>IF(Учет!$O1000=Справочники!$F$4,Учет!$H1000,0)</f>
        <v>0</v>
      </c>
      <c r="E1000" s="52">
        <f>IF(Учет!$O1000=Справочники!$F$5,Учет!$H1000,0)</f>
        <v>0</v>
      </c>
      <c r="F1000" s="52">
        <f>IF(Учет!$O1000=Справочники!$F$6,Учет!$H1000,0)</f>
        <v>0</v>
      </c>
      <c r="G1000" s="43">
        <f>G999+Учет!B1000-B1000</f>
        <v>-488978.92000000004</v>
      </c>
      <c r="H1000" s="43">
        <f>H999+Учет!C1000-C1000</f>
        <v>336855</v>
      </c>
      <c r="I1000" s="43">
        <f>I999+Учет!D1000-D1000</f>
        <v>500</v>
      </c>
      <c r="J1000" s="43">
        <f>J999+Учет!E1000-E1000</f>
        <v>1150</v>
      </c>
      <c r="K1000" s="43">
        <f>K999+Учет!F1000-F1000</f>
        <v>500000</v>
      </c>
      <c r="L1000" s="45">
        <f>Учет!I1000</f>
        <v>349526.07999999996</v>
      </c>
    </row>
    <row r="1001" spans="1:12" x14ac:dyDescent="0.25">
      <c r="A1001" s="48" t="str">
        <f>IF(Учет!A1001&lt;&gt;"",Учет!A1001,"")</f>
        <v/>
      </c>
      <c r="B1001" s="52">
        <f>IF(Учет!$O1001=Справочники!$F$2,Учет!$H1001,0)</f>
        <v>0</v>
      </c>
      <c r="C1001" s="52">
        <f>IF(Учет!$O1001=Справочники!$F$3,Учет!$H1001,0)</f>
        <v>0</v>
      </c>
      <c r="D1001" s="52">
        <f>IF(Учет!$O1001=Справочники!$F$4,Учет!$H1001,0)</f>
        <v>0</v>
      </c>
      <c r="E1001" s="52">
        <f>IF(Учет!$O1001=Справочники!$F$5,Учет!$H1001,0)</f>
        <v>0</v>
      </c>
      <c r="F1001" s="52">
        <f>IF(Учет!$O1001=Справочники!$F$6,Учет!$H1001,0)</f>
        <v>0</v>
      </c>
      <c r="G1001" s="43">
        <f>G1000+Учет!B1001-B1001</f>
        <v>-488978.92000000004</v>
      </c>
      <c r="H1001" s="43">
        <f>H1000+Учет!C1001-C1001</f>
        <v>336855</v>
      </c>
      <c r="I1001" s="43">
        <f>I1000+Учет!D1001-D1001</f>
        <v>500</v>
      </c>
      <c r="J1001" s="43">
        <f>J1000+Учет!E1001-E1001</f>
        <v>1150</v>
      </c>
      <c r="K1001" s="43">
        <f>K1000+Учет!F1001-F1001</f>
        <v>500000</v>
      </c>
      <c r="L1001" s="45">
        <f>Учет!I1001</f>
        <v>349526.07999999996</v>
      </c>
    </row>
    <row r="1002" spans="1:12" x14ac:dyDescent="0.25">
      <c r="A1002" s="48" t="str">
        <f>IF(Учет!A1002&lt;&gt;"",Учет!A1002,"")</f>
        <v/>
      </c>
      <c r="B1002" s="52">
        <f>IF(Учет!$O1002=Справочники!$F$2,Учет!$H1002,0)</f>
        <v>0</v>
      </c>
      <c r="C1002" s="52">
        <f>IF(Учет!$O1002=Справочники!$F$3,Учет!$H1002,0)</f>
        <v>0</v>
      </c>
      <c r="D1002" s="52">
        <f>IF(Учет!$O1002=Справочники!$F$4,Учет!$H1002,0)</f>
        <v>0</v>
      </c>
      <c r="E1002" s="52">
        <f>IF(Учет!$O1002=Справочники!$F$5,Учет!$H1002,0)</f>
        <v>0</v>
      </c>
      <c r="F1002" s="52">
        <f>IF(Учет!$O1002=Справочники!$F$6,Учет!$H1002,0)</f>
        <v>0</v>
      </c>
      <c r="G1002" s="43">
        <f>G1001+Учет!B1002-B1002</f>
        <v>-488978.92000000004</v>
      </c>
      <c r="H1002" s="43">
        <f>H1001+Учет!C1002-C1002</f>
        <v>336855</v>
      </c>
      <c r="I1002" s="43">
        <f>I1001+Учет!D1002-D1002</f>
        <v>500</v>
      </c>
      <c r="J1002" s="43">
        <f>J1001+Учет!E1002-E1002</f>
        <v>1150</v>
      </c>
      <c r="K1002" s="43">
        <f>K1001+Учет!F1002-F1002</f>
        <v>500000</v>
      </c>
      <c r="L1002" s="45">
        <f>Учет!I1002</f>
        <v>349526.07999999996</v>
      </c>
    </row>
    <row r="1003" spans="1:12" x14ac:dyDescent="0.25">
      <c r="A1003" s="48" t="str">
        <f>IF(Учет!A1003&lt;&gt;"",Учет!A1003,"")</f>
        <v/>
      </c>
      <c r="B1003" s="52">
        <f>IF(Учет!$O1003=Справочники!$F$2,Учет!$H1003,0)</f>
        <v>0</v>
      </c>
      <c r="C1003" s="52">
        <f>IF(Учет!$O1003=Справочники!$F$3,Учет!$H1003,0)</f>
        <v>0</v>
      </c>
      <c r="D1003" s="52">
        <f>IF(Учет!$O1003=Справочники!$F$4,Учет!$H1003,0)</f>
        <v>0</v>
      </c>
      <c r="E1003" s="52">
        <f>IF(Учет!$O1003=Справочники!$F$5,Учет!$H1003,0)</f>
        <v>0</v>
      </c>
      <c r="F1003" s="52">
        <f>IF(Учет!$O1003=Справочники!$F$6,Учет!$H1003,0)</f>
        <v>0</v>
      </c>
      <c r="G1003" s="43">
        <f>G1002+Учет!B1003-B1003</f>
        <v>-488978.92000000004</v>
      </c>
      <c r="H1003" s="43">
        <f>H1002+Учет!C1003-C1003</f>
        <v>336855</v>
      </c>
      <c r="I1003" s="43">
        <f>I1002+Учет!D1003-D1003</f>
        <v>500</v>
      </c>
      <c r="J1003" s="43">
        <f>J1002+Учет!E1003-E1003</f>
        <v>1150</v>
      </c>
      <c r="K1003" s="43">
        <f>K1002+Учет!F1003-F1003</f>
        <v>500000</v>
      </c>
      <c r="L1003" s="45">
        <f>Учет!I1003</f>
        <v>349526.07999999996</v>
      </c>
    </row>
    <row r="1004" spans="1:12" x14ac:dyDescent="0.25">
      <c r="A1004" s="48" t="str">
        <f>IF(Учет!A1004&lt;&gt;"",Учет!A1004,"")</f>
        <v/>
      </c>
      <c r="B1004" s="52">
        <f>IF(Учет!$O1004=Справочники!$F$2,Учет!$H1004,0)</f>
        <v>0</v>
      </c>
      <c r="C1004" s="52">
        <f>IF(Учет!$O1004=Справочники!$F$3,Учет!$H1004,0)</f>
        <v>0</v>
      </c>
      <c r="D1004" s="52">
        <f>IF(Учет!$O1004=Справочники!$F$4,Учет!$H1004,0)</f>
        <v>0</v>
      </c>
      <c r="E1004" s="52">
        <f>IF(Учет!$O1004=Справочники!$F$5,Учет!$H1004,0)</f>
        <v>0</v>
      </c>
      <c r="F1004" s="52">
        <f>IF(Учет!$O1004=Справочники!$F$6,Учет!$H1004,0)</f>
        <v>0</v>
      </c>
      <c r="G1004" s="43">
        <f>G1003+Учет!B1004-B1004</f>
        <v>-488978.92000000004</v>
      </c>
      <c r="H1004" s="43">
        <f>H1003+Учет!C1004-C1004</f>
        <v>336855</v>
      </c>
      <c r="I1004" s="43">
        <f>I1003+Учет!D1004-D1004</f>
        <v>500</v>
      </c>
      <c r="J1004" s="43">
        <f>J1003+Учет!E1004-E1004</f>
        <v>1150</v>
      </c>
      <c r="K1004" s="43">
        <f>K1003+Учет!F1004-F1004</f>
        <v>500000</v>
      </c>
      <c r="L1004" s="45">
        <f>Учет!I1004</f>
        <v>349526.07999999996</v>
      </c>
    </row>
    <row r="1005" spans="1:12" x14ac:dyDescent="0.25">
      <c r="A1005" s="48" t="str">
        <f>IF(Учет!A1005&lt;&gt;"",Учет!A1005,"")</f>
        <v/>
      </c>
      <c r="B1005" s="52">
        <f>IF(Учет!$O1005=Справочники!$F$2,Учет!$H1005,0)</f>
        <v>0</v>
      </c>
      <c r="C1005" s="52">
        <f>IF(Учет!$O1005=Справочники!$F$3,Учет!$H1005,0)</f>
        <v>0</v>
      </c>
      <c r="D1005" s="52">
        <f>IF(Учет!$O1005=Справочники!$F$4,Учет!$H1005,0)</f>
        <v>0</v>
      </c>
      <c r="E1005" s="52">
        <f>IF(Учет!$O1005=Справочники!$F$5,Учет!$H1005,0)</f>
        <v>0</v>
      </c>
      <c r="F1005" s="52">
        <f>IF(Учет!$O1005=Справочники!$F$6,Учет!$H1005,0)</f>
        <v>0</v>
      </c>
      <c r="G1005" s="43">
        <f>G1004+Учет!B1005-B1005</f>
        <v>-488978.92000000004</v>
      </c>
      <c r="H1005" s="43">
        <f>H1004+Учет!C1005-C1005</f>
        <v>336855</v>
      </c>
      <c r="I1005" s="43">
        <f>I1004+Учет!D1005-D1005</f>
        <v>500</v>
      </c>
      <c r="J1005" s="43">
        <f>J1004+Учет!E1005-E1005</f>
        <v>1150</v>
      </c>
      <c r="K1005" s="43">
        <f>K1004+Учет!F1005-F1005</f>
        <v>500000</v>
      </c>
      <c r="L1005" s="45">
        <f>Учет!I1005</f>
        <v>349526.07999999996</v>
      </c>
    </row>
    <row r="1006" spans="1:12" x14ac:dyDescent="0.25">
      <c r="A1006" s="48" t="str">
        <f>IF(Учет!A1006&lt;&gt;"",Учет!A1006,"")</f>
        <v/>
      </c>
      <c r="B1006" s="52">
        <f>IF(Учет!$O1006=Справочники!$F$2,Учет!$H1006,0)</f>
        <v>0</v>
      </c>
      <c r="C1006" s="52">
        <f>IF(Учет!$O1006=Справочники!$F$3,Учет!$H1006,0)</f>
        <v>0</v>
      </c>
      <c r="D1006" s="52">
        <f>IF(Учет!$O1006=Справочники!$F$4,Учет!$H1006,0)</f>
        <v>0</v>
      </c>
      <c r="E1006" s="52">
        <f>IF(Учет!$O1006=Справочники!$F$5,Учет!$H1006,0)</f>
        <v>0</v>
      </c>
      <c r="F1006" s="52">
        <f>IF(Учет!$O1006=Справочники!$F$6,Учет!$H1006,0)</f>
        <v>0</v>
      </c>
      <c r="G1006" s="43">
        <f>G1005+Учет!B1006-B1006</f>
        <v>-488978.92000000004</v>
      </c>
      <c r="H1006" s="43">
        <f>H1005+Учет!C1006-C1006</f>
        <v>336855</v>
      </c>
      <c r="I1006" s="43">
        <f>I1005+Учет!D1006-D1006</f>
        <v>500</v>
      </c>
      <c r="J1006" s="43">
        <f>J1005+Учет!E1006-E1006</f>
        <v>1150</v>
      </c>
      <c r="K1006" s="43">
        <f>K1005+Учет!F1006-F1006</f>
        <v>500000</v>
      </c>
      <c r="L1006" s="45">
        <f>Учет!I1006</f>
        <v>349526.07999999996</v>
      </c>
    </row>
    <row r="1007" spans="1:12" x14ac:dyDescent="0.25">
      <c r="A1007" s="48" t="str">
        <f>IF(Учет!A1007&lt;&gt;"",Учет!A1007,"")</f>
        <v/>
      </c>
      <c r="B1007" s="52">
        <f>IF(Учет!$O1007=Справочники!$F$2,Учет!$H1007,0)</f>
        <v>0</v>
      </c>
      <c r="C1007" s="52">
        <f>IF(Учет!$O1007=Справочники!$F$3,Учет!$H1007,0)</f>
        <v>0</v>
      </c>
      <c r="D1007" s="52">
        <f>IF(Учет!$O1007=Справочники!$F$4,Учет!$H1007,0)</f>
        <v>0</v>
      </c>
      <c r="E1007" s="52">
        <f>IF(Учет!$O1007=Справочники!$F$5,Учет!$H1007,0)</f>
        <v>0</v>
      </c>
      <c r="F1007" s="52">
        <f>IF(Учет!$O1007=Справочники!$F$6,Учет!$H1007,0)</f>
        <v>0</v>
      </c>
      <c r="G1007" s="43">
        <f>G1006+Учет!B1007-B1007</f>
        <v>-488978.92000000004</v>
      </c>
      <c r="H1007" s="43">
        <f>H1006+Учет!C1007-C1007</f>
        <v>336855</v>
      </c>
      <c r="I1007" s="43">
        <f>I1006+Учет!D1007-D1007</f>
        <v>500</v>
      </c>
      <c r="J1007" s="43">
        <f>J1006+Учет!E1007-E1007</f>
        <v>1150</v>
      </c>
      <c r="K1007" s="43">
        <f>K1006+Учет!F1007-F1007</f>
        <v>500000</v>
      </c>
      <c r="L1007" s="45">
        <f>Учет!I1007</f>
        <v>349526.07999999996</v>
      </c>
    </row>
    <row r="1008" spans="1:12" x14ac:dyDescent="0.25">
      <c r="A1008" s="48" t="str">
        <f>IF(Учет!A1008&lt;&gt;"",Учет!A1008,"")</f>
        <v/>
      </c>
      <c r="B1008" s="52">
        <f>IF(Учет!$O1008=Справочники!$F$2,Учет!$H1008,0)</f>
        <v>0</v>
      </c>
      <c r="C1008" s="52">
        <f>IF(Учет!$O1008=Справочники!$F$3,Учет!$H1008,0)</f>
        <v>0</v>
      </c>
      <c r="D1008" s="52">
        <f>IF(Учет!$O1008=Справочники!$F$4,Учет!$H1008,0)</f>
        <v>0</v>
      </c>
      <c r="E1008" s="52">
        <f>IF(Учет!$O1008=Справочники!$F$5,Учет!$H1008,0)</f>
        <v>0</v>
      </c>
      <c r="F1008" s="52">
        <f>IF(Учет!$O1008=Справочники!$F$6,Учет!$H1008,0)</f>
        <v>0</v>
      </c>
      <c r="G1008" s="43">
        <f>G1007+Учет!B1008-B1008</f>
        <v>-488978.92000000004</v>
      </c>
      <c r="H1008" s="43">
        <f>H1007+Учет!C1008-C1008</f>
        <v>336855</v>
      </c>
      <c r="I1008" s="43">
        <f>I1007+Учет!D1008-D1008</f>
        <v>500</v>
      </c>
      <c r="J1008" s="43">
        <f>J1007+Учет!E1008-E1008</f>
        <v>1150</v>
      </c>
      <c r="K1008" s="43">
        <f>K1007+Учет!F1008-F1008</f>
        <v>500000</v>
      </c>
      <c r="L1008" s="45">
        <f>Учет!I1008</f>
        <v>349526.07999999996</v>
      </c>
    </row>
    <row r="1009" spans="1:12" x14ac:dyDescent="0.25">
      <c r="A1009" s="48" t="str">
        <f>IF(Учет!A1009&lt;&gt;"",Учет!A1009,"")</f>
        <v/>
      </c>
      <c r="B1009" s="52">
        <f>IF(Учет!$O1009=Справочники!$F$2,Учет!$H1009,0)</f>
        <v>0</v>
      </c>
      <c r="C1009" s="52">
        <f>IF(Учет!$O1009=Справочники!$F$3,Учет!$H1009,0)</f>
        <v>0</v>
      </c>
      <c r="D1009" s="52">
        <f>IF(Учет!$O1009=Справочники!$F$4,Учет!$H1009,0)</f>
        <v>0</v>
      </c>
      <c r="E1009" s="52">
        <f>IF(Учет!$O1009=Справочники!$F$5,Учет!$H1009,0)</f>
        <v>0</v>
      </c>
      <c r="F1009" s="52">
        <f>IF(Учет!$O1009=Справочники!$F$6,Учет!$H1009,0)</f>
        <v>0</v>
      </c>
      <c r="G1009" s="43">
        <f>G1008+Учет!B1009-B1009</f>
        <v>-488978.92000000004</v>
      </c>
      <c r="H1009" s="43">
        <f>H1008+Учет!C1009-C1009</f>
        <v>336855</v>
      </c>
      <c r="I1009" s="43">
        <f>I1008+Учет!D1009-D1009</f>
        <v>500</v>
      </c>
      <c r="J1009" s="43">
        <f>J1008+Учет!E1009-E1009</f>
        <v>1150</v>
      </c>
      <c r="K1009" s="43">
        <f>K1008+Учет!F1009-F1009</f>
        <v>500000</v>
      </c>
      <c r="L1009" s="45">
        <f>Учет!I1009</f>
        <v>349526.07999999996</v>
      </c>
    </row>
    <row r="1010" spans="1:12" x14ac:dyDescent="0.25">
      <c r="A1010" s="48" t="str">
        <f>IF(Учет!A1010&lt;&gt;"",Учет!A1010,"")</f>
        <v/>
      </c>
      <c r="B1010" s="52">
        <f>IF(Учет!$O1010=Справочники!$F$2,Учет!$H1010,0)</f>
        <v>0</v>
      </c>
      <c r="C1010" s="52">
        <f>IF(Учет!$O1010=Справочники!$F$3,Учет!$H1010,0)</f>
        <v>0</v>
      </c>
      <c r="D1010" s="52">
        <f>IF(Учет!$O1010=Справочники!$F$4,Учет!$H1010,0)</f>
        <v>0</v>
      </c>
      <c r="E1010" s="52">
        <f>IF(Учет!$O1010=Справочники!$F$5,Учет!$H1010,0)</f>
        <v>0</v>
      </c>
      <c r="F1010" s="52">
        <f>IF(Учет!$O1010=Справочники!$F$6,Учет!$H1010,0)</f>
        <v>0</v>
      </c>
      <c r="G1010" s="43">
        <f>G1009+Учет!B1010-B1010</f>
        <v>-488978.92000000004</v>
      </c>
      <c r="H1010" s="43">
        <f>H1009+Учет!C1010-C1010</f>
        <v>336855</v>
      </c>
      <c r="I1010" s="43">
        <f>I1009+Учет!D1010-D1010</f>
        <v>500</v>
      </c>
      <c r="J1010" s="43">
        <f>J1009+Учет!E1010-E1010</f>
        <v>1150</v>
      </c>
      <c r="K1010" s="43">
        <f>K1009+Учет!F1010-F1010</f>
        <v>500000</v>
      </c>
      <c r="L1010" s="45">
        <f>Учет!I1010</f>
        <v>349526.07999999996</v>
      </c>
    </row>
    <row r="1011" spans="1:12" x14ac:dyDescent="0.25">
      <c r="A1011" s="48" t="str">
        <f>IF(Учет!A1011&lt;&gt;"",Учет!A1011,"")</f>
        <v/>
      </c>
      <c r="B1011" s="52">
        <f>IF(Учет!$O1011=Справочники!$F$2,Учет!$H1011,0)</f>
        <v>0</v>
      </c>
      <c r="C1011" s="52">
        <f>IF(Учет!$O1011=Справочники!$F$3,Учет!$H1011,0)</f>
        <v>0</v>
      </c>
      <c r="D1011" s="52">
        <f>IF(Учет!$O1011=Справочники!$F$4,Учет!$H1011,0)</f>
        <v>0</v>
      </c>
      <c r="E1011" s="52">
        <f>IF(Учет!$O1011=Справочники!$F$5,Учет!$H1011,0)</f>
        <v>0</v>
      </c>
      <c r="F1011" s="52">
        <f>IF(Учет!$O1011=Справочники!$F$6,Учет!$H1011,0)</f>
        <v>0</v>
      </c>
      <c r="G1011" s="43">
        <f>G1010+Учет!B1011-B1011</f>
        <v>-488978.92000000004</v>
      </c>
      <c r="H1011" s="43">
        <f>H1010+Учет!C1011-C1011</f>
        <v>336855</v>
      </c>
      <c r="I1011" s="43">
        <f>I1010+Учет!D1011-D1011</f>
        <v>500</v>
      </c>
      <c r="J1011" s="43">
        <f>J1010+Учет!E1011-E1011</f>
        <v>1150</v>
      </c>
      <c r="K1011" s="43">
        <f>K1010+Учет!F1011-F1011</f>
        <v>500000</v>
      </c>
      <c r="L1011" s="45">
        <f>Учет!I1011</f>
        <v>349526.07999999996</v>
      </c>
    </row>
    <row r="1012" spans="1:12" x14ac:dyDescent="0.25">
      <c r="A1012" s="48" t="str">
        <f>IF(Учет!A1012&lt;&gt;"",Учет!A1012,"")</f>
        <v/>
      </c>
      <c r="B1012" s="52">
        <f>IF(Учет!$O1012=Справочники!$F$2,Учет!$H1012,0)</f>
        <v>0</v>
      </c>
      <c r="C1012" s="52">
        <f>IF(Учет!$O1012=Справочники!$F$3,Учет!$H1012,0)</f>
        <v>0</v>
      </c>
      <c r="D1012" s="52">
        <f>IF(Учет!$O1012=Справочники!$F$4,Учет!$H1012,0)</f>
        <v>0</v>
      </c>
      <c r="E1012" s="52">
        <f>IF(Учет!$O1012=Справочники!$F$5,Учет!$H1012,0)</f>
        <v>0</v>
      </c>
      <c r="F1012" s="52">
        <f>IF(Учет!$O1012=Справочники!$F$6,Учет!$H1012,0)</f>
        <v>0</v>
      </c>
      <c r="G1012" s="43">
        <f>G1011+Учет!B1012-B1012</f>
        <v>-488978.92000000004</v>
      </c>
      <c r="H1012" s="43">
        <f>H1011+Учет!C1012-C1012</f>
        <v>336855</v>
      </c>
      <c r="I1012" s="43">
        <f>I1011+Учет!D1012-D1012</f>
        <v>500</v>
      </c>
      <c r="J1012" s="43">
        <f>J1011+Учет!E1012-E1012</f>
        <v>1150</v>
      </c>
      <c r="K1012" s="43">
        <f>K1011+Учет!F1012-F1012</f>
        <v>500000</v>
      </c>
      <c r="L1012" s="45">
        <f>Учет!I1012</f>
        <v>349526.07999999996</v>
      </c>
    </row>
    <row r="1013" spans="1:12" x14ac:dyDescent="0.25">
      <c r="A1013" s="48" t="str">
        <f>IF(Учет!A1013&lt;&gt;"",Учет!A1013,"")</f>
        <v/>
      </c>
      <c r="B1013" s="52">
        <f>IF(Учет!$O1013=Справочники!$F$2,Учет!$H1013,0)</f>
        <v>0</v>
      </c>
      <c r="C1013" s="52">
        <f>IF(Учет!$O1013=Справочники!$F$3,Учет!$H1013,0)</f>
        <v>0</v>
      </c>
      <c r="D1013" s="52">
        <f>IF(Учет!$O1013=Справочники!$F$4,Учет!$H1013,0)</f>
        <v>0</v>
      </c>
      <c r="E1013" s="52">
        <f>IF(Учет!$O1013=Справочники!$F$5,Учет!$H1013,0)</f>
        <v>0</v>
      </c>
      <c r="F1013" s="52">
        <f>IF(Учет!$O1013=Справочники!$F$6,Учет!$H1013,0)</f>
        <v>0</v>
      </c>
      <c r="G1013" s="43">
        <f>G1012+Учет!B1013-B1013</f>
        <v>-488978.92000000004</v>
      </c>
      <c r="H1013" s="43">
        <f>H1012+Учет!C1013-C1013</f>
        <v>336855</v>
      </c>
      <c r="I1013" s="43">
        <f>I1012+Учет!D1013-D1013</f>
        <v>500</v>
      </c>
      <c r="J1013" s="43">
        <f>J1012+Учет!E1013-E1013</f>
        <v>1150</v>
      </c>
      <c r="K1013" s="43">
        <f>K1012+Учет!F1013-F1013</f>
        <v>500000</v>
      </c>
      <c r="L1013" s="45">
        <f>Учет!I1013</f>
        <v>349526.07999999996</v>
      </c>
    </row>
    <row r="1014" spans="1:12" x14ac:dyDescent="0.25">
      <c r="A1014" s="48" t="str">
        <f>IF(Учет!A1014&lt;&gt;"",Учет!A1014,"")</f>
        <v/>
      </c>
      <c r="B1014" s="52">
        <f>IF(Учет!$O1014=Справочники!$F$2,Учет!$H1014,0)</f>
        <v>0</v>
      </c>
      <c r="C1014" s="52">
        <f>IF(Учет!$O1014=Справочники!$F$3,Учет!$H1014,0)</f>
        <v>0</v>
      </c>
      <c r="D1014" s="52">
        <f>IF(Учет!$O1014=Справочники!$F$4,Учет!$H1014,0)</f>
        <v>0</v>
      </c>
      <c r="E1014" s="52">
        <f>IF(Учет!$O1014=Справочники!$F$5,Учет!$H1014,0)</f>
        <v>0</v>
      </c>
      <c r="F1014" s="52">
        <f>IF(Учет!$O1014=Справочники!$F$6,Учет!$H1014,0)</f>
        <v>0</v>
      </c>
      <c r="G1014" s="43">
        <f>G1013+Учет!B1014-B1014</f>
        <v>-488978.92000000004</v>
      </c>
      <c r="H1014" s="43">
        <f>H1013+Учет!C1014-C1014</f>
        <v>336855</v>
      </c>
      <c r="I1014" s="43">
        <f>I1013+Учет!D1014-D1014</f>
        <v>500</v>
      </c>
      <c r="J1014" s="43">
        <f>J1013+Учет!E1014-E1014</f>
        <v>1150</v>
      </c>
      <c r="K1014" s="43">
        <f>K1013+Учет!F1014-F1014</f>
        <v>500000</v>
      </c>
      <c r="L1014" s="45">
        <f>Учет!I1014</f>
        <v>349526.07999999996</v>
      </c>
    </row>
    <row r="1015" spans="1:12" x14ac:dyDescent="0.25">
      <c r="A1015" s="48" t="str">
        <f>IF(Учет!A1015&lt;&gt;"",Учет!A1015,"")</f>
        <v/>
      </c>
      <c r="B1015" s="52">
        <f>IF(Учет!$O1015=Справочники!$F$2,Учет!$H1015,0)</f>
        <v>0</v>
      </c>
      <c r="C1015" s="52">
        <f>IF(Учет!$O1015=Справочники!$F$3,Учет!$H1015,0)</f>
        <v>0</v>
      </c>
      <c r="D1015" s="52">
        <f>IF(Учет!$O1015=Справочники!$F$4,Учет!$H1015,0)</f>
        <v>0</v>
      </c>
      <c r="E1015" s="52">
        <f>IF(Учет!$O1015=Справочники!$F$5,Учет!$H1015,0)</f>
        <v>0</v>
      </c>
      <c r="F1015" s="52">
        <f>IF(Учет!$O1015=Справочники!$F$6,Учет!$H1015,0)</f>
        <v>0</v>
      </c>
      <c r="G1015" s="43">
        <f>G1014+Учет!B1015-B1015</f>
        <v>-488978.92000000004</v>
      </c>
      <c r="H1015" s="43">
        <f>H1014+Учет!C1015-C1015</f>
        <v>336855</v>
      </c>
      <c r="I1015" s="43">
        <f>I1014+Учет!D1015-D1015</f>
        <v>500</v>
      </c>
      <c r="J1015" s="43">
        <f>J1014+Учет!E1015-E1015</f>
        <v>1150</v>
      </c>
      <c r="K1015" s="43">
        <f>K1014+Учет!F1015-F1015</f>
        <v>500000</v>
      </c>
      <c r="L1015" s="45">
        <f>Учет!I1015</f>
        <v>349526.07999999996</v>
      </c>
    </row>
    <row r="1016" spans="1:12" x14ac:dyDescent="0.25">
      <c r="A1016" s="48" t="str">
        <f>IF(Учет!A1016&lt;&gt;"",Учет!A1016,"")</f>
        <v/>
      </c>
      <c r="B1016" s="52">
        <f>IF(Учет!$O1016=Справочники!$F$2,Учет!$H1016,0)</f>
        <v>0</v>
      </c>
      <c r="C1016" s="52">
        <f>IF(Учет!$O1016=Справочники!$F$3,Учет!$H1016,0)</f>
        <v>0</v>
      </c>
      <c r="D1016" s="52">
        <f>IF(Учет!$O1016=Справочники!$F$4,Учет!$H1016,0)</f>
        <v>0</v>
      </c>
      <c r="E1016" s="52">
        <f>IF(Учет!$O1016=Справочники!$F$5,Учет!$H1016,0)</f>
        <v>0</v>
      </c>
      <c r="F1016" s="52">
        <f>IF(Учет!$O1016=Справочники!$F$6,Учет!$H1016,0)</f>
        <v>0</v>
      </c>
      <c r="G1016" s="43">
        <f>G1015+Учет!B1016-B1016</f>
        <v>-488978.92000000004</v>
      </c>
      <c r="H1016" s="43">
        <f>H1015+Учет!C1016-C1016</f>
        <v>336855</v>
      </c>
      <c r="I1016" s="43">
        <f>I1015+Учет!D1016-D1016</f>
        <v>500</v>
      </c>
      <c r="J1016" s="43">
        <f>J1015+Учет!E1016-E1016</f>
        <v>1150</v>
      </c>
      <c r="K1016" s="43">
        <f>K1015+Учет!F1016-F1016</f>
        <v>500000</v>
      </c>
      <c r="L1016" s="45">
        <f>Учет!I1016</f>
        <v>349526.07999999996</v>
      </c>
    </row>
    <row r="1017" spans="1:12" x14ac:dyDescent="0.25">
      <c r="A1017" s="48" t="str">
        <f>IF(Учет!A1017&lt;&gt;"",Учет!A1017,"")</f>
        <v/>
      </c>
      <c r="B1017" s="52">
        <f>IF(Учет!$O1017=Справочники!$F$2,Учет!$H1017,0)</f>
        <v>0</v>
      </c>
      <c r="C1017" s="52">
        <f>IF(Учет!$O1017=Справочники!$F$3,Учет!$H1017,0)</f>
        <v>0</v>
      </c>
      <c r="D1017" s="52">
        <f>IF(Учет!$O1017=Справочники!$F$4,Учет!$H1017,0)</f>
        <v>0</v>
      </c>
      <c r="E1017" s="52">
        <f>IF(Учет!$O1017=Справочники!$F$5,Учет!$H1017,0)</f>
        <v>0</v>
      </c>
      <c r="F1017" s="52">
        <f>IF(Учет!$O1017=Справочники!$F$6,Учет!$H1017,0)</f>
        <v>0</v>
      </c>
      <c r="G1017" s="43">
        <f>G1016+Учет!B1017-B1017</f>
        <v>-488978.92000000004</v>
      </c>
      <c r="H1017" s="43">
        <f>H1016+Учет!C1017-C1017</f>
        <v>336855</v>
      </c>
      <c r="I1017" s="43">
        <f>I1016+Учет!D1017-D1017</f>
        <v>500</v>
      </c>
      <c r="J1017" s="43">
        <f>J1016+Учет!E1017-E1017</f>
        <v>1150</v>
      </c>
      <c r="K1017" s="43">
        <f>K1016+Учет!F1017-F1017</f>
        <v>500000</v>
      </c>
      <c r="L1017" s="45">
        <f>Учет!I1017</f>
        <v>349526.07999999996</v>
      </c>
    </row>
    <row r="1018" spans="1:12" x14ac:dyDescent="0.25">
      <c r="A1018" s="48" t="str">
        <f>IF(Учет!A1018&lt;&gt;"",Учет!A1018,"")</f>
        <v/>
      </c>
      <c r="B1018" s="52">
        <f>IF(Учет!$O1018=Справочники!$F$2,Учет!$H1018,0)</f>
        <v>0</v>
      </c>
      <c r="C1018" s="52">
        <f>IF(Учет!$O1018=Справочники!$F$3,Учет!$H1018,0)</f>
        <v>0</v>
      </c>
      <c r="D1018" s="52">
        <f>IF(Учет!$O1018=Справочники!$F$4,Учет!$H1018,0)</f>
        <v>0</v>
      </c>
      <c r="E1018" s="52">
        <f>IF(Учет!$O1018=Справочники!$F$5,Учет!$H1018,0)</f>
        <v>0</v>
      </c>
      <c r="F1018" s="52">
        <f>IF(Учет!$O1018=Справочники!$F$6,Учет!$H1018,0)</f>
        <v>0</v>
      </c>
      <c r="G1018" s="43">
        <f>G1017+Учет!B1018-B1018</f>
        <v>-488978.92000000004</v>
      </c>
      <c r="H1018" s="43">
        <f>H1017+Учет!C1018-C1018</f>
        <v>336855</v>
      </c>
      <c r="I1018" s="43">
        <f>I1017+Учет!D1018-D1018</f>
        <v>500</v>
      </c>
      <c r="J1018" s="43">
        <f>J1017+Учет!E1018-E1018</f>
        <v>1150</v>
      </c>
      <c r="K1018" s="43">
        <f>K1017+Учет!F1018-F1018</f>
        <v>500000</v>
      </c>
      <c r="L1018" s="45">
        <f>Учет!I1018</f>
        <v>349526.07999999996</v>
      </c>
    </row>
    <row r="1019" spans="1:12" x14ac:dyDescent="0.25">
      <c r="A1019" s="48" t="str">
        <f>IF(Учет!A1019&lt;&gt;"",Учет!A1019,"")</f>
        <v/>
      </c>
      <c r="B1019" s="52">
        <f>IF(Учет!$O1019=Справочники!$F$2,Учет!$H1019,0)</f>
        <v>0</v>
      </c>
      <c r="C1019" s="52">
        <f>IF(Учет!$O1019=Справочники!$F$3,Учет!$H1019,0)</f>
        <v>0</v>
      </c>
      <c r="D1019" s="52">
        <f>IF(Учет!$O1019=Справочники!$F$4,Учет!$H1019,0)</f>
        <v>0</v>
      </c>
      <c r="E1019" s="52">
        <f>IF(Учет!$O1019=Справочники!$F$5,Учет!$H1019,0)</f>
        <v>0</v>
      </c>
      <c r="F1019" s="52">
        <f>IF(Учет!$O1019=Справочники!$F$6,Учет!$H1019,0)</f>
        <v>0</v>
      </c>
      <c r="G1019" s="43">
        <f>G1018+Учет!B1019-B1019</f>
        <v>-488978.92000000004</v>
      </c>
      <c r="H1019" s="43">
        <f>H1018+Учет!C1019-C1019</f>
        <v>336855</v>
      </c>
      <c r="I1019" s="43">
        <f>I1018+Учет!D1019-D1019</f>
        <v>500</v>
      </c>
      <c r="J1019" s="43">
        <f>J1018+Учет!E1019-E1019</f>
        <v>1150</v>
      </c>
      <c r="K1019" s="43">
        <f>K1018+Учет!F1019-F1019</f>
        <v>500000</v>
      </c>
      <c r="L1019" s="45">
        <f>Учет!I1019</f>
        <v>349526.07999999996</v>
      </c>
    </row>
    <row r="1020" spans="1:12" x14ac:dyDescent="0.25">
      <c r="A1020" s="48" t="str">
        <f>IF(Учет!A1020&lt;&gt;"",Учет!A1020,"")</f>
        <v/>
      </c>
      <c r="B1020" s="52">
        <f>IF(Учет!$O1020=Справочники!$F$2,Учет!$H1020,0)</f>
        <v>0</v>
      </c>
      <c r="C1020" s="52">
        <f>IF(Учет!$O1020=Справочники!$F$3,Учет!$H1020,0)</f>
        <v>0</v>
      </c>
      <c r="D1020" s="52">
        <f>IF(Учет!$O1020=Справочники!$F$4,Учет!$H1020,0)</f>
        <v>0</v>
      </c>
      <c r="E1020" s="52">
        <f>IF(Учет!$O1020=Справочники!$F$5,Учет!$H1020,0)</f>
        <v>0</v>
      </c>
      <c r="F1020" s="52">
        <f>IF(Учет!$O1020=Справочники!$F$6,Учет!$H1020,0)</f>
        <v>0</v>
      </c>
      <c r="G1020" s="43">
        <f>G1019+Учет!B1020-B1020</f>
        <v>-488978.92000000004</v>
      </c>
      <c r="H1020" s="43">
        <f>H1019+Учет!C1020-C1020</f>
        <v>336855</v>
      </c>
      <c r="I1020" s="43">
        <f>I1019+Учет!D1020-D1020</f>
        <v>500</v>
      </c>
      <c r="J1020" s="43">
        <f>J1019+Учет!E1020-E1020</f>
        <v>1150</v>
      </c>
      <c r="K1020" s="43">
        <f>K1019+Учет!F1020-F1020</f>
        <v>500000</v>
      </c>
      <c r="L1020" s="45">
        <f>Учет!I1020</f>
        <v>349526.07999999996</v>
      </c>
    </row>
    <row r="1021" spans="1:12" x14ac:dyDescent="0.25">
      <c r="A1021" s="48" t="str">
        <f>IF(Учет!A1021&lt;&gt;"",Учет!A1021,"")</f>
        <v/>
      </c>
      <c r="B1021" s="52">
        <f>IF(Учет!$O1021=Справочники!$F$2,Учет!$H1021,0)</f>
        <v>0</v>
      </c>
      <c r="C1021" s="52">
        <f>IF(Учет!$O1021=Справочники!$F$3,Учет!$H1021,0)</f>
        <v>0</v>
      </c>
      <c r="D1021" s="52">
        <f>IF(Учет!$O1021=Справочники!$F$4,Учет!$H1021,0)</f>
        <v>0</v>
      </c>
      <c r="E1021" s="52">
        <f>IF(Учет!$O1021=Справочники!$F$5,Учет!$H1021,0)</f>
        <v>0</v>
      </c>
      <c r="F1021" s="52">
        <f>IF(Учет!$O1021=Справочники!$F$6,Учет!$H1021,0)</f>
        <v>0</v>
      </c>
      <c r="G1021" s="43">
        <f>G1020+Учет!B1021-B1021</f>
        <v>-488978.92000000004</v>
      </c>
      <c r="H1021" s="43">
        <f>H1020+Учет!C1021-C1021</f>
        <v>336855</v>
      </c>
      <c r="I1021" s="43">
        <f>I1020+Учет!D1021-D1021</f>
        <v>500</v>
      </c>
      <c r="J1021" s="43">
        <f>J1020+Учет!E1021-E1021</f>
        <v>1150</v>
      </c>
      <c r="K1021" s="43">
        <f>K1020+Учет!F1021-F1021</f>
        <v>500000</v>
      </c>
      <c r="L1021" s="45">
        <f>Учет!I1021</f>
        <v>349526.07999999996</v>
      </c>
    </row>
    <row r="1022" spans="1:12" x14ac:dyDescent="0.25">
      <c r="A1022" s="48" t="str">
        <f>IF(Учет!A1022&lt;&gt;"",Учет!A1022,"")</f>
        <v/>
      </c>
      <c r="B1022" s="52">
        <f>IF(Учет!$O1022=Справочники!$F$2,Учет!$H1022,0)</f>
        <v>0</v>
      </c>
      <c r="C1022" s="52">
        <f>IF(Учет!$O1022=Справочники!$F$3,Учет!$H1022,0)</f>
        <v>0</v>
      </c>
      <c r="D1022" s="52">
        <f>IF(Учет!$O1022=Справочники!$F$4,Учет!$H1022,0)</f>
        <v>0</v>
      </c>
      <c r="E1022" s="52">
        <f>IF(Учет!$O1022=Справочники!$F$5,Учет!$H1022,0)</f>
        <v>0</v>
      </c>
      <c r="F1022" s="52">
        <f>IF(Учет!$O1022=Справочники!$F$6,Учет!$H1022,0)</f>
        <v>0</v>
      </c>
      <c r="G1022" s="43">
        <f>G1021+Учет!B1022-B1022</f>
        <v>-488978.92000000004</v>
      </c>
      <c r="H1022" s="43">
        <f>H1021+Учет!C1022-C1022</f>
        <v>336855</v>
      </c>
      <c r="I1022" s="43">
        <f>I1021+Учет!D1022-D1022</f>
        <v>500</v>
      </c>
      <c r="J1022" s="43">
        <f>J1021+Учет!E1022-E1022</f>
        <v>1150</v>
      </c>
      <c r="K1022" s="43">
        <f>K1021+Учет!F1022-F1022</f>
        <v>500000</v>
      </c>
      <c r="L1022" s="45">
        <f>Учет!I1022</f>
        <v>349526.07999999996</v>
      </c>
    </row>
    <row r="1023" spans="1:12" x14ac:dyDescent="0.25">
      <c r="A1023" s="48" t="str">
        <f>IF(Учет!A1023&lt;&gt;"",Учет!A1023,"")</f>
        <v/>
      </c>
      <c r="B1023" s="52">
        <f>IF(Учет!$O1023=Справочники!$F$2,Учет!$H1023,0)</f>
        <v>0</v>
      </c>
      <c r="C1023" s="52">
        <f>IF(Учет!$O1023=Справочники!$F$3,Учет!$H1023,0)</f>
        <v>0</v>
      </c>
      <c r="D1023" s="52">
        <f>IF(Учет!$O1023=Справочники!$F$4,Учет!$H1023,0)</f>
        <v>0</v>
      </c>
      <c r="E1023" s="52">
        <f>IF(Учет!$O1023=Справочники!$F$5,Учет!$H1023,0)</f>
        <v>0</v>
      </c>
      <c r="F1023" s="52">
        <f>IF(Учет!$O1023=Справочники!$F$6,Учет!$H1023,0)</f>
        <v>0</v>
      </c>
      <c r="G1023" s="43">
        <f>G1022+Учет!B1023-B1023</f>
        <v>-488978.92000000004</v>
      </c>
      <c r="H1023" s="43">
        <f>H1022+Учет!C1023-C1023</f>
        <v>336855</v>
      </c>
      <c r="I1023" s="43">
        <f>I1022+Учет!D1023-D1023</f>
        <v>500</v>
      </c>
      <c r="J1023" s="43">
        <f>J1022+Учет!E1023-E1023</f>
        <v>1150</v>
      </c>
      <c r="K1023" s="43">
        <f>K1022+Учет!F1023-F1023</f>
        <v>500000</v>
      </c>
      <c r="L1023" s="45">
        <f>Учет!I1023</f>
        <v>349526.07999999996</v>
      </c>
    </row>
    <row r="1024" spans="1:12" x14ac:dyDescent="0.25">
      <c r="A1024" s="48" t="str">
        <f>IF(Учет!A1024&lt;&gt;"",Учет!A1024,"")</f>
        <v/>
      </c>
      <c r="B1024" s="52">
        <f>IF(Учет!$O1024=Справочники!$F$2,Учет!$H1024,0)</f>
        <v>0</v>
      </c>
      <c r="C1024" s="52">
        <f>IF(Учет!$O1024=Справочники!$F$3,Учет!$H1024,0)</f>
        <v>0</v>
      </c>
      <c r="D1024" s="52">
        <f>IF(Учет!$O1024=Справочники!$F$4,Учет!$H1024,0)</f>
        <v>0</v>
      </c>
      <c r="E1024" s="52">
        <f>IF(Учет!$O1024=Справочники!$F$5,Учет!$H1024,0)</f>
        <v>0</v>
      </c>
      <c r="F1024" s="52">
        <f>IF(Учет!$O1024=Справочники!$F$6,Учет!$H1024,0)</f>
        <v>0</v>
      </c>
      <c r="G1024" s="43">
        <f>G1023+Учет!B1024-B1024</f>
        <v>-488978.92000000004</v>
      </c>
      <c r="H1024" s="43">
        <f>H1023+Учет!C1024-C1024</f>
        <v>336855</v>
      </c>
      <c r="I1024" s="43">
        <f>I1023+Учет!D1024-D1024</f>
        <v>500</v>
      </c>
      <c r="J1024" s="43">
        <f>J1023+Учет!E1024-E1024</f>
        <v>1150</v>
      </c>
      <c r="K1024" s="43">
        <f>K1023+Учет!F1024-F1024</f>
        <v>500000</v>
      </c>
      <c r="L1024" s="45">
        <f>Учет!I1024</f>
        <v>349526.07999999996</v>
      </c>
    </row>
    <row r="1025" spans="1:12" x14ac:dyDescent="0.25">
      <c r="A1025" s="48" t="str">
        <f>IF(Учет!A1025&lt;&gt;"",Учет!A1025,"")</f>
        <v/>
      </c>
      <c r="B1025" s="52">
        <f>IF(Учет!$O1025=Справочники!$F$2,Учет!$H1025,0)</f>
        <v>0</v>
      </c>
      <c r="C1025" s="52">
        <f>IF(Учет!$O1025=Справочники!$F$3,Учет!$H1025,0)</f>
        <v>0</v>
      </c>
      <c r="D1025" s="52">
        <f>IF(Учет!$O1025=Справочники!$F$4,Учет!$H1025,0)</f>
        <v>0</v>
      </c>
      <c r="E1025" s="52">
        <f>IF(Учет!$O1025=Справочники!$F$5,Учет!$H1025,0)</f>
        <v>0</v>
      </c>
      <c r="F1025" s="52">
        <f>IF(Учет!$O1025=Справочники!$F$6,Учет!$H1025,0)</f>
        <v>0</v>
      </c>
      <c r="G1025" s="43">
        <f>G1024+Учет!B1025-B1025</f>
        <v>-488978.92000000004</v>
      </c>
      <c r="H1025" s="43">
        <f>H1024+Учет!C1025-C1025</f>
        <v>336855</v>
      </c>
      <c r="I1025" s="43">
        <f>I1024+Учет!D1025-D1025</f>
        <v>500</v>
      </c>
      <c r="J1025" s="43">
        <f>J1024+Учет!E1025-E1025</f>
        <v>1150</v>
      </c>
      <c r="K1025" s="43">
        <f>K1024+Учет!F1025-F1025</f>
        <v>500000</v>
      </c>
      <c r="L1025" s="45">
        <f>Учет!I1025</f>
        <v>349526.07999999996</v>
      </c>
    </row>
    <row r="1026" spans="1:12" x14ac:dyDescent="0.25">
      <c r="A1026" s="48" t="str">
        <f>IF(Учет!A1026&lt;&gt;"",Учет!A1026,"")</f>
        <v/>
      </c>
      <c r="B1026" s="52">
        <f>IF(Учет!$O1026=Справочники!$F$2,Учет!$H1026,0)</f>
        <v>0</v>
      </c>
      <c r="C1026" s="52">
        <f>IF(Учет!$O1026=Справочники!$F$3,Учет!$H1026,0)</f>
        <v>0</v>
      </c>
      <c r="D1026" s="52">
        <f>IF(Учет!$O1026=Справочники!$F$4,Учет!$H1026,0)</f>
        <v>0</v>
      </c>
      <c r="E1026" s="52">
        <f>IF(Учет!$O1026=Справочники!$F$5,Учет!$H1026,0)</f>
        <v>0</v>
      </c>
      <c r="F1026" s="52">
        <f>IF(Учет!$O1026=Справочники!$F$6,Учет!$H1026,0)</f>
        <v>0</v>
      </c>
      <c r="G1026" s="43">
        <f>G1025+Учет!B1026-B1026</f>
        <v>-488978.92000000004</v>
      </c>
      <c r="H1026" s="43">
        <f>H1025+Учет!C1026-C1026</f>
        <v>336855</v>
      </c>
      <c r="I1026" s="43">
        <f>I1025+Учет!D1026-D1026</f>
        <v>500</v>
      </c>
      <c r="J1026" s="43">
        <f>J1025+Учет!E1026-E1026</f>
        <v>1150</v>
      </c>
      <c r="K1026" s="43">
        <f>K1025+Учет!F1026-F1026</f>
        <v>500000</v>
      </c>
      <c r="L1026" s="45">
        <f>Учет!I1026</f>
        <v>349526.07999999996</v>
      </c>
    </row>
    <row r="1027" spans="1:12" x14ac:dyDescent="0.25">
      <c r="A1027" s="48" t="str">
        <f>IF(Учет!A1027&lt;&gt;"",Учет!A1027,"")</f>
        <v/>
      </c>
      <c r="B1027" s="52">
        <f>IF(Учет!$O1027=Справочники!$F$2,Учет!$H1027,0)</f>
        <v>0</v>
      </c>
      <c r="C1027" s="52">
        <f>IF(Учет!$O1027=Справочники!$F$3,Учет!$H1027,0)</f>
        <v>0</v>
      </c>
      <c r="D1027" s="52">
        <f>IF(Учет!$O1027=Справочники!$F$4,Учет!$H1027,0)</f>
        <v>0</v>
      </c>
      <c r="E1027" s="52">
        <f>IF(Учет!$O1027=Справочники!$F$5,Учет!$H1027,0)</f>
        <v>0</v>
      </c>
      <c r="F1027" s="52">
        <f>IF(Учет!$O1027=Справочники!$F$6,Учет!$H1027,0)</f>
        <v>0</v>
      </c>
      <c r="G1027" s="43">
        <f>G1026+Учет!B1027-B1027</f>
        <v>-488978.92000000004</v>
      </c>
      <c r="H1027" s="43">
        <f>H1026+Учет!C1027-C1027</f>
        <v>336855</v>
      </c>
      <c r="I1027" s="43">
        <f>I1026+Учет!D1027-D1027</f>
        <v>500</v>
      </c>
      <c r="J1027" s="43">
        <f>J1026+Учет!E1027-E1027</f>
        <v>1150</v>
      </c>
      <c r="K1027" s="43">
        <f>K1026+Учет!F1027-F1027</f>
        <v>500000</v>
      </c>
      <c r="L1027" s="45">
        <f>Учет!I1027</f>
        <v>349526.07999999996</v>
      </c>
    </row>
    <row r="1028" spans="1:12" x14ac:dyDescent="0.25">
      <c r="A1028" s="48" t="str">
        <f>IF(Учет!A1028&lt;&gt;"",Учет!A1028,"")</f>
        <v/>
      </c>
      <c r="B1028" s="52">
        <f>IF(Учет!$O1028=Справочники!$F$2,Учет!$H1028,0)</f>
        <v>0</v>
      </c>
      <c r="C1028" s="52">
        <f>IF(Учет!$O1028=Справочники!$F$3,Учет!$H1028,0)</f>
        <v>0</v>
      </c>
      <c r="D1028" s="52">
        <f>IF(Учет!$O1028=Справочники!$F$4,Учет!$H1028,0)</f>
        <v>0</v>
      </c>
      <c r="E1028" s="52">
        <f>IF(Учет!$O1028=Справочники!$F$5,Учет!$H1028,0)</f>
        <v>0</v>
      </c>
      <c r="F1028" s="52">
        <f>IF(Учет!$O1028=Справочники!$F$6,Учет!$H1028,0)</f>
        <v>0</v>
      </c>
      <c r="G1028" s="43">
        <f>G1027+Учет!B1028-B1028</f>
        <v>-488978.92000000004</v>
      </c>
      <c r="H1028" s="43">
        <f>H1027+Учет!C1028-C1028</f>
        <v>336855</v>
      </c>
      <c r="I1028" s="43">
        <f>I1027+Учет!D1028-D1028</f>
        <v>500</v>
      </c>
      <c r="J1028" s="43">
        <f>J1027+Учет!E1028-E1028</f>
        <v>1150</v>
      </c>
      <c r="K1028" s="43">
        <f>K1027+Учет!F1028-F1028</f>
        <v>500000</v>
      </c>
      <c r="L1028" s="45">
        <f>Учет!I1028</f>
        <v>349526.07999999996</v>
      </c>
    </row>
    <row r="1029" spans="1:12" x14ac:dyDescent="0.25">
      <c r="A1029" s="48" t="str">
        <f>IF(Учет!A1029&lt;&gt;"",Учет!A1029,"")</f>
        <v/>
      </c>
      <c r="B1029" s="52">
        <f>IF(Учет!$O1029=Справочники!$F$2,Учет!$H1029,0)</f>
        <v>0</v>
      </c>
      <c r="C1029" s="52">
        <f>IF(Учет!$O1029=Справочники!$F$3,Учет!$H1029,0)</f>
        <v>0</v>
      </c>
      <c r="D1029" s="52">
        <f>IF(Учет!$O1029=Справочники!$F$4,Учет!$H1029,0)</f>
        <v>0</v>
      </c>
      <c r="E1029" s="52">
        <f>IF(Учет!$O1029=Справочники!$F$5,Учет!$H1029,0)</f>
        <v>0</v>
      </c>
      <c r="F1029" s="52">
        <f>IF(Учет!$O1029=Справочники!$F$6,Учет!$H1029,0)</f>
        <v>0</v>
      </c>
      <c r="G1029" s="43">
        <f>G1028+Учет!B1029-B1029</f>
        <v>-488978.92000000004</v>
      </c>
      <c r="H1029" s="43">
        <f>H1028+Учет!C1029-C1029</f>
        <v>336855</v>
      </c>
      <c r="I1029" s="43">
        <f>I1028+Учет!D1029-D1029</f>
        <v>500</v>
      </c>
      <c r="J1029" s="43">
        <f>J1028+Учет!E1029-E1029</f>
        <v>1150</v>
      </c>
      <c r="K1029" s="43">
        <f>K1028+Учет!F1029-F1029</f>
        <v>500000</v>
      </c>
      <c r="L1029" s="45">
        <f>Учет!I1029</f>
        <v>349526.07999999996</v>
      </c>
    </row>
    <row r="1030" spans="1:12" x14ac:dyDescent="0.25">
      <c r="A1030" s="48" t="str">
        <f>IF(Учет!A1030&lt;&gt;"",Учет!A1030,"")</f>
        <v/>
      </c>
      <c r="B1030" s="52">
        <f>IF(Учет!$O1030=Справочники!$F$2,Учет!$H1030,0)</f>
        <v>0</v>
      </c>
      <c r="C1030" s="52">
        <f>IF(Учет!$O1030=Справочники!$F$3,Учет!$H1030,0)</f>
        <v>0</v>
      </c>
      <c r="D1030" s="52">
        <f>IF(Учет!$O1030=Справочники!$F$4,Учет!$H1030,0)</f>
        <v>0</v>
      </c>
      <c r="E1030" s="52">
        <f>IF(Учет!$O1030=Справочники!$F$5,Учет!$H1030,0)</f>
        <v>0</v>
      </c>
      <c r="F1030" s="52">
        <f>IF(Учет!$O1030=Справочники!$F$6,Учет!$H1030,0)</f>
        <v>0</v>
      </c>
      <c r="G1030" s="43">
        <f>G1029+Учет!B1030-B1030</f>
        <v>-488978.92000000004</v>
      </c>
      <c r="H1030" s="43">
        <f>H1029+Учет!C1030-C1030</f>
        <v>336855</v>
      </c>
      <c r="I1030" s="43">
        <f>I1029+Учет!D1030-D1030</f>
        <v>500</v>
      </c>
      <c r="J1030" s="43">
        <f>J1029+Учет!E1030-E1030</f>
        <v>1150</v>
      </c>
      <c r="K1030" s="43">
        <f>K1029+Учет!F1030-F1030</f>
        <v>500000</v>
      </c>
      <c r="L1030" s="45">
        <f>Учет!I1030</f>
        <v>349526.07999999996</v>
      </c>
    </row>
    <row r="1031" spans="1:12" x14ac:dyDescent="0.25">
      <c r="A1031" s="48" t="str">
        <f>IF(Учет!A1031&lt;&gt;"",Учет!A1031,"")</f>
        <v/>
      </c>
      <c r="B1031" s="52">
        <f>IF(Учет!$O1031=Справочники!$F$2,Учет!$H1031,0)</f>
        <v>0</v>
      </c>
      <c r="C1031" s="52">
        <f>IF(Учет!$O1031=Справочники!$F$3,Учет!$H1031,0)</f>
        <v>0</v>
      </c>
      <c r="D1031" s="52">
        <f>IF(Учет!$O1031=Справочники!$F$4,Учет!$H1031,0)</f>
        <v>0</v>
      </c>
      <c r="E1031" s="52">
        <f>IF(Учет!$O1031=Справочники!$F$5,Учет!$H1031,0)</f>
        <v>0</v>
      </c>
      <c r="F1031" s="52">
        <f>IF(Учет!$O1031=Справочники!$F$6,Учет!$H1031,0)</f>
        <v>0</v>
      </c>
      <c r="G1031" s="43">
        <f>G1030+Учет!B1031-B1031</f>
        <v>-488978.92000000004</v>
      </c>
      <c r="H1031" s="43">
        <f>H1030+Учет!C1031-C1031</f>
        <v>336855</v>
      </c>
      <c r="I1031" s="43">
        <f>I1030+Учет!D1031-D1031</f>
        <v>500</v>
      </c>
      <c r="J1031" s="43">
        <f>J1030+Учет!E1031-E1031</f>
        <v>1150</v>
      </c>
      <c r="K1031" s="43">
        <f>K1030+Учет!F1031-F1031</f>
        <v>500000</v>
      </c>
      <c r="L1031" s="45">
        <f>Учет!I1031</f>
        <v>349526.07999999996</v>
      </c>
    </row>
    <row r="1032" spans="1:12" x14ac:dyDescent="0.25">
      <c r="A1032" s="48" t="str">
        <f>IF(Учет!A1032&lt;&gt;"",Учет!A1032,"")</f>
        <v/>
      </c>
      <c r="B1032" s="52">
        <f>IF(Учет!$O1032=Справочники!$F$2,Учет!$H1032,0)</f>
        <v>0</v>
      </c>
      <c r="C1032" s="52">
        <f>IF(Учет!$O1032=Справочники!$F$3,Учет!$H1032,0)</f>
        <v>0</v>
      </c>
      <c r="D1032" s="52">
        <f>IF(Учет!$O1032=Справочники!$F$4,Учет!$H1032,0)</f>
        <v>0</v>
      </c>
      <c r="E1032" s="52">
        <f>IF(Учет!$O1032=Справочники!$F$5,Учет!$H1032,0)</f>
        <v>0</v>
      </c>
      <c r="F1032" s="52">
        <f>IF(Учет!$O1032=Справочники!$F$6,Учет!$H1032,0)</f>
        <v>0</v>
      </c>
      <c r="G1032" s="43">
        <f>G1031+Учет!B1032-B1032</f>
        <v>-488978.92000000004</v>
      </c>
      <c r="H1032" s="43">
        <f>H1031+Учет!C1032-C1032</f>
        <v>336855</v>
      </c>
      <c r="I1032" s="43">
        <f>I1031+Учет!D1032-D1032</f>
        <v>500</v>
      </c>
      <c r="J1032" s="43">
        <f>J1031+Учет!E1032-E1032</f>
        <v>1150</v>
      </c>
      <c r="K1032" s="43">
        <f>K1031+Учет!F1032-F1032</f>
        <v>500000</v>
      </c>
      <c r="L1032" s="45">
        <f>Учет!I1032</f>
        <v>349526.07999999996</v>
      </c>
    </row>
    <row r="1033" spans="1:12" x14ac:dyDescent="0.25">
      <c r="A1033" s="48" t="str">
        <f>IF(Учет!A1033&lt;&gt;"",Учет!A1033,"")</f>
        <v/>
      </c>
      <c r="B1033" s="52">
        <f>IF(Учет!$O1033=Справочники!$F$2,Учет!$H1033,0)</f>
        <v>0</v>
      </c>
      <c r="C1033" s="52">
        <f>IF(Учет!$O1033=Справочники!$F$3,Учет!$H1033,0)</f>
        <v>0</v>
      </c>
      <c r="D1033" s="52">
        <f>IF(Учет!$O1033=Справочники!$F$4,Учет!$H1033,0)</f>
        <v>0</v>
      </c>
      <c r="E1033" s="52">
        <f>IF(Учет!$O1033=Справочники!$F$5,Учет!$H1033,0)</f>
        <v>0</v>
      </c>
      <c r="F1033" s="52">
        <f>IF(Учет!$O1033=Справочники!$F$6,Учет!$H1033,0)</f>
        <v>0</v>
      </c>
      <c r="G1033" s="43">
        <f>G1032+Учет!B1033-B1033</f>
        <v>-488978.92000000004</v>
      </c>
      <c r="H1033" s="43">
        <f>H1032+Учет!C1033-C1033</f>
        <v>336855</v>
      </c>
      <c r="I1033" s="43">
        <f>I1032+Учет!D1033-D1033</f>
        <v>500</v>
      </c>
      <c r="J1033" s="43">
        <f>J1032+Учет!E1033-E1033</f>
        <v>1150</v>
      </c>
      <c r="K1033" s="43">
        <f>K1032+Учет!F1033-F1033</f>
        <v>500000</v>
      </c>
      <c r="L1033" s="45">
        <f>Учет!I1033</f>
        <v>349526.07999999996</v>
      </c>
    </row>
    <row r="1034" spans="1:12" x14ac:dyDescent="0.25">
      <c r="A1034" s="48" t="str">
        <f>IF(Учет!A1034&lt;&gt;"",Учет!A1034,"")</f>
        <v/>
      </c>
      <c r="B1034" s="52">
        <f>IF(Учет!$O1034=Справочники!$F$2,Учет!$H1034,0)</f>
        <v>0</v>
      </c>
      <c r="C1034" s="52">
        <f>IF(Учет!$O1034=Справочники!$F$3,Учет!$H1034,0)</f>
        <v>0</v>
      </c>
      <c r="D1034" s="52">
        <f>IF(Учет!$O1034=Справочники!$F$4,Учет!$H1034,0)</f>
        <v>0</v>
      </c>
      <c r="E1034" s="52">
        <f>IF(Учет!$O1034=Справочники!$F$5,Учет!$H1034,0)</f>
        <v>0</v>
      </c>
      <c r="F1034" s="52">
        <f>IF(Учет!$O1034=Справочники!$F$6,Учет!$H1034,0)</f>
        <v>0</v>
      </c>
      <c r="G1034" s="43">
        <f>G1033+Учет!B1034-B1034</f>
        <v>-488978.92000000004</v>
      </c>
      <c r="H1034" s="43">
        <f>H1033+Учет!C1034-C1034</f>
        <v>336855</v>
      </c>
      <c r="I1034" s="43">
        <f>I1033+Учет!D1034-D1034</f>
        <v>500</v>
      </c>
      <c r="J1034" s="43">
        <f>J1033+Учет!E1034-E1034</f>
        <v>1150</v>
      </c>
      <c r="K1034" s="43">
        <f>K1033+Учет!F1034-F1034</f>
        <v>500000</v>
      </c>
      <c r="L1034" s="45">
        <f>Учет!I1034</f>
        <v>349526.07999999996</v>
      </c>
    </row>
    <row r="1035" spans="1:12" x14ac:dyDescent="0.25">
      <c r="A1035" s="48" t="str">
        <f>IF(Учет!A1035&lt;&gt;"",Учет!A1035,"")</f>
        <v/>
      </c>
      <c r="B1035" s="52">
        <f>IF(Учет!$O1035=Справочники!$F$2,Учет!$H1035,0)</f>
        <v>0</v>
      </c>
      <c r="C1035" s="52">
        <f>IF(Учет!$O1035=Справочники!$F$3,Учет!$H1035,0)</f>
        <v>0</v>
      </c>
      <c r="D1035" s="52">
        <f>IF(Учет!$O1035=Справочники!$F$4,Учет!$H1035,0)</f>
        <v>0</v>
      </c>
      <c r="E1035" s="52">
        <f>IF(Учет!$O1035=Справочники!$F$5,Учет!$H1035,0)</f>
        <v>0</v>
      </c>
      <c r="F1035" s="52">
        <f>IF(Учет!$O1035=Справочники!$F$6,Учет!$H1035,0)</f>
        <v>0</v>
      </c>
      <c r="G1035" s="43">
        <f>G1034+Учет!B1035-B1035</f>
        <v>-488978.92000000004</v>
      </c>
      <c r="H1035" s="43">
        <f>H1034+Учет!C1035-C1035</f>
        <v>336855</v>
      </c>
      <c r="I1035" s="43">
        <f>I1034+Учет!D1035-D1035</f>
        <v>500</v>
      </c>
      <c r="J1035" s="43">
        <f>J1034+Учет!E1035-E1035</f>
        <v>1150</v>
      </c>
      <c r="K1035" s="43">
        <f>K1034+Учет!F1035-F1035</f>
        <v>500000</v>
      </c>
      <c r="L1035" s="45">
        <f>Учет!I1035</f>
        <v>349526.07999999996</v>
      </c>
    </row>
    <row r="1036" spans="1:12" x14ac:dyDescent="0.25">
      <c r="A1036" s="48" t="str">
        <f>IF(Учет!A1036&lt;&gt;"",Учет!A1036,"")</f>
        <v/>
      </c>
      <c r="B1036" s="52">
        <f>IF(Учет!$O1036=Справочники!$F$2,Учет!$H1036,0)</f>
        <v>0</v>
      </c>
      <c r="C1036" s="52">
        <f>IF(Учет!$O1036=Справочники!$F$3,Учет!$H1036,0)</f>
        <v>0</v>
      </c>
      <c r="D1036" s="52">
        <f>IF(Учет!$O1036=Справочники!$F$4,Учет!$H1036,0)</f>
        <v>0</v>
      </c>
      <c r="E1036" s="52">
        <f>IF(Учет!$O1036=Справочники!$F$5,Учет!$H1036,0)</f>
        <v>0</v>
      </c>
      <c r="F1036" s="52">
        <f>IF(Учет!$O1036=Справочники!$F$6,Учет!$H1036,0)</f>
        <v>0</v>
      </c>
      <c r="G1036" s="43">
        <f>G1035+Учет!B1036-B1036</f>
        <v>-488978.92000000004</v>
      </c>
      <c r="H1036" s="43">
        <f>H1035+Учет!C1036-C1036</f>
        <v>336855</v>
      </c>
      <c r="I1036" s="43">
        <f>I1035+Учет!D1036-D1036</f>
        <v>500</v>
      </c>
      <c r="J1036" s="43">
        <f>J1035+Учет!E1036-E1036</f>
        <v>1150</v>
      </c>
      <c r="K1036" s="43">
        <f>K1035+Учет!F1036-F1036</f>
        <v>500000</v>
      </c>
      <c r="L1036" s="45">
        <f>Учет!I1036</f>
        <v>349526.07999999996</v>
      </c>
    </row>
    <row r="1037" spans="1:12" x14ac:dyDescent="0.25">
      <c r="A1037" s="48" t="str">
        <f>IF(Учет!A1037&lt;&gt;"",Учет!A1037,"")</f>
        <v/>
      </c>
      <c r="B1037" s="52">
        <f>IF(Учет!$O1037=Справочники!$F$2,Учет!$H1037,0)</f>
        <v>0</v>
      </c>
      <c r="C1037" s="52">
        <f>IF(Учет!$O1037=Справочники!$F$3,Учет!$H1037,0)</f>
        <v>0</v>
      </c>
      <c r="D1037" s="52">
        <f>IF(Учет!$O1037=Справочники!$F$4,Учет!$H1037,0)</f>
        <v>0</v>
      </c>
      <c r="E1037" s="52">
        <f>IF(Учет!$O1037=Справочники!$F$5,Учет!$H1037,0)</f>
        <v>0</v>
      </c>
      <c r="F1037" s="52">
        <f>IF(Учет!$O1037=Справочники!$F$6,Учет!$H1037,0)</f>
        <v>0</v>
      </c>
      <c r="G1037" s="43">
        <f>G1036+Учет!B1037-B1037</f>
        <v>-488978.92000000004</v>
      </c>
      <c r="H1037" s="43">
        <f>H1036+Учет!C1037-C1037</f>
        <v>336855</v>
      </c>
      <c r="I1037" s="43">
        <f>I1036+Учет!D1037-D1037</f>
        <v>500</v>
      </c>
      <c r="J1037" s="43">
        <f>J1036+Учет!E1037-E1037</f>
        <v>1150</v>
      </c>
      <c r="K1037" s="43">
        <f>K1036+Учет!F1037-F1037</f>
        <v>500000</v>
      </c>
      <c r="L1037" s="45">
        <f>Учет!I1037</f>
        <v>349526.07999999996</v>
      </c>
    </row>
    <row r="1038" spans="1:12" x14ac:dyDescent="0.25">
      <c r="A1038" s="48" t="str">
        <f>IF(Учет!A1038&lt;&gt;"",Учет!A1038,"")</f>
        <v/>
      </c>
      <c r="B1038" s="52">
        <f>IF(Учет!$O1038=Справочники!$F$2,Учет!$H1038,0)</f>
        <v>0</v>
      </c>
      <c r="C1038" s="52">
        <f>IF(Учет!$O1038=Справочники!$F$3,Учет!$H1038,0)</f>
        <v>0</v>
      </c>
      <c r="D1038" s="52">
        <f>IF(Учет!$O1038=Справочники!$F$4,Учет!$H1038,0)</f>
        <v>0</v>
      </c>
      <c r="E1038" s="52">
        <f>IF(Учет!$O1038=Справочники!$F$5,Учет!$H1038,0)</f>
        <v>0</v>
      </c>
      <c r="F1038" s="52">
        <f>IF(Учет!$O1038=Справочники!$F$6,Учет!$H1038,0)</f>
        <v>0</v>
      </c>
      <c r="G1038" s="43">
        <f>G1037+Учет!B1038-B1038</f>
        <v>-488978.92000000004</v>
      </c>
      <c r="H1038" s="43">
        <f>H1037+Учет!C1038-C1038</f>
        <v>336855</v>
      </c>
      <c r="I1038" s="43">
        <f>I1037+Учет!D1038-D1038</f>
        <v>500</v>
      </c>
      <c r="J1038" s="43">
        <f>J1037+Учет!E1038-E1038</f>
        <v>1150</v>
      </c>
      <c r="K1038" s="43">
        <f>K1037+Учет!F1038-F1038</f>
        <v>500000</v>
      </c>
      <c r="L1038" s="45">
        <f>Учет!I1038</f>
        <v>349526.07999999996</v>
      </c>
    </row>
    <row r="1039" spans="1:12" x14ac:dyDescent="0.25">
      <c r="A1039" s="48" t="str">
        <f>IF(Учет!A1039&lt;&gt;"",Учет!A1039,"")</f>
        <v/>
      </c>
      <c r="B1039" s="52">
        <f>IF(Учет!$O1039=Справочники!$F$2,Учет!$H1039,0)</f>
        <v>0</v>
      </c>
      <c r="C1039" s="52">
        <f>IF(Учет!$O1039=Справочники!$F$3,Учет!$H1039,0)</f>
        <v>0</v>
      </c>
      <c r="D1039" s="52">
        <f>IF(Учет!$O1039=Справочники!$F$4,Учет!$H1039,0)</f>
        <v>0</v>
      </c>
      <c r="E1039" s="52">
        <f>IF(Учет!$O1039=Справочники!$F$5,Учет!$H1039,0)</f>
        <v>0</v>
      </c>
      <c r="F1039" s="52">
        <f>IF(Учет!$O1039=Справочники!$F$6,Учет!$H1039,0)</f>
        <v>0</v>
      </c>
      <c r="G1039" s="43">
        <f>G1038+Учет!B1039-B1039</f>
        <v>-488978.92000000004</v>
      </c>
      <c r="H1039" s="43">
        <f>H1038+Учет!C1039-C1039</f>
        <v>336855</v>
      </c>
      <c r="I1039" s="43">
        <f>I1038+Учет!D1039-D1039</f>
        <v>500</v>
      </c>
      <c r="J1039" s="43">
        <f>J1038+Учет!E1039-E1039</f>
        <v>1150</v>
      </c>
      <c r="K1039" s="43">
        <f>K1038+Учет!F1039-F1039</f>
        <v>500000</v>
      </c>
      <c r="L1039" s="45">
        <f>Учет!I1039</f>
        <v>349526.07999999996</v>
      </c>
    </row>
    <row r="1040" spans="1:12" x14ac:dyDescent="0.25">
      <c r="A1040" s="48" t="str">
        <f>IF(Учет!A1040&lt;&gt;"",Учет!A1040,"")</f>
        <v/>
      </c>
      <c r="B1040" s="52">
        <f>IF(Учет!$O1040=Справочники!$F$2,Учет!$H1040,0)</f>
        <v>0</v>
      </c>
      <c r="C1040" s="52">
        <f>IF(Учет!$O1040=Справочники!$F$3,Учет!$H1040,0)</f>
        <v>0</v>
      </c>
      <c r="D1040" s="52">
        <f>IF(Учет!$O1040=Справочники!$F$4,Учет!$H1040,0)</f>
        <v>0</v>
      </c>
      <c r="E1040" s="52">
        <f>IF(Учет!$O1040=Справочники!$F$5,Учет!$H1040,0)</f>
        <v>0</v>
      </c>
      <c r="F1040" s="52">
        <f>IF(Учет!$O1040=Справочники!$F$6,Учет!$H1040,0)</f>
        <v>0</v>
      </c>
      <c r="G1040" s="43">
        <f>G1039+Учет!B1040-B1040</f>
        <v>-488978.92000000004</v>
      </c>
      <c r="H1040" s="43">
        <f>H1039+Учет!C1040-C1040</f>
        <v>336855</v>
      </c>
      <c r="I1040" s="43">
        <f>I1039+Учет!D1040-D1040</f>
        <v>500</v>
      </c>
      <c r="J1040" s="43">
        <f>J1039+Учет!E1040-E1040</f>
        <v>1150</v>
      </c>
      <c r="K1040" s="43">
        <f>K1039+Учет!F1040-F1040</f>
        <v>500000</v>
      </c>
      <c r="L1040" s="45">
        <f>Учет!I1040</f>
        <v>349526.07999999996</v>
      </c>
    </row>
    <row r="1041" spans="1:12" x14ac:dyDescent="0.25">
      <c r="A1041" s="48" t="str">
        <f>IF(Учет!A1041&lt;&gt;"",Учет!A1041,"")</f>
        <v/>
      </c>
      <c r="B1041" s="52">
        <f>IF(Учет!$O1041=Справочники!$F$2,Учет!$H1041,0)</f>
        <v>0</v>
      </c>
      <c r="C1041" s="52">
        <f>IF(Учет!$O1041=Справочники!$F$3,Учет!$H1041,0)</f>
        <v>0</v>
      </c>
      <c r="D1041" s="52">
        <f>IF(Учет!$O1041=Справочники!$F$4,Учет!$H1041,0)</f>
        <v>0</v>
      </c>
      <c r="E1041" s="52">
        <f>IF(Учет!$O1041=Справочники!$F$5,Учет!$H1041,0)</f>
        <v>0</v>
      </c>
      <c r="F1041" s="52">
        <f>IF(Учет!$O1041=Справочники!$F$6,Учет!$H1041,0)</f>
        <v>0</v>
      </c>
      <c r="G1041" s="43">
        <f>G1040+Учет!B1041-B1041</f>
        <v>-488978.92000000004</v>
      </c>
      <c r="H1041" s="43">
        <f>H1040+Учет!C1041-C1041</f>
        <v>336855</v>
      </c>
      <c r="I1041" s="43">
        <f>I1040+Учет!D1041-D1041</f>
        <v>500</v>
      </c>
      <c r="J1041" s="43">
        <f>J1040+Учет!E1041-E1041</f>
        <v>1150</v>
      </c>
      <c r="K1041" s="43">
        <f>K1040+Учет!F1041-F1041</f>
        <v>500000</v>
      </c>
      <c r="L1041" s="45">
        <f>Учет!I1041</f>
        <v>349526.07999999996</v>
      </c>
    </row>
    <row r="1042" spans="1:12" x14ac:dyDescent="0.25">
      <c r="A1042" s="48" t="str">
        <f>IF(Учет!A1042&lt;&gt;"",Учет!A1042,"")</f>
        <v/>
      </c>
      <c r="B1042" s="52">
        <f>IF(Учет!$O1042=Справочники!$F$2,Учет!$H1042,0)</f>
        <v>0</v>
      </c>
      <c r="C1042" s="52">
        <f>IF(Учет!$O1042=Справочники!$F$3,Учет!$H1042,0)</f>
        <v>0</v>
      </c>
      <c r="D1042" s="52">
        <f>IF(Учет!$O1042=Справочники!$F$4,Учет!$H1042,0)</f>
        <v>0</v>
      </c>
      <c r="E1042" s="52">
        <f>IF(Учет!$O1042=Справочники!$F$5,Учет!$H1042,0)</f>
        <v>0</v>
      </c>
      <c r="F1042" s="52">
        <f>IF(Учет!$O1042=Справочники!$F$6,Учет!$H1042,0)</f>
        <v>0</v>
      </c>
      <c r="G1042" s="43">
        <f>G1041+Учет!B1042-B1042</f>
        <v>-488978.92000000004</v>
      </c>
      <c r="H1042" s="43">
        <f>H1041+Учет!C1042-C1042</f>
        <v>336855</v>
      </c>
      <c r="I1042" s="43">
        <f>I1041+Учет!D1042-D1042</f>
        <v>500</v>
      </c>
      <c r="J1042" s="43">
        <f>J1041+Учет!E1042-E1042</f>
        <v>1150</v>
      </c>
      <c r="K1042" s="43">
        <f>K1041+Учет!F1042-F1042</f>
        <v>500000</v>
      </c>
      <c r="L1042" s="45">
        <f>Учет!I1042</f>
        <v>349526.07999999996</v>
      </c>
    </row>
    <row r="1043" spans="1:12" x14ac:dyDescent="0.25">
      <c r="A1043" s="48" t="str">
        <f>IF(Учет!A1043&lt;&gt;"",Учет!A1043,"")</f>
        <v/>
      </c>
      <c r="B1043" s="52">
        <f>IF(Учет!$O1043=Справочники!$F$2,Учет!$H1043,0)</f>
        <v>0</v>
      </c>
      <c r="C1043" s="52">
        <f>IF(Учет!$O1043=Справочники!$F$3,Учет!$H1043,0)</f>
        <v>0</v>
      </c>
      <c r="D1043" s="52">
        <f>IF(Учет!$O1043=Справочники!$F$4,Учет!$H1043,0)</f>
        <v>0</v>
      </c>
      <c r="E1043" s="52">
        <f>IF(Учет!$O1043=Справочники!$F$5,Учет!$H1043,0)</f>
        <v>0</v>
      </c>
      <c r="F1043" s="52">
        <f>IF(Учет!$O1043=Справочники!$F$6,Учет!$H1043,0)</f>
        <v>0</v>
      </c>
      <c r="G1043" s="43">
        <f>G1042+Учет!B1043-B1043</f>
        <v>-488978.92000000004</v>
      </c>
      <c r="H1043" s="43">
        <f>H1042+Учет!C1043-C1043</f>
        <v>336855</v>
      </c>
      <c r="I1043" s="43">
        <f>I1042+Учет!D1043-D1043</f>
        <v>500</v>
      </c>
      <c r="J1043" s="43">
        <f>J1042+Учет!E1043-E1043</f>
        <v>1150</v>
      </c>
      <c r="K1043" s="43">
        <f>K1042+Учет!F1043-F1043</f>
        <v>500000</v>
      </c>
      <c r="L1043" s="45">
        <f>Учет!I1043</f>
        <v>349526.07999999996</v>
      </c>
    </row>
    <row r="1044" spans="1:12" x14ac:dyDescent="0.25">
      <c r="A1044" s="48" t="str">
        <f>IF(Учет!A1044&lt;&gt;"",Учет!A1044,"")</f>
        <v/>
      </c>
      <c r="B1044" s="52">
        <f>IF(Учет!$O1044=Справочники!$F$2,Учет!$H1044,0)</f>
        <v>0</v>
      </c>
      <c r="C1044" s="52">
        <f>IF(Учет!$O1044=Справочники!$F$3,Учет!$H1044,0)</f>
        <v>0</v>
      </c>
      <c r="D1044" s="52">
        <f>IF(Учет!$O1044=Справочники!$F$4,Учет!$H1044,0)</f>
        <v>0</v>
      </c>
      <c r="E1044" s="52">
        <f>IF(Учет!$O1044=Справочники!$F$5,Учет!$H1044,0)</f>
        <v>0</v>
      </c>
      <c r="F1044" s="52">
        <f>IF(Учет!$O1044=Справочники!$F$6,Учет!$H1044,0)</f>
        <v>0</v>
      </c>
      <c r="G1044" s="43">
        <f>G1043+Учет!B1044-B1044</f>
        <v>-488978.92000000004</v>
      </c>
      <c r="H1044" s="43">
        <f>H1043+Учет!C1044-C1044</f>
        <v>336855</v>
      </c>
      <c r="I1044" s="43">
        <f>I1043+Учет!D1044-D1044</f>
        <v>500</v>
      </c>
      <c r="J1044" s="43">
        <f>J1043+Учет!E1044-E1044</f>
        <v>1150</v>
      </c>
      <c r="K1044" s="43">
        <f>K1043+Учет!F1044-F1044</f>
        <v>500000</v>
      </c>
      <c r="L1044" s="45">
        <f>Учет!I1044</f>
        <v>349526.07999999996</v>
      </c>
    </row>
    <row r="1045" spans="1:12" x14ac:dyDescent="0.25">
      <c r="A1045" s="48" t="str">
        <f>IF(Учет!A1045&lt;&gt;"",Учет!A1045,"")</f>
        <v/>
      </c>
      <c r="B1045" s="52">
        <f>IF(Учет!$O1045=Справочники!$F$2,Учет!$H1045,0)</f>
        <v>0</v>
      </c>
      <c r="C1045" s="52">
        <f>IF(Учет!$O1045=Справочники!$F$3,Учет!$H1045,0)</f>
        <v>0</v>
      </c>
      <c r="D1045" s="52">
        <f>IF(Учет!$O1045=Справочники!$F$4,Учет!$H1045,0)</f>
        <v>0</v>
      </c>
      <c r="E1045" s="52">
        <f>IF(Учет!$O1045=Справочники!$F$5,Учет!$H1045,0)</f>
        <v>0</v>
      </c>
      <c r="F1045" s="52">
        <f>IF(Учет!$O1045=Справочники!$F$6,Учет!$H1045,0)</f>
        <v>0</v>
      </c>
      <c r="G1045" s="43">
        <f>G1044+Учет!B1045-B1045</f>
        <v>-488978.92000000004</v>
      </c>
      <c r="H1045" s="43">
        <f>H1044+Учет!C1045-C1045</f>
        <v>336855</v>
      </c>
      <c r="I1045" s="43">
        <f>I1044+Учет!D1045-D1045</f>
        <v>500</v>
      </c>
      <c r="J1045" s="43">
        <f>J1044+Учет!E1045-E1045</f>
        <v>1150</v>
      </c>
      <c r="K1045" s="43">
        <f>K1044+Учет!F1045-F1045</f>
        <v>500000</v>
      </c>
      <c r="L1045" s="45">
        <f>Учет!I1045</f>
        <v>349526.07999999996</v>
      </c>
    </row>
    <row r="1046" spans="1:12" x14ac:dyDescent="0.25">
      <c r="A1046" s="48" t="str">
        <f>IF(Учет!A1046&lt;&gt;"",Учет!A1046,"")</f>
        <v/>
      </c>
      <c r="B1046" s="52">
        <f>IF(Учет!$O1046=Справочники!$F$2,Учет!$H1046,0)</f>
        <v>0</v>
      </c>
      <c r="C1046" s="52">
        <f>IF(Учет!$O1046=Справочники!$F$3,Учет!$H1046,0)</f>
        <v>0</v>
      </c>
      <c r="D1046" s="52">
        <f>IF(Учет!$O1046=Справочники!$F$4,Учет!$H1046,0)</f>
        <v>0</v>
      </c>
      <c r="E1046" s="52">
        <f>IF(Учет!$O1046=Справочники!$F$5,Учет!$H1046,0)</f>
        <v>0</v>
      </c>
      <c r="F1046" s="52">
        <f>IF(Учет!$O1046=Справочники!$F$6,Учет!$H1046,0)</f>
        <v>0</v>
      </c>
      <c r="G1046" s="43">
        <f>G1045+Учет!B1046-B1046</f>
        <v>-488978.92000000004</v>
      </c>
      <c r="H1046" s="43">
        <f>H1045+Учет!C1046-C1046</f>
        <v>336855</v>
      </c>
      <c r="I1046" s="43">
        <f>I1045+Учет!D1046-D1046</f>
        <v>500</v>
      </c>
      <c r="J1046" s="43">
        <f>J1045+Учет!E1046-E1046</f>
        <v>1150</v>
      </c>
      <c r="K1046" s="43">
        <f>K1045+Учет!F1046-F1046</f>
        <v>500000</v>
      </c>
      <c r="L1046" s="45">
        <f>Учет!I1046</f>
        <v>349526.07999999996</v>
      </c>
    </row>
    <row r="1047" spans="1:12" x14ac:dyDescent="0.25">
      <c r="A1047" s="48" t="str">
        <f>IF(Учет!A1047&lt;&gt;"",Учет!A1047,"")</f>
        <v/>
      </c>
      <c r="B1047" s="52">
        <f>IF(Учет!$O1047=Справочники!$F$2,Учет!$H1047,0)</f>
        <v>0</v>
      </c>
      <c r="C1047" s="52">
        <f>IF(Учет!$O1047=Справочники!$F$3,Учет!$H1047,0)</f>
        <v>0</v>
      </c>
      <c r="D1047" s="52">
        <f>IF(Учет!$O1047=Справочники!$F$4,Учет!$H1047,0)</f>
        <v>0</v>
      </c>
      <c r="E1047" s="52">
        <f>IF(Учет!$O1047=Справочники!$F$5,Учет!$H1047,0)</f>
        <v>0</v>
      </c>
      <c r="F1047" s="52">
        <f>IF(Учет!$O1047=Справочники!$F$6,Учет!$H1047,0)</f>
        <v>0</v>
      </c>
      <c r="G1047" s="43">
        <f>G1046+Учет!B1047-B1047</f>
        <v>-488978.92000000004</v>
      </c>
      <c r="H1047" s="43">
        <f>H1046+Учет!C1047-C1047</f>
        <v>336855</v>
      </c>
      <c r="I1047" s="43">
        <f>I1046+Учет!D1047-D1047</f>
        <v>500</v>
      </c>
      <c r="J1047" s="43">
        <f>J1046+Учет!E1047-E1047</f>
        <v>1150</v>
      </c>
      <c r="K1047" s="43">
        <f>K1046+Учет!F1047-F1047</f>
        <v>500000</v>
      </c>
      <c r="L1047" s="45">
        <f>Учет!I1047</f>
        <v>349526.07999999996</v>
      </c>
    </row>
    <row r="1048" spans="1:12" x14ac:dyDescent="0.25">
      <c r="A1048" s="48" t="str">
        <f>IF(Учет!A1048&lt;&gt;"",Учет!A1048,"")</f>
        <v/>
      </c>
      <c r="B1048" s="52">
        <f>IF(Учет!$O1048=Справочники!$F$2,Учет!$H1048,0)</f>
        <v>0</v>
      </c>
      <c r="C1048" s="52">
        <f>IF(Учет!$O1048=Справочники!$F$3,Учет!$H1048,0)</f>
        <v>0</v>
      </c>
      <c r="D1048" s="52">
        <f>IF(Учет!$O1048=Справочники!$F$4,Учет!$H1048,0)</f>
        <v>0</v>
      </c>
      <c r="E1048" s="52">
        <f>IF(Учет!$O1048=Справочники!$F$5,Учет!$H1048,0)</f>
        <v>0</v>
      </c>
      <c r="F1048" s="52">
        <f>IF(Учет!$O1048=Справочники!$F$6,Учет!$H1048,0)</f>
        <v>0</v>
      </c>
      <c r="G1048" s="43">
        <f>G1047+Учет!B1048-B1048</f>
        <v>-488978.92000000004</v>
      </c>
      <c r="H1048" s="43">
        <f>H1047+Учет!C1048-C1048</f>
        <v>336855</v>
      </c>
      <c r="I1048" s="43">
        <f>I1047+Учет!D1048-D1048</f>
        <v>500</v>
      </c>
      <c r="J1048" s="43">
        <f>J1047+Учет!E1048-E1048</f>
        <v>1150</v>
      </c>
      <c r="K1048" s="43">
        <f>K1047+Учет!F1048-F1048</f>
        <v>500000</v>
      </c>
      <c r="L1048" s="45">
        <f>Учет!I1048</f>
        <v>349526.07999999996</v>
      </c>
    </row>
    <row r="1049" spans="1:12" x14ac:dyDescent="0.25">
      <c r="A1049" s="48" t="str">
        <f>IF(Учет!A1049&lt;&gt;"",Учет!A1049,"")</f>
        <v/>
      </c>
      <c r="B1049" s="52">
        <f>IF(Учет!$O1049=Справочники!$F$2,Учет!$H1049,0)</f>
        <v>0</v>
      </c>
      <c r="C1049" s="52">
        <f>IF(Учет!$O1049=Справочники!$F$3,Учет!$H1049,0)</f>
        <v>0</v>
      </c>
      <c r="D1049" s="52">
        <f>IF(Учет!$O1049=Справочники!$F$4,Учет!$H1049,0)</f>
        <v>0</v>
      </c>
      <c r="E1049" s="52">
        <f>IF(Учет!$O1049=Справочники!$F$5,Учет!$H1049,0)</f>
        <v>0</v>
      </c>
      <c r="F1049" s="52">
        <f>IF(Учет!$O1049=Справочники!$F$6,Учет!$H1049,0)</f>
        <v>0</v>
      </c>
      <c r="G1049" s="43">
        <f>G1048+Учет!B1049-B1049</f>
        <v>-488978.92000000004</v>
      </c>
      <c r="H1049" s="43">
        <f>H1048+Учет!C1049-C1049</f>
        <v>336855</v>
      </c>
      <c r="I1049" s="43">
        <f>I1048+Учет!D1049-D1049</f>
        <v>500</v>
      </c>
      <c r="J1049" s="43">
        <f>J1048+Учет!E1049-E1049</f>
        <v>1150</v>
      </c>
      <c r="K1049" s="43">
        <f>K1048+Учет!F1049-F1049</f>
        <v>500000</v>
      </c>
      <c r="L1049" s="45">
        <f>Учет!I1049</f>
        <v>349526.07999999996</v>
      </c>
    </row>
    <row r="1050" spans="1:12" x14ac:dyDescent="0.25">
      <c r="A1050" s="48" t="str">
        <f>IF(Учет!A1050&lt;&gt;"",Учет!A1050,"")</f>
        <v/>
      </c>
      <c r="B1050" s="52">
        <f>IF(Учет!$O1050=Справочники!$F$2,Учет!$H1050,0)</f>
        <v>0</v>
      </c>
      <c r="C1050" s="52">
        <f>IF(Учет!$O1050=Справочники!$F$3,Учет!$H1050,0)</f>
        <v>0</v>
      </c>
      <c r="D1050" s="52">
        <f>IF(Учет!$O1050=Справочники!$F$4,Учет!$H1050,0)</f>
        <v>0</v>
      </c>
      <c r="E1050" s="52">
        <f>IF(Учет!$O1050=Справочники!$F$5,Учет!$H1050,0)</f>
        <v>0</v>
      </c>
      <c r="F1050" s="52">
        <f>IF(Учет!$O1050=Справочники!$F$6,Учет!$H1050,0)</f>
        <v>0</v>
      </c>
      <c r="G1050" s="43">
        <f>G1049+Учет!B1050-B1050</f>
        <v>-488978.92000000004</v>
      </c>
      <c r="H1050" s="43">
        <f>H1049+Учет!C1050-C1050</f>
        <v>336855</v>
      </c>
      <c r="I1050" s="43">
        <f>I1049+Учет!D1050-D1050</f>
        <v>500</v>
      </c>
      <c r="J1050" s="43">
        <f>J1049+Учет!E1050-E1050</f>
        <v>1150</v>
      </c>
      <c r="K1050" s="43">
        <f>K1049+Учет!F1050-F1050</f>
        <v>500000</v>
      </c>
      <c r="L1050" s="45">
        <f>Учет!I1050</f>
        <v>349526.07999999996</v>
      </c>
    </row>
    <row r="1051" spans="1:12" x14ac:dyDescent="0.25">
      <c r="A1051" s="48" t="str">
        <f>IF(Учет!A1051&lt;&gt;"",Учет!A1051,"")</f>
        <v/>
      </c>
      <c r="B1051" s="52">
        <f>IF(Учет!$O1051=Справочники!$F$2,Учет!$H1051,0)</f>
        <v>0</v>
      </c>
      <c r="C1051" s="52">
        <f>IF(Учет!$O1051=Справочники!$F$3,Учет!$H1051,0)</f>
        <v>0</v>
      </c>
      <c r="D1051" s="52">
        <f>IF(Учет!$O1051=Справочники!$F$4,Учет!$H1051,0)</f>
        <v>0</v>
      </c>
      <c r="E1051" s="52">
        <f>IF(Учет!$O1051=Справочники!$F$5,Учет!$H1051,0)</f>
        <v>0</v>
      </c>
      <c r="F1051" s="52">
        <f>IF(Учет!$O1051=Справочники!$F$6,Учет!$H1051,0)</f>
        <v>0</v>
      </c>
      <c r="G1051" s="43">
        <f>G1050+Учет!B1051-B1051</f>
        <v>-488978.92000000004</v>
      </c>
      <c r="H1051" s="43">
        <f>H1050+Учет!C1051-C1051</f>
        <v>336855</v>
      </c>
      <c r="I1051" s="43">
        <f>I1050+Учет!D1051-D1051</f>
        <v>500</v>
      </c>
      <c r="J1051" s="43">
        <f>J1050+Учет!E1051-E1051</f>
        <v>1150</v>
      </c>
      <c r="K1051" s="43">
        <f>K1050+Учет!F1051-F1051</f>
        <v>500000</v>
      </c>
      <c r="L1051" s="45">
        <f>Учет!I1051</f>
        <v>349526.07999999996</v>
      </c>
    </row>
    <row r="1052" spans="1:12" x14ac:dyDescent="0.25">
      <c r="A1052" s="48" t="str">
        <f>IF(Учет!A1052&lt;&gt;"",Учет!A1052,"")</f>
        <v/>
      </c>
      <c r="B1052" s="52">
        <f>IF(Учет!$O1052=Справочники!$F$2,Учет!$H1052,0)</f>
        <v>0</v>
      </c>
      <c r="C1052" s="52">
        <f>IF(Учет!$O1052=Справочники!$F$3,Учет!$H1052,0)</f>
        <v>0</v>
      </c>
      <c r="D1052" s="52">
        <f>IF(Учет!$O1052=Справочники!$F$4,Учет!$H1052,0)</f>
        <v>0</v>
      </c>
      <c r="E1052" s="52">
        <f>IF(Учет!$O1052=Справочники!$F$5,Учет!$H1052,0)</f>
        <v>0</v>
      </c>
      <c r="F1052" s="52">
        <f>IF(Учет!$O1052=Справочники!$F$6,Учет!$H1052,0)</f>
        <v>0</v>
      </c>
      <c r="G1052" s="43">
        <f>G1051+Учет!B1052-B1052</f>
        <v>-488978.92000000004</v>
      </c>
      <c r="H1052" s="43">
        <f>H1051+Учет!C1052-C1052</f>
        <v>336855</v>
      </c>
      <c r="I1052" s="43">
        <f>I1051+Учет!D1052-D1052</f>
        <v>500</v>
      </c>
      <c r="J1052" s="43">
        <f>J1051+Учет!E1052-E1052</f>
        <v>1150</v>
      </c>
      <c r="K1052" s="43">
        <f>K1051+Учет!F1052-F1052</f>
        <v>500000</v>
      </c>
      <c r="L1052" s="45">
        <f>Учет!I1052</f>
        <v>349526.07999999996</v>
      </c>
    </row>
    <row r="1053" spans="1:12" x14ac:dyDescent="0.25">
      <c r="A1053" s="48" t="str">
        <f>IF(Учет!A1053&lt;&gt;"",Учет!A1053,"")</f>
        <v/>
      </c>
      <c r="B1053" s="52">
        <f>IF(Учет!$O1053=Справочники!$F$2,Учет!$H1053,0)</f>
        <v>0</v>
      </c>
      <c r="C1053" s="52">
        <f>IF(Учет!$O1053=Справочники!$F$3,Учет!$H1053,0)</f>
        <v>0</v>
      </c>
      <c r="D1053" s="52">
        <f>IF(Учет!$O1053=Справочники!$F$4,Учет!$H1053,0)</f>
        <v>0</v>
      </c>
      <c r="E1053" s="52">
        <f>IF(Учет!$O1053=Справочники!$F$5,Учет!$H1053,0)</f>
        <v>0</v>
      </c>
      <c r="F1053" s="52">
        <f>IF(Учет!$O1053=Справочники!$F$6,Учет!$H1053,0)</f>
        <v>0</v>
      </c>
      <c r="G1053" s="43">
        <f>G1052+Учет!B1053-B1053</f>
        <v>-488978.92000000004</v>
      </c>
      <c r="H1053" s="43">
        <f>H1052+Учет!C1053-C1053</f>
        <v>336855</v>
      </c>
      <c r="I1053" s="43">
        <f>I1052+Учет!D1053-D1053</f>
        <v>500</v>
      </c>
      <c r="J1053" s="43">
        <f>J1052+Учет!E1053-E1053</f>
        <v>1150</v>
      </c>
      <c r="K1053" s="43">
        <f>K1052+Учет!F1053-F1053</f>
        <v>500000</v>
      </c>
      <c r="L1053" s="45">
        <f>Учет!I1053</f>
        <v>349526.07999999996</v>
      </c>
    </row>
    <row r="1054" spans="1:12" x14ac:dyDescent="0.25">
      <c r="A1054" s="48" t="str">
        <f>IF(Учет!A1054&lt;&gt;"",Учет!A1054,"")</f>
        <v/>
      </c>
      <c r="B1054" s="52">
        <f>IF(Учет!$O1054=Справочники!$F$2,Учет!$H1054,0)</f>
        <v>0</v>
      </c>
      <c r="C1054" s="52">
        <f>IF(Учет!$O1054=Справочники!$F$3,Учет!$H1054,0)</f>
        <v>0</v>
      </c>
      <c r="D1054" s="52">
        <f>IF(Учет!$O1054=Справочники!$F$4,Учет!$H1054,0)</f>
        <v>0</v>
      </c>
      <c r="E1054" s="52">
        <f>IF(Учет!$O1054=Справочники!$F$5,Учет!$H1054,0)</f>
        <v>0</v>
      </c>
      <c r="F1054" s="52">
        <f>IF(Учет!$O1054=Справочники!$F$6,Учет!$H1054,0)</f>
        <v>0</v>
      </c>
      <c r="G1054" s="43">
        <f>G1053+Учет!B1054-B1054</f>
        <v>-488978.92000000004</v>
      </c>
      <c r="H1054" s="43">
        <f>H1053+Учет!C1054-C1054</f>
        <v>336855</v>
      </c>
      <c r="I1054" s="43">
        <f>I1053+Учет!D1054-D1054</f>
        <v>500</v>
      </c>
      <c r="J1054" s="43">
        <f>J1053+Учет!E1054-E1054</f>
        <v>1150</v>
      </c>
      <c r="K1054" s="43">
        <f>K1053+Учет!F1054-F1054</f>
        <v>500000</v>
      </c>
      <c r="L1054" s="45">
        <f>Учет!I1054</f>
        <v>349526.07999999996</v>
      </c>
    </row>
    <row r="1055" spans="1:12" x14ac:dyDescent="0.25">
      <c r="A1055" s="48" t="str">
        <f>IF(Учет!A1055&lt;&gt;"",Учет!A1055,"")</f>
        <v/>
      </c>
      <c r="B1055" s="52">
        <f>IF(Учет!$O1055=Справочники!$F$2,Учет!$H1055,0)</f>
        <v>0</v>
      </c>
      <c r="C1055" s="52">
        <f>IF(Учет!$O1055=Справочники!$F$3,Учет!$H1055,0)</f>
        <v>0</v>
      </c>
      <c r="D1055" s="52">
        <f>IF(Учет!$O1055=Справочники!$F$4,Учет!$H1055,0)</f>
        <v>0</v>
      </c>
      <c r="E1055" s="52">
        <f>IF(Учет!$O1055=Справочники!$F$5,Учет!$H1055,0)</f>
        <v>0</v>
      </c>
      <c r="F1055" s="52">
        <f>IF(Учет!$O1055=Справочники!$F$6,Учет!$H1055,0)</f>
        <v>0</v>
      </c>
      <c r="G1055" s="43">
        <f>G1054+Учет!B1055-B1055</f>
        <v>-488978.92000000004</v>
      </c>
      <c r="H1055" s="43">
        <f>H1054+Учет!C1055-C1055</f>
        <v>336855</v>
      </c>
      <c r="I1055" s="43">
        <f>I1054+Учет!D1055-D1055</f>
        <v>500</v>
      </c>
      <c r="J1055" s="43">
        <f>J1054+Учет!E1055-E1055</f>
        <v>1150</v>
      </c>
      <c r="K1055" s="43">
        <f>K1054+Учет!F1055-F1055</f>
        <v>500000</v>
      </c>
      <c r="L1055" s="45">
        <f>Учет!I1055</f>
        <v>349526.07999999996</v>
      </c>
    </row>
    <row r="1056" spans="1:12" x14ac:dyDescent="0.25">
      <c r="A1056" s="48" t="str">
        <f>IF(Учет!A1056&lt;&gt;"",Учет!A1056,"")</f>
        <v/>
      </c>
      <c r="B1056" s="52">
        <f>IF(Учет!$O1056=Справочники!$F$2,Учет!$H1056,0)</f>
        <v>0</v>
      </c>
      <c r="C1056" s="52">
        <f>IF(Учет!$O1056=Справочники!$F$3,Учет!$H1056,0)</f>
        <v>0</v>
      </c>
      <c r="D1056" s="52">
        <f>IF(Учет!$O1056=Справочники!$F$4,Учет!$H1056,0)</f>
        <v>0</v>
      </c>
      <c r="E1056" s="52">
        <f>IF(Учет!$O1056=Справочники!$F$5,Учет!$H1056,0)</f>
        <v>0</v>
      </c>
      <c r="F1056" s="52">
        <f>IF(Учет!$O1056=Справочники!$F$6,Учет!$H1056,0)</f>
        <v>0</v>
      </c>
      <c r="G1056" s="43">
        <f>G1055+Учет!B1056-B1056</f>
        <v>-488978.92000000004</v>
      </c>
      <c r="H1056" s="43">
        <f>H1055+Учет!C1056-C1056</f>
        <v>336855</v>
      </c>
      <c r="I1056" s="43">
        <f>I1055+Учет!D1056-D1056</f>
        <v>500</v>
      </c>
      <c r="J1056" s="43">
        <f>J1055+Учет!E1056-E1056</f>
        <v>1150</v>
      </c>
      <c r="K1056" s="43">
        <f>K1055+Учет!F1056-F1056</f>
        <v>500000</v>
      </c>
      <c r="L1056" s="45">
        <f>Учет!I1056</f>
        <v>349526.07999999996</v>
      </c>
    </row>
    <row r="1057" spans="1:12" x14ac:dyDescent="0.25">
      <c r="A1057" s="48" t="str">
        <f>IF(Учет!A1057&lt;&gt;"",Учет!A1057,"")</f>
        <v/>
      </c>
      <c r="B1057" s="52">
        <f>IF(Учет!$O1057=Справочники!$F$2,Учет!$H1057,0)</f>
        <v>0</v>
      </c>
      <c r="C1057" s="52">
        <f>IF(Учет!$O1057=Справочники!$F$3,Учет!$H1057,0)</f>
        <v>0</v>
      </c>
      <c r="D1057" s="52">
        <f>IF(Учет!$O1057=Справочники!$F$4,Учет!$H1057,0)</f>
        <v>0</v>
      </c>
      <c r="E1057" s="52">
        <f>IF(Учет!$O1057=Справочники!$F$5,Учет!$H1057,0)</f>
        <v>0</v>
      </c>
      <c r="F1057" s="52">
        <f>IF(Учет!$O1057=Справочники!$F$6,Учет!$H1057,0)</f>
        <v>0</v>
      </c>
      <c r="G1057" s="43">
        <f>G1056+Учет!B1057-B1057</f>
        <v>-488978.92000000004</v>
      </c>
      <c r="H1057" s="43">
        <f>H1056+Учет!C1057-C1057</f>
        <v>336855</v>
      </c>
      <c r="I1057" s="43">
        <f>I1056+Учет!D1057-D1057</f>
        <v>500</v>
      </c>
      <c r="J1057" s="43">
        <f>J1056+Учет!E1057-E1057</f>
        <v>1150</v>
      </c>
      <c r="K1057" s="43">
        <f>K1056+Учет!F1057-F1057</f>
        <v>500000</v>
      </c>
      <c r="L1057" s="45">
        <f>Учет!I1057</f>
        <v>349526.07999999996</v>
      </c>
    </row>
    <row r="1058" spans="1:12" x14ac:dyDescent="0.25">
      <c r="A1058" s="48" t="str">
        <f>IF(Учет!A1058&lt;&gt;"",Учет!A1058,"")</f>
        <v/>
      </c>
      <c r="B1058" s="52">
        <f>IF(Учет!$O1058=Справочники!$F$2,Учет!$H1058,0)</f>
        <v>0</v>
      </c>
      <c r="C1058" s="52">
        <f>IF(Учет!$O1058=Справочники!$F$3,Учет!$H1058,0)</f>
        <v>0</v>
      </c>
      <c r="D1058" s="52">
        <f>IF(Учет!$O1058=Справочники!$F$4,Учет!$H1058,0)</f>
        <v>0</v>
      </c>
      <c r="E1058" s="52">
        <f>IF(Учет!$O1058=Справочники!$F$5,Учет!$H1058,0)</f>
        <v>0</v>
      </c>
      <c r="F1058" s="52">
        <f>IF(Учет!$O1058=Справочники!$F$6,Учет!$H1058,0)</f>
        <v>0</v>
      </c>
      <c r="G1058" s="43">
        <f>G1057+Учет!B1058-B1058</f>
        <v>-488978.92000000004</v>
      </c>
      <c r="H1058" s="43">
        <f>H1057+Учет!C1058-C1058</f>
        <v>336855</v>
      </c>
      <c r="I1058" s="43">
        <f>I1057+Учет!D1058-D1058</f>
        <v>500</v>
      </c>
      <c r="J1058" s="43">
        <f>J1057+Учет!E1058-E1058</f>
        <v>1150</v>
      </c>
      <c r="K1058" s="43">
        <f>K1057+Учет!F1058-F1058</f>
        <v>500000</v>
      </c>
      <c r="L1058" s="45">
        <f>Учет!I1058</f>
        <v>349526.07999999996</v>
      </c>
    </row>
    <row r="1059" spans="1:12" x14ac:dyDescent="0.25">
      <c r="A1059" s="48" t="str">
        <f>IF(Учет!A1059&lt;&gt;"",Учет!A1059,"")</f>
        <v/>
      </c>
      <c r="B1059" s="52">
        <f>IF(Учет!$O1059=Справочники!$F$2,Учет!$H1059,0)</f>
        <v>0</v>
      </c>
      <c r="C1059" s="52">
        <f>IF(Учет!$O1059=Справочники!$F$3,Учет!$H1059,0)</f>
        <v>0</v>
      </c>
      <c r="D1059" s="52">
        <f>IF(Учет!$O1059=Справочники!$F$4,Учет!$H1059,0)</f>
        <v>0</v>
      </c>
      <c r="E1059" s="52">
        <f>IF(Учет!$O1059=Справочники!$F$5,Учет!$H1059,0)</f>
        <v>0</v>
      </c>
      <c r="F1059" s="52">
        <f>IF(Учет!$O1059=Справочники!$F$6,Учет!$H1059,0)</f>
        <v>0</v>
      </c>
      <c r="G1059" s="43">
        <f>G1058+Учет!B1059-B1059</f>
        <v>-488978.92000000004</v>
      </c>
      <c r="H1059" s="43">
        <f>H1058+Учет!C1059-C1059</f>
        <v>336855</v>
      </c>
      <c r="I1059" s="43">
        <f>I1058+Учет!D1059-D1059</f>
        <v>500</v>
      </c>
      <c r="J1059" s="43">
        <f>J1058+Учет!E1059-E1059</f>
        <v>1150</v>
      </c>
      <c r="K1059" s="43">
        <f>K1058+Учет!F1059-F1059</f>
        <v>500000</v>
      </c>
      <c r="L1059" s="45">
        <f>Учет!I1059</f>
        <v>349526.07999999996</v>
      </c>
    </row>
    <row r="1060" spans="1:12" x14ac:dyDescent="0.25">
      <c r="A1060" s="48" t="str">
        <f>IF(Учет!A1060&lt;&gt;"",Учет!A1060,"")</f>
        <v/>
      </c>
      <c r="B1060" s="52">
        <f>IF(Учет!$O1060=Справочники!$F$2,Учет!$H1060,0)</f>
        <v>0</v>
      </c>
      <c r="C1060" s="52">
        <f>IF(Учет!$O1060=Справочники!$F$3,Учет!$H1060,0)</f>
        <v>0</v>
      </c>
      <c r="D1060" s="52">
        <f>IF(Учет!$O1060=Справочники!$F$4,Учет!$H1060,0)</f>
        <v>0</v>
      </c>
      <c r="E1060" s="52">
        <f>IF(Учет!$O1060=Справочники!$F$5,Учет!$H1060,0)</f>
        <v>0</v>
      </c>
      <c r="F1060" s="52">
        <f>IF(Учет!$O1060=Справочники!$F$6,Учет!$H1060,0)</f>
        <v>0</v>
      </c>
      <c r="G1060" s="43">
        <f>G1059+Учет!B1060-B1060</f>
        <v>-488978.92000000004</v>
      </c>
      <c r="H1060" s="43">
        <f>H1059+Учет!C1060-C1060</f>
        <v>336855</v>
      </c>
      <c r="I1060" s="43">
        <f>I1059+Учет!D1060-D1060</f>
        <v>500</v>
      </c>
      <c r="J1060" s="43">
        <f>J1059+Учет!E1060-E1060</f>
        <v>1150</v>
      </c>
      <c r="K1060" s="43">
        <f>K1059+Учет!F1060-F1060</f>
        <v>500000</v>
      </c>
      <c r="L1060" s="45">
        <f>Учет!I1060</f>
        <v>349526.07999999996</v>
      </c>
    </row>
    <row r="1061" spans="1:12" x14ac:dyDescent="0.25">
      <c r="A1061" s="48" t="str">
        <f>IF(Учет!A1061&lt;&gt;"",Учет!A1061,"")</f>
        <v/>
      </c>
      <c r="B1061" s="52">
        <f>IF(Учет!$O1061=Справочники!$F$2,Учет!$H1061,0)</f>
        <v>0</v>
      </c>
      <c r="C1061" s="52">
        <f>IF(Учет!$O1061=Справочники!$F$3,Учет!$H1061,0)</f>
        <v>0</v>
      </c>
      <c r="D1061" s="52">
        <f>IF(Учет!$O1061=Справочники!$F$4,Учет!$H1061,0)</f>
        <v>0</v>
      </c>
      <c r="E1061" s="52">
        <f>IF(Учет!$O1061=Справочники!$F$5,Учет!$H1061,0)</f>
        <v>0</v>
      </c>
      <c r="F1061" s="52">
        <f>IF(Учет!$O1061=Справочники!$F$6,Учет!$H1061,0)</f>
        <v>0</v>
      </c>
      <c r="G1061" s="43">
        <f>G1060+Учет!B1061-B1061</f>
        <v>-488978.92000000004</v>
      </c>
      <c r="H1061" s="43">
        <f>H1060+Учет!C1061-C1061</f>
        <v>336855</v>
      </c>
      <c r="I1061" s="43">
        <f>I1060+Учет!D1061-D1061</f>
        <v>500</v>
      </c>
      <c r="J1061" s="43">
        <f>J1060+Учет!E1061-E1061</f>
        <v>1150</v>
      </c>
      <c r="K1061" s="43">
        <f>K1060+Учет!F1061-F1061</f>
        <v>500000</v>
      </c>
      <c r="L1061" s="45">
        <f>Учет!I1061</f>
        <v>349526.07999999996</v>
      </c>
    </row>
    <row r="1062" spans="1:12" x14ac:dyDescent="0.25">
      <c r="A1062" s="48" t="str">
        <f>IF(Учет!A1062&lt;&gt;"",Учет!A1062,"")</f>
        <v/>
      </c>
      <c r="B1062" s="52">
        <f>IF(Учет!$O1062=Справочники!$F$2,Учет!$H1062,0)</f>
        <v>0</v>
      </c>
      <c r="C1062" s="52">
        <f>IF(Учет!$O1062=Справочники!$F$3,Учет!$H1062,0)</f>
        <v>0</v>
      </c>
      <c r="D1062" s="52">
        <f>IF(Учет!$O1062=Справочники!$F$4,Учет!$H1062,0)</f>
        <v>0</v>
      </c>
      <c r="E1062" s="52">
        <f>IF(Учет!$O1062=Справочники!$F$5,Учет!$H1062,0)</f>
        <v>0</v>
      </c>
      <c r="F1062" s="52">
        <f>IF(Учет!$O1062=Справочники!$F$6,Учет!$H1062,0)</f>
        <v>0</v>
      </c>
      <c r="G1062" s="43">
        <f>G1061+Учет!B1062-B1062</f>
        <v>-488978.92000000004</v>
      </c>
      <c r="H1062" s="43">
        <f>H1061+Учет!C1062-C1062</f>
        <v>336855</v>
      </c>
      <c r="I1062" s="43">
        <f>I1061+Учет!D1062-D1062</f>
        <v>500</v>
      </c>
      <c r="J1062" s="43">
        <f>J1061+Учет!E1062-E1062</f>
        <v>1150</v>
      </c>
      <c r="K1062" s="43">
        <f>K1061+Учет!F1062-F1062</f>
        <v>500000</v>
      </c>
      <c r="L1062" s="45">
        <f>Учет!I1062</f>
        <v>349526.07999999996</v>
      </c>
    </row>
    <row r="1063" spans="1:12" x14ac:dyDescent="0.25">
      <c r="A1063" s="48" t="str">
        <f>IF(Учет!A1063&lt;&gt;"",Учет!A1063,"")</f>
        <v/>
      </c>
      <c r="B1063" s="52">
        <f>IF(Учет!$O1063=Справочники!$F$2,Учет!$H1063,0)</f>
        <v>0</v>
      </c>
      <c r="C1063" s="52">
        <f>IF(Учет!$O1063=Справочники!$F$3,Учет!$H1063,0)</f>
        <v>0</v>
      </c>
      <c r="D1063" s="52">
        <f>IF(Учет!$O1063=Справочники!$F$4,Учет!$H1063,0)</f>
        <v>0</v>
      </c>
      <c r="E1063" s="52">
        <f>IF(Учет!$O1063=Справочники!$F$5,Учет!$H1063,0)</f>
        <v>0</v>
      </c>
      <c r="F1063" s="52">
        <f>IF(Учет!$O1063=Справочники!$F$6,Учет!$H1063,0)</f>
        <v>0</v>
      </c>
      <c r="G1063" s="43">
        <f>G1062+Учет!B1063-B1063</f>
        <v>-488978.92000000004</v>
      </c>
      <c r="H1063" s="43">
        <f>H1062+Учет!C1063-C1063</f>
        <v>336855</v>
      </c>
      <c r="I1063" s="43">
        <f>I1062+Учет!D1063-D1063</f>
        <v>500</v>
      </c>
      <c r="J1063" s="43">
        <f>J1062+Учет!E1063-E1063</f>
        <v>1150</v>
      </c>
      <c r="K1063" s="43">
        <f>K1062+Учет!F1063-F1063</f>
        <v>500000</v>
      </c>
      <c r="L1063" s="45">
        <f>Учет!I1063</f>
        <v>349526.07999999996</v>
      </c>
    </row>
    <row r="1064" spans="1:12" x14ac:dyDescent="0.25">
      <c r="A1064" s="48" t="str">
        <f>IF(Учет!A1064&lt;&gt;"",Учет!A1064,"")</f>
        <v/>
      </c>
      <c r="B1064" s="52">
        <f>IF(Учет!$O1064=Справочники!$F$2,Учет!$H1064,0)</f>
        <v>0</v>
      </c>
      <c r="C1064" s="52">
        <f>IF(Учет!$O1064=Справочники!$F$3,Учет!$H1064,0)</f>
        <v>0</v>
      </c>
      <c r="D1064" s="52">
        <f>IF(Учет!$O1064=Справочники!$F$4,Учет!$H1064,0)</f>
        <v>0</v>
      </c>
      <c r="E1064" s="52">
        <f>IF(Учет!$O1064=Справочники!$F$5,Учет!$H1064,0)</f>
        <v>0</v>
      </c>
      <c r="F1064" s="52">
        <f>IF(Учет!$O1064=Справочники!$F$6,Учет!$H1064,0)</f>
        <v>0</v>
      </c>
      <c r="G1064" s="43">
        <f>G1063+Учет!B1064-B1064</f>
        <v>-488978.92000000004</v>
      </c>
      <c r="H1064" s="43">
        <f>H1063+Учет!C1064-C1064</f>
        <v>336855</v>
      </c>
      <c r="I1064" s="43">
        <f>I1063+Учет!D1064-D1064</f>
        <v>500</v>
      </c>
      <c r="J1064" s="43">
        <f>J1063+Учет!E1064-E1064</f>
        <v>1150</v>
      </c>
      <c r="K1064" s="43">
        <f>K1063+Учет!F1064-F1064</f>
        <v>500000</v>
      </c>
      <c r="L1064" s="45">
        <f>Учет!I1064</f>
        <v>349526.07999999996</v>
      </c>
    </row>
    <row r="1065" spans="1:12" x14ac:dyDescent="0.25">
      <c r="A1065" s="48" t="str">
        <f>IF(Учет!A1065&lt;&gt;"",Учет!A1065,"")</f>
        <v/>
      </c>
      <c r="B1065" s="52">
        <f>IF(Учет!$O1065=Справочники!$F$2,Учет!$H1065,0)</f>
        <v>0</v>
      </c>
      <c r="C1065" s="52">
        <f>IF(Учет!$O1065=Справочники!$F$3,Учет!$H1065,0)</f>
        <v>0</v>
      </c>
      <c r="D1065" s="52">
        <f>IF(Учет!$O1065=Справочники!$F$4,Учет!$H1065,0)</f>
        <v>0</v>
      </c>
      <c r="E1065" s="52">
        <f>IF(Учет!$O1065=Справочники!$F$5,Учет!$H1065,0)</f>
        <v>0</v>
      </c>
      <c r="F1065" s="52">
        <f>IF(Учет!$O1065=Справочники!$F$6,Учет!$H1065,0)</f>
        <v>0</v>
      </c>
      <c r="G1065" s="43">
        <f>G1064+Учет!B1065-B1065</f>
        <v>-488978.92000000004</v>
      </c>
      <c r="H1065" s="43">
        <f>H1064+Учет!C1065-C1065</f>
        <v>336855</v>
      </c>
      <c r="I1065" s="43">
        <f>I1064+Учет!D1065-D1065</f>
        <v>500</v>
      </c>
      <c r="J1065" s="43">
        <f>J1064+Учет!E1065-E1065</f>
        <v>1150</v>
      </c>
      <c r="K1065" s="43">
        <f>K1064+Учет!F1065-F1065</f>
        <v>500000</v>
      </c>
      <c r="L1065" s="45">
        <f>Учет!I1065</f>
        <v>349526.07999999996</v>
      </c>
    </row>
    <row r="1066" spans="1:12" x14ac:dyDescent="0.25">
      <c r="A1066" s="48" t="str">
        <f>IF(Учет!A1066&lt;&gt;"",Учет!A1066,"")</f>
        <v/>
      </c>
      <c r="B1066" s="52">
        <f>IF(Учет!$O1066=Справочники!$F$2,Учет!$H1066,0)</f>
        <v>0</v>
      </c>
      <c r="C1066" s="52">
        <f>IF(Учет!$O1066=Справочники!$F$3,Учет!$H1066,0)</f>
        <v>0</v>
      </c>
      <c r="D1066" s="52">
        <f>IF(Учет!$O1066=Справочники!$F$4,Учет!$H1066,0)</f>
        <v>0</v>
      </c>
      <c r="E1066" s="52">
        <f>IF(Учет!$O1066=Справочники!$F$5,Учет!$H1066,0)</f>
        <v>0</v>
      </c>
      <c r="F1066" s="52">
        <f>IF(Учет!$O1066=Справочники!$F$6,Учет!$H1066,0)</f>
        <v>0</v>
      </c>
      <c r="G1066" s="43">
        <f>G1065+Учет!B1066-B1066</f>
        <v>-488978.92000000004</v>
      </c>
      <c r="H1066" s="43">
        <f>H1065+Учет!C1066-C1066</f>
        <v>336855</v>
      </c>
      <c r="I1066" s="43">
        <f>I1065+Учет!D1066-D1066</f>
        <v>500</v>
      </c>
      <c r="J1066" s="43">
        <f>J1065+Учет!E1066-E1066</f>
        <v>1150</v>
      </c>
      <c r="K1066" s="43">
        <f>K1065+Учет!F1066-F1066</f>
        <v>500000</v>
      </c>
      <c r="L1066" s="45">
        <f>Учет!I1066</f>
        <v>349526.07999999996</v>
      </c>
    </row>
    <row r="1067" spans="1:12" x14ac:dyDescent="0.25">
      <c r="A1067" s="48" t="str">
        <f>IF(Учет!A1067&lt;&gt;"",Учет!A1067,"")</f>
        <v/>
      </c>
      <c r="B1067" s="52">
        <f>IF(Учет!$O1067=Справочники!$F$2,Учет!$H1067,0)</f>
        <v>0</v>
      </c>
      <c r="C1067" s="52">
        <f>IF(Учет!$O1067=Справочники!$F$3,Учет!$H1067,0)</f>
        <v>0</v>
      </c>
      <c r="D1067" s="52">
        <f>IF(Учет!$O1067=Справочники!$F$4,Учет!$H1067,0)</f>
        <v>0</v>
      </c>
      <c r="E1067" s="52">
        <f>IF(Учет!$O1067=Справочники!$F$5,Учет!$H1067,0)</f>
        <v>0</v>
      </c>
      <c r="F1067" s="52">
        <f>IF(Учет!$O1067=Справочники!$F$6,Учет!$H1067,0)</f>
        <v>0</v>
      </c>
      <c r="G1067" s="43">
        <f>G1066+Учет!B1067-B1067</f>
        <v>-488978.92000000004</v>
      </c>
      <c r="H1067" s="43">
        <f>H1066+Учет!C1067-C1067</f>
        <v>336855</v>
      </c>
      <c r="I1067" s="43">
        <f>I1066+Учет!D1067-D1067</f>
        <v>500</v>
      </c>
      <c r="J1067" s="43">
        <f>J1066+Учет!E1067-E1067</f>
        <v>1150</v>
      </c>
      <c r="K1067" s="43">
        <f>K1066+Учет!F1067-F1067</f>
        <v>500000</v>
      </c>
      <c r="L1067" s="45">
        <f>Учет!I1067</f>
        <v>349526.07999999996</v>
      </c>
    </row>
    <row r="1068" spans="1:12" x14ac:dyDescent="0.25">
      <c r="A1068" s="48" t="str">
        <f>IF(Учет!A1068&lt;&gt;"",Учет!A1068,"")</f>
        <v/>
      </c>
      <c r="B1068" s="52">
        <f>IF(Учет!$O1068=Справочники!$F$2,Учет!$H1068,0)</f>
        <v>0</v>
      </c>
      <c r="C1068" s="52">
        <f>IF(Учет!$O1068=Справочники!$F$3,Учет!$H1068,0)</f>
        <v>0</v>
      </c>
      <c r="D1068" s="52">
        <f>IF(Учет!$O1068=Справочники!$F$4,Учет!$H1068,0)</f>
        <v>0</v>
      </c>
      <c r="E1068" s="52">
        <f>IF(Учет!$O1068=Справочники!$F$5,Учет!$H1068,0)</f>
        <v>0</v>
      </c>
      <c r="F1068" s="52">
        <f>IF(Учет!$O1068=Справочники!$F$6,Учет!$H1068,0)</f>
        <v>0</v>
      </c>
      <c r="G1068" s="43">
        <f>G1067+Учет!B1068-B1068</f>
        <v>-488978.92000000004</v>
      </c>
      <c r="H1068" s="43">
        <f>H1067+Учет!C1068-C1068</f>
        <v>336855</v>
      </c>
      <c r="I1068" s="43">
        <f>I1067+Учет!D1068-D1068</f>
        <v>500</v>
      </c>
      <c r="J1068" s="43">
        <f>J1067+Учет!E1068-E1068</f>
        <v>1150</v>
      </c>
      <c r="K1068" s="43">
        <f>K1067+Учет!F1068-F1068</f>
        <v>500000</v>
      </c>
      <c r="L1068" s="45">
        <f>Учет!I1068</f>
        <v>349526.07999999996</v>
      </c>
    </row>
    <row r="1069" spans="1:12" x14ac:dyDescent="0.25">
      <c r="A1069" s="48" t="str">
        <f>IF(Учет!A1069&lt;&gt;"",Учет!A1069,"")</f>
        <v/>
      </c>
      <c r="B1069" s="52">
        <f>IF(Учет!$O1069=Справочники!$F$2,Учет!$H1069,0)</f>
        <v>0</v>
      </c>
      <c r="C1069" s="52">
        <f>IF(Учет!$O1069=Справочники!$F$3,Учет!$H1069,0)</f>
        <v>0</v>
      </c>
      <c r="D1069" s="52">
        <f>IF(Учет!$O1069=Справочники!$F$4,Учет!$H1069,0)</f>
        <v>0</v>
      </c>
      <c r="E1069" s="52">
        <f>IF(Учет!$O1069=Справочники!$F$5,Учет!$H1069,0)</f>
        <v>0</v>
      </c>
      <c r="F1069" s="52">
        <f>IF(Учет!$O1069=Справочники!$F$6,Учет!$H1069,0)</f>
        <v>0</v>
      </c>
      <c r="G1069" s="43">
        <f>G1068+Учет!B1069-B1069</f>
        <v>-488978.92000000004</v>
      </c>
      <c r="H1069" s="43">
        <f>H1068+Учет!C1069-C1069</f>
        <v>336855</v>
      </c>
      <c r="I1069" s="43">
        <f>I1068+Учет!D1069-D1069</f>
        <v>500</v>
      </c>
      <c r="J1069" s="43">
        <f>J1068+Учет!E1069-E1069</f>
        <v>1150</v>
      </c>
      <c r="K1069" s="43">
        <f>K1068+Учет!F1069-F1069</f>
        <v>500000</v>
      </c>
      <c r="L1069" s="45">
        <f>Учет!I1069</f>
        <v>349526.07999999996</v>
      </c>
    </row>
    <row r="1070" spans="1:12" x14ac:dyDescent="0.25">
      <c r="A1070" s="48" t="str">
        <f>IF(Учет!A1070&lt;&gt;"",Учет!A1070,"")</f>
        <v/>
      </c>
      <c r="B1070" s="52">
        <f>IF(Учет!$O1070=Справочники!$F$2,Учет!$H1070,0)</f>
        <v>0</v>
      </c>
      <c r="C1070" s="52">
        <f>IF(Учет!$O1070=Справочники!$F$3,Учет!$H1070,0)</f>
        <v>0</v>
      </c>
      <c r="D1070" s="52">
        <f>IF(Учет!$O1070=Справочники!$F$4,Учет!$H1070,0)</f>
        <v>0</v>
      </c>
      <c r="E1070" s="52">
        <f>IF(Учет!$O1070=Справочники!$F$5,Учет!$H1070,0)</f>
        <v>0</v>
      </c>
      <c r="F1070" s="52">
        <f>IF(Учет!$O1070=Справочники!$F$6,Учет!$H1070,0)</f>
        <v>0</v>
      </c>
      <c r="G1070" s="43">
        <f>G1069+Учет!B1070-B1070</f>
        <v>-488978.92000000004</v>
      </c>
      <c r="H1070" s="43">
        <f>H1069+Учет!C1070-C1070</f>
        <v>336855</v>
      </c>
      <c r="I1070" s="43">
        <f>I1069+Учет!D1070-D1070</f>
        <v>500</v>
      </c>
      <c r="J1070" s="43">
        <f>J1069+Учет!E1070-E1070</f>
        <v>1150</v>
      </c>
      <c r="K1070" s="43">
        <f>K1069+Учет!F1070-F1070</f>
        <v>500000</v>
      </c>
      <c r="L1070" s="45">
        <f>Учет!I1070</f>
        <v>349526.07999999996</v>
      </c>
    </row>
    <row r="1071" spans="1:12" x14ac:dyDescent="0.25">
      <c r="A1071" s="48" t="str">
        <f>IF(Учет!A1071&lt;&gt;"",Учет!A1071,"")</f>
        <v/>
      </c>
      <c r="B1071" s="52">
        <f>IF(Учет!$O1071=Справочники!$F$2,Учет!$H1071,0)</f>
        <v>0</v>
      </c>
      <c r="C1071" s="52">
        <f>IF(Учет!$O1071=Справочники!$F$3,Учет!$H1071,0)</f>
        <v>0</v>
      </c>
      <c r="D1071" s="52">
        <f>IF(Учет!$O1071=Справочники!$F$4,Учет!$H1071,0)</f>
        <v>0</v>
      </c>
      <c r="E1071" s="52">
        <f>IF(Учет!$O1071=Справочники!$F$5,Учет!$H1071,0)</f>
        <v>0</v>
      </c>
      <c r="F1071" s="52">
        <f>IF(Учет!$O1071=Справочники!$F$6,Учет!$H1071,0)</f>
        <v>0</v>
      </c>
      <c r="G1071" s="43">
        <f>G1070+Учет!B1071-B1071</f>
        <v>-488978.92000000004</v>
      </c>
      <c r="H1071" s="43">
        <f>H1070+Учет!C1071-C1071</f>
        <v>336855</v>
      </c>
      <c r="I1071" s="43">
        <f>I1070+Учет!D1071-D1071</f>
        <v>500</v>
      </c>
      <c r="J1071" s="43">
        <f>J1070+Учет!E1071-E1071</f>
        <v>1150</v>
      </c>
      <c r="K1071" s="43">
        <f>K1070+Учет!F1071-F1071</f>
        <v>500000</v>
      </c>
      <c r="L1071" s="45">
        <f>Учет!I1071</f>
        <v>349526.07999999996</v>
      </c>
    </row>
    <row r="1072" spans="1:12" x14ac:dyDescent="0.25">
      <c r="A1072" s="48" t="str">
        <f>IF(Учет!A1072&lt;&gt;"",Учет!A1072,"")</f>
        <v/>
      </c>
      <c r="B1072" s="52">
        <f>IF(Учет!$O1072=Справочники!$F$2,Учет!$H1072,0)</f>
        <v>0</v>
      </c>
      <c r="C1072" s="52">
        <f>IF(Учет!$O1072=Справочники!$F$3,Учет!$H1072,0)</f>
        <v>0</v>
      </c>
      <c r="D1072" s="52">
        <f>IF(Учет!$O1072=Справочники!$F$4,Учет!$H1072,0)</f>
        <v>0</v>
      </c>
      <c r="E1072" s="52">
        <f>IF(Учет!$O1072=Справочники!$F$5,Учет!$H1072,0)</f>
        <v>0</v>
      </c>
      <c r="F1072" s="52">
        <f>IF(Учет!$O1072=Справочники!$F$6,Учет!$H1072,0)</f>
        <v>0</v>
      </c>
      <c r="G1072" s="43">
        <f>G1071+Учет!B1072-B1072</f>
        <v>-488978.92000000004</v>
      </c>
      <c r="H1072" s="43">
        <f>H1071+Учет!C1072-C1072</f>
        <v>336855</v>
      </c>
      <c r="I1072" s="43">
        <f>I1071+Учет!D1072-D1072</f>
        <v>500</v>
      </c>
      <c r="J1072" s="43">
        <f>J1071+Учет!E1072-E1072</f>
        <v>1150</v>
      </c>
      <c r="K1072" s="43">
        <f>K1071+Учет!F1072-F1072</f>
        <v>500000</v>
      </c>
      <c r="L1072" s="45">
        <f>Учет!I1072</f>
        <v>349526.07999999996</v>
      </c>
    </row>
    <row r="1073" spans="1:12" x14ac:dyDescent="0.25">
      <c r="A1073" s="48" t="str">
        <f>IF(Учет!A1073&lt;&gt;"",Учет!A1073,"")</f>
        <v/>
      </c>
      <c r="B1073" s="52">
        <f>IF(Учет!$O1073=Справочники!$F$2,Учет!$H1073,0)</f>
        <v>0</v>
      </c>
      <c r="C1073" s="52">
        <f>IF(Учет!$O1073=Справочники!$F$3,Учет!$H1073,0)</f>
        <v>0</v>
      </c>
      <c r="D1073" s="52">
        <f>IF(Учет!$O1073=Справочники!$F$4,Учет!$H1073,0)</f>
        <v>0</v>
      </c>
      <c r="E1073" s="52">
        <f>IF(Учет!$O1073=Справочники!$F$5,Учет!$H1073,0)</f>
        <v>0</v>
      </c>
      <c r="F1073" s="52">
        <f>IF(Учет!$O1073=Справочники!$F$6,Учет!$H1073,0)</f>
        <v>0</v>
      </c>
      <c r="G1073" s="43">
        <f>G1072+Учет!B1073-B1073</f>
        <v>-488978.92000000004</v>
      </c>
      <c r="H1073" s="43">
        <f>H1072+Учет!C1073-C1073</f>
        <v>336855</v>
      </c>
      <c r="I1073" s="43">
        <f>I1072+Учет!D1073-D1073</f>
        <v>500</v>
      </c>
      <c r="J1073" s="43">
        <f>J1072+Учет!E1073-E1073</f>
        <v>1150</v>
      </c>
      <c r="K1073" s="43">
        <f>K1072+Учет!F1073-F1073</f>
        <v>500000</v>
      </c>
      <c r="L1073" s="45">
        <f>Учет!I1073</f>
        <v>349526.07999999996</v>
      </c>
    </row>
    <row r="1074" spans="1:12" x14ac:dyDescent="0.25">
      <c r="A1074" s="48" t="str">
        <f>IF(Учет!A1074&lt;&gt;"",Учет!A1074,"")</f>
        <v/>
      </c>
      <c r="B1074" s="52">
        <f>IF(Учет!$O1074=Справочники!$F$2,Учет!$H1074,0)</f>
        <v>0</v>
      </c>
      <c r="C1074" s="52">
        <f>IF(Учет!$O1074=Справочники!$F$3,Учет!$H1074,0)</f>
        <v>0</v>
      </c>
      <c r="D1074" s="52">
        <f>IF(Учет!$O1074=Справочники!$F$4,Учет!$H1074,0)</f>
        <v>0</v>
      </c>
      <c r="E1074" s="52">
        <f>IF(Учет!$O1074=Справочники!$F$5,Учет!$H1074,0)</f>
        <v>0</v>
      </c>
      <c r="F1074" s="52">
        <f>IF(Учет!$O1074=Справочники!$F$6,Учет!$H1074,0)</f>
        <v>0</v>
      </c>
      <c r="G1074" s="43">
        <f>G1073+Учет!B1074-B1074</f>
        <v>-488978.92000000004</v>
      </c>
      <c r="H1074" s="43">
        <f>H1073+Учет!C1074-C1074</f>
        <v>336855</v>
      </c>
      <c r="I1074" s="43">
        <f>I1073+Учет!D1074-D1074</f>
        <v>500</v>
      </c>
      <c r="J1074" s="43">
        <f>J1073+Учет!E1074-E1074</f>
        <v>1150</v>
      </c>
      <c r="K1074" s="43">
        <f>K1073+Учет!F1074-F1074</f>
        <v>500000</v>
      </c>
      <c r="L1074" s="45">
        <f>Учет!I1074</f>
        <v>349526.07999999996</v>
      </c>
    </row>
    <row r="1075" spans="1:12" x14ac:dyDescent="0.25">
      <c r="A1075" s="48" t="str">
        <f>IF(Учет!A1075&lt;&gt;"",Учет!A1075,"")</f>
        <v/>
      </c>
      <c r="B1075" s="52">
        <f>IF(Учет!$O1075=Справочники!$F$2,Учет!$H1075,0)</f>
        <v>0</v>
      </c>
      <c r="C1075" s="52">
        <f>IF(Учет!$O1075=Справочники!$F$3,Учет!$H1075,0)</f>
        <v>0</v>
      </c>
      <c r="D1075" s="52">
        <f>IF(Учет!$O1075=Справочники!$F$4,Учет!$H1075,0)</f>
        <v>0</v>
      </c>
      <c r="E1075" s="52">
        <f>IF(Учет!$O1075=Справочники!$F$5,Учет!$H1075,0)</f>
        <v>0</v>
      </c>
      <c r="F1075" s="52">
        <f>IF(Учет!$O1075=Справочники!$F$6,Учет!$H1075,0)</f>
        <v>0</v>
      </c>
      <c r="G1075" s="43">
        <f>G1074+Учет!B1075-B1075</f>
        <v>-488978.92000000004</v>
      </c>
      <c r="H1075" s="43">
        <f>H1074+Учет!C1075-C1075</f>
        <v>336855</v>
      </c>
      <c r="I1075" s="43">
        <f>I1074+Учет!D1075-D1075</f>
        <v>500</v>
      </c>
      <c r="J1075" s="43">
        <f>J1074+Учет!E1075-E1075</f>
        <v>1150</v>
      </c>
      <c r="K1075" s="43">
        <f>K1074+Учет!F1075-F1075</f>
        <v>500000</v>
      </c>
      <c r="L1075" s="45">
        <f>Учет!I1075</f>
        <v>349526.07999999996</v>
      </c>
    </row>
    <row r="1076" spans="1:12" x14ac:dyDescent="0.25">
      <c r="A1076" s="48" t="str">
        <f>IF(Учет!A1076&lt;&gt;"",Учет!A1076,"")</f>
        <v/>
      </c>
      <c r="B1076" s="52">
        <f>IF(Учет!$O1076=Справочники!$F$2,Учет!$H1076,0)</f>
        <v>0</v>
      </c>
      <c r="C1076" s="52">
        <f>IF(Учет!$O1076=Справочники!$F$3,Учет!$H1076,0)</f>
        <v>0</v>
      </c>
      <c r="D1076" s="52">
        <f>IF(Учет!$O1076=Справочники!$F$4,Учет!$H1076,0)</f>
        <v>0</v>
      </c>
      <c r="E1076" s="52">
        <f>IF(Учет!$O1076=Справочники!$F$5,Учет!$H1076,0)</f>
        <v>0</v>
      </c>
      <c r="F1076" s="52">
        <f>IF(Учет!$O1076=Справочники!$F$6,Учет!$H1076,0)</f>
        <v>0</v>
      </c>
      <c r="G1076" s="43">
        <f>G1075+Учет!B1076-B1076</f>
        <v>-488978.92000000004</v>
      </c>
      <c r="H1076" s="43">
        <f>H1075+Учет!C1076-C1076</f>
        <v>336855</v>
      </c>
      <c r="I1076" s="43">
        <f>I1075+Учет!D1076-D1076</f>
        <v>500</v>
      </c>
      <c r="J1076" s="43">
        <f>J1075+Учет!E1076-E1076</f>
        <v>1150</v>
      </c>
      <c r="K1076" s="43">
        <f>K1075+Учет!F1076-F1076</f>
        <v>500000</v>
      </c>
      <c r="L1076" s="45">
        <f>Учет!I1076</f>
        <v>349526.07999999996</v>
      </c>
    </row>
    <row r="1077" spans="1:12" x14ac:dyDescent="0.25">
      <c r="A1077" s="48" t="str">
        <f>IF(Учет!A1077&lt;&gt;"",Учет!A1077,"")</f>
        <v/>
      </c>
      <c r="B1077" s="52">
        <f>IF(Учет!$O1077=Справочники!$F$2,Учет!$H1077,0)</f>
        <v>0</v>
      </c>
      <c r="C1077" s="52">
        <f>IF(Учет!$O1077=Справочники!$F$3,Учет!$H1077,0)</f>
        <v>0</v>
      </c>
      <c r="D1077" s="52">
        <f>IF(Учет!$O1077=Справочники!$F$4,Учет!$H1077,0)</f>
        <v>0</v>
      </c>
      <c r="E1077" s="52">
        <f>IF(Учет!$O1077=Справочники!$F$5,Учет!$H1077,0)</f>
        <v>0</v>
      </c>
      <c r="F1077" s="52">
        <f>IF(Учет!$O1077=Справочники!$F$6,Учет!$H1077,0)</f>
        <v>0</v>
      </c>
      <c r="G1077" s="43">
        <f>G1076+Учет!B1077-B1077</f>
        <v>-488978.92000000004</v>
      </c>
      <c r="H1077" s="43">
        <f>H1076+Учет!C1077-C1077</f>
        <v>336855</v>
      </c>
      <c r="I1077" s="43">
        <f>I1076+Учет!D1077-D1077</f>
        <v>500</v>
      </c>
      <c r="J1077" s="43">
        <f>J1076+Учет!E1077-E1077</f>
        <v>1150</v>
      </c>
      <c r="K1077" s="43">
        <f>K1076+Учет!F1077-F1077</f>
        <v>500000</v>
      </c>
      <c r="L1077" s="45">
        <f>Учет!I1077</f>
        <v>349526.07999999996</v>
      </c>
    </row>
    <row r="1078" spans="1:12" x14ac:dyDescent="0.25">
      <c r="A1078" s="48" t="str">
        <f>IF(Учет!A1078&lt;&gt;"",Учет!A1078,"")</f>
        <v/>
      </c>
      <c r="B1078" s="52">
        <f>IF(Учет!$O1078=Справочники!$F$2,Учет!$H1078,0)</f>
        <v>0</v>
      </c>
      <c r="C1078" s="52">
        <f>IF(Учет!$O1078=Справочники!$F$3,Учет!$H1078,0)</f>
        <v>0</v>
      </c>
      <c r="D1078" s="52">
        <f>IF(Учет!$O1078=Справочники!$F$4,Учет!$H1078,0)</f>
        <v>0</v>
      </c>
      <c r="E1078" s="52">
        <f>IF(Учет!$O1078=Справочники!$F$5,Учет!$H1078,0)</f>
        <v>0</v>
      </c>
      <c r="F1078" s="52">
        <f>IF(Учет!$O1078=Справочники!$F$6,Учет!$H1078,0)</f>
        <v>0</v>
      </c>
      <c r="G1078" s="43">
        <f>G1077+Учет!B1078-B1078</f>
        <v>-488978.92000000004</v>
      </c>
      <c r="H1078" s="43">
        <f>H1077+Учет!C1078-C1078</f>
        <v>336855</v>
      </c>
      <c r="I1078" s="43">
        <f>I1077+Учет!D1078-D1078</f>
        <v>500</v>
      </c>
      <c r="J1078" s="43">
        <f>J1077+Учет!E1078-E1078</f>
        <v>1150</v>
      </c>
      <c r="K1078" s="43">
        <f>K1077+Учет!F1078-F1078</f>
        <v>500000</v>
      </c>
      <c r="L1078" s="45">
        <f>Учет!I1078</f>
        <v>349526.07999999996</v>
      </c>
    </row>
    <row r="1079" spans="1:12" x14ac:dyDescent="0.25">
      <c r="A1079" s="48" t="str">
        <f>IF(Учет!A1079&lt;&gt;"",Учет!A1079,"")</f>
        <v/>
      </c>
      <c r="B1079" s="52">
        <f>IF(Учет!$O1079=Справочники!$F$2,Учет!$H1079,0)</f>
        <v>0</v>
      </c>
      <c r="C1079" s="52">
        <f>IF(Учет!$O1079=Справочники!$F$3,Учет!$H1079,0)</f>
        <v>0</v>
      </c>
      <c r="D1079" s="52">
        <f>IF(Учет!$O1079=Справочники!$F$4,Учет!$H1079,0)</f>
        <v>0</v>
      </c>
      <c r="E1079" s="52">
        <f>IF(Учет!$O1079=Справочники!$F$5,Учет!$H1079,0)</f>
        <v>0</v>
      </c>
      <c r="F1079" s="52">
        <f>IF(Учет!$O1079=Справочники!$F$6,Учет!$H1079,0)</f>
        <v>0</v>
      </c>
      <c r="G1079" s="43">
        <f>G1078+Учет!B1079-B1079</f>
        <v>-488978.92000000004</v>
      </c>
      <c r="H1079" s="43">
        <f>H1078+Учет!C1079-C1079</f>
        <v>336855</v>
      </c>
      <c r="I1079" s="43">
        <f>I1078+Учет!D1079-D1079</f>
        <v>500</v>
      </c>
      <c r="J1079" s="43">
        <f>J1078+Учет!E1079-E1079</f>
        <v>1150</v>
      </c>
      <c r="K1079" s="43">
        <f>K1078+Учет!F1079-F1079</f>
        <v>500000</v>
      </c>
      <c r="L1079" s="45">
        <f>Учет!I1079</f>
        <v>349526.07999999996</v>
      </c>
    </row>
    <row r="1080" spans="1:12" x14ac:dyDescent="0.25">
      <c r="A1080" s="48" t="str">
        <f>IF(Учет!A1080&lt;&gt;"",Учет!A1080,"")</f>
        <v/>
      </c>
      <c r="B1080" s="52">
        <f>IF(Учет!$O1080=Справочники!$F$2,Учет!$H1080,0)</f>
        <v>0</v>
      </c>
      <c r="C1080" s="52">
        <f>IF(Учет!$O1080=Справочники!$F$3,Учет!$H1080,0)</f>
        <v>0</v>
      </c>
      <c r="D1080" s="52">
        <f>IF(Учет!$O1080=Справочники!$F$4,Учет!$H1080,0)</f>
        <v>0</v>
      </c>
      <c r="E1080" s="52">
        <f>IF(Учет!$O1080=Справочники!$F$5,Учет!$H1080,0)</f>
        <v>0</v>
      </c>
      <c r="F1080" s="52">
        <f>IF(Учет!$O1080=Справочники!$F$6,Учет!$H1080,0)</f>
        <v>0</v>
      </c>
      <c r="G1080" s="43">
        <f>G1079+Учет!B1080-B1080</f>
        <v>-488978.92000000004</v>
      </c>
      <c r="H1080" s="43">
        <f>H1079+Учет!C1080-C1080</f>
        <v>336855</v>
      </c>
      <c r="I1080" s="43">
        <f>I1079+Учет!D1080-D1080</f>
        <v>500</v>
      </c>
      <c r="J1080" s="43">
        <f>J1079+Учет!E1080-E1080</f>
        <v>1150</v>
      </c>
      <c r="K1080" s="43">
        <f>K1079+Учет!F1080-F1080</f>
        <v>500000</v>
      </c>
      <c r="L1080" s="45">
        <f>Учет!I1080</f>
        <v>349526.07999999996</v>
      </c>
    </row>
    <row r="1081" spans="1:12" x14ac:dyDescent="0.25">
      <c r="A1081" s="48" t="str">
        <f>IF(Учет!A1081&lt;&gt;"",Учет!A1081,"")</f>
        <v/>
      </c>
      <c r="B1081" s="52">
        <f>IF(Учет!$O1081=Справочники!$F$2,Учет!$H1081,0)</f>
        <v>0</v>
      </c>
      <c r="C1081" s="52">
        <f>IF(Учет!$O1081=Справочники!$F$3,Учет!$H1081,0)</f>
        <v>0</v>
      </c>
      <c r="D1081" s="52">
        <f>IF(Учет!$O1081=Справочники!$F$4,Учет!$H1081,0)</f>
        <v>0</v>
      </c>
      <c r="E1081" s="52">
        <f>IF(Учет!$O1081=Справочники!$F$5,Учет!$H1081,0)</f>
        <v>0</v>
      </c>
      <c r="F1081" s="52">
        <f>IF(Учет!$O1081=Справочники!$F$6,Учет!$H1081,0)</f>
        <v>0</v>
      </c>
      <c r="G1081" s="43">
        <f>G1080+Учет!B1081-B1081</f>
        <v>-488978.92000000004</v>
      </c>
      <c r="H1081" s="43">
        <f>H1080+Учет!C1081-C1081</f>
        <v>336855</v>
      </c>
      <c r="I1081" s="43">
        <f>I1080+Учет!D1081-D1081</f>
        <v>500</v>
      </c>
      <c r="J1081" s="43">
        <f>J1080+Учет!E1081-E1081</f>
        <v>1150</v>
      </c>
      <c r="K1081" s="43">
        <f>K1080+Учет!F1081-F1081</f>
        <v>500000</v>
      </c>
      <c r="L1081" s="45">
        <f>Учет!I1081</f>
        <v>349526.07999999996</v>
      </c>
    </row>
    <row r="1082" spans="1:12" x14ac:dyDescent="0.25">
      <c r="A1082" s="48" t="str">
        <f>IF(Учет!A1082&lt;&gt;"",Учет!A1082,"")</f>
        <v/>
      </c>
      <c r="B1082" s="52">
        <f>IF(Учет!$O1082=Справочники!$F$2,Учет!$H1082,0)</f>
        <v>0</v>
      </c>
      <c r="C1082" s="52">
        <f>IF(Учет!$O1082=Справочники!$F$3,Учет!$H1082,0)</f>
        <v>0</v>
      </c>
      <c r="D1082" s="52">
        <f>IF(Учет!$O1082=Справочники!$F$4,Учет!$H1082,0)</f>
        <v>0</v>
      </c>
      <c r="E1082" s="52">
        <f>IF(Учет!$O1082=Справочники!$F$5,Учет!$H1082,0)</f>
        <v>0</v>
      </c>
      <c r="F1082" s="52">
        <f>IF(Учет!$O1082=Справочники!$F$6,Учет!$H1082,0)</f>
        <v>0</v>
      </c>
      <c r="G1082" s="43">
        <f>G1081+Учет!B1082-B1082</f>
        <v>-488978.92000000004</v>
      </c>
      <c r="H1082" s="43">
        <f>H1081+Учет!C1082-C1082</f>
        <v>336855</v>
      </c>
      <c r="I1082" s="43">
        <f>I1081+Учет!D1082-D1082</f>
        <v>500</v>
      </c>
      <c r="J1082" s="43">
        <f>J1081+Учет!E1082-E1082</f>
        <v>1150</v>
      </c>
      <c r="K1082" s="43">
        <f>K1081+Учет!F1082-F1082</f>
        <v>500000</v>
      </c>
      <c r="L1082" s="45">
        <f>Учет!I1082</f>
        <v>349526.07999999996</v>
      </c>
    </row>
    <row r="1083" spans="1:12" x14ac:dyDescent="0.25">
      <c r="A1083" s="48" t="str">
        <f>IF(Учет!A1083&lt;&gt;"",Учет!A1083,"")</f>
        <v/>
      </c>
      <c r="B1083" s="52">
        <f>IF(Учет!$O1083=Справочники!$F$2,Учет!$H1083,0)</f>
        <v>0</v>
      </c>
      <c r="C1083" s="52">
        <f>IF(Учет!$O1083=Справочники!$F$3,Учет!$H1083,0)</f>
        <v>0</v>
      </c>
      <c r="D1083" s="52">
        <f>IF(Учет!$O1083=Справочники!$F$4,Учет!$H1083,0)</f>
        <v>0</v>
      </c>
      <c r="E1083" s="52">
        <f>IF(Учет!$O1083=Справочники!$F$5,Учет!$H1083,0)</f>
        <v>0</v>
      </c>
      <c r="F1083" s="52">
        <f>IF(Учет!$O1083=Справочники!$F$6,Учет!$H1083,0)</f>
        <v>0</v>
      </c>
      <c r="G1083" s="43">
        <f>G1082+Учет!B1083-B1083</f>
        <v>-488978.92000000004</v>
      </c>
      <c r="H1083" s="43">
        <f>H1082+Учет!C1083-C1083</f>
        <v>336855</v>
      </c>
      <c r="I1083" s="43">
        <f>I1082+Учет!D1083-D1083</f>
        <v>500</v>
      </c>
      <c r="J1083" s="43">
        <f>J1082+Учет!E1083-E1083</f>
        <v>1150</v>
      </c>
      <c r="K1083" s="43">
        <f>K1082+Учет!F1083-F1083</f>
        <v>500000</v>
      </c>
      <c r="L1083" s="45">
        <f>Учет!I1083</f>
        <v>349526.07999999996</v>
      </c>
    </row>
    <row r="1084" spans="1:12" x14ac:dyDescent="0.25">
      <c r="A1084" s="48" t="str">
        <f>IF(Учет!A1084&lt;&gt;"",Учет!A1084,"")</f>
        <v/>
      </c>
      <c r="B1084" s="52">
        <f>IF(Учет!$O1084=Справочники!$F$2,Учет!$H1084,0)</f>
        <v>0</v>
      </c>
      <c r="C1084" s="52">
        <f>IF(Учет!$O1084=Справочники!$F$3,Учет!$H1084,0)</f>
        <v>0</v>
      </c>
      <c r="D1084" s="52">
        <f>IF(Учет!$O1084=Справочники!$F$4,Учет!$H1084,0)</f>
        <v>0</v>
      </c>
      <c r="E1084" s="52">
        <f>IF(Учет!$O1084=Справочники!$F$5,Учет!$H1084,0)</f>
        <v>0</v>
      </c>
      <c r="F1084" s="52">
        <f>IF(Учет!$O1084=Справочники!$F$6,Учет!$H1084,0)</f>
        <v>0</v>
      </c>
      <c r="G1084" s="43">
        <f>G1083+Учет!B1084-B1084</f>
        <v>-488978.92000000004</v>
      </c>
      <c r="H1084" s="43">
        <f>H1083+Учет!C1084-C1084</f>
        <v>336855</v>
      </c>
      <c r="I1084" s="43">
        <f>I1083+Учет!D1084-D1084</f>
        <v>500</v>
      </c>
      <c r="J1084" s="43">
        <f>J1083+Учет!E1084-E1084</f>
        <v>1150</v>
      </c>
      <c r="K1084" s="43">
        <f>K1083+Учет!F1084-F1084</f>
        <v>500000</v>
      </c>
      <c r="L1084" s="45">
        <f>Учет!I1084</f>
        <v>349526.07999999996</v>
      </c>
    </row>
    <row r="1085" spans="1:12" x14ac:dyDescent="0.25">
      <c r="A1085" s="48" t="str">
        <f>IF(Учет!A1085&lt;&gt;"",Учет!A1085,"")</f>
        <v/>
      </c>
      <c r="B1085" s="52">
        <f>IF(Учет!$O1085=Справочники!$F$2,Учет!$H1085,0)</f>
        <v>0</v>
      </c>
      <c r="C1085" s="52">
        <f>IF(Учет!$O1085=Справочники!$F$3,Учет!$H1085,0)</f>
        <v>0</v>
      </c>
      <c r="D1085" s="52">
        <f>IF(Учет!$O1085=Справочники!$F$4,Учет!$H1085,0)</f>
        <v>0</v>
      </c>
      <c r="E1085" s="52">
        <f>IF(Учет!$O1085=Справочники!$F$5,Учет!$H1085,0)</f>
        <v>0</v>
      </c>
      <c r="F1085" s="52">
        <f>IF(Учет!$O1085=Справочники!$F$6,Учет!$H1085,0)</f>
        <v>0</v>
      </c>
      <c r="G1085" s="43">
        <f>G1084+Учет!B1085-B1085</f>
        <v>-488978.92000000004</v>
      </c>
      <c r="H1085" s="43">
        <f>H1084+Учет!C1085-C1085</f>
        <v>336855</v>
      </c>
      <c r="I1085" s="43">
        <f>I1084+Учет!D1085-D1085</f>
        <v>500</v>
      </c>
      <c r="J1085" s="43">
        <f>J1084+Учет!E1085-E1085</f>
        <v>1150</v>
      </c>
      <c r="K1085" s="43">
        <f>K1084+Учет!F1085-F1085</f>
        <v>500000</v>
      </c>
      <c r="L1085" s="45">
        <f>Учет!I1085</f>
        <v>349526.07999999996</v>
      </c>
    </row>
    <row r="1086" spans="1:12" x14ac:dyDescent="0.25">
      <c r="A1086" s="48" t="str">
        <f>IF(Учет!A1086&lt;&gt;"",Учет!A1086,"")</f>
        <v/>
      </c>
      <c r="B1086" s="52">
        <f>IF(Учет!$O1086=Справочники!$F$2,Учет!$H1086,0)</f>
        <v>0</v>
      </c>
      <c r="C1086" s="52">
        <f>IF(Учет!$O1086=Справочники!$F$3,Учет!$H1086,0)</f>
        <v>0</v>
      </c>
      <c r="D1086" s="52">
        <f>IF(Учет!$O1086=Справочники!$F$4,Учет!$H1086,0)</f>
        <v>0</v>
      </c>
      <c r="E1086" s="52">
        <f>IF(Учет!$O1086=Справочники!$F$5,Учет!$H1086,0)</f>
        <v>0</v>
      </c>
      <c r="F1086" s="52">
        <f>IF(Учет!$O1086=Справочники!$F$6,Учет!$H1086,0)</f>
        <v>0</v>
      </c>
      <c r="G1086" s="43">
        <f>G1085+Учет!B1086-B1086</f>
        <v>-488978.92000000004</v>
      </c>
      <c r="H1086" s="43">
        <f>H1085+Учет!C1086-C1086</f>
        <v>336855</v>
      </c>
      <c r="I1086" s="43">
        <f>I1085+Учет!D1086-D1086</f>
        <v>500</v>
      </c>
      <c r="J1086" s="43">
        <f>J1085+Учет!E1086-E1086</f>
        <v>1150</v>
      </c>
      <c r="K1086" s="43">
        <f>K1085+Учет!F1086-F1086</f>
        <v>500000</v>
      </c>
      <c r="L1086" s="45">
        <f>Учет!I1086</f>
        <v>349526.07999999996</v>
      </c>
    </row>
    <row r="1087" spans="1:12" x14ac:dyDescent="0.25">
      <c r="A1087" s="48" t="str">
        <f>IF(Учет!A1087&lt;&gt;"",Учет!A1087,"")</f>
        <v/>
      </c>
      <c r="B1087" s="52">
        <f>IF(Учет!$O1087=Справочники!$F$2,Учет!$H1087,0)</f>
        <v>0</v>
      </c>
      <c r="C1087" s="52">
        <f>IF(Учет!$O1087=Справочники!$F$3,Учет!$H1087,0)</f>
        <v>0</v>
      </c>
      <c r="D1087" s="52">
        <f>IF(Учет!$O1087=Справочники!$F$4,Учет!$H1087,0)</f>
        <v>0</v>
      </c>
      <c r="E1087" s="52">
        <f>IF(Учет!$O1087=Справочники!$F$5,Учет!$H1087,0)</f>
        <v>0</v>
      </c>
      <c r="F1087" s="52">
        <f>IF(Учет!$O1087=Справочники!$F$6,Учет!$H1087,0)</f>
        <v>0</v>
      </c>
      <c r="G1087" s="43">
        <f>G1086+Учет!B1087-B1087</f>
        <v>-488978.92000000004</v>
      </c>
      <c r="H1087" s="43">
        <f>H1086+Учет!C1087-C1087</f>
        <v>336855</v>
      </c>
      <c r="I1087" s="43">
        <f>I1086+Учет!D1087-D1087</f>
        <v>500</v>
      </c>
      <c r="J1087" s="43">
        <f>J1086+Учет!E1087-E1087</f>
        <v>1150</v>
      </c>
      <c r="K1087" s="43">
        <f>K1086+Учет!F1087-F1087</f>
        <v>500000</v>
      </c>
      <c r="L1087" s="45">
        <f>Учет!I1087</f>
        <v>349526.07999999996</v>
      </c>
    </row>
    <row r="1088" spans="1:12" x14ac:dyDescent="0.25">
      <c r="A1088" s="48" t="str">
        <f>IF(Учет!A1088&lt;&gt;"",Учет!A1088,"")</f>
        <v/>
      </c>
      <c r="B1088" s="52">
        <f>IF(Учет!$O1088=Справочники!$F$2,Учет!$H1088,0)</f>
        <v>0</v>
      </c>
      <c r="C1088" s="52">
        <f>IF(Учет!$O1088=Справочники!$F$3,Учет!$H1088,0)</f>
        <v>0</v>
      </c>
      <c r="D1088" s="52">
        <f>IF(Учет!$O1088=Справочники!$F$4,Учет!$H1088,0)</f>
        <v>0</v>
      </c>
      <c r="E1088" s="52">
        <f>IF(Учет!$O1088=Справочники!$F$5,Учет!$H1088,0)</f>
        <v>0</v>
      </c>
      <c r="F1088" s="52">
        <f>IF(Учет!$O1088=Справочники!$F$6,Учет!$H1088,0)</f>
        <v>0</v>
      </c>
      <c r="G1088" s="43">
        <f>G1087+Учет!B1088-B1088</f>
        <v>-488978.92000000004</v>
      </c>
      <c r="H1088" s="43">
        <f>H1087+Учет!C1088-C1088</f>
        <v>336855</v>
      </c>
      <c r="I1088" s="43">
        <f>I1087+Учет!D1088-D1088</f>
        <v>500</v>
      </c>
      <c r="J1088" s="43">
        <f>J1087+Учет!E1088-E1088</f>
        <v>1150</v>
      </c>
      <c r="K1088" s="43">
        <f>K1087+Учет!F1088-F1088</f>
        <v>500000</v>
      </c>
      <c r="L1088" s="45">
        <f>Учет!I1088</f>
        <v>349526.07999999996</v>
      </c>
    </row>
    <row r="1089" spans="1:12" x14ac:dyDescent="0.25">
      <c r="A1089" s="48" t="str">
        <f>IF(Учет!A1089&lt;&gt;"",Учет!A1089,"")</f>
        <v/>
      </c>
      <c r="B1089" s="52">
        <f>IF(Учет!$O1089=Справочники!$F$2,Учет!$H1089,0)</f>
        <v>0</v>
      </c>
      <c r="C1089" s="52">
        <f>IF(Учет!$O1089=Справочники!$F$3,Учет!$H1089,0)</f>
        <v>0</v>
      </c>
      <c r="D1089" s="52">
        <f>IF(Учет!$O1089=Справочники!$F$4,Учет!$H1089,0)</f>
        <v>0</v>
      </c>
      <c r="E1089" s="52">
        <f>IF(Учет!$O1089=Справочники!$F$5,Учет!$H1089,0)</f>
        <v>0</v>
      </c>
      <c r="F1089" s="52">
        <f>IF(Учет!$O1089=Справочники!$F$6,Учет!$H1089,0)</f>
        <v>0</v>
      </c>
      <c r="G1089" s="43">
        <f>G1088+Учет!B1089-B1089</f>
        <v>-488978.92000000004</v>
      </c>
      <c r="H1089" s="43">
        <f>H1088+Учет!C1089-C1089</f>
        <v>336855</v>
      </c>
      <c r="I1089" s="43">
        <f>I1088+Учет!D1089-D1089</f>
        <v>500</v>
      </c>
      <c r="J1089" s="43">
        <f>J1088+Учет!E1089-E1089</f>
        <v>1150</v>
      </c>
      <c r="K1089" s="43">
        <f>K1088+Учет!F1089-F1089</f>
        <v>500000</v>
      </c>
      <c r="L1089" s="45">
        <f>Учет!I1089</f>
        <v>349526.07999999996</v>
      </c>
    </row>
    <row r="1090" spans="1:12" x14ac:dyDescent="0.25">
      <c r="A1090" s="48" t="str">
        <f>IF(Учет!A1090&lt;&gt;"",Учет!A1090,"")</f>
        <v/>
      </c>
      <c r="B1090" s="52">
        <f>IF(Учет!$O1090=Справочники!$F$2,Учет!$H1090,0)</f>
        <v>0</v>
      </c>
      <c r="C1090" s="52">
        <f>IF(Учет!$O1090=Справочники!$F$3,Учет!$H1090,0)</f>
        <v>0</v>
      </c>
      <c r="D1090" s="52">
        <f>IF(Учет!$O1090=Справочники!$F$4,Учет!$H1090,0)</f>
        <v>0</v>
      </c>
      <c r="E1090" s="52">
        <f>IF(Учет!$O1090=Справочники!$F$5,Учет!$H1090,0)</f>
        <v>0</v>
      </c>
      <c r="F1090" s="52">
        <f>IF(Учет!$O1090=Справочники!$F$6,Учет!$H1090,0)</f>
        <v>0</v>
      </c>
      <c r="G1090" s="43">
        <f>G1089+Учет!B1090-B1090</f>
        <v>-488978.92000000004</v>
      </c>
      <c r="H1090" s="43">
        <f>H1089+Учет!C1090-C1090</f>
        <v>336855</v>
      </c>
      <c r="I1090" s="43">
        <f>I1089+Учет!D1090-D1090</f>
        <v>500</v>
      </c>
      <c r="J1090" s="43">
        <f>J1089+Учет!E1090-E1090</f>
        <v>1150</v>
      </c>
      <c r="K1090" s="43">
        <f>K1089+Учет!F1090-F1090</f>
        <v>500000</v>
      </c>
      <c r="L1090" s="45">
        <f>Учет!I1090</f>
        <v>349526.07999999996</v>
      </c>
    </row>
    <row r="1091" spans="1:12" x14ac:dyDescent="0.25">
      <c r="A1091" s="48" t="str">
        <f>IF(Учет!A1091&lt;&gt;"",Учет!A1091,"")</f>
        <v/>
      </c>
      <c r="B1091" s="52">
        <f>IF(Учет!$O1091=Справочники!$F$2,Учет!$H1091,0)</f>
        <v>0</v>
      </c>
      <c r="C1091" s="52">
        <f>IF(Учет!$O1091=Справочники!$F$3,Учет!$H1091,0)</f>
        <v>0</v>
      </c>
      <c r="D1091" s="52">
        <f>IF(Учет!$O1091=Справочники!$F$4,Учет!$H1091,0)</f>
        <v>0</v>
      </c>
      <c r="E1091" s="52">
        <f>IF(Учет!$O1091=Справочники!$F$5,Учет!$H1091,0)</f>
        <v>0</v>
      </c>
      <c r="F1091" s="52">
        <f>IF(Учет!$O1091=Справочники!$F$6,Учет!$H1091,0)</f>
        <v>0</v>
      </c>
      <c r="G1091" s="43">
        <f>G1090+Учет!B1091-B1091</f>
        <v>-488978.92000000004</v>
      </c>
      <c r="H1091" s="43">
        <f>H1090+Учет!C1091-C1091</f>
        <v>336855</v>
      </c>
      <c r="I1091" s="43">
        <f>I1090+Учет!D1091-D1091</f>
        <v>500</v>
      </c>
      <c r="J1091" s="43">
        <f>J1090+Учет!E1091-E1091</f>
        <v>1150</v>
      </c>
      <c r="K1091" s="43">
        <f>K1090+Учет!F1091-F1091</f>
        <v>500000</v>
      </c>
      <c r="L1091" s="45">
        <f>Учет!I1091</f>
        <v>349526.07999999996</v>
      </c>
    </row>
    <row r="1092" spans="1:12" x14ac:dyDescent="0.25">
      <c r="A1092" s="48" t="str">
        <f>IF(Учет!A1092&lt;&gt;"",Учет!A1092,"")</f>
        <v/>
      </c>
      <c r="B1092" s="52">
        <f>IF(Учет!$O1092=Справочники!$F$2,Учет!$H1092,0)</f>
        <v>0</v>
      </c>
      <c r="C1092" s="52">
        <f>IF(Учет!$O1092=Справочники!$F$3,Учет!$H1092,0)</f>
        <v>0</v>
      </c>
      <c r="D1092" s="52">
        <f>IF(Учет!$O1092=Справочники!$F$4,Учет!$H1092,0)</f>
        <v>0</v>
      </c>
      <c r="E1092" s="52">
        <f>IF(Учет!$O1092=Справочники!$F$5,Учет!$H1092,0)</f>
        <v>0</v>
      </c>
      <c r="F1092" s="52">
        <f>IF(Учет!$O1092=Справочники!$F$6,Учет!$H1092,0)</f>
        <v>0</v>
      </c>
      <c r="G1092" s="43">
        <f>G1091+Учет!B1092-B1092</f>
        <v>-488978.92000000004</v>
      </c>
      <c r="H1092" s="43">
        <f>H1091+Учет!C1092-C1092</f>
        <v>336855</v>
      </c>
      <c r="I1092" s="43">
        <f>I1091+Учет!D1092-D1092</f>
        <v>500</v>
      </c>
      <c r="J1092" s="43">
        <f>J1091+Учет!E1092-E1092</f>
        <v>1150</v>
      </c>
      <c r="K1092" s="43">
        <f>K1091+Учет!F1092-F1092</f>
        <v>500000</v>
      </c>
      <c r="L1092" s="45">
        <f>Учет!I1092</f>
        <v>349526.07999999996</v>
      </c>
    </row>
    <row r="1093" spans="1:12" x14ac:dyDescent="0.25">
      <c r="A1093" s="48" t="str">
        <f>IF(Учет!A1093&lt;&gt;"",Учет!A1093,"")</f>
        <v/>
      </c>
      <c r="B1093" s="52">
        <f>IF(Учет!$O1093=Справочники!$F$2,Учет!$H1093,0)</f>
        <v>0</v>
      </c>
      <c r="C1093" s="52">
        <f>IF(Учет!$O1093=Справочники!$F$3,Учет!$H1093,0)</f>
        <v>0</v>
      </c>
      <c r="D1093" s="52">
        <f>IF(Учет!$O1093=Справочники!$F$4,Учет!$H1093,0)</f>
        <v>0</v>
      </c>
      <c r="E1093" s="52">
        <f>IF(Учет!$O1093=Справочники!$F$5,Учет!$H1093,0)</f>
        <v>0</v>
      </c>
      <c r="F1093" s="52">
        <f>IF(Учет!$O1093=Справочники!$F$6,Учет!$H1093,0)</f>
        <v>0</v>
      </c>
      <c r="G1093" s="43">
        <f>G1092+Учет!B1093-B1093</f>
        <v>-488978.92000000004</v>
      </c>
      <c r="H1093" s="43">
        <f>H1092+Учет!C1093-C1093</f>
        <v>336855</v>
      </c>
      <c r="I1093" s="43">
        <f>I1092+Учет!D1093-D1093</f>
        <v>500</v>
      </c>
      <c r="J1093" s="43">
        <f>J1092+Учет!E1093-E1093</f>
        <v>1150</v>
      </c>
      <c r="K1093" s="43">
        <f>K1092+Учет!F1093-F1093</f>
        <v>500000</v>
      </c>
      <c r="L1093" s="45">
        <f>Учет!I1093</f>
        <v>349526.07999999996</v>
      </c>
    </row>
    <row r="1094" spans="1:12" x14ac:dyDescent="0.25">
      <c r="A1094" s="48" t="str">
        <f>IF(Учет!A1094&lt;&gt;"",Учет!A1094,"")</f>
        <v/>
      </c>
      <c r="B1094" s="52">
        <f>IF(Учет!$O1094=Справочники!$F$2,Учет!$H1094,0)</f>
        <v>0</v>
      </c>
      <c r="C1094" s="52">
        <f>IF(Учет!$O1094=Справочники!$F$3,Учет!$H1094,0)</f>
        <v>0</v>
      </c>
      <c r="D1094" s="52">
        <f>IF(Учет!$O1094=Справочники!$F$4,Учет!$H1094,0)</f>
        <v>0</v>
      </c>
      <c r="E1094" s="52">
        <f>IF(Учет!$O1094=Справочники!$F$5,Учет!$H1094,0)</f>
        <v>0</v>
      </c>
      <c r="F1094" s="52">
        <f>IF(Учет!$O1094=Справочники!$F$6,Учет!$H1094,0)</f>
        <v>0</v>
      </c>
      <c r="G1094" s="43">
        <f>G1093+Учет!B1094-B1094</f>
        <v>-488978.92000000004</v>
      </c>
      <c r="H1094" s="43">
        <f>H1093+Учет!C1094-C1094</f>
        <v>336855</v>
      </c>
      <c r="I1094" s="43">
        <f>I1093+Учет!D1094-D1094</f>
        <v>500</v>
      </c>
      <c r="J1094" s="43">
        <f>J1093+Учет!E1094-E1094</f>
        <v>1150</v>
      </c>
      <c r="K1094" s="43">
        <f>K1093+Учет!F1094-F1094</f>
        <v>500000</v>
      </c>
      <c r="L1094" s="45">
        <f>Учет!I1094</f>
        <v>349526.07999999996</v>
      </c>
    </row>
    <row r="1095" spans="1:12" x14ac:dyDescent="0.25">
      <c r="A1095" s="48" t="str">
        <f>IF(Учет!A1095&lt;&gt;"",Учет!A1095,"")</f>
        <v/>
      </c>
      <c r="B1095" s="52">
        <f>IF(Учет!$O1095=Справочники!$F$2,Учет!$H1095,0)</f>
        <v>0</v>
      </c>
      <c r="C1095" s="52">
        <f>IF(Учет!$O1095=Справочники!$F$3,Учет!$H1095,0)</f>
        <v>0</v>
      </c>
      <c r="D1095" s="52">
        <f>IF(Учет!$O1095=Справочники!$F$4,Учет!$H1095,0)</f>
        <v>0</v>
      </c>
      <c r="E1095" s="52">
        <f>IF(Учет!$O1095=Справочники!$F$5,Учет!$H1095,0)</f>
        <v>0</v>
      </c>
      <c r="F1095" s="52">
        <f>IF(Учет!$O1095=Справочники!$F$6,Учет!$H1095,0)</f>
        <v>0</v>
      </c>
      <c r="G1095" s="43">
        <f>G1094+Учет!B1095-B1095</f>
        <v>-488978.92000000004</v>
      </c>
      <c r="H1095" s="43">
        <f>H1094+Учет!C1095-C1095</f>
        <v>336855</v>
      </c>
      <c r="I1095" s="43">
        <f>I1094+Учет!D1095-D1095</f>
        <v>500</v>
      </c>
      <c r="J1095" s="43">
        <f>J1094+Учет!E1095-E1095</f>
        <v>1150</v>
      </c>
      <c r="K1095" s="43">
        <f>K1094+Учет!F1095-F1095</f>
        <v>500000</v>
      </c>
      <c r="L1095" s="45">
        <f>Учет!I1095</f>
        <v>349526.07999999996</v>
      </c>
    </row>
    <row r="1096" spans="1:12" x14ac:dyDescent="0.25">
      <c r="A1096" s="48" t="str">
        <f>IF(Учет!A1096&lt;&gt;"",Учет!A1096,"")</f>
        <v/>
      </c>
      <c r="B1096" s="52">
        <f>IF(Учет!$O1096=Справочники!$F$2,Учет!$H1096,0)</f>
        <v>0</v>
      </c>
      <c r="C1096" s="52">
        <f>IF(Учет!$O1096=Справочники!$F$3,Учет!$H1096,0)</f>
        <v>0</v>
      </c>
      <c r="D1096" s="52">
        <f>IF(Учет!$O1096=Справочники!$F$4,Учет!$H1096,0)</f>
        <v>0</v>
      </c>
      <c r="E1096" s="52">
        <f>IF(Учет!$O1096=Справочники!$F$5,Учет!$H1096,0)</f>
        <v>0</v>
      </c>
      <c r="F1096" s="52">
        <f>IF(Учет!$O1096=Справочники!$F$6,Учет!$H1096,0)</f>
        <v>0</v>
      </c>
      <c r="G1096" s="43">
        <f>G1095+Учет!B1096-B1096</f>
        <v>-488978.92000000004</v>
      </c>
      <c r="H1096" s="43">
        <f>H1095+Учет!C1096-C1096</f>
        <v>336855</v>
      </c>
      <c r="I1096" s="43">
        <f>I1095+Учет!D1096-D1096</f>
        <v>500</v>
      </c>
      <c r="J1096" s="43">
        <f>J1095+Учет!E1096-E1096</f>
        <v>1150</v>
      </c>
      <c r="K1096" s="43">
        <f>K1095+Учет!F1096-F1096</f>
        <v>500000</v>
      </c>
      <c r="L1096" s="45">
        <f>Учет!I1096</f>
        <v>349526.07999999996</v>
      </c>
    </row>
    <row r="1097" spans="1:12" x14ac:dyDescent="0.25">
      <c r="A1097" s="48" t="str">
        <f>IF(Учет!A1097&lt;&gt;"",Учет!A1097,"")</f>
        <v/>
      </c>
      <c r="B1097" s="52">
        <f>IF(Учет!$O1097=Справочники!$F$2,Учет!$H1097,0)</f>
        <v>0</v>
      </c>
      <c r="C1097" s="52">
        <f>IF(Учет!$O1097=Справочники!$F$3,Учет!$H1097,0)</f>
        <v>0</v>
      </c>
      <c r="D1097" s="52">
        <f>IF(Учет!$O1097=Справочники!$F$4,Учет!$H1097,0)</f>
        <v>0</v>
      </c>
      <c r="E1097" s="52">
        <f>IF(Учет!$O1097=Справочники!$F$5,Учет!$H1097,0)</f>
        <v>0</v>
      </c>
      <c r="F1097" s="52">
        <f>IF(Учет!$O1097=Справочники!$F$6,Учет!$H1097,0)</f>
        <v>0</v>
      </c>
      <c r="G1097" s="43">
        <f>G1096+Учет!B1097-B1097</f>
        <v>-488978.92000000004</v>
      </c>
      <c r="H1097" s="43">
        <f>H1096+Учет!C1097-C1097</f>
        <v>336855</v>
      </c>
      <c r="I1097" s="43">
        <f>I1096+Учет!D1097-D1097</f>
        <v>500</v>
      </c>
      <c r="J1097" s="43">
        <f>J1096+Учет!E1097-E1097</f>
        <v>1150</v>
      </c>
      <c r="K1097" s="43">
        <f>K1096+Учет!F1097-F1097</f>
        <v>500000</v>
      </c>
      <c r="L1097" s="45">
        <f>Учет!I1097</f>
        <v>349526.07999999996</v>
      </c>
    </row>
    <row r="1098" spans="1:12" x14ac:dyDescent="0.25">
      <c r="A1098" s="48" t="str">
        <f>IF(Учет!A1098&lt;&gt;"",Учет!A1098,"")</f>
        <v/>
      </c>
      <c r="B1098" s="52">
        <f>IF(Учет!$O1098=Справочники!$F$2,Учет!$H1098,0)</f>
        <v>0</v>
      </c>
      <c r="C1098" s="52">
        <f>IF(Учет!$O1098=Справочники!$F$3,Учет!$H1098,0)</f>
        <v>0</v>
      </c>
      <c r="D1098" s="52">
        <f>IF(Учет!$O1098=Справочники!$F$4,Учет!$H1098,0)</f>
        <v>0</v>
      </c>
      <c r="E1098" s="52">
        <f>IF(Учет!$O1098=Справочники!$F$5,Учет!$H1098,0)</f>
        <v>0</v>
      </c>
      <c r="F1098" s="52">
        <f>IF(Учет!$O1098=Справочники!$F$6,Учет!$H1098,0)</f>
        <v>0</v>
      </c>
      <c r="G1098" s="43">
        <f>G1097+Учет!B1098-B1098</f>
        <v>-488978.92000000004</v>
      </c>
      <c r="H1098" s="43">
        <f>H1097+Учет!C1098-C1098</f>
        <v>336855</v>
      </c>
      <c r="I1098" s="43">
        <f>I1097+Учет!D1098-D1098</f>
        <v>500</v>
      </c>
      <c r="J1098" s="43">
        <f>J1097+Учет!E1098-E1098</f>
        <v>1150</v>
      </c>
      <c r="K1098" s="43">
        <f>K1097+Учет!F1098-F1098</f>
        <v>500000</v>
      </c>
      <c r="L1098" s="45">
        <f>Учет!I1098</f>
        <v>349526.07999999996</v>
      </c>
    </row>
    <row r="1099" spans="1:12" x14ac:dyDescent="0.25">
      <c r="A1099" s="48" t="str">
        <f>IF(Учет!A1099&lt;&gt;"",Учет!A1099,"")</f>
        <v/>
      </c>
      <c r="B1099" s="52">
        <f>IF(Учет!$O1099=Справочники!$F$2,Учет!$H1099,0)</f>
        <v>0</v>
      </c>
      <c r="C1099" s="52">
        <f>IF(Учет!$O1099=Справочники!$F$3,Учет!$H1099,0)</f>
        <v>0</v>
      </c>
      <c r="D1099" s="52">
        <f>IF(Учет!$O1099=Справочники!$F$4,Учет!$H1099,0)</f>
        <v>0</v>
      </c>
      <c r="E1099" s="52">
        <f>IF(Учет!$O1099=Справочники!$F$5,Учет!$H1099,0)</f>
        <v>0</v>
      </c>
      <c r="F1099" s="52">
        <f>IF(Учет!$O1099=Справочники!$F$6,Учет!$H1099,0)</f>
        <v>0</v>
      </c>
      <c r="G1099" s="43">
        <f>G1098+Учет!B1099-B1099</f>
        <v>-488978.92000000004</v>
      </c>
      <c r="H1099" s="43">
        <f>H1098+Учет!C1099-C1099</f>
        <v>336855</v>
      </c>
      <c r="I1099" s="43">
        <f>I1098+Учет!D1099-D1099</f>
        <v>500</v>
      </c>
      <c r="J1099" s="43">
        <f>J1098+Учет!E1099-E1099</f>
        <v>1150</v>
      </c>
      <c r="K1099" s="43">
        <f>K1098+Учет!F1099-F1099</f>
        <v>500000</v>
      </c>
      <c r="L1099" s="45">
        <f>Учет!I1099</f>
        <v>349526.07999999996</v>
      </c>
    </row>
    <row r="1100" spans="1:12" x14ac:dyDescent="0.25">
      <c r="A1100" s="48" t="str">
        <f>IF(Учет!A1100&lt;&gt;"",Учет!A1100,"")</f>
        <v/>
      </c>
      <c r="B1100" s="52">
        <f>IF(Учет!$O1100=Справочники!$F$2,Учет!$H1100,0)</f>
        <v>0</v>
      </c>
      <c r="C1100" s="52">
        <f>IF(Учет!$O1100=Справочники!$F$3,Учет!$H1100,0)</f>
        <v>0</v>
      </c>
      <c r="D1100" s="52">
        <f>IF(Учет!$O1100=Справочники!$F$4,Учет!$H1100,0)</f>
        <v>0</v>
      </c>
      <c r="E1100" s="52">
        <f>IF(Учет!$O1100=Справочники!$F$5,Учет!$H1100,0)</f>
        <v>0</v>
      </c>
      <c r="F1100" s="52">
        <f>IF(Учет!$O1100=Справочники!$F$6,Учет!$H1100,0)</f>
        <v>0</v>
      </c>
      <c r="G1100" s="43">
        <f>G1099+Учет!B1100-B1100</f>
        <v>-488978.92000000004</v>
      </c>
      <c r="H1100" s="43">
        <f>H1099+Учет!C1100-C1100</f>
        <v>336855</v>
      </c>
      <c r="I1100" s="43">
        <f>I1099+Учет!D1100-D1100</f>
        <v>500</v>
      </c>
      <c r="J1100" s="43">
        <f>J1099+Учет!E1100-E1100</f>
        <v>1150</v>
      </c>
      <c r="K1100" s="43">
        <f>K1099+Учет!F1100-F1100</f>
        <v>500000</v>
      </c>
      <c r="L1100" s="45">
        <f>Учет!I1100</f>
        <v>349526.07999999996</v>
      </c>
    </row>
    <row r="1101" spans="1:12" x14ac:dyDescent="0.25">
      <c r="A1101" s="48" t="str">
        <f>IF(Учет!A1101&lt;&gt;"",Учет!A1101,"")</f>
        <v/>
      </c>
      <c r="B1101" s="52">
        <f>IF(Учет!$O1101=Справочники!$F$2,Учет!$H1101,0)</f>
        <v>0</v>
      </c>
      <c r="C1101" s="52">
        <f>IF(Учет!$O1101=Справочники!$F$3,Учет!$H1101,0)</f>
        <v>0</v>
      </c>
      <c r="D1101" s="52">
        <f>IF(Учет!$O1101=Справочники!$F$4,Учет!$H1101,0)</f>
        <v>0</v>
      </c>
      <c r="E1101" s="52">
        <f>IF(Учет!$O1101=Справочники!$F$5,Учет!$H1101,0)</f>
        <v>0</v>
      </c>
      <c r="F1101" s="52">
        <f>IF(Учет!$O1101=Справочники!$F$6,Учет!$H1101,0)</f>
        <v>0</v>
      </c>
      <c r="G1101" s="43">
        <f>G1100+Учет!B1101-B1101</f>
        <v>-488978.92000000004</v>
      </c>
      <c r="H1101" s="43">
        <f>H1100+Учет!C1101-C1101</f>
        <v>336855</v>
      </c>
      <c r="I1101" s="43">
        <f>I1100+Учет!D1101-D1101</f>
        <v>500</v>
      </c>
      <c r="J1101" s="43">
        <f>J1100+Учет!E1101-E1101</f>
        <v>1150</v>
      </c>
      <c r="K1101" s="43">
        <f>K1100+Учет!F1101-F1101</f>
        <v>500000</v>
      </c>
      <c r="L1101" s="45">
        <f>Учет!I1101</f>
        <v>349526.07999999996</v>
      </c>
    </row>
    <row r="1102" spans="1:12" x14ac:dyDescent="0.25">
      <c r="A1102" s="48" t="str">
        <f>IF(Учет!A1102&lt;&gt;"",Учет!A1102,"")</f>
        <v/>
      </c>
      <c r="B1102" s="52">
        <f>IF(Учет!$O1102=Справочники!$F$2,Учет!$H1102,0)</f>
        <v>0</v>
      </c>
      <c r="C1102" s="52">
        <f>IF(Учет!$O1102=Справочники!$F$3,Учет!$H1102,0)</f>
        <v>0</v>
      </c>
      <c r="D1102" s="52">
        <f>IF(Учет!$O1102=Справочники!$F$4,Учет!$H1102,0)</f>
        <v>0</v>
      </c>
      <c r="E1102" s="52">
        <f>IF(Учет!$O1102=Справочники!$F$5,Учет!$H1102,0)</f>
        <v>0</v>
      </c>
      <c r="F1102" s="52">
        <f>IF(Учет!$O1102=Справочники!$F$6,Учет!$H1102,0)</f>
        <v>0</v>
      </c>
      <c r="G1102" s="43">
        <f>G1101+Учет!B1102-B1102</f>
        <v>-488978.92000000004</v>
      </c>
      <c r="H1102" s="43">
        <f>H1101+Учет!C1102-C1102</f>
        <v>336855</v>
      </c>
      <c r="I1102" s="43">
        <f>I1101+Учет!D1102-D1102</f>
        <v>500</v>
      </c>
      <c r="J1102" s="43">
        <f>J1101+Учет!E1102-E1102</f>
        <v>1150</v>
      </c>
      <c r="K1102" s="43">
        <f>K1101+Учет!F1102-F1102</f>
        <v>500000</v>
      </c>
      <c r="L1102" s="45">
        <f>Учет!I1102</f>
        <v>349526.07999999996</v>
      </c>
    </row>
    <row r="1103" spans="1:12" x14ac:dyDescent="0.25">
      <c r="A1103" s="48" t="str">
        <f>IF(Учет!A1103&lt;&gt;"",Учет!A1103,"")</f>
        <v/>
      </c>
      <c r="B1103" s="52">
        <f>IF(Учет!$O1103=Справочники!$F$2,Учет!$H1103,0)</f>
        <v>0</v>
      </c>
      <c r="C1103" s="52">
        <f>IF(Учет!$O1103=Справочники!$F$3,Учет!$H1103,0)</f>
        <v>0</v>
      </c>
      <c r="D1103" s="52">
        <f>IF(Учет!$O1103=Справочники!$F$4,Учет!$H1103,0)</f>
        <v>0</v>
      </c>
      <c r="E1103" s="52">
        <f>IF(Учет!$O1103=Справочники!$F$5,Учет!$H1103,0)</f>
        <v>0</v>
      </c>
      <c r="F1103" s="52">
        <f>IF(Учет!$O1103=Справочники!$F$6,Учет!$H1103,0)</f>
        <v>0</v>
      </c>
      <c r="G1103" s="43">
        <f>G1102+Учет!B1103-B1103</f>
        <v>-488978.92000000004</v>
      </c>
      <c r="H1103" s="43">
        <f>H1102+Учет!C1103-C1103</f>
        <v>336855</v>
      </c>
      <c r="I1103" s="43">
        <f>I1102+Учет!D1103-D1103</f>
        <v>500</v>
      </c>
      <c r="J1103" s="43">
        <f>J1102+Учет!E1103-E1103</f>
        <v>1150</v>
      </c>
      <c r="K1103" s="43">
        <f>K1102+Учет!F1103-F1103</f>
        <v>500000</v>
      </c>
      <c r="L1103" s="45">
        <f>Учет!I1103</f>
        <v>349526.07999999996</v>
      </c>
    </row>
    <row r="1104" spans="1:12" x14ac:dyDescent="0.25">
      <c r="A1104" s="48" t="str">
        <f>IF(Учет!A1104&lt;&gt;"",Учет!A1104,"")</f>
        <v/>
      </c>
      <c r="B1104" s="52">
        <f>IF(Учет!$O1104=Справочники!$F$2,Учет!$H1104,0)</f>
        <v>0</v>
      </c>
      <c r="C1104" s="52">
        <f>IF(Учет!$O1104=Справочники!$F$3,Учет!$H1104,0)</f>
        <v>0</v>
      </c>
      <c r="D1104" s="52">
        <f>IF(Учет!$O1104=Справочники!$F$4,Учет!$H1104,0)</f>
        <v>0</v>
      </c>
      <c r="E1104" s="52">
        <f>IF(Учет!$O1104=Справочники!$F$5,Учет!$H1104,0)</f>
        <v>0</v>
      </c>
      <c r="F1104" s="52">
        <f>IF(Учет!$O1104=Справочники!$F$6,Учет!$H1104,0)</f>
        <v>0</v>
      </c>
      <c r="G1104" s="43">
        <f>G1103+Учет!B1104-B1104</f>
        <v>-488978.92000000004</v>
      </c>
      <c r="H1104" s="43">
        <f>H1103+Учет!C1104-C1104</f>
        <v>336855</v>
      </c>
      <c r="I1104" s="43">
        <f>I1103+Учет!D1104-D1104</f>
        <v>500</v>
      </c>
      <c r="J1104" s="43">
        <f>J1103+Учет!E1104-E1104</f>
        <v>1150</v>
      </c>
      <c r="K1104" s="43">
        <f>K1103+Учет!F1104-F1104</f>
        <v>500000</v>
      </c>
      <c r="L1104" s="45">
        <f>Учет!I1104</f>
        <v>349526.07999999996</v>
      </c>
    </row>
    <row r="1105" spans="1:12" x14ac:dyDescent="0.25">
      <c r="A1105" s="48" t="str">
        <f>IF(Учет!A1105&lt;&gt;"",Учет!A1105,"")</f>
        <v/>
      </c>
      <c r="B1105" s="52">
        <f>IF(Учет!$O1105=Справочники!$F$2,Учет!$H1105,0)</f>
        <v>0</v>
      </c>
      <c r="C1105" s="52">
        <f>IF(Учет!$O1105=Справочники!$F$3,Учет!$H1105,0)</f>
        <v>0</v>
      </c>
      <c r="D1105" s="52">
        <f>IF(Учет!$O1105=Справочники!$F$4,Учет!$H1105,0)</f>
        <v>0</v>
      </c>
      <c r="E1105" s="52">
        <f>IF(Учет!$O1105=Справочники!$F$5,Учет!$H1105,0)</f>
        <v>0</v>
      </c>
      <c r="F1105" s="52">
        <f>IF(Учет!$O1105=Справочники!$F$6,Учет!$H1105,0)</f>
        <v>0</v>
      </c>
      <c r="G1105" s="43">
        <f>G1104+Учет!B1105-B1105</f>
        <v>-488978.92000000004</v>
      </c>
      <c r="H1105" s="43">
        <f>H1104+Учет!C1105-C1105</f>
        <v>336855</v>
      </c>
      <c r="I1105" s="43">
        <f>I1104+Учет!D1105-D1105</f>
        <v>500</v>
      </c>
      <c r="J1105" s="43">
        <f>J1104+Учет!E1105-E1105</f>
        <v>1150</v>
      </c>
      <c r="K1105" s="43">
        <f>K1104+Учет!F1105-F1105</f>
        <v>500000</v>
      </c>
      <c r="L1105" s="45">
        <f>Учет!I1105</f>
        <v>349526.07999999996</v>
      </c>
    </row>
    <row r="1106" spans="1:12" x14ac:dyDescent="0.25">
      <c r="A1106" s="48" t="str">
        <f>IF(Учет!A1106&lt;&gt;"",Учет!A1106,"")</f>
        <v/>
      </c>
      <c r="B1106" s="52">
        <f>IF(Учет!$O1106=Справочники!$F$2,Учет!$H1106,0)</f>
        <v>0</v>
      </c>
      <c r="C1106" s="52">
        <f>IF(Учет!$O1106=Справочники!$F$3,Учет!$H1106,0)</f>
        <v>0</v>
      </c>
      <c r="D1106" s="52">
        <f>IF(Учет!$O1106=Справочники!$F$4,Учет!$H1106,0)</f>
        <v>0</v>
      </c>
      <c r="E1106" s="52">
        <f>IF(Учет!$O1106=Справочники!$F$5,Учет!$H1106,0)</f>
        <v>0</v>
      </c>
      <c r="F1106" s="52">
        <f>IF(Учет!$O1106=Справочники!$F$6,Учет!$H1106,0)</f>
        <v>0</v>
      </c>
      <c r="G1106" s="43">
        <f>G1105+Учет!B1106-B1106</f>
        <v>-488978.92000000004</v>
      </c>
      <c r="H1106" s="43">
        <f>H1105+Учет!C1106-C1106</f>
        <v>336855</v>
      </c>
      <c r="I1106" s="43">
        <f>I1105+Учет!D1106-D1106</f>
        <v>500</v>
      </c>
      <c r="J1106" s="43">
        <f>J1105+Учет!E1106-E1106</f>
        <v>1150</v>
      </c>
      <c r="K1106" s="43">
        <f>K1105+Учет!F1106-F1106</f>
        <v>500000</v>
      </c>
      <c r="L1106" s="45">
        <f>Учет!I1106</f>
        <v>349526.07999999996</v>
      </c>
    </row>
    <row r="1107" spans="1:12" x14ac:dyDescent="0.25">
      <c r="A1107" s="48" t="str">
        <f>IF(Учет!A1107&lt;&gt;"",Учет!A1107,"")</f>
        <v/>
      </c>
      <c r="B1107" s="52">
        <f>IF(Учет!$O1107=Справочники!$F$2,Учет!$H1107,0)</f>
        <v>0</v>
      </c>
      <c r="C1107" s="52">
        <f>IF(Учет!$O1107=Справочники!$F$3,Учет!$H1107,0)</f>
        <v>0</v>
      </c>
      <c r="D1107" s="52">
        <f>IF(Учет!$O1107=Справочники!$F$4,Учет!$H1107,0)</f>
        <v>0</v>
      </c>
      <c r="E1107" s="52">
        <f>IF(Учет!$O1107=Справочники!$F$5,Учет!$H1107,0)</f>
        <v>0</v>
      </c>
      <c r="F1107" s="52">
        <f>IF(Учет!$O1107=Справочники!$F$6,Учет!$H1107,0)</f>
        <v>0</v>
      </c>
      <c r="G1107" s="43">
        <f>G1106+Учет!B1107-B1107</f>
        <v>-488978.92000000004</v>
      </c>
      <c r="H1107" s="43">
        <f>H1106+Учет!C1107-C1107</f>
        <v>336855</v>
      </c>
      <c r="I1107" s="43">
        <f>I1106+Учет!D1107-D1107</f>
        <v>500</v>
      </c>
      <c r="J1107" s="43">
        <f>J1106+Учет!E1107-E1107</f>
        <v>1150</v>
      </c>
      <c r="K1107" s="43">
        <f>K1106+Учет!F1107-F1107</f>
        <v>500000</v>
      </c>
      <c r="L1107" s="45">
        <f>Учет!I1107</f>
        <v>349526.07999999996</v>
      </c>
    </row>
    <row r="1108" spans="1:12" x14ac:dyDescent="0.25">
      <c r="A1108" s="48" t="str">
        <f>IF(Учет!A1108&lt;&gt;"",Учет!A1108,"")</f>
        <v/>
      </c>
      <c r="B1108" s="52">
        <f>IF(Учет!$O1108=Справочники!$F$2,Учет!$H1108,0)</f>
        <v>0</v>
      </c>
      <c r="C1108" s="52">
        <f>IF(Учет!$O1108=Справочники!$F$3,Учет!$H1108,0)</f>
        <v>0</v>
      </c>
      <c r="D1108" s="52">
        <f>IF(Учет!$O1108=Справочники!$F$4,Учет!$H1108,0)</f>
        <v>0</v>
      </c>
      <c r="E1108" s="52">
        <f>IF(Учет!$O1108=Справочники!$F$5,Учет!$H1108,0)</f>
        <v>0</v>
      </c>
      <c r="F1108" s="52">
        <f>IF(Учет!$O1108=Справочники!$F$6,Учет!$H1108,0)</f>
        <v>0</v>
      </c>
      <c r="G1108" s="43">
        <f>G1107+Учет!B1108-B1108</f>
        <v>-488978.92000000004</v>
      </c>
      <c r="H1108" s="43">
        <f>H1107+Учет!C1108-C1108</f>
        <v>336855</v>
      </c>
      <c r="I1108" s="43">
        <f>I1107+Учет!D1108-D1108</f>
        <v>500</v>
      </c>
      <c r="J1108" s="43">
        <f>J1107+Учет!E1108-E1108</f>
        <v>1150</v>
      </c>
      <c r="K1108" s="43">
        <f>K1107+Учет!F1108-F1108</f>
        <v>500000</v>
      </c>
      <c r="L1108" s="45">
        <f>Учет!I1108</f>
        <v>349526.07999999996</v>
      </c>
    </row>
    <row r="1109" spans="1:12" x14ac:dyDescent="0.25">
      <c r="A1109" s="48" t="str">
        <f>IF(Учет!A1109&lt;&gt;"",Учет!A1109,"")</f>
        <v/>
      </c>
      <c r="B1109" s="52">
        <f>IF(Учет!$O1109=Справочники!$F$2,Учет!$H1109,0)</f>
        <v>0</v>
      </c>
      <c r="C1109" s="52">
        <f>IF(Учет!$O1109=Справочники!$F$3,Учет!$H1109,0)</f>
        <v>0</v>
      </c>
      <c r="D1109" s="52">
        <f>IF(Учет!$O1109=Справочники!$F$4,Учет!$H1109,0)</f>
        <v>0</v>
      </c>
      <c r="E1109" s="52">
        <f>IF(Учет!$O1109=Справочники!$F$5,Учет!$H1109,0)</f>
        <v>0</v>
      </c>
      <c r="F1109" s="52">
        <f>IF(Учет!$O1109=Справочники!$F$6,Учет!$H1109,0)</f>
        <v>0</v>
      </c>
      <c r="G1109" s="43">
        <f>G1108+Учет!B1109-B1109</f>
        <v>-488978.92000000004</v>
      </c>
      <c r="H1109" s="43">
        <f>H1108+Учет!C1109-C1109</f>
        <v>336855</v>
      </c>
      <c r="I1109" s="43">
        <f>I1108+Учет!D1109-D1109</f>
        <v>500</v>
      </c>
      <c r="J1109" s="43">
        <f>J1108+Учет!E1109-E1109</f>
        <v>1150</v>
      </c>
      <c r="K1109" s="43">
        <f>K1108+Учет!F1109-F1109</f>
        <v>500000</v>
      </c>
      <c r="L1109" s="45">
        <f>Учет!I1109</f>
        <v>349526.07999999996</v>
      </c>
    </row>
    <row r="1110" spans="1:12" x14ac:dyDescent="0.25">
      <c r="A1110" s="48" t="str">
        <f>IF(Учет!A1110&lt;&gt;"",Учет!A1110,"")</f>
        <v/>
      </c>
      <c r="B1110" s="52">
        <f>IF(Учет!$O1110=Справочники!$F$2,Учет!$H1110,0)</f>
        <v>0</v>
      </c>
      <c r="C1110" s="52">
        <f>IF(Учет!$O1110=Справочники!$F$3,Учет!$H1110,0)</f>
        <v>0</v>
      </c>
      <c r="D1110" s="52">
        <f>IF(Учет!$O1110=Справочники!$F$4,Учет!$H1110,0)</f>
        <v>0</v>
      </c>
      <c r="E1110" s="52">
        <f>IF(Учет!$O1110=Справочники!$F$5,Учет!$H1110,0)</f>
        <v>0</v>
      </c>
      <c r="F1110" s="52">
        <f>IF(Учет!$O1110=Справочники!$F$6,Учет!$H1110,0)</f>
        <v>0</v>
      </c>
      <c r="G1110" s="43">
        <f>G1109+Учет!B1110-B1110</f>
        <v>-488978.92000000004</v>
      </c>
      <c r="H1110" s="43">
        <f>H1109+Учет!C1110-C1110</f>
        <v>336855</v>
      </c>
      <c r="I1110" s="43">
        <f>I1109+Учет!D1110-D1110</f>
        <v>500</v>
      </c>
      <c r="J1110" s="43">
        <f>J1109+Учет!E1110-E1110</f>
        <v>1150</v>
      </c>
      <c r="K1110" s="43">
        <f>K1109+Учет!F1110-F1110</f>
        <v>500000</v>
      </c>
      <c r="L1110" s="45">
        <f>Учет!I1110</f>
        <v>349526.07999999996</v>
      </c>
    </row>
    <row r="1111" spans="1:12" x14ac:dyDescent="0.25">
      <c r="A1111" s="48" t="str">
        <f>IF(Учет!A1111&lt;&gt;"",Учет!A1111,"")</f>
        <v/>
      </c>
      <c r="B1111" s="52">
        <f>IF(Учет!$O1111=Справочники!$F$2,Учет!$H1111,0)</f>
        <v>0</v>
      </c>
      <c r="C1111" s="52">
        <f>IF(Учет!$O1111=Справочники!$F$3,Учет!$H1111,0)</f>
        <v>0</v>
      </c>
      <c r="D1111" s="52">
        <f>IF(Учет!$O1111=Справочники!$F$4,Учет!$H1111,0)</f>
        <v>0</v>
      </c>
      <c r="E1111" s="52">
        <f>IF(Учет!$O1111=Справочники!$F$5,Учет!$H1111,0)</f>
        <v>0</v>
      </c>
      <c r="F1111" s="52">
        <f>IF(Учет!$O1111=Справочники!$F$6,Учет!$H1111,0)</f>
        <v>0</v>
      </c>
      <c r="G1111" s="43">
        <f>G1110+Учет!B1111-B1111</f>
        <v>-488978.92000000004</v>
      </c>
      <c r="H1111" s="43">
        <f>H1110+Учет!C1111-C1111</f>
        <v>336855</v>
      </c>
      <c r="I1111" s="43">
        <f>I1110+Учет!D1111-D1111</f>
        <v>500</v>
      </c>
      <c r="J1111" s="43">
        <f>J1110+Учет!E1111-E1111</f>
        <v>1150</v>
      </c>
      <c r="K1111" s="43">
        <f>K1110+Учет!F1111-F1111</f>
        <v>500000</v>
      </c>
      <c r="L1111" s="45">
        <f>Учет!I1111</f>
        <v>349526.07999999996</v>
      </c>
    </row>
    <row r="1112" spans="1:12" x14ac:dyDescent="0.25">
      <c r="A1112" s="48" t="str">
        <f>IF(Учет!A1112&lt;&gt;"",Учет!A1112,"")</f>
        <v/>
      </c>
      <c r="B1112" s="52">
        <f>IF(Учет!$O1112=Справочники!$F$2,Учет!$H1112,0)</f>
        <v>0</v>
      </c>
      <c r="C1112" s="52">
        <f>IF(Учет!$O1112=Справочники!$F$3,Учет!$H1112,0)</f>
        <v>0</v>
      </c>
      <c r="D1112" s="52">
        <f>IF(Учет!$O1112=Справочники!$F$4,Учет!$H1112,0)</f>
        <v>0</v>
      </c>
      <c r="E1112" s="52">
        <f>IF(Учет!$O1112=Справочники!$F$5,Учет!$H1112,0)</f>
        <v>0</v>
      </c>
      <c r="F1112" s="52">
        <f>IF(Учет!$O1112=Справочники!$F$6,Учет!$H1112,0)</f>
        <v>0</v>
      </c>
      <c r="G1112" s="43">
        <f>G1111+Учет!B1112-B1112</f>
        <v>-488978.92000000004</v>
      </c>
      <c r="H1112" s="43">
        <f>H1111+Учет!C1112-C1112</f>
        <v>336855</v>
      </c>
      <c r="I1112" s="43">
        <f>I1111+Учет!D1112-D1112</f>
        <v>500</v>
      </c>
      <c r="J1112" s="43">
        <f>J1111+Учет!E1112-E1112</f>
        <v>1150</v>
      </c>
      <c r="K1112" s="43">
        <f>K1111+Учет!F1112-F1112</f>
        <v>500000</v>
      </c>
      <c r="L1112" s="45">
        <f>Учет!I1112</f>
        <v>349526.07999999996</v>
      </c>
    </row>
    <row r="1113" spans="1:12" x14ac:dyDescent="0.25">
      <c r="A1113" s="48" t="str">
        <f>IF(Учет!A1113&lt;&gt;"",Учет!A1113,"")</f>
        <v/>
      </c>
      <c r="B1113" s="52">
        <f>IF(Учет!$O1113=Справочники!$F$2,Учет!$H1113,0)</f>
        <v>0</v>
      </c>
      <c r="C1113" s="52">
        <f>IF(Учет!$O1113=Справочники!$F$3,Учет!$H1113,0)</f>
        <v>0</v>
      </c>
      <c r="D1113" s="52">
        <f>IF(Учет!$O1113=Справочники!$F$4,Учет!$H1113,0)</f>
        <v>0</v>
      </c>
      <c r="E1113" s="52">
        <f>IF(Учет!$O1113=Справочники!$F$5,Учет!$H1113,0)</f>
        <v>0</v>
      </c>
      <c r="F1113" s="52">
        <f>IF(Учет!$O1113=Справочники!$F$6,Учет!$H1113,0)</f>
        <v>0</v>
      </c>
      <c r="G1113" s="43">
        <f>G1112+Учет!B1113-B1113</f>
        <v>-488978.92000000004</v>
      </c>
      <c r="H1113" s="43">
        <f>H1112+Учет!C1113-C1113</f>
        <v>336855</v>
      </c>
      <c r="I1113" s="43">
        <f>I1112+Учет!D1113-D1113</f>
        <v>500</v>
      </c>
      <c r="J1113" s="43">
        <f>J1112+Учет!E1113-E1113</f>
        <v>1150</v>
      </c>
      <c r="K1113" s="43">
        <f>K1112+Учет!F1113-F1113</f>
        <v>500000</v>
      </c>
      <c r="L1113" s="45">
        <f>Учет!I1113</f>
        <v>349526.07999999996</v>
      </c>
    </row>
    <row r="1114" spans="1:12" x14ac:dyDescent="0.25">
      <c r="A1114" s="48" t="str">
        <f>IF(Учет!A1114&lt;&gt;"",Учет!A1114,"")</f>
        <v/>
      </c>
      <c r="B1114" s="52">
        <f>IF(Учет!$O1114=Справочники!$F$2,Учет!$H1114,0)</f>
        <v>0</v>
      </c>
      <c r="C1114" s="52">
        <f>IF(Учет!$O1114=Справочники!$F$3,Учет!$H1114,0)</f>
        <v>0</v>
      </c>
      <c r="D1114" s="52">
        <f>IF(Учет!$O1114=Справочники!$F$4,Учет!$H1114,0)</f>
        <v>0</v>
      </c>
      <c r="E1114" s="52">
        <f>IF(Учет!$O1114=Справочники!$F$5,Учет!$H1114,0)</f>
        <v>0</v>
      </c>
      <c r="F1114" s="52">
        <f>IF(Учет!$O1114=Справочники!$F$6,Учет!$H1114,0)</f>
        <v>0</v>
      </c>
      <c r="G1114" s="43">
        <f>G1113+Учет!B1114-B1114</f>
        <v>-488978.92000000004</v>
      </c>
      <c r="H1114" s="43">
        <f>H1113+Учет!C1114-C1114</f>
        <v>336855</v>
      </c>
      <c r="I1114" s="43">
        <f>I1113+Учет!D1114-D1114</f>
        <v>500</v>
      </c>
      <c r="J1114" s="43">
        <f>J1113+Учет!E1114-E1114</f>
        <v>1150</v>
      </c>
      <c r="K1114" s="43">
        <f>K1113+Учет!F1114-F1114</f>
        <v>500000</v>
      </c>
      <c r="L1114" s="45">
        <f>Учет!I1114</f>
        <v>349526.07999999996</v>
      </c>
    </row>
    <row r="1115" spans="1:12" x14ac:dyDescent="0.25">
      <c r="A1115" s="48" t="str">
        <f>IF(Учет!A1115&lt;&gt;"",Учет!A1115,"")</f>
        <v/>
      </c>
      <c r="B1115" s="52">
        <f>IF(Учет!$O1115=Справочники!$F$2,Учет!$H1115,0)</f>
        <v>0</v>
      </c>
      <c r="C1115" s="52">
        <f>IF(Учет!$O1115=Справочники!$F$3,Учет!$H1115,0)</f>
        <v>0</v>
      </c>
      <c r="D1115" s="52">
        <f>IF(Учет!$O1115=Справочники!$F$4,Учет!$H1115,0)</f>
        <v>0</v>
      </c>
      <c r="E1115" s="52">
        <f>IF(Учет!$O1115=Справочники!$F$5,Учет!$H1115,0)</f>
        <v>0</v>
      </c>
      <c r="F1115" s="52">
        <f>IF(Учет!$O1115=Справочники!$F$6,Учет!$H1115,0)</f>
        <v>0</v>
      </c>
      <c r="G1115" s="43">
        <f>G1114+Учет!B1115-B1115</f>
        <v>-488978.92000000004</v>
      </c>
      <c r="H1115" s="43">
        <f>H1114+Учет!C1115-C1115</f>
        <v>336855</v>
      </c>
      <c r="I1115" s="43">
        <f>I1114+Учет!D1115-D1115</f>
        <v>500</v>
      </c>
      <c r="J1115" s="43">
        <f>J1114+Учет!E1115-E1115</f>
        <v>1150</v>
      </c>
      <c r="K1115" s="43">
        <f>K1114+Учет!F1115-F1115</f>
        <v>500000</v>
      </c>
      <c r="L1115" s="45">
        <f>Учет!I1115</f>
        <v>349526.07999999996</v>
      </c>
    </row>
    <row r="1116" spans="1:12" x14ac:dyDescent="0.25">
      <c r="A1116" s="48" t="str">
        <f>IF(Учет!A1116&lt;&gt;"",Учет!A1116,"")</f>
        <v/>
      </c>
      <c r="B1116" s="52">
        <f>IF(Учет!$O1116=Справочники!$F$2,Учет!$H1116,0)</f>
        <v>0</v>
      </c>
      <c r="C1116" s="52">
        <f>IF(Учет!$O1116=Справочники!$F$3,Учет!$H1116,0)</f>
        <v>0</v>
      </c>
      <c r="D1116" s="52">
        <f>IF(Учет!$O1116=Справочники!$F$4,Учет!$H1116,0)</f>
        <v>0</v>
      </c>
      <c r="E1116" s="52">
        <f>IF(Учет!$O1116=Справочники!$F$5,Учет!$H1116,0)</f>
        <v>0</v>
      </c>
      <c r="F1116" s="52">
        <f>IF(Учет!$O1116=Справочники!$F$6,Учет!$H1116,0)</f>
        <v>0</v>
      </c>
      <c r="G1116" s="43">
        <f>G1115+Учет!B1116-B1116</f>
        <v>-488978.92000000004</v>
      </c>
      <c r="H1116" s="43">
        <f>H1115+Учет!C1116-C1116</f>
        <v>336855</v>
      </c>
      <c r="I1116" s="43">
        <f>I1115+Учет!D1116-D1116</f>
        <v>500</v>
      </c>
      <c r="J1116" s="43">
        <f>J1115+Учет!E1116-E1116</f>
        <v>1150</v>
      </c>
      <c r="K1116" s="43">
        <f>K1115+Учет!F1116-F1116</f>
        <v>500000</v>
      </c>
      <c r="L1116" s="45">
        <f>Учет!I1116</f>
        <v>349526.07999999996</v>
      </c>
    </row>
    <row r="1117" spans="1:12" x14ac:dyDescent="0.25">
      <c r="A1117" s="48" t="str">
        <f>IF(Учет!A1117&lt;&gt;"",Учет!A1117,"")</f>
        <v/>
      </c>
      <c r="B1117" s="52">
        <f>IF(Учет!$O1117=Справочники!$F$2,Учет!$H1117,0)</f>
        <v>0</v>
      </c>
      <c r="C1117" s="52">
        <f>IF(Учет!$O1117=Справочники!$F$3,Учет!$H1117,0)</f>
        <v>0</v>
      </c>
      <c r="D1117" s="52">
        <f>IF(Учет!$O1117=Справочники!$F$4,Учет!$H1117,0)</f>
        <v>0</v>
      </c>
      <c r="E1117" s="52">
        <f>IF(Учет!$O1117=Справочники!$F$5,Учет!$H1117,0)</f>
        <v>0</v>
      </c>
      <c r="F1117" s="52">
        <f>IF(Учет!$O1117=Справочники!$F$6,Учет!$H1117,0)</f>
        <v>0</v>
      </c>
      <c r="G1117" s="43">
        <f>G1116+Учет!B1117-B1117</f>
        <v>-488978.92000000004</v>
      </c>
      <c r="H1117" s="43">
        <f>H1116+Учет!C1117-C1117</f>
        <v>336855</v>
      </c>
      <c r="I1117" s="43">
        <f>I1116+Учет!D1117-D1117</f>
        <v>500</v>
      </c>
      <c r="J1117" s="43">
        <f>J1116+Учет!E1117-E1117</f>
        <v>1150</v>
      </c>
      <c r="K1117" s="43">
        <f>K1116+Учет!F1117-F1117</f>
        <v>500000</v>
      </c>
      <c r="L1117" s="45">
        <f>Учет!I1117</f>
        <v>349526.07999999996</v>
      </c>
    </row>
    <row r="1118" spans="1:12" x14ac:dyDescent="0.25">
      <c r="A1118" s="48" t="str">
        <f>IF(Учет!A1118&lt;&gt;"",Учет!A1118,"")</f>
        <v/>
      </c>
      <c r="B1118" s="52">
        <f>IF(Учет!$O1118=Справочники!$F$2,Учет!$H1118,0)</f>
        <v>0</v>
      </c>
      <c r="C1118" s="52">
        <f>IF(Учет!$O1118=Справочники!$F$3,Учет!$H1118,0)</f>
        <v>0</v>
      </c>
      <c r="D1118" s="52">
        <f>IF(Учет!$O1118=Справочники!$F$4,Учет!$H1118,0)</f>
        <v>0</v>
      </c>
      <c r="E1118" s="52">
        <f>IF(Учет!$O1118=Справочники!$F$5,Учет!$H1118,0)</f>
        <v>0</v>
      </c>
      <c r="F1118" s="52">
        <f>IF(Учет!$O1118=Справочники!$F$6,Учет!$H1118,0)</f>
        <v>0</v>
      </c>
      <c r="G1118" s="43">
        <f>G1117+Учет!B1118-B1118</f>
        <v>-488978.92000000004</v>
      </c>
      <c r="H1118" s="43">
        <f>H1117+Учет!C1118-C1118</f>
        <v>336855</v>
      </c>
      <c r="I1118" s="43">
        <f>I1117+Учет!D1118-D1118</f>
        <v>500</v>
      </c>
      <c r="J1118" s="43">
        <f>J1117+Учет!E1118-E1118</f>
        <v>1150</v>
      </c>
      <c r="K1118" s="43">
        <f>K1117+Учет!F1118-F1118</f>
        <v>500000</v>
      </c>
      <c r="L1118" s="45">
        <f>Учет!I1118</f>
        <v>349526.07999999996</v>
      </c>
    </row>
    <row r="1119" spans="1:12" x14ac:dyDescent="0.25">
      <c r="A1119" s="48" t="str">
        <f>IF(Учет!A1119&lt;&gt;"",Учет!A1119,"")</f>
        <v/>
      </c>
      <c r="B1119" s="52">
        <f>IF(Учет!$O1119=Справочники!$F$2,Учет!$H1119,0)</f>
        <v>0</v>
      </c>
      <c r="C1119" s="52">
        <f>IF(Учет!$O1119=Справочники!$F$3,Учет!$H1119,0)</f>
        <v>0</v>
      </c>
      <c r="D1119" s="52">
        <f>IF(Учет!$O1119=Справочники!$F$4,Учет!$H1119,0)</f>
        <v>0</v>
      </c>
      <c r="E1119" s="52">
        <f>IF(Учет!$O1119=Справочники!$F$5,Учет!$H1119,0)</f>
        <v>0</v>
      </c>
      <c r="F1119" s="52">
        <f>IF(Учет!$O1119=Справочники!$F$6,Учет!$H1119,0)</f>
        <v>0</v>
      </c>
      <c r="G1119" s="43">
        <f>G1118+Учет!B1119-B1119</f>
        <v>-488978.92000000004</v>
      </c>
      <c r="H1119" s="43">
        <f>H1118+Учет!C1119-C1119</f>
        <v>336855</v>
      </c>
      <c r="I1119" s="43">
        <f>I1118+Учет!D1119-D1119</f>
        <v>500</v>
      </c>
      <c r="J1119" s="43">
        <f>J1118+Учет!E1119-E1119</f>
        <v>1150</v>
      </c>
      <c r="K1119" s="43">
        <f>K1118+Учет!F1119-F1119</f>
        <v>500000</v>
      </c>
      <c r="L1119" s="45">
        <f>Учет!I1119</f>
        <v>349526.07999999996</v>
      </c>
    </row>
    <row r="1120" spans="1:12" x14ac:dyDescent="0.25">
      <c r="A1120" s="48" t="str">
        <f>IF(Учет!A1120&lt;&gt;"",Учет!A1120,"")</f>
        <v/>
      </c>
      <c r="B1120" s="52">
        <f>IF(Учет!$O1120=Справочники!$F$2,Учет!$H1120,0)</f>
        <v>0</v>
      </c>
      <c r="C1120" s="52">
        <f>IF(Учет!$O1120=Справочники!$F$3,Учет!$H1120,0)</f>
        <v>0</v>
      </c>
      <c r="D1120" s="52">
        <f>IF(Учет!$O1120=Справочники!$F$4,Учет!$H1120,0)</f>
        <v>0</v>
      </c>
      <c r="E1120" s="52">
        <f>IF(Учет!$O1120=Справочники!$F$5,Учет!$H1120,0)</f>
        <v>0</v>
      </c>
      <c r="F1120" s="52">
        <f>IF(Учет!$O1120=Справочники!$F$6,Учет!$H1120,0)</f>
        <v>0</v>
      </c>
      <c r="G1120" s="43">
        <f>G1119+Учет!B1120-B1120</f>
        <v>-488978.92000000004</v>
      </c>
      <c r="H1120" s="43">
        <f>H1119+Учет!C1120-C1120</f>
        <v>336855</v>
      </c>
      <c r="I1120" s="43">
        <f>I1119+Учет!D1120-D1120</f>
        <v>500</v>
      </c>
      <c r="J1120" s="43">
        <f>J1119+Учет!E1120-E1120</f>
        <v>1150</v>
      </c>
      <c r="K1120" s="43">
        <f>K1119+Учет!F1120-F1120</f>
        <v>500000</v>
      </c>
      <c r="L1120" s="45">
        <f>Учет!I1120</f>
        <v>349526.07999999996</v>
      </c>
    </row>
    <row r="1121" spans="1:12" x14ac:dyDescent="0.25">
      <c r="A1121" s="48" t="str">
        <f>IF(Учет!A1121&lt;&gt;"",Учет!A1121,"")</f>
        <v/>
      </c>
      <c r="B1121" s="52">
        <f>IF(Учет!$O1121=Справочники!$F$2,Учет!$H1121,0)</f>
        <v>0</v>
      </c>
      <c r="C1121" s="52">
        <f>IF(Учет!$O1121=Справочники!$F$3,Учет!$H1121,0)</f>
        <v>0</v>
      </c>
      <c r="D1121" s="52">
        <f>IF(Учет!$O1121=Справочники!$F$4,Учет!$H1121,0)</f>
        <v>0</v>
      </c>
      <c r="E1121" s="52">
        <f>IF(Учет!$O1121=Справочники!$F$5,Учет!$H1121,0)</f>
        <v>0</v>
      </c>
      <c r="F1121" s="52">
        <f>IF(Учет!$O1121=Справочники!$F$6,Учет!$H1121,0)</f>
        <v>0</v>
      </c>
      <c r="G1121" s="43">
        <f>G1120+Учет!B1121-B1121</f>
        <v>-488978.92000000004</v>
      </c>
      <c r="H1121" s="43">
        <f>H1120+Учет!C1121-C1121</f>
        <v>336855</v>
      </c>
      <c r="I1121" s="43">
        <f>I1120+Учет!D1121-D1121</f>
        <v>500</v>
      </c>
      <c r="J1121" s="43">
        <f>J1120+Учет!E1121-E1121</f>
        <v>1150</v>
      </c>
      <c r="K1121" s="43">
        <f>K1120+Учет!F1121-F1121</f>
        <v>500000</v>
      </c>
      <c r="L1121" s="45">
        <f>Учет!I1121</f>
        <v>349526.07999999996</v>
      </c>
    </row>
    <row r="1122" spans="1:12" x14ac:dyDescent="0.25">
      <c r="A1122" s="48" t="str">
        <f>IF(Учет!A1122&lt;&gt;"",Учет!A1122,"")</f>
        <v/>
      </c>
      <c r="B1122" s="52">
        <f>IF(Учет!$O1122=Справочники!$F$2,Учет!$H1122,0)</f>
        <v>0</v>
      </c>
      <c r="C1122" s="52">
        <f>IF(Учет!$O1122=Справочники!$F$3,Учет!$H1122,0)</f>
        <v>0</v>
      </c>
      <c r="D1122" s="52">
        <f>IF(Учет!$O1122=Справочники!$F$4,Учет!$H1122,0)</f>
        <v>0</v>
      </c>
      <c r="E1122" s="52">
        <f>IF(Учет!$O1122=Справочники!$F$5,Учет!$H1122,0)</f>
        <v>0</v>
      </c>
      <c r="F1122" s="52">
        <f>IF(Учет!$O1122=Справочники!$F$6,Учет!$H1122,0)</f>
        <v>0</v>
      </c>
      <c r="G1122" s="43">
        <f>G1121+Учет!B1122-B1122</f>
        <v>-488978.92000000004</v>
      </c>
      <c r="H1122" s="43">
        <f>H1121+Учет!C1122-C1122</f>
        <v>336855</v>
      </c>
      <c r="I1122" s="43">
        <f>I1121+Учет!D1122-D1122</f>
        <v>500</v>
      </c>
      <c r="J1122" s="43">
        <f>J1121+Учет!E1122-E1122</f>
        <v>1150</v>
      </c>
      <c r="K1122" s="43">
        <f>K1121+Учет!F1122-F1122</f>
        <v>500000</v>
      </c>
      <c r="L1122" s="45">
        <f>Учет!I1122</f>
        <v>349526.07999999996</v>
      </c>
    </row>
    <row r="1123" spans="1:12" x14ac:dyDescent="0.25">
      <c r="A1123" s="48" t="str">
        <f>IF(Учет!A1123&lt;&gt;"",Учет!A1123,"")</f>
        <v/>
      </c>
      <c r="B1123" s="52">
        <f>IF(Учет!$O1123=Справочники!$F$2,Учет!$H1123,0)</f>
        <v>0</v>
      </c>
      <c r="C1123" s="52">
        <f>IF(Учет!$O1123=Справочники!$F$3,Учет!$H1123,0)</f>
        <v>0</v>
      </c>
      <c r="D1123" s="52">
        <f>IF(Учет!$O1123=Справочники!$F$4,Учет!$H1123,0)</f>
        <v>0</v>
      </c>
      <c r="E1123" s="52">
        <f>IF(Учет!$O1123=Справочники!$F$5,Учет!$H1123,0)</f>
        <v>0</v>
      </c>
      <c r="F1123" s="52">
        <f>IF(Учет!$O1123=Справочники!$F$6,Учет!$H1123,0)</f>
        <v>0</v>
      </c>
      <c r="G1123" s="43">
        <f>G1122+Учет!B1123-B1123</f>
        <v>-488978.92000000004</v>
      </c>
      <c r="H1123" s="43">
        <f>H1122+Учет!C1123-C1123</f>
        <v>336855</v>
      </c>
      <c r="I1123" s="43">
        <f>I1122+Учет!D1123-D1123</f>
        <v>500</v>
      </c>
      <c r="J1123" s="43">
        <f>J1122+Учет!E1123-E1123</f>
        <v>1150</v>
      </c>
      <c r="K1123" s="43">
        <f>K1122+Учет!F1123-F1123</f>
        <v>500000</v>
      </c>
      <c r="L1123" s="45">
        <f>Учет!I1123</f>
        <v>349526.07999999996</v>
      </c>
    </row>
    <row r="1124" spans="1:12" x14ac:dyDescent="0.25">
      <c r="A1124" s="48" t="str">
        <f>IF(Учет!A1124&lt;&gt;"",Учет!A1124,"")</f>
        <v/>
      </c>
      <c r="B1124" s="52">
        <f>IF(Учет!$O1124=Справочники!$F$2,Учет!$H1124,0)</f>
        <v>0</v>
      </c>
      <c r="C1124" s="52">
        <f>IF(Учет!$O1124=Справочники!$F$3,Учет!$H1124,0)</f>
        <v>0</v>
      </c>
      <c r="D1124" s="52">
        <f>IF(Учет!$O1124=Справочники!$F$4,Учет!$H1124,0)</f>
        <v>0</v>
      </c>
      <c r="E1124" s="52">
        <f>IF(Учет!$O1124=Справочники!$F$5,Учет!$H1124,0)</f>
        <v>0</v>
      </c>
      <c r="F1124" s="52">
        <f>IF(Учет!$O1124=Справочники!$F$6,Учет!$H1124,0)</f>
        <v>0</v>
      </c>
      <c r="G1124" s="43">
        <f>G1123+Учет!B1124-B1124</f>
        <v>-488978.92000000004</v>
      </c>
      <c r="H1124" s="43">
        <f>H1123+Учет!C1124-C1124</f>
        <v>336855</v>
      </c>
      <c r="I1124" s="43">
        <f>I1123+Учет!D1124-D1124</f>
        <v>500</v>
      </c>
      <c r="J1124" s="43">
        <f>J1123+Учет!E1124-E1124</f>
        <v>1150</v>
      </c>
      <c r="K1124" s="43">
        <f>K1123+Учет!F1124-F1124</f>
        <v>500000</v>
      </c>
      <c r="L1124" s="45">
        <f>Учет!I1124</f>
        <v>349526.07999999996</v>
      </c>
    </row>
    <row r="1125" spans="1:12" x14ac:dyDescent="0.25">
      <c r="A1125" s="48" t="str">
        <f>IF(Учет!A1125&lt;&gt;"",Учет!A1125,"")</f>
        <v/>
      </c>
      <c r="B1125" s="52">
        <f>IF(Учет!$O1125=Справочники!$F$2,Учет!$H1125,0)</f>
        <v>0</v>
      </c>
      <c r="C1125" s="52">
        <f>IF(Учет!$O1125=Справочники!$F$3,Учет!$H1125,0)</f>
        <v>0</v>
      </c>
      <c r="D1125" s="52">
        <f>IF(Учет!$O1125=Справочники!$F$4,Учет!$H1125,0)</f>
        <v>0</v>
      </c>
      <c r="E1125" s="52">
        <f>IF(Учет!$O1125=Справочники!$F$5,Учет!$H1125,0)</f>
        <v>0</v>
      </c>
      <c r="F1125" s="52">
        <f>IF(Учет!$O1125=Справочники!$F$6,Учет!$H1125,0)</f>
        <v>0</v>
      </c>
      <c r="G1125" s="43">
        <f>G1124+Учет!B1125-B1125</f>
        <v>-488978.92000000004</v>
      </c>
      <c r="H1125" s="43">
        <f>H1124+Учет!C1125-C1125</f>
        <v>336855</v>
      </c>
      <c r="I1125" s="43">
        <f>I1124+Учет!D1125-D1125</f>
        <v>500</v>
      </c>
      <c r="J1125" s="43">
        <f>J1124+Учет!E1125-E1125</f>
        <v>1150</v>
      </c>
      <c r="K1125" s="43">
        <f>K1124+Учет!F1125-F1125</f>
        <v>500000</v>
      </c>
      <c r="L1125" s="45">
        <f>Учет!I1125</f>
        <v>349526.07999999996</v>
      </c>
    </row>
    <row r="1126" spans="1:12" x14ac:dyDescent="0.25">
      <c r="A1126" s="48" t="str">
        <f>IF(Учет!A1126&lt;&gt;"",Учет!A1126,"")</f>
        <v/>
      </c>
      <c r="B1126" s="52">
        <f>IF(Учет!$O1126=Справочники!$F$2,Учет!$H1126,0)</f>
        <v>0</v>
      </c>
      <c r="C1126" s="52">
        <f>IF(Учет!$O1126=Справочники!$F$3,Учет!$H1126,0)</f>
        <v>0</v>
      </c>
      <c r="D1126" s="52">
        <f>IF(Учет!$O1126=Справочники!$F$4,Учет!$H1126,0)</f>
        <v>0</v>
      </c>
      <c r="E1126" s="52">
        <f>IF(Учет!$O1126=Справочники!$F$5,Учет!$H1126,0)</f>
        <v>0</v>
      </c>
      <c r="F1126" s="52">
        <f>IF(Учет!$O1126=Справочники!$F$6,Учет!$H1126,0)</f>
        <v>0</v>
      </c>
      <c r="G1126" s="43">
        <f>G1125+Учет!B1126-B1126</f>
        <v>-488978.92000000004</v>
      </c>
      <c r="H1126" s="43">
        <f>H1125+Учет!C1126-C1126</f>
        <v>336855</v>
      </c>
      <c r="I1126" s="43">
        <f>I1125+Учет!D1126-D1126</f>
        <v>500</v>
      </c>
      <c r="J1126" s="43">
        <f>J1125+Учет!E1126-E1126</f>
        <v>1150</v>
      </c>
      <c r="K1126" s="43">
        <f>K1125+Учет!F1126-F1126</f>
        <v>500000</v>
      </c>
      <c r="L1126" s="45">
        <f>Учет!I1126</f>
        <v>349526.07999999996</v>
      </c>
    </row>
    <row r="1127" spans="1:12" x14ac:dyDescent="0.25">
      <c r="A1127" s="48" t="str">
        <f>IF(Учет!A1127&lt;&gt;"",Учет!A1127,"")</f>
        <v/>
      </c>
      <c r="B1127" s="52">
        <f>IF(Учет!$O1127=Справочники!$F$2,Учет!$H1127,0)</f>
        <v>0</v>
      </c>
      <c r="C1127" s="52">
        <f>IF(Учет!$O1127=Справочники!$F$3,Учет!$H1127,0)</f>
        <v>0</v>
      </c>
      <c r="D1127" s="52">
        <f>IF(Учет!$O1127=Справочники!$F$4,Учет!$H1127,0)</f>
        <v>0</v>
      </c>
      <c r="E1127" s="52">
        <f>IF(Учет!$O1127=Справочники!$F$5,Учет!$H1127,0)</f>
        <v>0</v>
      </c>
      <c r="F1127" s="52">
        <f>IF(Учет!$O1127=Справочники!$F$6,Учет!$H1127,0)</f>
        <v>0</v>
      </c>
      <c r="G1127" s="43">
        <f>G1126+Учет!B1127-B1127</f>
        <v>-488978.92000000004</v>
      </c>
      <c r="H1127" s="43">
        <f>H1126+Учет!C1127-C1127</f>
        <v>336855</v>
      </c>
      <c r="I1127" s="43">
        <f>I1126+Учет!D1127-D1127</f>
        <v>500</v>
      </c>
      <c r="J1127" s="43">
        <f>J1126+Учет!E1127-E1127</f>
        <v>1150</v>
      </c>
      <c r="K1127" s="43">
        <f>K1126+Учет!F1127-F1127</f>
        <v>500000</v>
      </c>
      <c r="L1127" s="45">
        <f>Учет!I1127</f>
        <v>349526.07999999996</v>
      </c>
    </row>
    <row r="1128" spans="1:12" x14ac:dyDescent="0.25">
      <c r="A1128" s="48" t="str">
        <f>IF(Учет!A1128&lt;&gt;"",Учет!A1128,"")</f>
        <v/>
      </c>
      <c r="B1128" s="52">
        <f>IF(Учет!$O1128=Справочники!$F$2,Учет!$H1128,0)</f>
        <v>0</v>
      </c>
      <c r="C1128" s="52">
        <f>IF(Учет!$O1128=Справочники!$F$3,Учет!$H1128,0)</f>
        <v>0</v>
      </c>
      <c r="D1128" s="52">
        <f>IF(Учет!$O1128=Справочники!$F$4,Учет!$H1128,0)</f>
        <v>0</v>
      </c>
      <c r="E1128" s="52">
        <f>IF(Учет!$O1128=Справочники!$F$5,Учет!$H1128,0)</f>
        <v>0</v>
      </c>
      <c r="F1128" s="52">
        <f>IF(Учет!$O1128=Справочники!$F$6,Учет!$H1128,0)</f>
        <v>0</v>
      </c>
      <c r="G1128" s="43">
        <f>G1127+Учет!B1128-B1128</f>
        <v>-488978.92000000004</v>
      </c>
      <c r="H1128" s="43">
        <f>H1127+Учет!C1128-C1128</f>
        <v>336855</v>
      </c>
      <c r="I1128" s="43">
        <f>I1127+Учет!D1128-D1128</f>
        <v>500</v>
      </c>
      <c r="J1128" s="43">
        <f>J1127+Учет!E1128-E1128</f>
        <v>1150</v>
      </c>
      <c r="K1128" s="43">
        <f>K1127+Учет!F1128-F1128</f>
        <v>500000</v>
      </c>
      <c r="L1128" s="45">
        <f>Учет!I1128</f>
        <v>349526.07999999996</v>
      </c>
    </row>
    <row r="1129" spans="1:12" x14ac:dyDescent="0.25">
      <c r="A1129" s="48" t="str">
        <f>IF(Учет!A1129&lt;&gt;"",Учет!A1129,"")</f>
        <v/>
      </c>
      <c r="B1129" s="52">
        <f>IF(Учет!$O1129=Справочники!$F$2,Учет!$H1129,0)</f>
        <v>0</v>
      </c>
      <c r="C1129" s="52">
        <f>IF(Учет!$O1129=Справочники!$F$3,Учет!$H1129,0)</f>
        <v>0</v>
      </c>
      <c r="D1129" s="52">
        <f>IF(Учет!$O1129=Справочники!$F$4,Учет!$H1129,0)</f>
        <v>0</v>
      </c>
      <c r="E1129" s="52">
        <f>IF(Учет!$O1129=Справочники!$F$5,Учет!$H1129,0)</f>
        <v>0</v>
      </c>
      <c r="F1129" s="52">
        <f>IF(Учет!$O1129=Справочники!$F$6,Учет!$H1129,0)</f>
        <v>0</v>
      </c>
      <c r="G1129" s="43">
        <f>G1128+Учет!B1129-B1129</f>
        <v>-488978.92000000004</v>
      </c>
      <c r="H1129" s="43">
        <f>H1128+Учет!C1129-C1129</f>
        <v>336855</v>
      </c>
      <c r="I1129" s="43">
        <f>I1128+Учет!D1129-D1129</f>
        <v>500</v>
      </c>
      <c r="J1129" s="43">
        <f>J1128+Учет!E1129-E1129</f>
        <v>1150</v>
      </c>
      <c r="K1129" s="43">
        <f>K1128+Учет!F1129-F1129</f>
        <v>500000</v>
      </c>
      <c r="L1129" s="45">
        <f>Учет!I1129</f>
        <v>349526.07999999996</v>
      </c>
    </row>
    <row r="1130" spans="1:12" x14ac:dyDescent="0.25">
      <c r="A1130" s="48" t="str">
        <f>IF(Учет!A1130&lt;&gt;"",Учет!A1130,"")</f>
        <v/>
      </c>
      <c r="B1130" s="52">
        <f>IF(Учет!$O1130=Справочники!$F$2,Учет!$H1130,0)</f>
        <v>0</v>
      </c>
      <c r="C1130" s="52">
        <f>IF(Учет!$O1130=Справочники!$F$3,Учет!$H1130,0)</f>
        <v>0</v>
      </c>
      <c r="D1130" s="52">
        <f>IF(Учет!$O1130=Справочники!$F$4,Учет!$H1130,0)</f>
        <v>0</v>
      </c>
      <c r="E1130" s="52">
        <f>IF(Учет!$O1130=Справочники!$F$5,Учет!$H1130,0)</f>
        <v>0</v>
      </c>
      <c r="F1130" s="52">
        <f>IF(Учет!$O1130=Справочники!$F$6,Учет!$H1130,0)</f>
        <v>0</v>
      </c>
      <c r="G1130" s="43">
        <f>G1129+Учет!B1130-B1130</f>
        <v>-488978.92000000004</v>
      </c>
      <c r="H1130" s="43">
        <f>H1129+Учет!C1130-C1130</f>
        <v>336855</v>
      </c>
      <c r="I1130" s="43">
        <f>I1129+Учет!D1130-D1130</f>
        <v>500</v>
      </c>
      <c r="J1130" s="43">
        <f>J1129+Учет!E1130-E1130</f>
        <v>1150</v>
      </c>
      <c r="K1130" s="43">
        <f>K1129+Учет!F1130-F1130</f>
        <v>500000</v>
      </c>
      <c r="L1130" s="45">
        <f>Учет!I1130</f>
        <v>349526.07999999996</v>
      </c>
    </row>
    <row r="1131" spans="1:12" x14ac:dyDescent="0.25">
      <c r="A1131" s="48" t="str">
        <f>IF(Учет!A1131&lt;&gt;"",Учет!A1131,"")</f>
        <v/>
      </c>
      <c r="B1131" s="52">
        <f>IF(Учет!$O1131=Справочники!$F$2,Учет!$H1131,0)</f>
        <v>0</v>
      </c>
      <c r="C1131" s="52">
        <f>IF(Учет!$O1131=Справочники!$F$3,Учет!$H1131,0)</f>
        <v>0</v>
      </c>
      <c r="D1131" s="52">
        <f>IF(Учет!$O1131=Справочники!$F$4,Учет!$H1131,0)</f>
        <v>0</v>
      </c>
      <c r="E1131" s="52">
        <f>IF(Учет!$O1131=Справочники!$F$5,Учет!$H1131,0)</f>
        <v>0</v>
      </c>
      <c r="F1131" s="52">
        <f>IF(Учет!$O1131=Справочники!$F$6,Учет!$H1131,0)</f>
        <v>0</v>
      </c>
      <c r="G1131" s="43">
        <f>G1130+Учет!B1131-B1131</f>
        <v>-488978.92000000004</v>
      </c>
      <c r="H1131" s="43">
        <f>H1130+Учет!C1131-C1131</f>
        <v>336855</v>
      </c>
      <c r="I1131" s="43">
        <f>I1130+Учет!D1131-D1131</f>
        <v>500</v>
      </c>
      <c r="J1131" s="43">
        <f>J1130+Учет!E1131-E1131</f>
        <v>1150</v>
      </c>
      <c r="K1131" s="43">
        <f>K1130+Учет!F1131-F1131</f>
        <v>500000</v>
      </c>
      <c r="L1131" s="45">
        <f>Учет!I1131</f>
        <v>349526.07999999996</v>
      </c>
    </row>
    <row r="1132" spans="1:12" x14ac:dyDescent="0.25">
      <c r="A1132" s="48" t="str">
        <f>IF(Учет!A1132&lt;&gt;"",Учет!A1132,"")</f>
        <v/>
      </c>
      <c r="B1132" s="52">
        <f>IF(Учет!$O1132=Справочники!$F$2,Учет!$H1132,0)</f>
        <v>0</v>
      </c>
      <c r="C1132" s="52">
        <f>IF(Учет!$O1132=Справочники!$F$3,Учет!$H1132,0)</f>
        <v>0</v>
      </c>
      <c r="D1132" s="52">
        <f>IF(Учет!$O1132=Справочники!$F$4,Учет!$H1132,0)</f>
        <v>0</v>
      </c>
      <c r="E1132" s="52">
        <f>IF(Учет!$O1132=Справочники!$F$5,Учет!$H1132,0)</f>
        <v>0</v>
      </c>
      <c r="F1132" s="52">
        <f>IF(Учет!$O1132=Справочники!$F$6,Учет!$H1132,0)</f>
        <v>0</v>
      </c>
      <c r="G1132" s="43">
        <f>G1131+Учет!B1132-B1132</f>
        <v>-488978.92000000004</v>
      </c>
      <c r="H1132" s="43">
        <f>H1131+Учет!C1132-C1132</f>
        <v>336855</v>
      </c>
      <c r="I1132" s="43">
        <f>I1131+Учет!D1132-D1132</f>
        <v>500</v>
      </c>
      <c r="J1132" s="43">
        <f>J1131+Учет!E1132-E1132</f>
        <v>1150</v>
      </c>
      <c r="K1132" s="43">
        <f>K1131+Учет!F1132-F1132</f>
        <v>500000</v>
      </c>
      <c r="L1132" s="45">
        <f>Учет!I1132</f>
        <v>349526.07999999996</v>
      </c>
    </row>
    <row r="1133" spans="1:12" x14ac:dyDescent="0.25">
      <c r="A1133" s="48" t="str">
        <f>IF(Учет!A1133&lt;&gt;"",Учет!A1133,"")</f>
        <v/>
      </c>
      <c r="B1133" s="52">
        <f>IF(Учет!$O1133=Справочники!$F$2,Учет!$H1133,0)</f>
        <v>0</v>
      </c>
      <c r="C1133" s="52">
        <f>IF(Учет!$O1133=Справочники!$F$3,Учет!$H1133,0)</f>
        <v>0</v>
      </c>
      <c r="D1133" s="52">
        <f>IF(Учет!$O1133=Справочники!$F$4,Учет!$H1133,0)</f>
        <v>0</v>
      </c>
      <c r="E1133" s="52">
        <f>IF(Учет!$O1133=Справочники!$F$5,Учет!$H1133,0)</f>
        <v>0</v>
      </c>
      <c r="F1133" s="52">
        <f>IF(Учет!$O1133=Справочники!$F$6,Учет!$H1133,0)</f>
        <v>0</v>
      </c>
      <c r="G1133" s="43">
        <f>G1132+Учет!B1133-B1133</f>
        <v>-488978.92000000004</v>
      </c>
      <c r="H1133" s="43">
        <f>H1132+Учет!C1133-C1133</f>
        <v>336855</v>
      </c>
      <c r="I1133" s="43">
        <f>I1132+Учет!D1133-D1133</f>
        <v>500</v>
      </c>
      <c r="J1133" s="43">
        <f>J1132+Учет!E1133-E1133</f>
        <v>1150</v>
      </c>
      <c r="K1133" s="43">
        <f>K1132+Учет!F1133-F1133</f>
        <v>500000</v>
      </c>
      <c r="L1133" s="45">
        <f>Учет!I1133</f>
        <v>349526.07999999996</v>
      </c>
    </row>
    <row r="1134" spans="1:12" x14ac:dyDescent="0.25">
      <c r="A1134" s="48" t="str">
        <f>IF(Учет!A1134&lt;&gt;"",Учет!A1134,"")</f>
        <v/>
      </c>
      <c r="B1134" s="52">
        <f>IF(Учет!$O1134=Справочники!$F$2,Учет!$H1134,0)</f>
        <v>0</v>
      </c>
      <c r="C1134" s="52">
        <f>IF(Учет!$O1134=Справочники!$F$3,Учет!$H1134,0)</f>
        <v>0</v>
      </c>
      <c r="D1134" s="52">
        <f>IF(Учет!$O1134=Справочники!$F$4,Учет!$H1134,0)</f>
        <v>0</v>
      </c>
      <c r="E1134" s="52">
        <f>IF(Учет!$O1134=Справочники!$F$5,Учет!$H1134,0)</f>
        <v>0</v>
      </c>
      <c r="F1134" s="52">
        <f>IF(Учет!$O1134=Справочники!$F$6,Учет!$H1134,0)</f>
        <v>0</v>
      </c>
      <c r="G1134" s="43">
        <f>G1133+Учет!B1134-B1134</f>
        <v>-488978.92000000004</v>
      </c>
      <c r="H1134" s="43">
        <f>H1133+Учет!C1134-C1134</f>
        <v>336855</v>
      </c>
      <c r="I1134" s="43">
        <f>I1133+Учет!D1134-D1134</f>
        <v>500</v>
      </c>
      <c r="J1134" s="43">
        <f>J1133+Учет!E1134-E1134</f>
        <v>1150</v>
      </c>
      <c r="K1134" s="43">
        <f>K1133+Учет!F1134-F1134</f>
        <v>500000</v>
      </c>
      <c r="L1134" s="45">
        <f>Учет!I1134</f>
        <v>349526.07999999996</v>
      </c>
    </row>
    <row r="1135" spans="1:12" x14ac:dyDescent="0.25">
      <c r="A1135" s="48" t="str">
        <f>IF(Учет!A1135&lt;&gt;"",Учет!A1135,"")</f>
        <v/>
      </c>
      <c r="B1135" s="52">
        <f>IF(Учет!$O1135=Справочники!$F$2,Учет!$H1135,0)</f>
        <v>0</v>
      </c>
      <c r="C1135" s="52">
        <f>IF(Учет!$O1135=Справочники!$F$3,Учет!$H1135,0)</f>
        <v>0</v>
      </c>
      <c r="D1135" s="52">
        <f>IF(Учет!$O1135=Справочники!$F$4,Учет!$H1135,0)</f>
        <v>0</v>
      </c>
      <c r="E1135" s="52">
        <f>IF(Учет!$O1135=Справочники!$F$5,Учет!$H1135,0)</f>
        <v>0</v>
      </c>
      <c r="F1135" s="52">
        <f>IF(Учет!$O1135=Справочники!$F$6,Учет!$H1135,0)</f>
        <v>0</v>
      </c>
      <c r="G1135" s="43">
        <f>G1134+Учет!B1135-B1135</f>
        <v>-488978.92000000004</v>
      </c>
      <c r="H1135" s="43">
        <f>H1134+Учет!C1135-C1135</f>
        <v>336855</v>
      </c>
      <c r="I1135" s="43">
        <f>I1134+Учет!D1135-D1135</f>
        <v>500</v>
      </c>
      <c r="J1135" s="43">
        <f>J1134+Учет!E1135-E1135</f>
        <v>1150</v>
      </c>
      <c r="K1135" s="43">
        <f>K1134+Учет!F1135-F1135</f>
        <v>500000</v>
      </c>
      <c r="L1135" s="45">
        <f>Учет!I1135</f>
        <v>349526.07999999996</v>
      </c>
    </row>
    <row r="1136" spans="1:12" x14ac:dyDescent="0.25">
      <c r="A1136" s="48" t="str">
        <f>IF(Учет!A1136&lt;&gt;"",Учет!A1136,"")</f>
        <v/>
      </c>
      <c r="B1136" s="52">
        <f>IF(Учет!$O1136=Справочники!$F$2,Учет!$H1136,0)</f>
        <v>0</v>
      </c>
      <c r="C1136" s="52">
        <f>IF(Учет!$O1136=Справочники!$F$3,Учет!$H1136,0)</f>
        <v>0</v>
      </c>
      <c r="D1136" s="52">
        <f>IF(Учет!$O1136=Справочники!$F$4,Учет!$H1136,0)</f>
        <v>0</v>
      </c>
      <c r="E1136" s="52">
        <f>IF(Учет!$O1136=Справочники!$F$5,Учет!$H1136,0)</f>
        <v>0</v>
      </c>
      <c r="F1136" s="52">
        <f>IF(Учет!$O1136=Справочники!$F$6,Учет!$H1136,0)</f>
        <v>0</v>
      </c>
      <c r="G1136" s="43">
        <f>G1135+Учет!B1136-B1136</f>
        <v>-488978.92000000004</v>
      </c>
      <c r="H1136" s="43">
        <f>H1135+Учет!C1136-C1136</f>
        <v>336855</v>
      </c>
      <c r="I1136" s="43">
        <f>I1135+Учет!D1136-D1136</f>
        <v>500</v>
      </c>
      <c r="J1136" s="43">
        <f>J1135+Учет!E1136-E1136</f>
        <v>1150</v>
      </c>
      <c r="K1136" s="43">
        <f>K1135+Учет!F1136-F1136</f>
        <v>500000</v>
      </c>
      <c r="L1136" s="45">
        <f>Учет!I1136</f>
        <v>349526.07999999996</v>
      </c>
    </row>
    <row r="1137" spans="1:12" x14ac:dyDescent="0.25">
      <c r="A1137" s="48" t="str">
        <f>IF(Учет!A1137&lt;&gt;"",Учет!A1137,"")</f>
        <v/>
      </c>
      <c r="B1137" s="52">
        <f>IF(Учет!$O1137=Справочники!$F$2,Учет!$H1137,0)</f>
        <v>0</v>
      </c>
      <c r="C1137" s="52">
        <f>IF(Учет!$O1137=Справочники!$F$3,Учет!$H1137,0)</f>
        <v>0</v>
      </c>
      <c r="D1137" s="52">
        <f>IF(Учет!$O1137=Справочники!$F$4,Учет!$H1137,0)</f>
        <v>0</v>
      </c>
      <c r="E1137" s="52">
        <f>IF(Учет!$O1137=Справочники!$F$5,Учет!$H1137,0)</f>
        <v>0</v>
      </c>
      <c r="F1137" s="52">
        <f>IF(Учет!$O1137=Справочники!$F$6,Учет!$H1137,0)</f>
        <v>0</v>
      </c>
      <c r="G1137" s="43">
        <f>G1136+Учет!B1137-B1137</f>
        <v>-488978.92000000004</v>
      </c>
      <c r="H1137" s="43">
        <f>H1136+Учет!C1137-C1137</f>
        <v>336855</v>
      </c>
      <c r="I1137" s="43">
        <f>I1136+Учет!D1137-D1137</f>
        <v>500</v>
      </c>
      <c r="J1137" s="43">
        <f>J1136+Учет!E1137-E1137</f>
        <v>1150</v>
      </c>
      <c r="K1137" s="43">
        <f>K1136+Учет!F1137-F1137</f>
        <v>500000</v>
      </c>
      <c r="L1137" s="45">
        <f>Учет!I1137</f>
        <v>349526.07999999996</v>
      </c>
    </row>
    <row r="1138" spans="1:12" x14ac:dyDescent="0.25">
      <c r="A1138" s="48" t="str">
        <f>IF(Учет!A1138&lt;&gt;"",Учет!A1138,"")</f>
        <v/>
      </c>
      <c r="B1138" s="52">
        <f>IF(Учет!$O1138=Справочники!$F$2,Учет!$H1138,0)</f>
        <v>0</v>
      </c>
      <c r="C1138" s="52">
        <f>IF(Учет!$O1138=Справочники!$F$3,Учет!$H1138,0)</f>
        <v>0</v>
      </c>
      <c r="D1138" s="52">
        <f>IF(Учет!$O1138=Справочники!$F$4,Учет!$H1138,0)</f>
        <v>0</v>
      </c>
      <c r="E1138" s="52">
        <f>IF(Учет!$O1138=Справочники!$F$5,Учет!$H1138,0)</f>
        <v>0</v>
      </c>
      <c r="F1138" s="52">
        <f>IF(Учет!$O1138=Справочники!$F$6,Учет!$H1138,0)</f>
        <v>0</v>
      </c>
      <c r="G1138" s="43">
        <f>G1137+Учет!B1138-B1138</f>
        <v>-488978.92000000004</v>
      </c>
      <c r="H1138" s="43">
        <f>H1137+Учет!C1138-C1138</f>
        <v>336855</v>
      </c>
      <c r="I1138" s="43">
        <f>I1137+Учет!D1138-D1138</f>
        <v>500</v>
      </c>
      <c r="J1138" s="43">
        <f>J1137+Учет!E1138-E1138</f>
        <v>1150</v>
      </c>
      <c r="K1138" s="43">
        <f>K1137+Учет!F1138-F1138</f>
        <v>500000</v>
      </c>
      <c r="L1138" s="45">
        <f>Учет!I1138</f>
        <v>349526.07999999996</v>
      </c>
    </row>
    <row r="1139" spans="1:12" x14ac:dyDescent="0.25">
      <c r="A1139" s="48" t="str">
        <f>IF(Учет!A1139&lt;&gt;"",Учет!A1139,"")</f>
        <v/>
      </c>
      <c r="B1139" s="52">
        <f>IF(Учет!$O1139=Справочники!$F$2,Учет!$H1139,0)</f>
        <v>0</v>
      </c>
      <c r="C1139" s="52">
        <f>IF(Учет!$O1139=Справочники!$F$3,Учет!$H1139,0)</f>
        <v>0</v>
      </c>
      <c r="D1139" s="52">
        <f>IF(Учет!$O1139=Справочники!$F$4,Учет!$H1139,0)</f>
        <v>0</v>
      </c>
      <c r="E1139" s="52">
        <f>IF(Учет!$O1139=Справочники!$F$5,Учет!$H1139,0)</f>
        <v>0</v>
      </c>
      <c r="F1139" s="52">
        <f>IF(Учет!$O1139=Справочники!$F$6,Учет!$H1139,0)</f>
        <v>0</v>
      </c>
      <c r="G1139" s="43">
        <f>G1138+Учет!B1139-B1139</f>
        <v>-488978.92000000004</v>
      </c>
      <c r="H1139" s="43">
        <f>H1138+Учет!C1139-C1139</f>
        <v>336855</v>
      </c>
      <c r="I1139" s="43">
        <f>I1138+Учет!D1139-D1139</f>
        <v>500</v>
      </c>
      <c r="J1139" s="43">
        <f>J1138+Учет!E1139-E1139</f>
        <v>1150</v>
      </c>
      <c r="K1139" s="43">
        <f>K1138+Учет!F1139-F1139</f>
        <v>500000</v>
      </c>
      <c r="L1139" s="45">
        <f>Учет!I1139</f>
        <v>349526.07999999996</v>
      </c>
    </row>
    <row r="1140" spans="1:12" x14ac:dyDescent="0.25">
      <c r="A1140" s="48" t="str">
        <f>IF(Учет!A1140&lt;&gt;"",Учет!A1140,"")</f>
        <v/>
      </c>
      <c r="B1140" s="52">
        <f>IF(Учет!$O1140=Справочники!$F$2,Учет!$H1140,0)</f>
        <v>0</v>
      </c>
      <c r="C1140" s="52">
        <f>IF(Учет!$O1140=Справочники!$F$3,Учет!$H1140,0)</f>
        <v>0</v>
      </c>
      <c r="D1140" s="52">
        <f>IF(Учет!$O1140=Справочники!$F$4,Учет!$H1140,0)</f>
        <v>0</v>
      </c>
      <c r="E1140" s="52">
        <f>IF(Учет!$O1140=Справочники!$F$5,Учет!$H1140,0)</f>
        <v>0</v>
      </c>
      <c r="F1140" s="52">
        <f>IF(Учет!$O1140=Справочники!$F$6,Учет!$H1140,0)</f>
        <v>0</v>
      </c>
      <c r="G1140" s="43">
        <f>G1139+Учет!B1140-B1140</f>
        <v>-488978.92000000004</v>
      </c>
      <c r="H1140" s="43">
        <f>H1139+Учет!C1140-C1140</f>
        <v>336855</v>
      </c>
      <c r="I1140" s="43">
        <f>I1139+Учет!D1140-D1140</f>
        <v>500</v>
      </c>
      <c r="J1140" s="43">
        <f>J1139+Учет!E1140-E1140</f>
        <v>1150</v>
      </c>
      <c r="K1140" s="43">
        <f>K1139+Учет!F1140-F1140</f>
        <v>500000</v>
      </c>
      <c r="L1140" s="45">
        <f>Учет!I1140</f>
        <v>349526.07999999996</v>
      </c>
    </row>
    <row r="1141" spans="1:12" x14ac:dyDescent="0.25">
      <c r="A1141" s="48" t="str">
        <f>IF(Учет!A1141&lt;&gt;"",Учет!A1141,"")</f>
        <v/>
      </c>
      <c r="B1141" s="52">
        <f>IF(Учет!$O1141=Справочники!$F$2,Учет!$H1141,0)</f>
        <v>0</v>
      </c>
      <c r="C1141" s="52">
        <f>IF(Учет!$O1141=Справочники!$F$3,Учет!$H1141,0)</f>
        <v>0</v>
      </c>
      <c r="D1141" s="52">
        <f>IF(Учет!$O1141=Справочники!$F$4,Учет!$H1141,0)</f>
        <v>0</v>
      </c>
      <c r="E1141" s="52">
        <f>IF(Учет!$O1141=Справочники!$F$5,Учет!$H1141,0)</f>
        <v>0</v>
      </c>
      <c r="F1141" s="52">
        <f>IF(Учет!$O1141=Справочники!$F$6,Учет!$H1141,0)</f>
        <v>0</v>
      </c>
      <c r="G1141" s="43">
        <f>G1140+Учет!B1141-B1141</f>
        <v>-488978.92000000004</v>
      </c>
      <c r="H1141" s="43">
        <f>H1140+Учет!C1141-C1141</f>
        <v>336855</v>
      </c>
      <c r="I1141" s="43">
        <f>I1140+Учет!D1141-D1141</f>
        <v>500</v>
      </c>
      <c r="J1141" s="43">
        <f>J1140+Учет!E1141-E1141</f>
        <v>1150</v>
      </c>
      <c r="K1141" s="43">
        <f>K1140+Учет!F1141-F1141</f>
        <v>500000</v>
      </c>
      <c r="L1141" s="45">
        <f>Учет!I1141</f>
        <v>349526.07999999996</v>
      </c>
    </row>
    <row r="1142" spans="1:12" x14ac:dyDescent="0.25">
      <c r="A1142" s="48" t="str">
        <f>IF(Учет!A1142&lt;&gt;"",Учет!A1142,"")</f>
        <v/>
      </c>
      <c r="B1142" s="52">
        <f>IF(Учет!$O1142=Справочники!$F$2,Учет!$H1142,0)</f>
        <v>0</v>
      </c>
      <c r="C1142" s="52">
        <f>IF(Учет!$O1142=Справочники!$F$3,Учет!$H1142,0)</f>
        <v>0</v>
      </c>
      <c r="D1142" s="52">
        <f>IF(Учет!$O1142=Справочники!$F$4,Учет!$H1142,0)</f>
        <v>0</v>
      </c>
      <c r="E1142" s="52">
        <f>IF(Учет!$O1142=Справочники!$F$5,Учет!$H1142,0)</f>
        <v>0</v>
      </c>
      <c r="F1142" s="52">
        <f>IF(Учет!$O1142=Справочники!$F$6,Учет!$H1142,0)</f>
        <v>0</v>
      </c>
      <c r="G1142" s="43">
        <f>G1141+Учет!B1142-B1142</f>
        <v>-488978.92000000004</v>
      </c>
      <c r="H1142" s="43">
        <f>H1141+Учет!C1142-C1142</f>
        <v>336855</v>
      </c>
      <c r="I1142" s="43">
        <f>I1141+Учет!D1142-D1142</f>
        <v>500</v>
      </c>
      <c r="J1142" s="43">
        <f>J1141+Учет!E1142-E1142</f>
        <v>1150</v>
      </c>
      <c r="K1142" s="43">
        <f>K1141+Учет!F1142-F1142</f>
        <v>500000</v>
      </c>
      <c r="L1142" s="45">
        <f>Учет!I1142</f>
        <v>349526.07999999996</v>
      </c>
    </row>
    <row r="1143" spans="1:12" x14ac:dyDescent="0.25">
      <c r="A1143" s="48" t="str">
        <f>IF(Учет!A1143&lt;&gt;"",Учет!A1143,"")</f>
        <v/>
      </c>
      <c r="B1143" s="52">
        <f>IF(Учет!$O1143=Справочники!$F$2,Учет!$H1143,0)</f>
        <v>0</v>
      </c>
      <c r="C1143" s="52">
        <f>IF(Учет!$O1143=Справочники!$F$3,Учет!$H1143,0)</f>
        <v>0</v>
      </c>
      <c r="D1143" s="52">
        <f>IF(Учет!$O1143=Справочники!$F$4,Учет!$H1143,0)</f>
        <v>0</v>
      </c>
      <c r="E1143" s="52">
        <f>IF(Учет!$O1143=Справочники!$F$5,Учет!$H1143,0)</f>
        <v>0</v>
      </c>
      <c r="F1143" s="52">
        <f>IF(Учет!$O1143=Справочники!$F$6,Учет!$H1143,0)</f>
        <v>0</v>
      </c>
      <c r="G1143" s="43">
        <f>G1142+Учет!B1143-B1143</f>
        <v>-488978.92000000004</v>
      </c>
      <c r="H1143" s="43">
        <f>H1142+Учет!C1143-C1143</f>
        <v>336855</v>
      </c>
      <c r="I1143" s="43">
        <f>I1142+Учет!D1143-D1143</f>
        <v>500</v>
      </c>
      <c r="J1143" s="43">
        <f>J1142+Учет!E1143-E1143</f>
        <v>1150</v>
      </c>
      <c r="K1143" s="43">
        <f>K1142+Учет!F1143-F1143</f>
        <v>500000</v>
      </c>
      <c r="L1143" s="45">
        <f>Учет!I1143</f>
        <v>349526.07999999996</v>
      </c>
    </row>
    <row r="1144" spans="1:12" x14ac:dyDescent="0.25">
      <c r="A1144" s="48" t="str">
        <f>IF(Учет!A1144&lt;&gt;"",Учет!A1144,"")</f>
        <v/>
      </c>
      <c r="B1144" s="52">
        <f>IF(Учет!$O1144=Справочники!$F$2,Учет!$H1144,0)</f>
        <v>0</v>
      </c>
      <c r="C1144" s="52">
        <f>IF(Учет!$O1144=Справочники!$F$3,Учет!$H1144,0)</f>
        <v>0</v>
      </c>
      <c r="D1144" s="52">
        <f>IF(Учет!$O1144=Справочники!$F$4,Учет!$H1144,0)</f>
        <v>0</v>
      </c>
      <c r="E1144" s="52">
        <f>IF(Учет!$O1144=Справочники!$F$5,Учет!$H1144,0)</f>
        <v>0</v>
      </c>
      <c r="F1144" s="52">
        <f>IF(Учет!$O1144=Справочники!$F$6,Учет!$H1144,0)</f>
        <v>0</v>
      </c>
      <c r="G1144" s="43">
        <f>G1143+Учет!B1144-B1144</f>
        <v>-488978.92000000004</v>
      </c>
      <c r="H1144" s="43">
        <f>H1143+Учет!C1144-C1144</f>
        <v>336855</v>
      </c>
      <c r="I1144" s="43">
        <f>I1143+Учет!D1144-D1144</f>
        <v>500</v>
      </c>
      <c r="J1144" s="43">
        <f>J1143+Учет!E1144-E1144</f>
        <v>1150</v>
      </c>
      <c r="K1144" s="43">
        <f>K1143+Учет!F1144-F1144</f>
        <v>500000</v>
      </c>
      <c r="L1144" s="45">
        <f>Учет!I1144</f>
        <v>349526.07999999996</v>
      </c>
    </row>
    <row r="1145" spans="1:12" x14ac:dyDescent="0.25">
      <c r="A1145" s="48" t="str">
        <f>IF(Учет!A1145&lt;&gt;"",Учет!A1145,"")</f>
        <v/>
      </c>
      <c r="B1145" s="52">
        <f>IF(Учет!$O1145=Справочники!$F$2,Учет!$H1145,0)</f>
        <v>0</v>
      </c>
      <c r="C1145" s="52">
        <f>IF(Учет!$O1145=Справочники!$F$3,Учет!$H1145,0)</f>
        <v>0</v>
      </c>
      <c r="D1145" s="52">
        <f>IF(Учет!$O1145=Справочники!$F$4,Учет!$H1145,0)</f>
        <v>0</v>
      </c>
      <c r="E1145" s="52">
        <f>IF(Учет!$O1145=Справочники!$F$5,Учет!$H1145,0)</f>
        <v>0</v>
      </c>
      <c r="F1145" s="52">
        <f>IF(Учет!$O1145=Справочники!$F$6,Учет!$H1145,0)</f>
        <v>0</v>
      </c>
      <c r="G1145" s="43">
        <f>G1144+Учет!B1145-B1145</f>
        <v>-488978.92000000004</v>
      </c>
      <c r="H1145" s="43">
        <f>H1144+Учет!C1145-C1145</f>
        <v>336855</v>
      </c>
      <c r="I1145" s="43">
        <f>I1144+Учет!D1145-D1145</f>
        <v>500</v>
      </c>
      <c r="J1145" s="43">
        <f>J1144+Учет!E1145-E1145</f>
        <v>1150</v>
      </c>
      <c r="K1145" s="43">
        <f>K1144+Учет!F1145-F1145</f>
        <v>500000</v>
      </c>
      <c r="L1145" s="45">
        <f>Учет!I1145</f>
        <v>349526.07999999996</v>
      </c>
    </row>
    <row r="1146" spans="1:12" x14ac:dyDescent="0.25">
      <c r="A1146" s="48" t="str">
        <f>IF(Учет!A1146&lt;&gt;"",Учет!A1146,"")</f>
        <v/>
      </c>
      <c r="B1146" s="52">
        <f>IF(Учет!$O1146=Справочники!$F$2,Учет!$H1146,0)</f>
        <v>0</v>
      </c>
      <c r="C1146" s="52">
        <f>IF(Учет!$O1146=Справочники!$F$3,Учет!$H1146,0)</f>
        <v>0</v>
      </c>
      <c r="D1146" s="52">
        <f>IF(Учет!$O1146=Справочники!$F$4,Учет!$H1146,0)</f>
        <v>0</v>
      </c>
      <c r="E1146" s="52">
        <f>IF(Учет!$O1146=Справочники!$F$5,Учет!$H1146,0)</f>
        <v>0</v>
      </c>
      <c r="F1146" s="52">
        <f>IF(Учет!$O1146=Справочники!$F$6,Учет!$H1146,0)</f>
        <v>0</v>
      </c>
      <c r="G1146" s="43">
        <f>G1145+Учет!B1146-B1146</f>
        <v>-488978.92000000004</v>
      </c>
      <c r="H1146" s="43">
        <f>H1145+Учет!C1146-C1146</f>
        <v>336855</v>
      </c>
      <c r="I1146" s="43">
        <f>I1145+Учет!D1146-D1146</f>
        <v>500</v>
      </c>
      <c r="J1146" s="43">
        <f>J1145+Учет!E1146-E1146</f>
        <v>1150</v>
      </c>
      <c r="K1146" s="43">
        <f>K1145+Учет!F1146-F1146</f>
        <v>500000</v>
      </c>
      <c r="L1146" s="45">
        <f>Учет!I1146</f>
        <v>349526.07999999996</v>
      </c>
    </row>
    <row r="1147" spans="1:12" x14ac:dyDescent="0.25">
      <c r="A1147" s="48" t="str">
        <f>IF(Учет!A1147&lt;&gt;"",Учет!A1147,"")</f>
        <v/>
      </c>
      <c r="B1147" s="52">
        <f>IF(Учет!$O1147=Справочники!$F$2,Учет!$H1147,0)</f>
        <v>0</v>
      </c>
      <c r="C1147" s="52">
        <f>IF(Учет!$O1147=Справочники!$F$3,Учет!$H1147,0)</f>
        <v>0</v>
      </c>
      <c r="D1147" s="52">
        <f>IF(Учет!$O1147=Справочники!$F$4,Учет!$H1147,0)</f>
        <v>0</v>
      </c>
      <c r="E1147" s="52">
        <f>IF(Учет!$O1147=Справочники!$F$5,Учет!$H1147,0)</f>
        <v>0</v>
      </c>
      <c r="F1147" s="52">
        <f>IF(Учет!$O1147=Справочники!$F$6,Учет!$H1147,0)</f>
        <v>0</v>
      </c>
      <c r="G1147" s="43">
        <f>G1146+Учет!B1147-B1147</f>
        <v>-488978.92000000004</v>
      </c>
      <c r="H1147" s="43">
        <f>H1146+Учет!C1147-C1147</f>
        <v>336855</v>
      </c>
      <c r="I1147" s="43">
        <f>I1146+Учет!D1147-D1147</f>
        <v>500</v>
      </c>
      <c r="J1147" s="43">
        <f>J1146+Учет!E1147-E1147</f>
        <v>1150</v>
      </c>
      <c r="K1147" s="43">
        <f>K1146+Учет!F1147-F1147</f>
        <v>500000</v>
      </c>
      <c r="L1147" s="45">
        <f>Учет!I1147</f>
        <v>349526.07999999996</v>
      </c>
    </row>
    <row r="1148" spans="1:12" x14ac:dyDescent="0.25">
      <c r="A1148" s="48" t="str">
        <f>IF(Учет!A1148&lt;&gt;"",Учет!A1148,"")</f>
        <v/>
      </c>
      <c r="B1148" s="52">
        <f>IF(Учет!$O1148=Справочники!$F$2,Учет!$H1148,0)</f>
        <v>0</v>
      </c>
      <c r="C1148" s="52">
        <f>IF(Учет!$O1148=Справочники!$F$3,Учет!$H1148,0)</f>
        <v>0</v>
      </c>
      <c r="D1148" s="52">
        <f>IF(Учет!$O1148=Справочники!$F$4,Учет!$H1148,0)</f>
        <v>0</v>
      </c>
      <c r="E1148" s="52">
        <f>IF(Учет!$O1148=Справочники!$F$5,Учет!$H1148,0)</f>
        <v>0</v>
      </c>
      <c r="F1148" s="52">
        <f>IF(Учет!$O1148=Справочники!$F$6,Учет!$H1148,0)</f>
        <v>0</v>
      </c>
      <c r="G1148" s="43">
        <f>G1147+Учет!B1148-B1148</f>
        <v>-488978.92000000004</v>
      </c>
      <c r="H1148" s="43">
        <f>H1147+Учет!C1148-C1148</f>
        <v>336855</v>
      </c>
      <c r="I1148" s="43">
        <f>I1147+Учет!D1148-D1148</f>
        <v>500</v>
      </c>
      <c r="J1148" s="43">
        <f>J1147+Учет!E1148-E1148</f>
        <v>1150</v>
      </c>
      <c r="K1148" s="43">
        <f>K1147+Учет!F1148-F1148</f>
        <v>500000</v>
      </c>
      <c r="L1148" s="45">
        <f>Учет!I1148</f>
        <v>349526.07999999996</v>
      </c>
    </row>
    <row r="1149" spans="1:12" x14ac:dyDescent="0.25">
      <c r="A1149" s="48" t="str">
        <f>IF(Учет!A1149&lt;&gt;"",Учет!A1149,"")</f>
        <v/>
      </c>
      <c r="B1149" s="52">
        <f>IF(Учет!$O1149=Справочники!$F$2,Учет!$H1149,0)</f>
        <v>0</v>
      </c>
      <c r="C1149" s="52">
        <f>IF(Учет!$O1149=Справочники!$F$3,Учет!$H1149,0)</f>
        <v>0</v>
      </c>
      <c r="D1149" s="52">
        <f>IF(Учет!$O1149=Справочники!$F$4,Учет!$H1149,0)</f>
        <v>0</v>
      </c>
      <c r="E1149" s="52">
        <f>IF(Учет!$O1149=Справочники!$F$5,Учет!$H1149,0)</f>
        <v>0</v>
      </c>
      <c r="F1149" s="52">
        <f>IF(Учет!$O1149=Справочники!$F$6,Учет!$H1149,0)</f>
        <v>0</v>
      </c>
      <c r="G1149" s="43">
        <f>G1148+Учет!B1149-B1149</f>
        <v>-488978.92000000004</v>
      </c>
      <c r="H1149" s="43">
        <f>H1148+Учет!C1149-C1149</f>
        <v>336855</v>
      </c>
      <c r="I1149" s="43">
        <f>I1148+Учет!D1149-D1149</f>
        <v>500</v>
      </c>
      <c r="J1149" s="43">
        <f>J1148+Учет!E1149-E1149</f>
        <v>1150</v>
      </c>
      <c r="K1149" s="43">
        <f>K1148+Учет!F1149-F1149</f>
        <v>500000</v>
      </c>
      <c r="L1149" s="45">
        <f>Учет!I1149</f>
        <v>349526.07999999996</v>
      </c>
    </row>
    <row r="1150" spans="1:12" x14ac:dyDescent="0.25">
      <c r="A1150" s="48" t="str">
        <f>IF(Учет!A1150&lt;&gt;"",Учет!A1150,"")</f>
        <v/>
      </c>
      <c r="B1150" s="52">
        <f>IF(Учет!$O1150=Справочники!$F$2,Учет!$H1150,0)</f>
        <v>0</v>
      </c>
      <c r="C1150" s="52">
        <f>IF(Учет!$O1150=Справочники!$F$3,Учет!$H1150,0)</f>
        <v>0</v>
      </c>
      <c r="D1150" s="52">
        <f>IF(Учет!$O1150=Справочники!$F$4,Учет!$H1150,0)</f>
        <v>0</v>
      </c>
      <c r="E1150" s="52">
        <f>IF(Учет!$O1150=Справочники!$F$5,Учет!$H1150,0)</f>
        <v>0</v>
      </c>
      <c r="F1150" s="52">
        <f>IF(Учет!$O1150=Справочники!$F$6,Учет!$H1150,0)</f>
        <v>0</v>
      </c>
      <c r="G1150" s="43">
        <f>G1149+Учет!B1150-B1150</f>
        <v>-488978.92000000004</v>
      </c>
      <c r="H1150" s="43">
        <f>H1149+Учет!C1150-C1150</f>
        <v>336855</v>
      </c>
      <c r="I1150" s="43">
        <f>I1149+Учет!D1150-D1150</f>
        <v>500</v>
      </c>
      <c r="J1150" s="43">
        <f>J1149+Учет!E1150-E1150</f>
        <v>1150</v>
      </c>
      <c r="K1150" s="43">
        <f>K1149+Учет!F1150-F1150</f>
        <v>500000</v>
      </c>
      <c r="L1150" s="45">
        <f>Учет!I1150</f>
        <v>349526.07999999996</v>
      </c>
    </row>
    <row r="1151" spans="1:12" x14ac:dyDescent="0.25">
      <c r="A1151" s="48" t="str">
        <f>IF(Учет!A1151&lt;&gt;"",Учет!A1151,"")</f>
        <v/>
      </c>
      <c r="B1151" s="52">
        <f>IF(Учет!$O1151=Справочники!$F$2,Учет!$H1151,0)</f>
        <v>0</v>
      </c>
      <c r="C1151" s="52">
        <f>IF(Учет!$O1151=Справочники!$F$3,Учет!$H1151,0)</f>
        <v>0</v>
      </c>
      <c r="D1151" s="52">
        <f>IF(Учет!$O1151=Справочники!$F$4,Учет!$H1151,0)</f>
        <v>0</v>
      </c>
      <c r="E1151" s="52">
        <f>IF(Учет!$O1151=Справочники!$F$5,Учет!$H1151,0)</f>
        <v>0</v>
      </c>
      <c r="F1151" s="52">
        <f>IF(Учет!$O1151=Справочники!$F$6,Учет!$H1151,0)</f>
        <v>0</v>
      </c>
      <c r="G1151" s="43">
        <f>G1150+Учет!B1151-B1151</f>
        <v>-488978.92000000004</v>
      </c>
      <c r="H1151" s="43">
        <f>H1150+Учет!C1151-C1151</f>
        <v>336855</v>
      </c>
      <c r="I1151" s="43">
        <f>I1150+Учет!D1151-D1151</f>
        <v>500</v>
      </c>
      <c r="J1151" s="43">
        <f>J1150+Учет!E1151-E1151</f>
        <v>1150</v>
      </c>
      <c r="K1151" s="43">
        <f>K1150+Учет!F1151-F1151</f>
        <v>500000</v>
      </c>
      <c r="L1151" s="45">
        <f>Учет!I1151</f>
        <v>349526.07999999996</v>
      </c>
    </row>
    <row r="1152" spans="1:12" x14ac:dyDescent="0.25">
      <c r="A1152" s="48" t="str">
        <f>IF(Учет!A1152&lt;&gt;"",Учет!A1152,"")</f>
        <v/>
      </c>
      <c r="B1152" s="52">
        <f>IF(Учет!$O1152=Справочники!$F$2,Учет!$H1152,0)</f>
        <v>0</v>
      </c>
      <c r="C1152" s="52">
        <f>IF(Учет!$O1152=Справочники!$F$3,Учет!$H1152,0)</f>
        <v>0</v>
      </c>
      <c r="D1152" s="52">
        <f>IF(Учет!$O1152=Справочники!$F$4,Учет!$H1152,0)</f>
        <v>0</v>
      </c>
      <c r="E1152" s="52">
        <f>IF(Учет!$O1152=Справочники!$F$5,Учет!$H1152,0)</f>
        <v>0</v>
      </c>
      <c r="F1152" s="52">
        <f>IF(Учет!$O1152=Справочники!$F$6,Учет!$H1152,0)</f>
        <v>0</v>
      </c>
      <c r="G1152" s="43">
        <f>G1151+Учет!B1152-B1152</f>
        <v>-488978.92000000004</v>
      </c>
      <c r="H1152" s="43">
        <f>H1151+Учет!C1152-C1152</f>
        <v>336855</v>
      </c>
      <c r="I1152" s="43">
        <f>I1151+Учет!D1152-D1152</f>
        <v>500</v>
      </c>
      <c r="J1152" s="43">
        <f>J1151+Учет!E1152-E1152</f>
        <v>1150</v>
      </c>
      <c r="K1152" s="43">
        <f>K1151+Учет!F1152-F1152</f>
        <v>500000</v>
      </c>
      <c r="L1152" s="45">
        <f>Учет!I1152</f>
        <v>349526.07999999996</v>
      </c>
    </row>
    <row r="1153" spans="1:12" x14ac:dyDescent="0.25">
      <c r="A1153" s="48" t="str">
        <f>IF(Учет!A1153&lt;&gt;"",Учет!A1153,"")</f>
        <v/>
      </c>
      <c r="B1153" s="52">
        <f>IF(Учет!$O1153=Справочники!$F$2,Учет!$H1153,0)</f>
        <v>0</v>
      </c>
      <c r="C1153" s="52">
        <f>IF(Учет!$O1153=Справочники!$F$3,Учет!$H1153,0)</f>
        <v>0</v>
      </c>
      <c r="D1153" s="52">
        <f>IF(Учет!$O1153=Справочники!$F$4,Учет!$H1153,0)</f>
        <v>0</v>
      </c>
      <c r="E1153" s="52">
        <f>IF(Учет!$O1153=Справочники!$F$5,Учет!$H1153,0)</f>
        <v>0</v>
      </c>
      <c r="F1153" s="52">
        <f>IF(Учет!$O1153=Справочники!$F$6,Учет!$H1153,0)</f>
        <v>0</v>
      </c>
      <c r="G1153" s="43">
        <f>G1152+Учет!B1153-B1153</f>
        <v>-488978.92000000004</v>
      </c>
      <c r="H1153" s="43">
        <f>H1152+Учет!C1153-C1153</f>
        <v>336855</v>
      </c>
      <c r="I1153" s="43">
        <f>I1152+Учет!D1153-D1153</f>
        <v>500</v>
      </c>
      <c r="J1153" s="43">
        <f>J1152+Учет!E1153-E1153</f>
        <v>1150</v>
      </c>
      <c r="K1153" s="43">
        <f>K1152+Учет!F1153-F1153</f>
        <v>500000</v>
      </c>
      <c r="L1153" s="45">
        <f>Учет!I1153</f>
        <v>349526.07999999996</v>
      </c>
    </row>
    <row r="1154" spans="1:12" x14ac:dyDescent="0.25">
      <c r="A1154" s="48" t="str">
        <f>IF(Учет!A1154&lt;&gt;"",Учет!A1154,"")</f>
        <v/>
      </c>
      <c r="B1154" s="52">
        <f>IF(Учет!$O1154=Справочники!$F$2,Учет!$H1154,0)</f>
        <v>0</v>
      </c>
      <c r="C1154" s="52">
        <f>IF(Учет!$O1154=Справочники!$F$3,Учет!$H1154,0)</f>
        <v>0</v>
      </c>
      <c r="D1154" s="52">
        <f>IF(Учет!$O1154=Справочники!$F$4,Учет!$H1154,0)</f>
        <v>0</v>
      </c>
      <c r="E1154" s="52">
        <f>IF(Учет!$O1154=Справочники!$F$5,Учет!$H1154,0)</f>
        <v>0</v>
      </c>
      <c r="F1154" s="52">
        <f>IF(Учет!$O1154=Справочники!$F$6,Учет!$H1154,0)</f>
        <v>0</v>
      </c>
      <c r="G1154" s="43">
        <f>G1153+Учет!B1154-B1154</f>
        <v>-488978.92000000004</v>
      </c>
      <c r="H1154" s="43">
        <f>H1153+Учет!C1154-C1154</f>
        <v>336855</v>
      </c>
      <c r="I1154" s="43">
        <f>I1153+Учет!D1154-D1154</f>
        <v>500</v>
      </c>
      <c r="J1154" s="43">
        <f>J1153+Учет!E1154-E1154</f>
        <v>1150</v>
      </c>
      <c r="K1154" s="43">
        <f>K1153+Учет!F1154-F1154</f>
        <v>500000</v>
      </c>
      <c r="L1154" s="45">
        <f>Учет!I1154</f>
        <v>349526.07999999996</v>
      </c>
    </row>
    <row r="1155" spans="1:12" x14ac:dyDescent="0.25">
      <c r="A1155" s="48" t="str">
        <f>IF(Учет!A1155&lt;&gt;"",Учет!A1155,"")</f>
        <v/>
      </c>
      <c r="B1155" s="52">
        <f>IF(Учет!$O1155=Справочники!$F$2,Учет!$H1155,0)</f>
        <v>0</v>
      </c>
      <c r="C1155" s="52">
        <f>IF(Учет!$O1155=Справочники!$F$3,Учет!$H1155,0)</f>
        <v>0</v>
      </c>
      <c r="D1155" s="52">
        <f>IF(Учет!$O1155=Справочники!$F$4,Учет!$H1155,0)</f>
        <v>0</v>
      </c>
      <c r="E1155" s="52">
        <f>IF(Учет!$O1155=Справочники!$F$5,Учет!$H1155,0)</f>
        <v>0</v>
      </c>
      <c r="F1155" s="52">
        <f>IF(Учет!$O1155=Справочники!$F$6,Учет!$H1155,0)</f>
        <v>0</v>
      </c>
      <c r="G1155" s="43">
        <f>G1154+Учет!B1155-B1155</f>
        <v>-488978.92000000004</v>
      </c>
      <c r="H1155" s="43">
        <f>H1154+Учет!C1155-C1155</f>
        <v>336855</v>
      </c>
      <c r="I1155" s="43">
        <f>I1154+Учет!D1155-D1155</f>
        <v>500</v>
      </c>
      <c r="J1155" s="43">
        <f>J1154+Учет!E1155-E1155</f>
        <v>1150</v>
      </c>
      <c r="K1155" s="43">
        <f>K1154+Учет!F1155-F1155</f>
        <v>500000</v>
      </c>
      <c r="L1155" s="45">
        <f>Учет!I1155</f>
        <v>349526.07999999996</v>
      </c>
    </row>
    <row r="1156" spans="1:12" x14ac:dyDescent="0.25">
      <c r="A1156" s="48" t="str">
        <f>IF(Учет!A1156&lt;&gt;"",Учет!A1156,"")</f>
        <v/>
      </c>
      <c r="B1156" s="52">
        <f>IF(Учет!$O1156=Справочники!$F$2,Учет!$H1156,0)</f>
        <v>0</v>
      </c>
      <c r="C1156" s="52">
        <f>IF(Учет!$O1156=Справочники!$F$3,Учет!$H1156,0)</f>
        <v>0</v>
      </c>
      <c r="D1156" s="52">
        <f>IF(Учет!$O1156=Справочники!$F$4,Учет!$H1156,0)</f>
        <v>0</v>
      </c>
      <c r="E1156" s="52">
        <f>IF(Учет!$O1156=Справочники!$F$5,Учет!$H1156,0)</f>
        <v>0</v>
      </c>
      <c r="F1156" s="52">
        <f>IF(Учет!$O1156=Справочники!$F$6,Учет!$H1156,0)</f>
        <v>0</v>
      </c>
      <c r="G1156" s="43">
        <f>G1155+Учет!B1156-B1156</f>
        <v>-488978.92000000004</v>
      </c>
      <c r="H1156" s="43">
        <f>H1155+Учет!C1156-C1156</f>
        <v>336855</v>
      </c>
      <c r="I1156" s="43">
        <f>I1155+Учет!D1156-D1156</f>
        <v>500</v>
      </c>
      <c r="J1156" s="43">
        <f>J1155+Учет!E1156-E1156</f>
        <v>1150</v>
      </c>
      <c r="K1156" s="43">
        <f>K1155+Учет!F1156-F1156</f>
        <v>500000</v>
      </c>
      <c r="L1156" s="45">
        <f>Учет!I1156</f>
        <v>349526.07999999996</v>
      </c>
    </row>
    <row r="1157" spans="1:12" x14ac:dyDescent="0.25">
      <c r="A1157" s="48" t="str">
        <f>IF(Учет!A1157&lt;&gt;"",Учет!A1157,"")</f>
        <v/>
      </c>
      <c r="B1157" s="52">
        <f>IF(Учет!$O1157=Справочники!$F$2,Учет!$H1157,0)</f>
        <v>0</v>
      </c>
      <c r="C1157" s="52">
        <f>IF(Учет!$O1157=Справочники!$F$3,Учет!$H1157,0)</f>
        <v>0</v>
      </c>
      <c r="D1157" s="52">
        <f>IF(Учет!$O1157=Справочники!$F$4,Учет!$H1157,0)</f>
        <v>0</v>
      </c>
      <c r="E1157" s="52">
        <f>IF(Учет!$O1157=Справочники!$F$5,Учет!$H1157,0)</f>
        <v>0</v>
      </c>
      <c r="F1157" s="52">
        <f>IF(Учет!$O1157=Справочники!$F$6,Учет!$H1157,0)</f>
        <v>0</v>
      </c>
      <c r="G1157" s="43">
        <f>G1156+Учет!B1157-B1157</f>
        <v>-488978.92000000004</v>
      </c>
      <c r="H1157" s="43">
        <f>H1156+Учет!C1157-C1157</f>
        <v>336855</v>
      </c>
      <c r="I1157" s="43">
        <f>I1156+Учет!D1157-D1157</f>
        <v>500</v>
      </c>
      <c r="J1157" s="43">
        <f>J1156+Учет!E1157-E1157</f>
        <v>1150</v>
      </c>
      <c r="K1157" s="43">
        <f>K1156+Учет!F1157-F1157</f>
        <v>500000</v>
      </c>
      <c r="L1157" s="45">
        <f>Учет!I1157</f>
        <v>349526.07999999996</v>
      </c>
    </row>
    <row r="1158" spans="1:12" x14ac:dyDescent="0.25">
      <c r="A1158" s="48" t="str">
        <f>IF(Учет!A1158&lt;&gt;"",Учет!A1158,"")</f>
        <v/>
      </c>
      <c r="B1158" s="52">
        <f>IF(Учет!$O1158=Справочники!$F$2,Учет!$H1158,0)</f>
        <v>0</v>
      </c>
      <c r="C1158" s="52">
        <f>IF(Учет!$O1158=Справочники!$F$3,Учет!$H1158,0)</f>
        <v>0</v>
      </c>
      <c r="D1158" s="52">
        <f>IF(Учет!$O1158=Справочники!$F$4,Учет!$H1158,0)</f>
        <v>0</v>
      </c>
      <c r="E1158" s="52">
        <f>IF(Учет!$O1158=Справочники!$F$5,Учет!$H1158,0)</f>
        <v>0</v>
      </c>
      <c r="F1158" s="52">
        <f>IF(Учет!$O1158=Справочники!$F$6,Учет!$H1158,0)</f>
        <v>0</v>
      </c>
      <c r="G1158" s="43">
        <f>G1157+Учет!B1158-B1158</f>
        <v>-488978.92000000004</v>
      </c>
      <c r="H1158" s="43">
        <f>H1157+Учет!C1158-C1158</f>
        <v>336855</v>
      </c>
      <c r="I1158" s="43">
        <f>I1157+Учет!D1158-D1158</f>
        <v>500</v>
      </c>
      <c r="J1158" s="43">
        <f>J1157+Учет!E1158-E1158</f>
        <v>1150</v>
      </c>
      <c r="K1158" s="43">
        <f>K1157+Учет!F1158-F1158</f>
        <v>500000</v>
      </c>
      <c r="L1158" s="45">
        <f>Учет!I1158</f>
        <v>349526.07999999996</v>
      </c>
    </row>
    <row r="1159" spans="1:12" x14ac:dyDescent="0.25">
      <c r="A1159" s="48" t="str">
        <f>IF(Учет!A1159&lt;&gt;"",Учет!A1159,"")</f>
        <v/>
      </c>
      <c r="B1159" s="52">
        <f>IF(Учет!$O1159=Справочники!$F$2,Учет!$H1159,0)</f>
        <v>0</v>
      </c>
      <c r="C1159" s="52">
        <f>IF(Учет!$O1159=Справочники!$F$3,Учет!$H1159,0)</f>
        <v>0</v>
      </c>
      <c r="D1159" s="52">
        <f>IF(Учет!$O1159=Справочники!$F$4,Учет!$H1159,0)</f>
        <v>0</v>
      </c>
      <c r="E1159" s="52">
        <f>IF(Учет!$O1159=Справочники!$F$5,Учет!$H1159,0)</f>
        <v>0</v>
      </c>
      <c r="F1159" s="52">
        <f>IF(Учет!$O1159=Справочники!$F$6,Учет!$H1159,0)</f>
        <v>0</v>
      </c>
      <c r="G1159" s="43">
        <f>G1158+Учет!B1159-B1159</f>
        <v>-488978.92000000004</v>
      </c>
      <c r="H1159" s="43">
        <f>H1158+Учет!C1159-C1159</f>
        <v>336855</v>
      </c>
      <c r="I1159" s="43">
        <f>I1158+Учет!D1159-D1159</f>
        <v>500</v>
      </c>
      <c r="J1159" s="43">
        <f>J1158+Учет!E1159-E1159</f>
        <v>1150</v>
      </c>
      <c r="K1159" s="43">
        <f>K1158+Учет!F1159-F1159</f>
        <v>500000</v>
      </c>
      <c r="L1159" s="45">
        <f>Учет!I1159</f>
        <v>349526.07999999996</v>
      </c>
    </row>
    <row r="1160" spans="1:12" x14ac:dyDescent="0.25">
      <c r="A1160" s="48" t="str">
        <f>IF(Учет!A1160&lt;&gt;"",Учет!A1160,"")</f>
        <v/>
      </c>
      <c r="B1160" s="52">
        <f>IF(Учет!$O1160=Справочники!$F$2,Учет!$H1160,0)</f>
        <v>0</v>
      </c>
      <c r="C1160" s="52">
        <f>IF(Учет!$O1160=Справочники!$F$3,Учет!$H1160,0)</f>
        <v>0</v>
      </c>
      <c r="D1160" s="52">
        <f>IF(Учет!$O1160=Справочники!$F$4,Учет!$H1160,0)</f>
        <v>0</v>
      </c>
      <c r="E1160" s="52">
        <f>IF(Учет!$O1160=Справочники!$F$5,Учет!$H1160,0)</f>
        <v>0</v>
      </c>
      <c r="F1160" s="52">
        <f>IF(Учет!$O1160=Справочники!$F$6,Учет!$H1160,0)</f>
        <v>0</v>
      </c>
      <c r="G1160" s="43">
        <f>G1159+Учет!B1160-B1160</f>
        <v>-488978.92000000004</v>
      </c>
      <c r="H1160" s="43">
        <f>H1159+Учет!C1160-C1160</f>
        <v>336855</v>
      </c>
      <c r="I1160" s="43">
        <f>I1159+Учет!D1160-D1160</f>
        <v>500</v>
      </c>
      <c r="J1160" s="43">
        <f>J1159+Учет!E1160-E1160</f>
        <v>1150</v>
      </c>
      <c r="K1160" s="43">
        <f>K1159+Учет!F1160-F1160</f>
        <v>500000</v>
      </c>
      <c r="L1160" s="45">
        <f>Учет!I1160</f>
        <v>349526.07999999996</v>
      </c>
    </row>
    <row r="1161" spans="1:12" x14ac:dyDescent="0.25">
      <c r="A1161" s="48" t="str">
        <f>IF(Учет!A1161&lt;&gt;"",Учет!A1161,"")</f>
        <v/>
      </c>
      <c r="B1161" s="52">
        <f>IF(Учет!$O1161=Справочники!$F$2,Учет!$H1161,0)</f>
        <v>0</v>
      </c>
      <c r="C1161" s="52">
        <f>IF(Учет!$O1161=Справочники!$F$3,Учет!$H1161,0)</f>
        <v>0</v>
      </c>
      <c r="D1161" s="52">
        <f>IF(Учет!$O1161=Справочники!$F$4,Учет!$H1161,0)</f>
        <v>0</v>
      </c>
      <c r="E1161" s="52">
        <f>IF(Учет!$O1161=Справочники!$F$5,Учет!$H1161,0)</f>
        <v>0</v>
      </c>
      <c r="F1161" s="52">
        <f>IF(Учет!$O1161=Справочники!$F$6,Учет!$H1161,0)</f>
        <v>0</v>
      </c>
      <c r="G1161" s="43">
        <f>G1160+Учет!B1161-B1161</f>
        <v>-488978.92000000004</v>
      </c>
      <c r="H1161" s="43">
        <f>H1160+Учет!C1161-C1161</f>
        <v>336855</v>
      </c>
      <c r="I1161" s="43">
        <f>I1160+Учет!D1161-D1161</f>
        <v>500</v>
      </c>
      <c r="J1161" s="43">
        <f>J1160+Учет!E1161-E1161</f>
        <v>1150</v>
      </c>
      <c r="K1161" s="43">
        <f>K1160+Учет!F1161-F1161</f>
        <v>500000</v>
      </c>
      <c r="L1161" s="45">
        <f>Учет!I1161</f>
        <v>349526.07999999996</v>
      </c>
    </row>
    <row r="1162" spans="1:12" x14ac:dyDescent="0.25">
      <c r="A1162" s="48" t="str">
        <f>IF(Учет!A1162&lt;&gt;"",Учет!A1162,"")</f>
        <v/>
      </c>
      <c r="B1162" s="52">
        <f>IF(Учет!$O1162=Справочники!$F$2,Учет!$H1162,0)</f>
        <v>0</v>
      </c>
      <c r="C1162" s="52">
        <f>IF(Учет!$O1162=Справочники!$F$3,Учет!$H1162,0)</f>
        <v>0</v>
      </c>
      <c r="D1162" s="52">
        <f>IF(Учет!$O1162=Справочники!$F$4,Учет!$H1162,0)</f>
        <v>0</v>
      </c>
      <c r="E1162" s="52">
        <f>IF(Учет!$O1162=Справочники!$F$5,Учет!$H1162,0)</f>
        <v>0</v>
      </c>
      <c r="F1162" s="52">
        <f>IF(Учет!$O1162=Справочники!$F$6,Учет!$H1162,0)</f>
        <v>0</v>
      </c>
      <c r="G1162" s="43">
        <f>G1161+Учет!B1162-B1162</f>
        <v>-488978.92000000004</v>
      </c>
      <c r="H1162" s="43">
        <f>H1161+Учет!C1162-C1162</f>
        <v>336855</v>
      </c>
      <c r="I1162" s="43">
        <f>I1161+Учет!D1162-D1162</f>
        <v>500</v>
      </c>
      <c r="J1162" s="43">
        <f>J1161+Учет!E1162-E1162</f>
        <v>1150</v>
      </c>
      <c r="K1162" s="43">
        <f>K1161+Учет!F1162-F1162</f>
        <v>500000</v>
      </c>
      <c r="L1162" s="45">
        <f>Учет!I1162</f>
        <v>349526.07999999996</v>
      </c>
    </row>
    <row r="1163" spans="1:12" x14ac:dyDescent="0.25">
      <c r="A1163" s="48" t="str">
        <f>IF(Учет!A1163&lt;&gt;"",Учет!A1163,"")</f>
        <v/>
      </c>
      <c r="B1163" s="52">
        <f>IF(Учет!$O1163=Справочники!$F$2,Учет!$H1163,0)</f>
        <v>0</v>
      </c>
      <c r="C1163" s="52">
        <f>IF(Учет!$O1163=Справочники!$F$3,Учет!$H1163,0)</f>
        <v>0</v>
      </c>
      <c r="D1163" s="52">
        <f>IF(Учет!$O1163=Справочники!$F$4,Учет!$H1163,0)</f>
        <v>0</v>
      </c>
      <c r="E1163" s="52">
        <f>IF(Учет!$O1163=Справочники!$F$5,Учет!$H1163,0)</f>
        <v>0</v>
      </c>
      <c r="F1163" s="52">
        <f>IF(Учет!$O1163=Справочники!$F$6,Учет!$H1163,0)</f>
        <v>0</v>
      </c>
      <c r="G1163" s="43">
        <f>G1162+Учет!B1163-B1163</f>
        <v>-488978.92000000004</v>
      </c>
      <c r="H1163" s="43">
        <f>H1162+Учет!C1163-C1163</f>
        <v>336855</v>
      </c>
      <c r="I1163" s="43">
        <f>I1162+Учет!D1163-D1163</f>
        <v>500</v>
      </c>
      <c r="J1163" s="43">
        <f>J1162+Учет!E1163-E1163</f>
        <v>1150</v>
      </c>
      <c r="K1163" s="43">
        <f>K1162+Учет!F1163-F1163</f>
        <v>500000</v>
      </c>
      <c r="L1163" s="45">
        <f>Учет!I1163</f>
        <v>349526.07999999996</v>
      </c>
    </row>
    <row r="1164" spans="1:12" x14ac:dyDescent="0.25">
      <c r="A1164" s="48" t="str">
        <f>IF(Учет!A1164&lt;&gt;"",Учет!A1164,"")</f>
        <v/>
      </c>
      <c r="B1164" s="52">
        <f>IF(Учет!$O1164=Справочники!$F$2,Учет!$H1164,0)</f>
        <v>0</v>
      </c>
      <c r="C1164" s="52">
        <f>IF(Учет!$O1164=Справочники!$F$3,Учет!$H1164,0)</f>
        <v>0</v>
      </c>
      <c r="D1164" s="52">
        <f>IF(Учет!$O1164=Справочники!$F$4,Учет!$H1164,0)</f>
        <v>0</v>
      </c>
      <c r="E1164" s="52">
        <f>IF(Учет!$O1164=Справочники!$F$5,Учет!$H1164,0)</f>
        <v>0</v>
      </c>
      <c r="F1164" s="52">
        <f>IF(Учет!$O1164=Справочники!$F$6,Учет!$H1164,0)</f>
        <v>0</v>
      </c>
      <c r="G1164" s="43">
        <f>G1163+Учет!B1164-B1164</f>
        <v>-488978.92000000004</v>
      </c>
      <c r="H1164" s="43">
        <f>H1163+Учет!C1164-C1164</f>
        <v>336855</v>
      </c>
      <c r="I1164" s="43">
        <f>I1163+Учет!D1164-D1164</f>
        <v>500</v>
      </c>
      <c r="J1164" s="43">
        <f>J1163+Учет!E1164-E1164</f>
        <v>1150</v>
      </c>
      <c r="K1164" s="43">
        <f>K1163+Учет!F1164-F1164</f>
        <v>500000</v>
      </c>
      <c r="L1164" s="45">
        <f>Учет!I1164</f>
        <v>349526.07999999996</v>
      </c>
    </row>
    <row r="1165" spans="1:12" x14ac:dyDescent="0.25">
      <c r="A1165" s="48" t="str">
        <f>IF(Учет!A1165&lt;&gt;"",Учет!A1165,"")</f>
        <v/>
      </c>
      <c r="B1165" s="52">
        <f>IF(Учет!$O1165=Справочники!$F$2,Учет!$H1165,0)</f>
        <v>0</v>
      </c>
      <c r="C1165" s="52">
        <f>IF(Учет!$O1165=Справочники!$F$3,Учет!$H1165,0)</f>
        <v>0</v>
      </c>
      <c r="D1165" s="52">
        <f>IF(Учет!$O1165=Справочники!$F$4,Учет!$H1165,0)</f>
        <v>0</v>
      </c>
      <c r="E1165" s="52">
        <f>IF(Учет!$O1165=Справочники!$F$5,Учет!$H1165,0)</f>
        <v>0</v>
      </c>
      <c r="F1165" s="52">
        <f>IF(Учет!$O1165=Справочники!$F$6,Учет!$H1165,0)</f>
        <v>0</v>
      </c>
      <c r="G1165" s="43">
        <f>G1164+Учет!B1165-B1165</f>
        <v>-488978.92000000004</v>
      </c>
      <c r="H1165" s="43">
        <f>H1164+Учет!C1165-C1165</f>
        <v>336855</v>
      </c>
      <c r="I1165" s="43">
        <f>I1164+Учет!D1165-D1165</f>
        <v>500</v>
      </c>
      <c r="J1165" s="43">
        <f>J1164+Учет!E1165-E1165</f>
        <v>1150</v>
      </c>
      <c r="K1165" s="43">
        <f>K1164+Учет!F1165-F1165</f>
        <v>500000</v>
      </c>
      <c r="L1165" s="45">
        <f>Учет!I1165</f>
        <v>349526.07999999996</v>
      </c>
    </row>
    <row r="1166" spans="1:12" x14ac:dyDescent="0.25">
      <c r="A1166" s="48" t="str">
        <f>IF(Учет!A1166&lt;&gt;"",Учет!A1166,"")</f>
        <v/>
      </c>
      <c r="B1166" s="52">
        <f>IF(Учет!$O1166=Справочники!$F$2,Учет!$H1166,0)</f>
        <v>0</v>
      </c>
      <c r="C1166" s="52">
        <f>IF(Учет!$O1166=Справочники!$F$3,Учет!$H1166,0)</f>
        <v>0</v>
      </c>
      <c r="D1166" s="52">
        <f>IF(Учет!$O1166=Справочники!$F$4,Учет!$H1166,0)</f>
        <v>0</v>
      </c>
      <c r="E1166" s="52">
        <f>IF(Учет!$O1166=Справочники!$F$5,Учет!$H1166,0)</f>
        <v>0</v>
      </c>
      <c r="F1166" s="52">
        <f>IF(Учет!$O1166=Справочники!$F$6,Учет!$H1166,0)</f>
        <v>0</v>
      </c>
      <c r="G1166" s="43">
        <f>G1165+Учет!B1166-B1166</f>
        <v>-488978.92000000004</v>
      </c>
      <c r="H1166" s="43">
        <f>H1165+Учет!C1166-C1166</f>
        <v>336855</v>
      </c>
      <c r="I1166" s="43">
        <f>I1165+Учет!D1166-D1166</f>
        <v>500</v>
      </c>
      <c r="J1166" s="43">
        <f>J1165+Учет!E1166-E1166</f>
        <v>1150</v>
      </c>
      <c r="K1166" s="43">
        <f>K1165+Учет!F1166-F1166</f>
        <v>500000</v>
      </c>
      <c r="L1166" s="45">
        <f>Учет!I1166</f>
        <v>349526.07999999996</v>
      </c>
    </row>
    <row r="1167" spans="1:12" x14ac:dyDescent="0.25">
      <c r="A1167" s="48" t="str">
        <f>IF(Учет!A1167&lt;&gt;"",Учет!A1167,"")</f>
        <v/>
      </c>
      <c r="B1167" s="52">
        <f>IF(Учет!$O1167=Справочники!$F$2,Учет!$H1167,0)</f>
        <v>0</v>
      </c>
      <c r="C1167" s="52">
        <f>IF(Учет!$O1167=Справочники!$F$3,Учет!$H1167,0)</f>
        <v>0</v>
      </c>
      <c r="D1167" s="52">
        <f>IF(Учет!$O1167=Справочники!$F$4,Учет!$H1167,0)</f>
        <v>0</v>
      </c>
      <c r="E1167" s="52">
        <f>IF(Учет!$O1167=Справочники!$F$5,Учет!$H1167,0)</f>
        <v>0</v>
      </c>
      <c r="F1167" s="52">
        <f>IF(Учет!$O1167=Справочники!$F$6,Учет!$H1167,0)</f>
        <v>0</v>
      </c>
      <c r="G1167" s="43">
        <f>G1166+Учет!B1167-B1167</f>
        <v>-488978.92000000004</v>
      </c>
      <c r="H1167" s="43">
        <f>H1166+Учет!C1167-C1167</f>
        <v>336855</v>
      </c>
      <c r="I1167" s="43">
        <f>I1166+Учет!D1167-D1167</f>
        <v>500</v>
      </c>
      <c r="J1167" s="43">
        <f>J1166+Учет!E1167-E1167</f>
        <v>1150</v>
      </c>
      <c r="K1167" s="43">
        <f>K1166+Учет!F1167-F1167</f>
        <v>500000</v>
      </c>
      <c r="L1167" s="45">
        <f>Учет!I1167</f>
        <v>349526.07999999996</v>
      </c>
    </row>
    <row r="1168" spans="1:12" x14ac:dyDescent="0.25">
      <c r="A1168" s="48" t="str">
        <f>IF(Учет!A1168&lt;&gt;"",Учет!A1168,"")</f>
        <v/>
      </c>
      <c r="B1168" s="52">
        <f>IF(Учет!$O1168=Справочники!$F$2,Учет!$H1168,0)</f>
        <v>0</v>
      </c>
      <c r="C1168" s="52">
        <f>IF(Учет!$O1168=Справочники!$F$3,Учет!$H1168,0)</f>
        <v>0</v>
      </c>
      <c r="D1168" s="52">
        <f>IF(Учет!$O1168=Справочники!$F$4,Учет!$H1168,0)</f>
        <v>0</v>
      </c>
      <c r="E1168" s="52">
        <f>IF(Учет!$O1168=Справочники!$F$5,Учет!$H1168,0)</f>
        <v>0</v>
      </c>
      <c r="F1168" s="52">
        <f>IF(Учет!$O1168=Справочники!$F$6,Учет!$H1168,0)</f>
        <v>0</v>
      </c>
      <c r="G1168" s="43">
        <f>G1167+Учет!B1168-B1168</f>
        <v>-488978.92000000004</v>
      </c>
      <c r="H1168" s="43">
        <f>H1167+Учет!C1168-C1168</f>
        <v>336855</v>
      </c>
      <c r="I1168" s="43">
        <f>I1167+Учет!D1168-D1168</f>
        <v>500</v>
      </c>
      <c r="J1168" s="43">
        <f>J1167+Учет!E1168-E1168</f>
        <v>1150</v>
      </c>
      <c r="K1168" s="43">
        <f>K1167+Учет!F1168-F1168</f>
        <v>500000</v>
      </c>
      <c r="L1168" s="45">
        <f>Учет!I1168</f>
        <v>349526.07999999996</v>
      </c>
    </row>
    <row r="1169" spans="1:12" x14ac:dyDescent="0.25">
      <c r="A1169" s="48" t="str">
        <f>IF(Учет!A1169&lt;&gt;"",Учет!A1169,"")</f>
        <v/>
      </c>
      <c r="B1169" s="52">
        <f>IF(Учет!$O1169=Справочники!$F$2,Учет!$H1169,0)</f>
        <v>0</v>
      </c>
      <c r="C1169" s="52">
        <f>IF(Учет!$O1169=Справочники!$F$3,Учет!$H1169,0)</f>
        <v>0</v>
      </c>
      <c r="D1169" s="52">
        <f>IF(Учет!$O1169=Справочники!$F$4,Учет!$H1169,0)</f>
        <v>0</v>
      </c>
      <c r="E1169" s="52">
        <f>IF(Учет!$O1169=Справочники!$F$5,Учет!$H1169,0)</f>
        <v>0</v>
      </c>
      <c r="F1169" s="52">
        <f>IF(Учет!$O1169=Справочники!$F$6,Учет!$H1169,0)</f>
        <v>0</v>
      </c>
      <c r="G1169" s="43">
        <f>G1168+Учет!B1169-B1169</f>
        <v>-488978.92000000004</v>
      </c>
      <c r="H1169" s="43">
        <f>H1168+Учет!C1169-C1169</f>
        <v>336855</v>
      </c>
      <c r="I1169" s="43">
        <f>I1168+Учет!D1169-D1169</f>
        <v>500</v>
      </c>
      <c r="J1169" s="43">
        <f>J1168+Учет!E1169-E1169</f>
        <v>1150</v>
      </c>
      <c r="K1169" s="43">
        <f>K1168+Учет!F1169-F1169</f>
        <v>500000</v>
      </c>
      <c r="L1169" s="45">
        <f>Учет!I1169</f>
        <v>349526.07999999996</v>
      </c>
    </row>
    <row r="1170" spans="1:12" x14ac:dyDescent="0.25">
      <c r="A1170" s="48" t="str">
        <f>IF(Учет!A1170&lt;&gt;"",Учет!A1170,"")</f>
        <v/>
      </c>
      <c r="B1170" s="52">
        <f>IF(Учет!$O1170=Справочники!$F$2,Учет!$H1170,0)</f>
        <v>0</v>
      </c>
      <c r="C1170" s="52">
        <f>IF(Учет!$O1170=Справочники!$F$3,Учет!$H1170,0)</f>
        <v>0</v>
      </c>
      <c r="D1170" s="52">
        <f>IF(Учет!$O1170=Справочники!$F$4,Учет!$H1170,0)</f>
        <v>0</v>
      </c>
      <c r="E1170" s="52">
        <f>IF(Учет!$O1170=Справочники!$F$5,Учет!$H1170,0)</f>
        <v>0</v>
      </c>
      <c r="F1170" s="52">
        <f>IF(Учет!$O1170=Справочники!$F$6,Учет!$H1170,0)</f>
        <v>0</v>
      </c>
      <c r="G1170" s="43">
        <f>G1169+Учет!B1170-B1170</f>
        <v>-488978.92000000004</v>
      </c>
      <c r="H1170" s="43">
        <f>H1169+Учет!C1170-C1170</f>
        <v>336855</v>
      </c>
      <c r="I1170" s="43">
        <f>I1169+Учет!D1170-D1170</f>
        <v>500</v>
      </c>
      <c r="J1170" s="43">
        <f>J1169+Учет!E1170-E1170</f>
        <v>1150</v>
      </c>
      <c r="K1170" s="43">
        <f>K1169+Учет!F1170-F1170</f>
        <v>500000</v>
      </c>
      <c r="L1170" s="45">
        <f>Учет!I1170</f>
        <v>349526.07999999996</v>
      </c>
    </row>
    <row r="1171" spans="1:12" x14ac:dyDescent="0.25">
      <c r="A1171" s="48" t="str">
        <f>IF(Учет!A1171&lt;&gt;"",Учет!A1171,"")</f>
        <v/>
      </c>
      <c r="B1171" s="52">
        <f>IF(Учет!$O1171=Справочники!$F$2,Учет!$H1171,0)</f>
        <v>0</v>
      </c>
      <c r="C1171" s="52">
        <f>IF(Учет!$O1171=Справочники!$F$3,Учет!$H1171,0)</f>
        <v>0</v>
      </c>
      <c r="D1171" s="52">
        <f>IF(Учет!$O1171=Справочники!$F$4,Учет!$H1171,0)</f>
        <v>0</v>
      </c>
      <c r="E1171" s="52">
        <f>IF(Учет!$O1171=Справочники!$F$5,Учет!$H1171,0)</f>
        <v>0</v>
      </c>
      <c r="F1171" s="52">
        <f>IF(Учет!$O1171=Справочники!$F$6,Учет!$H1171,0)</f>
        <v>0</v>
      </c>
      <c r="G1171" s="43">
        <f>G1170+Учет!B1171-B1171</f>
        <v>-488978.92000000004</v>
      </c>
      <c r="H1171" s="43">
        <f>H1170+Учет!C1171-C1171</f>
        <v>336855</v>
      </c>
      <c r="I1171" s="43">
        <f>I1170+Учет!D1171-D1171</f>
        <v>500</v>
      </c>
      <c r="J1171" s="43">
        <f>J1170+Учет!E1171-E1171</f>
        <v>1150</v>
      </c>
      <c r="K1171" s="43">
        <f>K1170+Учет!F1171-F1171</f>
        <v>500000</v>
      </c>
      <c r="L1171" s="45">
        <f>Учет!I1171</f>
        <v>349526.07999999996</v>
      </c>
    </row>
    <row r="1172" spans="1:12" x14ac:dyDescent="0.25">
      <c r="A1172" s="48" t="str">
        <f>IF(Учет!A1172&lt;&gt;"",Учет!A1172,"")</f>
        <v/>
      </c>
      <c r="B1172" s="52">
        <f>IF(Учет!$O1172=Справочники!$F$2,Учет!$H1172,0)</f>
        <v>0</v>
      </c>
      <c r="C1172" s="52">
        <f>IF(Учет!$O1172=Справочники!$F$3,Учет!$H1172,0)</f>
        <v>0</v>
      </c>
      <c r="D1172" s="52">
        <f>IF(Учет!$O1172=Справочники!$F$4,Учет!$H1172,0)</f>
        <v>0</v>
      </c>
      <c r="E1172" s="52">
        <f>IF(Учет!$O1172=Справочники!$F$5,Учет!$H1172,0)</f>
        <v>0</v>
      </c>
      <c r="F1172" s="52">
        <f>IF(Учет!$O1172=Справочники!$F$6,Учет!$H1172,0)</f>
        <v>0</v>
      </c>
      <c r="G1172" s="43">
        <f>G1171+Учет!B1172-B1172</f>
        <v>-488978.92000000004</v>
      </c>
      <c r="H1172" s="43">
        <f>H1171+Учет!C1172-C1172</f>
        <v>336855</v>
      </c>
      <c r="I1172" s="43">
        <f>I1171+Учет!D1172-D1172</f>
        <v>500</v>
      </c>
      <c r="J1172" s="43">
        <f>J1171+Учет!E1172-E1172</f>
        <v>1150</v>
      </c>
      <c r="K1172" s="43">
        <f>K1171+Учет!F1172-F1172</f>
        <v>500000</v>
      </c>
      <c r="L1172" s="45">
        <f>Учет!I1172</f>
        <v>349526.07999999996</v>
      </c>
    </row>
    <row r="1173" spans="1:12" x14ac:dyDescent="0.25">
      <c r="A1173" s="48" t="str">
        <f>IF(Учет!A1173&lt;&gt;"",Учет!A1173,"")</f>
        <v/>
      </c>
      <c r="B1173" s="52">
        <f>IF(Учет!$O1173=Справочники!$F$2,Учет!$H1173,0)</f>
        <v>0</v>
      </c>
      <c r="C1173" s="52">
        <f>IF(Учет!$O1173=Справочники!$F$3,Учет!$H1173,0)</f>
        <v>0</v>
      </c>
      <c r="D1173" s="52">
        <f>IF(Учет!$O1173=Справочники!$F$4,Учет!$H1173,0)</f>
        <v>0</v>
      </c>
      <c r="E1173" s="52">
        <f>IF(Учет!$O1173=Справочники!$F$5,Учет!$H1173,0)</f>
        <v>0</v>
      </c>
      <c r="F1173" s="52">
        <f>IF(Учет!$O1173=Справочники!$F$6,Учет!$H1173,0)</f>
        <v>0</v>
      </c>
      <c r="G1173" s="43">
        <f>G1172+Учет!B1173-B1173</f>
        <v>-488978.92000000004</v>
      </c>
      <c r="H1173" s="43">
        <f>H1172+Учет!C1173-C1173</f>
        <v>336855</v>
      </c>
      <c r="I1173" s="43">
        <f>I1172+Учет!D1173-D1173</f>
        <v>500</v>
      </c>
      <c r="J1173" s="43">
        <f>J1172+Учет!E1173-E1173</f>
        <v>1150</v>
      </c>
      <c r="K1173" s="43">
        <f>K1172+Учет!F1173-F1173</f>
        <v>500000</v>
      </c>
      <c r="L1173" s="45">
        <f>Учет!I1173</f>
        <v>349526.07999999996</v>
      </c>
    </row>
    <row r="1174" spans="1:12" x14ac:dyDescent="0.25">
      <c r="A1174" s="48" t="str">
        <f>IF(Учет!A1174&lt;&gt;"",Учет!A1174,"")</f>
        <v/>
      </c>
      <c r="B1174" s="52">
        <f>IF(Учет!$O1174=Справочники!$F$2,Учет!$H1174,0)</f>
        <v>0</v>
      </c>
      <c r="C1174" s="52">
        <f>IF(Учет!$O1174=Справочники!$F$3,Учет!$H1174,0)</f>
        <v>0</v>
      </c>
      <c r="D1174" s="52">
        <f>IF(Учет!$O1174=Справочники!$F$4,Учет!$H1174,0)</f>
        <v>0</v>
      </c>
      <c r="E1174" s="52">
        <f>IF(Учет!$O1174=Справочники!$F$5,Учет!$H1174,0)</f>
        <v>0</v>
      </c>
      <c r="F1174" s="52">
        <f>IF(Учет!$O1174=Справочники!$F$6,Учет!$H1174,0)</f>
        <v>0</v>
      </c>
      <c r="G1174" s="43">
        <f>G1173+Учет!B1174-B1174</f>
        <v>-488978.92000000004</v>
      </c>
      <c r="H1174" s="43">
        <f>H1173+Учет!C1174-C1174</f>
        <v>336855</v>
      </c>
      <c r="I1174" s="43">
        <f>I1173+Учет!D1174-D1174</f>
        <v>500</v>
      </c>
      <c r="J1174" s="43">
        <f>J1173+Учет!E1174-E1174</f>
        <v>1150</v>
      </c>
      <c r="K1174" s="43">
        <f>K1173+Учет!F1174-F1174</f>
        <v>500000</v>
      </c>
      <c r="L1174" s="45">
        <f>Учет!I1174</f>
        <v>349526.07999999996</v>
      </c>
    </row>
    <row r="1175" spans="1:12" x14ac:dyDescent="0.25">
      <c r="A1175" s="48" t="str">
        <f>IF(Учет!A1175&lt;&gt;"",Учет!A1175,"")</f>
        <v/>
      </c>
      <c r="B1175" s="52">
        <f>IF(Учет!$O1175=Справочники!$F$2,Учет!$H1175,0)</f>
        <v>0</v>
      </c>
      <c r="C1175" s="52">
        <f>IF(Учет!$O1175=Справочники!$F$3,Учет!$H1175,0)</f>
        <v>0</v>
      </c>
      <c r="D1175" s="52">
        <f>IF(Учет!$O1175=Справочники!$F$4,Учет!$H1175,0)</f>
        <v>0</v>
      </c>
      <c r="E1175" s="52">
        <f>IF(Учет!$O1175=Справочники!$F$5,Учет!$H1175,0)</f>
        <v>0</v>
      </c>
      <c r="F1175" s="52">
        <f>IF(Учет!$O1175=Справочники!$F$6,Учет!$H1175,0)</f>
        <v>0</v>
      </c>
      <c r="G1175" s="43">
        <f>G1174+Учет!B1175-B1175</f>
        <v>-488978.92000000004</v>
      </c>
      <c r="H1175" s="43">
        <f>H1174+Учет!C1175-C1175</f>
        <v>336855</v>
      </c>
      <c r="I1175" s="43">
        <f>I1174+Учет!D1175-D1175</f>
        <v>500</v>
      </c>
      <c r="J1175" s="43">
        <f>J1174+Учет!E1175-E1175</f>
        <v>1150</v>
      </c>
      <c r="K1175" s="43">
        <f>K1174+Учет!F1175-F1175</f>
        <v>500000</v>
      </c>
      <c r="L1175" s="45">
        <f>Учет!I1175</f>
        <v>349526.07999999996</v>
      </c>
    </row>
    <row r="1176" spans="1:12" x14ac:dyDescent="0.25">
      <c r="A1176" s="48" t="str">
        <f>IF(Учет!A1176&lt;&gt;"",Учет!A1176,"")</f>
        <v/>
      </c>
      <c r="B1176" s="52">
        <f>IF(Учет!$O1176=Справочники!$F$2,Учет!$H1176,0)</f>
        <v>0</v>
      </c>
      <c r="C1176" s="52">
        <f>IF(Учет!$O1176=Справочники!$F$3,Учет!$H1176,0)</f>
        <v>0</v>
      </c>
      <c r="D1176" s="52">
        <f>IF(Учет!$O1176=Справочники!$F$4,Учет!$H1176,0)</f>
        <v>0</v>
      </c>
      <c r="E1176" s="52">
        <f>IF(Учет!$O1176=Справочники!$F$5,Учет!$H1176,0)</f>
        <v>0</v>
      </c>
      <c r="F1176" s="52">
        <f>IF(Учет!$O1176=Справочники!$F$6,Учет!$H1176,0)</f>
        <v>0</v>
      </c>
      <c r="G1176" s="43">
        <f>G1175+Учет!B1176-B1176</f>
        <v>-488978.92000000004</v>
      </c>
      <c r="H1176" s="43">
        <f>H1175+Учет!C1176-C1176</f>
        <v>336855</v>
      </c>
      <c r="I1176" s="43">
        <f>I1175+Учет!D1176-D1176</f>
        <v>500</v>
      </c>
      <c r="J1176" s="43">
        <f>J1175+Учет!E1176-E1176</f>
        <v>1150</v>
      </c>
      <c r="K1176" s="43">
        <f>K1175+Учет!F1176-F1176</f>
        <v>500000</v>
      </c>
      <c r="L1176" s="45">
        <f>Учет!I1176</f>
        <v>349526.07999999996</v>
      </c>
    </row>
    <row r="1177" spans="1:12" x14ac:dyDescent="0.25">
      <c r="A1177" s="48" t="str">
        <f>IF(Учет!A1177&lt;&gt;"",Учет!A1177,"")</f>
        <v/>
      </c>
      <c r="B1177" s="52">
        <f>IF(Учет!$O1177=Справочники!$F$2,Учет!$H1177,0)</f>
        <v>0</v>
      </c>
      <c r="C1177" s="52">
        <f>IF(Учет!$O1177=Справочники!$F$3,Учет!$H1177,0)</f>
        <v>0</v>
      </c>
      <c r="D1177" s="52">
        <f>IF(Учет!$O1177=Справочники!$F$4,Учет!$H1177,0)</f>
        <v>0</v>
      </c>
      <c r="E1177" s="52">
        <f>IF(Учет!$O1177=Справочники!$F$5,Учет!$H1177,0)</f>
        <v>0</v>
      </c>
      <c r="F1177" s="52">
        <f>IF(Учет!$O1177=Справочники!$F$6,Учет!$H1177,0)</f>
        <v>0</v>
      </c>
      <c r="G1177" s="43">
        <f>G1176+Учет!B1177-B1177</f>
        <v>-488978.92000000004</v>
      </c>
      <c r="H1177" s="43">
        <f>H1176+Учет!C1177-C1177</f>
        <v>336855</v>
      </c>
      <c r="I1177" s="43">
        <f>I1176+Учет!D1177-D1177</f>
        <v>500</v>
      </c>
      <c r="J1177" s="43">
        <f>J1176+Учет!E1177-E1177</f>
        <v>1150</v>
      </c>
      <c r="K1177" s="43">
        <f>K1176+Учет!F1177-F1177</f>
        <v>500000</v>
      </c>
      <c r="L1177" s="45">
        <f>Учет!I1177</f>
        <v>349526.07999999996</v>
      </c>
    </row>
    <row r="1178" spans="1:12" x14ac:dyDescent="0.25">
      <c r="A1178" s="48" t="str">
        <f>IF(Учет!A1178&lt;&gt;"",Учет!A1178,"")</f>
        <v/>
      </c>
      <c r="B1178" s="52">
        <f>IF(Учет!$O1178=Справочники!$F$2,Учет!$H1178,0)</f>
        <v>0</v>
      </c>
      <c r="C1178" s="52">
        <f>IF(Учет!$O1178=Справочники!$F$3,Учет!$H1178,0)</f>
        <v>0</v>
      </c>
      <c r="D1178" s="52">
        <f>IF(Учет!$O1178=Справочники!$F$4,Учет!$H1178,0)</f>
        <v>0</v>
      </c>
      <c r="E1178" s="52">
        <f>IF(Учет!$O1178=Справочники!$F$5,Учет!$H1178,0)</f>
        <v>0</v>
      </c>
      <c r="F1178" s="52">
        <f>IF(Учет!$O1178=Справочники!$F$6,Учет!$H1178,0)</f>
        <v>0</v>
      </c>
      <c r="G1178" s="43">
        <f>G1177+Учет!B1178-B1178</f>
        <v>-488978.92000000004</v>
      </c>
      <c r="H1178" s="43">
        <f>H1177+Учет!C1178-C1178</f>
        <v>336855</v>
      </c>
      <c r="I1178" s="43">
        <f>I1177+Учет!D1178-D1178</f>
        <v>500</v>
      </c>
      <c r="J1178" s="43">
        <f>J1177+Учет!E1178-E1178</f>
        <v>1150</v>
      </c>
      <c r="K1178" s="43">
        <f>K1177+Учет!F1178-F1178</f>
        <v>500000</v>
      </c>
      <c r="L1178" s="45">
        <f>Учет!I1178</f>
        <v>349526.07999999996</v>
      </c>
    </row>
    <row r="1179" spans="1:12" x14ac:dyDescent="0.25">
      <c r="A1179" s="48" t="str">
        <f>IF(Учет!A1179&lt;&gt;"",Учет!A1179,"")</f>
        <v/>
      </c>
      <c r="B1179" s="52">
        <f>IF(Учет!$O1179=Справочники!$F$2,Учет!$H1179,0)</f>
        <v>0</v>
      </c>
      <c r="C1179" s="52">
        <f>IF(Учет!$O1179=Справочники!$F$3,Учет!$H1179,0)</f>
        <v>0</v>
      </c>
      <c r="D1179" s="52">
        <f>IF(Учет!$O1179=Справочники!$F$4,Учет!$H1179,0)</f>
        <v>0</v>
      </c>
      <c r="E1179" s="52">
        <f>IF(Учет!$O1179=Справочники!$F$5,Учет!$H1179,0)</f>
        <v>0</v>
      </c>
      <c r="F1179" s="52">
        <f>IF(Учет!$O1179=Справочники!$F$6,Учет!$H1179,0)</f>
        <v>0</v>
      </c>
      <c r="G1179" s="43">
        <f>G1178+Учет!B1179-B1179</f>
        <v>-488978.92000000004</v>
      </c>
      <c r="H1179" s="43">
        <f>H1178+Учет!C1179-C1179</f>
        <v>336855</v>
      </c>
      <c r="I1179" s="43">
        <f>I1178+Учет!D1179-D1179</f>
        <v>500</v>
      </c>
      <c r="J1179" s="43">
        <f>J1178+Учет!E1179-E1179</f>
        <v>1150</v>
      </c>
      <c r="K1179" s="43">
        <f>K1178+Учет!F1179-F1179</f>
        <v>500000</v>
      </c>
      <c r="L1179" s="45">
        <f>Учет!I1179</f>
        <v>349526.07999999996</v>
      </c>
    </row>
    <row r="1180" spans="1:12" x14ac:dyDescent="0.25">
      <c r="A1180" s="48" t="str">
        <f>IF(Учет!A1180&lt;&gt;"",Учет!A1180,"")</f>
        <v/>
      </c>
      <c r="B1180" s="52">
        <f>IF(Учет!$O1180=Справочники!$F$2,Учет!$H1180,0)</f>
        <v>0</v>
      </c>
      <c r="C1180" s="52">
        <f>IF(Учет!$O1180=Справочники!$F$3,Учет!$H1180,0)</f>
        <v>0</v>
      </c>
      <c r="D1180" s="52">
        <f>IF(Учет!$O1180=Справочники!$F$4,Учет!$H1180,0)</f>
        <v>0</v>
      </c>
      <c r="E1180" s="52">
        <f>IF(Учет!$O1180=Справочники!$F$5,Учет!$H1180,0)</f>
        <v>0</v>
      </c>
      <c r="F1180" s="52">
        <f>IF(Учет!$O1180=Справочники!$F$6,Учет!$H1180,0)</f>
        <v>0</v>
      </c>
      <c r="G1180" s="43">
        <f>G1179+Учет!B1180-B1180</f>
        <v>-488978.92000000004</v>
      </c>
      <c r="H1180" s="43">
        <f>H1179+Учет!C1180-C1180</f>
        <v>336855</v>
      </c>
      <c r="I1180" s="43">
        <f>I1179+Учет!D1180-D1180</f>
        <v>500</v>
      </c>
      <c r="J1180" s="43">
        <f>J1179+Учет!E1180-E1180</f>
        <v>1150</v>
      </c>
      <c r="K1180" s="43">
        <f>K1179+Учет!F1180-F1180</f>
        <v>500000</v>
      </c>
      <c r="L1180" s="45">
        <f>Учет!I1180</f>
        <v>349526.07999999996</v>
      </c>
    </row>
    <row r="1181" spans="1:12" x14ac:dyDescent="0.25">
      <c r="A1181" s="48" t="str">
        <f>IF(Учет!A1181&lt;&gt;"",Учет!A1181,"")</f>
        <v/>
      </c>
      <c r="B1181" s="52">
        <f>IF(Учет!$O1181=Справочники!$F$2,Учет!$H1181,0)</f>
        <v>0</v>
      </c>
      <c r="C1181" s="52">
        <f>IF(Учет!$O1181=Справочники!$F$3,Учет!$H1181,0)</f>
        <v>0</v>
      </c>
      <c r="D1181" s="52">
        <f>IF(Учет!$O1181=Справочники!$F$4,Учет!$H1181,0)</f>
        <v>0</v>
      </c>
      <c r="E1181" s="52">
        <f>IF(Учет!$O1181=Справочники!$F$5,Учет!$H1181,0)</f>
        <v>0</v>
      </c>
      <c r="F1181" s="52">
        <f>IF(Учет!$O1181=Справочники!$F$6,Учет!$H1181,0)</f>
        <v>0</v>
      </c>
      <c r="G1181" s="43">
        <f>G1180+Учет!B1181-B1181</f>
        <v>-488978.92000000004</v>
      </c>
      <c r="H1181" s="43">
        <f>H1180+Учет!C1181-C1181</f>
        <v>336855</v>
      </c>
      <c r="I1181" s="43">
        <f>I1180+Учет!D1181-D1181</f>
        <v>500</v>
      </c>
      <c r="J1181" s="43">
        <f>J1180+Учет!E1181-E1181</f>
        <v>1150</v>
      </c>
      <c r="K1181" s="43">
        <f>K1180+Учет!F1181-F1181</f>
        <v>500000</v>
      </c>
      <c r="L1181" s="45">
        <f>Учет!I1181</f>
        <v>349526.07999999996</v>
      </c>
    </row>
    <row r="1182" spans="1:12" x14ac:dyDescent="0.25">
      <c r="A1182" s="48" t="str">
        <f>IF(Учет!A1182&lt;&gt;"",Учет!A1182,"")</f>
        <v/>
      </c>
      <c r="B1182" s="52">
        <f>IF(Учет!$O1182=Справочники!$F$2,Учет!$H1182,0)</f>
        <v>0</v>
      </c>
      <c r="C1182" s="52">
        <f>IF(Учет!$O1182=Справочники!$F$3,Учет!$H1182,0)</f>
        <v>0</v>
      </c>
      <c r="D1182" s="52">
        <f>IF(Учет!$O1182=Справочники!$F$4,Учет!$H1182,0)</f>
        <v>0</v>
      </c>
      <c r="E1182" s="52">
        <f>IF(Учет!$O1182=Справочники!$F$5,Учет!$H1182,0)</f>
        <v>0</v>
      </c>
      <c r="F1182" s="52">
        <f>IF(Учет!$O1182=Справочники!$F$6,Учет!$H1182,0)</f>
        <v>0</v>
      </c>
      <c r="G1182" s="43">
        <f>G1181+Учет!B1182-B1182</f>
        <v>-488978.92000000004</v>
      </c>
      <c r="H1182" s="43">
        <f>H1181+Учет!C1182-C1182</f>
        <v>336855</v>
      </c>
      <c r="I1182" s="43">
        <f>I1181+Учет!D1182-D1182</f>
        <v>500</v>
      </c>
      <c r="J1182" s="43">
        <f>J1181+Учет!E1182-E1182</f>
        <v>1150</v>
      </c>
      <c r="K1182" s="43">
        <f>K1181+Учет!F1182-F1182</f>
        <v>500000</v>
      </c>
      <c r="L1182" s="45">
        <f>Учет!I1182</f>
        <v>349526.07999999996</v>
      </c>
    </row>
    <row r="1183" spans="1:12" x14ac:dyDescent="0.25">
      <c r="A1183" s="48" t="str">
        <f>IF(Учет!A1183&lt;&gt;"",Учет!A1183,"")</f>
        <v/>
      </c>
      <c r="B1183" s="52">
        <f>IF(Учет!$O1183=Справочники!$F$2,Учет!$H1183,0)</f>
        <v>0</v>
      </c>
      <c r="C1183" s="52">
        <f>IF(Учет!$O1183=Справочники!$F$3,Учет!$H1183,0)</f>
        <v>0</v>
      </c>
      <c r="D1183" s="52">
        <f>IF(Учет!$O1183=Справочники!$F$4,Учет!$H1183,0)</f>
        <v>0</v>
      </c>
      <c r="E1183" s="52">
        <f>IF(Учет!$O1183=Справочники!$F$5,Учет!$H1183,0)</f>
        <v>0</v>
      </c>
      <c r="F1183" s="52">
        <f>IF(Учет!$O1183=Справочники!$F$6,Учет!$H1183,0)</f>
        <v>0</v>
      </c>
      <c r="G1183" s="43">
        <f>G1182+Учет!B1183-B1183</f>
        <v>-488978.92000000004</v>
      </c>
      <c r="H1183" s="43">
        <f>H1182+Учет!C1183-C1183</f>
        <v>336855</v>
      </c>
      <c r="I1183" s="43">
        <f>I1182+Учет!D1183-D1183</f>
        <v>500</v>
      </c>
      <c r="J1183" s="43">
        <f>J1182+Учет!E1183-E1183</f>
        <v>1150</v>
      </c>
      <c r="K1183" s="43">
        <f>K1182+Учет!F1183-F1183</f>
        <v>500000</v>
      </c>
      <c r="L1183" s="45">
        <f>Учет!I1183</f>
        <v>349526.07999999996</v>
      </c>
    </row>
    <row r="1184" spans="1:12" x14ac:dyDescent="0.25">
      <c r="A1184" s="48" t="str">
        <f>IF(Учет!A1184&lt;&gt;"",Учет!A1184,"")</f>
        <v/>
      </c>
      <c r="B1184" s="52">
        <f>IF(Учет!$O1184=Справочники!$F$2,Учет!$H1184,0)</f>
        <v>0</v>
      </c>
      <c r="C1184" s="52">
        <f>IF(Учет!$O1184=Справочники!$F$3,Учет!$H1184,0)</f>
        <v>0</v>
      </c>
      <c r="D1184" s="52">
        <f>IF(Учет!$O1184=Справочники!$F$4,Учет!$H1184,0)</f>
        <v>0</v>
      </c>
      <c r="E1184" s="52">
        <f>IF(Учет!$O1184=Справочники!$F$5,Учет!$H1184,0)</f>
        <v>0</v>
      </c>
      <c r="F1184" s="52">
        <f>IF(Учет!$O1184=Справочники!$F$6,Учет!$H1184,0)</f>
        <v>0</v>
      </c>
      <c r="G1184" s="43">
        <f>G1183+Учет!B1184-B1184</f>
        <v>-488978.92000000004</v>
      </c>
      <c r="H1184" s="43">
        <f>H1183+Учет!C1184-C1184</f>
        <v>336855</v>
      </c>
      <c r="I1184" s="43">
        <f>I1183+Учет!D1184-D1184</f>
        <v>500</v>
      </c>
      <c r="J1184" s="43">
        <f>J1183+Учет!E1184-E1184</f>
        <v>1150</v>
      </c>
      <c r="K1184" s="43">
        <f>K1183+Учет!F1184-F1184</f>
        <v>500000</v>
      </c>
      <c r="L1184" s="45">
        <f>Учет!I1184</f>
        <v>349526.07999999996</v>
      </c>
    </row>
    <row r="1185" spans="1:12" x14ac:dyDescent="0.25">
      <c r="A1185" s="48" t="str">
        <f>IF(Учет!A1185&lt;&gt;"",Учет!A1185,"")</f>
        <v/>
      </c>
      <c r="B1185" s="52">
        <f>IF(Учет!$O1185=Справочники!$F$2,Учет!$H1185,0)</f>
        <v>0</v>
      </c>
      <c r="C1185" s="52">
        <f>IF(Учет!$O1185=Справочники!$F$3,Учет!$H1185,0)</f>
        <v>0</v>
      </c>
      <c r="D1185" s="52">
        <f>IF(Учет!$O1185=Справочники!$F$4,Учет!$H1185,0)</f>
        <v>0</v>
      </c>
      <c r="E1185" s="52">
        <f>IF(Учет!$O1185=Справочники!$F$5,Учет!$H1185,0)</f>
        <v>0</v>
      </c>
      <c r="F1185" s="52">
        <f>IF(Учет!$O1185=Справочники!$F$6,Учет!$H1185,0)</f>
        <v>0</v>
      </c>
      <c r="G1185" s="43">
        <f>G1184+Учет!B1185-B1185</f>
        <v>-488978.92000000004</v>
      </c>
      <c r="H1185" s="43">
        <f>H1184+Учет!C1185-C1185</f>
        <v>336855</v>
      </c>
      <c r="I1185" s="43">
        <f>I1184+Учет!D1185-D1185</f>
        <v>500</v>
      </c>
      <c r="J1185" s="43">
        <f>J1184+Учет!E1185-E1185</f>
        <v>1150</v>
      </c>
      <c r="K1185" s="43">
        <f>K1184+Учет!F1185-F1185</f>
        <v>500000</v>
      </c>
      <c r="L1185" s="45">
        <f>Учет!I1185</f>
        <v>349526.07999999996</v>
      </c>
    </row>
    <row r="1186" spans="1:12" x14ac:dyDescent="0.25">
      <c r="A1186" s="48" t="str">
        <f>IF(Учет!A1186&lt;&gt;"",Учет!A1186,"")</f>
        <v/>
      </c>
      <c r="B1186" s="52">
        <f>IF(Учет!$O1186=Справочники!$F$2,Учет!$H1186,0)</f>
        <v>0</v>
      </c>
      <c r="C1186" s="52">
        <f>IF(Учет!$O1186=Справочники!$F$3,Учет!$H1186,0)</f>
        <v>0</v>
      </c>
      <c r="D1186" s="52">
        <f>IF(Учет!$O1186=Справочники!$F$4,Учет!$H1186,0)</f>
        <v>0</v>
      </c>
      <c r="E1186" s="52">
        <f>IF(Учет!$O1186=Справочники!$F$5,Учет!$H1186,0)</f>
        <v>0</v>
      </c>
      <c r="F1186" s="52">
        <f>IF(Учет!$O1186=Справочники!$F$6,Учет!$H1186,0)</f>
        <v>0</v>
      </c>
      <c r="G1186" s="43">
        <f>G1185+Учет!B1186-B1186</f>
        <v>-488978.92000000004</v>
      </c>
      <c r="H1186" s="43">
        <f>H1185+Учет!C1186-C1186</f>
        <v>336855</v>
      </c>
      <c r="I1186" s="43">
        <f>I1185+Учет!D1186-D1186</f>
        <v>500</v>
      </c>
      <c r="J1186" s="43">
        <f>J1185+Учет!E1186-E1186</f>
        <v>1150</v>
      </c>
      <c r="K1186" s="43">
        <f>K1185+Учет!F1186-F1186</f>
        <v>500000</v>
      </c>
      <c r="L1186" s="45">
        <f>Учет!I1186</f>
        <v>349526.07999999996</v>
      </c>
    </row>
    <row r="1187" spans="1:12" x14ac:dyDescent="0.25">
      <c r="A1187" s="48" t="str">
        <f>IF(Учет!A1187&lt;&gt;"",Учет!A1187,"")</f>
        <v/>
      </c>
      <c r="B1187" s="52">
        <f>IF(Учет!$O1187=Справочники!$F$2,Учет!$H1187,0)</f>
        <v>0</v>
      </c>
      <c r="C1187" s="52">
        <f>IF(Учет!$O1187=Справочники!$F$3,Учет!$H1187,0)</f>
        <v>0</v>
      </c>
      <c r="D1187" s="52">
        <f>IF(Учет!$O1187=Справочники!$F$4,Учет!$H1187,0)</f>
        <v>0</v>
      </c>
      <c r="E1187" s="52">
        <f>IF(Учет!$O1187=Справочники!$F$5,Учет!$H1187,0)</f>
        <v>0</v>
      </c>
      <c r="F1187" s="52">
        <f>IF(Учет!$O1187=Справочники!$F$6,Учет!$H1187,0)</f>
        <v>0</v>
      </c>
      <c r="G1187" s="43">
        <f>G1186+Учет!B1187-B1187</f>
        <v>-488978.92000000004</v>
      </c>
      <c r="H1187" s="43">
        <f>H1186+Учет!C1187-C1187</f>
        <v>336855</v>
      </c>
      <c r="I1187" s="43">
        <f>I1186+Учет!D1187-D1187</f>
        <v>500</v>
      </c>
      <c r="J1187" s="43">
        <f>J1186+Учет!E1187-E1187</f>
        <v>1150</v>
      </c>
      <c r="K1187" s="43">
        <f>K1186+Учет!F1187-F1187</f>
        <v>500000</v>
      </c>
      <c r="L1187" s="45">
        <f>Учет!I1187</f>
        <v>349526.07999999996</v>
      </c>
    </row>
    <row r="1188" spans="1:12" x14ac:dyDescent="0.25">
      <c r="A1188" s="48" t="str">
        <f>IF(Учет!A1188&lt;&gt;"",Учет!A1188,"")</f>
        <v/>
      </c>
      <c r="B1188" s="52">
        <f>IF(Учет!$O1188=Справочники!$F$2,Учет!$H1188,0)</f>
        <v>0</v>
      </c>
      <c r="C1188" s="52">
        <f>IF(Учет!$O1188=Справочники!$F$3,Учет!$H1188,0)</f>
        <v>0</v>
      </c>
      <c r="D1188" s="52">
        <f>IF(Учет!$O1188=Справочники!$F$4,Учет!$H1188,0)</f>
        <v>0</v>
      </c>
      <c r="E1188" s="52">
        <f>IF(Учет!$O1188=Справочники!$F$5,Учет!$H1188,0)</f>
        <v>0</v>
      </c>
      <c r="F1188" s="52">
        <f>IF(Учет!$O1188=Справочники!$F$6,Учет!$H1188,0)</f>
        <v>0</v>
      </c>
      <c r="G1188" s="43">
        <f>G1187+Учет!B1188-B1188</f>
        <v>-488978.92000000004</v>
      </c>
      <c r="H1188" s="43">
        <f>H1187+Учет!C1188-C1188</f>
        <v>336855</v>
      </c>
      <c r="I1188" s="43">
        <f>I1187+Учет!D1188-D1188</f>
        <v>500</v>
      </c>
      <c r="J1188" s="43">
        <f>J1187+Учет!E1188-E1188</f>
        <v>1150</v>
      </c>
      <c r="K1188" s="43">
        <f>K1187+Учет!F1188-F1188</f>
        <v>500000</v>
      </c>
      <c r="L1188" s="45">
        <f>Учет!I1188</f>
        <v>349526.07999999996</v>
      </c>
    </row>
    <row r="1189" spans="1:12" x14ac:dyDescent="0.25">
      <c r="A1189" s="48" t="str">
        <f>IF(Учет!A1189&lt;&gt;"",Учет!A1189,"")</f>
        <v/>
      </c>
      <c r="B1189" s="52">
        <f>IF(Учет!$O1189=Справочники!$F$2,Учет!$H1189,0)</f>
        <v>0</v>
      </c>
      <c r="C1189" s="52">
        <f>IF(Учет!$O1189=Справочники!$F$3,Учет!$H1189,0)</f>
        <v>0</v>
      </c>
      <c r="D1189" s="52">
        <f>IF(Учет!$O1189=Справочники!$F$4,Учет!$H1189,0)</f>
        <v>0</v>
      </c>
      <c r="E1189" s="52">
        <f>IF(Учет!$O1189=Справочники!$F$5,Учет!$H1189,0)</f>
        <v>0</v>
      </c>
      <c r="F1189" s="52">
        <f>IF(Учет!$O1189=Справочники!$F$6,Учет!$H1189,0)</f>
        <v>0</v>
      </c>
      <c r="G1189" s="43">
        <f>G1188+Учет!B1189-B1189</f>
        <v>-488978.92000000004</v>
      </c>
      <c r="H1189" s="43">
        <f>H1188+Учет!C1189-C1189</f>
        <v>336855</v>
      </c>
      <c r="I1189" s="43">
        <f>I1188+Учет!D1189-D1189</f>
        <v>500</v>
      </c>
      <c r="J1189" s="43">
        <f>J1188+Учет!E1189-E1189</f>
        <v>1150</v>
      </c>
      <c r="K1189" s="43">
        <f>K1188+Учет!F1189-F1189</f>
        <v>500000</v>
      </c>
      <c r="L1189" s="45">
        <f>Учет!I1189</f>
        <v>349526.07999999996</v>
      </c>
    </row>
    <row r="1190" spans="1:12" x14ac:dyDescent="0.25">
      <c r="A1190" s="48" t="str">
        <f>IF(Учет!A1190&lt;&gt;"",Учет!A1190,"")</f>
        <v/>
      </c>
      <c r="B1190" s="52">
        <f>IF(Учет!$O1190=Справочники!$F$2,Учет!$H1190,0)</f>
        <v>0</v>
      </c>
      <c r="C1190" s="52">
        <f>IF(Учет!$O1190=Справочники!$F$3,Учет!$H1190,0)</f>
        <v>0</v>
      </c>
      <c r="D1190" s="52">
        <f>IF(Учет!$O1190=Справочники!$F$4,Учет!$H1190,0)</f>
        <v>0</v>
      </c>
      <c r="E1190" s="52">
        <f>IF(Учет!$O1190=Справочники!$F$5,Учет!$H1190,0)</f>
        <v>0</v>
      </c>
      <c r="F1190" s="52">
        <f>IF(Учет!$O1190=Справочники!$F$6,Учет!$H1190,0)</f>
        <v>0</v>
      </c>
      <c r="G1190" s="43">
        <f>G1189+Учет!B1190-B1190</f>
        <v>-488978.92000000004</v>
      </c>
      <c r="H1190" s="43">
        <f>H1189+Учет!C1190-C1190</f>
        <v>336855</v>
      </c>
      <c r="I1190" s="43">
        <f>I1189+Учет!D1190-D1190</f>
        <v>500</v>
      </c>
      <c r="J1190" s="43">
        <f>J1189+Учет!E1190-E1190</f>
        <v>1150</v>
      </c>
      <c r="K1190" s="43">
        <f>K1189+Учет!F1190-F1190</f>
        <v>500000</v>
      </c>
      <c r="L1190" s="45">
        <f>Учет!I1190</f>
        <v>349526.07999999996</v>
      </c>
    </row>
    <row r="1191" spans="1:12" x14ac:dyDescent="0.25">
      <c r="A1191" s="48" t="str">
        <f>IF(Учет!A1191&lt;&gt;"",Учет!A1191,"")</f>
        <v/>
      </c>
      <c r="B1191" s="52">
        <f>IF(Учет!$O1191=Справочники!$F$2,Учет!$H1191,0)</f>
        <v>0</v>
      </c>
      <c r="C1191" s="52">
        <f>IF(Учет!$O1191=Справочники!$F$3,Учет!$H1191,0)</f>
        <v>0</v>
      </c>
      <c r="D1191" s="52">
        <f>IF(Учет!$O1191=Справочники!$F$4,Учет!$H1191,0)</f>
        <v>0</v>
      </c>
      <c r="E1191" s="52">
        <f>IF(Учет!$O1191=Справочники!$F$5,Учет!$H1191,0)</f>
        <v>0</v>
      </c>
      <c r="F1191" s="52">
        <f>IF(Учет!$O1191=Справочники!$F$6,Учет!$H1191,0)</f>
        <v>0</v>
      </c>
      <c r="G1191" s="43">
        <f>G1190+Учет!B1191-B1191</f>
        <v>-488978.92000000004</v>
      </c>
      <c r="H1191" s="43">
        <f>H1190+Учет!C1191-C1191</f>
        <v>336855</v>
      </c>
      <c r="I1191" s="43">
        <f>I1190+Учет!D1191-D1191</f>
        <v>500</v>
      </c>
      <c r="J1191" s="43">
        <f>J1190+Учет!E1191-E1191</f>
        <v>1150</v>
      </c>
      <c r="K1191" s="43">
        <f>K1190+Учет!F1191-F1191</f>
        <v>500000</v>
      </c>
      <c r="L1191" s="45">
        <f>Учет!I1191</f>
        <v>349526.07999999996</v>
      </c>
    </row>
    <row r="1192" spans="1:12" x14ac:dyDescent="0.25">
      <c r="A1192" s="48" t="str">
        <f>IF(Учет!A1192&lt;&gt;"",Учет!A1192,"")</f>
        <v/>
      </c>
      <c r="B1192" s="52">
        <f>IF(Учет!$O1192=Справочники!$F$2,Учет!$H1192,0)</f>
        <v>0</v>
      </c>
      <c r="C1192" s="52">
        <f>IF(Учет!$O1192=Справочники!$F$3,Учет!$H1192,0)</f>
        <v>0</v>
      </c>
      <c r="D1192" s="52">
        <f>IF(Учет!$O1192=Справочники!$F$4,Учет!$H1192,0)</f>
        <v>0</v>
      </c>
      <c r="E1192" s="52">
        <f>IF(Учет!$O1192=Справочники!$F$5,Учет!$H1192,0)</f>
        <v>0</v>
      </c>
      <c r="F1192" s="52">
        <f>IF(Учет!$O1192=Справочники!$F$6,Учет!$H1192,0)</f>
        <v>0</v>
      </c>
      <c r="G1192" s="43">
        <f>G1191+Учет!B1192-B1192</f>
        <v>-488978.92000000004</v>
      </c>
      <c r="H1192" s="43">
        <f>H1191+Учет!C1192-C1192</f>
        <v>336855</v>
      </c>
      <c r="I1192" s="43">
        <f>I1191+Учет!D1192-D1192</f>
        <v>500</v>
      </c>
      <c r="J1192" s="43">
        <f>J1191+Учет!E1192-E1192</f>
        <v>1150</v>
      </c>
      <c r="K1192" s="43">
        <f>K1191+Учет!F1192-F1192</f>
        <v>500000</v>
      </c>
      <c r="L1192" s="45">
        <f>Учет!I1192</f>
        <v>349526.07999999996</v>
      </c>
    </row>
    <row r="1193" spans="1:12" x14ac:dyDescent="0.25">
      <c r="A1193" s="48" t="str">
        <f>IF(Учет!A1193&lt;&gt;"",Учет!A1193,"")</f>
        <v/>
      </c>
      <c r="B1193" s="52">
        <f>IF(Учет!$O1193=Справочники!$F$2,Учет!$H1193,0)</f>
        <v>0</v>
      </c>
      <c r="C1193" s="52">
        <f>IF(Учет!$O1193=Справочники!$F$3,Учет!$H1193,0)</f>
        <v>0</v>
      </c>
      <c r="D1193" s="52">
        <f>IF(Учет!$O1193=Справочники!$F$4,Учет!$H1193,0)</f>
        <v>0</v>
      </c>
      <c r="E1193" s="52">
        <f>IF(Учет!$O1193=Справочники!$F$5,Учет!$H1193,0)</f>
        <v>0</v>
      </c>
      <c r="F1193" s="52">
        <f>IF(Учет!$O1193=Справочники!$F$6,Учет!$H1193,0)</f>
        <v>0</v>
      </c>
      <c r="G1193" s="43">
        <f>G1192+Учет!B1193-B1193</f>
        <v>-488978.92000000004</v>
      </c>
      <c r="H1193" s="43">
        <f>H1192+Учет!C1193-C1193</f>
        <v>336855</v>
      </c>
      <c r="I1193" s="43">
        <f>I1192+Учет!D1193-D1193</f>
        <v>500</v>
      </c>
      <c r="J1193" s="43">
        <f>J1192+Учет!E1193-E1193</f>
        <v>1150</v>
      </c>
      <c r="K1193" s="43">
        <f>K1192+Учет!F1193-F1193</f>
        <v>500000</v>
      </c>
      <c r="L1193" s="45">
        <f>Учет!I1193</f>
        <v>349526.07999999996</v>
      </c>
    </row>
    <row r="1194" spans="1:12" x14ac:dyDescent="0.25">
      <c r="A1194" s="48" t="str">
        <f>IF(Учет!A1194&lt;&gt;"",Учет!A1194,"")</f>
        <v/>
      </c>
      <c r="B1194" s="52">
        <f>IF(Учет!$O1194=Справочники!$F$2,Учет!$H1194,0)</f>
        <v>0</v>
      </c>
      <c r="C1194" s="52">
        <f>IF(Учет!$O1194=Справочники!$F$3,Учет!$H1194,0)</f>
        <v>0</v>
      </c>
      <c r="D1194" s="52">
        <f>IF(Учет!$O1194=Справочники!$F$4,Учет!$H1194,0)</f>
        <v>0</v>
      </c>
      <c r="E1194" s="52">
        <f>IF(Учет!$O1194=Справочники!$F$5,Учет!$H1194,0)</f>
        <v>0</v>
      </c>
      <c r="F1194" s="52">
        <f>IF(Учет!$O1194=Справочники!$F$6,Учет!$H1194,0)</f>
        <v>0</v>
      </c>
      <c r="G1194" s="43">
        <f>G1193+Учет!B1194-B1194</f>
        <v>-488978.92000000004</v>
      </c>
      <c r="H1194" s="43">
        <f>H1193+Учет!C1194-C1194</f>
        <v>336855</v>
      </c>
      <c r="I1194" s="43">
        <f>I1193+Учет!D1194-D1194</f>
        <v>500</v>
      </c>
      <c r="J1194" s="43">
        <f>J1193+Учет!E1194-E1194</f>
        <v>1150</v>
      </c>
      <c r="K1194" s="43">
        <f>K1193+Учет!F1194-F1194</f>
        <v>500000</v>
      </c>
      <c r="L1194" s="45">
        <f>Учет!I1194</f>
        <v>349526.07999999996</v>
      </c>
    </row>
    <row r="1195" spans="1:12" x14ac:dyDescent="0.25">
      <c r="A1195" s="48" t="str">
        <f>IF(Учет!A1195&lt;&gt;"",Учет!A1195,"")</f>
        <v/>
      </c>
      <c r="B1195" s="52">
        <f>IF(Учет!$O1195=Справочники!$F$2,Учет!$H1195,0)</f>
        <v>0</v>
      </c>
      <c r="C1195" s="52">
        <f>IF(Учет!$O1195=Справочники!$F$3,Учет!$H1195,0)</f>
        <v>0</v>
      </c>
      <c r="D1195" s="52">
        <f>IF(Учет!$O1195=Справочники!$F$4,Учет!$H1195,0)</f>
        <v>0</v>
      </c>
      <c r="E1195" s="52">
        <f>IF(Учет!$O1195=Справочники!$F$5,Учет!$H1195,0)</f>
        <v>0</v>
      </c>
      <c r="F1195" s="52">
        <f>IF(Учет!$O1195=Справочники!$F$6,Учет!$H1195,0)</f>
        <v>0</v>
      </c>
      <c r="G1195" s="43">
        <f>G1194+Учет!B1195-B1195</f>
        <v>-488978.92000000004</v>
      </c>
      <c r="H1195" s="43">
        <f>H1194+Учет!C1195-C1195</f>
        <v>336855</v>
      </c>
      <c r="I1195" s="43">
        <f>I1194+Учет!D1195-D1195</f>
        <v>500</v>
      </c>
      <c r="J1195" s="43">
        <f>J1194+Учет!E1195-E1195</f>
        <v>1150</v>
      </c>
      <c r="K1195" s="43">
        <f>K1194+Учет!F1195-F1195</f>
        <v>500000</v>
      </c>
      <c r="L1195" s="45">
        <f>Учет!I1195</f>
        <v>349526.07999999996</v>
      </c>
    </row>
    <row r="1196" spans="1:12" x14ac:dyDescent="0.25">
      <c r="A1196" s="48" t="str">
        <f>IF(Учет!A1196&lt;&gt;"",Учет!A1196,"")</f>
        <v/>
      </c>
      <c r="B1196" s="52">
        <f>IF(Учет!$O1196=Справочники!$F$2,Учет!$H1196,0)</f>
        <v>0</v>
      </c>
      <c r="C1196" s="52">
        <f>IF(Учет!$O1196=Справочники!$F$3,Учет!$H1196,0)</f>
        <v>0</v>
      </c>
      <c r="D1196" s="52">
        <f>IF(Учет!$O1196=Справочники!$F$4,Учет!$H1196,0)</f>
        <v>0</v>
      </c>
      <c r="E1196" s="52">
        <f>IF(Учет!$O1196=Справочники!$F$5,Учет!$H1196,0)</f>
        <v>0</v>
      </c>
      <c r="F1196" s="52">
        <f>IF(Учет!$O1196=Справочники!$F$6,Учет!$H1196,0)</f>
        <v>0</v>
      </c>
      <c r="G1196" s="43">
        <f>G1195+Учет!B1196-B1196</f>
        <v>-488978.92000000004</v>
      </c>
      <c r="H1196" s="43">
        <f>H1195+Учет!C1196-C1196</f>
        <v>336855</v>
      </c>
      <c r="I1196" s="43">
        <f>I1195+Учет!D1196-D1196</f>
        <v>500</v>
      </c>
      <c r="J1196" s="43">
        <f>J1195+Учет!E1196-E1196</f>
        <v>1150</v>
      </c>
      <c r="K1196" s="43">
        <f>K1195+Учет!F1196-F1196</f>
        <v>500000</v>
      </c>
      <c r="L1196" s="45">
        <f>Учет!I1196</f>
        <v>349526.07999999996</v>
      </c>
    </row>
    <row r="1197" spans="1:12" x14ac:dyDescent="0.25">
      <c r="A1197" s="48" t="str">
        <f>IF(Учет!A1197&lt;&gt;"",Учет!A1197,"")</f>
        <v/>
      </c>
      <c r="B1197" s="52">
        <f>IF(Учет!$O1197=Справочники!$F$2,Учет!$H1197,0)</f>
        <v>0</v>
      </c>
      <c r="C1197" s="52">
        <f>IF(Учет!$O1197=Справочники!$F$3,Учет!$H1197,0)</f>
        <v>0</v>
      </c>
      <c r="D1197" s="52">
        <f>IF(Учет!$O1197=Справочники!$F$4,Учет!$H1197,0)</f>
        <v>0</v>
      </c>
      <c r="E1197" s="52">
        <f>IF(Учет!$O1197=Справочники!$F$5,Учет!$H1197,0)</f>
        <v>0</v>
      </c>
      <c r="F1197" s="52">
        <f>IF(Учет!$O1197=Справочники!$F$6,Учет!$H1197,0)</f>
        <v>0</v>
      </c>
      <c r="G1197" s="43">
        <f>G1196+Учет!B1197-B1197</f>
        <v>-488978.92000000004</v>
      </c>
      <c r="H1197" s="43">
        <f>H1196+Учет!C1197-C1197</f>
        <v>336855</v>
      </c>
      <c r="I1197" s="43">
        <f>I1196+Учет!D1197-D1197</f>
        <v>500</v>
      </c>
      <c r="J1197" s="43">
        <f>J1196+Учет!E1197-E1197</f>
        <v>1150</v>
      </c>
      <c r="K1197" s="43">
        <f>K1196+Учет!F1197-F1197</f>
        <v>500000</v>
      </c>
      <c r="L1197" s="45">
        <f>Учет!I1197</f>
        <v>349526.07999999996</v>
      </c>
    </row>
    <row r="1198" spans="1:12" x14ac:dyDescent="0.25">
      <c r="A1198" s="48" t="str">
        <f>IF(Учет!A1198&lt;&gt;"",Учет!A1198,"")</f>
        <v/>
      </c>
      <c r="B1198" s="52">
        <f>IF(Учет!$O1198=Справочники!$F$2,Учет!$H1198,0)</f>
        <v>0</v>
      </c>
      <c r="C1198" s="52">
        <f>IF(Учет!$O1198=Справочники!$F$3,Учет!$H1198,0)</f>
        <v>0</v>
      </c>
      <c r="D1198" s="52">
        <f>IF(Учет!$O1198=Справочники!$F$4,Учет!$H1198,0)</f>
        <v>0</v>
      </c>
      <c r="E1198" s="52">
        <f>IF(Учет!$O1198=Справочники!$F$5,Учет!$H1198,0)</f>
        <v>0</v>
      </c>
      <c r="F1198" s="52">
        <f>IF(Учет!$O1198=Справочники!$F$6,Учет!$H1198,0)</f>
        <v>0</v>
      </c>
      <c r="G1198" s="43">
        <f>G1197+Учет!B1198-B1198</f>
        <v>-488978.92000000004</v>
      </c>
      <c r="H1198" s="43">
        <f>H1197+Учет!C1198-C1198</f>
        <v>336855</v>
      </c>
      <c r="I1198" s="43">
        <f>I1197+Учет!D1198-D1198</f>
        <v>500</v>
      </c>
      <c r="J1198" s="43">
        <f>J1197+Учет!E1198-E1198</f>
        <v>1150</v>
      </c>
      <c r="K1198" s="43">
        <f>K1197+Учет!F1198-F1198</f>
        <v>500000</v>
      </c>
      <c r="L1198" s="45">
        <f>Учет!I1198</f>
        <v>349526.07999999996</v>
      </c>
    </row>
    <row r="1199" spans="1:12" x14ac:dyDescent="0.25">
      <c r="A1199" s="48" t="str">
        <f>IF(Учет!A1199&lt;&gt;"",Учет!A1199,"")</f>
        <v/>
      </c>
      <c r="B1199" s="52">
        <f>IF(Учет!$O1199=Справочники!$F$2,Учет!$H1199,0)</f>
        <v>0</v>
      </c>
      <c r="C1199" s="52">
        <f>IF(Учет!$O1199=Справочники!$F$3,Учет!$H1199,0)</f>
        <v>0</v>
      </c>
      <c r="D1199" s="52">
        <f>IF(Учет!$O1199=Справочники!$F$4,Учет!$H1199,0)</f>
        <v>0</v>
      </c>
      <c r="E1199" s="52">
        <f>IF(Учет!$O1199=Справочники!$F$5,Учет!$H1199,0)</f>
        <v>0</v>
      </c>
      <c r="F1199" s="52">
        <f>IF(Учет!$O1199=Справочники!$F$6,Учет!$H1199,0)</f>
        <v>0</v>
      </c>
      <c r="G1199" s="43">
        <f>G1198+Учет!B1199-B1199</f>
        <v>-488978.92000000004</v>
      </c>
      <c r="H1199" s="43">
        <f>H1198+Учет!C1199-C1199</f>
        <v>336855</v>
      </c>
      <c r="I1199" s="43">
        <f>I1198+Учет!D1199-D1199</f>
        <v>500</v>
      </c>
      <c r="J1199" s="43">
        <f>J1198+Учет!E1199-E1199</f>
        <v>1150</v>
      </c>
      <c r="K1199" s="43">
        <f>K1198+Учет!F1199-F1199</f>
        <v>500000</v>
      </c>
      <c r="L1199" s="45">
        <f>Учет!I1199</f>
        <v>349526.07999999996</v>
      </c>
    </row>
    <row r="1200" spans="1:12" x14ac:dyDescent="0.25">
      <c r="A1200" s="48" t="str">
        <f>IF(Учет!A1200&lt;&gt;"",Учет!A1200,"")</f>
        <v/>
      </c>
      <c r="B1200" s="52">
        <f>IF(Учет!$O1200=Справочники!$F$2,Учет!$H1200,0)</f>
        <v>0</v>
      </c>
      <c r="C1200" s="52">
        <f>IF(Учет!$O1200=Справочники!$F$3,Учет!$H1200,0)</f>
        <v>0</v>
      </c>
      <c r="D1200" s="52">
        <f>IF(Учет!$O1200=Справочники!$F$4,Учет!$H1200,0)</f>
        <v>0</v>
      </c>
      <c r="E1200" s="52">
        <f>IF(Учет!$O1200=Справочники!$F$5,Учет!$H1200,0)</f>
        <v>0</v>
      </c>
      <c r="F1200" s="52">
        <f>IF(Учет!$O1200=Справочники!$F$6,Учет!$H1200,0)</f>
        <v>0</v>
      </c>
      <c r="G1200" s="43">
        <f>G1199+Учет!B1200-B1200</f>
        <v>-488978.92000000004</v>
      </c>
      <c r="H1200" s="43">
        <f>H1199+Учет!C1200-C1200</f>
        <v>336855</v>
      </c>
      <c r="I1200" s="43">
        <f>I1199+Учет!D1200-D1200</f>
        <v>500</v>
      </c>
      <c r="J1200" s="43">
        <f>J1199+Учет!E1200-E1200</f>
        <v>1150</v>
      </c>
      <c r="K1200" s="43">
        <f>K1199+Учет!F1200-F1200</f>
        <v>500000</v>
      </c>
      <c r="L1200" s="45">
        <f>Учет!I1200</f>
        <v>349526.07999999996</v>
      </c>
    </row>
    <row r="1201" spans="1:12" x14ac:dyDescent="0.25">
      <c r="A1201" s="48" t="str">
        <f>IF(Учет!A1201&lt;&gt;"",Учет!A1201,"")</f>
        <v/>
      </c>
      <c r="B1201" s="52">
        <f>IF(Учет!$O1201=Справочники!$F$2,Учет!$H1201,0)</f>
        <v>0</v>
      </c>
      <c r="C1201" s="52">
        <f>IF(Учет!$O1201=Справочники!$F$3,Учет!$H1201,0)</f>
        <v>0</v>
      </c>
      <c r="D1201" s="52">
        <f>IF(Учет!$O1201=Справочники!$F$4,Учет!$H1201,0)</f>
        <v>0</v>
      </c>
      <c r="E1201" s="52">
        <f>IF(Учет!$O1201=Справочники!$F$5,Учет!$H1201,0)</f>
        <v>0</v>
      </c>
      <c r="F1201" s="52">
        <f>IF(Учет!$O1201=Справочники!$F$6,Учет!$H1201,0)</f>
        <v>0</v>
      </c>
      <c r="G1201" s="43">
        <f>G1200+Учет!B1201-B1201</f>
        <v>-488978.92000000004</v>
      </c>
      <c r="H1201" s="43">
        <f>H1200+Учет!C1201-C1201</f>
        <v>336855</v>
      </c>
      <c r="I1201" s="43">
        <f>I1200+Учет!D1201-D1201</f>
        <v>500</v>
      </c>
      <c r="J1201" s="43">
        <f>J1200+Учет!E1201-E1201</f>
        <v>1150</v>
      </c>
      <c r="K1201" s="43">
        <f>K1200+Учет!F1201-F1201</f>
        <v>500000</v>
      </c>
      <c r="L1201" s="45">
        <f>Учет!I1201</f>
        <v>349526.07999999996</v>
      </c>
    </row>
    <row r="1202" spans="1:12" x14ac:dyDescent="0.25">
      <c r="A1202" s="48" t="str">
        <f>IF(Учет!A1202&lt;&gt;"",Учет!A1202,"")</f>
        <v/>
      </c>
      <c r="B1202" s="52">
        <f>IF(Учет!$O1202=Справочники!$F$2,Учет!$H1202,0)</f>
        <v>0</v>
      </c>
      <c r="C1202" s="52">
        <f>IF(Учет!$O1202=Справочники!$F$3,Учет!$H1202,0)</f>
        <v>0</v>
      </c>
      <c r="D1202" s="52">
        <f>IF(Учет!$O1202=Справочники!$F$4,Учет!$H1202,0)</f>
        <v>0</v>
      </c>
      <c r="E1202" s="52">
        <f>IF(Учет!$O1202=Справочники!$F$5,Учет!$H1202,0)</f>
        <v>0</v>
      </c>
      <c r="F1202" s="52">
        <f>IF(Учет!$O1202=Справочники!$F$6,Учет!$H1202,0)</f>
        <v>0</v>
      </c>
      <c r="G1202" s="43">
        <f>G1201+Учет!B1202-B1202</f>
        <v>-488978.92000000004</v>
      </c>
      <c r="H1202" s="43">
        <f>H1201+Учет!C1202-C1202</f>
        <v>336855</v>
      </c>
      <c r="I1202" s="43">
        <f>I1201+Учет!D1202-D1202</f>
        <v>500</v>
      </c>
      <c r="J1202" s="43">
        <f>J1201+Учет!E1202-E1202</f>
        <v>1150</v>
      </c>
      <c r="K1202" s="43">
        <f>K1201+Учет!F1202-F1202</f>
        <v>500000</v>
      </c>
      <c r="L1202" s="45">
        <f>Учет!I1202</f>
        <v>349526.07999999996</v>
      </c>
    </row>
    <row r="1203" spans="1:12" x14ac:dyDescent="0.25">
      <c r="A1203" s="48" t="str">
        <f>IF(Учет!A1203&lt;&gt;"",Учет!A1203,"")</f>
        <v/>
      </c>
      <c r="B1203" s="52">
        <f>IF(Учет!$O1203=Справочники!$F$2,Учет!$H1203,0)</f>
        <v>0</v>
      </c>
      <c r="C1203" s="52">
        <f>IF(Учет!$O1203=Справочники!$F$3,Учет!$H1203,0)</f>
        <v>0</v>
      </c>
      <c r="D1203" s="52">
        <f>IF(Учет!$O1203=Справочники!$F$4,Учет!$H1203,0)</f>
        <v>0</v>
      </c>
      <c r="E1203" s="52">
        <f>IF(Учет!$O1203=Справочники!$F$5,Учет!$H1203,0)</f>
        <v>0</v>
      </c>
      <c r="F1203" s="52">
        <f>IF(Учет!$O1203=Справочники!$F$6,Учет!$H1203,0)</f>
        <v>0</v>
      </c>
      <c r="G1203" s="43">
        <f>G1202+Учет!B1203-B1203</f>
        <v>-488978.92000000004</v>
      </c>
      <c r="H1203" s="43">
        <f>H1202+Учет!C1203-C1203</f>
        <v>336855</v>
      </c>
      <c r="I1203" s="43">
        <f>I1202+Учет!D1203-D1203</f>
        <v>500</v>
      </c>
      <c r="J1203" s="43">
        <f>J1202+Учет!E1203-E1203</f>
        <v>1150</v>
      </c>
      <c r="K1203" s="43">
        <f>K1202+Учет!F1203-F1203</f>
        <v>500000</v>
      </c>
      <c r="L1203" s="45">
        <f>Учет!I1203</f>
        <v>349526.07999999996</v>
      </c>
    </row>
    <row r="1204" spans="1:12" x14ac:dyDescent="0.25">
      <c r="A1204" s="48" t="str">
        <f>IF(Учет!A1204&lt;&gt;"",Учет!A1204,"")</f>
        <v/>
      </c>
      <c r="B1204" s="52">
        <f>IF(Учет!$O1204=Справочники!$F$2,Учет!$H1204,0)</f>
        <v>0</v>
      </c>
      <c r="C1204" s="52">
        <f>IF(Учет!$O1204=Справочники!$F$3,Учет!$H1204,0)</f>
        <v>0</v>
      </c>
      <c r="D1204" s="52">
        <f>IF(Учет!$O1204=Справочники!$F$4,Учет!$H1204,0)</f>
        <v>0</v>
      </c>
      <c r="E1204" s="52">
        <f>IF(Учет!$O1204=Справочники!$F$5,Учет!$H1204,0)</f>
        <v>0</v>
      </c>
      <c r="F1204" s="52">
        <f>IF(Учет!$O1204=Справочники!$F$6,Учет!$H1204,0)</f>
        <v>0</v>
      </c>
      <c r="G1204" s="43">
        <f>G1203+Учет!B1204-B1204</f>
        <v>-488978.92000000004</v>
      </c>
      <c r="H1204" s="43">
        <f>H1203+Учет!C1204-C1204</f>
        <v>336855</v>
      </c>
      <c r="I1204" s="43">
        <f>I1203+Учет!D1204-D1204</f>
        <v>500</v>
      </c>
      <c r="J1204" s="43">
        <f>J1203+Учет!E1204-E1204</f>
        <v>1150</v>
      </c>
      <c r="K1204" s="43">
        <f>K1203+Учет!F1204-F1204</f>
        <v>500000</v>
      </c>
      <c r="L1204" s="45">
        <f>Учет!I1204</f>
        <v>349526.07999999996</v>
      </c>
    </row>
    <row r="1205" spans="1:12" x14ac:dyDescent="0.25">
      <c r="A1205" s="48" t="str">
        <f>IF(Учет!A1205&lt;&gt;"",Учет!A1205,"")</f>
        <v/>
      </c>
      <c r="B1205" s="52">
        <f>IF(Учет!$O1205=Справочники!$F$2,Учет!$H1205,0)</f>
        <v>0</v>
      </c>
      <c r="C1205" s="52">
        <f>IF(Учет!$O1205=Справочники!$F$3,Учет!$H1205,0)</f>
        <v>0</v>
      </c>
      <c r="D1205" s="52">
        <f>IF(Учет!$O1205=Справочники!$F$4,Учет!$H1205,0)</f>
        <v>0</v>
      </c>
      <c r="E1205" s="52">
        <f>IF(Учет!$O1205=Справочники!$F$5,Учет!$H1205,0)</f>
        <v>0</v>
      </c>
      <c r="F1205" s="52">
        <f>IF(Учет!$O1205=Справочники!$F$6,Учет!$H1205,0)</f>
        <v>0</v>
      </c>
      <c r="G1205" s="43">
        <f>G1204+Учет!B1205-B1205</f>
        <v>-488978.92000000004</v>
      </c>
      <c r="H1205" s="43">
        <f>H1204+Учет!C1205-C1205</f>
        <v>336855</v>
      </c>
      <c r="I1205" s="43">
        <f>I1204+Учет!D1205-D1205</f>
        <v>500</v>
      </c>
      <c r="J1205" s="43">
        <f>J1204+Учет!E1205-E1205</f>
        <v>1150</v>
      </c>
      <c r="K1205" s="43">
        <f>K1204+Учет!F1205-F1205</f>
        <v>500000</v>
      </c>
      <c r="L1205" s="45">
        <f>Учет!I1205</f>
        <v>349526.07999999996</v>
      </c>
    </row>
    <row r="1206" spans="1:12" x14ac:dyDescent="0.25">
      <c r="A1206" s="48" t="str">
        <f>IF(Учет!A1206&lt;&gt;"",Учет!A1206,"")</f>
        <v/>
      </c>
      <c r="B1206" s="52">
        <f>IF(Учет!$O1206=Справочники!$F$2,Учет!$H1206,0)</f>
        <v>0</v>
      </c>
      <c r="C1206" s="52">
        <f>IF(Учет!$O1206=Справочники!$F$3,Учет!$H1206,0)</f>
        <v>0</v>
      </c>
      <c r="D1206" s="52">
        <f>IF(Учет!$O1206=Справочники!$F$4,Учет!$H1206,0)</f>
        <v>0</v>
      </c>
      <c r="E1206" s="52">
        <f>IF(Учет!$O1206=Справочники!$F$5,Учет!$H1206,0)</f>
        <v>0</v>
      </c>
      <c r="F1206" s="52">
        <f>IF(Учет!$O1206=Справочники!$F$6,Учет!$H1206,0)</f>
        <v>0</v>
      </c>
      <c r="G1206" s="43">
        <f>G1205+Учет!B1206-B1206</f>
        <v>-488978.92000000004</v>
      </c>
      <c r="H1206" s="43">
        <f>H1205+Учет!C1206-C1206</f>
        <v>336855</v>
      </c>
      <c r="I1206" s="43">
        <f>I1205+Учет!D1206-D1206</f>
        <v>500</v>
      </c>
      <c r="J1206" s="43">
        <f>J1205+Учет!E1206-E1206</f>
        <v>1150</v>
      </c>
      <c r="K1206" s="43">
        <f>K1205+Учет!F1206-F1206</f>
        <v>500000</v>
      </c>
      <c r="L1206" s="45">
        <f>Учет!I1206</f>
        <v>349526.07999999996</v>
      </c>
    </row>
    <row r="1207" spans="1:12" x14ac:dyDescent="0.25">
      <c r="A1207" s="48" t="str">
        <f>IF(Учет!A1207&lt;&gt;"",Учет!A1207,"")</f>
        <v/>
      </c>
      <c r="B1207" s="52">
        <f>IF(Учет!$O1207=Справочники!$F$2,Учет!$H1207,0)</f>
        <v>0</v>
      </c>
      <c r="C1207" s="52">
        <f>IF(Учет!$O1207=Справочники!$F$3,Учет!$H1207,0)</f>
        <v>0</v>
      </c>
      <c r="D1207" s="52">
        <f>IF(Учет!$O1207=Справочники!$F$4,Учет!$H1207,0)</f>
        <v>0</v>
      </c>
      <c r="E1207" s="52">
        <f>IF(Учет!$O1207=Справочники!$F$5,Учет!$H1207,0)</f>
        <v>0</v>
      </c>
      <c r="F1207" s="52">
        <f>IF(Учет!$O1207=Справочники!$F$6,Учет!$H1207,0)</f>
        <v>0</v>
      </c>
      <c r="G1207" s="43">
        <f>G1206+Учет!B1207-B1207</f>
        <v>-488978.92000000004</v>
      </c>
      <c r="H1207" s="43">
        <f>H1206+Учет!C1207-C1207</f>
        <v>336855</v>
      </c>
      <c r="I1207" s="43">
        <f>I1206+Учет!D1207-D1207</f>
        <v>500</v>
      </c>
      <c r="J1207" s="43">
        <f>J1206+Учет!E1207-E1207</f>
        <v>1150</v>
      </c>
      <c r="K1207" s="43">
        <f>K1206+Учет!F1207-F1207</f>
        <v>500000</v>
      </c>
      <c r="L1207" s="45">
        <f>Учет!I1207</f>
        <v>349526.07999999996</v>
      </c>
    </row>
    <row r="1208" spans="1:12" x14ac:dyDescent="0.25">
      <c r="A1208" s="48" t="str">
        <f>IF(Учет!A1208&lt;&gt;"",Учет!A1208,"")</f>
        <v/>
      </c>
      <c r="B1208" s="52">
        <f>IF(Учет!$O1208=Справочники!$F$2,Учет!$H1208,0)</f>
        <v>0</v>
      </c>
      <c r="C1208" s="52">
        <f>IF(Учет!$O1208=Справочники!$F$3,Учет!$H1208,0)</f>
        <v>0</v>
      </c>
      <c r="D1208" s="52">
        <f>IF(Учет!$O1208=Справочники!$F$4,Учет!$H1208,0)</f>
        <v>0</v>
      </c>
      <c r="E1208" s="52">
        <f>IF(Учет!$O1208=Справочники!$F$5,Учет!$H1208,0)</f>
        <v>0</v>
      </c>
      <c r="F1208" s="52">
        <f>IF(Учет!$O1208=Справочники!$F$6,Учет!$H1208,0)</f>
        <v>0</v>
      </c>
      <c r="G1208" s="43">
        <f>G1207+Учет!B1208-B1208</f>
        <v>-488978.92000000004</v>
      </c>
      <c r="H1208" s="43">
        <f>H1207+Учет!C1208-C1208</f>
        <v>336855</v>
      </c>
      <c r="I1208" s="43">
        <f>I1207+Учет!D1208-D1208</f>
        <v>500</v>
      </c>
      <c r="J1208" s="43">
        <f>J1207+Учет!E1208-E1208</f>
        <v>1150</v>
      </c>
      <c r="K1208" s="43">
        <f>K1207+Учет!F1208-F1208</f>
        <v>500000</v>
      </c>
      <c r="L1208" s="45">
        <f>Учет!I1208</f>
        <v>349526.07999999996</v>
      </c>
    </row>
    <row r="1209" spans="1:12" x14ac:dyDescent="0.25">
      <c r="A1209" s="48" t="str">
        <f>IF(Учет!A1209&lt;&gt;"",Учет!A1209,"")</f>
        <v/>
      </c>
      <c r="B1209" s="52">
        <f>IF(Учет!$O1209=Справочники!$F$2,Учет!$H1209,0)</f>
        <v>0</v>
      </c>
      <c r="C1209" s="52">
        <f>IF(Учет!$O1209=Справочники!$F$3,Учет!$H1209,0)</f>
        <v>0</v>
      </c>
      <c r="D1209" s="52">
        <f>IF(Учет!$O1209=Справочники!$F$4,Учет!$H1209,0)</f>
        <v>0</v>
      </c>
      <c r="E1209" s="52">
        <f>IF(Учет!$O1209=Справочники!$F$5,Учет!$H1209,0)</f>
        <v>0</v>
      </c>
      <c r="F1209" s="52">
        <f>IF(Учет!$O1209=Справочники!$F$6,Учет!$H1209,0)</f>
        <v>0</v>
      </c>
      <c r="G1209" s="43">
        <f>G1208+Учет!B1209-B1209</f>
        <v>-488978.92000000004</v>
      </c>
      <c r="H1209" s="43">
        <f>H1208+Учет!C1209-C1209</f>
        <v>336855</v>
      </c>
      <c r="I1209" s="43">
        <f>I1208+Учет!D1209-D1209</f>
        <v>500</v>
      </c>
      <c r="J1209" s="43">
        <f>J1208+Учет!E1209-E1209</f>
        <v>1150</v>
      </c>
      <c r="K1209" s="43">
        <f>K1208+Учет!F1209-F1209</f>
        <v>500000</v>
      </c>
      <c r="L1209" s="45">
        <f>Учет!I1209</f>
        <v>349526.07999999996</v>
      </c>
    </row>
    <row r="1210" spans="1:12" x14ac:dyDescent="0.25">
      <c r="A1210" s="48" t="str">
        <f>IF(Учет!A1210&lt;&gt;"",Учет!A1210,"")</f>
        <v/>
      </c>
      <c r="B1210" s="52">
        <f>IF(Учет!$O1210=Справочники!$F$2,Учет!$H1210,0)</f>
        <v>0</v>
      </c>
      <c r="C1210" s="52">
        <f>IF(Учет!$O1210=Справочники!$F$3,Учет!$H1210,0)</f>
        <v>0</v>
      </c>
      <c r="D1210" s="52">
        <f>IF(Учет!$O1210=Справочники!$F$4,Учет!$H1210,0)</f>
        <v>0</v>
      </c>
      <c r="E1210" s="52">
        <f>IF(Учет!$O1210=Справочники!$F$5,Учет!$H1210,0)</f>
        <v>0</v>
      </c>
      <c r="F1210" s="52">
        <f>IF(Учет!$O1210=Справочники!$F$6,Учет!$H1210,0)</f>
        <v>0</v>
      </c>
      <c r="G1210" s="43">
        <f>G1209+Учет!B1210-B1210</f>
        <v>-488978.92000000004</v>
      </c>
      <c r="H1210" s="43">
        <f>H1209+Учет!C1210-C1210</f>
        <v>336855</v>
      </c>
      <c r="I1210" s="43">
        <f>I1209+Учет!D1210-D1210</f>
        <v>500</v>
      </c>
      <c r="J1210" s="43">
        <f>J1209+Учет!E1210-E1210</f>
        <v>1150</v>
      </c>
      <c r="K1210" s="43">
        <f>K1209+Учет!F1210-F1210</f>
        <v>500000</v>
      </c>
      <c r="L1210" s="45">
        <f>Учет!I1210</f>
        <v>349526.07999999996</v>
      </c>
    </row>
    <row r="1211" spans="1:12" x14ac:dyDescent="0.25">
      <c r="A1211" s="48" t="str">
        <f>IF(Учет!A1211&lt;&gt;"",Учет!A1211,"")</f>
        <v/>
      </c>
      <c r="B1211" s="52">
        <f>IF(Учет!$O1211=Справочники!$F$2,Учет!$H1211,0)</f>
        <v>0</v>
      </c>
      <c r="C1211" s="52">
        <f>IF(Учет!$O1211=Справочники!$F$3,Учет!$H1211,0)</f>
        <v>0</v>
      </c>
      <c r="D1211" s="52">
        <f>IF(Учет!$O1211=Справочники!$F$4,Учет!$H1211,0)</f>
        <v>0</v>
      </c>
      <c r="E1211" s="52">
        <f>IF(Учет!$O1211=Справочники!$F$5,Учет!$H1211,0)</f>
        <v>0</v>
      </c>
      <c r="F1211" s="52">
        <f>IF(Учет!$O1211=Справочники!$F$6,Учет!$H1211,0)</f>
        <v>0</v>
      </c>
      <c r="G1211" s="43">
        <f>G1210+Учет!B1211-B1211</f>
        <v>-488978.92000000004</v>
      </c>
      <c r="H1211" s="43">
        <f>H1210+Учет!C1211-C1211</f>
        <v>336855</v>
      </c>
      <c r="I1211" s="43">
        <f>I1210+Учет!D1211-D1211</f>
        <v>500</v>
      </c>
      <c r="J1211" s="43">
        <f>J1210+Учет!E1211-E1211</f>
        <v>1150</v>
      </c>
      <c r="K1211" s="43">
        <f>K1210+Учет!F1211-F1211</f>
        <v>500000</v>
      </c>
      <c r="L1211" s="45">
        <f>Учет!I1211</f>
        <v>349526.07999999996</v>
      </c>
    </row>
    <row r="1212" spans="1:12" x14ac:dyDescent="0.25">
      <c r="A1212" s="48" t="str">
        <f>IF(Учет!A1212&lt;&gt;"",Учет!A1212,"")</f>
        <v/>
      </c>
      <c r="B1212" s="52">
        <f>IF(Учет!$O1212=Справочники!$F$2,Учет!$H1212,0)</f>
        <v>0</v>
      </c>
      <c r="C1212" s="52">
        <f>IF(Учет!$O1212=Справочники!$F$3,Учет!$H1212,0)</f>
        <v>0</v>
      </c>
      <c r="D1212" s="52">
        <f>IF(Учет!$O1212=Справочники!$F$4,Учет!$H1212,0)</f>
        <v>0</v>
      </c>
      <c r="E1212" s="52">
        <f>IF(Учет!$O1212=Справочники!$F$5,Учет!$H1212,0)</f>
        <v>0</v>
      </c>
      <c r="F1212" s="52">
        <f>IF(Учет!$O1212=Справочники!$F$6,Учет!$H1212,0)</f>
        <v>0</v>
      </c>
      <c r="G1212" s="43">
        <f>G1211+Учет!B1212-B1212</f>
        <v>-488978.92000000004</v>
      </c>
      <c r="H1212" s="43">
        <f>H1211+Учет!C1212-C1212</f>
        <v>336855</v>
      </c>
      <c r="I1212" s="43">
        <f>I1211+Учет!D1212-D1212</f>
        <v>500</v>
      </c>
      <c r="J1212" s="43">
        <f>J1211+Учет!E1212-E1212</f>
        <v>1150</v>
      </c>
      <c r="K1212" s="43">
        <f>K1211+Учет!F1212-F1212</f>
        <v>500000</v>
      </c>
      <c r="L1212" s="45">
        <f>Учет!I1212</f>
        <v>349526.07999999996</v>
      </c>
    </row>
    <row r="1213" spans="1:12" x14ac:dyDescent="0.25">
      <c r="A1213" s="48" t="str">
        <f>IF(Учет!A1213&lt;&gt;"",Учет!A1213,"")</f>
        <v/>
      </c>
      <c r="B1213" s="52">
        <f>IF(Учет!$O1213=Справочники!$F$2,Учет!$H1213,0)</f>
        <v>0</v>
      </c>
      <c r="C1213" s="52">
        <f>IF(Учет!$O1213=Справочники!$F$3,Учет!$H1213,0)</f>
        <v>0</v>
      </c>
      <c r="D1213" s="52">
        <f>IF(Учет!$O1213=Справочники!$F$4,Учет!$H1213,0)</f>
        <v>0</v>
      </c>
      <c r="E1213" s="52">
        <f>IF(Учет!$O1213=Справочники!$F$5,Учет!$H1213,0)</f>
        <v>0</v>
      </c>
      <c r="F1213" s="52">
        <f>IF(Учет!$O1213=Справочники!$F$6,Учет!$H1213,0)</f>
        <v>0</v>
      </c>
      <c r="G1213" s="43">
        <f>G1212+Учет!B1213-B1213</f>
        <v>-488978.92000000004</v>
      </c>
      <c r="H1213" s="43">
        <f>H1212+Учет!C1213-C1213</f>
        <v>336855</v>
      </c>
      <c r="I1213" s="43">
        <f>I1212+Учет!D1213-D1213</f>
        <v>500</v>
      </c>
      <c r="J1213" s="43">
        <f>J1212+Учет!E1213-E1213</f>
        <v>1150</v>
      </c>
      <c r="K1213" s="43">
        <f>K1212+Учет!F1213-F1213</f>
        <v>500000</v>
      </c>
      <c r="L1213" s="45">
        <f>Учет!I1213</f>
        <v>349526.07999999996</v>
      </c>
    </row>
    <row r="1214" spans="1:12" x14ac:dyDescent="0.25">
      <c r="A1214" s="48" t="str">
        <f>IF(Учет!A1214&lt;&gt;"",Учет!A1214,"")</f>
        <v/>
      </c>
      <c r="B1214" s="52">
        <f>IF(Учет!$O1214=Справочники!$F$2,Учет!$H1214,0)</f>
        <v>0</v>
      </c>
      <c r="C1214" s="52">
        <f>IF(Учет!$O1214=Справочники!$F$3,Учет!$H1214,0)</f>
        <v>0</v>
      </c>
      <c r="D1214" s="52">
        <f>IF(Учет!$O1214=Справочники!$F$4,Учет!$H1214,0)</f>
        <v>0</v>
      </c>
      <c r="E1214" s="52">
        <f>IF(Учет!$O1214=Справочники!$F$5,Учет!$H1214,0)</f>
        <v>0</v>
      </c>
      <c r="F1214" s="52">
        <f>IF(Учет!$O1214=Справочники!$F$6,Учет!$H1214,0)</f>
        <v>0</v>
      </c>
      <c r="G1214" s="43">
        <f>G1213+Учет!B1214-B1214</f>
        <v>-488978.92000000004</v>
      </c>
      <c r="H1214" s="43">
        <f>H1213+Учет!C1214-C1214</f>
        <v>336855</v>
      </c>
      <c r="I1214" s="43">
        <f>I1213+Учет!D1214-D1214</f>
        <v>500</v>
      </c>
      <c r="J1214" s="43">
        <f>J1213+Учет!E1214-E1214</f>
        <v>1150</v>
      </c>
      <c r="K1214" s="43">
        <f>K1213+Учет!F1214-F1214</f>
        <v>500000</v>
      </c>
      <c r="L1214" s="45">
        <f>Учет!I1214</f>
        <v>349526.07999999996</v>
      </c>
    </row>
    <row r="1215" spans="1:12" x14ac:dyDescent="0.25">
      <c r="A1215" s="48" t="str">
        <f>IF(Учет!A1215&lt;&gt;"",Учет!A1215,"")</f>
        <v/>
      </c>
      <c r="B1215" s="52">
        <f>IF(Учет!$O1215=Справочники!$F$2,Учет!$H1215,0)</f>
        <v>0</v>
      </c>
      <c r="C1215" s="52">
        <f>IF(Учет!$O1215=Справочники!$F$3,Учет!$H1215,0)</f>
        <v>0</v>
      </c>
      <c r="D1215" s="52">
        <f>IF(Учет!$O1215=Справочники!$F$4,Учет!$H1215,0)</f>
        <v>0</v>
      </c>
      <c r="E1215" s="52">
        <f>IF(Учет!$O1215=Справочники!$F$5,Учет!$H1215,0)</f>
        <v>0</v>
      </c>
      <c r="F1215" s="52">
        <f>IF(Учет!$O1215=Справочники!$F$6,Учет!$H1215,0)</f>
        <v>0</v>
      </c>
      <c r="G1215" s="43">
        <f>G1214+Учет!B1215-B1215</f>
        <v>-488978.92000000004</v>
      </c>
      <c r="H1215" s="43">
        <f>H1214+Учет!C1215-C1215</f>
        <v>336855</v>
      </c>
      <c r="I1215" s="43">
        <f>I1214+Учет!D1215-D1215</f>
        <v>500</v>
      </c>
      <c r="J1215" s="43">
        <f>J1214+Учет!E1215-E1215</f>
        <v>1150</v>
      </c>
      <c r="K1215" s="43">
        <f>K1214+Учет!F1215-F1215</f>
        <v>500000</v>
      </c>
      <c r="L1215" s="45">
        <f>Учет!I1215</f>
        <v>349526.07999999996</v>
      </c>
    </row>
    <row r="1216" spans="1:12" x14ac:dyDescent="0.25">
      <c r="A1216" s="48" t="str">
        <f>IF(Учет!A1216&lt;&gt;"",Учет!A1216,"")</f>
        <v/>
      </c>
      <c r="B1216" s="52">
        <f>IF(Учет!$O1216=Справочники!$F$2,Учет!$H1216,0)</f>
        <v>0</v>
      </c>
      <c r="C1216" s="52">
        <f>IF(Учет!$O1216=Справочники!$F$3,Учет!$H1216,0)</f>
        <v>0</v>
      </c>
      <c r="D1216" s="52">
        <f>IF(Учет!$O1216=Справочники!$F$4,Учет!$H1216,0)</f>
        <v>0</v>
      </c>
      <c r="E1216" s="52">
        <f>IF(Учет!$O1216=Справочники!$F$5,Учет!$H1216,0)</f>
        <v>0</v>
      </c>
      <c r="F1216" s="52">
        <f>IF(Учет!$O1216=Справочники!$F$6,Учет!$H1216,0)</f>
        <v>0</v>
      </c>
      <c r="G1216" s="43">
        <f>G1215+Учет!B1216-B1216</f>
        <v>-488978.92000000004</v>
      </c>
      <c r="H1216" s="43">
        <f>H1215+Учет!C1216-C1216</f>
        <v>336855</v>
      </c>
      <c r="I1216" s="43">
        <f>I1215+Учет!D1216-D1216</f>
        <v>500</v>
      </c>
      <c r="J1216" s="43">
        <f>J1215+Учет!E1216-E1216</f>
        <v>1150</v>
      </c>
      <c r="K1216" s="43">
        <f>K1215+Учет!F1216-F1216</f>
        <v>500000</v>
      </c>
      <c r="L1216" s="45">
        <f>Учет!I1216</f>
        <v>349526.07999999996</v>
      </c>
    </row>
    <row r="1217" spans="1:12" x14ac:dyDescent="0.25">
      <c r="A1217" s="48" t="str">
        <f>IF(Учет!A1217&lt;&gt;"",Учет!A1217,"")</f>
        <v/>
      </c>
      <c r="B1217" s="52">
        <f>IF(Учет!$O1217=Справочники!$F$2,Учет!$H1217,0)</f>
        <v>0</v>
      </c>
      <c r="C1217" s="52">
        <f>IF(Учет!$O1217=Справочники!$F$3,Учет!$H1217,0)</f>
        <v>0</v>
      </c>
      <c r="D1217" s="52">
        <f>IF(Учет!$O1217=Справочники!$F$4,Учет!$H1217,0)</f>
        <v>0</v>
      </c>
      <c r="E1217" s="52">
        <f>IF(Учет!$O1217=Справочники!$F$5,Учет!$H1217,0)</f>
        <v>0</v>
      </c>
      <c r="F1217" s="52">
        <f>IF(Учет!$O1217=Справочники!$F$6,Учет!$H1217,0)</f>
        <v>0</v>
      </c>
      <c r="G1217" s="43">
        <f>G1216+Учет!B1217-B1217</f>
        <v>-488978.92000000004</v>
      </c>
      <c r="H1217" s="43">
        <f>H1216+Учет!C1217-C1217</f>
        <v>336855</v>
      </c>
      <c r="I1217" s="43">
        <f>I1216+Учет!D1217-D1217</f>
        <v>500</v>
      </c>
      <c r="J1217" s="43">
        <f>J1216+Учет!E1217-E1217</f>
        <v>1150</v>
      </c>
      <c r="K1217" s="43">
        <f>K1216+Учет!F1217-F1217</f>
        <v>500000</v>
      </c>
      <c r="L1217" s="45">
        <f>Учет!I1217</f>
        <v>349526.07999999996</v>
      </c>
    </row>
    <row r="1218" spans="1:12" x14ac:dyDescent="0.25">
      <c r="A1218" s="48" t="str">
        <f>IF(Учет!A1218&lt;&gt;"",Учет!A1218,"")</f>
        <v/>
      </c>
      <c r="B1218" s="52">
        <f>IF(Учет!$O1218=Справочники!$F$2,Учет!$H1218,0)</f>
        <v>0</v>
      </c>
      <c r="C1218" s="52">
        <f>IF(Учет!$O1218=Справочники!$F$3,Учет!$H1218,0)</f>
        <v>0</v>
      </c>
      <c r="D1218" s="52">
        <f>IF(Учет!$O1218=Справочники!$F$4,Учет!$H1218,0)</f>
        <v>0</v>
      </c>
      <c r="E1218" s="52">
        <f>IF(Учет!$O1218=Справочники!$F$5,Учет!$H1218,0)</f>
        <v>0</v>
      </c>
      <c r="F1218" s="52">
        <f>IF(Учет!$O1218=Справочники!$F$6,Учет!$H1218,0)</f>
        <v>0</v>
      </c>
      <c r="G1218" s="43">
        <f>G1217+Учет!B1218-B1218</f>
        <v>-488978.92000000004</v>
      </c>
      <c r="H1218" s="43">
        <f>H1217+Учет!C1218-C1218</f>
        <v>336855</v>
      </c>
      <c r="I1218" s="43">
        <f>I1217+Учет!D1218-D1218</f>
        <v>500</v>
      </c>
      <c r="J1218" s="43">
        <f>J1217+Учет!E1218-E1218</f>
        <v>1150</v>
      </c>
      <c r="K1218" s="43">
        <f>K1217+Учет!F1218-F1218</f>
        <v>500000</v>
      </c>
      <c r="L1218" s="45">
        <f>Учет!I1218</f>
        <v>349526.07999999996</v>
      </c>
    </row>
    <row r="1219" spans="1:12" x14ac:dyDescent="0.25">
      <c r="A1219" s="48" t="str">
        <f>IF(Учет!A1219&lt;&gt;"",Учет!A1219,"")</f>
        <v/>
      </c>
      <c r="B1219" s="52">
        <f>IF(Учет!$O1219=Справочники!$F$2,Учет!$H1219,0)</f>
        <v>0</v>
      </c>
      <c r="C1219" s="52">
        <f>IF(Учет!$O1219=Справочники!$F$3,Учет!$H1219,0)</f>
        <v>0</v>
      </c>
      <c r="D1219" s="52">
        <f>IF(Учет!$O1219=Справочники!$F$4,Учет!$H1219,0)</f>
        <v>0</v>
      </c>
      <c r="E1219" s="52">
        <f>IF(Учет!$O1219=Справочники!$F$5,Учет!$H1219,0)</f>
        <v>0</v>
      </c>
      <c r="F1219" s="52">
        <f>IF(Учет!$O1219=Справочники!$F$6,Учет!$H1219,0)</f>
        <v>0</v>
      </c>
      <c r="G1219" s="43">
        <f>G1218+Учет!B1219-B1219</f>
        <v>-488978.92000000004</v>
      </c>
      <c r="H1219" s="43">
        <f>H1218+Учет!C1219-C1219</f>
        <v>336855</v>
      </c>
      <c r="I1219" s="43">
        <f>I1218+Учет!D1219-D1219</f>
        <v>500</v>
      </c>
      <c r="J1219" s="43">
        <f>J1218+Учет!E1219-E1219</f>
        <v>1150</v>
      </c>
      <c r="K1219" s="43">
        <f>K1218+Учет!F1219-F1219</f>
        <v>500000</v>
      </c>
      <c r="L1219" s="45">
        <f>Учет!I1219</f>
        <v>349526.07999999996</v>
      </c>
    </row>
    <row r="1220" spans="1:12" x14ac:dyDescent="0.25">
      <c r="A1220" s="48" t="str">
        <f>IF(Учет!A1220&lt;&gt;"",Учет!A1220,"")</f>
        <v/>
      </c>
      <c r="B1220" s="52">
        <f>IF(Учет!$O1220=Справочники!$F$2,Учет!$H1220,0)</f>
        <v>0</v>
      </c>
      <c r="C1220" s="52">
        <f>IF(Учет!$O1220=Справочники!$F$3,Учет!$H1220,0)</f>
        <v>0</v>
      </c>
      <c r="D1220" s="52">
        <f>IF(Учет!$O1220=Справочники!$F$4,Учет!$H1220,0)</f>
        <v>0</v>
      </c>
      <c r="E1220" s="52">
        <f>IF(Учет!$O1220=Справочники!$F$5,Учет!$H1220,0)</f>
        <v>0</v>
      </c>
      <c r="F1220" s="52">
        <f>IF(Учет!$O1220=Справочники!$F$6,Учет!$H1220,0)</f>
        <v>0</v>
      </c>
      <c r="G1220" s="43">
        <f>G1219+Учет!B1220-B1220</f>
        <v>-488978.92000000004</v>
      </c>
      <c r="H1220" s="43">
        <f>H1219+Учет!C1220-C1220</f>
        <v>336855</v>
      </c>
      <c r="I1220" s="43">
        <f>I1219+Учет!D1220-D1220</f>
        <v>500</v>
      </c>
      <c r="J1220" s="43">
        <f>J1219+Учет!E1220-E1220</f>
        <v>1150</v>
      </c>
      <c r="K1220" s="43">
        <f>K1219+Учет!F1220-F1220</f>
        <v>500000</v>
      </c>
      <c r="L1220" s="45">
        <f>Учет!I1220</f>
        <v>349526.07999999996</v>
      </c>
    </row>
    <row r="1221" spans="1:12" x14ac:dyDescent="0.25">
      <c r="A1221" s="48" t="str">
        <f>IF(Учет!A1221&lt;&gt;"",Учет!A1221,"")</f>
        <v/>
      </c>
      <c r="B1221" s="52">
        <f>IF(Учет!$O1221=Справочники!$F$2,Учет!$H1221,0)</f>
        <v>0</v>
      </c>
      <c r="C1221" s="52">
        <f>IF(Учет!$O1221=Справочники!$F$3,Учет!$H1221,0)</f>
        <v>0</v>
      </c>
      <c r="D1221" s="52">
        <f>IF(Учет!$O1221=Справочники!$F$4,Учет!$H1221,0)</f>
        <v>0</v>
      </c>
      <c r="E1221" s="52">
        <f>IF(Учет!$O1221=Справочники!$F$5,Учет!$H1221,0)</f>
        <v>0</v>
      </c>
      <c r="F1221" s="52">
        <f>IF(Учет!$O1221=Справочники!$F$6,Учет!$H1221,0)</f>
        <v>0</v>
      </c>
      <c r="G1221" s="43">
        <f>G1220+Учет!B1221-B1221</f>
        <v>-488978.92000000004</v>
      </c>
      <c r="H1221" s="43">
        <f>H1220+Учет!C1221-C1221</f>
        <v>336855</v>
      </c>
      <c r="I1221" s="43">
        <f>I1220+Учет!D1221-D1221</f>
        <v>500</v>
      </c>
      <c r="J1221" s="43">
        <f>J1220+Учет!E1221-E1221</f>
        <v>1150</v>
      </c>
      <c r="K1221" s="43">
        <f>K1220+Учет!F1221-F1221</f>
        <v>500000</v>
      </c>
      <c r="L1221" s="45">
        <f>Учет!I1221</f>
        <v>349526.07999999996</v>
      </c>
    </row>
    <row r="1222" spans="1:12" x14ac:dyDescent="0.25">
      <c r="A1222" s="48" t="str">
        <f>IF(Учет!A1222&lt;&gt;"",Учет!A1222,"")</f>
        <v/>
      </c>
      <c r="B1222" s="52">
        <f>IF(Учет!$O1222=Справочники!$F$2,Учет!$H1222,0)</f>
        <v>0</v>
      </c>
      <c r="C1222" s="52">
        <f>IF(Учет!$O1222=Справочники!$F$3,Учет!$H1222,0)</f>
        <v>0</v>
      </c>
      <c r="D1222" s="52">
        <f>IF(Учет!$O1222=Справочники!$F$4,Учет!$H1222,0)</f>
        <v>0</v>
      </c>
      <c r="E1222" s="52">
        <f>IF(Учет!$O1222=Справочники!$F$5,Учет!$H1222,0)</f>
        <v>0</v>
      </c>
      <c r="F1222" s="52">
        <f>IF(Учет!$O1222=Справочники!$F$6,Учет!$H1222,0)</f>
        <v>0</v>
      </c>
      <c r="G1222" s="43">
        <f>G1221+Учет!B1222-B1222</f>
        <v>-488978.92000000004</v>
      </c>
      <c r="H1222" s="43">
        <f>H1221+Учет!C1222-C1222</f>
        <v>336855</v>
      </c>
      <c r="I1222" s="43">
        <f>I1221+Учет!D1222-D1222</f>
        <v>500</v>
      </c>
      <c r="J1222" s="43">
        <f>J1221+Учет!E1222-E1222</f>
        <v>1150</v>
      </c>
      <c r="K1222" s="43">
        <f>K1221+Учет!F1222-F1222</f>
        <v>500000</v>
      </c>
      <c r="L1222" s="45">
        <f>Учет!I1222</f>
        <v>349526.07999999996</v>
      </c>
    </row>
    <row r="1223" spans="1:12" x14ac:dyDescent="0.25">
      <c r="A1223" s="48" t="str">
        <f>IF(Учет!A1223&lt;&gt;"",Учет!A1223,"")</f>
        <v/>
      </c>
      <c r="B1223" s="52">
        <f>IF(Учет!$O1223=Справочники!$F$2,Учет!$H1223,0)</f>
        <v>0</v>
      </c>
      <c r="C1223" s="52">
        <f>IF(Учет!$O1223=Справочники!$F$3,Учет!$H1223,0)</f>
        <v>0</v>
      </c>
      <c r="D1223" s="52">
        <f>IF(Учет!$O1223=Справочники!$F$4,Учет!$H1223,0)</f>
        <v>0</v>
      </c>
      <c r="E1223" s="52">
        <f>IF(Учет!$O1223=Справочники!$F$5,Учет!$H1223,0)</f>
        <v>0</v>
      </c>
      <c r="F1223" s="52">
        <f>IF(Учет!$O1223=Справочники!$F$6,Учет!$H1223,0)</f>
        <v>0</v>
      </c>
      <c r="G1223" s="43">
        <f>G1222+Учет!B1223-B1223</f>
        <v>-488978.92000000004</v>
      </c>
      <c r="H1223" s="43">
        <f>H1222+Учет!C1223-C1223</f>
        <v>336855</v>
      </c>
      <c r="I1223" s="43">
        <f>I1222+Учет!D1223-D1223</f>
        <v>500</v>
      </c>
      <c r="J1223" s="43">
        <f>J1222+Учет!E1223-E1223</f>
        <v>1150</v>
      </c>
      <c r="K1223" s="43">
        <f>K1222+Учет!F1223-F1223</f>
        <v>500000</v>
      </c>
      <c r="L1223" s="45">
        <f>Учет!I1223</f>
        <v>349526.07999999996</v>
      </c>
    </row>
    <row r="1224" spans="1:12" x14ac:dyDescent="0.25">
      <c r="A1224" s="48" t="str">
        <f>IF(Учет!A1224&lt;&gt;"",Учет!A1224,"")</f>
        <v/>
      </c>
      <c r="B1224" s="52">
        <f>IF(Учет!$O1224=Справочники!$F$2,Учет!$H1224,0)</f>
        <v>0</v>
      </c>
      <c r="C1224" s="52">
        <f>IF(Учет!$O1224=Справочники!$F$3,Учет!$H1224,0)</f>
        <v>0</v>
      </c>
      <c r="D1224" s="52">
        <f>IF(Учет!$O1224=Справочники!$F$4,Учет!$H1224,0)</f>
        <v>0</v>
      </c>
      <c r="E1224" s="52">
        <f>IF(Учет!$O1224=Справочники!$F$5,Учет!$H1224,0)</f>
        <v>0</v>
      </c>
      <c r="F1224" s="52">
        <f>IF(Учет!$O1224=Справочники!$F$6,Учет!$H1224,0)</f>
        <v>0</v>
      </c>
      <c r="G1224" s="43">
        <f>G1223+Учет!B1224-B1224</f>
        <v>-488978.92000000004</v>
      </c>
      <c r="H1224" s="43">
        <f>H1223+Учет!C1224-C1224</f>
        <v>336855</v>
      </c>
      <c r="I1224" s="43">
        <f>I1223+Учет!D1224-D1224</f>
        <v>500</v>
      </c>
      <c r="J1224" s="43">
        <f>J1223+Учет!E1224-E1224</f>
        <v>1150</v>
      </c>
      <c r="K1224" s="43">
        <f>K1223+Учет!F1224-F1224</f>
        <v>500000</v>
      </c>
      <c r="L1224" s="45">
        <f>Учет!I1224</f>
        <v>349526.07999999996</v>
      </c>
    </row>
    <row r="1225" spans="1:12" x14ac:dyDescent="0.25">
      <c r="A1225" s="48" t="str">
        <f>IF(Учет!A1225&lt;&gt;"",Учет!A1225,"")</f>
        <v/>
      </c>
      <c r="B1225" s="52">
        <f>IF(Учет!$O1225=Справочники!$F$2,Учет!$H1225,0)</f>
        <v>0</v>
      </c>
      <c r="C1225" s="52">
        <f>IF(Учет!$O1225=Справочники!$F$3,Учет!$H1225,0)</f>
        <v>0</v>
      </c>
      <c r="D1225" s="52">
        <f>IF(Учет!$O1225=Справочники!$F$4,Учет!$H1225,0)</f>
        <v>0</v>
      </c>
      <c r="E1225" s="52">
        <f>IF(Учет!$O1225=Справочники!$F$5,Учет!$H1225,0)</f>
        <v>0</v>
      </c>
      <c r="F1225" s="52">
        <f>IF(Учет!$O1225=Справочники!$F$6,Учет!$H1225,0)</f>
        <v>0</v>
      </c>
      <c r="G1225" s="43">
        <f>G1224+Учет!B1225-B1225</f>
        <v>-488978.92000000004</v>
      </c>
      <c r="H1225" s="43">
        <f>H1224+Учет!C1225-C1225</f>
        <v>336855</v>
      </c>
      <c r="I1225" s="43">
        <f>I1224+Учет!D1225-D1225</f>
        <v>500</v>
      </c>
      <c r="J1225" s="43">
        <f>J1224+Учет!E1225-E1225</f>
        <v>1150</v>
      </c>
      <c r="K1225" s="43">
        <f>K1224+Учет!F1225-F1225</f>
        <v>500000</v>
      </c>
      <c r="L1225" s="45">
        <f>Учет!I1225</f>
        <v>349526.07999999996</v>
      </c>
    </row>
    <row r="1226" spans="1:12" x14ac:dyDescent="0.25">
      <c r="A1226" s="48" t="str">
        <f>IF(Учет!A1226&lt;&gt;"",Учет!A1226,"")</f>
        <v/>
      </c>
      <c r="B1226" s="52">
        <f>IF(Учет!$O1226=Справочники!$F$2,Учет!$H1226,0)</f>
        <v>0</v>
      </c>
      <c r="C1226" s="52">
        <f>IF(Учет!$O1226=Справочники!$F$3,Учет!$H1226,0)</f>
        <v>0</v>
      </c>
      <c r="D1226" s="52">
        <f>IF(Учет!$O1226=Справочники!$F$4,Учет!$H1226,0)</f>
        <v>0</v>
      </c>
      <c r="E1226" s="52">
        <f>IF(Учет!$O1226=Справочники!$F$5,Учет!$H1226,0)</f>
        <v>0</v>
      </c>
      <c r="F1226" s="52">
        <f>IF(Учет!$O1226=Справочники!$F$6,Учет!$H1226,0)</f>
        <v>0</v>
      </c>
      <c r="G1226" s="43">
        <f>G1225+Учет!B1226-B1226</f>
        <v>-488978.92000000004</v>
      </c>
      <c r="H1226" s="43">
        <f>H1225+Учет!C1226-C1226</f>
        <v>336855</v>
      </c>
      <c r="I1226" s="43">
        <f>I1225+Учет!D1226-D1226</f>
        <v>500</v>
      </c>
      <c r="J1226" s="43">
        <f>J1225+Учет!E1226-E1226</f>
        <v>1150</v>
      </c>
      <c r="K1226" s="43">
        <f>K1225+Учет!F1226-F1226</f>
        <v>500000</v>
      </c>
      <c r="L1226" s="45">
        <f>Учет!I1226</f>
        <v>349526.07999999996</v>
      </c>
    </row>
    <row r="1227" spans="1:12" x14ac:dyDescent="0.25">
      <c r="A1227" s="48" t="str">
        <f>IF(Учет!A1227&lt;&gt;"",Учет!A1227,"")</f>
        <v/>
      </c>
      <c r="B1227" s="52">
        <f>IF(Учет!$O1227=Справочники!$F$2,Учет!$H1227,0)</f>
        <v>0</v>
      </c>
      <c r="C1227" s="52">
        <f>IF(Учет!$O1227=Справочники!$F$3,Учет!$H1227,0)</f>
        <v>0</v>
      </c>
      <c r="D1227" s="52">
        <f>IF(Учет!$O1227=Справочники!$F$4,Учет!$H1227,0)</f>
        <v>0</v>
      </c>
      <c r="E1227" s="52">
        <f>IF(Учет!$O1227=Справочники!$F$5,Учет!$H1227,0)</f>
        <v>0</v>
      </c>
      <c r="F1227" s="52">
        <f>IF(Учет!$O1227=Справочники!$F$6,Учет!$H1227,0)</f>
        <v>0</v>
      </c>
      <c r="G1227" s="43">
        <f>G1226+Учет!B1227-B1227</f>
        <v>-488978.92000000004</v>
      </c>
      <c r="H1227" s="43">
        <f>H1226+Учет!C1227-C1227</f>
        <v>336855</v>
      </c>
      <c r="I1227" s="43">
        <f>I1226+Учет!D1227-D1227</f>
        <v>500</v>
      </c>
      <c r="J1227" s="43">
        <f>J1226+Учет!E1227-E1227</f>
        <v>1150</v>
      </c>
      <c r="K1227" s="43">
        <f>K1226+Учет!F1227-F1227</f>
        <v>500000</v>
      </c>
      <c r="L1227" s="45">
        <f>Учет!I1227</f>
        <v>349526.07999999996</v>
      </c>
    </row>
    <row r="1228" spans="1:12" x14ac:dyDescent="0.25">
      <c r="A1228" s="48" t="str">
        <f>IF(Учет!A1228&lt;&gt;"",Учет!A1228,"")</f>
        <v/>
      </c>
      <c r="B1228" s="52">
        <f>IF(Учет!$O1228=Справочники!$F$2,Учет!$H1228,0)</f>
        <v>0</v>
      </c>
      <c r="C1228" s="52">
        <f>IF(Учет!$O1228=Справочники!$F$3,Учет!$H1228,0)</f>
        <v>0</v>
      </c>
      <c r="D1228" s="52">
        <f>IF(Учет!$O1228=Справочники!$F$4,Учет!$H1228,0)</f>
        <v>0</v>
      </c>
      <c r="E1228" s="52">
        <f>IF(Учет!$O1228=Справочники!$F$5,Учет!$H1228,0)</f>
        <v>0</v>
      </c>
      <c r="F1228" s="52">
        <f>IF(Учет!$O1228=Справочники!$F$6,Учет!$H1228,0)</f>
        <v>0</v>
      </c>
      <c r="G1228" s="43">
        <f>G1227+Учет!B1228-B1228</f>
        <v>-488978.92000000004</v>
      </c>
      <c r="H1228" s="43">
        <f>H1227+Учет!C1228-C1228</f>
        <v>336855</v>
      </c>
      <c r="I1228" s="43">
        <f>I1227+Учет!D1228-D1228</f>
        <v>500</v>
      </c>
      <c r="J1228" s="43">
        <f>J1227+Учет!E1228-E1228</f>
        <v>1150</v>
      </c>
      <c r="K1228" s="43">
        <f>K1227+Учет!F1228-F1228</f>
        <v>500000</v>
      </c>
      <c r="L1228" s="45">
        <f>Учет!I1228</f>
        <v>349526.07999999996</v>
      </c>
    </row>
    <row r="1229" spans="1:12" x14ac:dyDescent="0.25">
      <c r="A1229" s="48" t="str">
        <f>IF(Учет!A1229&lt;&gt;"",Учет!A1229,"")</f>
        <v/>
      </c>
      <c r="B1229" s="52">
        <f>IF(Учет!$O1229=Справочники!$F$2,Учет!$H1229,0)</f>
        <v>0</v>
      </c>
      <c r="C1229" s="52">
        <f>IF(Учет!$O1229=Справочники!$F$3,Учет!$H1229,0)</f>
        <v>0</v>
      </c>
      <c r="D1229" s="52">
        <f>IF(Учет!$O1229=Справочники!$F$4,Учет!$H1229,0)</f>
        <v>0</v>
      </c>
      <c r="E1229" s="52">
        <f>IF(Учет!$O1229=Справочники!$F$5,Учет!$H1229,0)</f>
        <v>0</v>
      </c>
      <c r="F1229" s="52">
        <f>IF(Учет!$O1229=Справочники!$F$6,Учет!$H1229,0)</f>
        <v>0</v>
      </c>
      <c r="G1229" s="43">
        <f>G1228+Учет!B1229-B1229</f>
        <v>-488978.92000000004</v>
      </c>
      <c r="H1229" s="43">
        <f>H1228+Учет!C1229-C1229</f>
        <v>336855</v>
      </c>
      <c r="I1229" s="43">
        <f>I1228+Учет!D1229-D1229</f>
        <v>500</v>
      </c>
      <c r="J1229" s="43">
        <f>J1228+Учет!E1229-E1229</f>
        <v>1150</v>
      </c>
      <c r="K1229" s="43">
        <f>K1228+Учет!F1229-F1229</f>
        <v>500000</v>
      </c>
      <c r="L1229" s="45">
        <f>Учет!I1229</f>
        <v>349526.07999999996</v>
      </c>
    </row>
    <row r="1230" spans="1:12" x14ac:dyDescent="0.25">
      <c r="A1230" s="48" t="str">
        <f>IF(Учет!A1230&lt;&gt;"",Учет!A1230,"")</f>
        <v/>
      </c>
      <c r="B1230" s="52">
        <f>IF(Учет!$O1230=Справочники!$F$2,Учет!$H1230,0)</f>
        <v>0</v>
      </c>
      <c r="C1230" s="52">
        <f>IF(Учет!$O1230=Справочники!$F$3,Учет!$H1230,0)</f>
        <v>0</v>
      </c>
      <c r="D1230" s="52">
        <f>IF(Учет!$O1230=Справочники!$F$4,Учет!$H1230,0)</f>
        <v>0</v>
      </c>
      <c r="E1230" s="52">
        <f>IF(Учет!$O1230=Справочники!$F$5,Учет!$H1230,0)</f>
        <v>0</v>
      </c>
      <c r="F1230" s="52">
        <f>IF(Учет!$O1230=Справочники!$F$6,Учет!$H1230,0)</f>
        <v>0</v>
      </c>
      <c r="G1230" s="43">
        <f>G1229+Учет!B1230-B1230</f>
        <v>-488978.92000000004</v>
      </c>
      <c r="H1230" s="43">
        <f>H1229+Учет!C1230-C1230</f>
        <v>336855</v>
      </c>
      <c r="I1230" s="43">
        <f>I1229+Учет!D1230-D1230</f>
        <v>500</v>
      </c>
      <c r="J1230" s="43">
        <f>J1229+Учет!E1230-E1230</f>
        <v>1150</v>
      </c>
      <c r="K1230" s="43">
        <f>K1229+Учет!F1230-F1230</f>
        <v>500000</v>
      </c>
      <c r="L1230" s="45">
        <f>Учет!I1230</f>
        <v>349526.07999999996</v>
      </c>
    </row>
    <row r="1231" spans="1:12" x14ac:dyDescent="0.25">
      <c r="A1231" s="48" t="str">
        <f>IF(Учет!A1231&lt;&gt;"",Учет!A1231,"")</f>
        <v/>
      </c>
      <c r="B1231" s="52">
        <f>IF(Учет!$O1231=Справочники!$F$2,Учет!$H1231,0)</f>
        <v>0</v>
      </c>
      <c r="C1231" s="52">
        <f>IF(Учет!$O1231=Справочники!$F$3,Учет!$H1231,0)</f>
        <v>0</v>
      </c>
      <c r="D1231" s="52">
        <f>IF(Учет!$O1231=Справочники!$F$4,Учет!$H1231,0)</f>
        <v>0</v>
      </c>
      <c r="E1231" s="52">
        <f>IF(Учет!$O1231=Справочники!$F$5,Учет!$H1231,0)</f>
        <v>0</v>
      </c>
      <c r="F1231" s="52">
        <f>IF(Учет!$O1231=Справочники!$F$6,Учет!$H1231,0)</f>
        <v>0</v>
      </c>
      <c r="G1231" s="43">
        <f>G1230+Учет!B1231-B1231</f>
        <v>-488978.92000000004</v>
      </c>
      <c r="H1231" s="43">
        <f>H1230+Учет!C1231-C1231</f>
        <v>336855</v>
      </c>
      <c r="I1231" s="43">
        <f>I1230+Учет!D1231-D1231</f>
        <v>500</v>
      </c>
      <c r="J1231" s="43">
        <f>J1230+Учет!E1231-E1231</f>
        <v>1150</v>
      </c>
      <c r="K1231" s="43">
        <f>K1230+Учет!F1231-F1231</f>
        <v>500000</v>
      </c>
      <c r="L1231" s="45">
        <f>Учет!I1231</f>
        <v>349526.07999999996</v>
      </c>
    </row>
    <row r="1232" spans="1:12" x14ac:dyDescent="0.25">
      <c r="A1232" s="48" t="str">
        <f>IF(Учет!A1232&lt;&gt;"",Учет!A1232,"")</f>
        <v/>
      </c>
      <c r="B1232" s="52">
        <f>IF(Учет!$O1232=Справочники!$F$2,Учет!$H1232,0)</f>
        <v>0</v>
      </c>
      <c r="C1232" s="52">
        <f>IF(Учет!$O1232=Справочники!$F$3,Учет!$H1232,0)</f>
        <v>0</v>
      </c>
      <c r="D1232" s="52">
        <f>IF(Учет!$O1232=Справочники!$F$4,Учет!$H1232,0)</f>
        <v>0</v>
      </c>
      <c r="E1232" s="52">
        <f>IF(Учет!$O1232=Справочники!$F$5,Учет!$H1232,0)</f>
        <v>0</v>
      </c>
      <c r="F1232" s="52">
        <f>IF(Учет!$O1232=Справочники!$F$6,Учет!$H1232,0)</f>
        <v>0</v>
      </c>
      <c r="G1232" s="43">
        <f>G1231+Учет!B1232-B1232</f>
        <v>-488978.92000000004</v>
      </c>
      <c r="H1232" s="43">
        <f>H1231+Учет!C1232-C1232</f>
        <v>336855</v>
      </c>
      <c r="I1232" s="43">
        <f>I1231+Учет!D1232-D1232</f>
        <v>500</v>
      </c>
      <c r="J1232" s="43">
        <f>J1231+Учет!E1232-E1232</f>
        <v>1150</v>
      </c>
      <c r="K1232" s="43">
        <f>K1231+Учет!F1232-F1232</f>
        <v>500000</v>
      </c>
      <c r="L1232" s="45">
        <f>Учет!I1232</f>
        <v>349526.07999999996</v>
      </c>
    </row>
    <row r="1233" spans="1:12" x14ac:dyDescent="0.25">
      <c r="A1233" s="48" t="str">
        <f>IF(Учет!A1233&lt;&gt;"",Учет!A1233,"")</f>
        <v/>
      </c>
      <c r="B1233" s="52">
        <f>IF(Учет!$O1233=Справочники!$F$2,Учет!$H1233,0)</f>
        <v>0</v>
      </c>
      <c r="C1233" s="52">
        <f>IF(Учет!$O1233=Справочники!$F$3,Учет!$H1233,0)</f>
        <v>0</v>
      </c>
      <c r="D1233" s="52">
        <f>IF(Учет!$O1233=Справочники!$F$4,Учет!$H1233,0)</f>
        <v>0</v>
      </c>
      <c r="E1233" s="52">
        <f>IF(Учет!$O1233=Справочники!$F$5,Учет!$H1233,0)</f>
        <v>0</v>
      </c>
      <c r="F1233" s="52">
        <f>IF(Учет!$O1233=Справочники!$F$6,Учет!$H1233,0)</f>
        <v>0</v>
      </c>
      <c r="G1233" s="43">
        <f>G1232+Учет!B1233-B1233</f>
        <v>-488978.92000000004</v>
      </c>
      <c r="H1233" s="43">
        <f>H1232+Учет!C1233-C1233</f>
        <v>336855</v>
      </c>
      <c r="I1233" s="43">
        <f>I1232+Учет!D1233-D1233</f>
        <v>500</v>
      </c>
      <c r="J1233" s="43">
        <f>J1232+Учет!E1233-E1233</f>
        <v>1150</v>
      </c>
      <c r="K1233" s="43">
        <f>K1232+Учет!F1233-F1233</f>
        <v>500000</v>
      </c>
      <c r="L1233" s="45">
        <f>Учет!I1233</f>
        <v>349526.07999999996</v>
      </c>
    </row>
    <row r="1234" spans="1:12" x14ac:dyDescent="0.25">
      <c r="A1234" s="48" t="str">
        <f>IF(Учет!A1234&lt;&gt;"",Учет!A1234,"")</f>
        <v/>
      </c>
      <c r="B1234" s="52">
        <f>IF(Учет!$O1234=Справочники!$F$2,Учет!$H1234,0)</f>
        <v>0</v>
      </c>
      <c r="C1234" s="52">
        <f>IF(Учет!$O1234=Справочники!$F$3,Учет!$H1234,0)</f>
        <v>0</v>
      </c>
      <c r="D1234" s="52">
        <f>IF(Учет!$O1234=Справочники!$F$4,Учет!$H1234,0)</f>
        <v>0</v>
      </c>
      <c r="E1234" s="52">
        <f>IF(Учет!$O1234=Справочники!$F$5,Учет!$H1234,0)</f>
        <v>0</v>
      </c>
      <c r="F1234" s="52">
        <f>IF(Учет!$O1234=Справочники!$F$6,Учет!$H1234,0)</f>
        <v>0</v>
      </c>
      <c r="G1234" s="43">
        <f>G1233+Учет!B1234-B1234</f>
        <v>-488978.92000000004</v>
      </c>
      <c r="H1234" s="43">
        <f>H1233+Учет!C1234-C1234</f>
        <v>336855</v>
      </c>
      <c r="I1234" s="43">
        <f>I1233+Учет!D1234-D1234</f>
        <v>500</v>
      </c>
      <c r="J1234" s="43">
        <f>J1233+Учет!E1234-E1234</f>
        <v>1150</v>
      </c>
      <c r="K1234" s="43">
        <f>K1233+Учет!F1234-F1234</f>
        <v>500000</v>
      </c>
      <c r="L1234" s="45">
        <f>Учет!I1234</f>
        <v>349526.07999999996</v>
      </c>
    </row>
    <row r="1235" spans="1:12" x14ac:dyDescent="0.25">
      <c r="A1235" s="48" t="str">
        <f>IF(Учет!A1235&lt;&gt;"",Учет!A1235,"")</f>
        <v/>
      </c>
      <c r="B1235" s="52">
        <f>IF(Учет!$O1235=Справочники!$F$2,Учет!$H1235,0)</f>
        <v>0</v>
      </c>
      <c r="C1235" s="52">
        <f>IF(Учет!$O1235=Справочники!$F$3,Учет!$H1235,0)</f>
        <v>0</v>
      </c>
      <c r="D1235" s="52">
        <f>IF(Учет!$O1235=Справочники!$F$4,Учет!$H1235,0)</f>
        <v>0</v>
      </c>
      <c r="E1235" s="52">
        <f>IF(Учет!$O1235=Справочники!$F$5,Учет!$H1235,0)</f>
        <v>0</v>
      </c>
      <c r="F1235" s="52">
        <f>IF(Учет!$O1235=Справочники!$F$6,Учет!$H1235,0)</f>
        <v>0</v>
      </c>
      <c r="G1235" s="43">
        <f>G1234+Учет!B1235-B1235</f>
        <v>-488978.92000000004</v>
      </c>
      <c r="H1235" s="43">
        <f>H1234+Учет!C1235-C1235</f>
        <v>336855</v>
      </c>
      <c r="I1235" s="43">
        <f>I1234+Учет!D1235-D1235</f>
        <v>500</v>
      </c>
      <c r="J1235" s="43">
        <f>J1234+Учет!E1235-E1235</f>
        <v>1150</v>
      </c>
      <c r="K1235" s="43">
        <f>K1234+Учет!F1235-F1235</f>
        <v>500000</v>
      </c>
      <c r="L1235" s="45">
        <f>Учет!I1235</f>
        <v>349526.07999999996</v>
      </c>
    </row>
    <row r="1236" spans="1:12" x14ac:dyDescent="0.25">
      <c r="A1236" s="48" t="str">
        <f>IF(Учет!A1236&lt;&gt;"",Учет!A1236,"")</f>
        <v/>
      </c>
      <c r="B1236" s="52">
        <f>IF(Учет!$O1236=Справочники!$F$2,Учет!$H1236,0)</f>
        <v>0</v>
      </c>
      <c r="C1236" s="52">
        <f>IF(Учет!$O1236=Справочники!$F$3,Учет!$H1236,0)</f>
        <v>0</v>
      </c>
      <c r="D1236" s="52">
        <f>IF(Учет!$O1236=Справочники!$F$4,Учет!$H1236,0)</f>
        <v>0</v>
      </c>
      <c r="E1236" s="52">
        <f>IF(Учет!$O1236=Справочники!$F$5,Учет!$H1236,0)</f>
        <v>0</v>
      </c>
      <c r="F1236" s="52">
        <f>IF(Учет!$O1236=Справочники!$F$6,Учет!$H1236,0)</f>
        <v>0</v>
      </c>
      <c r="G1236" s="43">
        <f>G1235+Учет!B1236-B1236</f>
        <v>-488978.92000000004</v>
      </c>
      <c r="H1236" s="43">
        <f>H1235+Учет!C1236-C1236</f>
        <v>336855</v>
      </c>
      <c r="I1236" s="43">
        <f>I1235+Учет!D1236-D1236</f>
        <v>500</v>
      </c>
      <c r="J1236" s="43">
        <f>J1235+Учет!E1236-E1236</f>
        <v>1150</v>
      </c>
      <c r="K1236" s="43">
        <f>K1235+Учет!F1236-F1236</f>
        <v>500000</v>
      </c>
      <c r="L1236" s="45">
        <f>Учет!I1236</f>
        <v>349526.07999999996</v>
      </c>
    </row>
    <row r="1237" spans="1:12" x14ac:dyDescent="0.25">
      <c r="A1237" s="48" t="str">
        <f>IF(Учет!A1237&lt;&gt;"",Учет!A1237,"")</f>
        <v/>
      </c>
      <c r="B1237" s="52">
        <f>IF(Учет!$O1237=Справочники!$F$2,Учет!$H1237,0)</f>
        <v>0</v>
      </c>
      <c r="C1237" s="52">
        <f>IF(Учет!$O1237=Справочники!$F$3,Учет!$H1237,0)</f>
        <v>0</v>
      </c>
      <c r="D1237" s="52">
        <f>IF(Учет!$O1237=Справочники!$F$4,Учет!$H1237,0)</f>
        <v>0</v>
      </c>
      <c r="E1237" s="52">
        <f>IF(Учет!$O1237=Справочники!$F$5,Учет!$H1237,0)</f>
        <v>0</v>
      </c>
      <c r="F1237" s="52">
        <f>IF(Учет!$O1237=Справочники!$F$6,Учет!$H1237,0)</f>
        <v>0</v>
      </c>
      <c r="G1237" s="43">
        <f>G1236+Учет!B1237-B1237</f>
        <v>-488978.92000000004</v>
      </c>
      <c r="H1237" s="43">
        <f>H1236+Учет!C1237-C1237</f>
        <v>336855</v>
      </c>
      <c r="I1237" s="43">
        <f>I1236+Учет!D1237-D1237</f>
        <v>500</v>
      </c>
      <c r="J1237" s="43">
        <f>J1236+Учет!E1237-E1237</f>
        <v>1150</v>
      </c>
      <c r="K1237" s="43">
        <f>K1236+Учет!F1237-F1237</f>
        <v>500000</v>
      </c>
      <c r="L1237" s="45">
        <f>Учет!I1237</f>
        <v>349526.07999999996</v>
      </c>
    </row>
    <row r="1238" spans="1:12" x14ac:dyDescent="0.25">
      <c r="A1238" s="48" t="str">
        <f>IF(Учет!A1238&lt;&gt;"",Учет!A1238,"")</f>
        <v/>
      </c>
      <c r="B1238" s="52">
        <f>IF(Учет!$O1238=Справочники!$F$2,Учет!$H1238,0)</f>
        <v>0</v>
      </c>
      <c r="C1238" s="52">
        <f>IF(Учет!$O1238=Справочники!$F$3,Учет!$H1238,0)</f>
        <v>0</v>
      </c>
      <c r="D1238" s="52">
        <f>IF(Учет!$O1238=Справочники!$F$4,Учет!$H1238,0)</f>
        <v>0</v>
      </c>
      <c r="E1238" s="52">
        <f>IF(Учет!$O1238=Справочники!$F$5,Учет!$H1238,0)</f>
        <v>0</v>
      </c>
      <c r="F1238" s="52">
        <f>IF(Учет!$O1238=Справочники!$F$6,Учет!$H1238,0)</f>
        <v>0</v>
      </c>
      <c r="G1238" s="43">
        <f>G1237+Учет!B1238-B1238</f>
        <v>-488978.92000000004</v>
      </c>
      <c r="H1238" s="43">
        <f>H1237+Учет!C1238-C1238</f>
        <v>336855</v>
      </c>
      <c r="I1238" s="43">
        <f>I1237+Учет!D1238-D1238</f>
        <v>500</v>
      </c>
      <c r="J1238" s="43">
        <f>J1237+Учет!E1238-E1238</f>
        <v>1150</v>
      </c>
      <c r="K1238" s="43">
        <f>K1237+Учет!F1238-F1238</f>
        <v>500000</v>
      </c>
      <c r="L1238" s="45">
        <f>Учет!I1238</f>
        <v>349526.07999999996</v>
      </c>
    </row>
    <row r="1239" spans="1:12" x14ac:dyDescent="0.25">
      <c r="A1239" s="48" t="str">
        <f>IF(Учет!A1239&lt;&gt;"",Учет!A1239,"")</f>
        <v/>
      </c>
      <c r="B1239" s="52">
        <f>IF(Учет!$O1239=Справочники!$F$2,Учет!$H1239,0)</f>
        <v>0</v>
      </c>
      <c r="C1239" s="52">
        <f>IF(Учет!$O1239=Справочники!$F$3,Учет!$H1239,0)</f>
        <v>0</v>
      </c>
      <c r="D1239" s="52">
        <f>IF(Учет!$O1239=Справочники!$F$4,Учет!$H1239,0)</f>
        <v>0</v>
      </c>
      <c r="E1239" s="52">
        <f>IF(Учет!$O1239=Справочники!$F$5,Учет!$H1239,0)</f>
        <v>0</v>
      </c>
      <c r="F1239" s="52">
        <f>IF(Учет!$O1239=Справочники!$F$6,Учет!$H1239,0)</f>
        <v>0</v>
      </c>
      <c r="G1239" s="43">
        <f>G1238+Учет!B1239-B1239</f>
        <v>-488978.92000000004</v>
      </c>
      <c r="H1239" s="43">
        <f>H1238+Учет!C1239-C1239</f>
        <v>336855</v>
      </c>
      <c r="I1239" s="43">
        <f>I1238+Учет!D1239-D1239</f>
        <v>500</v>
      </c>
      <c r="J1239" s="43">
        <f>J1238+Учет!E1239-E1239</f>
        <v>1150</v>
      </c>
      <c r="K1239" s="43">
        <f>K1238+Учет!F1239-F1239</f>
        <v>500000</v>
      </c>
      <c r="L1239" s="45">
        <f>Учет!I1239</f>
        <v>349526.07999999996</v>
      </c>
    </row>
    <row r="1240" spans="1:12" x14ac:dyDescent="0.25">
      <c r="A1240" s="48" t="str">
        <f>IF(Учет!A1240&lt;&gt;"",Учет!A1240,"")</f>
        <v/>
      </c>
      <c r="B1240" s="52">
        <f>IF(Учет!$O1240=Справочники!$F$2,Учет!$H1240,0)</f>
        <v>0</v>
      </c>
      <c r="C1240" s="52">
        <f>IF(Учет!$O1240=Справочники!$F$3,Учет!$H1240,0)</f>
        <v>0</v>
      </c>
      <c r="D1240" s="52">
        <f>IF(Учет!$O1240=Справочники!$F$4,Учет!$H1240,0)</f>
        <v>0</v>
      </c>
      <c r="E1240" s="52">
        <f>IF(Учет!$O1240=Справочники!$F$5,Учет!$H1240,0)</f>
        <v>0</v>
      </c>
      <c r="F1240" s="52">
        <f>IF(Учет!$O1240=Справочники!$F$6,Учет!$H1240,0)</f>
        <v>0</v>
      </c>
      <c r="G1240" s="43">
        <f>G1239+Учет!B1240-B1240</f>
        <v>-488978.92000000004</v>
      </c>
      <c r="H1240" s="43">
        <f>H1239+Учет!C1240-C1240</f>
        <v>336855</v>
      </c>
      <c r="I1240" s="43">
        <f>I1239+Учет!D1240-D1240</f>
        <v>500</v>
      </c>
      <c r="J1240" s="43">
        <f>J1239+Учет!E1240-E1240</f>
        <v>1150</v>
      </c>
      <c r="K1240" s="43">
        <f>K1239+Учет!F1240-F1240</f>
        <v>500000</v>
      </c>
      <c r="L1240" s="45">
        <f>Учет!I1240</f>
        <v>349526.07999999996</v>
      </c>
    </row>
    <row r="1241" spans="1:12" x14ac:dyDescent="0.25">
      <c r="A1241" s="48" t="str">
        <f>IF(Учет!A1241&lt;&gt;"",Учет!A1241,"")</f>
        <v/>
      </c>
      <c r="B1241" s="52">
        <f>IF(Учет!$O1241=Справочники!$F$2,Учет!$H1241,0)</f>
        <v>0</v>
      </c>
      <c r="C1241" s="52">
        <f>IF(Учет!$O1241=Справочники!$F$3,Учет!$H1241,0)</f>
        <v>0</v>
      </c>
      <c r="D1241" s="52">
        <f>IF(Учет!$O1241=Справочники!$F$4,Учет!$H1241,0)</f>
        <v>0</v>
      </c>
      <c r="E1241" s="52">
        <f>IF(Учет!$O1241=Справочники!$F$5,Учет!$H1241,0)</f>
        <v>0</v>
      </c>
      <c r="F1241" s="52">
        <f>IF(Учет!$O1241=Справочники!$F$6,Учет!$H1241,0)</f>
        <v>0</v>
      </c>
      <c r="G1241" s="43">
        <f>G1240+Учет!B1241-B1241</f>
        <v>-488978.92000000004</v>
      </c>
      <c r="H1241" s="43">
        <f>H1240+Учет!C1241-C1241</f>
        <v>336855</v>
      </c>
      <c r="I1241" s="43">
        <f>I1240+Учет!D1241-D1241</f>
        <v>500</v>
      </c>
      <c r="J1241" s="43">
        <f>J1240+Учет!E1241-E1241</f>
        <v>1150</v>
      </c>
      <c r="K1241" s="43">
        <f>K1240+Учет!F1241-F1241</f>
        <v>500000</v>
      </c>
      <c r="L1241" s="45">
        <f>Учет!I1241</f>
        <v>349526.07999999996</v>
      </c>
    </row>
    <row r="1242" spans="1:12" x14ac:dyDescent="0.25">
      <c r="A1242" s="48" t="str">
        <f>IF(Учет!A1242&lt;&gt;"",Учет!A1242,"")</f>
        <v/>
      </c>
      <c r="B1242" s="52">
        <f>IF(Учет!$O1242=Справочники!$F$2,Учет!$H1242,0)</f>
        <v>0</v>
      </c>
      <c r="C1242" s="52">
        <f>IF(Учет!$O1242=Справочники!$F$3,Учет!$H1242,0)</f>
        <v>0</v>
      </c>
      <c r="D1242" s="52">
        <f>IF(Учет!$O1242=Справочники!$F$4,Учет!$H1242,0)</f>
        <v>0</v>
      </c>
      <c r="E1242" s="52">
        <f>IF(Учет!$O1242=Справочники!$F$5,Учет!$H1242,0)</f>
        <v>0</v>
      </c>
      <c r="F1242" s="52">
        <f>IF(Учет!$O1242=Справочники!$F$6,Учет!$H1242,0)</f>
        <v>0</v>
      </c>
      <c r="G1242" s="43">
        <f>G1241+Учет!B1242-B1242</f>
        <v>-488978.92000000004</v>
      </c>
      <c r="H1242" s="43">
        <f>H1241+Учет!C1242-C1242</f>
        <v>336855</v>
      </c>
      <c r="I1242" s="43">
        <f>I1241+Учет!D1242-D1242</f>
        <v>500</v>
      </c>
      <c r="J1242" s="43">
        <f>J1241+Учет!E1242-E1242</f>
        <v>1150</v>
      </c>
      <c r="K1242" s="43">
        <f>K1241+Учет!F1242-F1242</f>
        <v>500000</v>
      </c>
      <c r="L1242" s="45">
        <f>Учет!I1242</f>
        <v>349526.07999999996</v>
      </c>
    </row>
    <row r="1243" spans="1:12" x14ac:dyDescent="0.25">
      <c r="A1243" s="48" t="str">
        <f>IF(Учет!A1243&lt;&gt;"",Учет!A1243,"")</f>
        <v/>
      </c>
      <c r="B1243" s="52">
        <f>IF(Учет!$O1243=Справочники!$F$2,Учет!$H1243,0)</f>
        <v>0</v>
      </c>
      <c r="C1243" s="52">
        <f>IF(Учет!$O1243=Справочники!$F$3,Учет!$H1243,0)</f>
        <v>0</v>
      </c>
      <c r="D1243" s="52">
        <f>IF(Учет!$O1243=Справочники!$F$4,Учет!$H1243,0)</f>
        <v>0</v>
      </c>
      <c r="E1243" s="52">
        <f>IF(Учет!$O1243=Справочники!$F$5,Учет!$H1243,0)</f>
        <v>0</v>
      </c>
      <c r="F1243" s="52">
        <f>IF(Учет!$O1243=Справочники!$F$6,Учет!$H1243,0)</f>
        <v>0</v>
      </c>
      <c r="G1243" s="43">
        <f>G1242+Учет!B1243-B1243</f>
        <v>-488978.92000000004</v>
      </c>
      <c r="H1243" s="43">
        <f>H1242+Учет!C1243-C1243</f>
        <v>336855</v>
      </c>
      <c r="I1243" s="43">
        <f>I1242+Учет!D1243-D1243</f>
        <v>500</v>
      </c>
      <c r="J1243" s="43">
        <f>J1242+Учет!E1243-E1243</f>
        <v>1150</v>
      </c>
      <c r="K1243" s="43">
        <f>K1242+Учет!F1243-F1243</f>
        <v>500000</v>
      </c>
      <c r="L1243" s="45">
        <f>Учет!I1243</f>
        <v>349526.07999999996</v>
      </c>
    </row>
    <row r="1244" spans="1:12" x14ac:dyDescent="0.25">
      <c r="A1244" s="48" t="str">
        <f>IF(Учет!A1244&lt;&gt;"",Учет!A1244,"")</f>
        <v/>
      </c>
      <c r="B1244" s="52">
        <f>IF(Учет!$O1244=Справочники!$F$2,Учет!$H1244,0)</f>
        <v>0</v>
      </c>
      <c r="C1244" s="52">
        <f>IF(Учет!$O1244=Справочники!$F$3,Учет!$H1244,0)</f>
        <v>0</v>
      </c>
      <c r="D1244" s="52">
        <f>IF(Учет!$O1244=Справочники!$F$4,Учет!$H1244,0)</f>
        <v>0</v>
      </c>
      <c r="E1244" s="52">
        <f>IF(Учет!$O1244=Справочники!$F$5,Учет!$H1244,0)</f>
        <v>0</v>
      </c>
      <c r="F1244" s="52">
        <f>IF(Учет!$O1244=Справочники!$F$6,Учет!$H1244,0)</f>
        <v>0</v>
      </c>
      <c r="G1244" s="43">
        <f>G1243+Учет!B1244-B1244</f>
        <v>-488978.92000000004</v>
      </c>
      <c r="H1244" s="43">
        <f>H1243+Учет!C1244-C1244</f>
        <v>336855</v>
      </c>
      <c r="I1244" s="43">
        <f>I1243+Учет!D1244-D1244</f>
        <v>500</v>
      </c>
      <c r="J1244" s="43">
        <f>J1243+Учет!E1244-E1244</f>
        <v>1150</v>
      </c>
      <c r="K1244" s="43">
        <f>K1243+Учет!F1244-F1244</f>
        <v>500000</v>
      </c>
      <c r="L1244" s="45">
        <f>Учет!I1244</f>
        <v>349526.07999999996</v>
      </c>
    </row>
    <row r="1245" spans="1:12" x14ac:dyDescent="0.25">
      <c r="A1245" s="48" t="str">
        <f>IF(Учет!A1245&lt;&gt;"",Учет!A1245,"")</f>
        <v/>
      </c>
      <c r="B1245" s="52">
        <f>IF(Учет!$O1245=Справочники!$F$2,Учет!$H1245,0)</f>
        <v>0</v>
      </c>
      <c r="C1245" s="52">
        <f>IF(Учет!$O1245=Справочники!$F$3,Учет!$H1245,0)</f>
        <v>0</v>
      </c>
      <c r="D1245" s="52">
        <f>IF(Учет!$O1245=Справочники!$F$4,Учет!$H1245,0)</f>
        <v>0</v>
      </c>
      <c r="E1245" s="52">
        <f>IF(Учет!$O1245=Справочники!$F$5,Учет!$H1245,0)</f>
        <v>0</v>
      </c>
      <c r="F1245" s="52">
        <f>IF(Учет!$O1245=Справочники!$F$6,Учет!$H1245,0)</f>
        <v>0</v>
      </c>
      <c r="G1245" s="43">
        <f>G1244+Учет!B1245-B1245</f>
        <v>-488978.92000000004</v>
      </c>
      <c r="H1245" s="43">
        <f>H1244+Учет!C1245-C1245</f>
        <v>336855</v>
      </c>
      <c r="I1245" s="43">
        <f>I1244+Учет!D1245-D1245</f>
        <v>500</v>
      </c>
      <c r="J1245" s="43">
        <f>J1244+Учет!E1245-E1245</f>
        <v>1150</v>
      </c>
      <c r="K1245" s="43">
        <f>K1244+Учет!F1245-F1245</f>
        <v>500000</v>
      </c>
      <c r="L1245" s="45">
        <f>Учет!I1245</f>
        <v>349526.07999999996</v>
      </c>
    </row>
    <row r="1246" spans="1:12" x14ac:dyDescent="0.25">
      <c r="A1246" s="48" t="str">
        <f>IF(Учет!A1246&lt;&gt;"",Учет!A1246,"")</f>
        <v/>
      </c>
      <c r="B1246" s="52">
        <f>IF(Учет!$O1246=Справочники!$F$2,Учет!$H1246,0)</f>
        <v>0</v>
      </c>
      <c r="C1246" s="52">
        <f>IF(Учет!$O1246=Справочники!$F$3,Учет!$H1246,0)</f>
        <v>0</v>
      </c>
      <c r="D1246" s="52">
        <f>IF(Учет!$O1246=Справочники!$F$4,Учет!$H1246,0)</f>
        <v>0</v>
      </c>
      <c r="E1246" s="52">
        <f>IF(Учет!$O1246=Справочники!$F$5,Учет!$H1246,0)</f>
        <v>0</v>
      </c>
      <c r="F1246" s="52">
        <f>IF(Учет!$O1246=Справочники!$F$6,Учет!$H1246,0)</f>
        <v>0</v>
      </c>
      <c r="G1246" s="43">
        <f>G1245+Учет!B1246-B1246</f>
        <v>-488978.92000000004</v>
      </c>
      <c r="H1246" s="43">
        <f>H1245+Учет!C1246-C1246</f>
        <v>336855</v>
      </c>
      <c r="I1246" s="43">
        <f>I1245+Учет!D1246-D1246</f>
        <v>500</v>
      </c>
      <c r="J1246" s="43">
        <f>J1245+Учет!E1246-E1246</f>
        <v>1150</v>
      </c>
      <c r="K1246" s="43">
        <f>K1245+Учет!F1246-F1246</f>
        <v>500000</v>
      </c>
      <c r="L1246" s="45">
        <f>Учет!I1246</f>
        <v>349526.07999999996</v>
      </c>
    </row>
    <row r="1247" spans="1:12" x14ac:dyDescent="0.25">
      <c r="A1247" s="48" t="str">
        <f>IF(Учет!A1247&lt;&gt;"",Учет!A1247,"")</f>
        <v/>
      </c>
      <c r="B1247" s="52">
        <f>IF(Учет!$O1247=Справочники!$F$2,Учет!$H1247,0)</f>
        <v>0</v>
      </c>
      <c r="C1247" s="52">
        <f>IF(Учет!$O1247=Справочники!$F$3,Учет!$H1247,0)</f>
        <v>0</v>
      </c>
      <c r="D1247" s="52">
        <f>IF(Учет!$O1247=Справочники!$F$4,Учет!$H1247,0)</f>
        <v>0</v>
      </c>
      <c r="E1247" s="52">
        <f>IF(Учет!$O1247=Справочники!$F$5,Учет!$H1247,0)</f>
        <v>0</v>
      </c>
      <c r="F1247" s="52">
        <f>IF(Учет!$O1247=Справочники!$F$6,Учет!$H1247,0)</f>
        <v>0</v>
      </c>
      <c r="G1247" s="43">
        <f>G1246+Учет!B1247-B1247</f>
        <v>-488978.92000000004</v>
      </c>
      <c r="H1247" s="43">
        <f>H1246+Учет!C1247-C1247</f>
        <v>336855</v>
      </c>
      <c r="I1247" s="43">
        <f>I1246+Учет!D1247-D1247</f>
        <v>500</v>
      </c>
      <c r="J1247" s="43">
        <f>J1246+Учет!E1247-E1247</f>
        <v>1150</v>
      </c>
      <c r="K1247" s="43">
        <f>K1246+Учет!F1247-F1247</f>
        <v>500000</v>
      </c>
      <c r="L1247" s="45">
        <f>Учет!I1247</f>
        <v>349526.07999999996</v>
      </c>
    </row>
    <row r="1248" spans="1:12" x14ac:dyDescent="0.25">
      <c r="A1248" s="48" t="str">
        <f>IF(Учет!A1248&lt;&gt;"",Учет!A1248,"")</f>
        <v/>
      </c>
      <c r="B1248" s="52">
        <f>IF(Учет!$O1248=Справочники!$F$2,Учет!$H1248,0)</f>
        <v>0</v>
      </c>
      <c r="C1248" s="52">
        <f>IF(Учет!$O1248=Справочники!$F$3,Учет!$H1248,0)</f>
        <v>0</v>
      </c>
      <c r="D1248" s="52">
        <f>IF(Учет!$O1248=Справочники!$F$4,Учет!$H1248,0)</f>
        <v>0</v>
      </c>
      <c r="E1248" s="52">
        <f>IF(Учет!$O1248=Справочники!$F$5,Учет!$H1248,0)</f>
        <v>0</v>
      </c>
      <c r="F1248" s="52">
        <f>IF(Учет!$O1248=Справочники!$F$6,Учет!$H1248,0)</f>
        <v>0</v>
      </c>
      <c r="G1248" s="43">
        <f>G1247+Учет!B1248-B1248</f>
        <v>-488978.92000000004</v>
      </c>
      <c r="H1248" s="43">
        <f>H1247+Учет!C1248-C1248</f>
        <v>336855</v>
      </c>
      <c r="I1248" s="43">
        <f>I1247+Учет!D1248-D1248</f>
        <v>500</v>
      </c>
      <c r="J1248" s="43">
        <f>J1247+Учет!E1248-E1248</f>
        <v>1150</v>
      </c>
      <c r="K1248" s="43">
        <f>K1247+Учет!F1248-F1248</f>
        <v>500000</v>
      </c>
      <c r="L1248" s="45">
        <f>Учет!I1248</f>
        <v>349526.07999999996</v>
      </c>
    </row>
    <row r="1249" spans="1:12" x14ac:dyDescent="0.25">
      <c r="A1249" s="48" t="str">
        <f>IF(Учет!A1249&lt;&gt;"",Учет!A1249,"")</f>
        <v/>
      </c>
      <c r="B1249" s="52">
        <f>IF(Учет!$O1249=Справочники!$F$2,Учет!$H1249,0)</f>
        <v>0</v>
      </c>
      <c r="C1249" s="52">
        <f>IF(Учет!$O1249=Справочники!$F$3,Учет!$H1249,0)</f>
        <v>0</v>
      </c>
      <c r="D1249" s="52">
        <f>IF(Учет!$O1249=Справочники!$F$4,Учет!$H1249,0)</f>
        <v>0</v>
      </c>
      <c r="E1249" s="52">
        <f>IF(Учет!$O1249=Справочники!$F$5,Учет!$H1249,0)</f>
        <v>0</v>
      </c>
      <c r="F1249" s="52">
        <f>IF(Учет!$O1249=Справочники!$F$6,Учет!$H1249,0)</f>
        <v>0</v>
      </c>
      <c r="G1249" s="43">
        <f>G1248+Учет!B1249-B1249</f>
        <v>-488978.92000000004</v>
      </c>
      <c r="H1249" s="43">
        <f>H1248+Учет!C1249-C1249</f>
        <v>336855</v>
      </c>
      <c r="I1249" s="43">
        <f>I1248+Учет!D1249-D1249</f>
        <v>500</v>
      </c>
      <c r="J1249" s="43">
        <f>J1248+Учет!E1249-E1249</f>
        <v>1150</v>
      </c>
      <c r="K1249" s="43">
        <f>K1248+Учет!F1249-F1249</f>
        <v>500000</v>
      </c>
      <c r="L1249" s="45">
        <f>Учет!I1249</f>
        <v>349526.07999999996</v>
      </c>
    </row>
    <row r="1250" spans="1:12" x14ac:dyDescent="0.25">
      <c r="A1250" s="48" t="str">
        <f>IF(Учет!A1250&lt;&gt;"",Учет!A1250,"")</f>
        <v/>
      </c>
      <c r="B1250" s="52">
        <f>IF(Учет!$O1250=Справочники!$F$2,Учет!$H1250,0)</f>
        <v>0</v>
      </c>
      <c r="C1250" s="52">
        <f>IF(Учет!$O1250=Справочники!$F$3,Учет!$H1250,0)</f>
        <v>0</v>
      </c>
      <c r="D1250" s="52">
        <f>IF(Учет!$O1250=Справочники!$F$4,Учет!$H1250,0)</f>
        <v>0</v>
      </c>
      <c r="E1250" s="52">
        <f>IF(Учет!$O1250=Справочники!$F$5,Учет!$H1250,0)</f>
        <v>0</v>
      </c>
      <c r="F1250" s="52">
        <f>IF(Учет!$O1250=Справочники!$F$6,Учет!$H1250,0)</f>
        <v>0</v>
      </c>
      <c r="G1250" s="43">
        <f>G1249+Учет!B1250-B1250</f>
        <v>-488978.92000000004</v>
      </c>
      <c r="H1250" s="43">
        <f>H1249+Учет!C1250-C1250</f>
        <v>336855</v>
      </c>
      <c r="I1250" s="43">
        <f>I1249+Учет!D1250-D1250</f>
        <v>500</v>
      </c>
      <c r="J1250" s="43">
        <f>J1249+Учет!E1250-E1250</f>
        <v>1150</v>
      </c>
      <c r="K1250" s="43">
        <f>K1249+Учет!F1250-F1250</f>
        <v>500000</v>
      </c>
      <c r="L1250" s="45">
        <f>Учет!I1250</f>
        <v>349526.07999999996</v>
      </c>
    </row>
    <row r="1251" spans="1:12" x14ac:dyDescent="0.25">
      <c r="A1251" s="48" t="str">
        <f>IF(Учет!A1251&lt;&gt;"",Учет!A1251,"")</f>
        <v/>
      </c>
      <c r="B1251" s="52">
        <f>IF(Учет!$O1251=Справочники!$F$2,Учет!$H1251,0)</f>
        <v>0</v>
      </c>
      <c r="C1251" s="52">
        <f>IF(Учет!$O1251=Справочники!$F$3,Учет!$H1251,0)</f>
        <v>0</v>
      </c>
      <c r="D1251" s="52">
        <f>IF(Учет!$O1251=Справочники!$F$4,Учет!$H1251,0)</f>
        <v>0</v>
      </c>
      <c r="E1251" s="52">
        <f>IF(Учет!$O1251=Справочники!$F$5,Учет!$H1251,0)</f>
        <v>0</v>
      </c>
      <c r="F1251" s="52">
        <f>IF(Учет!$O1251=Справочники!$F$6,Учет!$H1251,0)</f>
        <v>0</v>
      </c>
      <c r="G1251" s="43">
        <f>G1250+Учет!B1251-B1251</f>
        <v>-488978.92000000004</v>
      </c>
      <c r="H1251" s="43">
        <f>H1250+Учет!C1251-C1251</f>
        <v>336855</v>
      </c>
      <c r="I1251" s="43">
        <f>I1250+Учет!D1251-D1251</f>
        <v>500</v>
      </c>
      <c r="J1251" s="43">
        <f>J1250+Учет!E1251-E1251</f>
        <v>1150</v>
      </c>
      <c r="K1251" s="43">
        <f>K1250+Учет!F1251-F1251</f>
        <v>500000</v>
      </c>
      <c r="L1251" s="45">
        <f>Учет!I1251</f>
        <v>349526.07999999996</v>
      </c>
    </row>
    <row r="1252" spans="1:12" x14ac:dyDescent="0.25">
      <c r="A1252" s="48" t="str">
        <f>IF(Учет!A1252&lt;&gt;"",Учет!A1252,"")</f>
        <v/>
      </c>
      <c r="B1252" s="52">
        <f>IF(Учет!$O1252=Справочники!$F$2,Учет!$H1252,0)</f>
        <v>0</v>
      </c>
      <c r="C1252" s="52">
        <f>IF(Учет!$O1252=Справочники!$F$3,Учет!$H1252,0)</f>
        <v>0</v>
      </c>
      <c r="D1252" s="52">
        <f>IF(Учет!$O1252=Справочники!$F$4,Учет!$H1252,0)</f>
        <v>0</v>
      </c>
      <c r="E1252" s="52">
        <f>IF(Учет!$O1252=Справочники!$F$5,Учет!$H1252,0)</f>
        <v>0</v>
      </c>
      <c r="F1252" s="52">
        <f>IF(Учет!$O1252=Справочники!$F$6,Учет!$H1252,0)</f>
        <v>0</v>
      </c>
      <c r="G1252" s="43">
        <f>G1251+Учет!B1252-B1252</f>
        <v>-488978.92000000004</v>
      </c>
      <c r="H1252" s="43">
        <f>H1251+Учет!C1252-C1252</f>
        <v>336855</v>
      </c>
      <c r="I1252" s="43">
        <f>I1251+Учет!D1252-D1252</f>
        <v>500</v>
      </c>
      <c r="J1252" s="43">
        <f>J1251+Учет!E1252-E1252</f>
        <v>1150</v>
      </c>
      <c r="K1252" s="43">
        <f>K1251+Учет!F1252-F1252</f>
        <v>500000</v>
      </c>
      <c r="L1252" s="45">
        <f>Учет!I1252</f>
        <v>349526.07999999996</v>
      </c>
    </row>
    <row r="1253" spans="1:12" x14ac:dyDescent="0.25">
      <c r="A1253" s="48" t="str">
        <f>IF(Учет!A1253&lt;&gt;"",Учет!A1253,"")</f>
        <v/>
      </c>
      <c r="B1253" s="52">
        <f>IF(Учет!$O1253=Справочники!$F$2,Учет!$H1253,0)</f>
        <v>0</v>
      </c>
      <c r="C1253" s="52">
        <f>IF(Учет!$O1253=Справочники!$F$3,Учет!$H1253,0)</f>
        <v>0</v>
      </c>
      <c r="D1253" s="52">
        <f>IF(Учет!$O1253=Справочники!$F$4,Учет!$H1253,0)</f>
        <v>0</v>
      </c>
      <c r="E1253" s="52">
        <f>IF(Учет!$O1253=Справочники!$F$5,Учет!$H1253,0)</f>
        <v>0</v>
      </c>
      <c r="F1253" s="52">
        <f>IF(Учет!$O1253=Справочники!$F$6,Учет!$H1253,0)</f>
        <v>0</v>
      </c>
      <c r="G1253" s="43">
        <f>G1252+Учет!B1253-B1253</f>
        <v>-488978.92000000004</v>
      </c>
      <c r="H1253" s="43">
        <f>H1252+Учет!C1253-C1253</f>
        <v>336855</v>
      </c>
      <c r="I1253" s="43">
        <f>I1252+Учет!D1253-D1253</f>
        <v>500</v>
      </c>
      <c r="J1253" s="43">
        <f>J1252+Учет!E1253-E1253</f>
        <v>1150</v>
      </c>
      <c r="K1253" s="43">
        <f>K1252+Учет!F1253-F1253</f>
        <v>500000</v>
      </c>
      <c r="L1253" s="45">
        <f>Учет!I1253</f>
        <v>349526.07999999996</v>
      </c>
    </row>
    <row r="1254" spans="1:12" x14ac:dyDescent="0.25">
      <c r="A1254" s="48" t="str">
        <f>IF(Учет!A1254&lt;&gt;"",Учет!A1254,"")</f>
        <v/>
      </c>
      <c r="B1254" s="52">
        <f>IF(Учет!$O1254=Справочники!$F$2,Учет!$H1254,0)</f>
        <v>0</v>
      </c>
      <c r="C1254" s="52">
        <f>IF(Учет!$O1254=Справочники!$F$3,Учет!$H1254,0)</f>
        <v>0</v>
      </c>
      <c r="D1254" s="52">
        <f>IF(Учет!$O1254=Справочники!$F$4,Учет!$H1254,0)</f>
        <v>0</v>
      </c>
      <c r="E1254" s="52">
        <f>IF(Учет!$O1254=Справочники!$F$5,Учет!$H1254,0)</f>
        <v>0</v>
      </c>
      <c r="F1254" s="52">
        <f>IF(Учет!$O1254=Справочники!$F$6,Учет!$H1254,0)</f>
        <v>0</v>
      </c>
      <c r="G1254" s="43">
        <f>G1253+Учет!B1254-B1254</f>
        <v>-488978.92000000004</v>
      </c>
      <c r="H1254" s="43">
        <f>H1253+Учет!C1254-C1254</f>
        <v>336855</v>
      </c>
      <c r="I1254" s="43">
        <f>I1253+Учет!D1254-D1254</f>
        <v>500</v>
      </c>
      <c r="J1254" s="43">
        <f>J1253+Учет!E1254-E1254</f>
        <v>1150</v>
      </c>
      <c r="K1254" s="43">
        <f>K1253+Учет!F1254-F1254</f>
        <v>500000</v>
      </c>
      <c r="L1254" s="45">
        <f>Учет!I1254</f>
        <v>349526.07999999996</v>
      </c>
    </row>
    <row r="1255" spans="1:12" x14ac:dyDescent="0.25">
      <c r="A1255" s="48" t="str">
        <f>IF(Учет!A1255&lt;&gt;"",Учет!A1255,"")</f>
        <v/>
      </c>
      <c r="B1255" s="52">
        <f>IF(Учет!$O1255=Справочники!$F$2,Учет!$H1255,0)</f>
        <v>0</v>
      </c>
      <c r="C1255" s="52">
        <f>IF(Учет!$O1255=Справочники!$F$3,Учет!$H1255,0)</f>
        <v>0</v>
      </c>
      <c r="D1255" s="52">
        <f>IF(Учет!$O1255=Справочники!$F$4,Учет!$H1255,0)</f>
        <v>0</v>
      </c>
      <c r="E1255" s="52">
        <f>IF(Учет!$O1255=Справочники!$F$5,Учет!$H1255,0)</f>
        <v>0</v>
      </c>
      <c r="F1255" s="52">
        <f>IF(Учет!$O1255=Справочники!$F$6,Учет!$H1255,0)</f>
        <v>0</v>
      </c>
      <c r="G1255" s="43">
        <f>G1254+Учет!B1255-B1255</f>
        <v>-488978.92000000004</v>
      </c>
      <c r="H1255" s="43">
        <f>H1254+Учет!C1255-C1255</f>
        <v>336855</v>
      </c>
      <c r="I1255" s="43">
        <f>I1254+Учет!D1255-D1255</f>
        <v>500</v>
      </c>
      <c r="J1255" s="43">
        <f>J1254+Учет!E1255-E1255</f>
        <v>1150</v>
      </c>
      <c r="K1255" s="43">
        <f>K1254+Учет!F1255-F1255</f>
        <v>500000</v>
      </c>
      <c r="L1255" s="45">
        <f>Учет!I1255</f>
        <v>349526.07999999996</v>
      </c>
    </row>
    <row r="1256" spans="1:12" x14ac:dyDescent="0.25">
      <c r="A1256" s="48" t="str">
        <f>IF(Учет!A1256&lt;&gt;"",Учет!A1256,"")</f>
        <v/>
      </c>
      <c r="B1256" s="52">
        <f>IF(Учет!$O1256=Справочники!$F$2,Учет!$H1256,0)</f>
        <v>0</v>
      </c>
      <c r="C1256" s="52">
        <f>IF(Учет!$O1256=Справочники!$F$3,Учет!$H1256,0)</f>
        <v>0</v>
      </c>
      <c r="D1256" s="52">
        <f>IF(Учет!$O1256=Справочники!$F$4,Учет!$H1256,0)</f>
        <v>0</v>
      </c>
      <c r="E1256" s="52">
        <f>IF(Учет!$O1256=Справочники!$F$5,Учет!$H1256,0)</f>
        <v>0</v>
      </c>
      <c r="F1256" s="52">
        <f>IF(Учет!$O1256=Справочники!$F$6,Учет!$H1256,0)</f>
        <v>0</v>
      </c>
      <c r="G1256" s="43">
        <f>G1255+Учет!B1256-B1256</f>
        <v>-488978.92000000004</v>
      </c>
      <c r="H1256" s="43">
        <f>H1255+Учет!C1256-C1256</f>
        <v>336855</v>
      </c>
      <c r="I1256" s="43">
        <f>I1255+Учет!D1256-D1256</f>
        <v>500</v>
      </c>
      <c r="J1256" s="43">
        <f>J1255+Учет!E1256-E1256</f>
        <v>1150</v>
      </c>
      <c r="K1256" s="43">
        <f>K1255+Учет!F1256-F1256</f>
        <v>500000</v>
      </c>
      <c r="L1256" s="45">
        <f>Учет!I1256</f>
        <v>349526.07999999996</v>
      </c>
    </row>
    <row r="1257" spans="1:12" x14ac:dyDescent="0.25">
      <c r="A1257" s="48" t="str">
        <f>IF(Учет!A1257&lt;&gt;"",Учет!A1257,"")</f>
        <v/>
      </c>
      <c r="B1257" s="52">
        <f>IF(Учет!$O1257=Справочники!$F$2,Учет!$H1257,0)</f>
        <v>0</v>
      </c>
      <c r="C1257" s="52">
        <f>IF(Учет!$O1257=Справочники!$F$3,Учет!$H1257,0)</f>
        <v>0</v>
      </c>
      <c r="D1257" s="52">
        <f>IF(Учет!$O1257=Справочники!$F$4,Учет!$H1257,0)</f>
        <v>0</v>
      </c>
      <c r="E1257" s="52">
        <f>IF(Учет!$O1257=Справочники!$F$5,Учет!$H1257,0)</f>
        <v>0</v>
      </c>
      <c r="F1257" s="52">
        <f>IF(Учет!$O1257=Справочники!$F$6,Учет!$H1257,0)</f>
        <v>0</v>
      </c>
      <c r="G1257" s="43">
        <f>G1256+Учет!B1257-B1257</f>
        <v>-488978.92000000004</v>
      </c>
      <c r="H1257" s="43">
        <f>H1256+Учет!C1257-C1257</f>
        <v>336855</v>
      </c>
      <c r="I1257" s="43">
        <f>I1256+Учет!D1257-D1257</f>
        <v>500</v>
      </c>
      <c r="J1257" s="43">
        <f>J1256+Учет!E1257-E1257</f>
        <v>1150</v>
      </c>
      <c r="K1257" s="43">
        <f>K1256+Учет!F1257-F1257</f>
        <v>500000</v>
      </c>
      <c r="L1257" s="45">
        <f>Учет!I1257</f>
        <v>349526.07999999996</v>
      </c>
    </row>
    <row r="1258" spans="1:12" x14ac:dyDescent="0.25">
      <c r="A1258" s="48" t="str">
        <f>IF(Учет!A1258&lt;&gt;"",Учет!A1258,"")</f>
        <v/>
      </c>
      <c r="B1258" s="52">
        <f>IF(Учет!$O1258=Справочники!$F$2,Учет!$H1258,0)</f>
        <v>0</v>
      </c>
      <c r="C1258" s="52">
        <f>IF(Учет!$O1258=Справочники!$F$3,Учет!$H1258,0)</f>
        <v>0</v>
      </c>
      <c r="D1258" s="52">
        <f>IF(Учет!$O1258=Справочники!$F$4,Учет!$H1258,0)</f>
        <v>0</v>
      </c>
      <c r="E1258" s="52">
        <f>IF(Учет!$O1258=Справочники!$F$5,Учет!$H1258,0)</f>
        <v>0</v>
      </c>
      <c r="F1258" s="52">
        <f>IF(Учет!$O1258=Справочники!$F$6,Учет!$H1258,0)</f>
        <v>0</v>
      </c>
      <c r="G1258" s="43">
        <f>G1257+Учет!B1258-B1258</f>
        <v>-488978.92000000004</v>
      </c>
      <c r="H1258" s="43">
        <f>H1257+Учет!C1258-C1258</f>
        <v>336855</v>
      </c>
      <c r="I1258" s="43">
        <f>I1257+Учет!D1258-D1258</f>
        <v>500</v>
      </c>
      <c r="J1258" s="43">
        <f>J1257+Учет!E1258-E1258</f>
        <v>1150</v>
      </c>
      <c r="K1258" s="43">
        <f>K1257+Учет!F1258-F1258</f>
        <v>500000</v>
      </c>
      <c r="L1258" s="45">
        <f>Учет!I1258</f>
        <v>349526.07999999996</v>
      </c>
    </row>
    <row r="1259" spans="1:12" x14ac:dyDescent="0.25">
      <c r="A1259" s="48" t="str">
        <f>IF(Учет!A1259&lt;&gt;"",Учет!A1259,"")</f>
        <v/>
      </c>
      <c r="B1259" s="52">
        <f>IF(Учет!$O1259=Справочники!$F$2,Учет!$H1259,0)</f>
        <v>0</v>
      </c>
      <c r="C1259" s="52">
        <f>IF(Учет!$O1259=Справочники!$F$3,Учет!$H1259,0)</f>
        <v>0</v>
      </c>
      <c r="D1259" s="52">
        <f>IF(Учет!$O1259=Справочники!$F$4,Учет!$H1259,0)</f>
        <v>0</v>
      </c>
      <c r="E1259" s="52">
        <f>IF(Учет!$O1259=Справочники!$F$5,Учет!$H1259,0)</f>
        <v>0</v>
      </c>
      <c r="F1259" s="52">
        <f>IF(Учет!$O1259=Справочники!$F$6,Учет!$H1259,0)</f>
        <v>0</v>
      </c>
      <c r="G1259" s="43">
        <f>G1258+Учет!B1259-B1259</f>
        <v>-488978.92000000004</v>
      </c>
      <c r="H1259" s="43">
        <f>H1258+Учет!C1259-C1259</f>
        <v>336855</v>
      </c>
      <c r="I1259" s="43">
        <f>I1258+Учет!D1259-D1259</f>
        <v>500</v>
      </c>
      <c r="J1259" s="43">
        <f>J1258+Учет!E1259-E1259</f>
        <v>1150</v>
      </c>
      <c r="K1259" s="43">
        <f>K1258+Учет!F1259-F1259</f>
        <v>500000</v>
      </c>
      <c r="L1259" s="45">
        <f>Учет!I1259</f>
        <v>349526.07999999996</v>
      </c>
    </row>
    <row r="1260" spans="1:12" x14ac:dyDescent="0.25">
      <c r="A1260" s="48" t="str">
        <f>IF(Учет!A1260&lt;&gt;"",Учет!A1260,"")</f>
        <v/>
      </c>
      <c r="B1260" s="52">
        <f>IF(Учет!$O1260=Справочники!$F$2,Учет!$H1260,0)</f>
        <v>0</v>
      </c>
      <c r="C1260" s="52">
        <f>IF(Учет!$O1260=Справочники!$F$3,Учет!$H1260,0)</f>
        <v>0</v>
      </c>
      <c r="D1260" s="52">
        <f>IF(Учет!$O1260=Справочники!$F$4,Учет!$H1260,0)</f>
        <v>0</v>
      </c>
      <c r="E1260" s="52">
        <f>IF(Учет!$O1260=Справочники!$F$5,Учет!$H1260,0)</f>
        <v>0</v>
      </c>
      <c r="F1260" s="52">
        <f>IF(Учет!$O1260=Справочники!$F$6,Учет!$H1260,0)</f>
        <v>0</v>
      </c>
      <c r="G1260" s="43">
        <f>G1259+Учет!B1260-B1260</f>
        <v>-488978.92000000004</v>
      </c>
      <c r="H1260" s="43">
        <f>H1259+Учет!C1260-C1260</f>
        <v>336855</v>
      </c>
      <c r="I1260" s="43">
        <f>I1259+Учет!D1260-D1260</f>
        <v>500</v>
      </c>
      <c r="J1260" s="43">
        <f>J1259+Учет!E1260-E1260</f>
        <v>1150</v>
      </c>
      <c r="K1260" s="43">
        <f>K1259+Учет!F1260-F1260</f>
        <v>500000</v>
      </c>
      <c r="L1260" s="45">
        <f>Учет!I1260</f>
        <v>349526.07999999996</v>
      </c>
    </row>
    <row r="1261" spans="1:12" x14ac:dyDescent="0.25">
      <c r="A1261" s="48" t="str">
        <f>IF(Учет!A1261&lt;&gt;"",Учет!A1261,"")</f>
        <v/>
      </c>
      <c r="B1261" s="52">
        <f>IF(Учет!$O1261=Справочники!$F$2,Учет!$H1261,0)</f>
        <v>0</v>
      </c>
      <c r="C1261" s="52">
        <f>IF(Учет!$O1261=Справочники!$F$3,Учет!$H1261,0)</f>
        <v>0</v>
      </c>
      <c r="D1261" s="52">
        <f>IF(Учет!$O1261=Справочники!$F$4,Учет!$H1261,0)</f>
        <v>0</v>
      </c>
      <c r="E1261" s="52">
        <f>IF(Учет!$O1261=Справочники!$F$5,Учет!$H1261,0)</f>
        <v>0</v>
      </c>
      <c r="F1261" s="52">
        <f>IF(Учет!$O1261=Справочники!$F$6,Учет!$H1261,0)</f>
        <v>0</v>
      </c>
      <c r="G1261" s="43">
        <f>G1260+Учет!B1261-B1261</f>
        <v>-488978.92000000004</v>
      </c>
      <c r="H1261" s="43">
        <f>H1260+Учет!C1261-C1261</f>
        <v>336855</v>
      </c>
      <c r="I1261" s="43">
        <f>I1260+Учет!D1261-D1261</f>
        <v>500</v>
      </c>
      <c r="J1261" s="43">
        <f>J1260+Учет!E1261-E1261</f>
        <v>1150</v>
      </c>
      <c r="K1261" s="43">
        <f>K1260+Учет!F1261-F1261</f>
        <v>500000</v>
      </c>
      <c r="L1261" s="45">
        <f>Учет!I1261</f>
        <v>349526.07999999996</v>
      </c>
    </row>
    <row r="1262" spans="1:12" x14ac:dyDescent="0.25">
      <c r="A1262" s="48" t="str">
        <f>IF(Учет!A1262&lt;&gt;"",Учет!A1262,"")</f>
        <v/>
      </c>
      <c r="B1262" s="52">
        <f>IF(Учет!$O1262=Справочники!$F$2,Учет!$H1262,0)</f>
        <v>0</v>
      </c>
      <c r="C1262" s="52">
        <f>IF(Учет!$O1262=Справочники!$F$3,Учет!$H1262,0)</f>
        <v>0</v>
      </c>
      <c r="D1262" s="52">
        <f>IF(Учет!$O1262=Справочники!$F$4,Учет!$H1262,0)</f>
        <v>0</v>
      </c>
      <c r="E1262" s="52">
        <f>IF(Учет!$O1262=Справочники!$F$5,Учет!$H1262,0)</f>
        <v>0</v>
      </c>
      <c r="F1262" s="52">
        <f>IF(Учет!$O1262=Справочники!$F$6,Учет!$H1262,0)</f>
        <v>0</v>
      </c>
      <c r="G1262" s="43">
        <f>G1261+Учет!B1262-B1262</f>
        <v>-488978.92000000004</v>
      </c>
      <c r="H1262" s="43">
        <f>H1261+Учет!C1262-C1262</f>
        <v>336855</v>
      </c>
      <c r="I1262" s="43">
        <f>I1261+Учет!D1262-D1262</f>
        <v>500</v>
      </c>
      <c r="J1262" s="43">
        <f>J1261+Учет!E1262-E1262</f>
        <v>1150</v>
      </c>
      <c r="K1262" s="43">
        <f>K1261+Учет!F1262-F1262</f>
        <v>500000</v>
      </c>
      <c r="L1262" s="45">
        <f>Учет!I1262</f>
        <v>349526.07999999996</v>
      </c>
    </row>
    <row r="1263" spans="1:12" x14ac:dyDescent="0.25">
      <c r="A1263" s="48" t="str">
        <f>IF(Учет!A1263&lt;&gt;"",Учет!A1263,"")</f>
        <v/>
      </c>
      <c r="B1263" s="52">
        <f>IF(Учет!$O1263=Справочники!$F$2,Учет!$H1263,0)</f>
        <v>0</v>
      </c>
      <c r="C1263" s="52">
        <f>IF(Учет!$O1263=Справочники!$F$3,Учет!$H1263,0)</f>
        <v>0</v>
      </c>
      <c r="D1263" s="52">
        <f>IF(Учет!$O1263=Справочники!$F$4,Учет!$H1263,0)</f>
        <v>0</v>
      </c>
      <c r="E1263" s="52">
        <f>IF(Учет!$O1263=Справочники!$F$5,Учет!$H1263,0)</f>
        <v>0</v>
      </c>
      <c r="F1263" s="52">
        <f>IF(Учет!$O1263=Справочники!$F$6,Учет!$H1263,0)</f>
        <v>0</v>
      </c>
      <c r="G1263" s="43">
        <f>G1262+Учет!B1263-B1263</f>
        <v>-488978.92000000004</v>
      </c>
      <c r="H1263" s="43">
        <f>H1262+Учет!C1263-C1263</f>
        <v>336855</v>
      </c>
      <c r="I1263" s="43">
        <f>I1262+Учет!D1263-D1263</f>
        <v>500</v>
      </c>
      <c r="J1263" s="43">
        <f>J1262+Учет!E1263-E1263</f>
        <v>1150</v>
      </c>
      <c r="K1263" s="43">
        <f>K1262+Учет!F1263-F1263</f>
        <v>500000</v>
      </c>
      <c r="L1263" s="45">
        <f>Учет!I1263</f>
        <v>349526.07999999996</v>
      </c>
    </row>
    <row r="1264" spans="1:12" x14ac:dyDescent="0.25">
      <c r="A1264" s="48" t="str">
        <f>IF(Учет!A1264&lt;&gt;"",Учет!A1264,"")</f>
        <v/>
      </c>
      <c r="B1264" s="52">
        <f>IF(Учет!$O1264=Справочники!$F$2,Учет!$H1264,0)</f>
        <v>0</v>
      </c>
      <c r="C1264" s="52">
        <f>IF(Учет!$O1264=Справочники!$F$3,Учет!$H1264,0)</f>
        <v>0</v>
      </c>
      <c r="D1264" s="52">
        <f>IF(Учет!$O1264=Справочники!$F$4,Учет!$H1264,0)</f>
        <v>0</v>
      </c>
      <c r="E1264" s="52">
        <f>IF(Учет!$O1264=Справочники!$F$5,Учет!$H1264,0)</f>
        <v>0</v>
      </c>
      <c r="F1264" s="52">
        <f>IF(Учет!$O1264=Справочники!$F$6,Учет!$H1264,0)</f>
        <v>0</v>
      </c>
      <c r="G1264" s="43">
        <f>G1263+Учет!B1264-B1264</f>
        <v>-488978.92000000004</v>
      </c>
      <c r="H1264" s="43">
        <f>H1263+Учет!C1264-C1264</f>
        <v>336855</v>
      </c>
      <c r="I1264" s="43">
        <f>I1263+Учет!D1264-D1264</f>
        <v>500</v>
      </c>
      <c r="J1264" s="43">
        <f>J1263+Учет!E1264-E1264</f>
        <v>1150</v>
      </c>
      <c r="K1264" s="43">
        <f>K1263+Учет!F1264-F1264</f>
        <v>500000</v>
      </c>
      <c r="L1264" s="45">
        <f>Учет!I1264</f>
        <v>349526.07999999996</v>
      </c>
    </row>
    <row r="1265" spans="1:12" x14ac:dyDescent="0.25">
      <c r="A1265" s="48" t="str">
        <f>IF(Учет!A1265&lt;&gt;"",Учет!A1265,"")</f>
        <v/>
      </c>
      <c r="B1265" s="52">
        <f>IF(Учет!$O1265=Справочники!$F$2,Учет!$H1265,0)</f>
        <v>0</v>
      </c>
      <c r="C1265" s="52">
        <f>IF(Учет!$O1265=Справочники!$F$3,Учет!$H1265,0)</f>
        <v>0</v>
      </c>
      <c r="D1265" s="52">
        <f>IF(Учет!$O1265=Справочники!$F$4,Учет!$H1265,0)</f>
        <v>0</v>
      </c>
      <c r="E1265" s="52">
        <f>IF(Учет!$O1265=Справочники!$F$5,Учет!$H1265,0)</f>
        <v>0</v>
      </c>
      <c r="F1265" s="52">
        <f>IF(Учет!$O1265=Справочники!$F$6,Учет!$H1265,0)</f>
        <v>0</v>
      </c>
      <c r="G1265" s="43">
        <f>G1264+Учет!B1265-B1265</f>
        <v>-488978.92000000004</v>
      </c>
      <c r="H1265" s="43">
        <f>H1264+Учет!C1265-C1265</f>
        <v>336855</v>
      </c>
      <c r="I1265" s="43">
        <f>I1264+Учет!D1265-D1265</f>
        <v>500</v>
      </c>
      <c r="J1265" s="43">
        <f>J1264+Учет!E1265-E1265</f>
        <v>1150</v>
      </c>
      <c r="K1265" s="43">
        <f>K1264+Учет!F1265-F1265</f>
        <v>500000</v>
      </c>
      <c r="L1265" s="45">
        <f>Учет!I1265</f>
        <v>349526.07999999996</v>
      </c>
    </row>
    <row r="1266" spans="1:12" x14ac:dyDescent="0.25">
      <c r="A1266" s="48" t="str">
        <f>IF(Учет!A1266&lt;&gt;"",Учет!A1266,"")</f>
        <v/>
      </c>
      <c r="B1266" s="52">
        <f>IF(Учет!$O1266=Справочники!$F$2,Учет!$H1266,0)</f>
        <v>0</v>
      </c>
      <c r="C1266" s="52">
        <f>IF(Учет!$O1266=Справочники!$F$3,Учет!$H1266,0)</f>
        <v>0</v>
      </c>
      <c r="D1266" s="52">
        <f>IF(Учет!$O1266=Справочники!$F$4,Учет!$H1266,0)</f>
        <v>0</v>
      </c>
      <c r="E1266" s="52">
        <f>IF(Учет!$O1266=Справочники!$F$5,Учет!$H1266,0)</f>
        <v>0</v>
      </c>
      <c r="F1266" s="52">
        <f>IF(Учет!$O1266=Справочники!$F$6,Учет!$H1266,0)</f>
        <v>0</v>
      </c>
      <c r="G1266" s="43">
        <f>G1265+Учет!B1266-B1266</f>
        <v>-488978.92000000004</v>
      </c>
      <c r="H1266" s="43">
        <f>H1265+Учет!C1266-C1266</f>
        <v>336855</v>
      </c>
      <c r="I1266" s="43">
        <f>I1265+Учет!D1266-D1266</f>
        <v>500</v>
      </c>
      <c r="J1266" s="43">
        <f>J1265+Учет!E1266-E1266</f>
        <v>1150</v>
      </c>
      <c r="K1266" s="43">
        <f>K1265+Учет!F1266-F1266</f>
        <v>500000</v>
      </c>
      <c r="L1266" s="45">
        <f>Учет!I1266</f>
        <v>349526.07999999996</v>
      </c>
    </row>
    <row r="1267" spans="1:12" x14ac:dyDescent="0.25">
      <c r="A1267" s="48" t="str">
        <f>IF(Учет!A1267&lt;&gt;"",Учет!A1267,"")</f>
        <v/>
      </c>
      <c r="B1267" s="52">
        <f>IF(Учет!$O1267=Справочники!$F$2,Учет!$H1267,0)</f>
        <v>0</v>
      </c>
      <c r="C1267" s="52">
        <f>IF(Учет!$O1267=Справочники!$F$3,Учет!$H1267,0)</f>
        <v>0</v>
      </c>
      <c r="D1267" s="52">
        <f>IF(Учет!$O1267=Справочники!$F$4,Учет!$H1267,0)</f>
        <v>0</v>
      </c>
      <c r="E1267" s="52">
        <f>IF(Учет!$O1267=Справочники!$F$5,Учет!$H1267,0)</f>
        <v>0</v>
      </c>
      <c r="F1267" s="52">
        <f>IF(Учет!$O1267=Справочники!$F$6,Учет!$H1267,0)</f>
        <v>0</v>
      </c>
      <c r="G1267" s="43">
        <f>G1266+Учет!B1267-B1267</f>
        <v>-488978.92000000004</v>
      </c>
      <c r="H1267" s="43">
        <f>H1266+Учет!C1267-C1267</f>
        <v>336855</v>
      </c>
      <c r="I1267" s="43">
        <f>I1266+Учет!D1267-D1267</f>
        <v>500</v>
      </c>
      <c r="J1267" s="43">
        <f>J1266+Учет!E1267-E1267</f>
        <v>1150</v>
      </c>
      <c r="K1267" s="43">
        <f>K1266+Учет!F1267-F1267</f>
        <v>500000</v>
      </c>
      <c r="L1267" s="45">
        <f>Учет!I1267</f>
        <v>349526.07999999996</v>
      </c>
    </row>
    <row r="1268" spans="1:12" x14ac:dyDescent="0.25">
      <c r="A1268" s="48" t="str">
        <f>IF(Учет!A1268&lt;&gt;"",Учет!A1268,"")</f>
        <v/>
      </c>
      <c r="B1268" s="52">
        <f>IF(Учет!$O1268=Справочники!$F$2,Учет!$H1268,0)</f>
        <v>0</v>
      </c>
      <c r="C1268" s="52">
        <f>IF(Учет!$O1268=Справочники!$F$3,Учет!$H1268,0)</f>
        <v>0</v>
      </c>
      <c r="D1268" s="52">
        <f>IF(Учет!$O1268=Справочники!$F$4,Учет!$H1268,0)</f>
        <v>0</v>
      </c>
      <c r="E1268" s="52">
        <f>IF(Учет!$O1268=Справочники!$F$5,Учет!$H1268,0)</f>
        <v>0</v>
      </c>
      <c r="F1268" s="52">
        <f>IF(Учет!$O1268=Справочники!$F$6,Учет!$H1268,0)</f>
        <v>0</v>
      </c>
      <c r="G1268" s="43">
        <f>G1267+Учет!B1268-B1268</f>
        <v>-488978.92000000004</v>
      </c>
      <c r="H1268" s="43">
        <f>H1267+Учет!C1268-C1268</f>
        <v>336855</v>
      </c>
      <c r="I1268" s="43">
        <f>I1267+Учет!D1268-D1268</f>
        <v>500</v>
      </c>
      <c r="J1268" s="43">
        <f>J1267+Учет!E1268-E1268</f>
        <v>1150</v>
      </c>
      <c r="K1268" s="43">
        <f>K1267+Учет!F1268-F1268</f>
        <v>500000</v>
      </c>
      <c r="L1268" s="45">
        <f>Учет!I1268</f>
        <v>349526.07999999996</v>
      </c>
    </row>
    <row r="1269" spans="1:12" x14ac:dyDescent="0.25">
      <c r="A1269" s="48" t="str">
        <f>IF(Учет!A1269&lt;&gt;"",Учет!A1269,"")</f>
        <v/>
      </c>
      <c r="B1269" s="52">
        <f>IF(Учет!$O1269=Справочники!$F$2,Учет!$H1269,0)</f>
        <v>0</v>
      </c>
      <c r="C1269" s="52">
        <f>IF(Учет!$O1269=Справочники!$F$3,Учет!$H1269,0)</f>
        <v>0</v>
      </c>
      <c r="D1269" s="52">
        <f>IF(Учет!$O1269=Справочники!$F$4,Учет!$H1269,0)</f>
        <v>0</v>
      </c>
      <c r="E1269" s="52">
        <f>IF(Учет!$O1269=Справочники!$F$5,Учет!$H1269,0)</f>
        <v>0</v>
      </c>
      <c r="F1269" s="52">
        <f>IF(Учет!$O1269=Справочники!$F$6,Учет!$H1269,0)</f>
        <v>0</v>
      </c>
      <c r="G1269" s="43">
        <f>G1268+Учет!B1269-B1269</f>
        <v>-488978.92000000004</v>
      </c>
      <c r="H1269" s="43">
        <f>H1268+Учет!C1269-C1269</f>
        <v>336855</v>
      </c>
      <c r="I1269" s="43">
        <f>I1268+Учет!D1269-D1269</f>
        <v>500</v>
      </c>
      <c r="J1269" s="43">
        <f>J1268+Учет!E1269-E1269</f>
        <v>1150</v>
      </c>
      <c r="K1269" s="43">
        <f>K1268+Учет!F1269-F1269</f>
        <v>500000</v>
      </c>
      <c r="L1269" s="45">
        <f>Учет!I1269</f>
        <v>349526.07999999996</v>
      </c>
    </row>
    <row r="1270" spans="1:12" x14ac:dyDescent="0.25">
      <c r="A1270" s="48" t="str">
        <f>IF(Учет!A1270&lt;&gt;"",Учет!A1270,"")</f>
        <v/>
      </c>
      <c r="B1270" s="52">
        <f>IF(Учет!$O1270=Справочники!$F$2,Учет!$H1270,0)</f>
        <v>0</v>
      </c>
      <c r="C1270" s="52">
        <f>IF(Учет!$O1270=Справочники!$F$3,Учет!$H1270,0)</f>
        <v>0</v>
      </c>
      <c r="D1270" s="52">
        <f>IF(Учет!$O1270=Справочники!$F$4,Учет!$H1270,0)</f>
        <v>0</v>
      </c>
      <c r="E1270" s="52">
        <f>IF(Учет!$O1270=Справочники!$F$5,Учет!$H1270,0)</f>
        <v>0</v>
      </c>
      <c r="F1270" s="52">
        <f>IF(Учет!$O1270=Справочники!$F$6,Учет!$H1270,0)</f>
        <v>0</v>
      </c>
      <c r="G1270" s="43">
        <f>G1269+Учет!B1270-B1270</f>
        <v>-488978.92000000004</v>
      </c>
      <c r="H1270" s="43">
        <f>H1269+Учет!C1270-C1270</f>
        <v>336855</v>
      </c>
      <c r="I1270" s="43">
        <f>I1269+Учет!D1270-D1270</f>
        <v>500</v>
      </c>
      <c r="J1270" s="43">
        <f>J1269+Учет!E1270-E1270</f>
        <v>1150</v>
      </c>
      <c r="K1270" s="43">
        <f>K1269+Учет!F1270-F1270</f>
        <v>500000</v>
      </c>
      <c r="L1270" s="45">
        <f>Учет!I1270</f>
        <v>349526.07999999996</v>
      </c>
    </row>
    <row r="1271" spans="1:12" x14ac:dyDescent="0.25">
      <c r="A1271" s="48" t="str">
        <f>IF(Учет!A1271&lt;&gt;"",Учет!A1271,"")</f>
        <v/>
      </c>
      <c r="B1271" s="52">
        <f>IF(Учет!$O1271=Справочники!$F$2,Учет!$H1271,0)</f>
        <v>0</v>
      </c>
      <c r="C1271" s="52">
        <f>IF(Учет!$O1271=Справочники!$F$3,Учет!$H1271,0)</f>
        <v>0</v>
      </c>
      <c r="D1271" s="52">
        <f>IF(Учет!$O1271=Справочники!$F$4,Учет!$H1271,0)</f>
        <v>0</v>
      </c>
      <c r="E1271" s="52">
        <f>IF(Учет!$O1271=Справочники!$F$5,Учет!$H1271,0)</f>
        <v>0</v>
      </c>
      <c r="F1271" s="52">
        <f>IF(Учет!$O1271=Справочники!$F$6,Учет!$H1271,0)</f>
        <v>0</v>
      </c>
      <c r="G1271" s="43">
        <f>G1270+Учет!B1271-B1271</f>
        <v>-488978.92000000004</v>
      </c>
      <c r="H1271" s="43">
        <f>H1270+Учет!C1271-C1271</f>
        <v>336855</v>
      </c>
      <c r="I1271" s="43">
        <f>I1270+Учет!D1271-D1271</f>
        <v>500</v>
      </c>
      <c r="J1271" s="43">
        <f>J1270+Учет!E1271-E1271</f>
        <v>1150</v>
      </c>
      <c r="K1271" s="43">
        <f>K1270+Учет!F1271-F1271</f>
        <v>500000</v>
      </c>
      <c r="L1271" s="45">
        <f>Учет!I1271</f>
        <v>349526.07999999996</v>
      </c>
    </row>
    <row r="1272" spans="1:12" x14ac:dyDescent="0.25">
      <c r="A1272" s="48" t="str">
        <f>IF(Учет!A1272&lt;&gt;"",Учет!A1272,"")</f>
        <v/>
      </c>
      <c r="B1272" s="52">
        <f>IF(Учет!$O1272=Справочники!$F$2,Учет!$H1272,0)</f>
        <v>0</v>
      </c>
      <c r="C1272" s="52">
        <f>IF(Учет!$O1272=Справочники!$F$3,Учет!$H1272,0)</f>
        <v>0</v>
      </c>
      <c r="D1272" s="52">
        <f>IF(Учет!$O1272=Справочники!$F$4,Учет!$H1272,0)</f>
        <v>0</v>
      </c>
      <c r="E1272" s="52">
        <f>IF(Учет!$O1272=Справочники!$F$5,Учет!$H1272,0)</f>
        <v>0</v>
      </c>
      <c r="F1272" s="52">
        <f>IF(Учет!$O1272=Справочники!$F$6,Учет!$H1272,0)</f>
        <v>0</v>
      </c>
      <c r="G1272" s="43">
        <f>G1271+Учет!B1272-B1272</f>
        <v>-488978.92000000004</v>
      </c>
      <c r="H1272" s="43">
        <f>H1271+Учет!C1272-C1272</f>
        <v>336855</v>
      </c>
      <c r="I1272" s="43">
        <f>I1271+Учет!D1272-D1272</f>
        <v>500</v>
      </c>
      <c r="J1272" s="43">
        <f>J1271+Учет!E1272-E1272</f>
        <v>1150</v>
      </c>
      <c r="K1272" s="43">
        <f>K1271+Учет!F1272-F1272</f>
        <v>500000</v>
      </c>
      <c r="L1272" s="45">
        <f>Учет!I1272</f>
        <v>349526.07999999996</v>
      </c>
    </row>
    <row r="1273" spans="1:12" x14ac:dyDescent="0.25">
      <c r="A1273" s="48" t="str">
        <f>IF(Учет!A1273&lt;&gt;"",Учет!A1273,"")</f>
        <v/>
      </c>
      <c r="B1273" s="52">
        <f>IF(Учет!$O1273=Справочники!$F$2,Учет!$H1273,0)</f>
        <v>0</v>
      </c>
      <c r="C1273" s="52">
        <f>IF(Учет!$O1273=Справочники!$F$3,Учет!$H1273,0)</f>
        <v>0</v>
      </c>
      <c r="D1273" s="52">
        <f>IF(Учет!$O1273=Справочники!$F$4,Учет!$H1273,0)</f>
        <v>0</v>
      </c>
      <c r="E1273" s="52">
        <f>IF(Учет!$O1273=Справочники!$F$5,Учет!$H1273,0)</f>
        <v>0</v>
      </c>
      <c r="F1273" s="52">
        <f>IF(Учет!$O1273=Справочники!$F$6,Учет!$H1273,0)</f>
        <v>0</v>
      </c>
      <c r="G1273" s="43">
        <f>G1272+Учет!B1273-B1273</f>
        <v>-488978.92000000004</v>
      </c>
      <c r="H1273" s="43">
        <f>H1272+Учет!C1273-C1273</f>
        <v>336855</v>
      </c>
      <c r="I1273" s="43">
        <f>I1272+Учет!D1273-D1273</f>
        <v>500</v>
      </c>
      <c r="J1273" s="43">
        <f>J1272+Учет!E1273-E1273</f>
        <v>1150</v>
      </c>
      <c r="K1273" s="43">
        <f>K1272+Учет!F1273-F1273</f>
        <v>500000</v>
      </c>
      <c r="L1273" s="45">
        <f>Учет!I1273</f>
        <v>349526.07999999996</v>
      </c>
    </row>
    <row r="1274" spans="1:12" x14ac:dyDescent="0.25">
      <c r="A1274" s="48" t="str">
        <f>IF(Учет!A1274&lt;&gt;"",Учет!A1274,"")</f>
        <v/>
      </c>
      <c r="B1274" s="52">
        <f>IF(Учет!$O1274=Справочники!$F$2,Учет!$H1274,0)</f>
        <v>0</v>
      </c>
      <c r="C1274" s="52">
        <f>IF(Учет!$O1274=Справочники!$F$3,Учет!$H1274,0)</f>
        <v>0</v>
      </c>
      <c r="D1274" s="52">
        <f>IF(Учет!$O1274=Справочники!$F$4,Учет!$H1274,0)</f>
        <v>0</v>
      </c>
      <c r="E1274" s="52">
        <f>IF(Учет!$O1274=Справочники!$F$5,Учет!$H1274,0)</f>
        <v>0</v>
      </c>
      <c r="F1274" s="52">
        <f>IF(Учет!$O1274=Справочники!$F$6,Учет!$H1274,0)</f>
        <v>0</v>
      </c>
      <c r="G1274" s="43">
        <f>G1273+Учет!B1274-B1274</f>
        <v>-488978.92000000004</v>
      </c>
      <c r="H1274" s="43">
        <f>H1273+Учет!C1274-C1274</f>
        <v>336855</v>
      </c>
      <c r="I1274" s="43">
        <f>I1273+Учет!D1274-D1274</f>
        <v>500</v>
      </c>
      <c r="J1274" s="43">
        <f>J1273+Учет!E1274-E1274</f>
        <v>1150</v>
      </c>
      <c r="K1274" s="43">
        <f>K1273+Учет!F1274-F1274</f>
        <v>500000</v>
      </c>
      <c r="L1274" s="45">
        <f>Учет!I1274</f>
        <v>349526.07999999996</v>
      </c>
    </row>
    <row r="1275" spans="1:12" x14ac:dyDescent="0.25">
      <c r="A1275" s="48" t="str">
        <f>IF(Учет!A1275&lt;&gt;"",Учет!A1275,"")</f>
        <v/>
      </c>
      <c r="B1275" s="52">
        <f>IF(Учет!$O1275=Справочники!$F$2,Учет!$H1275,0)</f>
        <v>0</v>
      </c>
      <c r="C1275" s="52">
        <f>IF(Учет!$O1275=Справочники!$F$3,Учет!$H1275,0)</f>
        <v>0</v>
      </c>
      <c r="D1275" s="52">
        <f>IF(Учет!$O1275=Справочники!$F$4,Учет!$H1275,0)</f>
        <v>0</v>
      </c>
      <c r="E1275" s="52">
        <f>IF(Учет!$O1275=Справочники!$F$5,Учет!$H1275,0)</f>
        <v>0</v>
      </c>
      <c r="F1275" s="52">
        <f>IF(Учет!$O1275=Справочники!$F$6,Учет!$H1275,0)</f>
        <v>0</v>
      </c>
      <c r="G1275" s="43">
        <f>G1274+Учет!B1275-B1275</f>
        <v>-488978.92000000004</v>
      </c>
      <c r="H1275" s="43">
        <f>H1274+Учет!C1275-C1275</f>
        <v>336855</v>
      </c>
      <c r="I1275" s="43">
        <f>I1274+Учет!D1275-D1275</f>
        <v>500</v>
      </c>
      <c r="J1275" s="43">
        <f>J1274+Учет!E1275-E1275</f>
        <v>1150</v>
      </c>
      <c r="K1275" s="43">
        <f>K1274+Учет!F1275-F1275</f>
        <v>500000</v>
      </c>
      <c r="L1275" s="45">
        <f>Учет!I1275</f>
        <v>349526.07999999996</v>
      </c>
    </row>
    <row r="1276" spans="1:12" x14ac:dyDescent="0.25">
      <c r="A1276" s="48" t="str">
        <f>IF(Учет!A1276&lt;&gt;"",Учет!A1276,"")</f>
        <v/>
      </c>
      <c r="B1276" s="52">
        <f>IF(Учет!$O1276=Справочники!$F$2,Учет!$H1276,0)</f>
        <v>0</v>
      </c>
      <c r="C1276" s="52">
        <f>IF(Учет!$O1276=Справочники!$F$3,Учет!$H1276,0)</f>
        <v>0</v>
      </c>
      <c r="D1276" s="52">
        <f>IF(Учет!$O1276=Справочники!$F$4,Учет!$H1276,0)</f>
        <v>0</v>
      </c>
      <c r="E1276" s="52">
        <f>IF(Учет!$O1276=Справочники!$F$5,Учет!$H1276,0)</f>
        <v>0</v>
      </c>
      <c r="F1276" s="52">
        <f>IF(Учет!$O1276=Справочники!$F$6,Учет!$H1276,0)</f>
        <v>0</v>
      </c>
      <c r="G1276" s="43">
        <f>G1275+Учет!B1276-B1276</f>
        <v>-488978.92000000004</v>
      </c>
      <c r="H1276" s="43">
        <f>H1275+Учет!C1276-C1276</f>
        <v>336855</v>
      </c>
      <c r="I1276" s="43">
        <f>I1275+Учет!D1276-D1276</f>
        <v>500</v>
      </c>
      <c r="J1276" s="43">
        <f>J1275+Учет!E1276-E1276</f>
        <v>1150</v>
      </c>
      <c r="K1276" s="43">
        <f>K1275+Учет!F1276-F1276</f>
        <v>500000</v>
      </c>
      <c r="L1276" s="45">
        <f>Учет!I1276</f>
        <v>349526.07999999996</v>
      </c>
    </row>
    <row r="1277" spans="1:12" x14ac:dyDescent="0.25">
      <c r="A1277" s="48" t="str">
        <f>IF(Учет!A1277&lt;&gt;"",Учет!A1277,"")</f>
        <v/>
      </c>
      <c r="B1277" s="52">
        <f>IF(Учет!$O1277=Справочники!$F$2,Учет!$H1277,0)</f>
        <v>0</v>
      </c>
      <c r="C1277" s="52">
        <f>IF(Учет!$O1277=Справочники!$F$3,Учет!$H1277,0)</f>
        <v>0</v>
      </c>
      <c r="D1277" s="52">
        <f>IF(Учет!$O1277=Справочники!$F$4,Учет!$H1277,0)</f>
        <v>0</v>
      </c>
      <c r="E1277" s="52">
        <f>IF(Учет!$O1277=Справочники!$F$5,Учет!$H1277,0)</f>
        <v>0</v>
      </c>
      <c r="F1277" s="52">
        <f>IF(Учет!$O1277=Справочники!$F$6,Учет!$H1277,0)</f>
        <v>0</v>
      </c>
      <c r="G1277" s="43">
        <f>G1276+Учет!B1277-B1277</f>
        <v>-488978.92000000004</v>
      </c>
      <c r="H1277" s="43">
        <f>H1276+Учет!C1277-C1277</f>
        <v>336855</v>
      </c>
      <c r="I1277" s="43">
        <f>I1276+Учет!D1277-D1277</f>
        <v>500</v>
      </c>
      <c r="J1277" s="43">
        <f>J1276+Учет!E1277-E1277</f>
        <v>1150</v>
      </c>
      <c r="K1277" s="43">
        <f>K1276+Учет!F1277-F1277</f>
        <v>500000</v>
      </c>
      <c r="L1277" s="45">
        <f>Учет!I1277</f>
        <v>349526.07999999996</v>
      </c>
    </row>
    <row r="1278" spans="1:12" x14ac:dyDescent="0.25">
      <c r="A1278" s="48" t="str">
        <f>IF(Учет!A1278&lt;&gt;"",Учет!A1278,"")</f>
        <v/>
      </c>
      <c r="B1278" s="52">
        <f>IF(Учет!$O1278=Справочники!$F$2,Учет!$H1278,0)</f>
        <v>0</v>
      </c>
      <c r="C1278" s="52">
        <f>IF(Учет!$O1278=Справочники!$F$3,Учет!$H1278,0)</f>
        <v>0</v>
      </c>
      <c r="D1278" s="52">
        <f>IF(Учет!$O1278=Справочники!$F$4,Учет!$H1278,0)</f>
        <v>0</v>
      </c>
      <c r="E1278" s="52">
        <f>IF(Учет!$O1278=Справочники!$F$5,Учет!$H1278,0)</f>
        <v>0</v>
      </c>
      <c r="F1278" s="52">
        <f>IF(Учет!$O1278=Справочники!$F$6,Учет!$H1278,0)</f>
        <v>0</v>
      </c>
      <c r="G1278" s="43">
        <f>G1277+Учет!B1278-B1278</f>
        <v>-488978.92000000004</v>
      </c>
      <c r="H1278" s="43">
        <f>H1277+Учет!C1278-C1278</f>
        <v>336855</v>
      </c>
      <c r="I1278" s="43">
        <f>I1277+Учет!D1278-D1278</f>
        <v>500</v>
      </c>
      <c r="J1278" s="43">
        <f>J1277+Учет!E1278-E1278</f>
        <v>1150</v>
      </c>
      <c r="K1278" s="43">
        <f>K1277+Учет!F1278-F1278</f>
        <v>500000</v>
      </c>
      <c r="L1278" s="45">
        <f>Учет!I1278</f>
        <v>349526.07999999996</v>
      </c>
    </row>
    <row r="1279" spans="1:12" x14ac:dyDescent="0.25">
      <c r="A1279" s="48" t="str">
        <f>IF(Учет!A1279&lt;&gt;"",Учет!A1279,"")</f>
        <v/>
      </c>
      <c r="B1279" s="52">
        <f>IF(Учет!$O1279=Справочники!$F$2,Учет!$H1279,0)</f>
        <v>0</v>
      </c>
      <c r="C1279" s="52">
        <f>IF(Учет!$O1279=Справочники!$F$3,Учет!$H1279,0)</f>
        <v>0</v>
      </c>
      <c r="D1279" s="52">
        <f>IF(Учет!$O1279=Справочники!$F$4,Учет!$H1279,0)</f>
        <v>0</v>
      </c>
      <c r="E1279" s="52">
        <f>IF(Учет!$O1279=Справочники!$F$5,Учет!$H1279,0)</f>
        <v>0</v>
      </c>
      <c r="F1279" s="52">
        <f>IF(Учет!$O1279=Справочники!$F$6,Учет!$H1279,0)</f>
        <v>0</v>
      </c>
      <c r="G1279" s="43">
        <f>G1278+Учет!B1279-B1279</f>
        <v>-488978.92000000004</v>
      </c>
      <c r="H1279" s="43">
        <f>H1278+Учет!C1279-C1279</f>
        <v>336855</v>
      </c>
      <c r="I1279" s="43">
        <f>I1278+Учет!D1279-D1279</f>
        <v>500</v>
      </c>
      <c r="J1279" s="43">
        <f>J1278+Учет!E1279-E1279</f>
        <v>1150</v>
      </c>
      <c r="K1279" s="43">
        <f>K1278+Учет!F1279-F1279</f>
        <v>500000</v>
      </c>
      <c r="L1279" s="45">
        <f>Учет!I1279</f>
        <v>349526.07999999996</v>
      </c>
    </row>
    <row r="1280" spans="1:12" x14ac:dyDescent="0.25">
      <c r="A1280" s="48" t="str">
        <f>IF(Учет!A1280&lt;&gt;"",Учет!A1280,"")</f>
        <v/>
      </c>
      <c r="B1280" s="52">
        <f>IF(Учет!$O1280=Справочники!$F$2,Учет!$H1280,0)</f>
        <v>0</v>
      </c>
      <c r="C1280" s="52">
        <f>IF(Учет!$O1280=Справочники!$F$3,Учет!$H1280,0)</f>
        <v>0</v>
      </c>
      <c r="D1280" s="52">
        <f>IF(Учет!$O1280=Справочники!$F$4,Учет!$H1280,0)</f>
        <v>0</v>
      </c>
      <c r="E1280" s="52">
        <f>IF(Учет!$O1280=Справочники!$F$5,Учет!$H1280,0)</f>
        <v>0</v>
      </c>
      <c r="F1280" s="52">
        <f>IF(Учет!$O1280=Справочники!$F$6,Учет!$H1280,0)</f>
        <v>0</v>
      </c>
      <c r="G1280" s="43">
        <f>G1279+Учет!B1280-B1280</f>
        <v>-488978.92000000004</v>
      </c>
      <c r="H1280" s="43">
        <f>H1279+Учет!C1280-C1280</f>
        <v>336855</v>
      </c>
      <c r="I1280" s="43">
        <f>I1279+Учет!D1280-D1280</f>
        <v>500</v>
      </c>
      <c r="J1280" s="43">
        <f>J1279+Учет!E1280-E1280</f>
        <v>1150</v>
      </c>
      <c r="K1280" s="43">
        <f>K1279+Учет!F1280-F1280</f>
        <v>500000</v>
      </c>
      <c r="L1280" s="45">
        <f>Учет!I1280</f>
        <v>349526.07999999996</v>
      </c>
    </row>
    <row r="1281" spans="1:12" x14ac:dyDescent="0.25">
      <c r="A1281" s="48" t="str">
        <f>IF(Учет!A1281&lt;&gt;"",Учет!A1281,"")</f>
        <v/>
      </c>
      <c r="B1281" s="52">
        <f>IF(Учет!$O1281=Справочники!$F$2,Учет!$H1281,0)</f>
        <v>0</v>
      </c>
      <c r="C1281" s="52">
        <f>IF(Учет!$O1281=Справочники!$F$3,Учет!$H1281,0)</f>
        <v>0</v>
      </c>
      <c r="D1281" s="52">
        <f>IF(Учет!$O1281=Справочники!$F$4,Учет!$H1281,0)</f>
        <v>0</v>
      </c>
      <c r="E1281" s="52">
        <f>IF(Учет!$O1281=Справочники!$F$5,Учет!$H1281,0)</f>
        <v>0</v>
      </c>
      <c r="F1281" s="52">
        <f>IF(Учет!$O1281=Справочники!$F$6,Учет!$H1281,0)</f>
        <v>0</v>
      </c>
      <c r="G1281" s="43">
        <f>G1280+Учет!B1281-B1281</f>
        <v>-488978.92000000004</v>
      </c>
      <c r="H1281" s="43">
        <f>H1280+Учет!C1281-C1281</f>
        <v>336855</v>
      </c>
      <c r="I1281" s="43">
        <f>I1280+Учет!D1281-D1281</f>
        <v>500</v>
      </c>
      <c r="J1281" s="43">
        <f>J1280+Учет!E1281-E1281</f>
        <v>1150</v>
      </c>
      <c r="K1281" s="43">
        <f>K1280+Учет!F1281-F1281</f>
        <v>500000</v>
      </c>
      <c r="L1281" s="45">
        <f>Учет!I1281</f>
        <v>349526.07999999996</v>
      </c>
    </row>
    <row r="1282" spans="1:12" x14ac:dyDescent="0.25">
      <c r="A1282" s="48" t="str">
        <f>IF(Учет!A1282&lt;&gt;"",Учет!A1282,"")</f>
        <v/>
      </c>
      <c r="B1282" s="52">
        <f>IF(Учет!$O1282=Справочники!$F$2,Учет!$H1282,0)</f>
        <v>0</v>
      </c>
      <c r="C1282" s="52">
        <f>IF(Учет!$O1282=Справочники!$F$3,Учет!$H1282,0)</f>
        <v>0</v>
      </c>
      <c r="D1282" s="52">
        <f>IF(Учет!$O1282=Справочники!$F$4,Учет!$H1282,0)</f>
        <v>0</v>
      </c>
      <c r="E1282" s="52">
        <f>IF(Учет!$O1282=Справочники!$F$5,Учет!$H1282,0)</f>
        <v>0</v>
      </c>
      <c r="F1282" s="52">
        <f>IF(Учет!$O1282=Справочники!$F$6,Учет!$H1282,0)</f>
        <v>0</v>
      </c>
      <c r="G1282" s="43">
        <f>G1281+Учет!B1282-B1282</f>
        <v>-488978.92000000004</v>
      </c>
      <c r="H1282" s="43">
        <f>H1281+Учет!C1282-C1282</f>
        <v>336855</v>
      </c>
      <c r="I1282" s="43">
        <f>I1281+Учет!D1282-D1282</f>
        <v>500</v>
      </c>
      <c r="J1282" s="43">
        <f>J1281+Учет!E1282-E1282</f>
        <v>1150</v>
      </c>
      <c r="K1282" s="43">
        <f>K1281+Учет!F1282-F1282</f>
        <v>500000</v>
      </c>
      <c r="L1282" s="45">
        <f>Учет!I1282</f>
        <v>349526.07999999996</v>
      </c>
    </row>
    <row r="1283" spans="1:12" x14ac:dyDescent="0.25">
      <c r="A1283" s="48" t="str">
        <f>IF(Учет!A1283&lt;&gt;"",Учет!A1283,"")</f>
        <v/>
      </c>
      <c r="B1283" s="52">
        <f>IF(Учет!$O1283=Справочники!$F$2,Учет!$H1283,0)</f>
        <v>0</v>
      </c>
      <c r="C1283" s="52">
        <f>IF(Учет!$O1283=Справочники!$F$3,Учет!$H1283,0)</f>
        <v>0</v>
      </c>
      <c r="D1283" s="52">
        <f>IF(Учет!$O1283=Справочники!$F$4,Учет!$H1283,0)</f>
        <v>0</v>
      </c>
      <c r="E1283" s="52">
        <f>IF(Учет!$O1283=Справочники!$F$5,Учет!$H1283,0)</f>
        <v>0</v>
      </c>
      <c r="F1283" s="52">
        <f>IF(Учет!$O1283=Справочники!$F$6,Учет!$H1283,0)</f>
        <v>0</v>
      </c>
      <c r="G1283" s="43">
        <f>G1282+Учет!B1283-B1283</f>
        <v>-488978.92000000004</v>
      </c>
      <c r="H1283" s="43">
        <f>H1282+Учет!C1283-C1283</f>
        <v>336855</v>
      </c>
      <c r="I1283" s="43">
        <f>I1282+Учет!D1283-D1283</f>
        <v>500</v>
      </c>
      <c r="J1283" s="43">
        <f>J1282+Учет!E1283-E1283</f>
        <v>1150</v>
      </c>
      <c r="K1283" s="43">
        <f>K1282+Учет!F1283-F1283</f>
        <v>500000</v>
      </c>
      <c r="L1283" s="45">
        <f>Учет!I1283</f>
        <v>349526.07999999996</v>
      </c>
    </row>
    <row r="1284" spans="1:12" x14ac:dyDescent="0.25">
      <c r="A1284" s="48" t="str">
        <f>IF(Учет!A1284&lt;&gt;"",Учет!A1284,"")</f>
        <v/>
      </c>
      <c r="B1284" s="52">
        <f>IF(Учет!$O1284=Справочники!$F$2,Учет!$H1284,0)</f>
        <v>0</v>
      </c>
      <c r="C1284" s="52">
        <f>IF(Учет!$O1284=Справочники!$F$3,Учет!$H1284,0)</f>
        <v>0</v>
      </c>
      <c r="D1284" s="52">
        <f>IF(Учет!$O1284=Справочники!$F$4,Учет!$H1284,0)</f>
        <v>0</v>
      </c>
      <c r="E1284" s="52">
        <f>IF(Учет!$O1284=Справочники!$F$5,Учет!$H1284,0)</f>
        <v>0</v>
      </c>
      <c r="F1284" s="52">
        <f>IF(Учет!$O1284=Справочники!$F$6,Учет!$H1284,0)</f>
        <v>0</v>
      </c>
      <c r="G1284" s="43">
        <f>G1283+Учет!B1284-B1284</f>
        <v>-488978.92000000004</v>
      </c>
      <c r="H1284" s="43">
        <f>H1283+Учет!C1284-C1284</f>
        <v>336855</v>
      </c>
      <c r="I1284" s="43">
        <f>I1283+Учет!D1284-D1284</f>
        <v>500</v>
      </c>
      <c r="J1284" s="43">
        <f>J1283+Учет!E1284-E1284</f>
        <v>1150</v>
      </c>
      <c r="K1284" s="43">
        <f>K1283+Учет!F1284-F1284</f>
        <v>500000</v>
      </c>
      <c r="L1284" s="45">
        <f>Учет!I1284</f>
        <v>349526.07999999996</v>
      </c>
    </row>
    <row r="1285" spans="1:12" x14ac:dyDescent="0.25">
      <c r="A1285" s="48" t="str">
        <f>IF(Учет!A1285&lt;&gt;"",Учет!A1285,"")</f>
        <v/>
      </c>
      <c r="B1285" s="52">
        <f>IF(Учет!$O1285=Справочники!$F$2,Учет!$H1285,0)</f>
        <v>0</v>
      </c>
      <c r="C1285" s="52">
        <f>IF(Учет!$O1285=Справочники!$F$3,Учет!$H1285,0)</f>
        <v>0</v>
      </c>
      <c r="D1285" s="52">
        <f>IF(Учет!$O1285=Справочники!$F$4,Учет!$H1285,0)</f>
        <v>0</v>
      </c>
      <c r="E1285" s="52">
        <f>IF(Учет!$O1285=Справочники!$F$5,Учет!$H1285,0)</f>
        <v>0</v>
      </c>
      <c r="F1285" s="52">
        <f>IF(Учет!$O1285=Справочники!$F$6,Учет!$H1285,0)</f>
        <v>0</v>
      </c>
      <c r="G1285" s="43">
        <f>G1284+Учет!B1285-B1285</f>
        <v>-488978.92000000004</v>
      </c>
      <c r="H1285" s="43">
        <f>H1284+Учет!C1285-C1285</f>
        <v>336855</v>
      </c>
      <c r="I1285" s="43">
        <f>I1284+Учет!D1285-D1285</f>
        <v>500</v>
      </c>
      <c r="J1285" s="43">
        <f>J1284+Учет!E1285-E1285</f>
        <v>1150</v>
      </c>
      <c r="K1285" s="43">
        <f>K1284+Учет!F1285-F1285</f>
        <v>500000</v>
      </c>
      <c r="L1285" s="45">
        <f>Учет!I1285</f>
        <v>349526.07999999996</v>
      </c>
    </row>
    <row r="1286" spans="1:12" x14ac:dyDescent="0.25">
      <c r="A1286" s="48" t="str">
        <f>IF(Учет!A1286&lt;&gt;"",Учет!A1286,"")</f>
        <v/>
      </c>
      <c r="B1286" s="52">
        <f>IF(Учет!$O1286=Справочники!$F$2,Учет!$H1286,0)</f>
        <v>0</v>
      </c>
      <c r="C1286" s="52">
        <f>IF(Учет!$O1286=Справочники!$F$3,Учет!$H1286,0)</f>
        <v>0</v>
      </c>
      <c r="D1286" s="52">
        <f>IF(Учет!$O1286=Справочники!$F$4,Учет!$H1286,0)</f>
        <v>0</v>
      </c>
      <c r="E1286" s="52">
        <f>IF(Учет!$O1286=Справочники!$F$5,Учет!$H1286,0)</f>
        <v>0</v>
      </c>
      <c r="F1286" s="52">
        <f>IF(Учет!$O1286=Справочники!$F$6,Учет!$H1286,0)</f>
        <v>0</v>
      </c>
      <c r="G1286" s="43">
        <f>G1285+Учет!B1286-B1286</f>
        <v>-488978.92000000004</v>
      </c>
      <c r="H1286" s="43">
        <f>H1285+Учет!C1286-C1286</f>
        <v>336855</v>
      </c>
      <c r="I1286" s="43">
        <f>I1285+Учет!D1286-D1286</f>
        <v>500</v>
      </c>
      <c r="J1286" s="43">
        <f>J1285+Учет!E1286-E1286</f>
        <v>1150</v>
      </c>
      <c r="K1286" s="43">
        <f>K1285+Учет!F1286-F1286</f>
        <v>500000</v>
      </c>
      <c r="L1286" s="45">
        <f>Учет!I1286</f>
        <v>349526.07999999996</v>
      </c>
    </row>
    <row r="1287" spans="1:12" x14ac:dyDescent="0.25">
      <c r="A1287" s="48" t="str">
        <f>IF(Учет!A1287&lt;&gt;"",Учет!A1287,"")</f>
        <v/>
      </c>
      <c r="B1287" s="52">
        <f>IF(Учет!$O1287=Справочники!$F$2,Учет!$H1287,0)</f>
        <v>0</v>
      </c>
      <c r="C1287" s="52">
        <f>IF(Учет!$O1287=Справочники!$F$3,Учет!$H1287,0)</f>
        <v>0</v>
      </c>
      <c r="D1287" s="52">
        <f>IF(Учет!$O1287=Справочники!$F$4,Учет!$H1287,0)</f>
        <v>0</v>
      </c>
      <c r="E1287" s="52">
        <f>IF(Учет!$O1287=Справочники!$F$5,Учет!$H1287,0)</f>
        <v>0</v>
      </c>
      <c r="F1287" s="52">
        <f>IF(Учет!$O1287=Справочники!$F$6,Учет!$H1287,0)</f>
        <v>0</v>
      </c>
      <c r="G1287" s="43">
        <f>G1286+Учет!B1287-B1287</f>
        <v>-488978.92000000004</v>
      </c>
      <c r="H1287" s="43">
        <f>H1286+Учет!C1287-C1287</f>
        <v>336855</v>
      </c>
      <c r="I1287" s="43">
        <f>I1286+Учет!D1287-D1287</f>
        <v>500</v>
      </c>
      <c r="J1287" s="43">
        <f>J1286+Учет!E1287-E1287</f>
        <v>1150</v>
      </c>
      <c r="K1287" s="43">
        <f>K1286+Учет!F1287-F1287</f>
        <v>500000</v>
      </c>
      <c r="L1287" s="45">
        <f>Учет!I1287</f>
        <v>349526.07999999996</v>
      </c>
    </row>
    <row r="1288" spans="1:12" x14ac:dyDescent="0.25">
      <c r="A1288" s="48" t="str">
        <f>IF(Учет!A1288&lt;&gt;"",Учет!A1288,"")</f>
        <v/>
      </c>
      <c r="B1288" s="52">
        <f>IF(Учет!$O1288=Справочники!$F$2,Учет!$H1288,0)</f>
        <v>0</v>
      </c>
      <c r="C1288" s="52">
        <f>IF(Учет!$O1288=Справочники!$F$3,Учет!$H1288,0)</f>
        <v>0</v>
      </c>
      <c r="D1288" s="52">
        <f>IF(Учет!$O1288=Справочники!$F$4,Учет!$H1288,0)</f>
        <v>0</v>
      </c>
      <c r="E1288" s="52">
        <f>IF(Учет!$O1288=Справочники!$F$5,Учет!$H1288,0)</f>
        <v>0</v>
      </c>
      <c r="F1288" s="52">
        <f>IF(Учет!$O1288=Справочники!$F$6,Учет!$H1288,0)</f>
        <v>0</v>
      </c>
      <c r="G1288" s="43">
        <f>G1287+Учет!B1288-B1288</f>
        <v>-488978.92000000004</v>
      </c>
      <c r="H1288" s="43">
        <f>H1287+Учет!C1288-C1288</f>
        <v>336855</v>
      </c>
      <c r="I1288" s="43">
        <f>I1287+Учет!D1288-D1288</f>
        <v>500</v>
      </c>
      <c r="J1288" s="43">
        <f>J1287+Учет!E1288-E1288</f>
        <v>1150</v>
      </c>
      <c r="K1288" s="43">
        <f>K1287+Учет!F1288-F1288</f>
        <v>500000</v>
      </c>
      <c r="L1288" s="45">
        <f>Учет!I1288</f>
        <v>349526.07999999996</v>
      </c>
    </row>
    <row r="1289" spans="1:12" x14ac:dyDescent="0.25">
      <c r="A1289" s="48" t="str">
        <f>IF(Учет!A1289&lt;&gt;"",Учет!A1289,"")</f>
        <v/>
      </c>
      <c r="B1289" s="52">
        <f>IF(Учет!$O1289=Справочники!$F$2,Учет!$H1289,0)</f>
        <v>0</v>
      </c>
      <c r="C1289" s="52">
        <f>IF(Учет!$O1289=Справочники!$F$3,Учет!$H1289,0)</f>
        <v>0</v>
      </c>
      <c r="D1289" s="52">
        <f>IF(Учет!$O1289=Справочники!$F$4,Учет!$H1289,0)</f>
        <v>0</v>
      </c>
      <c r="E1289" s="52">
        <f>IF(Учет!$O1289=Справочники!$F$5,Учет!$H1289,0)</f>
        <v>0</v>
      </c>
      <c r="F1289" s="52">
        <f>IF(Учет!$O1289=Справочники!$F$6,Учет!$H1289,0)</f>
        <v>0</v>
      </c>
      <c r="G1289" s="43">
        <f>G1288+Учет!B1289-B1289</f>
        <v>-488978.92000000004</v>
      </c>
      <c r="H1289" s="43">
        <f>H1288+Учет!C1289-C1289</f>
        <v>336855</v>
      </c>
      <c r="I1289" s="43">
        <f>I1288+Учет!D1289-D1289</f>
        <v>500</v>
      </c>
      <c r="J1289" s="43">
        <f>J1288+Учет!E1289-E1289</f>
        <v>1150</v>
      </c>
      <c r="K1289" s="43">
        <f>K1288+Учет!F1289-F1289</f>
        <v>500000</v>
      </c>
      <c r="L1289" s="45">
        <f>Учет!I1289</f>
        <v>349526.07999999996</v>
      </c>
    </row>
    <row r="1290" spans="1:12" x14ac:dyDescent="0.25">
      <c r="A1290" s="48" t="str">
        <f>IF(Учет!A1290&lt;&gt;"",Учет!A1290,"")</f>
        <v/>
      </c>
      <c r="B1290" s="52">
        <f>IF(Учет!$O1290=Справочники!$F$2,Учет!$H1290,0)</f>
        <v>0</v>
      </c>
      <c r="C1290" s="52">
        <f>IF(Учет!$O1290=Справочники!$F$3,Учет!$H1290,0)</f>
        <v>0</v>
      </c>
      <c r="D1290" s="52">
        <f>IF(Учет!$O1290=Справочники!$F$4,Учет!$H1290,0)</f>
        <v>0</v>
      </c>
      <c r="E1290" s="52">
        <f>IF(Учет!$O1290=Справочники!$F$5,Учет!$H1290,0)</f>
        <v>0</v>
      </c>
      <c r="F1290" s="52">
        <f>IF(Учет!$O1290=Справочники!$F$6,Учет!$H1290,0)</f>
        <v>0</v>
      </c>
      <c r="G1290" s="43">
        <f>G1289+Учет!B1290-B1290</f>
        <v>-488978.92000000004</v>
      </c>
      <c r="H1290" s="43">
        <f>H1289+Учет!C1290-C1290</f>
        <v>336855</v>
      </c>
      <c r="I1290" s="43">
        <f>I1289+Учет!D1290-D1290</f>
        <v>500</v>
      </c>
      <c r="J1290" s="43">
        <f>J1289+Учет!E1290-E1290</f>
        <v>1150</v>
      </c>
      <c r="K1290" s="43">
        <f>K1289+Учет!F1290-F1290</f>
        <v>500000</v>
      </c>
      <c r="L1290" s="45">
        <f>Учет!I1290</f>
        <v>349526.07999999996</v>
      </c>
    </row>
    <row r="1291" spans="1:12" x14ac:dyDescent="0.25">
      <c r="A1291" s="48" t="str">
        <f>IF(Учет!A1291&lt;&gt;"",Учет!A1291,"")</f>
        <v/>
      </c>
      <c r="B1291" s="52">
        <f>IF(Учет!$O1291=Справочники!$F$2,Учет!$H1291,0)</f>
        <v>0</v>
      </c>
      <c r="C1291" s="52">
        <f>IF(Учет!$O1291=Справочники!$F$3,Учет!$H1291,0)</f>
        <v>0</v>
      </c>
      <c r="D1291" s="52">
        <f>IF(Учет!$O1291=Справочники!$F$4,Учет!$H1291,0)</f>
        <v>0</v>
      </c>
      <c r="E1291" s="52">
        <f>IF(Учет!$O1291=Справочники!$F$5,Учет!$H1291,0)</f>
        <v>0</v>
      </c>
      <c r="F1291" s="52">
        <f>IF(Учет!$O1291=Справочники!$F$6,Учет!$H1291,0)</f>
        <v>0</v>
      </c>
      <c r="G1291" s="43">
        <f>G1290+Учет!B1291-B1291</f>
        <v>-488978.92000000004</v>
      </c>
      <c r="H1291" s="43">
        <f>H1290+Учет!C1291-C1291</f>
        <v>336855</v>
      </c>
      <c r="I1291" s="43">
        <f>I1290+Учет!D1291-D1291</f>
        <v>500</v>
      </c>
      <c r="J1291" s="43">
        <f>J1290+Учет!E1291-E1291</f>
        <v>1150</v>
      </c>
      <c r="K1291" s="43">
        <f>K1290+Учет!F1291-F1291</f>
        <v>500000</v>
      </c>
      <c r="L1291" s="45">
        <f>Учет!I1291</f>
        <v>349526.07999999996</v>
      </c>
    </row>
    <row r="1292" spans="1:12" x14ac:dyDescent="0.25">
      <c r="A1292" s="48" t="str">
        <f>IF(Учет!A1292&lt;&gt;"",Учет!A1292,"")</f>
        <v/>
      </c>
      <c r="B1292" s="52">
        <f>IF(Учет!$O1292=Справочники!$F$2,Учет!$H1292,0)</f>
        <v>0</v>
      </c>
      <c r="C1292" s="52">
        <f>IF(Учет!$O1292=Справочники!$F$3,Учет!$H1292,0)</f>
        <v>0</v>
      </c>
      <c r="D1292" s="52">
        <f>IF(Учет!$O1292=Справочники!$F$4,Учет!$H1292,0)</f>
        <v>0</v>
      </c>
      <c r="E1292" s="52">
        <f>IF(Учет!$O1292=Справочники!$F$5,Учет!$H1292,0)</f>
        <v>0</v>
      </c>
      <c r="F1292" s="52">
        <f>IF(Учет!$O1292=Справочники!$F$6,Учет!$H1292,0)</f>
        <v>0</v>
      </c>
      <c r="G1292" s="43">
        <f>G1291+Учет!B1292-B1292</f>
        <v>-488978.92000000004</v>
      </c>
      <c r="H1292" s="43">
        <f>H1291+Учет!C1292-C1292</f>
        <v>336855</v>
      </c>
      <c r="I1292" s="43">
        <f>I1291+Учет!D1292-D1292</f>
        <v>500</v>
      </c>
      <c r="J1292" s="43">
        <f>J1291+Учет!E1292-E1292</f>
        <v>1150</v>
      </c>
      <c r="K1292" s="43">
        <f>K1291+Учет!F1292-F1292</f>
        <v>500000</v>
      </c>
      <c r="L1292" s="45">
        <f>Учет!I1292</f>
        <v>349526.07999999996</v>
      </c>
    </row>
    <row r="1293" spans="1:12" x14ac:dyDescent="0.25">
      <c r="A1293" s="48" t="str">
        <f>IF(Учет!A1293&lt;&gt;"",Учет!A1293,"")</f>
        <v/>
      </c>
      <c r="B1293" s="52">
        <f>IF(Учет!$O1293=Справочники!$F$2,Учет!$H1293,0)</f>
        <v>0</v>
      </c>
      <c r="C1293" s="52">
        <f>IF(Учет!$O1293=Справочники!$F$3,Учет!$H1293,0)</f>
        <v>0</v>
      </c>
      <c r="D1293" s="52">
        <f>IF(Учет!$O1293=Справочники!$F$4,Учет!$H1293,0)</f>
        <v>0</v>
      </c>
      <c r="E1293" s="52">
        <f>IF(Учет!$O1293=Справочники!$F$5,Учет!$H1293,0)</f>
        <v>0</v>
      </c>
      <c r="F1293" s="52">
        <f>IF(Учет!$O1293=Справочники!$F$6,Учет!$H1293,0)</f>
        <v>0</v>
      </c>
      <c r="G1293" s="43">
        <f>G1292+Учет!B1293-B1293</f>
        <v>-488978.92000000004</v>
      </c>
      <c r="H1293" s="43">
        <f>H1292+Учет!C1293-C1293</f>
        <v>336855</v>
      </c>
      <c r="I1293" s="43">
        <f>I1292+Учет!D1293-D1293</f>
        <v>500</v>
      </c>
      <c r="J1293" s="43">
        <f>J1292+Учет!E1293-E1293</f>
        <v>1150</v>
      </c>
      <c r="K1293" s="43">
        <f>K1292+Учет!F1293-F1293</f>
        <v>500000</v>
      </c>
      <c r="L1293" s="45">
        <f>Учет!I1293</f>
        <v>349526.07999999996</v>
      </c>
    </row>
    <row r="1294" spans="1:12" x14ac:dyDescent="0.25">
      <c r="A1294" s="48" t="str">
        <f>IF(Учет!A1294&lt;&gt;"",Учет!A1294,"")</f>
        <v/>
      </c>
      <c r="B1294" s="52">
        <f>IF(Учет!$O1294=Справочники!$F$2,Учет!$H1294,0)</f>
        <v>0</v>
      </c>
      <c r="C1294" s="52">
        <f>IF(Учет!$O1294=Справочники!$F$3,Учет!$H1294,0)</f>
        <v>0</v>
      </c>
      <c r="D1294" s="52">
        <f>IF(Учет!$O1294=Справочники!$F$4,Учет!$H1294,0)</f>
        <v>0</v>
      </c>
      <c r="E1294" s="52">
        <f>IF(Учет!$O1294=Справочники!$F$5,Учет!$H1294,0)</f>
        <v>0</v>
      </c>
      <c r="F1294" s="52">
        <f>IF(Учет!$O1294=Справочники!$F$6,Учет!$H1294,0)</f>
        <v>0</v>
      </c>
      <c r="G1294" s="43">
        <f>G1293+Учет!B1294-B1294</f>
        <v>-488978.92000000004</v>
      </c>
      <c r="H1294" s="43">
        <f>H1293+Учет!C1294-C1294</f>
        <v>336855</v>
      </c>
      <c r="I1294" s="43">
        <f>I1293+Учет!D1294-D1294</f>
        <v>500</v>
      </c>
      <c r="J1294" s="43">
        <f>J1293+Учет!E1294-E1294</f>
        <v>1150</v>
      </c>
      <c r="K1294" s="43">
        <f>K1293+Учет!F1294-F1294</f>
        <v>500000</v>
      </c>
      <c r="L1294" s="45">
        <f>Учет!I1294</f>
        <v>349526.07999999996</v>
      </c>
    </row>
    <row r="1295" spans="1:12" x14ac:dyDescent="0.25">
      <c r="A1295" s="48" t="str">
        <f>IF(Учет!A1295&lt;&gt;"",Учет!A1295,"")</f>
        <v/>
      </c>
      <c r="B1295" s="52">
        <f>IF(Учет!$O1295=Справочники!$F$2,Учет!$H1295,0)</f>
        <v>0</v>
      </c>
      <c r="C1295" s="52">
        <f>IF(Учет!$O1295=Справочники!$F$3,Учет!$H1295,0)</f>
        <v>0</v>
      </c>
      <c r="D1295" s="52">
        <f>IF(Учет!$O1295=Справочники!$F$4,Учет!$H1295,0)</f>
        <v>0</v>
      </c>
      <c r="E1295" s="52">
        <f>IF(Учет!$O1295=Справочники!$F$5,Учет!$H1295,0)</f>
        <v>0</v>
      </c>
      <c r="F1295" s="52">
        <f>IF(Учет!$O1295=Справочники!$F$6,Учет!$H1295,0)</f>
        <v>0</v>
      </c>
      <c r="G1295" s="43">
        <f>G1294+Учет!B1295-B1295</f>
        <v>-488978.92000000004</v>
      </c>
      <c r="H1295" s="43">
        <f>H1294+Учет!C1295-C1295</f>
        <v>336855</v>
      </c>
      <c r="I1295" s="43">
        <f>I1294+Учет!D1295-D1295</f>
        <v>500</v>
      </c>
      <c r="J1295" s="43">
        <f>J1294+Учет!E1295-E1295</f>
        <v>1150</v>
      </c>
      <c r="K1295" s="43">
        <f>K1294+Учет!F1295-F1295</f>
        <v>500000</v>
      </c>
      <c r="L1295" s="45">
        <f>Учет!I1295</f>
        <v>349526.07999999996</v>
      </c>
    </row>
    <row r="1296" spans="1:12" x14ac:dyDescent="0.25">
      <c r="A1296" s="48" t="str">
        <f>IF(Учет!A1296&lt;&gt;"",Учет!A1296,"")</f>
        <v/>
      </c>
      <c r="B1296" s="52">
        <f>IF(Учет!$O1296=Справочники!$F$2,Учет!$H1296,0)</f>
        <v>0</v>
      </c>
      <c r="C1296" s="52">
        <f>IF(Учет!$O1296=Справочники!$F$3,Учет!$H1296,0)</f>
        <v>0</v>
      </c>
      <c r="D1296" s="52">
        <f>IF(Учет!$O1296=Справочники!$F$4,Учет!$H1296,0)</f>
        <v>0</v>
      </c>
      <c r="E1296" s="52">
        <f>IF(Учет!$O1296=Справочники!$F$5,Учет!$H1296,0)</f>
        <v>0</v>
      </c>
      <c r="F1296" s="52">
        <f>IF(Учет!$O1296=Справочники!$F$6,Учет!$H1296,0)</f>
        <v>0</v>
      </c>
      <c r="G1296" s="43">
        <f>G1295+Учет!B1296-B1296</f>
        <v>-488978.92000000004</v>
      </c>
      <c r="H1296" s="43">
        <f>H1295+Учет!C1296-C1296</f>
        <v>336855</v>
      </c>
      <c r="I1296" s="43">
        <f>I1295+Учет!D1296-D1296</f>
        <v>500</v>
      </c>
      <c r="J1296" s="43">
        <f>J1295+Учет!E1296-E1296</f>
        <v>1150</v>
      </c>
      <c r="K1296" s="43">
        <f>K1295+Учет!F1296-F1296</f>
        <v>500000</v>
      </c>
      <c r="L1296" s="45">
        <f>Учет!I1296</f>
        <v>349526.07999999996</v>
      </c>
    </row>
    <row r="1297" spans="1:12" x14ac:dyDescent="0.25">
      <c r="A1297" s="48" t="str">
        <f>IF(Учет!A1297&lt;&gt;"",Учет!A1297,"")</f>
        <v/>
      </c>
      <c r="B1297" s="52">
        <f>IF(Учет!$O1297=Справочники!$F$2,Учет!$H1297,0)</f>
        <v>0</v>
      </c>
      <c r="C1297" s="52">
        <f>IF(Учет!$O1297=Справочники!$F$3,Учет!$H1297,0)</f>
        <v>0</v>
      </c>
      <c r="D1297" s="52">
        <f>IF(Учет!$O1297=Справочники!$F$4,Учет!$H1297,0)</f>
        <v>0</v>
      </c>
      <c r="E1297" s="52">
        <f>IF(Учет!$O1297=Справочники!$F$5,Учет!$H1297,0)</f>
        <v>0</v>
      </c>
      <c r="F1297" s="52">
        <f>IF(Учет!$O1297=Справочники!$F$6,Учет!$H1297,0)</f>
        <v>0</v>
      </c>
      <c r="G1297" s="43">
        <f>G1296+Учет!B1297-B1297</f>
        <v>-488978.92000000004</v>
      </c>
      <c r="H1297" s="43">
        <f>H1296+Учет!C1297-C1297</f>
        <v>336855</v>
      </c>
      <c r="I1297" s="43">
        <f>I1296+Учет!D1297-D1297</f>
        <v>500</v>
      </c>
      <c r="J1297" s="43">
        <f>J1296+Учет!E1297-E1297</f>
        <v>1150</v>
      </c>
      <c r="K1297" s="43">
        <f>K1296+Учет!F1297-F1297</f>
        <v>500000</v>
      </c>
      <c r="L1297" s="45">
        <f>Учет!I1297</f>
        <v>349526.07999999996</v>
      </c>
    </row>
    <row r="1298" spans="1:12" x14ac:dyDescent="0.25">
      <c r="A1298" s="48" t="str">
        <f>IF(Учет!A1298&lt;&gt;"",Учет!A1298,"")</f>
        <v/>
      </c>
      <c r="B1298" s="52">
        <f>IF(Учет!$O1298=Справочники!$F$2,Учет!$H1298,0)</f>
        <v>0</v>
      </c>
      <c r="C1298" s="52">
        <f>IF(Учет!$O1298=Справочники!$F$3,Учет!$H1298,0)</f>
        <v>0</v>
      </c>
      <c r="D1298" s="52">
        <f>IF(Учет!$O1298=Справочники!$F$4,Учет!$H1298,0)</f>
        <v>0</v>
      </c>
      <c r="E1298" s="52">
        <f>IF(Учет!$O1298=Справочники!$F$5,Учет!$H1298,0)</f>
        <v>0</v>
      </c>
      <c r="F1298" s="52">
        <f>IF(Учет!$O1298=Справочники!$F$6,Учет!$H1298,0)</f>
        <v>0</v>
      </c>
      <c r="G1298" s="43">
        <f>G1297+Учет!B1298-B1298</f>
        <v>-488978.92000000004</v>
      </c>
      <c r="H1298" s="43">
        <f>H1297+Учет!C1298-C1298</f>
        <v>336855</v>
      </c>
      <c r="I1298" s="43">
        <f>I1297+Учет!D1298-D1298</f>
        <v>500</v>
      </c>
      <c r="J1298" s="43">
        <f>J1297+Учет!E1298-E1298</f>
        <v>1150</v>
      </c>
      <c r="K1298" s="43">
        <f>K1297+Учет!F1298-F1298</f>
        <v>500000</v>
      </c>
      <c r="L1298" s="45">
        <f>Учет!I1298</f>
        <v>349526.07999999996</v>
      </c>
    </row>
    <row r="1299" spans="1:12" x14ac:dyDescent="0.25">
      <c r="A1299" s="48" t="str">
        <f>IF(Учет!A1299&lt;&gt;"",Учет!A1299,"")</f>
        <v/>
      </c>
      <c r="B1299" s="52">
        <f>IF(Учет!$O1299=Справочники!$F$2,Учет!$H1299,0)</f>
        <v>0</v>
      </c>
      <c r="C1299" s="52">
        <f>IF(Учет!$O1299=Справочники!$F$3,Учет!$H1299,0)</f>
        <v>0</v>
      </c>
      <c r="D1299" s="52">
        <f>IF(Учет!$O1299=Справочники!$F$4,Учет!$H1299,0)</f>
        <v>0</v>
      </c>
      <c r="E1299" s="52">
        <f>IF(Учет!$O1299=Справочники!$F$5,Учет!$H1299,0)</f>
        <v>0</v>
      </c>
      <c r="F1299" s="52">
        <f>IF(Учет!$O1299=Справочники!$F$6,Учет!$H1299,0)</f>
        <v>0</v>
      </c>
      <c r="G1299" s="43">
        <f>G1298+Учет!B1299-B1299</f>
        <v>-488978.92000000004</v>
      </c>
      <c r="H1299" s="43">
        <f>H1298+Учет!C1299-C1299</f>
        <v>336855</v>
      </c>
      <c r="I1299" s="43">
        <f>I1298+Учет!D1299-D1299</f>
        <v>500</v>
      </c>
      <c r="J1299" s="43">
        <f>J1298+Учет!E1299-E1299</f>
        <v>1150</v>
      </c>
      <c r="K1299" s="43">
        <f>K1298+Учет!F1299-F1299</f>
        <v>500000</v>
      </c>
      <c r="L1299" s="45">
        <f>Учет!I1299</f>
        <v>349526.07999999996</v>
      </c>
    </row>
    <row r="1300" spans="1:12" x14ac:dyDescent="0.25">
      <c r="A1300" s="48" t="str">
        <f>IF(Учет!A1300&lt;&gt;"",Учет!A1300,"")</f>
        <v/>
      </c>
      <c r="B1300" s="52">
        <f>IF(Учет!$O1300=Справочники!$F$2,Учет!$H1300,0)</f>
        <v>0</v>
      </c>
      <c r="C1300" s="52">
        <f>IF(Учет!$O1300=Справочники!$F$3,Учет!$H1300,0)</f>
        <v>0</v>
      </c>
      <c r="D1300" s="52">
        <f>IF(Учет!$O1300=Справочники!$F$4,Учет!$H1300,0)</f>
        <v>0</v>
      </c>
      <c r="E1300" s="52">
        <f>IF(Учет!$O1300=Справочники!$F$5,Учет!$H1300,0)</f>
        <v>0</v>
      </c>
      <c r="F1300" s="52">
        <f>IF(Учет!$O1300=Справочники!$F$6,Учет!$H1300,0)</f>
        <v>0</v>
      </c>
      <c r="G1300" s="43">
        <f>G1299+Учет!B1300-B1300</f>
        <v>-488978.92000000004</v>
      </c>
      <c r="H1300" s="43">
        <f>H1299+Учет!C1300-C1300</f>
        <v>336855</v>
      </c>
      <c r="I1300" s="43">
        <f>I1299+Учет!D1300-D1300</f>
        <v>500</v>
      </c>
      <c r="J1300" s="43">
        <f>J1299+Учет!E1300-E1300</f>
        <v>1150</v>
      </c>
      <c r="K1300" s="43">
        <f>K1299+Учет!F1300-F1300</f>
        <v>500000</v>
      </c>
      <c r="L1300" s="45">
        <f>Учет!I1300</f>
        <v>349526.07999999996</v>
      </c>
    </row>
    <row r="1301" spans="1:12" x14ac:dyDescent="0.25">
      <c r="A1301" s="48" t="str">
        <f>IF(Учет!A1301&lt;&gt;"",Учет!A1301,"")</f>
        <v/>
      </c>
      <c r="B1301" s="52">
        <f>IF(Учет!$O1301=Справочники!$F$2,Учет!$H1301,0)</f>
        <v>0</v>
      </c>
      <c r="C1301" s="52">
        <f>IF(Учет!$O1301=Справочники!$F$3,Учет!$H1301,0)</f>
        <v>0</v>
      </c>
      <c r="D1301" s="52">
        <f>IF(Учет!$O1301=Справочники!$F$4,Учет!$H1301,0)</f>
        <v>0</v>
      </c>
      <c r="E1301" s="52">
        <f>IF(Учет!$O1301=Справочники!$F$5,Учет!$H1301,0)</f>
        <v>0</v>
      </c>
      <c r="F1301" s="52">
        <f>IF(Учет!$O1301=Справочники!$F$6,Учет!$H1301,0)</f>
        <v>0</v>
      </c>
      <c r="G1301" s="43">
        <f>G1300+Учет!B1301-B1301</f>
        <v>-488978.92000000004</v>
      </c>
      <c r="H1301" s="43">
        <f>H1300+Учет!C1301-C1301</f>
        <v>336855</v>
      </c>
      <c r="I1301" s="43">
        <f>I1300+Учет!D1301-D1301</f>
        <v>500</v>
      </c>
      <c r="J1301" s="43">
        <f>J1300+Учет!E1301-E1301</f>
        <v>1150</v>
      </c>
      <c r="K1301" s="43">
        <f>K1300+Учет!F1301-F1301</f>
        <v>500000</v>
      </c>
      <c r="L1301" s="45">
        <f>Учет!I1301</f>
        <v>349526.07999999996</v>
      </c>
    </row>
    <row r="1302" spans="1:12" x14ac:dyDescent="0.25">
      <c r="A1302" s="48" t="str">
        <f>IF(Учет!A1302&lt;&gt;"",Учет!A1302,"")</f>
        <v/>
      </c>
      <c r="B1302" s="52">
        <f>IF(Учет!$O1302=Справочники!$F$2,Учет!$H1302,0)</f>
        <v>0</v>
      </c>
      <c r="C1302" s="52">
        <f>IF(Учет!$O1302=Справочники!$F$3,Учет!$H1302,0)</f>
        <v>0</v>
      </c>
      <c r="D1302" s="52">
        <f>IF(Учет!$O1302=Справочники!$F$4,Учет!$H1302,0)</f>
        <v>0</v>
      </c>
      <c r="E1302" s="52">
        <f>IF(Учет!$O1302=Справочники!$F$5,Учет!$H1302,0)</f>
        <v>0</v>
      </c>
      <c r="F1302" s="52">
        <f>IF(Учет!$O1302=Справочники!$F$6,Учет!$H1302,0)</f>
        <v>0</v>
      </c>
      <c r="G1302" s="43">
        <f>G1301+Учет!B1302-B1302</f>
        <v>-488978.92000000004</v>
      </c>
      <c r="H1302" s="43">
        <f>H1301+Учет!C1302-C1302</f>
        <v>336855</v>
      </c>
      <c r="I1302" s="43">
        <f>I1301+Учет!D1302-D1302</f>
        <v>500</v>
      </c>
      <c r="J1302" s="43">
        <f>J1301+Учет!E1302-E1302</f>
        <v>1150</v>
      </c>
      <c r="K1302" s="43">
        <f>K1301+Учет!F1302-F1302</f>
        <v>500000</v>
      </c>
      <c r="L1302" s="45">
        <f>Учет!I1302</f>
        <v>349526.07999999996</v>
      </c>
    </row>
    <row r="1303" spans="1:12" x14ac:dyDescent="0.25">
      <c r="A1303" s="48" t="str">
        <f>IF(Учет!A1303&lt;&gt;"",Учет!A1303,"")</f>
        <v/>
      </c>
      <c r="B1303" s="52">
        <f>IF(Учет!$O1303=Справочники!$F$2,Учет!$H1303,0)</f>
        <v>0</v>
      </c>
      <c r="C1303" s="52">
        <f>IF(Учет!$O1303=Справочники!$F$3,Учет!$H1303,0)</f>
        <v>0</v>
      </c>
      <c r="D1303" s="52">
        <f>IF(Учет!$O1303=Справочники!$F$4,Учет!$H1303,0)</f>
        <v>0</v>
      </c>
      <c r="E1303" s="52">
        <f>IF(Учет!$O1303=Справочники!$F$5,Учет!$H1303,0)</f>
        <v>0</v>
      </c>
      <c r="F1303" s="52">
        <f>IF(Учет!$O1303=Справочники!$F$6,Учет!$H1303,0)</f>
        <v>0</v>
      </c>
      <c r="G1303" s="43">
        <f>G1302+Учет!B1303-B1303</f>
        <v>-488978.92000000004</v>
      </c>
      <c r="H1303" s="43">
        <f>H1302+Учет!C1303-C1303</f>
        <v>336855</v>
      </c>
      <c r="I1303" s="43">
        <f>I1302+Учет!D1303-D1303</f>
        <v>500</v>
      </c>
      <c r="J1303" s="43">
        <f>J1302+Учет!E1303-E1303</f>
        <v>1150</v>
      </c>
      <c r="K1303" s="43">
        <f>K1302+Учет!F1303-F1303</f>
        <v>500000</v>
      </c>
      <c r="L1303" s="45">
        <f>Учет!I1303</f>
        <v>349526.07999999996</v>
      </c>
    </row>
    <row r="1304" spans="1:12" x14ac:dyDescent="0.25">
      <c r="A1304" s="48" t="str">
        <f>IF(Учет!A1304&lt;&gt;"",Учет!A1304,"")</f>
        <v/>
      </c>
      <c r="B1304" s="52">
        <f>IF(Учет!$O1304=Справочники!$F$2,Учет!$H1304,0)</f>
        <v>0</v>
      </c>
      <c r="C1304" s="52">
        <f>IF(Учет!$O1304=Справочники!$F$3,Учет!$H1304,0)</f>
        <v>0</v>
      </c>
      <c r="D1304" s="52">
        <f>IF(Учет!$O1304=Справочники!$F$4,Учет!$H1304,0)</f>
        <v>0</v>
      </c>
      <c r="E1304" s="52">
        <f>IF(Учет!$O1304=Справочники!$F$5,Учет!$H1304,0)</f>
        <v>0</v>
      </c>
      <c r="F1304" s="52">
        <f>IF(Учет!$O1304=Справочники!$F$6,Учет!$H1304,0)</f>
        <v>0</v>
      </c>
      <c r="G1304" s="43">
        <f>G1303+Учет!B1304-B1304</f>
        <v>-488978.92000000004</v>
      </c>
      <c r="H1304" s="43">
        <f>H1303+Учет!C1304-C1304</f>
        <v>336855</v>
      </c>
      <c r="I1304" s="43">
        <f>I1303+Учет!D1304-D1304</f>
        <v>500</v>
      </c>
      <c r="J1304" s="43">
        <f>J1303+Учет!E1304-E1304</f>
        <v>1150</v>
      </c>
      <c r="K1304" s="43">
        <f>K1303+Учет!F1304-F1304</f>
        <v>500000</v>
      </c>
      <c r="L1304" s="45">
        <f>Учет!I1304</f>
        <v>349526.07999999996</v>
      </c>
    </row>
    <row r="1305" spans="1:12" x14ac:dyDescent="0.25">
      <c r="A1305" s="48" t="str">
        <f>IF(Учет!A1305&lt;&gt;"",Учет!A1305,"")</f>
        <v/>
      </c>
      <c r="B1305" s="52">
        <f>IF(Учет!$O1305=Справочники!$F$2,Учет!$H1305,0)</f>
        <v>0</v>
      </c>
      <c r="C1305" s="52">
        <f>IF(Учет!$O1305=Справочники!$F$3,Учет!$H1305,0)</f>
        <v>0</v>
      </c>
      <c r="D1305" s="52">
        <f>IF(Учет!$O1305=Справочники!$F$4,Учет!$H1305,0)</f>
        <v>0</v>
      </c>
      <c r="E1305" s="52">
        <f>IF(Учет!$O1305=Справочники!$F$5,Учет!$H1305,0)</f>
        <v>0</v>
      </c>
      <c r="F1305" s="52">
        <f>IF(Учет!$O1305=Справочники!$F$6,Учет!$H1305,0)</f>
        <v>0</v>
      </c>
      <c r="G1305" s="43">
        <f>G1304+Учет!B1305-B1305</f>
        <v>-488978.92000000004</v>
      </c>
      <c r="H1305" s="43">
        <f>H1304+Учет!C1305-C1305</f>
        <v>336855</v>
      </c>
      <c r="I1305" s="43">
        <f>I1304+Учет!D1305-D1305</f>
        <v>500</v>
      </c>
      <c r="J1305" s="43">
        <f>J1304+Учет!E1305-E1305</f>
        <v>1150</v>
      </c>
      <c r="K1305" s="43">
        <f>K1304+Учет!F1305-F1305</f>
        <v>500000</v>
      </c>
      <c r="L1305" s="45">
        <f>Учет!I1305</f>
        <v>349526.07999999996</v>
      </c>
    </row>
    <row r="1306" spans="1:12" x14ac:dyDescent="0.25">
      <c r="A1306" s="48" t="str">
        <f>IF(Учет!A1306&lt;&gt;"",Учет!A1306,"")</f>
        <v/>
      </c>
      <c r="B1306" s="52">
        <f>IF(Учет!$O1306=Справочники!$F$2,Учет!$H1306,0)</f>
        <v>0</v>
      </c>
      <c r="C1306" s="52">
        <f>IF(Учет!$O1306=Справочники!$F$3,Учет!$H1306,0)</f>
        <v>0</v>
      </c>
      <c r="D1306" s="52">
        <f>IF(Учет!$O1306=Справочники!$F$4,Учет!$H1306,0)</f>
        <v>0</v>
      </c>
      <c r="E1306" s="52">
        <f>IF(Учет!$O1306=Справочники!$F$5,Учет!$H1306,0)</f>
        <v>0</v>
      </c>
      <c r="F1306" s="52">
        <f>IF(Учет!$O1306=Справочники!$F$6,Учет!$H1306,0)</f>
        <v>0</v>
      </c>
      <c r="G1306" s="43">
        <f>G1305+Учет!B1306-B1306</f>
        <v>-488978.92000000004</v>
      </c>
      <c r="H1306" s="43">
        <f>H1305+Учет!C1306-C1306</f>
        <v>336855</v>
      </c>
      <c r="I1306" s="43">
        <f>I1305+Учет!D1306-D1306</f>
        <v>500</v>
      </c>
      <c r="J1306" s="43">
        <f>J1305+Учет!E1306-E1306</f>
        <v>1150</v>
      </c>
      <c r="K1306" s="43">
        <f>K1305+Учет!F1306-F1306</f>
        <v>500000</v>
      </c>
      <c r="L1306" s="45">
        <f>Учет!I1306</f>
        <v>349526.07999999996</v>
      </c>
    </row>
    <row r="1307" spans="1:12" x14ac:dyDescent="0.25">
      <c r="A1307" s="48" t="str">
        <f>IF(Учет!A1307&lt;&gt;"",Учет!A1307,"")</f>
        <v/>
      </c>
      <c r="B1307" s="52">
        <f>IF(Учет!$O1307=Справочники!$F$2,Учет!$H1307,0)</f>
        <v>0</v>
      </c>
      <c r="C1307" s="52">
        <f>IF(Учет!$O1307=Справочники!$F$3,Учет!$H1307,0)</f>
        <v>0</v>
      </c>
      <c r="D1307" s="52">
        <f>IF(Учет!$O1307=Справочники!$F$4,Учет!$H1307,0)</f>
        <v>0</v>
      </c>
      <c r="E1307" s="52">
        <f>IF(Учет!$O1307=Справочники!$F$5,Учет!$H1307,0)</f>
        <v>0</v>
      </c>
      <c r="F1307" s="52">
        <f>IF(Учет!$O1307=Справочники!$F$6,Учет!$H1307,0)</f>
        <v>0</v>
      </c>
      <c r="G1307" s="43">
        <f>G1306+Учет!B1307-B1307</f>
        <v>-488978.92000000004</v>
      </c>
      <c r="H1307" s="43">
        <f>H1306+Учет!C1307-C1307</f>
        <v>336855</v>
      </c>
      <c r="I1307" s="43">
        <f>I1306+Учет!D1307-D1307</f>
        <v>500</v>
      </c>
      <c r="J1307" s="43">
        <f>J1306+Учет!E1307-E1307</f>
        <v>1150</v>
      </c>
      <c r="K1307" s="43">
        <f>K1306+Учет!F1307-F1307</f>
        <v>500000</v>
      </c>
      <c r="L1307" s="45">
        <f>Учет!I1307</f>
        <v>349526.07999999996</v>
      </c>
    </row>
    <row r="1308" spans="1:12" x14ac:dyDescent="0.25">
      <c r="A1308" s="48" t="str">
        <f>IF(Учет!A1308&lt;&gt;"",Учет!A1308,"")</f>
        <v/>
      </c>
      <c r="B1308" s="52">
        <f>IF(Учет!$O1308=Справочники!$F$2,Учет!$H1308,0)</f>
        <v>0</v>
      </c>
      <c r="C1308" s="52">
        <f>IF(Учет!$O1308=Справочники!$F$3,Учет!$H1308,0)</f>
        <v>0</v>
      </c>
      <c r="D1308" s="52">
        <f>IF(Учет!$O1308=Справочники!$F$4,Учет!$H1308,0)</f>
        <v>0</v>
      </c>
      <c r="E1308" s="52">
        <f>IF(Учет!$O1308=Справочники!$F$5,Учет!$H1308,0)</f>
        <v>0</v>
      </c>
      <c r="F1308" s="52">
        <f>IF(Учет!$O1308=Справочники!$F$6,Учет!$H1308,0)</f>
        <v>0</v>
      </c>
      <c r="G1308" s="43">
        <f>G1307+Учет!B1308-B1308</f>
        <v>-488978.92000000004</v>
      </c>
      <c r="H1308" s="43">
        <f>H1307+Учет!C1308-C1308</f>
        <v>336855</v>
      </c>
      <c r="I1308" s="43">
        <f>I1307+Учет!D1308-D1308</f>
        <v>500</v>
      </c>
      <c r="J1308" s="43">
        <f>J1307+Учет!E1308-E1308</f>
        <v>1150</v>
      </c>
      <c r="K1308" s="43">
        <f>K1307+Учет!F1308-F1308</f>
        <v>500000</v>
      </c>
      <c r="L1308" s="45">
        <f>Учет!I1308</f>
        <v>349526.07999999996</v>
      </c>
    </row>
    <row r="1309" spans="1:12" x14ac:dyDescent="0.25">
      <c r="A1309" s="48" t="str">
        <f>IF(Учет!A1309&lt;&gt;"",Учет!A1309,"")</f>
        <v/>
      </c>
      <c r="B1309" s="52">
        <f>IF(Учет!$O1309=Справочники!$F$2,Учет!$H1309,0)</f>
        <v>0</v>
      </c>
      <c r="C1309" s="52">
        <f>IF(Учет!$O1309=Справочники!$F$3,Учет!$H1309,0)</f>
        <v>0</v>
      </c>
      <c r="D1309" s="52">
        <f>IF(Учет!$O1309=Справочники!$F$4,Учет!$H1309,0)</f>
        <v>0</v>
      </c>
      <c r="E1309" s="52">
        <f>IF(Учет!$O1309=Справочники!$F$5,Учет!$H1309,0)</f>
        <v>0</v>
      </c>
      <c r="F1309" s="52">
        <f>IF(Учет!$O1309=Справочники!$F$6,Учет!$H1309,0)</f>
        <v>0</v>
      </c>
      <c r="G1309" s="43">
        <f>G1308+Учет!B1309-B1309</f>
        <v>-488978.92000000004</v>
      </c>
      <c r="H1309" s="43">
        <f>H1308+Учет!C1309-C1309</f>
        <v>336855</v>
      </c>
      <c r="I1309" s="43">
        <f>I1308+Учет!D1309-D1309</f>
        <v>500</v>
      </c>
      <c r="J1309" s="43">
        <f>J1308+Учет!E1309-E1309</f>
        <v>1150</v>
      </c>
      <c r="K1309" s="43">
        <f>K1308+Учет!F1309-F1309</f>
        <v>500000</v>
      </c>
      <c r="L1309" s="45">
        <f>Учет!I1309</f>
        <v>349526.07999999996</v>
      </c>
    </row>
    <row r="1310" spans="1:12" x14ac:dyDescent="0.25">
      <c r="A1310" s="48" t="str">
        <f>IF(Учет!A1310&lt;&gt;"",Учет!A1310,"")</f>
        <v/>
      </c>
      <c r="B1310" s="52">
        <f>IF(Учет!$O1310=Справочники!$F$2,Учет!$H1310,0)</f>
        <v>0</v>
      </c>
      <c r="C1310" s="52">
        <f>IF(Учет!$O1310=Справочники!$F$3,Учет!$H1310,0)</f>
        <v>0</v>
      </c>
      <c r="D1310" s="52">
        <f>IF(Учет!$O1310=Справочники!$F$4,Учет!$H1310,0)</f>
        <v>0</v>
      </c>
      <c r="E1310" s="52">
        <f>IF(Учет!$O1310=Справочники!$F$5,Учет!$H1310,0)</f>
        <v>0</v>
      </c>
      <c r="F1310" s="52">
        <f>IF(Учет!$O1310=Справочники!$F$6,Учет!$H1310,0)</f>
        <v>0</v>
      </c>
      <c r="G1310" s="43">
        <f>G1309+Учет!B1310-B1310</f>
        <v>-488978.92000000004</v>
      </c>
      <c r="H1310" s="43">
        <f>H1309+Учет!C1310-C1310</f>
        <v>336855</v>
      </c>
      <c r="I1310" s="43">
        <f>I1309+Учет!D1310-D1310</f>
        <v>500</v>
      </c>
      <c r="J1310" s="43">
        <f>J1309+Учет!E1310-E1310</f>
        <v>1150</v>
      </c>
      <c r="K1310" s="43">
        <f>K1309+Учет!F1310-F1310</f>
        <v>500000</v>
      </c>
      <c r="L1310" s="45">
        <f>Учет!I1310</f>
        <v>349526.07999999996</v>
      </c>
    </row>
    <row r="1311" spans="1:12" x14ac:dyDescent="0.25">
      <c r="A1311" s="48" t="str">
        <f>IF(Учет!A1311&lt;&gt;"",Учет!A1311,"")</f>
        <v/>
      </c>
      <c r="B1311" s="52">
        <f>IF(Учет!$O1311=Справочники!$F$2,Учет!$H1311,0)</f>
        <v>0</v>
      </c>
      <c r="C1311" s="52">
        <f>IF(Учет!$O1311=Справочники!$F$3,Учет!$H1311,0)</f>
        <v>0</v>
      </c>
      <c r="D1311" s="52">
        <f>IF(Учет!$O1311=Справочники!$F$4,Учет!$H1311,0)</f>
        <v>0</v>
      </c>
      <c r="E1311" s="52">
        <f>IF(Учет!$O1311=Справочники!$F$5,Учет!$H1311,0)</f>
        <v>0</v>
      </c>
      <c r="F1311" s="52">
        <f>IF(Учет!$O1311=Справочники!$F$6,Учет!$H1311,0)</f>
        <v>0</v>
      </c>
      <c r="G1311" s="43">
        <f>G1310+Учет!B1311-B1311</f>
        <v>-488978.92000000004</v>
      </c>
      <c r="H1311" s="43">
        <f>H1310+Учет!C1311-C1311</f>
        <v>336855</v>
      </c>
      <c r="I1311" s="43">
        <f>I1310+Учет!D1311-D1311</f>
        <v>500</v>
      </c>
      <c r="J1311" s="43">
        <f>J1310+Учет!E1311-E1311</f>
        <v>1150</v>
      </c>
      <c r="K1311" s="43">
        <f>K1310+Учет!F1311-F1311</f>
        <v>500000</v>
      </c>
      <c r="L1311" s="45">
        <f>Учет!I1311</f>
        <v>349526.07999999996</v>
      </c>
    </row>
    <row r="1312" spans="1:12" x14ac:dyDescent="0.25">
      <c r="A1312" s="48" t="str">
        <f>IF(Учет!A1312&lt;&gt;"",Учет!A1312,"")</f>
        <v/>
      </c>
      <c r="B1312" s="52">
        <f>IF(Учет!$O1312=Справочники!$F$2,Учет!$H1312,0)</f>
        <v>0</v>
      </c>
      <c r="C1312" s="52">
        <f>IF(Учет!$O1312=Справочники!$F$3,Учет!$H1312,0)</f>
        <v>0</v>
      </c>
      <c r="D1312" s="52">
        <f>IF(Учет!$O1312=Справочники!$F$4,Учет!$H1312,0)</f>
        <v>0</v>
      </c>
      <c r="E1312" s="52">
        <f>IF(Учет!$O1312=Справочники!$F$5,Учет!$H1312,0)</f>
        <v>0</v>
      </c>
      <c r="F1312" s="52">
        <f>IF(Учет!$O1312=Справочники!$F$6,Учет!$H1312,0)</f>
        <v>0</v>
      </c>
      <c r="G1312" s="43">
        <f>G1311+Учет!B1312-B1312</f>
        <v>-488978.92000000004</v>
      </c>
      <c r="H1312" s="43">
        <f>H1311+Учет!C1312-C1312</f>
        <v>336855</v>
      </c>
      <c r="I1312" s="43">
        <f>I1311+Учет!D1312-D1312</f>
        <v>500</v>
      </c>
      <c r="J1312" s="43">
        <f>J1311+Учет!E1312-E1312</f>
        <v>1150</v>
      </c>
      <c r="K1312" s="43">
        <f>K1311+Учет!F1312-F1312</f>
        <v>500000</v>
      </c>
      <c r="L1312" s="45">
        <f>Учет!I1312</f>
        <v>349526.07999999996</v>
      </c>
    </row>
    <row r="1313" spans="1:12" x14ac:dyDescent="0.25">
      <c r="A1313" s="48" t="str">
        <f>IF(Учет!A1313&lt;&gt;"",Учет!A1313,"")</f>
        <v/>
      </c>
      <c r="B1313" s="52">
        <f>IF(Учет!$O1313=Справочники!$F$2,Учет!$H1313,0)</f>
        <v>0</v>
      </c>
      <c r="C1313" s="52">
        <f>IF(Учет!$O1313=Справочники!$F$3,Учет!$H1313,0)</f>
        <v>0</v>
      </c>
      <c r="D1313" s="52">
        <f>IF(Учет!$O1313=Справочники!$F$4,Учет!$H1313,0)</f>
        <v>0</v>
      </c>
      <c r="E1313" s="52">
        <f>IF(Учет!$O1313=Справочники!$F$5,Учет!$H1313,0)</f>
        <v>0</v>
      </c>
      <c r="F1313" s="52">
        <f>IF(Учет!$O1313=Справочники!$F$6,Учет!$H1313,0)</f>
        <v>0</v>
      </c>
      <c r="G1313" s="43">
        <f>G1312+Учет!B1313-B1313</f>
        <v>-488978.92000000004</v>
      </c>
      <c r="H1313" s="43">
        <f>H1312+Учет!C1313-C1313</f>
        <v>336855</v>
      </c>
      <c r="I1313" s="43">
        <f>I1312+Учет!D1313-D1313</f>
        <v>500</v>
      </c>
      <c r="J1313" s="43">
        <f>J1312+Учет!E1313-E1313</f>
        <v>1150</v>
      </c>
      <c r="K1313" s="43">
        <f>K1312+Учет!F1313-F1313</f>
        <v>500000</v>
      </c>
      <c r="L1313" s="45">
        <f>Учет!I1313</f>
        <v>349526.07999999996</v>
      </c>
    </row>
    <row r="1314" spans="1:12" x14ac:dyDescent="0.25">
      <c r="A1314" s="48" t="str">
        <f>IF(Учет!A1314&lt;&gt;"",Учет!A1314,"")</f>
        <v/>
      </c>
      <c r="B1314" s="52">
        <f>IF(Учет!$O1314=Справочники!$F$2,Учет!$H1314,0)</f>
        <v>0</v>
      </c>
      <c r="C1314" s="52">
        <f>IF(Учет!$O1314=Справочники!$F$3,Учет!$H1314,0)</f>
        <v>0</v>
      </c>
      <c r="D1314" s="52">
        <f>IF(Учет!$O1314=Справочники!$F$4,Учет!$H1314,0)</f>
        <v>0</v>
      </c>
      <c r="E1314" s="52">
        <f>IF(Учет!$O1314=Справочники!$F$5,Учет!$H1314,0)</f>
        <v>0</v>
      </c>
      <c r="F1314" s="52">
        <f>IF(Учет!$O1314=Справочники!$F$6,Учет!$H1314,0)</f>
        <v>0</v>
      </c>
      <c r="G1314" s="43">
        <f>G1313+Учет!B1314-B1314</f>
        <v>-488978.92000000004</v>
      </c>
      <c r="H1314" s="43">
        <f>H1313+Учет!C1314-C1314</f>
        <v>336855</v>
      </c>
      <c r="I1314" s="43">
        <f>I1313+Учет!D1314-D1314</f>
        <v>500</v>
      </c>
      <c r="J1314" s="43">
        <f>J1313+Учет!E1314-E1314</f>
        <v>1150</v>
      </c>
      <c r="K1314" s="43">
        <f>K1313+Учет!F1314-F1314</f>
        <v>500000</v>
      </c>
      <c r="L1314" s="45">
        <f>Учет!I1314</f>
        <v>349526.07999999996</v>
      </c>
    </row>
    <row r="1315" spans="1:12" x14ac:dyDescent="0.25">
      <c r="A1315" s="48" t="str">
        <f>IF(Учет!A1315&lt;&gt;"",Учет!A1315,"")</f>
        <v/>
      </c>
      <c r="B1315" s="52">
        <f>IF(Учет!$O1315=Справочники!$F$2,Учет!$H1315,0)</f>
        <v>0</v>
      </c>
      <c r="C1315" s="52">
        <f>IF(Учет!$O1315=Справочники!$F$3,Учет!$H1315,0)</f>
        <v>0</v>
      </c>
      <c r="D1315" s="52">
        <f>IF(Учет!$O1315=Справочники!$F$4,Учет!$H1315,0)</f>
        <v>0</v>
      </c>
      <c r="E1315" s="52">
        <f>IF(Учет!$O1315=Справочники!$F$5,Учет!$H1315,0)</f>
        <v>0</v>
      </c>
      <c r="F1315" s="52">
        <f>IF(Учет!$O1315=Справочники!$F$6,Учет!$H1315,0)</f>
        <v>0</v>
      </c>
      <c r="G1315" s="43">
        <f>G1314+Учет!B1315-B1315</f>
        <v>-488978.92000000004</v>
      </c>
      <c r="H1315" s="43">
        <f>H1314+Учет!C1315-C1315</f>
        <v>336855</v>
      </c>
      <c r="I1315" s="43">
        <f>I1314+Учет!D1315-D1315</f>
        <v>500</v>
      </c>
      <c r="J1315" s="43">
        <f>J1314+Учет!E1315-E1315</f>
        <v>1150</v>
      </c>
      <c r="K1315" s="43">
        <f>K1314+Учет!F1315-F1315</f>
        <v>500000</v>
      </c>
      <c r="L1315" s="45">
        <f>Учет!I1315</f>
        <v>349526.07999999996</v>
      </c>
    </row>
    <row r="1316" spans="1:12" x14ac:dyDescent="0.25">
      <c r="A1316" s="48" t="str">
        <f>IF(Учет!A1316&lt;&gt;"",Учет!A1316,"")</f>
        <v/>
      </c>
      <c r="B1316" s="52">
        <f>IF(Учет!$O1316=Справочники!$F$2,Учет!$H1316,0)</f>
        <v>0</v>
      </c>
      <c r="C1316" s="52">
        <f>IF(Учет!$O1316=Справочники!$F$3,Учет!$H1316,0)</f>
        <v>0</v>
      </c>
      <c r="D1316" s="52">
        <f>IF(Учет!$O1316=Справочники!$F$4,Учет!$H1316,0)</f>
        <v>0</v>
      </c>
      <c r="E1316" s="52">
        <f>IF(Учет!$O1316=Справочники!$F$5,Учет!$H1316,0)</f>
        <v>0</v>
      </c>
      <c r="F1316" s="52">
        <f>IF(Учет!$O1316=Справочники!$F$6,Учет!$H1316,0)</f>
        <v>0</v>
      </c>
      <c r="G1316" s="43">
        <f>G1315+Учет!B1316-B1316</f>
        <v>-488978.92000000004</v>
      </c>
      <c r="H1316" s="43">
        <f>H1315+Учет!C1316-C1316</f>
        <v>336855</v>
      </c>
      <c r="I1316" s="43">
        <f>I1315+Учет!D1316-D1316</f>
        <v>500</v>
      </c>
      <c r="J1316" s="43">
        <f>J1315+Учет!E1316-E1316</f>
        <v>1150</v>
      </c>
      <c r="K1316" s="43">
        <f>K1315+Учет!F1316-F1316</f>
        <v>500000</v>
      </c>
      <c r="L1316" s="45">
        <f>Учет!I1316</f>
        <v>349526.07999999996</v>
      </c>
    </row>
    <row r="1317" spans="1:12" x14ac:dyDescent="0.25">
      <c r="A1317" s="48" t="str">
        <f>IF(Учет!A1317&lt;&gt;"",Учет!A1317,"")</f>
        <v/>
      </c>
      <c r="B1317" s="52">
        <f>IF(Учет!$O1317=Справочники!$F$2,Учет!$H1317,0)</f>
        <v>0</v>
      </c>
      <c r="C1317" s="52">
        <f>IF(Учет!$O1317=Справочники!$F$3,Учет!$H1317,0)</f>
        <v>0</v>
      </c>
      <c r="D1317" s="52">
        <f>IF(Учет!$O1317=Справочники!$F$4,Учет!$H1317,0)</f>
        <v>0</v>
      </c>
      <c r="E1317" s="52">
        <f>IF(Учет!$O1317=Справочники!$F$5,Учет!$H1317,0)</f>
        <v>0</v>
      </c>
      <c r="F1317" s="52">
        <f>IF(Учет!$O1317=Справочники!$F$6,Учет!$H1317,0)</f>
        <v>0</v>
      </c>
      <c r="G1317" s="43">
        <f>G1316+Учет!B1317-B1317</f>
        <v>-488978.92000000004</v>
      </c>
      <c r="H1317" s="43">
        <f>H1316+Учет!C1317-C1317</f>
        <v>336855</v>
      </c>
      <c r="I1317" s="43">
        <f>I1316+Учет!D1317-D1317</f>
        <v>500</v>
      </c>
      <c r="J1317" s="43">
        <f>J1316+Учет!E1317-E1317</f>
        <v>1150</v>
      </c>
      <c r="K1317" s="43">
        <f>K1316+Учет!F1317-F1317</f>
        <v>500000</v>
      </c>
      <c r="L1317" s="45">
        <f>Учет!I1317</f>
        <v>349526.07999999996</v>
      </c>
    </row>
    <row r="1318" spans="1:12" x14ac:dyDescent="0.25">
      <c r="A1318" s="48" t="str">
        <f>IF(Учет!A1318&lt;&gt;"",Учет!A1318,"")</f>
        <v/>
      </c>
      <c r="B1318" s="52">
        <f>IF(Учет!$O1318=Справочники!$F$2,Учет!$H1318,0)</f>
        <v>0</v>
      </c>
      <c r="C1318" s="52">
        <f>IF(Учет!$O1318=Справочники!$F$3,Учет!$H1318,0)</f>
        <v>0</v>
      </c>
      <c r="D1318" s="52">
        <f>IF(Учет!$O1318=Справочники!$F$4,Учет!$H1318,0)</f>
        <v>0</v>
      </c>
      <c r="E1318" s="52">
        <f>IF(Учет!$O1318=Справочники!$F$5,Учет!$H1318,0)</f>
        <v>0</v>
      </c>
      <c r="F1318" s="52">
        <f>IF(Учет!$O1318=Справочники!$F$6,Учет!$H1318,0)</f>
        <v>0</v>
      </c>
      <c r="G1318" s="43">
        <f>G1317+Учет!B1318-B1318</f>
        <v>-488978.92000000004</v>
      </c>
      <c r="H1318" s="43">
        <f>H1317+Учет!C1318-C1318</f>
        <v>336855</v>
      </c>
      <c r="I1318" s="43">
        <f>I1317+Учет!D1318-D1318</f>
        <v>500</v>
      </c>
      <c r="J1318" s="43">
        <f>J1317+Учет!E1318-E1318</f>
        <v>1150</v>
      </c>
      <c r="K1318" s="43">
        <f>K1317+Учет!F1318-F1318</f>
        <v>500000</v>
      </c>
      <c r="L1318" s="45">
        <f>Учет!I1318</f>
        <v>349526.07999999996</v>
      </c>
    </row>
    <row r="1319" spans="1:12" x14ac:dyDescent="0.25">
      <c r="A1319" s="48" t="str">
        <f>IF(Учет!A1319&lt;&gt;"",Учет!A1319,"")</f>
        <v/>
      </c>
      <c r="B1319" s="52">
        <f>IF(Учет!$O1319=Справочники!$F$2,Учет!$H1319,0)</f>
        <v>0</v>
      </c>
      <c r="C1319" s="52">
        <f>IF(Учет!$O1319=Справочники!$F$3,Учет!$H1319,0)</f>
        <v>0</v>
      </c>
      <c r="D1319" s="52">
        <f>IF(Учет!$O1319=Справочники!$F$4,Учет!$H1319,0)</f>
        <v>0</v>
      </c>
      <c r="E1319" s="52">
        <f>IF(Учет!$O1319=Справочники!$F$5,Учет!$H1319,0)</f>
        <v>0</v>
      </c>
      <c r="F1319" s="52">
        <f>IF(Учет!$O1319=Справочники!$F$6,Учет!$H1319,0)</f>
        <v>0</v>
      </c>
      <c r="G1319" s="43">
        <f>G1318+Учет!B1319-B1319</f>
        <v>-488978.92000000004</v>
      </c>
      <c r="H1319" s="43">
        <f>H1318+Учет!C1319-C1319</f>
        <v>336855</v>
      </c>
      <c r="I1319" s="43">
        <f>I1318+Учет!D1319-D1319</f>
        <v>500</v>
      </c>
      <c r="J1319" s="43">
        <f>J1318+Учет!E1319-E1319</f>
        <v>1150</v>
      </c>
      <c r="K1319" s="43">
        <f>K1318+Учет!F1319-F1319</f>
        <v>500000</v>
      </c>
      <c r="L1319" s="45">
        <f>Учет!I1319</f>
        <v>349526.07999999996</v>
      </c>
    </row>
    <row r="1320" spans="1:12" x14ac:dyDescent="0.25">
      <c r="A1320" s="48" t="str">
        <f>IF(Учет!A1320&lt;&gt;"",Учет!A1320,"")</f>
        <v/>
      </c>
      <c r="B1320" s="52">
        <f>IF(Учет!$O1320=Справочники!$F$2,Учет!$H1320,0)</f>
        <v>0</v>
      </c>
      <c r="C1320" s="52">
        <f>IF(Учет!$O1320=Справочники!$F$3,Учет!$H1320,0)</f>
        <v>0</v>
      </c>
      <c r="D1320" s="52">
        <f>IF(Учет!$O1320=Справочники!$F$4,Учет!$H1320,0)</f>
        <v>0</v>
      </c>
      <c r="E1320" s="52">
        <f>IF(Учет!$O1320=Справочники!$F$5,Учет!$H1320,0)</f>
        <v>0</v>
      </c>
      <c r="F1320" s="52">
        <f>IF(Учет!$O1320=Справочники!$F$6,Учет!$H1320,0)</f>
        <v>0</v>
      </c>
      <c r="G1320" s="43">
        <f>G1319+Учет!B1320-B1320</f>
        <v>-488978.92000000004</v>
      </c>
      <c r="H1320" s="43">
        <f>H1319+Учет!C1320-C1320</f>
        <v>336855</v>
      </c>
      <c r="I1320" s="43">
        <f>I1319+Учет!D1320-D1320</f>
        <v>500</v>
      </c>
      <c r="J1320" s="43">
        <f>J1319+Учет!E1320-E1320</f>
        <v>1150</v>
      </c>
      <c r="K1320" s="43">
        <f>K1319+Учет!F1320-F1320</f>
        <v>500000</v>
      </c>
      <c r="L1320" s="45">
        <f>Учет!I1320</f>
        <v>349526.07999999996</v>
      </c>
    </row>
    <row r="1321" spans="1:12" x14ac:dyDescent="0.25">
      <c r="A1321" s="48" t="str">
        <f>IF(Учет!A1321&lt;&gt;"",Учет!A1321,"")</f>
        <v/>
      </c>
      <c r="B1321" s="52">
        <f>IF(Учет!$O1321=Справочники!$F$2,Учет!$H1321,0)</f>
        <v>0</v>
      </c>
      <c r="C1321" s="52">
        <f>IF(Учет!$O1321=Справочники!$F$3,Учет!$H1321,0)</f>
        <v>0</v>
      </c>
      <c r="D1321" s="52">
        <f>IF(Учет!$O1321=Справочники!$F$4,Учет!$H1321,0)</f>
        <v>0</v>
      </c>
      <c r="E1321" s="52">
        <f>IF(Учет!$O1321=Справочники!$F$5,Учет!$H1321,0)</f>
        <v>0</v>
      </c>
      <c r="F1321" s="52">
        <f>IF(Учет!$O1321=Справочники!$F$6,Учет!$H1321,0)</f>
        <v>0</v>
      </c>
      <c r="G1321" s="43">
        <f>G1320+Учет!B1321-B1321</f>
        <v>-488978.92000000004</v>
      </c>
      <c r="H1321" s="43">
        <f>H1320+Учет!C1321-C1321</f>
        <v>336855</v>
      </c>
      <c r="I1321" s="43">
        <f>I1320+Учет!D1321-D1321</f>
        <v>500</v>
      </c>
      <c r="J1321" s="43">
        <f>J1320+Учет!E1321-E1321</f>
        <v>1150</v>
      </c>
      <c r="K1321" s="43">
        <f>K1320+Учет!F1321-F1321</f>
        <v>500000</v>
      </c>
      <c r="L1321" s="45">
        <f>Учет!I1321</f>
        <v>349526.07999999996</v>
      </c>
    </row>
    <row r="1322" spans="1:12" x14ac:dyDescent="0.25">
      <c r="A1322" s="48" t="str">
        <f>IF(Учет!A1322&lt;&gt;"",Учет!A1322,"")</f>
        <v/>
      </c>
      <c r="B1322" s="52">
        <f>IF(Учет!$O1322=Справочники!$F$2,Учет!$H1322,0)</f>
        <v>0</v>
      </c>
      <c r="C1322" s="52">
        <f>IF(Учет!$O1322=Справочники!$F$3,Учет!$H1322,0)</f>
        <v>0</v>
      </c>
      <c r="D1322" s="52">
        <f>IF(Учет!$O1322=Справочники!$F$4,Учет!$H1322,0)</f>
        <v>0</v>
      </c>
      <c r="E1322" s="52">
        <f>IF(Учет!$O1322=Справочники!$F$5,Учет!$H1322,0)</f>
        <v>0</v>
      </c>
      <c r="F1322" s="52">
        <f>IF(Учет!$O1322=Справочники!$F$6,Учет!$H1322,0)</f>
        <v>0</v>
      </c>
      <c r="G1322" s="43">
        <f>G1321+Учет!B1322-B1322</f>
        <v>-488978.92000000004</v>
      </c>
      <c r="H1322" s="43">
        <f>H1321+Учет!C1322-C1322</f>
        <v>336855</v>
      </c>
      <c r="I1322" s="43">
        <f>I1321+Учет!D1322-D1322</f>
        <v>500</v>
      </c>
      <c r="J1322" s="43">
        <f>J1321+Учет!E1322-E1322</f>
        <v>1150</v>
      </c>
      <c r="K1322" s="43">
        <f>K1321+Учет!F1322-F1322</f>
        <v>500000</v>
      </c>
      <c r="L1322" s="45">
        <f>Учет!I1322</f>
        <v>349526.07999999996</v>
      </c>
    </row>
    <row r="1323" spans="1:12" x14ac:dyDescent="0.25">
      <c r="A1323" s="48" t="str">
        <f>IF(Учет!A1323&lt;&gt;"",Учет!A1323,"")</f>
        <v/>
      </c>
      <c r="B1323" s="52">
        <f>IF(Учет!$O1323=Справочники!$F$2,Учет!$H1323,0)</f>
        <v>0</v>
      </c>
      <c r="C1323" s="52">
        <f>IF(Учет!$O1323=Справочники!$F$3,Учет!$H1323,0)</f>
        <v>0</v>
      </c>
      <c r="D1323" s="52">
        <f>IF(Учет!$O1323=Справочники!$F$4,Учет!$H1323,0)</f>
        <v>0</v>
      </c>
      <c r="E1323" s="52">
        <f>IF(Учет!$O1323=Справочники!$F$5,Учет!$H1323,0)</f>
        <v>0</v>
      </c>
      <c r="F1323" s="52">
        <f>IF(Учет!$O1323=Справочники!$F$6,Учет!$H1323,0)</f>
        <v>0</v>
      </c>
      <c r="G1323" s="43">
        <f>G1322+Учет!B1323-B1323</f>
        <v>-488978.92000000004</v>
      </c>
      <c r="H1323" s="43">
        <f>H1322+Учет!C1323-C1323</f>
        <v>336855</v>
      </c>
      <c r="I1323" s="43">
        <f>I1322+Учет!D1323-D1323</f>
        <v>500</v>
      </c>
      <c r="J1323" s="43">
        <f>J1322+Учет!E1323-E1323</f>
        <v>1150</v>
      </c>
      <c r="K1323" s="43">
        <f>K1322+Учет!F1323-F1323</f>
        <v>500000</v>
      </c>
      <c r="L1323" s="45">
        <f>Учет!I1323</f>
        <v>349526.07999999996</v>
      </c>
    </row>
    <row r="1324" spans="1:12" x14ac:dyDescent="0.25">
      <c r="A1324" s="48" t="str">
        <f>IF(Учет!A1324&lt;&gt;"",Учет!A1324,"")</f>
        <v/>
      </c>
      <c r="B1324" s="52">
        <f>IF(Учет!$O1324=Справочники!$F$2,Учет!$H1324,0)</f>
        <v>0</v>
      </c>
      <c r="C1324" s="52">
        <f>IF(Учет!$O1324=Справочники!$F$3,Учет!$H1324,0)</f>
        <v>0</v>
      </c>
      <c r="D1324" s="52">
        <f>IF(Учет!$O1324=Справочники!$F$4,Учет!$H1324,0)</f>
        <v>0</v>
      </c>
      <c r="E1324" s="52">
        <f>IF(Учет!$O1324=Справочники!$F$5,Учет!$H1324,0)</f>
        <v>0</v>
      </c>
      <c r="F1324" s="52">
        <f>IF(Учет!$O1324=Справочники!$F$6,Учет!$H1324,0)</f>
        <v>0</v>
      </c>
      <c r="G1324" s="43">
        <f>G1323+Учет!B1324-B1324</f>
        <v>-488978.92000000004</v>
      </c>
      <c r="H1324" s="43">
        <f>H1323+Учет!C1324-C1324</f>
        <v>336855</v>
      </c>
      <c r="I1324" s="43">
        <f>I1323+Учет!D1324-D1324</f>
        <v>500</v>
      </c>
      <c r="J1324" s="43">
        <f>J1323+Учет!E1324-E1324</f>
        <v>1150</v>
      </c>
      <c r="K1324" s="43">
        <f>K1323+Учет!F1324-F1324</f>
        <v>500000</v>
      </c>
      <c r="L1324" s="45">
        <f>Учет!I1324</f>
        <v>349526.07999999996</v>
      </c>
    </row>
    <row r="1325" spans="1:12" x14ac:dyDescent="0.25">
      <c r="A1325" s="48" t="str">
        <f>IF(Учет!A1325&lt;&gt;"",Учет!A1325,"")</f>
        <v/>
      </c>
      <c r="B1325" s="52">
        <f>IF(Учет!$O1325=Справочники!$F$2,Учет!$H1325,0)</f>
        <v>0</v>
      </c>
      <c r="C1325" s="52">
        <f>IF(Учет!$O1325=Справочники!$F$3,Учет!$H1325,0)</f>
        <v>0</v>
      </c>
      <c r="D1325" s="52">
        <f>IF(Учет!$O1325=Справочники!$F$4,Учет!$H1325,0)</f>
        <v>0</v>
      </c>
      <c r="E1325" s="52">
        <f>IF(Учет!$O1325=Справочники!$F$5,Учет!$H1325,0)</f>
        <v>0</v>
      </c>
      <c r="F1325" s="52">
        <f>IF(Учет!$O1325=Справочники!$F$6,Учет!$H1325,0)</f>
        <v>0</v>
      </c>
      <c r="G1325" s="43">
        <f>G1324+Учет!B1325-B1325</f>
        <v>-488978.92000000004</v>
      </c>
      <c r="H1325" s="43">
        <f>H1324+Учет!C1325-C1325</f>
        <v>336855</v>
      </c>
      <c r="I1325" s="43">
        <f>I1324+Учет!D1325-D1325</f>
        <v>500</v>
      </c>
      <c r="J1325" s="43">
        <f>J1324+Учет!E1325-E1325</f>
        <v>1150</v>
      </c>
      <c r="K1325" s="43">
        <f>K1324+Учет!F1325-F1325</f>
        <v>500000</v>
      </c>
      <c r="L1325" s="45">
        <f>Учет!I1325</f>
        <v>349526.07999999996</v>
      </c>
    </row>
    <row r="1326" spans="1:12" x14ac:dyDescent="0.25">
      <c r="A1326" s="48" t="str">
        <f>IF(Учет!A1326&lt;&gt;"",Учет!A1326,"")</f>
        <v/>
      </c>
      <c r="B1326" s="52">
        <f>IF(Учет!$O1326=Справочники!$F$2,Учет!$H1326,0)</f>
        <v>0</v>
      </c>
      <c r="C1326" s="52">
        <f>IF(Учет!$O1326=Справочники!$F$3,Учет!$H1326,0)</f>
        <v>0</v>
      </c>
      <c r="D1326" s="52">
        <f>IF(Учет!$O1326=Справочники!$F$4,Учет!$H1326,0)</f>
        <v>0</v>
      </c>
      <c r="E1326" s="52">
        <f>IF(Учет!$O1326=Справочники!$F$5,Учет!$H1326,0)</f>
        <v>0</v>
      </c>
      <c r="F1326" s="52">
        <f>IF(Учет!$O1326=Справочники!$F$6,Учет!$H1326,0)</f>
        <v>0</v>
      </c>
      <c r="G1326" s="43">
        <f>G1325+Учет!B1326-B1326</f>
        <v>-488978.92000000004</v>
      </c>
      <c r="H1326" s="43">
        <f>H1325+Учет!C1326-C1326</f>
        <v>336855</v>
      </c>
      <c r="I1326" s="43">
        <f>I1325+Учет!D1326-D1326</f>
        <v>500</v>
      </c>
      <c r="J1326" s="43">
        <f>J1325+Учет!E1326-E1326</f>
        <v>1150</v>
      </c>
      <c r="K1326" s="43">
        <f>K1325+Учет!F1326-F1326</f>
        <v>500000</v>
      </c>
      <c r="L1326" s="45">
        <f>Учет!I1326</f>
        <v>349526.07999999996</v>
      </c>
    </row>
    <row r="1327" spans="1:12" x14ac:dyDescent="0.25">
      <c r="A1327" s="48" t="str">
        <f>IF(Учет!A1327&lt;&gt;"",Учет!A1327,"")</f>
        <v/>
      </c>
      <c r="B1327" s="52">
        <f>IF(Учет!$O1327=Справочники!$F$2,Учет!$H1327,0)</f>
        <v>0</v>
      </c>
      <c r="C1327" s="52">
        <f>IF(Учет!$O1327=Справочники!$F$3,Учет!$H1327,0)</f>
        <v>0</v>
      </c>
      <c r="D1327" s="52">
        <f>IF(Учет!$O1327=Справочники!$F$4,Учет!$H1327,0)</f>
        <v>0</v>
      </c>
      <c r="E1327" s="52">
        <f>IF(Учет!$O1327=Справочники!$F$5,Учет!$H1327,0)</f>
        <v>0</v>
      </c>
      <c r="F1327" s="52">
        <f>IF(Учет!$O1327=Справочники!$F$6,Учет!$H1327,0)</f>
        <v>0</v>
      </c>
      <c r="G1327" s="43">
        <f>G1326+Учет!B1327-B1327</f>
        <v>-488978.92000000004</v>
      </c>
      <c r="H1327" s="43">
        <f>H1326+Учет!C1327-C1327</f>
        <v>336855</v>
      </c>
      <c r="I1327" s="43">
        <f>I1326+Учет!D1327-D1327</f>
        <v>500</v>
      </c>
      <c r="J1327" s="43">
        <f>J1326+Учет!E1327-E1327</f>
        <v>1150</v>
      </c>
      <c r="K1327" s="43">
        <f>K1326+Учет!F1327-F1327</f>
        <v>500000</v>
      </c>
      <c r="L1327" s="45">
        <f>Учет!I1327</f>
        <v>349526.07999999996</v>
      </c>
    </row>
    <row r="1328" spans="1:12" x14ac:dyDescent="0.25">
      <c r="A1328" s="48" t="str">
        <f>IF(Учет!A1328&lt;&gt;"",Учет!A1328,"")</f>
        <v/>
      </c>
      <c r="B1328" s="52">
        <f>IF(Учет!$O1328=Справочники!$F$2,Учет!$H1328,0)</f>
        <v>0</v>
      </c>
      <c r="C1328" s="52">
        <f>IF(Учет!$O1328=Справочники!$F$3,Учет!$H1328,0)</f>
        <v>0</v>
      </c>
      <c r="D1328" s="52">
        <f>IF(Учет!$O1328=Справочники!$F$4,Учет!$H1328,0)</f>
        <v>0</v>
      </c>
      <c r="E1328" s="52">
        <f>IF(Учет!$O1328=Справочники!$F$5,Учет!$H1328,0)</f>
        <v>0</v>
      </c>
      <c r="F1328" s="52">
        <f>IF(Учет!$O1328=Справочники!$F$6,Учет!$H1328,0)</f>
        <v>0</v>
      </c>
      <c r="G1328" s="43">
        <f>G1327+Учет!B1328-B1328</f>
        <v>-488978.92000000004</v>
      </c>
      <c r="H1328" s="43">
        <f>H1327+Учет!C1328-C1328</f>
        <v>336855</v>
      </c>
      <c r="I1328" s="43">
        <f>I1327+Учет!D1328-D1328</f>
        <v>500</v>
      </c>
      <c r="J1328" s="43">
        <f>J1327+Учет!E1328-E1328</f>
        <v>1150</v>
      </c>
      <c r="K1328" s="43">
        <f>K1327+Учет!F1328-F1328</f>
        <v>500000</v>
      </c>
      <c r="L1328" s="45">
        <f>Учет!I1328</f>
        <v>349526.07999999996</v>
      </c>
    </row>
    <row r="1329" spans="1:12" x14ac:dyDescent="0.25">
      <c r="A1329" s="48" t="str">
        <f>IF(Учет!A1329&lt;&gt;"",Учет!A1329,"")</f>
        <v/>
      </c>
      <c r="B1329" s="52">
        <f>IF(Учет!$O1329=Справочники!$F$2,Учет!$H1329,0)</f>
        <v>0</v>
      </c>
      <c r="C1329" s="52">
        <f>IF(Учет!$O1329=Справочники!$F$3,Учет!$H1329,0)</f>
        <v>0</v>
      </c>
      <c r="D1329" s="52">
        <f>IF(Учет!$O1329=Справочники!$F$4,Учет!$H1329,0)</f>
        <v>0</v>
      </c>
      <c r="E1329" s="52">
        <f>IF(Учет!$O1329=Справочники!$F$5,Учет!$H1329,0)</f>
        <v>0</v>
      </c>
      <c r="F1329" s="52">
        <f>IF(Учет!$O1329=Справочники!$F$6,Учет!$H1329,0)</f>
        <v>0</v>
      </c>
      <c r="G1329" s="43">
        <f>G1328+Учет!B1329-B1329</f>
        <v>-488978.92000000004</v>
      </c>
      <c r="H1329" s="43">
        <f>H1328+Учет!C1329-C1329</f>
        <v>336855</v>
      </c>
      <c r="I1329" s="43">
        <f>I1328+Учет!D1329-D1329</f>
        <v>500</v>
      </c>
      <c r="J1329" s="43">
        <f>J1328+Учет!E1329-E1329</f>
        <v>1150</v>
      </c>
      <c r="K1329" s="43">
        <f>K1328+Учет!F1329-F1329</f>
        <v>500000</v>
      </c>
      <c r="L1329" s="45">
        <f>Учет!I1329</f>
        <v>349526.07999999996</v>
      </c>
    </row>
    <row r="1330" spans="1:12" x14ac:dyDescent="0.25">
      <c r="A1330" s="48" t="str">
        <f>IF(Учет!A1330&lt;&gt;"",Учет!A1330,"")</f>
        <v/>
      </c>
      <c r="B1330" s="52">
        <f>IF(Учет!$O1330=Справочники!$F$2,Учет!$H1330,0)</f>
        <v>0</v>
      </c>
      <c r="C1330" s="52">
        <f>IF(Учет!$O1330=Справочники!$F$3,Учет!$H1330,0)</f>
        <v>0</v>
      </c>
      <c r="D1330" s="52">
        <f>IF(Учет!$O1330=Справочники!$F$4,Учет!$H1330,0)</f>
        <v>0</v>
      </c>
      <c r="E1330" s="52">
        <f>IF(Учет!$O1330=Справочники!$F$5,Учет!$H1330,0)</f>
        <v>0</v>
      </c>
      <c r="F1330" s="52">
        <f>IF(Учет!$O1330=Справочники!$F$6,Учет!$H1330,0)</f>
        <v>0</v>
      </c>
      <c r="G1330" s="43">
        <f>G1329+Учет!B1330-B1330</f>
        <v>-488978.92000000004</v>
      </c>
      <c r="H1330" s="43">
        <f>H1329+Учет!C1330-C1330</f>
        <v>336855</v>
      </c>
      <c r="I1330" s="43">
        <f>I1329+Учет!D1330-D1330</f>
        <v>500</v>
      </c>
      <c r="J1330" s="43">
        <f>J1329+Учет!E1330-E1330</f>
        <v>1150</v>
      </c>
      <c r="K1330" s="43">
        <f>K1329+Учет!F1330-F1330</f>
        <v>500000</v>
      </c>
      <c r="L1330" s="45">
        <f>Учет!I1330</f>
        <v>349526.07999999996</v>
      </c>
    </row>
    <row r="1331" spans="1:12" x14ac:dyDescent="0.25">
      <c r="A1331" s="48" t="str">
        <f>IF(Учет!A1331&lt;&gt;"",Учет!A1331,"")</f>
        <v/>
      </c>
      <c r="B1331" s="52">
        <f>IF(Учет!$O1331=Справочники!$F$2,Учет!$H1331,0)</f>
        <v>0</v>
      </c>
      <c r="C1331" s="52">
        <f>IF(Учет!$O1331=Справочники!$F$3,Учет!$H1331,0)</f>
        <v>0</v>
      </c>
      <c r="D1331" s="52">
        <f>IF(Учет!$O1331=Справочники!$F$4,Учет!$H1331,0)</f>
        <v>0</v>
      </c>
      <c r="E1331" s="52">
        <f>IF(Учет!$O1331=Справочники!$F$5,Учет!$H1331,0)</f>
        <v>0</v>
      </c>
      <c r="F1331" s="52">
        <f>IF(Учет!$O1331=Справочники!$F$6,Учет!$H1331,0)</f>
        <v>0</v>
      </c>
      <c r="G1331" s="43">
        <f>G1330+Учет!B1331-B1331</f>
        <v>-488978.92000000004</v>
      </c>
      <c r="H1331" s="43">
        <f>H1330+Учет!C1331-C1331</f>
        <v>336855</v>
      </c>
      <c r="I1331" s="43">
        <f>I1330+Учет!D1331-D1331</f>
        <v>500</v>
      </c>
      <c r="J1331" s="43">
        <f>J1330+Учет!E1331-E1331</f>
        <v>1150</v>
      </c>
      <c r="K1331" s="43">
        <f>K1330+Учет!F1331-F1331</f>
        <v>500000</v>
      </c>
      <c r="L1331" s="45">
        <f>Учет!I1331</f>
        <v>349526.07999999996</v>
      </c>
    </row>
    <row r="1332" spans="1:12" x14ac:dyDescent="0.25">
      <c r="A1332" s="48" t="str">
        <f>IF(Учет!A1332&lt;&gt;"",Учет!A1332,"")</f>
        <v/>
      </c>
      <c r="B1332" s="52">
        <f>IF(Учет!$O1332=Справочники!$F$2,Учет!$H1332,0)</f>
        <v>0</v>
      </c>
      <c r="C1332" s="52">
        <f>IF(Учет!$O1332=Справочники!$F$3,Учет!$H1332,0)</f>
        <v>0</v>
      </c>
      <c r="D1332" s="52">
        <f>IF(Учет!$O1332=Справочники!$F$4,Учет!$H1332,0)</f>
        <v>0</v>
      </c>
      <c r="E1332" s="52">
        <f>IF(Учет!$O1332=Справочники!$F$5,Учет!$H1332,0)</f>
        <v>0</v>
      </c>
      <c r="F1332" s="52">
        <f>IF(Учет!$O1332=Справочники!$F$6,Учет!$H1332,0)</f>
        <v>0</v>
      </c>
      <c r="G1332" s="43">
        <f>G1331+Учет!B1332-B1332</f>
        <v>-488978.92000000004</v>
      </c>
      <c r="H1332" s="43">
        <f>H1331+Учет!C1332-C1332</f>
        <v>336855</v>
      </c>
      <c r="I1332" s="43">
        <f>I1331+Учет!D1332-D1332</f>
        <v>500</v>
      </c>
      <c r="J1332" s="43">
        <f>J1331+Учет!E1332-E1332</f>
        <v>1150</v>
      </c>
      <c r="K1332" s="43">
        <f>K1331+Учет!F1332-F1332</f>
        <v>500000</v>
      </c>
      <c r="L1332" s="45">
        <f>Учет!I1332</f>
        <v>349526.07999999996</v>
      </c>
    </row>
    <row r="1333" spans="1:12" x14ac:dyDescent="0.25">
      <c r="A1333" s="48" t="str">
        <f>IF(Учет!A1333&lt;&gt;"",Учет!A1333,"")</f>
        <v/>
      </c>
      <c r="B1333" s="52">
        <f>IF(Учет!$O1333=Справочники!$F$2,Учет!$H1333,0)</f>
        <v>0</v>
      </c>
      <c r="C1333" s="52">
        <f>IF(Учет!$O1333=Справочники!$F$3,Учет!$H1333,0)</f>
        <v>0</v>
      </c>
      <c r="D1333" s="52">
        <f>IF(Учет!$O1333=Справочники!$F$4,Учет!$H1333,0)</f>
        <v>0</v>
      </c>
      <c r="E1333" s="52">
        <f>IF(Учет!$O1333=Справочники!$F$5,Учет!$H1333,0)</f>
        <v>0</v>
      </c>
      <c r="F1333" s="52">
        <f>IF(Учет!$O1333=Справочники!$F$6,Учет!$H1333,0)</f>
        <v>0</v>
      </c>
      <c r="G1333" s="43">
        <f>G1332+Учет!B1333-B1333</f>
        <v>-488978.92000000004</v>
      </c>
      <c r="H1333" s="43">
        <f>H1332+Учет!C1333-C1333</f>
        <v>336855</v>
      </c>
      <c r="I1333" s="43">
        <f>I1332+Учет!D1333-D1333</f>
        <v>500</v>
      </c>
      <c r="J1333" s="43">
        <f>J1332+Учет!E1333-E1333</f>
        <v>1150</v>
      </c>
      <c r="K1333" s="43">
        <f>K1332+Учет!F1333-F1333</f>
        <v>500000</v>
      </c>
      <c r="L1333" s="45">
        <f>Учет!I1333</f>
        <v>349526.07999999996</v>
      </c>
    </row>
    <row r="1334" spans="1:12" x14ac:dyDescent="0.25">
      <c r="A1334" s="48" t="str">
        <f>IF(Учет!A1334&lt;&gt;"",Учет!A1334,"")</f>
        <v/>
      </c>
      <c r="B1334" s="52">
        <f>IF(Учет!$O1334=Справочники!$F$2,Учет!$H1334,0)</f>
        <v>0</v>
      </c>
      <c r="C1334" s="52">
        <f>IF(Учет!$O1334=Справочники!$F$3,Учет!$H1334,0)</f>
        <v>0</v>
      </c>
      <c r="D1334" s="52">
        <f>IF(Учет!$O1334=Справочники!$F$4,Учет!$H1334,0)</f>
        <v>0</v>
      </c>
      <c r="E1334" s="52">
        <f>IF(Учет!$O1334=Справочники!$F$5,Учет!$H1334,0)</f>
        <v>0</v>
      </c>
      <c r="F1334" s="52">
        <f>IF(Учет!$O1334=Справочники!$F$6,Учет!$H1334,0)</f>
        <v>0</v>
      </c>
      <c r="G1334" s="43">
        <f>G1333+Учет!B1334-B1334</f>
        <v>-488978.92000000004</v>
      </c>
      <c r="H1334" s="43">
        <f>H1333+Учет!C1334-C1334</f>
        <v>336855</v>
      </c>
      <c r="I1334" s="43">
        <f>I1333+Учет!D1334-D1334</f>
        <v>500</v>
      </c>
      <c r="J1334" s="43">
        <f>J1333+Учет!E1334-E1334</f>
        <v>1150</v>
      </c>
      <c r="K1334" s="43">
        <f>K1333+Учет!F1334-F1334</f>
        <v>500000</v>
      </c>
      <c r="L1334" s="45">
        <f>Учет!I1334</f>
        <v>349526.07999999996</v>
      </c>
    </row>
    <row r="1335" spans="1:12" x14ac:dyDescent="0.25">
      <c r="A1335" s="48" t="str">
        <f>IF(Учет!A1335&lt;&gt;"",Учет!A1335,"")</f>
        <v/>
      </c>
      <c r="B1335" s="52">
        <f>IF(Учет!$O1335=Справочники!$F$2,Учет!$H1335,0)</f>
        <v>0</v>
      </c>
      <c r="C1335" s="52">
        <f>IF(Учет!$O1335=Справочники!$F$3,Учет!$H1335,0)</f>
        <v>0</v>
      </c>
      <c r="D1335" s="52">
        <f>IF(Учет!$O1335=Справочники!$F$4,Учет!$H1335,0)</f>
        <v>0</v>
      </c>
      <c r="E1335" s="52">
        <f>IF(Учет!$O1335=Справочники!$F$5,Учет!$H1335,0)</f>
        <v>0</v>
      </c>
      <c r="F1335" s="52">
        <f>IF(Учет!$O1335=Справочники!$F$6,Учет!$H1335,0)</f>
        <v>0</v>
      </c>
      <c r="G1335" s="43">
        <f>G1334+Учет!B1335-B1335</f>
        <v>-488978.92000000004</v>
      </c>
      <c r="H1335" s="43">
        <f>H1334+Учет!C1335-C1335</f>
        <v>336855</v>
      </c>
      <c r="I1335" s="43">
        <f>I1334+Учет!D1335-D1335</f>
        <v>500</v>
      </c>
      <c r="J1335" s="43">
        <f>J1334+Учет!E1335-E1335</f>
        <v>1150</v>
      </c>
      <c r="K1335" s="43">
        <f>K1334+Учет!F1335-F1335</f>
        <v>500000</v>
      </c>
      <c r="L1335" s="45">
        <f>Учет!I1335</f>
        <v>349526.07999999996</v>
      </c>
    </row>
    <row r="1336" spans="1:12" x14ac:dyDescent="0.25">
      <c r="A1336" s="48" t="str">
        <f>IF(Учет!A1336&lt;&gt;"",Учет!A1336,"")</f>
        <v/>
      </c>
      <c r="B1336" s="52">
        <f>IF(Учет!$O1336=Справочники!$F$2,Учет!$H1336,0)</f>
        <v>0</v>
      </c>
      <c r="C1336" s="52">
        <f>IF(Учет!$O1336=Справочники!$F$3,Учет!$H1336,0)</f>
        <v>0</v>
      </c>
      <c r="D1336" s="52">
        <f>IF(Учет!$O1336=Справочники!$F$4,Учет!$H1336,0)</f>
        <v>0</v>
      </c>
      <c r="E1336" s="52">
        <f>IF(Учет!$O1336=Справочники!$F$5,Учет!$H1336,0)</f>
        <v>0</v>
      </c>
      <c r="F1336" s="52">
        <f>IF(Учет!$O1336=Справочники!$F$6,Учет!$H1336,0)</f>
        <v>0</v>
      </c>
      <c r="G1336" s="43">
        <f>G1335+Учет!B1336-B1336</f>
        <v>-488978.92000000004</v>
      </c>
      <c r="H1336" s="43">
        <f>H1335+Учет!C1336-C1336</f>
        <v>336855</v>
      </c>
      <c r="I1336" s="43">
        <f>I1335+Учет!D1336-D1336</f>
        <v>500</v>
      </c>
      <c r="J1336" s="43">
        <f>J1335+Учет!E1336-E1336</f>
        <v>1150</v>
      </c>
      <c r="K1336" s="43">
        <f>K1335+Учет!F1336-F1336</f>
        <v>500000</v>
      </c>
      <c r="L1336" s="45">
        <f>Учет!I1336</f>
        <v>349526.07999999996</v>
      </c>
    </row>
    <row r="1337" spans="1:12" x14ac:dyDescent="0.25">
      <c r="A1337" s="48" t="str">
        <f>IF(Учет!A1337&lt;&gt;"",Учет!A1337,"")</f>
        <v/>
      </c>
      <c r="B1337" s="52">
        <f>IF(Учет!$O1337=Справочники!$F$2,Учет!$H1337,0)</f>
        <v>0</v>
      </c>
      <c r="C1337" s="52">
        <f>IF(Учет!$O1337=Справочники!$F$3,Учет!$H1337,0)</f>
        <v>0</v>
      </c>
      <c r="D1337" s="52">
        <f>IF(Учет!$O1337=Справочники!$F$4,Учет!$H1337,0)</f>
        <v>0</v>
      </c>
      <c r="E1337" s="52">
        <f>IF(Учет!$O1337=Справочники!$F$5,Учет!$H1337,0)</f>
        <v>0</v>
      </c>
      <c r="F1337" s="52">
        <f>IF(Учет!$O1337=Справочники!$F$6,Учет!$H1337,0)</f>
        <v>0</v>
      </c>
      <c r="G1337" s="43">
        <f>G1336+Учет!B1337-B1337</f>
        <v>-488978.92000000004</v>
      </c>
      <c r="H1337" s="43">
        <f>H1336+Учет!C1337-C1337</f>
        <v>336855</v>
      </c>
      <c r="I1337" s="43">
        <f>I1336+Учет!D1337-D1337</f>
        <v>500</v>
      </c>
      <c r="J1337" s="43">
        <f>J1336+Учет!E1337-E1337</f>
        <v>1150</v>
      </c>
      <c r="K1337" s="43">
        <f>K1336+Учет!F1337-F1337</f>
        <v>500000</v>
      </c>
      <c r="L1337" s="45">
        <f>Учет!I1337</f>
        <v>349526.07999999996</v>
      </c>
    </row>
    <row r="1338" spans="1:12" x14ac:dyDescent="0.25">
      <c r="A1338" s="48" t="str">
        <f>IF(Учет!A1338&lt;&gt;"",Учет!A1338,"")</f>
        <v/>
      </c>
      <c r="B1338" s="52">
        <f>IF(Учет!$O1338=Справочники!$F$2,Учет!$H1338,0)</f>
        <v>0</v>
      </c>
      <c r="C1338" s="52">
        <f>IF(Учет!$O1338=Справочники!$F$3,Учет!$H1338,0)</f>
        <v>0</v>
      </c>
      <c r="D1338" s="52">
        <f>IF(Учет!$O1338=Справочники!$F$4,Учет!$H1338,0)</f>
        <v>0</v>
      </c>
      <c r="E1338" s="52">
        <f>IF(Учет!$O1338=Справочники!$F$5,Учет!$H1338,0)</f>
        <v>0</v>
      </c>
      <c r="F1338" s="52">
        <f>IF(Учет!$O1338=Справочники!$F$6,Учет!$H1338,0)</f>
        <v>0</v>
      </c>
      <c r="G1338" s="43">
        <f>G1337+Учет!B1338-B1338</f>
        <v>-488978.92000000004</v>
      </c>
      <c r="H1338" s="43">
        <f>H1337+Учет!C1338-C1338</f>
        <v>336855</v>
      </c>
      <c r="I1338" s="43">
        <f>I1337+Учет!D1338-D1338</f>
        <v>500</v>
      </c>
      <c r="J1338" s="43">
        <f>J1337+Учет!E1338-E1338</f>
        <v>1150</v>
      </c>
      <c r="K1338" s="43">
        <f>K1337+Учет!F1338-F1338</f>
        <v>500000</v>
      </c>
      <c r="L1338" s="45">
        <f>Учет!I1338</f>
        <v>349526.07999999996</v>
      </c>
    </row>
    <row r="1339" spans="1:12" x14ac:dyDescent="0.25">
      <c r="A1339" s="48" t="str">
        <f>IF(Учет!A1339&lt;&gt;"",Учет!A1339,"")</f>
        <v/>
      </c>
      <c r="B1339" s="52">
        <f>IF(Учет!$O1339=Справочники!$F$2,Учет!$H1339,0)</f>
        <v>0</v>
      </c>
      <c r="C1339" s="52">
        <f>IF(Учет!$O1339=Справочники!$F$3,Учет!$H1339,0)</f>
        <v>0</v>
      </c>
      <c r="D1339" s="52">
        <f>IF(Учет!$O1339=Справочники!$F$4,Учет!$H1339,0)</f>
        <v>0</v>
      </c>
      <c r="E1339" s="52">
        <f>IF(Учет!$O1339=Справочники!$F$5,Учет!$H1339,0)</f>
        <v>0</v>
      </c>
      <c r="F1339" s="52">
        <f>IF(Учет!$O1339=Справочники!$F$6,Учет!$H1339,0)</f>
        <v>0</v>
      </c>
      <c r="G1339" s="43">
        <f>G1338+Учет!B1339-B1339</f>
        <v>-488978.92000000004</v>
      </c>
      <c r="H1339" s="43">
        <f>H1338+Учет!C1339-C1339</f>
        <v>336855</v>
      </c>
      <c r="I1339" s="43">
        <f>I1338+Учет!D1339-D1339</f>
        <v>500</v>
      </c>
      <c r="J1339" s="43">
        <f>J1338+Учет!E1339-E1339</f>
        <v>1150</v>
      </c>
      <c r="K1339" s="43">
        <f>K1338+Учет!F1339-F1339</f>
        <v>500000</v>
      </c>
      <c r="L1339" s="45">
        <f>Учет!I1339</f>
        <v>349526.07999999996</v>
      </c>
    </row>
    <row r="1340" spans="1:12" x14ac:dyDescent="0.25">
      <c r="A1340" s="48" t="str">
        <f>IF(Учет!A1340&lt;&gt;"",Учет!A1340,"")</f>
        <v/>
      </c>
      <c r="B1340" s="52">
        <f>IF(Учет!$O1340=Справочники!$F$2,Учет!$H1340,0)</f>
        <v>0</v>
      </c>
      <c r="C1340" s="52">
        <f>IF(Учет!$O1340=Справочники!$F$3,Учет!$H1340,0)</f>
        <v>0</v>
      </c>
      <c r="D1340" s="52">
        <f>IF(Учет!$O1340=Справочники!$F$4,Учет!$H1340,0)</f>
        <v>0</v>
      </c>
      <c r="E1340" s="52">
        <f>IF(Учет!$O1340=Справочники!$F$5,Учет!$H1340,0)</f>
        <v>0</v>
      </c>
      <c r="F1340" s="52">
        <f>IF(Учет!$O1340=Справочники!$F$6,Учет!$H1340,0)</f>
        <v>0</v>
      </c>
      <c r="G1340" s="43">
        <f>G1339+Учет!B1340-B1340</f>
        <v>-488978.92000000004</v>
      </c>
      <c r="H1340" s="43">
        <f>H1339+Учет!C1340-C1340</f>
        <v>336855</v>
      </c>
      <c r="I1340" s="43">
        <f>I1339+Учет!D1340-D1340</f>
        <v>500</v>
      </c>
      <c r="J1340" s="43">
        <f>J1339+Учет!E1340-E1340</f>
        <v>1150</v>
      </c>
      <c r="K1340" s="43">
        <f>K1339+Учет!F1340-F1340</f>
        <v>500000</v>
      </c>
      <c r="L1340" s="45">
        <f>Учет!I1340</f>
        <v>349526.07999999996</v>
      </c>
    </row>
    <row r="1341" spans="1:12" x14ac:dyDescent="0.25">
      <c r="A1341" s="48" t="str">
        <f>IF(Учет!A1341&lt;&gt;"",Учет!A1341,"")</f>
        <v/>
      </c>
      <c r="B1341" s="52">
        <f>IF(Учет!$O1341=Справочники!$F$2,Учет!$H1341,0)</f>
        <v>0</v>
      </c>
      <c r="C1341" s="52">
        <f>IF(Учет!$O1341=Справочники!$F$3,Учет!$H1341,0)</f>
        <v>0</v>
      </c>
      <c r="D1341" s="52">
        <f>IF(Учет!$O1341=Справочники!$F$4,Учет!$H1341,0)</f>
        <v>0</v>
      </c>
      <c r="E1341" s="52">
        <f>IF(Учет!$O1341=Справочники!$F$5,Учет!$H1341,0)</f>
        <v>0</v>
      </c>
      <c r="F1341" s="52">
        <f>IF(Учет!$O1341=Справочники!$F$6,Учет!$H1341,0)</f>
        <v>0</v>
      </c>
      <c r="G1341" s="43">
        <f>G1340+Учет!B1341-B1341</f>
        <v>-488978.92000000004</v>
      </c>
      <c r="H1341" s="43">
        <f>H1340+Учет!C1341-C1341</f>
        <v>336855</v>
      </c>
      <c r="I1341" s="43">
        <f>I1340+Учет!D1341-D1341</f>
        <v>500</v>
      </c>
      <c r="J1341" s="43">
        <f>J1340+Учет!E1341-E1341</f>
        <v>1150</v>
      </c>
      <c r="K1341" s="43">
        <f>K1340+Учет!F1341-F1341</f>
        <v>500000</v>
      </c>
      <c r="L1341" s="45">
        <f>Учет!I1341</f>
        <v>349526.07999999996</v>
      </c>
    </row>
    <row r="1342" spans="1:12" x14ac:dyDescent="0.25">
      <c r="A1342" s="48" t="str">
        <f>IF(Учет!A1342&lt;&gt;"",Учет!A1342,"")</f>
        <v/>
      </c>
      <c r="B1342" s="52">
        <f>IF(Учет!$O1342=Справочники!$F$2,Учет!$H1342,0)</f>
        <v>0</v>
      </c>
      <c r="C1342" s="52">
        <f>IF(Учет!$O1342=Справочники!$F$3,Учет!$H1342,0)</f>
        <v>0</v>
      </c>
      <c r="D1342" s="52">
        <f>IF(Учет!$O1342=Справочники!$F$4,Учет!$H1342,0)</f>
        <v>0</v>
      </c>
      <c r="E1342" s="52">
        <f>IF(Учет!$O1342=Справочники!$F$5,Учет!$H1342,0)</f>
        <v>0</v>
      </c>
      <c r="F1342" s="52">
        <f>IF(Учет!$O1342=Справочники!$F$6,Учет!$H1342,0)</f>
        <v>0</v>
      </c>
      <c r="G1342" s="43">
        <f>G1341+Учет!B1342-B1342</f>
        <v>-488978.92000000004</v>
      </c>
      <c r="H1342" s="43">
        <f>H1341+Учет!C1342-C1342</f>
        <v>336855</v>
      </c>
      <c r="I1342" s="43">
        <f>I1341+Учет!D1342-D1342</f>
        <v>500</v>
      </c>
      <c r="J1342" s="43">
        <f>J1341+Учет!E1342-E1342</f>
        <v>1150</v>
      </c>
      <c r="K1342" s="43">
        <f>K1341+Учет!F1342-F1342</f>
        <v>500000</v>
      </c>
      <c r="L1342" s="45">
        <f>Учет!I1342</f>
        <v>349526.07999999996</v>
      </c>
    </row>
    <row r="1343" spans="1:12" x14ac:dyDescent="0.25">
      <c r="A1343" s="48" t="str">
        <f>IF(Учет!A1343&lt;&gt;"",Учет!A1343,"")</f>
        <v/>
      </c>
      <c r="B1343" s="52">
        <f>IF(Учет!$O1343=Справочники!$F$2,Учет!$H1343,0)</f>
        <v>0</v>
      </c>
      <c r="C1343" s="52">
        <f>IF(Учет!$O1343=Справочники!$F$3,Учет!$H1343,0)</f>
        <v>0</v>
      </c>
      <c r="D1343" s="52">
        <f>IF(Учет!$O1343=Справочники!$F$4,Учет!$H1343,0)</f>
        <v>0</v>
      </c>
      <c r="E1343" s="52">
        <f>IF(Учет!$O1343=Справочники!$F$5,Учет!$H1343,0)</f>
        <v>0</v>
      </c>
      <c r="F1343" s="52">
        <f>IF(Учет!$O1343=Справочники!$F$6,Учет!$H1343,0)</f>
        <v>0</v>
      </c>
      <c r="G1343" s="43">
        <f>G1342+Учет!B1343-B1343</f>
        <v>-488978.92000000004</v>
      </c>
      <c r="H1343" s="43">
        <f>H1342+Учет!C1343-C1343</f>
        <v>336855</v>
      </c>
      <c r="I1343" s="43">
        <f>I1342+Учет!D1343-D1343</f>
        <v>500</v>
      </c>
      <c r="J1343" s="43">
        <f>J1342+Учет!E1343-E1343</f>
        <v>1150</v>
      </c>
      <c r="K1343" s="43">
        <f>K1342+Учет!F1343-F1343</f>
        <v>500000</v>
      </c>
      <c r="L1343" s="45">
        <f>Учет!I1343</f>
        <v>349526.07999999996</v>
      </c>
    </row>
    <row r="1344" spans="1:12" x14ac:dyDescent="0.25">
      <c r="A1344" s="48" t="str">
        <f>IF(Учет!A1344&lt;&gt;"",Учет!A1344,"")</f>
        <v/>
      </c>
      <c r="B1344" s="52">
        <f>IF(Учет!$O1344=Справочники!$F$2,Учет!$H1344,0)</f>
        <v>0</v>
      </c>
      <c r="C1344" s="52">
        <f>IF(Учет!$O1344=Справочники!$F$3,Учет!$H1344,0)</f>
        <v>0</v>
      </c>
      <c r="D1344" s="52">
        <f>IF(Учет!$O1344=Справочники!$F$4,Учет!$H1344,0)</f>
        <v>0</v>
      </c>
      <c r="E1344" s="52">
        <f>IF(Учет!$O1344=Справочники!$F$5,Учет!$H1344,0)</f>
        <v>0</v>
      </c>
      <c r="F1344" s="52">
        <f>IF(Учет!$O1344=Справочники!$F$6,Учет!$H1344,0)</f>
        <v>0</v>
      </c>
      <c r="G1344" s="43">
        <f>G1343+Учет!B1344-B1344</f>
        <v>-488978.92000000004</v>
      </c>
      <c r="H1344" s="43">
        <f>H1343+Учет!C1344-C1344</f>
        <v>336855</v>
      </c>
      <c r="I1344" s="43">
        <f>I1343+Учет!D1344-D1344</f>
        <v>500</v>
      </c>
      <c r="J1344" s="43">
        <f>J1343+Учет!E1344-E1344</f>
        <v>1150</v>
      </c>
      <c r="K1344" s="43">
        <f>K1343+Учет!F1344-F1344</f>
        <v>500000</v>
      </c>
      <c r="L1344" s="45">
        <f>Учет!I1344</f>
        <v>349526.07999999996</v>
      </c>
    </row>
    <row r="1345" spans="1:12" x14ac:dyDescent="0.25">
      <c r="A1345" s="48" t="str">
        <f>IF(Учет!A1345&lt;&gt;"",Учет!A1345,"")</f>
        <v/>
      </c>
      <c r="B1345" s="52">
        <f>IF(Учет!$O1345=Справочники!$F$2,Учет!$H1345,0)</f>
        <v>0</v>
      </c>
      <c r="C1345" s="52">
        <f>IF(Учет!$O1345=Справочники!$F$3,Учет!$H1345,0)</f>
        <v>0</v>
      </c>
      <c r="D1345" s="52">
        <f>IF(Учет!$O1345=Справочники!$F$4,Учет!$H1345,0)</f>
        <v>0</v>
      </c>
      <c r="E1345" s="52">
        <f>IF(Учет!$O1345=Справочники!$F$5,Учет!$H1345,0)</f>
        <v>0</v>
      </c>
      <c r="F1345" s="52">
        <f>IF(Учет!$O1345=Справочники!$F$6,Учет!$H1345,0)</f>
        <v>0</v>
      </c>
      <c r="G1345" s="43">
        <f>G1344+Учет!B1345-B1345</f>
        <v>-488978.92000000004</v>
      </c>
      <c r="H1345" s="43">
        <f>H1344+Учет!C1345-C1345</f>
        <v>336855</v>
      </c>
      <c r="I1345" s="43">
        <f>I1344+Учет!D1345-D1345</f>
        <v>500</v>
      </c>
      <c r="J1345" s="43">
        <f>J1344+Учет!E1345-E1345</f>
        <v>1150</v>
      </c>
      <c r="K1345" s="43">
        <f>K1344+Учет!F1345-F1345</f>
        <v>500000</v>
      </c>
      <c r="L1345" s="45">
        <f>Учет!I1345</f>
        <v>349526.07999999996</v>
      </c>
    </row>
    <row r="1346" spans="1:12" x14ac:dyDescent="0.25">
      <c r="A1346" s="48" t="str">
        <f>IF(Учет!A1346&lt;&gt;"",Учет!A1346,"")</f>
        <v/>
      </c>
      <c r="B1346" s="52">
        <f>IF(Учет!$O1346=Справочники!$F$2,Учет!$H1346,0)</f>
        <v>0</v>
      </c>
      <c r="C1346" s="52">
        <f>IF(Учет!$O1346=Справочники!$F$3,Учет!$H1346,0)</f>
        <v>0</v>
      </c>
      <c r="D1346" s="52">
        <f>IF(Учет!$O1346=Справочники!$F$4,Учет!$H1346,0)</f>
        <v>0</v>
      </c>
      <c r="E1346" s="52">
        <f>IF(Учет!$O1346=Справочники!$F$5,Учет!$H1346,0)</f>
        <v>0</v>
      </c>
      <c r="F1346" s="52">
        <f>IF(Учет!$O1346=Справочники!$F$6,Учет!$H1346,0)</f>
        <v>0</v>
      </c>
      <c r="G1346" s="43">
        <f>G1345+Учет!B1346-B1346</f>
        <v>-488978.92000000004</v>
      </c>
      <c r="H1346" s="43">
        <f>H1345+Учет!C1346-C1346</f>
        <v>336855</v>
      </c>
      <c r="I1346" s="43">
        <f>I1345+Учет!D1346-D1346</f>
        <v>500</v>
      </c>
      <c r="J1346" s="43">
        <f>J1345+Учет!E1346-E1346</f>
        <v>1150</v>
      </c>
      <c r="K1346" s="43">
        <f>K1345+Учет!F1346-F1346</f>
        <v>500000</v>
      </c>
      <c r="L1346" s="45">
        <f>Учет!I1346</f>
        <v>349526.07999999996</v>
      </c>
    </row>
    <row r="1347" spans="1:12" x14ac:dyDescent="0.25">
      <c r="A1347" s="48" t="str">
        <f>IF(Учет!A1347&lt;&gt;"",Учет!A1347,"")</f>
        <v/>
      </c>
      <c r="B1347" s="52">
        <f>IF(Учет!$O1347=Справочники!$F$2,Учет!$H1347,0)</f>
        <v>0</v>
      </c>
      <c r="C1347" s="52">
        <f>IF(Учет!$O1347=Справочники!$F$3,Учет!$H1347,0)</f>
        <v>0</v>
      </c>
      <c r="D1347" s="52">
        <f>IF(Учет!$O1347=Справочники!$F$4,Учет!$H1347,0)</f>
        <v>0</v>
      </c>
      <c r="E1347" s="52">
        <f>IF(Учет!$O1347=Справочники!$F$5,Учет!$H1347,0)</f>
        <v>0</v>
      </c>
      <c r="F1347" s="52">
        <f>IF(Учет!$O1347=Справочники!$F$6,Учет!$H1347,0)</f>
        <v>0</v>
      </c>
      <c r="G1347" s="43">
        <f>G1346+Учет!B1347-B1347</f>
        <v>-488978.92000000004</v>
      </c>
      <c r="H1347" s="43">
        <f>H1346+Учет!C1347-C1347</f>
        <v>336855</v>
      </c>
      <c r="I1347" s="43">
        <f>I1346+Учет!D1347-D1347</f>
        <v>500</v>
      </c>
      <c r="J1347" s="43">
        <f>J1346+Учет!E1347-E1347</f>
        <v>1150</v>
      </c>
      <c r="K1347" s="43">
        <f>K1346+Учет!F1347-F1347</f>
        <v>500000</v>
      </c>
      <c r="L1347" s="45">
        <f>Учет!I1347</f>
        <v>349526.07999999996</v>
      </c>
    </row>
    <row r="1348" spans="1:12" x14ac:dyDescent="0.25">
      <c r="A1348" s="48" t="str">
        <f>IF(Учет!A1348&lt;&gt;"",Учет!A1348,"")</f>
        <v/>
      </c>
      <c r="B1348" s="52">
        <f>IF(Учет!$O1348=Справочники!$F$2,Учет!$H1348,0)</f>
        <v>0</v>
      </c>
      <c r="C1348" s="52">
        <f>IF(Учет!$O1348=Справочники!$F$3,Учет!$H1348,0)</f>
        <v>0</v>
      </c>
      <c r="D1348" s="52">
        <f>IF(Учет!$O1348=Справочники!$F$4,Учет!$H1348,0)</f>
        <v>0</v>
      </c>
      <c r="E1348" s="52">
        <f>IF(Учет!$O1348=Справочники!$F$5,Учет!$H1348,0)</f>
        <v>0</v>
      </c>
      <c r="F1348" s="52">
        <f>IF(Учет!$O1348=Справочники!$F$6,Учет!$H1348,0)</f>
        <v>0</v>
      </c>
      <c r="G1348" s="43">
        <f>G1347+Учет!B1348-B1348</f>
        <v>-488978.92000000004</v>
      </c>
      <c r="H1348" s="43">
        <f>H1347+Учет!C1348-C1348</f>
        <v>336855</v>
      </c>
      <c r="I1348" s="43">
        <f>I1347+Учет!D1348-D1348</f>
        <v>500</v>
      </c>
      <c r="J1348" s="43">
        <f>J1347+Учет!E1348-E1348</f>
        <v>1150</v>
      </c>
      <c r="K1348" s="43">
        <f>K1347+Учет!F1348-F1348</f>
        <v>500000</v>
      </c>
      <c r="L1348" s="45">
        <f>Учет!I1348</f>
        <v>349526.07999999996</v>
      </c>
    </row>
    <row r="1349" spans="1:12" x14ac:dyDescent="0.25">
      <c r="A1349" s="48" t="str">
        <f>IF(Учет!A1349&lt;&gt;"",Учет!A1349,"")</f>
        <v/>
      </c>
      <c r="B1349" s="52">
        <f>IF(Учет!$O1349=Справочники!$F$2,Учет!$H1349,0)</f>
        <v>0</v>
      </c>
      <c r="C1349" s="52">
        <f>IF(Учет!$O1349=Справочники!$F$3,Учет!$H1349,0)</f>
        <v>0</v>
      </c>
      <c r="D1349" s="52">
        <f>IF(Учет!$O1349=Справочники!$F$4,Учет!$H1349,0)</f>
        <v>0</v>
      </c>
      <c r="E1349" s="52">
        <f>IF(Учет!$O1349=Справочники!$F$5,Учет!$H1349,0)</f>
        <v>0</v>
      </c>
      <c r="F1349" s="52">
        <f>IF(Учет!$O1349=Справочники!$F$6,Учет!$H1349,0)</f>
        <v>0</v>
      </c>
      <c r="G1349" s="43">
        <f>G1348+Учет!B1349-B1349</f>
        <v>-488978.92000000004</v>
      </c>
      <c r="H1349" s="43">
        <f>H1348+Учет!C1349-C1349</f>
        <v>336855</v>
      </c>
      <c r="I1349" s="43">
        <f>I1348+Учет!D1349-D1349</f>
        <v>500</v>
      </c>
      <c r="J1349" s="43">
        <f>J1348+Учет!E1349-E1349</f>
        <v>1150</v>
      </c>
      <c r="K1349" s="43">
        <f>K1348+Учет!F1349-F1349</f>
        <v>500000</v>
      </c>
      <c r="L1349" s="45">
        <f>Учет!I1349</f>
        <v>349526.07999999996</v>
      </c>
    </row>
    <row r="1350" spans="1:12" x14ac:dyDescent="0.25">
      <c r="A1350" s="48" t="str">
        <f>IF(Учет!A1350&lt;&gt;"",Учет!A1350,"")</f>
        <v/>
      </c>
      <c r="B1350" s="52">
        <f>IF(Учет!$O1350=Справочники!$F$2,Учет!$H1350,0)</f>
        <v>0</v>
      </c>
      <c r="C1350" s="52">
        <f>IF(Учет!$O1350=Справочники!$F$3,Учет!$H1350,0)</f>
        <v>0</v>
      </c>
      <c r="D1350" s="52">
        <f>IF(Учет!$O1350=Справочники!$F$4,Учет!$H1350,0)</f>
        <v>0</v>
      </c>
      <c r="E1350" s="52">
        <f>IF(Учет!$O1350=Справочники!$F$5,Учет!$H1350,0)</f>
        <v>0</v>
      </c>
      <c r="F1350" s="52">
        <f>IF(Учет!$O1350=Справочники!$F$6,Учет!$H1350,0)</f>
        <v>0</v>
      </c>
      <c r="G1350" s="43">
        <f>G1349+Учет!B1350-B1350</f>
        <v>-488978.92000000004</v>
      </c>
      <c r="H1350" s="43">
        <f>H1349+Учет!C1350-C1350</f>
        <v>336855</v>
      </c>
      <c r="I1350" s="43">
        <f>I1349+Учет!D1350-D1350</f>
        <v>500</v>
      </c>
      <c r="J1350" s="43">
        <f>J1349+Учет!E1350-E1350</f>
        <v>1150</v>
      </c>
      <c r="K1350" s="43">
        <f>K1349+Учет!F1350-F1350</f>
        <v>500000</v>
      </c>
      <c r="L1350" s="45">
        <f>Учет!I1350</f>
        <v>349526.07999999996</v>
      </c>
    </row>
    <row r="1351" spans="1:12" x14ac:dyDescent="0.25">
      <c r="A1351" s="48" t="str">
        <f>IF(Учет!A1351&lt;&gt;"",Учет!A1351,"")</f>
        <v/>
      </c>
      <c r="B1351" s="52">
        <f>IF(Учет!$O1351=Справочники!$F$2,Учет!$H1351,0)</f>
        <v>0</v>
      </c>
      <c r="C1351" s="52">
        <f>IF(Учет!$O1351=Справочники!$F$3,Учет!$H1351,0)</f>
        <v>0</v>
      </c>
      <c r="D1351" s="52">
        <f>IF(Учет!$O1351=Справочники!$F$4,Учет!$H1351,0)</f>
        <v>0</v>
      </c>
      <c r="E1351" s="52">
        <f>IF(Учет!$O1351=Справочники!$F$5,Учет!$H1351,0)</f>
        <v>0</v>
      </c>
      <c r="F1351" s="52">
        <f>IF(Учет!$O1351=Справочники!$F$6,Учет!$H1351,0)</f>
        <v>0</v>
      </c>
      <c r="G1351" s="43">
        <f>G1350+Учет!B1351-B1351</f>
        <v>-488978.92000000004</v>
      </c>
      <c r="H1351" s="43">
        <f>H1350+Учет!C1351-C1351</f>
        <v>336855</v>
      </c>
      <c r="I1351" s="43">
        <f>I1350+Учет!D1351-D1351</f>
        <v>500</v>
      </c>
      <c r="J1351" s="43">
        <f>J1350+Учет!E1351-E1351</f>
        <v>1150</v>
      </c>
      <c r="K1351" s="43">
        <f>K1350+Учет!F1351-F1351</f>
        <v>500000</v>
      </c>
      <c r="L1351" s="45">
        <f>Учет!I1351</f>
        <v>349526.07999999996</v>
      </c>
    </row>
    <row r="1352" spans="1:12" x14ac:dyDescent="0.25">
      <c r="A1352" s="48" t="str">
        <f>IF(Учет!A1352&lt;&gt;"",Учет!A1352,"")</f>
        <v/>
      </c>
      <c r="B1352" s="52">
        <f>IF(Учет!$O1352=Справочники!$F$2,Учет!$H1352,0)</f>
        <v>0</v>
      </c>
      <c r="C1352" s="52">
        <f>IF(Учет!$O1352=Справочники!$F$3,Учет!$H1352,0)</f>
        <v>0</v>
      </c>
      <c r="D1352" s="52">
        <f>IF(Учет!$O1352=Справочники!$F$4,Учет!$H1352,0)</f>
        <v>0</v>
      </c>
      <c r="E1352" s="52">
        <f>IF(Учет!$O1352=Справочники!$F$5,Учет!$H1352,0)</f>
        <v>0</v>
      </c>
      <c r="F1352" s="52">
        <f>IF(Учет!$O1352=Справочники!$F$6,Учет!$H1352,0)</f>
        <v>0</v>
      </c>
      <c r="G1352" s="43">
        <f>G1351+Учет!B1352-B1352</f>
        <v>-488978.92000000004</v>
      </c>
      <c r="H1352" s="43">
        <f>H1351+Учет!C1352-C1352</f>
        <v>336855</v>
      </c>
      <c r="I1352" s="43">
        <f>I1351+Учет!D1352-D1352</f>
        <v>500</v>
      </c>
      <c r="J1352" s="43">
        <f>J1351+Учет!E1352-E1352</f>
        <v>1150</v>
      </c>
      <c r="K1352" s="43">
        <f>K1351+Учет!F1352-F1352</f>
        <v>500000</v>
      </c>
      <c r="L1352" s="45">
        <f>Учет!I1352</f>
        <v>349526.07999999996</v>
      </c>
    </row>
    <row r="1353" spans="1:12" x14ac:dyDescent="0.25">
      <c r="A1353" s="48" t="str">
        <f>IF(Учет!A1353&lt;&gt;"",Учет!A1353,"")</f>
        <v/>
      </c>
      <c r="B1353" s="52">
        <f>IF(Учет!$O1353=Справочники!$F$2,Учет!$H1353,0)</f>
        <v>0</v>
      </c>
      <c r="C1353" s="52">
        <f>IF(Учет!$O1353=Справочники!$F$3,Учет!$H1353,0)</f>
        <v>0</v>
      </c>
      <c r="D1353" s="52">
        <f>IF(Учет!$O1353=Справочники!$F$4,Учет!$H1353,0)</f>
        <v>0</v>
      </c>
      <c r="E1353" s="52">
        <f>IF(Учет!$O1353=Справочники!$F$5,Учет!$H1353,0)</f>
        <v>0</v>
      </c>
      <c r="F1353" s="52">
        <f>IF(Учет!$O1353=Справочники!$F$6,Учет!$H1353,0)</f>
        <v>0</v>
      </c>
      <c r="G1353" s="43">
        <f>G1352+Учет!B1353-B1353</f>
        <v>-488978.92000000004</v>
      </c>
      <c r="H1353" s="43">
        <f>H1352+Учет!C1353-C1353</f>
        <v>336855</v>
      </c>
      <c r="I1353" s="43">
        <f>I1352+Учет!D1353-D1353</f>
        <v>500</v>
      </c>
      <c r="J1353" s="43">
        <f>J1352+Учет!E1353-E1353</f>
        <v>1150</v>
      </c>
      <c r="K1353" s="43">
        <f>K1352+Учет!F1353-F1353</f>
        <v>500000</v>
      </c>
      <c r="L1353" s="45">
        <f>Учет!I1353</f>
        <v>349526.07999999996</v>
      </c>
    </row>
    <row r="1354" spans="1:12" x14ac:dyDescent="0.25">
      <c r="A1354" s="48" t="str">
        <f>IF(Учет!A1354&lt;&gt;"",Учет!A1354,"")</f>
        <v/>
      </c>
      <c r="B1354" s="52">
        <f>IF(Учет!$O1354=Справочники!$F$2,Учет!$H1354,0)</f>
        <v>0</v>
      </c>
      <c r="C1354" s="52">
        <f>IF(Учет!$O1354=Справочники!$F$3,Учет!$H1354,0)</f>
        <v>0</v>
      </c>
      <c r="D1354" s="52">
        <f>IF(Учет!$O1354=Справочники!$F$4,Учет!$H1354,0)</f>
        <v>0</v>
      </c>
      <c r="E1354" s="52">
        <f>IF(Учет!$O1354=Справочники!$F$5,Учет!$H1354,0)</f>
        <v>0</v>
      </c>
      <c r="F1354" s="52">
        <f>IF(Учет!$O1354=Справочники!$F$6,Учет!$H1354,0)</f>
        <v>0</v>
      </c>
      <c r="G1354" s="43">
        <f>G1353+Учет!B1354-B1354</f>
        <v>-488978.92000000004</v>
      </c>
      <c r="H1354" s="43">
        <f>H1353+Учет!C1354-C1354</f>
        <v>336855</v>
      </c>
      <c r="I1354" s="43">
        <f>I1353+Учет!D1354-D1354</f>
        <v>500</v>
      </c>
      <c r="J1354" s="43">
        <f>J1353+Учет!E1354-E1354</f>
        <v>1150</v>
      </c>
      <c r="K1354" s="43">
        <f>K1353+Учет!F1354-F1354</f>
        <v>500000</v>
      </c>
      <c r="L1354" s="45">
        <f>Учет!I1354</f>
        <v>349526.07999999996</v>
      </c>
    </row>
    <row r="1355" spans="1:12" x14ac:dyDescent="0.25">
      <c r="A1355" s="48" t="str">
        <f>IF(Учет!A1355&lt;&gt;"",Учет!A1355,"")</f>
        <v/>
      </c>
      <c r="B1355" s="52">
        <f>IF(Учет!$O1355=Справочники!$F$2,Учет!$H1355,0)</f>
        <v>0</v>
      </c>
      <c r="C1355" s="52">
        <f>IF(Учет!$O1355=Справочники!$F$3,Учет!$H1355,0)</f>
        <v>0</v>
      </c>
      <c r="D1355" s="52">
        <f>IF(Учет!$O1355=Справочники!$F$4,Учет!$H1355,0)</f>
        <v>0</v>
      </c>
      <c r="E1355" s="52">
        <f>IF(Учет!$O1355=Справочники!$F$5,Учет!$H1355,0)</f>
        <v>0</v>
      </c>
      <c r="F1355" s="52">
        <f>IF(Учет!$O1355=Справочники!$F$6,Учет!$H1355,0)</f>
        <v>0</v>
      </c>
      <c r="G1355" s="43">
        <f>G1354+Учет!B1355-B1355</f>
        <v>-488978.92000000004</v>
      </c>
      <c r="H1355" s="43">
        <f>H1354+Учет!C1355-C1355</f>
        <v>336855</v>
      </c>
      <c r="I1355" s="43">
        <f>I1354+Учет!D1355-D1355</f>
        <v>500</v>
      </c>
      <c r="J1355" s="43">
        <f>J1354+Учет!E1355-E1355</f>
        <v>1150</v>
      </c>
      <c r="K1355" s="43">
        <f>K1354+Учет!F1355-F1355</f>
        <v>500000</v>
      </c>
      <c r="L1355" s="45">
        <f>Учет!I1355</f>
        <v>349526.07999999996</v>
      </c>
    </row>
    <row r="1356" spans="1:12" x14ac:dyDescent="0.25">
      <c r="A1356" s="48" t="str">
        <f>IF(Учет!A1356&lt;&gt;"",Учет!A1356,"")</f>
        <v/>
      </c>
      <c r="B1356" s="52">
        <f>IF(Учет!$O1356=Справочники!$F$2,Учет!$H1356,0)</f>
        <v>0</v>
      </c>
      <c r="C1356" s="52">
        <f>IF(Учет!$O1356=Справочники!$F$3,Учет!$H1356,0)</f>
        <v>0</v>
      </c>
      <c r="D1356" s="52">
        <f>IF(Учет!$O1356=Справочники!$F$4,Учет!$H1356,0)</f>
        <v>0</v>
      </c>
      <c r="E1356" s="52">
        <f>IF(Учет!$O1356=Справочники!$F$5,Учет!$H1356,0)</f>
        <v>0</v>
      </c>
      <c r="F1356" s="52">
        <f>IF(Учет!$O1356=Справочники!$F$6,Учет!$H1356,0)</f>
        <v>0</v>
      </c>
      <c r="G1356" s="43">
        <f>G1355+Учет!B1356-B1356</f>
        <v>-488978.92000000004</v>
      </c>
      <c r="H1356" s="43">
        <f>H1355+Учет!C1356-C1356</f>
        <v>336855</v>
      </c>
      <c r="I1356" s="43">
        <f>I1355+Учет!D1356-D1356</f>
        <v>500</v>
      </c>
      <c r="J1356" s="43">
        <f>J1355+Учет!E1356-E1356</f>
        <v>1150</v>
      </c>
      <c r="K1356" s="43">
        <f>K1355+Учет!F1356-F1356</f>
        <v>500000</v>
      </c>
      <c r="L1356" s="45">
        <f>Учет!I1356</f>
        <v>349526.07999999996</v>
      </c>
    </row>
    <row r="1357" spans="1:12" x14ac:dyDescent="0.25">
      <c r="A1357" s="48" t="str">
        <f>IF(Учет!A1357&lt;&gt;"",Учет!A1357,"")</f>
        <v/>
      </c>
      <c r="B1357" s="52">
        <f>IF(Учет!$O1357=Справочники!$F$2,Учет!$H1357,0)</f>
        <v>0</v>
      </c>
      <c r="C1357" s="52">
        <f>IF(Учет!$O1357=Справочники!$F$3,Учет!$H1357,0)</f>
        <v>0</v>
      </c>
      <c r="D1357" s="52">
        <f>IF(Учет!$O1357=Справочники!$F$4,Учет!$H1357,0)</f>
        <v>0</v>
      </c>
      <c r="E1357" s="52">
        <f>IF(Учет!$O1357=Справочники!$F$5,Учет!$H1357,0)</f>
        <v>0</v>
      </c>
      <c r="F1357" s="52">
        <f>IF(Учет!$O1357=Справочники!$F$6,Учет!$H1357,0)</f>
        <v>0</v>
      </c>
      <c r="G1357" s="43">
        <f>G1356+Учет!B1357-B1357</f>
        <v>-488978.92000000004</v>
      </c>
      <c r="H1357" s="43">
        <f>H1356+Учет!C1357-C1357</f>
        <v>336855</v>
      </c>
      <c r="I1357" s="43">
        <f>I1356+Учет!D1357-D1357</f>
        <v>500</v>
      </c>
      <c r="J1357" s="43">
        <f>J1356+Учет!E1357-E1357</f>
        <v>1150</v>
      </c>
      <c r="K1357" s="43">
        <f>K1356+Учет!F1357-F1357</f>
        <v>500000</v>
      </c>
      <c r="L1357" s="45">
        <f>Учет!I1357</f>
        <v>349526.07999999996</v>
      </c>
    </row>
    <row r="1358" spans="1:12" x14ac:dyDescent="0.25">
      <c r="A1358" s="48" t="str">
        <f>IF(Учет!A1358&lt;&gt;"",Учет!A1358,"")</f>
        <v/>
      </c>
      <c r="B1358" s="52">
        <f>IF(Учет!$O1358=Справочники!$F$2,Учет!$H1358,0)</f>
        <v>0</v>
      </c>
      <c r="C1358" s="52">
        <f>IF(Учет!$O1358=Справочники!$F$3,Учет!$H1358,0)</f>
        <v>0</v>
      </c>
      <c r="D1358" s="52">
        <f>IF(Учет!$O1358=Справочники!$F$4,Учет!$H1358,0)</f>
        <v>0</v>
      </c>
      <c r="E1358" s="52">
        <f>IF(Учет!$O1358=Справочники!$F$5,Учет!$H1358,0)</f>
        <v>0</v>
      </c>
      <c r="F1358" s="52">
        <f>IF(Учет!$O1358=Справочники!$F$6,Учет!$H1358,0)</f>
        <v>0</v>
      </c>
      <c r="G1358" s="43">
        <f>G1357+Учет!B1358-B1358</f>
        <v>-488978.92000000004</v>
      </c>
      <c r="H1358" s="43">
        <f>H1357+Учет!C1358-C1358</f>
        <v>336855</v>
      </c>
      <c r="I1358" s="43">
        <f>I1357+Учет!D1358-D1358</f>
        <v>500</v>
      </c>
      <c r="J1358" s="43">
        <f>J1357+Учет!E1358-E1358</f>
        <v>1150</v>
      </c>
      <c r="K1358" s="43">
        <f>K1357+Учет!F1358-F1358</f>
        <v>500000</v>
      </c>
      <c r="L1358" s="45">
        <f>Учет!I1358</f>
        <v>349526.07999999996</v>
      </c>
    </row>
    <row r="1359" spans="1:12" x14ac:dyDescent="0.25">
      <c r="A1359" s="48" t="str">
        <f>IF(Учет!A1359&lt;&gt;"",Учет!A1359,"")</f>
        <v/>
      </c>
      <c r="B1359" s="52">
        <f>IF(Учет!$O1359=Справочники!$F$2,Учет!$H1359,0)</f>
        <v>0</v>
      </c>
      <c r="C1359" s="52">
        <f>IF(Учет!$O1359=Справочники!$F$3,Учет!$H1359,0)</f>
        <v>0</v>
      </c>
      <c r="D1359" s="52">
        <f>IF(Учет!$O1359=Справочники!$F$4,Учет!$H1359,0)</f>
        <v>0</v>
      </c>
      <c r="E1359" s="52">
        <f>IF(Учет!$O1359=Справочники!$F$5,Учет!$H1359,0)</f>
        <v>0</v>
      </c>
      <c r="F1359" s="52">
        <f>IF(Учет!$O1359=Справочники!$F$6,Учет!$H1359,0)</f>
        <v>0</v>
      </c>
      <c r="G1359" s="43">
        <f>G1358+Учет!B1359-B1359</f>
        <v>-488978.92000000004</v>
      </c>
      <c r="H1359" s="43">
        <f>H1358+Учет!C1359-C1359</f>
        <v>336855</v>
      </c>
      <c r="I1359" s="43">
        <f>I1358+Учет!D1359-D1359</f>
        <v>500</v>
      </c>
      <c r="J1359" s="43">
        <f>J1358+Учет!E1359-E1359</f>
        <v>1150</v>
      </c>
      <c r="K1359" s="43">
        <f>K1358+Учет!F1359-F1359</f>
        <v>500000</v>
      </c>
      <c r="L1359" s="45">
        <f>Учет!I1359</f>
        <v>349526.07999999996</v>
      </c>
    </row>
    <row r="1360" spans="1:12" x14ac:dyDescent="0.25">
      <c r="A1360" s="48" t="str">
        <f>IF(Учет!A1360&lt;&gt;"",Учет!A1360,"")</f>
        <v/>
      </c>
      <c r="B1360" s="52">
        <f>IF(Учет!$O1360=Справочники!$F$2,Учет!$H1360,0)</f>
        <v>0</v>
      </c>
      <c r="C1360" s="52">
        <f>IF(Учет!$O1360=Справочники!$F$3,Учет!$H1360,0)</f>
        <v>0</v>
      </c>
      <c r="D1360" s="52">
        <f>IF(Учет!$O1360=Справочники!$F$4,Учет!$H1360,0)</f>
        <v>0</v>
      </c>
      <c r="E1360" s="52">
        <f>IF(Учет!$O1360=Справочники!$F$5,Учет!$H1360,0)</f>
        <v>0</v>
      </c>
      <c r="F1360" s="52">
        <f>IF(Учет!$O1360=Справочники!$F$6,Учет!$H1360,0)</f>
        <v>0</v>
      </c>
      <c r="G1360" s="43">
        <f>G1359+Учет!B1360-B1360</f>
        <v>-488978.92000000004</v>
      </c>
      <c r="H1360" s="43">
        <f>H1359+Учет!C1360-C1360</f>
        <v>336855</v>
      </c>
      <c r="I1360" s="43">
        <f>I1359+Учет!D1360-D1360</f>
        <v>500</v>
      </c>
      <c r="J1360" s="43">
        <f>J1359+Учет!E1360-E1360</f>
        <v>1150</v>
      </c>
      <c r="K1360" s="43">
        <f>K1359+Учет!F1360-F1360</f>
        <v>500000</v>
      </c>
      <c r="L1360" s="45">
        <f>Учет!I1360</f>
        <v>349526.07999999996</v>
      </c>
    </row>
    <row r="1361" spans="1:12" x14ac:dyDescent="0.25">
      <c r="A1361" s="48" t="str">
        <f>IF(Учет!A1361&lt;&gt;"",Учет!A1361,"")</f>
        <v/>
      </c>
      <c r="B1361" s="52">
        <f>IF(Учет!$O1361=Справочники!$F$2,Учет!$H1361,0)</f>
        <v>0</v>
      </c>
      <c r="C1361" s="52">
        <f>IF(Учет!$O1361=Справочники!$F$3,Учет!$H1361,0)</f>
        <v>0</v>
      </c>
      <c r="D1361" s="52">
        <f>IF(Учет!$O1361=Справочники!$F$4,Учет!$H1361,0)</f>
        <v>0</v>
      </c>
      <c r="E1361" s="52">
        <f>IF(Учет!$O1361=Справочники!$F$5,Учет!$H1361,0)</f>
        <v>0</v>
      </c>
      <c r="F1361" s="52">
        <f>IF(Учет!$O1361=Справочники!$F$6,Учет!$H1361,0)</f>
        <v>0</v>
      </c>
      <c r="G1361" s="43">
        <f>G1360+Учет!B1361-B1361</f>
        <v>-488978.92000000004</v>
      </c>
      <c r="H1361" s="43">
        <f>H1360+Учет!C1361-C1361</f>
        <v>336855</v>
      </c>
      <c r="I1361" s="43">
        <f>I1360+Учет!D1361-D1361</f>
        <v>500</v>
      </c>
      <c r="J1361" s="43">
        <f>J1360+Учет!E1361-E1361</f>
        <v>1150</v>
      </c>
      <c r="K1361" s="43">
        <f>K1360+Учет!F1361-F1361</f>
        <v>500000</v>
      </c>
      <c r="L1361" s="45">
        <f>Учет!I1361</f>
        <v>349526.07999999996</v>
      </c>
    </row>
    <row r="1362" spans="1:12" x14ac:dyDescent="0.25">
      <c r="A1362" s="48" t="str">
        <f>IF(Учет!A1362&lt;&gt;"",Учет!A1362,"")</f>
        <v/>
      </c>
      <c r="B1362" s="52">
        <f>IF(Учет!$O1362=Справочники!$F$2,Учет!$H1362,0)</f>
        <v>0</v>
      </c>
      <c r="C1362" s="52">
        <f>IF(Учет!$O1362=Справочники!$F$3,Учет!$H1362,0)</f>
        <v>0</v>
      </c>
      <c r="D1362" s="52">
        <f>IF(Учет!$O1362=Справочники!$F$4,Учет!$H1362,0)</f>
        <v>0</v>
      </c>
      <c r="E1362" s="52">
        <f>IF(Учет!$O1362=Справочники!$F$5,Учет!$H1362,0)</f>
        <v>0</v>
      </c>
      <c r="F1362" s="52">
        <f>IF(Учет!$O1362=Справочники!$F$6,Учет!$H1362,0)</f>
        <v>0</v>
      </c>
      <c r="G1362" s="43">
        <f>G1361+Учет!B1362-B1362</f>
        <v>-488978.92000000004</v>
      </c>
      <c r="H1362" s="43">
        <f>H1361+Учет!C1362-C1362</f>
        <v>336855</v>
      </c>
      <c r="I1362" s="43">
        <f>I1361+Учет!D1362-D1362</f>
        <v>500</v>
      </c>
      <c r="J1362" s="43">
        <f>J1361+Учет!E1362-E1362</f>
        <v>1150</v>
      </c>
      <c r="K1362" s="43">
        <f>K1361+Учет!F1362-F1362</f>
        <v>500000</v>
      </c>
      <c r="L1362" s="45">
        <f>Учет!I1362</f>
        <v>349526.07999999996</v>
      </c>
    </row>
    <row r="1363" spans="1:12" x14ac:dyDescent="0.25">
      <c r="A1363" s="48" t="str">
        <f>IF(Учет!A1363&lt;&gt;"",Учет!A1363,"")</f>
        <v/>
      </c>
      <c r="B1363" s="52">
        <f>IF(Учет!$O1363=Справочники!$F$2,Учет!$H1363,0)</f>
        <v>0</v>
      </c>
      <c r="C1363" s="52">
        <f>IF(Учет!$O1363=Справочники!$F$3,Учет!$H1363,0)</f>
        <v>0</v>
      </c>
      <c r="D1363" s="52">
        <f>IF(Учет!$O1363=Справочники!$F$4,Учет!$H1363,0)</f>
        <v>0</v>
      </c>
      <c r="E1363" s="52">
        <f>IF(Учет!$O1363=Справочники!$F$5,Учет!$H1363,0)</f>
        <v>0</v>
      </c>
      <c r="F1363" s="52">
        <f>IF(Учет!$O1363=Справочники!$F$6,Учет!$H1363,0)</f>
        <v>0</v>
      </c>
      <c r="G1363" s="43">
        <f>G1362+Учет!B1363-B1363</f>
        <v>-488978.92000000004</v>
      </c>
      <c r="H1363" s="43">
        <f>H1362+Учет!C1363-C1363</f>
        <v>336855</v>
      </c>
      <c r="I1363" s="43">
        <f>I1362+Учет!D1363-D1363</f>
        <v>500</v>
      </c>
      <c r="J1363" s="43">
        <f>J1362+Учет!E1363-E1363</f>
        <v>1150</v>
      </c>
      <c r="K1363" s="43">
        <f>K1362+Учет!F1363-F1363</f>
        <v>500000</v>
      </c>
      <c r="L1363" s="45">
        <f>Учет!I1363</f>
        <v>349526.07999999996</v>
      </c>
    </row>
    <row r="1364" spans="1:12" x14ac:dyDescent="0.25">
      <c r="A1364" s="48" t="str">
        <f>IF(Учет!A1364&lt;&gt;"",Учет!A1364,"")</f>
        <v/>
      </c>
      <c r="B1364" s="52">
        <f>IF(Учет!$O1364=Справочники!$F$2,Учет!$H1364,0)</f>
        <v>0</v>
      </c>
      <c r="C1364" s="52">
        <f>IF(Учет!$O1364=Справочники!$F$3,Учет!$H1364,0)</f>
        <v>0</v>
      </c>
      <c r="D1364" s="52">
        <f>IF(Учет!$O1364=Справочники!$F$4,Учет!$H1364,0)</f>
        <v>0</v>
      </c>
      <c r="E1364" s="52">
        <f>IF(Учет!$O1364=Справочники!$F$5,Учет!$H1364,0)</f>
        <v>0</v>
      </c>
      <c r="F1364" s="52">
        <f>IF(Учет!$O1364=Справочники!$F$6,Учет!$H1364,0)</f>
        <v>0</v>
      </c>
      <c r="G1364" s="43">
        <f>G1363+Учет!B1364-B1364</f>
        <v>-488978.92000000004</v>
      </c>
      <c r="H1364" s="43">
        <f>H1363+Учет!C1364-C1364</f>
        <v>336855</v>
      </c>
      <c r="I1364" s="43">
        <f>I1363+Учет!D1364-D1364</f>
        <v>500</v>
      </c>
      <c r="J1364" s="43">
        <f>J1363+Учет!E1364-E1364</f>
        <v>1150</v>
      </c>
      <c r="K1364" s="43">
        <f>K1363+Учет!F1364-F1364</f>
        <v>500000</v>
      </c>
      <c r="L1364" s="45">
        <f>Учет!I1364</f>
        <v>349526.07999999996</v>
      </c>
    </row>
    <row r="1365" spans="1:12" x14ac:dyDescent="0.25">
      <c r="A1365" s="48" t="str">
        <f>IF(Учет!A1365&lt;&gt;"",Учет!A1365,"")</f>
        <v/>
      </c>
      <c r="B1365" s="52">
        <f>IF(Учет!$O1365=Справочники!$F$2,Учет!$H1365,0)</f>
        <v>0</v>
      </c>
      <c r="C1365" s="52">
        <f>IF(Учет!$O1365=Справочники!$F$3,Учет!$H1365,0)</f>
        <v>0</v>
      </c>
      <c r="D1365" s="52">
        <f>IF(Учет!$O1365=Справочники!$F$4,Учет!$H1365,0)</f>
        <v>0</v>
      </c>
      <c r="E1365" s="52">
        <f>IF(Учет!$O1365=Справочники!$F$5,Учет!$H1365,0)</f>
        <v>0</v>
      </c>
      <c r="F1365" s="52">
        <f>IF(Учет!$O1365=Справочники!$F$6,Учет!$H1365,0)</f>
        <v>0</v>
      </c>
      <c r="G1365" s="43">
        <f>G1364+Учет!B1365-B1365</f>
        <v>-488978.92000000004</v>
      </c>
      <c r="H1365" s="43">
        <f>H1364+Учет!C1365-C1365</f>
        <v>336855</v>
      </c>
      <c r="I1365" s="43">
        <f>I1364+Учет!D1365-D1365</f>
        <v>500</v>
      </c>
      <c r="J1365" s="43">
        <f>J1364+Учет!E1365-E1365</f>
        <v>1150</v>
      </c>
      <c r="K1365" s="43">
        <f>K1364+Учет!F1365-F1365</f>
        <v>500000</v>
      </c>
      <c r="L1365" s="45">
        <f>Учет!I1365</f>
        <v>349526.07999999996</v>
      </c>
    </row>
    <row r="1366" spans="1:12" x14ac:dyDescent="0.25">
      <c r="A1366" s="48" t="str">
        <f>IF(Учет!A1366&lt;&gt;"",Учет!A1366,"")</f>
        <v/>
      </c>
      <c r="B1366" s="52">
        <f>IF(Учет!$O1366=Справочники!$F$2,Учет!$H1366,0)</f>
        <v>0</v>
      </c>
      <c r="C1366" s="52">
        <f>IF(Учет!$O1366=Справочники!$F$3,Учет!$H1366,0)</f>
        <v>0</v>
      </c>
      <c r="D1366" s="52">
        <f>IF(Учет!$O1366=Справочники!$F$4,Учет!$H1366,0)</f>
        <v>0</v>
      </c>
      <c r="E1366" s="52">
        <f>IF(Учет!$O1366=Справочники!$F$5,Учет!$H1366,0)</f>
        <v>0</v>
      </c>
      <c r="F1366" s="52">
        <f>IF(Учет!$O1366=Справочники!$F$6,Учет!$H1366,0)</f>
        <v>0</v>
      </c>
      <c r="G1366" s="43">
        <f>G1365+Учет!B1366-B1366</f>
        <v>-488978.92000000004</v>
      </c>
      <c r="H1366" s="43">
        <f>H1365+Учет!C1366-C1366</f>
        <v>336855</v>
      </c>
      <c r="I1366" s="43">
        <f>I1365+Учет!D1366-D1366</f>
        <v>500</v>
      </c>
      <c r="J1366" s="43">
        <f>J1365+Учет!E1366-E1366</f>
        <v>1150</v>
      </c>
      <c r="K1366" s="43">
        <f>K1365+Учет!F1366-F1366</f>
        <v>500000</v>
      </c>
      <c r="L1366" s="45">
        <f>Учет!I1366</f>
        <v>349526.07999999996</v>
      </c>
    </row>
    <row r="1367" spans="1:12" x14ac:dyDescent="0.25">
      <c r="A1367" s="48" t="str">
        <f>IF(Учет!A1367&lt;&gt;"",Учет!A1367,"")</f>
        <v/>
      </c>
      <c r="B1367" s="52">
        <f>IF(Учет!$O1367=Справочники!$F$2,Учет!$H1367,0)</f>
        <v>0</v>
      </c>
      <c r="C1367" s="52">
        <f>IF(Учет!$O1367=Справочники!$F$3,Учет!$H1367,0)</f>
        <v>0</v>
      </c>
      <c r="D1367" s="52">
        <f>IF(Учет!$O1367=Справочники!$F$4,Учет!$H1367,0)</f>
        <v>0</v>
      </c>
      <c r="E1367" s="52">
        <f>IF(Учет!$O1367=Справочники!$F$5,Учет!$H1367,0)</f>
        <v>0</v>
      </c>
      <c r="F1367" s="52">
        <f>IF(Учет!$O1367=Справочники!$F$6,Учет!$H1367,0)</f>
        <v>0</v>
      </c>
      <c r="G1367" s="43">
        <f>G1366+Учет!B1367-B1367</f>
        <v>-488978.92000000004</v>
      </c>
      <c r="H1367" s="43">
        <f>H1366+Учет!C1367-C1367</f>
        <v>336855</v>
      </c>
      <c r="I1367" s="43">
        <f>I1366+Учет!D1367-D1367</f>
        <v>500</v>
      </c>
      <c r="J1367" s="43">
        <f>J1366+Учет!E1367-E1367</f>
        <v>1150</v>
      </c>
      <c r="K1367" s="43">
        <f>K1366+Учет!F1367-F1367</f>
        <v>500000</v>
      </c>
      <c r="L1367" s="45">
        <f>Учет!I1367</f>
        <v>349526.07999999996</v>
      </c>
    </row>
    <row r="1368" spans="1:12" x14ac:dyDescent="0.25">
      <c r="A1368" s="48" t="str">
        <f>IF(Учет!A1368&lt;&gt;"",Учет!A1368,"")</f>
        <v/>
      </c>
      <c r="B1368" s="52">
        <f>IF(Учет!$O1368=Справочники!$F$2,Учет!$H1368,0)</f>
        <v>0</v>
      </c>
      <c r="C1368" s="52">
        <f>IF(Учет!$O1368=Справочники!$F$3,Учет!$H1368,0)</f>
        <v>0</v>
      </c>
      <c r="D1368" s="52">
        <f>IF(Учет!$O1368=Справочники!$F$4,Учет!$H1368,0)</f>
        <v>0</v>
      </c>
      <c r="E1368" s="52">
        <f>IF(Учет!$O1368=Справочники!$F$5,Учет!$H1368,0)</f>
        <v>0</v>
      </c>
      <c r="F1368" s="52">
        <f>IF(Учет!$O1368=Справочники!$F$6,Учет!$H1368,0)</f>
        <v>0</v>
      </c>
      <c r="G1368" s="43">
        <f>G1367+Учет!B1368-B1368</f>
        <v>-488978.92000000004</v>
      </c>
      <c r="H1368" s="43">
        <f>H1367+Учет!C1368-C1368</f>
        <v>336855</v>
      </c>
      <c r="I1368" s="43">
        <f>I1367+Учет!D1368-D1368</f>
        <v>500</v>
      </c>
      <c r="J1368" s="43">
        <f>J1367+Учет!E1368-E1368</f>
        <v>1150</v>
      </c>
      <c r="K1368" s="43">
        <f>K1367+Учет!F1368-F1368</f>
        <v>500000</v>
      </c>
      <c r="L1368" s="45">
        <f>Учет!I1368</f>
        <v>349526.07999999996</v>
      </c>
    </row>
    <row r="1369" spans="1:12" x14ac:dyDescent="0.25">
      <c r="A1369" s="48" t="str">
        <f>IF(Учет!A1369&lt;&gt;"",Учет!A1369,"")</f>
        <v/>
      </c>
      <c r="B1369" s="52">
        <f>IF(Учет!$O1369=Справочники!$F$2,Учет!$H1369,0)</f>
        <v>0</v>
      </c>
      <c r="C1369" s="52">
        <f>IF(Учет!$O1369=Справочники!$F$3,Учет!$H1369,0)</f>
        <v>0</v>
      </c>
      <c r="D1369" s="52">
        <f>IF(Учет!$O1369=Справочники!$F$4,Учет!$H1369,0)</f>
        <v>0</v>
      </c>
      <c r="E1369" s="52">
        <f>IF(Учет!$O1369=Справочники!$F$5,Учет!$H1369,0)</f>
        <v>0</v>
      </c>
      <c r="F1369" s="52">
        <f>IF(Учет!$O1369=Справочники!$F$6,Учет!$H1369,0)</f>
        <v>0</v>
      </c>
      <c r="G1369" s="43">
        <f>G1368+Учет!B1369-B1369</f>
        <v>-488978.92000000004</v>
      </c>
      <c r="H1369" s="43">
        <f>H1368+Учет!C1369-C1369</f>
        <v>336855</v>
      </c>
      <c r="I1369" s="43">
        <f>I1368+Учет!D1369-D1369</f>
        <v>500</v>
      </c>
      <c r="J1369" s="43">
        <f>J1368+Учет!E1369-E1369</f>
        <v>1150</v>
      </c>
      <c r="K1369" s="43">
        <f>K1368+Учет!F1369-F1369</f>
        <v>500000</v>
      </c>
      <c r="L1369" s="45">
        <f>Учет!I1369</f>
        <v>349526.07999999996</v>
      </c>
    </row>
    <row r="1370" spans="1:12" x14ac:dyDescent="0.25">
      <c r="A1370" s="48" t="str">
        <f>IF(Учет!A1370&lt;&gt;"",Учет!A1370,"")</f>
        <v/>
      </c>
      <c r="B1370" s="52">
        <f>IF(Учет!$O1370=Справочники!$F$2,Учет!$H1370,0)</f>
        <v>0</v>
      </c>
      <c r="C1370" s="52">
        <f>IF(Учет!$O1370=Справочники!$F$3,Учет!$H1370,0)</f>
        <v>0</v>
      </c>
      <c r="D1370" s="52">
        <f>IF(Учет!$O1370=Справочники!$F$4,Учет!$H1370,0)</f>
        <v>0</v>
      </c>
      <c r="E1370" s="52">
        <f>IF(Учет!$O1370=Справочники!$F$5,Учет!$H1370,0)</f>
        <v>0</v>
      </c>
      <c r="F1370" s="52">
        <f>IF(Учет!$O1370=Справочники!$F$6,Учет!$H1370,0)</f>
        <v>0</v>
      </c>
      <c r="G1370" s="43">
        <f>G1369+Учет!B1370-B1370</f>
        <v>-488978.92000000004</v>
      </c>
      <c r="H1370" s="43">
        <f>H1369+Учет!C1370-C1370</f>
        <v>336855</v>
      </c>
      <c r="I1370" s="43">
        <f>I1369+Учет!D1370-D1370</f>
        <v>500</v>
      </c>
      <c r="J1370" s="43">
        <f>J1369+Учет!E1370-E1370</f>
        <v>1150</v>
      </c>
      <c r="K1370" s="43">
        <f>K1369+Учет!F1370-F1370</f>
        <v>500000</v>
      </c>
      <c r="L1370" s="45">
        <f>Учет!I1370</f>
        <v>349526.07999999996</v>
      </c>
    </row>
    <row r="1371" spans="1:12" x14ac:dyDescent="0.25">
      <c r="A1371" s="48" t="str">
        <f>IF(Учет!A1371&lt;&gt;"",Учет!A1371,"")</f>
        <v/>
      </c>
      <c r="B1371" s="52">
        <f>IF(Учет!$O1371=Справочники!$F$2,Учет!$H1371,0)</f>
        <v>0</v>
      </c>
      <c r="C1371" s="52">
        <f>IF(Учет!$O1371=Справочники!$F$3,Учет!$H1371,0)</f>
        <v>0</v>
      </c>
      <c r="D1371" s="52">
        <f>IF(Учет!$O1371=Справочники!$F$4,Учет!$H1371,0)</f>
        <v>0</v>
      </c>
      <c r="E1371" s="52">
        <f>IF(Учет!$O1371=Справочники!$F$5,Учет!$H1371,0)</f>
        <v>0</v>
      </c>
      <c r="F1371" s="52">
        <f>IF(Учет!$O1371=Справочники!$F$6,Учет!$H1371,0)</f>
        <v>0</v>
      </c>
      <c r="G1371" s="43">
        <f>G1370+Учет!B1371-B1371</f>
        <v>-488978.92000000004</v>
      </c>
      <c r="H1371" s="43">
        <f>H1370+Учет!C1371-C1371</f>
        <v>336855</v>
      </c>
      <c r="I1371" s="43">
        <f>I1370+Учет!D1371-D1371</f>
        <v>500</v>
      </c>
      <c r="J1371" s="43">
        <f>J1370+Учет!E1371-E1371</f>
        <v>1150</v>
      </c>
      <c r="K1371" s="43">
        <f>K1370+Учет!F1371-F1371</f>
        <v>500000</v>
      </c>
      <c r="L1371" s="45">
        <f>Учет!I1371</f>
        <v>349526.07999999996</v>
      </c>
    </row>
    <row r="1372" spans="1:12" x14ac:dyDescent="0.25">
      <c r="A1372" s="48" t="str">
        <f>IF(Учет!A1372&lt;&gt;"",Учет!A1372,"")</f>
        <v/>
      </c>
      <c r="B1372" s="52">
        <f>IF(Учет!$O1372=Справочники!$F$2,Учет!$H1372,0)</f>
        <v>0</v>
      </c>
      <c r="C1372" s="52">
        <f>IF(Учет!$O1372=Справочники!$F$3,Учет!$H1372,0)</f>
        <v>0</v>
      </c>
      <c r="D1372" s="52">
        <f>IF(Учет!$O1372=Справочники!$F$4,Учет!$H1372,0)</f>
        <v>0</v>
      </c>
      <c r="E1372" s="52">
        <f>IF(Учет!$O1372=Справочники!$F$5,Учет!$H1372,0)</f>
        <v>0</v>
      </c>
      <c r="F1372" s="52">
        <f>IF(Учет!$O1372=Справочники!$F$6,Учет!$H1372,0)</f>
        <v>0</v>
      </c>
      <c r="G1372" s="43">
        <f>G1371+Учет!B1372-B1372</f>
        <v>-488978.92000000004</v>
      </c>
      <c r="H1372" s="43">
        <f>H1371+Учет!C1372-C1372</f>
        <v>336855</v>
      </c>
      <c r="I1372" s="43">
        <f>I1371+Учет!D1372-D1372</f>
        <v>500</v>
      </c>
      <c r="J1372" s="43">
        <f>J1371+Учет!E1372-E1372</f>
        <v>1150</v>
      </c>
      <c r="K1372" s="43">
        <f>K1371+Учет!F1372-F1372</f>
        <v>500000</v>
      </c>
      <c r="L1372" s="45">
        <f>Учет!I1372</f>
        <v>349526.07999999996</v>
      </c>
    </row>
    <row r="1373" spans="1:12" x14ac:dyDescent="0.25">
      <c r="A1373" s="48" t="str">
        <f>IF(Учет!A1373&lt;&gt;"",Учет!A1373,"")</f>
        <v/>
      </c>
      <c r="B1373" s="52">
        <f>IF(Учет!$O1373=Справочники!$F$2,Учет!$H1373,0)</f>
        <v>0</v>
      </c>
      <c r="C1373" s="52">
        <f>IF(Учет!$O1373=Справочники!$F$3,Учет!$H1373,0)</f>
        <v>0</v>
      </c>
      <c r="D1373" s="52">
        <f>IF(Учет!$O1373=Справочники!$F$4,Учет!$H1373,0)</f>
        <v>0</v>
      </c>
      <c r="E1373" s="52">
        <f>IF(Учет!$O1373=Справочники!$F$5,Учет!$H1373,0)</f>
        <v>0</v>
      </c>
      <c r="F1373" s="52">
        <f>IF(Учет!$O1373=Справочники!$F$6,Учет!$H1373,0)</f>
        <v>0</v>
      </c>
      <c r="G1373" s="43">
        <f>G1372+Учет!B1373-B1373</f>
        <v>-488978.92000000004</v>
      </c>
      <c r="H1373" s="43">
        <f>H1372+Учет!C1373-C1373</f>
        <v>336855</v>
      </c>
      <c r="I1373" s="43">
        <f>I1372+Учет!D1373-D1373</f>
        <v>500</v>
      </c>
      <c r="J1373" s="43">
        <f>J1372+Учет!E1373-E1373</f>
        <v>1150</v>
      </c>
      <c r="K1373" s="43">
        <f>K1372+Учет!F1373-F1373</f>
        <v>500000</v>
      </c>
      <c r="L1373" s="45">
        <f>Учет!I1373</f>
        <v>349526.07999999996</v>
      </c>
    </row>
    <row r="1374" spans="1:12" x14ac:dyDescent="0.25">
      <c r="A1374" s="48" t="str">
        <f>IF(Учет!A1374&lt;&gt;"",Учет!A1374,"")</f>
        <v/>
      </c>
      <c r="B1374" s="52">
        <f>IF(Учет!$O1374=Справочники!$F$2,Учет!$H1374,0)</f>
        <v>0</v>
      </c>
      <c r="C1374" s="52">
        <f>IF(Учет!$O1374=Справочники!$F$3,Учет!$H1374,0)</f>
        <v>0</v>
      </c>
      <c r="D1374" s="52">
        <f>IF(Учет!$O1374=Справочники!$F$4,Учет!$H1374,0)</f>
        <v>0</v>
      </c>
      <c r="E1374" s="52">
        <f>IF(Учет!$O1374=Справочники!$F$5,Учет!$H1374,0)</f>
        <v>0</v>
      </c>
      <c r="F1374" s="52">
        <f>IF(Учет!$O1374=Справочники!$F$6,Учет!$H1374,0)</f>
        <v>0</v>
      </c>
      <c r="G1374" s="43">
        <f>G1373+Учет!B1374-B1374</f>
        <v>-488978.92000000004</v>
      </c>
      <c r="H1374" s="43">
        <f>H1373+Учет!C1374-C1374</f>
        <v>336855</v>
      </c>
      <c r="I1374" s="43">
        <f>I1373+Учет!D1374-D1374</f>
        <v>500</v>
      </c>
      <c r="J1374" s="43">
        <f>J1373+Учет!E1374-E1374</f>
        <v>1150</v>
      </c>
      <c r="K1374" s="43">
        <f>K1373+Учет!F1374-F1374</f>
        <v>500000</v>
      </c>
      <c r="L1374" s="45">
        <f>Учет!I1374</f>
        <v>349526.07999999996</v>
      </c>
    </row>
    <row r="1375" spans="1:12" x14ac:dyDescent="0.25">
      <c r="A1375" s="48" t="str">
        <f>IF(Учет!A1375&lt;&gt;"",Учет!A1375,"")</f>
        <v/>
      </c>
      <c r="B1375" s="52">
        <f>IF(Учет!$O1375=Справочники!$F$2,Учет!$H1375,0)</f>
        <v>0</v>
      </c>
      <c r="C1375" s="52">
        <f>IF(Учет!$O1375=Справочники!$F$3,Учет!$H1375,0)</f>
        <v>0</v>
      </c>
      <c r="D1375" s="52">
        <f>IF(Учет!$O1375=Справочники!$F$4,Учет!$H1375,0)</f>
        <v>0</v>
      </c>
      <c r="E1375" s="52">
        <f>IF(Учет!$O1375=Справочники!$F$5,Учет!$H1375,0)</f>
        <v>0</v>
      </c>
      <c r="F1375" s="52">
        <f>IF(Учет!$O1375=Справочники!$F$6,Учет!$H1375,0)</f>
        <v>0</v>
      </c>
      <c r="G1375" s="43">
        <f>G1374+Учет!B1375-B1375</f>
        <v>-488978.92000000004</v>
      </c>
      <c r="H1375" s="43">
        <f>H1374+Учет!C1375-C1375</f>
        <v>336855</v>
      </c>
      <c r="I1375" s="43">
        <f>I1374+Учет!D1375-D1375</f>
        <v>500</v>
      </c>
      <c r="J1375" s="43">
        <f>J1374+Учет!E1375-E1375</f>
        <v>1150</v>
      </c>
      <c r="K1375" s="43">
        <f>K1374+Учет!F1375-F1375</f>
        <v>500000</v>
      </c>
      <c r="L1375" s="45">
        <f>Учет!I1375</f>
        <v>349526.07999999996</v>
      </c>
    </row>
    <row r="1376" spans="1:12" x14ac:dyDescent="0.25">
      <c r="A1376" s="48" t="str">
        <f>IF(Учет!A1376&lt;&gt;"",Учет!A1376,"")</f>
        <v/>
      </c>
      <c r="B1376" s="52">
        <f>IF(Учет!$O1376=Справочники!$F$2,Учет!$H1376,0)</f>
        <v>0</v>
      </c>
      <c r="C1376" s="52">
        <f>IF(Учет!$O1376=Справочники!$F$3,Учет!$H1376,0)</f>
        <v>0</v>
      </c>
      <c r="D1376" s="52">
        <f>IF(Учет!$O1376=Справочники!$F$4,Учет!$H1376,0)</f>
        <v>0</v>
      </c>
      <c r="E1376" s="52">
        <f>IF(Учет!$O1376=Справочники!$F$5,Учет!$H1376,0)</f>
        <v>0</v>
      </c>
      <c r="F1376" s="52">
        <f>IF(Учет!$O1376=Справочники!$F$6,Учет!$H1376,0)</f>
        <v>0</v>
      </c>
      <c r="G1376" s="43">
        <f>G1375+Учет!B1376-B1376</f>
        <v>-488978.92000000004</v>
      </c>
      <c r="H1376" s="43">
        <f>H1375+Учет!C1376-C1376</f>
        <v>336855</v>
      </c>
      <c r="I1376" s="43">
        <f>I1375+Учет!D1376-D1376</f>
        <v>500</v>
      </c>
      <c r="J1376" s="43">
        <f>J1375+Учет!E1376-E1376</f>
        <v>1150</v>
      </c>
      <c r="K1376" s="43">
        <f>K1375+Учет!F1376-F1376</f>
        <v>500000</v>
      </c>
      <c r="L1376" s="45">
        <f>Учет!I1376</f>
        <v>349526.07999999996</v>
      </c>
    </row>
    <row r="1377" spans="1:12" x14ac:dyDescent="0.25">
      <c r="A1377" s="48" t="str">
        <f>IF(Учет!A1377&lt;&gt;"",Учет!A1377,"")</f>
        <v/>
      </c>
      <c r="B1377" s="52">
        <f>IF(Учет!$O1377=Справочники!$F$2,Учет!$H1377,0)</f>
        <v>0</v>
      </c>
      <c r="C1377" s="52">
        <f>IF(Учет!$O1377=Справочники!$F$3,Учет!$H1377,0)</f>
        <v>0</v>
      </c>
      <c r="D1377" s="52">
        <f>IF(Учет!$O1377=Справочники!$F$4,Учет!$H1377,0)</f>
        <v>0</v>
      </c>
      <c r="E1377" s="52">
        <f>IF(Учет!$O1377=Справочники!$F$5,Учет!$H1377,0)</f>
        <v>0</v>
      </c>
      <c r="F1377" s="52">
        <f>IF(Учет!$O1377=Справочники!$F$6,Учет!$H1377,0)</f>
        <v>0</v>
      </c>
      <c r="G1377" s="43">
        <f>G1376+Учет!B1377-B1377</f>
        <v>-488978.92000000004</v>
      </c>
      <c r="H1377" s="43">
        <f>H1376+Учет!C1377-C1377</f>
        <v>336855</v>
      </c>
      <c r="I1377" s="43">
        <f>I1376+Учет!D1377-D1377</f>
        <v>500</v>
      </c>
      <c r="J1377" s="43">
        <f>J1376+Учет!E1377-E1377</f>
        <v>1150</v>
      </c>
      <c r="K1377" s="43">
        <f>K1376+Учет!F1377-F1377</f>
        <v>500000</v>
      </c>
      <c r="L1377" s="45">
        <f>Учет!I1377</f>
        <v>349526.07999999996</v>
      </c>
    </row>
    <row r="1378" spans="1:12" x14ac:dyDescent="0.25">
      <c r="A1378" s="48" t="str">
        <f>IF(Учет!A1378&lt;&gt;"",Учет!A1378,"")</f>
        <v/>
      </c>
      <c r="B1378" s="52">
        <f>IF(Учет!$O1378=Справочники!$F$2,Учет!$H1378,0)</f>
        <v>0</v>
      </c>
      <c r="C1378" s="52">
        <f>IF(Учет!$O1378=Справочники!$F$3,Учет!$H1378,0)</f>
        <v>0</v>
      </c>
      <c r="D1378" s="52">
        <f>IF(Учет!$O1378=Справочники!$F$4,Учет!$H1378,0)</f>
        <v>0</v>
      </c>
      <c r="E1378" s="52">
        <f>IF(Учет!$O1378=Справочники!$F$5,Учет!$H1378,0)</f>
        <v>0</v>
      </c>
      <c r="F1378" s="52">
        <f>IF(Учет!$O1378=Справочники!$F$6,Учет!$H1378,0)</f>
        <v>0</v>
      </c>
      <c r="G1378" s="43">
        <f>G1377+Учет!B1378-B1378</f>
        <v>-488978.92000000004</v>
      </c>
      <c r="H1378" s="43">
        <f>H1377+Учет!C1378-C1378</f>
        <v>336855</v>
      </c>
      <c r="I1378" s="43">
        <f>I1377+Учет!D1378-D1378</f>
        <v>500</v>
      </c>
      <c r="J1378" s="43">
        <f>J1377+Учет!E1378-E1378</f>
        <v>1150</v>
      </c>
      <c r="K1378" s="43">
        <f>K1377+Учет!F1378-F1378</f>
        <v>500000</v>
      </c>
      <c r="L1378" s="45">
        <f>Учет!I1378</f>
        <v>349526.07999999996</v>
      </c>
    </row>
    <row r="1379" spans="1:12" x14ac:dyDescent="0.25">
      <c r="A1379" s="48" t="str">
        <f>IF(Учет!A1379&lt;&gt;"",Учет!A1379,"")</f>
        <v/>
      </c>
      <c r="B1379" s="52">
        <f>IF(Учет!$O1379=Справочники!$F$2,Учет!$H1379,0)</f>
        <v>0</v>
      </c>
      <c r="C1379" s="52">
        <f>IF(Учет!$O1379=Справочники!$F$3,Учет!$H1379,0)</f>
        <v>0</v>
      </c>
      <c r="D1379" s="52">
        <f>IF(Учет!$O1379=Справочники!$F$4,Учет!$H1379,0)</f>
        <v>0</v>
      </c>
      <c r="E1379" s="52">
        <f>IF(Учет!$O1379=Справочники!$F$5,Учет!$H1379,0)</f>
        <v>0</v>
      </c>
      <c r="F1379" s="52">
        <f>IF(Учет!$O1379=Справочники!$F$6,Учет!$H1379,0)</f>
        <v>0</v>
      </c>
      <c r="G1379" s="43">
        <f>G1378+Учет!B1379-B1379</f>
        <v>-488978.92000000004</v>
      </c>
      <c r="H1379" s="43">
        <f>H1378+Учет!C1379-C1379</f>
        <v>336855</v>
      </c>
      <c r="I1379" s="43">
        <f>I1378+Учет!D1379-D1379</f>
        <v>500</v>
      </c>
      <c r="J1379" s="43">
        <f>J1378+Учет!E1379-E1379</f>
        <v>1150</v>
      </c>
      <c r="K1379" s="43">
        <f>K1378+Учет!F1379-F1379</f>
        <v>500000</v>
      </c>
      <c r="L1379" s="45">
        <f>Учет!I1379</f>
        <v>349526.07999999996</v>
      </c>
    </row>
    <row r="1380" spans="1:12" x14ac:dyDescent="0.25">
      <c r="A1380" s="48" t="str">
        <f>IF(Учет!A1380&lt;&gt;"",Учет!A1380,"")</f>
        <v/>
      </c>
      <c r="B1380" s="52">
        <f>IF(Учет!$O1380=Справочники!$F$2,Учет!$H1380,0)</f>
        <v>0</v>
      </c>
      <c r="C1380" s="52">
        <f>IF(Учет!$O1380=Справочники!$F$3,Учет!$H1380,0)</f>
        <v>0</v>
      </c>
      <c r="D1380" s="52">
        <f>IF(Учет!$O1380=Справочники!$F$4,Учет!$H1380,0)</f>
        <v>0</v>
      </c>
      <c r="E1380" s="52">
        <f>IF(Учет!$O1380=Справочники!$F$5,Учет!$H1380,0)</f>
        <v>0</v>
      </c>
      <c r="F1380" s="52">
        <f>IF(Учет!$O1380=Справочники!$F$6,Учет!$H1380,0)</f>
        <v>0</v>
      </c>
      <c r="G1380" s="43">
        <f>G1379+Учет!B1380-B1380</f>
        <v>-488978.92000000004</v>
      </c>
      <c r="H1380" s="43">
        <f>H1379+Учет!C1380-C1380</f>
        <v>336855</v>
      </c>
      <c r="I1380" s="43">
        <f>I1379+Учет!D1380-D1380</f>
        <v>500</v>
      </c>
      <c r="J1380" s="43">
        <f>J1379+Учет!E1380-E1380</f>
        <v>1150</v>
      </c>
      <c r="K1380" s="43">
        <f>K1379+Учет!F1380-F1380</f>
        <v>500000</v>
      </c>
      <c r="L1380" s="45">
        <f>Учет!I1380</f>
        <v>349526.07999999996</v>
      </c>
    </row>
    <row r="1381" spans="1:12" x14ac:dyDescent="0.25">
      <c r="A1381" s="48" t="str">
        <f>IF(Учет!A1381&lt;&gt;"",Учет!A1381,"")</f>
        <v/>
      </c>
      <c r="B1381" s="52">
        <f>IF(Учет!$O1381=Справочники!$F$2,Учет!$H1381,0)</f>
        <v>0</v>
      </c>
      <c r="C1381" s="52">
        <f>IF(Учет!$O1381=Справочники!$F$3,Учет!$H1381,0)</f>
        <v>0</v>
      </c>
      <c r="D1381" s="52">
        <f>IF(Учет!$O1381=Справочники!$F$4,Учет!$H1381,0)</f>
        <v>0</v>
      </c>
      <c r="E1381" s="52">
        <f>IF(Учет!$O1381=Справочники!$F$5,Учет!$H1381,0)</f>
        <v>0</v>
      </c>
      <c r="F1381" s="52">
        <f>IF(Учет!$O1381=Справочники!$F$6,Учет!$H1381,0)</f>
        <v>0</v>
      </c>
      <c r="G1381" s="43">
        <f>G1380+Учет!B1381-B1381</f>
        <v>-488978.92000000004</v>
      </c>
      <c r="H1381" s="43">
        <f>H1380+Учет!C1381-C1381</f>
        <v>336855</v>
      </c>
      <c r="I1381" s="43">
        <f>I1380+Учет!D1381-D1381</f>
        <v>500</v>
      </c>
      <c r="J1381" s="43">
        <f>J1380+Учет!E1381-E1381</f>
        <v>1150</v>
      </c>
      <c r="K1381" s="43">
        <f>K1380+Учет!F1381-F1381</f>
        <v>500000</v>
      </c>
      <c r="L1381" s="45">
        <f>Учет!I1381</f>
        <v>349526.07999999996</v>
      </c>
    </row>
    <row r="1382" spans="1:12" x14ac:dyDescent="0.25">
      <c r="A1382" s="48" t="str">
        <f>IF(Учет!A1382&lt;&gt;"",Учет!A1382,"")</f>
        <v/>
      </c>
      <c r="B1382" s="52">
        <f>IF(Учет!$O1382=Справочники!$F$2,Учет!$H1382,0)</f>
        <v>0</v>
      </c>
      <c r="C1382" s="52">
        <f>IF(Учет!$O1382=Справочники!$F$3,Учет!$H1382,0)</f>
        <v>0</v>
      </c>
      <c r="D1382" s="52">
        <f>IF(Учет!$O1382=Справочники!$F$4,Учет!$H1382,0)</f>
        <v>0</v>
      </c>
      <c r="E1382" s="52">
        <f>IF(Учет!$O1382=Справочники!$F$5,Учет!$H1382,0)</f>
        <v>0</v>
      </c>
      <c r="F1382" s="52">
        <f>IF(Учет!$O1382=Справочники!$F$6,Учет!$H1382,0)</f>
        <v>0</v>
      </c>
      <c r="G1382" s="43">
        <f>G1381+Учет!B1382-B1382</f>
        <v>-488978.92000000004</v>
      </c>
      <c r="H1382" s="43">
        <f>H1381+Учет!C1382-C1382</f>
        <v>336855</v>
      </c>
      <c r="I1382" s="43">
        <f>I1381+Учет!D1382-D1382</f>
        <v>500</v>
      </c>
      <c r="J1382" s="43">
        <f>J1381+Учет!E1382-E1382</f>
        <v>1150</v>
      </c>
      <c r="K1382" s="43">
        <f>K1381+Учет!F1382-F1382</f>
        <v>500000</v>
      </c>
      <c r="L1382" s="45">
        <f>Учет!I1382</f>
        <v>349526.07999999996</v>
      </c>
    </row>
    <row r="1383" spans="1:12" x14ac:dyDescent="0.25">
      <c r="A1383" s="48" t="str">
        <f>IF(Учет!A1383&lt;&gt;"",Учет!A1383,"")</f>
        <v/>
      </c>
      <c r="B1383" s="52">
        <f>IF(Учет!$O1383=Справочники!$F$2,Учет!$H1383,0)</f>
        <v>0</v>
      </c>
      <c r="C1383" s="52">
        <f>IF(Учет!$O1383=Справочники!$F$3,Учет!$H1383,0)</f>
        <v>0</v>
      </c>
      <c r="D1383" s="52">
        <f>IF(Учет!$O1383=Справочники!$F$4,Учет!$H1383,0)</f>
        <v>0</v>
      </c>
      <c r="E1383" s="52">
        <f>IF(Учет!$O1383=Справочники!$F$5,Учет!$H1383,0)</f>
        <v>0</v>
      </c>
      <c r="F1383" s="52">
        <f>IF(Учет!$O1383=Справочники!$F$6,Учет!$H1383,0)</f>
        <v>0</v>
      </c>
      <c r="G1383" s="43">
        <f>G1382+Учет!B1383-B1383</f>
        <v>-488978.92000000004</v>
      </c>
      <c r="H1383" s="43">
        <f>H1382+Учет!C1383-C1383</f>
        <v>336855</v>
      </c>
      <c r="I1383" s="43">
        <f>I1382+Учет!D1383-D1383</f>
        <v>500</v>
      </c>
      <c r="J1383" s="43">
        <f>J1382+Учет!E1383-E1383</f>
        <v>1150</v>
      </c>
      <c r="K1383" s="43">
        <f>K1382+Учет!F1383-F1383</f>
        <v>500000</v>
      </c>
      <c r="L1383" s="45">
        <f>Учет!I1383</f>
        <v>349526.07999999996</v>
      </c>
    </row>
    <row r="1384" spans="1:12" x14ac:dyDescent="0.25">
      <c r="A1384" s="48" t="str">
        <f>IF(Учет!A1384&lt;&gt;"",Учет!A1384,"")</f>
        <v/>
      </c>
      <c r="B1384" s="52">
        <f>IF(Учет!$O1384=Справочники!$F$2,Учет!$H1384,0)</f>
        <v>0</v>
      </c>
      <c r="C1384" s="52">
        <f>IF(Учет!$O1384=Справочники!$F$3,Учет!$H1384,0)</f>
        <v>0</v>
      </c>
      <c r="D1384" s="52">
        <f>IF(Учет!$O1384=Справочники!$F$4,Учет!$H1384,0)</f>
        <v>0</v>
      </c>
      <c r="E1384" s="52">
        <f>IF(Учет!$O1384=Справочники!$F$5,Учет!$H1384,0)</f>
        <v>0</v>
      </c>
      <c r="F1384" s="52">
        <f>IF(Учет!$O1384=Справочники!$F$6,Учет!$H1384,0)</f>
        <v>0</v>
      </c>
      <c r="G1384" s="43">
        <f>G1383+Учет!B1384-B1384</f>
        <v>-488978.92000000004</v>
      </c>
      <c r="H1384" s="43">
        <f>H1383+Учет!C1384-C1384</f>
        <v>336855</v>
      </c>
      <c r="I1384" s="43">
        <f>I1383+Учет!D1384-D1384</f>
        <v>500</v>
      </c>
      <c r="J1384" s="43">
        <f>J1383+Учет!E1384-E1384</f>
        <v>1150</v>
      </c>
      <c r="K1384" s="43">
        <f>K1383+Учет!F1384-F1384</f>
        <v>500000</v>
      </c>
      <c r="L1384" s="45">
        <f>Учет!I1384</f>
        <v>349526.07999999996</v>
      </c>
    </row>
    <row r="1385" spans="1:12" x14ac:dyDescent="0.25">
      <c r="A1385" s="48" t="str">
        <f>IF(Учет!A1385&lt;&gt;"",Учет!A1385,"")</f>
        <v/>
      </c>
      <c r="B1385" s="52">
        <f>IF(Учет!$O1385=Справочники!$F$2,Учет!$H1385,0)</f>
        <v>0</v>
      </c>
      <c r="C1385" s="52">
        <f>IF(Учет!$O1385=Справочники!$F$3,Учет!$H1385,0)</f>
        <v>0</v>
      </c>
      <c r="D1385" s="52">
        <f>IF(Учет!$O1385=Справочники!$F$4,Учет!$H1385,0)</f>
        <v>0</v>
      </c>
      <c r="E1385" s="52">
        <f>IF(Учет!$O1385=Справочники!$F$5,Учет!$H1385,0)</f>
        <v>0</v>
      </c>
      <c r="F1385" s="52">
        <f>IF(Учет!$O1385=Справочники!$F$6,Учет!$H1385,0)</f>
        <v>0</v>
      </c>
      <c r="G1385" s="43">
        <f>G1384+Учет!B1385-B1385</f>
        <v>-488978.92000000004</v>
      </c>
      <c r="H1385" s="43">
        <f>H1384+Учет!C1385-C1385</f>
        <v>336855</v>
      </c>
      <c r="I1385" s="43">
        <f>I1384+Учет!D1385-D1385</f>
        <v>500</v>
      </c>
      <c r="J1385" s="43">
        <f>J1384+Учет!E1385-E1385</f>
        <v>1150</v>
      </c>
      <c r="K1385" s="43">
        <f>K1384+Учет!F1385-F1385</f>
        <v>500000</v>
      </c>
      <c r="L1385" s="45">
        <f>Учет!I1385</f>
        <v>349526.07999999996</v>
      </c>
    </row>
    <row r="1386" spans="1:12" x14ac:dyDescent="0.25">
      <c r="A1386" s="48" t="str">
        <f>IF(Учет!A1386&lt;&gt;"",Учет!A1386,"")</f>
        <v/>
      </c>
      <c r="B1386" s="52">
        <f>IF(Учет!$O1386=Справочники!$F$2,Учет!$H1386,0)</f>
        <v>0</v>
      </c>
      <c r="C1386" s="52">
        <f>IF(Учет!$O1386=Справочники!$F$3,Учет!$H1386,0)</f>
        <v>0</v>
      </c>
      <c r="D1386" s="52">
        <f>IF(Учет!$O1386=Справочники!$F$4,Учет!$H1386,0)</f>
        <v>0</v>
      </c>
      <c r="E1386" s="52">
        <f>IF(Учет!$O1386=Справочники!$F$5,Учет!$H1386,0)</f>
        <v>0</v>
      </c>
      <c r="F1386" s="52">
        <f>IF(Учет!$O1386=Справочники!$F$6,Учет!$H1386,0)</f>
        <v>0</v>
      </c>
      <c r="G1386" s="43">
        <f>G1385+Учет!B1386-B1386</f>
        <v>-488978.92000000004</v>
      </c>
      <c r="H1386" s="43">
        <f>H1385+Учет!C1386-C1386</f>
        <v>336855</v>
      </c>
      <c r="I1386" s="43">
        <f>I1385+Учет!D1386-D1386</f>
        <v>500</v>
      </c>
      <c r="J1386" s="43">
        <f>J1385+Учет!E1386-E1386</f>
        <v>1150</v>
      </c>
      <c r="K1386" s="43">
        <f>K1385+Учет!F1386-F1386</f>
        <v>500000</v>
      </c>
      <c r="L1386" s="45">
        <f>Учет!I1386</f>
        <v>349526.07999999996</v>
      </c>
    </row>
    <row r="1387" spans="1:12" x14ac:dyDescent="0.25">
      <c r="A1387" s="48" t="str">
        <f>IF(Учет!A1387&lt;&gt;"",Учет!A1387,"")</f>
        <v/>
      </c>
      <c r="B1387" s="52">
        <f>IF(Учет!$O1387=Справочники!$F$2,Учет!$H1387,0)</f>
        <v>0</v>
      </c>
      <c r="C1387" s="52">
        <f>IF(Учет!$O1387=Справочники!$F$3,Учет!$H1387,0)</f>
        <v>0</v>
      </c>
      <c r="D1387" s="52">
        <f>IF(Учет!$O1387=Справочники!$F$4,Учет!$H1387,0)</f>
        <v>0</v>
      </c>
      <c r="E1387" s="52">
        <f>IF(Учет!$O1387=Справочники!$F$5,Учет!$H1387,0)</f>
        <v>0</v>
      </c>
      <c r="F1387" s="52">
        <f>IF(Учет!$O1387=Справочники!$F$6,Учет!$H1387,0)</f>
        <v>0</v>
      </c>
      <c r="G1387" s="43">
        <f>G1386+Учет!B1387-B1387</f>
        <v>-488978.92000000004</v>
      </c>
      <c r="H1387" s="43">
        <f>H1386+Учет!C1387-C1387</f>
        <v>336855</v>
      </c>
      <c r="I1387" s="43">
        <f>I1386+Учет!D1387-D1387</f>
        <v>500</v>
      </c>
      <c r="J1387" s="43">
        <f>J1386+Учет!E1387-E1387</f>
        <v>1150</v>
      </c>
      <c r="K1387" s="43">
        <f>K1386+Учет!F1387-F1387</f>
        <v>500000</v>
      </c>
      <c r="L1387" s="45">
        <f>Учет!I1387</f>
        <v>349526.07999999996</v>
      </c>
    </row>
    <row r="1388" spans="1:12" x14ac:dyDescent="0.25">
      <c r="A1388" s="48" t="str">
        <f>IF(Учет!A1388&lt;&gt;"",Учет!A1388,"")</f>
        <v/>
      </c>
      <c r="B1388" s="52">
        <f>IF(Учет!$O1388=Справочники!$F$2,Учет!$H1388,0)</f>
        <v>0</v>
      </c>
      <c r="C1388" s="52">
        <f>IF(Учет!$O1388=Справочники!$F$3,Учет!$H1388,0)</f>
        <v>0</v>
      </c>
      <c r="D1388" s="52">
        <f>IF(Учет!$O1388=Справочники!$F$4,Учет!$H1388,0)</f>
        <v>0</v>
      </c>
      <c r="E1388" s="52">
        <f>IF(Учет!$O1388=Справочники!$F$5,Учет!$H1388,0)</f>
        <v>0</v>
      </c>
      <c r="F1388" s="52">
        <f>IF(Учет!$O1388=Справочники!$F$6,Учет!$H1388,0)</f>
        <v>0</v>
      </c>
      <c r="G1388" s="43">
        <f>G1387+Учет!B1388-B1388</f>
        <v>-488978.92000000004</v>
      </c>
      <c r="H1388" s="43">
        <f>H1387+Учет!C1388-C1388</f>
        <v>336855</v>
      </c>
      <c r="I1388" s="43">
        <f>I1387+Учет!D1388-D1388</f>
        <v>500</v>
      </c>
      <c r="J1388" s="43">
        <f>J1387+Учет!E1388-E1388</f>
        <v>1150</v>
      </c>
      <c r="K1388" s="43">
        <f>K1387+Учет!F1388-F1388</f>
        <v>500000</v>
      </c>
      <c r="L1388" s="45">
        <f>Учет!I1388</f>
        <v>349526.07999999996</v>
      </c>
    </row>
    <row r="1389" spans="1:12" x14ac:dyDescent="0.25">
      <c r="A1389" s="48" t="str">
        <f>IF(Учет!A1389&lt;&gt;"",Учет!A1389,"")</f>
        <v/>
      </c>
      <c r="B1389" s="52">
        <f>IF(Учет!$O1389=Справочники!$F$2,Учет!$H1389,0)</f>
        <v>0</v>
      </c>
      <c r="C1389" s="52">
        <f>IF(Учет!$O1389=Справочники!$F$3,Учет!$H1389,0)</f>
        <v>0</v>
      </c>
      <c r="D1389" s="52">
        <f>IF(Учет!$O1389=Справочники!$F$4,Учет!$H1389,0)</f>
        <v>0</v>
      </c>
      <c r="E1389" s="52">
        <f>IF(Учет!$O1389=Справочники!$F$5,Учет!$H1389,0)</f>
        <v>0</v>
      </c>
      <c r="F1389" s="52">
        <f>IF(Учет!$O1389=Справочники!$F$6,Учет!$H1389,0)</f>
        <v>0</v>
      </c>
      <c r="G1389" s="43">
        <f>G1388+Учет!B1389-B1389</f>
        <v>-488978.92000000004</v>
      </c>
      <c r="H1389" s="43">
        <f>H1388+Учет!C1389-C1389</f>
        <v>336855</v>
      </c>
      <c r="I1389" s="43">
        <f>I1388+Учет!D1389-D1389</f>
        <v>500</v>
      </c>
      <c r="J1389" s="43">
        <f>J1388+Учет!E1389-E1389</f>
        <v>1150</v>
      </c>
      <c r="K1389" s="43">
        <f>K1388+Учет!F1389-F1389</f>
        <v>500000</v>
      </c>
      <c r="L1389" s="45">
        <f>Учет!I1389</f>
        <v>349526.07999999996</v>
      </c>
    </row>
    <row r="1390" spans="1:12" x14ac:dyDescent="0.25">
      <c r="A1390" s="48" t="str">
        <f>IF(Учет!A1390&lt;&gt;"",Учет!A1390,"")</f>
        <v/>
      </c>
      <c r="B1390" s="52">
        <f>IF(Учет!$O1390=Справочники!$F$2,Учет!$H1390,0)</f>
        <v>0</v>
      </c>
      <c r="C1390" s="52">
        <f>IF(Учет!$O1390=Справочники!$F$3,Учет!$H1390,0)</f>
        <v>0</v>
      </c>
      <c r="D1390" s="52">
        <f>IF(Учет!$O1390=Справочники!$F$4,Учет!$H1390,0)</f>
        <v>0</v>
      </c>
      <c r="E1390" s="52">
        <f>IF(Учет!$O1390=Справочники!$F$5,Учет!$H1390,0)</f>
        <v>0</v>
      </c>
      <c r="F1390" s="52">
        <f>IF(Учет!$O1390=Справочники!$F$6,Учет!$H1390,0)</f>
        <v>0</v>
      </c>
      <c r="G1390" s="43">
        <f>G1389+Учет!B1390-B1390</f>
        <v>-488978.92000000004</v>
      </c>
      <c r="H1390" s="43">
        <f>H1389+Учет!C1390-C1390</f>
        <v>336855</v>
      </c>
      <c r="I1390" s="43">
        <f>I1389+Учет!D1390-D1390</f>
        <v>500</v>
      </c>
      <c r="J1390" s="43">
        <f>J1389+Учет!E1390-E1390</f>
        <v>1150</v>
      </c>
      <c r="K1390" s="43">
        <f>K1389+Учет!F1390-F1390</f>
        <v>500000</v>
      </c>
      <c r="L1390" s="45">
        <f>Учет!I1390</f>
        <v>349526.07999999996</v>
      </c>
    </row>
    <row r="1391" spans="1:12" x14ac:dyDescent="0.25">
      <c r="A1391" s="48" t="str">
        <f>IF(Учет!A1391&lt;&gt;"",Учет!A1391,"")</f>
        <v/>
      </c>
      <c r="B1391" s="52">
        <f>IF(Учет!$O1391=Справочники!$F$2,Учет!$H1391,0)</f>
        <v>0</v>
      </c>
      <c r="C1391" s="52">
        <f>IF(Учет!$O1391=Справочники!$F$3,Учет!$H1391,0)</f>
        <v>0</v>
      </c>
      <c r="D1391" s="52">
        <f>IF(Учет!$O1391=Справочники!$F$4,Учет!$H1391,0)</f>
        <v>0</v>
      </c>
      <c r="E1391" s="52">
        <f>IF(Учет!$O1391=Справочники!$F$5,Учет!$H1391,0)</f>
        <v>0</v>
      </c>
      <c r="F1391" s="52">
        <f>IF(Учет!$O1391=Справочники!$F$6,Учет!$H1391,0)</f>
        <v>0</v>
      </c>
      <c r="G1391" s="43">
        <f>G1390+Учет!B1391-B1391</f>
        <v>-488978.92000000004</v>
      </c>
      <c r="H1391" s="43">
        <f>H1390+Учет!C1391-C1391</f>
        <v>336855</v>
      </c>
      <c r="I1391" s="43">
        <f>I1390+Учет!D1391-D1391</f>
        <v>500</v>
      </c>
      <c r="J1391" s="43">
        <f>J1390+Учет!E1391-E1391</f>
        <v>1150</v>
      </c>
      <c r="K1391" s="43">
        <f>K1390+Учет!F1391-F1391</f>
        <v>500000</v>
      </c>
      <c r="L1391" s="45">
        <f>Учет!I1391</f>
        <v>349526.07999999996</v>
      </c>
    </row>
    <row r="1392" spans="1:12" x14ac:dyDescent="0.25">
      <c r="A1392" s="48" t="str">
        <f>IF(Учет!A1392&lt;&gt;"",Учет!A1392,"")</f>
        <v/>
      </c>
      <c r="B1392" s="52">
        <f>IF(Учет!$O1392=Справочники!$F$2,Учет!$H1392,0)</f>
        <v>0</v>
      </c>
      <c r="C1392" s="52">
        <f>IF(Учет!$O1392=Справочники!$F$3,Учет!$H1392,0)</f>
        <v>0</v>
      </c>
      <c r="D1392" s="52">
        <f>IF(Учет!$O1392=Справочники!$F$4,Учет!$H1392,0)</f>
        <v>0</v>
      </c>
      <c r="E1392" s="52">
        <f>IF(Учет!$O1392=Справочники!$F$5,Учет!$H1392,0)</f>
        <v>0</v>
      </c>
      <c r="F1392" s="52">
        <f>IF(Учет!$O1392=Справочники!$F$6,Учет!$H1392,0)</f>
        <v>0</v>
      </c>
      <c r="G1392" s="43">
        <f>G1391+Учет!B1392-B1392</f>
        <v>-488978.92000000004</v>
      </c>
      <c r="H1392" s="43">
        <f>H1391+Учет!C1392-C1392</f>
        <v>336855</v>
      </c>
      <c r="I1392" s="43">
        <f>I1391+Учет!D1392-D1392</f>
        <v>500</v>
      </c>
      <c r="J1392" s="43">
        <f>J1391+Учет!E1392-E1392</f>
        <v>1150</v>
      </c>
      <c r="K1392" s="43">
        <f>K1391+Учет!F1392-F1392</f>
        <v>500000</v>
      </c>
      <c r="L1392" s="45">
        <f>Учет!I1392</f>
        <v>349526.07999999996</v>
      </c>
    </row>
    <row r="1393" spans="1:12" x14ac:dyDescent="0.25">
      <c r="A1393" s="48" t="str">
        <f>IF(Учет!A1393&lt;&gt;"",Учет!A1393,"")</f>
        <v/>
      </c>
      <c r="B1393" s="52">
        <f>IF(Учет!$O1393=Справочники!$F$2,Учет!$H1393,0)</f>
        <v>0</v>
      </c>
      <c r="C1393" s="52">
        <f>IF(Учет!$O1393=Справочники!$F$3,Учет!$H1393,0)</f>
        <v>0</v>
      </c>
      <c r="D1393" s="52">
        <f>IF(Учет!$O1393=Справочники!$F$4,Учет!$H1393,0)</f>
        <v>0</v>
      </c>
      <c r="E1393" s="52">
        <f>IF(Учет!$O1393=Справочники!$F$5,Учет!$H1393,0)</f>
        <v>0</v>
      </c>
      <c r="F1393" s="52">
        <f>IF(Учет!$O1393=Справочники!$F$6,Учет!$H1393,0)</f>
        <v>0</v>
      </c>
      <c r="G1393" s="43">
        <f>G1392+Учет!B1393-B1393</f>
        <v>-488978.92000000004</v>
      </c>
      <c r="H1393" s="43">
        <f>H1392+Учет!C1393-C1393</f>
        <v>336855</v>
      </c>
      <c r="I1393" s="43">
        <f>I1392+Учет!D1393-D1393</f>
        <v>500</v>
      </c>
      <c r="J1393" s="43">
        <f>J1392+Учет!E1393-E1393</f>
        <v>1150</v>
      </c>
      <c r="K1393" s="43">
        <f>K1392+Учет!F1393-F1393</f>
        <v>500000</v>
      </c>
      <c r="L1393" s="45">
        <f>Учет!I1393</f>
        <v>349526.07999999996</v>
      </c>
    </row>
    <row r="1394" spans="1:12" x14ac:dyDescent="0.25">
      <c r="A1394" s="48" t="str">
        <f>IF(Учет!A1394&lt;&gt;"",Учет!A1394,"")</f>
        <v/>
      </c>
      <c r="B1394" s="52">
        <f>IF(Учет!$O1394=Справочники!$F$2,Учет!$H1394,0)</f>
        <v>0</v>
      </c>
      <c r="C1394" s="52">
        <f>IF(Учет!$O1394=Справочники!$F$3,Учет!$H1394,0)</f>
        <v>0</v>
      </c>
      <c r="D1394" s="52">
        <f>IF(Учет!$O1394=Справочники!$F$4,Учет!$H1394,0)</f>
        <v>0</v>
      </c>
      <c r="E1394" s="52">
        <f>IF(Учет!$O1394=Справочники!$F$5,Учет!$H1394,0)</f>
        <v>0</v>
      </c>
      <c r="F1394" s="52">
        <f>IF(Учет!$O1394=Справочники!$F$6,Учет!$H1394,0)</f>
        <v>0</v>
      </c>
      <c r="G1394" s="43">
        <f>G1393+Учет!B1394-B1394</f>
        <v>-488978.92000000004</v>
      </c>
      <c r="H1394" s="43">
        <f>H1393+Учет!C1394-C1394</f>
        <v>336855</v>
      </c>
      <c r="I1394" s="43">
        <f>I1393+Учет!D1394-D1394</f>
        <v>500</v>
      </c>
      <c r="J1394" s="43">
        <f>J1393+Учет!E1394-E1394</f>
        <v>1150</v>
      </c>
      <c r="K1394" s="43">
        <f>K1393+Учет!F1394-F1394</f>
        <v>500000</v>
      </c>
      <c r="L1394" s="45">
        <f>Учет!I1394</f>
        <v>349526.07999999996</v>
      </c>
    </row>
    <row r="1395" spans="1:12" x14ac:dyDescent="0.25">
      <c r="A1395" s="48" t="str">
        <f>IF(Учет!A1395&lt;&gt;"",Учет!A1395,"")</f>
        <v/>
      </c>
      <c r="B1395" s="52">
        <f>IF(Учет!$O1395=Справочники!$F$2,Учет!$H1395,0)</f>
        <v>0</v>
      </c>
      <c r="C1395" s="52">
        <f>IF(Учет!$O1395=Справочники!$F$3,Учет!$H1395,0)</f>
        <v>0</v>
      </c>
      <c r="D1395" s="52">
        <f>IF(Учет!$O1395=Справочники!$F$4,Учет!$H1395,0)</f>
        <v>0</v>
      </c>
      <c r="E1395" s="52">
        <f>IF(Учет!$O1395=Справочники!$F$5,Учет!$H1395,0)</f>
        <v>0</v>
      </c>
      <c r="F1395" s="52">
        <f>IF(Учет!$O1395=Справочники!$F$6,Учет!$H1395,0)</f>
        <v>0</v>
      </c>
      <c r="G1395" s="43">
        <f>G1394+Учет!B1395-B1395</f>
        <v>-488978.92000000004</v>
      </c>
      <c r="H1395" s="43">
        <f>H1394+Учет!C1395-C1395</f>
        <v>336855</v>
      </c>
      <c r="I1395" s="43">
        <f>I1394+Учет!D1395-D1395</f>
        <v>500</v>
      </c>
      <c r="J1395" s="43">
        <f>J1394+Учет!E1395-E1395</f>
        <v>1150</v>
      </c>
      <c r="K1395" s="43">
        <f>K1394+Учет!F1395-F1395</f>
        <v>500000</v>
      </c>
      <c r="L1395" s="45">
        <f>Учет!I1395</f>
        <v>349526.07999999996</v>
      </c>
    </row>
    <row r="1396" spans="1:12" x14ac:dyDescent="0.25">
      <c r="A1396" s="48" t="str">
        <f>IF(Учет!A1396&lt;&gt;"",Учет!A1396,"")</f>
        <v/>
      </c>
      <c r="B1396" s="52">
        <f>IF(Учет!$O1396=Справочники!$F$2,Учет!$H1396,0)</f>
        <v>0</v>
      </c>
      <c r="C1396" s="52">
        <f>IF(Учет!$O1396=Справочники!$F$3,Учет!$H1396,0)</f>
        <v>0</v>
      </c>
      <c r="D1396" s="52">
        <f>IF(Учет!$O1396=Справочники!$F$4,Учет!$H1396,0)</f>
        <v>0</v>
      </c>
      <c r="E1396" s="52">
        <f>IF(Учет!$O1396=Справочники!$F$5,Учет!$H1396,0)</f>
        <v>0</v>
      </c>
      <c r="F1396" s="52">
        <f>IF(Учет!$O1396=Справочники!$F$6,Учет!$H1396,0)</f>
        <v>0</v>
      </c>
      <c r="G1396" s="43">
        <f>G1395+Учет!B1396-B1396</f>
        <v>-488978.92000000004</v>
      </c>
      <c r="H1396" s="43">
        <f>H1395+Учет!C1396-C1396</f>
        <v>336855</v>
      </c>
      <c r="I1396" s="43">
        <f>I1395+Учет!D1396-D1396</f>
        <v>500</v>
      </c>
      <c r="J1396" s="43">
        <f>J1395+Учет!E1396-E1396</f>
        <v>1150</v>
      </c>
      <c r="K1396" s="43">
        <f>K1395+Учет!F1396-F1396</f>
        <v>500000</v>
      </c>
      <c r="L1396" s="45">
        <f>Учет!I1396</f>
        <v>349526.07999999996</v>
      </c>
    </row>
    <row r="1397" spans="1:12" x14ac:dyDescent="0.25">
      <c r="A1397" s="48" t="str">
        <f>IF(Учет!A1397&lt;&gt;"",Учет!A1397,"")</f>
        <v/>
      </c>
      <c r="B1397" s="52">
        <f>IF(Учет!$O1397=Справочники!$F$2,Учет!$H1397,0)</f>
        <v>0</v>
      </c>
      <c r="C1397" s="52">
        <f>IF(Учет!$O1397=Справочники!$F$3,Учет!$H1397,0)</f>
        <v>0</v>
      </c>
      <c r="D1397" s="52">
        <f>IF(Учет!$O1397=Справочники!$F$4,Учет!$H1397,0)</f>
        <v>0</v>
      </c>
      <c r="E1397" s="52">
        <f>IF(Учет!$O1397=Справочники!$F$5,Учет!$H1397,0)</f>
        <v>0</v>
      </c>
      <c r="F1397" s="52">
        <f>IF(Учет!$O1397=Справочники!$F$6,Учет!$H1397,0)</f>
        <v>0</v>
      </c>
      <c r="G1397" s="43">
        <f>G1396+Учет!B1397-B1397</f>
        <v>-488978.92000000004</v>
      </c>
      <c r="H1397" s="43">
        <f>H1396+Учет!C1397-C1397</f>
        <v>336855</v>
      </c>
      <c r="I1397" s="43">
        <f>I1396+Учет!D1397-D1397</f>
        <v>500</v>
      </c>
      <c r="J1397" s="43">
        <f>J1396+Учет!E1397-E1397</f>
        <v>1150</v>
      </c>
      <c r="K1397" s="43">
        <f>K1396+Учет!F1397-F1397</f>
        <v>500000</v>
      </c>
      <c r="L1397" s="45">
        <f>Учет!I1397</f>
        <v>349526.07999999996</v>
      </c>
    </row>
    <row r="1398" spans="1:12" x14ac:dyDescent="0.25">
      <c r="A1398" s="48" t="str">
        <f>IF(Учет!A1398&lt;&gt;"",Учет!A1398,"")</f>
        <v/>
      </c>
      <c r="B1398" s="52">
        <f>IF(Учет!$O1398=Справочники!$F$2,Учет!$H1398,0)</f>
        <v>0</v>
      </c>
      <c r="C1398" s="52">
        <f>IF(Учет!$O1398=Справочники!$F$3,Учет!$H1398,0)</f>
        <v>0</v>
      </c>
      <c r="D1398" s="52">
        <f>IF(Учет!$O1398=Справочники!$F$4,Учет!$H1398,0)</f>
        <v>0</v>
      </c>
      <c r="E1398" s="52">
        <f>IF(Учет!$O1398=Справочники!$F$5,Учет!$H1398,0)</f>
        <v>0</v>
      </c>
      <c r="F1398" s="52">
        <f>IF(Учет!$O1398=Справочники!$F$6,Учет!$H1398,0)</f>
        <v>0</v>
      </c>
      <c r="G1398" s="43">
        <f>G1397+Учет!B1398-B1398</f>
        <v>-488978.92000000004</v>
      </c>
      <c r="H1398" s="43">
        <f>H1397+Учет!C1398-C1398</f>
        <v>336855</v>
      </c>
      <c r="I1398" s="43">
        <f>I1397+Учет!D1398-D1398</f>
        <v>500</v>
      </c>
      <c r="J1398" s="43">
        <f>J1397+Учет!E1398-E1398</f>
        <v>1150</v>
      </c>
      <c r="K1398" s="43">
        <f>K1397+Учет!F1398-F1398</f>
        <v>500000</v>
      </c>
      <c r="L1398" s="45">
        <f>Учет!I1398</f>
        <v>349526.07999999996</v>
      </c>
    </row>
    <row r="1399" spans="1:12" x14ac:dyDescent="0.25">
      <c r="A1399" s="48" t="str">
        <f>IF(Учет!A1399&lt;&gt;"",Учет!A1399,"")</f>
        <v/>
      </c>
      <c r="B1399" s="52">
        <f>IF(Учет!$O1399=Справочники!$F$2,Учет!$H1399,0)</f>
        <v>0</v>
      </c>
      <c r="C1399" s="52">
        <f>IF(Учет!$O1399=Справочники!$F$3,Учет!$H1399,0)</f>
        <v>0</v>
      </c>
      <c r="D1399" s="52">
        <f>IF(Учет!$O1399=Справочники!$F$4,Учет!$H1399,0)</f>
        <v>0</v>
      </c>
      <c r="E1399" s="52">
        <f>IF(Учет!$O1399=Справочники!$F$5,Учет!$H1399,0)</f>
        <v>0</v>
      </c>
      <c r="F1399" s="52">
        <f>IF(Учет!$O1399=Справочники!$F$6,Учет!$H1399,0)</f>
        <v>0</v>
      </c>
      <c r="G1399" s="43">
        <f>G1398+Учет!B1399-B1399</f>
        <v>-488978.92000000004</v>
      </c>
      <c r="H1399" s="43">
        <f>H1398+Учет!C1399-C1399</f>
        <v>336855</v>
      </c>
      <c r="I1399" s="43">
        <f>I1398+Учет!D1399-D1399</f>
        <v>500</v>
      </c>
      <c r="J1399" s="43">
        <f>J1398+Учет!E1399-E1399</f>
        <v>1150</v>
      </c>
      <c r="K1399" s="43">
        <f>K1398+Учет!F1399-F1399</f>
        <v>500000</v>
      </c>
      <c r="L1399" s="45">
        <f>Учет!I1399</f>
        <v>349526.07999999996</v>
      </c>
    </row>
    <row r="1400" spans="1:12" x14ac:dyDescent="0.25">
      <c r="A1400" s="48" t="str">
        <f>IF(Учет!A1400&lt;&gt;"",Учет!A1400,"")</f>
        <v/>
      </c>
      <c r="B1400" s="52">
        <f>IF(Учет!$O1400=Справочники!$F$2,Учет!$H1400,0)</f>
        <v>0</v>
      </c>
      <c r="C1400" s="52">
        <f>IF(Учет!$O1400=Справочники!$F$3,Учет!$H1400,0)</f>
        <v>0</v>
      </c>
      <c r="D1400" s="52">
        <f>IF(Учет!$O1400=Справочники!$F$4,Учет!$H1400,0)</f>
        <v>0</v>
      </c>
      <c r="E1400" s="52">
        <f>IF(Учет!$O1400=Справочники!$F$5,Учет!$H1400,0)</f>
        <v>0</v>
      </c>
      <c r="F1400" s="52">
        <f>IF(Учет!$O1400=Справочники!$F$6,Учет!$H1400,0)</f>
        <v>0</v>
      </c>
      <c r="G1400" s="43">
        <f>G1399+Учет!B1400-B1400</f>
        <v>-488978.92000000004</v>
      </c>
      <c r="H1400" s="43">
        <f>H1399+Учет!C1400-C1400</f>
        <v>336855</v>
      </c>
      <c r="I1400" s="43">
        <f>I1399+Учет!D1400-D1400</f>
        <v>500</v>
      </c>
      <c r="J1400" s="43">
        <f>J1399+Учет!E1400-E1400</f>
        <v>1150</v>
      </c>
      <c r="K1400" s="43">
        <f>K1399+Учет!F1400-F1400</f>
        <v>500000</v>
      </c>
      <c r="L1400" s="45">
        <f>Учет!I1400</f>
        <v>349526.07999999996</v>
      </c>
    </row>
    <row r="1401" spans="1:12" x14ac:dyDescent="0.25">
      <c r="A1401" s="48" t="str">
        <f>IF(Учет!A1401&lt;&gt;"",Учет!A1401,"")</f>
        <v/>
      </c>
      <c r="B1401" s="52">
        <f>IF(Учет!$O1401=Справочники!$F$2,Учет!$H1401,0)</f>
        <v>0</v>
      </c>
      <c r="C1401" s="52">
        <f>IF(Учет!$O1401=Справочники!$F$3,Учет!$H1401,0)</f>
        <v>0</v>
      </c>
      <c r="D1401" s="52">
        <f>IF(Учет!$O1401=Справочники!$F$4,Учет!$H1401,0)</f>
        <v>0</v>
      </c>
      <c r="E1401" s="52">
        <f>IF(Учет!$O1401=Справочники!$F$5,Учет!$H1401,0)</f>
        <v>0</v>
      </c>
      <c r="F1401" s="52">
        <f>IF(Учет!$O1401=Справочники!$F$6,Учет!$H1401,0)</f>
        <v>0</v>
      </c>
      <c r="G1401" s="43">
        <f>G1400+Учет!B1401-B1401</f>
        <v>-488978.92000000004</v>
      </c>
      <c r="H1401" s="43">
        <f>H1400+Учет!C1401-C1401</f>
        <v>336855</v>
      </c>
      <c r="I1401" s="43">
        <f>I1400+Учет!D1401-D1401</f>
        <v>500</v>
      </c>
      <c r="J1401" s="43">
        <f>J1400+Учет!E1401-E1401</f>
        <v>1150</v>
      </c>
      <c r="K1401" s="43">
        <f>K1400+Учет!F1401-F1401</f>
        <v>500000</v>
      </c>
      <c r="L1401" s="45">
        <f>Учет!I1401</f>
        <v>349526.07999999996</v>
      </c>
    </row>
    <row r="1402" spans="1:12" x14ac:dyDescent="0.25">
      <c r="A1402" s="48" t="str">
        <f>IF(Учет!A1402&lt;&gt;"",Учет!A1402,"")</f>
        <v/>
      </c>
      <c r="B1402" s="52">
        <f>IF(Учет!$O1402=Справочники!$F$2,Учет!$H1402,0)</f>
        <v>0</v>
      </c>
      <c r="C1402" s="52">
        <f>IF(Учет!$O1402=Справочники!$F$3,Учет!$H1402,0)</f>
        <v>0</v>
      </c>
      <c r="D1402" s="52">
        <f>IF(Учет!$O1402=Справочники!$F$4,Учет!$H1402,0)</f>
        <v>0</v>
      </c>
      <c r="E1402" s="52">
        <f>IF(Учет!$O1402=Справочники!$F$5,Учет!$H1402,0)</f>
        <v>0</v>
      </c>
      <c r="F1402" s="52">
        <f>IF(Учет!$O1402=Справочники!$F$6,Учет!$H1402,0)</f>
        <v>0</v>
      </c>
      <c r="G1402" s="43">
        <f>G1401+Учет!B1402-B1402</f>
        <v>-488978.92000000004</v>
      </c>
      <c r="H1402" s="43">
        <f>H1401+Учет!C1402-C1402</f>
        <v>336855</v>
      </c>
      <c r="I1402" s="43">
        <f>I1401+Учет!D1402-D1402</f>
        <v>500</v>
      </c>
      <c r="J1402" s="43">
        <f>J1401+Учет!E1402-E1402</f>
        <v>1150</v>
      </c>
      <c r="K1402" s="43">
        <f>K1401+Учет!F1402-F1402</f>
        <v>500000</v>
      </c>
      <c r="L1402" s="45">
        <f>Учет!I1402</f>
        <v>349526.07999999996</v>
      </c>
    </row>
    <row r="1403" spans="1:12" x14ac:dyDescent="0.25">
      <c r="A1403" s="48" t="str">
        <f>IF(Учет!A1403&lt;&gt;"",Учет!A1403,"")</f>
        <v/>
      </c>
      <c r="B1403" s="52">
        <f>IF(Учет!$O1403=Справочники!$F$2,Учет!$H1403,0)</f>
        <v>0</v>
      </c>
      <c r="C1403" s="52">
        <f>IF(Учет!$O1403=Справочники!$F$3,Учет!$H1403,0)</f>
        <v>0</v>
      </c>
      <c r="D1403" s="52">
        <f>IF(Учет!$O1403=Справочники!$F$4,Учет!$H1403,0)</f>
        <v>0</v>
      </c>
      <c r="E1403" s="52">
        <f>IF(Учет!$O1403=Справочники!$F$5,Учет!$H1403,0)</f>
        <v>0</v>
      </c>
      <c r="F1403" s="52">
        <f>IF(Учет!$O1403=Справочники!$F$6,Учет!$H1403,0)</f>
        <v>0</v>
      </c>
      <c r="G1403" s="43">
        <f>G1402+Учет!B1403-B1403</f>
        <v>-488978.92000000004</v>
      </c>
      <c r="H1403" s="43">
        <f>H1402+Учет!C1403-C1403</f>
        <v>336855</v>
      </c>
      <c r="I1403" s="43">
        <f>I1402+Учет!D1403-D1403</f>
        <v>500</v>
      </c>
      <c r="J1403" s="43">
        <f>J1402+Учет!E1403-E1403</f>
        <v>1150</v>
      </c>
      <c r="K1403" s="43">
        <f>K1402+Учет!F1403-F1403</f>
        <v>500000</v>
      </c>
      <c r="L1403" s="45">
        <f>Учет!I1403</f>
        <v>349526.07999999996</v>
      </c>
    </row>
    <row r="1404" spans="1:12" x14ac:dyDescent="0.25">
      <c r="A1404" s="48" t="str">
        <f>IF(Учет!A1404&lt;&gt;"",Учет!A1404,"")</f>
        <v/>
      </c>
      <c r="B1404" s="52">
        <f>IF(Учет!$O1404=Справочники!$F$2,Учет!$H1404,0)</f>
        <v>0</v>
      </c>
      <c r="C1404" s="52">
        <f>IF(Учет!$O1404=Справочники!$F$3,Учет!$H1404,0)</f>
        <v>0</v>
      </c>
      <c r="D1404" s="52">
        <f>IF(Учет!$O1404=Справочники!$F$4,Учет!$H1404,0)</f>
        <v>0</v>
      </c>
      <c r="E1404" s="52">
        <f>IF(Учет!$O1404=Справочники!$F$5,Учет!$H1404,0)</f>
        <v>0</v>
      </c>
      <c r="F1404" s="52">
        <f>IF(Учет!$O1404=Справочники!$F$6,Учет!$H1404,0)</f>
        <v>0</v>
      </c>
      <c r="G1404" s="43">
        <f>G1403+Учет!B1404-B1404</f>
        <v>-488978.92000000004</v>
      </c>
      <c r="H1404" s="43">
        <f>H1403+Учет!C1404-C1404</f>
        <v>336855</v>
      </c>
      <c r="I1404" s="43">
        <f>I1403+Учет!D1404-D1404</f>
        <v>500</v>
      </c>
      <c r="J1404" s="43">
        <f>J1403+Учет!E1404-E1404</f>
        <v>1150</v>
      </c>
      <c r="K1404" s="43">
        <f>K1403+Учет!F1404-F1404</f>
        <v>500000</v>
      </c>
      <c r="L1404" s="45">
        <f>Учет!I1404</f>
        <v>349526.07999999996</v>
      </c>
    </row>
    <row r="1405" spans="1:12" x14ac:dyDescent="0.25">
      <c r="A1405" s="48" t="str">
        <f>IF(Учет!A1405&lt;&gt;"",Учет!A1405,"")</f>
        <v/>
      </c>
      <c r="B1405" s="52">
        <f>IF(Учет!$O1405=Справочники!$F$2,Учет!$H1405,0)</f>
        <v>0</v>
      </c>
      <c r="C1405" s="52">
        <f>IF(Учет!$O1405=Справочники!$F$3,Учет!$H1405,0)</f>
        <v>0</v>
      </c>
      <c r="D1405" s="52">
        <f>IF(Учет!$O1405=Справочники!$F$4,Учет!$H1405,0)</f>
        <v>0</v>
      </c>
      <c r="E1405" s="52">
        <f>IF(Учет!$O1405=Справочники!$F$5,Учет!$H1405,0)</f>
        <v>0</v>
      </c>
      <c r="F1405" s="52">
        <f>IF(Учет!$O1405=Справочники!$F$6,Учет!$H1405,0)</f>
        <v>0</v>
      </c>
      <c r="G1405" s="43">
        <f>G1404+Учет!B1405-B1405</f>
        <v>-488978.92000000004</v>
      </c>
      <c r="H1405" s="43">
        <f>H1404+Учет!C1405-C1405</f>
        <v>336855</v>
      </c>
      <c r="I1405" s="43">
        <f>I1404+Учет!D1405-D1405</f>
        <v>500</v>
      </c>
      <c r="J1405" s="43">
        <f>J1404+Учет!E1405-E1405</f>
        <v>1150</v>
      </c>
      <c r="K1405" s="43">
        <f>K1404+Учет!F1405-F1405</f>
        <v>500000</v>
      </c>
      <c r="L1405" s="45">
        <f>Учет!I1405</f>
        <v>349526.07999999996</v>
      </c>
    </row>
    <row r="1406" spans="1:12" x14ac:dyDescent="0.25">
      <c r="A1406" s="48" t="str">
        <f>IF(Учет!A1406&lt;&gt;"",Учет!A1406,"")</f>
        <v/>
      </c>
      <c r="B1406" s="52">
        <f>IF(Учет!$O1406=Справочники!$F$2,Учет!$H1406,0)</f>
        <v>0</v>
      </c>
      <c r="C1406" s="52">
        <f>IF(Учет!$O1406=Справочники!$F$3,Учет!$H1406,0)</f>
        <v>0</v>
      </c>
      <c r="D1406" s="52">
        <f>IF(Учет!$O1406=Справочники!$F$4,Учет!$H1406,0)</f>
        <v>0</v>
      </c>
      <c r="E1406" s="52">
        <f>IF(Учет!$O1406=Справочники!$F$5,Учет!$H1406,0)</f>
        <v>0</v>
      </c>
      <c r="F1406" s="52">
        <f>IF(Учет!$O1406=Справочники!$F$6,Учет!$H1406,0)</f>
        <v>0</v>
      </c>
      <c r="G1406" s="43">
        <f>G1405+Учет!B1406-B1406</f>
        <v>-488978.92000000004</v>
      </c>
      <c r="H1406" s="43">
        <f>H1405+Учет!C1406-C1406</f>
        <v>336855</v>
      </c>
      <c r="I1406" s="43">
        <f>I1405+Учет!D1406-D1406</f>
        <v>500</v>
      </c>
      <c r="J1406" s="43">
        <f>J1405+Учет!E1406-E1406</f>
        <v>1150</v>
      </c>
      <c r="K1406" s="43">
        <f>K1405+Учет!F1406-F1406</f>
        <v>500000</v>
      </c>
      <c r="L1406" s="45">
        <f>Учет!I1406</f>
        <v>349526.07999999996</v>
      </c>
    </row>
    <row r="1407" spans="1:12" x14ac:dyDescent="0.25">
      <c r="A1407" s="48" t="str">
        <f>IF(Учет!A1407&lt;&gt;"",Учет!A1407,"")</f>
        <v/>
      </c>
      <c r="B1407" s="52">
        <f>IF(Учет!$O1407=Справочники!$F$2,Учет!$H1407,0)</f>
        <v>0</v>
      </c>
      <c r="C1407" s="52">
        <f>IF(Учет!$O1407=Справочники!$F$3,Учет!$H1407,0)</f>
        <v>0</v>
      </c>
      <c r="D1407" s="52">
        <f>IF(Учет!$O1407=Справочники!$F$4,Учет!$H1407,0)</f>
        <v>0</v>
      </c>
      <c r="E1407" s="52">
        <f>IF(Учет!$O1407=Справочники!$F$5,Учет!$H1407,0)</f>
        <v>0</v>
      </c>
      <c r="F1407" s="52">
        <f>IF(Учет!$O1407=Справочники!$F$6,Учет!$H1407,0)</f>
        <v>0</v>
      </c>
      <c r="G1407" s="43">
        <f>G1406+Учет!B1407-B1407</f>
        <v>-488978.92000000004</v>
      </c>
      <c r="H1407" s="43">
        <f>H1406+Учет!C1407-C1407</f>
        <v>336855</v>
      </c>
      <c r="I1407" s="43">
        <f>I1406+Учет!D1407-D1407</f>
        <v>500</v>
      </c>
      <c r="J1407" s="43">
        <f>J1406+Учет!E1407-E1407</f>
        <v>1150</v>
      </c>
      <c r="K1407" s="43">
        <f>K1406+Учет!F1407-F1407</f>
        <v>500000</v>
      </c>
      <c r="L1407" s="45">
        <f>Учет!I1407</f>
        <v>349526.07999999996</v>
      </c>
    </row>
    <row r="1408" spans="1:12" x14ac:dyDescent="0.25">
      <c r="A1408" s="48" t="str">
        <f>IF(Учет!A1408&lt;&gt;"",Учет!A1408,"")</f>
        <v/>
      </c>
      <c r="B1408" s="52">
        <f>IF(Учет!$O1408=Справочники!$F$2,Учет!$H1408,0)</f>
        <v>0</v>
      </c>
      <c r="C1408" s="52">
        <f>IF(Учет!$O1408=Справочники!$F$3,Учет!$H1408,0)</f>
        <v>0</v>
      </c>
      <c r="D1408" s="52">
        <f>IF(Учет!$O1408=Справочники!$F$4,Учет!$H1408,0)</f>
        <v>0</v>
      </c>
      <c r="E1408" s="52">
        <f>IF(Учет!$O1408=Справочники!$F$5,Учет!$H1408,0)</f>
        <v>0</v>
      </c>
      <c r="F1408" s="52">
        <f>IF(Учет!$O1408=Справочники!$F$6,Учет!$H1408,0)</f>
        <v>0</v>
      </c>
      <c r="G1408" s="43">
        <f>G1407+Учет!B1408-B1408</f>
        <v>-488978.92000000004</v>
      </c>
      <c r="H1408" s="43">
        <f>H1407+Учет!C1408-C1408</f>
        <v>336855</v>
      </c>
      <c r="I1408" s="43">
        <f>I1407+Учет!D1408-D1408</f>
        <v>500</v>
      </c>
      <c r="J1408" s="43">
        <f>J1407+Учет!E1408-E1408</f>
        <v>1150</v>
      </c>
      <c r="K1408" s="43">
        <f>K1407+Учет!F1408-F1408</f>
        <v>500000</v>
      </c>
      <c r="L1408" s="45">
        <f>Учет!I1408</f>
        <v>349526.07999999996</v>
      </c>
    </row>
    <row r="1409" spans="1:12" x14ac:dyDescent="0.25">
      <c r="A1409" s="48" t="str">
        <f>IF(Учет!A1409&lt;&gt;"",Учет!A1409,"")</f>
        <v/>
      </c>
      <c r="B1409" s="52">
        <f>IF(Учет!$O1409=Справочники!$F$2,Учет!$H1409,0)</f>
        <v>0</v>
      </c>
      <c r="C1409" s="52">
        <f>IF(Учет!$O1409=Справочники!$F$3,Учет!$H1409,0)</f>
        <v>0</v>
      </c>
      <c r="D1409" s="52">
        <f>IF(Учет!$O1409=Справочники!$F$4,Учет!$H1409,0)</f>
        <v>0</v>
      </c>
      <c r="E1409" s="52">
        <f>IF(Учет!$O1409=Справочники!$F$5,Учет!$H1409,0)</f>
        <v>0</v>
      </c>
      <c r="F1409" s="52">
        <f>IF(Учет!$O1409=Справочники!$F$6,Учет!$H1409,0)</f>
        <v>0</v>
      </c>
      <c r="G1409" s="43">
        <f>G1408+Учет!B1409-B1409</f>
        <v>-488978.92000000004</v>
      </c>
      <c r="H1409" s="43">
        <f>H1408+Учет!C1409-C1409</f>
        <v>336855</v>
      </c>
      <c r="I1409" s="43">
        <f>I1408+Учет!D1409-D1409</f>
        <v>500</v>
      </c>
      <c r="J1409" s="43">
        <f>J1408+Учет!E1409-E1409</f>
        <v>1150</v>
      </c>
      <c r="K1409" s="43">
        <f>K1408+Учет!F1409-F1409</f>
        <v>500000</v>
      </c>
      <c r="L1409" s="45">
        <f>Учет!I1409</f>
        <v>349526.07999999996</v>
      </c>
    </row>
    <row r="1410" spans="1:12" x14ac:dyDescent="0.25">
      <c r="A1410" s="48" t="str">
        <f>IF(Учет!A1410&lt;&gt;"",Учет!A1410,"")</f>
        <v/>
      </c>
      <c r="B1410" s="52">
        <f>IF(Учет!$O1410=Справочники!$F$2,Учет!$H1410,0)</f>
        <v>0</v>
      </c>
      <c r="C1410" s="52">
        <f>IF(Учет!$O1410=Справочники!$F$3,Учет!$H1410,0)</f>
        <v>0</v>
      </c>
      <c r="D1410" s="52">
        <f>IF(Учет!$O1410=Справочники!$F$4,Учет!$H1410,0)</f>
        <v>0</v>
      </c>
      <c r="E1410" s="52">
        <f>IF(Учет!$O1410=Справочники!$F$5,Учет!$H1410,0)</f>
        <v>0</v>
      </c>
      <c r="F1410" s="52">
        <f>IF(Учет!$O1410=Справочники!$F$6,Учет!$H1410,0)</f>
        <v>0</v>
      </c>
      <c r="G1410" s="43">
        <f>G1409+Учет!B1410-B1410</f>
        <v>-488978.92000000004</v>
      </c>
      <c r="H1410" s="43">
        <f>H1409+Учет!C1410-C1410</f>
        <v>336855</v>
      </c>
      <c r="I1410" s="43">
        <f>I1409+Учет!D1410-D1410</f>
        <v>500</v>
      </c>
      <c r="J1410" s="43">
        <f>J1409+Учет!E1410-E1410</f>
        <v>1150</v>
      </c>
      <c r="K1410" s="43">
        <f>K1409+Учет!F1410-F1410</f>
        <v>500000</v>
      </c>
      <c r="L1410" s="45">
        <f>Учет!I1410</f>
        <v>349526.07999999996</v>
      </c>
    </row>
    <row r="1411" spans="1:12" x14ac:dyDescent="0.25">
      <c r="A1411" s="48" t="str">
        <f>IF(Учет!A1411&lt;&gt;"",Учет!A1411,"")</f>
        <v/>
      </c>
      <c r="B1411" s="52">
        <f>IF(Учет!$O1411=Справочники!$F$2,Учет!$H1411,0)</f>
        <v>0</v>
      </c>
      <c r="C1411" s="52">
        <f>IF(Учет!$O1411=Справочники!$F$3,Учет!$H1411,0)</f>
        <v>0</v>
      </c>
      <c r="D1411" s="52">
        <f>IF(Учет!$O1411=Справочники!$F$4,Учет!$H1411,0)</f>
        <v>0</v>
      </c>
      <c r="E1411" s="52">
        <f>IF(Учет!$O1411=Справочники!$F$5,Учет!$H1411,0)</f>
        <v>0</v>
      </c>
      <c r="F1411" s="52">
        <f>IF(Учет!$O1411=Справочники!$F$6,Учет!$H1411,0)</f>
        <v>0</v>
      </c>
      <c r="G1411" s="43">
        <f>G1410+Учет!B1411-B1411</f>
        <v>-488978.92000000004</v>
      </c>
      <c r="H1411" s="43">
        <f>H1410+Учет!C1411-C1411</f>
        <v>336855</v>
      </c>
      <c r="I1411" s="43">
        <f>I1410+Учет!D1411-D1411</f>
        <v>500</v>
      </c>
      <c r="J1411" s="43">
        <f>J1410+Учет!E1411-E1411</f>
        <v>1150</v>
      </c>
      <c r="K1411" s="43">
        <f>K1410+Учет!F1411-F1411</f>
        <v>500000</v>
      </c>
      <c r="L1411" s="45">
        <f>Учет!I1411</f>
        <v>349526.07999999996</v>
      </c>
    </row>
    <row r="1412" spans="1:12" x14ac:dyDescent="0.25">
      <c r="A1412" s="48" t="str">
        <f>IF(Учет!A1412&lt;&gt;"",Учет!A1412,"")</f>
        <v/>
      </c>
      <c r="B1412" s="52">
        <f>IF(Учет!$O1412=Справочники!$F$2,Учет!$H1412,0)</f>
        <v>0</v>
      </c>
      <c r="C1412" s="52">
        <f>IF(Учет!$O1412=Справочники!$F$3,Учет!$H1412,0)</f>
        <v>0</v>
      </c>
      <c r="D1412" s="52">
        <f>IF(Учет!$O1412=Справочники!$F$4,Учет!$H1412,0)</f>
        <v>0</v>
      </c>
      <c r="E1412" s="52">
        <f>IF(Учет!$O1412=Справочники!$F$5,Учет!$H1412,0)</f>
        <v>0</v>
      </c>
      <c r="F1412" s="52">
        <f>IF(Учет!$O1412=Справочники!$F$6,Учет!$H1412,0)</f>
        <v>0</v>
      </c>
      <c r="G1412" s="43">
        <f>G1411+Учет!B1412-B1412</f>
        <v>-488978.92000000004</v>
      </c>
      <c r="H1412" s="43">
        <f>H1411+Учет!C1412-C1412</f>
        <v>336855</v>
      </c>
      <c r="I1412" s="43">
        <f>I1411+Учет!D1412-D1412</f>
        <v>500</v>
      </c>
      <c r="J1412" s="43">
        <f>J1411+Учет!E1412-E1412</f>
        <v>1150</v>
      </c>
      <c r="K1412" s="43">
        <f>K1411+Учет!F1412-F1412</f>
        <v>500000</v>
      </c>
      <c r="L1412" s="45">
        <f>Учет!I1412</f>
        <v>349526.07999999996</v>
      </c>
    </row>
    <row r="1413" spans="1:12" x14ac:dyDescent="0.25">
      <c r="A1413" s="48" t="str">
        <f>IF(Учет!A1413&lt;&gt;"",Учет!A1413,"")</f>
        <v/>
      </c>
      <c r="B1413" s="52">
        <f>IF(Учет!$O1413=Справочники!$F$2,Учет!$H1413,0)</f>
        <v>0</v>
      </c>
      <c r="C1413" s="52">
        <f>IF(Учет!$O1413=Справочники!$F$3,Учет!$H1413,0)</f>
        <v>0</v>
      </c>
      <c r="D1413" s="52">
        <f>IF(Учет!$O1413=Справочники!$F$4,Учет!$H1413,0)</f>
        <v>0</v>
      </c>
      <c r="E1413" s="52">
        <f>IF(Учет!$O1413=Справочники!$F$5,Учет!$H1413,0)</f>
        <v>0</v>
      </c>
      <c r="F1413" s="52">
        <f>IF(Учет!$O1413=Справочники!$F$6,Учет!$H1413,0)</f>
        <v>0</v>
      </c>
      <c r="G1413" s="43">
        <f>G1412+Учет!B1413-B1413</f>
        <v>-488978.92000000004</v>
      </c>
      <c r="H1413" s="43">
        <f>H1412+Учет!C1413-C1413</f>
        <v>336855</v>
      </c>
      <c r="I1413" s="43">
        <f>I1412+Учет!D1413-D1413</f>
        <v>500</v>
      </c>
      <c r="J1413" s="43">
        <f>J1412+Учет!E1413-E1413</f>
        <v>1150</v>
      </c>
      <c r="K1413" s="43">
        <f>K1412+Учет!F1413-F1413</f>
        <v>500000</v>
      </c>
      <c r="L1413" s="45">
        <f>Учет!I1413</f>
        <v>349526.07999999996</v>
      </c>
    </row>
    <row r="1414" spans="1:12" x14ac:dyDescent="0.25">
      <c r="A1414" s="48" t="str">
        <f>IF(Учет!A1414&lt;&gt;"",Учет!A1414,"")</f>
        <v/>
      </c>
      <c r="B1414" s="52">
        <f>IF(Учет!$O1414=Справочники!$F$2,Учет!$H1414,0)</f>
        <v>0</v>
      </c>
      <c r="C1414" s="52">
        <f>IF(Учет!$O1414=Справочники!$F$3,Учет!$H1414,0)</f>
        <v>0</v>
      </c>
      <c r="D1414" s="52">
        <f>IF(Учет!$O1414=Справочники!$F$4,Учет!$H1414,0)</f>
        <v>0</v>
      </c>
      <c r="E1414" s="52">
        <f>IF(Учет!$O1414=Справочники!$F$5,Учет!$H1414,0)</f>
        <v>0</v>
      </c>
      <c r="F1414" s="52">
        <f>IF(Учет!$O1414=Справочники!$F$6,Учет!$H1414,0)</f>
        <v>0</v>
      </c>
      <c r="G1414" s="43">
        <f>G1413+Учет!B1414-B1414</f>
        <v>-488978.92000000004</v>
      </c>
      <c r="H1414" s="43">
        <f>H1413+Учет!C1414-C1414</f>
        <v>336855</v>
      </c>
      <c r="I1414" s="43">
        <f>I1413+Учет!D1414-D1414</f>
        <v>500</v>
      </c>
      <c r="J1414" s="43">
        <f>J1413+Учет!E1414-E1414</f>
        <v>1150</v>
      </c>
      <c r="K1414" s="43">
        <f>K1413+Учет!F1414-F1414</f>
        <v>500000</v>
      </c>
      <c r="L1414" s="45">
        <f>Учет!I1414</f>
        <v>349526.07999999996</v>
      </c>
    </row>
    <row r="1415" spans="1:12" x14ac:dyDescent="0.25">
      <c r="A1415" s="48" t="str">
        <f>IF(Учет!A1415&lt;&gt;"",Учет!A1415,"")</f>
        <v/>
      </c>
      <c r="B1415" s="52">
        <f>IF(Учет!$O1415=Справочники!$F$2,Учет!$H1415,0)</f>
        <v>0</v>
      </c>
      <c r="C1415" s="52">
        <f>IF(Учет!$O1415=Справочники!$F$3,Учет!$H1415,0)</f>
        <v>0</v>
      </c>
      <c r="D1415" s="52">
        <f>IF(Учет!$O1415=Справочники!$F$4,Учет!$H1415,0)</f>
        <v>0</v>
      </c>
      <c r="E1415" s="52">
        <f>IF(Учет!$O1415=Справочники!$F$5,Учет!$H1415,0)</f>
        <v>0</v>
      </c>
      <c r="F1415" s="52">
        <f>IF(Учет!$O1415=Справочники!$F$6,Учет!$H1415,0)</f>
        <v>0</v>
      </c>
      <c r="G1415" s="43">
        <f>G1414+Учет!B1415-B1415</f>
        <v>-488978.92000000004</v>
      </c>
      <c r="H1415" s="43">
        <f>H1414+Учет!C1415-C1415</f>
        <v>336855</v>
      </c>
      <c r="I1415" s="43">
        <f>I1414+Учет!D1415-D1415</f>
        <v>500</v>
      </c>
      <c r="J1415" s="43">
        <f>J1414+Учет!E1415-E1415</f>
        <v>1150</v>
      </c>
      <c r="K1415" s="43">
        <f>K1414+Учет!F1415-F1415</f>
        <v>500000</v>
      </c>
      <c r="L1415" s="45">
        <f>Учет!I1415</f>
        <v>349526.07999999996</v>
      </c>
    </row>
    <row r="1416" spans="1:12" x14ac:dyDescent="0.25">
      <c r="A1416" s="48" t="str">
        <f>IF(Учет!A1416&lt;&gt;"",Учет!A1416,"")</f>
        <v/>
      </c>
      <c r="B1416" s="52">
        <f>IF(Учет!$O1416=Справочники!$F$2,Учет!$H1416,0)</f>
        <v>0</v>
      </c>
      <c r="C1416" s="52">
        <f>IF(Учет!$O1416=Справочники!$F$3,Учет!$H1416,0)</f>
        <v>0</v>
      </c>
      <c r="D1416" s="52">
        <f>IF(Учет!$O1416=Справочники!$F$4,Учет!$H1416,0)</f>
        <v>0</v>
      </c>
      <c r="E1416" s="52">
        <f>IF(Учет!$O1416=Справочники!$F$5,Учет!$H1416,0)</f>
        <v>0</v>
      </c>
      <c r="F1416" s="52">
        <f>IF(Учет!$O1416=Справочники!$F$6,Учет!$H1416,0)</f>
        <v>0</v>
      </c>
      <c r="G1416" s="43">
        <f>G1415+Учет!B1416-B1416</f>
        <v>-488978.92000000004</v>
      </c>
      <c r="H1416" s="43">
        <f>H1415+Учет!C1416-C1416</f>
        <v>336855</v>
      </c>
      <c r="I1416" s="43">
        <f>I1415+Учет!D1416-D1416</f>
        <v>500</v>
      </c>
      <c r="J1416" s="43">
        <f>J1415+Учет!E1416-E1416</f>
        <v>1150</v>
      </c>
      <c r="K1416" s="43">
        <f>K1415+Учет!F1416-F1416</f>
        <v>500000</v>
      </c>
      <c r="L1416" s="45">
        <f>Учет!I1416</f>
        <v>349526.07999999996</v>
      </c>
    </row>
    <row r="1417" spans="1:12" x14ac:dyDescent="0.25">
      <c r="A1417" s="48" t="str">
        <f>IF(Учет!A1417&lt;&gt;"",Учет!A1417,"")</f>
        <v/>
      </c>
      <c r="B1417" s="52">
        <f>IF(Учет!$O1417=Справочники!$F$2,Учет!$H1417,0)</f>
        <v>0</v>
      </c>
      <c r="C1417" s="52">
        <f>IF(Учет!$O1417=Справочники!$F$3,Учет!$H1417,0)</f>
        <v>0</v>
      </c>
      <c r="D1417" s="52">
        <f>IF(Учет!$O1417=Справочники!$F$4,Учет!$H1417,0)</f>
        <v>0</v>
      </c>
      <c r="E1417" s="52">
        <f>IF(Учет!$O1417=Справочники!$F$5,Учет!$H1417,0)</f>
        <v>0</v>
      </c>
      <c r="F1417" s="52">
        <f>IF(Учет!$O1417=Справочники!$F$6,Учет!$H1417,0)</f>
        <v>0</v>
      </c>
      <c r="G1417" s="43">
        <f>G1416+Учет!B1417-B1417</f>
        <v>-488978.92000000004</v>
      </c>
      <c r="H1417" s="43">
        <f>H1416+Учет!C1417-C1417</f>
        <v>336855</v>
      </c>
      <c r="I1417" s="43">
        <f>I1416+Учет!D1417-D1417</f>
        <v>500</v>
      </c>
      <c r="J1417" s="43">
        <f>J1416+Учет!E1417-E1417</f>
        <v>1150</v>
      </c>
      <c r="K1417" s="43">
        <f>K1416+Учет!F1417-F1417</f>
        <v>500000</v>
      </c>
      <c r="L1417" s="45">
        <f>Учет!I1417</f>
        <v>349526.07999999996</v>
      </c>
    </row>
    <row r="1418" spans="1:12" x14ac:dyDescent="0.25">
      <c r="A1418" s="48" t="str">
        <f>IF(Учет!A1418&lt;&gt;"",Учет!A1418,"")</f>
        <v/>
      </c>
      <c r="B1418" s="52">
        <f>IF(Учет!$O1418=Справочники!$F$2,Учет!$H1418,0)</f>
        <v>0</v>
      </c>
      <c r="C1418" s="52">
        <f>IF(Учет!$O1418=Справочники!$F$3,Учет!$H1418,0)</f>
        <v>0</v>
      </c>
      <c r="D1418" s="52">
        <f>IF(Учет!$O1418=Справочники!$F$4,Учет!$H1418,0)</f>
        <v>0</v>
      </c>
      <c r="E1418" s="52">
        <f>IF(Учет!$O1418=Справочники!$F$5,Учет!$H1418,0)</f>
        <v>0</v>
      </c>
      <c r="F1418" s="52">
        <f>IF(Учет!$O1418=Справочники!$F$6,Учет!$H1418,0)</f>
        <v>0</v>
      </c>
      <c r="G1418" s="43">
        <f>G1417+Учет!B1418-B1418</f>
        <v>-488978.92000000004</v>
      </c>
      <c r="H1418" s="43">
        <f>H1417+Учет!C1418-C1418</f>
        <v>336855</v>
      </c>
      <c r="I1418" s="43">
        <f>I1417+Учет!D1418-D1418</f>
        <v>500</v>
      </c>
      <c r="J1418" s="43">
        <f>J1417+Учет!E1418-E1418</f>
        <v>1150</v>
      </c>
      <c r="K1418" s="43">
        <f>K1417+Учет!F1418-F1418</f>
        <v>500000</v>
      </c>
      <c r="L1418" s="45">
        <f>Учет!I1418</f>
        <v>349526.07999999996</v>
      </c>
    </row>
    <row r="1419" spans="1:12" x14ac:dyDescent="0.25">
      <c r="A1419" s="48" t="str">
        <f>IF(Учет!A1419&lt;&gt;"",Учет!A1419,"")</f>
        <v/>
      </c>
      <c r="B1419" s="52">
        <f>IF(Учет!$O1419=Справочники!$F$2,Учет!$H1419,0)</f>
        <v>0</v>
      </c>
      <c r="C1419" s="52">
        <f>IF(Учет!$O1419=Справочники!$F$3,Учет!$H1419,0)</f>
        <v>0</v>
      </c>
      <c r="D1419" s="52">
        <f>IF(Учет!$O1419=Справочники!$F$4,Учет!$H1419,0)</f>
        <v>0</v>
      </c>
      <c r="E1419" s="52">
        <f>IF(Учет!$O1419=Справочники!$F$5,Учет!$H1419,0)</f>
        <v>0</v>
      </c>
      <c r="F1419" s="52">
        <f>IF(Учет!$O1419=Справочники!$F$6,Учет!$H1419,0)</f>
        <v>0</v>
      </c>
      <c r="G1419" s="43">
        <f>G1418+Учет!B1419-B1419</f>
        <v>-488978.92000000004</v>
      </c>
      <c r="H1419" s="43">
        <f>H1418+Учет!C1419-C1419</f>
        <v>336855</v>
      </c>
      <c r="I1419" s="43">
        <f>I1418+Учет!D1419-D1419</f>
        <v>500</v>
      </c>
      <c r="J1419" s="43">
        <f>J1418+Учет!E1419-E1419</f>
        <v>1150</v>
      </c>
      <c r="K1419" s="43">
        <f>K1418+Учет!F1419-F1419</f>
        <v>500000</v>
      </c>
      <c r="L1419" s="45">
        <f>Учет!I1419</f>
        <v>349526.07999999996</v>
      </c>
    </row>
    <row r="1420" spans="1:12" x14ac:dyDescent="0.25">
      <c r="A1420" s="48" t="str">
        <f>IF(Учет!A1420&lt;&gt;"",Учет!A1420,"")</f>
        <v/>
      </c>
      <c r="B1420" s="52">
        <f>IF(Учет!$O1420=Справочники!$F$2,Учет!$H1420,0)</f>
        <v>0</v>
      </c>
      <c r="C1420" s="52">
        <f>IF(Учет!$O1420=Справочники!$F$3,Учет!$H1420,0)</f>
        <v>0</v>
      </c>
      <c r="D1420" s="52">
        <f>IF(Учет!$O1420=Справочники!$F$4,Учет!$H1420,0)</f>
        <v>0</v>
      </c>
      <c r="E1420" s="52">
        <f>IF(Учет!$O1420=Справочники!$F$5,Учет!$H1420,0)</f>
        <v>0</v>
      </c>
      <c r="F1420" s="52">
        <f>IF(Учет!$O1420=Справочники!$F$6,Учет!$H1420,0)</f>
        <v>0</v>
      </c>
      <c r="G1420" s="43">
        <f>G1419+Учет!B1420-B1420</f>
        <v>-488978.92000000004</v>
      </c>
      <c r="H1420" s="43">
        <f>H1419+Учет!C1420-C1420</f>
        <v>336855</v>
      </c>
      <c r="I1420" s="43">
        <f>I1419+Учет!D1420-D1420</f>
        <v>500</v>
      </c>
      <c r="J1420" s="43">
        <f>J1419+Учет!E1420-E1420</f>
        <v>1150</v>
      </c>
      <c r="K1420" s="43">
        <f>K1419+Учет!F1420-F1420</f>
        <v>500000</v>
      </c>
      <c r="L1420" s="45">
        <f>Учет!I1420</f>
        <v>349526.07999999996</v>
      </c>
    </row>
    <row r="1421" spans="1:12" x14ac:dyDescent="0.25">
      <c r="A1421" s="48" t="str">
        <f>IF(Учет!A1421&lt;&gt;"",Учет!A1421,"")</f>
        <v/>
      </c>
      <c r="B1421" s="52">
        <f>IF(Учет!$O1421=Справочники!$F$2,Учет!$H1421,0)</f>
        <v>0</v>
      </c>
      <c r="C1421" s="52">
        <f>IF(Учет!$O1421=Справочники!$F$3,Учет!$H1421,0)</f>
        <v>0</v>
      </c>
      <c r="D1421" s="52">
        <f>IF(Учет!$O1421=Справочники!$F$4,Учет!$H1421,0)</f>
        <v>0</v>
      </c>
      <c r="E1421" s="52">
        <f>IF(Учет!$O1421=Справочники!$F$5,Учет!$H1421,0)</f>
        <v>0</v>
      </c>
      <c r="F1421" s="52">
        <f>IF(Учет!$O1421=Справочники!$F$6,Учет!$H1421,0)</f>
        <v>0</v>
      </c>
      <c r="G1421" s="43">
        <f>G1420+Учет!B1421-B1421</f>
        <v>-488978.92000000004</v>
      </c>
      <c r="H1421" s="43">
        <f>H1420+Учет!C1421-C1421</f>
        <v>336855</v>
      </c>
      <c r="I1421" s="43">
        <f>I1420+Учет!D1421-D1421</f>
        <v>500</v>
      </c>
      <c r="J1421" s="43">
        <f>J1420+Учет!E1421-E1421</f>
        <v>1150</v>
      </c>
      <c r="K1421" s="43">
        <f>K1420+Учет!F1421-F1421</f>
        <v>500000</v>
      </c>
      <c r="L1421" s="45">
        <f>Учет!I1421</f>
        <v>349526.07999999996</v>
      </c>
    </row>
    <row r="1422" spans="1:12" x14ac:dyDescent="0.25">
      <c r="A1422" s="48" t="str">
        <f>IF(Учет!A1422&lt;&gt;"",Учет!A1422,"")</f>
        <v/>
      </c>
      <c r="B1422" s="52">
        <f>IF(Учет!$O1422=Справочники!$F$2,Учет!$H1422,0)</f>
        <v>0</v>
      </c>
      <c r="C1422" s="52">
        <f>IF(Учет!$O1422=Справочники!$F$3,Учет!$H1422,0)</f>
        <v>0</v>
      </c>
      <c r="D1422" s="52">
        <f>IF(Учет!$O1422=Справочники!$F$4,Учет!$H1422,0)</f>
        <v>0</v>
      </c>
      <c r="E1422" s="52">
        <f>IF(Учет!$O1422=Справочники!$F$5,Учет!$H1422,0)</f>
        <v>0</v>
      </c>
      <c r="F1422" s="52">
        <f>IF(Учет!$O1422=Справочники!$F$6,Учет!$H1422,0)</f>
        <v>0</v>
      </c>
      <c r="G1422" s="43">
        <f>G1421+Учет!B1422-B1422</f>
        <v>-488978.92000000004</v>
      </c>
      <c r="H1422" s="43">
        <f>H1421+Учет!C1422-C1422</f>
        <v>336855</v>
      </c>
      <c r="I1422" s="43">
        <f>I1421+Учет!D1422-D1422</f>
        <v>500</v>
      </c>
      <c r="J1422" s="43">
        <f>J1421+Учет!E1422-E1422</f>
        <v>1150</v>
      </c>
      <c r="K1422" s="43">
        <f>K1421+Учет!F1422-F1422</f>
        <v>500000</v>
      </c>
      <c r="L1422" s="45">
        <f>Учет!I1422</f>
        <v>349526.07999999996</v>
      </c>
    </row>
    <row r="1423" spans="1:12" x14ac:dyDescent="0.25">
      <c r="A1423" s="48" t="str">
        <f>IF(Учет!A1423&lt;&gt;"",Учет!A1423,"")</f>
        <v/>
      </c>
      <c r="B1423" s="52">
        <f>IF(Учет!$O1423=Справочники!$F$2,Учет!$H1423,0)</f>
        <v>0</v>
      </c>
      <c r="C1423" s="52">
        <f>IF(Учет!$O1423=Справочники!$F$3,Учет!$H1423,0)</f>
        <v>0</v>
      </c>
      <c r="D1423" s="52">
        <f>IF(Учет!$O1423=Справочники!$F$4,Учет!$H1423,0)</f>
        <v>0</v>
      </c>
      <c r="E1423" s="52">
        <f>IF(Учет!$O1423=Справочники!$F$5,Учет!$H1423,0)</f>
        <v>0</v>
      </c>
      <c r="F1423" s="52">
        <f>IF(Учет!$O1423=Справочники!$F$6,Учет!$H1423,0)</f>
        <v>0</v>
      </c>
      <c r="G1423" s="43">
        <f>G1422+Учет!B1423-B1423</f>
        <v>-488978.92000000004</v>
      </c>
      <c r="H1423" s="43">
        <f>H1422+Учет!C1423-C1423</f>
        <v>336855</v>
      </c>
      <c r="I1423" s="43">
        <f>I1422+Учет!D1423-D1423</f>
        <v>500</v>
      </c>
      <c r="J1423" s="43">
        <f>J1422+Учет!E1423-E1423</f>
        <v>1150</v>
      </c>
      <c r="K1423" s="43">
        <f>K1422+Учет!F1423-F1423</f>
        <v>500000</v>
      </c>
      <c r="L1423" s="45">
        <f>Учет!I1423</f>
        <v>349526.07999999996</v>
      </c>
    </row>
    <row r="1424" spans="1:12" x14ac:dyDescent="0.25">
      <c r="A1424" s="48" t="str">
        <f>IF(Учет!A1424&lt;&gt;"",Учет!A1424,"")</f>
        <v/>
      </c>
      <c r="B1424" s="52">
        <f>IF(Учет!$O1424=Справочники!$F$2,Учет!$H1424,0)</f>
        <v>0</v>
      </c>
      <c r="C1424" s="52">
        <f>IF(Учет!$O1424=Справочники!$F$3,Учет!$H1424,0)</f>
        <v>0</v>
      </c>
      <c r="D1424" s="52">
        <f>IF(Учет!$O1424=Справочники!$F$4,Учет!$H1424,0)</f>
        <v>0</v>
      </c>
      <c r="E1424" s="52">
        <f>IF(Учет!$O1424=Справочники!$F$5,Учет!$H1424,0)</f>
        <v>0</v>
      </c>
      <c r="F1424" s="52">
        <f>IF(Учет!$O1424=Справочники!$F$6,Учет!$H1424,0)</f>
        <v>0</v>
      </c>
      <c r="G1424" s="43">
        <f>G1423+Учет!B1424-B1424</f>
        <v>-488978.92000000004</v>
      </c>
      <c r="H1424" s="43">
        <f>H1423+Учет!C1424-C1424</f>
        <v>336855</v>
      </c>
      <c r="I1424" s="43">
        <f>I1423+Учет!D1424-D1424</f>
        <v>500</v>
      </c>
      <c r="J1424" s="43">
        <f>J1423+Учет!E1424-E1424</f>
        <v>1150</v>
      </c>
      <c r="K1424" s="43">
        <f>K1423+Учет!F1424-F1424</f>
        <v>500000</v>
      </c>
      <c r="L1424" s="45">
        <f>Учет!I1424</f>
        <v>349526.07999999996</v>
      </c>
    </row>
    <row r="1425" spans="1:12" x14ac:dyDescent="0.25">
      <c r="A1425" s="48" t="str">
        <f>IF(Учет!A1425&lt;&gt;"",Учет!A1425,"")</f>
        <v/>
      </c>
      <c r="B1425" s="52">
        <f>IF(Учет!$O1425=Справочники!$F$2,Учет!$H1425,0)</f>
        <v>0</v>
      </c>
      <c r="C1425" s="52">
        <f>IF(Учет!$O1425=Справочники!$F$3,Учет!$H1425,0)</f>
        <v>0</v>
      </c>
      <c r="D1425" s="52">
        <f>IF(Учет!$O1425=Справочники!$F$4,Учет!$H1425,0)</f>
        <v>0</v>
      </c>
      <c r="E1425" s="52">
        <f>IF(Учет!$O1425=Справочники!$F$5,Учет!$H1425,0)</f>
        <v>0</v>
      </c>
      <c r="F1425" s="52">
        <f>IF(Учет!$O1425=Справочники!$F$6,Учет!$H1425,0)</f>
        <v>0</v>
      </c>
      <c r="G1425" s="43">
        <f>G1424+Учет!B1425-B1425</f>
        <v>-488978.92000000004</v>
      </c>
      <c r="H1425" s="43">
        <f>H1424+Учет!C1425-C1425</f>
        <v>336855</v>
      </c>
      <c r="I1425" s="43">
        <f>I1424+Учет!D1425-D1425</f>
        <v>500</v>
      </c>
      <c r="J1425" s="43">
        <f>J1424+Учет!E1425-E1425</f>
        <v>1150</v>
      </c>
      <c r="K1425" s="43">
        <f>K1424+Учет!F1425-F1425</f>
        <v>500000</v>
      </c>
      <c r="L1425" s="45">
        <f>Учет!I1425</f>
        <v>349526.07999999996</v>
      </c>
    </row>
    <row r="1426" spans="1:12" x14ac:dyDescent="0.25">
      <c r="A1426" s="48" t="str">
        <f>IF(Учет!A1426&lt;&gt;"",Учет!A1426,"")</f>
        <v/>
      </c>
      <c r="B1426" s="52">
        <f>IF(Учет!$O1426=Справочники!$F$2,Учет!$H1426,0)</f>
        <v>0</v>
      </c>
      <c r="C1426" s="52">
        <f>IF(Учет!$O1426=Справочники!$F$3,Учет!$H1426,0)</f>
        <v>0</v>
      </c>
      <c r="D1426" s="52">
        <f>IF(Учет!$O1426=Справочники!$F$4,Учет!$H1426,0)</f>
        <v>0</v>
      </c>
      <c r="E1426" s="52">
        <f>IF(Учет!$O1426=Справочники!$F$5,Учет!$H1426,0)</f>
        <v>0</v>
      </c>
      <c r="F1426" s="52">
        <f>IF(Учет!$O1426=Справочники!$F$6,Учет!$H1426,0)</f>
        <v>0</v>
      </c>
      <c r="G1426" s="43">
        <f>G1425+Учет!B1426-B1426</f>
        <v>-488978.92000000004</v>
      </c>
      <c r="H1426" s="43">
        <f>H1425+Учет!C1426-C1426</f>
        <v>336855</v>
      </c>
      <c r="I1426" s="43">
        <f>I1425+Учет!D1426-D1426</f>
        <v>500</v>
      </c>
      <c r="J1426" s="43">
        <f>J1425+Учет!E1426-E1426</f>
        <v>1150</v>
      </c>
      <c r="K1426" s="43">
        <f>K1425+Учет!F1426-F1426</f>
        <v>500000</v>
      </c>
      <c r="L1426" s="45">
        <f>Учет!I1426</f>
        <v>349526.07999999996</v>
      </c>
    </row>
    <row r="1427" spans="1:12" x14ac:dyDescent="0.25">
      <c r="A1427" s="48" t="str">
        <f>IF(Учет!A1427&lt;&gt;"",Учет!A1427,"")</f>
        <v/>
      </c>
      <c r="B1427" s="52">
        <f>IF(Учет!$O1427=Справочники!$F$2,Учет!$H1427,0)</f>
        <v>0</v>
      </c>
      <c r="C1427" s="52">
        <f>IF(Учет!$O1427=Справочники!$F$3,Учет!$H1427,0)</f>
        <v>0</v>
      </c>
      <c r="D1427" s="52">
        <f>IF(Учет!$O1427=Справочники!$F$4,Учет!$H1427,0)</f>
        <v>0</v>
      </c>
      <c r="E1427" s="52">
        <f>IF(Учет!$O1427=Справочники!$F$5,Учет!$H1427,0)</f>
        <v>0</v>
      </c>
      <c r="F1427" s="52">
        <f>IF(Учет!$O1427=Справочники!$F$6,Учет!$H1427,0)</f>
        <v>0</v>
      </c>
      <c r="G1427" s="43">
        <f>G1426+Учет!B1427-B1427</f>
        <v>-488978.92000000004</v>
      </c>
      <c r="H1427" s="43">
        <f>H1426+Учет!C1427-C1427</f>
        <v>336855</v>
      </c>
      <c r="I1427" s="43">
        <f>I1426+Учет!D1427-D1427</f>
        <v>500</v>
      </c>
      <c r="J1427" s="43">
        <f>J1426+Учет!E1427-E1427</f>
        <v>1150</v>
      </c>
      <c r="K1427" s="43">
        <f>K1426+Учет!F1427-F1427</f>
        <v>500000</v>
      </c>
      <c r="L1427" s="45">
        <f>Учет!I1427</f>
        <v>349526.07999999996</v>
      </c>
    </row>
    <row r="1428" spans="1:12" x14ac:dyDescent="0.25">
      <c r="A1428" s="48" t="str">
        <f>IF(Учет!A1428&lt;&gt;"",Учет!A1428,"")</f>
        <v/>
      </c>
      <c r="B1428" s="52">
        <f>IF(Учет!$O1428=Справочники!$F$2,Учет!$H1428,0)</f>
        <v>0</v>
      </c>
      <c r="C1428" s="52">
        <f>IF(Учет!$O1428=Справочники!$F$3,Учет!$H1428,0)</f>
        <v>0</v>
      </c>
      <c r="D1428" s="52">
        <f>IF(Учет!$O1428=Справочники!$F$4,Учет!$H1428,0)</f>
        <v>0</v>
      </c>
      <c r="E1428" s="52">
        <f>IF(Учет!$O1428=Справочники!$F$5,Учет!$H1428,0)</f>
        <v>0</v>
      </c>
      <c r="F1428" s="52">
        <f>IF(Учет!$O1428=Справочники!$F$6,Учет!$H1428,0)</f>
        <v>0</v>
      </c>
      <c r="G1428" s="43">
        <f>G1427+Учет!B1428-B1428</f>
        <v>-488978.92000000004</v>
      </c>
      <c r="H1428" s="43">
        <f>H1427+Учет!C1428-C1428</f>
        <v>336855</v>
      </c>
      <c r="I1428" s="43">
        <f>I1427+Учет!D1428-D1428</f>
        <v>500</v>
      </c>
      <c r="J1428" s="43">
        <f>J1427+Учет!E1428-E1428</f>
        <v>1150</v>
      </c>
      <c r="K1428" s="43">
        <f>K1427+Учет!F1428-F1428</f>
        <v>500000</v>
      </c>
      <c r="L1428" s="45">
        <f>Учет!I1428</f>
        <v>349526.07999999996</v>
      </c>
    </row>
    <row r="1429" spans="1:12" x14ac:dyDescent="0.25">
      <c r="A1429" s="48" t="str">
        <f>IF(Учет!A1429&lt;&gt;"",Учет!A1429,"")</f>
        <v/>
      </c>
      <c r="B1429" s="52">
        <f>IF(Учет!$O1429=Справочники!$F$2,Учет!$H1429,0)</f>
        <v>0</v>
      </c>
      <c r="C1429" s="52">
        <f>IF(Учет!$O1429=Справочники!$F$3,Учет!$H1429,0)</f>
        <v>0</v>
      </c>
      <c r="D1429" s="52">
        <f>IF(Учет!$O1429=Справочники!$F$4,Учет!$H1429,0)</f>
        <v>0</v>
      </c>
      <c r="E1429" s="52">
        <f>IF(Учет!$O1429=Справочники!$F$5,Учет!$H1429,0)</f>
        <v>0</v>
      </c>
      <c r="F1429" s="52">
        <f>IF(Учет!$O1429=Справочники!$F$6,Учет!$H1429,0)</f>
        <v>0</v>
      </c>
      <c r="G1429" s="43">
        <f>G1428+Учет!B1429-B1429</f>
        <v>-488978.92000000004</v>
      </c>
      <c r="H1429" s="43">
        <f>H1428+Учет!C1429-C1429</f>
        <v>336855</v>
      </c>
      <c r="I1429" s="43">
        <f>I1428+Учет!D1429-D1429</f>
        <v>500</v>
      </c>
      <c r="J1429" s="43">
        <f>J1428+Учет!E1429-E1429</f>
        <v>1150</v>
      </c>
      <c r="K1429" s="43">
        <f>K1428+Учет!F1429-F1429</f>
        <v>500000</v>
      </c>
      <c r="L1429" s="45">
        <f>Учет!I1429</f>
        <v>349526.07999999996</v>
      </c>
    </row>
    <row r="1430" spans="1:12" x14ac:dyDescent="0.25">
      <c r="A1430" s="48" t="str">
        <f>IF(Учет!A1430&lt;&gt;"",Учет!A1430,"")</f>
        <v/>
      </c>
      <c r="B1430" s="52">
        <f>IF(Учет!$O1430=Справочники!$F$2,Учет!$H1430,0)</f>
        <v>0</v>
      </c>
      <c r="C1430" s="52">
        <f>IF(Учет!$O1430=Справочники!$F$3,Учет!$H1430,0)</f>
        <v>0</v>
      </c>
      <c r="D1430" s="52">
        <f>IF(Учет!$O1430=Справочники!$F$4,Учет!$H1430,0)</f>
        <v>0</v>
      </c>
      <c r="E1430" s="52">
        <f>IF(Учет!$O1430=Справочники!$F$5,Учет!$H1430,0)</f>
        <v>0</v>
      </c>
      <c r="F1430" s="52">
        <f>IF(Учет!$O1430=Справочники!$F$6,Учет!$H1430,0)</f>
        <v>0</v>
      </c>
      <c r="G1430" s="43">
        <f>G1429+Учет!B1430-B1430</f>
        <v>-488978.92000000004</v>
      </c>
      <c r="H1430" s="43">
        <f>H1429+Учет!C1430-C1430</f>
        <v>336855</v>
      </c>
      <c r="I1430" s="43">
        <f>I1429+Учет!D1430-D1430</f>
        <v>500</v>
      </c>
      <c r="J1430" s="43">
        <f>J1429+Учет!E1430-E1430</f>
        <v>1150</v>
      </c>
      <c r="K1430" s="43">
        <f>K1429+Учет!F1430-F1430</f>
        <v>500000</v>
      </c>
      <c r="L1430" s="45">
        <f>Учет!I1430</f>
        <v>349526.07999999996</v>
      </c>
    </row>
    <row r="1431" spans="1:12" x14ac:dyDescent="0.25">
      <c r="A1431" s="48" t="str">
        <f>IF(Учет!A1431&lt;&gt;"",Учет!A1431,"")</f>
        <v/>
      </c>
      <c r="B1431" s="52">
        <f>IF(Учет!$O1431=Справочники!$F$2,Учет!$H1431,0)</f>
        <v>0</v>
      </c>
      <c r="C1431" s="52">
        <f>IF(Учет!$O1431=Справочники!$F$3,Учет!$H1431,0)</f>
        <v>0</v>
      </c>
      <c r="D1431" s="52">
        <f>IF(Учет!$O1431=Справочники!$F$4,Учет!$H1431,0)</f>
        <v>0</v>
      </c>
      <c r="E1431" s="52">
        <f>IF(Учет!$O1431=Справочники!$F$5,Учет!$H1431,0)</f>
        <v>0</v>
      </c>
      <c r="F1431" s="52">
        <f>IF(Учет!$O1431=Справочники!$F$6,Учет!$H1431,0)</f>
        <v>0</v>
      </c>
      <c r="G1431" s="43">
        <f>G1430+Учет!B1431-B1431</f>
        <v>-488978.92000000004</v>
      </c>
      <c r="H1431" s="43">
        <f>H1430+Учет!C1431-C1431</f>
        <v>336855</v>
      </c>
      <c r="I1431" s="43">
        <f>I1430+Учет!D1431-D1431</f>
        <v>500</v>
      </c>
      <c r="J1431" s="43">
        <f>J1430+Учет!E1431-E1431</f>
        <v>1150</v>
      </c>
      <c r="K1431" s="43">
        <f>K1430+Учет!F1431-F1431</f>
        <v>500000</v>
      </c>
      <c r="L1431" s="45">
        <f>Учет!I1431</f>
        <v>349526.07999999996</v>
      </c>
    </row>
    <row r="1432" spans="1:12" x14ac:dyDescent="0.25">
      <c r="A1432" s="48" t="str">
        <f>IF(Учет!A1432&lt;&gt;"",Учет!A1432,"")</f>
        <v/>
      </c>
      <c r="B1432" s="52">
        <f>IF(Учет!$O1432=Справочники!$F$2,Учет!$H1432,0)</f>
        <v>0</v>
      </c>
      <c r="C1432" s="52">
        <f>IF(Учет!$O1432=Справочники!$F$3,Учет!$H1432,0)</f>
        <v>0</v>
      </c>
      <c r="D1432" s="52">
        <f>IF(Учет!$O1432=Справочники!$F$4,Учет!$H1432,0)</f>
        <v>0</v>
      </c>
      <c r="E1432" s="52">
        <f>IF(Учет!$O1432=Справочники!$F$5,Учет!$H1432,0)</f>
        <v>0</v>
      </c>
      <c r="F1432" s="52">
        <f>IF(Учет!$O1432=Справочники!$F$6,Учет!$H1432,0)</f>
        <v>0</v>
      </c>
      <c r="G1432" s="43">
        <f>G1431+Учет!B1432-B1432</f>
        <v>-488978.92000000004</v>
      </c>
      <c r="H1432" s="43">
        <f>H1431+Учет!C1432-C1432</f>
        <v>336855</v>
      </c>
      <c r="I1432" s="43">
        <f>I1431+Учет!D1432-D1432</f>
        <v>500</v>
      </c>
      <c r="J1432" s="43">
        <f>J1431+Учет!E1432-E1432</f>
        <v>1150</v>
      </c>
      <c r="K1432" s="43">
        <f>K1431+Учет!F1432-F1432</f>
        <v>500000</v>
      </c>
      <c r="L1432" s="45">
        <f>Учет!I1432</f>
        <v>349526.07999999996</v>
      </c>
    </row>
    <row r="1433" spans="1:12" x14ac:dyDescent="0.25">
      <c r="A1433" s="48" t="str">
        <f>IF(Учет!A1433&lt;&gt;"",Учет!A1433,"")</f>
        <v/>
      </c>
      <c r="B1433" s="52">
        <f>IF(Учет!$O1433=Справочники!$F$2,Учет!$H1433,0)</f>
        <v>0</v>
      </c>
      <c r="C1433" s="52">
        <f>IF(Учет!$O1433=Справочники!$F$3,Учет!$H1433,0)</f>
        <v>0</v>
      </c>
      <c r="D1433" s="52">
        <f>IF(Учет!$O1433=Справочники!$F$4,Учет!$H1433,0)</f>
        <v>0</v>
      </c>
      <c r="E1433" s="52">
        <f>IF(Учет!$O1433=Справочники!$F$5,Учет!$H1433,0)</f>
        <v>0</v>
      </c>
      <c r="F1433" s="52">
        <f>IF(Учет!$O1433=Справочники!$F$6,Учет!$H1433,0)</f>
        <v>0</v>
      </c>
      <c r="G1433" s="43">
        <f>G1432+Учет!B1433-B1433</f>
        <v>-488978.92000000004</v>
      </c>
      <c r="H1433" s="43">
        <f>H1432+Учет!C1433-C1433</f>
        <v>336855</v>
      </c>
      <c r="I1433" s="43">
        <f>I1432+Учет!D1433-D1433</f>
        <v>500</v>
      </c>
      <c r="J1433" s="43">
        <f>J1432+Учет!E1433-E1433</f>
        <v>1150</v>
      </c>
      <c r="K1433" s="43">
        <f>K1432+Учет!F1433-F1433</f>
        <v>500000</v>
      </c>
      <c r="L1433" s="45">
        <f>Учет!I1433</f>
        <v>349526.07999999996</v>
      </c>
    </row>
    <row r="1434" spans="1:12" x14ac:dyDescent="0.25">
      <c r="A1434" s="48" t="str">
        <f>IF(Учет!A1434&lt;&gt;"",Учет!A1434,"")</f>
        <v/>
      </c>
      <c r="B1434" s="52">
        <f>IF(Учет!$O1434=Справочники!$F$2,Учет!$H1434,0)</f>
        <v>0</v>
      </c>
      <c r="C1434" s="52">
        <f>IF(Учет!$O1434=Справочники!$F$3,Учет!$H1434,0)</f>
        <v>0</v>
      </c>
      <c r="D1434" s="52">
        <f>IF(Учет!$O1434=Справочники!$F$4,Учет!$H1434,0)</f>
        <v>0</v>
      </c>
      <c r="E1434" s="52">
        <f>IF(Учет!$O1434=Справочники!$F$5,Учет!$H1434,0)</f>
        <v>0</v>
      </c>
      <c r="F1434" s="52">
        <f>IF(Учет!$O1434=Справочники!$F$6,Учет!$H1434,0)</f>
        <v>0</v>
      </c>
      <c r="G1434" s="43">
        <f>G1433+Учет!B1434-B1434</f>
        <v>-488978.92000000004</v>
      </c>
      <c r="H1434" s="43">
        <f>H1433+Учет!C1434-C1434</f>
        <v>336855</v>
      </c>
      <c r="I1434" s="43">
        <f>I1433+Учет!D1434-D1434</f>
        <v>500</v>
      </c>
      <c r="J1434" s="43">
        <f>J1433+Учет!E1434-E1434</f>
        <v>1150</v>
      </c>
      <c r="K1434" s="43">
        <f>K1433+Учет!F1434-F1434</f>
        <v>500000</v>
      </c>
      <c r="L1434" s="45">
        <f>Учет!I1434</f>
        <v>349526.07999999996</v>
      </c>
    </row>
    <row r="1435" spans="1:12" x14ac:dyDescent="0.25">
      <c r="A1435" s="48" t="str">
        <f>IF(Учет!A1435&lt;&gt;"",Учет!A1435,"")</f>
        <v/>
      </c>
      <c r="B1435" s="52">
        <f>IF(Учет!$O1435=Справочники!$F$2,Учет!$H1435,0)</f>
        <v>0</v>
      </c>
      <c r="C1435" s="52">
        <f>IF(Учет!$O1435=Справочники!$F$3,Учет!$H1435,0)</f>
        <v>0</v>
      </c>
      <c r="D1435" s="52">
        <f>IF(Учет!$O1435=Справочники!$F$4,Учет!$H1435,0)</f>
        <v>0</v>
      </c>
      <c r="E1435" s="52">
        <f>IF(Учет!$O1435=Справочники!$F$5,Учет!$H1435,0)</f>
        <v>0</v>
      </c>
      <c r="F1435" s="52">
        <f>IF(Учет!$O1435=Справочники!$F$6,Учет!$H1435,0)</f>
        <v>0</v>
      </c>
      <c r="G1435" s="43">
        <f>G1434+Учет!B1435-B1435</f>
        <v>-488978.92000000004</v>
      </c>
      <c r="H1435" s="43">
        <f>H1434+Учет!C1435-C1435</f>
        <v>336855</v>
      </c>
      <c r="I1435" s="43">
        <f>I1434+Учет!D1435-D1435</f>
        <v>500</v>
      </c>
      <c r="J1435" s="43">
        <f>J1434+Учет!E1435-E1435</f>
        <v>1150</v>
      </c>
      <c r="K1435" s="43">
        <f>K1434+Учет!F1435-F1435</f>
        <v>500000</v>
      </c>
      <c r="L1435" s="45">
        <f>Учет!I1435</f>
        <v>349526.07999999996</v>
      </c>
    </row>
    <row r="1436" spans="1:12" x14ac:dyDescent="0.25">
      <c r="A1436" s="48" t="str">
        <f>IF(Учет!A1436&lt;&gt;"",Учет!A1436,"")</f>
        <v/>
      </c>
      <c r="B1436" s="52">
        <f>IF(Учет!$O1436=Справочники!$F$2,Учет!$H1436,0)</f>
        <v>0</v>
      </c>
      <c r="C1436" s="52">
        <f>IF(Учет!$O1436=Справочники!$F$3,Учет!$H1436,0)</f>
        <v>0</v>
      </c>
      <c r="D1436" s="52">
        <f>IF(Учет!$O1436=Справочники!$F$4,Учет!$H1436,0)</f>
        <v>0</v>
      </c>
      <c r="E1436" s="52">
        <f>IF(Учет!$O1436=Справочники!$F$5,Учет!$H1436,0)</f>
        <v>0</v>
      </c>
      <c r="F1436" s="52">
        <f>IF(Учет!$O1436=Справочники!$F$6,Учет!$H1436,0)</f>
        <v>0</v>
      </c>
      <c r="G1436" s="43">
        <f>G1435+Учет!B1436-B1436</f>
        <v>-488978.92000000004</v>
      </c>
      <c r="H1436" s="43">
        <f>H1435+Учет!C1436-C1436</f>
        <v>336855</v>
      </c>
      <c r="I1436" s="43">
        <f>I1435+Учет!D1436-D1436</f>
        <v>500</v>
      </c>
      <c r="J1436" s="43">
        <f>J1435+Учет!E1436-E1436</f>
        <v>1150</v>
      </c>
      <c r="K1436" s="43">
        <f>K1435+Учет!F1436-F1436</f>
        <v>500000</v>
      </c>
      <c r="L1436" s="45">
        <f>Учет!I1436</f>
        <v>349526.07999999996</v>
      </c>
    </row>
    <row r="1437" spans="1:12" x14ac:dyDescent="0.25">
      <c r="A1437" s="48" t="str">
        <f>IF(Учет!A1437&lt;&gt;"",Учет!A1437,"")</f>
        <v/>
      </c>
      <c r="B1437" s="52">
        <f>IF(Учет!$O1437=Справочники!$F$2,Учет!$H1437,0)</f>
        <v>0</v>
      </c>
      <c r="C1437" s="52">
        <f>IF(Учет!$O1437=Справочники!$F$3,Учет!$H1437,0)</f>
        <v>0</v>
      </c>
      <c r="D1437" s="52">
        <f>IF(Учет!$O1437=Справочники!$F$4,Учет!$H1437,0)</f>
        <v>0</v>
      </c>
      <c r="E1437" s="52">
        <f>IF(Учет!$O1437=Справочники!$F$5,Учет!$H1437,0)</f>
        <v>0</v>
      </c>
      <c r="F1437" s="52">
        <f>IF(Учет!$O1437=Справочники!$F$6,Учет!$H1437,0)</f>
        <v>0</v>
      </c>
      <c r="G1437" s="43">
        <f>G1436+Учет!B1437-B1437</f>
        <v>-488978.92000000004</v>
      </c>
      <c r="H1437" s="43">
        <f>H1436+Учет!C1437-C1437</f>
        <v>336855</v>
      </c>
      <c r="I1437" s="43">
        <f>I1436+Учет!D1437-D1437</f>
        <v>500</v>
      </c>
      <c r="J1437" s="43">
        <f>J1436+Учет!E1437-E1437</f>
        <v>1150</v>
      </c>
      <c r="K1437" s="43">
        <f>K1436+Учет!F1437-F1437</f>
        <v>500000</v>
      </c>
      <c r="L1437" s="45">
        <f>Учет!I1437</f>
        <v>349526.07999999996</v>
      </c>
    </row>
    <row r="1438" spans="1:12" x14ac:dyDescent="0.25">
      <c r="A1438" s="48" t="str">
        <f>IF(Учет!A1438&lt;&gt;"",Учет!A1438,"")</f>
        <v/>
      </c>
      <c r="B1438" s="52">
        <f>IF(Учет!$O1438=Справочники!$F$2,Учет!$H1438,0)</f>
        <v>0</v>
      </c>
      <c r="C1438" s="52">
        <f>IF(Учет!$O1438=Справочники!$F$3,Учет!$H1438,0)</f>
        <v>0</v>
      </c>
      <c r="D1438" s="52">
        <f>IF(Учет!$O1438=Справочники!$F$4,Учет!$H1438,0)</f>
        <v>0</v>
      </c>
      <c r="E1438" s="52">
        <f>IF(Учет!$O1438=Справочники!$F$5,Учет!$H1438,0)</f>
        <v>0</v>
      </c>
      <c r="F1438" s="52">
        <f>IF(Учет!$O1438=Справочники!$F$6,Учет!$H1438,0)</f>
        <v>0</v>
      </c>
      <c r="G1438" s="43">
        <f>G1437+Учет!B1438-B1438</f>
        <v>-488978.92000000004</v>
      </c>
      <c r="H1438" s="43">
        <f>H1437+Учет!C1438-C1438</f>
        <v>336855</v>
      </c>
      <c r="I1438" s="43">
        <f>I1437+Учет!D1438-D1438</f>
        <v>500</v>
      </c>
      <c r="J1438" s="43">
        <f>J1437+Учет!E1438-E1438</f>
        <v>1150</v>
      </c>
      <c r="K1438" s="43">
        <f>K1437+Учет!F1438-F1438</f>
        <v>500000</v>
      </c>
      <c r="L1438" s="45">
        <f>Учет!I1438</f>
        <v>349526.07999999996</v>
      </c>
    </row>
    <row r="1439" spans="1:12" x14ac:dyDescent="0.25">
      <c r="A1439" s="48" t="str">
        <f>IF(Учет!A1439&lt;&gt;"",Учет!A1439,"")</f>
        <v/>
      </c>
      <c r="B1439" s="52">
        <f>IF(Учет!$O1439=Справочники!$F$2,Учет!$H1439,0)</f>
        <v>0</v>
      </c>
      <c r="C1439" s="52">
        <f>IF(Учет!$O1439=Справочники!$F$3,Учет!$H1439,0)</f>
        <v>0</v>
      </c>
      <c r="D1439" s="52">
        <f>IF(Учет!$O1439=Справочники!$F$4,Учет!$H1439,0)</f>
        <v>0</v>
      </c>
      <c r="E1439" s="52">
        <f>IF(Учет!$O1439=Справочники!$F$5,Учет!$H1439,0)</f>
        <v>0</v>
      </c>
      <c r="F1439" s="52">
        <f>IF(Учет!$O1439=Справочники!$F$6,Учет!$H1439,0)</f>
        <v>0</v>
      </c>
      <c r="G1439" s="43">
        <f>G1438+Учет!B1439-B1439</f>
        <v>-488978.92000000004</v>
      </c>
      <c r="H1439" s="43">
        <f>H1438+Учет!C1439-C1439</f>
        <v>336855</v>
      </c>
      <c r="I1439" s="43">
        <f>I1438+Учет!D1439-D1439</f>
        <v>500</v>
      </c>
      <c r="J1439" s="43">
        <f>J1438+Учет!E1439-E1439</f>
        <v>1150</v>
      </c>
      <c r="K1439" s="43">
        <f>K1438+Учет!F1439-F1439</f>
        <v>500000</v>
      </c>
      <c r="L1439" s="45">
        <f>Учет!I1439</f>
        <v>349526.07999999996</v>
      </c>
    </row>
    <row r="1440" spans="1:12" x14ac:dyDescent="0.25">
      <c r="A1440" s="48" t="str">
        <f>IF(Учет!A1440&lt;&gt;"",Учет!A1440,"")</f>
        <v/>
      </c>
      <c r="B1440" s="52">
        <f>IF(Учет!$O1440=Справочники!$F$2,Учет!$H1440,0)</f>
        <v>0</v>
      </c>
      <c r="C1440" s="52">
        <f>IF(Учет!$O1440=Справочники!$F$3,Учет!$H1440,0)</f>
        <v>0</v>
      </c>
      <c r="D1440" s="52">
        <f>IF(Учет!$O1440=Справочники!$F$4,Учет!$H1440,0)</f>
        <v>0</v>
      </c>
      <c r="E1440" s="52">
        <f>IF(Учет!$O1440=Справочники!$F$5,Учет!$H1440,0)</f>
        <v>0</v>
      </c>
      <c r="F1440" s="52">
        <f>IF(Учет!$O1440=Справочники!$F$6,Учет!$H1440,0)</f>
        <v>0</v>
      </c>
      <c r="G1440" s="43">
        <f>G1439+Учет!B1440-B1440</f>
        <v>-488978.92000000004</v>
      </c>
      <c r="H1440" s="43">
        <f>H1439+Учет!C1440-C1440</f>
        <v>336855</v>
      </c>
      <c r="I1440" s="43">
        <f>I1439+Учет!D1440-D1440</f>
        <v>500</v>
      </c>
      <c r="J1440" s="43">
        <f>J1439+Учет!E1440-E1440</f>
        <v>1150</v>
      </c>
      <c r="K1440" s="43">
        <f>K1439+Учет!F1440-F1440</f>
        <v>500000</v>
      </c>
      <c r="L1440" s="45">
        <f>Учет!I1440</f>
        <v>349526.07999999996</v>
      </c>
    </row>
    <row r="1441" spans="1:12" x14ac:dyDescent="0.25">
      <c r="A1441" s="48" t="str">
        <f>IF(Учет!A1441&lt;&gt;"",Учет!A1441,"")</f>
        <v/>
      </c>
      <c r="B1441" s="52">
        <f>IF(Учет!$O1441=Справочники!$F$2,Учет!$H1441,0)</f>
        <v>0</v>
      </c>
      <c r="C1441" s="52">
        <f>IF(Учет!$O1441=Справочники!$F$3,Учет!$H1441,0)</f>
        <v>0</v>
      </c>
      <c r="D1441" s="52">
        <f>IF(Учет!$O1441=Справочники!$F$4,Учет!$H1441,0)</f>
        <v>0</v>
      </c>
      <c r="E1441" s="52">
        <f>IF(Учет!$O1441=Справочники!$F$5,Учет!$H1441,0)</f>
        <v>0</v>
      </c>
      <c r="F1441" s="52">
        <f>IF(Учет!$O1441=Справочники!$F$6,Учет!$H1441,0)</f>
        <v>0</v>
      </c>
      <c r="G1441" s="43">
        <f>G1440+Учет!B1441-B1441</f>
        <v>-488978.92000000004</v>
      </c>
      <c r="H1441" s="43">
        <f>H1440+Учет!C1441-C1441</f>
        <v>336855</v>
      </c>
      <c r="I1441" s="43">
        <f>I1440+Учет!D1441-D1441</f>
        <v>500</v>
      </c>
      <c r="J1441" s="43">
        <f>J1440+Учет!E1441-E1441</f>
        <v>1150</v>
      </c>
      <c r="K1441" s="43">
        <f>K1440+Учет!F1441-F1441</f>
        <v>500000</v>
      </c>
      <c r="L1441" s="45">
        <f>Учет!I1441</f>
        <v>349526.07999999996</v>
      </c>
    </row>
    <row r="1442" spans="1:12" x14ac:dyDescent="0.25">
      <c r="A1442" s="48" t="str">
        <f>IF(Учет!A1442&lt;&gt;"",Учет!A1442,"")</f>
        <v/>
      </c>
      <c r="B1442" s="52">
        <f>IF(Учет!$O1442=Справочники!$F$2,Учет!$H1442,0)</f>
        <v>0</v>
      </c>
      <c r="C1442" s="52">
        <f>IF(Учет!$O1442=Справочники!$F$3,Учет!$H1442,0)</f>
        <v>0</v>
      </c>
      <c r="D1442" s="52">
        <f>IF(Учет!$O1442=Справочники!$F$4,Учет!$H1442,0)</f>
        <v>0</v>
      </c>
      <c r="E1442" s="52">
        <f>IF(Учет!$O1442=Справочники!$F$5,Учет!$H1442,0)</f>
        <v>0</v>
      </c>
      <c r="F1442" s="52">
        <f>IF(Учет!$O1442=Справочники!$F$6,Учет!$H1442,0)</f>
        <v>0</v>
      </c>
      <c r="G1442" s="43">
        <f>G1441+Учет!B1442-B1442</f>
        <v>-488978.92000000004</v>
      </c>
      <c r="H1442" s="43">
        <f>H1441+Учет!C1442-C1442</f>
        <v>336855</v>
      </c>
      <c r="I1442" s="43">
        <f>I1441+Учет!D1442-D1442</f>
        <v>500</v>
      </c>
      <c r="J1442" s="43">
        <f>J1441+Учет!E1442-E1442</f>
        <v>1150</v>
      </c>
      <c r="K1442" s="43">
        <f>K1441+Учет!F1442-F1442</f>
        <v>500000</v>
      </c>
      <c r="L1442" s="45">
        <f>Учет!I1442</f>
        <v>349526.07999999996</v>
      </c>
    </row>
    <row r="1443" spans="1:12" x14ac:dyDescent="0.25">
      <c r="A1443" s="48" t="str">
        <f>IF(Учет!A1443&lt;&gt;"",Учет!A1443,"")</f>
        <v/>
      </c>
      <c r="B1443" s="52">
        <f>IF(Учет!$O1443=Справочники!$F$2,Учет!$H1443,0)</f>
        <v>0</v>
      </c>
      <c r="C1443" s="52">
        <f>IF(Учет!$O1443=Справочники!$F$3,Учет!$H1443,0)</f>
        <v>0</v>
      </c>
      <c r="D1443" s="52">
        <f>IF(Учет!$O1443=Справочники!$F$4,Учет!$H1443,0)</f>
        <v>0</v>
      </c>
      <c r="E1443" s="52">
        <f>IF(Учет!$O1443=Справочники!$F$5,Учет!$H1443,0)</f>
        <v>0</v>
      </c>
      <c r="F1443" s="52">
        <f>IF(Учет!$O1443=Справочники!$F$6,Учет!$H1443,0)</f>
        <v>0</v>
      </c>
      <c r="G1443" s="43">
        <f>G1442+Учет!B1443-B1443</f>
        <v>-488978.92000000004</v>
      </c>
      <c r="H1443" s="43">
        <f>H1442+Учет!C1443-C1443</f>
        <v>336855</v>
      </c>
      <c r="I1443" s="43">
        <f>I1442+Учет!D1443-D1443</f>
        <v>500</v>
      </c>
      <c r="J1443" s="43">
        <f>J1442+Учет!E1443-E1443</f>
        <v>1150</v>
      </c>
      <c r="K1443" s="43">
        <f>K1442+Учет!F1443-F1443</f>
        <v>500000</v>
      </c>
      <c r="L1443" s="45">
        <f>Учет!I1443</f>
        <v>349526.07999999996</v>
      </c>
    </row>
    <row r="1444" spans="1:12" x14ac:dyDescent="0.25">
      <c r="A1444" s="48" t="str">
        <f>IF(Учет!A1444&lt;&gt;"",Учет!A1444,"")</f>
        <v/>
      </c>
      <c r="B1444" s="52">
        <f>IF(Учет!$O1444=Справочники!$F$2,Учет!$H1444,0)</f>
        <v>0</v>
      </c>
      <c r="C1444" s="52">
        <f>IF(Учет!$O1444=Справочники!$F$3,Учет!$H1444,0)</f>
        <v>0</v>
      </c>
      <c r="D1444" s="52">
        <f>IF(Учет!$O1444=Справочники!$F$4,Учет!$H1444,0)</f>
        <v>0</v>
      </c>
      <c r="E1444" s="52">
        <f>IF(Учет!$O1444=Справочники!$F$5,Учет!$H1444,0)</f>
        <v>0</v>
      </c>
      <c r="F1444" s="52">
        <f>IF(Учет!$O1444=Справочники!$F$6,Учет!$H1444,0)</f>
        <v>0</v>
      </c>
      <c r="G1444" s="43">
        <f>G1443+Учет!B1444-B1444</f>
        <v>-488978.92000000004</v>
      </c>
      <c r="H1444" s="43">
        <f>H1443+Учет!C1444-C1444</f>
        <v>336855</v>
      </c>
      <c r="I1444" s="43">
        <f>I1443+Учет!D1444-D1444</f>
        <v>500</v>
      </c>
      <c r="J1444" s="43">
        <f>J1443+Учет!E1444-E1444</f>
        <v>1150</v>
      </c>
      <c r="K1444" s="43">
        <f>K1443+Учет!F1444-F1444</f>
        <v>500000</v>
      </c>
      <c r="L1444" s="45">
        <f>Учет!I1444</f>
        <v>349526.07999999996</v>
      </c>
    </row>
    <row r="1445" spans="1:12" x14ac:dyDescent="0.25">
      <c r="A1445" s="48" t="str">
        <f>IF(Учет!A1445&lt;&gt;"",Учет!A1445,"")</f>
        <v/>
      </c>
      <c r="B1445" s="52">
        <f>IF(Учет!$O1445=Справочники!$F$2,Учет!$H1445,0)</f>
        <v>0</v>
      </c>
      <c r="C1445" s="52">
        <f>IF(Учет!$O1445=Справочники!$F$3,Учет!$H1445,0)</f>
        <v>0</v>
      </c>
      <c r="D1445" s="52">
        <f>IF(Учет!$O1445=Справочники!$F$4,Учет!$H1445,0)</f>
        <v>0</v>
      </c>
      <c r="E1445" s="52">
        <f>IF(Учет!$O1445=Справочники!$F$5,Учет!$H1445,0)</f>
        <v>0</v>
      </c>
      <c r="F1445" s="52">
        <f>IF(Учет!$O1445=Справочники!$F$6,Учет!$H1445,0)</f>
        <v>0</v>
      </c>
      <c r="G1445" s="43">
        <f>G1444+Учет!B1445-B1445</f>
        <v>-488978.92000000004</v>
      </c>
      <c r="H1445" s="43">
        <f>H1444+Учет!C1445-C1445</f>
        <v>336855</v>
      </c>
      <c r="I1445" s="43">
        <f>I1444+Учет!D1445-D1445</f>
        <v>500</v>
      </c>
      <c r="J1445" s="43">
        <f>J1444+Учет!E1445-E1445</f>
        <v>1150</v>
      </c>
      <c r="K1445" s="43">
        <f>K1444+Учет!F1445-F1445</f>
        <v>500000</v>
      </c>
      <c r="L1445" s="45">
        <f>Учет!I1445</f>
        <v>349526.07999999996</v>
      </c>
    </row>
    <row r="1446" spans="1:12" x14ac:dyDescent="0.25">
      <c r="A1446" s="48" t="str">
        <f>IF(Учет!A1446&lt;&gt;"",Учет!A1446,"")</f>
        <v/>
      </c>
      <c r="B1446" s="52">
        <f>IF(Учет!$O1446=Справочники!$F$2,Учет!$H1446,0)</f>
        <v>0</v>
      </c>
      <c r="C1446" s="52">
        <f>IF(Учет!$O1446=Справочники!$F$3,Учет!$H1446,0)</f>
        <v>0</v>
      </c>
      <c r="D1446" s="52">
        <f>IF(Учет!$O1446=Справочники!$F$4,Учет!$H1446,0)</f>
        <v>0</v>
      </c>
      <c r="E1446" s="52">
        <f>IF(Учет!$O1446=Справочники!$F$5,Учет!$H1446,0)</f>
        <v>0</v>
      </c>
      <c r="F1446" s="52">
        <f>IF(Учет!$O1446=Справочники!$F$6,Учет!$H1446,0)</f>
        <v>0</v>
      </c>
      <c r="G1446" s="43">
        <f>G1445+Учет!B1446-B1446</f>
        <v>-488978.92000000004</v>
      </c>
      <c r="H1446" s="43">
        <f>H1445+Учет!C1446-C1446</f>
        <v>336855</v>
      </c>
      <c r="I1446" s="43">
        <f>I1445+Учет!D1446-D1446</f>
        <v>500</v>
      </c>
      <c r="J1446" s="43">
        <f>J1445+Учет!E1446-E1446</f>
        <v>1150</v>
      </c>
      <c r="K1446" s="43">
        <f>K1445+Учет!F1446-F1446</f>
        <v>500000</v>
      </c>
      <c r="L1446" s="45">
        <f>Учет!I1446</f>
        <v>349526.07999999996</v>
      </c>
    </row>
    <row r="1447" spans="1:12" x14ac:dyDescent="0.25">
      <c r="A1447" s="48" t="str">
        <f>IF(Учет!A1447&lt;&gt;"",Учет!A1447,"")</f>
        <v/>
      </c>
      <c r="B1447" s="52">
        <f>IF(Учет!$O1447=Справочники!$F$2,Учет!$H1447,0)</f>
        <v>0</v>
      </c>
      <c r="C1447" s="52">
        <f>IF(Учет!$O1447=Справочники!$F$3,Учет!$H1447,0)</f>
        <v>0</v>
      </c>
      <c r="D1447" s="52">
        <f>IF(Учет!$O1447=Справочники!$F$4,Учет!$H1447,0)</f>
        <v>0</v>
      </c>
      <c r="E1447" s="52">
        <f>IF(Учет!$O1447=Справочники!$F$5,Учет!$H1447,0)</f>
        <v>0</v>
      </c>
      <c r="F1447" s="52">
        <f>IF(Учет!$O1447=Справочники!$F$6,Учет!$H1447,0)</f>
        <v>0</v>
      </c>
      <c r="G1447" s="43">
        <f>G1446+Учет!B1447-B1447</f>
        <v>-488978.92000000004</v>
      </c>
      <c r="H1447" s="43">
        <f>H1446+Учет!C1447-C1447</f>
        <v>336855</v>
      </c>
      <c r="I1447" s="43">
        <f>I1446+Учет!D1447-D1447</f>
        <v>500</v>
      </c>
      <c r="J1447" s="43">
        <f>J1446+Учет!E1447-E1447</f>
        <v>1150</v>
      </c>
      <c r="K1447" s="43">
        <f>K1446+Учет!F1447-F1447</f>
        <v>500000</v>
      </c>
      <c r="L1447" s="45">
        <f>Учет!I1447</f>
        <v>349526.07999999996</v>
      </c>
    </row>
    <row r="1448" spans="1:12" x14ac:dyDescent="0.25">
      <c r="A1448" s="48" t="str">
        <f>IF(Учет!A1448&lt;&gt;"",Учет!A1448,"")</f>
        <v/>
      </c>
      <c r="B1448" s="52">
        <f>IF(Учет!$O1448=Справочники!$F$2,Учет!$H1448,0)</f>
        <v>0</v>
      </c>
      <c r="C1448" s="52">
        <f>IF(Учет!$O1448=Справочники!$F$3,Учет!$H1448,0)</f>
        <v>0</v>
      </c>
      <c r="D1448" s="52">
        <f>IF(Учет!$O1448=Справочники!$F$4,Учет!$H1448,0)</f>
        <v>0</v>
      </c>
      <c r="E1448" s="52">
        <f>IF(Учет!$O1448=Справочники!$F$5,Учет!$H1448,0)</f>
        <v>0</v>
      </c>
      <c r="F1448" s="52">
        <f>IF(Учет!$O1448=Справочники!$F$6,Учет!$H1448,0)</f>
        <v>0</v>
      </c>
      <c r="G1448" s="43">
        <f>G1447+Учет!B1448-B1448</f>
        <v>-488978.92000000004</v>
      </c>
      <c r="H1448" s="43">
        <f>H1447+Учет!C1448-C1448</f>
        <v>336855</v>
      </c>
      <c r="I1448" s="43">
        <f>I1447+Учет!D1448-D1448</f>
        <v>500</v>
      </c>
      <c r="J1448" s="43">
        <f>J1447+Учет!E1448-E1448</f>
        <v>1150</v>
      </c>
      <c r="K1448" s="43">
        <f>K1447+Учет!F1448-F1448</f>
        <v>500000</v>
      </c>
      <c r="L1448" s="45">
        <f>Учет!I1448</f>
        <v>349526.07999999996</v>
      </c>
    </row>
    <row r="1449" spans="1:12" x14ac:dyDescent="0.25">
      <c r="A1449" s="48" t="str">
        <f>IF(Учет!A1449&lt;&gt;"",Учет!A1449,"")</f>
        <v/>
      </c>
      <c r="B1449" s="52">
        <f>IF(Учет!$O1449=Справочники!$F$2,Учет!$H1449,0)</f>
        <v>0</v>
      </c>
      <c r="C1449" s="52">
        <f>IF(Учет!$O1449=Справочники!$F$3,Учет!$H1449,0)</f>
        <v>0</v>
      </c>
      <c r="D1449" s="52">
        <f>IF(Учет!$O1449=Справочники!$F$4,Учет!$H1449,0)</f>
        <v>0</v>
      </c>
      <c r="E1449" s="52">
        <f>IF(Учет!$O1449=Справочники!$F$5,Учет!$H1449,0)</f>
        <v>0</v>
      </c>
      <c r="F1449" s="52">
        <f>IF(Учет!$O1449=Справочники!$F$6,Учет!$H1449,0)</f>
        <v>0</v>
      </c>
      <c r="G1449" s="43">
        <f>G1448+Учет!B1449-B1449</f>
        <v>-488978.92000000004</v>
      </c>
      <c r="H1449" s="43">
        <f>H1448+Учет!C1449-C1449</f>
        <v>336855</v>
      </c>
      <c r="I1449" s="43">
        <f>I1448+Учет!D1449-D1449</f>
        <v>500</v>
      </c>
      <c r="J1449" s="43">
        <f>J1448+Учет!E1449-E1449</f>
        <v>1150</v>
      </c>
      <c r="K1449" s="43">
        <f>K1448+Учет!F1449-F1449</f>
        <v>500000</v>
      </c>
      <c r="L1449" s="45">
        <f>Учет!I1449</f>
        <v>349526.07999999996</v>
      </c>
    </row>
    <row r="1450" spans="1:12" x14ac:dyDescent="0.25">
      <c r="A1450" s="48" t="str">
        <f>IF(Учет!A1450&lt;&gt;"",Учет!A1450,"")</f>
        <v/>
      </c>
      <c r="B1450" s="52">
        <f>IF(Учет!$O1450=Справочники!$F$2,Учет!$H1450,0)</f>
        <v>0</v>
      </c>
      <c r="C1450" s="52">
        <f>IF(Учет!$O1450=Справочники!$F$3,Учет!$H1450,0)</f>
        <v>0</v>
      </c>
      <c r="D1450" s="52">
        <f>IF(Учет!$O1450=Справочники!$F$4,Учет!$H1450,0)</f>
        <v>0</v>
      </c>
      <c r="E1450" s="52">
        <f>IF(Учет!$O1450=Справочники!$F$5,Учет!$H1450,0)</f>
        <v>0</v>
      </c>
      <c r="F1450" s="52">
        <f>IF(Учет!$O1450=Справочники!$F$6,Учет!$H1450,0)</f>
        <v>0</v>
      </c>
      <c r="G1450" s="43">
        <f>G1449+Учет!B1450-B1450</f>
        <v>-488978.92000000004</v>
      </c>
      <c r="H1450" s="43">
        <f>H1449+Учет!C1450-C1450</f>
        <v>336855</v>
      </c>
      <c r="I1450" s="43">
        <f>I1449+Учет!D1450-D1450</f>
        <v>500</v>
      </c>
      <c r="J1450" s="43">
        <f>J1449+Учет!E1450-E1450</f>
        <v>1150</v>
      </c>
      <c r="K1450" s="43">
        <f>K1449+Учет!F1450-F1450</f>
        <v>500000</v>
      </c>
      <c r="L1450" s="45">
        <f>Учет!I1450</f>
        <v>349526.07999999996</v>
      </c>
    </row>
    <row r="1451" spans="1:12" x14ac:dyDescent="0.25">
      <c r="A1451" s="48" t="str">
        <f>IF(Учет!A1451&lt;&gt;"",Учет!A1451,"")</f>
        <v/>
      </c>
      <c r="B1451" s="52">
        <f>IF(Учет!$O1451=Справочники!$F$2,Учет!$H1451,0)</f>
        <v>0</v>
      </c>
      <c r="C1451" s="52">
        <f>IF(Учет!$O1451=Справочники!$F$3,Учет!$H1451,0)</f>
        <v>0</v>
      </c>
      <c r="D1451" s="52">
        <f>IF(Учет!$O1451=Справочники!$F$4,Учет!$H1451,0)</f>
        <v>0</v>
      </c>
      <c r="E1451" s="52">
        <f>IF(Учет!$O1451=Справочники!$F$5,Учет!$H1451,0)</f>
        <v>0</v>
      </c>
      <c r="F1451" s="52">
        <f>IF(Учет!$O1451=Справочники!$F$6,Учет!$H1451,0)</f>
        <v>0</v>
      </c>
      <c r="G1451" s="43">
        <f>G1450+Учет!B1451-B1451</f>
        <v>-488978.92000000004</v>
      </c>
      <c r="H1451" s="43">
        <f>H1450+Учет!C1451-C1451</f>
        <v>336855</v>
      </c>
      <c r="I1451" s="43">
        <f>I1450+Учет!D1451-D1451</f>
        <v>500</v>
      </c>
      <c r="J1451" s="43">
        <f>J1450+Учет!E1451-E1451</f>
        <v>1150</v>
      </c>
      <c r="K1451" s="43">
        <f>K1450+Учет!F1451-F1451</f>
        <v>500000</v>
      </c>
      <c r="L1451" s="45">
        <f>Учет!I1451</f>
        <v>349526.07999999996</v>
      </c>
    </row>
    <row r="1452" spans="1:12" x14ac:dyDescent="0.25">
      <c r="A1452" s="48" t="str">
        <f>IF(Учет!A1452&lt;&gt;"",Учет!A1452,"")</f>
        <v/>
      </c>
      <c r="B1452" s="52">
        <f>IF(Учет!$O1452=Справочники!$F$2,Учет!$H1452,0)</f>
        <v>0</v>
      </c>
      <c r="C1452" s="52">
        <f>IF(Учет!$O1452=Справочники!$F$3,Учет!$H1452,0)</f>
        <v>0</v>
      </c>
      <c r="D1452" s="52">
        <f>IF(Учет!$O1452=Справочники!$F$4,Учет!$H1452,0)</f>
        <v>0</v>
      </c>
      <c r="E1452" s="52">
        <f>IF(Учет!$O1452=Справочники!$F$5,Учет!$H1452,0)</f>
        <v>0</v>
      </c>
      <c r="F1452" s="52">
        <f>IF(Учет!$O1452=Справочники!$F$6,Учет!$H1452,0)</f>
        <v>0</v>
      </c>
      <c r="G1452" s="43">
        <f>G1451+Учет!B1452-B1452</f>
        <v>-488978.92000000004</v>
      </c>
      <c r="H1452" s="43">
        <f>H1451+Учет!C1452-C1452</f>
        <v>336855</v>
      </c>
      <c r="I1452" s="43">
        <f>I1451+Учет!D1452-D1452</f>
        <v>500</v>
      </c>
      <c r="J1452" s="43">
        <f>J1451+Учет!E1452-E1452</f>
        <v>1150</v>
      </c>
      <c r="K1452" s="43">
        <f>K1451+Учет!F1452-F1452</f>
        <v>500000</v>
      </c>
      <c r="L1452" s="45">
        <f>Учет!I1452</f>
        <v>349526.07999999996</v>
      </c>
    </row>
    <row r="1453" spans="1:12" x14ac:dyDescent="0.25">
      <c r="A1453" s="48" t="str">
        <f>IF(Учет!A1453&lt;&gt;"",Учет!A1453,"")</f>
        <v/>
      </c>
      <c r="B1453" s="52">
        <f>IF(Учет!$O1453=Справочники!$F$2,Учет!$H1453,0)</f>
        <v>0</v>
      </c>
      <c r="C1453" s="52">
        <f>IF(Учет!$O1453=Справочники!$F$3,Учет!$H1453,0)</f>
        <v>0</v>
      </c>
      <c r="D1453" s="52">
        <f>IF(Учет!$O1453=Справочники!$F$4,Учет!$H1453,0)</f>
        <v>0</v>
      </c>
      <c r="E1453" s="52">
        <f>IF(Учет!$O1453=Справочники!$F$5,Учет!$H1453,0)</f>
        <v>0</v>
      </c>
      <c r="F1453" s="52">
        <f>IF(Учет!$O1453=Справочники!$F$6,Учет!$H1453,0)</f>
        <v>0</v>
      </c>
      <c r="G1453" s="43">
        <f>G1452+Учет!B1453-B1453</f>
        <v>-488978.92000000004</v>
      </c>
      <c r="H1453" s="43">
        <f>H1452+Учет!C1453-C1453</f>
        <v>336855</v>
      </c>
      <c r="I1453" s="43">
        <f>I1452+Учет!D1453-D1453</f>
        <v>500</v>
      </c>
      <c r="J1453" s="43">
        <f>J1452+Учет!E1453-E1453</f>
        <v>1150</v>
      </c>
      <c r="K1453" s="43">
        <f>K1452+Учет!F1453-F1453</f>
        <v>500000</v>
      </c>
      <c r="L1453" s="45">
        <f>Учет!I1453</f>
        <v>349526.07999999996</v>
      </c>
    </row>
    <row r="1454" spans="1:12" x14ac:dyDescent="0.25">
      <c r="A1454" s="48" t="str">
        <f>IF(Учет!A1454&lt;&gt;"",Учет!A1454,"")</f>
        <v/>
      </c>
      <c r="B1454" s="52">
        <f>IF(Учет!$O1454=Справочники!$F$2,Учет!$H1454,0)</f>
        <v>0</v>
      </c>
      <c r="C1454" s="52">
        <f>IF(Учет!$O1454=Справочники!$F$3,Учет!$H1454,0)</f>
        <v>0</v>
      </c>
      <c r="D1454" s="52">
        <f>IF(Учет!$O1454=Справочники!$F$4,Учет!$H1454,0)</f>
        <v>0</v>
      </c>
      <c r="E1454" s="52">
        <f>IF(Учет!$O1454=Справочники!$F$5,Учет!$H1454,0)</f>
        <v>0</v>
      </c>
      <c r="F1454" s="52">
        <f>IF(Учет!$O1454=Справочники!$F$6,Учет!$H1454,0)</f>
        <v>0</v>
      </c>
      <c r="G1454" s="43">
        <f>G1453+Учет!B1454-B1454</f>
        <v>-488978.92000000004</v>
      </c>
      <c r="H1454" s="43">
        <f>H1453+Учет!C1454-C1454</f>
        <v>336855</v>
      </c>
      <c r="I1454" s="43">
        <f>I1453+Учет!D1454-D1454</f>
        <v>500</v>
      </c>
      <c r="J1454" s="43">
        <f>J1453+Учет!E1454-E1454</f>
        <v>1150</v>
      </c>
      <c r="K1454" s="43">
        <f>K1453+Учет!F1454-F1454</f>
        <v>500000</v>
      </c>
      <c r="L1454" s="45">
        <f>Учет!I1454</f>
        <v>349526.07999999996</v>
      </c>
    </row>
    <row r="1455" spans="1:12" x14ac:dyDescent="0.25">
      <c r="A1455" s="48" t="str">
        <f>IF(Учет!A1455&lt;&gt;"",Учет!A1455,"")</f>
        <v/>
      </c>
      <c r="B1455" s="52">
        <f>IF(Учет!$O1455=Справочники!$F$2,Учет!$H1455,0)</f>
        <v>0</v>
      </c>
      <c r="C1455" s="52">
        <f>IF(Учет!$O1455=Справочники!$F$3,Учет!$H1455,0)</f>
        <v>0</v>
      </c>
      <c r="D1455" s="52">
        <f>IF(Учет!$O1455=Справочники!$F$4,Учет!$H1455,0)</f>
        <v>0</v>
      </c>
      <c r="E1455" s="52">
        <f>IF(Учет!$O1455=Справочники!$F$5,Учет!$H1455,0)</f>
        <v>0</v>
      </c>
      <c r="F1455" s="52">
        <f>IF(Учет!$O1455=Справочники!$F$6,Учет!$H1455,0)</f>
        <v>0</v>
      </c>
      <c r="G1455" s="43">
        <f>G1454+Учет!B1455-B1455</f>
        <v>-488978.92000000004</v>
      </c>
      <c r="H1455" s="43">
        <f>H1454+Учет!C1455-C1455</f>
        <v>336855</v>
      </c>
      <c r="I1455" s="43">
        <f>I1454+Учет!D1455-D1455</f>
        <v>500</v>
      </c>
      <c r="J1455" s="43">
        <f>J1454+Учет!E1455-E1455</f>
        <v>1150</v>
      </c>
      <c r="K1455" s="43">
        <f>K1454+Учет!F1455-F1455</f>
        <v>500000</v>
      </c>
      <c r="L1455" s="45">
        <f>Учет!I1455</f>
        <v>349526.07999999996</v>
      </c>
    </row>
    <row r="1456" spans="1:12" x14ac:dyDescent="0.25">
      <c r="A1456" s="48" t="str">
        <f>IF(Учет!A1456&lt;&gt;"",Учет!A1456,"")</f>
        <v/>
      </c>
      <c r="B1456" s="52">
        <f>IF(Учет!$O1456=Справочники!$F$2,Учет!$H1456,0)</f>
        <v>0</v>
      </c>
      <c r="C1456" s="52">
        <f>IF(Учет!$O1456=Справочники!$F$3,Учет!$H1456,0)</f>
        <v>0</v>
      </c>
      <c r="D1456" s="52">
        <f>IF(Учет!$O1456=Справочники!$F$4,Учет!$H1456,0)</f>
        <v>0</v>
      </c>
      <c r="E1456" s="52">
        <f>IF(Учет!$O1456=Справочники!$F$5,Учет!$H1456,0)</f>
        <v>0</v>
      </c>
      <c r="F1456" s="52">
        <f>IF(Учет!$O1456=Справочники!$F$6,Учет!$H1456,0)</f>
        <v>0</v>
      </c>
      <c r="G1456" s="43">
        <f>G1455+Учет!B1456-B1456</f>
        <v>-488978.92000000004</v>
      </c>
      <c r="H1456" s="43">
        <f>H1455+Учет!C1456-C1456</f>
        <v>336855</v>
      </c>
      <c r="I1456" s="43">
        <f>I1455+Учет!D1456-D1456</f>
        <v>500</v>
      </c>
      <c r="J1456" s="43">
        <f>J1455+Учет!E1456-E1456</f>
        <v>1150</v>
      </c>
      <c r="K1456" s="43">
        <f>K1455+Учет!F1456-F1456</f>
        <v>500000</v>
      </c>
      <c r="L1456" s="45">
        <f>Учет!I1456</f>
        <v>349526.07999999996</v>
      </c>
    </row>
    <row r="1457" spans="1:12" x14ac:dyDescent="0.25">
      <c r="A1457" s="48" t="str">
        <f>IF(Учет!A1457&lt;&gt;"",Учет!A1457,"")</f>
        <v/>
      </c>
      <c r="B1457" s="52">
        <f>IF(Учет!$O1457=Справочники!$F$2,Учет!$H1457,0)</f>
        <v>0</v>
      </c>
      <c r="C1457" s="52">
        <f>IF(Учет!$O1457=Справочники!$F$3,Учет!$H1457,0)</f>
        <v>0</v>
      </c>
      <c r="D1457" s="52">
        <f>IF(Учет!$O1457=Справочники!$F$4,Учет!$H1457,0)</f>
        <v>0</v>
      </c>
      <c r="E1457" s="52">
        <f>IF(Учет!$O1457=Справочники!$F$5,Учет!$H1457,0)</f>
        <v>0</v>
      </c>
      <c r="F1457" s="52">
        <f>IF(Учет!$O1457=Справочники!$F$6,Учет!$H1457,0)</f>
        <v>0</v>
      </c>
      <c r="G1457" s="43">
        <f>G1456+Учет!B1457-B1457</f>
        <v>-488978.92000000004</v>
      </c>
      <c r="H1457" s="43">
        <f>H1456+Учет!C1457-C1457</f>
        <v>336855</v>
      </c>
      <c r="I1457" s="43">
        <f>I1456+Учет!D1457-D1457</f>
        <v>500</v>
      </c>
      <c r="J1457" s="43">
        <f>J1456+Учет!E1457-E1457</f>
        <v>1150</v>
      </c>
      <c r="K1457" s="43">
        <f>K1456+Учет!F1457-F1457</f>
        <v>500000</v>
      </c>
      <c r="L1457" s="45">
        <f>Учет!I1457</f>
        <v>349526.07999999996</v>
      </c>
    </row>
    <row r="1458" spans="1:12" x14ac:dyDescent="0.25">
      <c r="A1458" s="48" t="str">
        <f>IF(Учет!A1458&lt;&gt;"",Учет!A1458,"")</f>
        <v/>
      </c>
      <c r="B1458" s="52">
        <f>IF(Учет!$O1458=Справочники!$F$2,Учет!$H1458,0)</f>
        <v>0</v>
      </c>
      <c r="C1458" s="52">
        <f>IF(Учет!$O1458=Справочники!$F$3,Учет!$H1458,0)</f>
        <v>0</v>
      </c>
      <c r="D1458" s="52">
        <f>IF(Учет!$O1458=Справочники!$F$4,Учет!$H1458,0)</f>
        <v>0</v>
      </c>
      <c r="E1458" s="52">
        <f>IF(Учет!$O1458=Справочники!$F$5,Учет!$H1458,0)</f>
        <v>0</v>
      </c>
      <c r="F1458" s="52">
        <f>IF(Учет!$O1458=Справочники!$F$6,Учет!$H1458,0)</f>
        <v>0</v>
      </c>
      <c r="G1458" s="43">
        <f>G1457+Учет!B1458-B1458</f>
        <v>-488978.92000000004</v>
      </c>
      <c r="H1458" s="43">
        <f>H1457+Учет!C1458-C1458</f>
        <v>336855</v>
      </c>
      <c r="I1458" s="43">
        <f>I1457+Учет!D1458-D1458</f>
        <v>500</v>
      </c>
      <c r="J1458" s="43">
        <f>J1457+Учет!E1458-E1458</f>
        <v>1150</v>
      </c>
      <c r="K1458" s="43">
        <f>K1457+Учет!F1458-F1458</f>
        <v>500000</v>
      </c>
      <c r="L1458" s="45">
        <f>Учет!I1458</f>
        <v>349526.07999999996</v>
      </c>
    </row>
    <row r="1459" spans="1:12" x14ac:dyDescent="0.25">
      <c r="A1459" s="48" t="str">
        <f>IF(Учет!A1459&lt;&gt;"",Учет!A1459,"")</f>
        <v/>
      </c>
      <c r="B1459" s="52">
        <f>IF(Учет!$O1459=Справочники!$F$2,Учет!$H1459,0)</f>
        <v>0</v>
      </c>
      <c r="C1459" s="52">
        <f>IF(Учет!$O1459=Справочники!$F$3,Учет!$H1459,0)</f>
        <v>0</v>
      </c>
      <c r="D1459" s="52">
        <f>IF(Учет!$O1459=Справочники!$F$4,Учет!$H1459,0)</f>
        <v>0</v>
      </c>
      <c r="E1459" s="52">
        <f>IF(Учет!$O1459=Справочники!$F$5,Учет!$H1459,0)</f>
        <v>0</v>
      </c>
      <c r="F1459" s="52">
        <f>IF(Учет!$O1459=Справочники!$F$6,Учет!$H1459,0)</f>
        <v>0</v>
      </c>
      <c r="G1459" s="43">
        <f>G1458+Учет!B1459-B1459</f>
        <v>-488978.92000000004</v>
      </c>
      <c r="H1459" s="43">
        <f>H1458+Учет!C1459-C1459</f>
        <v>336855</v>
      </c>
      <c r="I1459" s="43">
        <f>I1458+Учет!D1459-D1459</f>
        <v>500</v>
      </c>
      <c r="J1459" s="43">
        <f>J1458+Учет!E1459-E1459</f>
        <v>1150</v>
      </c>
      <c r="K1459" s="43">
        <f>K1458+Учет!F1459-F1459</f>
        <v>500000</v>
      </c>
      <c r="L1459" s="45">
        <f>Учет!I1459</f>
        <v>349526.07999999996</v>
      </c>
    </row>
    <row r="1460" spans="1:12" x14ac:dyDescent="0.25">
      <c r="A1460" s="48" t="str">
        <f>IF(Учет!A1460&lt;&gt;"",Учет!A1460,"")</f>
        <v/>
      </c>
      <c r="B1460" s="52">
        <f>IF(Учет!$O1460=Справочники!$F$2,Учет!$H1460,0)</f>
        <v>0</v>
      </c>
      <c r="C1460" s="52">
        <f>IF(Учет!$O1460=Справочники!$F$3,Учет!$H1460,0)</f>
        <v>0</v>
      </c>
      <c r="D1460" s="52">
        <f>IF(Учет!$O1460=Справочники!$F$4,Учет!$H1460,0)</f>
        <v>0</v>
      </c>
      <c r="E1460" s="52">
        <f>IF(Учет!$O1460=Справочники!$F$5,Учет!$H1460,0)</f>
        <v>0</v>
      </c>
      <c r="F1460" s="52">
        <f>IF(Учет!$O1460=Справочники!$F$6,Учет!$H1460,0)</f>
        <v>0</v>
      </c>
      <c r="G1460" s="43">
        <f>G1459+Учет!B1460-B1460</f>
        <v>-488978.92000000004</v>
      </c>
      <c r="H1460" s="43">
        <f>H1459+Учет!C1460-C1460</f>
        <v>336855</v>
      </c>
      <c r="I1460" s="43">
        <f>I1459+Учет!D1460-D1460</f>
        <v>500</v>
      </c>
      <c r="J1460" s="43">
        <f>J1459+Учет!E1460-E1460</f>
        <v>1150</v>
      </c>
      <c r="K1460" s="43">
        <f>K1459+Учет!F1460-F1460</f>
        <v>500000</v>
      </c>
      <c r="L1460" s="45">
        <f>Учет!I1460</f>
        <v>349526.07999999996</v>
      </c>
    </row>
    <row r="1461" spans="1:12" x14ac:dyDescent="0.25">
      <c r="A1461" s="48" t="str">
        <f>IF(Учет!A1461&lt;&gt;"",Учет!A1461,"")</f>
        <v/>
      </c>
      <c r="B1461" s="52">
        <f>IF(Учет!$O1461=Справочники!$F$2,Учет!$H1461,0)</f>
        <v>0</v>
      </c>
      <c r="C1461" s="52">
        <f>IF(Учет!$O1461=Справочники!$F$3,Учет!$H1461,0)</f>
        <v>0</v>
      </c>
      <c r="D1461" s="52">
        <f>IF(Учет!$O1461=Справочники!$F$4,Учет!$H1461,0)</f>
        <v>0</v>
      </c>
      <c r="E1461" s="52">
        <f>IF(Учет!$O1461=Справочники!$F$5,Учет!$H1461,0)</f>
        <v>0</v>
      </c>
      <c r="F1461" s="52">
        <f>IF(Учет!$O1461=Справочники!$F$6,Учет!$H1461,0)</f>
        <v>0</v>
      </c>
      <c r="G1461" s="43">
        <f>G1460+Учет!B1461-B1461</f>
        <v>-488978.92000000004</v>
      </c>
      <c r="H1461" s="43">
        <f>H1460+Учет!C1461-C1461</f>
        <v>336855</v>
      </c>
      <c r="I1461" s="43">
        <f>I1460+Учет!D1461-D1461</f>
        <v>500</v>
      </c>
      <c r="J1461" s="43">
        <f>J1460+Учет!E1461-E1461</f>
        <v>1150</v>
      </c>
      <c r="K1461" s="43">
        <f>K1460+Учет!F1461-F1461</f>
        <v>500000</v>
      </c>
      <c r="L1461" s="45">
        <f>Учет!I1461</f>
        <v>349526.07999999996</v>
      </c>
    </row>
    <row r="1462" spans="1:12" x14ac:dyDescent="0.25">
      <c r="A1462" s="48" t="str">
        <f>IF(Учет!A1462&lt;&gt;"",Учет!A1462,"")</f>
        <v/>
      </c>
      <c r="B1462" s="52">
        <f>IF(Учет!$O1462=Справочники!$F$2,Учет!$H1462,0)</f>
        <v>0</v>
      </c>
      <c r="C1462" s="52">
        <f>IF(Учет!$O1462=Справочники!$F$3,Учет!$H1462,0)</f>
        <v>0</v>
      </c>
      <c r="D1462" s="52">
        <f>IF(Учет!$O1462=Справочники!$F$4,Учет!$H1462,0)</f>
        <v>0</v>
      </c>
      <c r="E1462" s="52">
        <f>IF(Учет!$O1462=Справочники!$F$5,Учет!$H1462,0)</f>
        <v>0</v>
      </c>
      <c r="F1462" s="52">
        <f>IF(Учет!$O1462=Справочники!$F$6,Учет!$H1462,0)</f>
        <v>0</v>
      </c>
      <c r="G1462" s="43">
        <f>G1461+Учет!B1462-B1462</f>
        <v>-488978.92000000004</v>
      </c>
      <c r="H1462" s="43">
        <f>H1461+Учет!C1462-C1462</f>
        <v>336855</v>
      </c>
      <c r="I1462" s="43">
        <f>I1461+Учет!D1462-D1462</f>
        <v>500</v>
      </c>
      <c r="J1462" s="43">
        <f>J1461+Учет!E1462-E1462</f>
        <v>1150</v>
      </c>
      <c r="K1462" s="43">
        <f>K1461+Учет!F1462-F1462</f>
        <v>500000</v>
      </c>
      <c r="L1462" s="45">
        <f>Учет!I1462</f>
        <v>349526.07999999996</v>
      </c>
    </row>
    <row r="1463" spans="1:12" x14ac:dyDescent="0.25">
      <c r="A1463" s="48" t="str">
        <f>IF(Учет!A1463&lt;&gt;"",Учет!A1463,"")</f>
        <v/>
      </c>
      <c r="B1463" s="52">
        <f>IF(Учет!$O1463=Справочники!$F$2,Учет!$H1463,0)</f>
        <v>0</v>
      </c>
      <c r="C1463" s="52">
        <f>IF(Учет!$O1463=Справочники!$F$3,Учет!$H1463,0)</f>
        <v>0</v>
      </c>
      <c r="D1463" s="52">
        <f>IF(Учет!$O1463=Справочники!$F$4,Учет!$H1463,0)</f>
        <v>0</v>
      </c>
      <c r="E1463" s="52">
        <f>IF(Учет!$O1463=Справочники!$F$5,Учет!$H1463,0)</f>
        <v>0</v>
      </c>
      <c r="F1463" s="52">
        <f>IF(Учет!$O1463=Справочники!$F$6,Учет!$H1463,0)</f>
        <v>0</v>
      </c>
      <c r="G1463" s="43">
        <f>G1462+Учет!B1463-B1463</f>
        <v>-488978.92000000004</v>
      </c>
      <c r="H1463" s="43">
        <f>H1462+Учет!C1463-C1463</f>
        <v>336855</v>
      </c>
      <c r="I1463" s="43">
        <f>I1462+Учет!D1463-D1463</f>
        <v>500</v>
      </c>
      <c r="J1463" s="43">
        <f>J1462+Учет!E1463-E1463</f>
        <v>1150</v>
      </c>
      <c r="K1463" s="43">
        <f>K1462+Учет!F1463-F1463</f>
        <v>500000</v>
      </c>
      <c r="L1463" s="45">
        <f>Учет!I1463</f>
        <v>349526.07999999996</v>
      </c>
    </row>
    <row r="1464" spans="1:12" x14ac:dyDescent="0.25">
      <c r="A1464" s="48" t="str">
        <f>IF(Учет!A1464&lt;&gt;"",Учет!A1464,"")</f>
        <v/>
      </c>
      <c r="B1464" s="52">
        <f>IF(Учет!$O1464=Справочники!$F$2,Учет!$H1464,0)</f>
        <v>0</v>
      </c>
      <c r="C1464" s="52">
        <f>IF(Учет!$O1464=Справочники!$F$3,Учет!$H1464,0)</f>
        <v>0</v>
      </c>
      <c r="D1464" s="52">
        <f>IF(Учет!$O1464=Справочники!$F$4,Учет!$H1464,0)</f>
        <v>0</v>
      </c>
      <c r="E1464" s="52">
        <f>IF(Учет!$O1464=Справочники!$F$5,Учет!$H1464,0)</f>
        <v>0</v>
      </c>
      <c r="F1464" s="52">
        <f>IF(Учет!$O1464=Справочники!$F$6,Учет!$H1464,0)</f>
        <v>0</v>
      </c>
      <c r="G1464" s="43">
        <f>G1463+Учет!B1464-B1464</f>
        <v>-488978.92000000004</v>
      </c>
      <c r="H1464" s="43">
        <f>H1463+Учет!C1464-C1464</f>
        <v>336855</v>
      </c>
      <c r="I1464" s="43">
        <f>I1463+Учет!D1464-D1464</f>
        <v>500</v>
      </c>
      <c r="J1464" s="43">
        <f>J1463+Учет!E1464-E1464</f>
        <v>1150</v>
      </c>
      <c r="K1464" s="43">
        <f>K1463+Учет!F1464-F1464</f>
        <v>500000</v>
      </c>
      <c r="L1464" s="45">
        <f>Учет!I1464</f>
        <v>349526.07999999996</v>
      </c>
    </row>
    <row r="1465" spans="1:12" x14ac:dyDescent="0.25">
      <c r="A1465" s="48" t="str">
        <f>IF(Учет!A1465&lt;&gt;"",Учет!A1465,"")</f>
        <v/>
      </c>
      <c r="B1465" s="52">
        <f>IF(Учет!$O1465=Справочники!$F$2,Учет!$H1465,0)</f>
        <v>0</v>
      </c>
      <c r="C1465" s="52">
        <f>IF(Учет!$O1465=Справочники!$F$3,Учет!$H1465,0)</f>
        <v>0</v>
      </c>
      <c r="D1465" s="52">
        <f>IF(Учет!$O1465=Справочники!$F$4,Учет!$H1465,0)</f>
        <v>0</v>
      </c>
      <c r="E1465" s="52">
        <f>IF(Учет!$O1465=Справочники!$F$5,Учет!$H1465,0)</f>
        <v>0</v>
      </c>
      <c r="F1465" s="52">
        <f>IF(Учет!$O1465=Справочники!$F$6,Учет!$H1465,0)</f>
        <v>0</v>
      </c>
      <c r="G1465" s="43">
        <f>G1464+Учет!B1465-B1465</f>
        <v>-488978.92000000004</v>
      </c>
      <c r="H1465" s="43">
        <f>H1464+Учет!C1465-C1465</f>
        <v>336855</v>
      </c>
      <c r="I1465" s="43">
        <f>I1464+Учет!D1465-D1465</f>
        <v>500</v>
      </c>
      <c r="J1465" s="43">
        <f>J1464+Учет!E1465-E1465</f>
        <v>1150</v>
      </c>
      <c r="K1465" s="43">
        <f>K1464+Учет!F1465-F1465</f>
        <v>500000</v>
      </c>
      <c r="L1465" s="45">
        <f>Учет!I1465</f>
        <v>349526.07999999996</v>
      </c>
    </row>
    <row r="1466" spans="1:12" x14ac:dyDescent="0.25">
      <c r="A1466" s="48" t="str">
        <f>IF(Учет!A1466&lt;&gt;"",Учет!A1466,"")</f>
        <v/>
      </c>
      <c r="B1466" s="52">
        <f>IF(Учет!$O1466=Справочники!$F$2,Учет!$H1466,0)</f>
        <v>0</v>
      </c>
      <c r="C1466" s="52">
        <f>IF(Учет!$O1466=Справочники!$F$3,Учет!$H1466,0)</f>
        <v>0</v>
      </c>
      <c r="D1466" s="52">
        <f>IF(Учет!$O1466=Справочники!$F$4,Учет!$H1466,0)</f>
        <v>0</v>
      </c>
      <c r="E1466" s="52">
        <f>IF(Учет!$O1466=Справочники!$F$5,Учет!$H1466,0)</f>
        <v>0</v>
      </c>
      <c r="F1466" s="52">
        <f>IF(Учет!$O1466=Справочники!$F$6,Учет!$H1466,0)</f>
        <v>0</v>
      </c>
      <c r="G1466" s="43">
        <f>G1465+Учет!B1466-B1466</f>
        <v>-488978.92000000004</v>
      </c>
      <c r="H1466" s="43">
        <f>H1465+Учет!C1466-C1466</f>
        <v>336855</v>
      </c>
      <c r="I1466" s="43">
        <f>I1465+Учет!D1466-D1466</f>
        <v>500</v>
      </c>
      <c r="J1466" s="43">
        <f>J1465+Учет!E1466-E1466</f>
        <v>1150</v>
      </c>
      <c r="K1466" s="43">
        <f>K1465+Учет!F1466-F1466</f>
        <v>500000</v>
      </c>
      <c r="L1466" s="45">
        <f>Учет!I1466</f>
        <v>349526.07999999996</v>
      </c>
    </row>
    <row r="1467" spans="1:12" x14ac:dyDescent="0.25">
      <c r="A1467" s="48" t="str">
        <f>IF(Учет!A1467&lt;&gt;"",Учет!A1467,"")</f>
        <v/>
      </c>
      <c r="B1467" s="52">
        <f>IF(Учет!$O1467=Справочники!$F$2,Учет!$H1467,0)</f>
        <v>0</v>
      </c>
      <c r="C1467" s="52">
        <f>IF(Учет!$O1467=Справочники!$F$3,Учет!$H1467,0)</f>
        <v>0</v>
      </c>
      <c r="D1467" s="52">
        <f>IF(Учет!$O1467=Справочники!$F$4,Учет!$H1467,0)</f>
        <v>0</v>
      </c>
      <c r="E1467" s="52">
        <f>IF(Учет!$O1467=Справочники!$F$5,Учет!$H1467,0)</f>
        <v>0</v>
      </c>
      <c r="F1467" s="52">
        <f>IF(Учет!$O1467=Справочники!$F$6,Учет!$H1467,0)</f>
        <v>0</v>
      </c>
      <c r="G1467" s="43">
        <f>G1466+Учет!B1467-B1467</f>
        <v>-488978.92000000004</v>
      </c>
      <c r="H1467" s="43">
        <f>H1466+Учет!C1467-C1467</f>
        <v>336855</v>
      </c>
      <c r="I1467" s="43">
        <f>I1466+Учет!D1467-D1467</f>
        <v>500</v>
      </c>
      <c r="J1467" s="43">
        <f>J1466+Учет!E1467-E1467</f>
        <v>1150</v>
      </c>
      <c r="K1467" s="43">
        <f>K1466+Учет!F1467-F1467</f>
        <v>500000</v>
      </c>
      <c r="L1467" s="45">
        <f>Учет!I1467</f>
        <v>349526.07999999996</v>
      </c>
    </row>
    <row r="1468" spans="1:12" x14ac:dyDescent="0.25">
      <c r="A1468" s="48" t="str">
        <f>IF(Учет!A1468&lt;&gt;"",Учет!A1468,"")</f>
        <v/>
      </c>
      <c r="B1468" s="52">
        <f>IF(Учет!$O1468=Справочники!$F$2,Учет!$H1468,0)</f>
        <v>0</v>
      </c>
      <c r="C1468" s="52">
        <f>IF(Учет!$O1468=Справочники!$F$3,Учет!$H1468,0)</f>
        <v>0</v>
      </c>
      <c r="D1468" s="52">
        <f>IF(Учет!$O1468=Справочники!$F$4,Учет!$H1468,0)</f>
        <v>0</v>
      </c>
      <c r="E1468" s="52">
        <f>IF(Учет!$O1468=Справочники!$F$5,Учет!$H1468,0)</f>
        <v>0</v>
      </c>
      <c r="F1468" s="52">
        <f>IF(Учет!$O1468=Справочники!$F$6,Учет!$H1468,0)</f>
        <v>0</v>
      </c>
      <c r="G1468" s="43">
        <f>G1467+Учет!B1468-B1468</f>
        <v>-488978.92000000004</v>
      </c>
      <c r="H1468" s="43">
        <f>H1467+Учет!C1468-C1468</f>
        <v>336855</v>
      </c>
      <c r="I1468" s="43">
        <f>I1467+Учет!D1468-D1468</f>
        <v>500</v>
      </c>
      <c r="J1468" s="43">
        <f>J1467+Учет!E1468-E1468</f>
        <v>1150</v>
      </c>
      <c r="K1468" s="43">
        <f>K1467+Учет!F1468-F1468</f>
        <v>500000</v>
      </c>
      <c r="L1468" s="45">
        <f>Учет!I1468</f>
        <v>349526.07999999996</v>
      </c>
    </row>
    <row r="1469" spans="1:12" x14ac:dyDescent="0.25">
      <c r="A1469" s="48" t="str">
        <f>IF(Учет!A1469&lt;&gt;"",Учет!A1469,"")</f>
        <v/>
      </c>
      <c r="B1469" s="52">
        <f>IF(Учет!$O1469=Справочники!$F$2,Учет!$H1469,0)</f>
        <v>0</v>
      </c>
      <c r="C1469" s="52">
        <f>IF(Учет!$O1469=Справочники!$F$3,Учет!$H1469,0)</f>
        <v>0</v>
      </c>
      <c r="D1469" s="52">
        <f>IF(Учет!$O1469=Справочники!$F$4,Учет!$H1469,0)</f>
        <v>0</v>
      </c>
      <c r="E1469" s="52">
        <f>IF(Учет!$O1469=Справочники!$F$5,Учет!$H1469,0)</f>
        <v>0</v>
      </c>
      <c r="F1469" s="52">
        <f>IF(Учет!$O1469=Справочники!$F$6,Учет!$H1469,0)</f>
        <v>0</v>
      </c>
      <c r="G1469" s="43">
        <f>G1468+Учет!B1469-B1469</f>
        <v>-488978.92000000004</v>
      </c>
      <c r="H1469" s="43">
        <f>H1468+Учет!C1469-C1469</f>
        <v>336855</v>
      </c>
      <c r="I1469" s="43">
        <f>I1468+Учет!D1469-D1469</f>
        <v>500</v>
      </c>
      <c r="J1469" s="43">
        <f>J1468+Учет!E1469-E1469</f>
        <v>1150</v>
      </c>
      <c r="K1469" s="43">
        <f>K1468+Учет!F1469-F1469</f>
        <v>500000</v>
      </c>
      <c r="L1469" s="45">
        <f>Учет!I1469</f>
        <v>349526.07999999996</v>
      </c>
    </row>
    <row r="1470" spans="1:12" x14ac:dyDescent="0.25">
      <c r="A1470" s="48" t="str">
        <f>IF(Учет!A1470&lt;&gt;"",Учет!A1470,"")</f>
        <v/>
      </c>
      <c r="B1470" s="52">
        <f>IF(Учет!$O1470=Справочники!$F$2,Учет!$H1470,0)</f>
        <v>0</v>
      </c>
      <c r="C1470" s="52">
        <f>IF(Учет!$O1470=Справочники!$F$3,Учет!$H1470,0)</f>
        <v>0</v>
      </c>
      <c r="D1470" s="52">
        <f>IF(Учет!$O1470=Справочники!$F$4,Учет!$H1470,0)</f>
        <v>0</v>
      </c>
      <c r="E1470" s="52">
        <f>IF(Учет!$O1470=Справочники!$F$5,Учет!$H1470,0)</f>
        <v>0</v>
      </c>
      <c r="F1470" s="52">
        <f>IF(Учет!$O1470=Справочники!$F$6,Учет!$H1470,0)</f>
        <v>0</v>
      </c>
      <c r="G1470" s="43">
        <f>G1469+Учет!B1470-B1470</f>
        <v>-488978.92000000004</v>
      </c>
      <c r="H1470" s="43">
        <f>H1469+Учет!C1470-C1470</f>
        <v>336855</v>
      </c>
      <c r="I1470" s="43">
        <f>I1469+Учет!D1470-D1470</f>
        <v>500</v>
      </c>
      <c r="J1470" s="43">
        <f>J1469+Учет!E1470-E1470</f>
        <v>1150</v>
      </c>
      <c r="K1470" s="43">
        <f>K1469+Учет!F1470-F1470</f>
        <v>500000</v>
      </c>
      <c r="L1470" s="45">
        <f>Учет!I1470</f>
        <v>349526.07999999996</v>
      </c>
    </row>
    <row r="1471" spans="1:12" x14ac:dyDescent="0.25">
      <c r="A1471" s="48" t="str">
        <f>IF(Учет!A1471&lt;&gt;"",Учет!A1471,"")</f>
        <v/>
      </c>
      <c r="B1471" s="52">
        <f>IF(Учет!$O1471=Справочники!$F$2,Учет!$H1471,0)</f>
        <v>0</v>
      </c>
      <c r="C1471" s="52">
        <f>IF(Учет!$O1471=Справочники!$F$3,Учет!$H1471,0)</f>
        <v>0</v>
      </c>
      <c r="D1471" s="52">
        <f>IF(Учет!$O1471=Справочники!$F$4,Учет!$H1471,0)</f>
        <v>0</v>
      </c>
      <c r="E1471" s="52">
        <f>IF(Учет!$O1471=Справочники!$F$5,Учет!$H1471,0)</f>
        <v>0</v>
      </c>
      <c r="F1471" s="52">
        <f>IF(Учет!$O1471=Справочники!$F$6,Учет!$H1471,0)</f>
        <v>0</v>
      </c>
      <c r="G1471" s="43">
        <f>G1470+Учет!B1471-B1471</f>
        <v>-488978.92000000004</v>
      </c>
      <c r="H1471" s="43">
        <f>H1470+Учет!C1471-C1471</f>
        <v>336855</v>
      </c>
      <c r="I1471" s="43">
        <f>I1470+Учет!D1471-D1471</f>
        <v>500</v>
      </c>
      <c r="J1471" s="43">
        <f>J1470+Учет!E1471-E1471</f>
        <v>1150</v>
      </c>
      <c r="K1471" s="43">
        <f>K1470+Учет!F1471-F1471</f>
        <v>500000</v>
      </c>
      <c r="L1471" s="45">
        <f>Учет!I1471</f>
        <v>349526.07999999996</v>
      </c>
    </row>
    <row r="1472" spans="1:12" x14ac:dyDescent="0.25">
      <c r="A1472" s="48" t="str">
        <f>IF(Учет!A1472&lt;&gt;"",Учет!A1472,"")</f>
        <v/>
      </c>
      <c r="B1472" s="52">
        <f>IF(Учет!$O1472=Справочники!$F$2,Учет!$H1472,0)</f>
        <v>0</v>
      </c>
      <c r="C1472" s="52">
        <f>IF(Учет!$O1472=Справочники!$F$3,Учет!$H1472,0)</f>
        <v>0</v>
      </c>
      <c r="D1472" s="52">
        <f>IF(Учет!$O1472=Справочники!$F$4,Учет!$H1472,0)</f>
        <v>0</v>
      </c>
      <c r="E1472" s="52">
        <f>IF(Учет!$O1472=Справочники!$F$5,Учет!$H1472,0)</f>
        <v>0</v>
      </c>
      <c r="F1472" s="52">
        <f>IF(Учет!$O1472=Справочники!$F$6,Учет!$H1472,0)</f>
        <v>0</v>
      </c>
      <c r="G1472" s="43">
        <f>G1471+Учет!B1472-B1472</f>
        <v>-488978.92000000004</v>
      </c>
      <c r="H1472" s="43">
        <f>H1471+Учет!C1472-C1472</f>
        <v>336855</v>
      </c>
      <c r="I1472" s="43">
        <f>I1471+Учет!D1472-D1472</f>
        <v>500</v>
      </c>
      <c r="J1472" s="43">
        <f>J1471+Учет!E1472-E1472</f>
        <v>1150</v>
      </c>
      <c r="K1472" s="43">
        <f>K1471+Учет!F1472-F1472</f>
        <v>500000</v>
      </c>
      <c r="L1472" s="45">
        <f>Учет!I1472</f>
        <v>349526.07999999996</v>
      </c>
    </row>
    <row r="1473" spans="1:12" x14ac:dyDescent="0.25">
      <c r="A1473" s="48" t="str">
        <f>IF(Учет!A1473&lt;&gt;"",Учет!A1473,"")</f>
        <v/>
      </c>
      <c r="B1473" s="52">
        <f>IF(Учет!$O1473=Справочники!$F$2,Учет!$H1473,0)</f>
        <v>0</v>
      </c>
      <c r="C1473" s="52">
        <f>IF(Учет!$O1473=Справочники!$F$3,Учет!$H1473,0)</f>
        <v>0</v>
      </c>
      <c r="D1473" s="52">
        <f>IF(Учет!$O1473=Справочники!$F$4,Учет!$H1473,0)</f>
        <v>0</v>
      </c>
      <c r="E1473" s="52">
        <f>IF(Учет!$O1473=Справочники!$F$5,Учет!$H1473,0)</f>
        <v>0</v>
      </c>
      <c r="F1473" s="52">
        <f>IF(Учет!$O1473=Справочники!$F$6,Учет!$H1473,0)</f>
        <v>0</v>
      </c>
      <c r="G1473" s="43">
        <f>G1472+Учет!B1473-B1473</f>
        <v>-488978.92000000004</v>
      </c>
      <c r="H1473" s="43">
        <f>H1472+Учет!C1473-C1473</f>
        <v>336855</v>
      </c>
      <c r="I1473" s="43">
        <f>I1472+Учет!D1473-D1473</f>
        <v>500</v>
      </c>
      <c r="J1473" s="43">
        <f>J1472+Учет!E1473-E1473</f>
        <v>1150</v>
      </c>
      <c r="K1473" s="43">
        <f>K1472+Учет!F1473-F1473</f>
        <v>500000</v>
      </c>
      <c r="L1473" s="45">
        <f>Учет!I1473</f>
        <v>349526.07999999996</v>
      </c>
    </row>
    <row r="1474" spans="1:12" x14ac:dyDescent="0.25">
      <c r="A1474" s="48" t="str">
        <f>IF(Учет!A1474&lt;&gt;"",Учет!A1474,"")</f>
        <v/>
      </c>
      <c r="B1474" s="52">
        <f>IF(Учет!$O1474=Справочники!$F$2,Учет!$H1474,0)</f>
        <v>0</v>
      </c>
      <c r="C1474" s="52">
        <f>IF(Учет!$O1474=Справочники!$F$3,Учет!$H1474,0)</f>
        <v>0</v>
      </c>
      <c r="D1474" s="52">
        <f>IF(Учет!$O1474=Справочники!$F$4,Учет!$H1474,0)</f>
        <v>0</v>
      </c>
      <c r="E1474" s="52">
        <f>IF(Учет!$O1474=Справочники!$F$5,Учет!$H1474,0)</f>
        <v>0</v>
      </c>
      <c r="F1474" s="52">
        <f>IF(Учет!$O1474=Справочники!$F$6,Учет!$H1474,0)</f>
        <v>0</v>
      </c>
      <c r="G1474" s="43">
        <f>G1473+Учет!B1474-B1474</f>
        <v>-488978.92000000004</v>
      </c>
      <c r="H1474" s="43">
        <f>H1473+Учет!C1474-C1474</f>
        <v>336855</v>
      </c>
      <c r="I1474" s="43">
        <f>I1473+Учет!D1474-D1474</f>
        <v>500</v>
      </c>
      <c r="J1474" s="43">
        <f>J1473+Учет!E1474-E1474</f>
        <v>1150</v>
      </c>
      <c r="K1474" s="43">
        <f>K1473+Учет!F1474-F1474</f>
        <v>500000</v>
      </c>
      <c r="L1474" s="45">
        <f>Учет!I1474</f>
        <v>349526.07999999996</v>
      </c>
    </row>
    <row r="1475" spans="1:12" x14ac:dyDescent="0.25">
      <c r="A1475" s="48" t="str">
        <f>IF(Учет!A1475&lt;&gt;"",Учет!A1475,"")</f>
        <v/>
      </c>
      <c r="B1475" s="52">
        <f>IF(Учет!$O1475=Справочники!$F$2,Учет!$H1475,0)</f>
        <v>0</v>
      </c>
      <c r="C1475" s="52">
        <f>IF(Учет!$O1475=Справочники!$F$3,Учет!$H1475,0)</f>
        <v>0</v>
      </c>
      <c r="D1475" s="52">
        <f>IF(Учет!$O1475=Справочники!$F$4,Учет!$H1475,0)</f>
        <v>0</v>
      </c>
      <c r="E1475" s="52">
        <f>IF(Учет!$O1475=Справочники!$F$5,Учет!$H1475,0)</f>
        <v>0</v>
      </c>
      <c r="F1475" s="52">
        <f>IF(Учет!$O1475=Справочники!$F$6,Учет!$H1475,0)</f>
        <v>0</v>
      </c>
      <c r="G1475" s="43">
        <f>G1474+Учет!B1475-B1475</f>
        <v>-488978.92000000004</v>
      </c>
      <c r="H1475" s="43">
        <f>H1474+Учет!C1475-C1475</f>
        <v>336855</v>
      </c>
      <c r="I1475" s="43">
        <f>I1474+Учет!D1475-D1475</f>
        <v>500</v>
      </c>
      <c r="J1475" s="43">
        <f>J1474+Учет!E1475-E1475</f>
        <v>1150</v>
      </c>
      <c r="K1475" s="43">
        <f>K1474+Учет!F1475-F1475</f>
        <v>500000</v>
      </c>
      <c r="L1475" s="45">
        <f>Учет!I1475</f>
        <v>349526.07999999996</v>
      </c>
    </row>
    <row r="1476" spans="1:12" x14ac:dyDescent="0.25">
      <c r="A1476" s="48" t="str">
        <f>IF(Учет!A1476&lt;&gt;"",Учет!A1476,"")</f>
        <v/>
      </c>
      <c r="B1476" s="52">
        <f>IF(Учет!$O1476=Справочники!$F$2,Учет!$H1476,0)</f>
        <v>0</v>
      </c>
      <c r="C1476" s="52">
        <f>IF(Учет!$O1476=Справочники!$F$3,Учет!$H1476,0)</f>
        <v>0</v>
      </c>
      <c r="D1476" s="52">
        <f>IF(Учет!$O1476=Справочники!$F$4,Учет!$H1476,0)</f>
        <v>0</v>
      </c>
      <c r="E1476" s="52">
        <f>IF(Учет!$O1476=Справочники!$F$5,Учет!$H1476,0)</f>
        <v>0</v>
      </c>
      <c r="F1476" s="52">
        <f>IF(Учет!$O1476=Справочники!$F$6,Учет!$H1476,0)</f>
        <v>0</v>
      </c>
      <c r="G1476" s="43">
        <f>G1475+Учет!B1476-B1476</f>
        <v>-488978.92000000004</v>
      </c>
      <c r="H1476" s="43">
        <f>H1475+Учет!C1476-C1476</f>
        <v>336855</v>
      </c>
      <c r="I1476" s="43">
        <f>I1475+Учет!D1476-D1476</f>
        <v>500</v>
      </c>
      <c r="J1476" s="43">
        <f>J1475+Учет!E1476-E1476</f>
        <v>1150</v>
      </c>
      <c r="K1476" s="43">
        <f>K1475+Учет!F1476-F1476</f>
        <v>500000</v>
      </c>
      <c r="L1476" s="45">
        <f>Учет!I1476</f>
        <v>349526.07999999996</v>
      </c>
    </row>
    <row r="1477" spans="1:12" x14ac:dyDescent="0.25">
      <c r="A1477" s="48" t="str">
        <f>IF(Учет!A1477&lt;&gt;"",Учет!A1477,"")</f>
        <v/>
      </c>
      <c r="B1477" s="52">
        <f>IF(Учет!$O1477=Справочники!$F$2,Учет!$H1477,0)</f>
        <v>0</v>
      </c>
      <c r="C1477" s="52">
        <f>IF(Учет!$O1477=Справочники!$F$3,Учет!$H1477,0)</f>
        <v>0</v>
      </c>
      <c r="D1477" s="52">
        <f>IF(Учет!$O1477=Справочники!$F$4,Учет!$H1477,0)</f>
        <v>0</v>
      </c>
      <c r="E1477" s="52">
        <f>IF(Учет!$O1477=Справочники!$F$5,Учет!$H1477,0)</f>
        <v>0</v>
      </c>
      <c r="F1477" s="52">
        <f>IF(Учет!$O1477=Справочники!$F$6,Учет!$H1477,0)</f>
        <v>0</v>
      </c>
      <c r="G1477" s="43">
        <f>G1476+Учет!B1477-B1477</f>
        <v>-488978.92000000004</v>
      </c>
      <c r="H1477" s="43">
        <f>H1476+Учет!C1477-C1477</f>
        <v>336855</v>
      </c>
      <c r="I1477" s="43">
        <f>I1476+Учет!D1477-D1477</f>
        <v>500</v>
      </c>
      <c r="J1477" s="43">
        <f>J1476+Учет!E1477-E1477</f>
        <v>1150</v>
      </c>
      <c r="K1477" s="43">
        <f>K1476+Учет!F1477-F1477</f>
        <v>500000</v>
      </c>
      <c r="L1477" s="45">
        <f>Учет!I1477</f>
        <v>349526.07999999996</v>
      </c>
    </row>
    <row r="1478" spans="1:12" x14ac:dyDescent="0.25">
      <c r="A1478" s="48" t="str">
        <f>IF(Учет!A1478&lt;&gt;"",Учет!A1478,"")</f>
        <v/>
      </c>
      <c r="B1478" s="52">
        <f>IF(Учет!$O1478=Справочники!$F$2,Учет!$H1478,0)</f>
        <v>0</v>
      </c>
      <c r="C1478" s="52">
        <f>IF(Учет!$O1478=Справочники!$F$3,Учет!$H1478,0)</f>
        <v>0</v>
      </c>
      <c r="D1478" s="52">
        <f>IF(Учет!$O1478=Справочники!$F$4,Учет!$H1478,0)</f>
        <v>0</v>
      </c>
      <c r="E1478" s="52">
        <f>IF(Учет!$O1478=Справочники!$F$5,Учет!$H1478,0)</f>
        <v>0</v>
      </c>
      <c r="F1478" s="52">
        <f>IF(Учет!$O1478=Справочники!$F$6,Учет!$H1478,0)</f>
        <v>0</v>
      </c>
      <c r="G1478" s="43">
        <f>G1477+Учет!B1478-B1478</f>
        <v>-488978.92000000004</v>
      </c>
      <c r="H1478" s="43">
        <f>H1477+Учет!C1478-C1478</f>
        <v>336855</v>
      </c>
      <c r="I1478" s="43">
        <f>I1477+Учет!D1478-D1478</f>
        <v>500</v>
      </c>
      <c r="J1478" s="43">
        <f>J1477+Учет!E1478-E1478</f>
        <v>1150</v>
      </c>
      <c r="K1478" s="43">
        <f>K1477+Учет!F1478-F1478</f>
        <v>500000</v>
      </c>
      <c r="L1478" s="45">
        <f>Учет!I1478</f>
        <v>349526.07999999996</v>
      </c>
    </row>
    <row r="1479" spans="1:12" x14ac:dyDescent="0.25">
      <c r="A1479" s="48" t="str">
        <f>IF(Учет!A1479&lt;&gt;"",Учет!A1479,"")</f>
        <v/>
      </c>
      <c r="B1479" s="52">
        <f>IF(Учет!$O1479=Справочники!$F$2,Учет!$H1479,0)</f>
        <v>0</v>
      </c>
      <c r="C1479" s="52">
        <f>IF(Учет!$O1479=Справочники!$F$3,Учет!$H1479,0)</f>
        <v>0</v>
      </c>
      <c r="D1479" s="52">
        <f>IF(Учет!$O1479=Справочники!$F$4,Учет!$H1479,0)</f>
        <v>0</v>
      </c>
      <c r="E1479" s="52">
        <f>IF(Учет!$O1479=Справочники!$F$5,Учет!$H1479,0)</f>
        <v>0</v>
      </c>
      <c r="F1479" s="52">
        <f>IF(Учет!$O1479=Справочники!$F$6,Учет!$H1479,0)</f>
        <v>0</v>
      </c>
      <c r="G1479" s="43">
        <f>G1478+Учет!B1479-B1479</f>
        <v>-488978.92000000004</v>
      </c>
      <c r="H1479" s="43">
        <f>H1478+Учет!C1479-C1479</f>
        <v>336855</v>
      </c>
      <c r="I1479" s="43">
        <f>I1478+Учет!D1479-D1479</f>
        <v>500</v>
      </c>
      <c r="J1479" s="43">
        <f>J1478+Учет!E1479-E1479</f>
        <v>1150</v>
      </c>
      <c r="K1479" s="43">
        <f>K1478+Учет!F1479-F1479</f>
        <v>500000</v>
      </c>
      <c r="L1479" s="45">
        <f>Учет!I1479</f>
        <v>349526.07999999996</v>
      </c>
    </row>
    <row r="1480" spans="1:12" x14ac:dyDescent="0.25">
      <c r="A1480" s="48" t="str">
        <f>IF(Учет!A1480&lt;&gt;"",Учет!A1480,"")</f>
        <v/>
      </c>
      <c r="B1480" s="52">
        <f>IF(Учет!$O1480=Справочники!$F$2,Учет!$H1480,0)</f>
        <v>0</v>
      </c>
      <c r="C1480" s="52">
        <f>IF(Учет!$O1480=Справочники!$F$3,Учет!$H1480,0)</f>
        <v>0</v>
      </c>
      <c r="D1480" s="52">
        <f>IF(Учет!$O1480=Справочники!$F$4,Учет!$H1480,0)</f>
        <v>0</v>
      </c>
      <c r="E1480" s="52">
        <f>IF(Учет!$O1480=Справочники!$F$5,Учет!$H1480,0)</f>
        <v>0</v>
      </c>
      <c r="F1480" s="52">
        <f>IF(Учет!$O1480=Справочники!$F$6,Учет!$H1480,0)</f>
        <v>0</v>
      </c>
      <c r="G1480" s="43">
        <f>G1479+Учет!B1480-B1480</f>
        <v>-488978.92000000004</v>
      </c>
      <c r="H1480" s="43">
        <f>H1479+Учет!C1480-C1480</f>
        <v>336855</v>
      </c>
      <c r="I1480" s="43">
        <f>I1479+Учет!D1480-D1480</f>
        <v>500</v>
      </c>
      <c r="J1480" s="43">
        <f>J1479+Учет!E1480-E1480</f>
        <v>1150</v>
      </c>
      <c r="K1480" s="43">
        <f>K1479+Учет!F1480-F1480</f>
        <v>500000</v>
      </c>
      <c r="L1480" s="45">
        <f>Учет!I1480</f>
        <v>349526.07999999996</v>
      </c>
    </row>
    <row r="1481" spans="1:12" x14ac:dyDescent="0.25">
      <c r="A1481" s="48" t="str">
        <f>IF(Учет!A1481&lt;&gt;"",Учет!A1481,"")</f>
        <v/>
      </c>
      <c r="B1481" s="52">
        <f>IF(Учет!$O1481=Справочники!$F$2,Учет!$H1481,0)</f>
        <v>0</v>
      </c>
      <c r="C1481" s="52">
        <f>IF(Учет!$O1481=Справочники!$F$3,Учет!$H1481,0)</f>
        <v>0</v>
      </c>
      <c r="D1481" s="52">
        <f>IF(Учет!$O1481=Справочники!$F$4,Учет!$H1481,0)</f>
        <v>0</v>
      </c>
      <c r="E1481" s="52">
        <f>IF(Учет!$O1481=Справочники!$F$5,Учет!$H1481,0)</f>
        <v>0</v>
      </c>
      <c r="F1481" s="52">
        <f>IF(Учет!$O1481=Справочники!$F$6,Учет!$H1481,0)</f>
        <v>0</v>
      </c>
      <c r="G1481" s="43">
        <f>G1480+Учет!B1481-B1481</f>
        <v>-488978.92000000004</v>
      </c>
      <c r="H1481" s="43">
        <f>H1480+Учет!C1481-C1481</f>
        <v>336855</v>
      </c>
      <c r="I1481" s="43">
        <f>I1480+Учет!D1481-D1481</f>
        <v>500</v>
      </c>
      <c r="J1481" s="43">
        <f>J1480+Учет!E1481-E1481</f>
        <v>1150</v>
      </c>
      <c r="K1481" s="43">
        <f>K1480+Учет!F1481-F1481</f>
        <v>500000</v>
      </c>
      <c r="L1481" s="45">
        <f>Учет!I1481</f>
        <v>349526.07999999996</v>
      </c>
    </row>
    <row r="1482" spans="1:12" x14ac:dyDescent="0.25">
      <c r="A1482" s="48" t="str">
        <f>IF(Учет!A1482&lt;&gt;"",Учет!A1482,"")</f>
        <v/>
      </c>
      <c r="B1482" s="52">
        <f>IF(Учет!$O1482=Справочники!$F$2,Учет!$H1482,0)</f>
        <v>0</v>
      </c>
      <c r="C1482" s="52">
        <f>IF(Учет!$O1482=Справочники!$F$3,Учет!$H1482,0)</f>
        <v>0</v>
      </c>
      <c r="D1482" s="52">
        <f>IF(Учет!$O1482=Справочники!$F$4,Учет!$H1482,0)</f>
        <v>0</v>
      </c>
      <c r="E1482" s="52">
        <f>IF(Учет!$O1482=Справочники!$F$5,Учет!$H1482,0)</f>
        <v>0</v>
      </c>
      <c r="F1482" s="52">
        <f>IF(Учет!$O1482=Справочники!$F$6,Учет!$H1482,0)</f>
        <v>0</v>
      </c>
      <c r="G1482" s="43">
        <f>G1481+Учет!B1482-B1482</f>
        <v>-488978.92000000004</v>
      </c>
      <c r="H1482" s="43">
        <f>H1481+Учет!C1482-C1482</f>
        <v>336855</v>
      </c>
      <c r="I1482" s="43">
        <f>I1481+Учет!D1482-D1482</f>
        <v>500</v>
      </c>
      <c r="J1482" s="43">
        <f>J1481+Учет!E1482-E1482</f>
        <v>1150</v>
      </c>
      <c r="K1482" s="43">
        <f>K1481+Учет!F1482-F1482</f>
        <v>500000</v>
      </c>
      <c r="L1482" s="45">
        <f>Учет!I1482</f>
        <v>349526.07999999996</v>
      </c>
    </row>
    <row r="1483" spans="1:12" x14ac:dyDescent="0.25">
      <c r="A1483" s="48" t="str">
        <f>IF(Учет!A1483&lt;&gt;"",Учет!A1483,"")</f>
        <v/>
      </c>
      <c r="B1483" s="52">
        <f>IF(Учет!$O1483=Справочники!$F$2,Учет!$H1483,0)</f>
        <v>0</v>
      </c>
      <c r="C1483" s="52">
        <f>IF(Учет!$O1483=Справочники!$F$3,Учет!$H1483,0)</f>
        <v>0</v>
      </c>
      <c r="D1483" s="52">
        <f>IF(Учет!$O1483=Справочники!$F$4,Учет!$H1483,0)</f>
        <v>0</v>
      </c>
      <c r="E1483" s="52">
        <f>IF(Учет!$O1483=Справочники!$F$5,Учет!$H1483,0)</f>
        <v>0</v>
      </c>
      <c r="F1483" s="52">
        <f>IF(Учет!$O1483=Справочники!$F$6,Учет!$H1483,0)</f>
        <v>0</v>
      </c>
      <c r="G1483" s="43">
        <f>G1482+Учет!B1483-B1483</f>
        <v>-488978.92000000004</v>
      </c>
      <c r="H1483" s="43">
        <f>H1482+Учет!C1483-C1483</f>
        <v>336855</v>
      </c>
      <c r="I1483" s="43">
        <f>I1482+Учет!D1483-D1483</f>
        <v>500</v>
      </c>
      <c r="J1483" s="43">
        <f>J1482+Учет!E1483-E1483</f>
        <v>1150</v>
      </c>
      <c r="K1483" s="43">
        <f>K1482+Учет!F1483-F1483</f>
        <v>500000</v>
      </c>
      <c r="L1483" s="45">
        <f>Учет!I1483</f>
        <v>349526.07999999996</v>
      </c>
    </row>
    <row r="1484" spans="1:12" x14ac:dyDescent="0.25">
      <c r="A1484" s="48" t="str">
        <f>IF(Учет!A1484&lt;&gt;"",Учет!A1484,"")</f>
        <v/>
      </c>
      <c r="B1484" s="52">
        <f>IF(Учет!$O1484=Справочники!$F$2,Учет!$H1484,0)</f>
        <v>0</v>
      </c>
      <c r="C1484" s="52">
        <f>IF(Учет!$O1484=Справочники!$F$3,Учет!$H1484,0)</f>
        <v>0</v>
      </c>
      <c r="D1484" s="52">
        <f>IF(Учет!$O1484=Справочники!$F$4,Учет!$H1484,0)</f>
        <v>0</v>
      </c>
      <c r="E1484" s="52">
        <f>IF(Учет!$O1484=Справочники!$F$5,Учет!$H1484,0)</f>
        <v>0</v>
      </c>
      <c r="F1484" s="52">
        <f>IF(Учет!$O1484=Справочники!$F$6,Учет!$H1484,0)</f>
        <v>0</v>
      </c>
      <c r="G1484" s="43">
        <f>G1483+Учет!B1484-B1484</f>
        <v>-488978.92000000004</v>
      </c>
      <c r="H1484" s="43">
        <f>H1483+Учет!C1484-C1484</f>
        <v>336855</v>
      </c>
      <c r="I1484" s="43">
        <f>I1483+Учет!D1484-D1484</f>
        <v>500</v>
      </c>
      <c r="J1484" s="43">
        <f>J1483+Учет!E1484-E1484</f>
        <v>1150</v>
      </c>
      <c r="K1484" s="43">
        <f>K1483+Учет!F1484-F1484</f>
        <v>500000</v>
      </c>
      <c r="L1484" s="45">
        <f>Учет!I1484</f>
        <v>349526.07999999996</v>
      </c>
    </row>
    <row r="1485" spans="1:12" x14ac:dyDescent="0.25">
      <c r="A1485" s="48" t="str">
        <f>IF(Учет!A1485&lt;&gt;"",Учет!A1485,"")</f>
        <v/>
      </c>
      <c r="B1485" s="52">
        <f>IF(Учет!$O1485=Справочники!$F$2,Учет!$H1485,0)</f>
        <v>0</v>
      </c>
      <c r="C1485" s="52">
        <f>IF(Учет!$O1485=Справочники!$F$3,Учет!$H1485,0)</f>
        <v>0</v>
      </c>
      <c r="D1485" s="52">
        <f>IF(Учет!$O1485=Справочники!$F$4,Учет!$H1485,0)</f>
        <v>0</v>
      </c>
      <c r="E1485" s="52">
        <f>IF(Учет!$O1485=Справочники!$F$5,Учет!$H1485,0)</f>
        <v>0</v>
      </c>
      <c r="F1485" s="52">
        <f>IF(Учет!$O1485=Справочники!$F$6,Учет!$H1485,0)</f>
        <v>0</v>
      </c>
      <c r="G1485" s="43">
        <f>G1484+Учет!B1485-B1485</f>
        <v>-488978.92000000004</v>
      </c>
      <c r="H1485" s="43">
        <f>H1484+Учет!C1485-C1485</f>
        <v>336855</v>
      </c>
      <c r="I1485" s="43">
        <f>I1484+Учет!D1485-D1485</f>
        <v>500</v>
      </c>
      <c r="J1485" s="43">
        <f>J1484+Учет!E1485-E1485</f>
        <v>1150</v>
      </c>
      <c r="K1485" s="43">
        <f>K1484+Учет!F1485-F1485</f>
        <v>500000</v>
      </c>
      <c r="L1485" s="45">
        <f>Учет!I1485</f>
        <v>349526.07999999996</v>
      </c>
    </row>
    <row r="1486" spans="1:12" x14ac:dyDescent="0.25">
      <c r="A1486" s="48" t="str">
        <f>IF(Учет!A1486&lt;&gt;"",Учет!A1486,"")</f>
        <v/>
      </c>
      <c r="B1486" s="52">
        <f>IF(Учет!$O1486=Справочники!$F$2,Учет!$H1486,0)</f>
        <v>0</v>
      </c>
      <c r="C1486" s="52">
        <f>IF(Учет!$O1486=Справочники!$F$3,Учет!$H1486,0)</f>
        <v>0</v>
      </c>
      <c r="D1486" s="52">
        <f>IF(Учет!$O1486=Справочники!$F$4,Учет!$H1486,0)</f>
        <v>0</v>
      </c>
      <c r="E1486" s="52">
        <f>IF(Учет!$O1486=Справочники!$F$5,Учет!$H1486,0)</f>
        <v>0</v>
      </c>
      <c r="F1486" s="52">
        <f>IF(Учет!$O1486=Справочники!$F$6,Учет!$H1486,0)</f>
        <v>0</v>
      </c>
      <c r="G1486" s="43">
        <f>G1485+Учет!B1486-B1486</f>
        <v>-488978.92000000004</v>
      </c>
      <c r="H1486" s="43">
        <f>H1485+Учет!C1486-C1486</f>
        <v>336855</v>
      </c>
      <c r="I1486" s="43">
        <f>I1485+Учет!D1486-D1486</f>
        <v>500</v>
      </c>
      <c r="J1486" s="43">
        <f>J1485+Учет!E1486-E1486</f>
        <v>1150</v>
      </c>
      <c r="K1486" s="43">
        <f>K1485+Учет!F1486-F1486</f>
        <v>500000</v>
      </c>
      <c r="L1486" s="45">
        <f>Учет!I1486</f>
        <v>349526.07999999996</v>
      </c>
    </row>
    <row r="1487" spans="1:12" x14ac:dyDescent="0.25">
      <c r="A1487" s="48" t="str">
        <f>IF(Учет!A1487&lt;&gt;"",Учет!A1487,"")</f>
        <v/>
      </c>
      <c r="B1487" s="52">
        <f>IF(Учет!$O1487=Справочники!$F$2,Учет!$H1487,0)</f>
        <v>0</v>
      </c>
      <c r="C1487" s="52">
        <f>IF(Учет!$O1487=Справочники!$F$3,Учет!$H1487,0)</f>
        <v>0</v>
      </c>
      <c r="D1487" s="52">
        <f>IF(Учет!$O1487=Справочники!$F$4,Учет!$H1487,0)</f>
        <v>0</v>
      </c>
      <c r="E1487" s="52">
        <f>IF(Учет!$O1487=Справочники!$F$5,Учет!$H1487,0)</f>
        <v>0</v>
      </c>
      <c r="F1487" s="52">
        <f>IF(Учет!$O1487=Справочники!$F$6,Учет!$H1487,0)</f>
        <v>0</v>
      </c>
      <c r="G1487" s="43">
        <f>G1486+Учет!B1487-B1487</f>
        <v>-488978.92000000004</v>
      </c>
      <c r="H1487" s="43">
        <f>H1486+Учет!C1487-C1487</f>
        <v>336855</v>
      </c>
      <c r="I1487" s="43">
        <f>I1486+Учет!D1487-D1487</f>
        <v>500</v>
      </c>
      <c r="J1487" s="43">
        <f>J1486+Учет!E1487-E1487</f>
        <v>1150</v>
      </c>
      <c r="K1487" s="43">
        <f>K1486+Учет!F1487-F1487</f>
        <v>500000</v>
      </c>
      <c r="L1487" s="45">
        <f>Учет!I1487</f>
        <v>349526.07999999996</v>
      </c>
    </row>
    <row r="1488" spans="1:12" x14ac:dyDescent="0.25">
      <c r="A1488" s="48" t="str">
        <f>IF(Учет!A1488&lt;&gt;"",Учет!A1488,"")</f>
        <v/>
      </c>
      <c r="B1488" s="52">
        <f>IF(Учет!$O1488=Справочники!$F$2,Учет!$H1488,0)</f>
        <v>0</v>
      </c>
      <c r="C1488" s="52">
        <f>IF(Учет!$O1488=Справочники!$F$3,Учет!$H1488,0)</f>
        <v>0</v>
      </c>
      <c r="D1488" s="52">
        <f>IF(Учет!$O1488=Справочники!$F$4,Учет!$H1488,0)</f>
        <v>0</v>
      </c>
      <c r="E1488" s="52">
        <f>IF(Учет!$O1488=Справочники!$F$5,Учет!$H1488,0)</f>
        <v>0</v>
      </c>
      <c r="F1488" s="52">
        <f>IF(Учет!$O1488=Справочники!$F$6,Учет!$H1488,0)</f>
        <v>0</v>
      </c>
      <c r="G1488" s="43">
        <f>G1487+Учет!B1488-B1488</f>
        <v>-488978.92000000004</v>
      </c>
      <c r="H1488" s="43">
        <f>H1487+Учет!C1488-C1488</f>
        <v>336855</v>
      </c>
      <c r="I1488" s="43">
        <f>I1487+Учет!D1488-D1488</f>
        <v>500</v>
      </c>
      <c r="J1488" s="43">
        <f>J1487+Учет!E1488-E1488</f>
        <v>1150</v>
      </c>
      <c r="K1488" s="43">
        <f>K1487+Учет!F1488-F1488</f>
        <v>500000</v>
      </c>
      <c r="L1488" s="45">
        <f>Учет!I1488</f>
        <v>349526.07999999996</v>
      </c>
    </row>
    <row r="1489" spans="1:12" x14ac:dyDescent="0.25">
      <c r="A1489" s="48" t="str">
        <f>IF(Учет!A1489&lt;&gt;"",Учет!A1489,"")</f>
        <v/>
      </c>
      <c r="B1489" s="52">
        <f>IF(Учет!$O1489=Справочники!$F$2,Учет!$H1489,0)</f>
        <v>0</v>
      </c>
      <c r="C1489" s="52">
        <f>IF(Учет!$O1489=Справочники!$F$3,Учет!$H1489,0)</f>
        <v>0</v>
      </c>
      <c r="D1489" s="52">
        <f>IF(Учет!$O1489=Справочники!$F$4,Учет!$H1489,0)</f>
        <v>0</v>
      </c>
      <c r="E1489" s="52">
        <f>IF(Учет!$O1489=Справочники!$F$5,Учет!$H1489,0)</f>
        <v>0</v>
      </c>
      <c r="F1489" s="52">
        <f>IF(Учет!$O1489=Справочники!$F$6,Учет!$H1489,0)</f>
        <v>0</v>
      </c>
      <c r="G1489" s="43">
        <f>G1488+Учет!B1489-B1489</f>
        <v>-488978.92000000004</v>
      </c>
      <c r="H1489" s="43">
        <f>H1488+Учет!C1489-C1489</f>
        <v>336855</v>
      </c>
      <c r="I1489" s="43">
        <f>I1488+Учет!D1489-D1489</f>
        <v>500</v>
      </c>
      <c r="J1489" s="43">
        <f>J1488+Учет!E1489-E1489</f>
        <v>1150</v>
      </c>
      <c r="K1489" s="43">
        <f>K1488+Учет!F1489-F1489</f>
        <v>500000</v>
      </c>
      <c r="L1489" s="45">
        <f>Учет!I1489</f>
        <v>349526.07999999996</v>
      </c>
    </row>
    <row r="1490" spans="1:12" x14ac:dyDescent="0.25">
      <c r="A1490" s="48" t="str">
        <f>IF(Учет!A1490&lt;&gt;"",Учет!A1490,"")</f>
        <v/>
      </c>
      <c r="B1490" s="52">
        <f>IF(Учет!$O1490=Справочники!$F$2,Учет!$H1490,0)</f>
        <v>0</v>
      </c>
      <c r="C1490" s="52">
        <f>IF(Учет!$O1490=Справочники!$F$3,Учет!$H1490,0)</f>
        <v>0</v>
      </c>
      <c r="D1490" s="52">
        <f>IF(Учет!$O1490=Справочники!$F$4,Учет!$H1490,0)</f>
        <v>0</v>
      </c>
      <c r="E1490" s="52">
        <f>IF(Учет!$O1490=Справочники!$F$5,Учет!$H1490,0)</f>
        <v>0</v>
      </c>
      <c r="F1490" s="52">
        <f>IF(Учет!$O1490=Справочники!$F$6,Учет!$H1490,0)</f>
        <v>0</v>
      </c>
      <c r="G1490" s="43">
        <f>G1489+Учет!B1490-B1490</f>
        <v>-488978.92000000004</v>
      </c>
      <c r="H1490" s="43">
        <f>H1489+Учет!C1490-C1490</f>
        <v>336855</v>
      </c>
      <c r="I1490" s="43">
        <f>I1489+Учет!D1490-D1490</f>
        <v>500</v>
      </c>
      <c r="J1490" s="43">
        <f>J1489+Учет!E1490-E1490</f>
        <v>1150</v>
      </c>
      <c r="K1490" s="43">
        <f>K1489+Учет!F1490-F1490</f>
        <v>500000</v>
      </c>
      <c r="L1490" s="45">
        <f>Учет!I1490</f>
        <v>349526.07999999996</v>
      </c>
    </row>
    <row r="1491" spans="1:12" x14ac:dyDescent="0.25">
      <c r="A1491" s="48" t="str">
        <f>IF(Учет!A1491&lt;&gt;"",Учет!A1491,"")</f>
        <v/>
      </c>
      <c r="B1491" s="52">
        <f>IF(Учет!$O1491=Справочники!$F$2,Учет!$H1491,0)</f>
        <v>0</v>
      </c>
      <c r="C1491" s="52">
        <f>IF(Учет!$O1491=Справочники!$F$3,Учет!$H1491,0)</f>
        <v>0</v>
      </c>
      <c r="D1491" s="52">
        <f>IF(Учет!$O1491=Справочники!$F$4,Учет!$H1491,0)</f>
        <v>0</v>
      </c>
      <c r="E1491" s="52">
        <f>IF(Учет!$O1491=Справочники!$F$5,Учет!$H1491,0)</f>
        <v>0</v>
      </c>
      <c r="F1491" s="52">
        <f>IF(Учет!$O1491=Справочники!$F$6,Учет!$H1491,0)</f>
        <v>0</v>
      </c>
      <c r="G1491" s="43">
        <f>G1490+Учет!B1491-B1491</f>
        <v>-488978.92000000004</v>
      </c>
      <c r="H1491" s="43">
        <f>H1490+Учет!C1491-C1491</f>
        <v>336855</v>
      </c>
      <c r="I1491" s="43">
        <f>I1490+Учет!D1491-D1491</f>
        <v>500</v>
      </c>
      <c r="J1491" s="43">
        <f>J1490+Учет!E1491-E1491</f>
        <v>1150</v>
      </c>
      <c r="K1491" s="43">
        <f>K1490+Учет!F1491-F1491</f>
        <v>500000</v>
      </c>
      <c r="L1491" s="45">
        <f>Учет!I1491</f>
        <v>349526.07999999996</v>
      </c>
    </row>
    <row r="1492" spans="1:12" x14ac:dyDescent="0.25">
      <c r="A1492" s="48" t="str">
        <f>IF(Учет!A1492&lt;&gt;"",Учет!A1492,"")</f>
        <v/>
      </c>
      <c r="B1492" s="52">
        <f>IF(Учет!$O1492=Справочники!$F$2,Учет!$H1492,0)</f>
        <v>0</v>
      </c>
      <c r="C1492" s="52">
        <f>IF(Учет!$O1492=Справочники!$F$3,Учет!$H1492,0)</f>
        <v>0</v>
      </c>
      <c r="D1492" s="52">
        <f>IF(Учет!$O1492=Справочники!$F$4,Учет!$H1492,0)</f>
        <v>0</v>
      </c>
      <c r="E1492" s="52">
        <f>IF(Учет!$O1492=Справочники!$F$5,Учет!$H1492,0)</f>
        <v>0</v>
      </c>
      <c r="F1492" s="52">
        <f>IF(Учет!$O1492=Справочники!$F$6,Учет!$H1492,0)</f>
        <v>0</v>
      </c>
      <c r="G1492" s="43">
        <f>G1491+Учет!B1492-B1492</f>
        <v>-488978.92000000004</v>
      </c>
      <c r="H1492" s="43">
        <f>H1491+Учет!C1492-C1492</f>
        <v>336855</v>
      </c>
      <c r="I1492" s="43">
        <f>I1491+Учет!D1492-D1492</f>
        <v>500</v>
      </c>
      <c r="J1492" s="43">
        <f>J1491+Учет!E1492-E1492</f>
        <v>1150</v>
      </c>
      <c r="K1492" s="43">
        <f>K1491+Учет!F1492-F1492</f>
        <v>500000</v>
      </c>
      <c r="L1492" s="45">
        <f>Учет!I1492</f>
        <v>349526.07999999996</v>
      </c>
    </row>
    <row r="1493" spans="1:12" x14ac:dyDescent="0.25">
      <c r="A1493" s="48" t="str">
        <f>IF(Учет!A1493&lt;&gt;"",Учет!A1493,"")</f>
        <v/>
      </c>
      <c r="B1493" s="52">
        <f>IF(Учет!$O1493=Справочники!$F$2,Учет!$H1493,0)</f>
        <v>0</v>
      </c>
      <c r="C1493" s="52">
        <f>IF(Учет!$O1493=Справочники!$F$3,Учет!$H1493,0)</f>
        <v>0</v>
      </c>
      <c r="D1493" s="52">
        <f>IF(Учет!$O1493=Справочники!$F$4,Учет!$H1493,0)</f>
        <v>0</v>
      </c>
      <c r="E1493" s="52">
        <f>IF(Учет!$O1493=Справочники!$F$5,Учет!$H1493,0)</f>
        <v>0</v>
      </c>
      <c r="F1493" s="52">
        <f>IF(Учет!$O1493=Справочники!$F$6,Учет!$H1493,0)</f>
        <v>0</v>
      </c>
      <c r="G1493" s="43">
        <f>G1492+Учет!B1493-B1493</f>
        <v>-488978.92000000004</v>
      </c>
      <c r="H1493" s="43">
        <f>H1492+Учет!C1493-C1493</f>
        <v>336855</v>
      </c>
      <c r="I1493" s="43">
        <f>I1492+Учет!D1493-D1493</f>
        <v>500</v>
      </c>
      <c r="J1493" s="43">
        <f>J1492+Учет!E1493-E1493</f>
        <v>1150</v>
      </c>
      <c r="K1493" s="43">
        <f>K1492+Учет!F1493-F1493</f>
        <v>500000</v>
      </c>
      <c r="L1493" s="45">
        <f>Учет!I1493</f>
        <v>349526.07999999996</v>
      </c>
    </row>
    <row r="1494" spans="1:12" x14ac:dyDescent="0.25">
      <c r="A1494" s="48" t="str">
        <f>IF(Учет!A1494&lt;&gt;"",Учет!A1494,"")</f>
        <v/>
      </c>
      <c r="B1494" s="52">
        <f>IF(Учет!$O1494=Справочники!$F$2,Учет!$H1494,0)</f>
        <v>0</v>
      </c>
      <c r="C1494" s="52">
        <f>IF(Учет!$O1494=Справочники!$F$3,Учет!$H1494,0)</f>
        <v>0</v>
      </c>
      <c r="D1494" s="52">
        <f>IF(Учет!$O1494=Справочники!$F$4,Учет!$H1494,0)</f>
        <v>0</v>
      </c>
      <c r="E1494" s="52">
        <f>IF(Учет!$O1494=Справочники!$F$5,Учет!$H1494,0)</f>
        <v>0</v>
      </c>
      <c r="F1494" s="52">
        <f>IF(Учет!$O1494=Справочники!$F$6,Учет!$H1494,0)</f>
        <v>0</v>
      </c>
      <c r="G1494" s="43">
        <f>G1493+Учет!B1494-B1494</f>
        <v>-488978.92000000004</v>
      </c>
      <c r="H1494" s="43">
        <f>H1493+Учет!C1494-C1494</f>
        <v>336855</v>
      </c>
      <c r="I1494" s="43">
        <f>I1493+Учет!D1494-D1494</f>
        <v>500</v>
      </c>
      <c r="J1494" s="43">
        <f>J1493+Учет!E1494-E1494</f>
        <v>1150</v>
      </c>
      <c r="K1494" s="43">
        <f>K1493+Учет!F1494-F1494</f>
        <v>500000</v>
      </c>
      <c r="L1494" s="45">
        <f>Учет!I1494</f>
        <v>349526.07999999996</v>
      </c>
    </row>
    <row r="1495" spans="1:12" x14ac:dyDescent="0.25">
      <c r="A1495" s="48" t="str">
        <f>IF(Учет!A1495&lt;&gt;"",Учет!A1495,"")</f>
        <v/>
      </c>
      <c r="B1495" s="52">
        <f>IF(Учет!$O1495=Справочники!$F$2,Учет!$H1495,0)</f>
        <v>0</v>
      </c>
      <c r="C1495" s="52">
        <f>IF(Учет!$O1495=Справочники!$F$3,Учет!$H1495,0)</f>
        <v>0</v>
      </c>
      <c r="D1495" s="52">
        <f>IF(Учет!$O1495=Справочники!$F$4,Учет!$H1495,0)</f>
        <v>0</v>
      </c>
      <c r="E1495" s="52">
        <f>IF(Учет!$O1495=Справочники!$F$5,Учет!$H1495,0)</f>
        <v>0</v>
      </c>
      <c r="F1495" s="52">
        <f>IF(Учет!$O1495=Справочники!$F$6,Учет!$H1495,0)</f>
        <v>0</v>
      </c>
      <c r="G1495" s="43">
        <f>G1494+Учет!B1495-B1495</f>
        <v>-488978.92000000004</v>
      </c>
      <c r="H1495" s="43">
        <f>H1494+Учет!C1495-C1495</f>
        <v>336855</v>
      </c>
      <c r="I1495" s="43">
        <f>I1494+Учет!D1495-D1495</f>
        <v>500</v>
      </c>
      <c r="J1495" s="43">
        <f>J1494+Учет!E1495-E1495</f>
        <v>1150</v>
      </c>
      <c r="K1495" s="43">
        <f>K1494+Учет!F1495-F1495</f>
        <v>500000</v>
      </c>
      <c r="L1495" s="45">
        <f>Учет!I1495</f>
        <v>349526.07999999996</v>
      </c>
    </row>
    <row r="1496" spans="1:12" x14ac:dyDescent="0.25">
      <c r="A1496" s="48" t="str">
        <f>IF(Учет!A1496&lt;&gt;"",Учет!A1496,"")</f>
        <v/>
      </c>
      <c r="B1496" s="52">
        <f>IF(Учет!$O1496=Справочники!$F$2,Учет!$H1496,0)</f>
        <v>0</v>
      </c>
      <c r="C1496" s="52">
        <f>IF(Учет!$O1496=Справочники!$F$3,Учет!$H1496,0)</f>
        <v>0</v>
      </c>
      <c r="D1496" s="52">
        <f>IF(Учет!$O1496=Справочники!$F$4,Учет!$H1496,0)</f>
        <v>0</v>
      </c>
      <c r="E1496" s="52">
        <f>IF(Учет!$O1496=Справочники!$F$5,Учет!$H1496,0)</f>
        <v>0</v>
      </c>
      <c r="F1496" s="52">
        <f>IF(Учет!$O1496=Справочники!$F$6,Учет!$H1496,0)</f>
        <v>0</v>
      </c>
      <c r="G1496" s="43">
        <f>G1495+Учет!B1496-B1496</f>
        <v>-488978.92000000004</v>
      </c>
      <c r="H1496" s="43">
        <f>H1495+Учет!C1496-C1496</f>
        <v>336855</v>
      </c>
      <c r="I1496" s="43">
        <f>I1495+Учет!D1496-D1496</f>
        <v>500</v>
      </c>
      <c r="J1496" s="43">
        <f>J1495+Учет!E1496-E1496</f>
        <v>1150</v>
      </c>
      <c r="K1496" s="43">
        <f>K1495+Учет!F1496-F1496</f>
        <v>500000</v>
      </c>
      <c r="L1496" s="45">
        <f>Учет!I1496</f>
        <v>349526.07999999996</v>
      </c>
    </row>
    <row r="1497" spans="1:12" x14ac:dyDescent="0.25">
      <c r="A1497" s="48" t="str">
        <f>IF(Учет!A1497&lt;&gt;"",Учет!A1497,"")</f>
        <v/>
      </c>
      <c r="B1497" s="52">
        <f>IF(Учет!$O1497=Справочники!$F$2,Учет!$H1497,0)</f>
        <v>0</v>
      </c>
      <c r="C1497" s="52">
        <f>IF(Учет!$O1497=Справочники!$F$3,Учет!$H1497,0)</f>
        <v>0</v>
      </c>
      <c r="D1497" s="52">
        <f>IF(Учет!$O1497=Справочники!$F$4,Учет!$H1497,0)</f>
        <v>0</v>
      </c>
      <c r="E1497" s="52">
        <f>IF(Учет!$O1497=Справочники!$F$5,Учет!$H1497,0)</f>
        <v>0</v>
      </c>
      <c r="F1497" s="52">
        <f>IF(Учет!$O1497=Справочники!$F$6,Учет!$H1497,0)</f>
        <v>0</v>
      </c>
      <c r="G1497" s="43">
        <f>G1496+Учет!B1497-B1497</f>
        <v>-488978.92000000004</v>
      </c>
      <c r="H1497" s="43">
        <f>H1496+Учет!C1497-C1497</f>
        <v>336855</v>
      </c>
      <c r="I1497" s="43">
        <f>I1496+Учет!D1497-D1497</f>
        <v>500</v>
      </c>
      <c r="J1497" s="43">
        <f>J1496+Учет!E1497-E1497</f>
        <v>1150</v>
      </c>
      <c r="K1497" s="43">
        <f>K1496+Учет!F1497-F1497</f>
        <v>500000</v>
      </c>
      <c r="L1497" s="45">
        <f>Учет!I1497</f>
        <v>349526.07999999996</v>
      </c>
    </row>
    <row r="1498" spans="1:12" x14ac:dyDescent="0.25">
      <c r="A1498" s="48" t="str">
        <f>IF(Учет!A1498&lt;&gt;"",Учет!A1498,"")</f>
        <v/>
      </c>
      <c r="B1498" s="52">
        <f>IF(Учет!$O1498=Справочники!$F$2,Учет!$H1498,0)</f>
        <v>0</v>
      </c>
      <c r="C1498" s="52">
        <f>IF(Учет!$O1498=Справочники!$F$3,Учет!$H1498,0)</f>
        <v>0</v>
      </c>
      <c r="D1498" s="52">
        <f>IF(Учет!$O1498=Справочники!$F$4,Учет!$H1498,0)</f>
        <v>0</v>
      </c>
      <c r="E1498" s="52">
        <f>IF(Учет!$O1498=Справочники!$F$5,Учет!$H1498,0)</f>
        <v>0</v>
      </c>
      <c r="F1498" s="52">
        <f>IF(Учет!$O1498=Справочники!$F$6,Учет!$H1498,0)</f>
        <v>0</v>
      </c>
      <c r="G1498" s="43">
        <f>G1497+Учет!B1498-B1498</f>
        <v>-488978.92000000004</v>
      </c>
      <c r="H1498" s="43">
        <f>H1497+Учет!C1498-C1498</f>
        <v>336855</v>
      </c>
      <c r="I1498" s="43">
        <f>I1497+Учет!D1498-D1498</f>
        <v>500</v>
      </c>
      <c r="J1498" s="43">
        <f>J1497+Учет!E1498-E1498</f>
        <v>1150</v>
      </c>
      <c r="K1498" s="43">
        <f>K1497+Учет!F1498-F1498</f>
        <v>500000</v>
      </c>
      <c r="L1498" s="45">
        <f>Учет!I1498</f>
        <v>349526.07999999996</v>
      </c>
    </row>
    <row r="1499" spans="1:12" x14ac:dyDescent="0.25">
      <c r="A1499" s="48" t="str">
        <f>IF(Учет!A1499&lt;&gt;"",Учет!A1499,"")</f>
        <v/>
      </c>
      <c r="B1499" s="52">
        <f>IF(Учет!$O1499=Справочники!$F$2,Учет!$H1499,0)</f>
        <v>0</v>
      </c>
      <c r="C1499" s="52">
        <f>IF(Учет!$O1499=Справочники!$F$3,Учет!$H1499,0)</f>
        <v>0</v>
      </c>
      <c r="D1499" s="52">
        <f>IF(Учет!$O1499=Справочники!$F$4,Учет!$H1499,0)</f>
        <v>0</v>
      </c>
      <c r="E1499" s="52">
        <f>IF(Учет!$O1499=Справочники!$F$5,Учет!$H1499,0)</f>
        <v>0</v>
      </c>
      <c r="F1499" s="52">
        <f>IF(Учет!$O1499=Справочники!$F$6,Учет!$H1499,0)</f>
        <v>0</v>
      </c>
      <c r="G1499" s="43">
        <f>G1498+Учет!B1499-B1499</f>
        <v>-488978.92000000004</v>
      </c>
      <c r="H1499" s="43">
        <f>H1498+Учет!C1499-C1499</f>
        <v>336855</v>
      </c>
      <c r="I1499" s="43">
        <f>I1498+Учет!D1499-D1499</f>
        <v>500</v>
      </c>
      <c r="J1499" s="43">
        <f>J1498+Учет!E1499-E1499</f>
        <v>1150</v>
      </c>
      <c r="K1499" s="43">
        <f>K1498+Учет!F1499-F1499</f>
        <v>500000</v>
      </c>
      <c r="L1499" s="45">
        <f>Учет!I1499</f>
        <v>349526.07999999996</v>
      </c>
    </row>
    <row r="1500" spans="1:12" x14ac:dyDescent="0.25">
      <c r="A1500" s="48" t="str">
        <f>IF(Учет!A1500&lt;&gt;"",Учет!A1500,"")</f>
        <v/>
      </c>
      <c r="B1500" s="52">
        <f>IF(Учет!$O1500=Справочники!$F$2,Учет!$H1500,0)</f>
        <v>0</v>
      </c>
      <c r="C1500" s="52">
        <f>IF(Учет!$O1500=Справочники!$F$3,Учет!$H1500,0)</f>
        <v>0</v>
      </c>
      <c r="D1500" s="52">
        <f>IF(Учет!$O1500=Справочники!$F$4,Учет!$H1500,0)</f>
        <v>0</v>
      </c>
      <c r="E1500" s="52">
        <f>IF(Учет!$O1500=Справочники!$F$5,Учет!$H1500,0)</f>
        <v>0</v>
      </c>
      <c r="F1500" s="52">
        <f>IF(Учет!$O1500=Справочники!$F$6,Учет!$H1500,0)</f>
        <v>0</v>
      </c>
      <c r="G1500" s="43">
        <f>G1499+Учет!B1500-B1500</f>
        <v>-488978.92000000004</v>
      </c>
      <c r="H1500" s="43">
        <f>H1499+Учет!C1500-C1500</f>
        <v>336855</v>
      </c>
      <c r="I1500" s="43">
        <f>I1499+Учет!D1500-D1500</f>
        <v>500</v>
      </c>
      <c r="J1500" s="43">
        <f>J1499+Учет!E1500-E1500</f>
        <v>1150</v>
      </c>
      <c r="K1500" s="43">
        <f>K1499+Учет!F1500-F1500</f>
        <v>500000</v>
      </c>
      <c r="L1500" s="45">
        <f>Учет!I1500</f>
        <v>349526.07999999996</v>
      </c>
    </row>
    <row r="1501" spans="1:12" x14ac:dyDescent="0.25">
      <c r="A1501" s="48" t="str">
        <f>IF(Учет!A1501&lt;&gt;"",Учет!A1501,"")</f>
        <v/>
      </c>
      <c r="B1501" s="52">
        <f>IF(Учет!$O1501=Справочники!$F$2,Учет!$H1501,0)</f>
        <v>0</v>
      </c>
      <c r="C1501" s="52">
        <f>IF(Учет!$O1501=Справочники!$F$3,Учет!$H1501,0)</f>
        <v>0</v>
      </c>
      <c r="D1501" s="52">
        <f>IF(Учет!$O1501=Справочники!$F$4,Учет!$H1501,0)</f>
        <v>0</v>
      </c>
      <c r="E1501" s="52">
        <f>IF(Учет!$O1501=Справочники!$F$5,Учет!$H1501,0)</f>
        <v>0</v>
      </c>
      <c r="F1501" s="52">
        <f>IF(Учет!$O1501=Справочники!$F$6,Учет!$H1501,0)</f>
        <v>0</v>
      </c>
      <c r="G1501" s="43">
        <f>G1500+Учет!B1501-B1501</f>
        <v>-488978.92000000004</v>
      </c>
      <c r="H1501" s="43">
        <f>H1500+Учет!C1501-C1501</f>
        <v>336855</v>
      </c>
      <c r="I1501" s="43">
        <f>I1500+Учет!D1501-D1501</f>
        <v>500</v>
      </c>
      <c r="J1501" s="43">
        <f>J1500+Учет!E1501-E1501</f>
        <v>1150</v>
      </c>
      <c r="K1501" s="43">
        <f>K1500+Учет!F1501-F1501</f>
        <v>500000</v>
      </c>
      <c r="L1501" s="45">
        <f>Учет!I1501</f>
        <v>349526.07999999996</v>
      </c>
    </row>
    <row r="1502" spans="1:12" x14ac:dyDescent="0.25">
      <c r="A1502" s="48" t="str">
        <f>IF(Учет!A1502&lt;&gt;"",Учет!A1502,"")</f>
        <v/>
      </c>
      <c r="B1502" s="52">
        <f>IF(Учет!$O1502=Справочники!$F$2,Учет!$H1502,0)</f>
        <v>0</v>
      </c>
      <c r="C1502" s="52">
        <f>IF(Учет!$O1502=Справочники!$F$3,Учет!$H1502,0)</f>
        <v>0</v>
      </c>
      <c r="D1502" s="52">
        <f>IF(Учет!$O1502=Справочники!$F$4,Учет!$H1502,0)</f>
        <v>0</v>
      </c>
      <c r="E1502" s="52">
        <f>IF(Учет!$O1502=Справочники!$F$5,Учет!$H1502,0)</f>
        <v>0</v>
      </c>
      <c r="F1502" s="52">
        <f>IF(Учет!$O1502=Справочники!$F$6,Учет!$H1502,0)</f>
        <v>0</v>
      </c>
      <c r="G1502" s="43">
        <f>G1501+Учет!B1502-B1502</f>
        <v>-488978.92000000004</v>
      </c>
      <c r="H1502" s="43">
        <f>H1501+Учет!C1502-C1502</f>
        <v>336855</v>
      </c>
      <c r="I1502" s="43">
        <f>I1501+Учет!D1502-D1502</f>
        <v>500</v>
      </c>
      <c r="J1502" s="43">
        <f>J1501+Учет!E1502-E1502</f>
        <v>1150</v>
      </c>
      <c r="K1502" s="43">
        <f>K1501+Учет!F1502-F1502</f>
        <v>500000</v>
      </c>
      <c r="L1502" s="45">
        <f>Учет!I1502</f>
        <v>349526.07999999996</v>
      </c>
    </row>
    <row r="1503" spans="1:12" x14ac:dyDescent="0.25">
      <c r="A1503" s="48" t="str">
        <f>IF(Учет!A1503&lt;&gt;"",Учет!A1503,"")</f>
        <v/>
      </c>
      <c r="B1503" s="52">
        <f>IF(Учет!$O1503=Справочники!$F$2,Учет!$H1503,0)</f>
        <v>0</v>
      </c>
      <c r="C1503" s="52">
        <f>IF(Учет!$O1503=Справочники!$F$3,Учет!$H1503,0)</f>
        <v>0</v>
      </c>
      <c r="D1503" s="52">
        <f>IF(Учет!$O1503=Справочники!$F$4,Учет!$H1503,0)</f>
        <v>0</v>
      </c>
      <c r="E1503" s="52">
        <f>IF(Учет!$O1503=Справочники!$F$5,Учет!$H1503,0)</f>
        <v>0</v>
      </c>
      <c r="F1503" s="52">
        <f>IF(Учет!$O1503=Справочники!$F$6,Учет!$H1503,0)</f>
        <v>0</v>
      </c>
      <c r="G1503" s="43">
        <f>G1502+Учет!B1503-B1503</f>
        <v>-488978.92000000004</v>
      </c>
      <c r="H1503" s="43">
        <f>H1502+Учет!C1503-C1503</f>
        <v>336855</v>
      </c>
      <c r="I1503" s="43">
        <f>I1502+Учет!D1503-D1503</f>
        <v>500</v>
      </c>
      <c r="J1503" s="43">
        <f>J1502+Учет!E1503-E1503</f>
        <v>1150</v>
      </c>
      <c r="K1503" s="43">
        <f>K1502+Учет!F1503-F1503</f>
        <v>500000</v>
      </c>
      <c r="L1503" s="45">
        <f>Учет!I1503</f>
        <v>349526.07999999996</v>
      </c>
    </row>
    <row r="1504" spans="1:12" x14ac:dyDescent="0.25">
      <c r="A1504" s="48" t="str">
        <f>IF(Учет!A1504&lt;&gt;"",Учет!A1504,"")</f>
        <v/>
      </c>
      <c r="B1504" s="52">
        <f>IF(Учет!$O1504=Справочники!$F$2,Учет!$H1504,0)</f>
        <v>0</v>
      </c>
      <c r="C1504" s="52">
        <f>IF(Учет!$O1504=Справочники!$F$3,Учет!$H1504,0)</f>
        <v>0</v>
      </c>
      <c r="D1504" s="52">
        <f>IF(Учет!$O1504=Справочники!$F$4,Учет!$H1504,0)</f>
        <v>0</v>
      </c>
      <c r="E1504" s="52">
        <f>IF(Учет!$O1504=Справочники!$F$5,Учет!$H1504,0)</f>
        <v>0</v>
      </c>
      <c r="F1504" s="52">
        <f>IF(Учет!$O1504=Справочники!$F$6,Учет!$H1504,0)</f>
        <v>0</v>
      </c>
      <c r="G1504" s="43">
        <f>G1503+Учет!B1504-B1504</f>
        <v>-488978.92000000004</v>
      </c>
      <c r="H1504" s="43">
        <f>H1503+Учет!C1504-C1504</f>
        <v>336855</v>
      </c>
      <c r="I1504" s="43">
        <f>I1503+Учет!D1504-D1504</f>
        <v>500</v>
      </c>
      <c r="J1504" s="43">
        <f>J1503+Учет!E1504-E1504</f>
        <v>1150</v>
      </c>
      <c r="K1504" s="43">
        <f>K1503+Учет!F1504-F1504</f>
        <v>500000</v>
      </c>
      <c r="L1504" s="45">
        <f>Учет!I1504</f>
        <v>349526.07999999996</v>
      </c>
    </row>
    <row r="1505" spans="1:12" x14ac:dyDescent="0.25">
      <c r="A1505" s="48" t="str">
        <f>IF(Учет!A1505&lt;&gt;"",Учет!A1505,"")</f>
        <v/>
      </c>
      <c r="B1505" s="52">
        <f>IF(Учет!$O1505=Справочники!$F$2,Учет!$H1505,0)</f>
        <v>0</v>
      </c>
      <c r="C1505" s="52">
        <f>IF(Учет!$O1505=Справочники!$F$3,Учет!$H1505,0)</f>
        <v>0</v>
      </c>
      <c r="D1505" s="52">
        <f>IF(Учет!$O1505=Справочники!$F$4,Учет!$H1505,0)</f>
        <v>0</v>
      </c>
      <c r="E1505" s="52">
        <f>IF(Учет!$O1505=Справочники!$F$5,Учет!$H1505,0)</f>
        <v>0</v>
      </c>
      <c r="F1505" s="52">
        <f>IF(Учет!$O1505=Справочники!$F$6,Учет!$H1505,0)</f>
        <v>0</v>
      </c>
      <c r="G1505" s="43">
        <f>G1504+Учет!B1505-B1505</f>
        <v>-488978.92000000004</v>
      </c>
      <c r="H1505" s="43">
        <f>H1504+Учет!C1505-C1505</f>
        <v>336855</v>
      </c>
      <c r="I1505" s="43">
        <f>I1504+Учет!D1505-D1505</f>
        <v>500</v>
      </c>
      <c r="J1505" s="43">
        <f>J1504+Учет!E1505-E1505</f>
        <v>1150</v>
      </c>
      <c r="K1505" s="43">
        <f>K1504+Учет!F1505-F1505</f>
        <v>500000</v>
      </c>
      <c r="L1505" s="45">
        <f>Учет!I1505</f>
        <v>349526.07999999996</v>
      </c>
    </row>
    <row r="1506" spans="1:12" x14ac:dyDescent="0.25">
      <c r="A1506" s="48" t="str">
        <f>IF(Учет!A1506&lt;&gt;"",Учет!A1506,"")</f>
        <v/>
      </c>
      <c r="B1506" s="52">
        <f>IF(Учет!$O1506=Справочники!$F$2,Учет!$H1506,0)</f>
        <v>0</v>
      </c>
      <c r="C1506" s="52">
        <f>IF(Учет!$O1506=Справочники!$F$3,Учет!$H1506,0)</f>
        <v>0</v>
      </c>
      <c r="D1506" s="52">
        <f>IF(Учет!$O1506=Справочники!$F$4,Учет!$H1506,0)</f>
        <v>0</v>
      </c>
      <c r="E1506" s="52">
        <f>IF(Учет!$O1506=Справочники!$F$5,Учет!$H1506,0)</f>
        <v>0</v>
      </c>
      <c r="F1506" s="52">
        <f>IF(Учет!$O1506=Справочники!$F$6,Учет!$H1506,0)</f>
        <v>0</v>
      </c>
      <c r="G1506" s="43">
        <f>G1505+Учет!B1506-B1506</f>
        <v>-488978.92000000004</v>
      </c>
      <c r="H1506" s="43">
        <f>H1505+Учет!C1506-C1506</f>
        <v>336855</v>
      </c>
      <c r="I1506" s="43">
        <f>I1505+Учет!D1506-D1506</f>
        <v>500</v>
      </c>
      <c r="J1506" s="43">
        <f>J1505+Учет!E1506-E1506</f>
        <v>1150</v>
      </c>
      <c r="K1506" s="43">
        <f>K1505+Учет!F1506-F1506</f>
        <v>500000</v>
      </c>
      <c r="L1506" s="45">
        <f>Учет!I1506</f>
        <v>349526.07999999996</v>
      </c>
    </row>
    <row r="1507" spans="1:12" x14ac:dyDescent="0.25">
      <c r="A1507" s="48" t="str">
        <f>IF(Учет!A1507&lt;&gt;"",Учет!A1507,"")</f>
        <v/>
      </c>
      <c r="B1507" s="52">
        <f>IF(Учет!$O1507=Справочники!$F$2,Учет!$H1507,0)</f>
        <v>0</v>
      </c>
      <c r="C1507" s="52">
        <f>IF(Учет!$O1507=Справочники!$F$3,Учет!$H1507,0)</f>
        <v>0</v>
      </c>
      <c r="D1507" s="52">
        <f>IF(Учет!$O1507=Справочники!$F$4,Учет!$H1507,0)</f>
        <v>0</v>
      </c>
      <c r="E1507" s="52">
        <f>IF(Учет!$O1507=Справочники!$F$5,Учет!$H1507,0)</f>
        <v>0</v>
      </c>
      <c r="F1507" s="52">
        <f>IF(Учет!$O1507=Справочники!$F$6,Учет!$H1507,0)</f>
        <v>0</v>
      </c>
      <c r="G1507" s="43">
        <f>G1506+Учет!B1507-B1507</f>
        <v>-488978.92000000004</v>
      </c>
      <c r="H1507" s="43">
        <f>H1506+Учет!C1507-C1507</f>
        <v>336855</v>
      </c>
      <c r="I1507" s="43">
        <f>I1506+Учет!D1507-D1507</f>
        <v>500</v>
      </c>
      <c r="J1507" s="43">
        <f>J1506+Учет!E1507-E1507</f>
        <v>1150</v>
      </c>
      <c r="K1507" s="43">
        <f>K1506+Учет!F1507-F1507</f>
        <v>500000</v>
      </c>
      <c r="L1507" s="45">
        <f>Учет!I1507</f>
        <v>349526.07999999996</v>
      </c>
    </row>
    <row r="1508" spans="1:12" x14ac:dyDescent="0.25">
      <c r="A1508" s="48" t="str">
        <f>IF(Учет!A1508&lt;&gt;"",Учет!A1508,"")</f>
        <v/>
      </c>
      <c r="B1508" s="52">
        <f>IF(Учет!$O1508=Справочники!$F$2,Учет!$H1508,0)</f>
        <v>0</v>
      </c>
      <c r="C1508" s="52">
        <f>IF(Учет!$O1508=Справочники!$F$3,Учет!$H1508,0)</f>
        <v>0</v>
      </c>
      <c r="D1508" s="52">
        <f>IF(Учет!$O1508=Справочники!$F$4,Учет!$H1508,0)</f>
        <v>0</v>
      </c>
      <c r="E1508" s="52">
        <f>IF(Учет!$O1508=Справочники!$F$5,Учет!$H1508,0)</f>
        <v>0</v>
      </c>
      <c r="F1508" s="52">
        <f>IF(Учет!$O1508=Справочники!$F$6,Учет!$H1508,0)</f>
        <v>0</v>
      </c>
      <c r="G1508" s="43">
        <f>G1507+Учет!B1508-B1508</f>
        <v>-488978.92000000004</v>
      </c>
      <c r="H1508" s="43">
        <f>H1507+Учет!C1508-C1508</f>
        <v>336855</v>
      </c>
      <c r="I1508" s="43">
        <f>I1507+Учет!D1508-D1508</f>
        <v>500</v>
      </c>
      <c r="J1508" s="43">
        <f>J1507+Учет!E1508-E1508</f>
        <v>1150</v>
      </c>
      <c r="K1508" s="43">
        <f>K1507+Учет!F1508-F1508</f>
        <v>500000</v>
      </c>
      <c r="L1508" s="45">
        <f>Учет!I1508</f>
        <v>349526.07999999996</v>
      </c>
    </row>
    <row r="1509" spans="1:12" x14ac:dyDescent="0.25">
      <c r="A1509" s="48" t="str">
        <f>IF(Учет!A1509&lt;&gt;"",Учет!A1509,"")</f>
        <v/>
      </c>
      <c r="B1509" s="52">
        <f>IF(Учет!$O1509=Справочники!$F$2,Учет!$H1509,0)</f>
        <v>0</v>
      </c>
      <c r="C1509" s="52">
        <f>IF(Учет!$O1509=Справочники!$F$3,Учет!$H1509,0)</f>
        <v>0</v>
      </c>
      <c r="D1509" s="52">
        <f>IF(Учет!$O1509=Справочники!$F$4,Учет!$H1509,0)</f>
        <v>0</v>
      </c>
      <c r="E1509" s="52">
        <f>IF(Учет!$O1509=Справочники!$F$5,Учет!$H1509,0)</f>
        <v>0</v>
      </c>
      <c r="F1509" s="52">
        <f>IF(Учет!$O1509=Справочники!$F$6,Учет!$H1509,0)</f>
        <v>0</v>
      </c>
      <c r="G1509" s="43">
        <f>G1508+Учет!B1509-B1509</f>
        <v>-488978.92000000004</v>
      </c>
      <c r="H1509" s="43">
        <f>H1508+Учет!C1509-C1509</f>
        <v>336855</v>
      </c>
      <c r="I1509" s="43">
        <f>I1508+Учет!D1509-D1509</f>
        <v>500</v>
      </c>
      <c r="J1509" s="43">
        <f>J1508+Учет!E1509-E1509</f>
        <v>1150</v>
      </c>
      <c r="K1509" s="43">
        <f>K1508+Учет!F1509-F1509</f>
        <v>500000</v>
      </c>
      <c r="L1509" s="45">
        <f>Учет!I1509</f>
        <v>349526.07999999996</v>
      </c>
    </row>
    <row r="1510" spans="1:12" x14ac:dyDescent="0.25">
      <c r="A1510" s="48" t="str">
        <f>IF(Учет!A1510&lt;&gt;"",Учет!A1510,"")</f>
        <v/>
      </c>
      <c r="B1510" s="52">
        <f>IF(Учет!$O1510=Справочники!$F$2,Учет!$H1510,0)</f>
        <v>0</v>
      </c>
      <c r="C1510" s="52">
        <f>IF(Учет!$O1510=Справочники!$F$3,Учет!$H1510,0)</f>
        <v>0</v>
      </c>
      <c r="D1510" s="52">
        <f>IF(Учет!$O1510=Справочники!$F$4,Учет!$H1510,0)</f>
        <v>0</v>
      </c>
      <c r="E1510" s="52">
        <f>IF(Учет!$O1510=Справочники!$F$5,Учет!$H1510,0)</f>
        <v>0</v>
      </c>
      <c r="F1510" s="52">
        <f>IF(Учет!$O1510=Справочники!$F$6,Учет!$H1510,0)</f>
        <v>0</v>
      </c>
      <c r="G1510" s="43">
        <f>G1509+Учет!B1510-B1510</f>
        <v>-488978.92000000004</v>
      </c>
      <c r="H1510" s="43">
        <f>H1509+Учет!C1510-C1510</f>
        <v>336855</v>
      </c>
      <c r="I1510" s="43">
        <f>I1509+Учет!D1510-D1510</f>
        <v>500</v>
      </c>
      <c r="J1510" s="43">
        <f>J1509+Учет!E1510-E1510</f>
        <v>1150</v>
      </c>
      <c r="K1510" s="43">
        <f>K1509+Учет!F1510-F1510</f>
        <v>500000</v>
      </c>
      <c r="L1510" s="45">
        <f>Учет!I1510</f>
        <v>349526.07999999996</v>
      </c>
    </row>
    <row r="1511" spans="1:12" x14ac:dyDescent="0.25">
      <c r="A1511" s="48" t="str">
        <f>IF(Учет!A1511&lt;&gt;"",Учет!A1511,"")</f>
        <v/>
      </c>
      <c r="B1511" s="52">
        <f>IF(Учет!$O1511=Справочники!$F$2,Учет!$H1511,0)</f>
        <v>0</v>
      </c>
      <c r="C1511" s="52">
        <f>IF(Учет!$O1511=Справочники!$F$3,Учет!$H1511,0)</f>
        <v>0</v>
      </c>
      <c r="D1511" s="52">
        <f>IF(Учет!$O1511=Справочники!$F$4,Учет!$H1511,0)</f>
        <v>0</v>
      </c>
      <c r="E1511" s="52">
        <f>IF(Учет!$O1511=Справочники!$F$5,Учет!$H1511,0)</f>
        <v>0</v>
      </c>
      <c r="F1511" s="52">
        <f>IF(Учет!$O1511=Справочники!$F$6,Учет!$H1511,0)</f>
        <v>0</v>
      </c>
      <c r="G1511" s="43">
        <f>G1510+Учет!B1511-B1511</f>
        <v>-488978.92000000004</v>
      </c>
      <c r="H1511" s="43">
        <f>H1510+Учет!C1511-C1511</f>
        <v>336855</v>
      </c>
      <c r="I1511" s="43">
        <f>I1510+Учет!D1511-D1511</f>
        <v>500</v>
      </c>
      <c r="J1511" s="43">
        <f>J1510+Учет!E1511-E1511</f>
        <v>1150</v>
      </c>
      <c r="K1511" s="43">
        <f>K1510+Учет!F1511-F1511</f>
        <v>500000</v>
      </c>
      <c r="L1511" s="45">
        <f>Учет!I1511</f>
        <v>349526.07999999996</v>
      </c>
    </row>
    <row r="1512" spans="1:12" x14ac:dyDescent="0.25">
      <c r="A1512" s="48" t="str">
        <f>IF(Учет!A1512&lt;&gt;"",Учет!A1512,"")</f>
        <v/>
      </c>
      <c r="B1512" s="52">
        <f>IF(Учет!$O1512=Справочники!$F$2,Учет!$H1512,0)</f>
        <v>0</v>
      </c>
      <c r="C1512" s="52">
        <f>IF(Учет!$O1512=Справочники!$F$3,Учет!$H1512,0)</f>
        <v>0</v>
      </c>
      <c r="D1512" s="52">
        <f>IF(Учет!$O1512=Справочники!$F$4,Учет!$H1512,0)</f>
        <v>0</v>
      </c>
      <c r="E1512" s="52">
        <f>IF(Учет!$O1512=Справочники!$F$5,Учет!$H1512,0)</f>
        <v>0</v>
      </c>
      <c r="F1512" s="52">
        <f>IF(Учет!$O1512=Справочники!$F$6,Учет!$H1512,0)</f>
        <v>0</v>
      </c>
      <c r="G1512" s="43">
        <f>G1511+Учет!B1512-B1512</f>
        <v>-488978.92000000004</v>
      </c>
      <c r="H1512" s="43">
        <f>H1511+Учет!C1512-C1512</f>
        <v>336855</v>
      </c>
      <c r="I1512" s="43">
        <f>I1511+Учет!D1512-D1512</f>
        <v>500</v>
      </c>
      <c r="J1512" s="43">
        <f>J1511+Учет!E1512-E1512</f>
        <v>1150</v>
      </c>
      <c r="K1512" s="43">
        <f>K1511+Учет!F1512-F1512</f>
        <v>500000</v>
      </c>
      <c r="L1512" s="45">
        <f>Учет!I1512</f>
        <v>349526.07999999996</v>
      </c>
    </row>
    <row r="1513" spans="1:12" x14ac:dyDescent="0.25">
      <c r="A1513" s="48" t="str">
        <f>IF(Учет!A1513&lt;&gt;"",Учет!A1513,"")</f>
        <v/>
      </c>
      <c r="B1513" s="52">
        <f>IF(Учет!$O1513=Справочники!$F$2,Учет!$H1513,0)</f>
        <v>0</v>
      </c>
      <c r="C1513" s="52">
        <f>IF(Учет!$O1513=Справочники!$F$3,Учет!$H1513,0)</f>
        <v>0</v>
      </c>
      <c r="D1513" s="52">
        <f>IF(Учет!$O1513=Справочники!$F$4,Учет!$H1513,0)</f>
        <v>0</v>
      </c>
      <c r="E1513" s="52">
        <f>IF(Учет!$O1513=Справочники!$F$5,Учет!$H1513,0)</f>
        <v>0</v>
      </c>
      <c r="F1513" s="52">
        <f>IF(Учет!$O1513=Справочники!$F$6,Учет!$H1513,0)</f>
        <v>0</v>
      </c>
      <c r="G1513" s="43">
        <f>G1512+Учет!B1513-B1513</f>
        <v>-488978.92000000004</v>
      </c>
      <c r="H1513" s="43">
        <f>H1512+Учет!C1513-C1513</f>
        <v>336855</v>
      </c>
      <c r="I1513" s="43">
        <f>I1512+Учет!D1513-D1513</f>
        <v>500</v>
      </c>
      <c r="J1513" s="43">
        <f>J1512+Учет!E1513-E1513</f>
        <v>1150</v>
      </c>
      <c r="K1513" s="43">
        <f>K1512+Учет!F1513-F1513</f>
        <v>500000</v>
      </c>
      <c r="L1513" s="45">
        <f>Учет!I1513</f>
        <v>349526.07999999996</v>
      </c>
    </row>
    <row r="1514" spans="1:12" x14ac:dyDescent="0.25">
      <c r="A1514" s="48" t="str">
        <f>IF(Учет!A1514&lt;&gt;"",Учет!A1514,"")</f>
        <v/>
      </c>
      <c r="B1514" s="52">
        <f>IF(Учет!$O1514=Справочники!$F$2,Учет!$H1514,0)</f>
        <v>0</v>
      </c>
      <c r="C1514" s="52">
        <f>IF(Учет!$O1514=Справочники!$F$3,Учет!$H1514,0)</f>
        <v>0</v>
      </c>
      <c r="D1514" s="52">
        <f>IF(Учет!$O1514=Справочники!$F$4,Учет!$H1514,0)</f>
        <v>0</v>
      </c>
      <c r="E1514" s="52">
        <f>IF(Учет!$O1514=Справочники!$F$5,Учет!$H1514,0)</f>
        <v>0</v>
      </c>
      <c r="F1514" s="52">
        <f>IF(Учет!$O1514=Справочники!$F$6,Учет!$H1514,0)</f>
        <v>0</v>
      </c>
      <c r="G1514" s="43">
        <f>G1513+Учет!B1514-B1514</f>
        <v>-488978.92000000004</v>
      </c>
      <c r="H1514" s="43">
        <f>H1513+Учет!C1514-C1514</f>
        <v>336855</v>
      </c>
      <c r="I1514" s="43">
        <f>I1513+Учет!D1514-D1514</f>
        <v>500</v>
      </c>
      <c r="J1514" s="43">
        <f>J1513+Учет!E1514-E1514</f>
        <v>1150</v>
      </c>
      <c r="K1514" s="43">
        <f>K1513+Учет!F1514-F1514</f>
        <v>500000</v>
      </c>
      <c r="L1514" s="45">
        <f>Учет!I1514</f>
        <v>349526.07999999996</v>
      </c>
    </row>
    <row r="1515" spans="1:12" x14ac:dyDescent="0.25">
      <c r="A1515" s="48" t="str">
        <f>IF(Учет!A1515&lt;&gt;"",Учет!A1515,"")</f>
        <v/>
      </c>
      <c r="B1515" s="52">
        <f>IF(Учет!$O1515=Справочники!$F$2,Учет!$H1515,0)</f>
        <v>0</v>
      </c>
      <c r="C1515" s="52">
        <f>IF(Учет!$O1515=Справочники!$F$3,Учет!$H1515,0)</f>
        <v>0</v>
      </c>
      <c r="D1515" s="52">
        <f>IF(Учет!$O1515=Справочники!$F$4,Учет!$H1515,0)</f>
        <v>0</v>
      </c>
      <c r="E1515" s="52">
        <f>IF(Учет!$O1515=Справочники!$F$5,Учет!$H1515,0)</f>
        <v>0</v>
      </c>
      <c r="F1515" s="52">
        <f>IF(Учет!$O1515=Справочники!$F$6,Учет!$H1515,0)</f>
        <v>0</v>
      </c>
      <c r="G1515" s="43">
        <f>G1514+Учет!B1515-B1515</f>
        <v>-488978.92000000004</v>
      </c>
      <c r="H1515" s="43">
        <f>H1514+Учет!C1515-C1515</f>
        <v>336855</v>
      </c>
      <c r="I1515" s="43">
        <f>I1514+Учет!D1515-D1515</f>
        <v>500</v>
      </c>
      <c r="J1515" s="43">
        <f>J1514+Учет!E1515-E1515</f>
        <v>1150</v>
      </c>
      <c r="K1515" s="43">
        <f>K1514+Учет!F1515-F1515</f>
        <v>500000</v>
      </c>
      <c r="L1515" s="45">
        <f>Учет!I1515</f>
        <v>349526.07999999996</v>
      </c>
    </row>
    <row r="1516" spans="1:12" x14ac:dyDescent="0.25">
      <c r="A1516" s="48" t="str">
        <f>IF(Учет!A1516&lt;&gt;"",Учет!A1516,"")</f>
        <v/>
      </c>
      <c r="B1516" s="52">
        <f>IF(Учет!$O1516=Справочники!$F$2,Учет!$H1516,0)</f>
        <v>0</v>
      </c>
      <c r="C1516" s="52">
        <f>IF(Учет!$O1516=Справочники!$F$3,Учет!$H1516,0)</f>
        <v>0</v>
      </c>
      <c r="D1516" s="52">
        <f>IF(Учет!$O1516=Справочники!$F$4,Учет!$H1516,0)</f>
        <v>0</v>
      </c>
      <c r="E1516" s="52">
        <f>IF(Учет!$O1516=Справочники!$F$5,Учет!$H1516,0)</f>
        <v>0</v>
      </c>
      <c r="F1516" s="52">
        <f>IF(Учет!$O1516=Справочники!$F$6,Учет!$H1516,0)</f>
        <v>0</v>
      </c>
      <c r="G1516" s="43">
        <f>G1515+Учет!B1516-B1516</f>
        <v>-488978.92000000004</v>
      </c>
      <c r="H1516" s="43">
        <f>H1515+Учет!C1516-C1516</f>
        <v>336855</v>
      </c>
      <c r="I1516" s="43">
        <f>I1515+Учет!D1516-D1516</f>
        <v>500</v>
      </c>
      <c r="J1516" s="43">
        <f>J1515+Учет!E1516-E1516</f>
        <v>1150</v>
      </c>
      <c r="K1516" s="43">
        <f>K1515+Учет!F1516-F1516</f>
        <v>500000</v>
      </c>
      <c r="L1516" s="45">
        <f>Учет!I1516</f>
        <v>349526.07999999996</v>
      </c>
    </row>
    <row r="1517" spans="1:12" x14ac:dyDescent="0.25">
      <c r="A1517" s="48" t="str">
        <f>IF(Учет!A1517&lt;&gt;"",Учет!A1517,"")</f>
        <v/>
      </c>
      <c r="B1517" s="52">
        <f>IF(Учет!$O1517=Справочники!$F$2,Учет!$H1517,0)</f>
        <v>0</v>
      </c>
      <c r="C1517" s="52">
        <f>IF(Учет!$O1517=Справочники!$F$3,Учет!$H1517,0)</f>
        <v>0</v>
      </c>
      <c r="D1517" s="52">
        <f>IF(Учет!$O1517=Справочники!$F$4,Учет!$H1517,0)</f>
        <v>0</v>
      </c>
      <c r="E1517" s="52">
        <f>IF(Учет!$O1517=Справочники!$F$5,Учет!$H1517,0)</f>
        <v>0</v>
      </c>
      <c r="F1517" s="52">
        <f>IF(Учет!$O1517=Справочники!$F$6,Учет!$H1517,0)</f>
        <v>0</v>
      </c>
      <c r="G1517" s="43">
        <f>G1516+Учет!B1517-B1517</f>
        <v>-488978.92000000004</v>
      </c>
      <c r="H1517" s="43">
        <f>H1516+Учет!C1517-C1517</f>
        <v>336855</v>
      </c>
      <c r="I1517" s="43">
        <f>I1516+Учет!D1517-D1517</f>
        <v>500</v>
      </c>
      <c r="J1517" s="43">
        <f>J1516+Учет!E1517-E1517</f>
        <v>1150</v>
      </c>
      <c r="K1517" s="43">
        <f>K1516+Учет!F1517-F1517</f>
        <v>500000</v>
      </c>
      <c r="L1517" s="45">
        <f>Учет!I1517</f>
        <v>349526.07999999996</v>
      </c>
    </row>
    <row r="1518" spans="1:12" x14ac:dyDescent="0.25">
      <c r="A1518" s="48" t="str">
        <f>IF(Учет!A1518&lt;&gt;"",Учет!A1518,"")</f>
        <v/>
      </c>
      <c r="B1518" s="52">
        <f>IF(Учет!$O1518=Справочники!$F$2,Учет!$H1518,0)</f>
        <v>0</v>
      </c>
      <c r="C1518" s="52">
        <f>IF(Учет!$O1518=Справочники!$F$3,Учет!$H1518,0)</f>
        <v>0</v>
      </c>
      <c r="D1518" s="52">
        <f>IF(Учет!$O1518=Справочники!$F$4,Учет!$H1518,0)</f>
        <v>0</v>
      </c>
      <c r="E1518" s="52">
        <f>IF(Учет!$O1518=Справочники!$F$5,Учет!$H1518,0)</f>
        <v>0</v>
      </c>
      <c r="F1518" s="52">
        <f>IF(Учет!$O1518=Справочники!$F$6,Учет!$H1518,0)</f>
        <v>0</v>
      </c>
      <c r="G1518" s="43">
        <f>G1517+Учет!B1518-B1518</f>
        <v>-488978.92000000004</v>
      </c>
      <c r="H1518" s="43">
        <f>H1517+Учет!C1518-C1518</f>
        <v>336855</v>
      </c>
      <c r="I1518" s="43">
        <f>I1517+Учет!D1518-D1518</f>
        <v>500</v>
      </c>
      <c r="J1518" s="43">
        <f>J1517+Учет!E1518-E1518</f>
        <v>1150</v>
      </c>
      <c r="K1518" s="43">
        <f>K1517+Учет!F1518-F1518</f>
        <v>500000</v>
      </c>
      <c r="L1518" s="45">
        <f>Учет!I1518</f>
        <v>349526.07999999996</v>
      </c>
    </row>
    <row r="1519" spans="1:12" x14ac:dyDescent="0.25">
      <c r="A1519" s="48" t="str">
        <f>IF(Учет!A1519&lt;&gt;"",Учет!A1519,"")</f>
        <v/>
      </c>
      <c r="B1519" s="52">
        <f>IF(Учет!$O1519=Справочники!$F$2,Учет!$H1519,0)</f>
        <v>0</v>
      </c>
      <c r="C1519" s="52">
        <f>IF(Учет!$O1519=Справочники!$F$3,Учет!$H1519,0)</f>
        <v>0</v>
      </c>
      <c r="D1519" s="52">
        <f>IF(Учет!$O1519=Справочники!$F$4,Учет!$H1519,0)</f>
        <v>0</v>
      </c>
      <c r="E1519" s="52">
        <f>IF(Учет!$O1519=Справочники!$F$5,Учет!$H1519,0)</f>
        <v>0</v>
      </c>
      <c r="F1519" s="52">
        <f>IF(Учет!$O1519=Справочники!$F$6,Учет!$H1519,0)</f>
        <v>0</v>
      </c>
      <c r="G1519" s="43">
        <f>G1518+Учет!B1519-B1519</f>
        <v>-488978.92000000004</v>
      </c>
      <c r="H1519" s="43">
        <f>H1518+Учет!C1519-C1519</f>
        <v>336855</v>
      </c>
      <c r="I1519" s="43">
        <f>I1518+Учет!D1519-D1519</f>
        <v>500</v>
      </c>
      <c r="J1519" s="43">
        <f>J1518+Учет!E1519-E1519</f>
        <v>1150</v>
      </c>
      <c r="K1519" s="43">
        <f>K1518+Учет!F1519-F1519</f>
        <v>500000</v>
      </c>
      <c r="L1519" s="45">
        <f>Учет!I1519</f>
        <v>349526.07999999996</v>
      </c>
    </row>
    <row r="1520" spans="1:12" x14ac:dyDescent="0.25">
      <c r="A1520" s="48" t="str">
        <f>IF(Учет!A1520&lt;&gt;"",Учет!A1520,"")</f>
        <v/>
      </c>
      <c r="B1520" s="52">
        <f>IF(Учет!$O1520=Справочники!$F$2,Учет!$H1520,0)</f>
        <v>0</v>
      </c>
      <c r="C1520" s="52">
        <f>IF(Учет!$O1520=Справочники!$F$3,Учет!$H1520,0)</f>
        <v>0</v>
      </c>
      <c r="D1520" s="52">
        <f>IF(Учет!$O1520=Справочники!$F$4,Учет!$H1520,0)</f>
        <v>0</v>
      </c>
      <c r="E1520" s="52">
        <f>IF(Учет!$O1520=Справочники!$F$5,Учет!$H1520,0)</f>
        <v>0</v>
      </c>
      <c r="F1520" s="52">
        <f>IF(Учет!$O1520=Справочники!$F$6,Учет!$H1520,0)</f>
        <v>0</v>
      </c>
      <c r="G1520" s="43">
        <f>G1519+Учет!B1520-B1520</f>
        <v>-488978.92000000004</v>
      </c>
      <c r="H1520" s="43">
        <f>H1519+Учет!C1520-C1520</f>
        <v>336855</v>
      </c>
      <c r="I1520" s="43">
        <f>I1519+Учет!D1520-D1520</f>
        <v>500</v>
      </c>
      <c r="J1520" s="43">
        <f>J1519+Учет!E1520-E1520</f>
        <v>1150</v>
      </c>
      <c r="K1520" s="43">
        <f>K1519+Учет!F1520-F1520</f>
        <v>500000</v>
      </c>
      <c r="L1520" s="45">
        <f>Учет!I1520</f>
        <v>349526.07999999996</v>
      </c>
    </row>
    <row r="1521" spans="1:12" x14ac:dyDescent="0.25">
      <c r="A1521" s="48" t="str">
        <f>IF(Учет!A1521&lt;&gt;"",Учет!A1521,"")</f>
        <v/>
      </c>
      <c r="B1521" s="52">
        <f>IF(Учет!$O1521=Справочники!$F$2,Учет!$H1521,0)</f>
        <v>0</v>
      </c>
      <c r="C1521" s="52">
        <f>IF(Учет!$O1521=Справочники!$F$3,Учет!$H1521,0)</f>
        <v>0</v>
      </c>
      <c r="D1521" s="52">
        <f>IF(Учет!$O1521=Справочники!$F$4,Учет!$H1521,0)</f>
        <v>0</v>
      </c>
      <c r="E1521" s="52">
        <f>IF(Учет!$O1521=Справочники!$F$5,Учет!$H1521,0)</f>
        <v>0</v>
      </c>
      <c r="F1521" s="52">
        <f>IF(Учет!$O1521=Справочники!$F$6,Учет!$H1521,0)</f>
        <v>0</v>
      </c>
      <c r="G1521" s="43">
        <f>G1520+Учет!B1521-B1521</f>
        <v>-488978.92000000004</v>
      </c>
      <c r="H1521" s="43">
        <f>H1520+Учет!C1521-C1521</f>
        <v>336855</v>
      </c>
      <c r="I1521" s="43">
        <f>I1520+Учет!D1521-D1521</f>
        <v>500</v>
      </c>
      <c r="J1521" s="43">
        <f>J1520+Учет!E1521-E1521</f>
        <v>1150</v>
      </c>
      <c r="K1521" s="43">
        <f>K1520+Учет!F1521-F1521</f>
        <v>500000</v>
      </c>
      <c r="L1521" s="45">
        <f>Учет!I1521</f>
        <v>349526.07999999996</v>
      </c>
    </row>
    <row r="1522" spans="1:12" x14ac:dyDescent="0.25">
      <c r="A1522" s="48" t="str">
        <f>IF(Учет!A1522&lt;&gt;"",Учет!A1522,"")</f>
        <v/>
      </c>
      <c r="B1522" s="52">
        <f>IF(Учет!$O1522=Справочники!$F$2,Учет!$H1522,0)</f>
        <v>0</v>
      </c>
      <c r="C1522" s="52">
        <f>IF(Учет!$O1522=Справочники!$F$3,Учет!$H1522,0)</f>
        <v>0</v>
      </c>
      <c r="D1522" s="52">
        <f>IF(Учет!$O1522=Справочники!$F$4,Учет!$H1522,0)</f>
        <v>0</v>
      </c>
      <c r="E1522" s="52">
        <f>IF(Учет!$O1522=Справочники!$F$5,Учет!$H1522,0)</f>
        <v>0</v>
      </c>
      <c r="F1522" s="52">
        <f>IF(Учет!$O1522=Справочники!$F$6,Учет!$H1522,0)</f>
        <v>0</v>
      </c>
      <c r="G1522" s="43">
        <f>G1521+Учет!B1522-B1522</f>
        <v>-488978.92000000004</v>
      </c>
      <c r="H1522" s="43">
        <f>H1521+Учет!C1522-C1522</f>
        <v>336855</v>
      </c>
      <c r="I1522" s="43">
        <f>I1521+Учет!D1522-D1522</f>
        <v>500</v>
      </c>
      <c r="J1522" s="43">
        <f>J1521+Учет!E1522-E1522</f>
        <v>1150</v>
      </c>
      <c r="K1522" s="43">
        <f>K1521+Учет!F1522-F1522</f>
        <v>500000</v>
      </c>
      <c r="L1522" s="45">
        <f>Учет!I1522</f>
        <v>349526.07999999996</v>
      </c>
    </row>
    <row r="1523" spans="1:12" x14ac:dyDescent="0.25">
      <c r="A1523" s="48" t="str">
        <f>IF(Учет!A1523&lt;&gt;"",Учет!A1523,"")</f>
        <v/>
      </c>
      <c r="B1523" s="52">
        <f>IF(Учет!$O1523=Справочники!$F$2,Учет!$H1523,0)</f>
        <v>0</v>
      </c>
      <c r="C1523" s="52">
        <f>IF(Учет!$O1523=Справочники!$F$3,Учет!$H1523,0)</f>
        <v>0</v>
      </c>
      <c r="D1523" s="52">
        <f>IF(Учет!$O1523=Справочники!$F$4,Учет!$H1523,0)</f>
        <v>0</v>
      </c>
      <c r="E1523" s="52">
        <f>IF(Учет!$O1523=Справочники!$F$5,Учет!$H1523,0)</f>
        <v>0</v>
      </c>
      <c r="F1523" s="52">
        <f>IF(Учет!$O1523=Справочники!$F$6,Учет!$H1523,0)</f>
        <v>0</v>
      </c>
      <c r="G1523" s="43">
        <f>G1522+Учет!B1523-B1523</f>
        <v>-488978.92000000004</v>
      </c>
      <c r="H1523" s="43">
        <f>H1522+Учет!C1523-C1523</f>
        <v>336855</v>
      </c>
      <c r="I1523" s="43">
        <f>I1522+Учет!D1523-D1523</f>
        <v>500</v>
      </c>
      <c r="J1523" s="43">
        <f>J1522+Учет!E1523-E1523</f>
        <v>1150</v>
      </c>
      <c r="K1523" s="43">
        <f>K1522+Учет!F1523-F1523</f>
        <v>500000</v>
      </c>
      <c r="L1523" s="45">
        <f>Учет!I1523</f>
        <v>349526.07999999996</v>
      </c>
    </row>
    <row r="1524" spans="1:12" x14ac:dyDescent="0.25">
      <c r="A1524" s="48" t="str">
        <f>IF(Учет!A1524&lt;&gt;"",Учет!A1524,"")</f>
        <v/>
      </c>
      <c r="B1524" s="52">
        <f>IF(Учет!$O1524=Справочники!$F$2,Учет!$H1524,0)</f>
        <v>0</v>
      </c>
      <c r="C1524" s="52">
        <f>IF(Учет!$O1524=Справочники!$F$3,Учет!$H1524,0)</f>
        <v>0</v>
      </c>
      <c r="D1524" s="52">
        <f>IF(Учет!$O1524=Справочники!$F$4,Учет!$H1524,0)</f>
        <v>0</v>
      </c>
      <c r="E1524" s="52">
        <f>IF(Учет!$O1524=Справочники!$F$5,Учет!$H1524,0)</f>
        <v>0</v>
      </c>
      <c r="F1524" s="52">
        <f>IF(Учет!$O1524=Справочники!$F$6,Учет!$H1524,0)</f>
        <v>0</v>
      </c>
      <c r="G1524" s="43">
        <f>G1523+Учет!B1524-B1524</f>
        <v>-488978.92000000004</v>
      </c>
      <c r="H1524" s="43">
        <f>H1523+Учет!C1524-C1524</f>
        <v>336855</v>
      </c>
      <c r="I1524" s="43">
        <f>I1523+Учет!D1524-D1524</f>
        <v>500</v>
      </c>
      <c r="J1524" s="43">
        <f>J1523+Учет!E1524-E1524</f>
        <v>1150</v>
      </c>
      <c r="K1524" s="43">
        <f>K1523+Учет!F1524-F1524</f>
        <v>500000</v>
      </c>
      <c r="L1524" s="45">
        <f>Учет!I1524</f>
        <v>349526.07999999996</v>
      </c>
    </row>
    <row r="1525" spans="1:12" x14ac:dyDescent="0.25">
      <c r="A1525" s="48" t="str">
        <f>IF(Учет!A1525&lt;&gt;"",Учет!A1525,"")</f>
        <v/>
      </c>
      <c r="B1525" s="52">
        <f>IF(Учет!$O1525=Справочники!$F$2,Учет!$H1525,0)</f>
        <v>0</v>
      </c>
      <c r="C1525" s="52">
        <f>IF(Учет!$O1525=Справочники!$F$3,Учет!$H1525,0)</f>
        <v>0</v>
      </c>
      <c r="D1525" s="52">
        <f>IF(Учет!$O1525=Справочники!$F$4,Учет!$H1525,0)</f>
        <v>0</v>
      </c>
      <c r="E1525" s="52">
        <f>IF(Учет!$O1525=Справочники!$F$5,Учет!$H1525,0)</f>
        <v>0</v>
      </c>
      <c r="F1525" s="52">
        <f>IF(Учет!$O1525=Справочники!$F$6,Учет!$H1525,0)</f>
        <v>0</v>
      </c>
      <c r="G1525" s="43">
        <f>G1524+Учет!B1525-B1525</f>
        <v>-488978.92000000004</v>
      </c>
      <c r="H1525" s="43">
        <f>H1524+Учет!C1525-C1525</f>
        <v>336855</v>
      </c>
      <c r="I1525" s="43">
        <f>I1524+Учет!D1525-D1525</f>
        <v>500</v>
      </c>
      <c r="J1525" s="43">
        <f>J1524+Учет!E1525-E1525</f>
        <v>1150</v>
      </c>
      <c r="K1525" s="43">
        <f>K1524+Учет!F1525-F1525</f>
        <v>500000</v>
      </c>
      <c r="L1525" s="45">
        <f>Учет!I1525</f>
        <v>349526.07999999996</v>
      </c>
    </row>
    <row r="1526" spans="1:12" x14ac:dyDescent="0.25">
      <c r="A1526" s="48" t="str">
        <f>IF(Учет!A1526&lt;&gt;"",Учет!A1526,"")</f>
        <v/>
      </c>
      <c r="B1526" s="52">
        <f>IF(Учет!$O1526=Справочники!$F$2,Учет!$H1526,0)</f>
        <v>0</v>
      </c>
      <c r="C1526" s="52">
        <f>IF(Учет!$O1526=Справочники!$F$3,Учет!$H1526,0)</f>
        <v>0</v>
      </c>
      <c r="D1526" s="52">
        <f>IF(Учет!$O1526=Справочники!$F$4,Учет!$H1526,0)</f>
        <v>0</v>
      </c>
      <c r="E1526" s="52">
        <f>IF(Учет!$O1526=Справочники!$F$5,Учет!$H1526,0)</f>
        <v>0</v>
      </c>
      <c r="F1526" s="52">
        <f>IF(Учет!$O1526=Справочники!$F$6,Учет!$H1526,0)</f>
        <v>0</v>
      </c>
      <c r="G1526" s="43">
        <f>G1525+Учет!B1526-B1526</f>
        <v>-488978.92000000004</v>
      </c>
      <c r="H1526" s="43">
        <f>H1525+Учет!C1526-C1526</f>
        <v>336855</v>
      </c>
      <c r="I1526" s="43">
        <f>I1525+Учет!D1526-D1526</f>
        <v>500</v>
      </c>
      <c r="J1526" s="43">
        <f>J1525+Учет!E1526-E1526</f>
        <v>1150</v>
      </c>
      <c r="K1526" s="43">
        <f>K1525+Учет!F1526-F1526</f>
        <v>500000</v>
      </c>
      <c r="L1526" s="45">
        <f>Учет!I1526</f>
        <v>349526.07999999996</v>
      </c>
    </row>
    <row r="1527" spans="1:12" x14ac:dyDescent="0.25">
      <c r="A1527" s="48" t="str">
        <f>IF(Учет!A1527&lt;&gt;"",Учет!A1527,"")</f>
        <v/>
      </c>
      <c r="B1527" s="52">
        <f>IF(Учет!$O1527=Справочники!$F$2,Учет!$H1527,0)</f>
        <v>0</v>
      </c>
      <c r="C1527" s="52">
        <f>IF(Учет!$O1527=Справочники!$F$3,Учет!$H1527,0)</f>
        <v>0</v>
      </c>
      <c r="D1527" s="52">
        <f>IF(Учет!$O1527=Справочники!$F$4,Учет!$H1527,0)</f>
        <v>0</v>
      </c>
      <c r="E1527" s="52">
        <f>IF(Учет!$O1527=Справочники!$F$5,Учет!$H1527,0)</f>
        <v>0</v>
      </c>
      <c r="F1527" s="52">
        <f>IF(Учет!$O1527=Справочники!$F$6,Учет!$H1527,0)</f>
        <v>0</v>
      </c>
      <c r="G1527" s="43">
        <f>G1526+Учет!B1527-B1527</f>
        <v>-488978.92000000004</v>
      </c>
      <c r="H1527" s="43">
        <f>H1526+Учет!C1527-C1527</f>
        <v>336855</v>
      </c>
      <c r="I1527" s="43">
        <f>I1526+Учет!D1527-D1527</f>
        <v>500</v>
      </c>
      <c r="J1527" s="43">
        <f>J1526+Учет!E1527-E1527</f>
        <v>1150</v>
      </c>
      <c r="K1527" s="43">
        <f>K1526+Учет!F1527-F1527</f>
        <v>500000</v>
      </c>
      <c r="L1527" s="45">
        <f>Учет!I1527</f>
        <v>349526.07999999996</v>
      </c>
    </row>
    <row r="1528" spans="1:12" x14ac:dyDescent="0.25">
      <c r="A1528" s="48" t="str">
        <f>IF(Учет!A1528&lt;&gt;"",Учет!A1528,"")</f>
        <v/>
      </c>
      <c r="B1528" s="52">
        <f>IF(Учет!$O1528=Справочники!$F$2,Учет!$H1528,0)</f>
        <v>0</v>
      </c>
      <c r="C1528" s="52">
        <f>IF(Учет!$O1528=Справочники!$F$3,Учет!$H1528,0)</f>
        <v>0</v>
      </c>
      <c r="D1528" s="52">
        <f>IF(Учет!$O1528=Справочники!$F$4,Учет!$H1528,0)</f>
        <v>0</v>
      </c>
      <c r="E1528" s="52">
        <f>IF(Учет!$O1528=Справочники!$F$5,Учет!$H1528,0)</f>
        <v>0</v>
      </c>
      <c r="F1528" s="52">
        <f>IF(Учет!$O1528=Справочники!$F$6,Учет!$H1528,0)</f>
        <v>0</v>
      </c>
      <c r="G1528" s="43">
        <f>G1527+Учет!B1528-B1528</f>
        <v>-488978.92000000004</v>
      </c>
      <c r="H1528" s="43">
        <f>H1527+Учет!C1528-C1528</f>
        <v>336855</v>
      </c>
      <c r="I1528" s="43">
        <f>I1527+Учет!D1528-D1528</f>
        <v>500</v>
      </c>
      <c r="J1528" s="43">
        <f>J1527+Учет!E1528-E1528</f>
        <v>1150</v>
      </c>
      <c r="K1528" s="43">
        <f>K1527+Учет!F1528-F1528</f>
        <v>500000</v>
      </c>
      <c r="L1528" s="45">
        <f>Учет!I1528</f>
        <v>349526.07999999996</v>
      </c>
    </row>
    <row r="1529" spans="1:12" x14ac:dyDescent="0.25">
      <c r="A1529" s="48" t="str">
        <f>IF(Учет!A1529&lt;&gt;"",Учет!A1529,"")</f>
        <v/>
      </c>
      <c r="B1529" s="52">
        <f>IF(Учет!$O1529=Справочники!$F$2,Учет!$H1529,0)</f>
        <v>0</v>
      </c>
      <c r="C1529" s="52">
        <f>IF(Учет!$O1529=Справочники!$F$3,Учет!$H1529,0)</f>
        <v>0</v>
      </c>
      <c r="D1529" s="52">
        <f>IF(Учет!$O1529=Справочники!$F$4,Учет!$H1529,0)</f>
        <v>0</v>
      </c>
      <c r="E1529" s="52">
        <f>IF(Учет!$O1529=Справочники!$F$5,Учет!$H1529,0)</f>
        <v>0</v>
      </c>
      <c r="F1529" s="52">
        <f>IF(Учет!$O1529=Справочники!$F$6,Учет!$H1529,0)</f>
        <v>0</v>
      </c>
      <c r="G1529" s="43">
        <f>G1528+Учет!B1529-B1529</f>
        <v>-488978.92000000004</v>
      </c>
      <c r="H1529" s="43">
        <f>H1528+Учет!C1529-C1529</f>
        <v>336855</v>
      </c>
      <c r="I1529" s="43">
        <f>I1528+Учет!D1529-D1529</f>
        <v>500</v>
      </c>
      <c r="J1529" s="43">
        <f>J1528+Учет!E1529-E1529</f>
        <v>1150</v>
      </c>
      <c r="K1529" s="43">
        <f>K1528+Учет!F1529-F1529</f>
        <v>500000</v>
      </c>
      <c r="L1529" s="45">
        <f>Учет!I1529</f>
        <v>349526.07999999996</v>
      </c>
    </row>
    <row r="1530" spans="1:12" x14ac:dyDescent="0.25">
      <c r="A1530" s="48" t="str">
        <f>IF(Учет!A1530&lt;&gt;"",Учет!A1530,"")</f>
        <v/>
      </c>
      <c r="B1530" s="52">
        <f>IF(Учет!$O1530=Справочники!$F$2,Учет!$H1530,0)</f>
        <v>0</v>
      </c>
      <c r="C1530" s="52">
        <f>IF(Учет!$O1530=Справочники!$F$3,Учет!$H1530,0)</f>
        <v>0</v>
      </c>
      <c r="D1530" s="52">
        <f>IF(Учет!$O1530=Справочники!$F$4,Учет!$H1530,0)</f>
        <v>0</v>
      </c>
      <c r="E1530" s="52">
        <f>IF(Учет!$O1530=Справочники!$F$5,Учет!$H1530,0)</f>
        <v>0</v>
      </c>
      <c r="F1530" s="52">
        <f>IF(Учет!$O1530=Справочники!$F$6,Учет!$H1530,0)</f>
        <v>0</v>
      </c>
      <c r="G1530" s="43">
        <f>G1529+Учет!B1530-B1530</f>
        <v>-488978.92000000004</v>
      </c>
      <c r="H1530" s="43">
        <f>H1529+Учет!C1530-C1530</f>
        <v>336855</v>
      </c>
      <c r="I1530" s="43">
        <f>I1529+Учет!D1530-D1530</f>
        <v>500</v>
      </c>
      <c r="J1530" s="43">
        <f>J1529+Учет!E1530-E1530</f>
        <v>1150</v>
      </c>
      <c r="K1530" s="43">
        <f>K1529+Учет!F1530-F1530</f>
        <v>500000</v>
      </c>
      <c r="L1530" s="45">
        <f>Учет!I1530</f>
        <v>349526.07999999996</v>
      </c>
    </row>
    <row r="1531" spans="1:12" x14ac:dyDescent="0.25">
      <c r="A1531" s="48" t="str">
        <f>IF(Учет!A1531&lt;&gt;"",Учет!A1531,"")</f>
        <v/>
      </c>
      <c r="B1531" s="52">
        <f>IF(Учет!$O1531=Справочники!$F$2,Учет!$H1531,0)</f>
        <v>0</v>
      </c>
      <c r="C1531" s="52">
        <f>IF(Учет!$O1531=Справочники!$F$3,Учет!$H1531,0)</f>
        <v>0</v>
      </c>
      <c r="D1531" s="52">
        <f>IF(Учет!$O1531=Справочники!$F$4,Учет!$H1531,0)</f>
        <v>0</v>
      </c>
      <c r="E1531" s="52">
        <f>IF(Учет!$O1531=Справочники!$F$5,Учет!$H1531,0)</f>
        <v>0</v>
      </c>
      <c r="F1531" s="52">
        <f>IF(Учет!$O1531=Справочники!$F$6,Учет!$H1531,0)</f>
        <v>0</v>
      </c>
      <c r="G1531" s="43">
        <f>G1530+Учет!B1531-B1531</f>
        <v>-488978.92000000004</v>
      </c>
      <c r="H1531" s="43">
        <f>H1530+Учет!C1531-C1531</f>
        <v>336855</v>
      </c>
      <c r="I1531" s="43">
        <f>I1530+Учет!D1531-D1531</f>
        <v>500</v>
      </c>
      <c r="J1531" s="43">
        <f>J1530+Учет!E1531-E1531</f>
        <v>1150</v>
      </c>
      <c r="K1531" s="43">
        <f>K1530+Учет!F1531-F1531</f>
        <v>500000</v>
      </c>
      <c r="L1531" s="45">
        <f>Учет!I1531</f>
        <v>349526.07999999996</v>
      </c>
    </row>
    <row r="1532" spans="1:12" x14ac:dyDescent="0.25">
      <c r="A1532" s="48" t="str">
        <f>IF(Учет!A1532&lt;&gt;"",Учет!A1532,"")</f>
        <v/>
      </c>
      <c r="B1532" s="52">
        <f>IF(Учет!$O1532=Справочники!$F$2,Учет!$H1532,0)</f>
        <v>0</v>
      </c>
      <c r="C1532" s="52">
        <f>IF(Учет!$O1532=Справочники!$F$3,Учет!$H1532,0)</f>
        <v>0</v>
      </c>
      <c r="D1532" s="52">
        <f>IF(Учет!$O1532=Справочники!$F$4,Учет!$H1532,0)</f>
        <v>0</v>
      </c>
      <c r="E1532" s="52">
        <f>IF(Учет!$O1532=Справочники!$F$5,Учет!$H1532,0)</f>
        <v>0</v>
      </c>
      <c r="F1532" s="52">
        <f>IF(Учет!$O1532=Справочники!$F$6,Учет!$H1532,0)</f>
        <v>0</v>
      </c>
      <c r="G1532" s="43">
        <f>G1531+Учет!B1532-B1532</f>
        <v>-488978.92000000004</v>
      </c>
      <c r="H1532" s="43">
        <f>H1531+Учет!C1532-C1532</f>
        <v>336855</v>
      </c>
      <c r="I1532" s="43">
        <f>I1531+Учет!D1532-D1532</f>
        <v>500</v>
      </c>
      <c r="J1532" s="43">
        <f>J1531+Учет!E1532-E1532</f>
        <v>1150</v>
      </c>
      <c r="K1532" s="43">
        <f>K1531+Учет!F1532-F1532</f>
        <v>500000</v>
      </c>
      <c r="L1532" s="45">
        <f>Учет!I1532</f>
        <v>349526.07999999996</v>
      </c>
    </row>
    <row r="1533" spans="1:12" x14ac:dyDescent="0.25">
      <c r="A1533" s="48" t="str">
        <f>IF(Учет!A1533&lt;&gt;"",Учет!A1533,"")</f>
        <v/>
      </c>
      <c r="B1533" s="52">
        <f>IF(Учет!$O1533=Справочники!$F$2,Учет!$H1533,0)</f>
        <v>0</v>
      </c>
      <c r="C1533" s="52">
        <f>IF(Учет!$O1533=Справочники!$F$3,Учет!$H1533,0)</f>
        <v>0</v>
      </c>
      <c r="D1533" s="52">
        <f>IF(Учет!$O1533=Справочники!$F$4,Учет!$H1533,0)</f>
        <v>0</v>
      </c>
      <c r="E1533" s="52">
        <f>IF(Учет!$O1533=Справочники!$F$5,Учет!$H1533,0)</f>
        <v>0</v>
      </c>
      <c r="F1533" s="52">
        <f>IF(Учет!$O1533=Справочники!$F$6,Учет!$H1533,0)</f>
        <v>0</v>
      </c>
      <c r="G1533" s="43">
        <f>G1532+Учет!B1533-B1533</f>
        <v>-488978.92000000004</v>
      </c>
      <c r="H1533" s="43">
        <f>H1532+Учет!C1533-C1533</f>
        <v>336855</v>
      </c>
      <c r="I1533" s="43">
        <f>I1532+Учет!D1533-D1533</f>
        <v>500</v>
      </c>
      <c r="J1533" s="43">
        <f>J1532+Учет!E1533-E1533</f>
        <v>1150</v>
      </c>
      <c r="K1533" s="43">
        <f>K1532+Учет!F1533-F1533</f>
        <v>500000</v>
      </c>
      <c r="L1533" s="45">
        <f>Учет!I1533</f>
        <v>349526.07999999996</v>
      </c>
    </row>
    <row r="1534" spans="1:12" x14ac:dyDescent="0.25">
      <c r="A1534" s="48" t="str">
        <f>IF(Учет!A1534&lt;&gt;"",Учет!A1534,"")</f>
        <v/>
      </c>
      <c r="B1534" s="52">
        <f>IF(Учет!$O1534=Справочники!$F$2,Учет!$H1534,0)</f>
        <v>0</v>
      </c>
      <c r="C1534" s="52">
        <f>IF(Учет!$O1534=Справочники!$F$3,Учет!$H1534,0)</f>
        <v>0</v>
      </c>
      <c r="D1534" s="52">
        <f>IF(Учет!$O1534=Справочники!$F$4,Учет!$H1534,0)</f>
        <v>0</v>
      </c>
      <c r="E1534" s="52">
        <f>IF(Учет!$O1534=Справочники!$F$5,Учет!$H1534,0)</f>
        <v>0</v>
      </c>
      <c r="F1534" s="52">
        <f>IF(Учет!$O1534=Справочники!$F$6,Учет!$H1534,0)</f>
        <v>0</v>
      </c>
      <c r="G1534" s="43">
        <f>G1533+Учет!B1534-B1534</f>
        <v>-488978.92000000004</v>
      </c>
      <c r="H1534" s="43">
        <f>H1533+Учет!C1534-C1534</f>
        <v>336855</v>
      </c>
      <c r="I1534" s="43">
        <f>I1533+Учет!D1534-D1534</f>
        <v>500</v>
      </c>
      <c r="J1534" s="43">
        <f>J1533+Учет!E1534-E1534</f>
        <v>1150</v>
      </c>
      <c r="K1534" s="43">
        <f>K1533+Учет!F1534-F1534</f>
        <v>500000</v>
      </c>
      <c r="L1534" s="45">
        <f>Учет!I1534</f>
        <v>349526.07999999996</v>
      </c>
    </row>
    <row r="1535" spans="1:12" x14ac:dyDescent="0.25">
      <c r="A1535" s="48" t="str">
        <f>IF(Учет!A1535&lt;&gt;"",Учет!A1535,"")</f>
        <v/>
      </c>
      <c r="B1535" s="52">
        <f>IF(Учет!$O1535=Справочники!$F$2,Учет!$H1535,0)</f>
        <v>0</v>
      </c>
      <c r="C1535" s="52">
        <f>IF(Учет!$O1535=Справочники!$F$3,Учет!$H1535,0)</f>
        <v>0</v>
      </c>
      <c r="D1535" s="52">
        <f>IF(Учет!$O1535=Справочники!$F$4,Учет!$H1535,0)</f>
        <v>0</v>
      </c>
      <c r="E1535" s="52">
        <f>IF(Учет!$O1535=Справочники!$F$5,Учет!$H1535,0)</f>
        <v>0</v>
      </c>
      <c r="F1535" s="52">
        <f>IF(Учет!$O1535=Справочники!$F$6,Учет!$H1535,0)</f>
        <v>0</v>
      </c>
      <c r="G1535" s="43">
        <f>G1534+Учет!B1535-B1535</f>
        <v>-488978.92000000004</v>
      </c>
      <c r="H1535" s="43">
        <f>H1534+Учет!C1535-C1535</f>
        <v>336855</v>
      </c>
      <c r="I1535" s="43">
        <f>I1534+Учет!D1535-D1535</f>
        <v>500</v>
      </c>
      <c r="J1535" s="43">
        <f>J1534+Учет!E1535-E1535</f>
        <v>1150</v>
      </c>
      <c r="K1535" s="43">
        <f>K1534+Учет!F1535-F1535</f>
        <v>500000</v>
      </c>
      <c r="L1535" s="45">
        <f>Учет!I1535</f>
        <v>349526.07999999996</v>
      </c>
    </row>
    <row r="1536" spans="1:12" x14ac:dyDescent="0.25">
      <c r="A1536" s="48" t="str">
        <f>IF(Учет!A1536&lt;&gt;"",Учет!A1536,"")</f>
        <v/>
      </c>
      <c r="B1536" s="52">
        <f>IF(Учет!$O1536=Справочники!$F$2,Учет!$H1536,0)</f>
        <v>0</v>
      </c>
      <c r="C1536" s="52">
        <f>IF(Учет!$O1536=Справочники!$F$3,Учет!$H1536,0)</f>
        <v>0</v>
      </c>
      <c r="D1536" s="52">
        <f>IF(Учет!$O1536=Справочники!$F$4,Учет!$H1536,0)</f>
        <v>0</v>
      </c>
      <c r="E1536" s="52">
        <f>IF(Учет!$O1536=Справочники!$F$5,Учет!$H1536,0)</f>
        <v>0</v>
      </c>
      <c r="F1536" s="52">
        <f>IF(Учет!$O1536=Справочники!$F$6,Учет!$H1536,0)</f>
        <v>0</v>
      </c>
      <c r="G1536" s="43">
        <f>G1535+Учет!B1536-B1536</f>
        <v>-488978.92000000004</v>
      </c>
      <c r="H1536" s="43">
        <f>H1535+Учет!C1536-C1536</f>
        <v>336855</v>
      </c>
      <c r="I1536" s="43">
        <f>I1535+Учет!D1536-D1536</f>
        <v>500</v>
      </c>
      <c r="J1536" s="43">
        <f>J1535+Учет!E1536-E1536</f>
        <v>1150</v>
      </c>
      <c r="K1536" s="43">
        <f>K1535+Учет!F1536-F1536</f>
        <v>500000</v>
      </c>
      <c r="L1536" s="45">
        <f>Учет!I1536</f>
        <v>349526.07999999996</v>
      </c>
    </row>
    <row r="1537" spans="1:12" x14ac:dyDescent="0.25">
      <c r="A1537" s="48" t="str">
        <f>IF(Учет!A1537&lt;&gt;"",Учет!A1537,"")</f>
        <v/>
      </c>
      <c r="B1537" s="52">
        <f>IF(Учет!$O1537=Справочники!$F$2,Учет!$H1537,0)</f>
        <v>0</v>
      </c>
      <c r="C1537" s="52">
        <f>IF(Учет!$O1537=Справочники!$F$3,Учет!$H1537,0)</f>
        <v>0</v>
      </c>
      <c r="D1537" s="52">
        <f>IF(Учет!$O1537=Справочники!$F$4,Учет!$H1537,0)</f>
        <v>0</v>
      </c>
      <c r="E1537" s="52">
        <f>IF(Учет!$O1537=Справочники!$F$5,Учет!$H1537,0)</f>
        <v>0</v>
      </c>
      <c r="F1537" s="52">
        <f>IF(Учет!$O1537=Справочники!$F$6,Учет!$H1537,0)</f>
        <v>0</v>
      </c>
      <c r="G1537" s="43">
        <f>G1536+Учет!B1537-B1537</f>
        <v>-488978.92000000004</v>
      </c>
      <c r="H1537" s="43">
        <f>H1536+Учет!C1537-C1537</f>
        <v>336855</v>
      </c>
      <c r="I1537" s="43">
        <f>I1536+Учет!D1537-D1537</f>
        <v>500</v>
      </c>
      <c r="J1537" s="43">
        <f>J1536+Учет!E1537-E1537</f>
        <v>1150</v>
      </c>
      <c r="K1537" s="43">
        <f>K1536+Учет!F1537-F1537</f>
        <v>500000</v>
      </c>
      <c r="L1537" s="45">
        <f>Учет!I1537</f>
        <v>349526.07999999996</v>
      </c>
    </row>
    <row r="1538" spans="1:12" x14ac:dyDescent="0.25">
      <c r="A1538" s="48" t="str">
        <f>IF(Учет!A1538&lt;&gt;"",Учет!A1538,"")</f>
        <v/>
      </c>
      <c r="B1538" s="52">
        <f>IF(Учет!$O1538=Справочники!$F$2,Учет!$H1538,0)</f>
        <v>0</v>
      </c>
      <c r="C1538" s="52">
        <f>IF(Учет!$O1538=Справочники!$F$3,Учет!$H1538,0)</f>
        <v>0</v>
      </c>
      <c r="D1538" s="52">
        <f>IF(Учет!$O1538=Справочники!$F$4,Учет!$H1538,0)</f>
        <v>0</v>
      </c>
      <c r="E1538" s="52">
        <f>IF(Учет!$O1538=Справочники!$F$5,Учет!$H1538,0)</f>
        <v>0</v>
      </c>
      <c r="F1538" s="52">
        <f>IF(Учет!$O1538=Справочники!$F$6,Учет!$H1538,0)</f>
        <v>0</v>
      </c>
      <c r="G1538" s="43">
        <f>G1537+Учет!B1538-B1538</f>
        <v>-488978.92000000004</v>
      </c>
      <c r="H1538" s="43">
        <f>H1537+Учет!C1538-C1538</f>
        <v>336855</v>
      </c>
      <c r="I1538" s="43">
        <f>I1537+Учет!D1538-D1538</f>
        <v>500</v>
      </c>
      <c r="J1538" s="43">
        <f>J1537+Учет!E1538-E1538</f>
        <v>1150</v>
      </c>
      <c r="K1538" s="43">
        <f>K1537+Учет!F1538-F1538</f>
        <v>500000</v>
      </c>
      <c r="L1538" s="45">
        <f>Учет!I1538</f>
        <v>349526.07999999996</v>
      </c>
    </row>
    <row r="1539" spans="1:12" x14ac:dyDescent="0.25">
      <c r="A1539" s="48" t="str">
        <f>IF(Учет!A1539&lt;&gt;"",Учет!A1539,"")</f>
        <v/>
      </c>
      <c r="B1539" s="52">
        <f>IF(Учет!$O1539=Справочники!$F$2,Учет!$H1539,0)</f>
        <v>0</v>
      </c>
      <c r="C1539" s="52">
        <f>IF(Учет!$O1539=Справочники!$F$3,Учет!$H1539,0)</f>
        <v>0</v>
      </c>
      <c r="D1539" s="52">
        <f>IF(Учет!$O1539=Справочники!$F$4,Учет!$H1539,0)</f>
        <v>0</v>
      </c>
      <c r="E1539" s="52">
        <f>IF(Учет!$O1539=Справочники!$F$5,Учет!$H1539,0)</f>
        <v>0</v>
      </c>
      <c r="F1539" s="52">
        <f>IF(Учет!$O1539=Справочники!$F$6,Учет!$H1539,0)</f>
        <v>0</v>
      </c>
      <c r="G1539" s="43">
        <f>G1538+Учет!B1539-B1539</f>
        <v>-488978.92000000004</v>
      </c>
      <c r="H1539" s="43">
        <f>H1538+Учет!C1539-C1539</f>
        <v>336855</v>
      </c>
      <c r="I1539" s="43">
        <f>I1538+Учет!D1539-D1539</f>
        <v>500</v>
      </c>
      <c r="J1539" s="43">
        <f>J1538+Учет!E1539-E1539</f>
        <v>1150</v>
      </c>
      <c r="K1539" s="43">
        <f>K1538+Учет!F1539-F1539</f>
        <v>500000</v>
      </c>
      <c r="L1539" s="45">
        <f>Учет!I1539</f>
        <v>349526.07999999996</v>
      </c>
    </row>
    <row r="1540" spans="1:12" x14ac:dyDescent="0.25">
      <c r="A1540" s="48" t="str">
        <f>IF(Учет!A1540&lt;&gt;"",Учет!A1540,"")</f>
        <v/>
      </c>
      <c r="B1540" s="52">
        <f>IF(Учет!$O1540=Справочники!$F$2,Учет!$H1540,0)</f>
        <v>0</v>
      </c>
      <c r="C1540" s="52">
        <f>IF(Учет!$O1540=Справочники!$F$3,Учет!$H1540,0)</f>
        <v>0</v>
      </c>
      <c r="D1540" s="52">
        <f>IF(Учет!$O1540=Справочники!$F$4,Учет!$H1540,0)</f>
        <v>0</v>
      </c>
      <c r="E1540" s="52">
        <f>IF(Учет!$O1540=Справочники!$F$5,Учет!$H1540,0)</f>
        <v>0</v>
      </c>
      <c r="F1540" s="52">
        <f>IF(Учет!$O1540=Справочники!$F$6,Учет!$H1540,0)</f>
        <v>0</v>
      </c>
      <c r="G1540" s="43">
        <f>G1539+Учет!B1540-B1540</f>
        <v>-488978.92000000004</v>
      </c>
      <c r="H1540" s="43">
        <f>H1539+Учет!C1540-C1540</f>
        <v>336855</v>
      </c>
      <c r="I1540" s="43">
        <f>I1539+Учет!D1540-D1540</f>
        <v>500</v>
      </c>
      <c r="J1540" s="43">
        <f>J1539+Учет!E1540-E1540</f>
        <v>1150</v>
      </c>
      <c r="K1540" s="43">
        <f>K1539+Учет!F1540-F1540</f>
        <v>500000</v>
      </c>
      <c r="L1540" s="45">
        <f>Учет!I1540</f>
        <v>349526.07999999996</v>
      </c>
    </row>
    <row r="1541" spans="1:12" x14ac:dyDescent="0.25">
      <c r="A1541" s="48" t="str">
        <f>IF(Учет!A1541&lt;&gt;"",Учет!A1541,"")</f>
        <v/>
      </c>
      <c r="B1541" s="52">
        <f>IF(Учет!$O1541=Справочники!$F$2,Учет!$H1541,0)</f>
        <v>0</v>
      </c>
      <c r="C1541" s="52">
        <f>IF(Учет!$O1541=Справочники!$F$3,Учет!$H1541,0)</f>
        <v>0</v>
      </c>
      <c r="D1541" s="52">
        <f>IF(Учет!$O1541=Справочники!$F$4,Учет!$H1541,0)</f>
        <v>0</v>
      </c>
      <c r="E1541" s="52">
        <f>IF(Учет!$O1541=Справочники!$F$5,Учет!$H1541,0)</f>
        <v>0</v>
      </c>
      <c r="F1541" s="52">
        <f>IF(Учет!$O1541=Справочники!$F$6,Учет!$H1541,0)</f>
        <v>0</v>
      </c>
      <c r="G1541" s="43">
        <f>G1540+Учет!B1541-B1541</f>
        <v>-488978.92000000004</v>
      </c>
      <c r="H1541" s="43">
        <f>H1540+Учет!C1541-C1541</f>
        <v>336855</v>
      </c>
      <c r="I1541" s="43">
        <f>I1540+Учет!D1541-D1541</f>
        <v>500</v>
      </c>
      <c r="J1541" s="43">
        <f>J1540+Учет!E1541-E1541</f>
        <v>1150</v>
      </c>
      <c r="K1541" s="43">
        <f>K1540+Учет!F1541-F1541</f>
        <v>500000</v>
      </c>
      <c r="L1541" s="45">
        <f>Учет!I1541</f>
        <v>349526.07999999996</v>
      </c>
    </row>
    <row r="1542" spans="1:12" x14ac:dyDescent="0.25">
      <c r="A1542" s="48" t="str">
        <f>IF(Учет!A1542&lt;&gt;"",Учет!A1542,"")</f>
        <v/>
      </c>
      <c r="B1542" s="52">
        <f>IF(Учет!$O1542=Справочники!$F$2,Учет!$H1542,0)</f>
        <v>0</v>
      </c>
      <c r="C1542" s="52">
        <f>IF(Учет!$O1542=Справочники!$F$3,Учет!$H1542,0)</f>
        <v>0</v>
      </c>
      <c r="D1542" s="52">
        <f>IF(Учет!$O1542=Справочники!$F$4,Учет!$H1542,0)</f>
        <v>0</v>
      </c>
      <c r="E1542" s="52">
        <f>IF(Учет!$O1542=Справочники!$F$5,Учет!$H1542,0)</f>
        <v>0</v>
      </c>
      <c r="F1542" s="52">
        <f>IF(Учет!$O1542=Справочники!$F$6,Учет!$H1542,0)</f>
        <v>0</v>
      </c>
      <c r="G1542" s="43">
        <f>G1541+Учет!B1542-B1542</f>
        <v>-488978.92000000004</v>
      </c>
      <c r="H1542" s="43">
        <f>H1541+Учет!C1542-C1542</f>
        <v>336855</v>
      </c>
      <c r="I1542" s="43">
        <f>I1541+Учет!D1542-D1542</f>
        <v>500</v>
      </c>
      <c r="J1542" s="43">
        <f>J1541+Учет!E1542-E1542</f>
        <v>1150</v>
      </c>
      <c r="K1542" s="43">
        <f>K1541+Учет!F1542-F1542</f>
        <v>500000</v>
      </c>
      <c r="L1542" s="45">
        <f>Учет!I1542</f>
        <v>349526.07999999996</v>
      </c>
    </row>
    <row r="1543" spans="1:12" x14ac:dyDescent="0.25">
      <c r="A1543" s="48" t="str">
        <f>IF(Учет!A1543&lt;&gt;"",Учет!A1543,"")</f>
        <v/>
      </c>
      <c r="B1543" s="52">
        <f>IF(Учет!$O1543=Справочники!$F$2,Учет!$H1543,0)</f>
        <v>0</v>
      </c>
      <c r="C1543" s="52">
        <f>IF(Учет!$O1543=Справочники!$F$3,Учет!$H1543,0)</f>
        <v>0</v>
      </c>
      <c r="D1543" s="52">
        <f>IF(Учет!$O1543=Справочники!$F$4,Учет!$H1543,0)</f>
        <v>0</v>
      </c>
      <c r="E1543" s="52">
        <f>IF(Учет!$O1543=Справочники!$F$5,Учет!$H1543,0)</f>
        <v>0</v>
      </c>
      <c r="F1543" s="52">
        <f>IF(Учет!$O1543=Справочники!$F$6,Учет!$H1543,0)</f>
        <v>0</v>
      </c>
      <c r="G1543" s="43">
        <f>G1542+Учет!B1543-B1543</f>
        <v>-488978.92000000004</v>
      </c>
      <c r="H1543" s="43">
        <f>H1542+Учет!C1543-C1543</f>
        <v>336855</v>
      </c>
      <c r="I1543" s="43">
        <f>I1542+Учет!D1543-D1543</f>
        <v>500</v>
      </c>
      <c r="J1543" s="43">
        <f>J1542+Учет!E1543-E1543</f>
        <v>1150</v>
      </c>
      <c r="K1543" s="43">
        <f>K1542+Учет!F1543-F1543</f>
        <v>500000</v>
      </c>
      <c r="L1543" s="45">
        <f>Учет!I1543</f>
        <v>349526.07999999996</v>
      </c>
    </row>
    <row r="1544" spans="1:12" x14ac:dyDescent="0.25">
      <c r="A1544" s="48" t="str">
        <f>IF(Учет!A1544&lt;&gt;"",Учет!A1544,"")</f>
        <v/>
      </c>
      <c r="B1544" s="52">
        <f>IF(Учет!$O1544=Справочники!$F$2,Учет!$H1544,0)</f>
        <v>0</v>
      </c>
      <c r="C1544" s="52">
        <f>IF(Учет!$O1544=Справочники!$F$3,Учет!$H1544,0)</f>
        <v>0</v>
      </c>
      <c r="D1544" s="52">
        <f>IF(Учет!$O1544=Справочники!$F$4,Учет!$H1544,0)</f>
        <v>0</v>
      </c>
      <c r="E1544" s="52">
        <f>IF(Учет!$O1544=Справочники!$F$5,Учет!$H1544,0)</f>
        <v>0</v>
      </c>
      <c r="F1544" s="52">
        <f>IF(Учет!$O1544=Справочники!$F$6,Учет!$H1544,0)</f>
        <v>0</v>
      </c>
      <c r="G1544" s="43">
        <f>G1543+Учет!B1544-B1544</f>
        <v>-488978.92000000004</v>
      </c>
      <c r="H1544" s="43">
        <f>H1543+Учет!C1544-C1544</f>
        <v>336855</v>
      </c>
      <c r="I1544" s="43">
        <f>I1543+Учет!D1544-D1544</f>
        <v>500</v>
      </c>
      <c r="J1544" s="43">
        <f>J1543+Учет!E1544-E1544</f>
        <v>1150</v>
      </c>
      <c r="K1544" s="43">
        <f>K1543+Учет!F1544-F1544</f>
        <v>500000</v>
      </c>
      <c r="L1544" s="45">
        <f>Учет!I1544</f>
        <v>349526.07999999996</v>
      </c>
    </row>
    <row r="1545" spans="1:12" x14ac:dyDescent="0.25">
      <c r="A1545" s="48" t="str">
        <f>IF(Учет!A1545&lt;&gt;"",Учет!A1545,"")</f>
        <v/>
      </c>
      <c r="B1545" s="52">
        <f>IF(Учет!$O1545=Справочники!$F$2,Учет!$H1545,0)</f>
        <v>0</v>
      </c>
      <c r="C1545" s="52">
        <f>IF(Учет!$O1545=Справочники!$F$3,Учет!$H1545,0)</f>
        <v>0</v>
      </c>
      <c r="D1545" s="52">
        <f>IF(Учет!$O1545=Справочники!$F$4,Учет!$H1545,0)</f>
        <v>0</v>
      </c>
      <c r="E1545" s="52">
        <f>IF(Учет!$O1545=Справочники!$F$5,Учет!$H1545,0)</f>
        <v>0</v>
      </c>
      <c r="F1545" s="52">
        <f>IF(Учет!$O1545=Справочники!$F$6,Учет!$H1545,0)</f>
        <v>0</v>
      </c>
      <c r="G1545" s="43">
        <f>G1544+Учет!B1545-B1545</f>
        <v>-488978.92000000004</v>
      </c>
      <c r="H1545" s="43">
        <f>H1544+Учет!C1545-C1545</f>
        <v>336855</v>
      </c>
      <c r="I1545" s="43">
        <f>I1544+Учет!D1545-D1545</f>
        <v>500</v>
      </c>
      <c r="J1545" s="43">
        <f>J1544+Учет!E1545-E1545</f>
        <v>1150</v>
      </c>
      <c r="K1545" s="43">
        <f>K1544+Учет!F1545-F1545</f>
        <v>500000</v>
      </c>
      <c r="L1545" s="45">
        <f>Учет!I1545</f>
        <v>349526.07999999996</v>
      </c>
    </row>
    <row r="1546" spans="1:12" x14ac:dyDescent="0.25">
      <c r="A1546" s="48" t="str">
        <f>IF(Учет!A1546&lt;&gt;"",Учет!A1546,"")</f>
        <v/>
      </c>
      <c r="B1546" s="52">
        <f>IF(Учет!$O1546=Справочники!$F$2,Учет!$H1546,0)</f>
        <v>0</v>
      </c>
      <c r="C1546" s="52">
        <f>IF(Учет!$O1546=Справочники!$F$3,Учет!$H1546,0)</f>
        <v>0</v>
      </c>
      <c r="D1546" s="52">
        <f>IF(Учет!$O1546=Справочники!$F$4,Учет!$H1546,0)</f>
        <v>0</v>
      </c>
      <c r="E1546" s="52">
        <f>IF(Учет!$O1546=Справочники!$F$5,Учет!$H1546,0)</f>
        <v>0</v>
      </c>
      <c r="F1546" s="52">
        <f>IF(Учет!$O1546=Справочники!$F$6,Учет!$H1546,0)</f>
        <v>0</v>
      </c>
      <c r="G1546" s="43">
        <f>G1545+Учет!B1546-B1546</f>
        <v>-488978.92000000004</v>
      </c>
      <c r="H1546" s="43">
        <f>H1545+Учет!C1546-C1546</f>
        <v>336855</v>
      </c>
      <c r="I1546" s="43">
        <f>I1545+Учет!D1546-D1546</f>
        <v>500</v>
      </c>
      <c r="J1546" s="43">
        <f>J1545+Учет!E1546-E1546</f>
        <v>1150</v>
      </c>
      <c r="K1546" s="43">
        <f>K1545+Учет!F1546-F1546</f>
        <v>500000</v>
      </c>
      <c r="L1546" s="45">
        <f>Учет!I1546</f>
        <v>349526.07999999996</v>
      </c>
    </row>
    <row r="1547" spans="1:12" x14ac:dyDescent="0.25">
      <c r="A1547" s="48" t="str">
        <f>IF(Учет!A1547&lt;&gt;"",Учет!A1547,"")</f>
        <v/>
      </c>
      <c r="B1547" s="52">
        <f>IF(Учет!$O1547=Справочники!$F$2,Учет!$H1547,0)</f>
        <v>0</v>
      </c>
      <c r="C1547" s="52">
        <f>IF(Учет!$O1547=Справочники!$F$3,Учет!$H1547,0)</f>
        <v>0</v>
      </c>
      <c r="D1547" s="52">
        <f>IF(Учет!$O1547=Справочники!$F$4,Учет!$H1547,0)</f>
        <v>0</v>
      </c>
      <c r="E1547" s="52">
        <f>IF(Учет!$O1547=Справочники!$F$5,Учет!$H1547,0)</f>
        <v>0</v>
      </c>
      <c r="F1547" s="52">
        <f>IF(Учет!$O1547=Справочники!$F$6,Учет!$H1547,0)</f>
        <v>0</v>
      </c>
      <c r="G1547" s="43">
        <f>G1546+Учет!B1547-B1547</f>
        <v>-488978.92000000004</v>
      </c>
      <c r="H1547" s="43">
        <f>H1546+Учет!C1547-C1547</f>
        <v>336855</v>
      </c>
      <c r="I1547" s="43">
        <f>I1546+Учет!D1547-D1547</f>
        <v>500</v>
      </c>
      <c r="J1547" s="43">
        <f>J1546+Учет!E1547-E1547</f>
        <v>1150</v>
      </c>
      <c r="K1547" s="43">
        <f>K1546+Учет!F1547-F1547</f>
        <v>500000</v>
      </c>
      <c r="L1547" s="45">
        <f>Учет!I1547</f>
        <v>349526.07999999996</v>
      </c>
    </row>
    <row r="1548" spans="1:12" x14ac:dyDescent="0.25">
      <c r="A1548" s="48" t="str">
        <f>IF(Учет!A1548&lt;&gt;"",Учет!A1548,"")</f>
        <v/>
      </c>
      <c r="B1548" s="52">
        <f>IF(Учет!$O1548=Справочники!$F$2,Учет!$H1548,0)</f>
        <v>0</v>
      </c>
      <c r="C1548" s="52">
        <f>IF(Учет!$O1548=Справочники!$F$3,Учет!$H1548,0)</f>
        <v>0</v>
      </c>
      <c r="D1548" s="52">
        <f>IF(Учет!$O1548=Справочники!$F$4,Учет!$H1548,0)</f>
        <v>0</v>
      </c>
      <c r="E1548" s="52">
        <f>IF(Учет!$O1548=Справочники!$F$5,Учет!$H1548,0)</f>
        <v>0</v>
      </c>
      <c r="F1548" s="52">
        <f>IF(Учет!$O1548=Справочники!$F$6,Учет!$H1548,0)</f>
        <v>0</v>
      </c>
      <c r="G1548" s="43">
        <f>G1547+Учет!B1548-B1548</f>
        <v>-488978.92000000004</v>
      </c>
      <c r="H1548" s="43">
        <f>H1547+Учет!C1548-C1548</f>
        <v>336855</v>
      </c>
      <c r="I1548" s="43">
        <f>I1547+Учет!D1548-D1548</f>
        <v>500</v>
      </c>
      <c r="J1548" s="43">
        <f>J1547+Учет!E1548-E1548</f>
        <v>1150</v>
      </c>
      <c r="K1548" s="43">
        <f>K1547+Учет!F1548-F1548</f>
        <v>500000</v>
      </c>
      <c r="L1548" s="45">
        <f>Учет!I1548</f>
        <v>349526.07999999996</v>
      </c>
    </row>
    <row r="1549" spans="1:12" x14ac:dyDescent="0.25">
      <c r="A1549" s="48" t="str">
        <f>IF(Учет!A1549&lt;&gt;"",Учет!A1549,"")</f>
        <v/>
      </c>
      <c r="B1549" s="52">
        <f>IF(Учет!$O1549=Справочники!$F$2,Учет!$H1549,0)</f>
        <v>0</v>
      </c>
      <c r="C1549" s="52">
        <f>IF(Учет!$O1549=Справочники!$F$3,Учет!$H1549,0)</f>
        <v>0</v>
      </c>
      <c r="D1549" s="52">
        <f>IF(Учет!$O1549=Справочники!$F$4,Учет!$H1549,0)</f>
        <v>0</v>
      </c>
      <c r="E1549" s="52">
        <f>IF(Учет!$O1549=Справочники!$F$5,Учет!$H1549,0)</f>
        <v>0</v>
      </c>
      <c r="F1549" s="52">
        <f>IF(Учет!$O1549=Справочники!$F$6,Учет!$H1549,0)</f>
        <v>0</v>
      </c>
      <c r="G1549" s="43">
        <f>G1548+Учет!B1549-B1549</f>
        <v>-488978.92000000004</v>
      </c>
      <c r="H1549" s="43">
        <f>H1548+Учет!C1549-C1549</f>
        <v>336855</v>
      </c>
      <c r="I1549" s="43">
        <f>I1548+Учет!D1549-D1549</f>
        <v>500</v>
      </c>
      <c r="J1549" s="43">
        <f>J1548+Учет!E1549-E1549</f>
        <v>1150</v>
      </c>
      <c r="K1549" s="43">
        <f>K1548+Учет!F1549-F1549</f>
        <v>500000</v>
      </c>
      <c r="L1549" s="45">
        <f>Учет!I1549</f>
        <v>349526.07999999996</v>
      </c>
    </row>
    <row r="1550" spans="1:12" x14ac:dyDescent="0.25">
      <c r="A1550" s="48" t="str">
        <f>IF(Учет!A1550&lt;&gt;"",Учет!A1550,"")</f>
        <v/>
      </c>
      <c r="B1550" s="52">
        <f>IF(Учет!$O1550=Справочники!$F$2,Учет!$H1550,0)</f>
        <v>0</v>
      </c>
      <c r="C1550" s="52">
        <f>IF(Учет!$O1550=Справочники!$F$3,Учет!$H1550,0)</f>
        <v>0</v>
      </c>
      <c r="D1550" s="52">
        <f>IF(Учет!$O1550=Справочники!$F$4,Учет!$H1550,0)</f>
        <v>0</v>
      </c>
      <c r="E1550" s="52">
        <f>IF(Учет!$O1550=Справочники!$F$5,Учет!$H1550,0)</f>
        <v>0</v>
      </c>
      <c r="F1550" s="52">
        <f>IF(Учет!$O1550=Справочники!$F$6,Учет!$H1550,0)</f>
        <v>0</v>
      </c>
      <c r="G1550" s="43">
        <f>G1549+Учет!B1550-B1550</f>
        <v>-488978.92000000004</v>
      </c>
      <c r="H1550" s="43">
        <f>H1549+Учет!C1550-C1550</f>
        <v>336855</v>
      </c>
      <c r="I1550" s="43">
        <f>I1549+Учет!D1550-D1550</f>
        <v>500</v>
      </c>
      <c r="J1550" s="43">
        <f>J1549+Учет!E1550-E1550</f>
        <v>1150</v>
      </c>
      <c r="K1550" s="43">
        <f>K1549+Учет!F1550-F1550</f>
        <v>500000</v>
      </c>
      <c r="L1550" s="45">
        <f>Учет!I1550</f>
        <v>349526.07999999996</v>
      </c>
    </row>
    <row r="1551" spans="1:12" x14ac:dyDescent="0.25">
      <c r="A1551" s="48" t="str">
        <f>IF(Учет!A1551&lt;&gt;"",Учет!A1551,"")</f>
        <v/>
      </c>
      <c r="B1551" s="52">
        <f>IF(Учет!$O1551=Справочники!$F$2,Учет!$H1551,0)</f>
        <v>0</v>
      </c>
      <c r="C1551" s="52">
        <f>IF(Учет!$O1551=Справочники!$F$3,Учет!$H1551,0)</f>
        <v>0</v>
      </c>
      <c r="D1551" s="52">
        <f>IF(Учет!$O1551=Справочники!$F$4,Учет!$H1551,0)</f>
        <v>0</v>
      </c>
      <c r="E1551" s="52">
        <f>IF(Учет!$O1551=Справочники!$F$5,Учет!$H1551,0)</f>
        <v>0</v>
      </c>
      <c r="F1551" s="52">
        <f>IF(Учет!$O1551=Справочники!$F$6,Учет!$H1551,0)</f>
        <v>0</v>
      </c>
      <c r="G1551" s="43">
        <f>G1550+Учет!B1551-B1551</f>
        <v>-488978.92000000004</v>
      </c>
      <c r="H1551" s="43">
        <f>H1550+Учет!C1551-C1551</f>
        <v>336855</v>
      </c>
      <c r="I1551" s="43">
        <f>I1550+Учет!D1551-D1551</f>
        <v>500</v>
      </c>
      <c r="J1551" s="43">
        <f>J1550+Учет!E1551-E1551</f>
        <v>1150</v>
      </c>
      <c r="K1551" s="43">
        <f>K1550+Учет!F1551-F1551</f>
        <v>500000</v>
      </c>
      <c r="L1551" s="45">
        <f>Учет!I1551</f>
        <v>349526.07999999996</v>
      </c>
    </row>
    <row r="1552" spans="1:12" x14ac:dyDescent="0.25">
      <c r="A1552" s="48" t="str">
        <f>IF(Учет!A1552&lt;&gt;"",Учет!A1552,"")</f>
        <v/>
      </c>
      <c r="B1552" s="52">
        <f>IF(Учет!$O1552=Справочники!$F$2,Учет!$H1552,0)</f>
        <v>0</v>
      </c>
      <c r="C1552" s="52">
        <f>IF(Учет!$O1552=Справочники!$F$3,Учет!$H1552,0)</f>
        <v>0</v>
      </c>
      <c r="D1552" s="52">
        <f>IF(Учет!$O1552=Справочники!$F$4,Учет!$H1552,0)</f>
        <v>0</v>
      </c>
      <c r="E1552" s="52">
        <f>IF(Учет!$O1552=Справочники!$F$5,Учет!$H1552,0)</f>
        <v>0</v>
      </c>
      <c r="F1552" s="52">
        <f>IF(Учет!$O1552=Справочники!$F$6,Учет!$H1552,0)</f>
        <v>0</v>
      </c>
      <c r="G1552" s="43">
        <f>G1551+Учет!B1552-B1552</f>
        <v>-488978.92000000004</v>
      </c>
      <c r="H1552" s="43">
        <f>H1551+Учет!C1552-C1552</f>
        <v>336855</v>
      </c>
      <c r="I1552" s="43">
        <f>I1551+Учет!D1552-D1552</f>
        <v>500</v>
      </c>
      <c r="J1552" s="43">
        <f>J1551+Учет!E1552-E1552</f>
        <v>1150</v>
      </c>
      <c r="K1552" s="43">
        <f>K1551+Учет!F1552-F1552</f>
        <v>500000</v>
      </c>
      <c r="L1552" s="45">
        <f>Учет!I1552</f>
        <v>349526.07999999996</v>
      </c>
    </row>
    <row r="1553" spans="1:12" x14ac:dyDescent="0.25">
      <c r="A1553" s="48" t="str">
        <f>IF(Учет!A1553&lt;&gt;"",Учет!A1553,"")</f>
        <v/>
      </c>
      <c r="B1553" s="52">
        <f>IF(Учет!$O1553=Справочники!$F$2,Учет!$H1553,0)</f>
        <v>0</v>
      </c>
      <c r="C1553" s="52">
        <f>IF(Учет!$O1553=Справочники!$F$3,Учет!$H1553,0)</f>
        <v>0</v>
      </c>
      <c r="D1553" s="52">
        <f>IF(Учет!$O1553=Справочники!$F$4,Учет!$H1553,0)</f>
        <v>0</v>
      </c>
      <c r="E1553" s="52">
        <f>IF(Учет!$O1553=Справочники!$F$5,Учет!$H1553,0)</f>
        <v>0</v>
      </c>
      <c r="F1553" s="52">
        <f>IF(Учет!$O1553=Справочники!$F$6,Учет!$H1553,0)</f>
        <v>0</v>
      </c>
      <c r="G1553" s="43">
        <f>G1552+Учет!B1553-B1553</f>
        <v>-488978.92000000004</v>
      </c>
      <c r="H1553" s="43">
        <f>H1552+Учет!C1553-C1553</f>
        <v>336855</v>
      </c>
      <c r="I1553" s="43">
        <f>I1552+Учет!D1553-D1553</f>
        <v>500</v>
      </c>
      <c r="J1553" s="43">
        <f>J1552+Учет!E1553-E1553</f>
        <v>1150</v>
      </c>
      <c r="K1553" s="43">
        <f>K1552+Учет!F1553-F1553</f>
        <v>500000</v>
      </c>
      <c r="L1553" s="45">
        <f>Учет!I1553</f>
        <v>349526.07999999996</v>
      </c>
    </row>
    <row r="1554" spans="1:12" x14ac:dyDescent="0.25">
      <c r="A1554" s="48" t="str">
        <f>IF(Учет!A1554&lt;&gt;"",Учет!A1554,"")</f>
        <v/>
      </c>
      <c r="B1554" s="52">
        <f>IF(Учет!$O1554=Справочники!$F$2,Учет!$H1554,0)</f>
        <v>0</v>
      </c>
      <c r="C1554" s="52">
        <f>IF(Учет!$O1554=Справочники!$F$3,Учет!$H1554,0)</f>
        <v>0</v>
      </c>
      <c r="D1554" s="52">
        <f>IF(Учет!$O1554=Справочники!$F$4,Учет!$H1554,0)</f>
        <v>0</v>
      </c>
      <c r="E1554" s="52">
        <f>IF(Учет!$O1554=Справочники!$F$5,Учет!$H1554,0)</f>
        <v>0</v>
      </c>
      <c r="F1554" s="52">
        <f>IF(Учет!$O1554=Справочники!$F$6,Учет!$H1554,0)</f>
        <v>0</v>
      </c>
      <c r="G1554" s="43">
        <f>G1553+Учет!B1554-B1554</f>
        <v>-488978.92000000004</v>
      </c>
      <c r="H1554" s="43">
        <f>H1553+Учет!C1554-C1554</f>
        <v>336855</v>
      </c>
      <c r="I1554" s="43">
        <f>I1553+Учет!D1554-D1554</f>
        <v>500</v>
      </c>
      <c r="J1554" s="43">
        <f>J1553+Учет!E1554-E1554</f>
        <v>1150</v>
      </c>
      <c r="K1554" s="43">
        <f>K1553+Учет!F1554-F1554</f>
        <v>500000</v>
      </c>
      <c r="L1554" s="45">
        <f>Учет!I1554</f>
        <v>349526.07999999996</v>
      </c>
    </row>
    <row r="1555" spans="1:12" x14ac:dyDescent="0.25">
      <c r="A1555" s="48" t="str">
        <f>IF(Учет!A1555&lt;&gt;"",Учет!A1555,"")</f>
        <v/>
      </c>
      <c r="B1555" s="52">
        <f>IF(Учет!$O1555=Справочники!$F$2,Учет!$H1555,0)</f>
        <v>0</v>
      </c>
      <c r="C1555" s="52">
        <f>IF(Учет!$O1555=Справочники!$F$3,Учет!$H1555,0)</f>
        <v>0</v>
      </c>
      <c r="D1555" s="52">
        <f>IF(Учет!$O1555=Справочники!$F$4,Учет!$H1555,0)</f>
        <v>0</v>
      </c>
      <c r="E1555" s="52">
        <f>IF(Учет!$O1555=Справочники!$F$5,Учет!$H1555,0)</f>
        <v>0</v>
      </c>
      <c r="F1555" s="52">
        <f>IF(Учет!$O1555=Справочники!$F$6,Учет!$H1555,0)</f>
        <v>0</v>
      </c>
      <c r="G1555" s="43">
        <f>G1554+Учет!B1555-B1555</f>
        <v>-488978.92000000004</v>
      </c>
      <c r="H1555" s="43">
        <f>H1554+Учет!C1555-C1555</f>
        <v>336855</v>
      </c>
      <c r="I1555" s="43">
        <f>I1554+Учет!D1555-D1555</f>
        <v>500</v>
      </c>
      <c r="J1555" s="43">
        <f>J1554+Учет!E1555-E1555</f>
        <v>1150</v>
      </c>
      <c r="K1555" s="43">
        <f>K1554+Учет!F1555-F1555</f>
        <v>500000</v>
      </c>
      <c r="L1555" s="45">
        <f>Учет!I1555</f>
        <v>349526.07999999996</v>
      </c>
    </row>
    <row r="1556" spans="1:12" x14ac:dyDescent="0.25">
      <c r="A1556" s="48" t="str">
        <f>IF(Учет!A1556&lt;&gt;"",Учет!A1556,"")</f>
        <v/>
      </c>
      <c r="B1556" s="52">
        <f>IF(Учет!$O1556=Справочники!$F$2,Учет!$H1556,0)</f>
        <v>0</v>
      </c>
      <c r="C1556" s="52">
        <f>IF(Учет!$O1556=Справочники!$F$3,Учет!$H1556,0)</f>
        <v>0</v>
      </c>
      <c r="D1556" s="52">
        <f>IF(Учет!$O1556=Справочники!$F$4,Учет!$H1556,0)</f>
        <v>0</v>
      </c>
      <c r="E1556" s="52">
        <f>IF(Учет!$O1556=Справочники!$F$5,Учет!$H1556,0)</f>
        <v>0</v>
      </c>
      <c r="F1556" s="52">
        <f>IF(Учет!$O1556=Справочники!$F$6,Учет!$H1556,0)</f>
        <v>0</v>
      </c>
      <c r="G1556" s="43">
        <f>G1555+Учет!B1556-B1556</f>
        <v>-488978.92000000004</v>
      </c>
      <c r="H1556" s="43">
        <f>H1555+Учет!C1556-C1556</f>
        <v>336855</v>
      </c>
      <c r="I1556" s="43">
        <f>I1555+Учет!D1556-D1556</f>
        <v>500</v>
      </c>
      <c r="J1556" s="43">
        <f>J1555+Учет!E1556-E1556</f>
        <v>1150</v>
      </c>
      <c r="K1556" s="43">
        <f>K1555+Учет!F1556-F1556</f>
        <v>500000</v>
      </c>
      <c r="L1556" s="45">
        <f>Учет!I1556</f>
        <v>349526.07999999996</v>
      </c>
    </row>
    <row r="1557" spans="1:12" x14ac:dyDescent="0.25">
      <c r="A1557" s="48" t="str">
        <f>IF(Учет!A1557&lt;&gt;"",Учет!A1557,"")</f>
        <v/>
      </c>
      <c r="B1557" s="52">
        <f>IF(Учет!$O1557=Справочники!$F$2,Учет!$H1557,0)</f>
        <v>0</v>
      </c>
      <c r="C1557" s="52">
        <f>IF(Учет!$O1557=Справочники!$F$3,Учет!$H1557,0)</f>
        <v>0</v>
      </c>
      <c r="D1557" s="52">
        <f>IF(Учет!$O1557=Справочники!$F$4,Учет!$H1557,0)</f>
        <v>0</v>
      </c>
      <c r="E1557" s="52">
        <f>IF(Учет!$O1557=Справочники!$F$5,Учет!$H1557,0)</f>
        <v>0</v>
      </c>
      <c r="F1557" s="52">
        <f>IF(Учет!$O1557=Справочники!$F$6,Учет!$H1557,0)</f>
        <v>0</v>
      </c>
      <c r="G1557" s="43">
        <f>G1556+Учет!B1557-B1557</f>
        <v>-488978.92000000004</v>
      </c>
      <c r="H1557" s="43">
        <f>H1556+Учет!C1557-C1557</f>
        <v>336855</v>
      </c>
      <c r="I1557" s="43">
        <f>I1556+Учет!D1557-D1557</f>
        <v>500</v>
      </c>
      <c r="J1557" s="43">
        <f>J1556+Учет!E1557-E1557</f>
        <v>1150</v>
      </c>
      <c r="K1557" s="43">
        <f>K1556+Учет!F1557-F1557</f>
        <v>500000</v>
      </c>
      <c r="L1557" s="45">
        <f>Учет!I1557</f>
        <v>349526.07999999996</v>
      </c>
    </row>
    <row r="1558" spans="1:12" x14ac:dyDescent="0.25">
      <c r="A1558" s="48" t="str">
        <f>IF(Учет!A1558&lt;&gt;"",Учет!A1558,"")</f>
        <v/>
      </c>
      <c r="B1558" s="52">
        <f>IF(Учет!$O1558=Справочники!$F$2,Учет!$H1558,0)</f>
        <v>0</v>
      </c>
      <c r="C1558" s="52">
        <f>IF(Учет!$O1558=Справочники!$F$3,Учет!$H1558,0)</f>
        <v>0</v>
      </c>
      <c r="D1558" s="52">
        <f>IF(Учет!$O1558=Справочники!$F$4,Учет!$H1558,0)</f>
        <v>0</v>
      </c>
      <c r="E1558" s="52">
        <f>IF(Учет!$O1558=Справочники!$F$5,Учет!$H1558,0)</f>
        <v>0</v>
      </c>
      <c r="F1558" s="52">
        <f>IF(Учет!$O1558=Справочники!$F$6,Учет!$H1558,0)</f>
        <v>0</v>
      </c>
      <c r="G1558" s="43">
        <f>G1557+Учет!B1558-B1558</f>
        <v>-488978.92000000004</v>
      </c>
      <c r="H1558" s="43">
        <f>H1557+Учет!C1558-C1558</f>
        <v>336855</v>
      </c>
      <c r="I1558" s="43">
        <f>I1557+Учет!D1558-D1558</f>
        <v>500</v>
      </c>
      <c r="J1558" s="43">
        <f>J1557+Учет!E1558-E1558</f>
        <v>1150</v>
      </c>
      <c r="K1558" s="43">
        <f>K1557+Учет!F1558-F1558</f>
        <v>500000</v>
      </c>
      <c r="L1558" s="45">
        <f>Учет!I1558</f>
        <v>349526.07999999996</v>
      </c>
    </row>
    <row r="1559" spans="1:12" x14ac:dyDescent="0.25">
      <c r="A1559" s="48" t="str">
        <f>IF(Учет!A1559&lt;&gt;"",Учет!A1559,"")</f>
        <v/>
      </c>
      <c r="B1559" s="52">
        <f>IF(Учет!$O1559=Справочники!$F$2,Учет!$H1559,0)</f>
        <v>0</v>
      </c>
      <c r="C1559" s="52">
        <f>IF(Учет!$O1559=Справочники!$F$3,Учет!$H1559,0)</f>
        <v>0</v>
      </c>
      <c r="D1559" s="52">
        <f>IF(Учет!$O1559=Справочники!$F$4,Учет!$H1559,0)</f>
        <v>0</v>
      </c>
      <c r="E1559" s="52">
        <f>IF(Учет!$O1559=Справочники!$F$5,Учет!$H1559,0)</f>
        <v>0</v>
      </c>
      <c r="F1559" s="52">
        <f>IF(Учет!$O1559=Справочники!$F$6,Учет!$H1559,0)</f>
        <v>0</v>
      </c>
      <c r="G1559" s="43">
        <f>G1558+Учет!B1559-B1559</f>
        <v>-488978.92000000004</v>
      </c>
      <c r="H1559" s="43">
        <f>H1558+Учет!C1559-C1559</f>
        <v>336855</v>
      </c>
      <c r="I1559" s="43">
        <f>I1558+Учет!D1559-D1559</f>
        <v>500</v>
      </c>
      <c r="J1559" s="43">
        <f>J1558+Учет!E1559-E1559</f>
        <v>1150</v>
      </c>
      <c r="K1559" s="43">
        <f>K1558+Учет!F1559-F1559</f>
        <v>500000</v>
      </c>
      <c r="L1559" s="45">
        <f>Учет!I1559</f>
        <v>349526.07999999996</v>
      </c>
    </row>
    <row r="1560" spans="1:12" x14ac:dyDescent="0.25">
      <c r="A1560" s="48" t="str">
        <f>IF(Учет!A1560&lt;&gt;"",Учет!A1560,"")</f>
        <v/>
      </c>
      <c r="B1560" s="52">
        <f>IF(Учет!$O1560=Справочники!$F$2,Учет!$H1560,0)</f>
        <v>0</v>
      </c>
      <c r="C1560" s="52">
        <f>IF(Учет!$O1560=Справочники!$F$3,Учет!$H1560,0)</f>
        <v>0</v>
      </c>
      <c r="D1560" s="52">
        <f>IF(Учет!$O1560=Справочники!$F$4,Учет!$H1560,0)</f>
        <v>0</v>
      </c>
      <c r="E1560" s="52">
        <f>IF(Учет!$O1560=Справочники!$F$5,Учет!$H1560,0)</f>
        <v>0</v>
      </c>
      <c r="F1560" s="52">
        <f>IF(Учет!$O1560=Справочники!$F$6,Учет!$H1560,0)</f>
        <v>0</v>
      </c>
      <c r="G1560" s="43">
        <f>G1559+Учет!B1560-B1560</f>
        <v>-488978.92000000004</v>
      </c>
      <c r="H1560" s="43">
        <f>H1559+Учет!C1560-C1560</f>
        <v>336855</v>
      </c>
      <c r="I1560" s="43">
        <f>I1559+Учет!D1560-D1560</f>
        <v>500</v>
      </c>
      <c r="J1560" s="43">
        <f>J1559+Учет!E1560-E1560</f>
        <v>1150</v>
      </c>
      <c r="K1560" s="43">
        <f>K1559+Учет!F1560-F1560</f>
        <v>500000</v>
      </c>
      <c r="L1560" s="45">
        <f>Учет!I1560</f>
        <v>349526.07999999996</v>
      </c>
    </row>
    <row r="1561" spans="1:12" x14ac:dyDescent="0.25">
      <c r="A1561" s="48" t="str">
        <f>IF(Учет!A1561&lt;&gt;"",Учет!A1561,"")</f>
        <v/>
      </c>
      <c r="B1561" s="52">
        <f>IF(Учет!$O1561=Справочники!$F$2,Учет!$H1561,0)</f>
        <v>0</v>
      </c>
      <c r="C1561" s="52">
        <f>IF(Учет!$O1561=Справочники!$F$3,Учет!$H1561,0)</f>
        <v>0</v>
      </c>
      <c r="D1561" s="52">
        <f>IF(Учет!$O1561=Справочники!$F$4,Учет!$H1561,0)</f>
        <v>0</v>
      </c>
      <c r="E1561" s="52">
        <f>IF(Учет!$O1561=Справочники!$F$5,Учет!$H1561,0)</f>
        <v>0</v>
      </c>
      <c r="F1561" s="52">
        <f>IF(Учет!$O1561=Справочники!$F$6,Учет!$H1561,0)</f>
        <v>0</v>
      </c>
      <c r="G1561" s="43">
        <f>G1560+Учет!B1561-B1561</f>
        <v>-488978.92000000004</v>
      </c>
      <c r="H1561" s="43">
        <f>H1560+Учет!C1561-C1561</f>
        <v>336855</v>
      </c>
      <c r="I1561" s="43">
        <f>I1560+Учет!D1561-D1561</f>
        <v>500</v>
      </c>
      <c r="J1561" s="43">
        <f>J1560+Учет!E1561-E1561</f>
        <v>1150</v>
      </c>
      <c r="K1561" s="43">
        <f>K1560+Учет!F1561-F1561</f>
        <v>500000</v>
      </c>
      <c r="L1561" s="45">
        <f>Учет!I1561</f>
        <v>349526.07999999996</v>
      </c>
    </row>
    <row r="1562" spans="1:12" x14ac:dyDescent="0.25">
      <c r="A1562" s="48" t="str">
        <f>IF(Учет!A1562&lt;&gt;"",Учет!A1562,"")</f>
        <v/>
      </c>
      <c r="B1562" s="52">
        <f>IF(Учет!$O1562=Справочники!$F$2,Учет!$H1562,0)</f>
        <v>0</v>
      </c>
      <c r="C1562" s="52">
        <f>IF(Учет!$O1562=Справочники!$F$3,Учет!$H1562,0)</f>
        <v>0</v>
      </c>
      <c r="D1562" s="52">
        <f>IF(Учет!$O1562=Справочники!$F$4,Учет!$H1562,0)</f>
        <v>0</v>
      </c>
      <c r="E1562" s="52">
        <f>IF(Учет!$O1562=Справочники!$F$5,Учет!$H1562,0)</f>
        <v>0</v>
      </c>
      <c r="F1562" s="52">
        <f>IF(Учет!$O1562=Справочники!$F$6,Учет!$H1562,0)</f>
        <v>0</v>
      </c>
      <c r="G1562" s="43">
        <f>G1561+Учет!B1562-B1562</f>
        <v>-488978.92000000004</v>
      </c>
      <c r="H1562" s="43">
        <f>H1561+Учет!C1562-C1562</f>
        <v>336855</v>
      </c>
      <c r="I1562" s="43">
        <f>I1561+Учет!D1562-D1562</f>
        <v>500</v>
      </c>
      <c r="J1562" s="43">
        <f>J1561+Учет!E1562-E1562</f>
        <v>1150</v>
      </c>
      <c r="K1562" s="43">
        <f>K1561+Учет!F1562-F1562</f>
        <v>500000</v>
      </c>
      <c r="L1562" s="45">
        <f>Учет!I1562</f>
        <v>349526.07999999996</v>
      </c>
    </row>
    <row r="1563" spans="1:12" x14ac:dyDescent="0.25">
      <c r="A1563" s="48" t="str">
        <f>IF(Учет!A1563&lt;&gt;"",Учет!A1563,"")</f>
        <v/>
      </c>
      <c r="B1563" s="52">
        <f>IF(Учет!$O1563=Справочники!$F$2,Учет!$H1563,0)</f>
        <v>0</v>
      </c>
      <c r="C1563" s="52">
        <f>IF(Учет!$O1563=Справочники!$F$3,Учет!$H1563,0)</f>
        <v>0</v>
      </c>
      <c r="D1563" s="52">
        <f>IF(Учет!$O1563=Справочники!$F$4,Учет!$H1563,0)</f>
        <v>0</v>
      </c>
      <c r="E1563" s="52">
        <f>IF(Учет!$O1563=Справочники!$F$5,Учет!$H1563,0)</f>
        <v>0</v>
      </c>
      <c r="F1563" s="52">
        <f>IF(Учет!$O1563=Справочники!$F$6,Учет!$H1563,0)</f>
        <v>0</v>
      </c>
      <c r="G1563" s="43">
        <f>G1562+Учет!B1563-B1563</f>
        <v>-488978.92000000004</v>
      </c>
      <c r="H1563" s="43">
        <f>H1562+Учет!C1563-C1563</f>
        <v>336855</v>
      </c>
      <c r="I1563" s="43">
        <f>I1562+Учет!D1563-D1563</f>
        <v>500</v>
      </c>
      <c r="J1563" s="43">
        <f>J1562+Учет!E1563-E1563</f>
        <v>1150</v>
      </c>
      <c r="K1563" s="43">
        <f>K1562+Учет!F1563-F1563</f>
        <v>500000</v>
      </c>
      <c r="L1563" s="45">
        <f>Учет!I1563</f>
        <v>349526.07999999996</v>
      </c>
    </row>
    <row r="1564" spans="1:12" x14ac:dyDescent="0.25">
      <c r="A1564" s="48" t="str">
        <f>IF(Учет!A1564&lt;&gt;"",Учет!A1564,"")</f>
        <v/>
      </c>
      <c r="B1564" s="52">
        <f>IF(Учет!$O1564=Справочники!$F$2,Учет!$H1564,0)</f>
        <v>0</v>
      </c>
      <c r="C1564" s="52">
        <f>IF(Учет!$O1564=Справочники!$F$3,Учет!$H1564,0)</f>
        <v>0</v>
      </c>
      <c r="D1564" s="52">
        <f>IF(Учет!$O1564=Справочники!$F$4,Учет!$H1564,0)</f>
        <v>0</v>
      </c>
      <c r="E1564" s="52">
        <f>IF(Учет!$O1564=Справочники!$F$5,Учет!$H1564,0)</f>
        <v>0</v>
      </c>
      <c r="F1564" s="52">
        <f>IF(Учет!$O1564=Справочники!$F$6,Учет!$H1564,0)</f>
        <v>0</v>
      </c>
      <c r="G1564" s="43">
        <f>G1563+Учет!B1564-B1564</f>
        <v>-488978.92000000004</v>
      </c>
      <c r="H1564" s="43">
        <f>H1563+Учет!C1564-C1564</f>
        <v>336855</v>
      </c>
      <c r="I1564" s="43">
        <f>I1563+Учет!D1564-D1564</f>
        <v>500</v>
      </c>
      <c r="J1564" s="43">
        <f>J1563+Учет!E1564-E1564</f>
        <v>1150</v>
      </c>
      <c r="K1564" s="43">
        <f>K1563+Учет!F1564-F1564</f>
        <v>500000</v>
      </c>
      <c r="L1564" s="45">
        <f>Учет!I1564</f>
        <v>349526.07999999996</v>
      </c>
    </row>
    <row r="1565" spans="1:12" x14ac:dyDescent="0.25">
      <c r="A1565" s="48" t="str">
        <f>IF(Учет!A1565&lt;&gt;"",Учет!A1565,"")</f>
        <v/>
      </c>
      <c r="B1565" s="52">
        <f>IF(Учет!$O1565=Справочники!$F$2,Учет!$H1565,0)</f>
        <v>0</v>
      </c>
      <c r="C1565" s="52">
        <f>IF(Учет!$O1565=Справочники!$F$3,Учет!$H1565,0)</f>
        <v>0</v>
      </c>
      <c r="D1565" s="52">
        <f>IF(Учет!$O1565=Справочники!$F$4,Учет!$H1565,0)</f>
        <v>0</v>
      </c>
      <c r="E1565" s="52">
        <f>IF(Учет!$O1565=Справочники!$F$5,Учет!$H1565,0)</f>
        <v>0</v>
      </c>
      <c r="F1565" s="52">
        <f>IF(Учет!$O1565=Справочники!$F$6,Учет!$H1565,0)</f>
        <v>0</v>
      </c>
      <c r="G1565" s="43">
        <f>G1564+Учет!B1565-B1565</f>
        <v>-488978.92000000004</v>
      </c>
      <c r="H1565" s="43">
        <f>H1564+Учет!C1565-C1565</f>
        <v>336855</v>
      </c>
      <c r="I1565" s="43">
        <f>I1564+Учет!D1565-D1565</f>
        <v>500</v>
      </c>
      <c r="J1565" s="43">
        <f>J1564+Учет!E1565-E1565</f>
        <v>1150</v>
      </c>
      <c r="K1565" s="43">
        <f>K1564+Учет!F1565-F1565</f>
        <v>500000</v>
      </c>
      <c r="L1565" s="45">
        <f>Учет!I1565</f>
        <v>349526.07999999996</v>
      </c>
    </row>
    <row r="1566" spans="1:12" x14ac:dyDescent="0.25">
      <c r="A1566" s="48" t="str">
        <f>IF(Учет!A1566&lt;&gt;"",Учет!A1566,"")</f>
        <v/>
      </c>
      <c r="B1566" s="52">
        <f>IF(Учет!$O1566=Справочники!$F$2,Учет!$H1566,0)</f>
        <v>0</v>
      </c>
      <c r="C1566" s="52">
        <f>IF(Учет!$O1566=Справочники!$F$3,Учет!$H1566,0)</f>
        <v>0</v>
      </c>
      <c r="D1566" s="52">
        <f>IF(Учет!$O1566=Справочники!$F$4,Учет!$H1566,0)</f>
        <v>0</v>
      </c>
      <c r="E1566" s="52">
        <f>IF(Учет!$O1566=Справочники!$F$5,Учет!$H1566,0)</f>
        <v>0</v>
      </c>
      <c r="F1566" s="52">
        <f>IF(Учет!$O1566=Справочники!$F$6,Учет!$H1566,0)</f>
        <v>0</v>
      </c>
      <c r="G1566" s="43">
        <f>G1565+Учет!B1566-B1566</f>
        <v>-488978.92000000004</v>
      </c>
      <c r="H1566" s="43">
        <f>H1565+Учет!C1566-C1566</f>
        <v>336855</v>
      </c>
      <c r="I1566" s="43">
        <f>I1565+Учет!D1566-D1566</f>
        <v>500</v>
      </c>
      <c r="J1566" s="43">
        <f>J1565+Учет!E1566-E1566</f>
        <v>1150</v>
      </c>
      <c r="K1566" s="43">
        <f>K1565+Учет!F1566-F1566</f>
        <v>500000</v>
      </c>
      <c r="L1566" s="45">
        <f>Учет!I1566</f>
        <v>349526.07999999996</v>
      </c>
    </row>
    <row r="1567" spans="1:12" x14ac:dyDescent="0.25">
      <c r="A1567" s="48" t="str">
        <f>IF(Учет!A1567&lt;&gt;"",Учет!A1567,"")</f>
        <v/>
      </c>
      <c r="B1567" s="52">
        <f>IF(Учет!$O1567=Справочники!$F$2,Учет!$H1567,0)</f>
        <v>0</v>
      </c>
      <c r="C1567" s="52">
        <f>IF(Учет!$O1567=Справочники!$F$3,Учет!$H1567,0)</f>
        <v>0</v>
      </c>
      <c r="D1567" s="52">
        <f>IF(Учет!$O1567=Справочники!$F$4,Учет!$H1567,0)</f>
        <v>0</v>
      </c>
      <c r="E1567" s="52">
        <f>IF(Учет!$O1567=Справочники!$F$5,Учет!$H1567,0)</f>
        <v>0</v>
      </c>
      <c r="F1567" s="52">
        <f>IF(Учет!$O1567=Справочники!$F$6,Учет!$H1567,0)</f>
        <v>0</v>
      </c>
      <c r="G1567" s="43">
        <f>G1566+Учет!B1567-B1567</f>
        <v>-488978.92000000004</v>
      </c>
      <c r="H1567" s="43">
        <f>H1566+Учет!C1567-C1567</f>
        <v>336855</v>
      </c>
      <c r="I1567" s="43">
        <f>I1566+Учет!D1567-D1567</f>
        <v>500</v>
      </c>
      <c r="J1567" s="43">
        <f>J1566+Учет!E1567-E1567</f>
        <v>1150</v>
      </c>
      <c r="K1567" s="43">
        <f>K1566+Учет!F1567-F1567</f>
        <v>500000</v>
      </c>
      <c r="L1567" s="45">
        <f>Учет!I1567</f>
        <v>349526.07999999996</v>
      </c>
    </row>
    <row r="1568" spans="1:12" x14ac:dyDescent="0.25">
      <c r="A1568" s="48" t="str">
        <f>IF(Учет!A1568&lt;&gt;"",Учет!A1568,"")</f>
        <v/>
      </c>
      <c r="B1568" s="52">
        <f>IF(Учет!$O1568=Справочники!$F$2,Учет!$H1568,0)</f>
        <v>0</v>
      </c>
      <c r="C1568" s="52">
        <f>IF(Учет!$O1568=Справочники!$F$3,Учет!$H1568,0)</f>
        <v>0</v>
      </c>
      <c r="D1568" s="52">
        <f>IF(Учет!$O1568=Справочники!$F$4,Учет!$H1568,0)</f>
        <v>0</v>
      </c>
      <c r="E1568" s="52">
        <f>IF(Учет!$O1568=Справочники!$F$5,Учет!$H1568,0)</f>
        <v>0</v>
      </c>
      <c r="F1568" s="52">
        <f>IF(Учет!$O1568=Справочники!$F$6,Учет!$H1568,0)</f>
        <v>0</v>
      </c>
      <c r="G1568" s="43">
        <f>G1567+Учет!B1568-B1568</f>
        <v>-488978.92000000004</v>
      </c>
      <c r="H1568" s="43">
        <f>H1567+Учет!C1568-C1568</f>
        <v>336855</v>
      </c>
      <c r="I1568" s="43">
        <f>I1567+Учет!D1568-D1568</f>
        <v>500</v>
      </c>
      <c r="J1568" s="43">
        <f>J1567+Учет!E1568-E1568</f>
        <v>1150</v>
      </c>
      <c r="K1568" s="43">
        <f>K1567+Учет!F1568-F1568</f>
        <v>500000</v>
      </c>
      <c r="L1568" s="45">
        <f>Учет!I1568</f>
        <v>349526.07999999996</v>
      </c>
    </row>
    <row r="1569" spans="1:12" x14ac:dyDescent="0.25">
      <c r="A1569" s="48" t="str">
        <f>IF(Учет!A1569&lt;&gt;"",Учет!A1569,"")</f>
        <v/>
      </c>
      <c r="B1569" s="52">
        <f>IF(Учет!$O1569=Справочники!$F$2,Учет!$H1569,0)</f>
        <v>0</v>
      </c>
      <c r="C1569" s="52">
        <f>IF(Учет!$O1569=Справочники!$F$3,Учет!$H1569,0)</f>
        <v>0</v>
      </c>
      <c r="D1569" s="52">
        <f>IF(Учет!$O1569=Справочники!$F$4,Учет!$H1569,0)</f>
        <v>0</v>
      </c>
      <c r="E1569" s="52">
        <f>IF(Учет!$O1569=Справочники!$F$5,Учет!$H1569,0)</f>
        <v>0</v>
      </c>
      <c r="F1569" s="52">
        <f>IF(Учет!$O1569=Справочники!$F$6,Учет!$H1569,0)</f>
        <v>0</v>
      </c>
      <c r="G1569" s="43">
        <f>G1568+Учет!B1569-B1569</f>
        <v>-488978.92000000004</v>
      </c>
      <c r="H1569" s="43">
        <f>H1568+Учет!C1569-C1569</f>
        <v>336855</v>
      </c>
      <c r="I1569" s="43">
        <f>I1568+Учет!D1569-D1569</f>
        <v>500</v>
      </c>
      <c r="J1569" s="43">
        <f>J1568+Учет!E1569-E1569</f>
        <v>1150</v>
      </c>
      <c r="K1569" s="43">
        <f>K1568+Учет!F1569-F1569</f>
        <v>500000</v>
      </c>
      <c r="L1569" s="45">
        <f>Учет!I1569</f>
        <v>349526.07999999996</v>
      </c>
    </row>
    <row r="1570" spans="1:12" x14ac:dyDescent="0.25">
      <c r="A1570" s="48" t="str">
        <f>IF(Учет!A1570&lt;&gt;"",Учет!A1570,"")</f>
        <v/>
      </c>
      <c r="B1570" s="52">
        <f>IF(Учет!$O1570=Справочники!$F$2,Учет!$H1570,0)</f>
        <v>0</v>
      </c>
      <c r="C1570" s="52">
        <f>IF(Учет!$O1570=Справочники!$F$3,Учет!$H1570,0)</f>
        <v>0</v>
      </c>
      <c r="D1570" s="52">
        <f>IF(Учет!$O1570=Справочники!$F$4,Учет!$H1570,0)</f>
        <v>0</v>
      </c>
      <c r="E1570" s="52">
        <f>IF(Учет!$O1570=Справочники!$F$5,Учет!$H1570,0)</f>
        <v>0</v>
      </c>
      <c r="F1570" s="52">
        <f>IF(Учет!$O1570=Справочники!$F$6,Учет!$H1570,0)</f>
        <v>0</v>
      </c>
      <c r="G1570" s="43">
        <f>G1569+Учет!B1570-B1570</f>
        <v>-488978.92000000004</v>
      </c>
      <c r="H1570" s="43">
        <f>H1569+Учет!C1570-C1570</f>
        <v>336855</v>
      </c>
      <c r="I1570" s="43">
        <f>I1569+Учет!D1570-D1570</f>
        <v>500</v>
      </c>
      <c r="J1570" s="43">
        <f>J1569+Учет!E1570-E1570</f>
        <v>1150</v>
      </c>
      <c r="K1570" s="43">
        <f>K1569+Учет!F1570-F1570</f>
        <v>500000</v>
      </c>
      <c r="L1570" s="45">
        <f>Учет!I1570</f>
        <v>349526.07999999996</v>
      </c>
    </row>
    <row r="1571" spans="1:12" x14ac:dyDescent="0.25">
      <c r="A1571" s="48" t="str">
        <f>IF(Учет!A1571&lt;&gt;"",Учет!A1571,"")</f>
        <v/>
      </c>
      <c r="B1571" s="52">
        <f>IF(Учет!$O1571=Справочники!$F$2,Учет!$H1571,0)</f>
        <v>0</v>
      </c>
      <c r="C1571" s="52">
        <f>IF(Учет!$O1571=Справочники!$F$3,Учет!$H1571,0)</f>
        <v>0</v>
      </c>
      <c r="D1571" s="52">
        <f>IF(Учет!$O1571=Справочники!$F$4,Учет!$H1571,0)</f>
        <v>0</v>
      </c>
      <c r="E1571" s="52">
        <f>IF(Учет!$O1571=Справочники!$F$5,Учет!$H1571,0)</f>
        <v>0</v>
      </c>
      <c r="F1571" s="52">
        <f>IF(Учет!$O1571=Справочники!$F$6,Учет!$H1571,0)</f>
        <v>0</v>
      </c>
      <c r="G1571" s="43">
        <f>G1570+Учет!B1571-B1571</f>
        <v>-488978.92000000004</v>
      </c>
      <c r="H1571" s="43">
        <f>H1570+Учет!C1571-C1571</f>
        <v>336855</v>
      </c>
      <c r="I1571" s="43">
        <f>I1570+Учет!D1571-D1571</f>
        <v>500</v>
      </c>
      <c r="J1571" s="43">
        <f>J1570+Учет!E1571-E1571</f>
        <v>1150</v>
      </c>
      <c r="K1571" s="43">
        <f>K1570+Учет!F1571-F1571</f>
        <v>500000</v>
      </c>
      <c r="L1571" s="45">
        <f>Учет!I1571</f>
        <v>349526.07999999996</v>
      </c>
    </row>
    <row r="1572" spans="1:12" x14ac:dyDescent="0.25">
      <c r="A1572" s="48" t="str">
        <f>IF(Учет!A1572&lt;&gt;"",Учет!A1572,"")</f>
        <v/>
      </c>
      <c r="B1572" s="52">
        <f>IF(Учет!$O1572=Справочники!$F$2,Учет!$H1572,0)</f>
        <v>0</v>
      </c>
      <c r="C1572" s="52">
        <f>IF(Учет!$O1572=Справочники!$F$3,Учет!$H1572,0)</f>
        <v>0</v>
      </c>
      <c r="D1572" s="52">
        <f>IF(Учет!$O1572=Справочники!$F$4,Учет!$H1572,0)</f>
        <v>0</v>
      </c>
      <c r="E1572" s="52">
        <f>IF(Учет!$O1572=Справочники!$F$5,Учет!$H1572,0)</f>
        <v>0</v>
      </c>
      <c r="F1572" s="52">
        <f>IF(Учет!$O1572=Справочники!$F$6,Учет!$H1572,0)</f>
        <v>0</v>
      </c>
      <c r="G1572" s="43">
        <f>G1571+Учет!B1572-B1572</f>
        <v>-488978.92000000004</v>
      </c>
      <c r="H1572" s="43">
        <f>H1571+Учет!C1572-C1572</f>
        <v>336855</v>
      </c>
      <c r="I1572" s="43">
        <f>I1571+Учет!D1572-D1572</f>
        <v>500</v>
      </c>
      <c r="J1572" s="43">
        <f>J1571+Учет!E1572-E1572</f>
        <v>1150</v>
      </c>
      <c r="K1572" s="43">
        <f>K1571+Учет!F1572-F1572</f>
        <v>500000</v>
      </c>
      <c r="L1572" s="45">
        <f>Учет!I1572</f>
        <v>349526.07999999996</v>
      </c>
    </row>
    <row r="1573" spans="1:12" x14ac:dyDescent="0.25">
      <c r="A1573" s="48" t="str">
        <f>IF(Учет!A1573&lt;&gt;"",Учет!A1573,"")</f>
        <v/>
      </c>
      <c r="B1573" s="52">
        <f>IF(Учет!$O1573=Справочники!$F$2,Учет!$H1573,0)</f>
        <v>0</v>
      </c>
      <c r="C1573" s="52">
        <f>IF(Учет!$O1573=Справочники!$F$3,Учет!$H1573,0)</f>
        <v>0</v>
      </c>
      <c r="D1573" s="52">
        <f>IF(Учет!$O1573=Справочники!$F$4,Учет!$H1573,0)</f>
        <v>0</v>
      </c>
      <c r="E1573" s="52">
        <f>IF(Учет!$O1573=Справочники!$F$5,Учет!$H1573,0)</f>
        <v>0</v>
      </c>
      <c r="F1573" s="52">
        <f>IF(Учет!$O1573=Справочники!$F$6,Учет!$H1573,0)</f>
        <v>0</v>
      </c>
      <c r="G1573" s="43">
        <f>G1572+Учет!B1573-B1573</f>
        <v>-488978.92000000004</v>
      </c>
      <c r="H1573" s="43">
        <f>H1572+Учет!C1573-C1573</f>
        <v>336855</v>
      </c>
      <c r="I1573" s="43">
        <f>I1572+Учет!D1573-D1573</f>
        <v>500</v>
      </c>
      <c r="J1573" s="43">
        <f>J1572+Учет!E1573-E1573</f>
        <v>1150</v>
      </c>
      <c r="K1573" s="43">
        <f>K1572+Учет!F1573-F1573</f>
        <v>500000</v>
      </c>
      <c r="L1573" s="45">
        <f>Учет!I1573</f>
        <v>349526.07999999996</v>
      </c>
    </row>
    <row r="1574" spans="1:12" x14ac:dyDescent="0.25">
      <c r="A1574" s="48" t="str">
        <f>IF(Учет!A1574&lt;&gt;"",Учет!A1574,"")</f>
        <v/>
      </c>
      <c r="B1574" s="52">
        <f>IF(Учет!$O1574=Справочники!$F$2,Учет!$H1574,0)</f>
        <v>0</v>
      </c>
      <c r="C1574" s="52">
        <f>IF(Учет!$O1574=Справочники!$F$3,Учет!$H1574,0)</f>
        <v>0</v>
      </c>
      <c r="D1574" s="52">
        <f>IF(Учет!$O1574=Справочники!$F$4,Учет!$H1574,0)</f>
        <v>0</v>
      </c>
      <c r="E1574" s="52">
        <f>IF(Учет!$O1574=Справочники!$F$5,Учет!$H1574,0)</f>
        <v>0</v>
      </c>
      <c r="F1574" s="52">
        <f>IF(Учет!$O1574=Справочники!$F$6,Учет!$H1574,0)</f>
        <v>0</v>
      </c>
      <c r="G1574" s="43">
        <f>G1573+Учет!B1574-B1574</f>
        <v>-488978.92000000004</v>
      </c>
      <c r="H1574" s="43">
        <f>H1573+Учет!C1574-C1574</f>
        <v>336855</v>
      </c>
      <c r="I1574" s="43">
        <f>I1573+Учет!D1574-D1574</f>
        <v>500</v>
      </c>
      <c r="J1574" s="43">
        <f>J1573+Учет!E1574-E1574</f>
        <v>1150</v>
      </c>
      <c r="K1574" s="43">
        <f>K1573+Учет!F1574-F1574</f>
        <v>500000</v>
      </c>
      <c r="L1574" s="45">
        <f>Учет!I1574</f>
        <v>349526.07999999996</v>
      </c>
    </row>
    <row r="1575" spans="1:12" x14ac:dyDescent="0.25">
      <c r="A1575" s="48" t="str">
        <f>IF(Учет!A1575&lt;&gt;"",Учет!A1575,"")</f>
        <v/>
      </c>
      <c r="B1575" s="52">
        <f>IF(Учет!$O1575=Справочники!$F$2,Учет!$H1575,0)</f>
        <v>0</v>
      </c>
      <c r="C1575" s="52">
        <f>IF(Учет!$O1575=Справочники!$F$3,Учет!$H1575,0)</f>
        <v>0</v>
      </c>
      <c r="D1575" s="52">
        <f>IF(Учет!$O1575=Справочники!$F$4,Учет!$H1575,0)</f>
        <v>0</v>
      </c>
      <c r="E1575" s="52">
        <f>IF(Учет!$O1575=Справочники!$F$5,Учет!$H1575,0)</f>
        <v>0</v>
      </c>
      <c r="F1575" s="52">
        <f>IF(Учет!$O1575=Справочники!$F$6,Учет!$H1575,0)</f>
        <v>0</v>
      </c>
      <c r="G1575" s="43">
        <f>G1574+Учет!B1575-B1575</f>
        <v>-488978.92000000004</v>
      </c>
      <c r="H1575" s="43">
        <f>H1574+Учет!C1575-C1575</f>
        <v>336855</v>
      </c>
      <c r="I1575" s="43">
        <f>I1574+Учет!D1575-D1575</f>
        <v>500</v>
      </c>
      <c r="J1575" s="43">
        <f>J1574+Учет!E1575-E1575</f>
        <v>1150</v>
      </c>
      <c r="K1575" s="43">
        <f>K1574+Учет!F1575-F1575</f>
        <v>500000</v>
      </c>
      <c r="L1575" s="45">
        <f>Учет!I1575</f>
        <v>349526.07999999996</v>
      </c>
    </row>
    <row r="1576" spans="1:12" x14ac:dyDescent="0.25">
      <c r="A1576" s="48" t="str">
        <f>IF(Учет!A1576&lt;&gt;"",Учет!A1576,"")</f>
        <v/>
      </c>
      <c r="B1576" s="52">
        <f>IF(Учет!$O1576=Справочники!$F$2,Учет!$H1576,0)</f>
        <v>0</v>
      </c>
      <c r="C1576" s="52">
        <f>IF(Учет!$O1576=Справочники!$F$3,Учет!$H1576,0)</f>
        <v>0</v>
      </c>
      <c r="D1576" s="52">
        <f>IF(Учет!$O1576=Справочники!$F$4,Учет!$H1576,0)</f>
        <v>0</v>
      </c>
      <c r="E1576" s="52">
        <f>IF(Учет!$O1576=Справочники!$F$5,Учет!$H1576,0)</f>
        <v>0</v>
      </c>
      <c r="F1576" s="52">
        <f>IF(Учет!$O1576=Справочники!$F$6,Учет!$H1576,0)</f>
        <v>0</v>
      </c>
      <c r="G1576" s="43">
        <f>G1575+Учет!B1576-B1576</f>
        <v>-488978.92000000004</v>
      </c>
      <c r="H1576" s="43">
        <f>H1575+Учет!C1576-C1576</f>
        <v>336855</v>
      </c>
      <c r="I1576" s="43">
        <f>I1575+Учет!D1576-D1576</f>
        <v>500</v>
      </c>
      <c r="J1576" s="43">
        <f>J1575+Учет!E1576-E1576</f>
        <v>1150</v>
      </c>
      <c r="K1576" s="43">
        <f>K1575+Учет!F1576-F1576</f>
        <v>500000</v>
      </c>
      <c r="L1576" s="45">
        <f>Учет!I1576</f>
        <v>349526.07999999996</v>
      </c>
    </row>
    <row r="1577" spans="1:12" x14ac:dyDescent="0.25">
      <c r="A1577" s="48" t="str">
        <f>IF(Учет!A1577&lt;&gt;"",Учет!A1577,"")</f>
        <v/>
      </c>
      <c r="B1577" s="52">
        <f>IF(Учет!$O1577=Справочники!$F$2,Учет!$H1577,0)</f>
        <v>0</v>
      </c>
      <c r="C1577" s="52">
        <f>IF(Учет!$O1577=Справочники!$F$3,Учет!$H1577,0)</f>
        <v>0</v>
      </c>
      <c r="D1577" s="52">
        <f>IF(Учет!$O1577=Справочники!$F$4,Учет!$H1577,0)</f>
        <v>0</v>
      </c>
      <c r="E1577" s="52">
        <f>IF(Учет!$O1577=Справочники!$F$5,Учет!$H1577,0)</f>
        <v>0</v>
      </c>
      <c r="F1577" s="52">
        <f>IF(Учет!$O1577=Справочники!$F$6,Учет!$H1577,0)</f>
        <v>0</v>
      </c>
      <c r="G1577" s="43">
        <f>G1576+Учет!B1577-B1577</f>
        <v>-488978.92000000004</v>
      </c>
      <c r="H1577" s="43">
        <f>H1576+Учет!C1577-C1577</f>
        <v>336855</v>
      </c>
      <c r="I1577" s="43">
        <f>I1576+Учет!D1577-D1577</f>
        <v>500</v>
      </c>
      <c r="J1577" s="43">
        <f>J1576+Учет!E1577-E1577</f>
        <v>1150</v>
      </c>
      <c r="K1577" s="43">
        <f>K1576+Учет!F1577-F1577</f>
        <v>500000</v>
      </c>
      <c r="L1577" s="45">
        <f>Учет!I1577</f>
        <v>349526.07999999996</v>
      </c>
    </row>
    <row r="1578" spans="1:12" x14ac:dyDescent="0.25">
      <c r="A1578" s="48" t="str">
        <f>IF(Учет!A1578&lt;&gt;"",Учет!A1578,"")</f>
        <v/>
      </c>
      <c r="B1578" s="52">
        <f>IF(Учет!$O1578=Справочники!$F$2,Учет!$H1578,0)</f>
        <v>0</v>
      </c>
      <c r="C1578" s="52">
        <f>IF(Учет!$O1578=Справочники!$F$3,Учет!$H1578,0)</f>
        <v>0</v>
      </c>
      <c r="D1578" s="52">
        <f>IF(Учет!$O1578=Справочники!$F$4,Учет!$H1578,0)</f>
        <v>0</v>
      </c>
      <c r="E1578" s="52">
        <f>IF(Учет!$O1578=Справочники!$F$5,Учет!$H1578,0)</f>
        <v>0</v>
      </c>
      <c r="F1578" s="52">
        <f>IF(Учет!$O1578=Справочники!$F$6,Учет!$H1578,0)</f>
        <v>0</v>
      </c>
      <c r="G1578" s="43">
        <f>G1577+Учет!B1578-B1578</f>
        <v>-488978.92000000004</v>
      </c>
      <c r="H1578" s="43">
        <f>H1577+Учет!C1578-C1578</f>
        <v>336855</v>
      </c>
      <c r="I1578" s="43">
        <f>I1577+Учет!D1578-D1578</f>
        <v>500</v>
      </c>
      <c r="J1578" s="43">
        <f>J1577+Учет!E1578-E1578</f>
        <v>1150</v>
      </c>
      <c r="K1578" s="43">
        <f>K1577+Учет!F1578-F1578</f>
        <v>500000</v>
      </c>
      <c r="L1578" s="45">
        <f>Учет!I1578</f>
        <v>349526.07999999996</v>
      </c>
    </row>
    <row r="1579" spans="1:12" x14ac:dyDescent="0.25">
      <c r="A1579" s="48" t="str">
        <f>IF(Учет!A1579&lt;&gt;"",Учет!A1579,"")</f>
        <v/>
      </c>
      <c r="B1579" s="52">
        <f>IF(Учет!$O1579=Справочники!$F$2,Учет!$H1579,0)</f>
        <v>0</v>
      </c>
      <c r="C1579" s="52">
        <f>IF(Учет!$O1579=Справочники!$F$3,Учет!$H1579,0)</f>
        <v>0</v>
      </c>
      <c r="D1579" s="52">
        <f>IF(Учет!$O1579=Справочники!$F$4,Учет!$H1579,0)</f>
        <v>0</v>
      </c>
      <c r="E1579" s="52">
        <f>IF(Учет!$O1579=Справочники!$F$5,Учет!$H1579,0)</f>
        <v>0</v>
      </c>
      <c r="F1579" s="52">
        <f>IF(Учет!$O1579=Справочники!$F$6,Учет!$H1579,0)</f>
        <v>0</v>
      </c>
      <c r="G1579" s="43">
        <f>G1578+Учет!B1579-B1579</f>
        <v>-488978.92000000004</v>
      </c>
      <c r="H1579" s="43">
        <f>H1578+Учет!C1579-C1579</f>
        <v>336855</v>
      </c>
      <c r="I1579" s="43">
        <f>I1578+Учет!D1579-D1579</f>
        <v>500</v>
      </c>
      <c r="J1579" s="43">
        <f>J1578+Учет!E1579-E1579</f>
        <v>1150</v>
      </c>
      <c r="K1579" s="43">
        <f>K1578+Учет!F1579-F1579</f>
        <v>500000</v>
      </c>
      <c r="L1579" s="45">
        <f>Учет!I1579</f>
        <v>349526.07999999996</v>
      </c>
    </row>
    <row r="1580" spans="1:12" x14ac:dyDescent="0.25">
      <c r="A1580" s="48" t="str">
        <f>IF(Учет!A1580&lt;&gt;"",Учет!A1580,"")</f>
        <v/>
      </c>
      <c r="B1580" s="52">
        <f>IF(Учет!$O1580=Справочники!$F$2,Учет!$H1580,0)</f>
        <v>0</v>
      </c>
      <c r="C1580" s="52">
        <f>IF(Учет!$O1580=Справочники!$F$3,Учет!$H1580,0)</f>
        <v>0</v>
      </c>
      <c r="D1580" s="52">
        <f>IF(Учет!$O1580=Справочники!$F$4,Учет!$H1580,0)</f>
        <v>0</v>
      </c>
      <c r="E1580" s="52">
        <f>IF(Учет!$O1580=Справочники!$F$5,Учет!$H1580,0)</f>
        <v>0</v>
      </c>
      <c r="F1580" s="52">
        <f>IF(Учет!$O1580=Справочники!$F$6,Учет!$H1580,0)</f>
        <v>0</v>
      </c>
      <c r="G1580" s="43">
        <f>G1579+Учет!B1580-B1580</f>
        <v>-488978.92000000004</v>
      </c>
      <c r="H1580" s="43">
        <f>H1579+Учет!C1580-C1580</f>
        <v>336855</v>
      </c>
      <c r="I1580" s="43">
        <f>I1579+Учет!D1580-D1580</f>
        <v>500</v>
      </c>
      <c r="J1580" s="43">
        <f>J1579+Учет!E1580-E1580</f>
        <v>1150</v>
      </c>
      <c r="K1580" s="43">
        <f>K1579+Учет!F1580-F1580</f>
        <v>500000</v>
      </c>
      <c r="L1580" s="45">
        <f>Учет!I1580</f>
        <v>349526.07999999996</v>
      </c>
    </row>
    <row r="1581" spans="1:12" x14ac:dyDescent="0.25">
      <c r="A1581" s="48" t="str">
        <f>IF(Учет!A1581&lt;&gt;"",Учет!A1581,"")</f>
        <v/>
      </c>
      <c r="B1581" s="52">
        <f>IF(Учет!$O1581=Справочники!$F$2,Учет!$H1581,0)</f>
        <v>0</v>
      </c>
      <c r="C1581" s="52">
        <f>IF(Учет!$O1581=Справочники!$F$3,Учет!$H1581,0)</f>
        <v>0</v>
      </c>
      <c r="D1581" s="52">
        <f>IF(Учет!$O1581=Справочники!$F$4,Учет!$H1581,0)</f>
        <v>0</v>
      </c>
      <c r="E1581" s="52">
        <f>IF(Учет!$O1581=Справочники!$F$5,Учет!$H1581,0)</f>
        <v>0</v>
      </c>
      <c r="F1581" s="52">
        <f>IF(Учет!$O1581=Справочники!$F$6,Учет!$H1581,0)</f>
        <v>0</v>
      </c>
      <c r="G1581" s="43">
        <f>G1580+Учет!B1581-B1581</f>
        <v>-488978.92000000004</v>
      </c>
      <c r="H1581" s="43">
        <f>H1580+Учет!C1581-C1581</f>
        <v>336855</v>
      </c>
      <c r="I1581" s="43">
        <f>I1580+Учет!D1581-D1581</f>
        <v>500</v>
      </c>
      <c r="J1581" s="43">
        <f>J1580+Учет!E1581-E1581</f>
        <v>1150</v>
      </c>
      <c r="K1581" s="43">
        <f>K1580+Учет!F1581-F1581</f>
        <v>500000</v>
      </c>
      <c r="L1581" s="45">
        <f>Учет!I1581</f>
        <v>349526.07999999996</v>
      </c>
    </row>
    <row r="1582" spans="1:12" x14ac:dyDescent="0.25">
      <c r="A1582" s="48" t="str">
        <f>IF(Учет!A1582&lt;&gt;"",Учет!A1582,"")</f>
        <v/>
      </c>
      <c r="B1582" s="52">
        <f>IF(Учет!$O1582=Справочники!$F$2,Учет!$H1582,0)</f>
        <v>0</v>
      </c>
      <c r="C1582" s="52">
        <f>IF(Учет!$O1582=Справочники!$F$3,Учет!$H1582,0)</f>
        <v>0</v>
      </c>
      <c r="D1582" s="52">
        <f>IF(Учет!$O1582=Справочники!$F$4,Учет!$H1582,0)</f>
        <v>0</v>
      </c>
      <c r="E1582" s="52">
        <f>IF(Учет!$O1582=Справочники!$F$5,Учет!$H1582,0)</f>
        <v>0</v>
      </c>
      <c r="F1582" s="52">
        <f>IF(Учет!$O1582=Справочники!$F$6,Учет!$H1582,0)</f>
        <v>0</v>
      </c>
      <c r="G1582" s="43">
        <f>G1581+Учет!B1582-B1582</f>
        <v>-488978.92000000004</v>
      </c>
      <c r="H1582" s="43">
        <f>H1581+Учет!C1582-C1582</f>
        <v>336855</v>
      </c>
      <c r="I1582" s="43">
        <f>I1581+Учет!D1582-D1582</f>
        <v>500</v>
      </c>
      <c r="J1582" s="43">
        <f>J1581+Учет!E1582-E1582</f>
        <v>1150</v>
      </c>
      <c r="K1582" s="43">
        <f>K1581+Учет!F1582-F1582</f>
        <v>500000</v>
      </c>
      <c r="L1582" s="45">
        <f>Учет!I1582</f>
        <v>349526.07999999996</v>
      </c>
    </row>
    <row r="1583" spans="1:12" x14ac:dyDescent="0.25">
      <c r="A1583" s="48" t="str">
        <f>IF(Учет!A1583&lt;&gt;"",Учет!A1583,"")</f>
        <v/>
      </c>
      <c r="B1583" s="52">
        <f>IF(Учет!$O1583=Справочники!$F$2,Учет!$H1583,0)</f>
        <v>0</v>
      </c>
      <c r="C1583" s="52">
        <f>IF(Учет!$O1583=Справочники!$F$3,Учет!$H1583,0)</f>
        <v>0</v>
      </c>
      <c r="D1583" s="52">
        <f>IF(Учет!$O1583=Справочники!$F$4,Учет!$H1583,0)</f>
        <v>0</v>
      </c>
      <c r="E1583" s="52">
        <f>IF(Учет!$O1583=Справочники!$F$5,Учет!$H1583,0)</f>
        <v>0</v>
      </c>
      <c r="F1583" s="52">
        <f>IF(Учет!$O1583=Справочники!$F$6,Учет!$H1583,0)</f>
        <v>0</v>
      </c>
      <c r="G1583" s="43">
        <f>G1582+Учет!B1583-B1583</f>
        <v>-488978.92000000004</v>
      </c>
      <c r="H1583" s="43">
        <f>H1582+Учет!C1583-C1583</f>
        <v>336855</v>
      </c>
      <c r="I1583" s="43">
        <f>I1582+Учет!D1583-D1583</f>
        <v>500</v>
      </c>
      <c r="J1583" s="43">
        <f>J1582+Учет!E1583-E1583</f>
        <v>1150</v>
      </c>
      <c r="K1583" s="43">
        <f>K1582+Учет!F1583-F1583</f>
        <v>500000</v>
      </c>
      <c r="L1583" s="45">
        <f>Учет!I1583</f>
        <v>349526.07999999996</v>
      </c>
    </row>
    <row r="1584" spans="1:12" x14ac:dyDescent="0.25">
      <c r="A1584" s="48" t="str">
        <f>IF(Учет!A1584&lt;&gt;"",Учет!A1584,"")</f>
        <v/>
      </c>
      <c r="B1584" s="52">
        <f>IF(Учет!$O1584=Справочники!$F$2,Учет!$H1584,0)</f>
        <v>0</v>
      </c>
      <c r="C1584" s="52">
        <f>IF(Учет!$O1584=Справочники!$F$3,Учет!$H1584,0)</f>
        <v>0</v>
      </c>
      <c r="D1584" s="52">
        <f>IF(Учет!$O1584=Справочники!$F$4,Учет!$H1584,0)</f>
        <v>0</v>
      </c>
      <c r="E1584" s="52">
        <f>IF(Учет!$O1584=Справочники!$F$5,Учет!$H1584,0)</f>
        <v>0</v>
      </c>
      <c r="F1584" s="52">
        <f>IF(Учет!$O1584=Справочники!$F$6,Учет!$H1584,0)</f>
        <v>0</v>
      </c>
      <c r="G1584" s="43">
        <f>G1583+Учет!B1584-B1584</f>
        <v>-488978.92000000004</v>
      </c>
      <c r="H1584" s="43">
        <f>H1583+Учет!C1584-C1584</f>
        <v>336855</v>
      </c>
      <c r="I1584" s="43">
        <f>I1583+Учет!D1584-D1584</f>
        <v>500</v>
      </c>
      <c r="J1584" s="43">
        <f>J1583+Учет!E1584-E1584</f>
        <v>1150</v>
      </c>
      <c r="K1584" s="43">
        <f>K1583+Учет!F1584-F1584</f>
        <v>500000</v>
      </c>
      <c r="L1584" s="45">
        <f>Учет!I1584</f>
        <v>349526.07999999996</v>
      </c>
    </row>
    <row r="1585" spans="1:12" x14ac:dyDescent="0.25">
      <c r="A1585" s="48" t="str">
        <f>IF(Учет!A1585&lt;&gt;"",Учет!A1585,"")</f>
        <v/>
      </c>
      <c r="B1585" s="52">
        <f>IF(Учет!$O1585=Справочники!$F$2,Учет!$H1585,0)</f>
        <v>0</v>
      </c>
      <c r="C1585" s="52">
        <f>IF(Учет!$O1585=Справочники!$F$3,Учет!$H1585,0)</f>
        <v>0</v>
      </c>
      <c r="D1585" s="52">
        <f>IF(Учет!$O1585=Справочники!$F$4,Учет!$H1585,0)</f>
        <v>0</v>
      </c>
      <c r="E1585" s="52">
        <f>IF(Учет!$O1585=Справочники!$F$5,Учет!$H1585,0)</f>
        <v>0</v>
      </c>
      <c r="F1585" s="52">
        <f>IF(Учет!$O1585=Справочники!$F$6,Учет!$H1585,0)</f>
        <v>0</v>
      </c>
      <c r="G1585" s="43">
        <f>G1584+Учет!B1585-B1585</f>
        <v>-488978.92000000004</v>
      </c>
      <c r="H1585" s="43">
        <f>H1584+Учет!C1585-C1585</f>
        <v>336855</v>
      </c>
      <c r="I1585" s="43">
        <f>I1584+Учет!D1585-D1585</f>
        <v>500</v>
      </c>
      <c r="J1585" s="43">
        <f>J1584+Учет!E1585-E1585</f>
        <v>1150</v>
      </c>
      <c r="K1585" s="43">
        <f>K1584+Учет!F1585-F1585</f>
        <v>500000</v>
      </c>
      <c r="L1585" s="45">
        <f>Учет!I1585</f>
        <v>349526.07999999996</v>
      </c>
    </row>
    <row r="1586" spans="1:12" x14ac:dyDescent="0.25">
      <c r="A1586" s="48" t="str">
        <f>IF(Учет!A1586&lt;&gt;"",Учет!A1586,"")</f>
        <v/>
      </c>
      <c r="B1586" s="52">
        <f>IF(Учет!$O1586=Справочники!$F$2,Учет!$H1586,0)</f>
        <v>0</v>
      </c>
      <c r="C1586" s="52">
        <f>IF(Учет!$O1586=Справочники!$F$3,Учет!$H1586,0)</f>
        <v>0</v>
      </c>
      <c r="D1586" s="52">
        <f>IF(Учет!$O1586=Справочники!$F$4,Учет!$H1586,0)</f>
        <v>0</v>
      </c>
      <c r="E1586" s="52">
        <f>IF(Учет!$O1586=Справочники!$F$5,Учет!$H1586,0)</f>
        <v>0</v>
      </c>
      <c r="F1586" s="52">
        <f>IF(Учет!$O1586=Справочники!$F$6,Учет!$H1586,0)</f>
        <v>0</v>
      </c>
      <c r="G1586" s="43">
        <f>G1585+Учет!B1586-B1586</f>
        <v>-488978.92000000004</v>
      </c>
      <c r="H1586" s="43">
        <f>H1585+Учет!C1586-C1586</f>
        <v>336855</v>
      </c>
      <c r="I1586" s="43">
        <f>I1585+Учет!D1586-D1586</f>
        <v>500</v>
      </c>
      <c r="J1586" s="43">
        <f>J1585+Учет!E1586-E1586</f>
        <v>1150</v>
      </c>
      <c r="K1586" s="43">
        <f>K1585+Учет!F1586-F1586</f>
        <v>500000</v>
      </c>
      <c r="L1586" s="45">
        <f>Учет!I1586</f>
        <v>349526.07999999996</v>
      </c>
    </row>
    <row r="1587" spans="1:12" x14ac:dyDescent="0.25">
      <c r="A1587" s="48" t="str">
        <f>IF(Учет!A1587&lt;&gt;"",Учет!A1587,"")</f>
        <v/>
      </c>
      <c r="B1587" s="52">
        <f>IF(Учет!$O1587=Справочники!$F$2,Учет!$H1587,0)</f>
        <v>0</v>
      </c>
      <c r="C1587" s="52">
        <f>IF(Учет!$O1587=Справочники!$F$3,Учет!$H1587,0)</f>
        <v>0</v>
      </c>
      <c r="D1587" s="52">
        <f>IF(Учет!$O1587=Справочники!$F$4,Учет!$H1587,0)</f>
        <v>0</v>
      </c>
      <c r="E1587" s="52">
        <f>IF(Учет!$O1587=Справочники!$F$5,Учет!$H1587,0)</f>
        <v>0</v>
      </c>
      <c r="F1587" s="52">
        <f>IF(Учет!$O1587=Справочники!$F$6,Учет!$H1587,0)</f>
        <v>0</v>
      </c>
      <c r="G1587" s="43">
        <f>G1586+Учет!B1587-B1587</f>
        <v>-488978.92000000004</v>
      </c>
      <c r="H1587" s="43">
        <f>H1586+Учет!C1587-C1587</f>
        <v>336855</v>
      </c>
      <c r="I1587" s="43">
        <f>I1586+Учет!D1587-D1587</f>
        <v>500</v>
      </c>
      <c r="J1587" s="43">
        <f>J1586+Учет!E1587-E1587</f>
        <v>1150</v>
      </c>
      <c r="K1587" s="43">
        <f>K1586+Учет!F1587-F1587</f>
        <v>500000</v>
      </c>
      <c r="L1587" s="45">
        <f>Учет!I1587</f>
        <v>349526.07999999996</v>
      </c>
    </row>
    <row r="1588" spans="1:12" x14ac:dyDescent="0.25">
      <c r="A1588" s="48" t="str">
        <f>IF(Учет!A1588&lt;&gt;"",Учет!A1588,"")</f>
        <v/>
      </c>
      <c r="B1588" s="52">
        <f>IF(Учет!$O1588=Справочники!$F$2,Учет!$H1588,0)</f>
        <v>0</v>
      </c>
      <c r="C1588" s="52">
        <f>IF(Учет!$O1588=Справочники!$F$3,Учет!$H1588,0)</f>
        <v>0</v>
      </c>
      <c r="D1588" s="52">
        <f>IF(Учет!$O1588=Справочники!$F$4,Учет!$H1588,0)</f>
        <v>0</v>
      </c>
      <c r="E1588" s="52">
        <f>IF(Учет!$O1588=Справочники!$F$5,Учет!$H1588,0)</f>
        <v>0</v>
      </c>
      <c r="F1588" s="52">
        <f>IF(Учет!$O1588=Справочники!$F$6,Учет!$H1588,0)</f>
        <v>0</v>
      </c>
      <c r="G1588" s="43">
        <f>G1587+Учет!B1588-B1588</f>
        <v>-488978.92000000004</v>
      </c>
      <c r="H1588" s="43">
        <f>H1587+Учет!C1588-C1588</f>
        <v>336855</v>
      </c>
      <c r="I1588" s="43">
        <f>I1587+Учет!D1588-D1588</f>
        <v>500</v>
      </c>
      <c r="J1588" s="43">
        <f>J1587+Учет!E1588-E1588</f>
        <v>1150</v>
      </c>
      <c r="K1588" s="43">
        <f>K1587+Учет!F1588-F1588</f>
        <v>500000</v>
      </c>
      <c r="L1588" s="45">
        <f>Учет!I1588</f>
        <v>349526.07999999996</v>
      </c>
    </row>
    <row r="1589" spans="1:12" x14ac:dyDescent="0.25">
      <c r="A1589" s="48" t="str">
        <f>IF(Учет!A1589&lt;&gt;"",Учет!A1589,"")</f>
        <v/>
      </c>
      <c r="B1589" s="52">
        <f>IF(Учет!$O1589=Справочники!$F$2,Учет!$H1589,0)</f>
        <v>0</v>
      </c>
      <c r="C1589" s="52">
        <f>IF(Учет!$O1589=Справочники!$F$3,Учет!$H1589,0)</f>
        <v>0</v>
      </c>
      <c r="D1589" s="52">
        <f>IF(Учет!$O1589=Справочники!$F$4,Учет!$H1589,0)</f>
        <v>0</v>
      </c>
      <c r="E1589" s="52">
        <f>IF(Учет!$O1589=Справочники!$F$5,Учет!$H1589,0)</f>
        <v>0</v>
      </c>
      <c r="F1589" s="52">
        <f>IF(Учет!$O1589=Справочники!$F$6,Учет!$H1589,0)</f>
        <v>0</v>
      </c>
      <c r="G1589" s="43">
        <f>G1588+Учет!B1589-B1589</f>
        <v>-488978.92000000004</v>
      </c>
      <c r="H1589" s="43">
        <f>H1588+Учет!C1589-C1589</f>
        <v>336855</v>
      </c>
      <c r="I1589" s="43">
        <f>I1588+Учет!D1589-D1589</f>
        <v>500</v>
      </c>
      <c r="J1589" s="43">
        <f>J1588+Учет!E1589-E1589</f>
        <v>1150</v>
      </c>
      <c r="K1589" s="43">
        <f>K1588+Учет!F1589-F1589</f>
        <v>500000</v>
      </c>
      <c r="L1589" s="45">
        <f>Учет!I1589</f>
        <v>349526.07999999996</v>
      </c>
    </row>
    <row r="1590" spans="1:12" x14ac:dyDescent="0.25">
      <c r="A1590" s="48" t="str">
        <f>IF(Учет!A1590&lt;&gt;"",Учет!A1590,"")</f>
        <v/>
      </c>
      <c r="B1590" s="52">
        <f>IF(Учет!$O1590=Справочники!$F$2,Учет!$H1590,0)</f>
        <v>0</v>
      </c>
      <c r="C1590" s="52">
        <f>IF(Учет!$O1590=Справочники!$F$3,Учет!$H1590,0)</f>
        <v>0</v>
      </c>
      <c r="D1590" s="52">
        <f>IF(Учет!$O1590=Справочники!$F$4,Учет!$H1590,0)</f>
        <v>0</v>
      </c>
      <c r="E1590" s="52">
        <f>IF(Учет!$O1590=Справочники!$F$5,Учет!$H1590,0)</f>
        <v>0</v>
      </c>
      <c r="F1590" s="52">
        <f>IF(Учет!$O1590=Справочники!$F$6,Учет!$H1590,0)</f>
        <v>0</v>
      </c>
      <c r="G1590" s="43">
        <f>G1589+Учет!B1590-B1590</f>
        <v>-488978.92000000004</v>
      </c>
      <c r="H1590" s="43">
        <f>H1589+Учет!C1590-C1590</f>
        <v>336855</v>
      </c>
      <c r="I1590" s="43">
        <f>I1589+Учет!D1590-D1590</f>
        <v>500</v>
      </c>
      <c r="J1590" s="43">
        <f>J1589+Учет!E1590-E1590</f>
        <v>1150</v>
      </c>
      <c r="K1590" s="43">
        <f>K1589+Учет!F1590-F1590</f>
        <v>500000</v>
      </c>
      <c r="L1590" s="45">
        <f>Учет!I1590</f>
        <v>349526.07999999996</v>
      </c>
    </row>
    <row r="1591" spans="1:12" x14ac:dyDescent="0.25">
      <c r="A1591" s="48" t="str">
        <f>IF(Учет!A1591&lt;&gt;"",Учет!A1591,"")</f>
        <v/>
      </c>
      <c r="B1591" s="52">
        <f>IF(Учет!$O1591=Справочники!$F$2,Учет!$H1591,0)</f>
        <v>0</v>
      </c>
      <c r="C1591" s="52">
        <f>IF(Учет!$O1591=Справочники!$F$3,Учет!$H1591,0)</f>
        <v>0</v>
      </c>
      <c r="D1591" s="52">
        <f>IF(Учет!$O1591=Справочники!$F$4,Учет!$H1591,0)</f>
        <v>0</v>
      </c>
      <c r="E1591" s="52">
        <f>IF(Учет!$O1591=Справочники!$F$5,Учет!$H1591,0)</f>
        <v>0</v>
      </c>
      <c r="F1591" s="52">
        <f>IF(Учет!$O1591=Справочники!$F$6,Учет!$H1591,0)</f>
        <v>0</v>
      </c>
      <c r="G1591" s="43">
        <f>G1590+Учет!B1591-B1591</f>
        <v>-488978.92000000004</v>
      </c>
      <c r="H1591" s="43">
        <f>H1590+Учет!C1591-C1591</f>
        <v>336855</v>
      </c>
      <c r="I1591" s="43">
        <f>I1590+Учет!D1591-D1591</f>
        <v>500</v>
      </c>
      <c r="J1591" s="43">
        <f>J1590+Учет!E1591-E1591</f>
        <v>1150</v>
      </c>
      <c r="K1591" s="43">
        <f>K1590+Учет!F1591-F1591</f>
        <v>500000</v>
      </c>
      <c r="L1591" s="45">
        <f>Учет!I1591</f>
        <v>349526.07999999996</v>
      </c>
    </row>
    <row r="1592" spans="1:12" x14ac:dyDescent="0.25">
      <c r="A1592" s="48" t="str">
        <f>IF(Учет!A1592&lt;&gt;"",Учет!A1592,"")</f>
        <v/>
      </c>
      <c r="B1592" s="52">
        <f>IF(Учет!$O1592=Справочники!$F$2,Учет!$H1592,0)</f>
        <v>0</v>
      </c>
      <c r="C1592" s="52">
        <f>IF(Учет!$O1592=Справочники!$F$3,Учет!$H1592,0)</f>
        <v>0</v>
      </c>
      <c r="D1592" s="52">
        <f>IF(Учет!$O1592=Справочники!$F$4,Учет!$H1592,0)</f>
        <v>0</v>
      </c>
      <c r="E1592" s="52">
        <f>IF(Учет!$O1592=Справочники!$F$5,Учет!$H1592,0)</f>
        <v>0</v>
      </c>
      <c r="F1592" s="52">
        <f>IF(Учет!$O1592=Справочники!$F$6,Учет!$H1592,0)</f>
        <v>0</v>
      </c>
      <c r="G1592" s="43">
        <f>G1591+Учет!B1592-B1592</f>
        <v>-488978.92000000004</v>
      </c>
      <c r="H1592" s="43">
        <f>H1591+Учет!C1592-C1592</f>
        <v>336855</v>
      </c>
      <c r="I1592" s="43">
        <f>I1591+Учет!D1592-D1592</f>
        <v>500</v>
      </c>
      <c r="J1592" s="43">
        <f>J1591+Учет!E1592-E1592</f>
        <v>1150</v>
      </c>
      <c r="K1592" s="43">
        <f>K1591+Учет!F1592-F1592</f>
        <v>500000</v>
      </c>
      <c r="L1592" s="45">
        <f>Учет!I1592</f>
        <v>349526.07999999996</v>
      </c>
    </row>
    <row r="1593" spans="1:12" x14ac:dyDescent="0.25">
      <c r="A1593" s="48" t="str">
        <f>IF(Учет!A1593&lt;&gt;"",Учет!A1593,"")</f>
        <v/>
      </c>
      <c r="B1593" s="52">
        <f>IF(Учет!$O1593=Справочники!$F$2,Учет!$H1593,0)</f>
        <v>0</v>
      </c>
      <c r="C1593" s="52">
        <f>IF(Учет!$O1593=Справочники!$F$3,Учет!$H1593,0)</f>
        <v>0</v>
      </c>
      <c r="D1593" s="52">
        <f>IF(Учет!$O1593=Справочники!$F$4,Учет!$H1593,0)</f>
        <v>0</v>
      </c>
      <c r="E1593" s="52">
        <f>IF(Учет!$O1593=Справочники!$F$5,Учет!$H1593,0)</f>
        <v>0</v>
      </c>
      <c r="F1593" s="52">
        <f>IF(Учет!$O1593=Справочники!$F$6,Учет!$H1593,0)</f>
        <v>0</v>
      </c>
      <c r="G1593" s="43">
        <f>G1592+Учет!B1593-B1593</f>
        <v>-488978.92000000004</v>
      </c>
      <c r="H1593" s="43">
        <f>H1592+Учет!C1593-C1593</f>
        <v>336855</v>
      </c>
      <c r="I1593" s="43">
        <f>I1592+Учет!D1593-D1593</f>
        <v>500</v>
      </c>
      <c r="J1593" s="43">
        <f>J1592+Учет!E1593-E1593</f>
        <v>1150</v>
      </c>
      <c r="K1593" s="43">
        <f>K1592+Учет!F1593-F1593</f>
        <v>500000</v>
      </c>
      <c r="L1593" s="45">
        <f>Учет!I1593</f>
        <v>349526.07999999996</v>
      </c>
    </row>
    <row r="1594" spans="1:12" x14ac:dyDescent="0.25">
      <c r="A1594" s="48" t="str">
        <f>IF(Учет!A1594&lt;&gt;"",Учет!A1594,"")</f>
        <v/>
      </c>
      <c r="B1594" s="52">
        <f>IF(Учет!$O1594=Справочники!$F$2,Учет!$H1594,0)</f>
        <v>0</v>
      </c>
      <c r="C1594" s="52">
        <f>IF(Учет!$O1594=Справочники!$F$3,Учет!$H1594,0)</f>
        <v>0</v>
      </c>
      <c r="D1594" s="52">
        <f>IF(Учет!$O1594=Справочники!$F$4,Учет!$H1594,0)</f>
        <v>0</v>
      </c>
      <c r="E1594" s="52">
        <f>IF(Учет!$O1594=Справочники!$F$5,Учет!$H1594,0)</f>
        <v>0</v>
      </c>
      <c r="F1594" s="52">
        <f>IF(Учет!$O1594=Справочники!$F$6,Учет!$H1594,0)</f>
        <v>0</v>
      </c>
      <c r="G1594" s="43">
        <f>G1593+Учет!B1594-B1594</f>
        <v>-488978.92000000004</v>
      </c>
      <c r="H1594" s="43">
        <f>H1593+Учет!C1594-C1594</f>
        <v>336855</v>
      </c>
      <c r="I1594" s="43">
        <f>I1593+Учет!D1594-D1594</f>
        <v>500</v>
      </c>
      <c r="J1594" s="43">
        <f>J1593+Учет!E1594-E1594</f>
        <v>1150</v>
      </c>
      <c r="K1594" s="43">
        <f>K1593+Учет!F1594-F1594</f>
        <v>500000</v>
      </c>
      <c r="L1594" s="45">
        <f>Учет!I1594</f>
        <v>349526.07999999996</v>
      </c>
    </row>
    <row r="1595" spans="1:12" x14ac:dyDescent="0.25">
      <c r="A1595" s="48" t="str">
        <f>IF(Учет!A1595&lt;&gt;"",Учет!A1595,"")</f>
        <v/>
      </c>
      <c r="B1595" s="52">
        <f>IF(Учет!$O1595=Справочники!$F$2,Учет!$H1595,0)</f>
        <v>0</v>
      </c>
      <c r="C1595" s="52">
        <f>IF(Учет!$O1595=Справочники!$F$3,Учет!$H1595,0)</f>
        <v>0</v>
      </c>
      <c r="D1595" s="52">
        <f>IF(Учет!$O1595=Справочники!$F$4,Учет!$H1595,0)</f>
        <v>0</v>
      </c>
      <c r="E1595" s="52">
        <f>IF(Учет!$O1595=Справочники!$F$5,Учет!$H1595,0)</f>
        <v>0</v>
      </c>
      <c r="F1595" s="52">
        <f>IF(Учет!$O1595=Справочники!$F$6,Учет!$H1595,0)</f>
        <v>0</v>
      </c>
      <c r="G1595" s="43">
        <f>G1594+Учет!B1595-B1595</f>
        <v>-488978.92000000004</v>
      </c>
      <c r="H1595" s="43">
        <f>H1594+Учет!C1595-C1595</f>
        <v>336855</v>
      </c>
      <c r="I1595" s="43">
        <f>I1594+Учет!D1595-D1595</f>
        <v>500</v>
      </c>
      <c r="J1595" s="43">
        <f>J1594+Учет!E1595-E1595</f>
        <v>1150</v>
      </c>
      <c r="K1595" s="43">
        <f>K1594+Учет!F1595-F1595</f>
        <v>500000</v>
      </c>
      <c r="L1595" s="45">
        <f>Учет!I1595</f>
        <v>349526.07999999996</v>
      </c>
    </row>
    <row r="1596" spans="1:12" x14ac:dyDescent="0.25">
      <c r="A1596" s="48" t="str">
        <f>IF(Учет!A1596&lt;&gt;"",Учет!A1596,"")</f>
        <v/>
      </c>
      <c r="B1596" s="52">
        <f>IF(Учет!$O1596=Справочники!$F$2,Учет!$H1596,0)</f>
        <v>0</v>
      </c>
      <c r="C1596" s="52">
        <f>IF(Учет!$O1596=Справочники!$F$3,Учет!$H1596,0)</f>
        <v>0</v>
      </c>
      <c r="D1596" s="52">
        <f>IF(Учет!$O1596=Справочники!$F$4,Учет!$H1596,0)</f>
        <v>0</v>
      </c>
      <c r="E1596" s="52">
        <f>IF(Учет!$O1596=Справочники!$F$5,Учет!$H1596,0)</f>
        <v>0</v>
      </c>
      <c r="F1596" s="52">
        <f>IF(Учет!$O1596=Справочники!$F$6,Учет!$H1596,0)</f>
        <v>0</v>
      </c>
      <c r="G1596" s="43">
        <f>G1595+Учет!B1596-B1596</f>
        <v>-488978.92000000004</v>
      </c>
      <c r="H1596" s="43">
        <f>H1595+Учет!C1596-C1596</f>
        <v>336855</v>
      </c>
      <c r="I1596" s="43">
        <f>I1595+Учет!D1596-D1596</f>
        <v>500</v>
      </c>
      <c r="J1596" s="43">
        <f>J1595+Учет!E1596-E1596</f>
        <v>1150</v>
      </c>
      <c r="K1596" s="43">
        <f>K1595+Учет!F1596-F1596</f>
        <v>500000</v>
      </c>
      <c r="L1596" s="45">
        <f>Учет!I1596</f>
        <v>349526.07999999996</v>
      </c>
    </row>
    <row r="1597" spans="1:12" x14ac:dyDescent="0.25">
      <c r="A1597" s="48" t="str">
        <f>IF(Учет!A1597&lt;&gt;"",Учет!A1597,"")</f>
        <v/>
      </c>
      <c r="B1597" s="52">
        <f>IF(Учет!$O1597=Справочники!$F$2,Учет!$H1597,0)</f>
        <v>0</v>
      </c>
      <c r="C1597" s="52">
        <f>IF(Учет!$O1597=Справочники!$F$3,Учет!$H1597,0)</f>
        <v>0</v>
      </c>
      <c r="D1597" s="52">
        <f>IF(Учет!$O1597=Справочники!$F$4,Учет!$H1597,0)</f>
        <v>0</v>
      </c>
      <c r="E1597" s="52">
        <f>IF(Учет!$O1597=Справочники!$F$5,Учет!$H1597,0)</f>
        <v>0</v>
      </c>
      <c r="F1597" s="52">
        <f>IF(Учет!$O1597=Справочники!$F$6,Учет!$H1597,0)</f>
        <v>0</v>
      </c>
      <c r="G1597" s="43">
        <f>G1596+Учет!B1597-B1597</f>
        <v>-488978.92000000004</v>
      </c>
      <c r="H1597" s="43">
        <f>H1596+Учет!C1597-C1597</f>
        <v>336855</v>
      </c>
      <c r="I1597" s="43">
        <f>I1596+Учет!D1597-D1597</f>
        <v>500</v>
      </c>
      <c r="J1597" s="43">
        <f>J1596+Учет!E1597-E1597</f>
        <v>1150</v>
      </c>
      <c r="K1597" s="43">
        <f>K1596+Учет!F1597-F1597</f>
        <v>500000</v>
      </c>
      <c r="L1597" s="45">
        <f>Учет!I1597</f>
        <v>349526.07999999996</v>
      </c>
    </row>
    <row r="1598" spans="1:12" x14ac:dyDescent="0.25">
      <c r="A1598" s="48" t="str">
        <f>IF(Учет!A1598&lt;&gt;"",Учет!A1598,"")</f>
        <v/>
      </c>
      <c r="B1598" s="52">
        <f>IF(Учет!$O1598=Справочники!$F$2,Учет!$H1598,0)</f>
        <v>0</v>
      </c>
      <c r="C1598" s="52">
        <f>IF(Учет!$O1598=Справочники!$F$3,Учет!$H1598,0)</f>
        <v>0</v>
      </c>
      <c r="D1598" s="52">
        <f>IF(Учет!$O1598=Справочники!$F$4,Учет!$H1598,0)</f>
        <v>0</v>
      </c>
      <c r="E1598" s="52">
        <f>IF(Учет!$O1598=Справочники!$F$5,Учет!$H1598,0)</f>
        <v>0</v>
      </c>
      <c r="F1598" s="52">
        <f>IF(Учет!$O1598=Справочники!$F$6,Учет!$H1598,0)</f>
        <v>0</v>
      </c>
      <c r="G1598" s="43">
        <f>G1597+Учет!B1598-B1598</f>
        <v>-488978.92000000004</v>
      </c>
      <c r="H1598" s="43">
        <f>H1597+Учет!C1598-C1598</f>
        <v>336855</v>
      </c>
      <c r="I1598" s="43">
        <f>I1597+Учет!D1598-D1598</f>
        <v>500</v>
      </c>
      <c r="J1598" s="43">
        <f>J1597+Учет!E1598-E1598</f>
        <v>1150</v>
      </c>
      <c r="K1598" s="43">
        <f>K1597+Учет!F1598-F1598</f>
        <v>500000</v>
      </c>
      <c r="L1598" s="45">
        <f>Учет!I1598</f>
        <v>349526.07999999996</v>
      </c>
    </row>
    <row r="1599" spans="1:12" x14ac:dyDescent="0.25">
      <c r="A1599" s="48" t="str">
        <f>IF(Учет!A1599&lt;&gt;"",Учет!A1599,"")</f>
        <v/>
      </c>
      <c r="B1599" s="52">
        <f>IF(Учет!$O1599=Справочники!$F$2,Учет!$H1599,0)</f>
        <v>0</v>
      </c>
      <c r="C1599" s="52">
        <f>IF(Учет!$O1599=Справочники!$F$3,Учет!$H1599,0)</f>
        <v>0</v>
      </c>
      <c r="D1599" s="52">
        <f>IF(Учет!$O1599=Справочники!$F$4,Учет!$H1599,0)</f>
        <v>0</v>
      </c>
      <c r="E1599" s="52">
        <f>IF(Учет!$O1599=Справочники!$F$5,Учет!$H1599,0)</f>
        <v>0</v>
      </c>
      <c r="F1599" s="52">
        <f>IF(Учет!$O1599=Справочники!$F$6,Учет!$H1599,0)</f>
        <v>0</v>
      </c>
      <c r="G1599" s="43">
        <f>G1598+Учет!B1599-B1599</f>
        <v>-488978.92000000004</v>
      </c>
      <c r="H1599" s="43">
        <f>H1598+Учет!C1599-C1599</f>
        <v>336855</v>
      </c>
      <c r="I1599" s="43">
        <f>I1598+Учет!D1599-D1599</f>
        <v>500</v>
      </c>
      <c r="J1599" s="43">
        <f>J1598+Учет!E1599-E1599</f>
        <v>1150</v>
      </c>
      <c r="K1599" s="43">
        <f>K1598+Учет!F1599-F1599</f>
        <v>500000</v>
      </c>
      <c r="L1599" s="45">
        <f>Учет!I1599</f>
        <v>349526.07999999996</v>
      </c>
    </row>
    <row r="1600" spans="1:12" x14ac:dyDescent="0.25">
      <c r="A1600" s="48" t="str">
        <f>IF(Учет!A1600&lt;&gt;"",Учет!A1600,"")</f>
        <v/>
      </c>
      <c r="B1600" s="52">
        <f>IF(Учет!$O1600=Справочники!$F$2,Учет!$H1600,0)</f>
        <v>0</v>
      </c>
      <c r="C1600" s="52">
        <f>IF(Учет!$O1600=Справочники!$F$3,Учет!$H1600,0)</f>
        <v>0</v>
      </c>
      <c r="D1600" s="52">
        <f>IF(Учет!$O1600=Справочники!$F$4,Учет!$H1600,0)</f>
        <v>0</v>
      </c>
      <c r="E1600" s="52">
        <f>IF(Учет!$O1600=Справочники!$F$5,Учет!$H1600,0)</f>
        <v>0</v>
      </c>
      <c r="F1600" s="52">
        <f>IF(Учет!$O1600=Справочники!$F$6,Учет!$H1600,0)</f>
        <v>0</v>
      </c>
      <c r="G1600" s="43">
        <f>G1599+Учет!B1600-B1600</f>
        <v>-488978.92000000004</v>
      </c>
      <c r="H1600" s="43">
        <f>H1599+Учет!C1600-C1600</f>
        <v>336855</v>
      </c>
      <c r="I1600" s="43">
        <f>I1599+Учет!D1600-D1600</f>
        <v>500</v>
      </c>
      <c r="J1600" s="43">
        <f>J1599+Учет!E1600-E1600</f>
        <v>1150</v>
      </c>
      <c r="K1600" s="43">
        <f>K1599+Учет!F1600-F1600</f>
        <v>500000</v>
      </c>
      <c r="L1600" s="45">
        <f>Учет!I1600</f>
        <v>349526.07999999996</v>
      </c>
    </row>
    <row r="1601" spans="1:12" x14ac:dyDescent="0.25">
      <c r="A1601" s="48" t="str">
        <f>IF(Учет!A1601&lt;&gt;"",Учет!A1601,"")</f>
        <v/>
      </c>
      <c r="B1601" s="52">
        <f>IF(Учет!$O1601=Справочники!$F$2,Учет!$H1601,0)</f>
        <v>0</v>
      </c>
      <c r="C1601" s="52">
        <f>IF(Учет!$O1601=Справочники!$F$3,Учет!$H1601,0)</f>
        <v>0</v>
      </c>
      <c r="D1601" s="52">
        <f>IF(Учет!$O1601=Справочники!$F$4,Учет!$H1601,0)</f>
        <v>0</v>
      </c>
      <c r="E1601" s="52">
        <f>IF(Учет!$O1601=Справочники!$F$5,Учет!$H1601,0)</f>
        <v>0</v>
      </c>
      <c r="F1601" s="52">
        <f>IF(Учет!$O1601=Справочники!$F$6,Учет!$H1601,0)</f>
        <v>0</v>
      </c>
      <c r="G1601" s="43">
        <f>G1600+Учет!B1601-B1601</f>
        <v>-488978.92000000004</v>
      </c>
      <c r="H1601" s="43">
        <f>H1600+Учет!C1601-C1601</f>
        <v>336855</v>
      </c>
      <c r="I1601" s="43">
        <f>I1600+Учет!D1601-D1601</f>
        <v>500</v>
      </c>
      <c r="J1601" s="43">
        <f>J1600+Учет!E1601-E1601</f>
        <v>1150</v>
      </c>
      <c r="K1601" s="43">
        <f>K1600+Учет!F1601-F1601</f>
        <v>500000</v>
      </c>
      <c r="L1601" s="45">
        <f>Учет!I1601</f>
        <v>349526.07999999996</v>
      </c>
    </row>
    <row r="1602" spans="1:12" x14ac:dyDescent="0.25">
      <c r="A1602" s="48" t="str">
        <f>IF(Учет!A1602&lt;&gt;"",Учет!A1602,"")</f>
        <v/>
      </c>
      <c r="B1602" s="52">
        <f>IF(Учет!$O1602=Справочники!$F$2,Учет!$H1602,0)</f>
        <v>0</v>
      </c>
      <c r="C1602" s="52">
        <f>IF(Учет!$O1602=Справочники!$F$3,Учет!$H1602,0)</f>
        <v>0</v>
      </c>
      <c r="D1602" s="52">
        <f>IF(Учет!$O1602=Справочники!$F$4,Учет!$H1602,0)</f>
        <v>0</v>
      </c>
      <c r="E1602" s="52">
        <f>IF(Учет!$O1602=Справочники!$F$5,Учет!$H1602,0)</f>
        <v>0</v>
      </c>
      <c r="F1602" s="52">
        <f>IF(Учет!$O1602=Справочники!$F$6,Учет!$H1602,0)</f>
        <v>0</v>
      </c>
      <c r="G1602" s="43">
        <f>G1601+Учет!B1602-B1602</f>
        <v>-488978.92000000004</v>
      </c>
      <c r="H1602" s="43">
        <f>H1601+Учет!C1602-C1602</f>
        <v>336855</v>
      </c>
      <c r="I1602" s="43">
        <f>I1601+Учет!D1602-D1602</f>
        <v>500</v>
      </c>
      <c r="J1602" s="43">
        <f>J1601+Учет!E1602-E1602</f>
        <v>1150</v>
      </c>
      <c r="K1602" s="43">
        <f>K1601+Учет!F1602-F1602</f>
        <v>500000</v>
      </c>
      <c r="L1602" s="45">
        <f>Учет!I1602</f>
        <v>349526.07999999996</v>
      </c>
    </row>
    <row r="1603" spans="1:12" x14ac:dyDescent="0.25">
      <c r="A1603" s="48" t="str">
        <f>IF(Учет!A1603&lt;&gt;"",Учет!A1603,"")</f>
        <v/>
      </c>
      <c r="B1603" s="52">
        <f>IF(Учет!$O1603=Справочники!$F$2,Учет!$H1603,0)</f>
        <v>0</v>
      </c>
      <c r="C1603" s="52">
        <f>IF(Учет!$O1603=Справочники!$F$3,Учет!$H1603,0)</f>
        <v>0</v>
      </c>
      <c r="D1603" s="52">
        <f>IF(Учет!$O1603=Справочники!$F$4,Учет!$H1603,0)</f>
        <v>0</v>
      </c>
      <c r="E1603" s="52">
        <f>IF(Учет!$O1603=Справочники!$F$5,Учет!$H1603,0)</f>
        <v>0</v>
      </c>
      <c r="F1603" s="52">
        <f>IF(Учет!$O1603=Справочники!$F$6,Учет!$H1603,0)</f>
        <v>0</v>
      </c>
      <c r="G1603" s="43">
        <f>G1602+Учет!B1603-B1603</f>
        <v>-488978.92000000004</v>
      </c>
      <c r="H1603" s="43">
        <f>H1602+Учет!C1603-C1603</f>
        <v>336855</v>
      </c>
      <c r="I1603" s="43">
        <f>I1602+Учет!D1603-D1603</f>
        <v>500</v>
      </c>
      <c r="J1603" s="43">
        <f>J1602+Учет!E1603-E1603</f>
        <v>1150</v>
      </c>
      <c r="K1603" s="43">
        <f>K1602+Учет!F1603-F1603</f>
        <v>500000</v>
      </c>
      <c r="L1603" s="45">
        <f>Учет!I1603</f>
        <v>349526.07999999996</v>
      </c>
    </row>
    <row r="1604" spans="1:12" x14ac:dyDescent="0.25">
      <c r="A1604" s="48" t="str">
        <f>IF(Учет!A1604&lt;&gt;"",Учет!A1604,"")</f>
        <v/>
      </c>
      <c r="B1604" s="52">
        <f>IF(Учет!$O1604=Справочники!$F$2,Учет!$H1604,0)</f>
        <v>0</v>
      </c>
      <c r="C1604" s="52">
        <f>IF(Учет!$O1604=Справочники!$F$3,Учет!$H1604,0)</f>
        <v>0</v>
      </c>
      <c r="D1604" s="52">
        <f>IF(Учет!$O1604=Справочники!$F$4,Учет!$H1604,0)</f>
        <v>0</v>
      </c>
      <c r="E1604" s="52">
        <f>IF(Учет!$O1604=Справочники!$F$5,Учет!$H1604,0)</f>
        <v>0</v>
      </c>
      <c r="F1604" s="52">
        <f>IF(Учет!$O1604=Справочники!$F$6,Учет!$H1604,0)</f>
        <v>0</v>
      </c>
      <c r="G1604" s="43">
        <f>G1603+Учет!B1604-B1604</f>
        <v>-488978.92000000004</v>
      </c>
      <c r="H1604" s="43">
        <f>H1603+Учет!C1604-C1604</f>
        <v>336855</v>
      </c>
      <c r="I1604" s="43">
        <f>I1603+Учет!D1604-D1604</f>
        <v>500</v>
      </c>
      <c r="J1604" s="43">
        <f>J1603+Учет!E1604-E1604</f>
        <v>1150</v>
      </c>
      <c r="K1604" s="43">
        <f>K1603+Учет!F1604-F1604</f>
        <v>500000</v>
      </c>
      <c r="L1604" s="45">
        <f>Учет!I1604</f>
        <v>349526.07999999996</v>
      </c>
    </row>
    <row r="1605" spans="1:12" x14ac:dyDescent="0.25">
      <c r="A1605" s="48" t="str">
        <f>IF(Учет!A1605&lt;&gt;"",Учет!A1605,"")</f>
        <v/>
      </c>
      <c r="B1605" s="52">
        <f>IF(Учет!$O1605=Справочники!$F$2,Учет!$H1605,0)</f>
        <v>0</v>
      </c>
      <c r="C1605" s="52">
        <f>IF(Учет!$O1605=Справочники!$F$3,Учет!$H1605,0)</f>
        <v>0</v>
      </c>
      <c r="D1605" s="52">
        <f>IF(Учет!$O1605=Справочники!$F$4,Учет!$H1605,0)</f>
        <v>0</v>
      </c>
      <c r="E1605" s="52">
        <f>IF(Учет!$O1605=Справочники!$F$5,Учет!$H1605,0)</f>
        <v>0</v>
      </c>
      <c r="F1605" s="52">
        <f>IF(Учет!$O1605=Справочники!$F$6,Учет!$H1605,0)</f>
        <v>0</v>
      </c>
      <c r="G1605" s="43">
        <f>G1604+Учет!B1605-B1605</f>
        <v>-488978.92000000004</v>
      </c>
      <c r="H1605" s="43">
        <f>H1604+Учет!C1605-C1605</f>
        <v>336855</v>
      </c>
      <c r="I1605" s="43">
        <f>I1604+Учет!D1605-D1605</f>
        <v>500</v>
      </c>
      <c r="J1605" s="43">
        <f>J1604+Учет!E1605-E1605</f>
        <v>1150</v>
      </c>
      <c r="K1605" s="43">
        <f>K1604+Учет!F1605-F1605</f>
        <v>500000</v>
      </c>
      <c r="L1605" s="45">
        <f>Учет!I1605</f>
        <v>349526.07999999996</v>
      </c>
    </row>
    <row r="1606" spans="1:12" x14ac:dyDescent="0.25">
      <c r="A1606" s="48" t="str">
        <f>IF(Учет!A1606&lt;&gt;"",Учет!A1606,"")</f>
        <v/>
      </c>
      <c r="B1606" s="52">
        <f>IF(Учет!$O1606=Справочники!$F$2,Учет!$H1606,0)</f>
        <v>0</v>
      </c>
      <c r="C1606" s="52">
        <f>IF(Учет!$O1606=Справочники!$F$3,Учет!$H1606,0)</f>
        <v>0</v>
      </c>
      <c r="D1606" s="52">
        <f>IF(Учет!$O1606=Справочники!$F$4,Учет!$H1606,0)</f>
        <v>0</v>
      </c>
      <c r="E1606" s="52">
        <f>IF(Учет!$O1606=Справочники!$F$5,Учет!$H1606,0)</f>
        <v>0</v>
      </c>
      <c r="F1606" s="52">
        <f>IF(Учет!$O1606=Справочники!$F$6,Учет!$H1606,0)</f>
        <v>0</v>
      </c>
      <c r="G1606" s="43">
        <f>G1605+Учет!B1606-B1606</f>
        <v>-488978.92000000004</v>
      </c>
      <c r="H1606" s="43">
        <f>H1605+Учет!C1606-C1606</f>
        <v>336855</v>
      </c>
      <c r="I1606" s="43">
        <f>I1605+Учет!D1606-D1606</f>
        <v>500</v>
      </c>
      <c r="J1606" s="43">
        <f>J1605+Учет!E1606-E1606</f>
        <v>1150</v>
      </c>
      <c r="K1606" s="43">
        <f>K1605+Учет!F1606-F1606</f>
        <v>500000</v>
      </c>
      <c r="L1606" s="45">
        <f>Учет!I1606</f>
        <v>349526.07999999996</v>
      </c>
    </row>
    <row r="1607" spans="1:12" x14ac:dyDescent="0.25">
      <c r="A1607" s="48" t="str">
        <f>IF(Учет!A1607&lt;&gt;"",Учет!A1607,"")</f>
        <v/>
      </c>
      <c r="B1607" s="52">
        <f>IF(Учет!$O1607=Справочники!$F$2,Учет!$H1607,0)</f>
        <v>0</v>
      </c>
      <c r="C1607" s="52">
        <f>IF(Учет!$O1607=Справочники!$F$3,Учет!$H1607,0)</f>
        <v>0</v>
      </c>
      <c r="D1607" s="52">
        <f>IF(Учет!$O1607=Справочники!$F$4,Учет!$H1607,0)</f>
        <v>0</v>
      </c>
      <c r="E1607" s="52">
        <f>IF(Учет!$O1607=Справочники!$F$5,Учет!$H1607,0)</f>
        <v>0</v>
      </c>
      <c r="F1607" s="52">
        <f>IF(Учет!$O1607=Справочники!$F$6,Учет!$H1607,0)</f>
        <v>0</v>
      </c>
      <c r="G1607" s="43">
        <f>G1606+Учет!B1607-B1607</f>
        <v>-488978.92000000004</v>
      </c>
      <c r="H1607" s="43">
        <f>H1606+Учет!C1607-C1607</f>
        <v>336855</v>
      </c>
      <c r="I1607" s="43">
        <f>I1606+Учет!D1607-D1607</f>
        <v>500</v>
      </c>
      <c r="J1607" s="43">
        <f>J1606+Учет!E1607-E1607</f>
        <v>1150</v>
      </c>
      <c r="K1607" s="43">
        <f>K1606+Учет!F1607-F1607</f>
        <v>500000</v>
      </c>
      <c r="L1607" s="45">
        <f>Учет!I1607</f>
        <v>349526.07999999996</v>
      </c>
    </row>
    <row r="1608" spans="1:12" x14ac:dyDescent="0.25">
      <c r="A1608" s="48" t="str">
        <f>IF(Учет!A1608&lt;&gt;"",Учет!A1608,"")</f>
        <v/>
      </c>
      <c r="B1608" s="52">
        <f>IF(Учет!$O1608=Справочники!$F$2,Учет!$H1608,0)</f>
        <v>0</v>
      </c>
      <c r="C1608" s="52">
        <f>IF(Учет!$O1608=Справочники!$F$3,Учет!$H1608,0)</f>
        <v>0</v>
      </c>
      <c r="D1608" s="52">
        <f>IF(Учет!$O1608=Справочники!$F$4,Учет!$H1608,0)</f>
        <v>0</v>
      </c>
      <c r="E1608" s="52">
        <f>IF(Учет!$O1608=Справочники!$F$5,Учет!$H1608,0)</f>
        <v>0</v>
      </c>
      <c r="F1608" s="52">
        <f>IF(Учет!$O1608=Справочники!$F$6,Учет!$H1608,0)</f>
        <v>0</v>
      </c>
      <c r="G1608" s="43">
        <f>G1607+Учет!B1608-B1608</f>
        <v>-488978.92000000004</v>
      </c>
      <c r="H1608" s="43">
        <f>H1607+Учет!C1608-C1608</f>
        <v>336855</v>
      </c>
      <c r="I1608" s="43">
        <f>I1607+Учет!D1608-D1608</f>
        <v>500</v>
      </c>
      <c r="J1608" s="43">
        <f>J1607+Учет!E1608-E1608</f>
        <v>1150</v>
      </c>
      <c r="K1608" s="43">
        <f>K1607+Учет!F1608-F1608</f>
        <v>500000</v>
      </c>
      <c r="L1608" s="45">
        <f>Учет!I1608</f>
        <v>349526.07999999996</v>
      </c>
    </row>
    <row r="1609" spans="1:12" x14ac:dyDescent="0.25">
      <c r="A1609" s="48" t="str">
        <f>IF(Учет!A1609&lt;&gt;"",Учет!A1609,"")</f>
        <v/>
      </c>
      <c r="B1609" s="52">
        <f>IF(Учет!$O1609=Справочники!$F$2,Учет!$H1609,0)</f>
        <v>0</v>
      </c>
      <c r="C1609" s="52">
        <f>IF(Учет!$O1609=Справочники!$F$3,Учет!$H1609,0)</f>
        <v>0</v>
      </c>
      <c r="D1609" s="52">
        <f>IF(Учет!$O1609=Справочники!$F$4,Учет!$H1609,0)</f>
        <v>0</v>
      </c>
      <c r="E1609" s="52">
        <f>IF(Учет!$O1609=Справочники!$F$5,Учет!$H1609,0)</f>
        <v>0</v>
      </c>
      <c r="F1609" s="52">
        <f>IF(Учет!$O1609=Справочники!$F$6,Учет!$H1609,0)</f>
        <v>0</v>
      </c>
      <c r="G1609" s="43">
        <f>G1608+Учет!B1609-B1609</f>
        <v>-488978.92000000004</v>
      </c>
      <c r="H1609" s="43">
        <f>H1608+Учет!C1609-C1609</f>
        <v>336855</v>
      </c>
      <c r="I1609" s="43">
        <f>I1608+Учет!D1609-D1609</f>
        <v>500</v>
      </c>
      <c r="J1609" s="43">
        <f>J1608+Учет!E1609-E1609</f>
        <v>1150</v>
      </c>
      <c r="K1609" s="43">
        <f>K1608+Учет!F1609-F1609</f>
        <v>500000</v>
      </c>
      <c r="L1609" s="45">
        <f>Учет!I1609</f>
        <v>349526.07999999996</v>
      </c>
    </row>
    <row r="1610" spans="1:12" x14ac:dyDescent="0.25">
      <c r="A1610" s="48" t="str">
        <f>IF(Учет!A1610&lt;&gt;"",Учет!A1610,"")</f>
        <v/>
      </c>
      <c r="B1610" s="52">
        <f>IF(Учет!$O1610=Справочники!$F$2,Учет!$H1610,0)</f>
        <v>0</v>
      </c>
      <c r="C1610" s="52">
        <f>IF(Учет!$O1610=Справочники!$F$3,Учет!$H1610,0)</f>
        <v>0</v>
      </c>
      <c r="D1610" s="52">
        <f>IF(Учет!$O1610=Справочники!$F$4,Учет!$H1610,0)</f>
        <v>0</v>
      </c>
      <c r="E1610" s="52">
        <f>IF(Учет!$O1610=Справочники!$F$5,Учет!$H1610,0)</f>
        <v>0</v>
      </c>
      <c r="F1610" s="52">
        <f>IF(Учет!$O1610=Справочники!$F$6,Учет!$H1610,0)</f>
        <v>0</v>
      </c>
      <c r="G1610" s="43">
        <f>G1609+Учет!B1610-B1610</f>
        <v>-488978.92000000004</v>
      </c>
      <c r="H1610" s="43">
        <f>H1609+Учет!C1610-C1610</f>
        <v>336855</v>
      </c>
      <c r="I1610" s="43">
        <f>I1609+Учет!D1610-D1610</f>
        <v>500</v>
      </c>
      <c r="J1610" s="43">
        <f>J1609+Учет!E1610-E1610</f>
        <v>1150</v>
      </c>
      <c r="K1610" s="43">
        <f>K1609+Учет!F1610-F1610</f>
        <v>500000</v>
      </c>
      <c r="L1610" s="45">
        <f>Учет!I1610</f>
        <v>349526.07999999996</v>
      </c>
    </row>
    <row r="1611" spans="1:12" x14ac:dyDescent="0.25">
      <c r="A1611" s="48" t="str">
        <f>IF(Учет!A1611&lt;&gt;"",Учет!A1611,"")</f>
        <v/>
      </c>
      <c r="B1611" s="52">
        <f>IF(Учет!$O1611=Справочники!$F$2,Учет!$H1611,0)</f>
        <v>0</v>
      </c>
      <c r="C1611" s="52">
        <f>IF(Учет!$O1611=Справочники!$F$3,Учет!$H1611,0)</f>
        <v>0</v>
      </c>
      <c r="D1611" s="52">
        <f>IF(Учет!$O1611=Справочники!$F$4,Учет!$H1611,0)</f>
        <v>0</v>
      </c>
      <c r="E1611" s="52">
        <f>IF(Учет!$O1611=Справочники!$F$5,Учет!$H1611,0)</f>
        <v>0</v>
      </c>
      <c r="F1611" s="52">
        <f>IF(Учет!$O1611=Справочники!$F$6,Учет!$H1611,0)</f>
        <v>0</v>
      </c>
      <c r="G1611" s="43">
        <f>G1610+Учет!B1611-B1611</f>
        <v>-488978.92000000004</v>
      </c>
      <c r="H1611" s="43">
        <f>H1610+Учет!C1611-C1611</f>
        <v>336855</v>
      </c>
      <c r="I1611" s="43">
        <f>I1610+Учет!D1611-D1611</f>
        <v>500</v>
      </c>
      <c r="J1611" s="43">
        <f>J1610+Учет!E1611-E1611</f>
        <v>1150</v>
      </c>
      <c r="K1611" s="43">
        <f>K1610+Учет!F1611-F1611</f>
        <v>500000</v>
      </c>
      <c r="L1611" s="45">
        <f>Учет!I1611</f>
        <v>349526.07999999996</v>
      </c>
    </row>
    <row r="1612" spans="1:12" x14ac:dyDescent="0.25">
      <c r="A1612" s="48" t="str">
        <f>IF(Учет!A1612&lt;&gt;"",Учет!A1612,"")</f>
        <v/>
      </c>
      <c r="B1612" s="52">
        <f>IF(Учет!$O1612=Справочники!$F$2,Учет!$H1612,0)</f>
        <v>0</v>
      </c>
      <c r="C1612" s="52">
        <f>IF(Учет!$O1612=Справочники!$F$3,Учет!$H1612,0)</f>
        <v>0</v>
      </c>
      <c r="D1612" s="52">
        <f>IF(Учет!$O1612=Справочники!$F$4,Учет!$H1612,0)</f>
        <v>0</v>
      </c>
      <c r="E1612" s="52">
        <f>IF(Учет!$O1612=Справочники!$F$5,Учет!$H1612,0)</f>
        <v>0</v>
      </c>
      <c r="F1612" s="52">
        <f>IF(Учет!$O1612=Справочники!$F$6,Учет!$H1612,0)</f>
        <v>0</v>
      </c>
      <c r="G1612" s="43">
        <f>G1611+Учет!B1612-B1612</f>
        <v>-488978.92000000004</v>
      </c>
      <c r="H1612" s="43">
        <f>H1611+Учет!C1612-C1612</f>
        <v>336855</v>
      </c>
      <c r="I1612" s="43">
        <f>I1611+Учет!D1612-D1612</f>
        <v>500</v>
      </c>
      <c r="J1612" s="43">
        <f>J1611+Учет!E1612-E1612</f>
        <v>1150</v>
      </c>
      <c r="K1612" s="43">
        <f>K1611+Учет!F1612-F1612</f>
        <v>500000</v>
      </c>
      <c r="L1612" s="45">
        <f>Учет!I1612</f>
        <v>349526.07999999996</v>
      </c>
    </row>
    <row r="1613" spans="1:12" x14ac:dyDescent="0.25">
      <c r="A1613" s="48" t="str">
        <f>IF(Учет!A1613&lt;&gt;"",Учет!A1613,"")</f>
        <v/>
      </c>
      <c r="B1613" s="52">
        <f>IF(Учет!$O1613=Справочники!$F$2,Учет!$H1613,0)</f>
        <v>0</v>
      </c>
      <c r="C1613" s="52">
        <f>IF(Учет!$O1613=Справочники!$F$3,Учет!$H1613,0)</f>
        <v>0</v>
      </c>
      <c r="D1613" s="52">
        <f>IF(Учет!$O1613=Справочники!$F$4,Учет!$H1613,0)</f>
        <v>0</v>
      </c>
      <c r="E1613" s="52">
        <f>IF(Учет!$O1613=Справочники!$F$5,Учет!$H1613,0)</f>
        <v>0</v>
      </c>
      <c r="F1613" s="52">
        <f>IF(Учет!$O1613=Справочники!$F$6,Учет!$H1613,0)</f>
        <v>0</v>
      </c>
      <c r="G1613" s="43">
        <f>G1612+Учет!B1613-B1613</f>
        <v>-488978.92000000004</v>
      </c>
      <c r="H1613" s="43">
        <f>H1612+Учет!C1613-C1613</f>
        <v>336855</v>
      </c>
      <c r="I1613" s="43">
        <f>I1612+Учет!D1613-D1613</f>
        <v>500</v>
      </c>
      <c r="J1613" s="43">
        <f>J1612+Учет!E1613-E1613</f>
        <v>1150</v>
      </c>
      <c r="K1613" s="43">
        <f>K1612+Учет!F1613-F1613</f>
        <v>500000</v>
      </c>
      <c r="L1613" s="45">
        <f>Учет!I1613</f>
        <v>349526.07999999996</v>
      </c>
    </row>
    <row r="1614" spans="1:12" x14ac:dyDescent="0.25">
      <c r="A1614" s="48" t="str">
        <f>IF(Учет!A1614&lt;&gt;"",Учет!A1614,"")</f>
        <v/>
      </c>
      <c r="B1614" s="52">
        <f>IF(Учет!$O1614=Справочники!$F$2,Учет!$H1614,0)</f>
        <v>0</v>
      </c>
      <c r="C1614" s="52">
        <f>IF(Учет!$O1614=Справочники!$F$3,Учет!$H1614,0)</f>
        <v>0</v>
      </c>
      <c r="D1614" s="52">
        <f>IF(Учет!$O1614=Справочники!$F$4,Учет!$H1614,0)</f>
        <v>0</v>
      </c>
      <c r="E1614" s="52">
        <f>IF(Учет!$O1614=Справочники!$F$5,Учет!$H1614,0)</f>
        <v>0</v>
      </c>
      <c r="F1614" s="52">
        <f>IF(Учет!$O1614=Справочники!$F$6,Учет!$H1614,0)</f>
        <v>0</v>
      </c>
      <c r="G1614" s="43">
        <f>G1613+Учет!B1614-B1614</f>
        <v>-488978.92000000004</v>
      </c>
      <c r="H1614" s="43">
        <f>H1613+Учет!C1614-C1614</f>
        <v>336855</v>
      </c>
      <c r="I1614" s="43">
        <f>I1613+Учет!D1614-D1614</f>
        <v>500</v>
      </c>
      <c r="J1614" s="43">
        <f>J1613+Учет!E1614-E1614</f>
        <v>1150</v>
      </c>
      <c r="K1614" s="43">
        <f>K1613+Учет!F1614-F1614</f>
        <v>500000</v>
      </c>
      <c r="L1614" s="45">
        <f>Учет!I1614</f>
        <v>349526.07999999996</v>
      </c>
    </row>
    <row r="1615" spans="1:12" x14ac:dyDescent="0.25">
      <c r="A1615" s="48" t="str">
        <f>IF(Учет!A1615&lt;&gt;"",Учет!A1615,"")</f>
        <v/>
      </c>
      <c r="B1615" s="52">
        <f>IF(Учет!$O1615=Справочники!$F$2,Учет!$H1615,0)</f>
        <v>0</v>
      </c>
      <c r="C1615" s="52">
        <f>IF(Учет!$O1615=Справочники!$F$3,Учет!$H1615,0)</f>
        <v>0</v>
      </c>
      <c r="D1615" s="52">
        <f>IF(Учет!$O1615=Справочники!$F$4,Учет!$H1615,0)</f>
        <v>0</v>
      </c>
      <c r="E1615" s="52">
        <f>IF(Учет!$O1615=Справочники!$F$5,Учет!$H1615,0)</f>
        <v>0</v>
      </c>
      <c r="F1615" s="52">
        <f>IF(Учет!$O1615=Справочники!$F$6,Учет!$H1615,0)</f>
        <v>0</v>
      </c>
      <c r="G1615" s="43">
        <f>G1614+Учет!B1615-B1615</f>
        <v>-488978.92000000004</v>
      </c>
      <c r="H1615" s="43">
        <f>H1614+Учет!C1615-C1615</f>
        <v>336855</v>
      </c>
      <c r="I1615" s="43">
        <f>I1614+Учет!D1615-D1615</f>
        <v>500</v>
      </c>
      <c r="J1615" s="43">
        <f>J1614+Учет!E1615-E1615</f>
        <v>1150</v>
      </c>
      <c r="K1615" s="43">
        <f>K1614+Учет!F1615-F1615</f>
        <v>500000</v>
      </c>
      <c r="L1615" s="45">
        <f>Учет!I1615</f>
        <v>349526.07999999996</v>
      </c>
    </row>
    <row r="1616" spans="1:12" x14ac:dyDescent="0.25">
      <c r="A1616" s="48" t="str">
        <f>IF(Учет!A1616&lt;&gt;"",Учет!A1616,"")</f>
        <v/>
      </c>
      <c r="B1616" s="52">
        <f>IF(Учет!$O1616=Справочники!$F$2,Учет!$H1616,0)</f>
        <v>0</v>
      </c>
      <c r="C1616" s="52">
        <f>IF(Учет!$O1616=Справочники!$F$3,Учет!$H1616,0)</f>
        <v>0</v>
      </c>
      <c r="D1616" s="52">
        <f>IF(Учет!$O1616=Справочники!$F$4,Учет!$H1616,0)</f>
        <v>0</v>
      </c>
      <c r="E1616" s="52">
        <f>IF(Учет!$O1616=Справочники!$F$5,Учет!$H1616,0)</f>
        <v>0</v>
      </c>
      <c r="F1616" s="52">
        <f>IF(Учет!$O1616=Справочники!$F$6,Учет!$H1616,0)</f>
        <v>0</v>
      </c>
      <c r="G1616" s="43">
        <f>G1615+Учет!B1616-B1616</f>
        <v>-488978.92000000004</v>
      </c>
      <c r="H1616" s="43">
        <f>H1615+Учет!C1616-C1616</f>
        <v>336855</v>
      </c>
      <c r="I1616" s="43">
        <f>I1615+Учет!D1616-D1616</f>
        <v>500</v>
      </c>
      <c r="J1616" s="43">
        <f>J1615+Учет!E1616-E1616</f>
        <v>1150</v>
      </c>
      <c r="K1616" s="43">
        <f>K1615+Учет!F1616-F1616</f>
        <v>500000</v>
      </c>
      <c r="L1616" s="45">
        <f>Учет!I1616</f>
        <v>349526.07999999996</v>
      </c>
    </row>
    <row r="1617" spans="1:12" x14ac:dyDescent="0.25">
      <c r="A1617" s="48" t="str">
        <f>IF(Учет!A1617&lt;&gt;"",Учет!A1617,"")</f>
        <v/>
      </c>
      <c r="B1617" s="52">
        <f>IF(Учет!$O1617=Справочники!$F$2,Учет!$H1617,0)</f>
        <v>0</v>
      </c>
      <c r="C1617" s="52">
        <f>IF(Учет!$O1617=Справочники!$F$3,Учет!$H1617,0)</f>
        <v>0</v>
      </c>
      <c r="D1617" s="52">
        <f>IF(Учет!$O1617=Справочники!$F$4,Учет!$H1617,0)</f>
        <v>0</v>
      </c>
      <c r="E1617" s="52">
        <f>IF(Учет!$O1617=Справочники!$F$5,Учет!$H1617,0)</f>
        <v>0</v>
      </c>
      <c r="F1617" s="52">
        <f>IF(Учет!$O1617=Справочники!$F$6,Учет!$H1617,0)</f>
        <v>0</v>
      </c>
      <c r="G1617" s="43">
        <f>G1616+Учет!B1617-B1617</f>
        <v>-488978.92000000004</v>
      </c>
      <c r="H1617" s="43">
        <f>H1616+Учет!C1617-C1617</f>
        <v>336855</v>
      </c>
      <c r="I1617" s="43">
        <f>I1616+Учет!D1617-D1617</f>
        <v>500</v>
      </c>
      <c r="J1617" s="43">
        <f>J1616+Учет!E1617-E1617</f>
        <v>1150</v>
      </c>
      <c r="K1617" s="43">
        <f>K1616+Учет!F1617-F1617</f>
        <v>500000</v>
      </c>
      <c r="L1617" s="45">
        <f>Учет!I1617</f>
        <v>349526.07999999996</v>
      </c>
    </row>
    <row r="1618" spans="1:12" x14ac:dyDescent="0.25">
      <c r="A1618" s="48" t="str">
        <f>IF(Учет!A1618&lt;&gt;"",Учет!A1618,"")</f>
        <v/>
      </c>
      <c r="B1618" s="52">
        <f>IF(Учет!$O1618=Справочники!$F$2,Учет!$H1618,0)</f>
        <v>0</v>
      </c>
      <c r="C1618" s="52">
        <f>IF(Учет!$O1618=Справочники!$F$3,Учет!$H1618,0)</f>
        <v>0</v>
      </c>
      <c r="D1618" s="52">
        <f>IF(Учет!$O1618=Справочники!$F$4,Учет!$H1618,0)</f>
        <v>0</v>
      </c>
      <c r="E1618" s="52">
        <f>IF(Учет!$O1618=Справочники!$F$5,Учет!$H1618,0)</f>
        <v>0</v>
      </c>
      <c r="F1618" s="52">
        <f>IF(Учет!$O1618=Справочники!$F$6,Учет!$H1618,0)</f>
        <v>0</v>
      </c>
      <c r="G1618" s="43">
        <f>G1617+Учет!B1618-B1618</f>
        <v>-488978.92000000004</v>
      </c>
      <c r="H1618" s="43">
        <f>H1617+Учет!C1618-C1618</f>
        <v>336855</v>
      </c>
      <c r="I1618" s="43">
        <f>I1617+Учет!D1618-D1618</f>
        <v>500</v>
      </c>
      <c r="J1618" s="43">
        <f>J1617+Учет!E1618-E1618</f>
        <v>1150</v>
      </c>
      <c r="K1618" s="43">
        <f>K1617+Учет!F1618-F1618</f>
        <v>500000</v>
      </c>
      <c r="L1618" s="45">
        <f>Учет!I1618</f>
        <v>349526.07999999996</v>
      </c>
    </row>
    <row r="1619" spans="1:12" x14ac:dyDescent="0.25">
      <c r="A1619" s="48" t="str">
        <f>IF(Учет!A1619&lt;&gt;"",Учет!A1619,"")</f>
        <v/>
      </c>
      <c r="B1619" s="52">
        <f>IF(Учет!$O1619=Справочники!$F$2,Учет!$H1619,0)</f>
        <v>0</v>
      </c>
      <c r="C1619" s="52">
        <f>IF(Учет!$O1619=Справочники!$F$3,Учет!$H1619,0)</f>
        <v>0</v>
      </c>
      <c r="D1619" s="52">
        <f>IF(Учет!$O1619=Справочники!$F$4,Учет!$H1619,0)</f>
        <v>0</v>
      </c>
      <c r="E1619" s="52">
        <f>IF(Учет!$O1619=Справочники!$F$5,Учет!$H1619,0)</f>
        <v>0</v>
      </c>
      <c r="F1619" s="52">
        <f>IF(Учет!$O1619=Справочники!$F$6,Учет!$H1619,0)</f>
        <v>0</v>
      </c>
      <c r="G1619" s="43">
        <f>G1618+Учет!B1619-B1619</f>
        <v>-488978.92000000004</v>
      </c>
      <c r="H1619" s="43">
        <f>H1618+Учет!C1619-C1619</f>
        <v>336855</v>
      </c>
      <c r="I1619" s="43">
        <f>I1618+Учет!D1619-D1619</f>
        <v>500</v>
      </c>
      <c r="J1619" s="43">
        <f>J1618+Учет!E1619-E1619</f>
        <v>1150</v>
      </c>
      <c r="K1619" s="43">
        <f>K1618+Учет!F1619-F1619</f>
        <v>500000</v>
      </c>
      <c r="L1619" s="45">
        <f>Учет!I1619</f>
        <v>349526.07999999996</v>
      </c>
    </row>
    <row r="1620" spans="1:12" x14ac:dyDescent="0.25">
      <c r="A1620" s="48" t="str">
        <f>IF(Учет!A1620&lt;&gt;"",Учет!A1620,"")</f>
        <v/>
      </c>
      <c r="B1620" s="52">
        <f>IF(Учет!$O1620=Справочники!$F$2,Учет!$H1620,0)</f>
        <v>0</v>
      </c>
      <c r="C1620" s="52">
        <f>IF(Учет!$O1620=Справочники!$F$3,Учет!$H1620,0)</f>
        <v>0</v>
      </c>
      <c r="D1620" s="52">
        <f>IF(Учет!$O1620=Справочники!$F$4,Учет!$H1620,0)</f>
        <v>0</v>
      </c>
      <c r="E1620" s="52">
        <f>IF(Учет!$O1620=Справочники!$F$5,Учет!$H1620,0)</f>
        <v>0</v>
      </c>
      <c r="F1620" s="52">
        <f>IF(Учет!$O1620=Справочники!$F$6,Учет!$H1620,0)</f>
        <v>0</v>
      </c>
      <c r="G1620" s="43">
        <f>G1619+Учет!B1620-B1620</f>
        <v>-488978.92000000004</v>
      </c>
      <c r="H1620" s="43">
        <f>H1619+Учет!C1620-C1620</f>
        <v>336855</v>
      </c>
      <c r="I1620" s="43">
        <f>I1619+Учет!D1620-D1620</f>
        <v>500</v>
      </c>
      <c r="J1620" s="43">
        <f>J1619+Учет!E1620-E1620</f>
        <v>1150</v>
      </c>
      <c r="K1620" s="43">
        <f>K1619+Учет!F1620-F1620</f>
        <v>500000</v>
      </c>
      <c r="L1620" s="45">
        <f>Учет!I1620</f>
        <v>349526.07999999996</v>
      </c>
    </row>
    <row r="1621" spans="1:12" x14ac:dyDescent="0.25">
      <c r="A1621" s="48" t="str">
        <f>IF(Учет!A1621&lt;&gt;"",Учет!A1621,"")</f>
        <v/>
      </c>
      <c r="B1621" s="52">
        <f>IF(Учет!$O1621=Справочники!$F$2,Учет!$H1621,0)</f>
        <v>0</v>
      </c>
      <c r="C1621" s="52">
        <f>IF(Учет!$O1621=Справочники!$F$3,Учет!$H1621,0)</f>
        <v>0</v>
      </c>
      <c r="D1621" s="52">
        <f>IF(Учет!$O1621=Справочники!$F$4,Учет!$H1621,0)</f>
        <v>0</v>
      </c>
      <c r="E1621" s="52">
        <f>IF(Учет!$O1621=Справочники!$F$5,Учет!$H1621,0)</f>
        <v>0</v>
      </c>
      <c r="F1621" s="52">
        <f>IF(Учет!$O1621=Справочники!$F$6,Учет!$H1621,0)</f>
        <v>0</v>
      </c>
      <c r="G1621" s="43">
        <f>G1620+Учет!B1621-B1621</f>
        <v>-488978.92000000004</v>
      </c>
      <c r="H1621" s="43">
        <f>H1620+Учет!C1621-C1621</f>
        <v>336855</v>
      </c>
      <c r="I1621" s="43">
        <f>I1620+Учет!D1621-D1621</f>
        <v>500</v>
      </c>
      <c r="J1621" s="43">
        <f>J1620+Учет!E1621-E1621</f>
        <v>1150</v>
      </c>
      <c r="K1621" s="43">
        <f>K1620+Учет!F1621-F1621</f>
        <v>500000</v>
      </c>
      <c r="L1621" s="45">
        <f>Учет!I1621</f>
        <v>349526.07999999996</v>
      </c>
    </row>
    <row r="1622" spans="1:12" x14ac:dyDescent="0.25">
      <c r="A1622" s="48" t="str">
        <f>IF(Учет!A1622&lt;&gt;"",Учет!A1622,"")</f>
        <v/>
      </c>
      <c r="B1622" s="52">
        <f>IF(Учет!$O1622=Справочники!$F$2,Учет!$H1622,0)</f>
        <v>0</v>
      </c>
      <c r="C1622" s="52">
        <f>IF(Учет!$O1622=Справочники!$F$3,Учет!$H1622,0)</f>
        <v>0</v>
      </c>
      <c r="D1622" s="52">
        <f>IF(Учет!$O1622=Справочники!$F$4,Учет!$H1622,0)</f>
        <v>0</v>
      </c>
      <c r="E1622" s="52">
        <f>IF(Учет!$O1622=Справочники!$F$5,Учет!$H1622,0)</f>
        <v>0</v>
      </c>
      <c r="F1622" s="52">
        <f>IF(Учет!$O1622=Справочники!$F$6,Учет!$H1622,0)</f>
        <v>0</v>
      </c>
      <c r="G1622" s="43">
        <f>G1621+Учет!B1622-B1622</f>
        <v>-488978.92000000004</v>
      </c>
      <c r="H1622" s="43">
        <f>H1621+Учет!C1622-C1622</f>
        <v>336855</v>
      </c>
      <c r="I1622" s="43">
        <f>I1621+Учет!D1622-D1622</f>
        <v>500</v>
      </c>
      <c r="J1622" s="43">
        <f>J1621+Учет!E1622-E1622</f>
        <v>1150</v>
      </c>
      <c r="K1622" s="43">
        <f>K1621+Учет!F1622-F1622</f>
        <v>500000</v>
      </c>
      <c r="L1622" s="45">
        <f>Учет!I1622</f>
        <v>349526.07999999996</v>
      </c>
    </row>
    <row r="1623" spans="1:12" x14ac:dyDescent="0.25">
      <c r="A1623" s="48" t="str">
        <f>IF(Учет!A1623&lt;&gt;"",Учет!A1623,"")</f>
        <v/>
      </c>
      <c r="B1623" s="52">
        <f>IF(Учет!$O1623=Справочники!$F$2,Учет!$H1623,0)</f>
        <v>0</v>
      </c>
      <c r="C1623" s="52">
        <f>IF(Учет!$O1623=Справочники!$F$3,Учет!$H1623,0)</f>
        <v>0</v>
      </c>
      <c r="D1623" s="52">
        <f>IF(Учет!$O1623=Справочники!$F$4,Учет!$H1623,0)</f>
        <v>0</v>
      </c>
      <c r="E1623" s="52">
        <f>IF(Учет!$O1623=Справочники!$F$5,Учет!$H1623,0)</f>
        <v>0</v>
      </c>
      <c r="F1623" s="52">
        <f>IF(Учет!$O1623=Справочники!$F$6,Учет!$H1623,0)</f>
        <v>0</v>
      </c>
      <c r="G1623" s="43">
        <f>G1622+Учет!B1623-B1623</f>
        <v>-488978.92000000004</v>
      </c>
      <c r="H1623" s="43">
        <f>H1622+Учет!C1623-C1623</f>
        <v>336855</v>
      </c>
      <c r="I1623" s="43">
        <f>I1622+Учет!D1623-D1623</f>
        <v>500</v>
      </c>
      <c r="J1623" s="43">
        <f>J1622+Учет!E1623-E1623</f>
        <v>1150</v>
      </c>
      <c r="K1623" s="43">
        <f>K1622+Учет!F1623-F1623</f>
        <v>500000</v>
      </c>
      <c r="L1623" s="45">
        <f>Учет!I1623</f>
        <v>349526.07999999996</v>
      </c>
    </row>
    <row r="1624" spans="1:12" x14ac:dyDescent="0.25">
      <c r="A1624" s="48" t="str">
        <f>IF(Учет!A1624&lt;&gt;"",Учет!A1624,"")</f>
        <v/>
      </c>
      <c r="B1624" s="52">
        <f>IF(Учет!$O1624=Справочники!$F$2,Учет!$H1624,0)</f>
        <v>0</v>
      </c>
      <c r="C1624" s="52">
        <f>IF(Учет!$O1624=Справочники!$F$3,Учет!$H1624,0)</f>
        <v>0</v>
      </c>
      <c r="D1624" s="52">
        <f>IF(Учет!$O1624=Справочники!$F$4,Учет!$H1624,0)</f>
        <v>0</v>
      </c>
      <c r="E1624" s="52">
        <f>IF(Учет!$O1624=Справочники!$F$5,Учет!$H1624,0)</f>
        <v>0</v>
      </c>
      <c r="F1624" s="52">
        <f>IF(Учет!$O1624=Справочники!$F$6,Учет!$H1624,0)</f>
        <v>0</v>
      </c>
      <c r="G1624" s="43">
        <f>G1623+Учет!B1624-B1624</f>
        <v>-488978.92000000004</v>
      </c>
      <c r="H1624" s="43">
        <f>H1623+Учет!C1624-C1624</f>
        <v>336855</v>
      </c>
      <c r="I1624" s="43">
        <f>I1623+Учет!D1624-D1624</f>
        <v>500</v>
      </c>
      <c r="J1624" s="43">
        <f>J1623+Учет!E1624-E1624</f>
        <v>1150</v>
      </c>
      <c r="K1624" s="43">
        <f>K1623+Учет!F1624-F1624</f>
        <v>500000</v>
      </c>
      <c r="L1624" s="45">
        <f>Учет!I1624</f>
        <v>349526.07999999996</v>
      </c>
    </row>
    <row r="1625" spans="1:12" x14ac:dyDescent="0.25">
      <c r="A1625" s="48" t="str">
        <f>IF(Учет!A1625&lt;&gt;"",Учет!A1625,"")</f>
        <v/>
      </c>
      <c r="B1625" s="52">
        <f>IF(Учет!$O1625=Справочники!$F$2,Учет!$H1625,0)</f>
        <v>0</v>
      </c>
      <c r="C1625" s="52">
        <f>IF(Учет!$O1625=Справочники!$F$3,Учет!$H1625,0)</f>
        <v>0</v>
      </c>
      <c r="D1625" s="52">
        <f>IF(Учет!$O1625=Справочники!$F$4,Учет!$H1625,0)</f>
        <v>0</v>
      </c>
      <c r="E1625" s="52">
        <f>IF(Учет!$O1625=Справочники!$F$5,Учет!$H1625,0)</f>
        <v>0</v>
      </c>
      <c r="F1625" s="52">
        <f>IF(Учет!$O1625=Справочники!$F$6,Учет!$H1625,0)</f>
        <v>0</v>
      </c>
      <c r="G1625" s="43">
        <f>G1624+Учет!B1625-B1625</f>
        <v>-488978.92000000004</v>
      </c>
      <c r="H1625" s="43">
        <f>H1624+Учет!C1625-C1625</f>
        <v>336855</v>
      </c>
      <c r="I1625" s="43">
        <f>I1624+Учет!D1625-D1625</f>
        <v>500</v>
      </c>
      <c r="J1625" s="43">
        <f>J1624+Учет!E1625-E1625</f>
        <v>1150</v>
      </c>
      <c r="K1625" s="43">
        <f>K1624+Учет!F1625-F1625</f>
        <v>500000</v>
      </c>
      <c r="L1625" s="45">
        <f>Учет!I1625</f>
        <v>349526.07999999996</v>
      </c>
    </row>
    <row r="1626" spans="1:12" x14ac:dyDescent="0.25">
      <c r="A1626" s="48" t="str">
        <f>IF(Учет!A1626&lt;&gt;"",Учет!A1626,"")</f>
        <v/>
      </c>
      <c r="B1626" s="52">
        <f>IF(Учет!$O1626=Справочники!$F$2,Учет!$H1626,0)</f>
        <v>0</v>
      </c>
      <c r="C1626" s="52">
        <f>IF(Учет!$O1626=Справочники!$F$3,Учет!$H1626,0)</f>
        <v>0</v>
      </c>
      <c r="D1626" s="52">
        <f>IF(Учет!$O1626=Справочники!$F$4,Учет!$H1626,0)</f>
        <v>0</v>
      </c>
      <c r="E1626" s="52">
        <f>IF(Учет!$O1626=Справочники!$F$5,Учет!$H1626,0)</f>
        <v>0</v>
      </c>
      <c r="F1626" s="52">
        <f>IF(Учет!$O1626=Справочники!$F$6,Учет!$H1626,0)</f>
        <v>0</v>
      </c>
      <c r="G1626" s="43">
        <f>G1625+Учет!B1626-B1626</f>
        <v>-488978.92000000004</v>
      </c>
      <c r="H1626" s="43">
        <f>H1625+Учет!C1626-C1626</f>
        <v>336855</v>
      </c>
      <c r="I1626" s="43">
        <f>I1625+Учет!D1626-D1626</f>
        <v>500</v>
      </c>
      <c r="J1626" s="43">
        <f>J1625+Учет!E1626-E1626</f>
        <v>1150</v>
      </c>
      <c r="K1626" s="43">
        <f>K1625+Учет!F1626-F1626</f>
        <v>500000</v>
      </c>
      <c r="L1626" s="45">
        <f>Учет!I1626</f>
        <v>349526.07999999996</v>
      </c>
    </row>
    <row r="1627" spans="1:12" x14ac:dyDescent="0.25">
      <c r="A1627" s="48" t="str">
        <f>IF(Учет!A1627&lt;&gt;"",Учет!A1627,"")</f>
        <v/>
      </c>
      <c r="B1627" s="52">
        <f>IF(Учет!$O1627=Справочники!$F$2,Учет!$H1627,0)</f>
        <v>0</v>
      </c>
      <c r="C1627" s="52">
        <f>IF(Учет!$O1627=Справочники!$F$3,Учет!$H1627,0)</f>
        <v>0</v>
      </c>
      <c r="D1627" s="52">
        <f>IF(Учет!$O1627=Справочники!$F$4,Учет!$H1627,0)</f>
        <v>0</v>
      </c>
      <c r="E1627" s="52">
        <f>IF(Учет!$O1627=Справочники!$F$5,Учет!$H1627,0)</f>
        <v>0</v>
      </c>
      <c r="F1627" s="52">
        <f>IF(Учет!$O1627=Справочники!$F$6,Учет!$H1627,0)</f>
        <v>0</v>
      </c>
      <c r="G1627" s="43">
        <f>G1626+Учет!B1627-B1627</f>
        <v>-488978.92000000004</v>
      </c>
      <c r="H1627" s="43">
        <f>H1626+Учет!C1627-C1627</f>
        <v>336855</v>
      </c>
      <c r="I1627" s="43">
        <f>I1626+Учет!D1627-D1627</f>
        <v>500</v>
      </c>
      <c r="J1627" s="43">
        <f>J1626+Учет!E1627-E1627</f>
        <v>1150</v>
      </c>
      <c r="K1627" s="43">
        <f>K1626+Учет!F1627-F1627</f>
        <v>500000</v>
      </c>
      <c r="L1627" s="45">
        <f>Учет!I1627</f>
        <v>349526.07999999996</v>
      </c>
    </row>
    <row r="1628" spans="1:12" x14ac:dyDescent="0.25">
      <c r="A1628" s="48" t="str">
        <f>IF(Учет!A1628&lt;&gt;"",Учет!A1628,"")</f>
        <v/>
      </c>
      <c r="B1628" s="52">
        <f>IF(Учет!$O1628=Справочники!$F$2,Учет!$H1628,0)</f>
        <v>0</v>
      </c>
      <c r="C1628" s="52">
        <f>IF(Учет!$O1628=Справочники!$F$3,Учет!$H1628,0)</f>
        <v>0</v>
      </c>
      <c r="D1628" s="52">
        <f>IF(Учет!$O1628=Справочники!$F$4,Учет!$H1628,0)</f>
        <v>0</v>
      </c>
      <c r="E1628" s="52">
        <f>IF(Учет!$O1628=Справочники!$F$5,Учет!$H1628,0)</f>
        <v>0</v>
      </c>
      <c r="F1628" s="52">
        <f>IF(Учет!$O1628=Справочники!$F$6,Учет!$H1628,0)</f>
        <v>0</v>
      </c>
      <c r="G1628" s="43">
        <f>G1627+Учет!B1628-B1628</f>
        <v>-488978.92000000004</v>
      </c>
      <c r="H1628" s="43">
        <f>H1627+Учет!C1628-C1628</f>
        <v>336855</v>
      </c>
      <c r="I1628" s="43">
        <f>I1627+Учет!D1628-D1628</f>
        <v>500</v>
      </c>
      <c r="J1628" s="43">
        <f>J1627+Учет!E1628-E1628</f>
        <v>1150</v>
      </c>
      <c r="K1628" s="43">
        <f>K1627+Учет!F1628-F1628</f>
        <v>500000</v>
      </c>
      <c r="L1628" s="45">
        <f>Учет!I1628</f>
        <v>349526.07999999996</v>
      </c>
    </row>
    <row r="1629" spans="1:12" x14ac:dyDescent="0.25">
      <c r="A1629" s="48" t="str">
        <f>IF(Учет!A1629&lt;&gt;"",Учет!A1629,"")</f>
        <v/>
      </c>
      <c r="B1629" s="52">
        <f>IF(Учет!$O1629=Справочники!$F$2,Учет!$H1629,0)</f>
        <v>0</v>
      </c>
      <c r="C1629" s="52">
        <f>IF(Учет!$O1629=Справочники!$F$3,Учет!$H1629,0)</f>
        <v>0</v>
      </c>
      <c r="D1629" s="52">
        <f>IF(Учет!$O1629=Справочники!$F$4,Учет!$H1629,0)</f>
        <v>0</v>
      </c>
      <c r="E1629" s="52">
        <f>IF(Учет!$O1629=Справочники!$F$5,Учет!$H1629,0)</f>
        <v>0</v>
      </c>
      <c r="F1629" s="52">
        <f>IF(Учет!$O1629=Справочники!$F$6,Учет!$H1629,0)</f>
        <v>0</v>
      </c>
      <c r="G1629" s="43">
        <f>G1628+Учет!B1629-B1629</f>
        <v>-488978.92000000004</v>
      </c>
      <c r="H1629" s="43">
        <f>H1628+Учет!C1629-C1629</f>
        <v>336855</v>
      </c>
      <c r="I1629" s="43">
        <f>I1628+Учет!D1629-D1629</f>
        <v>500</v>
      </c>
      <c r="J1629" s="43">
        <f>J1628+Учет!E1629-E1629</f>
        <v>1150</v>
      </c>
      <c r="K1629" s="43">
        <f>K1628+Учет!F1629-F1629</f>
        <v>500000</v>
      </c>
      <c r="L1629" s="45">
        <f>Учет!I1629</f>
        <v>349526.07999999996</v>
      </c>
    </row>
    <row r="1630" spans="1:12" x14ac:dyDescent="0.25">
      <c r="A1630" s="48" t="str">
        <f>IF(Учет!A1630&lt;&gt;"",Учет!A1630,"")</f>
        <v/>
      </c>
      <c r="B1630" s="52">
        <f>IF(Учет!$O1630=Справочники!$F$2,Учет!$H1630,0)</f>
        <v>0</v>
      </c>
      <c r="C1630" s="52">
        <f>IF(Учет!$O1630=Справочники!$F$3,Учет!$H1630,0)</f>
        <v>0</v>
      </c>
      <c r="D1630" s="52">
        <f>IF(Учет!$O1630=Справочники!$F$4,Учет!$H1630,0)</f>
        <v>0</v>
      </c>
      <c r="E1630" s="52">
        <f>IF(Учет!$O1630=Справочники!$F$5,Учет!$H1630,0)</f>
        <v>0</v>
      </c>
      <c r="F1630" s="52">
        <f>IF(Учет!$O1630=Справочники!$F$6,Учет!$H1630,0)</f>
        <v>0</v>
      </c>
      <c r="G1630" s="43">
        <f>G1629+Учет!B1630-B1630</f>
        <v>-488978.92000000004</v>
      </c>
      <c r="H1630" s="43">
        <f>H1629+Учет!C1630-C1630</f>
        <v>336855</v>
      </c>
      <c r="I1630" s="43">
        <f>I1629+Учет!D1630-D1630</f>
        <v>500</v>
      </c>
      <c r="J1630" s="43">
        <f>J1629+Учет!E1630-E1630</f>
        <v>1150</v>
      </c>
      <c r="K1630" s="43">
        <f>K1629+Учет!F1630-F1630</f>
        <v>500000</v>
      </c>
      <c r="L1630" s="45">
        <f>Учет!I1630</f>
        <v>349526.07999999996</v>
      </c>
    </row>
    <row r="1631" spans="1:12" x14ac:dyDescent="0.25">
      <c r="A1631" s="48" t="str">
        <f>IF(Учет!A1631&lt;&gt;"",Учет!A1631,"")</f>
        <v/>
      </c>
      <c r="B1631" s="52">
        <f>IF(Учет!$O1631=Справочники!$F$2,Учет!$H1631,0)</f>
        <v>0</v>
      </c>
      <c r="C1631" s="52">
        <f>IF(Учет!$O1631=Справочники!$F$3,Учет!$H1631,0)</f>
        <v>0</v>
      </c>
      <c r="D1631" s="52">
        <f>IF(Учет!$O1631=Справочники!$F$4,Учет!$H1631,0)</f>
        <v>0</v>
      </c>
      <c r="E1631" s="52">
        <f>IF(Учет!$O1631=Справочники!$F$5,Учет!$H1631,0)</f>
        <v>0</v>
      </c>
      <c r="F1631" s="52">
        <f>IF(Учет!$O1631=Справочники!$F$6,Учет!$H1631,0)</f>
        <v>0</v>
      </c>
      <c r="G1631" s="43">
        <f>G1630+Учет!B1631-B1631</f>
        <v>-488978.92000000004</v>
      </c>
      <c r="H1631" s="43">
        <f>H1630+Учет!C1631-C1631</f>
        <v>336855</v>
      </c>
      <c r="I1631" s="43">
        <f>I1630+Учет!D1631-D1631</f>
        <v>500</v>
      </c>
      <c r="J1631" s="43">
        <f>J1630+Учет!E1631-E1631</f>
        <v>1150</v>
      </c>
      <c r="K1631" s="43">
        <f>K1630+Учет!F1631-F1631</f>
        <v>500000</v>
      </c>
      <c r="L1631" s="45">
        <f>Учет!I1631</f>
        <v>349526.07999999996</v>
      </c>
    </row>
    <row r="1632" spans="1:12" x14ac:dyDescent="0.25">
      <c r="A1632" s="48" t="str">
        <f>IF(Учет!A1632&lt;&gt;"",Учет!A1632,"")</f>
        <v/>
      </c>
      <c r="B1632" s="52">
        <f>IF(Учет!$O1632=Справочники!$F$2,Учет!$H1632,0)</f>
        <v>0</v>
      </c>
      <c r="C1632" s="52">
        <f>IF(Учет!$O1632=Справочники!$F$3,Учет!$H1632,0)</f>
        <v>0</v>
      </c>
      <c r="D1632" s="52">
        <f>IF(Учет!$O1632=Справочники!$F$4,Учет!$H1632,0)</f>
        <v>0</v>
      </c>
      <c r="E1632" s="52">
        <f>IF(Учет!$O1632=Справочники!$F$5,Учет!$H1632,0)</f>
        <v>0</v>
      </c>
      <c r="F1632" s="52">
        <f>IF(Учет!$O1632=Справочники!$F$6,Учет!$H1632,0)</f>
        <v>0</v>
      </c>
      <c r="G1632" s="43">
        <f>G1631+Учет!B1632-B1632</f>
        <v>-488978.92000000004</v>
      </c>
      <c r="H1632" s="43">
        <f>H1631+Учет!C1632-C1632</f>
        <v>336855</v>
      </c>
      <c r="I1632" s="43">
        <f>I1631+Учет!D1632-D1632</f>
        <v>500</v>
      </c>
      <c r="J1632" s="43">
        <f>J1631+Учет!E1632-E1632</f>
        <v>1150</v>
      </c>
      <c r="K1632" s="43">
        <f>K1631+Учет!F1632-F1632</f>
        <v>500000</v>
      </c>
      <c r="L1632" s="45">
        <f>Учет!I1632</f>
        <v>349526.07999999996</v>
      </c>
    </row>
    <row r="1633" spans="1:12" x14ac:dyDescent="0.25">
      <c r="A1633" s="48" t="str">
        <f>IF(Учет!A1633&lt;&gt;"",Учет!A1633,"")</f>
        <v/>
      </c>
      <c r="B1633" s="52">
        <f>IF(Учет!$O1633=Справочники!$F$2,Учет!$H1633,0)</f>
        <v>0</v>
      </c>
      <c r="C1633" s="52">
        <f>IF(Учет!$O1633=Справочники!$F$3,Учет!$H1633,0)</f>
        <v>0</v>
      </c>
      <c r="D1633" s="52">
        <f>IF(Учет!$O1633=Справочники!$F$4,Учет!$H1633,0)</f>
        <v>0</v>
      </c>
      <c r="E1633" s="52">
        <f>IF(Учет!$O1633=Справочники!$F$5,Учет!$H1633,0)</f>
        <v>0</v>
      </c>
      <c r="F1633" s="52">
        <f>IF(Учет!$O1633=Справочники!$F$6,Учет!$H1633,0)</f>
        <v>0</v>
      </c>
      <c r="G1633" s="43">
        <f>G1632+Учет!B1633-B1633</f>
        <v>-488978.92000000004</v>
      </c>
      <c r="H1633" s="43">
        <f>H1632+Учет!C1633-C1633</f>
        <v>336855</v>
      </c>
      <c r="I1633" s="43">
        <f>I1632+Учет!D1633-D1633</f>
        <v>500</v>
      </c>
      <c r="J1633" s="43">
        <f>J1632+Учет!E1633-E1633</f>
        <v>1150</v>
      </c>
      <c r="K1633" s="43">
        <f>K1632+Учет!F1633-F1633</f>
        <v>500000</v>
      </c>
      <c r="L1633" s="45">
        <f>Учет!I1633</f>
        <v>349526.07999999996</v>
      </c>
    </row>
    <row r="1634" spans="1:12" x14ac:dyDescent="0.25">
      <c r="A1634" s="48" t="str">
        <f>IF(Учет!A1634&lt;&gt;"",Учет!A1634,"")</f>
        <v/>
      </c>
      <c r="B1634" s="52">
        <f>IF(Учет!$O1634=Справочники!$F$2,Учет!$H1634,0)</f>
        <v>0</v>
      </c>
      <c r="C1634" s="52">
        <f>IF(Учет!$O1634=Справочники!$F$3,Учет!$H1634,0)</f>
        <v>0</v>
      </c>
      <c r="D1634" s="52">
        <f>IF(Учет!$O1634=Справочники!$F$4,Учет!$H1634,0)</f>
        <v>0</v>
      </c>
      <c r="E1634" s="52">
        <f>IF(Учет!$O1634=Справочники!$F$5,Учет!$H1634,0)</f>
        <v>0</v>
      </c>
      <c r="F1634" s="52">
        <f>IF(Учет!$O1634=Справочники!$F$6,Учет!$H1634,0)</f>
        <v>0</v>
      </c>
      <c r="G1634" s="43">
        <f>G1633+Учет!B1634-B1634</f>
        <v>-488978.92000000004</v>
      </c>
      <c r="H1634" s="43">
        <f>H1633+Учет!C1634-C1634</f>
        <v>336855</v>
      </c>
      <c r="I1634" s="43">
        <f>I1633+Учет!D1634-D1634</f>
        <v>500</v>
      </c>
      <c r="J1634" s="43">
        <f>J1633+Учет!E1634-E1634</f>
        <v>1150</v>
      </c>
      <c r="K1634" s="43">
        <f>K1633+Учет!F1634-F1634</f>
        <v>500000</v>
      </c>
      <c r="L1634" s="45">
        <f>Учет!I1634</f>
        <v>349526.07999999996</v>
      </c>
    </row>
    <row r="1635" spans="1:12" x14ac:dyDescent="0.25">
      <c r="A1635" s="48" t="str">
        <f>IF(Учет!A1635&lt;&gt;"",Учет!A1635,"")</f>
        <v/>
      </c>
      <c r="B1635" s="52">
        <f>IF(Учет!$O1635=Справочники!$F$2,Учет!$H1635,0)</f>
        <v>0</v>
      </c>
      <c r="C1635" s="52">
        <f>IF(Учет!$O1635=Справочники!$F$3,Учет!$H1635,0)</f>
        <v>0</v>
      </c>
      <c r="D1635" s="52">
        <f>IF(Учет!$O1635=Справочники!$F$4,Учет!$H1635,0)</f>
        <v>0</v>
      </c>
      <c r="E1635" s="52">
        <f>IF(Учет!$O1635=Справочники!$F$5,Учет!$H1635,0)</f>
        <v>0</v>
      </c>
      <c r="F1635" s="52">
        <f>IF(Учет!$O1635=Справочники!$F$6,Учет!$H1635,0)</f>
        <v>0</v>
      </c>
      <c r="G1635" s="43">
        <f>G1634+Учет!B1635-B1635</f>
        <v>-488978.92000000004</v>
      </c>
      <c r="H1635" s="43">
        <f>H1634+Учет!C1635-C1635</f>
        <v>336855</v>
      </c>
      <c r="I1635" s="43">
        <f>I1634+Учет!D1635-D1635</f>
        <v>500</v>
      </c>
      <c r="J1635" s="43">
        <f>J1634+Учет!E1635-E1635</f>
        <v>1150</v>
      </c>
      <c r="K1635" s="43">
        <f>K1634+Учет!F1635-F1635</f>
        <v>500000</v>
      </c>
      <c r="L1635" s="45">
        <f>Учет!I1635</f>
        <v>349526.07999999996</v>
      </c>
    </row>
    <row r="1636" spans="1:12" x14ac:dyDescent="0.25">
      <c r="A1636" s="48" t="str">
        <f>IF(Учет!A1636&lt;&gt;"",Учет!A1636,"")</f>
        <v/>
      </c>
      <c r="B1636" s="52">
        <f>IF(Учет!$O1636=Справочники!$F$2,Учет!$H1636,0)</f>
        <v>0</v>
      </c>
      <c r="C1636" s="52">
        <f>IF(Учет!$O1636=Справочники!$F$3,Учет!$H1636,0)</f>
        <v>0</v>
      </c>
      <c r="D1636" s="52">
        <f>IF(Учет!$O1636=Справочники!$F$4,Учет!$H1636,0)</f>
        <v>0</v>
      </c>
      <c r="E1636" s="52">
        <f>IF(Учет!$O1636=Справочники!$F$5,Учет!$H1636,0)</f>
        <v>0</v>
      </c>
      <c r="F1636" s="52">
        <f>IF(Учет!$O1636=Справочники!$F$6,Учет!$H1636,0)</f>
        <v>0</v>
      </c>
      <c r="G1636" s="43">
        <f>G1635+Учет!B1636-B1636</f>
        <v>-488978.92000000004</v>
      </c>
      <c r="H1636" s="43">
        <f>H1635+Учет!C1636-C1636</f>
        <v>336855</v>
      </c>
      <c r="I1636" s="43">
        <f>I1635+Учет!D1636-D1636</f>
        <v>500</v>
      </c>
      <c r="J1636" s="43">
        <f>J1635+Учет!E1636-E1636</f>
        <v>1150</v>
      </c>
      <c r="K1636" s="43">
        <f>K1635+Учет!F1636-F1636</f>
        <v>500000</v>
      </c>
      <c r="L1636" s="45">
        <f>Учет!I1636</f>
        <v>349526.07999999996</v>
      </c>
    </row>
    <row r="1637" spans="1:12" x14ac:dyDescent="0.25">
      <c r="A1637" s="48" t="str">
        <f>IF(Учет!A1637&lt;&gt;"",Учет!A1637,"")</f>
        <v/>
      </c>
      <c r="B1637" s="52">
        <f>IF(Учет!$O1637=Справочники!$F$2,Учет!$H1637,0)</f>
        <v>0</v>
      </c>
      <c r="C1637" s="52">
        <f>IF(Учет!$O1637=Справочники!$F$3,Учет!$H1637,0)</f>
        <v>0</v>
      </c>
      <c r="D1637" s="52">
        <f>IF(Учет!$O1637=Справочники!$F$4,Учет!$H1637,0)</f>
        <v>0</v>
      </c>
      <c r="E1637" s="52">
        <f>IF(Учет!$O1637=Справочники!$F$5,Учет!$H1637,0)</f>
        <v>0</v>
      </c>
      <c r="F1637" s="52">
        <f>IF(Учет!$O1637=Справочники!$F$6,Учет!$H1637,0)</f>
        <v>0</v>
      </c>
      <c r="G1637" s="43">
        <f>G1636+Учет!B1637-B1637</f>
        <v>-488978.92000000004</v>
      </c>
      <c r="H1637" s="43">
        <f>H1636+Учет!C1637-C1637</f>
        <v>336855</v>
      </c>
      <c r="I1637" s="43">
        <f>I1636+Учет!D1637-D1637</f>
        <v>500</v>
      </c>
      <c r="J1637" s="43">
        <f>J1636+Учет!E1637-E1637</f>
        <v>1150</v>
      </c>
      <c r="K1637" s="43">
        <f>K1636+Учет!F1637-F1637</f>
        <v>500000</v>
      </c>
      <c r="L1637" s="45">
        <f>Учет!I1637</f>
        <v>349526.07999999996</v>
      </c>
    </row>
    <row r="1638" spans="1:12" x14ac:dyDescent="0.25">
      <c r="A1638" s="48" t="str">
        <f>IF(Учет!A1638&lt;&gt;"",Учет!A1638,"")</f>
        <v/>
      </c>
      <c r="B1638" s="52">
        <f>IF(Учет!$O1638=Справочники!$F$2,Учет!$H1638,0)</f>
        <v>0</v>
      </c>
      <c r="C1638" s="52">
        <f>IF(Учет!$O1638=Справочники!$F$3,Учет!$H1638,0)</f>
        <v>0</v>
      </c>
      <c r="D1638" s="52">
        <f>IF(Учет!$O1638=Справочники!$F$4,Учет!$H1638,0)</f>
        <v>0</v>
      </c>
      <c r="E1638" s="52">
        <f>IF(Учет!$O1638=Справочники!$F$5,Учет!$H1638,0)</f>
        <v>0</v>
      </c>
      <c r="F1638" s="52">
        <f>IF(Учет!$O1638=Справочники!$F$6,Учет!$H1638,0)</f>
        <v>0</v>
      </c>
      <c r="G1638" s="43">
        <f>G1637+Учет!B1638-B1638</f>
        <v>-488978.92000000004</v>
      </c>
      <c r="H1638" s="43">
        <f>H1637+Учет!C1638-C1638</f>
        <v>336855</v>
      </c>
      <c r="I1638" s="43">
        <f>I1637+Учет!D1638-D1638</f>
        <v>500</v>
      </c>
      <c r="J1638" s="43">
        <f>J1637+Учет!E1638-E1638</f>
        <v>1150</v>
      </c>
      <c r="K1638" s="43">
        <f>K1637+Учет!F1638-F1638</f>
        <v>500000</v>
      </c>
      <c r="L1638" s="45">
        <f>Учет!I1638</f>
        <v>349526.07999999996</v>
      </c>
    </row>
    <row r="1639" spans="1:12" x14ac:dyDescent="0.25">
      <c r="A1639" s="48" t="str">
        <f>IF(Учет!A1639&lt;&gt;"",Учет!A1639,"")</f>
        <v/>
      </c>
      <c r="B1639" s="52">
        <f>IF(Учет!$O1639=Справочники!$F$2,Учет!$H1639,0)</f>
        <v>0</v>
      </c>
      <c r="C1639" s="52">
        <f>IF(Учет!$O1639=Справочники!$F$3,Учет!$H1639,0)</f>
        <v>0</v>
      </c>
      <c r="D1639" s="52">
        <f>IF(Учет!$O1639=Справочники!$F$4,Учет!$H1639,0)</f>
        <v>0</v>
      </c>
      <c r="E1639" s="52">
        <f>IF(Учет!$O1639=Справочники!$F$5,Учет!$H1639,0)</f>
        <v>0</v>
      </c>
      <c r="F1639" s="52">
        <f>IF(Учет!$O1639=Справочники!$F$6,Учет!$H1639,0)</f>
        <v>0</v>
      </c>
      <c r="G1639" s="43">
        <f>G1638+Учет!B1639-B1639</f>
        <v>-488978.92000000004</v>
      </c>
      <c r="H1639" s="43">
        <f>H1638+Учет!C1639-C1639</f>
        <v>336855</v>
      </c>
      <c r="I1639" s="43">
        <f>I1638+Учет!D1639-D1639</f>
        <v>500</v>
      </c>
      <c r="J1639" s="43">
        <f>J1638+Учет!E1639-E1639</f>
        <v>1150</v>
      </c>
      <c r="K1639" s="43">
        <f>K1638+Учет!F1639-F1639</f>
        <v>500000</v>
      </c>
      <c r="L1639" s="45">
        <f>Учет!I1639</f>
        <v>349526.07999999996</v>
      </c>
    </row>
    <row r="1640" spans="1:12" x14ac:dyDescent="0.25">
      <c r="A1640" s="48" t="str">
        <f>IF(Учет!A1640&lt;&gt;"",Учет!A1640,"")</f>
        <v/>
      </c>
      <c r="B1640" s="52">
        <f>IF(Учет!$O1640=Справочники!$F$2,Учет!$H1640,0)</f>
        <v>0</v>
      </c>
      <c r="C1640" s="52">
        <f>IF(Учет!$O1640=Справочники!$F$3,Учет!$H1640,0)</f>
        <v>0</v>
      </c>
      <c r="D1640" s="52">
        <f>IF(Учет!$O1640=Справочники!$F$4,Учет!$H1640,0)</f>
        <v>0</v>
      </c>
      <c r="E1640" s="52">
        <f>IF(Учет!$O1640=Справочники!$F$5,Учет!$H1640,0)</f>
        <v>0</v>
      </c>
      <c r="F1640" s="52">
        <f>IF(Учет!$O1640=Справочники!$F$6,Учет!$H1640,0)</f>
        <v>0</v>
      </c>
      <c r="G1640" s="43">
        <f>G1639+Учет!B1640-B1640</f>
        <v>-488978.92000000004</v>
      </c>
      <c r="H1640" s="43">
        <f>H1639+Учет!C1640-C1640</f>
        <v>336855</v>
      </c>
      <c r="I1640" s="43">
        <f>I1639+Учет!D1640-D1640</f>
        <v>500</v>
      </c>
      <c r="J1640" s="43">
        <f>J1639+Учет!E1640-E1640</f>
        <v>1150</v>
      </c>
      <c r="K1640" s="43">
        <f>K1639+Учет!F1640-F1640</f>
        <v>500000</v>
      </c>
      <c r="L1640" s="45">
        <f>Учет!I1640</f>
        <v>349526.07999999996</v>
      </c>
    </row>
    <row r="1641" spans="1:12" x14ac:dyDescent="0.25">
      <c r="A1641" s="48" t="str">
        <f>IF(Учет!A1641&lt;&gt;"",Учет!A1641,"")</f>
        <v/>
      </c>
      <c r="B1641" s="52">
        <f>IF(Учет!$O1641=Справочники!$F$2,Учет!$H1641,0)</f>
        <v>0</v>
      </c>
      <c r="C1641" s="52">
        <f>IF(Учет!$O1641=Справочники!$F$3,Учет!$H1641,0)</f>
        <v>0</v>
      </c>
      <c r="D1641" s="52">
        <f>IF(Учет!$O1641=Справочники!$F$4,Учет!$H1641,0)</f>
        <v>0</v>
      </c>
      <c r="E1641" s="52">
        <f>IF(Учет!$O1641=Справочники!$F$5,Учет!$H1641,0)</f>
        <v>0</v>
      </c>
      <c r="F1641" s="52">
        <f>IF(Учет!$O1641=Справочники!$F$6,Учет!$H1641,0)</f>
        <v>0</v>
      </c>
      <c r="G1641" s="43">
        <f>G1640+Учет!B1641-B1641</f>
        <v>-488978.92000000004</v>
      </c>
      <c r="H1641" s="43">
        <f>H1640+Учет!C1641-C1641</f>
        <v>336855</v>
      </c>
      <c r="I1641" s="43">
        <f>I1640+Учет!D1641-D1641</f>
        <v>500</v>
      </c>
      <c r="J1641" s="43">
        <f>J1640+Учет!E1641-E1641</f>
        <v>1150</v>
      </c>
      <c r="K1641" s="43">
        <f>K1640+Учет!F1641-F1641</f>
        <v>500000</v>
      </c>
      <c r="L1641" s="45">
        <f>Учет!I1641</f>
        <v>349526.07999999996</v>
      </c>
    </row>
    <row r="1642" spans="1:12" x14ac:dyDescent="0.25">
      <c r="A1642" s="48" t="str">
        <f>IF(Учет!A1642&lt;&gt;"",Учет!A1642,"")</f>
        <v/>
      </c>
      <c r="B1642" s="52">
        <f>IF(Учет!$O1642=Справочники!$F$2,Учет!$H1642,0)</f>
        <v>0</v>
      </c>
      <c r="C1642" s="52">
        <f>IF(Учет!$O1642=Справочники!$F$3,Учет!$H1642,0)</f>
        <v>0</v>
      </c>
      <c r="D1642" s="52">
        <f>IF(Учет!$O1642=Справочники!$F$4,Учет!$H1642,0)</f>
        <v>0</v>
      </c>
      <c r="E1642" s="52">
        <f>IF(Учет!$O1642=Справочники!$F$5,Учет!$H1642,0)</f>
        <v>0</v>
      </c>
      <c r="F1642" s="52">
        <f>IF(Учет!$O1642=Справочники!$F$6,Учет!$H1642,0)</f>
        <v>0</v>
      </c>
      <c r="G1642" s="43">
        <f>G1641+Учет!B1642-B1642</f>
        <v>-488978.92000000004</v>
      </c>
      <c r="H1642" s="43">
        <f>H1641+Учет!C1642-C1642</f>
        <v>336855</v>
      </c>
      <c r="I1642" s="43">
        <f>I1641+Учет!D1642-D1642</f>
        <v>500</v>
      </c>
      <c r="J1642" s="43">
        <f>J1641+Учет!E1642-E1642</f>
        <v>1150</v>
      </c>
      <c r="K1642" s="43">
        <f>K1641+Учет!F1642-F1642</f>
        <v>500000</v>
      </c>
      <c r="L1642" s="45">
        <f>Учет!I1642</f>
        <v>349526.07999999996</v>
      </c>
    </row>
    <row r="1643" spans="1:12" x14ac:dyDescent="0.25">
      <c r="A1643" s="48" t="str">
        <f>IF(Учет!A1643&lt;&gt;"",Учет!A1643,"")</f>
        <v/>
      </c>
      <c r="B1643" s="52">
        <f>IF(Учет!$O1643=Справочники!$F$2,Учет!$H1643,0)</f>
        <v>0</v>
      </c>
      <c r="C1643" s="52">
        <f>IF(Учет!$O1643=Справочники!$F$3,Учет!$H1643,0)</f>
        <v>0</v>
      </c>
      <c r="D1643" s="52">
        <f>IF(Учет!$O1643=Справочники!$F$4,Учет!$H1643,0)</f>
        <v>0</v>
      </c>
      <c r="E1643" s="52">
        <f>IF(Учет!$O1643=Справочники!$F$5,Учет!$H1643,0)</f>
        <v>0</v>
      </c>
      <c r="F1643" s="52">
        <f>IF(Учет!$O1643=Справочники!$F$6,Учет!$H1643,0)</f>
        <v>0</v>
      </c>
      <c r="G1643" s="43">
        <f>G1642+Учет!B1643-B1643</f>
        <v>-488978.92000000004</v>
      </c>
      <c r="H1643" s="43">
        <f>H1642+Учет!C1643-C1643</f>
        <v>336855</v>
      </c>
      <c r="I1643" s="43">
        <f>I1642+Учет!D1643-D1643</f>
        <v>500</v>
      </c>
      <c r="J1643" s="43">
        <f>J1642+Учет!E1643-E1643</f>
        <v>1150</v>
      </c>
      <c r="K1643" s="43">
        <f>K1642+Учет!F1643-F1643</f>
        <v>500000</v>
      </c>
      <c r="L1643" s="45">
        <f>Учет!I1643</f>
        <v>349526.07999999996</v>
      </c>
    </row>
    <row r="1644" spans="1:12" x14ac:dyDescent="0.25">
      <c r="A1644" s="48" t="str">
        <f>IF(Учет!A1644&lt;&gt;"",Учет!A1644,"")</f>
        <v/>
      </c>
      <c r="B1644" s="52">
        <f>IF(Учет!$O1644=Справочники!$F$2,Учет!$H1644,0)</f>
        <v>0</v>
      </c>
      <c r="C1644" s="52">
        <f>IF(Учет!$O1644=Справочники!$F$3,Учет!$H1644,0)</f>
        <v>0</v>
      </c>
      <c r="D1644" s="52">
        <f>IF(Учет!$O1644=Справочники!$F$4,Учет!$H1644,0)</f>
        <v>0</v>
      </c>
      <c r="E1644" s="52">
        <f>IF(Учет!$O1644=Справочники!$F$5,Учет!$H1644,0)</f>
        <v>0</v>
      </c>
      <c r="F1644" s="52">
        <f>IF(Учет!$O1644=Справочники!$F$6,Учет!$H1644,0)</f>
        <v>0</v>
      </c>
      <c r="G1644" s="43">
        <f>G1643+Учет!B1644-B1644</f>
        <v>-488978.92000000004</v>
      </c>
      <c r="H1644" s="43">
        <f>H1643+Учет!C1644-C1644</f>
        <v>336855</v>
      </c>
      <c r="I1644" s="43">
        <f>I1643+Учет!D1644-D1644</f>
        <v>500</v>
      </c>
      <c r="J1644" s="43">
        <f>J1643+Учет!E1644-E1644</f>
        <v>1150</v>
      </c>
      <c r="K1644" s="43">
        <f>K1643+Учет!F1644-F1644</f>
        <v>500000</v>
      </c>
      <c r="L1644" s="45">
        <f>Учет!I1644</f>
        <v>349526.07999999996</v>
      </c>
    </row>
    <row r="1645" spans="1:12" x14ac:dyDescent="0.25">
      <c r="A1645" s="48" t="str">
        <f>IF(Учет!A1645&lt;&gt;"",Учет!A1645,"")</f>
        <v/>
      </c>
      <c r="B1645" s="52">
        <f>IF(Учет!$O1645=Справочники!$F$2,Учет!$H1645,0)</f>
        <v>0</v>
      </c>
      <c r="C1645" s="52">
        <f>IF(Учет!$O1645=Справочники!$F$3,Учет!$H1645,0)</f>
        <v>0</v>
      </c>
      <c r="D1645" s="52">
        <f>IF(Учет!$O1645=Справочники!$F$4,Учет!$H1645,0)</f>
        <v>0</v>
      </c>
      <c r="E1645" s="52">
        <f>IF(Учет!$O1645=Справочники!$F$5,Учет!$H1645,0)</f>
        <v>0</v>
      </c>
      <c r="F1645" s="52">
        <f>IF(Учет!$O1645=Справочники!$F$6,Учет!$H1645,0)</f>
        <v>0</v>
      </c>
      <c r="G1645" s="43">
        <f>G1644+Учет!B1645-B1645</f>
        <v>-488978.92000000004</v>
      </c>
      <c r="H1645" s="43">
        <f>H1644+Учет!C1645-C1645</f>
        <v>336855</v>
      </c>
      <c r="I1645" s="43">
        <f>I1644+Учет!D1645-D1645</f>
        <v>500</v>
      </c>
      <c r="J1645" s="43">
        <f>J1644+Учет!E1645-E1645</f>
        <v>1150</v>
      </c>
      <c r="K1645" s="43">
        <f>K1644+Учет!F1645-F1645</f>
        <v>500000</v>
      </c>
      <c r="L1645" s="45">
        <f>Учет!I1645</f>
        <v>349526.07999999996</v>
      </c>
    </row>
    <row r="1646" spans="1:12" x14ac:dyDescent="0.25">
      <c r="A1646" s="48" t="str">
        <f>IF(Учет!A1646&lt;&gt;"",Учет!A1646,"")</f>
        <v/>
      </c>
      <c r="B1646" s="52">
        <f>IF(Учет!$O1646=Справочники!$F$2,Учет!$H1646,0)</f>
        <v>0</v>
      </c>
      <c r="C1646" s="52">
        <f>IF(Учет!$O1646=Справочники!$F$3,Учет!$H1646,0)</f>
        <v>0</v>
      </c>
      <c r="D1646" s="52">
        <f>IF(Учет!$O1646=Справочники!$F$4,Учет!$H1646,0)</f>
        <v>0</v>
      </c>
      <c r="E1646" s="52">
        <f>IF(Учет!$O1646=Справочники!$F$5,Учет!$H1646,0)</f>
        <v>0</v>
      </c>
      <c r="F1646" s="52">
        <f>IF(Учет!$O1646=Справочники!$F$6,Учет!$H1646,0)</f>
        <v>0</v>
      </c>
      <c r="G1646" s="43">
        <f>G1645+Учет!B1646-B1646</f>
        <v>-488978.92000000004</v>
      </c>
      <c r="H1646" s="43">
        <f>H1645+Учет!C1646-C1646</f>
        <v>336855</v>
      </c>
      <c r="I1646" s="43">
        <f>I1645+Учет!D1646-D1646</f>
        <v>500</v>
      </c>
      <c r="J1646" s="43">
        <f>J1645+Учет!E1646-E1646</f>
        <v>1150</v>
      </c>
      <c r="K1646" s="43">
        <f>K1645+Учет!F1646-F1646</f>
        <v>500000</v>
      </c>
      <c r="L1646" s="45">
        <f>Учет!I1646</f>
        <v>349526.07999999996</v>
      </c>
    </row>
    <row r="1647" spans="1:12" x14ac:dyDescent="0.25">
      <c r="A1647" s="48" t="str">
        <f>IF(Учет!A1647&lt;&gt;"",Учет!A1647,"")</f>
        <v/>
      </c>
      <c r="B1647" s="52">
        <f>IF(Учет!$O1647=Справочники!$F$2,Учет!$H1647,0)</f>
        <v>0</v>
      </c>
      <c r="C1647" s="52">
        <f>IF(Учет!$O1647=Справочники!$F$3,Учет!$H1647,0)</f>
        <v>0</v>
      </c>
      <c r="D1647" s="52">
        <f>IF(Учет!$O1647=Справочники!$F$4,Учет!$H1647,0)</f>
        <v>0</v>
      </c>
      <c r="E1647" s="52">
        <f>IF(Учет!$O1647=Справочники!$F$5,Учет!$H1647,0)</f>
        <v>0</v>
      </c>
      <c r="F1647" s="52">
        <f>IF(Учет!$O1647=Справочники!$F$6,Учет!$H1647,0)</f>
        <v>0</v>
      </c>
      <c r="G1647" s="43">
        <f>G1646+Учет!B1647-B1647</f>
        <v>-488978.92000000004</v>
      </c>
      <c r="H1647" s="43">
        <f>H1646+Учет!C1647-C1647</f>
        <v>336855</v>
      </c>
      <c r="I1647" s="43">
        <f>I1646+Учет!D1647-D1647</f>
        <v>500</v>
      </c>
      <c r="J1647" s="43">
        <f>J1646+Учет!E1647-E1647</f>
        <v>1150</v>
      </c>
      <c r="K1647" s="43">
        <f>K1646+Учет!F1647-F1647</f>
        <v>500000</v>
      </c>
      <c r="L1647" s="45">
        <f>Учет!I1647</f>
        <v>349526.07999999996</v>
      </c>
    </row>
    <row r="1648" spans="1:12" x14ac:dyDescent="0.25">
      <c r="A1648" s="48" t="str">
        <f>IF(Учет!A1648&lt;&gt;"",Учет!A1648,"")</f>
        <v/>
      </c>
      <c r="B1648" s="52">
        <f>IF(Учет!$O1648=Справочники!$F$2,Учет!$H1648,0)</f>
        <v>0</v>
      </c>
      <c r="C1648" s="52">
        <f>IF(Учет!$O1648=Справочники!$F$3,Учет!$H1648,0)</f>
        <v>0</v>
      </c>
      <c r="D1648" s="52">
        <f>IF(Учет!$O1648=Справочники!$F$4,Учет!$H1648,0)</f>
        <v>0</v>
      </c>
      <c r="E1648" s="52">
        <f>IF(Учет!$O1648=Справочники!$F$5,Учет!$H1648,0)</f>
        <v>0</v>
      </c>
      <c r="F1648" s="52">
        <f>IF(Учет!$O1648=Справочники!$F$6,Учет!$H1648,0)</f>
        <v>0</v>
      </c>
      <c r="G1648" s="43">
        <f>G1647+Учет!B1648-B1648</f>
        <v>-488978.92000000004</v>
      </c>
      <c r="H1648" s="43">
        <f>H1647+Учет!C1648-C1648</f>
        <v>336855</v>
      </c>
      <c r="I1648" s="43">
        <f>I1647+Учет!D1648-D1648</f>
        <v>500</v>
      </c>
      <c r="J1648" s="43">
        <f>J1647+Учет!E1648-E1648</f>
        <v>1150</v>
      </c>
      <c r="K1648" s="43">
        <f>K1647+Учет!F1648-F1648</f>
        <v>500000</v>
      </c>
      <c r="L1648" s="45">
        <f>Учет!I1648</f>
        <v>349526.07999999996</v>
      </c>
    </row>
    <row r="1649" spans="1:12" x14ac:dyDescent="0.25">
      <c r="A1649" s="48" t="str">
        <f>IF(Учет!A1649&lt;&gt;"",Учет!A1649,"")</f>
        <v/>
      </c>
      <c r="B1649" s="52">
        <f>IF(Учет!$O1649=Справочники!$F$2,Учет!$H1649,0)</f>
        <v>0</v>
      </c>
      <c r="C1649" s="52">
        <f>IF(Учет!$O1649=Справочники!$F$3,Учет!$H1649,0)</f>
        <v>0</v>
      </c>
      <c r="D1649" s="52">
        <f>IF(Учет!$O1649=Справочники!$F$4,Учет!$H1649,0)</f>
        <v>0</v>
      </c>
      <c r="E1649" s="52">
        <f>IF(Учет!$O1649=Справочники!$F$5,Учет!$H1649,0)</f>
        <v>0</v>
      </c>
      <c r="F1649" s="52">
        <f>IF(Учет!$O1649=Справочники!$F$6,Учет!$H1649,0)</f>
        <v>0</v>
      </c>
      <c r="G1649" s="43">
        <f>G1648+Учет!B1649-B1649</f>
        <v>-488978.92000000004</v>
      </c>
      <c r="H1649" s="43">
        <f>H1648+Учет!C1649-C1649</f>
        <v>336855</v>
      </c>
      <c r="I1649" s="43">
        <f>I1648+Учет!D1649-D1649</f>
        <v>500</v>
      </c>
      <c r="J1649" s="43">
        <f>J1648+Учет!E1649-E1649</f>
        <v>1150</v>
      </c>
      <c r="K1649" s="43">
        <f>K1648+Учет!F1649-F1649</f>
        <v>500000</v>
      </c>
      <c r="L1649" s="45">
        <f>Учет!I1649</f>
        <v>349526.07999999996</v>
      </c>
    </row>
    <row r="1650" spans="1:12" x14ac:dyDescent="0.25">
      <c r="A1650" s="48" t="str">
        <f>IF(Учет!A1650&lt;&gt;"",Учет!A1650,"")</f>
        <v/>
      </c>
      <c r="B1650" s="52">
        <f>IF(Учет!$O1650=Справочники!$F$2,Учет!$H1650,0)</f>
        <v>0</v>
      </c>
      <c r="C1650" s="52">
        <f>IF(Учет!$O1650=Справочники!$F$3,Учет!$H1650,0)</f>
        <v>0</v>
      </c>
      <c r="D1650" s="52">
        <f>IF(Учет!$O1650=Справочники!$F$4,Учет!$H1650,0)</f>
        <v>0</v>
      </c>
      <c r="E1650" s="52">
        <f>IF(Учет!$O1650=Справочники!$F$5,Учет!$H1650,0)</f>
        <v>0</v>
      </c>
      <c r="F1650" s="52">
        <f>IF(Учет!$O1650=Справочники!$F$6,Учет!$H1650,0)</f>
        <v>0</v>
      </c>
      <c r="G1650" s="43">
        <f>G1649+Учет!B1650-B1650</f>
        <v>-488978.92000000004</v>
      </c>
      <c r="H1650" s="43">
        <f>H1649+Учет!C1650-C1650</f>
        <v>336855</v>
      </c>
      <c r="I1650" s="43">
        <f>I1649+Учет!D1650-D1650</f>
        <v>500</v>
      </c>
      <c r="J1650" s="43">
        <f>J1649+Учет!E1650-E1650</f>
        <v>1150</v>
      </c>
      <c r="K1650" s="43">
        <f>K1649+Учет!F1650-F1650</f>
        <v>500000</v>
      </c>
      <c r="L1650" s="45">
        <f>Учет!I1650</f>
        <v>349526.07999999996</v>
      </c>
    </row>
    <row r="1651" spans="1:12" x14ac:dyDescent="0.25">
      <c r="A1651" s="48" t="str">
        <f>IF(Учет!A1651&lt;&gt;"",Учет!A1651,"")</f>
        <v/>
      </c>
      <c r="B1651" s="52">
        <f>IF(Учет!$O1651=Справочники!$F$2,Учет!$H1651,0)</f>
        <v>0</v>
      </c>
      <c r="C1651" s="52">
        <f>IF(Учет!$O1651=Справочники!$F$3,Учет!$H1651,0)</f>
        <v>0</v>
      </c>
      <c r="D1651" s="52">
        <f>IF(Учет!$O1651=Справочники!$F$4,Учет!$H1651,0)</f>
        <v>0</v>
      </c>
      <c r="E1651" s="52">
        <f>IF(Учет!$O1651=Справочники!$F$5,Учет!$H1651,0)</f>
        <v>0</v>
      </c>
      <c r="F1651" s="52">
        <f>IF(Учет!$O1651=Справочники!$F$6,Учет!$H1651,0)</f>
        <v>0</v>
      </c>
      <c r="G1651" s="43">
        <f>G1650+Учет!B1651-B1651</f>
        <v>-488978.92000000004</v>
      </c>
      <c r="H1651" s="43">
        <f>H1650+Учет!C1651-C1651</f>
        <v>336855</v>
      </c>
      <c r="I1651" s="43">
        <f>I1650+Учет!D1651-D1651</f>
        <v>500</v>
      </c>
      <c r="J1651" s="43">
        <f>J1650+Учет!E1651-E1651</f>
        <v>1150</v>
      </c>
      <c r="K1651" s="43">
        <f>K1650+Учет!F1651-F1651</f>
        <v>500000</v>
      </c>
      <c r="L1651" s="45">
        <f>Учет!I1651</f>
        <v>349526.07999999996</v>
      </c>
    </row>
    <row r="1652" spans="1:12" x14ac:dyDescent="0.25">
      <c r="A1652" s="48" t="str">
        <f>IF(Учет!A1652&lt;&gt;"",Учет!A1652,"")</f>
        <v/>
      </c>
      <c r="B1652" s="52">
        <f>IF(Учет!$O1652=Справочники!$F$2,Учет!$H1652,0)</f>
        <v>0</v>
      </c>
      <c r="C1652" s="52">
        <f>IF(Учет!$O1652=Справочники!$F$3,Учет!$H1652,0)</f>
        <v>0</v>
      </c>
      <c r="D1652" s="52">
        <f>IF(Учет!$O1652=Справочники!$F$4,Учет!$H1652,0)</f>
        <v>0</v>
      </c>
      <c r="E1652" s="52">
        <f>IF(Учет!$O1652=Справочники!$F$5,Учет!$H1652,0)</f>
        <v>0</v>
      </c>
      <c r="F1652" s="52">
        <f>IF(Учет!$O1652=Справочники!$F$6,Учет!$H1652,0)</f>
        <v>0</v>
      </c>
      <c r="G1652" s="43">
        <f>G1651+Учет!B1652-B1652</f>
        <v>-488978.92000000004</v>
      </c>
      <c r="H1652" s="43">
        <f>H1651+Учет!C1652-C1652</f>
        <v>336855</v>
      </c>
      <c r="I1652" s="43">
        <f>I1651+Учет!D1652-D1652</f>
        <v>500</v>
      </c>
      <c r="J1652" s="43">
        <f>J1651+Учет!E1652-E1652</f>
        <v>1150</v>
      </c>
      <c r="K1652" s="43">
        <f>K1651+Учет!F1652-F1652</f>
        <v>500000</v>
      </c>
      <c r="L1652" s="45">
        <f>Учет!I1652</f>
        <v>349526.07999999996</v>
      </c>
    </row>
    <row r="1653" spans="1:12" x14ac:dyDescent="0.25">
      <c r="A1653" s="48" t="str">
        <f>IF(Учет!A1653&lt;&gt;"",Учет!A1653,"")</f>
        <v/>
      </c>
      <c r="B1653" s="52">
        <f>IF(Учет!$O1653=Справочники!$F$2,Учет!$H1653,0)</f>
        <v>0</v>
      </c>
      <c r="C1653" s="52">
        <f>IF(Учет!$O1653=Справочники!$F$3,Учет!$H1653,0)</f>
        <v>0</v>
      </c>
      <c r="D1653" s="52">
        <f>IF(Учет!$O1653=Справочники!$F$4,Учет!$H1653,0)</f>
        <v>0</v>
      </c>
      <c r="E1653" s="52">
        <f>IF(Учет!$O1653=Справочники!$F$5,Учет!$H1653,0)</f>
        <v>0</v>
      </c>
      <c r="F1653" s="52">
        <f>IF(Учет!$O1653=Справочники!$F$6,Учет!$H1653,0)</f>
        <v>0</v>
      </c>
      <c r="G1653" s="43">
        <f>G1652+Учет!B1653-B1653</f>
        <v>-488978.92000000004</v>
      </c>
      <c r="H1653" s="43">
        <f>H1652+Учет!C1653-C1653</f>
        <v>336855</v>
      </c>
      <c r="I1653" s="43">
        <f>I1652+Учет!D1653-D1653</f>
        <v>500</v>
      </c>
      <c r="J1653" s="43">
        <f>J1652+Учет!E1653-E1653</f>
        <v>1150</v>
      </c>
      <c r="K1653" s="43">
        <f>K1652+Учет!F1653-F1653</f>
        <v>500000</v>
      </c>
      <c r="L1653" s="45">
        <f>Учет!I1653</f>
        <v>349526.07999999996</v>
      </c>
    </row>
    <row r="1654" spans="1:12" x14ac:dyDescent="0.25">
      <c r="A1654" s="48" t="str">
        <f>IF(Учет!A1654&lt;&gt;"",Учет!A1654,"")</f>
        <v/>
      </c>
      <c r="B1654" s="52">
        <f>IF(Учет!$O1654=Справочники!$F$2,Учет!$H1654,0)</f>
        <v>0</v>
      </c>
      <c r="C1654" s="52">
        <f>IF(Учет!$O1654=Справочники!$F$3,Учет!$H1654,0)</f>
        <v>0</v>
      </c>
      <c r="D1654" s="52">
        <f>IF(Учет!$O1654=Справочники!$F$4,Учет!$H1654,0)</f>
        <v>0</v>
      </c>
      <c r="E1654" s="52">
        <f>IF(Учет!$O1654=Справочники!$F$5,Учет!$H1654,0)</f>
        <v>0</v>
      </c>
      <c r="F1654" s="52">
        <f>IF(Учет!$O1654=Справочники!$F$6,Учет!$H1654,0)</f>
        <v>0</v>
      </c>
      <c r="G1654" s="43">
        <f>G1653+Учет!B1654-B1654</f>
        <v>-488978.92000000004</v>
      </c>
      <c r="H1654" s="43">
        <f>H1653+Учет!C1654-C1654</f>
        <v>336855</v>
      </c>
      <c r="I1654" s="43">
        <f>I1653+Учет!D1654-D1654</f>
        <v>500</v>
      </c>
      <c r="J1654" s="43">
        <f>J1653+Учет!E1654-E1654</f>
        <v>1150</v>
      </c>
      <c r="K1654" s="43">
        <f>K1653+Учет!F1654-F1654</f>
        <v>500000</v>
      </c>
      <c r="L1654" s="45">
        <f>Учет!I1654</f>
        <v>349526.07999999996</v>
      </c>
    </row>
    <row r="1655" spans="1:12" x14ac:dyDescent="0.25">
      <c r="A1655" s="48" t="str">
        <f>IF(Учет!A1655&lt;&gt;"",Учет!A1655,"")</f>
        <v/>
      </c>
      <c r="B1655" s="52">
        <f>IF(Учет!$O1655=Справочники!$F$2,Учет!$H1655,0)</f>
        <v>0</v>
      </c>
      <c r="C1655" s="52">
        <f>IF(Учет!$O1655=Справочники!$F$3,Учет!$H1655,0)</f>
        <v>0</v>
      </c>
      <c r="D1655" s="52">
        <f>IF(Учет!$O1655=Справочники!$F$4,Учет!$H1655,0)</f>
        <v>0</v>
      </c>
      <c r="E1655" s="52">
        <f>IF(Учет!$O1655=Справочники!$F$5,Учет!$H1655,0)</f>
        <v>0</v>
      </c>
      <c r="F1655" s="52">
        <f>IF(Учет!$O1655=Справочники!$F$6,Учет!$H1655,0)</f>
        <v>0</v>
      </c>
      <c r="G1655" s="43">
        <f>G1654+Учет!B1655-B1655</f>
        <v>-488978.92000000004</v>
      </c>
      <c r="H1655" s="43">
        <f>H1654+Учет!C1655-C1655</f>
        <v>336855</v>
      </c>
      <c r="I1655" s="43">
        <f>I1654+Учет!D1655-D1655</f>
        <v>500</v>
      </c>
      <c r="J1655" s="43">
        <f>J1654+Учет!E1655-E1655</f>
        <v>1150</v>
      </c>
      <c r="K1655" s="43">
        <f>K1654+Учет!F1655-F1655</f>
        <v>500000</v>
      </c>
      <c r="L1655" s="45">
        <f>Учет!I1655</f>
        <v>349526.07999999996</v>
      </c>
    </row>
    <row r="1656" spans="1:12" x14ac:dyDescent="0.25">
      <c r="A1656" s="48" t="str">
        <f>IF(Учет!A1656&lt;&gt;"",Учет!A1656,"")</f>
        <v/>
      </c>
      <c r="B1656" s="52">
        <f>IF(Учет!$O1656=Справочники!$F$2,Учет!$H1656,0)</f>
        <v>0</v>
      </c>
      <c r="C1656" s="52">
        <f>IF(Учет!$O1656=Справочники!$F$3,Учет!$H1656,0)</f>
        <v>0</v>
      </c>
      <c r="D1656" s="52">
        <f>IF(Учет!$O1656=Справочники!$F$4,Учет!$H1656,0)</f>
        <v>0</v>
      </c>
      <c r="E1656" s="52">
        <f>IF(Учет!$O1656=Справочники!$F$5,Учет!$H1656,0)</f>
        <v>0</v>
      </c>
      <c r="F1656" s="52">
        <f>IF(Учет!$O1656=Справочники!$F$6,Учет!$H1656,0)</f>
        <v>0</v>
      </c>
      <c r="G1656" s="43">
        <f>G1655+Учет!B1656-B1656</f>
        <v>-488978.92000000004</v>
      </c>
      <c r="H1656" s="43">
        <f>H1655+Учет!C1656-C1656</f>
        <v>336855</v>
      </c>
      <c r="I1656" s="43">
        <f>I1655+Учет!D1656-D1656</f>
        <v>500</v>
      </c>
      <c r="J1656" s="43">
        <f>J1655+Учет!E1656-E1656</f>
        <v>1150</v>
      </c>
      <c r="K1656" s="43">
        <f>K1655+Учет!F1656-F1656</f>
        <v>500000</v>
      </c>
      <c r="L1656" s="45">
        <f>Учет!I1656</f>
        <v>349526.07999999996</v>
      </c>
    </row>
    <row r="1657" spans="1:12" x14ac:dyDescent="0.25">
      <c r="A1657" s="48" t="str">
        <f>IF(Учет!A1657&lt;&gt;"",Учет!A1657,"")</f>
        <v/>
      </c>
      <c r="B1657" s="52">
        <f>IF(Учет!$O1657=Справочники!$F$2,Учет!$H1657,0)</f>
        <v>0</v>
      </c>
      <c r="C1657" s="52">
        <f>IF(Учет!$O1657=Справочники!$F$3,Учет!$H1657,0)</f>
        <v>0</v>
      </c>
      <c r="D1657" s="52">
        <f>IF(Учет!$O1657=Справочники!$F$4,Учет!$H1657,0)</f>
        <v>0</v>
      </c>
      <c r="E1657" s="52">
        <f>IF(Учет!$O1657=Справочники!$F$5,Учет!$H1657,0)</f>
        <v>0</v>
      </c>
      <c r="F1657" s="52">
        <f>IF(Учет!$O1657=Справочники!$F$6,Учет!$H1657,0)</f>
        <v>0</v>
      </c>
      <c r="G1657" s="43">
        <f>G1656+Учет!B1657-B1657</f>
        <v>-488978.92000000004</v>
      </c>
      <c r="H1657" s="43">
        <f>H1656+Учет!C1657-C1657</f>
        <v>336855</v>
      </c>
      <c r="I1657" s="43">
        <f>I1656+Учет!D1657-D1657</f>
        <v>500</v>
      </c>
      <c r="J1657" s="43">
        <f>J1656+Учет!E1657-E1657</f>
        <v>1150</v>
      </c>
      <c r="K1657" s="43">
        <f>K1656+Учет!F1657-F1657</f>
        <v>500000</v>
      </c>
      <c r="L1657" s="45">
        <f>Учет!I1657</f>
        <v>349526.07999999996</v>
      </c>
    </row>
    <row r="1658" spans="1:12" x14ac:dyDescent="0.25">
      <c r="A1658" s="48" t="str">
        <f>IF(Учет!A1658&lt;&gt;"",Учет!A1658,"")</f>
        <v/>
      </c>
      <c r="B1658" s="52">
        <f>IF(Учет!$O1658=Справочники!$F$2,Учет!$H1658,0)</f>
        <v>0</v>
      </c>
      <c r="C1658" s="52">
        <f>IF(Учет!$O1658=Справочники!$F$3,Учет!$H1658,0)</f>
        <v>0</v>
      </c>
      <c r="D1658" s="52">
        <f>IF(Учет!$O1658=Справочники!$F$4,Учет!$H1658,0)</f>
        <v>0</v>
      </c>
      <c r="E1658" s="52">
        <f>IF(Учет!$O1658=Справочники!$F$5,Учет!$H1658,0)</f>
        <v>0</v>
      </c>
      <c r="F1658" s="52">
        <f>IF(Учет!$O1658=Справочники!$F$6,Учет!$H1658,0)</f>
        <v>0</v>
      </c>
      <c r="G1658" s="43">
        <f>G1657+Учет!B1658-B1658</f>
        <v>-488978.92000000004</v>
      </c>
      <c r="H1658" s="43">
        <f>H1657+Учет!C1658-C1658</f>
        <v>336855</v>
      </c>
      <c r="I1658" s="43">
        <f>I1657+Учет!D1658-D1658</f>
        <v>500</v>
      </c>
      <c r="J1658" s="43">
        <f>J1657+Учет!E1658-E1658</f>
        <v>1150</v>
      </c>
      <c r="K1658" s="43">
        <f>K1657+Учет!F1658-F1658</f>
        <v>500000</v>
      </c>
      <c r="L1658" s="45">
        <f>Учет!I1658</f>
        <v>349526.07999999996</v>
      </c>
    </row>
    <row r="1659" spans="1:12" x14ac:dyDescent="0.25">
      <c r="A1659" s="48" t="str">
        <f>IF(Учет!A1659&lt;&gt;"",Учет!A1659,"")</f>
        <v/>
      </c>
      <c r="B1659" s="52">
        <f>IF(Учет!$O1659=Справочники!$F$2,Учет!$H1659,0)</f>
        <v>0</v>
      </c>
      <c r="C1659" s="52">
        <f>IF(Учет!$O1659=Справочники!$F$3,Учет!$H1659,0)</f>
        <v>0</v>
      </c>
      <c r="D1659" s="52">
        <f>IF(Учет!$O1659=Справочники!$F$4,Учет!$H1659,0)</f>
        <v>0</v>
      </c>
      <c r="E1659" s="52">
        <f>IF(Учет!$O1659=Справочники!$F$5,Учет!$H1659,0)</f>
        <v>0</v>
      </c>
      <c r="F1659" s="52">
        <f>IF(Учет!$O1659=Справочники!$F$6,Учет!$H1659,0)</f>
        <v>0</v>
      </c>
      <c r="G1659" s="43">
        <f>G1658+Учет!B1659-B1659</f>
        <v>-488978.92000000004</v>
      </c>
      <c r="H1659" s="43">
        <f>H1658+Учет!C1659-C1659</f>
        <v>336855</v>
      </c>
      <c r="I1659" s="43">
        <f>I1658+Учет!D1659-D1659</f>
        <v>500</v>
      </c>
      <c r="J1659" s="43">
        <f>J1658+Учет!E1659-E1659</f>
        <v>1150</v>
      </c>
      <c r="K1659" s="43">
        <f>K1658+Учет!F1659-F1659</f>
        <v>500000</v>
      </c>
      <c r="L1659" s="45">
        <f>Учет!I1659</f>
        <v>349526.07999999996</v>
      </c>
    </row>
    <row r="1660" spans="1:12" x14ac:dyDescent="0.25">
      <c r="A1660" s="48" t="str">
        <f>IF(Учет!A1660&lt;&gt;"",Учет!A1660,"")</f>
        <v/>
      </c>
      <c r="B1660" s="52">
        <f>IF(Учет!$O1660=Справочники!$F$2,Учет!$H1660,0)</f>
        <v>0</v>
      </c>
      <c r="C1660" s="52">
        <f>IF(Учет!$O1660=Справочники!$F$3,Учет!$H1660,0)</f>
        <v>0</v>
      </c>
      <c r="D1660" s="52">
        <f>IF(Учет!$O1660=Справочники!$F$4,Учет!$H1660,0)</f>
        <v>0</v>
      </c>
      <c r="E1660" s="52">
        <f>IF(Учет!$O1660=Справочники!$F$5,Учет!$H1660,0)</f>
        <v>0</v>
      </c>
      <c r="F1660" s="52">
        <f>IF(Учет!$O1660=Справочники!$F$6,Учет!$H1660,0)</f>
        <v>0</v>
      </c>
      <c r="G1660" s="43">
        <f>G1659+Учет!B1660-B1660</f>
        <v>-488978.92000000004</v>
      </c>
      <c r="H1660" s="43">
        <f>H1659+Учет!C1660-C1660</f>
        <v>336855</v>
      </c>
      <c r="I1660" s="43">
        <f>I1659+Учет!D1660-D1660</f>
        <v>500</v>
      </c>
      <c r="J1660" s="43">
        <f>J1659+Учет!E1660-E1660</f>
        <v>1150</v>
      </c>
      <c r="K1660" s="43">
        <f>K1659+Учет!F1660-F1660</f>
        <v>500000</v>
      </c>
      <c r="L1660" s="45">
        <f>Учет!I1660</f>
        <v>349526.07999999996</v>
      </c>
    </row>
    <row r="1661" spans="1:12" x14ac:dyDescent="0.25">
      <c r="A1661" s="48" t="str">
        <f>IF(Учет!A1661&lt;&gt;"",Учет!A1661,"")</f>
        <v/>
      </c>
      <c r="B1661" s="52">
        <f>IF(Учет!$O1661=Справочники!$F$2,Учет!$H1661,0)</f>
        <v>0</v>
      </c>
      <c r="C1661" s="52">
        <f>IF(Учет!$O1661=Справочники!$F$3,Учет!$H1661,0)</f>
        <v>0</v>
      </c>
      <c r="D1661" s="52">
        <f>IF(Учет!$O1661=Справочники!$F$4,Учет!$H1661,0)</f>
        <v>0</v>
      </c>
      <c r="E1661" s="52">
        <f>IF(Учет!$O1661=Справочники!$F$5,Учет!$H1661,0)</f>
        <v>0</v>
      </c>
      <c r="F1661" s="52">
        <f>IF(Учет!$O1661=Справочники!$F$6,Учет!$H1661,0)</f>
        <v>0</v>
      </c>
      <c r="G1661" s="43">
        <f>G1660+Учет!B1661-B1661</f>
        <v>-488978.92000000004</v>
      </c>
      <c r="H1661" s="43">
        <f>H1660+Учет!C1661-C1661</f>
        <v>336855</v>
      </c>
      <c r="I1661" s="43">
        <f>I1660+Учет!D1661-D1661</f>
        <v>500</v>
      </c>
      <c r="J1661" s="43">
        <f>J1660+Учет!E1661-E1661</f>
        <v>1150</v>
      </c>
      <c r="K1661" s="43">
        <f>K1660+Учет!F1661-F1661</f>
        <v>500000</v>
      </c>
      <c r="L1661" s="45">
        <f>Учет!I1661</f>
        <v>349526.07999999996</v>
      </c>
    </row>
    <row r="1662" spans="1:12" x14ac:dyDescent="0.25">
      <c r="A1662" s="48" t="str">
        <f>IF(Учет!A1662&lt;&gt;"",Учет!A1662,"")</f>
        <v/>
      </c>
      <c r="B1662" s="52">
        <f>IF(Учет!$O1662=Справочники!$F$2,Учет!$H1662,0)</f>
        <v>0</v>
      </c>
      <c r="C1662" s="52">
        <f>IF(Учет!$O1662=Справочники!$F$3,Учет!$H1662,0)</f>
        <v>0</v>
      </c>
      <c r="D1662" s="52">
        <f>IF(Учет!$O1662=Справочники!$F$4,Учет!$H1662,0)</f>
        <v>0</v>
      </c>
      <c r="E1662" s="52">
        <f>IF(Учет!$O1662=Справочники!$F$5,Учет!$H1662,0)</f>
        <v>0</v>
      </c>
      <c r="F1662" s="52">
        <f>IF(Учет!$O1662=Справочники!$F$6,Учет!$H1662,0)</f>
        <v>0</v>
      </c>
      <c r="G1662" s="43">
        <f>G1661+Учет!B1662-B1662</f>
        <v>-488978.92000000004</v>
      </c>
      <c r="H1662" s="43">
        <f>H1661+Учет!C1662-C1662</f>
        <v>336855</v>
      </c>
      <c r="I1662" s="43">
        <f>I1661+Учет!D1662-D1662</f>
        <v>500</v>
      </c>
      <c r="J1662" s="43">
        <f>J1661+Учет!E1662-E1662</f>
        <v>1150</v>
      </c>
      <c r="K1662" s="43">
        <f>K1661+Учет!F1662-F1662</f>
        <v>500000</v>
      </c>
      <c r="L1662" s="45">
        <f>Учет!I1662</f>
        <v>349526.07999999996</v>
      </c>
    </row>
    <row r="1663" spans="1:12" x14ac:dyDescent="0.25">
      <c r="A1663" s="48" t="str">
        <f>IF(Учет!A1663&lt;&gt;"",Учет!A1663,"")</f>
        <v/>
      </c>
      <c r="B1663" s="52">
        <f>IF(Учет!$O1663=Справочники!$F$2,Учет!$H1663,0)</f>
        <v>0</v>
      </c>
      <c r="C1663" s="52">
        <f>IF(Учет!$O1663=Справочники!$F$3,Учет!$H1663,0)</f>
        <v>0</v>
      </c>
      <c r="D1663" s="52">
        <f>IF(Учет!$O1663=Справочники!$F$4,Учет!$H1663,0)</f>
        <v>0</v>
      </c>
      <c r="E1663" s="52">
        <f>IF(Учет!$O1663=Справочники!$F$5,Учет!$H1663,0)</f>
        <v>0</v>
      </c>
      <c r="F1663" s="52">
        <f>IF(Учет!$O1663=Справочники!$F$6,Учет!$H1663,0)</f>
        <v>0</v>
      </c>
      <c r="G1663" s="43">
        <f>G1662+Учет!B1663-B1663</f>
        <v>-488978.92000000004</v>
      </c>
      <c r="H1663" s="43">
        <f>H1662+Учет!C1663-C1663</f>
        <v>336855</v>
      </c>
      <c r="I1663" s="43">
        <f>I1662+Учет!D1663-D1663</f>
        <v>500</v>
      </c>
      <c r="J1663" s="43">
        <f>J1662+Учет!E1663-E1663</f>
        <v>1150</v>
      </c>
      <c r="K1663" s="43">
        <f>K1662+Учет!F1663-F1663</f>
        <v>500000</v>
      </c>
      <c r="L1663" s="45">
        <f>Учет!I1663</f>
        <v>349526.07999999996</v>
      </c>
    </row>
    <row r="1664" spans="1:12" x14ac:dyDescent="0.25">
      <c r="A1664" s="48" t="str">
        <f>IF(Учет!A1664&lt;&gt;"",Учет!A1664,"")</f>
        <v/>
      </c>
      <c r="B1664" s="52">
        <f>IF(Учет!$O1664=Справочники!$F$2,Учет!$H1664,0)</f>
        <v>0</v>
      </c>
      <c r="C1664" s="52">
        <f>IF(Учет!$O1664=Справочники!$F$3,Учет!$H1664,0)</f>
        <v>0</v>
      </c>
      <c r="D1664" s="52">
        <f>IF(Учет!$O1664=Справочники!$F$4,Учет!$H1664,0)</f>
        <v>0</v>
      </c>
      <c r="E1664" s="52">
        <f>IF(Учет!$O1664=Справочники!$F$5,Учет!$H1664,0)</f>
        <v>0</v>
      </c>
      <c r="F1664" s="52">
        <f>IF(Учет!$O1664=Справочники!$F$6,Учет!$H1664,0)</f>
        <v>0</v>
      </c>
      <c r="G1664" s="43">
        <f>G1663+Учет!B1664-B1664</f>
        <v>-488978.92000000004</v>
      </c>
      <c r="H1664" s="43">
        <f>H1663+Учет!C1664-C1664</f>
        <v>336855</v>
      </c>
      <c r="I1664" s="43">
        <f>I1663+Учет!D1664-D1664</f>
        <v>500</v>
      </c>
      <c r="J1664" s="43">
        <f>J1663+Учет!E1664-E1664</f>
        <v>1150</v>
      </c>
      <c r="K1664" s="43">
        <f>K1663+Учет!F1664-F1664</f>
        <v>500000</v>
      </c>
      <c r="L1664" s="45">
        <f>Учет!I1664</f>
        <v>349526.07999999996</v>
      </c>
    </row>
    <row r="1665" spans="1:12" x14ac:dyDescent="0.25">
      <c r="A1665" s="48" t="str">
        <f>IF(Учет!A1665&lt;&gt;"",Учет!A1665,"")</f>
        <v/>
      </c>
      <c r="B1665" s="52">
        <f>IF(Учет!$O1665=Справочники!$F$2,Учет!$H1665,0)</f>
        <v>0</v>
      </c>
      <c r="C1665" s="52">
        <f>IF(Учет!$O1665=Справочники!$F$3,Учет!$H1665,0)</f>
        <v>0</v>
      </c>
      <c r="D1665" s="52">
        <f>IF(Учет!$O1665=Справочники!$F$4,Учет!$H1665,0)</f>
        <v>0</v>
      </c>
      <c r="E1665" s="52">
        <f>IF(Учет!$O1665=Справочники!$F$5,Учет!$H1665,0)</f>
        <v>0</v>
      </c>
      <c r="F1665" s="52">
        <f>IF(Учет!$O1665=Справочники!$F$6,Учет!$H1665,0)</f>
        <v>0</v>
      </c>
      <c r="G1665" s="43">
        <f>G1664+Учет!B1665-B1665</f>
        <v>-488978.92000000004</v>
      </c>
      <c r="H1665" s="43">
        <f>H1664+Учет!C1665-C1665</f>
        <v>336855</v>
      </c>
      <c r="I1665" s="43">
        <f>I1664+Учет!D1665-D1665</f>
        <v>500</v>
      </c>
      <c r="J1665" s="43">
        <f>J1664+Учет!E1665-E1665</f>
        <v>1150</v>
      </c>
      <c r="K1665" s="43">
        <f>K1664+Учет!F1665-F1665</f>
        <v>500000</v>
      </c>
      <c r="L1665" s="45">
        <f>Учет!I1665</f>
        <v>349526.07999999996</v>
      </c>
    </row>
    <row r="1666" spans="1:12" x14ac:dyDescent="0.25">
      <c r="A1666" s="48" t="str">
        <f>IF(Учет!A1666&lt;&gt;"",Учет!A1666,"")</f>
        <v/>
      </c>
      <c r="B1666" s="52">
        <f>IF(Учет!$O1666=Справочники!$F$2,Учет!$H1666,0)</f>
        <v>0</v>
      </c>
      <c r="C1666" s="52">
        <f>IF(Учет!$O1666=Справочники!$F$3,Учет!$H1666,0)</f>
        <v>0</v>
      </c>
      <c r="D1666" s="52">
        <f>IF(Учет!$O1666=Справочники!$F$4,Учет!$H1666,0)</f>
        <v>0</v>
      </c>
      <c r="E1666" s="52">
        <f>IF(Учет!$O1666=Справочники!$F$5,Учет!$H1666,0)</f>
        <v>0</v>
      </c>
      <c r="F1666" s="52">
        <f>IF(Учет!$O1666=Справочники!$F$6,Учет!$H1666,0)</f>
        <v>0</v>
      </c>
      <c r="G1666" s="43">
        <f>G1665+Учет!B1666-B1666</f>
        <v>-488978.92000000004</v>
      </c>
      <c r="H1666" s="43">
        <f>H1665+Учет!C1666-C1666</f>
        <v>336855</v>
      </c>
      <c r="I1666" s="43">
        <f>I1665+Учет!D1666-D1666</f>
        <v>500</v>
      </c>
      <c r="J1666" s="43">
        <f>J1665+Учет!E1666-E1666</f>
        <v>1150</v>
      </c>
      <c r="K1666" s="43">
        <f>K1665+Учет!F1666-F1666</f>
        <v>500000</v>
      </c>
      <c r="L1666" s="45">
        <f>Учет!I1666</f>
        <v>349526.07999999996</v>
      </c>
    </row>
    <row r="1667" spans="1:12" x14ac:dyDescent="0.25">
      <c r="A1667" s="48" t="str">
        <f>IF(Учет!A1667&lt;&gt;"",Учет!A1667,"")</f>
        <v/>
      </c>
      <c r="B1667" s="52">
        <f>IF(Учет!$O1667=Справочники!$F$2,Учет!$H1667,0)</f>
        <v>0</v>
      </c>
      <c r="C1667" s="52">
        <f>IF(Учет!$O1667=Справочники!$F$3,Учет!$H1667,0)</f>
        <v>0</v>
      </c>
      <c r="D1667" s="52">
        <f>IF(Учет!$O1667=Справочники!$F$4,Учет!$H1667,0)</f>
        <v>0</v>
      </c>
      <c r="E1667" s="52">
        <f>IF(Учет!$O1667=Справочники!$F$5,Учет!$H1667,0)</f>
        <v>0</v>
      </c>
      <c r="F1667" s="52">
        <f>IF(Учет!$O1667=Справочники!$F$6,Учет!$H1667,0)</f>
        <v>0</v>
      </c>
      <c r="G1667" s="43">
        <f>G1666+Учет!B1667-B1667</f>
        <v>-488978.92000000004</v>
      </c>
      <c r="H1667" s="43">
        <f>H1666+Учет!C1667-C1667</f>
        <v>336855</v>
      </c>
      <c r="I1667" s="43">
        <f>I1666+Учет!D1667-D1667</f>
        <v>500</v>
      </c>
      <c r="J1667" s="43">
        <f>J1666+Учет!E1667-E1667</f>
        <v>1150</v>
      </c>
      <c r="K1667" s="43">
        <f>K1666+Учет!F1667-F1667</f>
        <v>500000</v>
      </c>
      <c r="L1667" s="45">
        <f>Учет!I1667</f>
        <v>349526.07999999996</v>
      </c>
    </row>
    <row r="1668" spans="1:12" x14ac:dyDescent="0.25">
      <c r="A1668" s="48" t="str">
        <f>IF(Учет!A1668&lt;&gt;"",Учет!A1668,"")</f>
        <v/>
      </c>
      <c r="B1668" s="52">
        <f>IF(Учет!$O1668=Справочники!$F$2,Учет!$H1668,0)</f>
        <v>0</v>
      </c>
      <c r="C1668" s="52">
        <f>IF(Учет!$O1668=Справочники!$F$3,Учет!$H1668,0)</f>
        <v>0</v>
      </c>
      <c r="D1668" s="52">
        <f>IF(Учет!$O1668=Справочники!$F$4,Учет!$H1668,0)</f>
        <v>0</v>
      </c>
      <c r="E1668" s="52">
        <f>IF(Учет!$O1668=Справочники!$F$5,Учет!$H1668,0)</f>
        <v>0</v>
      </c>
      <c r="F1668" s="52">
        <f>IF(Учет!$O1668=Справочники!$F$6,Учет!$H1668,0)</f>
        <v>0</v>
      </c>
      <c r="G1668" s="43">
        <f>G1667+Учет!B1668-B1668</f>
        <v>-488978.92000000004</v>
      </c>
      <c r="H1668" s="43">
        <f>H1667+Учет!C1668-C1668</f>
        <v>336855</v>
      </c>
      <c r="I1668" s="43">
        <f>I1667+Учет!D1668-D1668</f>
        <v>500</v>
      </c>
      <c r="J1668" s="43">
        <f>J1667+Учет!E1668-E1668</f>
        <v>1150</v>
      </c>
      <c r="K1668" s="43">
        <f>K1667+Учет!F1668-F1668</f>
        <v>500000</v>
      </c>
      <c r="L1668" s="45">
        <f>Учет!I1668</f>
        <v>349526.07999999996</v>
      </c>
    </row>
    <row r="1669" spans="1:12" x14ac:dyDescent="0.25">
      <c r="A1669" s="48" t="str">
        <f>IF(Учет!A1669&lt;&gt;"",Учет!A1669,"")</f>
        <v/>
      </c>
      <c r="B1669" s="52">
        <f>IF(Учет!$O1669=Справочники!$F$2,Учет!$H1669,0)</f>
        <v>0</v>
      </c>
      <c r="C1669" s="52">
        <f>IF(Учет!$O1669=Справочники!$F$3,Учет!$H1669,0)</f>
        <v>0</v>
      </c>
      <c r="D1669" s="52">
        <f>IF(Учет!$O1669=Справочники!$F$4,Учет!$H1669,0)</f>
        <v>0</v>
      </c>
      <c r="E1669" s="52">
        <f>IF(Учет!$O1669=Справочники!$F$5,Учет!$H1669,0)</f>
        <v>0</v>
      </c>
      <c r="F1669" s="52">
        <f>IF(Учет!$O1669=Справочники!$F$6,Учет!$H1669,0)</f>
        <v>0</v>
      </c>
      <c r="G1669" s="43">
        <f>G1668+Учет!B1669-B1669</f>
        <v>-488978.92000000004</v>
      </c>
      <c r="H1669" s="43">
        <f>H1668+Учет!C1669-C1669</f>
        <v>336855</v>
      </c>
      <c r="I1669" s="43">
        <f>I1668+Учет!D1669-D1669</f>
        <v>500</v>
      </c>
      <c r="J1669" s="43">
        <f>J1668+Учет!E1669-E1669</f>
        <v>1150</v>
      </c>
      <c r="K1669" s="43">
        <f>K1668+Учет!F1669-F1669</f>
        <v>500000</v>
      </c>
      <c r="L1669" s="45">
        <f>Учет!I1669</f>
        <v>349526.07999999996</v>
      </c>
    </row>
    <row r="1670" spans="1:12" x14ac:dyDescent="0.25">
      <c r="A1670" s="48" t="str">
        <f>IF(Учет!A1670&lt;&gt;"",Учет!A1670,"")</f>
        <v/>
      </c>
      <c r="B1670" s="52">
        <f>IF(Учет!$O1670=Справочники!$F$2,Учет!$H1670,0)</f>
        <v>0</v>
      </c>
      <c r="C1670" s="52">
        <f>IF(Учет!$O1670=Справочники!$F$3,Учет!$H1670,0)</f>
        <v>0</v>
      </c>
      <c r="D1670" s="52">
        <f>IF(Учет!$O1670=Справочники!$F$4,Учет!$H1670,0)</f>
        <v>0</v>
      </c>
      <c r="E1670" s="52">
        <f>IF(Учет!$O1670=Справочники!$F$5,Учет!$H1670,0)</f>
        <v>0</v>
      </c>
      <c r="F1670" s="52">
        <f>IF(Учет!$O1670=Справочники!$F$6,Учет!$H1670,0)</f>
        <v>0</v>
      </c>
      <c r="G1670" s="43">
        <f>G1669+Учет!B1670-B1670</f>
        <v>-488978.92000000004</v>
      </c>
      <c r="H1670" s="43">
        <f>H1669+Учет!C1670-C1670</f>
        <v>336855</v>
      </c>
      <c r="I1670" s="43">
        <f>I1669+Учет!D1670-D1670</f>
        <v>500</v>
      </c>
      <c r="J1670" s="43">
        <f>J1669+Учет!E1670-E1670</f>
        <v>1150</v>
      </c>
      <c r="K1670" s="43">
        <f>K1669+Учет!F1670-F1670</f>
        <v>500000</v>
      </c>
      <c r="L1670" s="45">
        <f>Учет!I1670</f>
        <v>349526.07999999996</v>
      </c>
    </row>
    <row r="1671" spans="1:12" x14ac:dyDescent="0.25">
      <c r="A1671" s="48" t="str">
        <f>IF(Учет!A1671&lt;&gt;"",Учет!A1671,"")</f>
        <v/>
      </c>
      <c r="B1671" s="52">
        <f>IF(Учет!$O1671=Справочники!$F$2,Учет!$H1671,0)</f>
        <v>0</v>
      </c>
      <c r="C1671" s="52">
        <f>IF(Учет!$O1671=Справочники!$F$3,Учет!$H1671,0)</f>
        <v>0</v>
      </c>
      <c r="D1671" s="52">
        <f>IF(Учет!$O1671=Справочники!$F$4,Учет!$H1671,0)</f>
        <v>0</v>
      </c>
      <c r="E1671" s="52">
        <f>IF(Учет!$O1671=Справочники!$F$5,Учет!$H1671,0)</f>
        <v>0</v>
      </c>
      <c r="F1671" s="52">
        <f>IF(Учет!$O1671=Справочники!$F$6,Учет!$H1671,0)</f>
        <v>0</v>
      </c>
      <c r="G1671" s="43">
        <f>G1670+Учет!B1671-B1671</f>
        <v>-488978.92000000004</v>
      </c>
      <c r="H1671" s="43">
        <f>H1670+Учет!C1671-C1671</f>
        <v>336855</v>
      </c>
      <c r="I1671" s="43">
        <f>I1670+Учет!D1671-D1671</f>
        <v>500</v>
      </c>
      <c r="J1671" s="43">
        <f>J1670+Учет!E1671-E1671</f>
        <v>1150</v>
      </c>
      <c r="K1671" s="43">
        <f>K1670+Учет!F1671-F1671</f>
        <v>500000</v>
      </c>
      <c r="L1671" s="45">
        <f>Учет!I1671</f>
        <v>349526.07999999996</v>
      </c>
    </row>
    <row r="1672" spans="1:12" x14ac:dyDescent="0.25">
      <c r="A1672" s="48" t="str">
        <f>IF(Учет!A1672&lt;&gt;"",Учет!A1672,"")</f>
        <v/>
      </c>
      <c r="B1672" s="52">
        <f>IF(Учет!$O1672=Справочники!$F$2,Учет!$H1672,0)</f>
        <v>0</v>
      </c>
      <c r="C1672" s="52">
        <f>IF(Учет!$O1672=Справочники!$F$3,Учет!$H1672,0)</f>
        <v>0</v>
      </c>
      <c r="D1672" s="52">
        <f>IF(Учет!$O1672=Справочники!$F$4,Учет!$H1672,0)</f>
        <v>0</v>
      </c>
      <c r="E1672" s="52">
        <f>IF(Учет!$O1672=Справочники!$F$5,Учет!$H1672,0)</f>
        <v>0</v>
      </c>
      <c r="F1672" s="52">
        <f>IF(Учет!$O1672=Справочники!$F$6,Учет!$H1672,0)</f>
        <v>0</v>
      </c>
      <c r="G1672" s="43">
        <f>G1671+Учет!B1672-B1672</f>
        <v>-488978.92000000004</v>
      </c>
      <c r="H1672" s="43">
        <f>H1671+Учет!C1672-C1672</f>
        <v>336855</v>
      </c>
      <c r="I1672" s="43">
        <f>I1671+Учет!D1672-D1672</f>
        <v>500</v>
      </c>
      <c r="J1672" s="43">
        <f>J1671+Учет!E1672-E1672</f>
        <v>1150</v>
      </c>
      <c r="K1672" s="43">
        <f>K1671+Учет!F1672-F1672</f>
        <v>500000</v>
      </c>
      <c r="L1672" s="45">
        <f>Учет!I1672</f>
        <v>349526.07999999996</v>
      </c>
    </row>
    <row r="1673" spans="1:12" x14ac:dyDescent="0.25">
      <c r="A1673" s="48" t="str">
        <f>IF(Учет!A1673&lt;&gt;"",Учет!A1673,"")</f>
        <v/>
      </c>
      <c r="B1673" s="52">
        <f>IF(Учет!$O1673=Справочники!$F$2,Учет!$H1673,0)</f>
        <v>0</v>
      </c>
      <c r="C1673" s="52">
        <f>IF(Учет!$O1673=Справочники!$F$3,Учет!$H1673,0)</f>
        <v>0</v>
      </c>
      <c r="D1673" s="52">
        <f>IF(Учет!$O1673=Справочники!$F$4,Учет!$H1673,0)</f>
        <v>0</v>
      </c>
      <c r="E1673" s="52">
        <f>IF(Учет!$O1673=Справочники!$F$5,Учет!$H1673,0)</f>
        <v>0</v>
      </c>
      <c r="F1673" s="52">
        <f>IF(Учет!$O1673=Справочники!$F$6,Учет!$H1673,0)</f>
        <v>0</v>
      </c>
      <c r="G1673" s="43">
        <f>G1672+Учет!B1673-B1673</f>
        <v>-488978.92000000004</v>
      </c>
      <c r="H1673" s="43">
        <f>H1672+Учет!C1673-C1673</f>
        <v>336855</v>
      </c>
      <c r="I1673" s="43">
        <f>I1672+Учет!D1673-D1673</f>
        <v>500</v>
      </c>
      <c r="J1673" s="43">
        <f>J1672+Учет!E1673-E1673</f>
        <v>1150</v>
      </c>
      <c r="K1673" s="43">
        <f>K1672+Учет!F1673-F1673</f>
        <v>500000</v>
      </c>
      <c r="L1673" s="45">
        <f>Учет!I1673</f>
        <v>349526.07999999996</v>
      </c>
    </row>
    <row r="1674" spans="1:12" x14ac:dyDescent="0.25">
      <c r="A1674" s="48" t="str">
        <f>IF(Учет!A1674&lt;&gt;"",Учет!A1674,"")</f>
        <v/>
      </c>
      <c r="B1674" s="52">
        <f>IF(Учет!$O1674=Справочники!$F$2,Учет!$H1674,0)</f>
        <v>0</v>
      </c>
      <c r="C1674" s="52">
        <f>IF(Учет!$O1674=Справочники!$F$3,Учет!$H1674,0)</f>
        <v>0</v>
      </c>
      <c r="D1674" s="52">
        <f>IF(Учет!$O1674=Справочники!$F$4,Учет!$H1674,0)</f>
        <v>0</v>
      </c>
      <c r="E1674" s="52">
        <f>IF(Учет!$O1674=Справочники!$F$5,Учет!$H1674,0)</f>
        <v>0</v>
      </c>
      <c r="F1674" s="52">
        <f>IF(Учет!$O1674=Справочники!$F$6,Учет!$H1674,0)</f>
        <v>0</v>
      </c>
      <c r="G1674" s="43">
        <f>G1673+Учет!B1674-B1674</f>
        <v>-488978.92000000004</v>
      </c>
      <c r="H1674" s="43">
        <f>H1673+Учет!C1674-C1674</f>
        <v>336855</v>
      </c>
      <c r="I1674" s="43">
        <f>I1673+Учет!D1674-D1674</f>
        <v>500</v>
      </c>
      <c r="J1674" s="43">
        <f>J1673+Учет!E1674-E1674</f>
        <v>1150</v>
      </c>
      <c r="K1674" s="43">
        <f>K1673+Учет!F1674-F1674</f>
        <v>500000</v>
      </c>
      <c r="L1674" s="45">
        <f>Учет!I1674</f>
        <v>349526.07999999996</v>
      </c>
    </row>
    <row r="1675" spans="1:12" x14ac:dyDescent="0.25">
      <c r="A1675" s="48" t="str">
        <f>IF(Учет!A1675&lt;&gt;"",Учет!A1675,"")</f>
        <v/>
      </c>
      <c r="B1675" s="52">
        <f>IF(Учет!$O1675=Справочники!$F$2,Учет!$H1675,0)</f>
        <v>0</v>
      </c>
      <c r="C1675" s="52">
        <f>IF(Учет!$O1675=Справочники!$F$3,Учет!$H1675,0)</f>
        <v>0</v>
      </c>
      <c r="D1675" s="52">
        <f>IF(Учет!$O1675=Справочники!$F$4,Учет!$H1675,0)</f>
        <v>0</v>
      </c>
      <c r="E1675" s="52">
        <f>IF(Учет!$O1675=Справочники!$F$5,Учет!$H1675,0)</f>
        <v>0</v>
      </c>
      <c r="F1675" s="52">
        <f>IF(Учет!$O1675=Справочники!$F$6,Учет!$H1675,0)</f>
        <v>0</v>
      </c>
      <c r="G1675" s="43">
        <f>G1674+Учет!B1675-B1675</f>
        <v>-488978.92000000004</v>
      </c>
      <c r="H1675" s="43">
        <f>H1674+Учет!C1675-C1675</f>
        <v>336855</v>
      </c>
      <c r="I1675" s="43">
        <f>I1674+Учет!D1675-D1675</f>
        <v>500</v>
      </c>
      <c r="J1675" s="43">
        <f>J1674+Учет!E1675-E1675</f>
        <v>1150</v>
      </c>
      <c r="K1675" s="43">
        <f>K1674+Учет!F1675-F1675</f>
        <v>500000</v>
      </c>
      <c r="L1675" s="45">
        <f>Учет!I1675</f>
        <v>349526.07999999996</v>
      </c>
    </row>
    <row r="1676" spans="1:12" x14ac:dyDescent="0.25">
      <c r="A1676" s="48" t="str">
        <f>IF(Учет!A1676&lt;&gt;"",Учет!A1676,"")</f>
        <v/>
      </c>
      <c r="B1676" s="52">
        <f>IF(Учет!$O1676=Справочники!$F$2,Учет!$H1676,0)</f>
        <v>0</v>
      </c>
      <c r="C1676" s="52">
        <f>IF(Учет!$O1676=Справочники!$F$3,Учет!$H1676,0)</f>
        <v>0</v>
      </c>
      <c r="D1676" s="52">
        <f>IF(Учет!$O1676=Справочники!$F$4,Учет!$H1676,0)</f>
        <v>0</v>
      </c>
      <c r="E1676" s="52">
        <f>IF(Учет!$O1676=Справочники!$F$5,Учет!$H1676,0)</f>
        <v>0</v>
      </c>
      <c r="F1676" s="52">
        <f>IF(Учет!$O1676=Справочники!$F$6,Учет!$H1676,0)</f>
        <v>0</v>
      </c>
      <c r="G1676" s="43">
        <f>G1675+Учет!B1676-B1676</f>
        <v>-488978.92000000004</v>
      </c>
      <c r="H1676" s="43">
        <f>H1675+Учет!C1676-C1676</f>
        <v>336855</v>
      </c>
      <c r="I1676" s="43">
        <f>I1675+Учет!D1676-D1676</f>
        <v>500</v>
      </c>
      <c r="J1676" s="43">
        <f>J1675+Учет!E1676-E1676</f>
        <v>1150</v>
      </c>
      <c r="K1676" s="43">
        <f>K1675+Учет!F1676-F1676</f>
        <v>500000</v>
      </c>
      <c r="L1676" s="45">
        <f>Учет!I1676</f>
        <v>349526.07999999996</v>
      </c>
    </row>
    <row r="1677" spans="1:12" x14ac:dyDescent="0.25">
      <c r="A1677" s="48" t="str">
        <f>IF(Учет!A1677&lt;&gt;"",Учет!A1677,"")</f>
        <v/>
      </c>
      <c r="B1677" s="52">
        <f>IF(Учет!$O1677=Справочники!$F$2,Учет!$H1677,0)</f>
        <v>0</v>
      </c>
      <c r="C1677" s="52">
        <f>IF(Учет!$O1677=Справочники!$F$3,Учет!$H1677,0)</f>
        <v>0</v>
      </c>
      <c r="D1677" s="52">
        <f>IF(Учет!$O1677=Справочники!$F$4,Учет!$H1677,0)</f>
        <v>0</v>
      </c>
      <c r="E1677" s="52">
        <f>IF(Учет!$O1677=Справочники!$F$5,Учет!$H1677,0)</f>
        <v>0</v>
      </c>
      <c r="F1677" s="52">
        <f>IF(Учет!$O1677=Справочники!$F$6,Учет!$H1677,0)</f>
        <v>0</v>
      </c>
      <c r="G1677" s="43">
        <f>G1676+Учет!B1677-B1677</f>
        <v>-488978.92000000004</v>
      </c>
      <c r="H1677" s="43">
        <f>H1676+Учет!C1677-C1677</f>
        <v>336855</v>
      </c>
      <c r="I1677" s="43">
        <f>I1676+Учет!D1677-D1677</f>
        <v>500</v>
      </c>
      <c r="J1677" s="43">
        <f>J1676+Учет!E1677-E1677</f>
        <v>1150</v>
      </c>
      <c r="K1677" s="43">
        <f>K1676+Учет!F1677-F1677</f>
        <v>500000</v>
      </c>
      <c r="L1677" s="45">
        <f>Учет!I1677</f>
        <v>349526.07999999996</v>
      </c>
    </row>
    <row r="1678" spans="1:12" x14ac:dyDescent="0.25">
      <c r="A1678" s="48" t="str">
        <f>IF(Учет!A1678&lt;&gt;"",Учет!A1678,"")</f>
        <v/>
      </c>
      <c r="B1678" s="52">
        <f>IF(Учет!$O1678=Справочники!$F$2,Учет!$H1678,0)</f>
        <v>0</v>
      </c>
      <c r="C1678" s="52">
        <f>IF(Учет!$O1678=Справочники!$F$3,Учет!$H1678,0)</f>
        <v>0</v>
      </c>
      <c r="D1678" s="52">
        <f>IF(Учет!$O1678=Справочники!$F$4,Учет!$H1678,0)</f>
        <v>0</v>
      </c>
      <c r="E1678" s="52">
        <f>IF(Учет!$O1678=Справочники!$F$5,Учет!$H1678,0)</f>
        <v>0</v>
      </c>
      <c r="F1678" s="52">
        <f>IF(Учет!$O1678=Справочники!$F$6,Учет!$H1678,0)</f>
        <v>0</v>
      </c>
      <c r="G1678" s="43">
        <f>G1677+Учет!B1678-B1678</f>
        <v>-488978.92000000004</v>
      </c>
      <c r="H1678" s="43">
        <f>H1677+Учет!C1678-C1678</f>
        <v>336855</v>
      </c>
      <c r="I1678" s="43">
        <f>I1677+Учет!D1678-D1678</f>
        <v>500</v>
      </c>
      <c r="J1678" s="43">
        <f>J1677+Учет!E1678-E1678</f>
        <v>1150</v>
      </c>
      <c r="K1678" s="43">
        <f>K1677+Учет!F1678-F1678</f>
        <v>500000</v>
      </c>
      <c r="L1678" s="45">
        <f>Учет!I1678</f>
        <v>349526.07999999996</v>
      </c>
    </row>
    <row r="1679" spans="1:12" x14ac:dyDescent="0.25">
      <c r="A1679" s="48" t="str">
        <f>IF(Учет!A1679&lt;&gt;"",Учет!A1679,"")</f>
        <v/>
      </c>
      <c r="B1679" s="52">
        <f>IF(Учет!$O1679=Справочники!$F$2,Учет!$H1679,0)</f>
        <v>0</v>
      </c>
      <c r="C1679" s="52">
        <f>IF(Учет!$O1679=Справочники!$F$3,Учет!$H1679,0)</f>
        <v>0</v>
      </c>
      <c r="D1679" s="52">
        <f>IF(Учет!$O1679=Справочники!$F$4,Учет!$H1679,0)</f>
        <v>0</v>
      </c>
      <c r="E1679" s="52">
        <f>IF(Учет!$O1679=Справочники!$F$5,Учет!$H1679,0)</f>
        <v>0</v>
      </c>
      <c r="F1679" s="52">
        <f>IF(Учет!$O1679=Справочники!$F$6,Учет!$H1679,0)</f>
        <v>0</v>
      </c>
      <c r="G1679" s="43">
        <f>G1678+Учет!B1679-B1679</f>
        <v>-488978.92000000004</v>
      </c>
      <c r="H1679" s="43">
        <f>H1678+Учет!C1679-C1679</f>
        <v>336855</v>
      </c>
      <c r="I1679" s="43">
        <f>I1678+Учет!D1679-D1679</f>
        <v>500</v>
      </c>
      <c r="J1679" s="43">
        <f>J1678+Учет!E1679-E1679</f>
        <v>1150</v>
      </c>
      <c r="K1679" s="43">
        <f>K1678+Учет!F1679-F1679</f>
        <v>500000</v>
      </c>
      <c r="L1679" s="45">
        <f>Учет!I1679</f>
        <v>349526.07999999996</v>
      </c>
    </row>
    <row r="1680" spans="1:12" x14ac:dyDescent="0.25">
      <c r="A1680" s="48" t="str">
        <f>IF(Учет!A1680&lt;&gt;"",Учет!A1680,"")</f>
        <v/>
      </c>
      <c r="B1680" s="52">
        <f>IF(Учет!$O1680=Справочники!$F$2,Учет!$H1680,0)</f>
        <v>0</v>
      </c>
      <c r="C1680" s="52">
        <f>IF(Учет!$O1680=Справочники!$F$3,Учет!$H1680,0)</f>
        <v>0</v>
      </c>
      <c r="D1680" s="52">
        <f>IF(Учет!$O1680=Справочники!$F$4,Учет!$H1680,0)</f>
        <v>0</v>
      </c>
      <c r="E1680" s="52">
        <f>IF(Учет!$O1680=Справочники!$F$5,Учет!$H1680,0)</f>
        <v>0</v>
      </c>
      <c r="F1680" s="52">
        <f>IF(Учет!$O1680=Справочники!$F$6,Учет!$H1680,0)</f>
        <v>0</v>
      </c>
      <c r="G1680" s="43">
        <f>G1679+Учет!B1680-B1680</f>
        <v>-488978.92000000004</v>
      </c>
      <c r="H1680" s="43">
        <f>H1679+Учет!C1680-C1680</f>
        <v>336855</v>
      </c>
      <c r="I1680" s="43">
        <f>I1679+Учет!D1680-D1680</f>
        <v>500</v>
      </c>
      <c r="J1680" s="43">
        <f>J1679+Учет!E1680-E1680</f>
        <v>1150</v>
      </c>
      <c r="K1680" s="43">
        <f>K1679+Учет!F1680-F1680</f>
        <v>500000</v>
      </c>
      <c r="L1680" s="45">
        <f>Учет!I1680</f>
        <v>349526.07999999996</v>
      </c>
    </row>
    <row r="1681" spans="1:12" x14ac:dyDescent="0.25">
      <c r="A1681" s="48" t="str">
        <f>IF(Учет!A1681&lt;&gt;"",Учет!A1681,"")</f>
        <v/>
      </c>
      <c r="B1681" s="52">
        <f>IF(Учет!$O1681=Справочники!$F$2,Учет!$H1681,0)</f>
        <v>0</v>
      </c>
      <c r="C1681" s="52">
        <f>IF(Учет!$O1681=Справочники!$F$3,Учет!$H1681,0)</f>
        <v>0</v>
      </c>
      <c r="D1681" s="52">
        <f>IF(Учет!$O1681=Справочники!$F$4,Учет!$H1681,0)</f>
        <v>0</v>
      </c>
      <c r="E1681" s="52">
        <f>IF(Учет!$O1681=Справочники!$F$5,Учет!$H1681,0)</f>
        <v>0</v>
      </c>
      <c r="F1681" s="52">
        <f>IF(Учет!$O1681=Справочники!$F$6,Учет!$H1681,0)</f>
        <v>0</v>
      </c>
      <c r="G1681" s="43">
        <f>G1680+Учет!B1681-B1681</f>
        <v>-488978.92000000004</v>
      </c>
      <c r="H1681" s="43">
        <f>H1680+Учет!C1681-C1681</f>
        <v>336855</v>
      </c>
      <c r="I1681" s="43">
        <f>I1680+Учет!D1681-D1681</f>
        <v>500</v>
      </c>
      <c r="J1681" s="43">
        <f>J1680+Учет!E1681-E1681</f>
        <v>1150</v>
      </c>
      <c r="K1681" s="43">
        <f>K1680+Учет!F1681-F1681</f>
        <v>500000</v>
      </c>
      <c r="L1681" s="45">
        <f>Учет!I1681</f>
        <v>349526.07999999996</v>
      </c>
    </row>
    <row r="1682" spans="1:12" x14ac:dyDescent="0.25">
      <c r="A1682" s="48" t="str">
        <f>IF(Учет!A1682&lt;&gt;"",Учет!A1682,"")</f>
        <v/>
      </c>
      <c r="B1682" s="52">
        <f>IF(Учет!$O1682=Справочники!$F$2,Учет!$H1682,0)</f>
        <v>0</v>
      </c>
      <c r="C1682" s="52">
        <f>IF(Учет!$O1682=Справочники!$F$3,Учет!$H1682,0)</f>
        <v>0</v>
      </c>
      <c r="D1682" s="52">
        <f>IF(Учет!$O1682=Справочники!$F$4,Учет!$H1682,0)</f>
        <v>0</v>
      </c>
      <c r="E1682" s="52">
        <f>IF(Учет!$O1682=Справочники!$F$5,Учет!$H1682,0)</f>
        <v>0</v>
      </c>
      <c r="F1682" s="52">
        <f>IF(Учет!$O1682=Справочники!$F$6,Учет!$H1682,0)</f>
        <v>0</v>
      </c>
      <c r="G1682" s="43">
        <f>G1681+Учет!B1682-B1682</f>
        <v>-488978.92000000004</v>
      </c>
      <c r="H1682" s="43">
        <f>H1681+Учет!C1682-C1682</f>
        <v>336855</v>
      </c>
      <c r="I1682" s="43">
        <f>I1681+Учет!D1682-D1682</f>
        <v>500</v>
      </c>
      <c r="J1682" s="43">
        <f>J1681+Учет!E1682-E1682</f>
        <v>1150</v>
      </c>
      <c r="K1682" s="43">
        <f>K1681+Учет!F1682-F1682</f>
        <v>500000</v>
      </c>
      <c r="L1682" s="45">
        <f>Учет!I1682</f>
        <v>349526.07999999996</v>
      </c>
    </row>
    <row r="1683" spans="1:12" x14ac:dyDescent="0.25">
      <c r="A1683" s="48" t="str">
        <f>IF(Учет!A1683&lt;&gt;"",Учет!A1683,"")</f>
        <v/>
      </c>
      <c r="B1683" s="52">
        <f>IF(Учет!$O1683=Справочники!$F$2,Учет!$H1683,0)</f>
        <v>0</v>
      </c>
      <c r="C1683" s="52">
        <f>IF(Учет!$O1683=Справочники!$F$3,Учет!$H1683,0)</f>
        <v>0</v>
      </c>
      <c r="D1683" s="52">
        <f>IF(Учет!$O1683=Справочники!$F$4,Учет!$H1683,0)</f>
        <v>0</v>
      </c>
      <c r="E1683" s="52">
        <f>IF(Учет!$O1683=Справочники!$F$5,Учет!$H1683,0)</f>
        <v>0</v>
      </c>
      <c r="F1683" s="52">
        <f>IF(Учет!$O1683=Справочники!$F$6,Учет!$H1683,0)</f>
        <v>0</v>
      </c>
      <c r="G1683" s="43">
        <f>G1682+Учет!B1683-B1683</f>
        <v>-488978.92000000004</v>
      </c>
      <c r="H1683" s="43">
        <f>H1682+Учет!C1683-C1683</f>
        <v>336855</v>
      </c>
      <c r="I1683" s="43">
        <f>I1682+Учет!D1683-D1683</f>
        <v>500</v>
      </c>
      <c r="J1683" s="43">
        <f>J1682+Учет!E1683-E1683</f>
        <v>1150</v>
      </c>
      <c r="K1683" s="43">
        <f>K1682+Учет!F1683-F1683</f>
        <v>500000</v>
      </c>
      <c r="L1683" s="45">
        <f>Учет!I1683</f>
        <v>349526.07999999996</v>
      </c>
    </row>
    <row r="1684" spans="1:12" x14ac:dyDescent="0.25">
      <c r="A1684" s="48" t="str">
        <f>IF(Учет!A1684&lt;&gt;"",Учет!A1684,"")</f>
        <v/>
      </c>
      <c r="B1684" s="52">
        <f>IF(Учет!$O1684=Справочники!$F$2,Учет!$H1684,0)</f>
        <v>0</v>
      </c>
      <c r="C1684" s="52">
        <f>IF(Учет!$O1684=Справочники!$F$3,Учет!$H1684,0)</f>
        <v>0</v>
      </c>
      <c r="D1684" s="52">
        <f>IF(Учет!$O1684=Справочники!$F$4,Учет!$H1684,0)</f>
        <v>0</v>
      </c>
      <c r="E1684" s="52">
        <f>IF(Учет!$O1684=Справочники!$F$5,Учет!$H1684,0)</f>
        <v>0</v>
      </c>
      <c r="F1684" s="52">
        <f>IF(Учет!$O1684=Справочники!$F$6,Учет!$H1684,0)</f>
        <v>0</v>
      </c>
      <c r="G1684" s="43">
        <f>G1683+Учет!B1684-B1684</f>
        <v>-488978.92000000004</v>
      </c>
      <c r="H1684" s="43">
        <f>H1683+Учет!C1684-C1684</f>
        <v>336855</v>
      </c>
      <c r="I1684" s="43">
        <f>I1683+Учет!D1684-D1684</f>
        <v>500</v>
      </c>
      <c r="J1684" s="43">
        <f>J1683+Учет!E1684-E1684</f>
        <v>1150</v>
      </c>
      <c r="K1684" s="43">
        <f>K1683+Учет!F1684-F1684</f>
        <v>500000</v>
      </c>
      <c r="L1684" s="45">
        <f>Учет!I1684</f>
        <v>349526.07999999996</v>
      </c>
    </row>
    <row r="1685" spans="1:12" x14ac:dyDescent="0.25">
      <c r="A1685" s="48" t="str">
        <f>IF(Учет!A1685&lt;&gt;"",Учет!A1685,"")</f>
        <v/>
      </c>
      <c r="B1685" s="52">
        <f>IF(Учет!$O1685=Справочники!$F$2,Учет!$H1685,0)</f>
        <v>0</v>
      </c>
      <c r="C1685" s="52">
        <f>IF(Учет!$O1685=Справочники!$F$3,Учет!$H1685,0)</f>
        <v>0</v>
      </c>
      <c r="D1685" s="52">
        <f>IF(Учет!$O1685=Справочники!$F$4,Учет!$H1685,0)</f>
        <v>0</v>
      </c>
      <c r="E1685" s="52">
        <f>IF(Учет!$O1685=Справочники!$F$5,Учет!$H1685,0)</f>
        <v>0</v>
      </c>
      <c r="F1685" s="52">
        <f>IF(Учет!$O1685=Справочники!$F$6,Учет!$H1685,0)</f>
        <v>0</v>
      </c>
      <c r="G1685" s="43">
        <f>G1684+Учет!B1685-B1685</f>
        <v>-488978.92000000004</v>
      </c>
      <c r="H1685" s="43">
        <f>H1684+Учет!C1685-C1685</f>
        <v>336855</v>
      </c>
      <c r="I1685" s="43">
        <f>I1684+Учет!D1685-D1685</f>
        <v>500</v>
      </c>
      <c r="J1685" s="43">
        <f>J1684+Учет!E1685-E1685</f>
        <v>1150</v>
      </c>
      <c r="K1685" s="43">
        <f>K1684+Учет!F1685-F1685</f>
        <v>500000</v>
      </c>
      <c r="L1685" s="45">
        <f>Учет!I1685</f>
        <v>349526.07999999996</v>
      </c>
    </row>
    <row r="1686" spans="1:12" x14ac:dyDescent="0.25">
      <c r="A1686" s="48" t="str">
        <f>IF(Учет!A1686&lt;&gt;"",Учет!A1686,"")</f>
        <v/>
      </c>
      <c r="B1686" s="52">
        <f>IF(Учет!$O1686=Справочники!$F$2,Учет!$H1686,0)</f>
        <v>0</v>
      </c>
      <c r="C1686" s="52">
        <f>IF(Учет!$O1686=Справочники!$F$3,Учет!$H1686,0)</f>
        <v>0</v>
      </c>
      <c r="D1686" s="52">
        <f>IF(Учет!$O1686=Справочники!$F$4,Учет!$H1686,0)</f>
        <v>0</v>
      </c>
      <c r="E1686" s="52">
        <f>IF(Учет!$O1686=Справочники!$F$5,Учет!$H1686,0)</f>
        <v>0</v>
      </c>
      <c r="F1686" s="52">
        <f>IF(Учет!$O1686=Справочники!$F$6,Учет!$H1686,0)</f>
        <v>0</v>
      </c>
      <c r="G1686" s="43">
        <f>G1685+Учет!B1686-B1686</f>
        <v>-488978.92000000004</v>
      </c>
      <c r="H1686" s="43">
        <f>H1685+Учет!C1686-C1686</f>
        <v>336855</v>
      </c>
      <c r="I1686" s="43">
        <f>I1685+Учет!D1686-D1686</f>
        <v>500</v>
      </c>
      <c r="J1686" s="43">
        <f>J1685+Учет!E1686-E1686</f>
        <v>1150</v>
      </c>
      <c r="K1686" s="43">
        <f>K1685+Учет!F1686-F1686</f>
        <v>500000</v>
      </c>
      <c r="L1686" s="45">
        <f>Учет!I1686</f>
        <v>349526.07999999996</v>
      </c>
    </row>
    <row r="1687" spans="1:12" x14ac:dyDescent="0.25">
      <c r="A1687" s="48" t="str">
        <f>IF(Учет!A1687&lt;&gt;"",Учет!A1687,"")</f>
        <v/>
      </c>
      <c r="B1687" s="52">
        <f>IF(Учет!$O1687=Справочники!$F$2,Учет!$H1687,0)</f>
        <v>0</v>
      </c>
      <c r="C1687" s="52">
        <f>IF(Учет!$O1687=Справочники!$F$3,Учет!$H1687,0)</f>
        <v>0</v>
      </c>
      <c r="D1687" s="52">
        <f>IF(Учет!$O1687=Справочники!$F$4,Учет!$H1687,0)</f>
        <v>0</v>
      </c>
      <c r="E1687" s="52">
        <f>IF(Учет!$O1687=Справочники!$F$5,Учет!$H1687,0)</f>
        <v>0</v>
      </c>
      <c r="F1687" s="52">
        <f>IF(Учет!$O1687=Справочники!$F$6,Учет!$H1687,0)</f>
        <v>0</v>
      </c>
      <c r="G1687" s="43">
        <f>G1686+Учет!B1687-B1687</f>
        <v>-488978.92000000004</v>
      </c>
      <c r="H1687" s="43">
        <f>H1686+Учет!C1687-C1687</f>
        <v>336855</v>
      </c>
      <c r="I1687" s="43">
        <f>I1686+Учет!D1687-D1687</f>
        <v>500</v>
      </c>
      <c r="J1687" s="43">
        <f>J1686+Учет!E1687-E1687</f>
        <v>1150</v>
      </c>
      <c r="K1687" s="43">
        <f>K1686+Учет!F1687-F1687</f>
        <v>500000</v>
      </c>
      <c r="L1687" s="45">
        <f>Учет!I1687</f>
        <v>349526.07999999996</v>
      </c>
    </row>
    <row r="1688" spans="1:12" x14ac:dyDescent="0.25">
      <c r="A1688" s="48" t="str">
        <f>IF(Учет!A1688&lt;&gt;"",Учет!A1688,"")</f>
        <v/>
      </c>
      <c r="B1688" s="52">
        <f>IF(Учет!$O1688=Справочники!$F$2,Учет!$H1688,0)</f>
        <v>0</v>
      </c>
      <c r="C1688" s="52">
        <f>IF(Учет!$O1688=Справочники!$F$3,Учет!$H1688,0)</f>
        <v>0</v>
      </c>
      <c r="D1688" s="52">
        <f>IF(Учет!$O1688=Справочники!$F$4,Учет!$H1688,0)</f>
        <v>0</v>
      </c>
      <c r="E1688" s="52">
        <f>IF(Учет!$O1688=Справочники!$F$5,Учет!$H1688,0)</f>
        <v>0</v>
      </c>
      <c r="F1688" s="52">
        <f>IF(Учет!$O1688=Справочники!$F$6,Учет!$H1688,0)</f>
        <v>0</v>
      </c>
      <c r="G1688" s="43">
        <f>G1687+Учет!B1688-B1688</f>
        <v>-488978.92000000004</v>
      </c>
      <c r="H1688" s="43">
        <f>H1687+Учет!C1688-C1688</f>
        <v>336855</v>
      </c>
      <c r="I1688" s="43">
        <f>I1687+Учет!D1688-D1688</f>
        <v>500</v>
      </c>
      <c r="J1688" s="43">
        <f>J1687+Учет!E1688-E1688</f>
        <v>1150</v>
      </c>
      <c r="K1688" s="43">
        <f>K1687+Учет!F1688-F1688</f>
        <v>500000</v>
      </c>
      <c r="L1688" s="45">
        <f>Учет!I1688</f>
        <v>349526.07999999996</v>
      </c>
    </row>
    <row r="1689" spans="1:12" x14ac:dyDescent="0.25">
      <c r="A1689" s="48" t="str">
        <f>IF(Учет!A1689&lt;&gt;"",Учет!A1689,"")</f>
        <v/>
      </c>
      <c r="B1689" s="52">
        <f>IF(Учет!$O1689=Справочники!$F$2,Учет!$H1689,0)</f>
        <v>0</v>
      </c>
      <c r="C1689" s="52">
        <f>IF(Учет!$O1689=Справочники!$F$3,Учет!$H1689,0)</f>
        <v>0</v>
      </c>
      <c r="D1689" s="52">
        <f>IF(Учет!$O1689=Справочники!$F$4,Учет!$H1689,0)</f>
        <v>0</v>
      </c>
      <c r="E1689" s="52">
        <f>IF(Учет!$O1689=Справочники!$F$5,Учет!$H1689,0)</f>
        <v>0</v>
      </c>
      <c r="F1689" s="52">
        <f>IF(Учет!$O1689=Справочники!$F$6,Учет!$H1689,0)</f>
        <v>0</v>
      </c>
      <c r="G1689" s="43">
        <f>G1688+Учет!B1689-B1689</f>
        <v>-488978.92000000004</v>
      </c>
      <c r="H1689" s="43">
        <f>H1688+Учет!C1689-C1689</f>
        <v>336855</v>
      </c>
      <c r="I1689" s="43">
        <f>I1688+Учет!D1689-D1689</f>
        <v>500</v>
      </c>
      <c r="J1689" s="43">
        <f>J1688+Учет!E1689-E1689</f>
        <v>1150</v>
      </c>
      <c r="K1689" s="43">
        <f>K1688+Учет!F1689-F1689</f>
        <v>500000</v>
      </c>
      <c r="L1689" s="45">
        <f>Учет!I1689</f>
        <v>349526.07999999996</v>
      </c>
    </row>
    <row r="1690" spans="1:12" x14ac:dyDescent="0.25">
      <c r="A1690" s="48" t="str">
        <f>IF(Учет!A1690&lt;&gt;"",Учет!A1690,"")</f>
        <v/>
      </c>
      <c r="B1690" s="52">
        <f>IF(Учет!$O1690=Справочники!$F$2,Учет!$H1690,0)</f>
        <v>0</v>
      </c>
      <c r="C1690" s="52">
        <f>IF(Учет!$O1690=Справочники!$F$3,Учет!$H1690,0)</f>
        <v>0</v>
      </c>
      <c r="D1690" s="52">
        <f>IF(Учет!$O1690=Справочники!$F$4,Учет!$H1690,0)</f>
        <v>0</v>
      </c>
      <c r="E1690" s="52">
        <f>IF(Учет!$O1690=Справочники!$F$5,Учет!$H1690,0)</f>
        <v>0</v>
      </c>
      <c r="F1690" s="52">
        <f>IF(Учет!$O1690=Справочники!$F$6,Учет!$H1690,0)</f>
        <v>0</v>
      </c>
      <c r="G1690" s="43">
        <f>G1689+Учет!B1690-B1690</f>
        <v>-488978.92000000004</v>
      </c>
      <c r="H1690" s="43">
        <f>H1689+Учет!C1690-C1690</f>
        <v>336855</v>
      </c>
      <c r="I1690" s="43">
        <f>I1689+Учет!D1690-D1690</f>
        <v>500</v>
      </c>
      <c r="J1690" s="43">
        <f>J1689+Учет!E1690-E1690</f>
        <v>1150</v>
      </c>
      <c r="K1690" s="43">
        <f>K1689+Учет!F1690-F1690</f>
        <v>500000</v>
      </c>
      <c r="L1690" s="45">
        <f>Учет!I1690</f>
        <v>349526.07999999996</v>
      </c>
    </row>
    <row r="1691" spans="1:12" x14ac:dyDescent="0.25">
      <c r="A1691" s="48" t="str">
        <f>IF(Учет!A1691&lt;&gt;"",Учет!A1691,"")</f>
        <v/>
      </c>
      <c r="B1691" s="52">
        <f>IF(Учет!$O1691=Справочники!$F$2,Учет!$H1691,0)</f>
        <v>0</v>
      </c>
      <c r="C1691" s="52">
        <f>IF(Учет!$O1691=Справочники!$F$3,Учет!$H1691,0)</f>
        <v>0</v>
      </c>
      <c r="D1691" s="52">
        <f>IF(Учет!$O1691=Справочники!$F$4,Учет!$H1691,0)</f>
        <v>0</v>
      </c>
      <c r="E1691" s="52">
        <f>IF(Учет!$O1691=Справочники!$F$5,Учет!$H1691,0)</f>
        <v>0</v>
      </c>
      <c r="F1691" s="52">
        <f>IF(Учет!$O1691=Справочники!$F$6,Учет!$H1691,0)</f>
        <v>0</v>
      </c>
      <c r="G1691" s="43">
        <f>G1690+Учет!B1691-B1691</f>
        <v>-488978.92000000004</v>
      </c>
      <c r="H1691" s="43">
        <f>H1690+Учет!C1691-C1691</f>
        <v>336855</v>
      </c>
      <c r="I1691" s="43">
        <f>I1690+Учет!D1691-D1691</f>
        <v>500</v>
      </c>
      <c r="J1691" s="43">
        <f>J1690+Учет!E1691-E1691</f>
        <v>1150</v>
      </c>
      <c r="K1691" s="43">
        <f>K1690+Учет!F1691-F1691</f>
        <v>500000</v>
      </c>
      <c r="L1691" s="45">
        <f>Учет!I1691</f>
        <v>349526.07999999996</v>
      </c>
    </row>
    <row r="1692" spans="1:12" x14ac:dyDescent="0.25">
      <c r="A1692" s="48" t="str">
        <f>IF(Учет!A1692&lt;&gt;"",Учет!A1692,"")</f>
        <v/>
      </c>
      <c r="B1692" s="52">
        <f>IF(Учет!$O1692=Справочники!$F$2,Учет!$H1692,0)</f>
        <v>0</v>
      </c>
      <c r="C1692" s="52">
        <f>IF(Учет!$O1692=Справочники!$F$3,Учет!$H1692,0)</f>
        <v>0</v>
      </c>
      <c r="D1692" s="52">
        <f>IF(Учет!$O1692=Справочники!$F$4,Учет!$H1692,0)</f>
        <v>0</v>
      </c>
      <c r="E1692" s="52">
        <f>IF(Учет!$O1692=Справочники!$F$5,Учет!$H1692,0)</f>
        <v>0</v>
      </c>
      <c r="F1692" s="52">
        <f>IF(Учет!$O1692=Справочники!$F$6,Учет!$H1692,0)</f>
        <v>0</v>
      </c>
      <c r="G1692" s="43">
        <f>G1691+Учет!B1692-B1692</f>
        <v>-488978.92000000004</v>
      </c>
      <c r="H1692" s="43">
        <f>H1691+Учет!C1692-C1692</f>
        <v>336855</v>
      </c>
      <c r="I1692" s="43">
        <f>I1691+Учет!D1692-D1692</f>
        <v>500</v>
      </c>
      <c r="J1692" s="43">
        <f>J1691+Учет!E1692-E1692</f>
        <v>1150</v>
      </c>
      <c r="K1692" s="43">
        <f>K1691+Учет!F1692-F1692</f>
        <v>500000</v>
      </c>
      <c r="L1692" s="45">
        <f>Учет!I1692</f>
        <v>349526.07999999996</v>
      </c>
    </row>
    <row r="1693" spans="1:12" x14ac:dyDescent="0.25">
      <c r="A1693" s="48" t="str">
        <f>IF(Учет!A1693&lt;&gt;"",Учет!A1693,"")</f>
        <v/>
      </c>
      <c r="B1693" s="52">
        <f>IF(Учет!$O1693=Справочники!$F$2,Учет!$H1693,0)</f>
        <v>0</v>
      </c>
      <c r="C1693" s="52">
        <f>IF(Учет!$O1693=Справочники!$F$3,Учет!$H1693,0)</f>
        <v>0</v>
      </c>
      <c r="D1693" s="52">
        <f>IF(Учет!$O1693=Справочники!$F$4,Учет!$H1693,0)</f>
        <v>0</v>
      </c>
      <c r="E1693" s="52">
        <f>IF(Учет!$O1693=Справочники!$F$5,Учет!$H1693,0)</f>
        <v>0</v>
      </c>
      <c r="F1693" s="52">
        <f>IF(Учет!$O1693=Справочники!$F$6,Учет!$H1693,0)</f>
        <v>0</v>
      </c>
      <c r="G1693" s="43">
        <f>G1692+Учет!B1693-B1693</f>
        <v>-488978.92000000004</v>
      </c>
      <c r="H1693" s="43">
        <f>H1692+Учет!C1693-C1693</f>
        <v>336855</v>
      </c>
      <c r="I1693" s="43">
        <f>I1692+Учет!D1693-D1693</f>
        <v>500</v>
      </c>
      <c r="J1693" s="43">
        <f>J1692+Учет!E1693-E1693</f>
        <v>1150</v>
      </c>
      <c r="K1693" s="43">
        <f>K1692+Учет!F1693-F1693</f>
        <v>500000</v>
      </c>
      <c r="L1693" s="45">
        <f>Учет!I1693</f>
        <v>349526.07999999996</v>
      </c>
    </row>
    <row r="1694" spans="1:12" x14ac:dyDescent="0.25">
      <c r="A1694" s="48" t="str">
        <f>IF(Учет!A1694&lt;&gt;"",Учет!A1694,"")</f>
        <v/>
      </c>
      <c r="B1694" s="52">
        <f>IF(Учет!$O1694=Справочники!$F$2,Учет!$H1694,0)</f>
        <v>0</v>
      </c>
      <c r="C1694" s="52">
        <f>IF(Учет!$O1694=Справочники!$F$3,Учет!$H1694,0)</f>
        <v>0</v>
      </c>
      <c r="D1694" s="52">
        <f>IF(Учет!$O1694=Справочники!$F$4,Учет!$H1694,0)</f>
        <v>0</v>
      </c>
      <c r="E1694" s="52">
        <f>IF(Учет!$O1694=Справочники!$F$5,Учет!$H1694,0)</f>
        <v>0</v>
      </c>
      <c r="F1694" s="52">
        <f>IF(Учет!$O1694=Справочники!$F$6,Учет!$H1694,0)</f>
        <v>0</v>
      </c>
      <c r="G1694" s="43">
        <f>G1693+Учет!B1694-B1694</f>
        <v>-488978.92000000004</v>
      </c>
      <c r="H1694" s="43">
        <f>H1693+Учет!C1694-C1694</f>
        <v>336855</v>
      </c>
      <c r="I1694" s="43">
        <f>I1693+Учет!D1694-D1694</f>
        <v>500</v>
      </c>
      <c r="J1694" s="43">
        <f>J1693+Учет!E1694-E1694</f>
        <v>1150</v>
      </c>
      <c r="K1694" s="43">
        <f>K1693+Учет!F1694-F1694</f>
        <v>500000</v>
      </c>
      <c r="L1694" s="45">
        <f>Учет!I1694</f>
        <v>349526.07999999996</v>
      </c>
    </row>
    <row r="1695" spans="1:12" x14ac:dyDescent="0.25">
      <c r="A1695" s="48" t="str">
        <f>IF(Учет!A1695&lt;&gt;"",Учет!A1695,"")</f>
        <v/>
      </c>
      <c r="B1695" s="52">
        <f>IF(Учет!$O1695=Справочники!$F$2,Учет!$H1695,0)</f>
        <v>0</v>
      </c>
      <c r="C1695" s="52">
        <f>IF(Учет!$O1695=Справочники!$F$3,Учет!$H1695,0)</f>
        <v>0</v>
      </c>
      <c r="D1695" s="52">
        <f>IF(Учет!$O1695=Справочники!$F$4,Учет!$H1695,0)</f>
        <v>0</v>
      </c>
      <c r="E1695" s="52">
        <f>IF(Учет!$O1695=Справочники!$F$5,Учет!$H1695,0)</f>
        <v>0</v>
      </c>
      <c r="F1695" s="52">
        <f>IF(Учет!$O1695=Справочники!$F$6,Учет!$H1695,0)</f>
        <v>0</v>
      </c>
      <c r="G1695" s="43">
        <f>G1694+Учет!B1695-B1695</f>
        <v>-488978.92000000004</v>
      </c>
      <c r="H1695" s="43">
        <f>H1694+Учет!C1695-C1695</f>
        <v>336855</v>
      </c>
      <c r="I1695" s="43">
        <f>I1694+Учет!D1695-D1695</f>
        <v>500</v>
      </c>
      <c r="J1695" s="43">
        <f>J1694+Учет!E1695-E1695</f>
        <v>1150</v>
      </c>
      <c r="K1695" s="43">
        <f>K1694+Учет!F1695-F1695</f>
        <v>500000</v>
      </c>
      <c r="L1695" s="45">
        <f>Учет!I1695</f>
        <v>349526.07999999996</v>
      </c>
    </row>
    <row r="1696" spans="1:12" x14ac:dyDescent="0.25">
      <c r="A1696" s="48" t="str">
        <f>IF(Учет!A1696&lt;&gt;"",Учет!A1696,"")</f>
        <v/>
      </c>
      <c r="B1696" s="52">
        <f>IF(Учет!$O1696=Справочники!$F$2,Учет!$H1696,0)</f>
        <v>0</v>
      </c>
      <c r="C1696" s="52">
        <f>IF(Учет!$O1696=Справочники!$F$3,Учет!$H1696,0)</f>
        <v>0</v>
      </c>
      <c r="D1696" s="52">
        <f>IF(Учет!$O1696=Справочники!$F$4,Учет!$H1696,0)</f>
        <v>0</v>
      </c>
      <c r="E1696" s="52">
        <f>IF(Учет!$O1696=Справочники!$F$5,Учет!$H1696,0)</f>
        <v>0</v>
      </c>
      <c r="F1696" s="52">
        <f>IF(Учет!$O1696=Справочники!$F$6,Учет!$H1696,0)</f>
        <v>0</v>
      </c>
      <c r="G1696" s="43">
        <f>G1695+Учет!B1696-B1696</f>
        <v>-488978.92000000004</v>
      </c>
      <c r="H1696" s="43">
        <f>H1695+Учет!C1696-C1696</f>
        <v>336855</v>
      </c>
      <c r="I1696" s="43">
        <f>I1695+Учет!D1696-D1696</f>
        <v>500</v>
      </c>
      <c r="J1696" s="43">
        <f>J1695+Учет!E1696-E1696</f>
        <v>1150</v>
      </c>
      <c r="K1696" s="43">
        <f>K1695+Учет!F1696-F1696</f>
        <v>500000</v>
      </c>
      <c r="L1696" s="45">
        <f>Учет!I1696</f>
        <v>349526.07999999996</v>
      </c>
    </row>
    <row r="1697" spans="1:12" x14ac:dyDescent="0.25">
      <c r="A1697" s="48" t="str">
        <f>IF(Учет!A1697&lt;&gt;"",Учет!A1697,"")</f>
        <v/>
      </c>
      <c r="B1697" s="52">
        <f>IF(Учет!$O1697=Справочники!$F$2,Учет!$H1697,0)</f>
        <v>0</v>
      </c>
      <c r="C1697" s="52">
        <f>IF(Учет!$O1697=Справочники!$F$3,Учет!$H1697,0)</f>
        <v>0</v>
      </c>
      <c r="D1697" s="52">
        <f>IF(Учет!$O1697=Справочники!$F$4,Учет!$H1697,0)</f>
        <v>0</v>
      </c>
      <c r="E1697" s="52">
        <f>IF(Учет!$O1697=Справочники!$F$5,Учет!$H1697,0)</f>
        <v>0</v>
      </c>
      <c r="F1697" s="52">
        <f>IF(Учет!$O1697=Справочники!$F$6,Учет!$H1697,0)</f>
        <v>0</v>
      </c>
      <c r="G1697" s="43">
        <f>G1696+Учет!B1697-B1697</f>
        <v>-488978.92000000004</v>
      </c>
      <c r="H1697" s="43">
        <f>H1696+Учет!C1697-C1697</f>
        <v>336855</v>
      </c>
      <c r="I1697" s="43">
        <f>I1696+Учет!D1697-D1697</f>
        <v>500</v>
      </c>
      <c r="J1697" s="43">
        <f>J1696+Учет!E1697-E1697</f>
        <v>1150</v>
      </c>
      <c r="K1697" s="43">
        <f>K1696+Учет!F1697-F1697</f>
        <v>500000</v>
      </c>
      <c r="L1697" s="45">
        <f>Учет!I1697</f>
        <v>349526.07999999996</v>
      </c>
    </row>
    <row r="1698" spans="1:12" x14ac:dyDescent="0.25">
      <c r="A1698" s="48" t="str">
        <f>IF(Учет!A1698&lt;&gt;"",Учет!A1698,"")</f>
        <v/>
      </c>
      <c r="B1698" s="52">
        <f>IF(Учет!$O1698=Справочники!$F$2,Учет!$H1698,0)</f>
        <v>0</v>
      </c>
      <c r="C1698" s="52">
        <f>IF(Учет!$O1698=Справочники!$F$3,Учет!$H1698,0)</f>
        <v>0</v>
      </c>
      <c r="D1698" s="52">
        <f>IF(Учет!$O1698=Справочники!$F$4,Учет!$H1698,0)</f>
        <v>0</v>
      </c>
      <c r="E1698" s="52">
        <f>IF(Учет!$O1698=Справочники!$F$5,Учет!$H1698,0)</f>
        <v>0</v>
      </c>
      <c r="F1698" s="52">
        <f>IF(Учет!$O1698=Справочники!$F$6,Учет!$H1698,0)</f>
        <v>0</v>
      </c>
      <c r="G1698" s="43">
        <f>G1697+Учет!B1698-B1698</f>
        <v>-488978.92000000004</v>
      </c>
      <c r="H1698" s="43">
        <f>H1697+Учет!C1698-C1698</f>
        <v>336855</v>
      </c>
      <c r="I1698" s="43">
        <f>I1697+Учет!D1698-D1698</f>
        <v>500</v>
      </c>
      <c r="J1698" s="43">
        <f>J1697+Учет!E1698-E1698</f>
        <v>1150</v>
      </c>
      <c r="K1698" s="43">
        <f>K1697+Учет!F1698-F1698</f>
        <v>500000</v>
      </c>
      <c r="L1698" s="45">
        <f>Учет!I1698</f>
        <v>349526.07999999996</v>
      </c>
    </row>
    <row r="1699" spans="1:12" x14ac:dyDescent="0.25">
      <c r="A1699" s="48" t="str">
        <f>IF(Учет!A1699&lt;&gt;"",Учет!A1699,"")</f>
        <v/>
      </c>
      <c r="B1699" s="52">
        <f>IF(Учет!$O1699=Справочники!$F$2,Учет!$H1699,0)</f>
        <v>0</v>
      </c>
      <c r="C1699" s="52">
        <f>IF(Учет!$O1699=Справочники!$F$3,Учет!$H1699,0)</f>
        <v>0</v>
      </c>
      <c r="D1699" s="52">
        <f>IF(Учет!$O1699=Справочники!$F$4,Учет!$H1699,0)</f>
        <v>0</v>
      </c>
      <c r="E1699" s="52">
        <f>IF(Учет!$O1699=Справочники!$F$5,Учет!$H1699,0)</f>
        <v>0</v>
      </c>
      <c r="F1699" s="52">
        <f>IF(Учет!$O1699=Справочники!$F$6,Учет!$H1699,0)</f>
        <v>0</v>
      </c>
      <c r="G1699" s="43">
        <f>G1698+Учет!B1699-B1699</f>
        <v>-488978.92000000004</v>
      </c>
      <c r="H1699" s="43">
        <f>H1698+Учет!C1699-C1699</f>
        <v>336855</v>
      </c>
      <c r="I1699" s="43">
        <f>I1698+Учет!D1699-D1699</f>
        <v>500</v>
      </c>
      <c r="J1699" s="43">
        <f>J1698+Учет!E1699-E1699</f>
        <v>1150</v>
      </c>
      <c r="K1699" s="43">
        <f>K1698+Учет!F1699-F1699</f>
        <v>500000</v>
      </c>
      <c r="L1699" s="45">
        <f>Учет!I1699</f>
        <v>349526.07999999996</v>
      </c>
    </row>
    <row r="1700" spans="1:12" x14ac:dyDescent="0.25">
      <c r="A1700" s="48" t="str">
        <f>IF(Учет!A1700&lt;&gt;"",Учет!A1700,"")</f>
        <v/>
      </c>
      <c r="B1700" s="52">
        <f>IF(Учет!$O1700=Справочники!$F$2,Учет!$H1700,0)</f>
        <v>0</v>
      </c>
      <c r="C1700" s="52">
        <f>IF(Учет!$O1700=Справочники!$F$3,Учет!$H1700,0)</f>
        <v>0</v>
      </c>
      <c r="D1700" s="52">
        <f>IF(Учет!$O1700=Справочники!$F$4,Учет!$H1700,0)</f>
        <v>0</v>
      </c>
      <c r="E1700" s="52">
        <f>IF(Учет!$O1700=Справочники!$F$5,Учет!$H1700,0)</f>
        <v>0</v>
      </c>
      <c r="F1700" s="52">
        <f>IF(Учет!$O1700=Справочники!$F$6,Учет!$H1700,0)</f>
        <v>0</v>
      </c>
      <c r="G1700" s="43">
        <f>G1699+Учет!B1700-B1700</f>
        <v>-488978.92000000004</v>
      </c>
      <c r="H1700" s="43">
        <f>H1699+Учет!C1700-C1700</f>
        <v>336855</v>
      </c>
      <c r="I1700" s="43">
        <f>I1699+Учет!D1700-D1700</f>
        <v>500</v>
      </c>
      <c r="J1700" s="43">
        <f>J1699+Учет!E1700-E1700</f>
        <v>1150</v>
      </c>
      <c r="K1700" s="43">
        <f>K1699+Учет!F1700-F1700</f>
        <v>500000</v>
      </c>
      <c r="L1700" s="45">
        <f>Учет!I1700</f>
        <v>349526.07999999996</v>
      </c>
    </row>
    <row r="1701" spans="1:12" x14ac:dyDescent="0.25">
      <c r="A1701" s="48" t="str">
        <f>IF(Учет!A1701&lt;&gt;"",Учет!A1701,"")</f>
        <v/>
      </c>
      <c r="B1701" s="52">
        <f>IF(Учет!$O1701=Справочники!$F$2,Учет!$H1701,0)</f>
        <v>0</v>
      </c>
      <c r="C1701" s="52">
        <f>IF(Учет!$O1701=Справочники!$F$3,Учет!$H1701,0)</f>
        <v>0</v>
      </c>
      <c r="D1701" s="52">
        <f>IF(Учет!$O1701=Справочники!$F$4,Учет!$H1701,0)</f>
        <v>0</v>
      </c>
      <c r="E1701" s="52">
        <f>IF(Учет!$O1701=Справочники!$F$5,Учет!$H1701,0)</f>
        <v>0</v>
      </c>
      <c r="F1701" s="52">
        <f>IF(Учет!$O1701=Справочники!$F$6,Учет!$H1701,0)</f>
        <v>0</v>
      </c>
      <c r="G1701" s="43">
        <f>G1700+Учет!B1701-B1701</f>
        <v>-488978.92000000004</v>
      </c>
      <c r="H1701" s="43">
        <f>H1700+Учет!C1701-C1701</f>
        <v>336855</v>
      </c>
      <c r="I1701" s="43">
        <f>I1700+Учет!D1701-D1701</f>
        <v>500</v>
      </c>
      <c r="J1701" s="43">
        <f>J1700+Учет!E1701-E1701</f>
        <v>1150</v>
      </c>
      <c r="K1701" s="43">
        <f>K1700+Учет!F1701-F1701</f>
        <v>500000</v>
      </c>
      <c r="L1701" s="45">
        <f>Учет!I1701</f>
        <v>349526.07999999996</v>
      </c>
    </row>
    <row r="1702" spans="1:12" x14ac:dyDescent="0.25">
      <c r="A1702" s="48" t="str">
        <f>IF(Учет!A1702&lt;&gt;"",Учет!A1702,"")</f>
        <v/>
      </c>
      <c r="B1702" s="52">
        <f>IF(Учет!$O1702=Справочники!$F$2,Учет!$H1702,0)</f>
        <v>0</v>
      </c>
      <c r="C1702" s="52">
        <f>IF(Учет!$O1702=Справочники!$F$3,Учет!$H1702,0)</f>
        <v>0</v>
      </c>
      <c r="D1702" s="52">
        <f>IF(Учет!$O1702=Справочники!$F$4,Учет!$H1702,0)</f>
        <v>0</v>
      </c>
      <c r="E1702" s="52">
        <f>IF(Учет!$O1702=Справочники!$F$5,Учет!$H1702,0)</f>
        <v>0</v>
      </c>
      <c r="F1702" s="52">
        <f>IF(Учет!$O1702=Справочники!$F$6,Учет!$H1702,0)</f>
        <v>0</v>
      </c>
      <c r="G1702" s="43">
        <f>G1701+Учет!B1702-B1702</f>
        <v>-488978.92000000004</v>
      </c>
      <c r="H1702" s="43">
        <f>H1701+Учет!C1702-C1702</f>
        <v>336855</v>
      </c>
      <c r="I1702" s="43">
        <f>I1701+Учет!D1702-D1702</f>
        <v>500</v>
      </c>
      <c r="J1702" s="43">
        <f>J1701+Учет!E1702-E1702</f>
        <v>1150</v>
      </c>
      <c r="K1702" s="43">
        <f>K1701+Учет!F1702-F1702</f>
        <v>500000</v>
      </c>
      <c r="L1702" s="45">
        <f>Учет!I1702</f>
        <v>349526.07999999996</v>
      </c>
    </row>
    <row r="1703" spans="1:12" x14ac:dyDescent="0.25">
      <c r="A1703" s="48" t="str">
        <f>IF(Учет!A1703&lt;&gt;"",Учет!A1703,"")</f>
        <v/>
      </c>
      <c r="B1703" s="52">
        <f>IF(Учет!$O1703=Справочники!$F$2,Учет!$H1703,0)</f>
        <v>0</v>
      </c>
      <c r="C1703" s="52">
        <f>IF(Учет!$O1703=Справочники!$F$3,Учет!$H1703,0)</f>
        <v>0</v>
      </c>
      <c r="D1703" s="52">
        <f>IF(Учет!$O1703=Справочники!$F$4,Учет!$H1703,0)</f>
        <v>0</v>
      </c>
      <c r="E1703" s="52">
        <f>IF(Учет!$O1703=Справочники!$F$5,Учет!$H1703,0)</f>
        <v>0</v>
      </c>
      <c r="F1703" s="52">
        <f>IF(Учет!$O1703=Справочники!$F$6,Учет!$H1703,0)</f>
        <v>0</v>
      </c>
      <c r="G1703" s="43">
        <f>G1702+Учет!B1703-B1703</f>
        <v>-488978.92000000004</v>
      </c>
      <c r="H1703" s="43">
        <f>H1702+Учет!C1703-C1703</f>
        <v>336855</v>
      </c>
      <c r="I1703" s="43">
        <f>I1702+Учет!D1703-D1703</f>
        <v>500</v>
      </c>
      <c r="J1703" s="43">
        <f>J1702+Учет!E1703-E1703</f>
        <v>1150</v>
      </c>
      <c r="K1703" s="43">
        <f>K1702+Учет!F1703-F1703</f>
        <v>500000</v>
      </c>
      <c r="L1703" s="45">
        <f>Учет!I1703</f>
        <v>349526.07999999996</v>
      </c>
    </row>
    <row r="1704" spans="1:12" x14ac:dyDescent="0.25">
      <c r="A1704" s="48" t="str">
        <f>IF(Учет!A1704&lt;&gt;"",Учет!A1704,"")</f>
        <v/>
      </c>
      <c r="B1704" s="52">
        <f>IF(Учет!$O1704=Справочники!$F$2,Учет!$H1704,0)</f>
        <v>0</v>
      </c>
      <c r="C1704" s="52">
        <f>IF(Учет!$O1704=Справочники!$F$3,Учет!$H1704,0)</f>
        <v>0</v>
      </c>
      <c r="D1704" s="52">
        <f>IF(Учет!$O1704=Справочники!$F$4,Учет!$H1704,0)</f>
        <v>0</v>
      </c>
      <c r="E1704" s="52">
        <f>IF(Учет!$O1704=Справочники!$F$5,Учет!$H1704,0)</f>
        <v>0</v>
      </c>
      <c r="F1704" s="52">
        <f>IF(Учет!$O1704=Справочники!$F$6,Учет!$H1704,0)</f>
        <v>0</v>
      </c>
      <c r="G1704" s="43">
        <f>G1703+Учет!B1704-B1704</f>
        <v>-488978.92000000004</v>
      </c>
      <c r="H1704" s="43">
        <f>H1703+Учет!C1704-C1704</f>
        <v>336855</v>
      </c>
      <c r="I1704" s="43">
        <f>I1703+Учет!D1704-D1704</f>
        <v>500</v>
      </c>
      <c r="J1704" s="43">
        <f>J1703+Учет!E1704-E1704</f>
        <v>1150</v>
      </c>
      <c r="K1704" s="43">
        <f>K1703+Учет!F1704-F1704</f>
        <v>500000</v>
      </c>
      <c r="L1704" s="45">
        <f>Учет!I1704</f>
        <v>349526.07999999996</v>
      </c>
    </row>
    <row r="1705" spans="1:12" x14ac:dyDescent="0.25">
      <c r="A1705" s="48" t="str">
        <f>IF(Учет!A1705&lt;&gt;"",Учет!A1705,"")</f>
        <v/>
      </c>
      <c r="B1705" s="52">
        <f>IF(Учет!$O1705=Справочники!$F$2,Учет!$H1705,0)</f>
        <v>0</v>
      </c>
      <c r="C1705" s="52">
        <f>IF(Учет!$O1705=Справочники!$F$3,Учет!$H1705,0)</f>
        <v>0</v>
      </c>
      <c r="D1705" s="52">
        <f>IF(Учет!$O1705=Справочники!$F$4,Учет!$H1705,0)</f>
        <v>0</v>
      </c>
      <c r="E1705" s="52">
        <f>IF(Учет!$O1705=Справочники!$F$5,Учет!$H1705,0)</f>
        <v>0</v>
      </c>
      <c r="F1705" s="52">
        <f>IF(Учет!$O1705=Справочники!$F$6,Учет!$H1705,0)</f>
        <v>0</v>
      </c>
      <c r="G1705" s="43">
        <f>G1704+Учет!B1705-B1705</f>
        <v>-488978.92000000004</v>
      </c>
      <c r="H1705" s="43">
        <f>H1704+Учет!C1705-C1705</f>
        <v>336855</v>
      </c>
      <c r="I1705" s="43">
        <f>I1704+Учет!D1705-D1705</f>
        <v>500</v>
      </c>
      <c r="J1705" s="43">
        <f>J1704+Учет!E1705-E1705</f>
        <v>1150</v>
      </c>
      <c r="K1705" s="43">
        <f>K1704+Учет!F1705-F1705</f>
        <v>500000</v>
      </c>
      <c r="L1705" s="45">
        <f>Учет!I1705</f>
        <v>349526.07999999996</v>
      </c>
    </row>
    <row r="1706" spans="1:12" x14ac:dyDescent="0.25">
      <c r="A1706" s="48" t="str">
        <f>IF(Учет!A1706&lt;&gt;"",Учет!A1706,"")</f>
        <v/>
      </c>
      <c r="B1706" s="52">
        <f>IF(Учет!$O1706=Справочники!$F$2,Учет!$H1706,0)</f>
        <v>0</v>
      </c>
      <c r="C1706" s="52">
        <f>IF(Учет!$O1706=Справочники!$F$3,Учет!$H1706,0)</f>
        <v>0</v>
      </c>
      <c r="D1706" s="52">
        <f>IF(Учет!$O1706=Справочники!$F$4,Учет!$H1706,0)</f>
        <v>0</v>
      </c>
      <c r="E1706" s="52">
        <f>IF(Учет!$O1706=Справочники!$F$5,Учет!$H1706,0)</f>
        <v>0</v>
      </c>
      <c r="F1706" s="52">
        <f>IF(Учет!$O1706=Справочники!$F$6,Учет!$H1706,0)</f>
        <v>0</v>
      </c>
      <c r="G1706" s="43">
        <f>G1705+Учет!B1706-B1706</f>
        <v>-488978.92000000004</v>
      </c>
      <c r="H1706" s="43">
        <f>H1705+Учет!C1706-C1706</f>
        <v>336855</v>
      </c>
      <c r="I1706" s="43">
        <f>I1705+Учет!D1706-D1706</f>
        <v>500</v>
      </c>
      <c r="J1706" s="43">
        <f>J1705+Учет!E1706-E1706</f>
        <v>1150</v>
      </c>
      <c r="K1706" s="43">
        <f>K1705+Учет!F1706-F1706</f>
        <v>500000</v>
      </c>
      <c r="L1706" s="45">
        <f>Учет!I1706</f>
        <v>349526.07999999996</v>
      </c>
    </row>
    <row r="1707" spans="1:12" x14ac:dyDescent="0.25">
      <c r="A1707" s="48" t="str">
        <f>IF(Учет!A1707&lt;&gt;"",Учет!A1707,"")</f>
        <v/>
      </c>
      <c r="B1707" s="52">
        <f>IF(Учет!$O1707=Справочники!$F$2,Учет!$H1707,0)</f>
        <v>0</v>
      </c>
      <c r="C1707" s="52">
        <f>IF(Учет!$O1707=Справочники!$F$3,Учет!$H1707,0)</f>
        <v>0</v>
      </c>
      <c r="D1707" s="52">
        <f>IF(Учет!$O1707=Справочники!$F$4,Учет!$H1707,0)</f>
        <v>0</v>
      </c>
      <c r="E1707" s="52">
        <f>IF(Учет!$O1707=Справочники!$F$5,Учет!$H1707,0)</f>
        <v>0</v>
      </c>
      <c r="F1707" s="52">
        <f>IF(Учет!$O1707=Справочники!$F$6,Учет!$H1707,0)</f>
        <v>0</v>
      </c>
      <c r="G1707" s="43">
        <f>G1706+Учет!B1707-B1707</f>
        <v>-488978.92000000004</v>
      </c>
      <c r="H1707" s="43">
        <f>H1706+Учет!C1707-C1707</f>
        <v>336855</v>
      </c>
      <c r="I1707" s="43">
        <f>I1706+Учет!D1707-D1707</f>
        <v>500</v>
      </c>
      <c r="J1707" s="43">
        <f>J1706+Учет!E1707-E1707</f>
        <v>1150</v>
      </c>
      <c r="K1707" s="43">
        <f>K1706+Учет!F1707-F1707</f>
        <v>500000</v>
      </c>
      <c r="L1707" s="45">
        <f>Учет!I1707</f>
        <v>349526.07999999996</v>
      </c>
    </row>
    <row r="1708" spans="1:12" x14ac:dyDescent="0.25">
      <c r="A1708" s="48" t="str">
        <f>IF(Учет!A1708&lt;&gt;"",Учет!A1708,"")</f>
        <v/>
      </c>
      <c r="B1708" s="52">
        <f>IF(Учет!$O1708=Справочники!$F$2,Учет!$H1708,0)</f>
        <v>0</v>
      </c>
      <c r="C1708" s="52">
        <f>IF(Учет!$O1708=Справочники!$F$3,Учет!$H1708,0)</f>
        <v>0</v>
      </c>
      <c r="D1708" s="52">
        <f>IF(Учет!$O1708=Справочники!$F$4,Учет!$H1708,0)</f>
        <v>0</v>
      </c>
      <c r="E1708" s="52">
        <f>IF(Учет!$O1708=Справочники!$F$5,Учет!$H1708,0)</f>
        <v>0</v>
      </c>
      <c r="F1708" s="52">
        <f>IF(Учет!$O1708=Справочники!$F$6,Учет!$H1708,0)</f>
        <v>0</v>
      </c>
      <c r="G1708" s="43">
        <f>G1707+Учет!B1708-B1708</f>
        <v>-488978.92000000004</v>
      </c>
      <c r="H1708" s="43">
        <f>H1707+Учет!C1708-C1708</f>
        <v>336855</v>
      </c>
      <c r="I1708" s="43">
        <f>I1707+Учет!D1708-D1708</f>
        <v>500</v>
      </c>
      <c r="J1708" s="43">
        <f>J1707+Учет!E1708-E1708</f>
        <v>1150</v>
      </c>
      <c r="K1708" s="43">
        <f>K1707+Учет!F1708-F1708</f>
        <v>500000</v>
      </c>
      <c r="L1708" s="45">
        <f>Учет!I1708</f>
        <v>349526.07999999996</v>
      </c>
    </row>
    <row r="1709" spans="1:12" x14ac:dyDescent="0.25">
      <c r="A1709" s="48" t="str">
        <f>IF(Учет!A1709&lt;&gt;"",Учет!A1709,"")</f>
        <v/>
      </c>
      <c r="B1709" s="52">
        <f>IF(Учет!$O1709=Справочники!$F$2,Учет!$H1709,0)</f>
        <v>0</v>
      </c>
      <c r="C1709" s="52">
        <f>IF(Учет!$O1709=Справочники!$F$3,Учет!$H1709,0)</f>
        <v>0</v>
      </c>
      <c r="D1709" s="52">
        <f>IF(Учет!$O1709=Справочники!$F$4,Учет!$H1709,0)</f>
        <v>0</v>
      </c>
      <c r="E1709" s="52">
        <f>IF(Учет!$O1709=Справочники!$F$5,Учет!$H1709,0)</f>
        <v>0</v>
      </c>
      <c r="F1709" s="52">
        <f>IF(Учет!$O1709=Справочники!$F$6,Учет!$H1709,0)</f>
        <v>0</v>
      </c>
      <c r="G1709" s="43">
        <f>G1708+Учет!B1709-B1709</f>
        <v>-488978.92000000004</v>
      </c>
      <c r="H1709" s="43">
        <f>H1708+Учет!C1709-C1709</f>
        <v>336855</v>
      </c>
      <c r="I1709" s="43">
        <f>I1708+Учет!D1709-D1709</f>
        <v>500</v>
      </c>
      <c r="J1709" s="43">
        <f>J1708+Учет!E1709-E1709</f>
        <v>1150</v>
      </c>
      <c r="K1709" s="43">
        <f>K1708+Учет!F1709-F1709</f>
        <v>500000</v>
      </c>
      <c r="L1709" s="45">
        <f>Учет!I1709</f>
        <v>349526.07999999996</v>
      </c>
    </row>
    <row r="1710" spans="1:12" x14ac:dyDescent="0.25">
      <c r="A1710" s="48" t="str">
        <f>IF(Учет!A1710&lt;&gt;"",Учет!A1710,"")</f>
        <v/>
      </c>
      <c r="B1710" s="52">
        <f>IF(Учет!$O1710=Справочники!$F$2,Учет!$H1710,0)</f>
        <v>0</v>
      </c>
      <c r="C1710" s="52">
        <f>IF(Учет!$O1710=Справочники!$F$3,Учет!$H1710,0)</f>
        <v>0</v>
      </c>
      <c r="D1710" s="52">
        <f>IF(Учет!$O1710=Справочники!$F$4,Учет!$H1710,0)</f>
        <v>0</v>
      </c>
      <c r="E1710" s="52">
        <f>IF(Учет!$O1710=Справочники!$F$5,Учет!$H1710,0)</f>
        <v>0</v>
      </c>
      <c r="F1710" s="52">
        <f>IF(Учет!$O1710=Справочники!$F$6,Учет!$H1710,0)</f>
        <v>0</v>
      </c>
      <c r="G1710" s="43">
        <f>G1709+Учет!B1710-B1710</f>
        <v>-488978.92000000004</v>
      </c>
      <c r="H1710" s="43">
        <f>H1709+Учет!C1710-C1710</f>
        <v>336855</v>
      </c>
      <c r="I1710" s="43">
        <f>I1709+Учет!D1710-D1710</f>
        <v>500</v>
      </c>
      <c r="J1710" s="43">
        <f>J1709+Учет!E1710-E1710</f>
        <v>1150</v>
      </c>
      <c r="K1710" s="43">
        <f>K1709+Учет!F1710-F1710</f>
        <v>500000</v>
      </c>
      <c r="L1710" s="45">
        <f>Учет!I1710</f>
        <v>349526.07999999996</v>
      </c>
    </row>
    <row r="1711" spans="1:12" x14ac:dyDescent="0.25">
      <c r="A1711" s="48" t="str">
        <f>IF(Учет!A1711&lt;&gt;"",Учет!A1711,"")</f>
        <v/>
      </c>
      <c r="B1711" s="52">
        <f>IF(Учет!$O1711=Справочники!$F$2,Учет!$H1711,0)</f>
        <v>0</v>
      </c>
      <c r="C1711" s="52">
        <f>IF(Учет!$O1711=Справочники!$F$3,Учет!$H1711,0)</f>
        <v>0</v>
      </c>
      <c r="D1711" s="52">
        <f>IF(Учет!$O1711=Справочники!$F$4,Учет!$H1711,0)</f>
        <v>0</v>
      </c>
      <c r="E1711" s="52">
        <f>IF(Учет!$O1711=Справочники!$F$5,Учет!$H1711,0)</f>
        <v>0</v>
      </c>
      <c r="F1711" s="52">
        <f>IF(Учет!$O1711=Справочники!$F$6,Учет!$H1711,0)</f>
        <v>0</v>
      </c>
      <c r="G1711" s="43">
        <f>G1710+Учет!B1711-B1711</f>
        <v>-488978.92000000004</v>
      </c>
      <c r="H1711" s="43">
        <f>H1710+Учет!C1711-C1711</f>
        <v>336855</v>
      </c>
      <c r="I1711" s="43">
        <f>I1710+Учет!D1711-D1711</f>
        <v>500</v>
      </c>
      <c r="J1711" s="43">
        <f>J1710+Учет!E1711-E1711</f>
        <v>1150</v>
      </c>
      <c r="K1711" s="43">
        <f>K1710+Учет!F1711-F1711</f>
        <v>500000</v>
      </c>
      <c r="L1711" s="45">
        <f>Учет!I1711</f>
        <v>349526.07999999996</v>
      </c>
    </row>
    <row r="1712" spans="1:12" x14ac:dyDescent="0.25">
      <c r="A1712" s="48" t="str">
        <f>IF(Учет!A1712&lt;&gt;"",Учет!A1712,"")</f>
        <v/>
      </c>
      <c r="B1712" s="52">
        <f>IF(Учет!$O1712=Справочники!$F$2,Учет!$H1712,0)</f>
        <v>0</v>
      </c>
      <c r="C1712" s="52">
        <f>IF(Учет!$O1712=Справочники!$F$3,Учет!$H1712,0)</f>
        <v>0</v>
      </c>
      <c r="D1712" s="52">
        <f>IF(Учет!$O1712=Справочники!$F$4,Учет!$H1712,0)</f>
        <v>0</v>
      </c>
      <c r="E1712" s="52">
        <f>IF(Учет!$O1712=Справочники!$F$5,Учет!$H1712,0)</f>
        <v>0</v>
      </c>
      <c r="F1712" s="52">
        <f>IF(Учет!$O1712=Справочники!$F$6,Учет!$H1712,0)</f>
        <v>0</v>
      </c>
      <c r="G1712" s="43">
        <f>G1711+Учет!B1712-B1712</f>
        <v>-488978.92000000004</v>
      </c>
      <c r="H1712" s="43">
        <f>H1711+Учет!C1712-C1712</f>
        <v>336855</v>
      </c>
      <c r="I1712" s="43">
        <f>I1711+Учет!D1712-D1712</f>
        <v>500</v>
      </c>
      <c r="J1712" s="43">
        <f>J1711+Учет!E1712-E1712</f>
        <v>1150</v>
      </c>
      <c r="K1712" s="43">
        <f>K1711+Учет!F1712-F1712</f>
        <v>500000</v>
      </c>
      <c r="L1712" s="45">
        <f>Учет!I1712</f>
        <v>349526.07999999996</v>
      </c>
    </row>
    <row r="1713" spans="1:12" x14ac:dyDescent="0.25">
      <c r="A1713" s="48" t="str">
        <f>IF(Учет!A1713&lt;&gt;"",Учет!A1713,"")</f>
        <v/>
      </c>
      <c r="B1713" s="52">
        <f>IF(Учет!$O1713=Справочники!$F$2,Учет!$H1713,0)</f>
        <v>0</v>
      </c>
      <c r="C1713" s="52">
        <f>IF(Учет!$O1713=Справочники!$F$3,Учет!$H1713,0)</f>
        <v>0</v>
      </c>
      <c r="D1713" s="52">
        <f>IF(Учет!$O1713=Справочники!$F$4,Учет!$H1713,0)</f>
        <v>0</v>
      </c>
      <c r="E1713" s="52">
        <f>IF(Учет!$O1713=Справочники!$F$5,Учет!$H1713,0)</f>
        <v>0</v>
      </c>
      <c r="F1713" s="52">
        <f>IF(Учет!$O1713=Справочники!$F$6,Учет!$H1713,0)</f>
        <v>0</v>
      </c>
      <c r="G1713" s="43">
        <f>G1712+Учет!B1713-B1713</f>
        <v>-488978.92000000004</v>
      </c>
      <c r="H1713" s="43">
        <f>H1712+Учет!C1713-C1713</f>
        <v>336855</v>
      </c>
      <c r="I1713" s="43">
        <f>I1712+Учет!D1713-D1713</f>
        <v>500</v>
      </c>
      <c r="J1713" s="43">
        <f>J1712+Учет!E1713-E1713</f>
        <v>1150</v>
      </c>
      <c r="K1713" s="43">
        <f>K1712+Учет!F1713-F1713</f>
        <v>500000</v>
      </c>
      <c r="L1713" s="45">
        <f>Учет!I1713</f>
        <v>349526.07999999996</v>
      </c>
    </row>
    <row r="1714" spans="1:12" x14ac:dyDescent="0.25">
      <c r="A1714" s="48" t="str">
        <f>IF(Учет!A1714&lt;&gt;"",Учет!A1714,"")</f>
        <v/>
      </c>
      <c r="B1714" s="52">
        <f>IF(Учет!$O1714=Справочники!$F$2,Учет!$H1714,0)</f>
        <v>0</v>
      </c>
      <c r="C1714" s="52">
        <f>IF(Учет!$O1714=Справочники!$F$3,Учет!$H1714,0)</f>
        <v>0</v>
      </c>
      <c r="D1714" s="52">
        <f>IF(Учет!$O1714=Справочники!$F$4,Учет!$H1714,0)</f>
        <v>0</v>
      </c>
      <c r="E1714" s="52">
        <f>IF(Учет!$O1714=Справочники!$F$5,Учет!$H1714,0)</f>
        <v>0</v>
      </c>
      <c r="F1714" s="52">
        <f>IF(Учет!$O1714=Справочники!$F$6,Учет!$H1714,0)</f>
        <v>0</v>
      </c>
      <c r="G1714" s="43">
        <f>G1713+Учет!B1714-B1714</f>
        <v>-488978.92000000004</v>
      </c>
      <c r="H1714" s="43">
        <f>H1713+Учет!C1714-C1714</f>
        <v>336855</v>
      </c>
      <c r="I1714" s="43">
        <f>I1713+Учет!D1714-D1714</f>
        <v>500</v>
      </c>
      <c r="J1714" s="43">
        <f>J1713+Учет!E1714-E1714</f>
        <v>1150</v>
      </c>
      <c r="K1714" s="43">
        <f>K1713+Учет!F1714-F1714</f>
        <v>500000</v>
      </c>
      <c r="L1714" s="45">
        <f>Учет!I1714</f>
        <v>349526.07999999996</v>
      </c>
    </row>
    <row r="1715" spans="1:12" x14ac:dyDescent="0.25">
      <c r="A1715" s="48" t="str">
        <f>IF(Учет!A1715&lt;&gt;"",Учет!A1715,"")</f>
        <v/>
      </c>
      <c r="B1715" s="52">
        <f>IF(Учет!$O1715=Справочники!$F$2,Учет!$H1715,0)</f>
        <v>0</v>
      </c>
      <c r="C1715" s="52">
        <f>IF(Учет!$O1715=Справочники!$F$3,Учет!$H1715,0)</f>
        <v>0</v>
      </c>
      <c r="D1715" s="52">
        <f>IF(Учет!$O1715=Справочники!$F$4,Учет!$H1715,0)</f>
        <v>0</v>
      </c>
      <c r="E1715" s="52">
        <f>IF(Учет!$O1715=Справочники!$F$5,Учет!$H1715,0)</f>
        <v>0</v>
      </c>
      <c r="F1715" s="52">
        <f>IF(Учет!$O1715=Справочники!$F$6,Учет!$H1715,0)</f>
        <v>0</v>
      </c>
      <c r="G1715" s="43">
        <f>G1714+Учет!B1715-B1715</f>
        <v>-488978.92000000004</v>
      </c>
      <c r="H1715" s="43">
        <f>H1714+Учет!C1715-C1715</f>
        <v>336855</v>
      </c>
      <c r="I1715" s="43">
        <f>I1714+Учет!D1715-D1715</f>
        <v>500</v>
      </c>
      <c r="J1715" s="43">
        <f>J1714+Учет!E1715-E1715</f>
        <v>1150</v>
      </c>
      <c r="K1715" s="43">
        <f>K1714+Учет!F1715-F1715</f>
        <v>500000</v>
      </c>
      <c r="L1715" s="45">
        <f>Учет!I1715</f>
        <v>349526.07999999996</v>
      </c>
    </row>
    <row r="1716" spans="1:12" x14ac:dyDescent="0.25">
      <c r="A1716" s="48" t="str">
        <f>IF(Учет!A1716&lt;&gt;"",Учет!A1716,"")</f>
        <v/>
      </c>
      <c r="B1716" s="52">
        <f>IF(Учет!$O1716=Справочники!$F$2,Учет!$H1716,0)</f>
        <v>0</v>
      </c>
      <c r="C1716" s="52">
        <f>IF(Учет!$O1716=Справочники!$F$3,Учет!$H1716,0)</f>
        <v>0</v>
      </c>
      <c r="D1716" s="52">
        <f>IF(Учет!$O1716=Справочники!$F$4,Учет!$H1716,0)</f>
        <v>0</v>
      </c>
      <c r="E1716" s="52">
        <f>IF(Учет!$O1716=Справочники!$F$5,Учет!$H1716,0)</f>
        <v>0</v>
      </c>
      <c r="F1716" s="52">
        <f>IF(Учет!$O1716=Справочники!$F$6,Учет!$H1716,0)</f>
        <v>0</v>
      </c>
      <c r="G1716" s="43">
        <f>G1715+Учет!B1716-B1716</f>
        <v>-488978.92000000004</v>
      </c>
      <c r="H1716" s="43">
        <f>H1715+Учет!C1716-C1716</f>
        <v>336855</v>
      </c>
      <c r="I1716" s="43">
        <f>I1715+Учет!D1716-D1716</f>
        <v>500</v>
      </c>
      <c r="J1716" s="43">
        <f>J1715+Учет!E1716-E1716</f>
        <v>1150</v>
      </c>
      <c r="K1716" s="43">
        <f>K1715+Учет!F1716-F1716</f>
        <v>500000</v>
      </c>
      <c r="L1716" s="45">
        <f>Учет!I1716</f>
        <v>349526.07999999996</v>
      </c>
    </row>
    <row r="1717" spans="1:12" x14ac:dyDescent="0.25">
      <c r="A1717" s="48" t="str">
        <f>IF(Учет!A1717&lt;&gt;"",Учет!A1717,"")</f>
        <v/>
      </c>
      <c r="B1717" s="52">
        <f>IF(Учет!$O1717=Справочники!$F$2,Учет!$H1717,0)</f>
        <v>0</v>
      </c>
      <c r="C1717" s="52">
        <f>IF(Учет!$O1717=Справочники!$F$3,Учет!$H1717,0)</f>
        <v>0</v>
      </c>
      <c r="D1717" s="52">
        <f>IF(Учет!$O1717=Справочники!$F$4,Учет!$H1717,0)</f>
        <v>0</v>
      </c>
      <c r="E1717" s="52">
        <f>IF(Учет!$O1717=Справочники!$F$5,Учет!$H1717,0)</f>
        <v>0</v>
      </c>
      <c r="F1717" s="52">
        <f>IF(Учет!$O1717=Справочники!$F$6,Учет!$H1717,0)</f>
        <v>0</v>
      </c>
      <c r="G1717" s="43">
        <f>G1716+Учет!B1717-B1717</f>
        <v>-488978.92000000004</v>
      </c>
      <c r="H1717" s="43">
        <f>H1716+Учет!C1717-C1717</f>
        <v>336855</v>
      </c>
      <c r="I1717" s="43">
        <f>I1716+Учет!D1717-D1717</f>
        <v>500</v>
      </c>
      <c r="J1717" s="43">
        <f>J1716+Учет!E1717-E1717</f>
        <v>1150</v>
      </c>
      <c r="K1717" s="43">
        <f>K1716+Учет!F1717-F1717</f>
        <v>500000</v>
      </c>
      <c r="L1717" s="45">
        <f>Учет!I1717</f>
        <v>349526.07999999996</v>
      </c>
    </row>
    <row r="1718" spans="1:12" x14ac:dyDescent="0.25">
      <c r="A1718" s="48" t="str">
        <f>IF(Учет!A1718&lt;&gt;"",Учет!A1718,"")</f>
        <v/>
      </c>
      <c r="B1718" s="52">
        <f>IF(Учет!$O1718=Справочники!$F$2,Учет!$H1718,0)</f>
        <v>0</v>
      </c>
      <c r="C1718" s="52">
        <f>IF(Учет!$O1718=Справочники!$F$3,Учет!$H1718,0)</f>
        <v>0</v>
      </c>
      <c r="D1718" s="52">
        <f>IF(Учет!$O1718=Справочники!$F$4,Учет!$H1718,0)</f>
        <v>0</v>
      </c>
      <c r="E1718" s="52">
        <f>IF(Учет!$O1718=Справочники!$F$5,Учет!$H1718,0)</f>
        <v>0</v>
      </c>
      <c r="F1718" s="52">
        <f>IF(Учет!$O1718=Справочники!$F$6,Учет!$H1718,0)</f>
        <v>0</v>
      </c>
      <c r="G1718" s="43">
        <f>G1717+Учет!B1718-B1718</f>
        <v>-488978.92000000004</v>
      </c>
      <c r="H1718" s="43">
        <f>H1717+Учет!C1718-C1718</f>
        <v>336855</v>
      </c>
      <c r="I1718" s="43">
        <f>I1717+Учет!D1718-D1718</f>
        <v>500</v>
      </c>
      <c r="J1718" s="43">
        <f>J1717+Учет!E1718-E1718</f>
        <v>1150</v>
      </c>
      <c r="K1718" s="43">
        <f>K1717+Учет!F1718-F1718</f>
        <v>500000</v>
      </c>
      <c r="L1718" s="45">
        <f>Учет!I1718</f>
        <v>349526.07999999996</v>
      </c>
    </row>
    <row r="1719" spans="1:12" x14ac:dyDescent="0.25">
      <c r="A1719" s="48" t="str">
        <f>IF(Учет!A1719&lt;&gt;"",Учет!A1719,"")</f>
        <v/>
      </c>
      <c r="B1719" s="52">
        <f>IF(Учет!$O1719=Справочники!$F$2,Учет!$H1719,0)</f>
        <v>0</v>
      </c>
      <c r="C1719" s="52">
        <f>IF(Учет!$O1719=Справочники!$F$3,Учет!$H1719,0)</f>
        <v>0</v>
      </c>
      <c r="D1719" s="52">
        <f>IF(Учет!$O1719=Справочники!$F$4,Учет!$H1719,0)</f>
        <v>0</v>
      </c>
      <c r="E1719" s="52">
        <f>IF(Учет!$O1719=Справочники!$F$5,Учет!$H1719,0)</f>
        <v>0</v>
      </c>
      <c r="F1719" s="52">
        <f>IF(Учет!$O1719=Справочники!$F$6,Учет!$H1719,0)</f>
        <v>0</v>
      </c>
      <c r="G1719" s="43">
        <f>G1718+Учет!B1719-B1719</f>
        <v>-488978.92000000004</v>
      </c>
      <c r="H1719" s="43">
        <f>H1718+Учет!C1719-C1719</f>
        <v>336855</v>
      </c>
      <c r="I1719" s="43">
        <f>I1718+Учет!D1719-D1719</f>
        <v>500</v>
      </c>
      <c r="J1719" s="43">
        <f>J1718+Учет!E1719-E1719</f>
        <v>1150</v>
      </c>
      <c r="K1719" s="43">
        <f>K1718+Учет!F1719-F1719</f>
        <v>500000</v>
      </c>
      <c r="L1719" s="45">
        <f>Учет!I1719</f>
        <v>349526.07999999996</v>
      </c>
    </row>
    <row r="1720" spans="1:12" x14ac:dyDescent="0.25">
      <c r="A1720" s="48" t="str">
        <f>IF(Учет!A1720&lt;&gt;"",Учет!A1720,"")</f>
        <v/>
      </c>
      <c r="B1720" s="52">
        <f>IF(Учет!$O1720=Справочники!$F$2,Учет!$H1720,0)</f>
        <v>0</v>
      </c>
      <c r="C1720" s="52">
        <f>IF(Учет!$O1720=Справочники!$F$3,Учет!$H1720,0)</f>
        <v>0</v>
      </c>
      <c r="D1720" s="52">
        <f>IF(Учет!$O1720=Справочники!$F$4,Учет!$H1720,0)</f>
        <v>0</v>
      </c>
      <c r="E1720" s="52">
        <f>IF(Учет!$O1720=Справочники!$F$5,Учет!$H1720,0)</f>
        <v>0</v>
      </c>
      <c r="F1720" s="52">
        <f>IF(Учет!$O1720=Справочники!$F$6,Учет!$H1720,0)</f>
        <v>0</v>
      </c>
      <c r="G1720" s="43">
        <f>G1719+Учет!B1720-B1720</f>
        <v>-488978.92000000004</v>
      </c>
      <c r="H1720" s="43">
        <f>H1719+Учет!C1720-C1720</f>
        <v>336855</v>
      </c>
      <c r="I1720" s="43">
        <f>I1719+Учет!D1720-D1720</f>
        <v>500</v>
      </c>
      <c r="J1720" s="43">
        <f>J1719+Учет!E1720-E1720</f>
        <v>1150</v>
      </c>
      <c r="K1720" s="43">
        <f>K1719+Учет!F1720-F1720</f>
        <v>500000</v>
      </c>
      <c r="L1720" s="45">
        <f>Учет!I1720</f>
        <v>349526.07999999996</v>
      </c>
    </row>
    <row r="1721" spans="1:12" x14ac:dyDescent="0.25">
      <c r="A1721" s="48" t="str">
        <f>IF(Учет!A1721&lt;&gt;"",Учет!A1721,"")</f>
        <v/>
      </c>
      <c r="B1721" s="52">
        <f>IF(Учет!$O1721=Справочники!$F$2,Учет!$H1721,0)</f>
        <v>0</v>
      </c>
      <c r="C1721" s="52">
        <f>IF(Учет!$O1721=Справочники!$F$3,Учет!$H1721,0)</f>
        <v>0</v>
      </c>
      <c r="D1721" s="52">
        <f>IF(Учет!$O1721=Справочники!$F$4,Учет!$H1721,0)</f>
        <v>0</v>
      </c>
      <c r="E1721" s="52">
        <f>IF(Учет!$O1721=Справочники!$F$5,Учет!$H1721,0)</f>
        <v>0</v>
      </c>
      <c r="F1721" s="52">
        <f>IF(Учет!$O1721=Справочники!$F$6,Учет!$H1721,0)</f>
        <v>0</v>
      </c>
      <c r="G1721" s="43">
        <f>G1720+Учет!B1721-B1721</f>
        <v>-488978.92000000004</v>
      </c>
      <c r="H1721" s="43">
        <f>H1720+Учет!C1721-C1721</f>
        <v>336855</v>
      </c>
      <c r="I1721" s="43">
        <f>I1720+Учет!D1721-D1721</f>
        <v>500</v>
      </c>
      <c r="J1721" s="43">
        <f>J1720+Учет!E1721-E1721</f>
        <v>1150</v>
      </c>
      <c r="K1721" s="43">
        <f>K1720+Учет!F1721-F1721</f>
        <v>500000</v>
      </c>
      <c r="L1721" s="45">
        <f>Учет!I1721</f>
        <v>349526.07999999996</v>
      </c>
    </row>
    <row r="1722" spans="1:12" x14ac:dyDescent="0.25">
      <c r="A1722" s="48" t="str">
        <f>IF(Учет!A1722&lt;&gt;"",Учет!A1722,"")</f>
        <v/>
      </c>
      <c r="B1722" s="52">
        <f>IF(Учет!$O1722=Справочники!$F$2,Учет!$H1722,0)</f>
        <v>0</v>
      </c>
      <c r="C1722" s="52">
        <f>IF(Учет!$O1722=Справочники!$F$3,Учет!$H1722,0)</f>
        <v>0</v>
      </c>
      <c r="D1722" s="52">
        <f>IF(Учет!$O1722=Справочники!$F$4,Учет!$H1722,0)</f>
        <v>0</v>
      </c>
      <c r="E1722" s="52">
        <f>IF(Учет!$O1722=Справочники!$F$5,Учет!$H1722,0)</f>
        <v>0</v>
      </c>
      <c r="F1722" s="52">
        <f>IF(Учет!$O1722=Справочники!$F$6,Учет!$H1722,0)</f>
        <v>0</v>
      </c>
      <c r="G1722" s="43">
        <f>G1721+Учет!B1722-B1722</f>
        <v>-488978.92000000004</v>
      </c>
      <c r="H1722" s="43">
        <f>H1721+Учет!C1722-C1722</f>
        <v>336855</v>
      </c>
      <c r="I1722" s="43">
        <f>I1721+Учет!D1722-D1722</f>
        <v>500</v>
      </c>
      <c r="J1722" s="43">
        <f>J1721+Учет!E1722-E1722</f>
        <v>1150</v>
      </c>
      <c r="K1722" s="43">
        <f>K1721+Учет!F1722-F1722</f>
        <v>500000</v>
      </c>
      <c r="L1722" s="45">
        <f>Учет!I1722</f>
        <v>349526.07999999996</v>
      </c>
    </row>
    <row r="1723" spans="1:12" x14ac:dyDescent="0.25">
      <c r="A1723" s="48" t="str">
        <f>IF(Учет!A1723&lt;&gt;"",Учет!A1723,"")</f>
        <v/>
      </c>
      <c r="B1723" s="52">
        <f>IF(Учет!$O1723=Справочники!$F$2,Учет!$H1723,0)</f>
        <v>0</v>
      </c>
      <c r="C1723" s="52">
        <f>IF(Учет!$O1723=Справочники!$F$3,Учет!$H1723,0)</f>
        <v>0</v>
      </c>
      <c r="D1723" s="52">
        <f>IF(Учет!$O1723=Справочники!$F$4,Учет!$H1723,0)</f>
        <v>0</v>
      </c>
      <c r="E1723" s="52">
        <f>IF(Учет!$O1723=Справочники!$F$5,Учет!$H1723,0)</f>
        <v>0</v>
      </c>
      <c r="F1723" s="52">
        <f>IF(Учет!$O1723=Справочники!$F$6,Учет!$H1723,0)</f>
        <v>0</v>
      </c>
      <c r="G1723" s="43">
        <f>G1722+Учет!B1723-B1723</f>
        <v>-488978.92000000004</v>
      </c>
      <c r="H1723" s="43">
        <f>H1722+Учет!C1723-C1723</f>
        <v>336855</v>
      </c>
      <c r="I1723" s="43">
        <f>I1722+Учет!D1723-D1723</f>
        <v>500</v>
      </c>
      <c r="J1723" s="43">
        <f>J1722+Учет!E1723-E1723</f>
        <v>1150</v>
      </c>
      <c r="K1723" s="43">
        <f>K1722+Учет!F1723-F1723</f>
        <v>500000</v>
      </c>
      <c r="L1723" s="45">
        <f>Учет!I1723</f>
        <v>349526.07999999996</v>
      </c>
    </row>
    <row r="1724" spans="1:12" x14ac:dyDescent="0.25">
      <c r="A1724" s="48" t="str">
        <f>IF(Учет!A1724&lt;&gt;"",Учет!A1724,"")</f>
        <v/>
      </c>
      <c r="B1724" s="52">
        <f>IF(Учет!$O1724=Справочники!$F$2,Учет!$H1724,0)</f>
        <v>0</v>
      </c>
      <c r="C1724" s="52">
        <f>IF(Учет!$O1724=Справочники!$F$3,Учет!$H1724,0)</f>
        <v>0</v>
      </c>
      <c r="D1724" s="52">
        <f>IF(Учет!$O1724=Справочники!$F$4,Учет!$H1724,0)</f>
        <v>0</v>
      </c>
      <c r="E1724" s="52">
        <f>IF(Учет!$O1724=Справочники!$F$5,Учет!$H1724,0)</f>
        <v>0</v>
      </c>
      <c r="F1724" s="52">
        <f>IF(Учет!$O1724=Справочники!$F$6,Учет!$H1724,0)</f>
        <v>0</v>
      </c>
      <c r="G1724" s="43">
        <f>G1723+Учет!B1724-B1724</f>
        <v>-488978.92000000004</v>
      </c>
      <c r="H1724" s="43">
        <f>H1723+Учет!C1724-C1724</f>
        <v>336855</v>
      </c>
      <c r="I1724" s="43">
        <f>I1723+Учет!D1724-D1724</f>
        <v>500</v>
      </c>
      <c r="J1724" s="43">
        <f>J1723+Учет!E1724-E1724</f>
        <v>1150</v>
      </c>
      <c r="K1724" s="43">
        <f>K1723+Учет!F1724-F1724</f>
        <v>500000</v>
      </c>
      <c r="L1724" s="45">
        <f>Учет!I1724</f>
        <v>349526.07999999996</v>
      </c>
    </row>
    <row r="1725" spans="1:12" x14ac:dyDescent="0.25">
      <c r="A1725" s="48" t="str">
        <f>IF(Учет!A1725&lt;&gt;"",Учет!A1725,"")</f>
        <v/>
      </c>
      <c r="B1725" s="52">
        <f>IF(Учет!$O1725=Справочники!$F$2,Учет!$H1725,0)</f>
        <v>0</v>
      </c>
      <c r="C1725" s="52">
        <f>IF(Учет!$O1725=Справочники!$F$3,Учет!$H1725,0)</f>
        <v>0</v>
      </c>
      <c r="D1725" s="52">
        <f>IF(Учет!$O1725=Справочники!$F$4,Учет!$H1725,0)</f>
        <v>0</v>
      </c>
      <c r="E1725" s="52">
        <f>IF(Учет!$O1725=Справочники!$F$5,Учет!$H1725,0)</f>
        <v>0</v>
      </c>
      <c r="F1725" s="52">
        <f>IF(Учет!$O1725=Справочники!$F$6,Учет!$H1725,0)</f>
        <v>0</v>
      </c>
      <c r="G1725" s="43">
        <f>G1724+Учет!B1725-B1725</f>
        <v>-488978.92000000004</v>
      </c>
      <c r="H1725" s="43">
        <f>H1724+Учет!C1725-C1725</f>
        <v>336855</v>
      </c>
      <c r="I1725" s="43">
        <f>I1724+Учет!D1725-D1725</f>
        <v>500</v>
      </c>
      <c r="J1725" s="43">
        <f>J1724+Учет!E1725-E1725</f>
        <v>1150</v>
      </c>
      <c r="K1725" s="43">
        <f>K1724+Учет!F1725-F1725</f>
        <v>500000</v>
      </c>
      <c r="L1725" s="45">
        <f>Учет!I1725</f>
        <v>349526.07999999996</v>
      </c>
    </row>
    <row r="1726" spans="1:12" x14ac:dyDescent="0.25">
      <c r="A1726" s="48" t="str">
        <f>IF(Учет!A1726&lt;&gt;"",Учет!A1726,"")</f>
        <v/>
      </c>
      <c r="B1726" s="52">
        <f>IF(Учет!$O1726=Справочники!$F$2,Учет!$H1726,0)</f>
        <v>0</v>
      </c>
      <c r="C1726" s="52">
        <f>IF(Учет!$O1726=Справочники!$F$3,Учет!$H1726,0)</f>
        <v>0</v>
      </c>
      <c r="D1726" s="52">
        <f>IF(Учет!$O1726=Справочники!$F$4,Учет!$H1726,0)</f>
        <v>0</v>
      </c>
      <c r="E1726" s="52">
        <f>IF(Учет!$O1726=Справочники!$F$5,Учет!$H1726,0)</f>
        <v>0</v>
      </c>
      <c r="F1726" s="52">
        <f>IF(Учет!$O1726=Справочники!$F$6,Учет!$H1726,0)</f>
        <v>0</v>
      </c>
      <c r="G1726" s="43">
        <f>G1725+Учет!B1726-B1726</f>
        <v>-488978.92000000004</v>
      </c>
      <c r="H1726" s="43">
        <f>H1725+Учет!C1726-C1726</f>
        <v>336855</v>
      </c>
      <c r="I1726" s="43">
        <f>I1725+Учет!D1726-D1726</f>
        <v>500</v>
      </c>
      <c r="J1726" s="43">
        <f>J1725+Учет!E1726-E1726</f>
        <v>1150</v>
      </c>
      <c r="K1726" s="43">
        <f>K1725+Учет!F1726-F1726</f>
        <v>500000</v>
      </c>
      <c r="L1726" s="45">
        <f>Учет!I1726</f>
        <v>349526.07999999996</v>
      </c>
    </row>
    <row r="1727" spans="1:12" x14ac:dyDescent="0.25">
      <c r="A1727" s="48" t="str">
        <f>IF(Учет!A1727&lt;&gt;"",Учет!A1727,"")</f>
        <v/>
      </c>
      <c r="B1727" s="52">
        <f>IF(Учет!$O1727=Справочники!$F$2,Учет!$H1727,0)</f>
        <v>0</v>
      </c>
      <c r="C1727" s="52">
        <f>IF(Учет!$O1727=Справочники!$F$3,Учет!$H1727,0)</f>
        <v>0</v>
      </c>
      <c r="D1727" s="52">
        <f>IF(Учет!$O1727=Справочники!$F$4,Учет!$H1727,0)</f>
        <v>0</v>
      </c>
      <c r="E1727" s="52">
        <f>IF(Учет!$O1727=Справочники!$F$5,Учет!$H1727,0)</f>
        <v>0</v>
      </c>
      <c r="F1727" s="52">
        <f>IF(Учет!$O1727=Справочники!$F$6,Учет!$H1727,0)</f>
        <v>0</v>
      </c>
      <c r="G1727" s="43">
        <f>G1726+Учет!B1727-B1727</f>
        <v>-488978.92000000004</v>
      </c>
      <c r="H1727" s="43">
        <f>H1726+Учет!C1727-C1727</f>
        <v>336855</v>
      </c>
      <c r="I1727" s="43">
        <f>I1726+Учет!D1727-D1727</f>
        <v>500</v>
      </c>
      <c r="J1727" s="43">
        <f>J1726+Учет!E1727-E1727</f>
        <v>1150</v>
      </c>
      <c r="K1727" s="43">
        <f>K1726+Учет!F1727-F1727</f>
        <v>500000</v>
      </c>
      <c r="L1727" s="45">
        <f>Учет!I1727</f>
        <v>349526.07999999996</v>
      </c>
    </row>
    <row r="1728" spans="1:12" x14ac:dyDescent="0.25">
      <c r="A1728" s="48" t="str">
        <f>IF(Учет!A1728&lt;&gt;"",Учет!A1728,"")</f>
        <v/>
      </c>
      <c r="B1728" s="52">
        <f>IF(Учет!$O1728=Справочники!$F$2,Учет!$H1728,0)</f>
        <v>0</v>
      </c>
      <c r="C1728" s="52">
        <f>IF(Учет!$O1728=Справочники!$F$3,Учет!$H1728,0)</f>
        <v>0</v>
      </c>
      <c r="D1728" s="52">
        <f>IF(Учет!$O1728=Справочники!$F$4,Учет!$H1728,0)</f>
        <v>0</v>
      </c>
      <c r="E1728" s="52">
        <f>IF(Учет!$O1728=Справочники!$F$5,Учет!$H1728,0)</f>
        <v>0</v>
      </c>
      <c r="F1728" s="52">
        <f>IF(Учет!$O1728=Справочники!$F$6,Учет!$H1728,0)</f>
        <v>0</v>
      </c>
      <c r="G1728" s="43">
        <f>G1727+Учет!B1728-B1728</f>
        <v>-488978.92000000004</v>
      </c>
      <c r="H1728" s="43">
        <f>H1727+Учет!C1728-C1728</f>
        <v>336855</v>
      </c>
      <c r="I1728" s="43">
        <f>I1727+Учет!D1728-D1728</f>
        <v>500</v>
      </c>
      <c r="J1728" s="43">
        <f>J1727+Учет!E1728-E1728</f>
        <v>1150</v>
      </c>
      <c r="K1728" s="43">
        <f>K1727+Учет!F1728-F1728</f>
        <v>500000</v>
      </c>
      <c r="L1728" s="45">
        <f>Учет!I1728</f>
        <v>349526.07999999996</v>
      </c>
    </row>
    <row r="1729" spans="1:12" x14ac:dyDescent="0.25">
      <c r="A1729" s="48" t="str">
        <f>IF(Учет!A1729&lt;&gt;"",Учет!A1729,"")</f>
        <v/>
      </c>
      <c r="B1729" s="52">
        <f>IF(Учет!$O1729=Справочники!$F$2,Учет!$H1729,0)</f>
        <v>0</v>
      </c>
      <c r="C1729" s="52">
        <f>IF(Учет!$O1729=Справочники!$F$3,Учет!$H1729,0)</f>
        <v>0</v>
      </c>
      <c r="D1729" s="52">
        <f>IF(Учет!$O1729=Справочники!$F$4,Учет!$H1729,0)</f>
        <v>0</v>
      </c>
      <c r="E1729" s="52">
        <f>IF(Учет!$O1729=Справочники!$F$5,Учет!$H1729,0)</f>
        <v>0</v>
      </c>
      <c r="F1729" s="52">
        <f>IF(Учет!$O1729=Справочники!$F$6,Учет!$H1729,0)</f>
        <v>0</v>
      </c>
      <c r="G1729" s="43">
        <f>G1728+Учет!B1729-B1729</f>
        <v>-488978.92000000004</v>
      </c>
      <c r="H1729" s="43">
        <f>H1728+Учет!C1729-C1729</f>
        <v>336855</v>
      </c>
      <c r="I1729" s="43">
        <f>I1728+Учет!D1729-D1729</f>
        <v>500</v>
      </c>
      <c r="J1729" s="43">
        <f>J1728+Учет!E1729-E1729</f>
        <v>1150</v>
      </c>
      <c r="K1729" s="43">
        <f>K1728+Учет!F1729-F1729</f>
        <v>500000</v>
      </c>
      <c r="L1729" s="45">
        <f>Учет!I1729</f>
        <v>349526.07999999996</v>
      </c>
    </row>
    <row r="1730" spans="1:12" x14ac:dyDescent="0.25">
      <c r="A1730" s="48" t="str">
        <f>IF(Учет!A1730&lt;&gt;"",Учет!A1730,"")</f>
        <v/>
      </c>
      <c r="B1730" s="52">
        <f>IF(Учет!$O1730=Справочники!$F$2,Учет!$H1730,0)</f>
        <v>0</v>
      </c>
      <c r="C1730" s="52">
        <f>IF(Учет!$O1730=Справочники!$F$3,Учет!$H1730,0)</f>
        <v>0</v>
      </c>
      <c r="D1730" s="52">
        <f>IF(Учет!$O1730=Справочники!$F$4,Учет!$H1730,0)</f>
        <v>0</v>
      </c>
      <c r="E1730" s="52">
        <f>IF(Учет!$O1730=Справочники!$F$5,Учет!$H1730,0)</f>
        <v>0</v>
      </c>
      <c r="F1730" s="52">
        <f>IF(Учет!$O1730=Справочники!$F$6,Учет!$H1730,0)</f>
        <v>0</v>
      </c>
      <c r="G1730" s="43">
        <f>G1729+Учет!B1730-B1730</f>
        <v>-488978.92000000004</v>
      </c>
      <c r="H1730" s="43">
        <f>H1729+Учет!C1730-C1730</f>
        <v>336855</v>
      </c>
      <c r="I1730" s="43">
        <f>I1729+Учет!D1730-D1730</f>
        <v>500</v>
      </c>
      <c r="J1730" s="43">
        <f>J1729+Учет!E1730-E1730</f>
        <v>1150</v>
      </c>
      <c r="K1730" s="43">
        <f>K1729+Учет!F1730-F1730</f>
        <v>500000</v>
      </c>
      <c r="L1730" s="45">
        <f>Учет!I1730</f>
        <v>349526.07999999996</v>
      </c>
    </row>
    <row r="1731" spans="1:12" x14ac:dyDescent="0.25">
      <c r="A1731" s="48" t="str">
        <f>IF(Учет!A1731&lt;&gt;"",Учет!A1731,"")</f>
        <v/>
      </c>
      <c r="B1731" s="52">
        <f>IF(Учет!$O1731=Справочники!$F$2,Учет!$H1731,0)</f>
        <v>0</v>
      </c>
      <c r="C1731" s="52">
        <f>IF(Учет!$O1731=Справочники!$F$3,Учет!$H1731,0)</f>
        <v>0</v>
      </c>
      <c r="D1731" s="52">
        <f>IF(Учет!$O1731=Справочники!$F$4,Учет!$H1731,0)</f>
        <v>0</v>
      </c>
      <c r="E1731" s="52">
        <f>IF(Учет!$O1731=Справочники!$F$5,Учет!$H1731,0)</f>
        <v>0</v>
      </c>
      <c r="F1731" s="52">
        <f>IF(Учет!$O1731=Справочники!$F$6,Учет!$H1731,0)</f>
        <v>0</v>
      </c>
      <c r="G1731" s="43">
        <f>G1730+Учет!B1731-B1731</f>
        <v>-488978.92000000004</v>
      </c>
      <c r="H1731" s="43">
        <f>H1730+Учет!C1731-C1731</f>
        <v>336855</v>
      </c>
      <c r="I1731" s="43">
        <f>I1730+Учет!D1731-D1731</f>
        <v>500</v>
      </c>
      <c r="J1731" s="43">
        <f>J1730+Учет!E1731-E1731</f>
        <v>1150</v>
      </c>
      <c r="K1731" s="43">
        <f>K1730+Учет!F1731-F1731</f>
        <v>500000</v>
      </c>
      <c r="L1731" s="45">
        <f>Учет!I1731</f>
        <v>349526.07999999996</v>
      </c>
    </row>
    <row r="1732" spans="1:12" x14ac:dyDescent="0.25">
      <c r="A1732" s="48" t="str">
        <f>IF(Учет!A1732&lt;&gt;"",Учет!A1732,"")</f>
        <v/>
      </c>
      <c r="B1732" s="52">
        <f>IF(Учет!$O1732=Справочники!$F$2,Учет!$H1732,0)</f>
        <v>0</v>
      </c>
      <c r="C1732" s="52">
        <f>IF(Учет!$O1732=Справочники!$F$3,Учет!$H1732,0)</f>
        <v>0</v>
      </c>
      <c r="D1732" s="52">
        <f>IF(Учет!$O1732=Справочники!$F$4,Учет!$H1732,0)</f>
        <v>0</v>
      </c>
      <c r="E1732" s="52">
        <f>IF(Учет!$O1732=Справочники!$F$5,Учет!$H1732,0)</f>
        <v>0</v>
      </c>
      <c r="F1732" s="52">
        <f>IF(Учет!$O1732=Справочники!$F$6,Учет!$H1732,0)</f>
        <v>0</v>
      </c>
      <c r="G1732" s="43">
        <f>G1731+Учет!B1732-B1732</f>
        <v>-488978.92000000004</v>
      </c>
      <c r="H1732" s="43">
        <f>H1731+Учет!C1732-C1732</f>
        <v>336855</v>
      </c>
      <c r="I1732" s="43">
        <f>I1731+Учет!D1732-D1732</f>
        <v>500</v>
      </c>
      <c r="J1732" s="43">
        <f>J1731+Учет!E1732-E1732</f>
        <v>1150</v>
      </c>
      <c r="K1732" s="43">
        <f>K1731+Учет!F1732-F1732</f>
        <v>500000</v>
      </c>
      <c r="L1732" s="45">
        <f>Учет!I1732</f>
        <v>349526.07999999996</v>
      </c>
    </row>
    <row r="1733" spans="1:12" x14ac:dyDescent="0.25">
      <c r="A1733" s="48" t="str">
        <f>IF(Учет!A1733&lt;&gt;"",Учет!A1733,"")</f>
        <v/>
      </c>
      <c r="B1733" s="52">
        <f>IF(Учет!$O1733=Справочники!$F$2,Учет!$H1733,0)</f>
        <v>0</v>
      </c>
      <c r="C1733" s="52">
        <f>IF(Учет!$O1733=Справочники!$F$3,Учет!$H1733,0)</f>
        <v>0</v>
      </c>
      <c r="D1733" s="52">
        <f>IF(Учет!$O1733=Справочники!$F$4,Учет!$H1733,0)</f>
        <v>0</v>
      </c>
      <c r="E1733" s="52">
        <f>IF(Учет!$O1733=Справочники!$F$5,Учет!$H1733,0)</f>
        <v>0</v>
      </c>
      <c r="F1733" s="52">
        <f>IF(Учет!$O1733=Справочники!$F$6,Учет!$H1733,0)</f>
        <v>0</v>
      </c>
      <c r="G1733" s="43">
        <f>G1732+Учет!B1733-B1733</f>
        <v>-488978.92000000004</v>
      </c>
      <c r="H1733" s="43">
        <f>H1732+Учет!C1733-C1733</f>
        <v>336855</v>
      </c>
      <c r="I1733" s="43">
        <f>I1732+Учет!D1733-D1733</f>
        <v>500</v>
      </c>
      <c r="J1733" s="43">
        <f>J1732+Учет!E1733-E1733</f>
        <v>1150</v>
      </c>
      <c r="K1733" s="43">
        <f>K1732+Учет!F1733-F1733</f>
        <v>500000</v>
      </c>
      <c r="L1733" s="45">
        <f>Учет!I1733</f>
        <v>349526.07999999996</v>
      </c>
    </row>
    <row r="1734" spans="1:12" x14ac:dyDescent="0.25">
      <c r="A1734" s="48" t="str">
        <f>IF(Учет!A1734&lt;&gt;"",Учет!A1734,"")</f>
        <v/>
      </c>
      <c r="B1734" s="52">
        <f>IF(Учет!$O1734=Справочники!$F$2,Учет!$H1734,0)</f>
        <v>0</v>
      </c>
      <c r="C1734" s="52">
        <f>IF(Учет!$O1734=Справочники!$F$3,Учет!$H1734,0)</f>
        <v>0</v>
      </c>
      <c r="D1734" s="52">
        <f>IF(Учет!$O1734=Справочники!$F$4,Учет!$H1734,0)</f>
        <v>0</v>
      </c>
      <c r="E1734" s="52">
        <f>IF(Учет!$O1734=Справочники!$F$5,Учет!$H1734,0)</f>
        <v>0</v>
      </c>
      <c r="F1734" s="52">
        <f>IF(Учет!$O1734=Справочники!$F$6,Учет!$H1734,0)</f>
        <v>0</v>
      </c>
      <c r="G1734" s="43">
        <f>G1733+Учет!B1734-B1734</f>
        <v>-488978.92000000004</v>
      </c>
      <c r="H1734" s="43">
        <f>H1733+Учет!C1734-C1734</f>
        <v>336855</v>
      </c>
      <c r="I1734" s="43">
        <f>I1733+Учет!D1734-D1734</f>
        <v>500</v>
      </c>
      <c r="J1734" s="43">
        <f>J1733+Учет!E1734-E1734</f>
        <v>1150</v>
      </c>
      <c r="K1734" s="43">
        <f>K1733+Учет!F1734-F1734</f>
        <v>500000</v>
      </c>
      <c r="L1734" s="45">
        <f>Учет!I1734</f>
        <v>349526.07999999996</v>
      </c>
    </row>
    <row r="1735" spans="1:12" x14ac:dyDescent="0.25">
      <c r="A1735" s="48" t="str">
        <f>IF(Учет!A1735&lt;&gt;"",Учет!A1735,"")</f>
        <v/>
      </c>
      <c r="B1735" s="52">
        <f>IF(Учет!$O1735=Справочники!$F$2,Учет!$H1735,0)</f>
        <v>0</v>
      </c>
      <c r="C1735" s="52">
        <f>IF(Учет!$O1735=Справочники!$F$3,Учет!$H1735,0)</f>
        <v>0</v>
      </c>
      <c r="D1735" s="52">
        <f>IF(Учет!$O1735=Справочники!$F$4,Учет!$H1735,0)</f>
        <v>0</v>
      </c>
      <c r="E1735" s="52">
        <f>IF(Учет!$O1735=Справочники!$F$5,Учет!$H1735,0)</f>
        <v>0</v>
      </c>
      <c r="F1735" s="52">
        <f>IF(Учет!$O1735=Справочники!$F$6,Учет!$H1735,0)</f>
        <v>0</v>
      </c>
      <c r="G1735" s="43">
        <f>G1734+Учет!B1735-B1735</f>
        <v>-488978.92000000004</v>
      </c>
      <c r="H1735" s="43">
        <f>H1734+Учет!C1735-C1735</f>
        <v>336855</v>
      </c>
      <c r="I1735" s="43">
        <f>I1734+Учет!D1735-D1735</f>
        <v>500</v>
      </c>
      <c r="J1735" s="43">
        <f>J1734+Учет!E1735-E1735</f>
        <v>1150</v>
      </c>
      <c r="K1735" s="43">
        <f>K1734+Учет!F1735-F1735</f>
        <v>500000</v>
      </c>
      <c r="L1735" s="45">
        <f>Учет!I1735</f>
        <v>349526.07999999996</v>
      </c>
    </row>
    <row r="1736" spans="1:12" x14ac:dyDescent="0.25">
      <c r="A1736" s="48" t="str">
        <f>IF(Учет!A1736&lt;&gt;"",Учет!A1736,"")</f>
        <v/>
      </c>
      <c r="B1736" s="52">
        <f>IF(Учет!$O1736=Справочники!$F$2,Учет!$H1736,0)</f>
        <v>0</v>
      </c>
      <c r="C1736" s="52">
        <f>IF(Учет!$O1736=Справочники!$F$3,Учет!$H1736,0)</f>
        <v>0</v>
      </c>
      <c r="D1736" s="52">
        <f>IF(Учет!$O1736=Справочники!$F$4,Учет!$H1736,0)</f>
        <v>0</v>
      </c>
      <c r="E1736" s="52">
        <f>IF(Учет!$O1736=Справочники!$F$5,Учет!$H1736,0)</f>
        <v>0</v>
      </c>
      <c r="F1736" s="52">
        <f>IF(Учет!$O1736=Справочники!$F$6,Учет!$H1736,0)</f>
        <v>0</v>
      </c>
      <c r="G1736" s="43">
        <f>G1735+Учет!B1736-B1736</f>
        <v>-488978.92000000004</v>
      </c>
      <c r="H1736" s="43">
        <f>H1735+Учет!C1736-C1736</f>
        <v>336855</v>
      </c>
      <c r="I1736" s="43">
        <f>I1735+Учет!D1736-D1736</f>
        <v>500</v>
      </c>
      <c r="J1736" s="43">
        <f>J1735+Учет!E1736-E1736</f>
        <v>1150</v>
      </c>
      <c r="K1736" s="43">
        <f>K1735+Учет!F1736-F1736</f>
        <v>500000</v>
      </c>
      <c r="L1736" s="45">
        <f>Учет!I1736</f>
        <v>349526.07999999996</v>
      </c>
    </row>
    <row r="1737" spans="1:12" x14ac:dyDescent="0.25">
      <c r="A1737" s="48" t="str">
        <f>IF(Учет!A1737&lt;&gt;"",Учет!A1737,"")</f>
        <v/>
      </c>
      <c r="B1737" s="52">
        <f>IF(Учет!$O1737=Справочники!$F$2,Учет!$H1737,0)</f>
        <v>0</v>
      </c>
      <c r="C1737" s="52">
        <f>IF(Учет!$O1737=Справочники!$F$3,Учет!$H1737,0)</f>
        <v>0</v>
      </c>
      <c r="D1737" s="52">
        <f>IF(Учет!$O1737=Справочники!$F$4,Учет!$H1737,0)</f>
        <v>0</v>
      </c>
      <c r="E1737" s="52">
        <f>IF(Учет!$O1737=Справочники!$F$5,Учет!$H1737,0)</f>
        <v>0</v>
      </c>
      <c r="F1737" s="52">
        <f>IF(Учет!$O1737=Справочники!$F$6,Учет!$H1737,0)</f>
        <v>0</v>
      </c>
      <c r="G1737" s="43">
        <f>G1736+Учет!B1737-B1737</f>
        <v>-488978.92000000004</v>
      </c>
      <c r="H1737" s="43">
        <f>H1736+Учет!C1737-C1737</f>
        <v>336855</v>
      </c>
      <c r="I1737" s="43">
        <f>I1736+Учет!D1737-D1737</f>
        <v>500</v>
      </c>
      <c r="J1737" s="43">
        <f>J1736+Учет!E1737-E1737</f>
        <v>1150</v>
      </c>
      <c r="K1737" s="43">
        <f>K1736+Учет!F1737-F1737</f>
        <v>500000</v>
      </c>
      <c r="L1737" s="45">
        <f>Учет!I1737</f>
        <v>349526.07999999996</v>
      </c>
    </row>
    <row r="1738" spans="1:12" x14ac:dyDescent="0.25">
      <c r="A1738" s="48" t="str">
        <f>IF(Учет!A1738&lt;&gt;"",Учет!A1738,"")</f>
        <v/>
      </c>
      <c r="B1738" s="52">
        <f>IF(Учет!$O1738=Справочники!$F$2,Учет!$H1738,0)</f>
        <v>0</v>
      </c>
      <c r="C1738" s="52">
        <f>IF(Учет!$O1738=Справочники!$F$3,Учет!$H1738,0)</f>
        <v>0</v>
      </c>
      <c r="D1738" s="52">
        <f>IF(Учет!$O1738=Справочники!$F$4,Учет!$H1738,0)</f>
        <v>0</v>
      </c>
      <c r="E1738" s="52">
        <f>IF(Учет!$O1738=Справочники!$F$5,Учет!$H1738,0)</f>
        <v>0</v>
      </c>
      <c r="F1738" s="52">
        <f>IF(Учет!$O1738=Справочники!$F$6,Учет!$H1738,0)</f>
        <v>0</v>
      </c>
      <c r="G1738" s="43">
        <f>G1737+Учет!B1738-B1738</f>
        <v>-488978.92000000004</v>
      </c>
      <c r="H1738" s="43">
        <f>H1737+Учет!C1738-C1738</f>
        <v>336855</v>
      </c>
      <c r="I1738" s="43">
        <f>I1737+Учет!D1738-D1738</f>
        <v>500</v>
      </c>
      <c r="J1738" s="43">
        <f>J1737+Учет!E1738-E1738</f>
        <v>1150</v>
      </c>
      <c r="K1738" s="43">
        <f>K1737+Учет!F1738-F1738</f>
        <v>500000</v>
      </c>
      <c r="L1738" s="45">
        <f>Учет!I1738</f>
        <v>349526.07999999996</v>
      </c>
    </row>
    <row r="1739" spans="1:12" x14ac:dyDescent="0.25">
      <c r="A1739" s="48" t="str">
        <f>IF(Учет!A1739&lt;&gt;"",Учет!A1739,"")</f>
        <v/>
      </c>
      <c r="B1739" s="52">
        <f>IF(Учет!$O1739=Справочники!$F$2,Учет!$H1739,0)</f>
        <v>0</v>
      </c>
      <c r="C1739" s="52">
        <f>IF(Учет!$O1739=Справочники!$F$3,Учет!$H1739,0)</f>
        <v>0</v>
      </c>
      <c r="D1739" s="52">
        <f>IF(Учет!$O1739=Справочники!$F$4,Учет!$H1739,0)</f>
        <v>0</v>
      </c>
      <c r="E1739" s="52">
        <f>IF(Учет!$O1739=Справочники!$F$5,Учет!$H1739,0)</f>
        <v>0</v>
      </c>
      <c r="F1739" s="52">
        <f>IF(Учет!$O1739=Справочники!$F$6,Учет!$H1739,0)</f>
        <v>0</v>
      </c>
      <c r="G1739" s="43">
        <f>G1738+Учет!B1739-B1739</f>
        <v>-488978.92000000004</v>
      </c>
      <c r="H1739" s="43">
        <f>H1738+Учет!C1739-C1739</f>
        <v>336855</v>
      </c>
      <c r="I1739" s="43">
        <f>I1738+Учет!D1739-D1739</f>
        <v>500</v>
      </c>
      <c r="J1739" s="43">
        <f>J1738+Учет!E1739-E1739</f>
        <v>1150</v>
      </c>
      <c r="K1739" s="43">
        <f>K1738+Учет!F1739-F1739</f>
        <v>500000</v>
      </c>
      <c r="L1739" s="45">
        <f>Учет!I1739</f>
        <v>349526.07999999996</v>
      </c>
    </row>
    <row r="1740" spans="1:12" x14ac:dyDescent="0.25">
      <c r="A1740" s="48" t="str">
        <f>IF(Учет!A1740&lt;&gt;"",Учет!A1740,"")</f>
        <v/>
      </c>
      <c r="B1740" s="52">
        <f>IF(Учет!$O1740=Справочники!$F$2,Учет!$H1740,0)</f>
        <v>0</v>
      </c>
      <c r="C1740" s="52">
        <f>IF(Учет!$O1740=Справочники!$F$3,Учет!$H1740,0)</f>
        <v>0</v>
      </c>
      <c r="D1740" s="52">
        <f>IF(Учет!$O1740=Справочники!$F$4,Учет!$H1740,0)</f>
        <v>0</v>
      </c>
      <c r="E1740" s="52">
        <f>IF(Учет!$O1740=Справочники!$F$5,Учет!$H1740,0)</f>
        <v>0</v>
      </c>
      <c r="F1740" s="52">
        <f>IF(Учет!$O1740=Справочники!$F$6,Учет!$H1740,0)</f>
        <v>0</v>
      </c>
      <c r="G1740" s="43">
        <f>G1739+Учет!B1740-B1740</f>
        <v>-488978.92000000004</v>
      </c>
      <c r="H1740" s="43">
        <f>H1739+Учет!C1740-C1740</f>
        <v>336855</v>
      </c>
      <c r="I1740" s="43">
        <f>I1739+Учет!D1740-D1740</f>
        <v>500</v>
      </c>
      <c r="J1740" s="43">
        <f>J1739+Учет!E1740-E1740</f>
        <v>1150</v>
      </c>
      <c r="K1740" s="43">
        <f>K1739+Учет!F1740-F1740</f>
        <v>500000</v>
      </c>
      <c r="L1740" s="45">
        <f>Учет!I1740</f>
        <v>349526.07999999996</v>
      </c>
    </row>
    <row r="1741" spans="1:12" x14ac:dyDescent="0.25">
      <c r="A1741" s="48" t="str">
        <f>IF(Учет!A1741&lt;&gt;"",Учет!A1741,"")</f>
        <v/>
      </c>
      <c r="B1741" s="52">
        <f>IF(Учет!$O1741=Справочники!$F$2,Учет!$H1741,0)</f>
        <v>0</v>
      </c>
      <c r="C1741" s="52">
        <f>IF(Учет!$O1741=Справочники!$F$3,Учет!$H1741,0)</f>
        <v>0</v>
      </c>
      <c r="D1741" s="52">
        <f>IF(Учет!$O1741=Справочники!$F$4,Учет!$H1741,0)</f>
        <v>0</v>
      </c>
      <c r="E1741" s="52">
        <f>IF(Учет!$O1741=Справочники!$F$5,Учет!$H1741,0)</f>
        <v>0</v>
      </c>
      <c r="F1741" s="52">
        <f>IF(Учет!$O1741=Справочники!$F$6,Учет!$H1741,0)</f>
        <v>0</v>
      </c>
      <c r="G1741" s="43">
        <f>G1740+Учет!B1741-B1741</f>
        <v>-488978.92000000004</v>
      </c>
      <c r="H1741" s="43">
        <f>H1740+Учет!C1741-C1741</f>
        <v>336855</v>
      </c>
      <c r="I1741" s="43">
        <f>I1740+Учет!D1741-D1741</f>
        <v>500</v>
      </c>
      <c r="J1741" s="43">
        <f>J1740+Учет!E1741-E1741</f>
        <v>1150</v>
      </c>
      <c r="K1741" s="43">
        <f>K1740+Учет!F1741-F1741</f>
        <v>500000</v>
      </c>
      <c r="L1741" s="45">
        <f>Учет!I1741</f>
        <v>349526.07999999996</v>
      </c>
    </row>
    <row r="1742" spans="1:12" x14ac:dyDescent="0.25">
      <c r="A1742" s="48" t="str">
        <f>IF(Учет!A1742&lt;&gt;"",Учет!A1742,"")</f>
        <v/>
      </c>
      <c r="B1742" s="52">
        <f>IF(Учет!$O1742=Справочники!$F$2,Учет!$H1742,0)</f>
        <v>0</v>
      </c>
      <c r="C1742" s="52">
        <f>IF(Учет!$O1742=Справочники!$F$3,Учет!$H1742,0)</f>
        <v>0</v>
      </c>
      <c r="D1742" s="52">
        <f>IF(Учет!$O1742=Справочники!$F$4,Учет!$H1742,0)</f>
        <v>0</v>
      </c>
      <c r="E1742" s="52">
        <f>IF(Учет!$O1742=Справочники!$F$5,Учет!$H1742,0)</f>
        <v>0</v>
      </c>
      <c r="F1742" s="52">
        <f>IF(Учет!$O1742=Справочники!$F$6,Учет!$H1742,0)</f>
        <v>0</v>
      </c>
      <c r="G1742" s="43">
        <f>G1741+Учет!B1742-B1742</f>
        <v>-488978.92000000004</v>
      </c>
      <c r="H1742" s="43">
        <f>H1741+Учет!C1742-C1742</f>
        <v>336855</v>
      </c>
      <c r="I1742" s="43">
        <f>I1741+Учет!D1742-D1742</f>
        <v>500</v>
      </c>
      <c r="J1742" s="43">
        <f>J1741+Учет!E1742-E1742</f>
        <v>1150</v>
      </c>
      <c r="K1742" s="43">
        <f>K1741+Учет!F1742-F1742</f>
        <v>500000</v>
      </c>
      <c r="L1742" s="45">
        <f>Учет!I1742</f>
        <v>349526.07999999996</v>
      </c>
    </row>
    <row r="1743" spans="1:12" x14ac:dyDescent="0.25">
      <c r="A1743" s="48" t="str">
        <f>IF(Учет!A1743&lt;&gt;"",Учет!A1743,"")</f>
        <v/>
      </c>
      <c r="B1743" s="52">
        <f>IF(Учет!$O1743=Справочники!$F$2,Учет!$H1743,0)</f>
        <v>0</v>
      </c>
      <c r="C1743" s="52">
        <f>IF(Учет!$O1743=Справочники!$F$3,Учет!$H1743,0)</f>
        <v>0</v>
      </c>
      <c r="D1743" s="52">
        <f>IF(Учет!$O1743=Справочники!$F$4,Учет!$H1743,0)</f>
        <v>0</v>
      </c>
      <c r="E1743" s="52">
        <f>IF(Учет!$O1743=Справочники!$F$5,Учет!$H1743,0)</f>
        <v>0</v>
      </c>
      <c r="F1743" s="52">
        <f>IF(Учет!$O1743=Справочники!$F$6,Учет!$H1743,0)</f>
        <v>0</v>
      </c>
      <c r="G1743" s="43">
        <f>G1742+Учет!B1743-B1743</f>
        <v>-488978.92000000004</v>
      </c>
      <c r="H1743" s="43">
        <f>H1742+Учет!C1743-C1743</f>
        <v>336855</v>
      </c>
      <c r="I1743" s="43">
        <f>I1742+Учет!D1743-D1743</f>
        <v>500</v>
      </c>
      <c r="J1743" s="43">
        <f>J1742+Учет!E1743-E1743</f>
        <v>1150</v>
      </c>
      <c r="K1743" s="43">
        <f>K1742+Учет!F1743-F1743</f>
        <v>500000</v>
      </c>
      <c r="L1743" s="45">
        <f>Учет!I1743</f>
        <v>349526.07999999996</v>
      </c>
    </row>
    <row r="1744" spans="1:12" x14ac:dyDescent="0.25">
      <c r="A1744" s="48" t="str">
        <f>IF(Учет!A1744&lt;&gt;"",Учет!A1744,"")</f>
        <v/>
      </c>
      <c r="B1744" s="52">
        <f>IF(Учет!$O1744=Справочники!$F$2,Учет!$H1744,0)</f>
        <v>0</v>
      </c>
      <c r="C1744" s="52">
        <f>IF(Учет!$O1744=Справочники!$F$3,Учет!$H1744,0)</f>
        <v>0</v>
      </c>
      <c r="D1744" s="52">
        <f>IF(Учет!$O1744=Справочники!$F$4,Учет!$H1744,0)</f>
        <v>0</v>
      </c>
      <c r="E1744" s="52">
        <f>IF(Учет!$O1744=Справочники!$F$5,Учет!$H1744,0)</f>
        <v>0</v>
      </c>
      <c r="F1744" s="52">
        <f>IF(Учет!$O1744=Справочники!$F$6,Учет!$H1744,0)</f>
        <v>0</v>
      </c>
      <c r="G1744" s="43">
        <f>G1743+Учет!B1744-B1744</f>
        <v>-488978.92000000004</v>
      </c>
      <c r="H1744" s="43">
        <f>H1743+Учет!C1744-C1744</f>
        <v>336855</v>
      </c>
      <c r="I1744" s="43">
        <f>I1743+Учет!D1744-D1744</f>
        <v>500</v>
      </c>
      <c r="J1744" s="43">
        <f>J1743+Учет!E1744-E1744</f>
        <v>1150</v>
      </c>
      <c r="K1744" s="43">
        <f>K1743+Учет!F1744-F1744</f>
        <v>500000</v>
      </c>
      <c r="L1744" s="45">
        <f>Учет!I1744</f>
        <v>349526.07999999996</v>
      </c>
    </row>
    <row r="1745" spans="1:12" x14ac:dyDescent="0.25">
      <c r="A1745" s="48" t="str">
        <f>IF(Учет!A1745&lt;&gt;"",Учет!A1745,"")</f>
        <v/>
      </c>
      <c r="B1745" s="52">
        <f>IF(Учет!$O1745=Справочники!$F$2,Учет!$H1745,0)</f>
        <v>0</v>
      </c>
      <c r="C1745" s="52">
        <f>IF(Учет!$O1745=Справочники!$F$3,Учет!$H1745,0)</f>
        <v>0</v>
      </c>
      <c r="D1745" s="52">
        <f>IF(Учет!$O1745=Справочники!$F$4,Учет!$H1745,0)</f>
        <v>0</v>
      </c>
      <c r="E1745" s="52">
        <f>IF(Учет!$O1745=Справочники!$F$5,Учет!$H1745,0)</f>
        <v>0</v>
      </c>
      <c r="F1745" s="52">
        <f>IF(Учет!$O1745=Справочники!$F$6,Учет!$H1745,0)</f>
        <v>0</v>
      </c>
      <c r="G1745" s="43">
        <f>G1744+Учет!B1745-B1745</f>
        <v>-488978.92000000004</v>
      </c>
      <c r="H1745" s="43">
        <f>H1744+Учет!C1745-C1745</f>
        <v>336855</v>
      </c>
      <c r="I1745" s="43">
        <f>I1744+Учет!D1745-D1745</f>
        <v>500</v>
      </c>
      <c r="J1745" s="43">
        <f>J1744+Учет!E1745-E1745</f>
        <v>1150</v>
      </c>
      <c r="K1745" s="43">
        <f>K1744+Учет!F1745-F1745</f>
        <v>500000</v>
      </c>
      <c r="L1745" s="45">
        <f>Учет!I1745</f>
        <v>349526.07999999996</v>
      </c>
    </row>
    <row r="1746" spans="1:12" x14ac:dyDescent="0.25">
      <c r="A1746" s="48" t="str">
        <f>IF(Учет!A1746&lt;&gt;"",Учет!A1746,"")</f>
        <v/>
      </c>
      <c r="B1746" s="52">
        <f>IF(Учет!$O1746=Справочники!$F$2,Учет!$H1746,0)</f>
        <v>0</v>
      </c>
      <c r="C1746" s="52">
        <f>IF(Учет!$O1746=Справочники!$F$3,Учет!$H1746,0)</f>
        <v>0</v>
      </c>
      <c r="D1746" s="52">
        <f>IF(Учет!$O1746=Справочники!$F$4,Учет!$H1746,0)</f>
        <v>0</v>
      </c>
      <c r="E1746" s="52">
        <f>IF(Учет!$O1746=Справочники!$F$5,Учет!$H1746,0)</f>
        <v>0</v>
      </c>
      <c r="F1746" s="52">
        <f>IF(Учет!$O1746=Справочники!$F$6,Учет!$H1746,0)</f>
        <v>0</v>
      </c>
      <c r="G1746" s="43">
        <f>G1745+Учет!B1746-B1746</f>
        <v>-488978.92000000004</v>
      </c>
      <c r="H1746" s="43">
        <f>H1745+Учет!C1746-C1746</f>
        <v>336855</v>
      </c>
      <c r="I1746" s="43">
        <f>I1745+Учет!D1746-D1746</f>
        <v>500</v>
      </c>
      <c r="J1746" s="43">
        <f>J1745+Учет!E1746-E1746</f>
        <v>1150</v>
      </c>
      <c r="K1746" s="43">
        <f>K1745+Учет!F1746-F1746</f>
        <v>500000</v>
      </c>
      <c r="L1746" s="45">
        <f>Учет!I1746</f>
        <v>349526.07999999996</v>
      </c>
    </row>
    <row r="1747" spans="1:12" x14ac:dyDescent="0.25">
      <c r="A1747" s="48" t="str">
        <f>IF(Учет!A1747&lt;&gt;"",Учет!A1747,"")</f>
        <v/>
      </c>
      <c r="B1747" s="52">
        <f>IF(Учет!$O1747=Справочники!$F$2,Учет!$H1747,0)</f>
        <v>0</v>
      </c>
      <c r="C1747" s="52">
        <f>IF(Учет!$O1747=Справочники!$F$3,Учет!$H1747,0)</f>
        <v>0</v>
      </c>
      <c r="D1747" s="52">
        <f>IF(Учет!$O1747=Справочники!$F$4,Учет!$H1747,0)</f>
        <v>0</v>
      </c>
      <c r="E1747" s="52">
        <f>IF(Учет!$O1747=Справочники!$F$5,Учет!$H1747,0)</f>
        <v>0</v>
      </c>
      <c r="F1747" s="52">
        <f>IF(Учет!$O1747=Справочники!$F$6,Учет!$H1747,0)</f>
        <v>0</v>
      </c>
      <c r="G1747" s="43">
        <f>G1746+Учет!B1747-B1747</f>
        <v>-488978.92000000004</v>
      </c>
      <c r="H1747" s="43">
        <f>H1746+Учет!C1747-C1747</f>
        <v>336855</v>
      </c>
      <c r="I1747" s="43">
        <f>I1746+Учет!D1747-D1747</f>
        <v>500</v>
      </c>
      <c r="J1747" s="43">
        <f>J1746+Учет!E1747-E1747</f>
        <v>1150</v>
      </c>
      <c r="K1747" s="43">
        <f>K1746+Учет!F1747-F1747</f>
        <v>500000</v>
      </c>
      <c r="L1747" s="45">
        <f>Учет!I1747</f>
        <v>349526.07999999996</v>
      </c>
    </row>
    <row r="1748" spans="1:12" x14ac:dyDescent="0.25">
      <c r="A1748" s="48" t="str">
        <f>IF(Учет!A1748&lt;&gt;"",Учет!A1748,"")</f>
        <v/>
      </c>
      <c r="B1748" s="52">
        <f>IF(Учет!$O1748=Справочники!$F$2,Учет!$H1748,0)</f>
        <v>0</v>
      </c>
      <c r="C1748" s="52">
        <f>IF(Учет!$O1748=Справочники!$F$3,Учет!$H1748,0)</f>
        <v>0</v>
      </c>
      <c r="D1748" s="52">
        <f>IF(Учет!$O1748=Справочники!$F$4,Учет!$H1748,0)</f>
        <v>0</v>
      </c>
      <c r="E1748" s="52">
        <f>IF(Учет!$O1748=Справочники!$F$5,Учет!$H1748,0)</f>
        <v>0</v>
      </c>
      <c r="F1748" s="52">
        <f>IF(Учет!$O1748=Справочники!$F$6,Учет!$H1748,0)</f>
        <v>0</v>
      </c>
      <c r="G1748" s="43">
        <f>G1747+Учет!B1748-B1748</f>
        <v>-488978.92000000004</v>
      </c>
      <c r="H1748" s="43">
        <f>H1747+Учет!C1748-C1748</f>
        <v>336855</v>
      </c>
      <c r="I1748" s="43">
        <f>I1747+Учет!D1748-D1748</f>
        <v>500</v>
      </c>
      <c r="J1748" s="43">
        <f>J1747+Учет!E1748-E1748</f>
        <v>1150</v>
      </c>
      <c r="K1748" s="43">
        <f>K1747+Учет!F1748-F1748</f>
        <v>500000</v>
      </c>
      <c r="L1748" s="45">
        <f>Учет!I1748</f>
        <v>349526.07999999996</v>
      </c>
    </row>
    <row r="1749" spans="1:12" x14ac:dyDescent="0.25">
      <c r="A1749" s="48" t="str">
        <f>IF(Учет!A1749&lt;&gt;"",Учет!A1749,"")</f>
        <v/>
      </c>
      <c r="B1749" s="52">
        <f>IF(Учет!$O1749=Справочники!$F$2,Учет!$H1749,0)</f>
        <v>0</v>
      </c>
      <c r="C1749" s="52">
        <f>IF(Учет!$O1749=Справочники!$F$3,Учет!$H1749,0)</f>
        <v>0</v>
      </c>
      <c r="D1749" s="52">
        <f>IF(Учет!$O1749=Справочники!$F$4,Учет!$H1749,0)</f>
        <v>0</v>
      </c>
      <c r="E1749" s="52">
        <f>IF(Учет!$O1749=Справочники!$F$5,Учет!$H1749,0)</f>
        <v>0</v>
      </c>
      <c r="F1749" s="52">
        <f>IF(Учет!$O1749=Справочники!$F$6,Учет!$H1749,0)</f>
        <v>0</v>
      </c>
      <c r="G1749" s="43">
        <f>G1748+Учет!B1749-B1749</f>
        <v>-488978.92000000004</v>
      </c>
      <c r="H1749" s="43">
        <f>H1748+Учет!C1749-C1749</f>
        <v>336855</v>
      </c>
      <c r="I1749" s="43">
        <f>I1748+Учет!D1749-D1749</f>
        <v>500</v>
      </c>
      <c r="J1749" s="43">
        <f>J1748+Учет!E1749-E1749</f>
        <v>1150</v>
      </c>
      <c r="K1749" s="43">
        <f>K1748+Учет!F1749-F1749</f>
        <v>500000</v>
      </c>
      <c r="L1749" s="45">
        <f>Учет!I1749</f>
        <v>349526.07999999996</v>
      </c>
    </row>
    <row r="1750" spans="1:12" x14ac:dyDescent="0.25">
      <c r="A1750" s="48" t="str">
        <f>IF(Учет!A1750&lt;&gt;"",Учет!A1750,"")</f>
        <v/>
      </c>
      <c r="B1750" s="52">
        <f>IF(Учет!$O1750=Справочники!$F$2,Учет!$H1750,0)</f>
        <v>0</v>
      </c>
      <c r="C1750" s="52">
        <f>IF(Учет!$O1750=Справочники!$F$3,Учет!$H1750,0)</f>
        <v>0</v>
      </c>
      <c r="D1750" s="52">
        <f>IF(Учет!$O1750=Справочники!$F$4,Учет!$H1750,0)</f>
        <v>0</v>
      </c>
      <c r="E1750" s="52">
        <f>IF(Учет!$O1750=Справочники!$F$5,Учет!$H1750,0)</f>
        <v>0</v>
      </c>
      <c r="F1750" s="52">
        <f>IF(Учет!$O1750=Справочники!$F$6,Учет!$H1750,0)</f>
        <v>0</v>
      </c>
      <c r="G1750" s="43">
        <f>G1749+Учет!B1750-B1750</f>
        <v>-488978.92000000004</v>
      </c>
      <c r="H1750" s="43">
        <f>H1749+Учет!C1750-C1750</f>
        <v>336855</v>
      </c>
      <c r="I1750" s="43">
        <f>I1749+Учет!D1750-D1750</f>
        <v>500</v>
      </c>
      <c r="J1750" s="43">
        <f>J1749+Учет!E1750-E1750</f>
        <v>1150</v>
      </c>
      <c r="K1750" s="43">
        <f>K1749+Учет!F1750-F1750</f>
        <v>500000</v>
      </c>
      <c r="L1750" s="45">
        <f>Учет!I1750</f>
        <v>349526.07999999996</v>
      </c>
    </row>
    <row r="1751" spans="1:12" x14ac:dyDescent="0.25">
      <c r="A1751" s="48" t="str">
        <f>IF(Учет!A1751&lt;&gt;"",Учет!A1751,"")</f>
        <v/>
      </c>
      <c r="B1751" s="52">
        <f>IF(Учет!$O1751=Справочники!$F$2,Учет!$H1751,0)</f>
        <v>0</v>
      </c>
      <c r="C1751" s="52">
        <f>IF(Учет!$O1751=Справочники!$F$3,Учет!$H1751,0)</f>
        <v>0</v>
      </c>
      <c r="D1751" s="52">
        <f>IF(Учет!$O1751=Справочники!$F$4,Учет!$H1751,0)</f>
        <v>0</v>
      </c>
      <c r="E1751" s="52">
        <f>IF(Учет!$O1751=Справочники!$F$5,Учет!$H1751,0)</f>
        <v>0</v>
      </c>
      <c r="F1751" s="52">
        <f>IF(Учет!$O1751=Справочники!$F$6,Учет!$H1751,0)</f>
        <v>0</v>
      </c>
      <c r="G1751" s="43">
        <f>G1750+Учет!B1751-B1751</f>
        <v>-488978.92000000004</v>
      </c>
      <c r="H1751" s="43">
        <f>H1750+Учет!C1751-C1751</f>
        <v>336855</v>
      </c>
      <c r="I1751" s="43">
        <f>I1750+Учет!D1751-D1751</f>
        <v>500</v>
      </c>
      <c r="J1751" s="43">
        <f>J1750+Учет!E1751-E1751</f>
        <v>1150</v>
      </c>
      <c r="K1751" s="43">
        <f>K1750+Учет!F1751-F1751</f>
        <v>500000</v>
      </c>
      <c r="L1751" s="45">
        <f>Учет!I1751</f>
        <v>349526.07999999996</v>
      </c>
    </row>
    <row r="1752" spans="1:12" x14ac:dyDescent="0.25">
      <c r="A1752" s="48" t="str">
        <f>IF(Учет!A1752&lt;&gt;"",Учет!A1752,"")</f>
        <v/>
      </c>
      <c r="B1752" s="52">
        <f>IF(Учет!$O1752=Справочники!$F$2,Учет!$H1752,0)</f>
        <v>0</v>
      </c>
      <c r="C1752" s="52">
        <f>IF(Учет!$O1752=Справочники!$F$3,Учет!$H1752,0)</f>
        <v>0</v>
      </c>
      <c r="D1752" s="52">
        <f>IF(Учет!$O1752=Справочники!$F$4,Учет!$H1752,0)</f>
        <v>0</v>
      </c>
      <c r="E1752" s="52">
        <f>IF(Учет!$O1752=Справочники!$F$5,Учет!$H1752,0)</f>
        <v>0</v>
      </c>
      <c r="F1752" s="52">
        <f>IF(Учет!$O1752=Справочники!$F$6,Учет!$H1752,0)</f>
        <v>0</v>
      </c>
      <c r="G1752" s="43">
        <f>G1751+Учет!B1752-B1752</f>
        <v>-488978.92000000004</v>
      </c>
      <c r="H1752" s="43">
        <f>H1751+Учет!C1752-C1752</f>
        <v>336855</v>
      </c>
      <c r="I1752" s="43">
        <f>I1751+Учет!D1752-D1752</f>
        <v>500</v>
      </c>
      <c r="J1752" s="43">
        <f>J1751+Учет!E1752-E1752</f>
        <v>1150</v>
      </c>
      <c r="K1752" s="43">
        <f>K1751+Учет!F1752-F1752</f>
        <v>500000</v>
      </c>
      <c r="L1752" s="45">
        <f>Учет!I1752</f>
        <v>349526.07999999996</v>
      </c>
    </row>
    <row r="1753" spans="1:12" x14ac:dyDescent="0.25">
      <c r="A1753" s="48" t="str">
        <f>IF(Учет!A1753&lt;&gt;"",Учет!A1753,"")</f>
        <v/>
      </c>
      <c r="B1753" s="52">
        <f>IF(Учет!$O1753=Справочники!$F$2,Учет!$H1753,0)</f>
        <v>0</v>
      </c>
      <c r="C1753" s="52">
        <f>IF(Учет!$O1753=Справочники!$F$3,Учет!$H1753,0)</f>
        <v>0</v>
      </c>
      <c r="D1753" s="52">
        <f>IF(Учет!$O1753=Справочники!$F$4,Учет!$H1753,0)</f>
        <v>0</v>
      </c>
      <c r="E1753" s="52">
        <f>IF(Учет!$O1753=Справочники!$F$5,Учет!$H1753,0)</f>
        <v>0</v>
      </c>
      <c r="F1753" s="52">
        <f>IF(Учет!$O1753=Справочники!$F$6,Учет!$H1753,0)</f>
        <v>0</v>
      </c>
      <c r="G1753" s="43">
        <f>G1752+Учет!B1753-B1753</f>
        <v>-488978.92000000004</v>
      </c>
      <c r="H1753" s="43">
        <f>H1752+Учет!C1753-C1753</f>
        <v>336855</v>
      </c>
      <c r="I1753" s="43">
        <f>I1752+Учет!D1753-D1753</f>
        <v>500</v>
      </c>
      <c r="J1753" s="43">
        <f>J1752+Учет!E1753-E1753</f>
        <v>1150</v>
      </c>
      <c r="K1753" s="43">
        <f>K1752+Учет!F1753-F1753</f>
        <v>500000</v>
      </c>
      <c r="L1753" s="45">
        <f>Учет!I1753</f>
        <v>349526.07999999996</v>
      </c>
    </row>
    <row r="1754" spans="1:12" x14ac:dyDescent="0.25">
      <c r="A1754" s="48" t="str">
        <f>IF(Учет!A1754&lt;&gt;"",Учет!A1754,"")</f>
        <v/>
      </c>
      <c r="B1754" s="52">
        <f>IF(Учет!$O1754=Справочники!$F$2,Учет!$H1754,0)</f>
        <v>0</v>
      </c>
      <c r="C1754" s="52">
        <f>IF(Учет!$O1754=Справочники!$F$3,Учет!$H1754,0)</f>
        <v>0</v>
      </c>
      <c r="D1754" s="52">
        <f>IF(Учет!$O1754=Справочники!$F$4,Учет!$H1754,0)</f>
        <v>0</v>
      </c>
      <c r="E1754" s="52">
        <f>IF(Учет!$O1754=Справочники!$F$5,Учет!$H1754,0)</f>
        <v>0</v>
      </c>
      <c r="F1754" s="52">
        <f>IF(Учет!$O1754=Справочники!$F$6,Учет!$H1754,0)</f>
        <v>0</v>
      </c>
      <c r="G1754" s="43">
        <f>G1753+Учет!B1754-B1754</f>
        <v>-488978.92000000004</v>
      </c>
      <c r="H1754" s="43">
        <f>H1753+Учет!C1754-C1754</f>
        <v>336855</v>
      </c>
      <c r="I1754" s="43">
        <f>I1753+Учет!D1754-D1754</f>
        <v>500</v>
      </c>
      <c r="J1754" s="43">
        <f>J1753+Учет!E1754-E1754</f>
        <v>1150</v>
      </c>
      <c r="K1754" s="43">
        <f>K1753+Учет!F1754-F1754</f>
        <v>500000</v>
      </c>
      <c r="L1754" s="45">
        <f>Учет!I1754</f>
        <v>349526.07999999996</v>
      </c>
    </row>
    <row r="1755" spans="1:12" x14ac:dyDescent="0.25">
      <c r="A1755" s="48" t="str">
        <f>IF(Учет!A1755&lt;&gt;"",Учет!A1755,"")</f>
        <v/>
      </c>
      <c r="B1755" s="52">
        <f>IF(Учет!$O1755=Справочники!$F$2,Учет!$H1755,0)</f>
        <v>0</v>
      </c>
      <c r="C1755" s="52">
        <f>IF(Учет!$O1755=Справочники!$F$3,Учет!$H1755,0)</f>
        <v>0</v>
      </c>
      <c r="D1755" s="52">
        <f>IF(Учет!$O1755=Справочники!$F$4,Учет!$H1755,0)</f>
        <v>0</v>
      </c>
      <c r="E1755" s="52">
        <f>IF(Учет!$O1755=Справочники!$F$5,Учет!$H1755,0)</f>
        <v>0</v>
      </c>
      <c r="F1755" s="52">
        <f>IF(Учет!$O1755=Справочники!$F$6,Учет!$H1755,0)</f>
        <v>0</v>
      </c>
      <c r="G1755" s="43">
        <f>G1754+Учет!B1755-B1755</f>
        <v>-488978.92000000004</v>
      </c>
      <c r="H1755" s="43">
        <f>H1754+Учет!C1755-C1755</f>
        <v>336855</v>
      </c>
      <c r="I1755" s="43">
        <f>I1754+Учет!D1755-D1755</f>
        <v>500</v>
      </c>
      <c r="J1755" s="43">
        <f>J1754+Учет!E1755-E1755</f>
        <v>1150</v>
      </c>
      <c r="K1755" s="43">
        <f>K1754+Учет!F1755-F1755</f>
        <v>500000</v>
      </c>
      <c r="L1755" s="45">
        <f>Учет!I1755</f>
        <v>349526.07999999996</v>
      </c>
    </row>
    <row r="1756" spans="1:12" x14ac:dyDescent="0.25">
      <c r="A1756" s="48" t="str">
        <f>IF(Учет!A1756&lt;&gt;"",Учет!A1756,"")</f>
        <v/>
      </c>
      <c r="B1756" s="52">
        <f>IF(Учет!$O1756=Справочники!$F$2,Учет!$H1756,0)</f>
        <v>0</v>
      </c>
      <c r="C1756" s="52">
        <f>IF(Учет!$O1756=Справочники!$F$3,Учет!$H1756,0)</f>
        <v>0</v>
      </c>
      <c r="D1756" s="52">
        <f>IF(Учет!$O1756=Справочники!$F$4,Учет!$H1756,0)</f>
        <v>0</v>
      </c>
      <c r="E1756" s="52">
        <f>IF(Учет!$O1756=Справочники!$F$5,Учет!$H1756,0)</f>
        <v>0</v>
      </c>
      <c r="F1756" s="52">
        <f>IF(Учет!$O1756=Справочники!$F$6,Учет!$H1756,0)</f>
        <v>0</v>
      </c>
      <c r="G1756" s="43">
        <f>G1755+Учет!B1756-B1756</f>
        <v>-488978.92000000004</v>
      </c>
      <c r="H1756" s="43">
        <f>H1755+Учет!C1756-C1756</f>
        <v>336855</v>
      </c>
      <c r="I1756" s="43">
        <f>I1755+Учет!D1756-D1756</f>
        <v>500</v>
      </c>
      <c r="J1756" s="43">
        <f>J1755+Учет!E1756-E1756</f>
        <v>1150</v>
      </c>
      <c r="K1756" s="43">
        <f>K1755+Учет!F1756-F1756</f>
        <v>500000</v>
      </c>
      <c r="L1756" s="45">
        <f>Учет!I1756</f>
        <v>349526.07999999996</v>
      </c>
    </row>
    <row r="1757" spans="1:12" x14ac:dyDescent="0.25">
      <c r="A1757" s="48" t="str">
        <f>IF(Учет!A1757&lt;&gt;"",Учет!A1757,"")</f>
        <v/>
      </c>
      <c r="B1757" s="52">
        <f>IF(Учет!$O1757=Справочники!$F$2,Учет!$H1757,0)</f>
        <v>0</v>
      </c>
      <c r="C1757" s="52">
        <f>IF(Учет!$O1757=Справочники!$F$3,Учет!$H1757,0)</f>
        <v>0</v>
      </c>
      <c r="D1757" s="52">
        <f>IF(Учет!$O1757=Справочники!$F$4,Учет!$H1757,0)</f>
        <v>0</v>
      </c>
      <c r="E1757" s="52">
        <f>IF(Учет!$O1757=Справочники!$F$5,Учет!$H1757,0)</f>
        <v>0</v>
      </c>
      <c r="F1757" s="52">
        <f>IF(Учет!$O1757=Справочники!$F$6,Учет!$H1757,0)</f>
        <v>0</v>
      </c>
      <c r="G1757" s="43">
        <f>G1756+Учет!B1757-B1757</f>
        <v>-488978.92000000004</v>
      </c>
      <c r="H1757" s="43">
        <f>H1756+Учет!C1757-C1757</f>
        <v>336855</v>
      </c>
      <c r="I1757" s="43">
        <f>I1756+Учет!D1757-D1757</f>
        <v>500</v>
      </c>
      <c r="J1757" s="43">
        <f>J1756+Учет!E1757-E1757</f>
        <v>1150</v>
      </c>
      <c r="K1757" s="43">
        <f>K1756+Учет!F1757-F1757</f>
        <v>500000</v>
      </c>
      <c r="L1757" s="45">
        <f>Учет!I1757</f>
        <v>349526.07999999996</v>
      </c>
    </row>
    <row r="1758" spans="1:12" x14ac:dyDescent="0.25">
      <c r="A1758" s="48" t="str">
        <f>IF(Учет!A1758&lt;&gt;"",Учет!A1758,"")</f>
        <v/>
      </c>
      <c r="B1758" s="52">
        <f>IF(Учет!$O1758=Справочники!$F$2,Учет!$H1758,0)</f>
        <v>0</v>
      </c>
      <c r="C1758" s="52">
        <f>IF(Учет!$O1758=Справочники!$F$3,Учет!$H1758,0)</f>
        <v>0</v>
      </c>
      <c r="D1758" s="52">
        <f>IF(Учет!$O1758=Справочники!$F$4,Учет!$H1758,0)</f>
        <v>0</v>
      </c>
      <c r="E1758" s="52">
        <f>IF(Учет!$O1758=Справочники!$F$5,Учет!$H1758,0)</f>
        <v>0</v>
      </c>
      <c r="F1758" s="52">
        <f>IF(Учет!$O1758=Справочники!$F$6,Учет!$H1758,0)</f>
        <v>0</v>
      </c>
      <c r="G1758" s="43">
        <f>G1757+Учет!B1758-B1758</f>
        <v>-488978.92000000004</v>
      </c>
      <c r="H1758" s="43">
        <f>H1757+Учет!C1758-C1758</f>
        <v>336855</v>
      </c>
      <c r="I1758" s="43">
        <f>I1757+Учет!D1758-D1758</f>
        <v>500</v>
      </c>
      <c r="J1758" s="43">
        <f>J1757+Учет!E1758-E1758</f>
        <v>1150</v>
      </c>
      <c r="K1758" s="43">
        <f>K1757+Учет!F1758-F1758</f>
        <v>500000</v>
      </c>
      <c r="L1758" s="45">
        <f>Учет!I1758</f>
        <v>349526.07999999996</v>
      </c>
    </row>
    <row r="1759" spans="1:12" x14ac:dyDescent="0.25">
      <c r="A1759" s="48" t="str">
        <f>IF(Учет!A1759&lt;&gt;"",Учет!A1759,"")</f>
        <v/>
      </c>
      <c r="B1759" s="52">
        <f>IF(Учет!$O1759=Справочники!$F$2,Учет!$H1759,0)</f>
        <v>0</v>
      </c>
      <c r="C1759" s="52">
        <f>IF(Учет!$O1759=Справочники!$F$3,Учет!$H1759,0)</f>
        <v>0</v>
      </c>
      <c r="D1759" s="52">
        <f>IF(Учет!$O1759=Справочники!$F$4,Учет!$H1759,0)</f>
        <v>0</v>
      </c>
      <c r="E1759" s="52">
        <f>IF(Учет!$O1759=Справочники!$F$5,Учет!$H1759,0)</f>
        <v>0</v>
      </c>
      <c r="F1759" s="52">
        <f>IF(Учет!$O1759=Справочники!$F$6,Учет!$H1759,0)</f>
        <v>0</v>
      </c>
      <c r="G1759" s="43">
        <f>G1758+Учет!B1759-B1759</f>
        <v>-488978.92000000004</v>
      </c>
      <c r="H1759" s="43">
        <f>H1758+Учет!C1759-C1759</f>
        <v>336855</v>
      </c>
      <c r="I1759" s="43">
        <f>I1758+Учет!D1759-D1759</f>
        <v>500</v>
      </c>
      <c r="J1759" s="43">
        <f>J1758+Учет!E1759-E1759</f>
        <v>1150</v>
      </c>
      <c r="K1759" s="43">
        <f>K1758+Учет!F1759-F1759</f>
        <v>500000</v>
      </c>
      <c r="L1759" s="45">
        <f>Учет!I1759</f>
        <v>349526.07999999996</v>
      </c>
    </row>
    <row r="1760" spans="1:12" x14ac:dyDescent="0.25">
      <c r="A1760" s="48" t="str">
        <f>IF(Учет!A1760&lt;&gt;"",Учет!A1760,"")</f>
        <v/>
      </c>
      <c r="B1760" s="52">
        <f>IF(Учет!$O1760=Справочники!$F$2,Учет!$H1760,0)</f>
        <v>0</v>
      </c>
      <c r="C1760" s="52">
        <f>IF(Учет!$O1760=Справочники!$F$3,Учет!$H1760,0)</f>
        <v>0</v>
      </c>
      <c r="D1760" s="52">
        <f>IF(Учет!$O1760=Справочники!$F$4,Учет!$H1760,0)</f>
        <v>0</v>
      </c>
      <c r="E1760" s="52">
        <f>IF(Учет!$O1760=Справочники!$F$5,Учет!$H1760,0)</f>
        <v>0</v>
      </c>
      <c r="F1760" s="52">
        <f>IF(Учет!$O1760=Справочники!$F$6,Учет!$H1760,0)</f>
        <v>0</v>
      </c>
      <c r="G1760" s="43">
        <f>G1759+Учет!B1760-B1760</f>
        <v>-488978.92000000004</v>
      </c>
      <c r="H1760" s="43">
        <f>H1759+Учет!C1760-C1760</f>
        <v>336855</v>
      </c>
      <c r="I1760" s="43">
        <f>I1759+Учет!D1760-D1760</f>
        <v>500</v>
      </c>
      <c r="J1760" s="43">
        <f>J1759+Учет!E1760-E1760</f>
        <v>1150</v>
      </c>
      <c r="K1760" s="43">
        <f>K1759+Учет!F1760-F1760</f>
        <v>500000</v>
      </c>
      <c r="L1760" s="45">
        <f>Учет!I1760</f>
        <v>349526.07999999996</v>
      </c>
    </row>
    <row r="1761" spans="1:12" x14ac:dyDescent="0.25">
      <c r="A1761" s="48" t="str">
        <f>IF(Учет!A1761&lt;&gt;"",Учет!A1761,"")</f>
        <v/>
      </c>
      <c r="B1761" s="52">
        <f>IF(Учет!$O1761=Справочники!$F$2,Учет!$H1761,0)</f>
        <v>0</v>
      </c>
      <c r="C1761" s="52">
        <f>IF(Учет!$O1761=Справочники!$F$3,Учет!$H1761,0)</f>
        <v>0</v>
      </c>
      <c r="D1761" s="52">
        <f>IF(Учет!$O1761=Справочники!$F$4,Учет!$H1761,0)</f>
        <v>0</v>
      </c>
      <c r="E1761" s="52">
        <f>IF(Учет!$O1761=Справочники!$F$5,Учет!$H1761,0)</f>
        <v>0</v>
      </c>
      <c r="F1761" s="52">
        <f>IF(Учет!$O1761=Справочники!$F$6,Учет!$H1761,0)</f>
        <v>0</v>
      </c>
      <c r="G1761" s="43">
        <f>G1760+Учет!B1761-B1761</f>
        <v>-488978.92000000004</v>
      </c>
      <c r="H1761" s="43">
        <f>H1760+Учет!C1761-C1761</f>
        <v>336855</v>
      </c>
      <c r="I1761" s="43">
        <f>I1760+Учет!D1761-D1761</f>
        <v>500</v>
      </c>
      <c r="J1761" s="43">
        <f>J1760+Учет!E1761-E1761</f>
        <v>1150</v>
      </c>
      <c r="K1761" s="43">
        <f>K1760+Учет!F1761-F1761</f>
        <v>500000</v>
      </c>
      <c r="L1761" s="45">
        <f>Учет!I1761</f>
        <v>349526.07999999996</v>
      </c>
    </row>
    <row r="1762" spans="1:12" x14ac:dyDescent="0.25">
      <c r="A1762" s="48" t="str">
        <f>IF(Учет!A1762&lt;&gt;"",Учет!A1762,"")</f>
        <v/>
      </c>
      <c r="B1762" s="52">
        <f>IF(Учет!$O1762=Справочники!$F$2,Учет!$H1762,0)</f>
        <v>0</v>
      </c>
      <c r="C1762" s="52">
        <f>IF(Учет!$O1762=Справочники!$F$3,Учет!$H1762,0)</f>
        <v>0</v>
      </c>
      <c r="D1762" s="52">
        <f>IF(Учет!$O1762=Справочники!$F$4,Учет!$H1762,0)</f>
        <v>0</v>
      </c>
      <c r="E1762" s="52">
        <f>IF(Учет!$O1762=Справочники!$F$5,Учет!$H1762,0)</f>
        <v>0</v>
      </c>
      <c r="F1762" s="52">
        <f>IF(Учет!$O1762=Справочники!$F$6,Учет!$H1762,0)</f>
        <v>0</v>
      </c>
      <c r="G1762" s="43">
        <f>G1761+Учет!B1762-B1762</f>
        <v>-488978.92000000004</v>
      </c>
      <c r="H1762" s="43">
        <f>H1761+Учет!C1762-C1762</f>
        <v>336855</v>
      </c>
      <c r="I1762" s="43">
        <f>I1761+Учет!D1762-D1762</f>
        <v>500</v>
      </c>
      <c r="J1762" s="43">
        <f>J1761+Учет!E1762-E1762</f>
        <v>1150</v>
      </c>
      <c r="K1762" s="43">
        <f>K1761+Учет!F1762-F1762</f>
        <v>500000</v>
      </c>
      <c r="L1762" s="45">
        <f>Учет!I1762</f>
        <v>349526.07999999996</v>
      </c>
    </row>
    <row r="1763" spans="1:12" x14ac:dyDescent="0.25">
      <c r="A1763" s="48" t="str">
        <f>IF(Учет!A1763&lt;&gt;"",Учет!A1763,"")</f>
        <v/>
      </c>
      <c r="B1763" s="52">
        <f>IF(Учет!$O1763=Справочники!$F$2,Учет!$H1763,0)</f>
        <v>0</v>
      </c>
      <c r="C1763" s="52">
        <f>IF(Учет!$O1763=Справочники!$F$3,Учет!$H1763,0)</f>
        <v>0</v>
      </c>
      <c r="D1763" s="52">
        <f>IF(Учет!$O1763=Справочники!$F$4,Учет!$H1763,0)</f>
        <v>0</v>
      </c>
      <c r="E1763" s="52">
        <f>IF(Учет!$O1763=Справочники!$F$5,Учет!$H1763,0)</f>
        <v>0</v>
      </c>
      <c r="F1763" s="52">
        <f>IF(Учет!$O1763=Справочники!$F$6,Учет!$H1763,0)</f>
        <v>0</v>
      </c>
      <c r="G1763" s="43">
        <f>G1762+Учет!B1763-B1763</f>
        <v>-488978.92000000004</v>
      </c>
      <c r="H1763" s="43">
        <f>H1762+Учет!C1763-C1763</f>
        <v>336855</v>
      </c>
      <c r="I1763" s="43">
        <f>I1762+Учет!D1763-D1763</f>
        <v>500</v>
      </c>
      <c r="J1763" s="43">
        <f>J1762+Учет!E1763-E1763</f>
        <v>1150</v>
      </c>
      <c r="K1763" s="43">
        <f>K1762+Учет!F1763-F1763</f>
        <v>500000</v>
      </c>
      <c r="L1763" s="45">
        <f>Учет!I1763</f>
        <v>349526.07999999996</v>
      </c>
    </row>
    <row r="1764" spans="1:12" x14ac:dyDescent="0.25">
      <c r="A1764" s="48" t="str">
        <f>IF(Учет!A1764&lt;&gt;"",Учет!A1764,"")</f>
        <v/>
      </c>
      <c r="B1764" s="52">
        <f>IF(Учет!$O1764=Справочники!$F$2,Учет!$H1764,0)</f>
        <v>0</v>
      </c>
      <c r="C1764" s="52">
        <f>IF(Учет!$O1764=Справочники!$F$3,Учет!$H1764,0)</f>
        <v>0</v>
      </c>
      <c r="D1764" s="52">
        <f>IF(Учет!$O1764=Справочники!$F$4,Учет!$H1764,0)</f>
        <v>0</v>
      </c>
      <c r="E1764" s="52">
        <f>IF(Учет!$O1764=Справочники!$F$5,Учет!$H1764,0)</f>
        <v>0</v>
      </c>
      <c r="F1764" s="52">
        <f>IF(Учет!$O1764=Справочники!$F$6,Учет!$H1764,0)</f>
        <v>0</v>
      </c>
      <c r="G1764" s="43">
        <f>G1763+Учет!B1764-B1764</f>
        <v>-488978.92000000004</v>
      </c>
      <c r="H1764" s="43">
        <f>H1763+Учет!C1764-C1764</f>
        <v>336855</v>
      </c>
      <c r="I1764" s="43">
        <f>I1763+Учет!D1764-D1764</f>
        <v>500</v>
      </c>
      <c r="J1764" s="43">
        <f>J1763+Учет!E1764-E1764</f>
        <v>1150</v>
      </c>
      <c r="K1764" s="43">
        <f>K1763+Учет!F1764-F1764</f>
        <v>500000</v>
      </c>
      <c r="L1764" s="45">
        <f>Учет!I1764</f>
        <v>349526.07999999996</v>
      </c>
    </row>
    <row r="1765" spans="1:12" x14ac:dyDescent="0.25">
      <c r="A1765" s="48" t="str">
        <f>IF(Учет!A1765&lt;&gt;"",Учет!A1765,"")</f>
        <v/>
      </c>
      <c r="B1765" s="52">
        <f>IF(Учет!$O1765=Справочники!$F$2,Учет!$H1765,0)</f>
        <v>0</v>
      </c>
      <c r="C1765" s="52">
        <f>IF(Учет!$O1765=Справочники!$F$3,Учет!$H1765,0)</f>
        <v>0</v>
      </c>
      <c r="D1765" s="52">
        <f>IF(Учет!$O1765=Справочники!$F$4,Учет!$H1765,0)</f>
        <v>0</v>
      </c>
      <c r="E1765" s="52">
        <f>IF(Учет!$O1765=Справочники!$F$5,Учет!$H1765,0)</f>
        <v>0</v>
      </c>
      <c r="F1765" s="52">
        <f>IF(Учет!$O1765=Справочники!$F$6,Учет!$H1765,0)</f>
        <v>0</v>
      </c>
      <c r="G1765" s="43">
        <f>G1764+Учет!B1765-B1765</f>
        <v>-488978.92000000004</v>
      </c>
      <c r="H1765" s="43">
        <f>H1764+Учет!C1765-C1765</f>
        <v>336855</v>
      </c>
      <c r="I1765" s="43">
        <f>I1764+Учет!D1765-D1765</f>
        <v>500</v>
      </c>
      <c r="J1765" s="43">
        <f>J1764+Учет!E1765-E1765</f>
        <v>1150</v>
      </c>
      <c r="K1765" s="43">
        <f>K1764+Учет!F1765-F1765</f>
        <v>500000</v>
      </c>
      <c r="L1765" s="45">
        <f>Учет!I1765</f>
        <v>349526.07999999996</v>
      </c>
    </row>
    <row r="1766" spans="1:12" x14ac:dyDescent="0.25">
      <c r="A1766" s="48" t="str">
        <f>IF(Учет!A1766&lt;&gt;"",Учет!A1766,"")</f>
        <v/>
      </c>
      <c r="B1766" s="52">
        <f>IF(Учет!$O1766=Справочники!$F$2,Учет!$H1766,0)</f>
        <v>0</v>
      </c>
      <c r="C1766" s="52">
        <f>IF(Учет!$O1766=Справочники!$F$3,Учет!$H1766,0)</f>
        <v>0</v>
      </c>
      <c r="D1766" s="52">
        <f>IF(Учет!$O1766=Справочники!$F$4,Учет!$H1766,0)</f>
        <v>0</v>
      </c>
      <c r="E1766" s="52">
        <f>IF(Учет!$O1766=Справочники!$F$5,Учет!$H1766,0)</f>
        <v>0</v>
      </c>
      <c r="F1766" s="52">
        <f>IF(Учет!$O1766=Справочники!$F$6,Учет!$H1766,0)</f>
        <v>0</v>
      </c>
      <c r="G1766" s="43">
        <f>G1765+Учет!B1766-B1766</f>
        <v>-488978.92000000004</v>
      </c>
      <c r="H1766" s="43">
        <f>H1765+Учет!C1766-C1766</f>
        <v>336855</v>
      </c>
      <c r="I1766" s="43">
        <f>I1765+Учет!D1766-D1766</f>
        <v>500</v>
      </c>
      <c r="J1766" s="43">
        <f>J1765+Учет!E1766-E1766</f>
        <v>1150</v>
      </c>
      <c r="K1766" s="43">
        <f>K1765+Учет!F1766-F1766</f>
        <v>500000</v>
      </c>
      <c r="L1766" s="45">
        <f>Учет!I1766</f>
        <v>349526.07999999996</v>
      </c>
    </row>
    <row r="1767" spans="1:12" x14ac:dyDescent="0.25">
      <c r="A1767" s="48" t="str">
        <f>IF(Учет!A1767&lt;&gt;"",Учет!A1767,"")</f>
        <v/>
      </c>
      <c r="B1767" s="52">
        <f>IF(Учет!$O1767=Справочники!$F$2,Учет!$H1767,0)</f>
        <v>0</v>
      </c>
      <c r="C1767" s="52">
        <f>IF(Учет!$O1767=Справочники!$F$3,Учет!$H1767,0)</f>
        <v>0</v>
      </c>
      <c r="D1767" s="52">
        <f>IF(Учет!$O1767=Справочники!$F$4,Учет!$H1767,0)</f>
        <v>0</v>
      </c>
      <c r="E1767" s="52">
        <f>IF(Учет!$O1767=Справочники!$F$5,Учет!$H1767,0)</f>
        <v>0</v>
      </c>
      <c r="F1767" s="52">
        <f>IF(Учет!$O1767=Справочники!$F$6,Учет!$H1767,0)</f>
        <v>0</v>
      </c>
      <c r="G1767" s="43">
        <f>G1766+Учет!B1767-B1767</f>
        <v>-488978.92000000004</v>
      </c>
      <c r="H1767" s="43">
        <f>H1766+Учет!C1767-C1767</f>
        <v>336855</v>
      </c>
      <c r="I1767" s="43">
        <f>I1766+Учет!D1767-D1767</f>
        <v>500</v>
      </c>
      <c r="J1767" s="43">
        <f>J1766+Учет!E1767-E1767</f>
        <v>1150</v>
      </c>
      <c r="K1767" s="43">
        <f>K1766+Учет!F1767-F1767</f>
        <v>500000</v>
      </c>
      <c r="L1767" s="45">
        <f>Учет!I1767</f>
        <v>349526.07999999996</v>
      </c>
    </row>
    <row r="1768" spans="1:12" x14ac:dyDescent="0.25">
      <c r="A1768" s="48" t="str">
        <f>IF(Учет!A1768&lt;&gt;"",Учет!A1768,"")</f>
        <v/>
      </c>
      <c r="B1768" s="52">
        <f>IF(Учет!$O1768=Справочники!$F$2,Учет!$H1768,0)</f>
        <v>0</v>
      </c>
      <c r="C1768" s="52">
        <f>IF(Учет!$O1768=Справочники!$F$3,Учет!$H1768,0)</f>
        <v>0</v>
      </c>
      <c r="D1768" s="52">
        <f>IF(Учет!$O1768=Справочники!$F$4,Учет!$H1768,0)</f>
        <v>0</v>
      </c>
      <c r="E1768" s="52">
        <f>IF(Учет!$O1768=Справочники!$F$5,Учет!$H1768,0)</f>
        <v>0</v>
      </c>
      <c r="F1768" s="52">
        <f>IF(Учет!$O1768=Справочники!$F$6,Учет!$H1768,0)</f>
        <v>0</v>
      </c>
      <c r="G1768" s="43">
        <f>G1767+Учет!B1768-B1768</f>
        <v>-488978.92000000004</v>
      </c>
      <c r="H1768" s="43">
        <f>H1767+Учет!C1768-C1768</f>
        <v>336855</v>
      </c>
      <c r="I1768" s="43">
        <f>I1767+Учет!D1768-D1768</f>
        <v>500</v>
      </c>
      <c r="J1768" s="43">
        <f>J1767+Учет!E1768-E1768</f>
        <v>1150</v>
      </c>
      <c r="K1768" s="43">
        <f>K1767+Учет!F1768-F1768</f>
        <v>500000</v>
      </c>
      <c r="L1768" s="45">
        <f>Учет!I1768</f>
        <v>349526.07999999996</v>
      </c>
    </row>
    <row r="1769" spans="1:12" x14ac:dyDescent="0.25">
      <c r="A1769" s="48" t="str">
        <f>IF(Учет!A1769&lt;&gt;"",Учет!A1769,"")</f>
        <v/>
      </c>
      <c r="B1769" s="52">
        <f>IF(Учет!$O1769=Справочники!$F$2,Учет!$H1769,0)</f>
        <v>0</v>
      </c>
      <c r="C1769" s="52">
        <f>IF(Учет!$O1769=Справочники!$F$3,Учет!$H1769,0)</f>
        <v>0</v>
      </c>
      <c r="D1769" s="52">
        <f>IF(Учет!$O1769=Справочники!$F$4,Учет!$H1769,0)</f>
        <v>0</v>
      </c>
      <c r="E1769" s="52">
        <f>IF(Учет!$O1769=Справочники!$F$5,Учет!$H1769,0)</f>
        <v>0</v>
      </c>
      <c r="F1769" s="52">
        <f>IF(Учет!$O1769=Справочники!$F$6,Учет!$H1769,0)</f>
        <v>0</v>
      </c>
      <c r="G1769" s="43">
        <f>G1768+Учет!B1769-B1769</f>
        <v>-488978.92000000004</v>
      </c>
      <c r="H1769" s="43">
        <f>H1768+Учет!C1769-C1769</f>
        <v>336855</v>
      </c>
      <c r="I1769" s="43">
        <f>I1768+Учет!D1769-D1769</f>
        <v>500</v>
      </c>
      <c r="J1769" s="43">
        <f>J1768+Учет!E1769-E1769</f>
        <v>1150</v>
      </c>
      <c r="K1769" s="43">
        <f>K1768+Учет!F1769-F1769</f>
        <v>500000</v>
      </c>
      <c r="L1769" s="45">
        <f>Учет!I1769</f>
        <v>349526.07999999996</v>
      </c>
    </row>
    <row r="1770" spans="1:12" x14ac:dyDescent="0.25">
      <c r="A1770" s="48" t="str">
        <f>IF(Учет!A1770&lt;&gt;"",Учет!A1770,"")</f>
        <v/>
      </c>
      <c r="B1770" s="52">
        <f>IF(Учет!$O1770=Справочники!$F$2,Учет!$H1770,0)</f>
        <v>0</v>
      </c>
      <c r="C1770" s="52">
        <f>IF(Учет!$O1770=Справочники!$F$3,Учет!$H1770,0)</f>
        <v>0</v>
      </c>
      <c r="D1770" s="52">
        <f>IF(Учет!$O1770=Справочники!$F$4,Учет!$H1770,0)</f>
        <v>0</v>
      </c>
      <c r="E1770" s="52">
        <f>IF(Учет!$O1770=Справочники!$F$5,Учет!$H1770,0)</f>
        <v>0</v>
      </c>
      <c r="F1770" s="52">
        <f>IF(Учет!$O1770=Справочники!$F$6,Учет!$H1770,0)</f>
        <v>0</v>
      </c>
      <c r="G1770" s="43">
        <f>G1769+Учет!B1770-B1770</f>
        <v>-488978.92000000004</v>
      </c>
      <c r="H1770" s="43">
        <f>H1769+Учет!C1770-C1770</f>
        <v>336855</v>
      </c>
      <c r="I1770" s="43">
        <f>I1769+Учет!D1770-D1770</f>
        <v>500</v>
      </c>
      <c r="J1770" s="43">
        <f>J1769+Учет!E1770-E1770</f>
        <v>1150</v>
      </c>
      <c r="K1770" s="43">
        <f>K1769+Учет!F1770-F1770</f>
        <v>500000</v>
      </c>
      <c r="L1770" s="45">
        <f>Учет!I1770</f>
        <v>349526.07999999996</v>
      </c>
    </row>
    <row r="1771" spans="1:12" x14ac:dyDescent="0.25">
      <c r="A1771" s="48" t="str">
        <f>IF(Учет!A1771&lt;&gt;"",Учет!A1771,"")</f>
        <v/>
      </c>
      <c r="B1771" s="52">
        <f>IF(Учет!$O1771=Справочники!$F$2,Учет!$H1771,0)</f>
        <v>0</v>
      </c>
      <c r="C1771" s="52">
        <f>IF(Учет!$O1771=Справочники!$F$3,Учет!$H1771,0)</f>
        <v>0</v>
      </c>
      <c r="D1771" s="52">
        <f>IF(Учет!$O1771=Справочники!$F$4,Учет!$H1771,0)</f>
        <v>0</v>
      </c>
      <c r="E1771" s="52">
        <f>IF(Учет!$O1771=Справочники!$F$5,Учет!$H1771,0)</f>
        <v>0</v>
      </c>
      <c r="F1771" s="52">
        <f>IF(Учет!$O1771=Справочники!$F$6,Учет!$H1771,0)</f>
        <v>0</v>
      </c>
      <c r="G1771" s="43">
        <f>G1770+Учет!B1771-B1771</f>
        <v>-488978.92000000004</v>
      </c>
      <c r="H1771" s="43">
        <f>H1770+Учет!C1771-C1771</f>
        <v>336855</v>
      </c>
      <c r="I1771" s="43">
        <f>I1770+Учет!D1771-D1771</f>
        <v>500</v>
      </c>
      <c r="J1771" s="43">
        <f>J1770+Учет!E1771-E1771</f>
        <v>1150</v>
      </c>
      <c r="K1771" s="43">
        <f>K1770+Учет!F1771-F1771</f>
        <v>500000</v>
      </c>
      <c r="L1771" s="45">
        <f>Учет!I1771</f>
        <v>349526.07999999996</v>
      </c>
    </row>
    <row r="1772" spans="1:12" x14ac:dyDescent="0.25">
      <c r="A1772" s="48" t="str">
        <f>IF(Учет!A1772&lt;&gt;"",Учет!A1772,"")</f>
        <v/>
      </c>
      <c r="B1772" s="52">
        <f>IF(Учет!$O1772=Справочники!$F$2,Учет!$H1772,0)</f>
        <v>0</v>
      </c>
      <c r="C1772" s="52">
        <f>IF(Учет!$O1772=Справочники!$F$3,Учет!$H1772,0)</f>
        <v>0</v>
      </c>
      <c r="D1772" s="52">
        <f>IF(Учет!$O1772=Справочники!$F$4,Учет!$H1772,0)</f>
        <v>0</v>
      </c>
      <c r="E1772" s="52">
        <f>IF(Учет!$O1772=Справочники!$F$5,Учет!$H1772,0)</f>
        <v>0</v>
      </c>
      <c r="F1772" s="52">
        <f>IF(Учет!$O1772=Справочники!$F$6,Учет!$H1772,0)</f>
        <v>0</v>
      </c>
      <c r="G1772" s="43">
        <f>G1771+Учет!B1772-B1772</f>
        <v>-488978.92000000004</v>
      </c>
      <c r="H1772" s="43">
        <f>H1771+Учет!C1772-C1772</f>
        <v>336855</v>
      </c>
      <c r="I1772" s="43">
        <f>I1771+Учет!D1772-D1772</f>
        <v>500</v>
      </c>
      <c r="J1772" s="43">
        <f>J1771+Учет!E1772-E1772</f>
        <v>1150</v>
      </c>
      <c r="K1772" s="43">
        <f>K1771+Учет!F1772-F1772</f>
        <v>500000</v>
      </c>
      <c r="L1772" s="45">
        <f>Учет!I1772</f>
        <v>349526.07999999996</v>
      </c>
    </row>
    <row r="1773" spans="1:12" x14ac:dyDescent="0.25">
      <c r="A1773" s="48" t="str">
        <f>IF(Учет!A1773&lt;&gt;"",Учет!A1773,"")</f>
        <v/>
      </c>
      <c r="B1773" s="52">
        <f>IF(Учет!$O1773=Справочники!$F$2,Учет!$H1773,0)</f>
        <v>0</v>
      </c>
      <c r="C1773" s="52">
        <f>IF(Учет!$O1773=Справочники!$F$3,Учет!$H1773,0)</f>
        <v>0</v>
      </c>
      <c r="D1773" s="52">
        <f>IF(Учет!$O1773=Справочники!$F$4,Учет!$H1773,0)</f>
        <v>0</v>
      </c>
      <c r="E1773" s="52">
        <f>IF(Учет!$O1773=Справочники!$F$5,Учет!$H1773,0)</f>
        <v>0</v>
      </c>
      <c r="F1773" s="52">
        <f>IF(Учет!$O1773=Справочники!$F$6,Учет!$H1773,0)</f>
        <v>0</v>
      </c>
      <c r="G1773" s="43">
        <f>G1772+Учет!B1773-B1773</f>
        <v>-488978.92000000004</v>
      </c>
      <c r="H1773" s="43">
        <f>H1772+Учет!C1773-C1773</f>
        <v>336855</v>
      </c>
      <c r="I1773" s="43">
        <f>I1772+Учет!D1773-D1773</f>
        <v>500</v>
      </c>
      <c r="J1773" s="43">
        <f>J1772+Учет!E1773-E1773</f>
        <v>1150</v>
      </c>
      <c r="K1773" s="43">
        <f>K1772+Учет!F1773-F1773</f>
        <v>500000</v>
      </c>
      <c r="L1773" s="45">
        <f>Учет!I1773</f>
        <v>349526.07999999996</v>
      </c>
    </row>
    <row r="1774" spans="1:12" x14ac:dyDescent="0.25">
      <c r="A1774" s="48" t="str">
        <f>IF(Учет!A1774&lt;&gt;"",Учет!A1774,"")</f>
        <v/>
      </c>
      <c r="B1774" s="52">
        <f>IF(Учет!$O1774=Справочники!$F$2,Учет!$H1774,0)</f>
        <v>0</v>
      </c>
      <c r="C1774" s="52">
        <f>IF(Учет!$O1774=Справочники!$F$3,Учет!$H1774,0)</f>
        <v>0</v>
      </c>
      <c r="D1774" s="52">
        <f>IF(Учет!$O1774=Справочники!$F$4,Учет!$H1774,0)</f>
        <v>0</v>
      </c>
      <c r="E1774" s="52">
        <f>IF(Учет!$O1774=Справочники!$F$5,Учет!$H1774,0)</f>
        <v>0</v>
      </c>
      <c r="F1774" s="52">
        <f>IF(Учет!$O1774=Справочники!$F$6,Учет!$H1774,0)</f>
        <v>0</v>
      </c>
      <c r="G1774" s="43">
        <f>G1773+Учет!B1774-B1774</f>
        <v>-488978.92000000004</v>
      </c>
      <c r="H1774" s="43">
        <f>H1773+Учет!C1774-C1774</f>
        <v>336855</v>
      </c>
      <c r="I1774" s="43">
        <f>I1773+Учет!D1774-D1774</f>
        <v>500</v>
      </c>
      <c r="J1774" s="43">
        <f>J1773+Учет!E1774-E1774</f>
        <v>1150</v>
      </c>
      <c r="K1774" s="43">
        <f>K1773+Учет!F1774-F1774</f>
        <v>500000</v>
      </c>
      <c r="L1774" s="45">
        <f>Учет!I1774</f>
        <v>349526.07999999996</v>
      </c>
    </row>
    <row r="1775" spans="1:12" x14ac:dyDescent="0.25">
      <c r="A1775" s="48" t="str">
        <f>IF(Учет!A1775&lt;&gt;"",Учет!A1775,"")</f>
        <v/>
      </c>
      <c r="B1775" s="52">
        <f>IF(Учет!$O1775=Справочники!$F$2,Учет!$H1775,0)</f>
        <v>0</v>
      </c>
      <c r="C1775" s="52">
        <f>IF(Учет!$O1775=Справочники!$F$3,Учет!$H1775,0)</f>
        <v>0</v>
      </c>
      <c r="D1775" s="52">
        <f>IF(Учет!$O1775=Справочники!$F$4,Учет!$H1775,0)</f>
        <v>0</v>
      </c>
      <c r="E1775" s="52">
        <f>IF(Учет!$O1775=Справочники!$F$5,Учет!$H1775,0)</f>
        <v>0</v>
      </c>
      <c r="F1775" s="52">
        <f>IF(Учет!$O1775=Справочники!$F$6,Учет!$H1775,0)</f>
        <v>0</v>
      </c>
      <c r="G1775" s="43">
        <f>G1774+Учет!B1775-B1775</f>
        <v>-488978.92000000004</v>
      </c>
      <c r="H1775" s="43">
        <f>H1774+Учет!C1775-C1775</f>
        <v>336855</v>
      </c>
      <c r="I1775" s="43">
        <f>I1774+Учет!D1775-D1775</f>
        <v>500</v>
      </c>
      <c r="J1775" s="43">
        <f>J1774+Учет!E1775-E1775</f>
        <v>1150</v>
      </c>
      <c r="K1775" s="43">
        <f>K1774+Учет!F1775-F1775</f>
        <v>500000</v>
      </c>
      <c r="L1775" s="45">
        <f>Учет!I1775</f>
        <v>349526.07999999996</v>
      </c>
    </row>
    <row r="1776" spans="1:12" x14ac:dyDescent="0.25">
      <c r="A1776" s="48" t="str">
        <f>IF(Учет!A1776&lt;&gt;"",Учет!A1776,"")</f>
        <v/>
      </c>
      <c r="B1776" s="52">
        <f>IF(Учет!$O1776=Справочники!$F$2,Учет!$H1776,0)</f>
        <v>0</v>
      </c>
      <c r="C1776" s="52">
        <f>IF(Учет!$O1776=Справочники!$F$3,Учет!$H1776,0)</f>
        <v>0</v>
      </c>
      <c r="D1776" s="52">
        <f>IF(Учет!$O1776=Справочники!$F$4,Учет!$H1776,0)</f>
        <v>0</v>
      </c>
      <c r="E1776" s="52">
        <f>IF(Учет!$O1776=Справочники!$F$5,Учет!$H1776,0)</f>
        <v>0</v>
      </c>
      <c r="F1776" s="52">
        <f>IF(Учет!$O1776=Справочники!$F$6,Учет!$H1776,0)</f>
        <v>0</v>
      </c>
      <c r="G1776" s="43">
        <f>G1775+Учет!B1776-B1776</f>
        <v>-488978.92000000004</v>
      </c>
      <c r="H1776" s="43">
        <f>H1775+Учет!C1776-C1776</f>
        <v>336855</v>
      </c>
      <c r="I1776" s="43">
        <f>I1775+Учет!D1776-D1776</f>
        <v>500</v>
      </c>
      <c r="J1776" s="43">
        <f>J1775+Учет!E1776-E1776</f>
        <v>1150</v>
      </c>
      <c r="K1776" s="43">
        <f>K1775+Учет!F1776-F1776</f>
        <v>500000</v>
      </c>
      <c r="L1776" s="45">
        <f>Учет!I1776</f>
        <v>349526.07999999996</v>
      </c>
    </row>
    <row r="1777" spans="1:12" x14ac:dyDescent="0.25">
      <c r="A1777" s="48" t="str">
        <f>IF(Учет!A1777&lt;&gt;"",Учет!A1777,"")</f>
        <v/>
      </c>
      <c r="B1777" s="52">
        <f>IF(Учет!$O1777=Справочники!$F$2,Учет!$H1777,0)</f>
        <v>0</v>
      </c>
      <c r="C1777" s="52">
        <f>IF(Учет!$O1777=Справочники!$F$3,Учет!$H1777,0)</f>
        <v>0</v>
      </c>
      <c r="D1777" s="52">
        <f>IF(Учет!$O1777=Справочники!$F$4,Учет!$H1777,0)</f>
        <v>0</v>
      </c>
      <c r="E1777" s="52">
        <f>IF(Учет!$O1777=Справочники!$F$5,Учет!$H1777,0)</f>
        <v>0</v>
      </c>
      <c r="F1777" s="52">
        <f>IF(Учет!$O1777=Справочники!$F$6,Учет!$H1777,0)</f>
        <v>0</v>
      </c>
      <c r="G1777" s="43">
        <f>G1776+Учет!B1777-B1777</f>
        <v>-488978.92000000004</v>
      </c>
      <c r="H1777" s="43">
        <f>H1776+Учет!C1777-C1777</f>
        <v>336855</v>
      </c>
      <c r="I1777" s="43">
        <f>I1776+Учет!D1777-D1777</f>
        <v>500</v>
      </c>
      <c r="J1777" s="43">
        <f>J1776+Учет!E1777-E1777</f>
        <v>1150</v>
      </c>
      <c r="K1777" s="43">
        <f>K1776+Учет!F1777-F1777</f>
        <v>500000</v>
      </c>
      <c r="L1777" s="45">
        <f>Учет!I1777</f>
        <v>349526.07999999996</v>
      </c>
    </row>
    <row r="1778" spans="1:12" x14ac:dyDescent="0.25">
      <c r="A1778" s="48" t="str">
        <f>IF(Учет!A1778&lt;&gt;"",Учет!A1778,"")</f>
        <v/>
      </c>
      <c r="B1778" s="52">
        <f>IF(Учет!$O1778=Справочники!$F$2,Учет!$H1778,0)</f>
        <v>0</v>
      </c>
      <c r="C1778" s="52">
        <f>IF(Учет!$O1778=Справочники!$F$3,Учет!$H1778,0)</f>
        <v>0</v>
      </c>
      <c r="D1778" s="52">
        <f>IF(Учет!$O1778=Справочники!$F$4,Учет!$H1778,0)</f>
        <v>0</v>
      </c>
      <c r="E1778" s="52">
        <f>IF(Учет!$O1778=Справочники!$F$5,Учет!$H1778,0)</f>
        <v>0</v>
      </c>
      <c r="F1778" s="52">
        <f>IF(Учет!$O1778=Справочники!$F$6,Учет!$H1778,0)</f>
        <v>0</v>
      </c>
      <c r="G1778" s="43">
        <f>G1777+Учет!B1778-B1778</f>
        <v>-488978.92000000004</v>
      </c>
      <c r="H1778" s="43">
        <f>H1777+Учет!C1778-C1778</f>
        <v>336855</v>
      </c>
      <c r="I1778" s="43">
        <f>I1777+Учет!D1778-D1778</f>
        <v>500</v>
      </c>
      <c r="J1778" s="43">
        <f>J1777+Учет!E1778-E1778</f>
        <v>1150</v>
      </c>
      <c r="K1778" s="43">
        <f>K1777+Учет!F1778-F1778</f>
        <v>500000</v>
      </c>
      <c r="L1778" s="45">
        <f>Учет!I1778</f>
        <v>349526.07999999996</v>
      </c>
    </row>
    <row r="1779" spans="1:12" x14ac:dyDescent="0.25">
      <c r="A1779" s="48" t="str">
        <f>IF(Учет!A1779&lt;&gt;"",Учет!A1779,"")</f>
        <v/>
      </c>
      <c r="B1779" s="52">
        <f>IF(Учет!$O1779=Справочники!$F$2,Учет!$H1779,0)</f>
        <v>0</v>
      </c>
      <c r="C1779" s="52">
        <f>IF(Учет!$O1779=Справочники!$F$3,Учет!$H1779,0)</f>
        <v>0</v>
      </c>
      <c r="D1779" s="52">
        <f>IF(Учет!$O1779=Справочники!$F$4,Учет!$H1779,0)</f>
        <v>0</v>
      </c>
      <c r="E1779" s="52">
        <f>IF(Учет!$O1779=Справочники!$F$5,Учет!$H1779,0)</f>
        <v>0</v>
      </c>
      <c r="F1779" s="52">
        <f>IF(Учет!$O1779=Справочники!$F$6,Учет!$H1779,0)</f>
        <v>0</v>
      </c>
      <c r="G1779" s="43">
        <f>G1778+Учет!B1779-B1779</f>
        <v>-488978.92000000004</v>
      </c>
      <c r="H1779" s="43">
        <f>H1778+Учет!C1779-C1779</f>
        <v>336855</v>
      </c>
      <c r="I1779" s="43">
        <f>I1778+Учет!D1779-D1779</f>
        <v>500</v>
      </c>
      <c r="J1779" s="43">
        <f>J1778+Учет!E1779-E1779</f>
        <v>1150</v>
      </c>
      <c r="K1779" s="43">
        <f>K1778+Учет!F1779-F1779</f>
        <v>500000</v>
      </c>
      <c r="L1779" s="45">
        <f>Учет!I1779</f>
        <v>349526.07999999996</v>
      </c>
    </row>
    <row r="1780" spans="1:12" x14ac:dyDescent="0.25">
      <c r="A1780" s="48" t="str">
        <f>IF(Учет!A1780&lt;&gt;"",Учет!A1780,"")</f>
        <v/>
      </c>
      <c r="B1780" s="52">
        <f>IF(Учет!$O1780=Справочники!$F$2,Учет!$H1780,0)</f>
        <v>0</v>
      </c>
      <c r="C1780" s="52">
        <f>IF(Учет!$O1780=Справочники!$F$3,Учет!$H1780,0)</f>
        <v>0</v>
      </c>
      <c r="D1780" s="52">
        <f>IF(Учет!$O1780=Справочники!$F$4,Учет!$H1780,0)</f>
        <v>0</v>
      </c>
      <c r="E1780" s="52">
        <f>IF(Учет!$O1780=Справочники!$F$5,Учет!$H1780,0)</f>
        <v>0</v>
      </c>
      <c r="F1780" s="52">
        <f>IF(Учет!$O1780=Справочники!$F$6,Учет!$H1780,0)</f>
        <v>0</v>
      </c>
      <c r="G1780" s="43">
        <f>G1779+Учет!B1780-B1780</f>
        <v>-488978.92000000004</v>
      </c>
      <c r="H1780" s="43">
        <f>H1779+Учет!C1780-C1780</f>
        <v>336855</v>
      </c>
      <c r="I1780" s="43">
        <f>I1779+Учет!D1780-D1780</f>
        <v>500</v>
      </c>
      <c r="J1780" s="43">
        <f>J1779+Учет!E1780-E1780</f>
        <v>1150</v>
      </c>
      <c r="K1780" s="43">
        <f>K1779+Учет!F1780-F1780</f>
        <v>500000</v>
      </c>
      <c r="L1780" s="45">
        <f>Учет!I1780</f>
        <v>349526.07999999996</v>
      </c>
    </row>
    <row r="1781" spans="1:12" x14ac:dyDescent="0.25">
      <c r="A1781" s="48" t="str">
        <f>IF(Учет!A1781&lt;&gt;"",Учет!A1781,"")</f>
        <v/>
      </c>
      <c r="B1781" s="52">
        <f>IF(Учет!$O1781=Справочники!$F$2,Учет!$H1781,0)</f>
        <v>0</v>
      </c>
      <c r="C1781" s="52">
        <f>IF(Учет!$O1781=Справочники!$F$3,Учет!$H1781,0)</f>
        <v>0</v>
      </c>
      <c r="D1781" s="52">
        <f>IF(Учет!$O1781=Справочники!$F$4,Учет!$H1781,0)</f>
        <v>0</v>
      </c>
      <c r="E1781" s="52">
        <f>IF(Учет!$O1781=Справочники!$F$5,Учет!$H1781,0)</f>
        <v>0</v>
      </c>
      <c r="F1781" s="52">
        <f>IF(Учет!$O1781=Справочники!$F$6,Учет!$H1781,0)</f>
        <v>0</v>
      </c>
      <c r="G1781" s="43">
        <f>G1780+Учет!B1781-B1781</f>
        <v>-488978.92000000004</v>
      </c>
      <c r="H1781" s="43">
        <f>H1780+Учет!C1781-C1781</f>
        <v>336855</v>
      </c>
      <c r="I1781" s="43">
        <f>I1780+Учет!D1781-D1781</f>
        <v>500</v>
      </c>
      <c r="J1781" s="43">
        <f>J1780+Учет!E1781-E1781</f>
        <v>1150</v>
      </c>
      <c r="K1781" s="43">
        <f>K1780+Учет!F1781-F1781</f>
        <v>500000</v>
      </c>
      <c r="L1781" s="45">
        <f>Учет!I1781</f>
        <v>349526.07999999996</v>
      </c>
    </row>
    <row r="1782" spans="1:12" x14ac:dyDescent="0.25">
      <c r="A1782" s="48" t="str">
        <f>IF(Учет!A1782&lt;&gt;"",Учет!A1782,"")</f>
        <v/>
      </c>
      <c r="B1782" s="52">
        <f>IF(Учет!$O1782=Справочники!$F$2,Учет!$H1782,0)</f>
        <v>0</v>
      </c>
      <c r="C1782" s="52">
        <f>IF(Учет!$O1782=Справочники!$F$3,Учет!$H1782,0)</f>
        <v>0</v>
      </c>
      <c r="D1782" s="52">
        <f>IF(Учет!$O1782=Справочники!$F$4,Учет!$H1782,0)</f>
        <v>0</v>
      </c>
      <c r="E1782" s="52">
        <f>IF(Учет!$O1782=Справочники!$F$5,Учет!$H1782,0)</f>
        <v>0</v>
      </c>
      <c r="F1782" s="52">
        <f>IF(Учет!$O1782=Справочники!$F$6,Учет!$H1782,0)</f>
        <v>0</v>
      </c>
      <c r="G1782" s="43">
        <f>G1781+Учет!B1782-B1782</f>
        <v>-488978.92000000004</v>
      </c>
      <c r="H1782" s="43">
        <f>H1781+Учет!C1782-C1782</f>
        <v>336855</v>
      </c>
      <c r="I1782" s="43">
        <f>I1781+Учет!D1782-D1782</f>
        <v>500</v>
      </c>
      <c r="J1782" s="43">
        <f>J1781+Учет!E1782-E1782</f>
        <v>1150</v>
      </c>
      <c r="K1782" s="43">
        <f>K1781+Учет!F1782-F1782</f>
        <v>500000</v>
      </c>
      <c r="L1782" s="45">
        <f>Учет!I1782</f>
        <v>349526.07999999996</v>
      </c>
    </row>
    <row r="1783" spans="1:12" x14ac:dyDescent="0.25">
      <c r="A1783" s="48" t="str">
        <f>IF(Учет!A1783&lt;&gt;"",Учет!A1783,"")</f>
        <v/>
      </c>
      <c r="B1783" s="52">
        <f>IF(Учет!$O1783=Справочники!$F$2,Учет!$H1783,0)</f>
        <v>0</v>
      </c>
      <c r="C1783" s="52">
        <f>IF(Учет!$O1783=Справочники!$F$3,Учет!$H1783,0)</f>
        <v>0</v>
      </c>
      <c r="D1783" s="52">
        <f>IF(Учет!$O1783=Справочники!$F$4,Учет!$H1783,0)</f>
        <v>0</v>
      </c>
      <c r="E1783" s="52">
        <f>IF(Учет!$O1783=Справочники!$F$5,Учет!$H1783,0)</f>
        <v>0</v>
      </c>
      <c r="F1783" s="52">
        <f>IF(Учет!$O1783=Справочники!$F$6,Учет!$H1783,0)</f>
        <v>0</v>
      </c>
      <c r="G1783" s="43">
        <f>G1782+Учет!B1783-B1783</f>
        <v>-488978.92000000004</v>
      </c>
      <c r="H1783" s="43">
        <f>H1782+Учет!C1783-C1783</f>
        <v>336855</v>
      </c>
      <c r="I1783" s="43">
        <f>I1782+Учет!D1783-D1783</f>
        <v>500</v>
      </c>
      <c r="J1783" s="43">
        <f>J1782+Учет!E1783-E1783</f>
        <v>1150</v>
      </c>
      <c r="K1783" s="43">
        <f>K1782+Учет!F1783-F1783</f>
        <v>500000</v>
      </c>
      <c r="L1783" s="45">
        <f>Учет!I1783</f>
        <v>349526.07999999996</v>
      </c>
    </row>
    <row r="1784" spans="1:12" x14ac:dyDescent="0.25">
      <c r="A1784" s="48" t="str">
        <f>IF(Учет!A1784&lt;&gt;"",Учет!A1784,"")</f>
        <v/>
      </c>
      <c r="B1784" s="52">
        <f>IF(Учет!$O1784=Справочники!$F$2,Учет!$H1784,0)</f>
        <v>0</v>
      </c>
      <c r="C1784" s="52">
        <f>IF(Учет!$O1784=Справочники!$F$3,Учет!$H1784,0)</f>
        <v>0</v>
      </c>
      <c r="D1784" s="52">
        <f>IF(Учет!$O1784=Справочники!$F$4,Учет!$H1784,0)</f>
        <v>0</v>
      </c>
      <c r="E1784" s="52">
        <f>IF(Учет!$O1784=Справочники!$F$5,Учет!$H1784,0)</f>
        <v>0</v>
      </c>
      <c r="F1784" s="52">
        <f>IF(Учет!$O1784=Справочники!$F$6,Учет!$H1784,0)</f>
        <v>0</v>
      </c>
      <c r="G1784" s="43">
        <f>G1783+Учет!B1784-B1784</f>
        <v>-488978.92000000004</v>
      </c>
      <c r="H1784" s="43">
        <f>H1783+Учет!C1784-C1784</f>
        <v>336855</v>
      </c>
      <c r="I1784" s="43">
        <f>I1783+Учет!D1784-D1784</f>
        <v>500</v>
      </c>
      <c r="J1784" s="43">
        <f>J1783+Учет!E1784-E1784</f>
        <v>1150</v>
      </c>
      <c r="K1784" s="43">
        <f>K1783+Учет!F1784-F1784</f>
        <v>500000</v>
      </c>
      <c r="L1784" s="45">
        <f>Учет!I1784</f>
        <v>349526.07999999996</v>
      </c>
    </row>
    <row r="1785" spans="1:12" x14ac:dyDescent="0.25">
      <c r="A1785" s="48" t="str">
        <f>IF(Учет!A1785&lt;&gt;"",Учет!A1785,"")</f>
        <v/>
      </c>
      <c r="B1785" s="52">
        <f>IF(Учет!$O1785=Справочники!$F$2,Учет!$H1785,0)</f>
        <v>0</v>
      </c>
      <c r="C1785" s="52">
        <f>IF(Учет!$O1785=Справочники!$F$3,Учет!$H1785,0)</f>
        <v>0</v>
      </c>
      <c r="D1785" s="52">
        <f>IF(Учет!$O1785=Справочники!$F$4,Учет!$H1785,0)</f>
        <v>0</v>
      </c>
      <c r="E1785" s="52">
        <f>IF(Учет!$O1785=Справочники!$F$5,Учет!$H1785,0)</f>
        <v>0</v>
      </c>
      <c r="F1785" s="52">
        <f>IF(Учет!$O1785=Справочники!$F$6,Учет!$H1785,0)</f>
        <v>0</v>
      </c>
      <c r="G1785" s="43">
        <f>G1784+Учет!B1785-B1785</f>
        <v>-488978.92000000004</v>
      </c>
      <c r="H1785" s="43">
        <f>H1784+Учет!C1785-C1785</f>
        <v>336855</v>
      </c>
      <c r="I1785" s="43">
        <f>I1784+Учет!D1785-D1785</f>
        <v>500</v>
      </c>
      <c r="J1785" s="43">
        <f>J1784+Учет!E1785-E1785</f>
        <v>1150</v>
      </c>
      <c r="K1785" s="43">
        <f>K1784+Учет!F1785-F1785</f>
        <v>500000</v>
      </c>
      <c r="L1785" s="45">
        <f>Учет!I1785</f>
        <v>349526.07999999996</v>
      </c>
    </row>
    <row r="1786" spans="1:12" x14ac:dyDescent="0.25">
      <c r="A1786" s="48" t="str">
        <f>IF(Учет!A1786&lt;&gt;"",Учет!A1786,"")</f>
        <v/>
      </c>
      <c r="B1786" s="52">
        <f>IF(Учет!$O1786=Справочники!$F$2,Учет!$H1786,0)</f>
        <v>0</v>
      </c>
      <c r="C1786" s="52">
        <f>IF(Учет!$O1786=Справочники!$F$3,Учет!$H1786,0)</f>
        <v>0</v>
      </c>
      <c r="D1786" s="52">
        <f>IF(Учет!$O1786=Справочники!$F$4,Учет!$H1786,0)</f>
        <v>0</v>
      </c>
      <c r="E1786" s="52">
        <f>IF(Учет!$O1786=Справочники!$F$5,Учет!$H1786,0)</f>
        <v>0</v>
      </c>
      <c r="F1786" s="52">
        <f>IF(Учет!$O1786=Справочники!$F$6,Учет!$H1786,0)</f>
        <v>0</v>
      </c>
      <c r="G1786" s="43">
        <f>G1785+Учет!B1786-B1786</f>
        <v>-488978.92000000004</v>
      </c>
      <c r="H1786" s="43">
        <f>H1785+Учет!C1786-C1786</f>
        <v>336855</v>
      </c>
      <c r="I1786" s="43">
        <f>I1785+Учет!D1786-D1786</f>
        <v>500</v>
      </c>
      <c r="J1786" s="43">
        <f>J1785+Учет!E1786-E1786</f>
        <v>1150</v>
      </c>
      <c r="K1786" s="43">
        <f>K1785+Учет!F1786-F1786</f>
        <v>500000</v>
      </c>
      <c r="L1786" s="45">
        <f>Учет!I1786</f>
        <v>349526.07999999996</v>
      </c>
    </row>
    <row r="1787" spans="1:12" x14ac:dyDescent="0.25">
      <c r="A1787" s="48" t="str">
        <f>IF(Учет!A1787&lt;&gt;"",Учет!A1787,"")</f>
        <v/>
      </c>
      <c r="B1787" s="52">
        <f>IF(Учет!$O1787=Справочники!$F$2,Учет!$H1787,0)</f>
        <v>0</v>
      </c>
      <c r="C1787" s="52">
        <f>IF(Учет!$O1787=Справочники!$F$3,Учет!$H1787,0)</f>
        <v>0</v>
      </c>
      <c r="D1787" s="52">
        <f>IF(Учет!$O1787=Справочники!$F$4,Учет!$H1787,0)</f>
        <v>0</v>
      </c>
      <c r="E1787" s="52">
        <f>IF(Учет!$O1787=Справочники!$F$5,Учет!$H1787,0)</f>
        <v>0</v>
      </c>
      <c r="F1787" s="52">
        <f>IF(Учет!$O1787=Справочники!$F$6,Учет!$H1787,0)</f>
        <v>0</v>
      </c>
      <c r="G1787" s="43">
        <f>G1786+Учет!B1787-B1787</f>
        <v>-488978.92000000004</v>
      </c>
      <c r="H1787" s="43">
        <f>H1786+Учет!C1787-C1787</f>
        <v>336855</v>
      </c>
      <c r="I1787" s="43">
        <f>I1786+Учет!D1787-D1787</f>
        <v>500</v>
      </c>
      <c r="J1787" s="43">
        <f>J1786+Учет!E1787-E1787</f>
        <v>1150</v>
      </c>
      <c r="K1787" s="43">
        <f>K1786+Учет!F1787-F1787</f>
        <v>500000</v>
      </c>
      <c r="L1787" s="45">
        <f>Учет!I1787</f>
        <v>349526.07999999996</v>
      </c>
    </row>
    <row r="1788" spans="1:12" x14ac:dyDescent="0.25">
      <c r="A1788" s="48" t="str">
        <f>IF(Учет!A1788&lt;&gt;"",Учет!A1788,"")</f>
        <v/>
      </c>
      <c r="B1788" s="52">
        <f>IF(Учет!$O1788=Справочники!$F$2,Учет!$H1788,0)</f>
        <v>0</v>
      </c>
      <c r="C1788" s="52">
        <f>IF(Учет!$O1788=Справочники!$F$3,Учет!$H1788,0)</f>
        <v>0</v>
      </c>
      <c r="D1788" s="52">
        <f>IF(Учет!$O1788=Справочники!$F$4,Учет!$H1788,0)</f>
        <v>0</v>
      </c>
      <c r="E1788" s="52">
        <f>IF(Учет!$O1788=Справочники!$F$5,Учет!$H1788,0)</f>
        <v>0</v>
      </c>
      <c r="F1788" s="52">
        <f>IF(Учет!$O1788=Справочники!$F$6,Учет!$H1788,0)</f>
        <v>0</v>
      </c>
      <c r="G1788" s="43">
        <f>G1787+Учет!B1788-B1788</f>
        <v>-488978.92000000004</v>
      </c>
      <c r="H1788" s="43">
        <f>H1787+Учет!C1788-C1788</f>
        <v>336855</v>
      </c>
      <c r="I1788" s="43">
        <f>I1787+Учет!D1788-D1788</f>
        <v>500</v>
      </c>
      <c r="J1788" s="43">
        <f>J1787+Учет!E1788-E1788</f>
        <v>1150</v>
      </c>
      <c r="K1788" s="43">
        <f>K1787+Учет!F1788-F1788</f>
        <v>500000</v>
      </c>
      <c r="L1788" s="45">
        <f>Учет!I1788</f>
        <v>349526.07999999996</v>
      </c>
    </row>
    <row r="1789" spans="1:12" x14ac:dyDescent="0.25">
      <c r="A1789" s="48" t="str">
        <f>IF(Учет!A1789&lt;&gt;"",Учет!A1789,"")</f>
        <v/>
      </c>
      <c r="B1789" s="52">
        <f>IF(Учет!$O1789=Справочники!$F$2,Учет!$H1789,0)</f>
        <v>0</v>
      </c>
      <c r="C1789" s="52">
        <f>IF(Учет!$O1789=Справочники!$F$3,Учет!$H1789,0)</f>
        <v>0</v>
      </c>
      <c r="D1789" s="52">
        <f>IF(Учет!$O1789=Справочники!$F$4,Учет!$H1789,0)</f>
        <v>0</v>
      </c>
      <c r="E1789" s="52">
        <f>IF(Учет!$O1789=Справочники!$F$5,Учет!$H1789,0)</f>
        <v>0</v>
      </c>
      <c r="F1789" s="52">
        <f>IF(Учет!$O1789=Справочники!$F$6,Учет!$H1789,0)</f>
        <v>0</v>
      </c>
      <c r="G1789" s="43">
        <f>G1788+Учет!B1789-B1789</f>
        <v>-488978.92000000004</v>
      </c>
      <c r="H1789" s="43">
        <f>H1788+Учет!C1789-C1789</f>
        <v>336855</v>
      </c>
      <c r="I1789" s="43">
        <f>I1788+Учет!D1789-D1789</f>
        <v>500</v>
      </c>
      <c r="J1789" s="43">
        <f>J1788+Учет!E1789-E1789</f>
        <v>1150</v>
      </c>
      <c r="K1789" s="43">
        <f>K1788+Учет!F1789-F1789</f>
        <v>500000</v>
      </c>
      <c r="L1789" s="45">
        <f>Учет!I1789</f>
        <v>349526.07999999996</v>
      </c>
    </row>
    <row r="1790" spans="1:12" x14ac:dyDescent="0.25">
      <c r="A1790" s="48" t="str">
        <f>IF(Учет!A1790&lt;&gt;"",Учет!A1790,"")</f>
        <v/>
      </c>
      <c r="B1790" s="52">
        <f>IF(Учет!$O1790=Справочники!$F$2,Учет!$H1790,0)</f>
        <v>0</v>
      </c>
      <c r="C1790" s="52">
        <f>IF(Учет!$O1790=Справочники!$F$3,Учет!$H1790,0)</f>
        <v>0</v>
      </c>
      <c r="D1790" s="52">
        <f>IF(Учет!$O1790=Справочники!$F$4,Учет!$H1790,0)</f>
        <v>0</v>
      </c>
      <c r="E1790" s="52">
        <f>IF(Учет!$O1790=Справочники!$F$5,Учет!$H1790,0)</f>
        <v>0</v>
      </c>
      <c r="F1790" s="52">
        <f>IF(Учет!$O1790=Справочники!$F$6,Учет!$H1790,0)</f>
        <v>0</v>
      </c>
      <c r="G1790" s="43">
        <f>G1789+Учет!B1790-B1790</f>
        <v>-488978.92000000004</v>
      </c>
      <c r="H1790" s="43">
        <f>H1789+Учет!C1790-C1790</f>
        <v>336855</v>
      </c>
      <c r="I1790" s="43">
        <f>I1789+Учет!D1790-D1790</f>
        <v>500</v>
      </c>
      <c r="J1790" s="43">
        <f>J1789+Учет!E1790-E1790</f>
        <v>1150</v>
      </c>
      <c r="K1790" s="43">
        <f>K1789+Учет!F1790-F1790</f>
        <v>500000</v>
      </c>
      <c r="L1790" s="45">
        <f>Учет!I1790</f>
        <v>349526.07999999996</v>
      </c>
    </row>
    <row r="1791" spans="1:12" x14ac:dyDescent="0.25">
      <c r="A1791" s="48" t="str">
        <f>IF(Учет!A1791&lt;&gt;"",Учет!A1791,"")</f>
        <v/>
      </c>
      <c r="B1791" s="52">
        <f>IF(Учет!$O1791=Справочники!$F$2,Учет!$H1791,0)</f>
        <v>0</v>
      </c>
      <c r="C1791" s="52">
        <f>IF(Учет!$O1791=Справочники!$F$3,Учет!$H1791,0)</f>
        <v>0</v>
      </c>
      <c r="D1791" s="52">
        <f>IF(Учет!$O1791=Справочники!$F$4,Учет!$H1791,0)</f>
        <v>0</v>
      </c>
      <c r="E1791" s="52">
        <f>IF(Учет!$O1791=Справочники!$F$5,Учет!$H1791,0)</f>
        <v>0</v>
      </c>
      <c r="F1791" s="52">
        <f>IF(Учет!$O1791=Справочники!$F$6,Учет!$H1791,0)</f>
        <v>0</v>
      </c>
      <c r="G1791" s="43">
        <f>G1790+Учет!B1791-B1791</f>
        <v>-488978.92000000004</v>
      </c>
      <c r="H1791" s="43">
        <f>H1790+Учет!C1791-C1791</f>
        <v>336855</v>
      </c>
      <c r="I1791" s="43">
        <f>I1790+Учет!D1791-D1791</f>
        <v>500</v>
      </c>
      <c r="J1791" s="43">
        <f>J1790+Учет!E1791-E1791</f>
        <v>1150</v>
      </c>
      <c r="K1791" s="43">
        <f>K1790+Учет!F1791-F1791</f>
        <v>500000</v>
      </c>
      <c r="L1791" s="45">
        <f>Учет!I1791</f>
        <v>349526.07999999996</v>
      </c>
    </row>
    <row r="1792" spans="1:12" x14ac:dyDescent="0.25">
      <c r="A1792" s="48" t="str">
        <f>IF(Учет!A1792&lt;&gt;"",Учет!A1792,"")</f>
        <v/>
      </c>
      <c r="B1792" s="52">
        <f>IF(Учет!$O1792=Справочники!$F$2,Учет!$H1792,0)</f>
        <v>0</v>
      </c>
      <c r="C1792" s="52">
        <f>IF(Учет!$O1792=Справочники!$F$3,Учет!$H1792,0)</f>
        <v>0</v>
      </c>
      <c r="D1792" s="52">
        <f>IF(Учет!$O1792=Справочники!$F$4,Учет!$H1792,0)</f>
        <v>0</v>
      </c>
      <c r="E1792" s="52">
        <f>IF(Учет!$O1792=Справочники!$F$5,Учет!$H1792,0)</f>
        <v>0</v>
      </c>
      <c r="F1792" s="52">
        <f>IF(Учет!$O1792=Справочники!$F$6,Учет!$H1792,0)</f>
        <v>0</v>
      </c>
      <c r="G1792" s="43">
        <f>G1791+Учет!B1792-B1792</f>
        <v>-488978.92000000004</v>
      </c>
      <c r="H1792" s="43">
        <f>H1791+Учет!C1792-C1792</f>
        <v>336855</v>
      </c>
      <c r="I1792" s="43">
        <f>I1791+Учет!D1792-D1792</f>
        <v>500</v>
      </c>
      <c r="J1792" s="43">
        <f>J1791+Учет!E1792-E1792</f>
        <v>1150</v>
      </c>
      <c r="K1792" s="43">
        <f>K1791+Учет!F1792-F1792</f>
        <v>500000</v>
      </c>
      <c r="L1792" s="45">
        <f>Учет!I1792</f>
        <v>349526.07999999996</v>
      </c>
    </row>
    <row r="1793" spans="1:12" x14ac:dyDescent="0.25">
      <c r="A1793" s="48" t="str">
        <f>IF(Учет!A1793&lt;&gt;"",Учет!A1793,"")</f>
        <v/>
      </c>
      <c r="B1793" s="52">
        <f>IF(Учет!$O1793=Справочники!$F$2,Учет!$H1793,0)</f>
        <v>0</v>
      </c>
      <c r="C1793" s="52">
        <f>IF(Учет!$O1793=Справочники!$F$3,Учет!$H1793,0)</f>
        <v>0</v>
      </c>
      <c r="D1793" s="52">
        <f>IF(Учет!$O1793=Справочники!$F$4,Учет!$H1793,0)</f>
        <v>0</v>
      </c>
      <c r="E1793" s="52">
        <f>IF(Учет!$O1793=Справочники!$F$5,Учет!$H1793,0)</f>
        <v>0</v>
      </c>
      <c r="F1793" s="52">
        <f>IF(Учет!$O1793=Справочники!$F$6,Учет!$H1793,0)</f>
        <v>0</v>
      </c>
      <c r="G1793" s="43">
        <f>G1792+Учет!B1793-B1793</f>
        <v>-488978.92000000004</v>
      </c>
      <c r="H1793" s="43">
        <f>H1792+Учет!C1793-C1793</f>
        <v>336855</v>
      </c>
      <c r="I1793" s="43">
        <f>I1792+Учет!D1793-D1793</f>
        <v>500</v>
      </c>
      <c r="J1793" s="43">
        <f>J1792+Учет!E1793-E1793</f>
        <v>1150</v>
      </c>
      <c r="K1793" s="43">
        <f>K1792+Учет!F1793-F1793</f>
        <v>500000</v>
      </c>
      <c r="L1793" s="45">
        <f>Учет!I1793</f>
        <v>349526.07999999996</v>
      </c>
    </row>
    <row r="1794" spans="1:12" x14ac:dyDescent="0.25">
      <c r="A1794" s="48" t="str">
        <f>IF(Учет!A1794&lt;&gt;"",Учет!A1794,"")</f>
        <v/>
      </c>
      <c r="B1794" s="52">
        <f>IF(Учет!$O1794=Справочники!$F$2,Учет!$H1794,0)</f>
        <v>0</v>
      </c>
      <c r="C1794" s="52">
        <f>IF(Учет!$O1794=Справочники!$F$3,Учет!$H1794,0)</f>
        <v>0</v>
      </c>
      <c r="D1794" s="52">
        <f>IF(Учет!$O1794=Справочники!$F$4,Учет!$H1794,0)</f>
        <v>0</v>
      </c>
      <c r="E1794" s="52">
        <f>IF(Учет!$O1794=Справочники!$F$5,Учет!$H1794,0)</f>
        <v>0</v>
      </c>
      <c r="F1794" s="52">
        <f>IF(Учет!$O1794=Справочники!$F$6,Учет!$H1794,0)</f>
        <v>0</v>
      </c>
      <c r="G1794" s="43">
        <f>G1793+Учет!B1794-B1794</f>
        <v>-488978.92000000004</v>
      </c>
      <c r="H1794" s="43">
        <f>H1793+Учет!C1794-C1794</f>
        <v>336855</v>
      </c>
      <c r="I1794" s="43">
        <f>I1793+Учет!D1794-D1794</f>
        <v>500</v>
      </c>
      <c r="J1794" s="43">
        <f>J1793+Учет!E1794-E1794</f>
        <v>1150</v>
      </c>
      <c r="K1794" s="43">
        <f>K1793+Учет!F1794-F1794</f>
        <v>500000</v>
      </c>
      <c r="L1794" s="45">
        <f>Учет!I1794</f>
        <v>349526.07999999996</v>
      </c>
    </row>
    <row r="1795" spans="1:12" x14ac:dyDescent="0.25">
      <c r="A1795" s="48" t="str">
        <f>IF(Учет!A1795&lt;&gt;"",Учет!A1795,"")</f>
        <v/>
      </c>
      <c r="B1795" s="52">
        <f>IF(Учет!$O1795=Справочники!$F$2,Учет!$H1795,0)</f>
        <v>0</v>
      </c>
      <c r="C1795" s="52">
        <f>IF(Учет!$O1795=Справочники!$F$3,Учет!$H1795,0)</f>
        <v>0</v>
      </c>
      <c r="D1795" s="52">
        <f>IF(Учет!$O1795=Справочники!$F$4,Учет!$H1795,0)</f>
        <v>0</v>
      </c>
      <c r="E1795" s="52">
        <f>IF(Учет!$O1795=Справочники!$F$5,Учет!$H1795,0)</f>
        <v>0</v>
      </c>
      <c r="F1795" s="52">
        <f>IF(Учет!$O1795=Справочники!$F$6,Учет!$H1795,0)</f>
        <v>0</v>
      </c>
      <c r="G1795" s="43">
        <f>G1794+Учет!B1795-B1795</f>
        <v>-488978.92000000004</v>
      </c>
      <c r="H1795" s="43">
        <f>H1794+Учет!C1795-C1795</f>
        <v>336855</v>
      </c>
      <c r="I1795" s="43">
        <f>I1794+Учет!D1795-D1795</f>
        <v>500</v>
      </c>
      <c r="J1795" s="43">
        <f>J1794+Учет!E1795-E1795</f>
        <v>1150</v>
      </c>
      <c r="K1795" s="43">
        <f>K1794+Учет!F1795-F1795</f>
        <v>500000</v>
      </c>
      <c r="L1795" s="45">
        <f>Учет!I1795</f>
        <v>349526.07999999996</v>
      </c>
    </row>
    <row r="1796" spans="1:12" x14ac:dyDescent="0.25">
      <c r="A1796" s="48" t="str">
        <f>IF(Учет!A1796&lt;&gt;"",Учет!A1796,"")</f>
        <v/>
      </c>
      <c r="B1796" s="52">
        <f>IF(Учет!$O1796=Справочники!$F$2,Учет!$H1796,0)</f>
        <v>0</v>
      </c>
      <c r="C1796" s="52">
        <f>IF(Учет!$O1796=Справочники!$F$3,Учет!$H1796,0)</f>
        <v>0</v>
      </c>
      <c r="D1796" s="52">
        <f>IF(Учет!$O1796=Справочники!$F$4,Учет!$H1796,0)</f>
        <v>0</v>
      </c>
      <c r="E1796" s="52">
        <f>IF(Учет!$O1796=Справочники!$F$5,Учет!$H1796,0)</f>
        <v>0</v>
      </c>
      <c r="F1796" s="52">
        <f>IF(Учет!$O1796=Справочники!$F$6,Учет!$H1796,0)</f>
        <v>0</v>
      </c>
      <c r="G1796" s="43">
        <f>G1795+Учет!B1796-B1796</f>
        <v>-488978.92000000004</v>
      </c>
      <c r="H1796" s="43">
        <f>H1795+Учет!C1796-C1796</f>
        <v>336855</v>
      </c>
      <c r="I1796" s="43">
        <f>I1795+Учет!D1796-D1796</f>
        <v>500</v>
      </c>
      <c r="J1796" s="43">
        <f>J1795+Учет!E1796-E1796</f>
        <v>1150</v>
      </c>
      <c r="K1796" s="43">
        <f>K1795+Учет!F1796-F1796</f>
        <v>500000</v>
      </c>
      <c r="L1796" s="45">
        <f>Учет!I1796</f>
        <v>349526.07999999996</v>
      </c>
    </row>
    <row r="1797" spans="1:12" x14ac:dyDescent="0.25">
      <c r="A1797" s="48" t="str">
        <f>IF(Учет!A1797&lt;&gt;"",Учет!A1797,"")</f>
        <v/>
      </c>
      <c r="B1797" s="52">
        <f>IF(Учет!$O1797=Справочники!$F$2,Учет!$H1797,0)</f>
        <v>0</v>
      </c>
      <c r="C1797" s="52">
        <f>IF(Учет!$O1797=Справочники!$F$3,Учет!$H1797,0)</f>
        <v>0</v>
      </c>
      <c r="D1797" s="52">
        <f>IF(Учет!$O1797=Справочники!$F$4,Учет!$H1797,0)</f>
        <v>0</v>
      </c>
      <c r="E1797" s="52">
        <f>IF(Учет!$O1797=Справочники!$F$5,Учет!$H1797,0)</f>
        <v>0</v>
      </c>
      <c r="F1797" s="52">
        <f>IF(Учет!$O1797=Справочники!$F$6,Учет!$H1797,0)</f>
        <v>0</v>
      </c>
      <c r="G1797" s="43">
        <f>G1796+Учет!B1797-B1797</f>
        <v>-488978.92000000004</v>
      </c>
      <c r="H1797" s="43">
        <f>H1796+Учет!C1797-C1797</f>
        <v>336855</v>
      </c>
      <c r="I1797" s="43">
        <f>I1796+Учет!D1797-D1797</f>
        <v>500</v>
      </c>
      <c r="J1797" s="43">
        <f>J1796+Учет!E1797-E1797</f>
        <v>1150</v>
      </c>
      <c r="K1797" s="43">
        <f>K1796+Учет!F1797-F1797</f>
        <v>500000</v>
      </c>
      <c r="L1797" s="45">
        <f>Учет!I1797</f>
        <v>349526.07999999996</v>
      </c>
    </row>
    <row r="1798" spans="1:12" x14ac:dyDescent="0.25">
      <c r="A1798" s="48" t="str">
        <f>IF(Учет!A1798&lt;&gt;"",Учет!A1798,"")</f>
        <v/>
      </c>
      <c r="B1798" s="52">
        <f>IF(Учет!$O1798=Справочники!$F$2,Учет!$H1798,0)</f>
        <v>0</v>
      </c>
      <c r="C1798" s="52">
        <f>IF(Учет!$O1798=Справочники!$F$3,Учет!$H1798,0)</f>
        <v>0</v>
      </c>
      <c r="D1798" s="52">
        <f>IF(Учет!$O1798=Справочники!$F$4,Учет!$H1798,0)</f>
        <v>0</v>
      </c>
      <c r="E1798" s="52">
        <f>IF(Учет!$O1798=Справочники!$F$5,Учет!$H1798,0)</f>
        <v>0</v>
      </c>
      <c r="F1798" s="52">
        <f>IF(Учет!$O1798=Справочники!$F$6,Учет!$H1798,0)</f>
        <v>0</v>
      </c>
      <c r="G1798" s="43">
        <f>G1797+Учет!B1798-B1798</f>
        <v>-488978.92000000004</v>
      </c>
      <c r="H1798" s="43">
        <f>H1797+Учет!C1798-C1798</f>
        <v>336855</v>
      </c>
      <c r="I1798" s="43">
        <f>I1797+Учет!D1798-D1798</f>
        <v>500</v>
      </c>
      <c r="J1798" s="43">
        <f>J1797+Учет!E1798-E1798</f>
        <v>1150</v>
      </c>
      <c r="K1798" s="43">
        <f>K1797+Учет!F1798-F1798</f>
        <v>500000</v>
      </c>
      <c r="L1798" s="45">
        <f>Учет!I1798</f>
        <v>349526.07999999996</v>
      </c>
    </row>
    <row r="1799" spans="1:12" x14ac:dyDescent="0.25">
      <c r="A1799" s="48" t="str">
        <f>IF(Учет!A1799&lt;&gt;"",Учет!A1799,"")</f>
        <v/>
      </c>
      <c r="B1799" s="52">
        <f>IF(Учет!$O1799=Справочники!$F$2,Учет!$H1799,0)</f>
        <v>0</v>
      </c>
      <c r="C1799" s="52">
        <f>IF(Учет!$O1799=Справочники!$F$3,Учет!$H1799,0)</f>
        <v>0</v>
      </c>
      <c r="D1799" s="52">
        <f>IF(Учет!$O1799=Справочники!$F$4,Учет!$H1799,0)</f>
        <v>0</v>
      </c>
      <c r="E1799" s="52">
        <f>IF(Учет!$O1799=Справочники!$F$5,Учет!$H1799,0)</f>
        <v>0</v>
      </c>
      <c r="F1799" s="52">
        <f>IF(Учет!$O1799=Справочники!$F$6,Учет!$H1799,0)</f>
        <v>0</v>
      </c>
      <c r="G1799" s="43">
        <f>G1798+Учет!B1799-B1799</f>
        <v>-488978.92000000004</v>
      </c>
      <c r="H1799" s="43">
        <f>H1798+Учет!C1799-C1799</f>
        <v>336855</v>
      </c>
      <c r="I1799" s="43">
        <f>I1798+Учет!D1799-D1799</f>
        <v>500</v>
      </c>
      <c r="J1799" s="43">
        <f>J1798+Учет!E1799-E1799</f>
        <v>1150</v>
      </c>
      <c r="K1799" s="43">
        <f>K1798+Учет!F1799-F1799</f>
        <v>500000</v>
      </c>
      <c r="L1799" s="45">
        <f>Учет!I1799</f>
        <v>349526.07999999996</v>
      </c>
    </row>
    <row r="1800" spans="1:12" x14ac:dyDescent="0.25">
      <c r="A1800" s="48" t="str">
        <f>IF(Учет!A1800&lt;&gt;"",Учет!A1800,"")</f>
        <v/>
      </c>
      <c r="B1800" s="52">
        <f>IF(Учет!$O1800=Справочники!$F$2,Учет!$H1800,0)</f>
        <v>0</v>
      </c>
      <c r="C1800" s="52">
        <f>IF(Учет!$O1800=Справочники!$F$3,Учет!$H1800,0)</f>
        <v>0</v>
      </c>
      <c r="D1800" s="52">
        <f>IF(Учет!$O1800=Справочники!$F$4,Учет!$H1800,0)</f>
        <v>0</v>
      </c>
      <c r="E1800" s="52">
        <f>IF(Учет!$O1800=Справочники!$F$5,Учет!$H1800,0)</f>
        <v>0</v>
      </c>
      <c r="F1800" s="52">
        <f>IF(Учет!$O1800=Справочники!$F$6,Учет!$H1800,0)</f>
        <v>0</v>
      </c>
      <c r="G1800" s="43">
        <f>G1799+Учет!B1800-B1800</f>
        <v>-488978.92000000004</v>
      </c>
      <c r="H1800" s="43">
        <f>H1799+Учет!C1800-C1800</f>
        <v>336855</v>
      </c>
      <c r="I1800" s="43">
        <f>I1799+Учет!D1800-D1800</f>
        <v>500</v>
      </c>
      <c r="J1800" s="43">
        <f>J1799+Учет!E1800-E1800</f>
        <v>1150</v>
      </c>
      <c r="K1800" s="43">
        <f>K1799+Учет!F1800-F1800</f>
        <v>500000</v>
      </c>
      <c r="L1800" s="45">
        <f>Учет!I1800</f>
        <v>349526.07999999996</v>
      </c>
    </row>
    <row r="1801" spans="1:12" x14ac:dyDescent="0.25">
      <c r="A1801" s="48" t="str">
        <f>IF(Учет!A1801&lt;&gt;"",Учет!A1801,"")</f>
        <v/>
      </c>
      <c r="B1801" s="52">
        <f>IF(Учет!$O1801=Справочники!$F$2,Учет!$H1801,0)</f>
        <v>0</v>
      </c>
      <c r="C1801" s="52">
        <f>IF(Учет!$O1801=Справочники!$F$3,Учет!$H1801,0)</f>
        <v>0</v>
      </c>
      <c r="D1801" s="52">
        <f>IF(Учет!$O1801=Справочники!$F$4,Учет!$H1801,0)</f>
        <v>0</v>
      </c>
      <c r="E1801" s="52">
        <f>IF(Учет!$O1801=Справочники!$F$5,Учет!$H1801,0)</f>
        <v>0</v>
      </c>
      <c r="F1801" s="52">
        <f>IF(Учет!$O1801=Справочники!$F$6,Учет!$H1801,0)</f>
        <v>0</v>
      </c>
      <c r="G1801" s="43">
        <f>G1800+Учет!B1801-B1801</f>
        <v>-488978.92000000004</v>
      </c>
      <c r="H1801" s="43">
        <f>H1800+Учет!C1801-C1801</f>
        <v>336855</v>
      </c>
      <c r="I1801" s="43">
        <f>I1800+Учет!D1801-D1801</f>
        <v>500</v>
      </c>
      <c r="J1801" s="43">
        <f>J1800+Учет!E1801-E1801</f>
        <v>1150</v>
      </c>
      <c r="K1801" s="43">
        <f>K1800+Учет!F1801-F1801</f>
        <v>500000</v>
      </c>
      <c r="L1801" s="45">
        <f>Учет!I1801</f>
        <v>349526.07999999996</v>
      </c>
    </row>
    <row r="1802" spans="1:12" x14ac:dyDescent="0.25">
      <c r="A1802" s="48" t="str">
        <f>IF(Учет!A1802&lt;&gt;"",Учет!A1802,"")</f>
        <v/>
      </c>
      <c r="B1802" s="52">
        <f>IF(Учет!$O1802=Справочники!$F$2,Учет!$H1802,0)</f>
        <v>0</v>
      </c>
      <c r="C1802" s="52">
        <f>IF(Учет!$O1802=Справочники!$F$3,Учет!$H1802,0)</f>
        <v>0</v>
      </c>
      <c r="D1802" s="52">
        <f>IF(Учет!$O1802=Справочники!$F$4,Учет!$H1802,0)</f>
        <v>0</v>
      </c>
      <c r="E1802" s="52">
        <f>IF(Учет!$O1802=Справочники!$F$5,Учет!$H1802,0)</f>
        <v>0</v>
      </c>
      <c r="F1802" s="52">
        <f>IF(Учет!$O1802=Справочники!$F$6,Учет!$H1802,0)</f>
        <v>0</v>
      </c>
      <c r="G1802" s="43">
        <f>G1801+Учет!B1802-B1802</f>
        <v>-488978.92000000004</v>
      </c>
      <c r="H1802" s="43">
        <f>H1801+Учет!C1802-C1802</f>
        <v>336855</v>
      </c>
      <c r="I1802" s="43">
        <f>I1801+Учет!D1802-D1802</f>
        <v>500</v>
      </c>
      <c r="J1802" s="43">
        <f>J1801+Учет!E1802-E1802</f>
        <v>1150</v>
      </c>
      <c r="K1802" s="43">
        <f>K1801+Учет!F1802-F1802</f>
        <v>500000</v>
      </c>
      <c r="L1802" s="45">
        <f>Учет!I1802</f>
        <v>349526.07999999996</v>
      </c>
    </row>
    <row r="1803" spans="1:12" x14ac:dyDescent="0.25">
      <c r="A1803" s="48" t="str">
        <f>IF(Учет!A1803&lt;&gt;"",Учет!A1803,"")</f>
        <v/>
      </c>
      <c r="B1803" s="52">
        <f>IF(Учет!$O1803=Справочники!$F$2,Учет!$H1803,0)</f>
        <v>0</v>
      </c>
      <c r="C1803" s="52">
        <f>IF(Учет!$O1803=Справочники!$F$3,Учет!$H1803,0)</f>
        <v>0</v>
      </c>
      <c r="D1803" s="52">
        <f>IF(Учет!$O1803=Справочники!$F$4,Учет!$H1803,0)</f>
        <v>0</v>
      </c>
      <c r="E1803" s="52">
        <f>IF(Учет!$O1803=Справочники!$F$5,Учет!$H1803,0)</f>
        <v>0</v>
      </c>
      <c r="F1803" s="52">
        <f>IF(Учет!$O1803=Справочники!$F$6,Учет!$H1803,0)</f>
        <v>0</v>
      </c>
      <c r="G1803" s="43">
        <f>G1802+Учет!B1803-B1803</f>
        <v>-488978.92000000004</v>
      </c>
      <c r="H1803" s="43">
        <f>H1802+Учет!C1803-C1803</f>
        <v>336855</v>
      </c>
      <c r="I1803" s="43">
        <f>I1802+Учет!D1803-D1803</f>
        <v>500</v>
      </c>
      <c r="J1803" s="43">
        <f>J1802+Учет!E1803-E1803</f>
        <v>1150</v>
      </c>
      <c r="K1803" s="43">
        <f>K1802+Учет!F1803-F1803</f>
        <v>500000</v>
      </c>
      <c r="L1803" s="45">
        <f>Учет!I1803</f>
        <v>349526.07999999996</v>
      </c>
    </row>
    <row r="1804" spans="1:12" x14ac:dyDescent="0.25">
      <c r="A1804" s="48" t="str">
        <f>IF(Учет!A1804&lt;&gt;"",Учет!A1804,"")</f>
        <v/>
      </c>
      <c r="B1804" s="52">
        <f>IF(Учет!$O1804=Справочники!$F$2,Учет!$H1804,0)</f>
        <v>0</v>
      </c>
      <c r="C1804" s="52">
        <f>IF(Учет!$O1804=Справочники!$F$3,Учет!$H1804,0)</f>
        <v>0</v>
      </c>
      <c r="D1804" s="52">
        <f>IF(Учет!$O1804=Справочники!$F$4,Учет!$H1804,0)</f>
        <v>0</v>
      </c>
      <c r="E1804" s="52">
        <f>IF(Учет!$O1804=Справочники!$F$5,Учет!$H1804,0)</f>
        <v>0</v>
      </c>
      <c r="F1804" s="52">
        <f>IF(Учет!$O1804=Справочники!$F$6,Учет!$H1804,0)</f>
        <v>0</v>
      </c>
      <c r="G1804" s="43">
        <f>G1803+Учет!B1804-B1804</f>
        <v>-488978.92000000004</v>
      </c>
      <c r="H1804" s="43">
        <f>H1803+Учет!C1804-C1804</f>
        <v>336855</v>
      </c>
      <c r="I1804" s="43">
        <f>I1803+Учет!D1804-D1804</f>
        <v>500</v>
      </c>
      <c r="J1804" s="43">
        <f>J1803+Учет!E1804-E1804</f>
        <v>1150</v>
      </c>
      <c r="K1804" s="43">
        <f>K1803+Учет!F1804-F1804</f>
        <v>500000</v>
      </c>
      <c r="L1804" s="45">
        <f>Учет!I1804</f>
        <v>349526.07999999996</v>
      </c>
    </row>
    <row r="1805" spans="1:12" x14ac:dyDescent="0.25">
      <c r="A1805" s="48" t="str">
        <f>IF(Учет!A1805&lt;&gt;"",Учет!A1805,"")</f>
        <v/>
      </c>
      <c r="B1805" s="52">
        <f>IF(Учет!$O1805=Справочники!$F$2,Учет!$H1805,0)</f>
        <v>0</v>
      </c>
      <c r="C1805" s="52">
        <f>IF(Учет!$O1805=Справочники!$F$3,Учет!$H1805,0)</f>
        <v>0</v>
      </c>
      <c r="D1805" s="52">
        <f>IF(Учет!$O1805=Справочники!$F$4,Учет!$H1805,0)</f>
        <v>0</v>
      </c>
      <c r="E1805" s="52">
        <f>IF(Учет!$O1805=Справочники!$F$5,Учет!$H1805,0)</f>
        <v>0</v>
      </c>
      <c r="F1805" s="52">
        <f>IF(Учет!$O1805=Справочники!$F$6,Учет!$H1805,0)</f>
        <v>0</v>
      </c>
      <c r="G1805" s="43">
        <f>G1804+Учет!B1805-B1805</f>
        <v>-488978.92000000004</v>
      </c>
      <c r="H1805" s="43">
        <f>H1804+Учет!C1805-C1805</f>
        <v>336855</v>
      </c>
      <c r="I1805" s="43">
        <f>I1804+Учет!D1805-D1805</f>
        <v>500</v>
      </c>
      <c r="J1805" s="43">
        <f>J1804+Учет!E1805-E1805</f>
        <v>1150</v>
      </c>
      <c r="K1805" s="43">
        <f>K1804+Учет!F1805-F1805</f>
        <v>500000</v>
      </c>
      <c r="L1805" s="45">
        <f>Учет!I1805</f>
        <v>349526.07999999996</v>
      </c>
    </row>
    <row r="1806" spans="1:12" x14ac:dyDescent="0.25">
      <c r="A1806" s="48" t="str">
        <f>IF(Учет!A1806&lt;&gt;"",Учет!A1806,"")</f>
        <v/>
      </c>
      <c r="B1806" s="52">
        <f>IF(Учет!$O1806=Справочники!$F$2,Учет!$H1806,0)</f>
        <v>0</v>
      </c>
      <c r="C1806" s="52">
        <f>IF(Учет!$O1806=Справочники!$F$3,Учет!$H1806,0)</f>
        <v>0</v>
      </c>
      <c r="D1806" s="52">
        <f>IF(Учет!$O1806=Справочники!$F$4,Учет!$H1806,0)</f>
        <v>0</v>
      </c>
      <c r="E1806" s="52">
        <f>IF(Учет!$O1806=Справочники!$F$5,Учет!$H1806,0)</f>
        <v>0</v>
      </c>
      <c r="F1806" s="52">
        <f>IF(Учет!$O1806=Справочники!$F$6,Учет!$H1806,0)</f>
        <v>0</v>
      </c>
      <c r="G1806" s="43">
        <f>G1805+Учет!B1806-B1806</f>
        <v>-488978.92000000004</v>
      </c>
      <c r="H1806" s="43">
        <f>H1805+Учет!C1806-C1806</f>
        <v>336855</v>
      </c>
      <c r="I1806" s="43">
        <f>I1805+Учет!D1806-D1806</f>
        <v>500</v>
      </c>
      <c r="J1806" s="43">
        <f>J1805+Учет!E1806-E1806</f>
        <v>1150</v>
      </c>
      <c r="K1806" s="43">
        <f>K1805+Учет!F1806-F1806</f>
        <v>500000</v>
      </c>
      <c r="L1806" s="45">
        <f>Учет!I1806</f>
        <v>349526.07999999996</v>
      </c>
    </row>
    <row r="1807" spans="1:12" x14ac:dyDescent="0.25">
      <c r="A1807" s="48" t="str">
        <f>IF(Учет!A1807&lt;&gt;"",Учет!A1807,"")</f>
        <v/>
      </c>
      <c r="B1807" s="52">
        <f>IF(Учет!$O1807=Справочники!$F$2,Учет!$H1807,0)</f>
        <v>0</v>
      </c>
      <c r="C1807" s="52">
        <f>IF(Учет!$O1807=Справочники!$F$3,Учет!$H1807,0)</f>
        <v>0</v>
      </c>
      <c r="D1807" s="52">
        <f>IF(Учет!$O1807=Справочники!$F$4,Учет!$H1807,0)</f>
        <v>0</v>
      </c>
      <c r="E1807" s="52">
        <f>IF(Учет!$O1807=Справочники!$F$5,Учет!$H1807,0)</f>
        <v>0</v>
      </c>
      <c r="F1807" s="52">
        <f>IF(Учет!$O1807=Справочники!$F$6,Учет!$H1807,0)</f>
        <v>0</v>
      </c>
      <c r="G1807" s="43">
        <f>G1806+Учет!B1807-B1807</f>
        <v>-488978.92000000004</v>
      </c>
      <c r="H1807" s="43">
        <f>H1806+Учет!C1807-C1807</f>
        <v>336855</v>
      </c>
      <c r="I1807" s="43">
        <f>I1806+Учет!D1807-D1807</f>
        <v>500</v>
      </c>
      <c r="J1807" s="43">
        <f>J1806+Учет!E1807-E1807</f>
        <v>1150</v>
      </c>
      <c r="K1807" s="43">
        <f>K1806+Учет!F1807-F1807</f>
        <v>500000</v>
      </c>
      <c r="L1807" s="45">
        <f>Учет!I1807</f>
        <v>349526.07999999996</v>
      </c>
    </row>
    <row r="1808" spans="1:12" x14ac:dyDescent="0.25">
      <c r="A1808" s="48" t="str">
        <f>IF(Учет!A1808&lt;&gt;"",Учет!A1808,"")</f>
        <v/>
      </c>
      <c r="B1808" s="52">
        <f>IF(Учет!$O1808=Справочники!$F$2,Учет!$H1808,0)</f>
        <v>0</v>
      </c>
      <c r="C1808" s="52">
        <f>IF(Учет!$O1808=Справочники!$F$3,Учет!$H1808,0)</f>
        <v>0</v>
      </c>
      <c r="D1808" s="52">
        <f>IF(Учет!$O1808=Справочники!$F$4,Учет!$H1808,0)</f>
        <v>0</v>
      </c>
      <c r="E1808" s="52">
        <f>IF(Учет!$O1808=Справочники!$F$5,Учет!$H1808,0)</f>
        <v>0</v>
      </c>
      <c r="F1808" s="52">
        <f>IF(Учет!$O1808=Справочники!$F$6,Учет!$H1808,0)</f>
        <v>0</v>
      </c>
      <c r="G1808" s="43">
        <f>G1807+Учет!B1808-B1808</f>
        <v>-488978.92000000004</v>
      </c>
      <c r="H1808" s="43">
        <f>H1807+Учет!C1808-C1808</f>
        <v>336855</v>
      </c>
      <c r="I1808" s="43">
        <f>I1807+Учет!D1808-D1808</f>
        <v>500</v>
      </c>
      <c r="J1808" s="43">
        <f>J1807+Учет!E1808-E1808</f>
        <v>1150</v>
      </c>
      <c r="K1808" s="43">
        <f>K1807+Учет!F1808-F1808</f>
        <v>500000</v>
      </c>
      <c r="L1808" s="45">
        <f>Учет!I1808</f>
        <v>349526.07999999996</v>
      </c>
    </row>
    <row r="1809" spans="1:12" x14ac:dyDescent="0.25">
      <c r="A1809" s="48" t="str">
        <f>IF(Учет!A1809&lt;&gt;"",Учет!A1809,"")</f>
        <v/>
      </c>
      <c r="B1809" s="52">
        <f>IF(Учет!$O1809=Справочники!$F$2,Учет!$H1809,0)</f>
        <v>0</v>
      </c>
      <c r="C1809" s="52">
        <f>IF(Учет!$O1809=Справочники!$F$3,Учет!$H1809,0)</f>
        <v>0</v>
      </c>
      <c r="D1809" s="52">
        <f>IF(Учет!$O1809=Справочники!$F$4,Учет!$H1809,0)</f>
        <v>0</v>
      </c>
      <c r="E1809" s="52">
        <f>IF(Учет!$O1809=Справочники!$F$5,Учет!$H1809,0)</f>
        <v>0</v>
      </c>
      <c r="F1809" s="52">
        <f>IF(Учет!$O1809=Справочники!$F$6,Учет!$H1809,0)</f>
        <v>0</v>
      </c>
      <c r="G1809" s="43">
        <f>G1808+Учет!B1809-B1809</f>
        <v>-488978.92000000004</v>
      </c>
      <c r="H1809" s="43">
        <f>H1808+Учет!C1809-C1809</f>
        <v>336855</v>
      </c>
      <c r="I1809" s="43">
        <f>I1808+Учет!D1809-D1809</f>
        <v>500</v>
      </c>
      <c r="J1809" s="43">
        <f>J1808+Учет!E1809-E1809</f>
        <v>1150</v>
      </c>
      <c r="K1809" s="43">
        <f>K1808+Учет!F1809-F1809</f>
        <v>500000</v>
      </c>
      <c r="L1809" s="45">
        <f>Учет!I1809</f>
        <v>349526.07999999996</v>
      </c>
    </row>
    <row r="1810" spans="1:12" x14ac:dyDescent="0.25">
      <c r="A1810" s="48" t="str">
        <f>IF(Учет!A1810&lt;&gt;"",Учет!A1810,"")</f>
        <v/>
      </c>
      <c r="B1810" s="52">
        <f>IF(Учет!$O1810=Справочники!$F$2,Учет!$H1810,0)</f>
        <v>0</v>
      </c>
      <c r="C1810" s="52">
        <f>IF(Учет!$O1810=Справочники!$F$3,Учет!$H1810,0)</f>
        <v>0</v>
      </c>
      <c r="D1810" s="52">
        <f>IF(Учет!$O1810=Справочники!$F$4,Учет!$H1810,0)</f>
        <v>0</v>
      </c>
      <c r="E1810" s="52">
        <f>IF(Учет!$O1810=Справочники!$F$5,Учет!$H1810,0)</f>
        <v>0</v>
      </c>
      <c r="F1810" s="52">
        <f>IF(Учет!$O1810=Справочники!$F$6,Учет!$H1810,0)</f>
        <v>0</v>
      </c>
      <c r="G1810" s="43">
        <f>G1809+Учет!B1810-B1810</f>
        <v>-488978.92000000004</v>
      </c>
      <c r="H1810" s="43">
        <f>H1809+Учет!C1810-C1810</f>
        <v>336855</v>
      </c>
      <c r="I1810" s="43">
        <f>I1809+Учет!D1810-D1810</f>
        <v>500</v>
      </c>
      <c r="J1810" s="43">
        <f>J1809+Учет!E1810-E1810</f>
        <v>1150</v>
      </c>
      <c r="K1810" s="43">
        <f>K1809+Учет!F1810-F1810</f>
        <v>500000</v>
      </c>
      <c r="L1810" s="45">
        <f>Учет!I1810</f>
        <v>349526.07999999996</v>
      </c>
    </row>
    <row r="1811" spans="1:12" x14ac:dyDescent="0.25">
      <c r="A1811" s="48" t="str">
        <f>IF(Учет!A1811&lt;&gt;"",Учет!A1811,"")</f>
        <v/>
      </c>
      <c r="B1811" s="52">
        <f>IF(Учет!$O1811=Справочники!$F$2,Учет!$H1811,0)</f>
        <v>0</v>
      </c>
      <c r="C1811" s="52">
        <f>IF(Учет!$O1811=Справочники!$F$3,Учет!$H1811,0)</f>
        <v>0</v>
      </c>
      <c r="D1811" s="52">
        <f>IF(Учет!$O1811=Справочники!$F$4,Учет!$H1811,0)</f>
        <v>0</v>
      </c>
      <c r="E1811" s="52">
        <f>IF(Учет!$O1811=Справочники!$F$5,Учет!$H1811,0)</f>
        <v>0</v>
      </c>
      <c r="F1811" s="52">
        <f>IF(Учет!$O1811=Справочники!$F$6,Учет!$H1811,0)</f>
        <v>0</v>
      </c>
      <c r="G1811" s="43">
        <f>G1810+Учет!B1811-B1811</f>
        <v>-488978.92000000004</v>
      </c>
      <c r="H1811" s="43">
        <f>H1810+Учет!C1811-C1811</f>
        <v>336855</v>
      </c>
      <c r="I1811" s="43">
        <f>I1810+Учет!D1811-D1811</f>
        <v>500</v>
      </c>
      <c r="J1811" s="43">
        <f>J1810+Учет!E1811-E1811</f>
        <v>1150</v>
      </c>
      <c r="K1811" s="43">
        <f>K1810+Учет!F1811-F1811</f>
        <v>500000</v>
      </c>
      <c r="L1811" s="45">
        <f>Учет!I1811</f>
        <v>349526.07999999996</v>
      </c>
    </row>
    <row r="1812" spans="1:12" x14ac:dyDescent="0.25">
      <c r="A1812" s="48" t="str">
        <f>IF(Учет!A1812&lt;&gt;"",Учет!A1812,"")</f>
        <v/>
      </c>
      <c r="B1812" s="52">
        <f>IF(Учет!$O1812=Справочники!$F$2,Учет!$H1812,0)</f>
        <v>0</v>
      </c>
      <c r="C1812" s="52">
        <f>IF(Учет!$O1812=Справочники!$F$3,Учет!$H1812,0)</f>
        <v>0</v>
      </c>
      <c r="D1812" s="52">
        <f>IF(Учет!$O1812=Справочники!$F$4,Учет!$H1812,0)</f>
        <v>0</v>
      </c>
      <c r="E1812" s="52">
        <f>IF(Учет!$O1812=Справочники!$F$5,Учет!$H1812,0)</f>
        <v>0</v>
      </c>
      <c r="F1812" s="52">
        <f>IF(Учет!$O1812=Справочники!$F$6,Учет!$H1812,0)</f>
        <v>0</v>
      </c>
      <c r="G1812" s="43">
        <f>G1811+Учет!B1812-B1812</f>
        <v>-488978.92000000004</v>
      </c>
      <c r="H1812" s="43">
        <f>H1811+Учет!C1812-C1812</f>
        <v>336855</v>
      </c>
      <c r="I1812" s="43">
        <f>I1811+Учет!D1812-D1812</f>
        <v>500</v>
      </c>
      <c r="J1812" s="43">
        <f>J1811+Учет!E1812-E1812</f>
        <v>1150</v>
      </c>
      <c r="K1812" s="43">
        <f>K1811+Учет!F1812-F1812</f>
        <v>500000</v>
      </c>
      <c r="L1812" s="45">
        <f>Учет!I1812</f>
        <v>349526.07999999996</v>
      </c>
    </row>
    <row r="1813" spans="1:12" x14ac:dyDescent="0.25">
      <c r="A1813" s="48" t="str">
        <f>IF(Учет!A1813&lt;&gt;"",Учет!A1813,"")</f>
        <v/>
      </c>
      <c r="B1813" s="52">
        <f>IF(Учет!$O1813=Справочники!$F$2,Учет!$H1813,0)</f>
        <v>0</v>
      </c>
      <c r="C1813" s="52">
        <f>IF(Учет!$O1813=Справочники!$F$3,Учет!$H1813,0)</f>
        <v>0</v>
      </c>
      <c r="D1813" s="52">
        <f>IF(Учет!$O1813=Справочники!$F$4,Учет!$H1813,0)</f>
        <v>0</v>
      </c>
      <c r="E1813" s="52">
        <f>IF(Учет!$O1813=Справочники!$F$5,Учет!$H1813,0)</f>
        <v>0</v>
      </c>
      <c r="F1813" s="52">
        <f>IF(Учет!$O1813=Справочники!$F$6,Учет!$H1813,0)</f>
        <v>0</v>
      </c>
      <c r="G1813" s="43">
        <f>G1812+Учет!B1813-B1813</f>
        <v>-488978.92000000004</v>
      </c>
      <c r="H1813" s="43">
        <f>H1812+Учет!C1813-C1813</f>
        <v>336855</v>
      </c>
      <c r="I1813" s="43">
        <f>I1812+Учет!D1813-D1813</f>
        <v>500</v>
      </c>
      <c r="J1813" s="43">
        <f>J1812+Учет!E1813-E1813</f>
        <v>1150</v>
      </c>
      <c r="K1813" s="43">
        <f>K1812+Учет!F1813-F1813</f>
        <v>500000</v>
      </c>
      <c r="L1813" s="45">
        <f>Учет!I1813</f>
        <v>349526.07999999996</v>
      </c>
    </row>
    <row r="1814" spans="1:12" x14ac:dyDescent="0.25">
      <c r="A1814" s="48" t="str">
        <f>IF(Учет!A1814&lt;&gt;"",Учет!A1814,"")</f>
        <v/>
      </c>
      <c r="B1814" s="52">
        <f>IF(Учет!$O1814=Справочники!$F$2,Учет!$H1814,0)</f>
        <v>0</v>
      </c>
      <c r="C1814" s="52">
        <f>IF(Учет!$O1814=Справочники!$F$3,Учет!$H1814,0)</f>
        <v>0</v>
      </c>
      <c r="D1814" s="52">
        <f>IF(Учет!$O1814=Справочники!$F$4,Учет!$H1814,0)</f>
        <v>0</v>
      </c>
      <c r="E1814" s="52">
        <f>IF(Учет!$O1814=Справочники!$F$5,Учет!$H1814,0)</f>
        <v>0</v>
      </c>
      <c r="F1814" s="52">
        <f>IF(Учет!$O1814=Справочники!$F$6,Учет!$H1814,0)</f>
        <v>0</v>
      </c>
      <c r="G1814" s="43">
        <f>G1813+Учет!B1814-B1814</f>
        <v>-488978.92000000004</v>
      </c>
      <c r="H1814" s="43">
        <f>H1813+Учет!C1814-C1814</f>
        <v>336855</v>
      </c>
      <c r="I1814" s="43">
        <f>I1813+Учет!D1814-D1814</f>
        <v>500</v>
      </c>
      <c r="J1814" s="43">
        <f>J1813+Учет!E1814-E1814</f>
        <v>1150</v>
      </c>
      <c r="K1814" s="43">
        <f>K1813+Учет!F1814-F1814</f>
        <v>500000</v>
      </c>
      <c r="L1814" s="45">
        <f>Учет!I1814</f>
        <v>349526.07999999996</v>
      </c>
    </row>
    <row r="1815" spans="1:12" x14ac:dyDescent="0.25">
      <c r="A1815" s="48" t="str">
        <f>IF(Учет!A1815&lt;&gt;"",Учет!A1815,"")</f>
        <v/>
      </c>
      <c r="B1815" s="52">
        <f>IF(Учет!$O1815=Справочники!$F$2,Учет!$H1815,0)</f>
        <v>0</v>
      </c>
      <c r="C1815" s="52">
        <f>IF(Учет!$O1815=Справочники!$F$3,Учет!$H1815,0)</f>
        <v>0</v>
      </c>
      <c r="D1815" s="52">
        <f>IF(Учет!$O1815=Справочники!$F$4,Учет!$H1815,0)</f>
        <v>0</v>
      </c>
      <c r="E1815" s="52">
        <f>IF(Учет!$O1815=Справочники!$F$5,Учет!$H1815,0)</f>
        <v>0</v>
      </c>
      <c r="F1815" s="52">
        <f>IF(Учет!$O1815=Справочники!$F$6,Учет!$H1815,0)</f>
        <v>0</v>
      </c>
      <c r="G1815" s="43">
        <f>G1814+Учет!B1815-B1815</f>
        <v>-488978.92000000004</v>
      </c>
      <c r="H1815" s="43">
        <f>H1814+Учет!C1815-C1815</f>
        <v>336855</v>
      </c>
      <c r="I1815" s="43">
        <f>I1814+Учет!D1815-D1815</f>
        <v>500</v>
      </c>
      <c r="J1815" s="43">
        <f>J1814+Учет!E1815-E1815</f>
        <v>1150</v>
      </c>
      <c r="K1815" s="43">
        <f>K1814+Учет!F1815-F1815</f>
        <v>500000</v>
      </c>
      <c r="L1815" s="45">
        <f>Учет!I1815</f>
        <v>349526.07999999996</v>
      </c>
    </row>
    <row r="1816" spans="1:12" x14ac:dyDescent="0.25">
      <c r="A1816" s="48" t="str">
        <f>IF(Учет!A1816&lt;&gt;"",Учет!A1816,"")</f>
        <v/>
      </c>
      <c r="B1816" s="52">
        <f>IF(Учет!$O1816=Справочники!$F$2,Учет!$H1816,0)</f>
        <v>0</v>
      </c>
      <c r="C1816" s="52">
        <f>IF(Учет!$O1816=Справочники!$F$3,Учет!$H1816,0)</f>
        <v>0</v>
      </c>
      <c r="D1816" s="52">
        <f>IF(Учет!$O1816=Справочники!$F$4,Учет!$H1816,0)</f>
        <v>0</v>
      </c>
      <c r="E1816" s="52">
        <f>IF(Учет!$O1816=Справочники!$F$5,Учет!$H1816,0)</f>
        <v>0</v>
      </c>
      <c r="F1816" s="52">
        <f>IF(Учет!$O1816=Справочники!$F$6,Учет!$H1816,0)</f>
        <v>0</v>
      </c>
      <c r="G1816" s="43">
        <f>G1815+Учет!B1816-B1816</f>
        <v>-488978.92000000004</v>
      </c>
      <c r="H1816" s="43">
        <f>H1815+Учет!C1816-C1816</f>
        <v>336855</v>
      </c>
      <c r="I1816" s="43">
        <f>I1815+Учет!D1816-D1816</f>
        <v>500</v>
      </c>
      <c r="J1816" s="43">
        <f>J1815+Учет!E1816-E1816</f>
        <v>1150</v>
      </c>
      <c r="K1816" s="43">
        <f>K1815+Учет!F1816-F1816</f>
        <v>500000</v>
      </c>
      <c r="L1816" s="45">
        <f>Учет!I1816</f>
        <v>349526.07999999996</v>
      </c>
    </row>
    <row r="1817" spans="1:12" x14ac:dyDescent="0.25">
      <c r="A1817" s="48" t="str">
        <f>IF(Учет!A1817&lt;&gt;"",Учет!A1817,"")</f>
        <v/>
      </c>
      <c r="B1817" s="52">
        <f>IF(Учет!$O1817=Справочники!$F$2,Учет!$H1817,0)</f>
        <v>0</v>
      </c>
      <c r="C1817" s="52">
        <f>IF(Учет!$O1817=Справочники!$F$3,Учет!$H1817,0)</f>
        <v>0</v>
      </c>
      <c r="D1817" s="52">
        <f>IF(Учет!$O1817=Справочники!$F$4,Учет!$H1817,0)</f>
        <v>0</v>
      </c>
      <c r="E1817" s="52">
        <f>IF(Учет!$O1817=Справочники!$F$5,Учет!$H1817,0)</f>
        <v>0</v>
      </c>
      <c r="F1817" s="52">
        <f>IF(Учет!$O1817=Справочники!$F$6,Учет!$H1817,0)</f>
        <v>0</v>
      </c>
      <c r="G1817" s="43">
        <f>G1816+Учет!B1817-B1817</f>
        <v>-488978.92000000004</v>
      </c>
      <c r="H1817" s="43">
        <f>H1816+Учет!C1817-C1817</f>
        <v>336855</v>
      </c>
      <c r="I1817" s="43">
        <f>I1816+Учет!D1817-D1817</f>
        <v>500</v>
      </c>
      <c r="J1817" s="43">
        <f>J1816+Учет!E1817-E1817</f>
        <v>1150</v>
      </c>
      <c r="K1817" s="43">
        <f>K1816+Учет!F1817-F1817</f>
        <v>500000</v>
      </c>
      <c r="L1817" s="45">
        <f>Учет!I1817</f>
        <v>349526.07999999996</v>
      </c>
    </row>
    <row r="1818" spans="1:12" x14ac:dyDescent="0.25">
      <c r="A1818" s="48" t="str">
        <f>IF(Учет!A1818&lt;&gt;"",Учет!A1818,"")</f>
        <v/>
      </c>
      <c r="B1818" s="52">
        <f>IF(Учет!$O1818=Справочники!$F$2,Учет!$H1818,0)</f>
        <v>0</v>
      </c>
      <c r="C1818" s="52">
        <f>IF(Учет!$O1818=Справочники!$F$3,Учет!$H1818,0)</f>
        <v>0</v>
      </c>
      <c r="D1818" s="52">
        <f>IF(Учет!$O1818=Справочники!$F$4,Учет!$H1818,0)</f>
        <v>0</v>
      </c>
      <c r="E1818" s="52">
        <f>IF(Учет!$O1818=Справочники!$F$5,Учет!$H1818,0)</f>
        <v>0</v>
      </c>
      <c r="F1818" s="52">
        <f>IF(Учет!$O1818=Справочники!$F$6,Учет!$H1818,0)</f>
        <v>0</v>
      </c>
      <c r="G1818" s="43">
        <f>G1817+Учет!B1818-B1818</f>
        <v>-488978.92000000004</v>
      </c>
      <c r="H1818" s="43">
        <f>H1817+Учет!C1818-C1818</f>
        <v>336855</v>
      </c>
      <c r="I1818" s="43">
        <f>I1817+Учет!D1818-D1818</f>
        <v>500</v>
      </c>
      <c r="J1818" s="43">
        <f>J1817+Учет!E1818-E1818</f>
        <v>1150</v>
      </c>
      <c r="K1818" s="43">
        <f>K1817+Учет!F1818-F1818</f>
        <v>500000</v>
      </c>
      <c r="L1818" s="45">
        <f>Учет!I1818</f>
        <v>349526.07999999996</v>
      </c>
    </row>
    <row r="1819" spans="1:12" x14ac:dyDescent="0.25">
      <c r="A1819" s="48" t="str">
        <f>IF(Учет!A1819&lt;&gt;"",Учет!A1819,"")</f>
        <v/>
      </c>
      <c r="B1819" s="52">
        <f>IF(Учет!$O1819=Справочники!$F$2,Учет!$H1819,0)</f>
        <v>0</v>
      </c>
      <c r="C1819" s="52">
        <f>IF(Учет!$O1819=Справочники!$F$3,Учет!$H1819,0)</f>
        <v>0</v>
      </c>
      <c r="D1819" s="52">
        <f>IF(Учет!$O1819=Справочники!$F$4,Учет!$H1819,0)</f>
        <v>0</v>
      </c>
      <c r="E1819" s="52">
        <f>IF(Учет!$O1819=Справочники!$F$5,Учет!$H1819,0)</f>
        <v>0</v>
      </c>
      <c r="F1819" s="52">
        <f>IF(Учет!$O1819=Справочники!$F$6,Учет!$H1819,0)</f>
        <v>0</v>
      </c>
      <c r="G1819" s="43">
        <f>G1818+Учет!B1819-B1819</f>
        <v>-488978.92000000004</v>
      </c>
      <c r="H1819" s="43">
        <f>H1818+Учет!C1819-C1819</f>
        <v>336855</v>
      </c>
      <c r="I1819" s="43">
        <f>I1818+Учет!D1819-D1819</f>
        <v>500</v>
      </c>
      <c r="J1819" s="43">
        <f>J1818+Учет!E1819-E1819</f>
        <v>1150</v>
      </c>
      <c r="K1819" s="43">
        <f>K1818+Учет!F1819-F1819</f>
        <v>500000</v>
      </c>
      <c r="L1819" s="45">
        <f>Учет!I1819</f>
        <v>349526.07999999996</v>
      </c>
    </row>
    <row r="1820" spans="1:12" x14ac:dyDescent="0.25">
      <c r="A1820" s="48" t="str">
        <f>IF(Учет!A1820&lt;&gt;"",Учет!A1820,"")</f>
        <v/>
      </c>
      <c r="B1820" s="52">
        <f>IF(Учет!$O1820=Справочники!$F$2,Учет!$H1820,0)</f>
        <v>0</v>
      </c>
      <c r="C1820" s="52">
        <f>IF(Учет!$O1820=Справочники!$F$3,Учет!$H1820,0)</f>
        <v>0</v>
      </c>
      <c r="D1820" s="52">
        <f>IF(Учет!$O1820=Справочники!$F$4,Учет!$H1820,0)</f>
        <v>0</v>
      </c>
      <c r="E1820" s="52">
        <f>IF(Учет!$O1820=Справочники!$F$5,Учет!$H1820,0)</f>
        <v>0</v>
      </c>
      <c r="F1820" s="52">
        <f>IF(Учет!$O1820=Справочники!$F$6,Учет!$H1820,0)</f>
        <v>0</v>
      </c>
      <c r="G1820" s="43">
        <f>G1819+Учет!B1820-B1820</f>
        <v>-488978.92000000004</v>
      </c>
      <c r="H1820" s="43">
        <f>H1819+Учет!C1820-C1820</f>
        <v>336855</v>
      </c>
      <c r="I1820" s="43">
        <f>I1819+Учет!D1820-D1820</f>
        <v>500</v>
      </c>
      <c r="J1820" s="43">
        <f>J1819+Учет!E1820-E1820</f>
        <v>1150</v>
      </c>
      <c r="K1820" s="43">
        <f>K1819+Учет!F1820-F1820</f>
        <v>500000</v>
      </c>
      <c r="L1820" s="45">
        <f>Учет!I1820</f>
        <v>349526.07999999996</v>
      </c>
    </row>
    <row r="1821" spans="1:12" x14ac:dyDescent="0.25">
      <c r="A1821" s="48" t="str">
        <f>IF(Учет!A1821&lt;&gt;"",Учет!A1821,"")</f>
        <v/>
      </c>
      <c r="B1821" s="52">
        <f>IF(Учет!$O1821=Справочники!$F$2,Учет!$H1821,0)</f>
        <v>0</v>
      </c>
      <c r="C1821" s="52">
        <f>IF(Учет!$O1821=Справочники!$F$3,Учет!$H1821,0)</f>
        <v>0</v>
      </c>
      <c r="D1821" s="52">
        <f>IF(Учет!$O1821=Справочники!$F$4,Учет!$H1821,0)</f>
        <v>0</v>
      </c>
      <c r="E1821" s="52">
        <f>IF(Учет!$O1821=Справочники!$F$5,Учет!$H1821,0)</f>
        <v>0</v>
      </c>
      <c r="F1821" s="52">
        <f>IF(Учет!$O1821=Справочники!$F$6,Учет!$H1821,0)</f>
        <v>0</v>
      </c>
      <c r="G1821" s="43">
        <f>G1820+Учет!B1821-B1821</f>
        <v>-488978.92000000004</v>
      </c>
      <c r="H1821" s="43">
        <f>H1820+Учет!C1821-C1821</f>
        <v>336855</v>
      </c>
      <c r="I1821" s="43">
        <f>I1820+Учет!D1821-D1821</f>
        <v>500</v>
      </c>
      <c r="J1821" s="43">
        <f>J1820+Учет!E1821-E1821</f>
        <v>1150</v>
      </c>
      <c r="K1821" s="43">
        <f>K1820+Учет!F1821-F1821</f>
        <v>500000</v>
      </c>
      <c r="L1821" s="45">
        <f>Учет!I1821</f>
        <v>349526.07999999996</v>
      </c>
    </row>
    <row r="1822" spans="1:12" x14ac:dyDescent="0.25">
      <c r="A1822" s="48" t="str">
        <f>IF(Учет!A1822&lt;&gt;"",Учет!A1822,"")</f>
        <v/>
      </c>
      <c r="B1822" s="52">
        <f>IF(Учет!$O1822=Справочники!$F$2,Учет!$H1822,0)</f>
        <v>0</v>
      </c>
      <c r="C1822" s="52">
        <f>IF(Учет!$O1822=Справочники!$F$3,Учет!$H1822,0)</f>
        <v>0</v>
      </c>
      <c r="D1822" s="52">
        <f>IF(Учет!$O1822=Справочники!$F$4,Учет!$H1822,0)</f>
        <v>0</v>
      </c>
      <c r="E1822" s="52">
        <f>IF(Учет!$O1822=Справочники!$F$5,Учет!$H1822,0)</f>
        <v>0</v>
      </c>
      <c r="F1822" s="52">
        <f>IF(Учет!$O1822=Справочники!$F$6,Учет!$H1822,0)</f>
        <v>0</v>
      </c>
      <c r="G1822" s="43">
        <f>G1821+Учет!B1822-B1822</f>
        <v>-488978.92000000004</v>
      </c>
      <c r="H1822" s="43">
        <f>H1821+Учет!C1822-C1822</f>
        <v>336855</v>
      </c>
      <c r="I1822" s="43">
        <f>I1821+Учет!D1822-D1822</f>
        <v>500</v>
      </c>
      <c r="J1822" s="43">
        <f>J1821+Учет!E1822-E1822</f>
        <v>1150</v>
      </c>
      <c r="K1822" s="43">
        <f>K1821+Учет!F1822-F1822</f>
        <v>500000</v>
      </c>
      <c r="L1822" s="45">
        <f>Учет!I1822</f>
        <v>349526.07999999996</v>
      </c>
    </row>
    <row r="1823" spans="1:12" x14ac:dyDescent="0.25">
      <c r="A1823" s="48" t="str">
        <f>IF(Учет!A1823&lt;&gt;"",Учет!A1823,"")</f>
        <v/>
      </c>
      <c r="B1823" s="52">
        <f>IF(Учет!$O1823=Справочники!$F$2,Учет!$H1823,0)</f>
        <v>0</v>
      </c>
      <c r="C1823" s="52">
        <f>IF(Учет!$O1823=Справочники!$F$3,Учет!$H1823,0)</f>
        <v>0</v>
      </c>
      <c r="D1823" s="52">
        <f>IF(Учет!$O1823=Справочники!$F$4,Учет!$H1823,0)</f>
        <v>0</v>
      </c>
      <c r="E1823" s="52">
        <f>IF(Учет!$O1823=Справочники!$F$5,Учет!$H1823,0)</f>
        <v>0</v>
      </c>
      <c r="F1823" s="52">
        <f>IF(Учет!$O1823=Справочники!$F$6,Учет!$H1823,0)</f>
        <v>0</v>
      </c>
      <c r="G1823" s="43">
        <f>G1822+Учет!B1823-B1823</f>
        <v>-488978.92000000004</v>
      </c>
      <c r="H1823" s="43">
        <f>H1822+Учет!C1823-C1823</f>
        <v>336855</v>
      </c>
      <c r="I1823" s="43">
        <f>I1822+Учет!D1823-D1823</f>
        <v>500</v>
      </c>
      <c r="J1823" s="43">
        <f>J1822+Учет!E1823-E1823</f>
        <v>1150</v>
      </c>
      <c r="K1823" s="43">
        <f>K1822+Учет!F1823-F1823</f>
        <v>500000</v>
      </c>
      <c r="L1823" s="45">
        <f>Учет!I1823</f>
        <v>349526.07999999996</v>
      </c>
    </row>
    <row r="1824" spans="1:12" x14ac:dyDescent="0.25">
      <c r="A1824" s="48" t="str">
        <f>IF(Учет!A1824&lt;&gt;"",Учет!A1824,"")</f>
        <v/>
      </c>
      <c r="B1824" s="52">
        <f>IF(Учет!$O1824=Справочники!$F$2,Учет!$H1824,0)</f>
        <v>0</v>
      </c>
      <c r="C1824" s="52">
        <f>IF(Учет!$O1824=Справочники!$F$3,Учет!$H1824,0)</f>
        <v>0</v>
      </c>
      <c r="D1824" s="52">
        <f>IF(Учет!$O1824=Справочники!$F$4,Учет!$H1824,0)</f>
        <v>0</v>
      </c>
      <c r="E1824" s="52">
        <f>IF(Учет!$O1824=Справочники!$F$5,Учет!$H1824,0)</f>
        <v>0</v>
      </c>
      <c r="F1824" s="52">
        <f>IF(Учет!$O1824=Справочники!$F$6,Учет!$H1824,0)</f>
        <v>0</v>
      </c>
      <c r="G1824" s="43">
        <f>G1823+Учет!B1824-B1824</f>
        <v>-488978.92000000004</v>
      </c>
      <c r="H1824" s="43">
        <f>H1823+Учет!C1824-C1824</f>
        <v>336855</v>
      </c>
      <c r="I1824" s="43">
        <f>I1823+Учет!D1824-D1824</f>
        <v>500</v>
      </c>
      <c r="J1824" s="43">
        <f>J1823+Учет!E1824-E1824</f>
        <v>1150</v>
      </c>
      <c r="K1824" s="43">
        <f>K1823+Учет!F1824-F1824</f>
        <v>500000</v>
      </c>
      <c r="L1824" s="45">
        <f>Учет!I1824</f>
        <v>349526.07999999996</v>
      </c>
    </row>
    <row r="1825" spans="1:12" x14ac:dyDescent="0.25">
      <c r="A1825" s="48" t="str">
        <f>IF(Учет!A1825&lt;&gt;"",Учет!A1825,"")</f>
        <v/>
      </c>
      <c r="B1825" s="52">
        <f>IF(Учет!$O1825=Справочники!$F$2,Учет!$H1825,0)</f>
        <v>0</v>
      </c>
      <c r="C1825" s="52">
        <f>IF(Учет!$O1825=Справочники!$F$3,Учет!$H1825,0)</f>
        <v>0</v>
      </c>
      <c r="D1825" s="52">
        <f>IF(Учет!$O1825=Справочники!$F$4,Учет!$H1825,0)</f>
        <v>0</v>
      </c>
      <c r="E1825" s="52">
        <f>IF(Учет!$O1825=Справочники!$F$5,Учет!$H1825,0)</f>
        <v>0</v>
      </c>
      <c r="F1825" s="52">
        <f>IF(Учет!$O1825=Справочники!$F$6,Учет!$H1825,0)</f>
        <v>0</v>
      </c>
      <c r="G1825" s="43">
        <f>G1824+Учет!B1825-B1825</f>
        <v>-488978.92000000004</v>
      </c>
      <c r="H1825" s="43">
        <f>H1824+Учет!C1825-C1825</f>
        <v>336855</v>
      </c>
      <c r="I1825" s="43">
        <f>I1824+Учет!D1825-D1825</f>
        <v>500</v>
      </c>
      <c r="J1825" s="43">
        <f>J1824+Учет!E1825-E1825</f>
        <v>1150</v>
      </c>
      <c r="K1825" s="43">
        <f>K1824+Учет!F1825-F1825</f>
        <v>500000</v>
      </c>
      <c r="L1825" s="45">
        <f>Учет!I1825</f>
        <v>349526.07999999996</v>
      </c>
    </row>
    <row r="1826" spans="1:12" x14ac:dyDescent="0.25">
      <c r="A1826" s="48" t="str">
        <f>IF(Учет!A1826&lt;&gt;"",Учет!A1826,"")</f>
        <v/>
      </c>
      <c r="B1826" s="52">
        <f>IF(Учет!$O1826=Справочники!$F$2,Учет!$H1826,0)</f>
        <v>0</v>
      </c>
      <c r="C1826" s="52">
        <f>IF(Учет!$O1826=Справочники!$F$3,Учет!$H1826,0)</f>
        <v>0</v>
      </c>
      <c r="D1826" s="52">
        <f>IF(Учет!$O1826=Справочники!$F$4,Учет!$H1826,0)</f>
        <v>0</v>
      </c>
      <c r="E1826" s="52">
        <f>IF(Учет!$O1826=Справочники!$F$5,Учет!$H1826,0)</f>
        <v>0</v>
      </c>
      <c r="F1826" s="52">
        <f>IF(Учет!$O1826=Справочники!$F$6,Учет!$H1826,0)</f>
        <v>0</v>
      </c>
      <c r="G1826" s="43">
        <f>G1825+Учет!B1826-B1826</f>
        <v>-488978.92000000004</v>
      </c>
      <c r="H1826" s="43">
        <f>H1825+Учет!C1826-C1826</f>
        <v>336855</v>
      </c>
      <c r="I1826" s="43">
        <f>I1825+Учет!D1826-D1826</f>
        <v>500</v>
      </c>
      <c r="J1826" s="43">
        <f>J1825+Учет!E1826-E1826</f>
        <v>1150</v>
      </c>
      <c r="K1826" s="43">
        <f>K1825+Учет!F1826-F1826</f>
        <v>500000</v>
      </c>
      <c r="L1826" s="45">
        <f>Учет!I1826</f>
        <v>349526.07999999996</v>
      </c>
    </row>
    <row r="1827" spans="1:12" x14ac:dyDescent="0.25">
      <c r="A1827" s="48" t="str">
        <f>IF(Учет!A1827&lt;&gt;"",Учет!A1827,"")</f>
        <v/>
      </c>
      <c r="B1827" s="52">
        <f>IF(Учет!$O1827=Справочники!$F$2,Учет!$H1827,0)</f>
        <v>0</v>
      </c>
      <c r="C1827" s="52">
        <f>IF(Учет!$O1827=Справочники!$F$3,Учет!$H1827,0)</f>
        <v>0</v>
      </c>
      <c r="D1827" s="52">
        <f>IF(Учет!$O1827=Справочники!$F$4,Учет!$H1827,0)</f>
        <v>0</v>
      </c>
      <c r="E1827" s="52">
        <f>IF(Учет!$O1827=Справочники!$F$5,Учет!$H1827,0)</f>
        <v>0</v>
      </c>
      <c r="F1827" s="52">
        <f>IF(Учет!$O1827=Справочники!$F$6,Учет!$H1827,0)</f>
        <v>0</v>
      </c>
      <c r="G1827" s="43">
        <f>G1826+Учет!B1827-B1827</f>
        <v>-488978.92000000004</v>
      </c>
      <c r="H1827" s="43">
        <f>H1826+Учет!C1827-C1827</f>
        <v>336855</v>
      </c>
      <c r="I1827" s="43">
        <f>I1826+Учет!D1827-D1827</f>
        <v>500</v>
      </c>
      <c r="J1827" s="43">
        <f>J1826+Учет!E1827-E1827</f>
        <v>1150</v>
      </c>
      <c r="K1827" s="43">
        <f>K1826+Учет!F1827-F1827</f>
        <v>500000</v>
      </c>
      <c r="L1827" s="45">
        <f>Учет!I1827</f>
        <v>349526.07999999996</v>
      </c>
    </row>
    <row r="1828" spans="1:12" x14ac:dyDescent="0.25">
      <c r="A1828" s="48" t="str">
        <f>IF(Учет!A1828&lt;&gt;"",Учет!A1828,"")</f>
        <v/>
      </c>
      <c r="B1828" s="52">
        <f>IF(Учет!$O1828=Справочники!$F$2,Учет!$H1828,0)</f>
        <v>0</v>
      </c>
      <c r="C1828" s="52">
        <f>IF(Учет!$O1828=Справочники!$F$3,Учет!$H1828,0)</f>
        <v>0</v>
      </c>
      <c r="D1828" s="52">
        <f>IF(Учет!$O1828=Справочники!$F$4,Учет!$H1828,0)</f>
        <v>0</v>
      </c>
      <c r="E1828" s="52">
        <f>IF(Учет!$O1828=Справочники!$F$5,Учет!$H1828,0)</f>
        <v>0</v>
      </c>
      <c r="F1828" s="52">
        <f>IF(Учет!$O1828=Справочники!$F$6,Учет!$H1828,0)</f>
        <v>0</v>
      </c>
      <c r="G1828" s="43">
        <f>G1827+Учет!B1828-B1828</f>
        <v>-488978.92000000004</v>
      </c>
      <c r="H1828" s="43">
        <f>H1827+Учет!C1828-C1828</f>
        <v>336855</v>
      </c>
      <c r="I1828" s="43">
        <f>I1827+Учет!D1828-D1828</f>
        <v>500</v>
      </c>
      <c r="J1828" s="43">
        <f>J1827+Учет!E1828-E1828</f>
        <v>1150</v>
      </c>
      <c r="K1828" s="43">
        <f>K1827+Учет!F1828-F1828</f>
        <v>500000</v>
      </c>
      <c r="L1828" s="45">
        <f>Учет!I1828</f>
        <v>349526.07999999996</v>
      </c>
    </row>
    <row r="1829" spans="1:12" x14ac:dyDescent="0.25">
      <c r="A1829" s="48" t="str">
        <f>IF(Учет!A1829&lt;&gt;"",Учет!A1829,"")</f>
        <v/>
      </c>
      <c r="B1829" s="52">
        <f>IF(Учет!$O1829=Справочники!$F$2,Учет!$H1829,0)</f>
        <v>0</v>
      </c>
      <c r="C1829" s="52">
        <f>IF(Учет!$O1829=Справочники!$F$3,Учет!$H1829,0)</f>
        <v>0</v>
      </c>
      <c r="D1829" s="52">
        <f>IF(Учет!$O1829=Справочники!$F$4,Учет!$H1829,0)</f>
        <v>0</v>
      </c>
      <c r="E1829" s="52">
        <f>IF(Учет!$O1829=Справочники!$F$5,Учет!$H1829,0)</f>
        <v>0</v>
      </c>
      <c r="F1829" s="52">
        <f>IF(Учет!$O1829=Справочники!$F$6,Учет!$H1829,0)</f>
        <v>0</v>
      </c>
      <c r="G1829" s="43">
        <f>G1828+Учет!B1829-B1829</f>
        <v>-488978.92000000004</v>
      </c>
      <c r="H1829" s="43">
        <f>H1828+Учет!C1829-C1829</f>
        <v>336855</v>
      </c>
      <c r="I1829" s="43">
        <f>I1828+Учет!D1829-D1829</f>
        <v>500</v>
      </c>
      <c r="J1829" s="43">
        <f>J1828+Учет!E1829-E1829</f>
        <v>1150</v>
      </c>
      <c r="K1829" s="43">
        <f>K1828+Учет!F1829-F1829</f>
        <v>500000</v>
      </c>
      <c r="L1829" s="45">
        <f>Учет!I1829</f>
        <v>349526.07999999996</v>
      </c>
    </row>
    <row r="1830" spans="1:12" x14ac:dyDescent="0.25">
      <c r="A1830" s="48" t="str">
        <f>IF(Учет!A1830&lt;&gt;"",Учет!A1830,"")</f>
        <v/>
      </c>
      <c r="B1830" s="52">
        <f>IF(Учет!$O1830=Справочники!$F$2,Учет!$H1830,0)</f>
        <v>0</v>
      </c>
      <c r="C1830" s="52">
        <f>IF(Учет!$O1830=Справочники!$F$3,Учет!$H1830,0)</f>
        <v>0</v>
      </c>
      <c r="D1830" s="52">
        <f>IF(Учет!$O1830=Справочники!$F$4,Учет!$H1830,0)</f>
        <v>0</v>
      </c>
      <c r="E1830" s="52">
        <f>IF(Учет!$O1830=Справочники!$F$5,Учет!$H1830,0)</f>
        <v>0</v>
      </c>
      <c r="F1830" s="52">
        <f>IF(Учет!$O1830=Справочники!$F$6,Учет!$H1830,0)</f>
        <v>0</v>
      </c>
      <c r="G1830" s="43">
        <f>G1829+Учет!B1830-B1830</f>
        <v>-488978.92000000004</v>
      </c>
      <c r="H1830" s="43">
        <f>H1829+Учет!C1830-C1830</f>
        <v>336855</v>
      </c>
      <c r="I1830" s="43">
        <f>I1829+Учет!D1830-D1830</f>
        <v>500</v>
      </c>
      <c r="J1830" s="43">
        <f>J1829+Учет!E1830-E1830</f>
        <v>1150</v>
      </c>
      <c r="K1830" s="43">
        <f>K1829+Учет!F1830-F1830</f>
        <v>500000</v>
      </c>
      <c r="L1830" s="45">
        <f>Учет!I1830</f>
        <v>349526.07999999996</v>
      </c>
    </row>
    <row r="1831" spans="1:12" x14ac:dyDescent="0.25">
      <c r="A1831" s="48" t="str">
        <f>IF(Учет!A1831&lt;&gt;"",Учет!A1831,"")</f>
        <v/>
      </c>
      <c r="B1831" s="52">
        <f>IF(Учет!$O1831=Справочники!$F$2,Учет!$H1831,0)</f>
        <v>0</v>
      </c>
      <c r="C1831" s="52">
        <f>IF(Учет!$O1831=Справочники!$F$3,Учет!$H1831,0)</f>
        <v>0</v>
      </c>
      <c r="D1831" s="52">
        <f>IF(Учет!$O1831=Справочники!$F$4,Учет!$H1831,0)</f>
        <v>0</v>
      </c>
      <c r="E1831" s="52">
        <f>IF(Учет!$O1831=Справочники!$F$5,Учет!$H1831,0)</f>
        <v>0</v>
      </c>
      <c r="F1831" s="52">
        <f>IF(Учет!$O1831=Справочники!$F$6,Учет!$H1831,0)</f>
        <v>0</v>
      </c>
      <c r="G1831" s="43">
        <f>G1830+Учет!B1831-B1831</f>
        <v>-488978.92000000004</v>
      </c>
      <c r="H1831" s="43">
        <f>H1830+Учет!C1831-C1831</f>
        <v>336855</v>
      </c>
      <c r="I1831" s="43">
        <f>I1830+Учет!D1831-D1831</f>
        <v>500</v>
      </c>
      <c r="J1831" s="43">
        <f>J1830+Учет!E1831-E1831</f>
        <v>1150</v>
      </c>
      <c r="K1831" s="43">
        <f>K1830+Учет!F1831-F1831</f>
        <v>500000</v>
      </c>
      <c r="L1831" s="45">
        <f>Учет!I1831</f>
        <v>349526.07999999996</v>
      </c>
    </row>
    <row r="1832" spans="1:12" x14ac:dyDescent="0.25">
      <c r="A1832" s="48" t="str">
        <f>IF(Учет!A1832&lt;&gt;"",Учет!A1832,"")</f>
        <v/>
      </c>
      <c r="B1832" s="52">
        <f>IF(Учет!$O1832=Справочники!$F$2,Учет!$H1832,0)</f>
        <v>0</v>
      </c>
      <c r="C1832" s="52">
        <f>IF(Учет!$O1832=Справочники!$F$3,Учет!$H1832,0)</f>
        <v>0</v>
      </c>
      <c r="D1832" s="52">
        <f>IF(Учет!$O1832=Справочники!$F$4,Учет!$H1832,0)</f>
        <v>0</v>
      </c>
      <c r="E1832" s="52">
        <f>IF(Учет!$O1832=Справочники!$F$5,Учет!$H1832,0)</f>
        <v>0</v>
      </c>
      <c r="F1832" s="52">
        <f>IF(Учет!$O1832=Справочники!$F$6,Учет!$H1832,0)</f>
        <v>0</v>
      </c>
      <c r="G1832" s="43">
        <f>G1831+Учет!B1832-B1832</f>
        <v>-488978.92000000004</v>
      </c>
      <c r="H1832" s="43">
        <f>H1831+Учет!C1832-C1832</f>
        <v>336855</v>
      </c>
      <c r="I1832" s="43">
        <f>I1831+Учет!D1832-D1832</f>
        <v>500</v>
      </c>
      <c r="J1832" s="43">
        <f>J1831+Учет!E1832-E1832</f>
        <v>1150</v>
      </c>
      <c r="K1832" s="43">
        <f>K1831+Учет!F1832-F1832</f>
        <v>500000</v>
      </c>
      <c r="L1832" s="45">
        <f>Учет!I1832</f>
        <v>349526.07999999996</v>
      </c>
    </row>
    <row r="1833" spans="1:12" x14ac:dyDescent="0.25">
      <c r="A1833" s="48" t="str">
        <f>IF(Учет!A1833&lt;&gt;"",Учет!A1833,"")</f>
        <v/>
      </c>
      <c r="B1833" s="52">
        <f>IF(Учет!$O1833=Справочники!$F$2,Учет!$H1833,0)</f>
        <v>0</v>
      </c>
      <c r="C1833" s="52">
        <f>IF(Учет!$O1833=Справочники!$F$3,Учет!$H1833,0)</f>
        <v>0</v>
      </c>
      <c r="D1833" s="52">
        <f>IF(Учет!$O1833=Справочники!$F$4,Учет!$H1833,0)</f>
        <v>0</v>
      </c>
      <c r="E1833" s="52">
        <f>IF(Учет!$O1833=Справочники!$F$5,Учет!$H1833,0)</f>
        <v>0</v>
      </c>
      <c r="F1833" s="52">
        <f>IF(Учет!$O1833=Справочники!$F$6,Учет!$H1833,0)</f>
        <v>0</v>
      </c>
      <c r="G1833" s="43">
        <f>G1832+Учет!B1833-B1833</f>
        <v>-488978.92000000004</v>
      </c>
      <c r="H1833" s="43">
        <f>H1832+Учет!C1833-C1833</f>
        <v>336855</v>
      </c>
      <c r="I1833" s="43">
        <f>I1832+Учет!D1833-D1833</f>
        <v>500</v>
      </c>
      <c r="J1833" s="43">
        <f>J1832+Учет!E1833-E1833</f>
        <v>1150</v>
      </c>
      <c r="K1833" s="43">
        <f>K1832+Учет!F1833-F1833</f>
        <v>500000</v>
      </c>
      <c r="L1833" s="45">
        <f>Учет!I1833</f>
        <v>349526.07999999996</v>
      </c>
    </row>
    <row r="1834" spans="1:12" x14ac:dyDescent="0.25">
      <c r="A1834" s="48" t="str">
        <f>IF(Учет!A1834&lt;&gt;"",Учет!A1834,"")</f>
        <v/>
      </c>
      <c r="B1834" s="52">
        <f>IF(Учет!$O1834=Справочники!$F$2,Учет!$H1834,0)</f>
        <v>0</v>
      </c>
      <c r="C1834" s="52">
        <f>IF(Учет!$O1834=Справочники!$F$3,Учет!$H1834,0)</f>
        <v>0</v>
      </c>
      <c r="D1834" s="52">
        <f>IF(Учет!$O1834=Справочники!$F$4,Учет!$H1834,0)</f>
        <v>0</v>
      </c>
      <c r="E1834" s="52">
        <f>IF(Учет!$O1834=Справочники!$F$5,Учет!$H1834,0)</f>
        <v>0</v>
      </c>
      <c r="F1834" s="52">
        <f>IF(Учет!$O1834=Справочники!$F$6,Учет!$H1834,0)</f>
        <v>0</v>
      </c>
      <c r="G1834" s="43">
        <f>G1833+Учет!B1834-B1834</f>
        <v>-488978.92000000004</v>
      </c>
      <c r="H1834" s="43">
        <f>H1833+Учет!C1834-C1834</f>
        <v>336855</v>
      </c>
      <c r="I1834" s="43">
        <f>I1833+Учет!D1834-D1834</f>
        <v>500</v>
      </c>
      <c r="J1834" s="43">
        <f>J1833+Учет!E1834-E1834</f>
        <v>1150</v>
      </c>
      <c r="K1834" s="43">
        <f>K1833+Учет!F1834-F1834</f>
        <v>500000</v>
      </c>
      <c r="L1834" s="45">
        <f>Учет!I1834</f>
        <v>349526.07999999996</v>
      </c>
    </row>
    <row r="1835" spans="1:12" x14ac:dyDescent="0.25">
      <c r="A1835" s="48" t="str">
        <f>IF(Учет!A1835&lt;&gt;"",Учет!A1835,"")</f>
        <v/>
      </c>
      <c r="B1835" s="52">
        <f>IF(Учет!$O1835=Справочники!$F$2,Учет!$H1835,0)</f>
        <v>0</v>
      </c>
      <c r="C1835" s="52">
        <f>IF(Учет!$O1835=Справочники!$F$3,Учет!$H1835,0)</f>
        <v>0</v>
      </c>
      <c r="D1835" s="52">
        <f>IF(Учет!$O1835=Справочники!$F$4,Учет!$H1835,0)</f>
        <v>0</v>
      </c>
      <c r="E1835" s="52">
        <f>IF(Учет!$O1835=Справочники!$F$5,Учет!$H1835,0)</f>
        <v>0</v>
      </c>
      <c r="F1835" s="52">
        <f>IF(Учет!$O1835=Справочники!$F$6,Учет!$H1835,0)</f>
        <v>0</v>
      </c>
      <c r="G1835" s="43">
        <f>G1834+Учет!B1835-B1835</f>
        <v>-488978.92000000004</v>
      </c>
      <c r="H1835" s="43">
        <f>H1834+Учет!C1835-C1835</f>
        <v>336855</v>
      </c>
      <c r="I1835" s="43">
        <f>I1834+Учет!D1835-D1835</f>
        <v>500</v>
      </c>
      <c r="J1835" s="43">
        <f>J1834+Учет!E1835-E1835</f>
        <v>1150</v>
      </c>
      <c r="K1835" s="43">
        <f>K1834+Учет!F1835-F1835</f>
        <v>500000</v>
      </c>
      <c r="L1835" s="45">
        <f>Учет!I1835</f>
        <v>349526.07999999996</v>
      </c>
    </row>
    <row r="1836" spans="1:12" x14ac:dyDescent="0.25">
      <c r="A1836" s="48" t="str">
        <f>IF(Учет!A1836&lt;&gt;"",Учет!A1836,"")</f>
        <v/>
      </c>
      <c r="B1836" s="52">
        <f>IF(Учет!$O1836=Справочники!$F$2,Учет!$H1836,0)</f>
        <v>0</v>
      </c>
      <c r="C1836" s="52">
        <f>IF(Учет!$O1836=Справочники!$F$3,Учет!$H1836,0)</f>
        <v>0</v>
      </c>
      <c r="D1836" s="52">
        <f>IF(Учет!$O1836=Справочники!$F$4,Учет!$H1836,0)</f>
        <v>0</v>
      </c>
      <c r="E1836" s="52">
        <f>IF(Учет!$O1836=Справочники!$F$5,Учет!$H1836,0)</f>
        <v>0</v>
      </c>
      <c r="F1836" s="52">
        <f>IF(Учет!$O1836=Справочники!$F$6,Учет!$H1836,0)</f>
        <v>0</v>
      </c>
      <c r="G1836" s="43">
        <f>G1835+Учет!B1836-B1836</f>
        <v>-488978.92000000004</v>
      </c>
      <c r="H1836" s="43">
        <f>H1835+Учет!C1836-C1836</f>
        <v>336855</v>
      </c>
      <c r="I1836" s="43">
        <f>I1835+Учет!D1836-D1836</f>
        <v>500</v>
      </c>
      <c r="J1836" s="43">
        <f>J1835+Учет!E1836-E1836</f>
        <v>1150</v>
      </c>
      <c r="K1836" s="43">
        <f>K1835+Учет!F1836-F1836</f>
        <v>500000</v>
      </c>
      <c r="L1836" s="45">
        <f>Учет!I1836</f>
        <v>349526.07999999996</v>
      </c>
    </row>
    <row r="1837" spans="1:12" x14ac:dyDescent="0.25">
      <c r="A1837" s="48" t="str">
        <f>IF(Учет!A1837&lt;&gt;"",Учет!A1837,"")</f>
        <v/>
      </c>
      <c r="B1837" s="52">
        <f>IF(Учет!$O1837=Справочники!$F$2,Учет!$H1837,0)</f>
        <v>0</v>
      </c>
      <c r="C1837" s="52">
        <f>IF(Учет!$O1837=Справочники!$F$3,Учет!$H1837,0)</f>
        <v>0</v>
      </c>
      <c r="D1837" s="52">
        <f>IF(Учет!$O1837=Справочники!$F$4,Учет!$H1837,0)</f>
        <v>0</v>
      </c>
      <c r="E1837" s="52">
        <f>IF(Учет!$O1837=Справочники!$F$5,Учет!$H1837,0)</f>
        <v>0</v>
      </c>
      <c r="F1837" s="52">
        <f>IF(Учет!$O1837=Справочники!$F$6,Учет!$H1837,0)</f>
        <v>0</v>
      </c>
      <c r="G1837" s="43">
        <f>G1836+Учет!B1837-B1837</f>
        <v>-488978.92000000004</v>
      </c>
      <c r="H1837" s="43">
        <f>H1836+Учет!C1837-C1837</f>
        <v>336855</v>
      </c>
      <c r="I1837" s="43">
        <f>I1836+Учет!D1837-D1837</f>
        <v>500</v>
      </c>
      <c r="J1837" s="43">
        <f>J1836+Учет!E1837-E1837</f>
        <v>1150</v>
      </c>
      <c r="K1837" s="43">
        <f>K1836+Учет!F1837-F1837</f>
        <v>500000</v>
      </c>
      <c r="L1837" s="45">
        <f>Учет!I1837</f>
        <v>349526.07999999996</v>
      </c>
    </row>
    <row r="1838" spans="1:12" x14ac:dyDescent="0.25">
      <c r="A1838" s="48" t="str">
        <f>IF(Учет!A1838&lt;&gt;"",Учет!A1838,"")</f>
        <v/>
      </c>
      <c r="B1838" s="52">
        <f>IF(Учет!$O1838=Справочники!$F$2,Учет!$H1838,0)</f>
        <v>0</v>
      </c>
      <c r="C1838" s="52">
        <f>IF(Учет!$O1838=Справочники!$F$3,Учет!$H1838,0)</f>
        <v>0</v>
      </c>
      <c r="D1838" s="52">
        <f>IF(Учет!$O1838=Справочники!$F$4,Учет!$H1838,0)</f>
        <v>0</v>
      </c>
      <c r="E1838" s="52">
        <f>IF(Учет!$O1838=Справочники!$F$5,Учет!$H1838,0)</f>
        <v>0</v>
      </c>
      <c r="F1838" s="52">
        <f>IF(Учет!$O1838=Справочники!$F$6,Учет!$H1838,0)</f>
        <v>0</v>
      </c>
      <c r="G1838" s="43">
        <f>G1837+Учет!B1838-B1838</f>
        <v>-488978.92000000004</v>
      </c>
      <c r="H1838" s="43">
        <f>H1837+Учет!C1838-C1838</f>
        <v>336855</v>
      </c>
      <c r="I1838" s="43">
        <f>I1837+Учет!D1838-D1838</f>
        <v>500</v>
      </c>
      <c r="J1838" s="43">
        <f>J1837+Учет!E1838-E1838</f>
        <v>1150</v>
      </c>
      <c r="K1838" s="43">
        <f>K1837+Учет!F1838-F1838</f>
        <v>500000</v>
      </c>
      <c r="L1838" s="45">
        <f>Учет!I1838</f>
        <v>349526.07999999996</v>
      </c>
    </row>
    <row r="1839" spans="1:12" x14ac:dyDescent="0.25">
      <c r="A1839" s="48" t="str">
        <f>IF(Учет!A1839&lt;&gt;"",Учет!A1839,"")</f>
        <v/>
      </c>
      <c r="B1839" s="52">
        <f>IF(Учет!$O1839=Справочники!$F$2,Учет!$H1839,0)</f>
        <v>0</v>
      </c>
      <c r="C1839" s="52">
        <f>IF(Учет!$O1839=Справочники!$F$3,Учет!$H1839,0)</f>
        <v>0</v>
      </c>
      <c r="D1839" s="52">
        <f>IF(Учет!$O1839=Справочники!$F$4,Учет!$H1839,0)</f>
        <v>0</v>
      </c>
      <c r="E1839" s="52">
        <f>IF(Учет!$O1839=Справочники!$F$5,Учет!$H1839,0)</f>
        <v>0</v>
      </c>
      <c r="F1839" s="52">
        <f>IF(Учет!$O1839=Справочники!$F$6,Учет!$H1839,0)</f>
        <v>0</v>
      </c>
      <c r="G1839" s="43">
        <f>G1838+Учет!B1839-B1839</f>
        <v>-488978.92000000004</v>
      </c>
      <c r="H1839" s="43">
        <f>H1838+Учет!C1839-C1839</f>
        <v>336855</v>
      </c>
      <c r="I1839" s="43">
        <f>I1838+Учет!D1839-D1839</f>
        <v>500</v>
      </c>
      <c r="J1839" s="43">
        <f>J1838+Учет!E1839-E1839</f>
        <v>1150</v>
      </c>
      <c r="K1839" s="43">
        <f>K1838+Учет!F1839-F1839</f>
        <v>500000</v>
      </c>
      <c r="L1839" s="45">
        <f>Учет!I1839</f>
        <v>349526.07999999996</v>
      </c>
    </row>
    <row r="1840" spans="1:12" x14ac:dyDescent="0.25">
      <c r="A1840" s="48" t="str">
        <f>IF(Учет!A1840&lt;&gt;"",Учет!A1840,"")</f>
        <v/>
      </c>
      <c r="B1840" s="52">
        <f>IF(Учет!$O1840=Справочники!$F$2,Учет!$H1840,0)</f>
        <v>0</v>
      </c>
      <c r="C1840" s="52">
        <f>IF(Учет!$O1840=Справочники!$F$3,Учет!$H1840,0)</f>
        <v>0</v>
      </c>
      <c r="D1840" s="52">
        <f>IF(Учет!$O1840=Справочники!$F$4,Учет!$H1840,0)</f>
        <v>0</v>
      </c>
      <c r="E1840" s="52">
        <f>IF(Учет!$O1840=Справочники!$F$5,Учет!$H1840,0)</f>
        <v>0</v>
      </c>
      <c r="F1840" s="52">
        <f>IF(Учет!$O1840=Справочники!$F$6,Учет!$H1840,0)</f>
        <v>0</v>
      </c>
      <c r="G1840" s="43">
        <f>G1839+Учет!B1840-B1840</f>
        <v>-488978.92000000004</v>
      </c>
      <c r="H1840" s="43">
        <f>H1839+Учет!C1840-C1840</f>
        <v>336855</v>
      </c>
      <c r="I1840" s="43">
        <f>I1839+Учет!D1840-D1840</f>
        <v>500</v>
      </c>
      <c r="J1840" s="43">
        <f>J1839+Учет!E1840-E1840</f>
        <v>1150</v>
      </c>
      <c r="K1840" s="43">
        <f>K1839+Учет!F1840-F1840</f>
        <v>500000</v>
      </c>
      <c r="L1840" s="45">
        <f>Учет!I1840</f>
        <v>349526.07999999996</v>
      </c>
    </row>
    <row r="1841" spans="1:12" x14ac:dyDescent="0.25">
      <c r="A1841" s="48" t="str">
        <f>IF(Учет!A1841&lt;&gt;"",Учет!A1841,"")</f>
        <v/>
      </c>
      <c r="B1841" s="52">
        <f>IF(Учет!$O1841=Справочники!$F$2,Учет!$H1841,0)</f>
        <v>0</v>
      </c>
      <c r="C1841" s="52">
        <f>IF(Учет!$O1841=Справочники!$F$3,Учет!$H1841,0)</f>
        <v>0</v>
      </c>
      <c r="D1841" s="52">
        <f>IF(Учет!$O1841=Справочники!$F$4,Учет!$H1841,0)</f>
        <v>0</v>
      </c>
      <c r="E1841" s="52">
        <f>IF(Учет!$O1841=Справочники!$F$5,Учет!$H1841,0)</f>
        <v>0</v>
      </c>
      <c r="F1841" s="52">
        <f>IF(Учет!$O1841=Справочники!$F$6,Учет!$H1841,0)</f>
        <v>0</v>
      </c>
      <c r="G1841" s="43">
        <f>G1840+Учет!B1841-B1841</f>
        <v>-488978.92000000004</v>
      </c>
      <c r="H1841" s="43">
        <f>H1840+Учет!C1841-C1841</f>
        <v>336855</v>
      </c>
      <c r="I1841" s="43">
        <f>I1840+Учет!D1841-D1841</f>
        <v>500</v>
      </c>
      <c r="J1841" s="43">
        <f>J1840+Учет!E1841-E1841</f>
        <v>1150</v>
      </c>
      <c r="K1841" s="43">
        <f>K1840+Учет!F1841-F1841</f>
        <v>500000</v>
      </c>
      <c r="L1841" s="45">
        <f>Учет!I1841</f>
        <v>349526.07999999996</v>
      </c>
    </row>
    <row r="1842" spans="1:12" x14ac:dyDescent="0.25">
      <c r="A1842" s="48" t="str">
        <f>IF(Учет!A1842&lt;&gt;"",Учет!A1842,"")</f>
        <v/>
      </c>
      <c r="B1842" s="52">
        <f>IF(Учет!$O1842=Справочники!$F$2,Учет!$H1842,0)</f>
        <v>0</v>
      </c>
      <c r="C1842" s="52">
        <f>IF(Учет!$O1842=Справочники!$F$3,Учет!$H1842,0)</f>
        <v>0</v>
      </c>
      <c r="D1842" s="52">
        <f>IF(Учет!$O1842=Справочники!$F$4,Учет!$H1842,0)</f>
        <v>0</v>
      </c>
      <c r="E1842" s="52">
        <f>IF(Учет!$O1842=Справочники!$F$5,Учет!$H1842,0)</f>
        <v>0</v>
      </c>
      <c r="F1842" s="52">
        <f>IF(Учет!$O1842=Справочники!$F$6,Учет!$H1842,0)</f>
        <v>0</v>
      </c>
      <c r="G1842" s="43">
        <f>G1841+Учет!B1842-B1842</f>
        <v>-488978.92000000004</v>
      </c>
      <c r="H1842" s="43">
        <f>H1841+Учет!C1842-C1842</f>
        <v>336855</v>
      </c>
      <c r="I1842" s="43">
        <f>I1841+Учет!D1842-D1842</f>
        <v>500</v>
      </c>
      <c r="J1842" s="43">
        <f>J1841+Учет!E1842-E1842</f>
        <v>1150</v>
      </c>
      <c r="K1842" s="43">
        <f>K1841+Учет!F1842-F1842</f>
        <v>500000</v>
      </c>
      <c r="L1842" s="45">
        <f>Учет!I1842</f>
        <v>349526.07999999996</v>
      </c>
    </row>
    <row r="1843" spans="1:12" x14ac:dyDescent="0.25">
      <c r="A1843" s="48" t="str">
        <f>IF(Учет!A1843&lt;&gt;"",Учет!A1843,"")</f>
        <v/>
      </c>
      <c r="B1843" s="52">
        <f>IF(Учет!$O1843=Справочники!$F$2,Учет!$H1843,0)</f>
        <v>0</v>
      </c>
      <c r="C1843" s="52">
        <f>IF(Учет!$O1843=Справочники!$F$3,Учет!$H1843,0)</f>
        <v>0</v>
      </c>
      <c r="D1843" s="52">
        <f>IF(Учет!$O1843=Справочники!$F$4,Учет!$H1843,0)</f>
        <v>0</v>
      </c>
      <c r="E1843" s="52">
        <f>IF(Учет!$O1843=Справочники!$F$5,Учет!$H1843,0)</f>
        <v>0</v>
      </c>
      <c r="F1843" s="52">
        <f>IF(Учет!$O1843=Справочники!$F$6,Учет!$H1843,0)</f>
        <v>0</v>
      </c>
      <c r="G1843" s="43">
        <f>G1842+Учет!B1843-B1843</f>
        <v>-488978.92000000004</v>
      </c>
      <c r="H1843" s="43">
        <f>H1842+Учет!C1843-C1843</f>
        <v>336855</v>
      </c>
      <c r="I1843" s="43">
        <f>I1842+Учет!D1843-D1843</f>
        <v>500</v>
      </c>
      <c r="J1843" s="43">
        <f>J1842+Учет!E1843-E1843</f>
        <v>1150</v>
      </c>
      <c r="K1843" s="43">
        <f>K1842+Учет!F1843-F1843</f>
        <v>500000</v>
      </c>
      <c r="L1843" s="45">
        <f>Учет!I1843</f>
        <v>349526.07999999996</v>
      </c>
    </row>
    <row r="1844" spans="1:12" x14ac:dyDescent="0.25">
      <c r="A1844" s="48" t="str">
        <f>IF(Учет!A1844&lt;&gt;"",Учет!A1844,"")</f>
        <v/>
      </c>
      <c r="B1844" s="52">
        <f>IF(Учет!$O1844=Справочники!$F$2,Учет!$H1844,0)</f>
        <v>0</v>
      </c>
      <c r="C1844" s="52">
        <f>IF(Учет!$O1844=Справочники!$F$3,Учет!$H1844,0)</f>
        <v>0</v>
      </c>
      <c r="D1844" s="52">
        <f>IF(Учет!$O1844=Справочники!$F$4,Учет!$H1844,0)</f>
        <v>0</v>
      </c>
      <c r="E1844" s="52">
        <f>IF(Учет!$O1844=Справочники!$F$5,Учет!$H1844,0)</f>
        <v>0</v>
      </c>
      <c r="F1844" s="52">
        <f>IF(Учет!$O1844=Справочники!$F$6,Учет!$H1844,0)</f>
        <v>0</v>
      </c>
      <c r="G1844" s="43">
        <f>G1843+Учет!B1844-B1844</f>
        <v>-488978.92000000004</v>
      </c>
      <c r="H1844" s="43">
        <f>H1843+Учет!C1844-C1844</f>
        <v>336855</v>
      </c>
      <c r="I1844" s="43">
        <f>I1843+Учет!D1844-D1844</f>
        <v>500</v>
      </c>
      <c r="J1844" s="43">
        <f>J1843+Учет!E1844-E1844</f>
        <v>1150</v>
      </c>
      <c r="K1844" s="43">
        <f>K1843+Учет!F1844-F1844</f>
        <v>500000</v>
      </c>
      <c r="L1844" s="45">
        <f>Учет!I1844</f>
        <v>349526.07999999996</v>
      </c>
    </row>
    <row r="1845" spans="1:12" x14ac:dyDescent="0.25">
      <c r="A1845" s="48" t="str">
        <f>IF(Учет!A1845&lt;&gt;"",Учет!A1845,"")</f>
        <v/>
      </c>
      <c r="B1845" s="52">
        <f>IF(Учет!$O1845=Справочники!$F$2,Учет!$H1845,0)</f>
        <v>0</v>
      </c>
      <c r="C1845" s="52">
        <f>IF(Учет!$O1845=Справочники!$F$3,Учет!$H1845,0)</f>
        <v>0</v>
      </c>
      <c r="D1845" s="52">
        <f>IF(Учет!$O1845=Справочники!$F$4,Учет!$H1845,0)</f>
        <v>0</v>
      </c>
      <c r="E1845" s="52">
        <f>IF(Учет!$O1845=Справочники!$F$5,Учет!$H1845,0)</f>
        <v>0</v>
      </c>
      <c r="F1845" s="52">
        <f>IF(Учет!$O1845=Справочники!$F$6,Учет!$H1845,0)</f>
        <v>0</v>
      </c>
      <c r="G1845" s="43">
        <f>G1844+Учет!B1845-B1845</f>
        <v>-488978.92000000004</v>
      </c>
      <c r="H1845" s="43">
        <f>H1844+Учет!C1845-C1845</f>
        <v>336855</v>
      </c>
      <c r="I1845" s="43">
        <f>I1844+Учет!D1845-D1845</f>
        <v>500</v>
      </c>
      <c r="J1845" s="43">
        <f>J1844+Учет!E1845-E1845</f>
        <v>1150</v>
      </c>
      <c r="K1845" s="43">
        <f>K1844+Учет!F1845-F1845</f>
        <v>500000</v>
      </c>
      <c r="L1845" s="45">
        <f>Учет!I1845</f>
        <v>349526.07999999996</v>
      </c>
    </row>
    <row r="1846" spans="1:12" x14ac:dyDescent="0.25">
      <c r="A1846" s="48" t="str">
        <f>IF(Учет!A1846&lt;&gt;"",Учет!A1846,"")</f>
        <v/>
      </c>
      <c r="B1846" s="52">
        <f>IF(Учет!$O1846=Справочники!$F$2,Учет!$H1846,0)</f>
        <v>0</v>
      </c>
      <c r="C1846" s="52">
        <f>IF(Учет!$O1846=Справочники!$F$3,Учет!$H1846,0)</f>
        <v>0</v>
      </c>
      <c r="D1846" s="52">
        <f>IF(Учет!$O1846=Справочники!$F$4,Учет!$H1846,0)</f>
        <v>0</v>
      </c>
      <c r="E1846" s="52">
        <f>IF(Учет!$O1846=Справочники!$F$5,Учет!$H1846,0)</f>
        <v>0</v>
      </c>
      <c r="F1846" s="52">
        <f>IF(Учет!$O1846=Справочники!$F$6,Учет!$H1846,0)</f>
        <v>0</v>
      </c>
      <c r="G1846" s="43">
        <f>G1845+Учет!B1846-B1846</f>
        <v>-488978.92000000004</v>
      </c>
      <c r="H1846" s="43">
        <f>H1845+Учет!C1846-C1846</f>
        <v>336855</v>
      </c>
      <c r="I1846" s="43">
        <f>I1845+Учет!D1846-D1846</f>
        <v>500</v>
      </c>
      <c r="J1846" s="43">
        <f>J1845+Учет!E1846-E1846</f>
        <v>1150</v>
      </c>
      <c r="K1846" s="43">
        <f>K1845+Учет!F1846-F1846</f>
        <v>500000</v>
      </c>
      <c r="L1846" s="45">
        <f>Учет!I1846</f>
        <v>349526.07999999996</v>
      </c>
    </row>
    <row r="1847" spans="1:12" x14ac:dyDescent="0.25">
      <c r="A1847" s="48" t="str">
        <f>IF(Учет!A1847&lt;&gt;"",Учет!A1847,"")</f>
        <v/>
      </c>
      <c r="B1847" s="52">
        <f>IF(Учет!$O1847=Справочники!$F$2,Учет!$H1847,0)</f>
        <v>0</v>
      </c>
      <c r="C1847" s="52">
        <f>IF(Учет!$O1847=Справочники!$F$3,Учет!$H1847,0)</f>
        <v>0</v>
      </c>
      <c r="D1847" s="52">
        <f>IF(Учет!$O1847=Справочники!$F$4,Учет!$H1847,0)</f>
        <v>0</v>
      </c>
      <c r="E1847" s="52">
        <f>IF(Учет!$O1847=Справочники!$F$5,Учет!$H1847,0)</f>
        <v>0</v>
      </c>
      <c r="F1847" s="52">
        <f>IF(Учет!$O1847=Справочники!$F$6,Учет!$H1847,0)</f>
        <v>0</v>
      </c>
      <c r="G1847" s="43">
        <f>G1846+Учет!B1847-B1847</f>
        <v>-488978.92000000004</v>
      </c>
      <c r="H1847" s="43">
        <f>H1846+Учет!C1847-C1847</f>
        <v>336855</v>
      </c>
      <c r="I1847" s="43">
        <f>I1846+Учет!D1847-D1847</f>
        <v>500</v>
      </c>
      <c r="J1847" s="43">
        <f>J1846+Учет!E1847-E1847</f>
        <v>1150</v>
      </c>
      <c r="K1847" s="43">
        <f>K1846+Учет!F1847-F1847</f>
        <v>500000</v>
      </c>
      <c r="L1847" s="45">
        <f>Учет!I1847</f>
        <v>349526.07999999996</v>
      </c>
    </row>
    <row r="1848" spans="1:12" x14ac:dyDescent="0.25">
      <c r="A1848" s="48" t="str">
        <f>IF(Учет!A1848&lt;&gt;"",Учет!A1848,"")</f>
        <v/>
      </c>
      <c r="B1848" s="52">
        <f>IF(Учет!$O1848=Справочники!$F$2,Учет!$H1848,0)</f>
        <v>0</v>
      </c>
      <c r="C1848" s="52">
        <f>IF(Учет!$O1848=Справочники!$F$3,Учет!$H1848,0)</f>
        <v>0</v>
      </c>
      <c r="D1848" s="52">
        <f>IF(Учет!$O1848=Справочники!$F$4,Учет!$H1848,0)</f>
        <v>0</v>
      </c>
      <c r="E1848" s="52">
        <f>IF(Учет!$O1848=Справочники!$F$5,Учет!$H1848,0)</f>
        <v>0</v>
      </c>
      <c r="F1848" s="52">
        <f>IF(Учет!$O1848=Справочники!$F$6,Учет!$H1848,0)</f>
        <v>0</v>
      </c>
      <c r="G1848" s="43">
        <f>G1847+Учет!B1848-B1848</f>
        <v>-488978.92000000004</v>
      </c>
      <c r="H1848" s="43">
        <f>H1847+Учет!C1848-C1848</f>
        <v>336855</v>
      </c>
      <c r="I1848" s="43">
        <f>I1847+Учет!D1848-D1848</f>
        <v>500</v>
      </c>
      <c r="J1848" s="43">
        <f>J1847+Учет!E1848-E1848</f>
        <v>1150</v>
      </c>
      <c r="K1848" s="43">
        <f>K1847+Учет!F1848-F1848</f>
        <v>500000</v>
      </c>
      <c r="L1848" s="45">
        <f>Учет!I1848</f>
        <v>349526.07999999996</v>
      </c>
    </row>
    <row r="1849" spans="1:12" x14ac:dyDescent="0.25">
      <c r="A1849" s="48" t="str">
        <f>IF(Учет!A1849&lt;&gt;"",Учет!A1849,"")</f>
        <v/>
      </c>
      <c r="B1849" s="52">
        <f>IF(Учет!$O1849=Справочники!$F$2,Учет!$H1849,0)</f>
        <v>0</v>
      </c>
      <c r="C1849" s="52">
        <f>IF(Учет!$O1849=Справочники!$F$3,Учет!$H1849,0)</f>
        <v>0</v>
      </c>
      <c r="D1849" s="52">
        <f>IF(Учет!$O1849=Справочники!$F$4,Учет!$H1849,0)</f>
        <v>0</v>
      </c>
      <c r="E1849" s="52">
        <f>IF(Учет!$O1849=Справочники!$F$5,Учет!$H1849,0)</f>
        <v>0</v>
      </c>
      <c r="F1849" s="52">
        <f>IF(Учет!$O1849=Справочники!$F$6,Учет!$H1849,0)</f>
        <v>0</v>
      </c>
      <c r="G1849" s="43">
        <f>G1848+Учет!B1849-B1849</f>
        <v>-488978.92000000004</v>
      </c>
      <c r="H1849" s="43">
        <f>H1848+Учет!C1849-C1849</f>
        <v>336855</v>
      </c>
      <c r="I1849" s="43">
        <f>I1848+Учет!D1849-D1849</f>
        <v>500</v>
      </c>
      <c r="J1849" s="43">
        <f>J1848+Учет!E1849-E1849</f>
        <v>1150</v>
      </c>
      <c r="K1849" s="43">
        <f>K1848+Учет!F1849-F1849</f>
        <v>500000</v>
      </c>
      <c r="L1849" s="45">
        <f>Учет!I1849</f>
        <v>349526.07999999996</v>
      </c>
    </row>
    <row r="1850" spans="1:12" x14ac:dyDescent="0.25">
      <c r="A1850" s="48" t="str">
        <f>IF(Учет!A1850&lt;&gt;"",Учет!A1850,"")</f>
        <v/>
      </c>
      <c r="B1850" s="52">
        <f>IF(Учет!$O1850=Справочники!$F$2,Учет!$H1850,0)</f>
        <v>0</v>
      </c>
      <c r="C1850" s="52">
        <f>IF(Учет!$O1850=Справочники!$F$3,Учет!$H1850,0)</f>
        <v>0</v>
      </c>
      <c r="D1850" s="52">
        <f>IF(Учет!$O1850=Справочники!$F$4,Учет!$H1850,0)</f>
        <v>0</v>
      </c>
      <c r="E1850" s="52">
        <f>IF(Учет!$O1850=Справочники!$F$5,Учет!$H1850,0)</f>
        <v>0</v>
      </c>
      <c r="F1850" s="52">
        <f>IF(Учет!$O1850=Справочники!$F$6,Учет!$H1850,0)</f>
        <v>0</v>
      </c>
      <c r="G1850" s="43">
        <f>G1849+Учет!B1850-B1850</f>
        <v>-488978.92000000004</v>
      </c>
      <c r="H1850" s="43">
        <f>H1849+Учет!C1850-C1850</f>
        <v>336855</v>
      </c>
      <c r="I1850" s="43">
        <f>I1849+Учет!D1850-D1850</f>
        <v>500</v>
      </c>
      <c r="J1850" s="43">
        <f>J1849+Учет!E1850-E1850</f>
        <v>1150</v>
      </c>
      <c r="K1850" s="43">
        <f>K1849+Учет!F1850-F1850</f>
        <v>500000</v>
      </c>
      <c r="L1850" s="45">
        <f>Учет!I1850</f>
        <v>349526.07999999996</v>
      </c>
    </row>
    <row r="1851" spans="1:12" x14ac:dyDescent="0.25">
      <c r="A1851" s="48" t="str">
        <f>IF(Учет!A1851&lt;&gt;"",Учет!A1851,"")</f>
        <v/>
      </c>
      <c r="B1851" s="52">
        <f>IF(Учет!$O1851=Справочники!$F$2,Учет!$H1851,0)</f>
        <v>0</v>
      </c>
      <c r="C1851" s="52">
        <f>IF(Учет!$O1851=Справочники!$F$3,Учет!$H1851,0)</f>
        <v>0</v>
      </c>
      <c r="D1851" s="52">
        <f>IF(Учет!$O1851=Справочники!$F$4,Учет!$H1851,0)</f>
        <v>0</v>
      </c>
      <c r="E1851" s="52">
        <f>IF(Учет!$O1851=Справочники!$F$5,Учет!$H1851,0)</f>
        <v>0</v>
      </c>
      <c r="F1851" s="52">
        <f>IF(Учет!$O1851=Справочники!$F$6,Учет!$H1851,0)</f>
        <v>0</v>
      </c>
      <c r="G1851" s="43">
        <f>G1850+Учет!B1851-B1851</f>
        <v>-488978.92000000004</v>
      </c>
      <c r="H1851" s="43">
        <f>H1850+Учет!C1851-C1851</f>
        <v>336855</v>
      </c>
      <c r="I1851" s="43">
        <f>I1850+Учет!D1851-D1851</f>
        <v>500</v>
      </c>
      <c r="J1851" s="43">
        <f>J1850+Учет!E1851-E1851</f>
        <v>1150</v>
      </c>
      <c r="K1851" s="43">
        <f>K1850+Учет!F1851-F1851</f>
        <v>500000</v>
      </c>
      <c r="L1851" s="45">
        <f>Учет!I1851</f>
        <v>349526.07999999996</v>
      </c>
    </row>
    <row r="1852" spans="1:12" x14ac:dyDescent="0.25">
      <c r="A1852" s="48" t="str">
        <f>IF(Учет!A1852&lt;&gt;"",Учет!A1852,"")</f>
        <v/>
      </c>
      <c r="B1852" s="52">
        <f>IF(Учет!$O1852=Справочники!$F$2,Учет!$H1852,0)</f>
        <v>0</v>
      </c>
      <c r="C1852" s="52">
        <f>IF(Учет!$O1852=Справочники!$F$3,Учет!$H1852,0)</f>
        <v>0</v>
      </c>
      <c r="D1852" s="52">
        <f>IF(Учет!$O1852=Справочники!$F$4,Учет!$H1852,0)</f>
        <v>0</v>
      </c>
      <c r="E1852" s="52">
        <f>IF(Учет!$O1852=Справочники!$F$5,Учет!$H1852,0)</f>
        <v>0</v>
      </c>
      <c r="F1852" s="52">
        <f>IF(Учет!$O1852=Справочники!$F$6,Учет!$H1852,0)</f>
        <v>0</v>
      </c>
      <c r="G1852" s="43">
        <f>G1851+Учет!B1852-B1852</f>
        <v>-488978.92000000004</v>
      </c>
      <c r="H1852" s="43">
        <f>H1851+Учет!C1852-C1852</f>
        <v>336855</v>
      </c>
      <c r="I1852" s="43">
        <f>I1851+Учет!D1852-D1852</f>
        <v>500</v>
      </c>
      <c r="J1852" s="43">
        <f>J1851+Учет!E1852-E1852</f>
        <v>1150</v>
      </c>
      <c r="K1852" s="43">
        <f>K1851+Учет!F1852-F1852</f>
        <v>500000</v>
      </c>
      <c r="L1852" s="45">
        <f>Учет!I1852</f>
        <v>349526.07999999996</v>
      </c>
    </row>
    <row r="1853" spans="1:12" x14ac:dyDescent="0.25">
      <c r="A1853" s="48" t="str">
        <f>IF(Учет!A1853&lt;&gt;"",Учет!A1853,"")</f>
        <v/>
      </c>
      <c r="B1853" s="52">
        <f>IF(Учет!$O1853=Справочники!$F$2,Учет!$H1853,0)</f>
        <v>0</v>
      </c>
      <c r="C1853" s="52">
        <f>IF(Учет!$O1853=Справочники!$F$3,Учет!$H1853,0)</f>
        <v>0</v>
      </c>
      <c r="D1853" s="52">
        <f>IF(Учет!$O1853=Справочники!$F$4,Учет!$H1853,0)</f>
        <v>0</v>
      </c>
      <c r="E1853" s="52">
        <f>IF(Учет!$O1853=Справочники!$F$5,Учет!$H1853,0)</f>
        <v>0</v>
      </c>
      <c r="F1853" s="52">
        <f>IF(Учет!$O1853=Справочники!$F$6,Учет!$H1853,0)</f>
        <v>0</v>
      </c>
      <c r="G1853" s="43">
        <f>G1852+Учет!B1853-B1853</f>
        <v>-488978.92000000004</v>
      </c>
      <c r="H1853" s="43">
        <f>H1852+Учет!C1853-C1853</f>
        <v>336855</v>
      </c>
      <c r="I1853" s="43">
        <f>I1852+Учет!D1853-D1853</f>
        <v>500</v>
      </c>
      <c r="J1853" s="43">
        <f>J1852+Учет!E1853-E1853</f>
        <v>1150</v>
      </c>
      <c r="K1853" s="43">
        <f>K1852+Учет!F1853-F1853</f>
        <v>500000</v>
      </c>
      <c r="L1853" s="45">
        <f>Учет!I1853</f>
        <v>349526.07999999996</v>
      </c>
    </row>
    <row r="1854" spans="1:12" x14ac:dyDescent="0.25">
      <c r="A1854" s="48" t="str">
        <f>IF(Учет!A1854&lt;&gt;"",Учет!A1854,"")</f>
        <v/>
      </c>
      <c r="B1854" s="52">
        <f>IF(Учет!$O1854=Справочники!$F$2,Учет!$H1854,0)</f>
        <v>0</v>
      </c>
      <c r="C1854" s="52">
        <f>IF(Учет!$O1854=Справочники!$F$3,Учет!$H1854,0)</f>
        <v>0</v>
      </c>
      <c r="D1854" s="52">
        <f>IF(Учет!$O1854=Справочники!$F$4,Учет!$H1854,0)</f>
        <v>0</v>
      </c>
      <c r="E1854" s="52">
        <f>IF(Учет!$O1854=Справочники!$F$5,Учет!$H1854,0)</f>
        <v>0</v>
      </c>
      <c r="F1854" s="52">
        <f>IF(Учет!$O1854=Справочники!$F$6,Учет!$H1854,0)</f>
        <v>0</v>
      </c>
      <c r="G1854" s="43">
        <f>G1853+Учет!B1854-B1854</f>
        <v>-488978.92000000004</v>
      </c>
      <c r="H1854" s="43">
        <f>H1853+Учет!C1854-C1854</f>
        <v>336855</v>
      </c>
      <c r="I1854" s="43">
        <f>I1853+Учет!D1854-D1854</f>
        <v>500</v>
      </c>
      <c r="J1854" s="43">
        <f>J1853+Учет!E1854-E1854</f>
        <v>1150</v>
      </c>
      <c r="K1854" s="43">
        <f>K1853+Учет!F1854-F1854</f>
        <v>500000</v>
      </c>
      <c r="L1854" s="45">
        <f>Учет!I1854</f>
        <v>349526.07999999996</v>
      </c>
    </row>
    <row r="1855" spans="1:12" x14ac:dyDescent="0.25">
      <c r="A1855" s="48" t="str">
        <f>IF(Учет!A1855&lt;&gt;"",Учет!A1855,"")</f>
        <v/>
      </c>
      <c r="B1855" s="52">
        <f>IF(Учет!$O1855=Справочники!$F$2,Учет!$H1855,0)</f>
        <v>0</v>
      </c>
      <c r="C1855" s="52">
        <f>IF(Учет!$O1855=Справочники!$F$3,Учет!$H1855,0)</f>
        <v>0</v>
      </c>
      <c r="D1855" s="52">
        <f>IF(Учет!$O1855=Справочники!$F$4,Учет!$H1855,0)</f>
        <v>0</v>
      </c>
      <c r="E1855" s="52">
        <f>IF(Учет!$O1855=Справочники!$F$5,Учет!$H1855,0)</f>
        <v>0</v>
      </c>
      <c r="F1855" s="52">
        <f>IF(Учет!$O1855=Справочники!$F$6,Учет!$H1855,0)</f>
        <v>0</v>
      </c>
      <c r="G1855" s="43">
        <f>G1854+Учет!B1855-B1855</f>
        <v>-488978.92000000004</v>
      </c>
      <c r="H1855" s="43">
        <f>H1854+Учет!C1855-C1855</f>
        <v>336855</v>
      </c>
      <c r="I1855" s="43">
        <f>I1854+Учет!D1855-D1855</f>
        <v>500</v>
      </c>
      <c r="J1855" s="43">
        <f>J1854+Учет!E1855-E1855</f>
        <v>1150</v>
      </c>
      <c r="K1855" s="43">
        <f>K1854+Учет!F1855-F1855</f>
        <v>500000</v>
      </c>
      <c r="L1855" s="45">
        <f>Учет!I1855</f>
        <v>349526.07999999996</v>
      </c>
    </row>
    <row r="1856" spans="1:12" x14ac:dyDescent="0.25">
      <c r="A1856" s="48" t="str">
        <f>IF(Учет!A1856&lt;&gt;"",Учет!A1856,"")</f>
        <v/>
      </c>
      <c r="B1856" s="52">
        <f>IF(Учет!$O1856=Справочники!$F$2,Учет!$H1856,0)</f>
        <v>0</v>
      </c>
      <c r="C1856" s="52">
        <f>IF(Учет!$O1856=Справочники!$F$3,Учет!$H1856,0)</f>
        <v>0</v>
      </c>
      <c r="D1856" s="52">
        <f>IF(Учет!$O1856=Справочники!$F$4,Учет!$H1856,0)</f>
        <v>0</v>
      </c>
      <c r="E1856" s="52">
        <f>IF(Учет!$O1856=Справочники!$F$5,Учет!$H1856,0)</f>
        <v>0</v>
      </c>
      <c r="F1856" s="52">
        <f>IF(Учет!$O1856=Справочники!$F$6,Учет!$H1856,0)</f>
        <v>0</v>
      </c>
      <c r="G1856" s="43">
        <f>G1855+Учет!B1856-B1856</f>
        <v>-488978.92000000004</v>
      </c>
      <c r="H1856" s="43">
        <f>H1855+Учет!C1856-C1856</f>
        <v>336855</v>
      </c>
      <c r="I1856" s="43">
        <f>I1855+Учет!D1856-D1856</f>
        <v>500</v>
      </c>
      <c r="J1856" s="43">
        <f>J1855+Учет!E1856-E1856</f>
        <v>1150</v>
      </c>
      <c r="K1856" s="43">
        <f>K1855+Учет!F1856-F1856</f>
        <v>500000</v>
      </c>
      <c r="L1856" s="45">
        <f>Учет!I1856</f>
        <v>349526.07999999996</v>
      </c>
    </row>
    <row r="1857" spans="1:12" x14ac:dyDescent="0.25">
      <c r="A1857" s="48" t="str">
        <f>IF(Учет!A1857&lt;&gt;"",Учет!A1857,"")</f>
        <v/>
      </c>
      <c r="B1857" s="52">
        <f>IF(Учет!$O1857=Справочники!$F$2,Учет!$H1857,0)</f>
        <v>0</v>
      </c>
      <c r="C1857" s="52">
        <f>IF(Учет!$O1857=Справочники!$F$3,Учет!$H1857,0)</f>
        <v>0</v>
      </c>
      <c r="D1857" s="52">
        <f>IF(Учет!$O1857=Справочники!$F$4,Учет!$H1857,0)</f>
        <v>0</v>
      </c>
      <c r="E1857" s="52">
        <f>IF(Учет!$O1857=Справочники!$F$5,Учет!$H1857,0)</f>
        <v>0</v>
      </c>
      <c r="F1857" s="52">
        <f>IF(Учет!$O1857=Справочники!$F$6,Учет!$H1857,0)</f>
        <v>0</v>
      </c>
      <c r="G1857" s="43">
        <f>G1856+Учет!B1857-B1857</f>
        <v>-488978.92000000004</v>
      </c>
      <c r="H1857" s="43">
        <f>H1856+Учет!C1857-C1857</f>
        <v>336855</v>
      </c>
      <c r="I1857" s="43">
        <f>I1856+Учет!D1857-D1857</f>
        <v>500</v>
      </c>
      <c r="J1857" s="43">
        <f>J1856+Учет!E1857-E1857</f>
        <v>1150</v>
      </c>
      <c r="K1857" s="43">
        <f>K1856+Учет!F1857-F1857</f>
        <v>500000</v>
      </c>
      <c r="L1857" s="45">
        <f>Учет!I1857</f>
        <v>349526.07999999996</v>
      </c>
    </row>
    <row r="1858" spans="1:12" x14ac:dyDescent="0.25">
      <c r="A1858" s="48" t="str">
        <f>IF(Учет!A1858&lt;&gt;"",Учет!A1858,"")</f>
        <v/>
      </c>
      <c r="B1858" s="52">
        <f>IF(Учет!$O1858=Справочники!$F$2,Учет!$H1858,0)</f>
        <v>0</v>
      </c>
      <c r="C1858" s="52">
        <f>IF(Учет!$O1858=Справочники!$F$3,Учет!$H1858,0)</f>
        <v>0</v>
      </c>
      <c r="D1858" s="52">
        <f>IF(Учет!$O1858=Справочники!$F$4,Учет!$H1858,0)</f>
        <v>0</v>
      </c>
      <c r="E1858" s="52">
        <f>IF(Учет!$O1858=Справочники!$F$5,Учет!$H1858,0)</f>
        <v>0</v>
      </c>
      <c r="F1858" s="52">
        <f>IF(Учет!$O1858=Справочники!$F$6,Учет!$H1858,0)</f>
        <v>0</v>
      </c>
      <c r="G1858" s="43">
        <f>G1857+Учет!B1858-B1858</f>
        <v>-488978.92000000004</v>
      </c>
      <c r="H1858" s="43">
        <f>H1857+Учет!C1858-C1858</f>
        <v>336855</v>
      </c>
      <c r="I1858" s="43">
        <f>I1857+Учет!D1858-D1858</f>
        <v>500</v>
      </c>
      <c r="J1858" s="43">
        <f>J1857+Учет!E1858-E1858</f>
        <v>1150</v>
      </c>
      <c r="K1858" s="43">
        <f>K1857+Учет!F1858-F1858</f>
        <v>500000</v>
      </c>
      <c r="L1858" s="45">
        <f>Учет!I1858</f>
        <v>349526.07999999996</v>
      </c>
    </row>
    <row r="1859" spans="1:12" x14ac:dyDescent="0.25">
      <c r="A1859" s="48" t="str">
        <f>IF(Учет!A1859&lt;&gt;"",Учет!A1859,"")</f>
        <v/>
      </c>
      <c r="B1859" s="52">
        <f>IF(Учет!$O1859=Справочники!$F$2,Учет!$H1859,0)</f>
        <v>0</v>
      </c>
      <c r="C1859" s="52">
        <f>IF(Учет!$O1859=Справочники!$F$3,Учет!$H1859,0)</f>
        <v>0</v>
      </c>
      <c r="D1859" s="52">
        <f>IF(Учет!$O1859=Справочники!$F$4,Учет!$H1859,0)</f>
        <v>0</v>
      </c>
      <c r="E1859" s="52">
        <f>IF(Учет!$O1859=Справочники!$F$5,Учет!$H1859,0)</f>
        <v>0</v>
      </c>
      <c r="F1859" s="52">
        <f>IF(Учет!$O1859=Справочники!$F$6,Учет!$H1859,0)</f>
        <v>0</v>
      </c>
      <c r="G1859" s="43">
        <f>G1858+Учет!B1859-B1859</f>
        <v>-488978.92000000004</v>
      </c>
      <c r="H1859" s="43">
        <f>H1858+Учет!C1859-C1859</f>
        <v>336855</v>
      </c>
      <c r="I1859" s="43">
        <f>I1858+Учет!D1859-D1859</f>
        <v>500</v>
      </c>
      <c r="J1859" s="43">
        <f>J1858+Учет!E1859-E1859</f>
        <v>1150</v>
      </c>
      <c r="K1859" s="43">
        <f>K1858+Учет!F1859-F1859</f>
        <v>500000</v>
      </c>
      <c r="L1859" s="45">
        <f>Учет!I1859</f>
        <v>349526.07999999996</v>
      </c>
    </row>
    <row r="1860" spans="1:12" x14ac:dyDescent="0.25">
      <c r="A1860" s="48" t="str">
        <f>IF(Учет!A1860&lt;&gt;"",Учет!A1860,"")</f>
        <v/>
      </c>
      <c r="B1860" s="52">
        <f>IF(Учет!$O1860=Справочники!$F$2,Учет!$H1860,0)</f>
        <v>0</v>
      </c>
      <c r="C1860" s="52">
        <f>IF(Учет!$O1860=Справочники!$F$3,Учет!$H1860,0)</f>
        <v>0</v>
      </c>
      <c r="D1860" s="52">
        <f>IF(Учет!$O1860=Справочники!$F$4,Учет!$H1860,0)</f>
        <v>0</v>
      </c>
      <c r="E1860" s="52">
        <f>IF(Учет!$O1860=Справочники!$F$5,Учет!$H1860,0)</f>
        <v>0</v>
      </c>
      <c r="F1860" s="52">
        <f>IF(Учет!$O1860=Справочники!$F$6,Учет!$H1860,0)</f>
        <v>0</v>
      </c>
      <c r="G1860" s="43">
        <f>G1859+Учет!B1860-B1860</f>
        <v>-488978.92000000004</v>
      </c>
      <c r="H1860" s="43">
        <f>H1859+Учет!C1860-C1860</f>
        <v>336855</v>
      </c>
      <c r="I1860" s="43">
        <f>I1859+Учет!D1860-D1860</f>
        <v>500</v>
      </c>
      <c r="J1860" s="43">
        <f>J1859+Учет!E1860-E1860</f>
        <v>1150</v>
      </c>
      <c r="K1860" s="43">
        <f>K1859+Учет!F1860-F1860</f>
        <v>500000</v>
      </c>
      <c r="L1860" s="45">
        <f>Учет!I1860</f>
        <v>349526.07999999996</v>
      </c>
    </row>
    <row r="1861" spans="1:12" x14ac:dyDescent="0.25">
      <c r="A1861" s="48" t="str">
        <f>IF(Учет!A1861&lt;&gt;"",Учет!A1861,"")</f>
        <v/>
      </c>
      <c r="B1861" s="52">
        <f>IF(Учет!$O1861=Справочники!$F$2,Учет!$H1861,0)</f>
        <v>0</v>
      </c>
      <c r="C1861" s="52">
        <f>IF(Учет!$O1861=Справочники!$F$3,Учет!$H1861,0)</f>
        <v>0</v>
      </c>
      <c r="D1861" s="52">
        <f>IF(Учет!$O1861=Справочники!$F$4,Учет!$H1861,0)</f>
        <v>0</v>
      </c>
      <c r="E1861" s="52">
        <f>IF(Учет!$O1861=Справочники!$F$5,Учет!$H1861,0)</f>
        <v>0</v>
      </c>
      <c r="F1861" s="52">
        <f>IF(Учет!$O1861=Справочники!$F$6,Учет!$H1861,0)</f>
        <v>0</v>
      </c>
      <c r="G1861" s="43">
        <f>G1860+Учет!B1861-B1861</f>
        <v>-488978.92000000004</v>
      </c>
      <c r="H1861" s="43">
        <f>H1860+Учет!C1861-C1861</f>
        <v>336855</v>
      </c>
      <c r="I1861" s="43">
        <f>I1860+Учет!D1861-D1861</f>
        <v>500</v>
      </c>
      <c r="J1861" s="43">
        <f>J1860+Учет!E1861-E1861</f>
        <v>1150</v>
      </c>
      <c r="K1861" s="43">
        <f>K1860+Учет!F1861-F1861</f>
        <v>500000</v>
      </c>
      <c r="L1861" s="45">
        <f>Учет!I1861</f>
        <v>349526.07999999996</v>
      </c>
    </row>
    <row r="1862" spans="1:12" x14ac:dyDescent="0.25">
      <c r="A1862" s="48" t="str">
        <f>IF(Учет!A1862&lt;&gt;"",Учет!A1862,"")</f>
        <v/>
      </c>
      <c r="B1862" s="52">
        <f>IF(Учет!$O1862=Справочники!$F$2,Учет!$H1862,0)</f>
        <v>0</v>
      </c>
      <c r="C1862" s="52">
        <f>IF(Учет!$O1862=Справочники!$F$3,Учет!$H1862,0)</f>
        <v>0</v>
      </c>
      <c r="D1862" s="52">
        <f>IF(Учет!$O1862=Справочники!$F$4,Учет!$H1862,0)</f>
        <v>0</v>
      </c>
      <c r="E1862" s="52">
        <f>IF(Учет!$O1862=Справочники!$F$5,Учет!$H1862,0)</f>
        <v>0</v>
      </c>
      <c r="F1862" s="52">
        <f>IF(Учет!$O1862=Справочники!$F$6,Учет!$H1862,0)</f>
        <v>0</v>
      </c>
      <c r="G1862" s="43">
        <f>G1861+Учет!B1862-B1862</f>
        <v>-488978.92000000004</v>
      </c>
      <c r="H1862" s="43">
        <f>H1861+Учет!C1862-C1862</f>
        <v>336855</v>
      </c>
      <c r="I1862" s="43">
        <f>I1861+Учет!D1862-D1862</f>
        <v>500</v>
      </c>
      <c r="J1862" s="43">
        <f>J1861+Учет!E1862-E1862</f>
        <v>1150</v>
      </c>
      <c r="K1862" s="43">
        <f>K1861+Учет!F1862-F1862</f>
        <v>500000</v>
      </c>
      <c r="L1862" s="45">
        <f>Учет!I1862</f>
        <v>349526.07999999996</v>
      </c>
    </row>
    <row r="1863" spans="1:12" x14ac:dyDescent="0.25">
      <c r="A1863" s="48" t="str">
        <f>IF(Учет!A1863&lt;&gt;"",Учет!A1863,"")</f>
        <v/>
      </c>
      <c r="B1863" s="52">
        <f>IF(Учет!$O1863=Справочники!$F$2,Учет!$H1863,0)</f>
        <v>0</v>
      </c>
      <c r="C1863" s="52">
        <f>IF(Учет!$O1863=Справочники!$F$3,Учет!$H1863,0)</f>
        <v>0</v>
      </c>
      <c r="D1863" s="52">
        <f>IF(Учет!$O1863=Справочники!$F$4,Учет!$H1863,0)</f>
        <v>0</v>
      </c>
      <c r="E1863" s="52">
        <f>IF(Учет!$O1863=Справочники!$F$5,Учет!$H1863,0)</f>
        <v>0</v>
      </c>
      <c r="F1863" s="52">
        <f>IF(Учет!$O1863=Справочники!$F$6,Учет!$H1863,0)</f>
        <v>0</v>
      </c>
      <c r="G1863" s="43">
        <f>G1862+Учет!B1863-B1863</f>
        <v>-488978.92000000004</v>
      </c>
      <c r="H1863" s="43">
        <f>H1862+Учет!C1863-C1863</f>
        <v>336855</v>
      </c>
      <c r="I1863" s="43">
        <f>I1862+Учет!D1863-D1863</f>
        <v>500</v>
      </c>
      <c r="J1863" s="43">
        <f>J1862+Учет!E1863-E1863</f>
        <v>1150</v>
      </c>
      <c r="K1863" s="43">
        <f>K1862+Учет!F1863-F1863</f>
        <v>500000</v>
      </c>
      <c r="L1863" s="45">
        <f>Учет!I1863</f>
        <v>349526.07999999996</v>
      </c>
    </row>
    <row r="1864" spans="1:12" x14ac:dyDescent="0.25">
      <c r="A1864" s="48" t="str">
        <f>IF(Учет!A1864&lt;&gt;"",Учет!A1864,"")</f>
        <v/>
      </c>
      <c r="B1864" s="52">
        <f>IF(Учет!$O1864=Справочники!$F$2,Учет!$H1864,0)</f>
        <v>0</v>
      </c>
      <c r="C1864" s="52">
        <f>IF(Учет!$O1864=Справочники!$F$3,Учет!$H1864,0)</f>
        <v>0</v>
      </c>
      <c r="D1864" s="52">
        <f>IF(Учет!$O1864=Справочники!$F$4,Учет!$H1864,0)</f>
        <v>0</v>
      </c>
      <c r="E1864" s="52">
        <f>IF(Учет!$O1864=Справочники!$F$5,Учет!$H1864,0)</f>
        <v>0</v>
      </c>
      <c r="F1864" s="52">
        <f>IF(Учет!$O1864=Справочники!$F$6,Учет!$H1864,0)</f>
        <v>0</v>
      </c>
      <c r="G1864" s="43">
        <f>G1863+Учет!B1864-B1864</f>
        <v>-488978.92000000004</v>
      </c>
      <c r="H1864" s="43">
        <f>H1863+Учет!C1864-C1864</f>
        <v>336855</v>
      </c>
      <c r="I1864" s="43">
        <f>I1863+Учет!D1864-D1864</f>
        <v>500</v>
      </c>
      <c r="J1864" s="43">
        <f>J1863+Учет!E1864-E1864</f>
        <v>1150</v>
      </c>
      <c r="K1864" s="43">
        <f>K1863+Учет!F1864-F1864</f>
        <v>500000</v>
      </c>
      <c r="L1864" s="45">
        <f>Учет!I1864</f>
        <v>349526.07999999996</v>
      </c>
    </row>
    <row r="1865" spans="1:12" x14ac:dyDescent="0.25">
      <c r="A1865" s="48" t="str">
        <f>IF(Учет!A1865&lt;&gt;"",Учет!A1865,"")</f>
        <v/>
      </c>
      <c r="B1865" s="52">
        <f>IF(Учет!$O1865=Справочники!$F$2,Учет!$H1865,0)</f>
        <v>0</v>
      </c>
      <c r="C1865" s="52">
        <f>IF(Учет!$O1865=Справочники!$F$3,Учет!$H1865,0)</f>
        <v>0</v>
      </c>
      <c r="D1865" s="52">
        <f>IF(Учет!$O1865=Справочники!$F$4,Учет!$H1865,0)</f>
        <v>0</v>
      </c>
      <c r="E1865" s="52">
        <f>IF(Учет!$O1865=Справочники!$F$5,Учет!$H1865,0)</f>
        <v>0</v>
      </c>
      <c r="F1865" s="52">
        <f>IF(Учет!$O1865=Справочники!$F$6,Учет!$H1865,0)</f>
        <v>0</v>
      </c>
      <c r="G1865" s="43">
        <f>G1864+Учет!B1865-B1865</f>
        <v>-488978.92000000004</v>
      </c>
      <c r="H1865" s="43">
        <f>H1864+Учет!C1865-C1865</f>
        <v>336855</v>
      </c>
      <c r="I1865" s="43">
        <f>I1864+Учет!D1865-D1865</f>
        <v>500</v>
      </c>
      <c r="J1865" s="43">
        <f>J1864+Учет!E1865-E1865</f>
        <v>1150</v>
      </c>
      <c r="K1865" s="43">
        <f>K1864+Учет!F1865-F1865</f>
        <v>500000</v>
      </c>
      <c r="L1865" s="45">
        <f>Учет!I1865</f>
        <v>349526.07999999996</v>
      </c>
    </row>
    <row r="1866" spans="1:12" x14ac:dyDescent="0.25">
      <c r="A1866" s="48" t="str">
        <f>IF(Учет!A1866&lt;&gt;"",Учет!A1866,"")</f>
        <v/>
      </c>
      <c r="B1866" s="52">
        <f>IF(Учет!$O1866=Справочники!$F$2,Учет!$H1866,0)</f>
        <v>0</v>
      </c>
      <c r="C1866" s="52">
        <f>IF(Учет!$O1866=Справочники!$F$3,Учет!$H1866,0)</f>
        <v>0</v>
      </c>
      <c r="D1866" s="52">
        <f>IF(Учет!$O1866=Справочники!$F$4,Учет!$H1866,0)</f>
        <v>0</v>
      </c>
      <c r="E1866" s="52">
        <f>IF(Учет!$O1866=Справочники!$F$5,Учет!$H1866,0)</f>
        <v>0</v>
      </c>
      <c r="F1866" s="52">
        <f>IF(Учет!$O1866=Справочники!$F$6,Учет!$H1866,0)</f>
        <v>0</v>
      </c>
      <c r="G1866" s="43">
        <f>G1865+Учет!B1866-B1866</f>
        <v>-488978.92000000004</v>
      </c>
      <c r="H1866" s="43">
        <f>H1865+Учет!C1866-C1866</f>
        <v>336855</v>
      </c>
      <c r="I1866" s="43">
        <f>I1865+Учет!D1866-D1866</f>
        <v>500</v>
      </c>
      <c r="J1866" s="43">
        <f>J1865+Учет!E1866-E1866</f>
        <v>1150</v>
      </c>
      <c r="K1866" s="43">
        <f>K1865+Учет!F1866-F1866</f>
        <v>500000</v>
      </c>
      <c r="L1866" s="45">
        <f>Учет!I1866</f>
        <v>349526.07999999996</v>
      </c>
    </row>
    <row r="1867" spans="1:12" x14ac:dyDescent="0.25">
      <c r="A1867" s="48" t="str">
        <f>IF(Учет!A1867&lt;&gt;"",Учет!A1867,"")</f>
        <v/>
      </c>
      <c r="B1867" s="52">
        <f>IF(Учет!$O1867=Справочники!$F$2,Учет!$H1867,0)</f>
        <v>0</v>
      </c>
      <c r="C1867" s="52">
        <f>IF(Учет!$O1867=Справочники!$F$3,Учет!$H1867,0)</f>
        <v>0</v>
      </c>
      <c r="D1867" s="52">
        <f>IF(Учет!$O1867=Справочники!$F$4,Учет!$H1867,0)</f>
        <v>0</v>
      </c>
      <c r="E1867" s="52">
        <f>IF(Учет!$O1867=Справочники!$F$5,Учет!$H1867,0)</f>
        <v>0</v>
      </c>
      <c r="F1867" s="52">
        <f>IF(Учет!$O1867=Справочники!$F$6,Учет!$H1867,0)</f>
        <v>0</v>
      </c>
      <c r="G1867" s="43">
        <f>G1866+Учет!B1867-B1867</f>
        <v>-488978.92000000004</v>
      </c>
      <c r="H1867" s="43">
        <f>H1866+Учет!C1867-C1867</f>
        <v>336855</v>
      </c>
      <c r="I1867" s="43">
        <f>I1866+Учет!D1867-D1867</f>
        <v>500</v>
      </c>
      <c r="J1867" s="43">
        <f>J1866+Учет!E1867-E1867</f>
        <v>1150</v>
      </c>
      <c r="K1867" s="43">
        <f>K1866+Учет!F1867-F1867</f>
        <v>500000</v>
      </c>
      <c r="L1867" s="45">
        <f>Учет!I1867</f>
        <v>349526.07999999996</v>
      </c>
    </row>
    <row r="1868" spans="1:12" x14ac:dyDescent="0.25">
      <c r="A1868" s="48" t="str">
        <f>IF(Учет!A1868&lt;&gt;"",Учет!A1868,"")</f>
        <v/>
      </c>
      <c r="B1868" s="52">
        <f>IF(Учет!$O1868=Справочники!$F$2,Учет!$H1868,0)</f>
        <v>0</v>
      </c>
      <c r="C1868" s="52">
        <f>IF(Учет!$O1868=Справочники!$F$3,Учет!$H1868,0)</f>
        <v>0</v>
      </c>
      <c r="D1868" s="52">
        <f>IF(Учет!$O1868=Справочники!$F$4,Учет!$H1868,0)</f>
        <v>0</v>
      </c>
      <c r="E1868" s="52">
        <f>IF(Учет!$O1868=Справочники!$F$5,Учет!$H1868,0)</f>
        <v>0</v>
      </c>
      <c r="F1868" s="52">
        <f>IF(Учет!$O1868=Справочники!$F$6,Учет!$H1868,0)</f>
        <v>0</v>
      </c>
      <c r="G1868" s="43">
        <f>G1867+Учет!B1868-B1868</f>
        <v>-488978.92000000004</v>
      </c>
      <c r="H1868" s="43">
        <f>H1867+Учет!C1868-C1868</f>
        <v>336855</v>
      </c>
      <c r="I1868" s="43">
        <f>I1867+Учет!D1868-D1868</f>
        <v>500</v>
      </c>
      <c r="J1868" s="43">
        <f>J1867+Учет!E1868-E1868</f>
        <v>1150</v>
      </c>
      <c r="K1868" s="43">
        <f>K1867+Учет!F1868-F1868</f>
        <v>500000</v>
      </c>
      <c r="L1868" s="45">
        <f>Учет!I1868</f>
        <v>349526.07999999996</v>
      </c>
    </row>
    <row r="1869" spans="1:12" x14ac:dyDescent="0.25">
      <c r="A1869" s="48" t="str">
        <f>IF(Учет!A1869&lt;&gt;"",Учет!A1869,"")</f>
        <v/>
      </c>
      <c r="B1869" s="52">
        <f>IF(Учет!$O1869=Справочники!$F$2,Учет!$H1869,0)</f>
        <v>0</v>
      </c>
      <c r="C1869" s="52">
        <f>IF(Учет!$O1869=Справочники!$F$3,Учет!$H1869,0)</f>
        <v>0</v>
      </c>
      <c r="D1869" s="52">
        <f>IF(Учет!$O1869=Справочники!$F$4,Учет!$H1869,0)</f>
        <v>0</v>
      </c>
      <c r="E1869" s="52">
        <f>IF(Учет!$O1869=Справочники!$F$5,Учет!$H1869,0)</f>
        <v>0</v>
      </c>
      <c r="F1869" s="52">
        <f>IF(Учет!$O1869=Справочники!$F$6,Учет!$H1869,0)</f>
        <v>0</v>
      </c>
      <c r="G1869" s="43">
        <f>G1868+Учет!B1869-B1869</f>
        <v>-488978.92000000004</v>
      </c>
      <c r="H1869" s="43">
        <f>H1868+Учет!C1869-C1869</f>
        <v>336855</v>
      </c>
      <c r="I1869" s="43">
        <f>I1868+Учет!D1869-D1869</f>
        <v>500</v>
      </c>
      <c r="J1869" s="43">
        <f>J1868+Учет!E1869-E1869</f>
        <v>1150</v>
      </c>
      <c r="K1869" s="43">
        <f>K1868+Учет!F1869-F1869</f>
        <v>500000</v>
      </c>
      <c r="L1869" s="45">
        <f>Учет!I1869</f>
        <v>349526.07999999996</v>
      </c>
    </row>
    <row r="1870" spans="1:12" x14ac:dyDescent="0.25">
      <c r="A1870" s="48" t="str">
        <f>IF(Учет!A1870&lt;&gt;"",Учет!A1870,"")</f>
        <v/>
      </c>
      <c r="B1870" s="52">
        <f>IF(Учет!$O1870=Справочники!$F$2,Учет!$H1870,0)</f>
        <v>0</v>
      </c>
      <c r="C1870" s="52">
        <f>IF(Учет!$O1870=Справочники!$F$3,Учет!$H1870,0)</f>
        <v>0</v>
      </c>
      <c r="D1870" s="52">
        <f>IF(Учет!$O1870=Справочники!$F$4,Учет!$H1870,0)</f>
        <v>0</v>
      </c>
      <c r="E1870" s="52">
        <f>IF(Учет!$O1870=Справочники!$F$5,Учет!$H1870,0)</f>
        <v>0</v>
      </c>
      <c r="F1870" s="52">
        <f>IF(Учет!$O1870=Справочники!$F$6,Учет!$H1870,0)</f>
        <v>0</v>
      </c>
      <c r="G1870" s="43">
        <f>G1869+Учет!B1870-B1870</f>
        <v>-488978.92000000004</v>
      </c>
      <c r="H1870" s="43">
        <f>H1869+Учет!C1870-C1870</f>
        <v>336855</v>
      </c>
      <c r="I1870" s="43">
        <f>I1869+Учет!D1870-D1870</f>
        <v>500</v>
      </c>
      <c r="J1870" s="43">
        <f>J1869+Учет!E1870-E1870</f>
        <v>1150</v>
      </c>
      <c r="K1870" s="43">
        <f>K1869+Учет!F1870-F1870</f>
        <v>500000</v>
      </c>
      <c r="L1870" s="45">
        <f>Учет!I1870</f>
        <v>349526.07999999996</v>
      </c>
    </row>
    <row r="1871" spans="1:12" x14ac:dyDescent="0.25">
      <c r="A1871" s="48" t="str">
        <f>IF(Учет!A1871&lt;&gt;"",Учет!A1871,"")</f>
        <v/>
      </c>
      <c r="B1871" s="52">
        <f>IF(Учет!$O1871=Справочники!$F$2,Учет!$H1871,0)</f>
        <v>0</v>
      </c>
      <c r="C1871" s="52">
        <f>IF(Учет!$O1871=Справочники!$F$3,Учет!$H1871,0)</f>
        <v>0</v>
      </c>
      <c r="D1871" s="52">
        <f>IF(Учет!$O1871=Справочники!$F$4,Учет!$H1871,0)</f>
        <v>0</v>
      </c>
      <c r="E1871" s="52">
        <f>IF(Учет!$O1871=Справочники!$F$5,Учет!$H1871,0)</f>
        <v>0</v>
      </c>
      <c r="F1871" s="52">
        <f>IF(Учет!$O1871=Справочники!$F$6,Учет!$H1871,0)</f>
        <v>0</v>
      </c>
      <c r="G1871" s="43">
        <f>G1870+Учет!B1871-B1871</f>
        <v>-488978.92000000004</v>
      </c>
      <c r="H1871" s="43">
        <f>H1870+Учет!C1871-C1871</f>
        <v>336855</v>
      </c>
      <c r="I1871" s="43">
        <f>I1870+Учет!D1871-D1871</f>
        <v>500</v>
      </c>
      <c r="J1871" s="43">
        <f>J1870+Учет!E1871-E1871</f>
        <v>1150</v>
      </c>
      <c r="K1871" s="43">
        <f>K1870+Учет!F1871-F1871</f>
        <v>500000</v>
      </c>
      <c r="L1871" s="45">
        <f>Учет!I1871</f>
        <v>349526.07999999996</v>
      </c>
    </row>
    <row r="1872" spans="1:12" x14ac:dyDescent="0.25">
      <c r="A1872" s="48" t="str">
        <f>IF(Учет!A1872&lt;&gt;"",Учет!A1872,"")</f>
        <v/>
      </c>
      <c r="B1872" s="52">
        <f>IF(Учет!$O1872=Справочники!$F$2,Учет!$H1872,0)</f>
        <v>0</v>
      </c>
      <c r="C1872" s="52">
        <f>IF(Учет!$O1872=Справочники!$F$3,Учет!$H1872,0)</f>
        <v>0</v>
      </c>
      <c r="D1872" s="52">
        <f>IF(Учет!$O1872=Справочники!$F$4,Учет!$H1872,0)</f>
        <v>0</v>
      </c>
      <c r="E1872" s="52">
        <f>IF(Учет!$O1872=Справочники!$F$5,Учет!$H1872,0)</f>
        <v>0</v>
      </c>
      <c r="F1872" s="52">
        <f>IF(Учет!$O1872=Справочники!$F$6,Учет!$H1872,0)</f>
        <v>0</v>
      </c>
      <c r="G1872" s="43">
        <f>G1871+Учет!B1872-B1872</f>
        <v>-488978.92000000004</v>
      </c>
      <c r="H1872" s="43">
        <f>H1871+Учет!C1872-C1872</f>
        <v>336855</v>
      </c>
      <c r="I1872" s="43">
        <f>I1871+Учет!D1872-D1872</f>
        <v>500</v>
      </c>
      <c r="J1872" s="43">
        <f>J1871+Учет!E1872-E1872</f>
        <v>1150</v>
      </c>
      <c r="K1872" s="43">
        <f>K1871+Учет!F1872-F1872</f>
        <v>500000</v>
      </c>
      <c r="L1872" s="45">
        <f>Учет!I1872</f>
        <v>349526.07999999996</v>
      </c>
    </row>
    <row r="1873" spans="1:12" x14ac:dyDescent="0.25">
      <c r="A1873" s="48" t="str">
        <f>IF(Учет!A1873&lt;&gt;"",Учет!A1873,"")</f>
        <v/>
      </c>
      <c r="B1873" s="52">
        <f>IF(Учет!$O1873=Справочники!$F$2,Учет!$H1873,0)</f>
        <v>0</v>
      </c>
      <c r="C1873" s="52">
        <f>IF(Учет!$O1873=Справочники!$F$3,Учет!$H1873,0)</f>
        <v>0</v>
      </c>
      <c r="D1873" s="52">
        <f>IF(Учет!$O1873=Справочники!$F$4,Учет!$H1873,0)</f>
        <v>0</v>
      </c>
      <c r="E1873" s="52">
        <f>IF(Учет!$O1873=Справочники!$F$5,Учет!$H1873,0)</f>
        <v>0</v>
      </c>
      <c r="F1873" s="52">
        <f>IF(Учет!$O1873=Справочники!$F$6,Учет!$H1873,0)</f>
        <v>0</v>
      </c>
      <c r="G1873" s="43">
        <f>G1872+Учет!B1873-B1873</f>
        <v>-488978.92000000004</v>
      </c>
      <c r="H1873" s="43">
        <f>H1872+Учет!C1873-C1873</f>
        <v>336855</v>
      </c>
      <c r="I1873" s="43">
        <f>I1872+Учет!D1873-D1873</f>
        <v>500</v>
      </c>
      <c r="J1873" s="43">
        <f>J1872+Учет!E1873-E1873</f>
        <v>1150</v>
      </c>
      <c r="K1873" s="43">
        <f>K1872+Учет!F1873-F1873</f>
        <v>500000</v>
      </c>
      <c r="L1873" s="45">
        <f>Учет!I1873</f>
        <v>349526.07999999996</v>
      </c>
    </row>
    <row r="1874" spans="1:12" x14ac:dyDescent="0.25">
      <c r="A1874" s="48" t="str">
        <f>IF(Учет!A1874&lt;&gt;"",Учет!A1874,"")</f>
        <v/>
      </c>
      <c r="B1874" s="52">
        <f>IF(Учет!$O1874=Справочники!$F$2,Учет!$H1874,0)</f>
        <v>0</v>
      </c>
      <c r="C1874" s="52">
        <f>IF(Учет!$O1874=Справочники!$F$3,Учет!$H1874,0)</f>
        <v>0</v>
      </c>
      <c r="D1874" s="52">
        <f>IF(Учет!$O1874=Справочники!$F$4,Учет!$H1874,0)</f>
        <v>0</v>
      </c>
      <c r="E1874" s="52">
        <f>IF(Учет!$O1874=Справочники!$F$5,Учет!$H1874,0)</f>
        <v>0</v>
      </c>
      <c r="F1874" s="52">
        <f>IF(Учет!$O1874=Справочники!$F$6,Учет!$H1874,0)</f>
        <v>0</v>
      </c>
      <c r="G1874" s="43">
        <f>G1873+Учет!B1874-B1874</f>
        <v>-488978.92000000004</v>
      </c>
      <c r="H1874" s="43">
        <f>H1873+Учет!C1874-C1874</f>
        <v>336855</v>
      </c>
      <c r="I1874" s="43">
        <f>I1873+Учет!D1874-D1874</f>
        <v>500</v>
      </c>
      <c r="J1874" s="43">
        <f>J1873+Учет!E1874-E1874</f>
        <v>1150</v>
      </c>
      <c r="K1874" s="43">
        <f>K1873+Учет!F1874-F1874</f>
        <v>500000</v>
      </c>
      <c r="L1874" s="45">
        <f>Учет!I1874</f>
        <v>349526.07999999996</v>
      </c>
    </row>
    <row r="1875" spans="1:12" x14ac:dyDescent="0.25">
      <c r="A1875" s="48" t="str">
        <f>IF(Учет!A1875&lt;&gt;"",Учет!A1875,"")</f>
        <v/>
      </c>
      <c r="B1875" s="52">
        <f>IF(Учет!$O1875=Справочники!$F$2,Учет!$H1875,0)</f>
        <v>0</v>
      </c>
      <c r="C1875" s="52">
        <f>IF(Учет!$O1875=Справочники!$F$3,Учет!$H1875,0)</f>
        <v>0</v>
      </c>
      <c r="D1875" s="52">
        <f>IF(Учет!$O1875=Справочники!$F$4,Учет!$H1875,0)</f>
        <v>0</v>
      </c>
      <c r="E1875" s="52">
        <f>IF(Учет!$O1875=Справочники!$F$5,Учет!$H1875,0)</f>
        <v>0</v>
      </c>
      <c r="F1875" s="52">
        <f>IF(Учет!$O1875=Справочники!$F$6,Учет!$H1875,0)</f>
        <v>0</v>
      </c>
      <c r="G1875" s="43">
        <f>G1874+Учет!B1875-B1875</f>
        <v>-488978.92000000004</v>
      </c>
      <c r="H1875" s="43">
        <f>H1874+Учет!C1875-C1875</f>
        <v>336855</v>
      </c>
      <c r="I1875" s="43">
        <f>I1874+Учет!D1875-D1875</f>
        <v>500</v>
      </c>
      <c r="J1875" s="43">
        <f>J1874+Учет!E1875-E1875</f>
        <v>1150</v>
      </c>
      <c r="K1875" s="43">
        <f>K1874+Учет!F1875-F1875</f>
        <v>500000</v>
      </c>
      <c r="L1875" s="45">
        <f>Учет!I1875</f>
        <v>349526.07999999996</v>
      </c>
    </row>
    <row r="1876" spans="1:12" x14ac:dyDescent="0.25">
      <c r="A1876" s="48" t="str">
        <f>IF(Учет!A1876&lt;&gt;"",Учет!A1876,"")</f>
        <v/>
      </c>
      <c r="B1876" s="52">
        <f>IF(Учет!$O1876=Справочники!$F$2,Учет!$H1876,0)</f>
        <v>0</v>
      </c>
      <c r="C1876" s="52">
        <f>IF(Учет!$O1876=Справочники!$F$3,Учет!$H1876,0)</f>
        <v>0</v>
      </c>
      <c r="D1876" s="52">
        <f>IF(Учет!$O1876=Справочники!$F$4,Учет!$H1876,0)</f>
        <v>0</v>
      </c>
      <c r="E1876" s="52">
        <f>IF(Учет!$O1876=Справочники!$F$5,Учет!$H1876,0)</f>
        <v>0</v>
      </c>
      <c r="F1876" s="52">
        <f>IF(Учет!$O1876=Справочники!$F$6,Учет!$H1876,0)</f>
        <v>0</v>
      </c>
      <c r="G1876" s="43">
        <f>G1875+Учет!B1876-B1876</f>
        <v>-488978.92000000004</v>
      </c>
      <c r="H1876" s="43">
        <f>H1875+Учет!C1876-C1876</f>
        <v>336855</v>
      </c>
      <c r="I1876" s="43">
        <f>I1875+Учет!D1876-D1876</f>
        <v>500</v>
      </c>
      <c r="J1876" s="43">
        <f>J1875+Учет!E1876-E1876</f>
        <v>1150</v>
      </c>
      <c r="K1876" s="43">
        <f>K1875+Учет!F1876-F1876</f>
        <v>500000</v>
      </c>
      <c r="L1876" s="45">
        <f>Учет!I1876</f>
        <v>349526.07999999996</v>
      </c>
    </row>
    <row r="1877" spans="1:12" x14ac:dyDescent="0.25">
      <c r="A1877" s="48" t="str">
        <f>IF(Учет!A1877&lt;&gt;"",Учет!A1877,"")</f>
        <v/>
      </c>
      <c r="B1877" s="52">
        <f>IF(Учет!$O1877=Справочники!$F$2,Учет!$H1877,0)</f>
        <v>0</v>
      </c>
      <c r="C1877" s="52">
        <f>IF(Учет!$O1877=Справочники!$F$3,Учет!$H1877,0)</f>
        <v>0</v>
      </c>
      <c r="D1877" s="52">
        <f>IF(Учет!$O1877=Справочники!$F$4,Учет!$H1877,0)</f>
        <v>0</v>
      </c>
      <c r="E1877" s="52">
        <f>IF(Учет!$O1877=Справочники!$F$5,Учет!$H1877,0)</f>
        <v>0</v>
      </c>
      <c r="F1877" s="52">
        <f>IF(Учет!$O1877=Справочники!$F$6,Учет!$H1877,0)</f>
        <v>0</v>
      </c>
      <c r="G1877" s="43">
        <f>G1876+Учет!B1877-B1877</f>
        <v>-488978.92000000004</v>
      </c>
      <c r="H1877" s="43">
        <f>H1876+Учет!C1877-C1877</f>
        <v>336855</v>
      </c>
      <c r="I1877" s="43">
        <f>I1876+Учет!D1877-D1877</f>
        <v>500</v>
      </c>
      <c r="J1877" s="43">
        <f>J1876+Учет!E1877-E1877</f>
        <v>1150</v>
      </c>
      <c r="K1877" s="43">
        <f>K1876+Учет!F1877-F1877</f>
        <v>500000</v>
      </c>
      <c r="L1877" s="45">
        <f>Учет!I1877</f>
        <v>349526.07999999996</v>
      </c>
    </row>
    <row r="1878" spans="1:12" x14ac:dyDescent="0.25">
      <c r="A1878" s="48" t="str">
        <f>IF(Учет!A1878&lt;&gt;"",Учет!A1878,"")</f>
        <v/>
      </c>
      <c r="B1878" s="52">
        <f>IF(Учет!$O1878=Справочники!$F$2,Учет!$H1878,0)</f>
        <v>0</v>
      </c>
      <c r="C1878" s="52">
        <f>IF(Учет!$O1878=Справочники!$F$3,Учет!$H1878,0)</f>
        <v>0</v>
      </c>
      <c r="D1878" s="52">
        <f>IF(Учет!$O1878=Справочники!$F$4,Учет!$H1878,0)</f>
        <v>0</v>
      </c>
      <c r="E1878" s="52">
        <f>IF(Учет!$O1878=Справочники!$F$5,Учет!$H1878,0)</f>
        <v>0</v>
      </c>
      <c r="F1878" s="52">
        <f>IF(Учет!$O1878=Справочники!$F$6,Учет!$H1878,0)</f>
        <v>0</v>
      </c>
      <c r="G1878" s="43">
        <f>G1877+Учет!B1878-B1878</f>
        <v>-488978.92000000004</v>
      </c>
      <c r="H1878" s="43">
        <f>H1877+Учет!C1878-C1878</f>
        <v>336855</v>
      </c>
      <c r="I1878" s="43">
        <f>I1877+Учет!D1878-D1878</f>
        <v>500</v>
      </c>
      <c r="J1878" s="43">
        <f>J1877+Учет!E1878-E1878</f>
        <v>1150</v>
      </c>
      <c r="K1878" s="43">
        <f>K1877+Учет!F1878-F1878</f>
        <v>500000</v>
      </c>
      <c r="L1878" s="45">
        <f>Учет!I1878</f>
        <v>349526.07999999996</v>
      </c>
    </row>
    <row r="1879" spans="1:12" x14ac:dyDescent="0.25">
      <c r="A1879" s="48" t="str">
        <f>IF(Учет!A1879&lt;&gt;"",Учет!A1879,"")</f>
        <v/>
      </c>
      <c r="B1879" s="52">
        <f>IF(Учет!$O1879=Справочники!$F$2,Учет!$H1879,0)</f>
        <v>0</v>
      </c>
      <c r="C1879" s="52">
        <f>IF(Учет!$O1879=Справочники!$F$3,Учет!$H1879,0)</f>
        <v>0</v>
      </c>
      <c r="D1879" s="52">
        <f>IF(Учет!$O1879=Справочники!$F$4,Учет!$H1879,0)</f>
        <v>0</v>
      </c>
      <c r="E1879" s="52">
        <f>IF(Учет!$O1879=Справочники!$F$5,Учет!$H1879,0)</f>
        <v>0</v>
      </c>
      <c r="F1879" s="52">
        <f>IF(Учет!$O1879=Справочники!$F$6,Учет!$H1879,0)</f>
        <v>0</v>
      </c>
      <c r="G1879" s="43">
        <f>G1878+Учет!B1879-B1879</f>
        <v>-488978.92000000004</v>
      </c>
      <c r="H1879" s="43">
        <f>H1878+Учет!C1879-C1879</f>
        <v>336855</v>
      </c>
      <c r="I1879" s="43">
        <f>I1878+Учет!D1879-D1879</f>
        <v>500</v>
      </c>
      <c r="J1879" s="43">
        <f>J1878+Учет!E1879-E1879</f>
        <v>1150</v>
      </c>
      <c r="K1879" s="43">
        <f>K1878+Учет!F1879-F1879</f>
        <v>500000</v>
      </c>
      <c r="L1879" s="45">
        <f>Учет!I1879</f>
        <v>349526.07999999996</v>
      </c>
    </row>
    <row r="1880" spans="1:12" x14ac:dyDescent="0.25">
      <c r="A1880" s="48" t="str">
        <f>IF(Учет!A1880&lt;&gt;"",Учет!A1880,"")</f>
        <v/>
      </c>
      <c r="B1880" s="52">
        <f>IF(Учет!$O1880=Справочники!$F$2,Учет!$H1880,0)</f>
        <v>0</v>
      </c>
      <c r="C1880" s="52">
        <f>IF(Учет!$O1880=Справочники!$F$3,Учет!$H1880,0)</f>
        <v>0</v>
      </c>
      <c r="D1880" s="52">
        <f>IF(Учет!$O1880=Справочники!$F$4,Учет!$H1880,0)</f>
        <v>0</v>
      </c>
      <c r="E1880" s="52">
        <f>IF(Учет!$O1880=Справочники!$F$5,Учет!$H1880,0)</f>
        <v>0</v>
      </c>
      <c r="F1880" s="52">
        <f>IF(Учет!$O1880=Справочники!$F$6,Учет!$H1880,0)</f>
        <v>0</v>
      </c>
      <c r="G1880" s="43">
        <f>G1879+Учет!B1880-B1880</f>
        <v>-488978.92000000004</v>
      </c>
      <c r="H1880" s="43">
        <f>H1879+Учет!C1880-C1880</f>
        <v>336855</v>
      </c>
      <c r="I1880" s="43">
        <f>I1879+Учет!D1880-D1880</f>
        <v>500</v>
      </c>
      <c r="J1880" s="43">
        <f>J1879+Учет!E1880-E1880</f>
        <v>1150</v>
      </c>
      <c r="K1880" s="43">
        <f>K1879+Учет!F1880-F1880</f>
        <v>500000</v>
      </c>
      <c r="L1880" s="45">
        <f>Учет!I1880</f>
        <v>349526.07999999996</v>
      </c>
    </row>
    <row r="1881" spans="1:12" x14ac:dyDescent="0.25">
      <c r="A1881" s="48" t="str">
        <f>IF(Учет!A1881&lt;&gt;"",Учет!A1881,"")</f>
        <v/>
      </c>
      <c r="B1881" s="52">
        <f>IF(Учет!$O1881=Справочники!$F$2,Учет!$H1881,0)</f>
        <v>0</v>
      </c>
      <c r="C1881" s="52">
        <f>IF(Учет!$O1881=Справочники!$F$3,Учет!$H1881,0)</f>
        <v>0</v>
      </c>
      <c r="D1881" s="52">
        <f>IF(Учет!$O1881=Справочники!$F$4,Учет!$H1881,0)</f>
        <v>0</v>
      </c>
      <c r="E1881" s="52">
        <f>IF(Учет!$O1881=Справочники!$F$5,Учет!$H1881,0)</f>
        <v>0</v>
      </c>
      <c r="F1881" s="52">
        <f>IF(Учет!$O1881=Справочники!$F$6,Учет!$H1881,0)</f>
        <v>0</v>
      </c>
      <c r="G1881" s="43">
        <f>G1880+Учет!B1881-B1881</f>
        <v>-488978.92000000004</v>
      </c>
      <c r="H1881" s="43">
        <f>H1880+Учет!C1881-C1881</f>
        <v>336855</v>
      </c>
      <c r="I1881" s="43">
        <f>I1880+Учет!D1881-D1881</f>
        <v>500</v>
      </c>
      <c r="J1881" s="43">
        <f>J1880+Учет!E1881-E1881</f>
        <v>1150</v>
      </c>
      <c r="K1881" s="43">
        <f>K1880+Учет!F1881-F1881</f>
        <v>500000</v>
      </c>
      <c r="L1881" s="45">
        <f>Учет!I1881</f>
        <v>349526.07999999996</v>
      </c>
    </row>
    <row r="1882" spans="1:12" x14ac:dyDescent="0.25">
      <c r="A1882" s="48" t="str">
        <f>IF(Учет!A1882&lt;&gt;"",Учет!A1882,"")</f>
        <v/>
      </c>
      <c r="B1882" s="52">
        <f>IF(Учет!$O1882=Справочники!$F$2,Учет!$H1882,0)</f>
        <v>0</v>
      </c>
      <c r="C1882" s="52">
        <f>IF(Учет!$O1882=Справочники!$F$3,Учет!$H1882,0)</f>
        <v>0</v>
      </c>
      <c r="D1882" s="52">
        <f>IF(Учет!$O1882=Справочники!$F$4,Учет!$H1882,0)</f>
        <v>0</v>
      </c>
      <c r="E1882" s="52">
        <f>IF(Учет!$O1882=Справочники!$F$5,Учет!$H1882,0)</f>
        <v>0</v>
      </c>
      <c r="F1882" s="52">
        <f>IF(Учет!$O1882=Справочники!$F$6,Учет!$H1882,0)</f>
        <v>0</v>
      </c>
      <c r="G1882" s="43">
        <f>G1881+Учет!B1882-B1882</f>
        <v>-488978.92000000004</v>
      </c>
      <c r="H1882" s="43">
        <f>H1881+Учет!C1882-C1882</f>
        <v>336855</v>
      </c>
      <c r="I1882" s="43">
        <f>I1881+Учет!D1882-D1882</f>
        <v>500</v>
      </c>
      <c r="J1882" s="43">
        <f>J1881+Учет!E1882-E1882</f>
        <v>1150</v>
      </c>
      <c r="K1882" s="43">
        <f>K1881+Учет!F1882-F1882</f>
        <v>500000</v>
      </c>
      <c r="L1882" s="45">
        <f>Учет!I1882</f>
        <v>349526.07999999996</v>
      </c>
    </row>
    <row r="1883" spans="1:12" x14ac:dyDescent="0.25">
      <c r="A1883" s="48" t="str">
        <f>IF(Учет!A1883&lt;&gt;"",Учет!A1883,"")</f>
        <v/>
      </c>
      <c r="B1883" s="52">
        <f>IF(Учет!$O1883=Справочники!$F$2,Учет!$H1883,0)</f>
        <v>0</v>
      </c>
      <c r="C1883" s="52">
        <f>IF(Учет!$O1883=Справочники!$F$3,Учет!$H1883,0)</f>
        <v>0</v>
      </c>
      <c r="D1883" s="52">
        <f>IF(Учет!$O1883=Справочники!$F$4,Учет!$H1883,0)</f>
        <v>0</v>
      </c>
      <c r="E1883" s="52">
        <f>IF(Учет!$O1883=Справочники!$F$5,Учет!$H1883,0)</f>
        <v>0</v>
      </c>
      <c r="F1883" s="52">
        <f>IF(Учет!$O1883=Справочники!$F$6,Учет!$H1883,0)</f>
        <v>0</v>
      </c>
      <c r="G1883" s="43">
        <f>G1882+Учет!B1883-B1883</f>
        <v>-488978.92000000004</v>
      </c>
      <c r="H1883" s="43">
        <f>H1882+Учет!C1883-C1883</f>
        <v>336855</v>
      </c>
      <c r="I1883" s="43">
        <f>I1882+Учет!D1883-D1883</f>
        <v>500</v>
      </c>
      <c r="J1883" s="43">
        <f>J1882+Учет!E1883-E1883</f>
        <v>1150</v>
      </c>
      <c r="K1883" s="43">
        <f>K1882+Учет!F1883-F1883</f>
        <v>500000</v>
      </c>
      <c r="L1883" s="45">
        <f>Учет!I1883</f>
        <v>349526.07999999996</v>
      </c>
    </row>
    <row r="1884" spans="1:12" x14ac:dyDescent="0.25">
      <c r="A1884" s="48" t="str">
        <f>IF(Учет!A1884&lt;&gt;"",Учет!A1884,"")</f>
        <v/>
      </c>
      <c r="B1884" s="52">
        <f>IF(Учет!$O1884=Справочники!$F$2,Учет!$H1884,0)</f>
        <v>0</v>
      </c>
      <c r="C1884" s="52">
        <f>IF(Учет!$O1884=Справочники!$F$3,Учет!$H1884,0)</f>
        <v>0</v>
      </c>
      <c r="D1884" s="52">
        <f>IF(Учет!$O1884=Справочники!$F$4,Учет!$H1884,0)</f>
        <v>0</v>
      </c>
      <c r="E1884" s="52">
        <f>IF(Учет!$O1884=Справочники!$F$5,Учет!$H1884,0)</f>
        <v>0</v>
      </c>
      <c r="F1884" s="52">
        <f>IF(Учет!$O1884=Справочники!$F$6,Учет!$H1884,0)</f>
        <v>0</v>
      </c>
      <c r="G1884" s="43">
        <f>G1883+Учет!B1884-B1884</f>
        <v>-488978.92000000004</v>
      </c>
      <c r="H1884" s="43">
        <f>H1883+Учет!C1884-C1884</f>
        <v>336855</v>
      </c>
      <c r="I1884" s="43">
        <f>I1883+Учет!D1884-D1884</f>
        <v>500</v>
      </c>
      <c r="J1884" s="43">
        <f>J1883+Учет!E1884-E1884</f>
        <v>1150</v>
      </c>
      <c r="K1884" s="43">
        <f>K1883+Учет!F1884-F1884</f>
        <v>500000</v>
      </c>
      <c r="L1884" s="45">
        <f>Учет!I1884</f>
        <v>349526.07999999996</v>
      </c>
    </row>
    <row r="1885" spans="1:12" x14ac:dyDescent="0.25">
      <c r="A1885" s="48" t="str">
        <f>IF(Учет!A1885&lt;&gt;"",Учет!A1885,"")</f>
        <v/>
      </c>
      <c r="B1885" s="52">
        <f>IF(Учет!$O1885=Справочники!$F$2,Учет!$H1885,0)</f>
        <v>0</v>
      </c>
      <c r="C1885" s="52">
        <f>IF(Учет!$O1885=Справочники!$F$3,Учет!$H1885,0)</f>
        <v>0</v>
      </c>
      <c r="D1885" s="52">
        <f>IF(Учет!$O1885=Справочники!$F$4,Учет!$H1885,0)</f>
        <v>0</v>
      </c>
      <c r="E1885" s="52">
        <f>IF(Учет!$O1885=Справочники!$F$5,Учет!$H1885,0)</f>
        <v>0</v>
      </c>
      <c r="F1885" s="52">
        <f>IF(Учет!$O1885=Справочники!$F$6,Учет!$H1885,0)</f>
        <v>0</v>
      </c>
      <c r="G1885" s="43">
        <f>G1884+Учет!B1885-B1885</f>
        <v>-488978.92000000004</v>
      </c>
      <c r="H1885" s="43">
        <f>H1884+Учет!C1885-C1885</f>
        <v>336855</v>
      </c>
      <c r="I1885" s="43">
        <f>I1884+Учет!D1885-D1885</f>
        <v>500</v>
      </c>
      <c r="J1885" s="43">
        <f>J1884+Учет!E1885-E1885</f>
        <v>1150</v>
      </c>
      <c r="K1885" s="43">
        <f>K1884+Учет!F1885-F1885</f>
        <v>500000</v>
      </c>
      <c r="L1885" s="45">
        <f>Учет!I1885</f>
        <v>349526.07999999996</v>
      </c>
    </row>
    <row r="1886" spans="1:12" x14ac:dyDescent="0.25">
      <c r="A1886" s="48" t="str">
        <f>IF(Учет!A1886&lt;&gt;"",Учет!A1886,"")</f>
        <v/>
      </c>
      <c r="B1886" s="52">
        <f>IF(Учет!$O1886=Справочники!$F$2,Учет!$H1886,0)</f>
        <v>0</v>
      </c>
      <c r="C1886" s="52">
        <f>IF(Учет!$O1886=Справочники!$F$3,Учет!$H1886,0)</f>
        <v>0</v>
      </c>
      <c r="D1886" s="52">
        <f>IF(Учет!$O1886=Справочники!$F$4,Учет!$H1886,0)</f>
        <v>0</v>
      </c>
      <c r="E1886" s="52">
        <f>IF(Учет!$O1886=Справочники!$F$5,Учет!$H1886,0)</f>
        <v>0</v>
      </c>
      <c r="F1886" s="52">
        <f>IF(Учет!$O1886=Справочники!$F$6,Учет!$H1886,0)</f>
        <v>0</v>
      </c>
      <c r="G1886" s="43">
        <f>G1885+Учет!B1886-B1886</f>
        <v>-488978.92000000004</v>
      </c>
      <c r="H1886" s="43">
        <f>H1885+Учет!C1886-C1886</f>
        <v>336855</v>
      </c>
      <c r="I1886" s="43">
        <f>I1885+Учет!D1886-D1886</f>
        <v>500</v>
      </c>
      <c r="J1886" s="43">
        <f>J1885+Учет!E1886-E1886</f>
        <v>1150</v>
      </c>
      <c r="K1886" s="43">
        <f>K1885+Учет!F1886-F1886</f>
        <v>500000</v>
      </c>
      <c r="L1886" s="45">
        <f>Учет!I1886</f>
        <v>349526.07999999996</v>
      </c>
    </row>
    <row r="1887" spans="1:12" x14ac:dyDescent="0.25">
      <c r="A1887" s="48" t="str">
        <f>IF(Учет!A1887&lt;&gt;"",Учет!A1887,"")</f>
        <v/>
      </c>
      <c r="B1887" s="52">
        <f>IF(Учет!$O1887=Справочники!$F$2,Учет!$H1887,0)</f>
        <v>0</v>
      </c>
      <c r="C1887" s="52">
        <f>IF(Учет!$O1887=Справочники!$F$3,Учет!$H1887,0)</f>
        <v>0</v>
      </c>
      <c r="D1887" s="52">
        <f>IF(Учет!$O1887=Справочники!$F$4,Учет!$H1887,0)</f>
        <v>0</v>
      </c>
      <c r="E1887" s="52">
        <f>IF(Учет!$O1887=Справочники!$F$5,Учет!$H1887,0)</f>
        <v>0</v>
      </c>
      <c r="F1887" s="52">
        <f>IF(Учет!$O1887=Справочники!$F$6,Учет!$H1887,0)</f>
        <v>0</v>
      </c>
      <c r="G1887" s="43">
        <f>G1886+Учет!B1887-B1887</f>
        <v>-488978.92000000004</v>
      </c>
      <c r="H1887" s="43">
        <f>H1886+Учет!C1887-C1887</f>
        <v>336855</v>
      </c>
      <c r="I1887" s="43">
        <f>I1886+Учет!D1887-D1887</f>
        <v>500</v>
      </c>
      <c r="J1887" s="43">
        <f>J1886+Учет!E1887-E1887</f>
        <v>1150</v>
      </c>
      <c r="K1887" s="43">
        <f>K1886+Учет!F1887-F1887</f>
        <v>500000</v>
      </c>
      <c r="L1887" s="45">
        <f>Учет!I1887</f>
        <v>349526.07999999996</v>
      </c>
    </row>
    <row r="1888" spans="1:12" x14ac:dyDescent="0.25">
      <c r="A1888" s="48" t="str">
        <f>IF(Учет!A1888&lt;&gt;"",Учет!A1888,"")</f>
        <v/>
      </c>
      <c r="B1888" s="52">
        <f>IF(Учет!$O1888=Справочники!$F$2,Учет!$H1888,0)</f>
        <v>0</v>
      </c>
      <c r="C1888" s="52">
        <f>IF(Учет!$O1888=Справочники!$F$3,Учет!$H1888,0)</f>
        <v>0</v>
      </c>
      <c r="D1888" s="52">
        <f>IF(Учет!$O1888=Справочники!$F$4,Учет!$H1888,0)</f>
        <v>0</v>
      </c>
      <c r="E1888" s="52">
        <f>IF(Учет!$O1888=Справочники!$F$5,Учет!$H1888,0)</f>
        <v>0</v>
      </c>
      <c r="F1888" s="52">
        <f>IF(Учет!$O1888=Справочники!$F$6,Учет!$H1888,0)</f>
        <v>0</v>
      </c>
      <c r="G1888" s="43">
        <f>G1887+Учет!B1888-B1888</f>
        <v>-488978.92000000004</v>
      </c>
      <c r="H1888" s="43">
        <f>H1887+Учет!C1888-C1888</f>
        <v>336855</v>
      </c>
      <c r="I1888" s="43">
        <f>I1887+Учет!D1888-D1888</f>
        <v>500</v>
      </c>
      <c r="J1888" s="43">
        <f>J1887+Учет!E1888-E1888</f>
        <v>1150</v>
      </c>
      <c r="K1888" s="43">
        <f>K1887+Учет!F1888-F1888</f>
        <v>500000</v>
      </c>
      <c r="L1888" s="45">
        <f>Учет!I1888</f>
        <v>349526.07999999996</v>
      </c>
    </row>
    <row r="1889" spans="1:12" x14ac:dyDescent="0.25">
      <c r="A1889" s="48" t="str">
        <f>IF(Учет!A1889&lt;&gt;"",Учет!A1889,"")</f>
        <v/>
      </c>
      <c r="B1889" s="52">
        <f>IF(Учет!$O1889=Справочники!$F$2,Учет!$H1889,0)</f>
        <v>0</v>
      </c>
      <c r="C1889" s="52">
        <f>IF(Учет!$O1889=Справочники!$F$3,Учет!$H1889,0)</f>
        <v>0</v>
      </c>
      <c r="D1889" s="52">
        <f>IF(Учет!$O1889=Справочники!$F$4,Учет!$H1889,0)</f>
        <v>0</v>
      </c>
      <c r="E1889" s="52">
        <f>IF(Учет!$O1889=Справочники!$F$5,Учет!$H1889,0)</f>
        <v>0</v>
      </c>
      <c r="F1889" s="52">
        <f>IF(Учет!$O1889=Справочники!$F$6,Учет!$H1889,0)</f>
        <v>0</v>
      </c>
      <c r="G1889" s="43">
        <f>G1888+Учет!B1889-B1889</f>
        <v>-488978.92000000004</v>
      </c>
      <c r="H1889" s="43">
        <f>H1888+Учет!C1889-C1889</f>
        <v>336855</v>
      </c>
      <c r="I1889" s="43">
        <f>I1888+Учет!D1889-D1889</f>
        <v>500</v>
      </c>
      <c r="J1889" s="43">
        <f>J1888+Учет!E1889-E1889</f>
        <v>1150</v>
      </c>
      <c r="K1889" s="43">
        <f>K1888+Учет!F1889-F1889</f>
        <v>500000</v>
      </c>
      <c r="L1889" s="45">
        <f>Учет!I1889</f>
        <v>349526.07999999996</v>
      </c>
    </row>
    <row r="1890" spans="1:12" x14ac:dyDescent="0.25">
      <c r="A1890" s="48" t="str">
        <f>IF(Учет!A1890&lt;&gt;"",Учет!A1890,"")</f>
        <v/>
      </c>
      <c r="B1890" s="52">
        <f>IF(Учет!$O1890=Справочники!$F$2,Учет!$H1890,0)</f>
        <v>0</v>
      </c>
      <c r="C1890" s="52">
        <f>IF(Учет!$O1890=Справочники!$F$3,Учет!$H1890,0)</f>
        <v>0</v>
      </c>
      <c r="D1890" s="52">
        <f>IF(Учет!$O1890=Справочники!$F$4,Учет!$H1890,0)</f>
        <v>0</v>
      </c>
      <c r="E1890" s="52">
        <f>IF(Учет!$O1890=Справочники!$F$5,Учет!$H1890,0)</f>
        <v>0</v>
      </c>
      <c r="F1890" s="52">
        <f>IF(Учет!$O1890=Справочники!$F$6,Учет!$H1890,0)</f>
        <v>0</v>
      </c>
      <c r="G1890" s="43">
        <f>G1889+Учет!B1890-B1890</f>
        <v>-488978.92000000004</v>
      </c>
      <c r="H1890" s="43">
        <f>H1889+Учет!C1890-C1890</f>
        <v>336855</v>
      </c>
      <c r="I1890" s="43">
        <f>I1889+Учет!D1890-D1890</f>
        <v>500</v>
      </c>
      <c r="J1890" s="43">
        <f>J1889+Учет!E1890-E1890</f>
        <v>1150</v>
      </c>
      <c r="K1890" s="43">
        <f>K1889+Учет!F1890-F1890</f>
        <v>500000</v>
      </c>
      <c r="L1890" s="45">
        <f>Учет!I1890</f>
        <v>349526.07999999996</v>
      </c>
    </row>
    <row r="1891" spans="1:12" x14ac:dyDescent="0.25">
      <c r="A1891" s="48" t="str">
        <f>IF(Учет!A1891&lt;&gt;"",Учет!A1891,"")</f>
        <v/>
      </c>
      <c r="B1891" s="52">
        <f>IF(Учет!$O1891=Справочники!$F$2,Учет!$H1891,0)</f>
        <v>0</v>
      </c>
      <c r="C1891" s="52">
        <f>IF(Учет!$O1891=Справочники!$F$3,Учет!$H1891,0)</f>
        <v>0</v>
      </c>
      <c r="D1891" s="52">
        <f>IF(Учет!$O1891=Справочники!$F$4,Учет!$H1891,0)</f>
        <v>0</v>
      </c>
      <c r="E1891" s="52">
        <f>IF(Учет!$O1891=Справочники!$F$5,Учет!$H1891,0)</f>
        <v>0</v>
      </c>
      <c r="F1891" s="52">
        <f>IF(Учет!$O1891=Справочники!$F$6,Учет!$H1891,0)</f>
        <v>0</v>
      </c>
      <c r="G1891" s="43">
        <f>G1890+Учет!B1891-B1891</f>
        <v>-488978.92000000004</v>
      </c>
      <c r="H1891" s="43">
        <f>H1890+Учет!C1891-C1891</f>
        <v>336855</v>
      </c>
      <c r="I1891" s="43">
        <f>I1890+Учет!D1891-D1891</f>
        <v>500</v>
      </c>
      <c r="J1891" s="43">
        <f>J1890+Учет!E1891-E1891</f>
        <v>1150</v>
      </c>
      <c r="K1891" s="43">
        <f>K1890+Учет!F1891-F1891</f>
        <v>500000</v>
      </c>
      <c r="L1891" s="45">
        <f>Учет!I1891</f>
        <v>349526.07999999996</v>
      </c>
    </row>
    <row r="1892" spans="1:12" x14ac:dyDescent="0.25">
      <c r="A1892" s="48" t="str">
        <f>IF(Учет!A1892&lt;&gt;"",Учет!A1892,"")</f>
        <v/>
      </c>
      <c r="B1892" s="52">
        <f>IF(Учет!$O1892=Справочники!$F$2,Учет!$H1892,0)</f>
        <v>0</v>
      </c>
      <c r="C1892" s="52">
        <f>IF(Учет!$O1892=Справочники!$F$3,Учет!$H1892,0)</f>
        <v>0</v>
      </c>
      <c r="D1892" s="52">
        <f>IF(Учет!$O1892=Справочники!$F$4,Учет!$H1892,0)</f>
        <v>0</v>
      </c>
      <c r="E1892" s="52">
        <f>IF(Учет!$O1892=Справочники!$F$5,Учет!$H1892,0)</f>
        <v>0</v>
      </c>
      <c r="F1892" s="52">
        <f>IF(Учет!$O1892=Справочники!$F$6,Учет!$H1892,0)</f>
        <v>0</v>
      </c>
      <c r="G1892" s="43">
        <f>G1891+Учет!B1892-B1892</f>
        <v>-488978.92000000004</v>
      </c>
      <c r="H1892" s="43">
        <f>H1891+Учет!C1892-C1892</f>
        <v>336855</v>
      </c>
      <c r="I1892" s="43">
        <f>I1891+Учет!D1892-D1892</f>
        <v>500</v>
      </c>
      <c r="J1892" s="43">
        <f>J1891+Учет!E1892-E1892</f>
        <v>1150</v>
      </c>
      <c r="K1892" s="43">
        <f>K1891+Учет!F1892-F1892</f>
        <v>500000</v>
      </c>
      <c r="L1892" s="45">
        <f>Учет!I1892</f>
        <v>349526.07999999996</v>
      </c>
    </row>
    <row r="1893" spans="1:12" x14ac:dyDescent="0.25">
      <c r="A1893" s="48" t="str">
        <f>IF(Учет!A1893&lt;&gt;"",Учет!A1893,"")</f>
        <v/>
      </c>
      <c r="B1893" s="52">
        <f>IF(Учет!$O1893=Справочники!$F$2,Учет!$H1893,0)</f>
        <v>0</v>
      </c>
      <c r="C1893" s="52">
        <f>IF(Учет!$O1893=Справочники!$F$3,Учет!$H1893,0)</f>
        <v>0</v>
      </c>
      <c r="D1893" s="52">
        <f>IF(Учет!$O1893=Справочники!$F$4,Учет!$H1893,0)</f>
        <v>0</v>
      </c>
      <c r="E1893" s="52">
        <f>IF(Учет!$O1893=Справочники!$F$5,Учет!$H1893,0)</f>
        <v>0</v>
      </c>
      <c r="F1893" s="52">
        <f>IF(Учет!$O1893=Справочники!$F$6,Учет!$H1893,0)</f>
        <v>0</v>
      </c>
      <c r="G1893" s="43">
        <f>G1892+Учет!B1893-B1893</f>
        <v>-488978.92000000004</v>
      </c>
      <c r="H1893" s="43">
        <f>H1892+Учет!C1893-C1893</f>
        <v>336855</v>
      </c>
      <c r="I1893" s="43">
        <f>I1892+Учет!D1893-D1893</f>
        <v>500</v>
      </c>
      <c r="J1893" s="43">
        <f>J1892+Учет!E1893-E1893</f>
        <v>1150</v>
      </c>
      <c r="K1893" s="43">
        <f>K1892+Учет!F1893-F1893</f>
        <v>500000</v>
      </c>
      <c r="L1893" s="45">
        <f>Учет!I1893</f>
        <v>349526.07999999996</v>
      </c>
    </row>
    <row r="1894" spans="1:12" x14ac:dyDescent="0.25">
      <c r="A1894" s="48" t="str">
        <f>IF(Учет!A1894&lt;&gt;"",Учет!A1894,"")</f>
        <v/>
      </c>
      <c r="B1894" s="52">
        <f>IF(Учет!$O1894=Справочники!$F$2,Учет!$H1894,0)</f>
        <v>0</v>
      </c>
      <c r="C1894" s="52">
        <f>IF(Учет!$O1894=Справочники!$F$3,Учет!$H1894,0)</f>
        <v>0</v>
      </c>
      <c r="D1894" s="52">
        <f>IF(Учет!$O1894=Справочники!$F$4,Учет!$H1894,0)</f>
        <v>0</v>
      </c>
      <c r="E1894" s="52">
        <f>IF(Учет!$O1894=Справочники!$F$5,Учет!$H1894,0)</f>
        <v>0</v>
      </c>
      <c r="F1894" s="52">
        <f>IF(Учет!$O1894=Справочники!$F$6,Учет!$H1894,0)</f>
        <v>0</v>
      </c>
      <c r="G1894" s="43">
        <f>G1893+Учет!B1894-B1894</f>
        <v>-488978.92000000004</v>
      </c>
      <c r="H1894" s="43">
        <f>H1893+Учет!C1894-C1894</f>
        <v>336855</v>
      </c>
      <c r="I1894" s="43">
        <f>I1893+Учет!D1894-D1894</f>
        <v>500</v>
      </c>
      <c r="J1894" s="43">
        <f>J1893+Учет!E1894-E1894</f>
        <v>1150</v>
      </c>
      <c r="K1894" s="43">
        <f>K1893+Учет!F1894-F1894</f>
        <v>500000</v>
      </c>
      <c r="L1894" s="45">
        <f>Учет!I1894</f>
        <v>349526.07999999996</v>
      </c>
    </row>
    <row r="1895" spans="1:12" x14ac:dyDescent="0.25">
      <c r="A1895" s="48" t="str">
        <f>IF(Учет!A1895&lt;&gt;"",Учет!A1895,"")</f>
        <v/>
      </c>
      <c r="B1895" s="52">
        <f>IF(Учет!$O1895=Справочники!$F$2,Учет!$H1895,0)</f>
        <v>0</v>
      </c>
      <c r="C1895" s="52">
        <f>IF(Учет!$O1895=Справочники!$F$3,Учет!$H1895,0)</f>
        <v>0</v>
      </c>
      <c r="D1895" s="52">
        <f>IF(Учет!$O1895=Справочники!$F$4,Учет!$H1895,0)</f>
        <v>0</v>
      </c>
      <c r="E1895" s="52">
        <f>IF(Учет!$O1895=Справочники!$F$5,Учет!$H1895,0)</f>
        <v>0</v>
      </c>
      <c r="F1895" s="52">
        <f>IF(Учет!$O1895=Справочники!$F$6,Учет!$H1895,0)</f>
        <v>0</v>
      </c>
      <c r="G1895" s="43">
        <f>G1894+Учет!B1895-B1895</f>
        <v>-488978.92000000004</v>
      </c>
      <c r="H1895" s="43">
        <f>H1894+Учет!C1895-C1895</f>
        <v>336855</v>
      </c>
      <c r="I1895" s="43">
        <f>I1894+Учет!D1895-D1895</f>
        <v>500</v>
      </c>
      <c r="J1895" s="43">
        <f>J1894+Учет!E1895-E1895</f>
        <v>1150</v>
      </c>
      <c r="K1895" s="43">
        <f>K1894+Учет!F1895-F1895</f>
        <v>500000</v>
      </c>
      <c r="L1895" s="45">
        <f>Учет!I1895</f>
        <v>349526.07999999996</v>
      </c>
    </row>
    <row r="1896" spans="1:12" x14ac:dyDescent="0.25">
      <c r="A1896" s="48" t="str">
        <f>IF(Учет!A1896&lt;&gt;"",Учет!A1896,"")</f>
        <v/>
      </c>
      <c r="B1896" s="52">
        <f>IF(Учет!$O1896=Справочники!$F$2,Учет!$H1896,0)</f>
        <v>0</v>
      </c>
      <c r="C1896" s="52">
        <f>IF(Учет!$O1896=Справочники!$F$3,Учет!$H1896,0)</f>
        <v>0</v>
      </c>
      <c r="D1896" s="52">
        <f>IF(Учет!$O1896=Справочники!$F$4,Учет!$H1896,0)</f>
        <v>0</v>
      </c>
      <c r="E1896" s="52">
        <f>IF(Учет!$O1896=Справочники!$F$5,Учет!$H1896,0)</f>
        <v>0</v>
      </c>
      <c r="F1896" s="52">
        <f>IF(Учет!$O1896=Справочники!$F$6,Учет!$H1896,0)</f>
        <v>0</v>
      </c>
      <c r="G1896" s="43">
        <f>G1895+Учет!B1896-B1896</f>
        <v>-488978.92000000004</v>
      </c>
      <c r="H1896" s="43">
        <f>H1895+Учет!C1896-C1896</f>
        <v>336855</v>
      </c>
      <c r="I1896" s="43">
        <f>I1895+Учет!D1896-D1896</f>
        <v>500</v>
      </c>
      <c r="J1896" s="43">
        <f>J1895+Учет!E1896-E1896</f>
        <v>1150</v>
      </c>
      <c r="K1896" s="43">
        <f>K1895+Учет!F1896-F1896</f>
        <v>500000</v>
      </c>
      <c r="L1896" s="45">
        <f>Учет!I1896</f>
        <v>349526.07999999996</v>
      </c>
    </row>
    <row r="1897" spans="1:12" x14ac:dyDescent="0.25">
      <c r="A1897" s="48" t="str">
        <f>IF(Учет!A1897&lt;&gt;"",Учет!A1897,"")</f>
        <v/>
      </c>
      <c r="B1897" s="52">
        <f>IF(Учет!$O1897=Справочники!$F$2,Учет!$H1897,0)</f>
        <v>0</v>
      </c>
      <c r="C1897" s="52">
        <f>IF(Учет!$O1897=Справочники!$F$3,Учет!$H1897,0)</f>
        <v>0</v>
      </c>
      <c r="D1897" s="52">
        <f>IF(Учет!$O1897=Справочники!$F$4,Учет!$H1897,0)</f>
        <v>0</v>
      </c>
      <c r="E1897" s="52">
        <f>IF(Учет!$O1897=Справочники!$F$5,Учет!$H1897,0)</f>
        <v>0</v>
      </c>
      <c r="F1897" s="52">
        <f>IF(Учет!$O1897=Справочники!$F$6,Учет!$H1897,0)</f>
        <v>0</v>
      </c>
      <c r="G1897" s="43">
        <f>G1896+Учет!B1897-B1897</f>
        <v>-488978.92000000004</v>
      </c>
      <c r="H1897" s="43">
        <f>H1896+Учет!C1897-C1897</f>
        <v>336855</v>
      </c>
      <c r="I1897" s="43">
        <f>I1896+Учет!D1897-D1897</f>
        <v>500</v>
      </c>
      <c r="J1897" s="43">
        <f>J1896+Учет!E1897-E1897</f>
        <v>1150</v>
      </c>
      <c r="K1897" s="43">
        <f>K1896+Учет!F1897-F1897</f>
        <v>500000</v>
      </c>
      <c r="L1897" s="45">
        <f>Учет!I1897</f>
        <v>349526.07999999996</v>
      </c>
    </row>
    <row r="1898" spans="1:12" x14ac:dyDescent="0.25">
      <c r="A1898" s="48" t="str">
        <f>IF(Учет!A1898&lt;&gt;"",Учет!A1898,"")</f>
        <v/>
      </c>
      <c r="B1898" s="52">
        <f>IF(Учет!$O1898=Справочники!$F$2,Учет!$H1898,0)</f>
        <v>0</v>
      </c>
      <c r="C1898" s="52">
        <f>IF(Учет!$O1898=Справочники!$F$3,Учет!$H1898,0)</f>
        <v>0</v>
      </c>
      <c r="D1898" s="52">
        <f>IF(Учет!$O1898=Справочники!$F$4,Учет!$H1898,0)</f>
        <v>0</v>
      </c>
      <c r="E1898" s="52">
        <f>IF(Учет!$O1898=Справочники!$F$5,Учет!$H1898,0)</f>
        <v>0</v>
      </c>
      <c r="F1898" s="52">
        <f>IF(Учет!$O1898=Справочники!$F$6,Учет!$H1898,0)</f>
        <v>0</v>
      </c>
      <c r="G1898" s="43">
        <f>G1897+Учет!B1898-B1898</f>
        <v>-488978.92000000004</v>
      </c>
      <c r="H1898" s="43">
        <f>H1897+Учет!C1898-C1898</f>
        <v>336855</v>
      </c>
      <c r="I1898" s="43">
        <f>I1897+Учет!D1898-D1898</f>
        <v>500</v>
      </c>
      <c r="J1898" s="43">
        <f>J1897+Учет!E1898-E1898</f>
        <v>1150</v>
      </c>
      <c r="K1898" s="43">
        <f>K1897+Учет!F1898-F1898</f>
        <v>500000</v>
      </c>
      <c r="L1898" s="45">
        <f>Учет!I1898</f>
        <v>349526.07999999996</v>
      </c>
    </row>
    <row r="1899" spans="1:12" x14ac:dyDescent="0.25">
      <c r="A1899" s="48" t="str">
        <f>IF(Учет!A1899&lt;&gt;"",Учет!A1899,"")</f>
        <v/>
      </c>
      <c r="B1899" s="52">
        <f>IF(Учет!$O1899=Справочники!$F$2,Учет!$H1899,0)</f>
        <v>0</v>
      </c>
      <c r="C1899" s="52">
        <f>IF(Учет!$O1899=Справочники!$F$3,Учет!$H1899,0)</f>
        <v>0</v>
      </c>
      <c r="D1899" s="52">
        <f>IF(Учет!$O1899=Справочники!$F$4,Учет!$H1899,0)</f>
        <v>0</v>
      </c>
      <c r="E1899" s="52">
        <f>IF(Учет!$O1899=Справочники!$F$5,Учет!$H1899,0)</f>
        <v>0</v>
      </c>
      <c r="F1899" s="52">
        <f>IF(Учет!$O1899=Справочники!$F$6,Учет!$H1899,0)</f>
        <v>0</v>
      </c>
      <c r="G1899" s="43">
        <f>G1898+Учет!B1899-B1899</f>
        <v>-488978.92000000004</v>
      </c>
      <c r="H1899" s="43">
        <f>H1898+Учет!C1899-C1899</f>
        <v>336855</v>
      </c>
      <c r="I1899" s="43">
        <f>I1898+Учет!D1899-D1899</f>
        <v>500</v>
      </c>
      <c r="J1899" s="43">
        <f>J1898+Учет!E1899-E1899</f>
        <v>1150</v>
      </c>
      <c r="K1899" s="43">
        <f>K1898+Учет!F1899-F1899</f>
        <v>500000</v>
      </c>
      <c r="L1899" s="45">
        <f>Учет!I1899</f>
        <v>349526.07999999996</v>
      </c>
    </row>
    <row r="1900" spans="1:12" x14ac:dyDescent="0.25">
      <c r="A1900" s="48" t="str">
        <f>IF(Учет!A1900&lt;&gt;"",Учет!A1900,"")</f>
        <v/>
      </c>
      <c r="B1900" s="52">
        <f>IF(Учет!$O1900=Справочники!$F$2,Учет!$H1900,0)</f>
        <v>0</v>
      </c>
      <c r="C1900" s="52">
        <f>IF(Учет!$O1900=Справочники!$F$3,Учет!$H1900,0)</f>
        <v>0</v>
      </c>
      <c r="D1900" s="52">
        <f>IF(Учет!$O1900=Справочники!$F$4,Учет!$H1900,0)</f>
        <v>0</v>
      </c>
      <c r="E1900" s="52">
        <f>IF(Учет!$O1900=Справочники!$F$5,Учет!$H1900,0)</f>
        <v>0</v>
      </c>
      <c r="F1900" s="52">
        <f>IF(Учет!$O1900=Справочники!$F$6,Учет!$H1900,0)</f>
        <v>0</v>
      </c>
      <c r="G1900" s="43">
        <f>G1899+Учет!B1900-B1900</f>
        <v>-488978.92000000004</v>
      </c>
      <c r="H1900" s="43">
        <f>H1899+Учет!C1900-C1900</f>
        <v>336855</v>
      </c>
      <c r="I1900" s="43">
        <f>I1899+Учет!D1900-D1900</f>
        <v>500</v>
      </c>
      <c r="J1900" s="43">
        <f>J1899+Учет!E1900-E1900</f>
        <v>1150</v>
      </c>
      <c r="K1900" s="43">
        <f>K1899+Учет!F1900-F1900</f>
        <v>500000</v>
      </c>
      <c r="L1900" s="45">
        <f>Учет!I1900</f>
        <v>349526.07999999996</v>
      </c>
    </row>
    <row r="1901" spans="1:12" x14ac:dyDescent="0.25">
      <c r="A1901" s="48" t="str">
        <f>IF(Учет!A1901&lt;&gt;"",Учет!A1901,"")</f>
        <v/>
      </c>
      <c r="B1901" s="52">
        <f>IF(Учет!$O1901=Справочники!$F$2,Учет!$H1901,0)</f>
        <v>0</v>
      </c>
      <c r="C1901" s="52">
        <f>IF(Учет!$O1901=Справочники!$F$3,Учет!$H1901,0)</f>
        <v>0</v>
      </c>
      <c r="D1901" s="52">
        <f>IF(Учет!$O1901=Справочники!$F$4,Учет!$H1901,0)</f>
        <v>0</v>
      </c>
      <c r="E1901" s="52">
        <f>IF(Учет!$O1901=Справочники!$F$5,Учет!$H1901,0)</f>
        <v>0</v>
      </c>
      <c r="F1901" s="52">
        <f>IF(Учет!$O1901=Справочники!$F$6,Учет!$H1901,0)</f>
        <v>0</v>
      </c>
      <c r="G1901" s="43">
        <f>G1900+Учет!B1901-B1901</f>
        <v>-488978.92000000004</v>
      </c>
      <c r="H1901" s="43">
        <f>H1900+Учет!C1901-C1901</f>
        <v>336855</v>
      </c>
      <c r="I1901" s="43">
        <f>I1900+Учет!D1901-D1901</f>
        <v>500</v>
      </c>
      <c r="J1901" s="43">
        <f>J1900+Учет!E1901-E1901</f>
        <v>1150</v>
      </c>
      <c r="K1901" s="43">
        <f>K1900+Учет!F1901-F1901</f>
        <v>500000</v>
      </c>
      <c r="L1901" s="45">
        <f>Учет!I1901</f>
        <v>349526.07999999996</v>
      </c>
    </row>
    <row r="1902" spans="1:12" x14ac:dyDescent="0.25">
      <c r="A1902" s="48" t="str">
        <f>IF(Учет!A1902&lt;&gt;"",Учет!A1902,"")</f>
        <v/>
      </c>
      <c r="B1902" s="52">
        <f>IF(Учет!$O1902=Справочники!$F$2,Учет!$H1902,0)</f>
        <v>0</v>
      </c>
      <c r="C1902" s="52">
        <f>IF(Учет!$O1902=Справочники!$F$3,Учет!$H1902,0)</f>
        <v>0</v>
      </c>
      <c r="D1902" s="52">
        <f>IF(Учет!$O1902=Справочники!$F$4,Учет!$H1902,0)</f>
        <v>0</v>
      </c>
      <c r="E1902" s="52">
        <f>IF(Учет!$O1902=Справочники!$F$5,Учет!$H1902,0)</f>
        <v>0</v>
      </c>
      <c r="F1902" s="52">
        <f>IF(Учет!$O1902=Справочники!$F$6,Учет!$H1902,0)</f>
        <v>0</v>
      </c>
      <c r="G1902" s="43">
        <f>G1901+Учет!B1902-B1902</f>
        <v>-488978.92000000004</v>
      </c>
      <c r="H1902" s="43">
        <f>H1901+Учет!C1902-C1902</f>
        <v>336855</v>
      </c>
      <c r="I1902" s="43">
        <f>I1901+Учет!D1902-D1902</f>
        <v>500</v>
      </c>
      <c r="J1902" s="43">
        <f>J1901+Учет!E1902-E1902</f>
        <v>1150</v>
      </c>
      <c r="K1902" s="43">
        <f>K1901+Учет!F1902-F1902</f>
        <v>500000</v>
      </c>
      <c r="L1902" s="45">
        <f>Учет!I1902</f>
        <v>349526.07999999996</v>
      </c>
    </row>
    <row r="1903" spans="1:12" x14ac:dyDescent="0.25">
      <c r="A1903" s="48" t="str">
        <f>IF(Учет!A1903&lt;&gt;"",Учет!A1903,"")</f>
        <v/>
      </c>
      <c r="B1903" s="52">
        <f>IF(Учет!$O1903=Справочники!$F$2,Учет!$H1903,0)</f>
        <v>0</v>
      </c>
      <c r="C1903" s="52">
        <f>IF(Учет!$O1903=Справочники!$F$3,Учет!$H1903,0)</f>
        <v>0</v>
      </c>
      <c r="D1903" s="52">
        <f>IF(Учет!$O1903=Справочники!$F$4,Учет!$H1903,0)</f>
        <v>0</v>
      </c>
      <c r="E1903" s="52">
        <f>IF(Учет!$O1903=Справочники!$F$5,Учет!$H1903,0)</f>
        <v>0</v>
      </c>
      <c r="F1903" s="52">
        <f>IF(Учет!$O1903=Справочники!$F$6,Учет!$H1903,0)</f>
        <v>0</v>
      </c>
      <c r="G1903" s="43">
        <f>G1902+Учет!B1903-B1903</f>
        <v>-488978.92000000004</v>
      </c>
      <c r="H1903" s="43">
        <f>H1902+Учет!C1903-C1903</f>
        <v>336855</v>
      </c>
      <c r="I1903" s="43">
        <f>I1902+Учет!D1903-D1903</f>
        <v>500</v>
      </c>
      <c r="J1903" s="43">
        <f>J1902+Учет!E1903-E1903</f>
        <v>1150</v>
      </c>
      <c r="K1903" s="43">
        <f>K1902+Учет!F1903-F1903</f>
        <v>500000</v>
      </c>
      <c r="L1903" s="45">
        <f>Учет!I1903</f>
        <v>349526.07999999996</v>
      </c>
    </row>
    <row r="1904" spans="1:12" x14ac:dyDescent="0.25">
      <c r="A1904" s="48" t="str">
        <f>IF(Учет!A1904&lt;&gt;"",Учет!A1904,"")</f>
        <v/>
      </c>
      <c r="B1904" s="52">
        <f>IF(Учет!$O1904=Справочники!$F$2,Учет!$H1904,0)</f>
        <v>0</v>
      </c>
      <c r="C1904" s="52">
        <f>IF(Учет!$O1904=Справочники!$F$3,Учет!$H1904,0)</f>
        <v>0</v>
      </c>
      <c r="D1904" s="52">
        <f>IF(Учет!$O1904=Справочники!$F$4,Учет!$H1904,0)</f>
        <v>0</v>
      </c>
      <c r="E1904" s="52">
        <f>IF(Учет!$O1904=Справочники!$F$5,Учет!$H1904,0)</f>
        <v>0</v>
      </c>
      <c r="F1904" s="52">
        <f>IF(Учет!$O1904=Справочники!$F$6,Учет!$H1904,0)</f>
        <v>0</v>
      </c>
      <c r="G1904" s="43">
        <f>G1903+Учет!B1904-B1904</f>
        <v>-488978.92000000004</v>
      </c>
      <c r="H1904" s="43">
        <f>H1903+Учет!C1904-C1904</f>
        <v>336855</v>
      </c>
      <c r="I1904" s="43">
        <f>I1903+Учет!D1904-D1904</f>
        <v>500</v>
      </c>
      <c r="J1904" s="43">
        <f>J1903+Учет!E1904-E1904</f>
        <v>1150</v>
      </c>
      <c r="K1904" s="43">
        <f>K1903+Учет!F1904-F1904</f>
        <v>500000</v>
      </c>
      <c r="L1904" s="45">
        <f>Учет!I1904</f>
        <v>349526.07999999996</v>
      </c>
    </row>
    <row r="1905" spans="1:12" x14ac:dyDescent="0.25">
      <c r="A1905" s="48" t="str">
        <f>IF(Учет!A1905&lt;&gt;"",Учет!A1905,"")</f>
        <v/>
      </c>
      <c r="B1905" s="52">
        <f>IF(Учет!$O1905=Справочники!$F$2,Учет!$H1905,0)</f>
        <v>0</v>
      </c>
      <c r="C1905" s="52">
        <f>IF(Учет!$O1905=Справочники!$F$3,Учет!$H1905,0)</f>
        <v>0</v>
      </c>
      <c r="D1905" s="52">
        <f>IF(Учет!$O1905=Справочники!$F$4,Учет!$H1905,0)</f>
        <v>0</v>
      </c>
      <c r="E1905" s="52">
        <f>IF(Учет!$O1905=Справочники!$F$5,Учет!$H1905,0)</f>
        <v>0</v>
      </c>
      <c r="F1905" s="52">
        <f>IF(Учет!$O1905=Справочники!$F$6,Учет!$H1905,0)</f>
        <v>0</v>
      </c>
      <c r="G1905" s="43">
        <f>G1904+Учет!B1905-B1905</f>
        <v>-488978.92000000004</v>
      </c>
      <c r="H1905" s="43">
        <f>H1904+Учет!C1905-C1905</f>
        <v>336855</v>
      </c>
      <c r="I1905" s="43">
        <f>I1904+Учет!D1905-D1905</f>
        <v>500</v>
      </c>
      <c r="J1905" s="43">
        <f>J1904+Учет!E1905-E1905</f>
        <v>1150</v>
      </c>
      <c r="K1905" s="43">
        <f>K1904+Учет!F1905-F1905</f>
        <v>500000</v>
      </c>
      <c r="L1905" s="45">
        <f>Учет!I1905</f>
        <v>349526.07999999996</v>
      </c>
    </row>
    <row r="1906" spans="1:12" x14ac:dyDescent="0.25">
      <c r="A1906" s="48" t="str">
        <f>IF(Учет!A1906&lt;&gt;"",Учет!A1906,"")</f>
        <v/>
      </c>
      <c r="B1906" s="52">
        <f>IF(Учет!$O1906=Справочники!$F$2,Учет!$H1906,0)</f>
        <v>0</v>
      </c>
      <c r="C1906" s="52">
        <f>IF(Учет!$O1906=Справочники!$F$3,Учет!$H1906,0)</f>
        <v>0</v>
      </c>
      <c r="D1906" s="52">
        <f>IF(Учет!$O1906=Справочники!$F$4,Учет!$H1906,0)</f>
        <v>0</v>
      </c>
      <c r="E1906" s="52">
        <f>IF(Учет!$O1906=Справочники!$F$5,Учет!$H1906,0)</f>
        <v>0</v>
      </c>
      <c r="F1906" s="52">
        <f>IF(Учет!$O1906=Справочники!$F$6,Учет!$H1906,0)</f>
        <v>0</v>
      </c>
      <c r="G1906" s="43">
        <f>G1905+Учет!B1906-B1906</f>
        <v>-488978.92000000004</v>
      </c>
      <c r="H1906" s="43">
        <f>H1905+Учет!C1906-C1906</f>
        <v>336855</v>
      </c>
      <c r="I1906" s="43">
        <f>I1905+Учет!D1906-D1906</f>
        <v>500</v>
      </c>
      <c r="J1906" s="43">
        <f>J1905+Учет!E1906-E1906</f>
        <v>1150</v>
      </c>
      <c r="K1906" s="43">
        <f>K1905+Учет!F1906-F1906</f>
        <v>500000</v>
      </c>
      <c r="L1906" s="45">
        <f>Учет!I1906</f>
        <v>349526.07999999996</v>
      </c>
    </row>
    <row r="1907" spans="1:12" x14ac:dyDescent="0.25">
      <c r="A1907" s="48" t="str">
        <f>IF(Учет!A1907&lt;&gt;"",Учет!A1907,"")</f>
        <v/>
      </c>
      <c r="B1907" s="52">
        <f>IF(Учет!$O1907=Справочники!$F$2,Учет!$H1907,0)</f>
        <v>0</v>
      </c>
      <c r="C1907" s="52">
        <f>IF(Учет!$O1907=Справочники!$F$3,Учет!$H1907,0)</f>
        <v>0</v>
      </c>
      <c r="D1907" s="52">
        <f>IF(Учет!$O1907=Справочники!$F$4,Учет!$H1907,0)</f>
        <v>0</v>
      </c>
      <c r="E1907" s="52">
        <f>IF(Учет!$O1907=Справочники!$F$5,Учет!$H1907,0)</f>
        <v>0</v>
      </c>
      <c r="F1907" s="52">
        <f>IF(Учет!$O1907=Справочники!$F$6,Учет!$H1907,0)</f>
        <v>0</v>
      </c>
      <c r="G1907" s="43">
        <f>G1906+Учет!B1907-B1907</f>
        <v>-488978.92000000004</v>
      </c>
      <c r="H1907" s="43">
        <f>H1906+Учет!C1907-C1907</f>
        <v>336855</v>
      </c>
      <c r="I1907" s="43">
        <f>I1906+Учет!D1907-D1907</f>
        <v>500</v>
      </c>
      <c r="J1907" s="43">
        <f>J1906+Учет!E1907-E1907</f>
        <v>1150</v>
      </c>
      <c r="K1907" s="43">
        <f>K1906+Учет!F1907-F1907</f>
        <v>500000</v>
      </c>
      <c r="L1907" s="45">
        <f>Учет!I1907</f>
        <v>349526.07999999996</v>
      </c>
    </row>
    <row r="1908" spans="1:12" x14ac:dyDescent="0.25">
      <c r="A1908" s="48" t="str">
        <f>IF(Учет!A1908&lt;&gt;"",Учет!A1908,"")</f>
        <v/>
      </c>
      <c r="B1908" s="52">
        <f>IF(Учет!$O1908=Справочники!$F$2,Учет!$H1908,0)</f>
        <v>0</v>
      </c>
      <c r="C1908" s="52">
        <f>IF(Учет!$O1908=Справочники!$F$3,Учет!$H1908,0)</f>
        <v>0</v>
      </c>
      <c r="D1908" s="52">
        <f>IF(Учет!$O1908=Справочники!$F$4,Учет!$H1908,0)</f>
        <v>0</v>
      </c>
      <c r="E1908" s="52">
        <f>IF(Учет!$O1908=Справочники!$F$5,Учет!$H1908,0)</f>
        <v>0</v>
      </c>
      <c r="F1908" s="52">
        <f>IF(Учет!$O1908=Справочники!$F$6,Учет!$H1908,0)</f>
        <v>0</v>
      </c>
      <c r="G1908" s="43">
        <f>G1907+Учет!B1908-B1908</f>
        <v>-488978.92000000004</v>
      </c>
      <c r="H1908" s="43">
        <f>H1907+Учет!C1908-C1908</f>
        <v>336855</v>
      </c>
      <c r="I1908" s="43">
        <f>I1907+Учет!D1908-D1908</f>
        <v>500</v>
      </c>
      <c r="J1908" s="43">
        <f>J1907+Учет!E1908-E1908</f>
        <v>1150</v>
      </c>
      <c r="K1908" s="43">
        <f>K1907+Учет!F1908-F1908</f>
        <v>500000</v>
      </c>
      <c r="L1908" s="45">
        <f>Учет!I1908</f>
        <v>349526.07999999996</v>
      </c>
    </row>
    <row r="1909" spans="1:12" x14ac:dyDescent="0.25">
      <c r="A1909" s="48" t="str">
        <f>IF(Учет!A1909&lt;&gt;"",Учет!A1909,"")</f>
        <v/>
      </c>
      <c r="B1909" s="52">
        <f>IF(Учет!$O1909=Справочники!$F$2,Учет!$H1909,0)</f>
        <v>0</v>
      </c>
      <c r="C1909" s="52">
        <f>IF(Учет!$O1909=Справочники!$F$3,Учет!$H1909,0)</f>
        <v>0</v>
      </c>
      <c r="D1909" s="52">
        <f>IF(Учет!$O1909=Справочники!$F$4,Учет!$H1909,0)</f>
        <v>0</v>
      </c>
      <c r="E1909" s="52">
        <f>IF(Учет!$O1909=Справочники!$F$5,Учет!$H1909,0)</f>
        <v>0</v>
      </c>
      <c r="F1909" s="52">
        <f>IF(Учет!$O1909=Справочники!$F$6,Учет!$H1909,0)</f>
        <v>0</v>
      </c>
      <c r="G1909" s="43">
        <f>G1908+Учет!B1909-B1909</f>
        <v>-488978.92000000004</v>
      </c>
      <c r="H1909" s="43">
        <f>H1908+Учет!C1909-C1909</f>
        <v>336855</v>
      </c>
      <c r="I1909" s="43">
        <f>I1908+Учет!D1909-D1909</f>
        <v>500</v>
      </c>
      <c r="J1909" s="43">
        <f>J1908+Учет!E1909-E1909</f>
        <v>1150</v>
      </c>
      <c r="K1909" s="43">
        <f>K1908+Учет!F1909-F1909</f>
        <v>500000</v>
      </c>
      <c r="L1909" s="45">
        <f>Учет!I1909</f>
        <v>349526.07999999996</v>
      </c>
    </row>
    <row r="1910" spans="1:12" x14ac:dyDescent="0.25">
      <c r="A1910" s="48" t="str">
        <f>IF(Учет!A1910&lt;&gt;"",Учет!A1910,"")</f>
        <v/>
      </c>
      <c r="B1910" s="52">
        <f>IF(Учет!$O1910=Справочники!$F$2,Учет!$H1910,0)</f>
        <v>0</v>
      </c>
      <c r="C1910" s="52">
        <f>IF(Учет!$O1910=Справочники!$F$3,Учет!$H1910,0)</f>
        <v>0</v>
      </c>
      <c r="D1910" s="52">
        <f>IF(Учет!$O1910=Справочники!$F$4,Учет!$H1910,0)</f>
        <v>0</v>
      </c>
      <c r="E1910" s="52">
        <f>IF(Учет!$O1910=Справочники!$F$5,Учет!$H1910,0)</f>
        <v>0</v>
      </c>
      <c r="F1910" s="52">
        <f>IF(Учет!$O1910=Справочники!$F$6,Учет!$H1910,0)</f>
        <v>0</v>
      </c>
      <c r="G1910" s="43">
        <f>G1909+Учет!B1910-B1910</f>
        <v>-488978.92000000004</v>
      </c>
      <c r="H1910" s="43">
        <f>H1909+Учет!C1910-C1910</f>
        <v>336855</v>
      </c>
      <c r="I1910" s="43">
        <f>I1909+Учет!D1910-D1910</f>
        <v>500</v>
      </c>
      <c r="J1910" s="43">
        <f>J1909+Учет!E1910-E1910</f>
        <v>1150</v>
      </c>
      <c r="K1910" s="43">
        <f>K1909+Учет!F1910-F1910</f>
        <v>500000</v>
      </c>
      <c r="L1910" s="45">
        <f>Учет!I1910</f>
        <v>349526.07999999996</v>
      </c>
    </row>
    <row r="1911" spans="1:12" x14ac:dyDescent="0.25">
      <c r="A1911" s="48" t="str">
        <f>IF(Учет!A1911&lt;&gt;"",Учет!A1911,"")</f>
        <v/>
      </c>
      <c r="B1911" s="52">
        <f>IF(Учет!$O1911=Справочники!$F$2,Учет!$H1911,0)</f>
        <v>0</v>
      </c>
      <c r="C1911" s="52">
        <f>IF(Учет!$O1911=Справочники!$F$3,Учет!$H1911,0)</f>
        <v>0</v>
      </c>
      <c r="D1911" s="52">
        <f>IF(Учет!$O1911=Справочники!$F$4,Учет!$H1911,0)</f>
        <v>0</v>
      </c>
      <c r="E1911" s="52">
        <f>IF(Учет!$O1911=Справочники!$F$5,Учет!$H1911,0)</f>
        <v>0</v>
      </c>
      <c r="F1911" s="52">
        <f>IF(Учет!$O1911=Справочники!$F$6,Учет!$H1911,0)</f>
        <v>0</v>
      </c>
      <c r="G1911" s="43">
        <f>G1910+Учет!B1911-B1911</f>
        <v>-488978.92000000004</v>
      </c>
      <c r="H1911" s="43">
        <f>H1910+Учет!C1911-C1911</f>
        <v>336855</v>
      </c>
      <c r="I1911" s="43">
        <f>I1910+Учет!D1911-D1911</f>
        <v>500</v>
      </c>
      <c r="J1911" s="43">
        <f>J1910+Учет!E1911-E1911</f>
        <v>1150</v>
      </c>
      <c r="K1911" s="43">
        <f>K1910+Учет!F1911-F1911</f>
        <v>500000</v>
      </c>
      <c r="L1911" s="45">
        <f>Учет!I1911</f>
        <v>349526.07999999996</v>
      </c>
    </row>
    <row r="1912" spans="1:12" x14ac:dyDescent="0.25">
      <c r="A1912" s="48" t="str">
        <f>IF(Учет!A1912&lt;&gt;"",Учет!A1912,"")</f>
        <v/>
      </c>
      <c r="B1912" s="52">
        <f>IF(Учет!$O1912=Справочники!$F$2,Учет!$H1912,0)</f>
        <v>0</v>
      </c>
      <c r="C1912" s="52">
        <f>IF(Учет!$O1912=Справочники!$F$3,Учет!$H1912,0)</f>
        <v>0</v>
      </c>
      <c r="D1912" s="52">
        <f>IF(Учет!$O1912=Справочники!$F$4,Учет!$H1912,0)</f>
        <v>0</v>
      </c>
      <c r="E1912" s="52">
        <f>IF(Учет!$O1912=Справочники!$F$5,Учет!$H1912,0)</f>
        <v>0</v>
      </c>
      <c r="F1912" s="52">
        <f>IF(Учет!$O1912=Справочники!$F$6,Учет!$H1912,0)</f>
        <v>0</v>
      </c>
      <c r="G1912" s="43">
        <f>G1911+Учет!B1912-B1912</f>
        <v>-488978.92000000004</v>
      </c>
      <c r="H1912" s="43">
        <f>H1911+Учет!C1912-C1912</f>
        <v>336855</v>
      </c>
      <c r="I1912" s="43">
        <f>I1911+Учет!D1912-D1912</f>
        <v>500</v>
      </c>
      <c r="J1912" s="43">
        <f>J1911+Учет!E1912-E1912</f>
        <v>1150</v>
      </c>
      <c r="K1912" s="43">
        <f>K1911+Учет!F1912-F1912</f>
        <v>500000</v>
      </c>
      <c r="L1912" s="45">
        <f>Учет!I1912</f>
        <v>349526.07999999996</v>
      </c>
    </row>
    <row r="1913" spans="1:12" x14ac:dyDescent="0.25">
      <c r="A1913" s="48" t="str">
        <f>IF(Учет!A1913&lt;&gt;"",Учет!A1913,"")</f>
        <v/>
      </c>
      <c r="B1913" s="52">
        <f>IF(Учет!$O1913=Справочники!$F$2,Учет!$H1913,0)</f>
        <v>0</v>
      </c>
      <c r="C1913" s="52">
        <f>IF(Учет!$O1913=Справочники!$F$3,Учет!$H1913,0)</f>
        <v>0</v>
      </c>
      <c r="D1913" s="52">
        <f>IF(Учет!$O1913=Справочники!$F$4,Учет!$H1913,0)</f>
        <v>0</v>
      </c>
      <c r="E1913" s="52">
        <f>IF(Учет!$O1913=Справочники!$F$5,Учет!$H1913,0)</f>
        <v>0</v>
      </c>
      <c r="F1913" s="52">
        <f>IF(Учет!$O1913=Справочники!$F$6,Учет!$H1913,0)</f>
        <v>0</v>
      </c>
      <c r="G1913" s="43">
        <f>G1912+Учет!B1913-B1913</f>
        <v>-488978.92000000004</v>
      </c>
      <c r="H1913" s="43">
        <f>H1912+Учет!C1913-C1913</f>
        <v>336855</v>
      </c>
      <c r="I1913" s="43">
        <f>I1912+Учет!D1913-D1913</f>
        <v>500</v>
      </c>
      <c r="J1913" s="43">
        <f>J1912+Учет!E1913-E1913</f>
        <v>1150</v>
      </c>
      <c r="K1913" s="43">
        <f>K1912+Учет!F1913-F1913</f>
        <v>500000</v>
      </c>
      <c r="L1913" s="45">
        <f>Учет!I1913</f>
        <v>349526.07999999996</v>
      </c>
    </row>
    <row r="1914" spans="1:12" x14ac:dyDescent="0.25">
      <c r="A1914" s="48" t="str">
        <f>IF(Учет!A1914&lt;&gt;"",Учет!A1914,"")</f>
        <v/>
      </c>
      <c r="B1914" s="52">
        <f>IF(Учет!$O1914=Справочники!$F$2,Учет!$H1914,0)</f>
        <v>0</v>
      </c>
      <c r="C1914" s="52">
        <f>IF(Учет!$O1914=Справочники!$F$3,Учет!$H1914,0)</f>
        <v>0</v>
      </c>
      <c r="D1914" s="52">
        <f>IF(Учет!$O1914=Справочники!$F$4,Учет!$H1914,0)</f>
        <v>0</v>
      </c>
      <c r="E1914" s="52">
        <f>IF(Учет!$O1914=Справочники!$F$5,Учет!$H1914,0)</f>
        <v>0</v>
      </c>
      <c r="F1914" s="52">
        <f>IF(Учет!$O1914=Справочники!$F$6,Учет!$H1914,0)</f>
        <v>0</v>
      </c>
      <c r="G1914" s="43">
        <f>G1913+Учет!B1914-B1914</f>
        <v>-488978.92000000004</v>
      </c>
      <c r="H1914" s="43">
        <f>H1913+Учет!C1914-C1914</f>
        <v>336855</v>
      </c>
      <c r="I1914" s="43">
        <f>I1913+Учет!D1914-D1914</f>
        <v>500</v>
      </c>
      <c r="J1914" s="43">
        <f>J1913+Учет!E1914-E1914</f>
        <v>1150</v>
      </c>
      <c r="K1914" s="43">
        <f>K1913+Учет!F1914-F1914</f>
        <v>500000</v>
      </c>
      <c r="L1914" s="45">
        <f>Учет!I1914</f>
        <v>349526.07999999996</v>
      </c>
    </row>
    <row r="1915" spans="1:12" x14ac:dyDescent="0.25">
      <c r="A1915" s="48" t="str">
        <f>IF(Учет!A1915&lt;&gt;"",Учет!A1915,"")</f>
        <v/>
      </c>
      <c r="B1915" s="52">
        <f>IF(Учет!$O1915=Справочники!$F$2,Учет!$H1915,0)</f>
        <v>0</v>
      </c>
      <c r="C1915" s="52">
        <f>IF(Учет!$O1915=Справочники!$F$3,Учет!$H1915,0)</f>
        <v>0</v>
      </c>
      <c r="D1915" s="52">
        <f>IF(Учет!$O1915=Справочники!$F$4,Учет!$H1915,0)</f>
        <v>0</v>
      </c>
      <c r="E1915" s="52">
        <f>IF(Учет!$O1915=Справочники!$F$5,Учет!$H1915,0)</f>
        <v>0</v>
      </c>
      <c r="F1915" s="52">
        <f>IF(Учет!$O1915=Справочники!$F$6,Учет!$H1915,0)</f>
        <v>0</v>
      </c>
      <c r="G1915" s="43">
        <f>G1914+Учет!B1915-B1915</f>
        <v>-488978.92000000004</v>
      </c>
      <c r="H1915" s="43">
        <f>H1914+Учет!C1915-C1915</f>
        <v>336855</v>
      </c>
      <c r="I1915" s="43">
        <f>I1914+Учет!D1915-D1915</f>
        <v>500</v>
      </c>
      <c r="J1915" s="43">
        <f>J1914+Учет!E1915-E1915</f>
        <v>1150</v>
      </c>
      <c r="K1915" s="43">
        <f>K1914+Учет!F1915-F1915</f>
        <v>500000</v>
      </c>
      <c r="L1915" s="45">
        <f>Учет!I1915</f>
        <v>349526.07999999996</v>
      </c>
    </row>
    <row r="1916" spans="1:12" x14ac:dyDescent="0.25">
      <c r="A1916" s="48" t="str">
        <f>IF(Учет!A1916&lt;&gt;"",Учет!A1916,"")</f>
        <v/>
      </c>
      <c r="B1916" s="52">
        <f>IF(Учет!$O1916=Справочники!$F$2,Учет!$H1916,0)</f>
        <v>0</v>
      </c>
      <c r="C1916" s="52">
        <f>IF(Учет!$O1916=Справочники!$F$3,Учет!$H1916,0)</f>
        <v>0</v>
      </c>
      <c r="D1916" s="52">
        <f>IF(Учет!$O1916=Справочники!$F$4,Учет!$H1916,0)</f>
        <v>0</v>
      </c>
      <c r="E1916" s="52">
        <f>IF(Учет!$O1916=Справочники!$F$5,Учет!$H1916,0)</f>
        <v>0</v>
      </c>
      <c r="F1916" s="52">
        <f>IF(Учет!$O1916=Справочники!$F$6,Учет!$H1916,0)</f>
        <v>0</v>
      </c>
      <c r="G1916" s="43">
        <f>G1915+Учет!B1916-B1916</f>
        <v>-488978.92000000004</v>
      </c>
      <c r="H1916" s="43">
        <f>H1915+Учет!C1916-C1916</f>
        <v>336855</v>
      </c>
      <c r="I1916" s="43">
        <f>I1915+Учет!D1916-D1916</f>
        <v>500</v>
      </c>
      <c r="J1916" s="43">
        <f>J1915+Учет!E1916-E1916</f>
        <v>1150</v>
      </c>
      <c r="K1916" s="43">
        <f>K1915+Учет!F1916-F1916</f>
        <v>500000</v>
      </c>
      <c r="L1916" s="45">
        <f>Учет!I1916</f>
        <v>349526.07999999996</v>
      </c>
    </row>
    <row r="1917" spans="1:12" x14ac:dyDescent="0.25">
      <c r="A1917" s="48" t="str">
        <f>IF(Учет!A1917&lt;&gt;"",Учет!A1917,"")</f>
        <v/>
      </c>
      <c r="B1917" s="52">
        <f>IF(Учет!$O1917=Справочники!$F$2,Учет!$H1917,0)</f>
        <v>0</v>
      </c>
      <c r="C1917" s="52">
        <f>IF(Учет!$O1917=Справочники!$F$3,Учет!$H1917,0)</f>
        <v>0</v>
      </c>
      <c r="D1917" s="52">
        <f>IF(Учет!$O1917=Справочники!$F$4,Учет!$H1917,0)</f>
        <v>0</v>
      </c>
      <c r="E1917" s="52">
        <f>IF(Учет!$O1917=Справочники!$F$5,Учет!$H1917,0)</f>
        <v>0</v>
      </c>
      <c r="F1917" s="52">
        <f>IF(Учет!$O1917=Справочники!$F$6,Учет!$H1917,0)</f>
        <v>0</v>
      </c>
      <c r="G1917" s="43">
        <f>G1916+Учет!B1917-B1917</f>
        <v>-488978.92000000004</v>
      </c>
      <c r="H1917" s="43">
        <f>H1916+Учет!C1917-C1917</f>
        <v>336855</v>
      </c>
      <c r="I1917" s="43">
        <f>I1916+Учет!D1917-D1917</f>
        <v>500</v>
      </c>
      <c r="J1917" s="43">
        <f>J1916+Учет!E1917-E1917</f>
        <v>1150</v>
      </c>
      <c r="K1917" s="43">
        <f>K1916+Учет!F1917-F1917</f>
        <v>500000</v>
      </c>
      <c r="L1917" s="45">
        <f>Учет!I1917</f>
        <v>349526.07999999996</v>
      </c>
    </row>
    <row r="1918" spans="1:12" x14ac:dyDescent="0.25">
      <c r="A1918" s="48" t="str">
        <f>IF(Учет!A1918&lt;&gt;"",Учет!A1918,"")</f>
        <v/>
      </c>
      <c r="B1918" s="52">
        <f>IF(Учет!$O1918=Справочники!$F$2,Учет!$H1918,0)</f>
        <v>0</v>
      </c>
      <c r="C1918" s="52">
        <f>IF(Учет!$O1918=Справочники!$F$3,Учет!$H1918,0)</f>
        <v>0</v>
      </c>
      <c r="D1918" s="52">
        <f>IF(Учет!$O1918=Справочники!$F$4,Учет!$H1918,0)</f>
        <v>0</v>
      </c>
      <c r="E1918" s="52">
        <f>IF(Учет!$O1918=Справочники!$F$5,Учет!$H1918,0)</f>
        <v>0</v>
      </c>
      <c r="F1918" s="52">
        <f>IF(Учет!$O1918=Справочники!$F$6,Учет!$H1918,0)</f>
        <v>0</v>
      </c>
      <c r="G1918" s="43">
        <f>G1917+Учет!B1918-B1918</f>
        <v>-488978.92000000004</v>
      </c>
      <c r="H1918" s="43">
        <f>H1917+Учет!C1918-C1918</f>
        <v>336855</v>
      </c>
      <c r="I1918" s="43">
        <f>I1917+Учет!D1918-D1918</f>
        <v>500</v>
      </c>
      <c r="J1918" s="43">
        <f>J1917+Учет!E1918-E1918</f>
        <v>1150</v>
      </c>
      <c r="K1918" s="43">
        <f>K1917+Учет!F1918-F1918</f>
        <v>500000</v>
      </c>
      <c r="L1918" s="45">
        <f>Учет!I1918</f>
        <v>349526.07999999996</v>
      </c>
    </row>
    <row r="1919" spans="1:12" x14ac:dyDescent="0.25">
      <c r="A1919" s="48" t="str">
        <f>IF(Учет!A1919&lt;&gt;"",Учет!A1919,"")</f>
        <v/>
      </c>
      <c r="B1919" s="52">
        <f>IF(Учет!$O1919=Справочники!$F$2,Учет!$H1919,0)</f>
        <v>0</v>
      </c>
      <c r="C1919" s="52">
        <f>IF(Учет!$O1919=Справочники!$F$3,Учет!$H1919,0)</f>
        <v>0</v>
      </c>
      <c r="D1919" s="52">
        <f>IF(Учет!$O1919=Справочники!$F$4,Учет!$H1919,0)</f>
        <v>0</v>
      </c>
      <c r="E1919" s="52">
        <f>IF(Учет!$O1919=Справочники!$F$5,Учет!$H1919,0)</f>
        <v>0</v>
      </c>
      <c r="F1919" s="52">
        <f>IF(Учет!$O1919=Справочники!$F$6,Учет!$H1919,0)</f>
        <v>0</v>
      </c>
      <c r="G1919" s="43">
        <f>G1918+Учет!B1919-B1919</f>
        <v>-488978.92000000004</v>
      </c>
      <c r="H1919" s="43">
        <f>H1918+Учет!C1919-C1919</f>
        <v>336855</v>
      </c>
      <c r="I1919" s="43">
        <f>I1918+Учет!D1919-D1919</f>
        <v>500</v>
      </c>
      <c r="J1919" s="43">
        <f>J1918+Учет!E1919-E1919</f>
        <v>1150</v>
      </c>
      <c r="K1919" s="43">
        <f>K1918+Учет!F1919-F1919</f>
        <v>500000</v>
      </c>
      <c r="L1919" s="45">
        <f>Учет!I1919</f>
        <v>349526.07999999996</v>
      </c>
    </row>
    <row r="1920" spans="1:12" x14ac:dyDescent="0.25">
      <c r="A1920" s="48" t="str">
        <f>IF(Учет!A1920&lt;&gt;"",Учет!A1920,"")</f>
        <v/>
      </c>
      <c r="B1920" s="52">
        <f>IF(Учет!$O1920=Справочники!$F$2,Учет!$H1920,0)</f>
        <v>0</v>
      </c>
      <c r="C1920" s="52">
        <f>IF(Учет!$O1920=Справочники!$F$3,Учет!$H1920,0)</f>
        <v>0</v>
      </c>
      <c r="D1920" s="52">
        <f>IF(Учет!$O1920=Справочники!$F$4,Учет!$H1920,0)</f>
        <v>0</v>
      </c>
      <c r="E1920" s="52">
        <f>IF(Учет!$O1920=Справочники!$F$5,Учет!$H1920,0)</f>
        <v>0</v>
      </c>
      <c r="F1920" s="52">
        <f>IF(Учет!$O1920=Справочники!$F$6,Учет!$H1920,0)</f>
        <v>0</v>
      </c>
      <c r="G1920" s="43">
        <f>G1919+Учет!B1920-B1920</f>
        <v>-488978.92000000004</v>
      </c>
      <c r="H1920" s="43">
        <f>H1919+Учет!C1920-C1920</f>
        <v>336855</v>
      </c>
      <c r="I1920" s="43">
        <f>I1919+Учет!D1920-D1920</f>
        <v>500</v>
      </c>
      <c r="J1920" s="43">
        <f>J1919+Учет!E1920-E1920</f>
        <v>1150</v>
      </c>
      <c r="K1920" s="43">
        <f>K1919+Учет!F1920-F1920</f>
        <v>500000</v>
      </c>
      <c r="L1920" s="45">
        <f>Учет!I1920</f>
        <v>349526.07999999996</v>
      </c>
    </row>
    <row r="1921" spans="1:12" x14ac:dyDescent="0.25">
      <c r="A1921" s="48" t="str">
        <f>IF(Учет!A1921&lt;&gt;"",Учет!A1921,"")</f>
        <v/>
      </c>
      <c r="B1921" s="52">
        <f>IF(Учет!$O1921=Справочники!$F$2,Учет!$H1921,0)</f>
        <v>0</v>
      </c>
      <c r="C1921" s="52">
        <f>IF(Учет!$O1921=Справочники!$F$3,Учет!$H1921,0)</f>
        <v>0</v>
      </c>
      <c r="D1921" s="52">
        <f>IF(Учет!$O1921=Справочники!$F$4,Учет!$H1921,0)</f>
        <v>0</v>
      </c>
      <c r="E1921" s="52">
        <f>IF(Учет!$O1921=Справочники!$F$5,Учет!$H1921,0)</f>
        <v>0</v>
      </c>
      <c r="F1921" s="52">
        <f>IF(Учет!$O1921=Справочники!$F$6,Учет!$H1921,0)</f>
        <v>0</v>
      </c>
      <c r="G1921" s="43">
        <f>G1920+Учет!B1921-B1921</f>
        <v>-488978.92000000004</v>
      </c>
      <c r="H1921" s="43">
        <f>H1920+Учет!C1921-C1921</f>
        <v>336855</v>
      </c>
      <c r="I1921" s="43">
        <f>I1920+Учет!D1921-D1921</f>
        <v>500</v>
      </c>
      <c r="J1921" s="43">
        <f>J1920+Учет!E1921-E1921</f>
        <v>1150</v>
      </c>
      <c r="K1921" s="43">
        <f>K1920+Учет!F1921-F1921</f>
        <v>500000</v>
      </c>
      <c r="L1921" s="45">
        <f>Учет!I1921</f>
        <v>349526.07999999996</v>
      </c>
    </row>
    <row r="1922" spans="1:12" x14ac:dyDescent="0.25">
      <c r="A1922" s="48" t="str">
        <f>IF(Учет!A1922&lt;&gt;"",Учет!A1922,"")</f>
        <v/>
      </c>
      <c r="B1922" s="52">
        <f>IF(Учет!$O1922=Справочники!$F$2,Учет!$H1922,0)</f>
        <v>0</v>
      </c>
      <c r="C1922" s="52">
        <f>IF(Учет!$O1922=Справочники!$F$3,Учет!$H1922,0)</f>
        <v>0</v>
      </c>
      <c r="D1922" s="52">
        <f>IF(Учет!$O1922=Справочники!$F$4,Учет!$H1922,0)</f>
        <v>0</v>
      </c>
      <c r="E1922" s="52">
        <f>IF(Учет!$O1922=Справочники!$F$5,Учет!$H1922,0)</f>
        <v>0</v>
      </c>
      <c r="F1922" s="52">
        <f>IF(Учет!$O1922=Справочники!$F$6,Учет!$H1922,0)</f>
        <v>0</v>
      </c>
      <c r="G1922" s="43">
        <f>G1921+Учет!B1922-B1922</f>
        <v>-488978.92000000004</v>
      </c>
      <c r="H1922" s="43">
        <f>H1921+Учет!C1922-C1922</f>
        <v>336855</v>
      </c>
      <c r="I1922" s="43">
        <f>I1921+Учет!D1922-D1922</f>
        <v>500</v>
      </c>
      <c r="J1922" s="43">
        <f>J1921+Учет!E1922-E1922</f>
        <v>1150</v>
      </c>
      <c r="K1922" s="43">
        <f>K1921+Учет!F1922-F1922</f>
        <v>500000</v>
      </c>
      <c r="L1922" s="45">
        <f>Учет!I1922</f>
        <v>349526.07999999996</v>
      </c>
    </row>
    <row r="1923" spans="1:12" x14ac:dyDescent="0.25">
      <c r="A1923" s="48" t="str">
        <f>IF(Учет!A1923&lt;&gt;"",Учет!A1923,"")</f>
        <v/>
      </c>
      <c r="B1923" s="52">
        <f>IF(Учет!$O1923=Справочники!$F$2,Учет!$H1923,0)</f>
        <v>0</v>
      </c>
      <c r="C1923" s="52">
        <f>IF(Учет!$O1923=Справочники!$F$3,Учет!$H1923,0)</f>
        <v>0</v>
      </c>
      <c r="D1923" s="52">
        <f>IF(Учет!$O1923=Справочники!$F$4,Учет!$H1923,0)</f>
        <v>0</v>
      </c>
      <c r="E1923" s="52">
        <f>IF(Учет!$O1923=Справочники!$F$5,Учет!$H1923,0)</f>
        <v>0</v>
      </c>
      <c r="F1923" s="52">
        <f>IF(Учет!$O1923=Справочники!$F$6,Учет!$H1923,0)</f>
        <v>0</v>
      </c>
      <c r="G1923" s="43">
        <f>G1922+Учет!B1923-B1923</f>
        <v>-488978.92000000004</v>
      </c>
      <c r="H1923" s="43">
        <f>H1922+Учет!C1923-C1923</f>
        <v>336855</v>
      </c>
      <c r="I1923" s="43">
        <f>I1922+Учет!D1923-D1923</f>
        <v>500</v>
      </c>
      <c r="J1923" s="43">
        <f>J1922+Учет!E1923-E1923</f>
        <v>1150</v>
      </c>
      <c r="K1923" s="43">
        <f>K1922+Учет!F1923-F1923</f>
        <v>500000</v>
      </c>
      <c r="L1923" s="45">
        <f>Учет!I1923</f>
        <v>349526.07999999996</v>
      </c>
    </row>
    <row r="1924" spans="1:12" x14ac:dyDescent="0.25">
      <c r="A1924" s="48" t="str">
        <f>IF(Учет!A1924&lt;&gt;"",Учет!A1924,"")</f>
        <v/>
      </c>
      <c r="B1924" s="52">
        <f>IF(Учет!$O1924=Справочники!$F$2,Учет!$H1924,0)</f>
        <v>0</v>
      </c>
      <c r="C1924" s="52">
        <f>IF(Учет!$O1924=Справочники!$F$3,Учет!$H1924,0)</f>
        <v>0</v>
      </c>
      <c r="D1924" s="52">
        <f>IF(Учет!$O1924=Справочники!$F$4,Учет!$H1924,0)</f>
        <v>0</v>
      </c>
      <c r="E1924" s="52">
        <f>IF(Учет!$O1924=Справочники!$F$5,Учет!$H1924,0)</f>
        <v>0</v>
      </c>
      <c r="F1924" s="52">
        <f>IF(Учет!$O1924=Справочники!$F$6,Учет!$H1924,0)</f>
        <v>0</v>
      </c>
      <c r="G1924" s="43">
        <f>G1923+Учет!B1924-B1924</f>
        <v>-488978.92000000004</v>
      </c>
      <c r="H1924" s="43">
        <f>H1923+Учет!C1924-C1924</f>
        <v>336855</v>
      </c>
      <c r="I1924" s="43">
        <f>I1923+Учет!D1924-D1924</f>
        <v>500</v>
      </c>
      <c r="J1924" s="43">
        <f>J1923+Учет!E1924-E1924</f>
        <v>1150</v>
      </c>
      <c r="K1924" s="43">
        <f>K1923+Учет!F1924-F1924</f>
        <v>500000</v>
      </c>
      <c r="L1924" s="45">
        <f>Учет!I1924</f>
        <v>349526.07999999996</v>
      </c>
    </row>
    <row r="1925" spans="1:12" x14ac:dyDescent="0.25">
      <c r="A1925" s="48" t="str">
        <f>IF(Учет!A1925&lt;&gt;"",Учет!A1925,"")</f>
        <v/>
      </c>
      <c r="B1925" s="52">
        <f>IF(Учет!$O1925=Справочники!$F$2,Учет!$H1925,0)</f>
        <v>0</v>
      </c>
      <c r="C1925" s="52">
        <f>IF(Учет!$O1925=Справочники!$F$3,Учет!$H1925,0)</f>
        <v>0</v>
      </c>
      <c r="D1925" s="52">
        <f>IF(Учет!$O1925=Справочники!$F$4,Учет!$H1925,0)</f>
        <v>0</v>
      </c>
      <c r="E1925" s="52">
        <f>IF(Учет!$O1925=Справочники!$F$5,Учет!$H1925,0)</f>
        <v>0</v>
      </c>
      <c r="F1925" s="52">
        <f>IF(Учет!$O1925=Справочники!$F$6,Учет!$H1925,0)</f>
        <v>0</v>
      </c>
      <c r="G1925" s="43">
        <f>G1924+Учет!B1925-B1925</f>
        <v>-488978.92000000004</v>
      </c>
      <c r="H1925" s="43">
        <f>H1924+Учет!C1925-C1925</f>
        <v>336855</v>
      </c>
      <c r="I1925" s="43">
        <f>I1924+Учет!D1925-D1925</f>
        <v>500</v>
      </c>
      <c r="J1925" s="43">
        <f>J1924+Учет!E1925-E1925</f>
        <v>1150</v>
      </c>
      <c r="K1925" s="43">
        <f>K1924+Учет!F1925-F1925</f>
        <v>500000</v>
      </c>
      <c r="L1925" s="45">
        <f>Учет!I1925</f>
        <v>349526.07999999996</v>
      </c>
    </row>
    <row r="1926" spans="1:12" x14ac:dyDescent="0.25">
      <c r="A1926" s="48" t="str">
        <f>IF(Учет!A1926&lt;&gt;"",Учет!A1926,"")</f>
        <v/>
      </c>
      <c r="B1926" s="52">
        <f>IF(Учет!$O1926=Справочники!$F$2,Учет!$H1926,0)</f>
        <v>0</v>
      </c>
      <c r="C1926" s="52">
        <f>IF(Учет!$O1926=Справочники!$F$3,Учет!$H1926,0)</f>
        <v>0</v>
      </c>
      <c r="D1926" s="52">
        <f>IF(Учет!$O1926=Справочники!$F$4,Учет!$H1926,0)</f>
        <v>0</v>
      </c>
      <c r="E1926" s="52">
        <f>IF(Учет!$O1926=Справочники!$F$5,Учет!$H1926,0)</f>
        <v>0</v>
      </c>
      <c r="F1926" s="52">
        <f>IF(Учет!$O1926=Справочники!$F$6,Учет!$H1926,0)</f>
        <v>0</v>
      </c>
      <c r="G1926" s="43">
        <f>G1925+Учет!B1926-B1926</f>
        <v>-488978.92000000004</v>
      </c>
      <c r="H1926" s="43">
        <f>H1925+Учет!C1926-C1926</f>
        <v>336855</v>
      </c>
      <c r="I1926" s="43">
        <f>I1925+Учет!D1926-D1926</f>
        <v>500</v>
      </c>
      <c r="J1926" s="43">
        <f>J1925+Учет!E1926-E1926</f>
        <v>1150</v>
      </c>
      <c r="K1926" s="43">
        <f>K1925+Учет!F1926-F1926</f>
        <v>500000</v>
      </c>
      <c r="L1926" s="45">
        <f>Учет!I1926</f>
        <v>349526.07999999996</v>
      </c>
    </row>
    <row r="1927" spans="1:12" x14ac:dyDescent="0.25">
      <c r="A1927" s="48" t="str">
        <f>IF(Учет!A1927&lt;&gt;"",Учет!A1927,"")</f>
        <v/>
      </c>
      <c r="B1927" s="52">
        <f>IF(Учет!$O1927=Справочники!$F$2,Учет!$H1927,0)</f>
        <v>0</v>
      </c>
      <c r="C1927" s="52">
        <f>IF(Учет!$O1927=Справочники!$F$3,Учет!$H1927,0)</f>
        <v>0</v>
      </c>
      <c r="D1927" s="52">
        <f>IF(Учет!$O1927=Справочники!$F$4,Учет!$H1927,0)</f>
        <v>0</v>
      </c>
      <c r="E1927" s="52">
        <f>IF(Учет!$O1927=Справочники!$F$5,Учет!$H1927,0)</f>
        <v>0</v>
      </c>
      <c r="F1927" s="52">
        <f>IF(Учет!$O1927=Справочники!$F$6,Учет!$H1927,0)</f>
        <v>0</v>
      </c>
      <c r="G1927" s="43">
        <f>G1926+Учет!B1927-B1927</f>
        <v>-488978.92000000004</v>
      </c>
      <c r="H1927" s="43">
        <f>H1926+Учет!C1927-C1927</f>
        <v>336855</v>
      </c>
      <c r="I1927" s="43">
        <f>I1926+Учет!D1927-D1927</f>
        <v>500</v>
      </c>
      <c r="J1927" s="43">
        <f>J1926+Учет!E1927-E1927</f>
        <v>1150</v>
      </c>
      <c r="K1927" s="43">
        <f>K1926+Учет!F1927-F1927</f>
        <v>500000</v>
      </c>
      <c r="L1927" s="45">
        <f>Учет!I1927</f>
        <v>349526.07999999996</v>
      </c>
    </row>
    <row r="1928" spans="1:12" x14ac:dyDescent="0.25">
      <c r="A1928" s="48" t="str">
        <f>IF(Учет!A1928&lt;&gt;"",Учет!A1928,"")</f>
        <v/>
      </c>
      <c r="B1928" s="52">
        <f>IF(Учет!$O1928=Справочники!$F$2,Учет!$H1928,0)</f>
        <v>0</v>
      </c>
      <c r="C1928" s="52">
        <f>IF(Учет!$O1928=Справочники!$F$3,Учет!$H1928,0)</f>
        <v>0</v>
      </c>
      <c r="D1928" s="52">
        <f>IF(Учет!$O1928=Справочники!$F$4,Учет!$H1928,0)</f>
        <v>0</v>
      </c>
      <c r="E1928" s="52">
        <f>IF(Учет!$O1928=Справочники!$F$5,Учет!$H1928,0)</f>
        <v>0</v>
      </c>
      <c r="F1928" s="52">
        <f>IF(Учет!$O1928=Справочники!$F$6,Учет!$H1928,0)</f>
        <v>0</v>
      </c>
      <c r="G1928" s="43">
        <f>G1927+Учет!B1928-B1928</f>
        <v>-488978.92000000004</v>
      </c>
      <c r="H1928" s="43">
        <f>H1927+Учет!C1928-C1928</f>
        <v>336855</v>
      </c>
      <c r="I1928" s="43">
        <f>I1927+Учет!D1928-D1928</f>
        <v>500</v>
      </c>
      <c r="J1928" s="43">
        <f>J1927+Учет!E1928-E1928</f>
        <v>1150</v>
      </c>
      <c r="K1928" s="43">
        <f>K1927+Учет!F1928-F1928</f>
        <v>500000</v>
      </c>
      <c r="L1928" s="45">
        <f>Учет!I1928</f>
        <v>349526.07999999996</v>
      </c>
    </row>
    <row r="1929" spans="1:12" x14ac:dyDescent="0.25">
      <c r="A1929" s="48" t="str">
        <f>IF(Учет!A1929&lt;&gt;"",Учет!A1929,"")</f>
        <v/>
      </c>
      <c r="B1929" s="52">
        <f>IF(Учет!$O1929=Справочники!$F$2,Учет!$H1929,0)</f>
        <v>0</v>
      </c>
      <c r="C1929" s="52">
        <f>IF(Учет!$O1929=Справочники!$F$3,Учет!$H1929,0)</f>
        <v>0</v>
      </c>
      <c r="D1929" s="52">
        <f>IF(Учет!$O1929=Справочники!$F$4,Учет!$H1929,0)</f>
        <v>0</v>
      </c>
      <c r="E1929" s="52">
        <f>IF(Учет!$O1929=Справочники!$F$5,Учет!$H1929,0)</f>
        <v>0</v>
      </c>
      <c r="F1929" s="52">
        <f>IF(Учет!$O1929=Справочники!$F$6,Учет!$H1929,0)</f>
        <v>0</v>
      </c>
      <c r="G1929" s="43">
        <f>G1928+Учет!B1929-B1929</f>
        <v>-488978.92000000004</v>
      </c>
      <c r="H1929" s="43">
        <f>H1928+Учет!C1929-C1929</f>
        <v>336855</v>
      </c>
      <c r="I1929" s="43">
        <f>I1928+Учет!D1929-D1929</f>
        <v>500</v>
      </c>
      <c r="J1929" s="43">
        <f>J1928+Учет!E1929-E1929</f>
        <v>1150</v>
      </c>
      <c r="K1929" s="43">
        <f>K1928+Учет!F1929-F1929</f>
        <v>500000</v>
      </c>
      <c r="L1929" s="45">
        <f>Учет!I1929</f>
        <v>349526.07999999996</v>
      </c>
    </row>
    <row r="1930" spans="1:12" x14ac:dyDescent="0.25">
      <c r="A1930" s="48" t="str">
        <f>IF(Учет!A1930&lt;&gt;"",Учет!A1930,"")</f>
        <v/>
      </c>
      <c r="B1930" s="52">
        <f>IF(Учет!$O1930=Справочники!$F$2,Учет!$H1930,0)</f>
        <v>0</v>
      </c>
      <c r="C1930" s="52">
        <f>IF(Учет!$O1930=Справочники!$F$3,Учет!$H1930,0)</f>
        <v>0</v>
      </c>
      <c r="D1930" s="52">
        <f>IF(Учет!$O1930=Справочники!$F$4,Учет!$H1930,0)</f>
        <v>0</v>
      </c>
      <c r="E1930" s="52">
        <f>IF(Учет!$O1930=Справочники!$F$5,Учет!$H1930,0)</f>
        <v>0</v>
      </c>
      <c r="F1930" s="52">
        <f>IF(Учет!$O1930=Справочники!$F$6,Учет!$H1930,0)</f>
        <v>0</v>
      </c>
      <c r="G1930" s="43">
        <f>G1929+Учет!B1930-B1930</f>
        <v>-488978.92000000004</v>
      </c>
      <c r="H1930" s="43">
        <f>H1929+Учет!C1930-C1930</f>
        <v>336855</v>
      </c>
      <c r="I1930" s="43">
        <f>I1929+Учет!D1930-D1930</f>
        <v>500</v>
      </c>
      <c r="J1930" s="43">
        <f>J1929+Учет!E1930-E1930</f>
        <v>1150</v>
      </c>
      <c r="K1930" s="43">
        <f>K1929+Учет!F1930-F1930</f>
        <v>500000</v>
      </c>
      <c r="L1930" s="45">
        <f>Учет!I1930</f>
        <v>349526.07999999996</v>
      </c>
    </row>
    <row r="1931" spans="1:12" x14ac:dyDescent="0.25">
      <c r="A1931" s="48" t="str">
        <f>IF(Учет!A1931&lt;&gt;"",Учет!A1931,"")</f>
        <v/>
      </c>
      <c r="B1931" s="52">
        <f>IF(Учет!$O1931=Справочники!$F$2,Учет!$H1931,0)</f>
        <v>0</v>
      </c>
      <c r="C1931" s="52">
        <f>IF(Учет!$O1931=Справочники!$F$3,Учет!$H1931,0)</f>
        <v>0</v>
      </c>
      <c r="D1931" s="52">
        <f>IF(Учет!$O1931=Справочники!$F$4,Учет!$H1931,0)</f>
        <v>0</v>
      </c>
      <c r="E1931" s="52">
        <f>IF(Учет!$O1931=Справочники!$F$5,Учет!$H1931,0)</f>
        <v>0</v>
      </c>
      <c r="F1931" s="52">
        <f>IF(Учет!$O1931=Справочники!$F$6,Учет!$H1931,0)</f>
        <v>0</v>
      </c>
      <c r="G1931" s="43">
        <f>G1930+Учет!B1931-B1931</f>
        <v>-488978.92000000004</v>
      </c>
      <c r="H1931" s="43">
        <f>H1930+Учет!C1931-C1931</f>
        <v>336855</v>
      </c>
      <c r="I1931" s="43">
        <f>I1930+Учет!D1931-D1931</f>
        <v>500</v>
      </c>
      <c r="J1931" s="43">
        <f>J1930+Учет!E1931-E1931</f>
        <v>1150</v>
      </c>
      <c r="K1931" s="43">
        <f>K1930+Учет!F1931-F1931</f>
        <v>500000</v>
      </c>
      <c r="L1931" s="45">
        <f>Учет!I1931</f>
        <v>349526.07999999996</v>
      </c>
    </row>
    <row r="1932" spans="1:12" x14ac:dyDescent="0.25">
      <c r="A1932" s="48" t="str">
        <f>IF(Учет!A1932&lt;&gt;"",Учет!A1932,"")</f>
        <v/>
      </c>
      <c r="B1932" s="52">
        <f>IF(Учет!$O1932=Справочники!$F$2,Учет!$H1932,0)</f>
        <v>0</v>
      </c>
      <c r="C1932" s="52">
        <f>IF(Учет!$O1932=Справочники!$F$3,Учет!$H1932,0)</f>
        <v>0</v>
      </c>
      <c r="D1932" s="52">
        <f>IF(Учет!$O1932=Справочники!$F$4,Учет!$H1932,0)</f>
        <v>0</v>
      </c>
      <c r="E1932" s="52">
        <f>IF(Учет!$O1932=Справочники!$F$5,Учет!$H1932,0)</f>
        <v>0</v>
      </c>
      <c r="F1932" s="52">
        <f>IF(Учет!$O1932=Справочники!$F$6,Учет!$H1932,0)</f>
        <v>0</v>
      </c>
      <c r="G1932" s="43">
        <f>G1931+Учет!B1932-B1932</f>
        <v>-488978.92000000004</v>
      </c>
      <c r="H1932" s="43">
        <f>H1931+Учет!C1932-C1932</f>
        <v>336855</v>
      </c>
      <c r="I1932" s="43">
        <f>I1931+Учет!D1932-D1932</f>
        <v>500</v>
      </c>
      <c r="J1932" s="43">
        <f>J1931+Учет!E1932-E1932</f>
        <v>1150</v>
      </c>
      <c r="K1932" s="43">
        <f>K1931+Учет!F1932-F1932</f>
        <v>500000</v>
      </c>
      <c r="L1932" s="45">
        <f>Учет!I1932</f>
        <v>349526.07999999996</v>
      </c>
    </row>
    <row r="1933" spans="1:12" x14ac:dyDescent="0.25">
      <c r="A1933" s="48" t="str">
        <f>IF(Учет!A1933&lt;&gt;"",Учет!A1933,"")</f>
        <v/>
      </c>
      <c r="B1933" s="52">
        <f>IF(Учет!$O1933=Справочники!$F$2,Учет!$H1933,0)</f>
        <v>0</v>
      </c>
      <c r="C1933" s="52">
        <f>IF(Учет!$O1933=Справочники!$F$3,Учет!$H1933,0)</f>
        <v>0</v>
      </c>
      <c r="D1933" s="52">
        <f>IF(Учет!$O1933=Справочники!$F$4,Учет!$H1933,0)</f>
        <v>0</v>
      </c>
      <c r="E1933" s="52">
        <f>IF(Учет!$O1933=Справочники!$F$5,Учет!$H1933,0)</f>
        <v>0</v>
      </c>
      <c r="F1933" s="52">
        <f>IF(Учет!$O1933=Справочники!$F$6,Учет!$H1933,0)</f>
        <v>0</v>
      </c>
      <c r="G1933" s="43">
        <f>G1932+Учет!B1933-B1933</f>
        <v>-488978.92000000004</v>
      </c>
      <c r="H1933" s="43">
        <f>H1932+Учет!C1933-C1933</f>
        <v>336855</v>
      </c>
      <c r="I1933" s="43">
        <f>I1932+Учет!D1933-D1933</f>
        <v>500</v>
      </c>
      <c r="J1933" s="43">
        <f>J1932+Учет!E1933-E1933</f>
        <v>1150</v>
      </c>
      <c r="K1933" s="43">
        <f>K1932+Учет!F1933-F1933</f>
        <v>500000</v>
      </c>
      <c r="L1933" s="45">
        <f>Учет!I1933</f>
        <v>349526.07999999996</v>
      </c>
    </row>
    <row r="1934" spans="1:12" x14ac:dyDescent="0.25">
      <c r="A1934" s="48" t="str">
        <f>IF(Учет!A1934&lt;&gt;"",Учет!A1934,"")</f>
        <v/>
      </c>
      <c r="B1934" s="52">
        <f>IF(Учет!$O1934=Справочники!$F$2,Учет!$H1934,0)</f>
        <v>0</v>
      </c>
      <c r="C1934" s="52">
        <f>IF(Учет!$O1934=Справочники!$F$3,Учет!$H1934,0)</f>
        <v>0</v>
      </c>
      <c r="D1934" s="52">
        <f>IF(Учет!$O1934=Справочники!$F$4,Учет!$H1934,0)</f>
        <v>0</v>
      </c>
      <c r="E1934" s="52">
        <f>IF(Учет!$O1934=Справочники!$F$5,Учет!$H1934,0)</f>
        <v>0</v>
      </c>
      <c r="F1934" s="52">
        <f>IF(Учет!$O1934=Справочники!$F$6,Учет!$H1934,0)</f>
        <v>0</v>
      </c>
      <c r="G1934" s="43">
        <f>G1933+Учет!B1934-B1934</f>
        <v>-488978.92000000004</v>
      </c>
      <c r="H1934" s="43">
        <f>H1933+Учет!C1934-C1934</f>
        <v>336855</v>
      </c>
      <c r="I1934" s="43">
        <f>I1933+Учет!D1934-D1934</f>
        <v>500</v>
      </c>
      <c r="J1934" s="43">
        <f>J1933+Учет!E1934-E1934</f>
        <v>1150</v>
      </c>
      <c r="K1934" s="43">
        <f>K1933+Учет!F1934-F1934</f>
        <v>500000</v>
      </c>
      <c r="L1934" s="45">
        <f>Учет!I1934</f>
        <v>349526.07999999996</v>
      </c>
    </row>
    <row r="1935" spans="1:12" x14ac:dyDescent="0.25">
      <c r="A1935" s="48" t="str">
        <f>IF(Учет!A1935&lt;&gt;"",Учет!A1935,"")</f>
        <v/>
      </c>
      <c r="B1935" s="52">
        <f>IF(Учет!$O1935=Справочники!$F$2,Учет!$H1935,0)</f>
        <v>0</v>
      </c>
      <c r="C1935" s="52">
        <f>IF(Учет!$O1935=Справочники!$F$3,Учет!$H1935,0)</f>
        <v>0</v>
      </c>
      <c r="D1935" s="52">
        <f>IF(Учет!$O1935=Справочники!$F$4,Учет!$H1935,0)</f>
        <v>0</v>
      </c>
      <c r="E1935" s="52">
        <f>IF(Учет!$O1935=Справочники!$F$5,Учет!$H1935,0)</f>
        <v>0</v>
      </c>
      <c r="F1935" s="52">
        <f>IF(Учет!$O1935=Справочники!$F$6,Учет!$H1935,0)</f>
        <v>0</v>
      </c>
      <c r="G1935" s="43">
        <f>G1934+Учет!B1935-B1935</f>
        <v>-488978.92000000004</v>
      </c>
      <c r="H1935" s="43">
        <f>H1934+Учет!C1935-C1935</f>
        <v>336855</v>
      </c>
      <c r="I1935" s="43">
        <f>I1934+Учет!D1935-D1935</f>
        <v>500</v>
      </c>
      <c r="J1935" s="43">
        <f>J1934+Учет!E1935-E1935</f>
        <v>1150</v>
      </c>
      <c r="K1935" s="43">
        <f>K1934+Учет!F1935-F1935</f>
        <v>500000</v>
      </c>
      <c r="L1935" s="45">
        <f>Учет!I1935</f>
        <v>349526.07999999996</v>
      </c>
    </row>
    <row r="1936" spans="1:12" x14ac:dyDescent="0.25">
      <c r="A1936" s="48" t="str">
        <f>IF(Учет!A1936&lt;&gt;"",Учет!A1936,"")</f>
        <v/>
      </c>
      <c r="B1936" s="52">
        <f>IF(Учет!$O1936=Справочники!$F$2,Учет!$H1936,0)</f>
        <v>0</v>
      </c>
      <c r="C1936" s="52">
        <f>IF(Учет!$O1936=Справочники!$F$3,Учет!$H1936,0)</f>
        <v>0</v>
      </c>
      <c r="D1936" s="52">
        <f>IF(Учет!$O1936=Справочники!$F$4,Учет!$H1936,0)</f>
        <v>0</v>
      </c>
      <c r="E1936" s="52">
        <f>IF(Учет!$O1936=Справочники!$F$5,Учет!$H1936,0)</f>
        <v>0</v>
      </c>
      <c r="F1936" s="52">
        <f>IF(Учет!$O1936=Справочники!$F$6,Учет!$H1936,0)</f>
        <v>0</v>
      </c>
      <c r="G1936" s="43">
        <f>G1935+Учет!B1936-B1936</f>
        <v>-488978.92000000004</v>
      </c>
      <c r="H1936" s="43">
        <f>H1935+Учет!C1936-C1936</f>
        <v>336855</v>
      </c>
      <c r="I1936" s="43">
        <f>I1935+Учет!D1936-D1936</f>
        <v>500</v>
      </c>
      <c r="J1936" s="43">
        <f>J1935+Учет!E1936-E1936</f>
        <v>1150</v>
      </c>
      <c r="K1936" s="43">
        <f>K1935+Учет!F1936-F1936</f>
        <v>500000</v>
      </c>
      <c r="L1936" s="45">
        <f>Учет!I1936</f>
        <v>349526.07999999996</v>
      </c>
    </row>
    <row r="1937" spans="1:12" x14ac:dyDescent="0.25">
      <c r="A1937" s="48" t="str">
        <f>IF(Учет!A1937&lt;&gt;"",Учет!A1937,"")</f>
        <v/>
      </c>
      <c r="B1937" s="52">
        <f>IF(Учет!$O1937=Справочники!$F$2,Учет!$H1937,0)</f>
        <v>0</v>
      </c>
      <c r="C1937" s="52">
        <f>IF(Учет!$O1937=Справочники!$F$3,Учет!$H1937,0)</f>
        <v>0</v>
      </c>
      <c r="D1937" s="52">
        <f>IF(Учет!$O1937=Справочники!$F$4,Учет!$H1937,0)</f>
        <v>0</v>
      </c>
      <c r="E1937" s="52">
        <f>IF(Учет!$O1937=Справочники!$F$5,Учет!$H1937,0)</f>
        <v>0</v>
      </c>
      <c r="F1937" s="52">
        <f>IF(Учет!$O1937=Справочники!$F$6,Учет!$H1937,0)</f>
        <v>0</v>
      </c>
      <c r="G1937" s="43">
        <f>G1936+Учет!B1937-B1937</f>
        <v>-488978.92000000004</v>
      </c>
      <c r="H1937" s="43">
        <f>H1936+Учет!C1937-C1937</f>
        <v>336855</v>
      </c>
      <c r="I1937" s="43">
        <f>I1936+Учет!D1937-D1937</f>
        <v>500</v>
      </c>
      <c r="J1937" s="43">
        <f>J1936+Учет!E1937-E1937</f>
        <v>1150</v>
      </c>
      <c r="K1937" s="43">
        <f>K1936+Учет!F1937-F1937</f>
        <v>500000</v>
      </c>
      <c r="L1937" s="45">
        <f>Учет!I1937</f>
        <v>349526.07999999996</v>
      </c>
    </row>
    <row r="1938" spans="1:12" x14ac:dyDescent="0.25">
      <c r="A1938" s="48" t="str">
        <f>IF(Учет!A1938&lt;&gt;"",Учет!A1938,"")</f>
        <v/>
      </c>
      <c r="B1938" s="52">
        <f>IF(Учет!$O1938=Справочники!$F$2,Учет!$H1938,0)</f>
        <v>0</v>
      </c>
      <c r="C1938" s="52">
        <f>IF(Учет!$O1938=Справочники!$F$3,Учет!$H1938,0)</f>
        <v>0</v>
      </c>
      <c r="D1938" s="52">
        <f>IF(Учет!$O1938=Справочники!$F$4,Учет!$H1938,0)</f>
        <v>0</v>
      </c>
      <c r="E1938" s="52">
        <f>IF(Учет!$O1938=Справочники!$F$5,Учет!$H1938,0)</f>
        <v>0</v>
      </c>
      <c r="F1938" s="52">
        <f>IF(Учет!$O1938=Справочники!$F$6,Учет!$H1938,0)</f>
        <v>0</v>
      </c>
      <c r="G1938" s="43">
        <f>G1937+Учет!B1938-B1938</f>
        <v>-488978.92000000004</v>
      </c>
      <c r="H1938" s="43">
        <f>H1937+Учет!C1938-C1938</f>
        <v>336855</v>
      </c>
      <c r="I1938" s="43">
        <f>I1937+Учет!D1938-D1938</f>
        <v>500</v>
      </c>
      <c r="J1938" s="43">
        <f>J1937+Учет!E1938-E1938</f>
        <v>1150</v>
      </c>
      <c r="K1938" s="43">
        <f>K1937+Учет!F1938-F1938</f>
        <v>500000</v>
      </c>
      <c r="L1938" s="45">
        <f>Учет!I1938</f>
        <v>349526.07999999996</v>
      </c>
    </row>
    <row r="1939" spans="1:12" x14ac:dyDescent="0.25">
      <c r="A1939" s="48" t="str">
        <f>IF(Учет!A1939&lt;&gt;"",Учет!A1939,"")</f>
        <v/>
      </c>
      <c r="B1939" s="52">
        <f>IF(Учет!$O1939=Справочники!$F$2,Учет!$H1939,0)</f>
        <v>0</v>
      </c>
      <c r="C1939" s="52">
        <f>IF(Учет!$O1939=Справочники!$F$3,Учет!$H1939,0)</f>
        <v>0</v>
      </c>
      <c r="D1939" s="52">
        <f>IF(Учет!$O1939=Справочники!$F$4,Учет!$H1939,0)</f>
        <v>0</v>
      </c>
      <c r="E1939" s="52">
        <f>IF(Учет!$O1939=Справочники!$F$5,Учет!$H1939,0)</f>
        <v>0</v>
      </c>
      <c r="F1939" s="52">
        <f>IF(Учет!$O1939=Справочники!$F$6,Учет!$H1939,0)</f>
        <v>0</v>
      </c>
      <c r="G1939" s="43">
        <f>G1938+Учет!B1939-B1939</f>
        <v>-488978.92000000004</v>
      </c>
      <c r="H1939" s="43">
        <f>H1938+Учет!C1939-C1939</f>
        <v>336855</v>
      </c>
      <c r="I1939" s="43">
        <f>I1938+Учет!D1939-D1939</f>
        <v>500</v>
      </c>
      <c r="J1939" s="43">
        <f>J1938+Учет!E1939-E1939</f>
        <v>1150</v>
      </c>
      <c r="K1939" s="43">
        <f>K1938+Учет!F1939-F1939</f>
        <v>500000</v>
      </c>
      <c r="L1939" s="45">
        <f>Учет!I1939</f>
        <v>349526.07999999996</v>
      </c>
    </row>
    <row r="1940" spans="1:12" x14ac:dyDescent="0.25">
      <c r="A1940" s="48" t="str">
        <f>IF(Учет!A1940&lt;&gt;"",Учет!A1940,"")</f>
        <v/>
      </c>
      <c r="B1940" s="52">
        <f>IF(Учет!$O1940=Справочники!$F$2,Учет!$H1940,0)</f>
        <v>0</v>
      </c>
      <c r="C1940" s="52">
        <f>IF(Учет!$O1940=Справочники!$F$3,Учет!$H1940,0)</f>
        <v>0</v>
      </c>
      <c r="D1940" s="52">
        <f>IF(Учет!$O1940=Справочники!$F$4,Учет!$H1940,0)</f>
        <v>0</v>
      </c>
      <c r="E1940" s="52">
        <f>IF(Учет!$O1940=Справочники!$F$5,Учет!$H1940,0)</f>
        <v>0</v>
      </c>
      <c r="F1940" s="52">
        <f>IF(Учет!$O1940=Справочники!$F$6,Учет!$H1940,0)</f>
        <v>0</v>
      </c>
      <c r="G1940" s="43">
        <f>G1939+Учет!B1940-B1940</f>
        <v>-488978.92000000004</v>
      </c>
      <c r="H1940" s="43">
        <f>H1939+Учет!C1940-C1940</f>
        <v>336855</v>
      </c>
      <c r="I1940" s="43">
        <f>I1939+Учет!D1940-D1940</f>
        <v>500</v>
      </c>
      <c r="J1940" s="43">
        <f>J1939+Учет!E1940-E1940</f>
        <v>1150</v>
      </c>
      <c r="K1940" s="43">
        <f>K1939+Учет!F1940-F1940</f>
        <v>500000</v>
      </c>
      <c r="L1940" s="45">
        <f>Учет!I1940</f>
        <v>349526.07999999996</v>
      </c>
    </row>
    <row r="1941" spans="1:12" x14ac:dyDescent="0.25">
      <c r="A1941" s="48" t="str">
        <f>IF(Учет!A1941&lt;&gt;"",Учет!A1941,"")</f>
        <v/>
      </c>
      <c r="B1941" s="52">
        <f>IF(Учет!$O1941=Справочники!$F$2,Учет!$H1941,0)</f>
        <v>0</v>
      </c>
      <c r="C1941" s="52">
        <f>IF(Учет!$O1941=Справочники!$F$3,Учет!$H1941,0)</f>
        <v>0</v>
      </c>
      <c r="D1941" s="52">
        <f>IF(Учет!$O1941=Справочники!$F$4,Учет!$H1941,0)</f>
        <v>0</v>
      </c>
      <c r="E1941" s="52">
        <f>IF(Учет!$O1941=Справочники!$F$5,Учет!$H1941,0)</f>
        <v>0</v>
      </c>
      <c r="F1941" s="52">
        <f>IF(Учет!$O1941=Справочники!$F$6,Учет!$H1941,0)</f>
        <v>0</v>
      </c>
      <c r="G1941" s="43">
        <f>G1940+Учет!B1941-B1941</f>
        <v>-488978.92000000004</v>
      </c>
      <c r="H1941" s="43">
        <f>H1940+Учет!C1941-C1941</f>
        <v>336855</v>
      </c>
      <c r="I1941" s="43">
        <f>I1940+Учет!D1941-D1941</f>
        <v>500</v>
      </c>
      <c r="J1941" s="43">
        <f>J1940+Учет!E1941-E1941</f>
        <v>1150</v>
      </c>
      <c r="K1941" s="43">
        <f>K1940+Учет!F1941-F1941</f>
        <v>500000</v>
      </c>
      <c r="L1941" s="45">
        <f>Учет!I1941</f>
        <v>349526.07999999996</v>
      </c>
    </row>
    <row r="1942" spans="1:12" x14ac:dyDescent="0.25">
      <c r="A1942" s="48" t="str">
        <f>IF(Учет!A1942&lt;&gt;"",Учет!A1942,"")</f>
        <v/>
      </c>
      <c r="B1942" s="52">
        <f>IF(Учет!$O1942=Справочники!$F$2,Учет!$H1942,0)</f>
        <v>0</v>
      </c>
      <c r="C1942" s="52">
        <f>IF(Учет!$O1942=Справочники!$F$3,Учет!$H1942,0)</f>
        <v>0</v>
      </c>
      <c r="D1942" s="52">
        <f>IF(Учет!$O1942=Справочники!$F$4,Учет!$H1942,0)</f>
        <v>0</v>
      </c>
      <c r="E1942" s="52">
        <f>IF(Учет!$O1942=Справочники!$F$5,Учет!$H1942,0)</f>
        <v>0</v>
      </c>
      <c r="F1942" s="52">
        <f>IF(Учет!$O1942=Справочники!$F$6,Учет!$H1942,0)</f>
        <v>0</v>
      </c>
      <c r="G1942" s="43">
        <f>G1941+Учет!B1942-B1942</f>
        <v>-488978.92000000004</v>
      </c>
      <c r="H1942" s="43">
        <f>H1941+Учет!C1942-C1942</f>
        <v>336855</v>
      </c>
      <c r="I1942" s="43">
        <f>I1941+Учет!D1942-D1942</f>
        <v>500</v>
      </c>
      <c r="J1942" s="43">
        <f>J1941+Учет!E1942-E1942</f>
        <v>1150</v>
      </c>
      <c r="K1942" s="43">
        <f>K1941+Учет!F1942-F1942</f>
        <v>500000</v>
      </c>
      <c r="L1942" s="45">
        <f>Учет!I1942</f>
        <v>349526.07999999996</v>
      </c>
    </row>
    <row r="1943" spans="1:12" x14ac:dyDescent="0.25">
      <c r="A1943" s="48" t="str">
        <f>IF(Учет!A1943&lt;&gt;"",Учет!A1943,"")</f>
        <v/>
      </c>
      <c r="B1943" s="52">
        <f>IF(Учет!$O1943=Справочники!$F$2,Учет!$H1943,0)</f>
        <v>0</v>
      </c>
      <c r="C1943" s="52">
        <f>IF(Учет!$O1943=Справочники!$F$3,Учет!$H1943,0)</f>
        <v>0</v>
      </c>
      <c r="D1943" s="52">
        <f>IF(Учет!$O1943=Справочники!$F$4,Учет!$H1943,0)</f>
        <v>0</v>
      </c>
      <c r="E1943" s="52">
        <f>IF(Учет!$O1943=Справочники!$F$5,Учет!$H1943,0)</f>
        <v>0</v>
      </c>
      <c r="F1943" s="52">
        <f>IF(Учет!$O1943=Справочники!$F$6,Учет!$H1943,0)</f>
        <v>0</v>
      </c>
      <c r="G1943" s="43">
        <f>G1942+Учет!B1943-B1943</f>
        <v>-488978.92000000004</v>
      </c>
      <c r="H1943" s="43">
        <f>H1942+Учет!C1943-C1943</f>
        <v>336855</v>
      </c>
      <c r="I1943" s="43">
        <f>I1942+Учет!D1943-D1943</f>
        <v>500</v>
      </c>
      <c r="J1943" s="43">
        <f>J1942+Учет!E1943-E1943</f>
        <v>1150</v>
      </c>
      <c r="K1943" s="43">
        <f>K1942+Учет!F1943-F1943</f>
        <v>500000</v>
      </c>
      <c r="L1943" s="45">
        <f>Учет!I1943</f>
        <v>349526.07999999996</v>
      </c>
    </row>
    <row r="1944" spans="1:12" x14ac:dyDescent="0.25">
      <c r="A1944" s="48" t="str">
        <f>IF(Учет!A1944&lt;&gt;"",Учет!A1944,"")</f>
        <v/>
      </c>
      <c r="B1944" s="52">
        <f>IF(Учет!$O1944=Справочники!$F$2,Учет!$H1944,0)</f>
        <v>0</v>
      </c>
      <c r="C1944" s="52">
        <f>IF(Учет!$O1944=Справочники!$F$3,Учет!$H1944,0)</f>
        <v>0</v>
      </c>
      <c r="D1944" s="52">
        <f>IF(Учет!$O1944=Справочники!$F$4,Учет!$H1944,0)</f>
        <v>0</v>
      </c>
      <c r="E1944" s="52">
        <f>IF(Учет!$O1944=Справочники!$F$5,Учет!$H1944,0)</f>
        <v>0</v>
      </c>
      <c r="F1944" s="52">
        <f>IF(Учет!$O1944=Справочники!$F$6,Учет!$H1944,0)</f>
        <v>0</v>
      </c>
      <c r="G1944" s="43">
        <f>G1943+Учет!B1944-B1944</f>
        <v>-488978.92000000004</v>
      </c>
      <c r="H1944" s="43">
        <f>H1943+Учет!C1944-C1944</f>
        <v>336855</v>
      </c>
      <c r="I1944" s="43">
        <f>I1943+Учет!D1944-D1944</f>
        <v>500</v>
      </c>
      <c r="J1944" s="43">
        <f>J1943+Учет!E1944-E1944</f>
        <v>1150</v>
      </c>
      <c r="K1944" s="43">
        <f>K1943+Учет!F1944-F1944</f>
        <v>500000</v>
      </c>
      <c r="L1944" s="45">
        <f>Учет!I1944</f>
        <v>349526.07999999996</v>
      </c>
    </row>
    <row r="1945" spans="1:12" x14ac:dyDescent="0.25">
      <c r="A1945" s="48" t="str">
        <f>IF(Учет!A1945&lt;&gt;"",Учет!A1945,"")</f>
        <v/>
      </c>
      <c r="B1945" s="52">
        <f>IF(Учет!$O1945=Справочники!$F$2,Учет!$H1945,0)</f>
        <v>0</v>
      </c>
      <c r="C1945" s="52">
        <f>IF(Учет!$O1945=Справочники!$F$3,Учет!$H1945,0)</f>
        <v>0</v>
      </c>
      <c r="D1945" s="52">
        <f>IF(Учет!$O1945=Справочники!$F$4,Учет!$H1945,0)</f>
        <v>0</v>
      </c>
      <c r="E1945" s="52">
        <f>IF(Учет!$O1945=Справочники!$F$5,Учет!$H1945,0)</f>
        <v>0</v>
      </c>
      <c r="F1945" s="52">
        <f>IF(Учет!$O1945=Справочники!$F$6,Учет!$H1945,0)</f>
        <v>0</v>
      </c>
      <c r="G1945" s="43">
        <f>G1944+Учет!B1945-B1945</f>
        <v>-488978.92000000004</v>
      </c>
      <c r="H1945" s="43">
        <f>H1944+Учет!C1945-C1945</f>
        <v>336855</v>
      </c>
      <c r="I1945" s="43">
        <f>I1944+Учет!D1945-D1945</f>
        <v>500</v>
      </c>
      <c r="J1945" s="43">
        <f>J1944+Учет!E1945-E1945</f>
        <v>1150</v>
      </c>
      <c r="K1945" s="43">
        <f>K1944+Учет!F1945-F1945</f>
        <v>500000</v>
      </c>
      <c r="L1945" s="45">
        <f>Учет!I1945</f>
        <v>349526.07999999996</v>
      </c>
    </row>
    <row r="1946" spans="1:12" x14ac:dyDescent="0.25">
      <c r="A1946" s="48" t="str">
        <f>IF(Учет!A1946&lt;&gt;"",Учет!A1946,"")</f>
        <v/>
      </c>
      <c r="B1946" s="52">
        <f>IF(Учет!$O1946=Справочники!$F$2,Учет!$H1946,0)</f>
        <v>0</v>
      </c>
      <c r="C1946" s="52">
        <f>IF(Учет!$O1946=Справочники!$F$3,Учет!$H1946,0)</f>
        <v>0</v>
      </c>
      <c r="D1946" s="52">
        <f>IF(Учет!$O1946=Справочники!$F$4,Учет!$H1946,0)</f>
        <v>0</v>
      </c>
      <c r="E1946" s="52">
        <f>IF(Учет!$O1946=Справочники!$F$5,Учет!$H1946,0)</f>
        <v>0</v>
      </c>
      <c r="F1946" s="52">
        <f>IF(Учет!$O1946=Справочники!$F$6,Учет!$H1946,0)</f>
        <v>0</v>
      </c>
      <c r="G1946" s="43">
        <f>G1945+Учет!B1946-B1946</f>
        <v>-488978.92000000004</v>
      </c>
      <c r="H1946" s="43">
        <f>H1945+Учет!C1946-C1946</f>
        <v>336855</v>
      </c>
      <c r="I1946" s="43">
        <f>I1945+Учет!D1946-D1946</f>
        <v>500</v>
      </c>
      <c r="J1946" s="43">
        <f>J1945+Учет!E1946-E1946</f>
        <v>1150</v>
      </c>
      <c r="K1946" s="43">
        <f>K1945+Учет!F1946-F1946</f>
        <v>500000</v>
      </c>
      <c r="L1946" s="45">
        <f>Учет!I1946</f>
        <v>349526.07999999996</v>
      </c>
    </row>
    <row r="1947" spans="1:12" x14ac:dyDescent="0.25">
      <c r="A1947" s="48" t="str">
        <f>IF(Учет!A1947&lt;&gt;"",Учет!A1947,"")</f>
        <v/>
      </c>
      <c r="B1947" s="52">
        <f>IF(Учет!$O1947=Справочники!$F$2,Учет!$H1947,0)</f>
        <v>0</v>
      </c>
      <c r="C1947" s="52">
        <f>IF(Учет!$O1947=Справочники!$F$3,Учет!$H1947,0)</f>
        <v>0</v>
      </c>
      <c r="D1947" s="52">
        <f>IF(Учет!$O1947=Справочники!$F$4,Учет!$H1947,0)</f>
        <v>0</v>
      </c>
      <c r="E1947" s="52">
        <f>IF(Учет!$O1947=Справочники!$F$5,Учет!$H1947,0)</f>
        <v>0</v>
      </c>
      <c r="F1947" s="52">
        <f>IF(Учет!$O1947=Справочники!$F$6,Учет!$H1947,0)</f>
        <v>0</v>
      </c>
      <c r="G1947" s="43">
        <f>G1946+Учет!B1947-B1947</f>
        <v>-488978.92000000004</v>
      </c>
      <c r="H1947" s="43">
        <f>H1946+Учет!C1947-C1947</f>
        <v>336855</v>
      </c>
      <c r="I1947" s="43">
        <f>I1946+Учет!D1947-D1947</f>
        <v>500</v>
      </c>
      <c r="J1947" s="43">
        <f>J1946+Учет!E1947-E1947</f>
        <v>1150</v>
      </c>
      <c r="K1947" s="43">
        <f>K1946+Учет!F1947-F1947</f>
        <v>500000</v>
      </c>
      <c r="L1947" s="45">
        <f>Учет!I1947</f>
        <v>349526.07999999996</v>
      </c>
    </row>
    <row r="1948" spans="1:12" x14ac:dyDescent="0.25">
      <c r="A1948" s="48" t="str">
        <f>IF(Учет!A1948&lt;&gt;"",Учет!A1948,"")</f>
        <v/>
      </c>
      <c r="B1948" s="52">
        <f>IF(Учет!$O1948=Справочники!$F$2,Учет!$H1948,0)</f>
        <v>0</v>
      </c>
      <c r="C1948" s="52">
        <f>IF(Учет!$O1948=Справочники!$F$3,Учет!$H1948,0)</f>
        <v>0</v>
      </c>
      <c r="D1948" s="52">
        <f>IF(Учет!$O1948=Справочники!$F$4,Учет!$H1948,0)</f>
        <v>0</v>
      </c>
      <c r="E1948" s="52">
        <f>IF(Учет!$O1948=Справочники!$F$5,Учет!$H1948,0)</f>
        <v>0</v>
      </c>
      <c r="F1948" s="52">
        <f>IF(Учет!$O1948=Справочники!$F$6,Учет!$H1948,0)</f>
        <v>0</v>
      </c>
      <c r="G1948" s="43">
        <f>G1947+Учет!B1948-B1948</f>
        <v>-488978.92000000004</v>
      </c>
      <c r="H1948" s="43">
        <f>H1947+Учет!C1948-C1948</f>
        <v>336855</v>
      </c>
      <c r="I1948" s="43">
        <f>I1947+Учет!D1948-D1948</f>
        <v>500</v>
      </c>
      <c r="J1948" s="43">
        <f>J1947+Учет!E1948-E1948</f>
        <v>1150</v>
      </c>
      <c r="K1948" s="43">
        <f>K1947+Учет!F1948-F1948</f>
        <v>500000</v>
      </c>
      <c r="L1948" s="45">
        <f>Учет!I1948</f>
        <v>349526.07999999996</v>
      </c>
    </row>
    <row r="1949" spans="1:12" x14ac:dyDescent="0.25">
      <c r="A1949" s="48" t="str">
        <f>IF(Учет!A1949&lt;&gt;"",Учет!A1949,"")</f>
        <v/>
      </c>
      <c r="B1949" s="52">
        <f>IF(Учет!$O1949=Справочники!$F$2,Учет!$H1949,0)</f>
        <v>0</v>
      </c>
      <c r="C1949" s="52">
        <f>IF(Учет!$O1949=Справочники!$F$3,Учет!$H1949,0)</f>
        <v>0</v>
      </c>
      <c r="D1949" s="52">
        <f>IF(Учет!$O1949=Справочники!$F$4,Учет!$H1949,0)</f>
        <v>0</v>
      </c>
      <c r="E1949" s="52">
        <f>IF(Учет!$O1949=Справочники!$F$5,Учет!$H1949,0)</f>
        <v>0</v>
      </c>
      <c r="F1949" s="52">
        <f>IF(Учет!$O1949=Справочники!$F$6,Учет!$H1949,0)</f>
        <v>0</v>
      </c>
      <c r="G1949" s="43">
        <f>G1948+Учет!B1949-B1949</f>
        <v>-488978.92000000004</v>
      </c>
      <c r="H1949" s="43">
        <f>H1948+Учет!C1949-C1949</f>
        <v>336855</v>
      </c>
      <c r="I1949" s="43">
        <f>I1948+Учет!D1949-D1949</f>
        <v>500</v>
      </c>
      <c r="J1949" s="43">
        <f>J1948+Учет!E1949-E1949</f>
        <v>1150</v>
      </c>
      <c r="K1949" s="43">
        <f>K1948+Учет!F1949-F1949</f>
        <v>500000</v>
      </c>
      <c r="L1949" s="45">
        <f>Учет!I1949</f>
        <v>349526.07999999996</v>
      </c>
    </row>
    <row r="1950" spans="1:12" x14ac:dyDescent="0.25">
      <c r="A1950" s="48" t="str">
        <f>IF(Учет!A1950&lt;&gt;"",Учет!A1950,"")</f>
        <v/>
      </c>
      <c r="B1950" s="52">
        <f>IF(Учет!$O1950=Справочники!$F$2,Учет!$H1950,0)</f>
        <v>0</v>
      </c>
      <c r="C1950" s="52">
        <f>IF(Учет!$O1950=Справочники!$F$3,Учет!$H1950,0)</f>
        <v>0</v>
      </c>
      <c r="D1950" s="52">
        <f>IF(Учет!$O1950=Справочники!$F$4,Учет!$H1950,0)</f>
        <v>0</v>
      </c>
      <c r="E1950" s="52">
        <f>IF(Учет!$O1950=Справочники!$F$5,Учет!$H1950,0)</f>
        <v>0</v>
      </c>
      <c r="F1950" s="52">
        <f>IF(Учет!$O1950=Справочники!$F$6,Учет!$H1950,0)</f>
        <v>0</v>
      </c>
      <c r="G1950" s="43">
        <f>G1949+Учет!B1950-B1950</f>
        <v>-488978.92000000004</v>
      </c>
      <c r="H1950" s="43">
        <f>H1949+Учет!C1950-C1950</f>
        <v>336855</v>
      </c>
      <c r="I1950" s="43">
        <f>I1949+Учет!D1950-D1950</f>
        <v>500</v>
      </c>
      <c r="J1950" s="43">
        <f>J1949+Учет!E1950-E1950</f>
        <v>1150</v>
      </c>
      <c r="K1950" s="43">
        <f>K1949+Учет!F1950-F1950</f>
        <v>500000</v>
      </c>
      <c r="L1950" s="45">
        <f>Учет!I1950</f>
        <v>349526.07999999996</v>
      </c>
    </row>
    <row r="1951" spans="1:12" x14ac:dyDescent="0.25">
      <c r="A1951" s="48" t="str">
        <f>IF(Учет!A1951&lt;&gt;"",Учет!A1951,"")</f>
        <v/>
      </c>
      <c r="B1951" s="52">
        <f>IF(Учет!$O1951=Справочники!$F$2,Учет!$H1951,0)</f>
        <v>0</v>
      </c>
      <c r="C1951" s="52">
        <f>IF(Учет!$O1951=Справочники!$F$3,Учет!$H1951,0)</f>
        <v>0</v>
      </c>
      <c r="D1951" s="52">
        <f>IF(Учет!$O1951=Справочники!$F$4,Учет!$H1951,0)</f>
        <v>0</v>
      </c>
      <c r="E1951" s="52">
        <f>IF(Учет!$O1951=Справочники!$F$5,Учет!$H1951,0)</f>
        <v>0</v>
      </c>
      <c r="F1951" s="52">
        <f>IF(Учет!$O1951=Справочники!$F$6,Учет!$H1951,0)</f>
        <v>0</v>
      </c>
      <c r="G1951" s="43">
        <f>G1950+Учет!B1951-B1951</f>
        <v>-488978.92000000004</v>
      </c>
      <c r="H1951" s="43">
        <f>H1950+Учет!C1951-C1951</f>
        <v>336855</v>
      </c>
      <c r="I1951" s="43">
        <f>I1950+Учет!D1951-D1951</f>
        <v>500</v>
      </c>
      <c r="J1951" s="43">
        <f>J1950+Учет!E1951-E1951</f>
        <v>1150</v>
      </c>
      <c r="K1951" s="43">
        <f>K1950+Учет!F1951-F1951</f>
        <v>500000</v>
      </c>
      <c r="L1951" s="45">
        <f>Учет!I1951</f>
        <v>349526.07999999996</v>
      </c>
    </row>
    <row r="1952" spans="1:12" x14ac:dyDescent="0.25">
      <c r="A1952" s="48" t="str">
        <f>IF(Учет!A1952&lt;&gt;"",Учет!A1952,"")</f>
        <v/>
      </c>
      <c r="B1952" s="52">
        <f>IF(Учет!$O1952=Справочники!$F$2,Учет!$H1952,0)</f>
        <v>0</v>
      </c>
      <c r="C1952" s="52">
        <f>IF(Учет!$O1952=Справочники!$F$3,Учет!$H1952,0)</f>
        <v>0</v>
      </c>
      <c r="D1952" s="52">
        <f>IF(Учет!$O1952=Справочники!$F$4,Учет!$H1952,0)</f>
        <v>0</v>
      </c>
      <c r="E1952" s="52">
        <f>IF(Учет!$O1952=Справочники!$F$5,Учет!$H1952,0)</f>
        <v>0</v>
      </c>
      <c r="F1952" s="52">
        <f>IF(Учет!$O1952=Справочники!$F$6,Учет!$H1952,0)</f>
        <v>0</v>
      </c>
      <c r="G1952" s="43">
        <f>G1951+Учет!B1952-B1952</f>
        <v>-488978.92000000004</v>
      </c>
      <c r="H1952" s="43">
        <f>H1951+Учет!C1952-C1952</f>
        <v>336855</v>
      </c>
      <c r="I1952" s="43">
        <f>I1951+Учет!D1952-D1952</f>
        <v>500</v>
      </c>
      <c r="J1952" s="43">
        <f>J1951+Учет!E1952-E1952</f>
        <v>1150</v>
      </c>
      <c r="K1952" s="43">
        <f>K1951+Учет!F1952-F1952</f>
        <v>500000</v>
      </c>
      <c r="L1952" s="45">
        <f>Учет!I1952</f>
        <v>349526.07999999996</v>
      </c>
    </row>
    <row r="1953" spans="1:12" x14ac:dyDescent="0.25">
      <c r="A1953" s="48" t="str">
        <f>IF(Учет!A1953&lt;&gt;"",Учет!A1953,"")</f>
        <v/>
      </c>
      <c r="B1953" s="52">
        <f>IF(Учет!$O1953=Справочники!$F$2,Учет!$H1953,0)</f>
        <v>0</v>
      </c>
      <c r="C1953" s="52">
        <f>IF(Учет!$O1953=Справочники!$F$3,Учет!$H1953,0)</f>
        <v>0</v>
      </c>
      <c r="D1953" s="52">
        <f>IF(Учет!$O1953=Справочники!$F$4,Учет!$H1953,0)</f>
        <v>0</v>
      </c>
      <c r="E1953" s="52">
        <f>IF(Учет!$O1953=Справочники!$F$5,Учет!$H1953,0)</f>
        <v>0</v>
      </c>
      <c r="F1953" s="52">
        <f>IF(Учет!$O1953=Справочники!$F$6,Учет!$H1953,0)</f>
        <v>0</v>
      </c>
      <c r="G1953" s="43">
        <f>G1952+Учет!B1953-B1953</f>
        <v>-488978.92000000004</v>
      </c>
      <c r="H1953" s="43">
        <f>H1952+Учет!C1953-C1953</f>
        <v>336855</v>
      </c>
      <c r="I1953" s="43">
        <f>I1952+Учет!D1953-D1953</f>
        <v>500</v>
      </c>
      <c r="J1953" s="43">
        <f>J1952+Учет!E1953-E1953</f>
        <v>1150</v>
      </c>
      <c r="K1953" s="43">
        <f>K1952+Учет!F1953-F1953</f>
        <v>500000</v>
      </c>
      <c r="L1953" s="45">
        <f>Учет!I1953</f>
        <v>349526.07999999996</v>
      </c>
    </row>
    <row r="1954" spans="1:12" x14ac:dyDescent="0.25">
      <c r="A1954" s="48" t="str">
        <f>IF(Учет!A1954&lt;&gt;"",Учет!A1954,"")</f>
        <v/>
      </c>
      <c r="B1954" s="52">
        <f>IF(Учет!$O1954=Справочники!$F$2,Учет!$H1954,0)</f>
        <v>0</v>
      </c>
      <c r="C1954" s="52">
        <f>IF(Учет!$O1954=Справочники!$F$3,Учет!$H1954,0)</f>
        <v>0</v>
      </c>
      <c r="D1954" s="52">
        <f>IF(Учет!$O1954=Справочники!$F$4,Учет!$H1954,0)</f>
        <v>0</v>
      </c>
      <c r="E1954" s="52">
        <f>IF(Учет!$O1954=Справочники!$F$5,Учет!$H1954,0)</f>
        <v>0</v>
      </c>
      <c r="F1954" s="52">
        <f>IF(Учет!$O1954=Справочники!$F$6,Учет!$H1954,0)</f>
        <v>0</v>
      </c>
      <c r="G1954" s="43">
        <f>G1953+Учет!B1954-B1954</f>
        <v>-488978.92000000004</v>
      </c>
      <c r="H1954" s="43">
        <f>H1953+Учет!C1954-C1954</f>
        <v>336855</v>
      </c>
      <c r="I1954" s="43">
        <f>I1953+Учет!D1954-D1954</f>
        <v>500</v>
      </c>
      <c r="J1954" s="43">
        <f>J1953+Учет!E1954-E1954</f>
        <v>1150</v>
      </c>
      <c r="K1954" s="43">
        <f>K1953+Учет!F1954-F1954</f>
        <v>500000</v>
      </c>
      <c r="L1954" s="45">
        <f>Учет!I1954</f>
        <v>349526.07999999996</v>
      </c>
    </row>
    <row r="1955" spans="1:12" x14ac:dyDescent="0.25">
      <c r="A1955" s="48" t="str">
        <f>IF(Учет!A1955&lt;&gt;"",Учет!A1955,"")</f>
        <v/>
      </c>
      <c r="B1955" s="52">
        <f>IF(Учет!$O1955=Справочники!$F$2,Учет!$H1955,0)</f>
        <v>0</v>
      </c>
      <c r="C1955" s="52">
        <f>IF(Учет!$O1955=Справочники!$F$3,Учет!$H1955,0)</f>
        <v>0</v>
      </c>
      <c r="D1955" s="52">
        <f>IF(Учет!$O1955=Справочники!$F$4,Учет!$H1955,0)</f>
        <v>0</v>
      </c>
      <c r="E1955" s="52">
        <f>IF(Учет!$O1955=Справочники!$F$5,Учет!$H1955,0)</f>
        <v>0</v>
      </c>
      <c r="F1955" s="52">
        <f>IF(Учет!$O1955=Справочники!$F$6,Учет!$H1955,0)</f>
        <v>0</v>
      </c>
      <c r="G1955" s="43">
        <f>G1954+Учет!B1955-B1955</f>
        <v>-488978.92000000004</v>
      </c>
      <c r="H1955" s="43">
        <f>H1954+Учет!C1955-C1955</f>
        <v>336855</v>
      </c>
      <c r="I1955" s="43">
        <f>I1954+Учет!D1955-D1955</f>
        <v>500</v>
      </c>
      <c r="J1955" s="43">
        <f>J1954+Учет!E1955-E1955</f>
        <v>1150</v>
      </c>
      <c r="K1955" s="43">
        <f>K1954+Учет!F1955-F1955</f>
        <v>500000</v>
      </c>
      <c r="L1955" s="45">
        <f>Учет!I1955</f>
        <v>349526.07999999996</v>
      </c>
    </row>
    <row r="1956" spans="1:12" x14ac:dyDescent="0.25">
      <c r="A1956" s="48" t="str">
        <f>IF(Учет!A1956&lt;&gt;"",Учет!A1956,"")</f>
        <v/>
      </c>
      <c r="B1956" s="52">
        <f>IF(Учет!$O1956=Справочники!$F$2,Учет!$H1956,0)</f>
        <v>0</v>
      </c>
      <c r="C1956" s="52">
        <f>IF(Учет!$O1956=Справочники!$F$3,Учет!$H1956,0)</f>
        <v>0</v>
      </c>
      <c r="D1956" s="52">
        <f>IF(Учет!$O1956=Справочники!$F$4,Учет!$H1956,0)</f>
        <v>0</v>
      </c>
      <c r="E1956" s="52">
        <f>IF(Учет!$O1956=Справочники!$F$5,Учет!$H1956,0)</f>
        <v>0</v>
      </c>
      <c r="F1956" s="52">
        <f>IF(Учет!$O1956=Справочники!$F$6,Учет!$H1956,0)</f>
        <v>0</v>
      </c>
      <c r="G1956" s="43">
        <f>G1955+Учет!B1956-B1956</f>
        <v>-488978.92000000004</v>
      </c>
      <c r="H1956" s="43">
        <f>H1955+Учет!C1956-C1956</f>
        <v>336855</v>
      </c>
      <c r="I1956" s="43">
        <f>I1955+Учет!D1956-D1956</f>
        <v>500</v>
      </c>
      <c r="J1956" s="43">
        <f>J1955+Учет!E1956-E1956</f>
        <v>1150</v>
      </c>
      <c r="K1956" s="43">
        <f>K1955+Учет!F1956-F1956</f>
        <v>500000</v>
      </c>
      <c r="L1956" s="45">
        <f>Учет!I1956</f>
        <v>349526.07999999996</v>
      </c>
    </row>
    <row r="1957" spans="1:12" x14ac:dyDescent="0.25">
      <c r="A1957" s="48" t="str">
        <f>IF(Учет!A1957&lt;&gt;"",Учет!A1957,"")</f>
        <v/>
      </c>
      <c r="B1957" s="52">
        <f>IF(Учет!$O1957=Справочники!$F$2,Учет!$H1957,0)</f>
        <v>0</v>
      </c>
      <c r="C1957" s="52">
        <f>IF(Учет!$O1957=Справочники!$F$3,Учет!$H1957,0)</f>
        <v>0</v>
      </c>
      <c r="D1957" s="52">
        <f>IF(Учет!$O1957=Справочники!$F$4,Учет!$H1957,0)</f>
        <v>0</v>
      </c>
      <c r="E1957" s="52">
        <f>IF(Учет!$O1957=Справочники!$F$5,Учет!$H1957,0)</f>
        <v>0</v>
      </c>
      <c r="F1957" s="52">
        <f>IF(Учет!$O1957=Справочники!$F$6,Учет!$H1957,0)</f>
        <v>0</v>
      </c>
      <c r="G1957" s="43">
        <f>G1956+Учет!B1957-B1957</f>
        <v>-488978.92000000004</v>
      </c>
      <c r="H1957" s="43">
        <f>H1956+Учет!C1957-C1957</f>
        <v>336855</v>
      </c>
      <c r="I1957" s="43">
        <f>I1956+Учет!D1957-D1957</f>
        <v>500</v>
      </c>
      <c r="J1957" s="43">
        <f>J1956+Учет!E1957-E1957</f>
        <v>1150</v>
      </c>
      <c r="K1957" s="43">
        <f>K1956+Учет!F1957-F1957</f>
        <v>500000</v>
      </c>
      <c r="L1957" s="45">
        <f>Учет!I1957</f>
        <v>349526.07999999996</v>
      </c>
    </row>
    <row r="1958" spans="1:12" x14ac:dyDescent="0.25">
      <c r="A1958" s="48" t="str">
        <f>IF(Учет!A1958&lt;&gt;"",Учет!A1958,"")</f>
        <v/>
      </c>
      <c r="B1958" s="52">
        <f>IF(Учет!$O1958=Справочники!$F$2,Учет!$H1958,0)</f>
        <v>0</v>
      </c>
      <c r="C1958" s="52">
        <f>IF(Учет!$O1958=Справочники!$F$3,Учет!$H1958,0)</f>
        <v>0</v>
      </c>
      <c r="D1958" s="52">
        <f>IF(Учет!$O1958=Справочники!$F$4,Учет!$H1958,0)</f>
        <v>0</v>
      </c>
      <c r="E1958" s="52">
        <f>IF(Учет!$O1958=Справочники!$F$5,Учет!$H1958,0)</f>
        <v>0</v>
      </c>
      <c r="F1958" s="52">
        <f>IF(Учет!$O1958=Справочники!$F$6,Учет!$H1958,0)</f>
        <v>0</v>
      </c>
      <c r="G1958" s="43">
        <f>G1957+Учет!B1958-B1958</f>
        <v>-488978.92000000004</v>
      </c>
      <c r="H1958" s="43">
        <f>H1957+Учет!C1958-C1958</f>
        <v>336855</v>
      </c>
      <c r="I1958" s="43">
        <f>I1957+Учет!D1958-D1958</f>
        <v>500</v>
      </c>
      <c r="J1958" s="43">
        <f>J1957+Учет!E1958-E1958</f>
        <v>1150</v>
      </c>
      <c r="K1958" s="43">
        <f>K1957+Учет!F1958-F1958</f>
        <v>500000</v>
      </c>
      <c r="L1958" s="45">
        <f>Учет!I1958</f>
        <v>349526.07999999996</v>
      </c>
    </row>
    <row r="1959" spans="1:12" x14ac:dyDescent="0.25">
      <c r="A1959" s="48" t="str">
        <f>IF(Учет!A1959&lt;&gt;"",Учет!A1959,"")</f>
        <v/>
      </c>
      <c r="B1959" s="52">
        <f>IF(Учет!$O1959=Справочники!$F$2,Учет!$H1959,0)</f>
        <v>0</v>
      </c>
      <c r="C1959" s="52">
        <f>IF(Учет!$O1959=Справочники!$F$3,Учет!$H1959,0)</f>
        <v>0</v>
      </c>
      <c r="D1959" s="52">
        <f>IF(Учет!$O1959=Справочники!$F$4,Учет!$H1959,0)</f>
        <v>0</v>
      </c>
      <c r="E1959" s="52">
        <f>IF(Учет!$O1959=Справочники!$F$5,Учет!$H1959,0)</f>
        <v>0</v>
      </c>
      <c r="F1959" s="52">
        <f>IF(Учет!$O1959=Справочники!$F$6,Учет!$H1959,0)</f>
        <v>0</v>
      </c>
      <c r="G1959" s="43">
        <f>G1958+Учет!B1959-B1959</f>
        <v>-488978.92000000004</v>
      </c>
      <c r="H1959" s="43">
        <f>H1958+Учет!C1959-C1959</f>
        <v>336855</v>
      </c>
      <c r="I1959" s="43">
        <f>I1958+Учет!D1959-D1959</f>
        <v>500</v>
      </c>
      <c r="J1959" s="43">
        <f>J1958+Учет!E1959-E1959</f>
        <v>1150</v>
      </c>
      <c r="K1959" s="43">
        <f>K1958+Учет!F1959-F1959</f>
        <v>500000</v>
      </c>
      <c r="L1959" s="45">
        <f>Учет!I1959</f>
        <v>349526.07999999996</v>
      </c>
    </row>
    <row r="1960" spans="1:12" x14ac:dyDescent="0.25">
      <c r="A1960" s="48" t="str">
        <f>IF(Учет!A1960&lt;&gt;"",Учет!A1960,"")</f>
        <v/>
      </c>
      <c r="B1960" s="52">
        <f>IF(Учет!$O1960=Справочники!$F$2,Учет!$H1960,0)</f>
        <v>0</v>
      </c>
      <c r="C1960" s="52">
        <f>IF(Учет!$O1960=Справочники!$F$3,Учет!$H1960,0)</f>
        <v>0</v>
      </c>
      <c r="D1960" s="52">
        <f>IF(Учет!$O1960=Справочники!$F$4,Учет!$H1960,0)</f>
        <v>0</v>
      </c>
      <c r="E1960" s="52">
        <f>IF(Учет!$O1960=Справочники!$F$5,Учет!$H1960,0)</f>
        <v>0</v>
      </c>
      <c r="F1960" s="52">
        <f>IF(Учет!$O1960=Справочники!$F$6,Учет!$H1960,0)</f>
        <v>0</v>
      </c>
      <c r="G1960" s="43">
        <f>G1959+Учет!B1960-B1960</f>
        <v>-488978.92000000004</v>
      </c>
      <c r="H1960" s="43">
        <f>H1959+Учет!C1960-C1960</f>
        <v>336855</v>
      </c>
      <c r="I1960" s="43">
        <f>I1959+Учет!D1960-D1960</f>
        <v>500</v>
      </c>
      <c r="J1960" s="43">
        <f>J1959+Учет!E1960-E1960</f>
        <v>1150</v>
      </c>
      <c r="K1960" s="43">
        <f>K1959+Учет!F1960-F1960</f>
        <v>500000</v>
      </c>
      <c r="L1960" s="45">
        <f>Учет!I1960</f>
        <v>349526.07999999996</v>
      </c>
    </row>
    <row r="1961" spans="1:12" x14ac:dyDescent="0.25">
      <c r="A1961" s="48" t="str">
        <f>IF(Учет!A1961&lt;&gt;"",Учет!A1961,"")</f>
        <v/>
      </c>
      <c r="B1961" s="52">
        <f>IF(Учет!$O1961=Справочники!$F$2,Учет!$H1961,0)</f>
        <v>0</v>
      </c>
      <c r="C1961" s="52">
        <f>IF(Учет!$O1961=Справочники!$F$3,Учет!$H1961,0)</f>
        <v>0</v>
      </c>
      <c r="D1961" s="52">
        <f>IF(Учет!$O1961=Справочники!$F$4,Учет!$H1961,0)</f>
        <v>0</v>
      </c>
      <c r="E1961" s="52">
        <f>IF(Учет!$O1961=Справочники!$F$5,Учет!$H1961,0)</f>
        <v>0</v>
      </c>
      <c r="F1961" s="52">
        <f>IF(Учет!$O1961=Справочники!$F$6,Учет!$H1961,0)</f>
        <v>0</v>
      </c>
      <c r="G1961" s="43">
        <f>G1960+Учет!B1961-B1961</f>
        <v>-488978.92000000004</v>
      </c>
      <c r="H1961" s="43">
        <f>H1960+Учет!C1961-C1961</f>
        <v>336855</v>
      </c>
      <c r="I1961" s="43">
        <f>I1960+Учет!D1961-D1961</f>
        <v>500</v>
      </c>
      <c r="J1961" s="43">
        <f>J1960+Учет!E1961-E1961</f>
        <v>1150</v>
      </c>
      <c r="K1961" s="43">
        <f>K1960+Учет!F1961-F1961</f>
        <v>500000</v>
      </c>
      <c r="L1961" s="45">
        <f>Учет!I1961</f>
        <v>349526.07999999996</v>
      </c>
    </row>
    <row r="1962" spans="1:12" x14ac:dyDescent="0.25">
      <c r="A1962" s="48" t="str">
        <f>IF(Учет!A1962&lt;&gt;"",Учет!A1962,"")</f>
        <v/>
      </c>
      <c r="B1962" s="52">
        <f>IF(Учет!$O1962=Справочники!$F$2,Учет!$H1962,0)</f>
        <v>0</v>
      </c>
      <c r="C1962" s="52">
        <f>IF(Учет!$O1962=Справочники!$F$3,Учет!$H1962,0)</f>
        <v>0</v>
      </c>
      <c r="D1962" s="52">
        <f>IF(Учет!$O1962=Справочники!$F$4,Учет!$H1962,0)</f>
        <v>0</v>
      </c>
      <c r="E1962" s="52">
        <f>IF(Учет!$O1962=Справочники!$F$5,Учет!$H1962,0)</f>
        <v>0</v>
      </c>
      <c r="F1962" s="52">
        <f>IF(Учет!$O1962=Справочники!$F$6,Учет!$H1962,0)</f>
        <v>0</v>
      </c>
      <c r="G1962" s="43">
        <f>G1961+Учет!B1962-B1962</f>
        <v>-488978.92000000004</v>
      </c>
      <c r="H1962" s="43">
        <f>H1961+Учет!C1962-C1962</f>
        <v>336855</v>
      </c>
      <c r="I1962" s="43">
        <f>I1961+Учет!D1962-D1962</f>
        <v>500</v>
      </c>
      <c r="J1962" s="43">
        <f>J1961+Учет!E1962-E1962</f>
        <v>1150</v>
      </c>
      <c r="K1962" s="43">
        <f>K1961+Учет!F1962-F1962</f>
        <v>500000</v>
      </c>
      <c r="L1962" s="45">
        <f>Учет!I1962</f>
        <v>349526.07999999996</v>
      </c>
    </row>
    <row r="1963" spans="1:12" x14ac:dyDescent="0.25">
      <c r="A1963" s="48" t="str">
        <f>IF(Учет!A1963&lt;&gt;"",Учет!A1963,"")</f>
        <v/>
      </c>
      <c r="B1963" s="52">
        <f>IF(Учет!$O1963=Справочники!$F$2,Учет!$H1963,0)</f>
        <v>0</v>
      </c>
      <c r="C1963" s="52">
        <f>IF(Учет!$O1963=Справочники!$F$3,Учет!$H1963,0)</f>
        <v>0</v>
      </c>
      <c r="D1963" s="52">
        <f>IF(Учет!$O1963=Справочники!$F$4,Учет!$H1963,0)</f>
        <v>0</v>
      </c>
      <c r="E1963" s="52">
        <f>IF(Учет!$O1963=Справочники!$F$5,Учет!$H1963,0)</f>
        <v>0</v>
      </c>
      <c r="F1963" s="52">
        <f>IF(Учет!$O1963=Справочники!$F$6,Учет!$H1963,0)</f>
        <v>0</v>
      </c>
      <c r="G1963" s="43">
        <f>G1962+Учет!B1963-B1963</f>
        <v>-488978.92000000004</v>
      </c>
      <c r="H1963" s="43">
        <f>H1962+Учет!C1963-C1963</f>
        <v>336855</v>
      </c>
      <c r="I1963" s="43">
        <f>I1962+Учет!D1963-D1963</f>
        <v>500</v>
      </c>
      <c r="J1963" s="43">
        <f>J1962+Учет!E1963-E1963</f>
        <v>1150</v>
      </c>
      <c r="K1963" s="43">
        <f>K1962+Учет!F1963-F1963</f>
        <v>500000</v>
      </c>
      <c r="L1963" s="45">
        <f>Учет!I1963</f>
        <v>349526.07999999996</v>
      </c>
    </row>
    <row r="1964" spans="1:12" x14ac:dyDescent="0.25">
      <c r="A1964" s="48" t="str">
        <f>IF(Учет!A1964&lt;&gt;"",Учет!A1964,"")</f>
        <v/>
      </c>
      <c r="B1964" s="52">
        <f>IF(Учет!$O1964=Справочники!$F$2,Учет!$H1964,0)</f>
        <v>0</v>
      </c>
      <c r="C1964" s="52">
        <f>IF(Учет!$O1964=Справочники!$F$3,Учет!$H1964,0)</f>
        <v>0</v>
      </c>
      <c r="D1964" s="52">
        <f>IF(Учет!$O1964=Справочники!$F$4,Учет!$H1964,0)</f>
        <v>0</v>
      </c>
      <c r="E1964" s="52">
        <f>IF(Учет!$O1964=Справочники!$F$5,Учет!$H1964,0)</f>
        <v>0</v>
      </c>
      <c r="F1964" s="52">
        <f>IF(Учет!$O1964=Справочники!$F$6,Учет!$H1964,0)</f>
        <v>0</v>
      </c>
      <c r="G1964" s="43">
        <f>G1963+Учет!B1964-B1964</f>
        <v>-488978.92000000004</v>
      </c>
      <c r="H1964" s="43">
        <f>H1963+Учет!C1964-C1964</f>
        <v>336855</v>
      </c>
      <c r="I1964" s="43">
        <f>I1963+Учет!D1964-D1964</f>
        <v>500</v>
      </c>
      <c r="J1964" s="43">
        <f>J1963+Учет!E1964-E1964</f>
        <v>1150</v>
      </c>
      <c r="K1964" s="43">
        <f>K1963+Учет!F1964-F1964</f>
        <v>500000</v>
      </c>
      <c r="L1964" s="45">
        <f>Учет!I1964</f>
        <v>349526.07999999996</v>
      </c>
    </row>
    <row r="1965" spans="1:12" x14ac:dyDescent="0.25">
      <c r="A1965" s="48" t="str">
        <f>IF(Учет!A1965&lt;&gt;"",Учет!A1965,"")</f>
        <v/>
      </c>
      <c r="B1965" s="52">
        <f>IF(Учет!$O1965=Справочники!$F$2,Учет!$H1965,0)</f>
        <v>0</v>
      </c>
      <c r="C1965" s="52">
        <f>IF(Учет!$O1965=Справочники!$F$3,Учет!$H1965,0)</f>
        <v>0</v>
      </c>
      <c r="D1965" s="52">
        <f>IF(Учет!$O1965=Справочники!$F$4,Учет!$H1965,0)</f>
        <v>0</v>
      </c>
      <c r="E1965" s="52">
        <f>IF(Учет!$O1965=Справочники!$F$5,Учет!$H1965,0)</f>
        <v>0</v>
      </c>
      <c r="F1965" s="52">
        <f>IF(Учет!$O1965=Справочники!$F$6,Учет!$H1965,0)</f>
        <v>0</v>
      </c>
      <c r="G1965" s="43">
        <f>G1964+Учет!B1965-B1965</f>
        <v>-488978.92000000004</v>
      </c>
      <c r="H1965" s="43">
        <f>H1964+Учет!C1965-C1965</f>
        <v>336855</v>
      </c>
      <c r="I1965" s="43">
        <f>I1964+Учет!D1965-D1965</f>
        <v>500</v>
      </c>
      <c r="J1965" s="43">
        <f>J1964+Учет!E1965-E1965</f>
        <v>1150</v>
      </c>
      <c r="K1965" s="43">
        <f>K1964+Учет!F1965-F1965</f>
        <v>500000</v>
      </c>
      <c r="L1965" s="45">
        <f>Учет!I1965</f>
        <v>349526.07999999996</v>
      </c>
    </row>
    <row r="1966" spans="1:12" x14ac:dyDescent="0.25">
      <c r="A1966" s="48" t="str">
        <f>IF(Учет!A1966&lt;&gt;"",Учет!A1966,"")</f>
        <v/>
      </c>
      <c r="B1966" s="52">
        <f>IF(Учет!$O1966=Справочники!$F$2,Учет!$H1966,0)</f>
        <v>0</v>
      </c>
      <c r="C1966" s="52">
        <f>IF(Учет!$O1966=Справочники!$F$3,Учет!$H1966,0)</f>
        <v>0</v>
      </c>
      <c r="D1966" s="52">
        <f>IF(Учет!$O1966=Справочники!$F$4,Учет!$H1966,0)</f>
        <v>0</v>
      </c>
      <c r="E1966" s="52">
        <f>IF(Учет!$O1966=Справочники!$F$5,Учет!$H1966,0)</f>
        <v>0</v>
      </c>
      <c r="F1966" s="52">
        <f>IF(Учет!$O1966=Справочники!$F$6,Учет!$H1966,0)</f>
        <v>0</v>
      </c>
      <c r="G1966" s="43">
        <f>G1965+Учет!B1966-B1966</f>
        <v>-488978.92000000004</v>
      </c>
      <c r="H1966" s="43">
        <f>H1965+Учет!C1966-C1966</f>
        <v>336855</v>
      </c>
      <c r="I1966" s="43">
        <f>I1965+Учет!D1966-D1966</f>
        <v>500</v>
      </c>
      <c r="J1966" s="43">
        <f>J1965+Учет!E1966-E1966</f>
        <v>1150</v>
      </c>
      <c r="K1966" s="43">
        <f>K1965+Учет!F1966-F1966</f>
        <v>500000</v>
      </c>
      <c r="L1966" s="45">
        <f>Учет!I1966</f>
        <v>349526.07999999996</v>
      </c>
    </row>
    <row r="1967" spans="1:12" x14ac:dyDescent="0.25">
      <c r="A1967" s="48" t="str">
        <f>IF(Учет!A1967&lt;&gt;"",Учет!A1967,"")</f>
        <v/>
      </c>
      <c r="B1967" s="52">
        <f>IF(Учет!$O1967=Справочники!$F$2,Учет!$H1967,0)</f>
        <v>0</v>
      </c>
      <c r="C1967" s="52">
        <f>IF(Учет!$O1967=Справочники!$F$3,Учет!$H1967,0)</f>
        <v>0</v>
      </c>
      <c r="D1967" s="52">
        <f>IF(Учет!$O1967=Справочники!$F$4,Учет!$H1967,0)</f>
        <v>0</v>
      </c>
      <c r="E1967" s="52">
        <f>IF(Учет!$O1967=Справочники!$F$5,Учет!$H1967,0)</f>
        <v>0</v>
      </c>
      <c r="F1967" s="52">
        <f>IF(Учет!$O1967=Справочники!$F$6,Учет!$H1967,0)</f>
        <v>0</v>
      </c>
      <c r="G1967" s="43">
        <f>G1966+Учет!B1967-B1967</f>
        <v>-488978.92000000004</v>
      </c>
      <c r="H1967" s="43">
        <f>H1966+Учет!C1967-C1967</f>
        <v>336855</v>
      </c>
      <c r="I1967" s="43">
        <f>I1966+Учет!D1967-D1967</f>
        <v>500</v>
      </c>
      <c r="J1967" s="43">
        <f>J1966+Учет!E1967-E1967</f>
        <v>1150</v>
      </c>
      <c r="K1967" s="43">
        <f>K1966+Учет!F1967-F1967</f>
        <v>500000</v>
      </c>
      <c r="L1967" s="45">
        <f>Учет!I1967</f>
        <v>349526.07999999996</v>
      </c>
    </row>
    <row r="1968" spans="1:12" x14ac:dyDescent="0.25">
      <c r="A1968" s="48" t="str">
        <f>IF(Учет!A1968&lt;&gt;"",Учет!A1968,"")</f>
        <v/>
      </c>
      <c r="B1968" s="52">
        <f>IF(Учет!$O1968=Справочники!$F$2,Учет!$H1968,0)</f>
        <v>0</v>
      </c>
      <c r="C1968" s="52">
        <f>IF(Учет!$O1968=Справочники!$F$3,Учет!$H1968,0)</f>
        <v>0</v>
      </c>
      <c r="D1968" s="52">
        <f>IF(Учет!$O1968=Справочники!$F$4,Учет!$H1968,0)</f>
        <v>0</v>
      </c>
      <c r="E1968" s="52">
        <f>IF(Учет!$O1968=Справочники!$F$5,Учет!$H1968,0)</f>
        <v>0</v>
      </c>
      <c r="F1968" s="52">
        <f>IF(Учет!$O1968=Справочники!$F$6,Учет!$H1968,0)</f>
        <v>0</v>
      </c>
      <c r="G1968" s="43">
        <f>G1967+Учет!B1968-B1968</f>
        <v>-488978.92000000004</v>
      </c>
      <c r="H1968" s="43">
        <f>H1967+Учет!C1968-C1968</f>
        <v>336855</v>
      </c>
      <c r="I1968" s="43">
        <f>I1967+Учет!D1968-D1968</f>
        <v>500</v>
      </c>
      <c r="J1968" s="43">
        <f>J1967+Учет!E1968-E1968</f>
        <v>1150</v>
      </c>
      <c r="K1968" s="43">
        <f>K1967+Учет!F1968-F1968</f>
        <v>500000</v>
      </c>
      <c r="L1968" s="45">
        <f>Учет!I1968</f>
        <v>349526.07999999996</v>
      </c>
    </row>
    <row r="1969" spans="1:12" x14ac:dyDescent="0.25">
      <c r="A1969" s="48" t="str">
        <f>IF(Учет!A1969&lt;&gt;"",Учет!A1969,"")</f>
        <v/>
      </c>
      <c r="B1969" s="52">
        <f>IF(Учет!$O1969=Справочники!$F$2,Учет!$H1969,0)</f>
        <v>0</v>
      </c>
      <c r="C1969" s="52">
        <f>IF(Учет!$O1969=Справочники!$F$3,Учет!$H1969,0)</f>
        <v>0</v>
      </c>
      <c r="D1969" s="52">
        <f>IF(Учет!$O1969=Справочники!$F$4,Учет!$H1969,0)</f>
        <v>0</v>
      </c>
      <c r="E1969" s="52">
        <f>IF(Учет!$O1969=Справочники!$F$5,Учет!$H1969,0)</f>
        <v>0</v>
      </c>
      <c r="F1969" s="52">
        <f>IF(Учет!$O1969=Справочники!$F$6,Учет!$H1969,0)</f>
        <v>0</v>
      </c>
      <c r="G1969" s="43">
        <f>G1968+Учет!B1969-B1969</f>
        <v>-488978.92000000004</v>
      </c>
      <c r="H1969" s="43">
        <f>H1968+Учет!C1969-C1969</f>
        <v>336855</v>
      </c>
      <c r="I1969" s="43">
        <f>I1968+Учет!D1969-D1969</f>
        <v>500</v>
      </c>
      <c r="J1969" s="43">
        <f>J1968+Учет!E1969-E1969</f>
        <v>1150</v>
      </c>
      <c r="K1969" s="43">
        <f>K1968+Учет!F1969-F1969</f>
        <v>500000</v>
      </c>
      <c r="L1969" s="45">
        <f>Учет!I1969</f>
        <v>349526.07999999996</v>
      </c>
    </row>
    <row r="1970" spans="1:12" x14ac:dyDescent="0.25">
      <c r="A1970" s="48" t="str">
        <f>IF(Учет!A1970&lt;&gt;"",Учет!A1970,"")</f>
        <v/>
      </c>
      <c r="B1970" s="52">
        <f>IF(Учет!$O1970=Справочники!$F$2,Учет!$H1970,0)</f>
        <v>0</v>
      </c>
      <c r="C1970" s="52">
        <f>IF(Учет!$O1970=Справочники!$F$3,Учет!$H1970,0)</f>
        <v>0</v>
      </c>
      <c r="D1970" s="52">
        <f>IF(Учет!$O1970=Справочники!$F$4,Учет!$H1970,0)</f>
        <v>0</v>
      </c>
      <c r="E1970" s="52">
        <f>IF(Учет!$O1970=Справочники!$F$5,Учет!$H1970,0)</f>
        <v>0</v>
      </c>
      <c r="F1970" s="52">
        <f>IF(Учет!$O1970=Справочники!$F$6,Учет!$H1970,0)</f>
        <v>0</v>
      </c>
      <c r="G1970" s="43">
        <f>G1969+Учет!B1970-B1970</f>
        <v>-488978.92000000004</v>
      </c>
      <c r="H1970" s="43">
        <f>H1969+Учет!C1970-C1970</f>
        <v>336855</v>
      </c>
      <c r="I1970" s="43">
        <f>I1969+Учет!D1970-D1970</f>
        <v>500</v>
      </c>
      <c r="J1970" s="43">
        <f>J1969+Учет!E1970-E1970</f>
        <v>1150</v>
      </c>
      <c r="K1970" s="43">
        <f>K1969+Учет!F1970-F1970</f>
        <v>500000</v>
      </c>
      <c r="L1970" s="45">
        <f>Учет!I1970</f>
        <v>349526.07999999996</v>
      </c>
    </row>
    <row r="1971" spans="1:12" x14ac:dyDescent="0.25">
      <c r="A1971" s="48" t="str">
        <f>IF(Учет!A1971&lt;&gt;"",Учет!A1971,"")</f>
        <v/>
      </c>
      <c r="B1971" s="52">
        <f>IF(Учет!$O1971=Справочники!$F$2,Учет!$H1971,0)</f>
        <v>0</v>
      </c>
      <c r="C1971" s="52">
        <f>IF(Учет!$O1971=Справочники!$F$3,Учет!$H1971,0)</f>
        <v>0</v>
      </c>
      <c r="D1971" s="52">
        <f>IF(Учет!$O1971=Справочники!$F$4,Учет!$H1971,0)</f>
        <v>0</v>
      </c>
      <c r="E1971" s="52">
        <f>IF(Учет!$O1971=Справочники!$F$5,Учет!$H1971,0)</f>
        <v>0</v>
      </c>
      <c r="F1971" s="52">
        <f>IF(Учет!$O1971=Справочники!$F$6,Учет!$H1971,0)</f>
        <v>0</v>
      </c>
      <c r="G1971" s="43">
        <f>G1970+Учет!B1971-B1971</f>
        <v>-488978.92000000004</v>
      </c>
      <c r="H1971" s="43">
        <f>H1970+Учет!C1971-C1971</f>
        <v>336855</v>
      </c>
      <c r="I1971" s="43">
        <f>I1970+Учет!D1971-D1971</f>
        <v>500</v>
      </c>
      <c r="J1971" s="43">
        <f>J1970+Учет!E1971-E1971</f>
        <v>1150</v>
      </c>
      <c r="K1971" s="43">
        <f>K1970+Учет!F1971-F1971</f>
        <v>500000</v>
      </c>
      <c r="L1971" s="45">
        <f>Учет!I1971</f>
        <v>349526.07999999996</v>
      </c>
    </row>
    <row r="1972" spans="1:12" x14ac:dyDescent="0.25">
      <c r="A1972" s="48" t="str">
        <f>IF(Учет!A1972&lt;&gt;"",Учет!A1972,"")</f>
        <v/>
      </c>
      <c r="B1972" s="52">
        <f>IF(Учет!$O1972=Справочники!$F$2,Учет!$H1972,0)</f>
        <v>0</v>
      </c>
      <c r="C1972" s="52">
        <f>IF(Учет!$O1972=Справочники!$F$3,Учет!$H1972,0)</f>
        <v>0</v>
      </c>
      <c r="D1972" s="52">
        <f>IF(Учет!$O1972=Справочники!$F$4,Учет!$H1972,0)</f>
        <v>0</v>
      </c>
      <c r="E1972" s="52">
        <f>IF(Учет!$O1972=Справочники!$F$5,Учет!$H1972,0)</f>
        <v>0</v>
      </c>
      <c r="F1972" s="52">
        <f>IF(Учет!$O1972=Справочники!$F$6,Учет!$H1972,0)</f>
        <v>0</v>
      </c>
      <c r="G1972" s="43">
        <f>G1971+Учет!B1972-B1972</f>
        <v>-488978.92000000004</v>
      </c>
      <c r="H1972" s="43">
        <f>H1971+Учет!C1972-C1972</f>
        <v>336855</v>
      </c>
      <c r="I1972" s="43">
        <f>I1971+Учет!D1972-D1972</f>
        <v>500</v>
      </c>
      <c r="J1972" s="43">
        <f>J1971+Учет!E1972-E1972</f>
        <v>1150</v>
      </c>
      <c r="K1972" s="43">
        <f>K1971+Учет!F1972-F1972</f>
        <v>500000</v>
      </c>
      <c r="L1972" s="45">
        <f>Учет!I1972</f>
        <v>349526.07999999996</v>
      </c>
    </row>
    <row r="1973" spans="1:12" x14ac:dyDescent="0.25">
      <c r="A1973" s="48" t="str">
        <f>IF(Учет!A1973&lt;&gt;"",Учет!A1973,"")</f>
        <v/>
      </c>
      <c r="B1973" s="52">
        <f>IF(Учет!$O1973=Справочники!$F$2,Учет!$H1973,0)</f>
        <v>0</v>
      </c>
      <c r="C1973" s="52">
        <f>IF(Учет!$O1973=Справочники!$F$3,Учет!$H1973,0)</f>
        <v>0</v>
      </c>
      <c r="D1973" s="52">
        <f>IF(Учет!$O1973=Справочники!$F$4,Учет!$H1973,0)</f>
        <v>0</v>
      </c>
      <c r="E1973" s="52">
        <f>IF(Учет!$O1973=Справочники!$F$5,Учет!$H1973,0)</f>
        <v>0</v>
      </c>
      <c r="F1973" s="52">
        <f>IF(Учет!$O1973=Справочники!$F$6,Учет!$H1973,0)</f>
        <v>0</v>
      </c>
      <c r="G1973" s="43">
        <f>G1972+Учет!B1973-B1973</f>
        <v>-488978.92000000004</v>
      </c>
      <c r="H1973" s="43">
        <f>H1972+Учет!C1973-C1973</f>
        <v>336855</v>
      </c>
      <c r="I1973" s="43">
        <f>I1972+Учет!D1973-D1973</f>
        <v>500</v>
      </c>
      <c r="J1973" s="43">
        <f>J1972+Учет!E1973-E1973</f>
        <v>1150</v>
      </c>
      <c r="K1973" s="43">
        <f>K1972+Учет!F1973-F1973</f>
        <v>500000</v>
      </c>
      <c r="L1973" s="45">
        <f>Учет!I1973</f>
        <v>349526.07999999996</v>
      </c>
    </row>
    <row r="1974" spans="1:12" x14ac:dyDescent="0.25">
      <c r="A1974" s="48" t="str">
        <f>IF(Учет!A1974&lt;&gt;"",Учет!A1974,"")</f>
        <v/>
      </c>
      <c r="B1974" s="52">
        <f>IF(Учет!$O1974=Справочники!$F$2,Учет!$H1974,0)</f>
        <v>0</v>
      </c>
      <c r="C1974" s="52">
        <f>IF(Учет!$O1974=Справочники!$F$3,Учет!$H1974,0)</f>
        <v>0</v>
      </c>
      <c r="D1974" s="52">
        <f>IF(Учет!$O1974=Справочники!$F$4,Учет!$H1974,0)</f>
        <v>0</v>
      </c>
      <c r="E1974" s="52">
        <f>IF(Учет!$O1974=Справочники!$F$5,Учет!$H1974,0)</f>
        <v>0</v>
      </c>
      <c r="F1974" s="52">
        <f>IF(Учет!$O1974=Справочники!$F$6,Учет!$H1974,0)</f>
        <v>0</v>
      </c>
      <c r="G1974" s="43">
        <f>G1973+Учет!B1974-B1974</f>
        <v>-488978.92000000004</v>
      </c>
      <c r="H1974" s="43">
        <f>H1973+Учет!C1974-C1974</f>
        <v>336855</v>
      </c>
      <c r="I1974" s="43">
        <f>I1973+Учет!D1974-D1974</f>
        <v>500</v>
      </c>
      <c r="J1974" s="43">
        <f>J1973+Учет!E1974-E1974</f>
        <v>1150</v>
      </c>
      <c r="K1974" s="43">
        <f>K1973+Учет!F1974-F1974</f>
        <v>500000</v>
      </c>
      <c r="L1974" s="45">
        <f>Учет!I1974</f>
        <v>349526.07999999996</v>
      </c>
    </row>
    <row r="1975" spans="1:12" x14ac:dyDescent="0.25">
      <c r="A1975" s="48" t="str">
        <f>IF(Учет!A1975&lt;&gt;"",Учет!A1975,"")</f>
        <v/>
      </c>
      <c r="B1975" s="52">
        <f>IF(Учет!$O1975=Справочники!$F$2,Учет!$H1975,0)</f>
        <v>0</v>
      </c>
      <c r="C1975" s="52">
        <f>IF(Учет!$O1975=Справочники!$F$3,Учет!$H1975,0)</f>
        <v>0</v>
      </c>
      <c r="D1975" s="52">
        <f>IF(Учет!$O1975=Справочники!$F$4,Учет!$H1975,0)</f>
        <v>0</v>
      </c>
      <c r="E1975" s="52">
        <f>IF(Учет!$O1975=Справочники!$F$5,Учет!$H1975,0)</f>
        <v>0</v>
      </c>
      <c r="F1975" s="52">
        <f>IF(Учет!$O1975=Справочники!$F$6,Учет!$H1975,0)</f>
        <v>0</v>
      </c>
      <c r="G1975" s="43">
        <f>G1974+Учет!B1975-B1975</f>
        <v>-488978.92000000004</v>
      </c>
      <c r="H1975" s="43">
        <f>H1974+Учет!C1975-C1975</f>
        <v>336855</v>
      </c>
      <c r="I1975" s="43">
        <f>I1974+Учет!D1975-D1975</f>
        <v>500</v>
      </c>
      <c r="J1975" s="43">
        <f>J1974+Учет!E1975-E1975</f>
        <v>1150</v>
      </c>
      <c r="K1975" s="43">
        <f>K1974+Учет!F1975-F1975</f>
        <v>500000</v>
      </c>
      <c r="L1975" s="45">
        <f>Учет!I1975</f>
        <v>349526.07999999996</v>
      </c>
    </row>
    <row r="1976" spans="1:12" x14ac:dyDescent="0.25">
      <c r="A1976" s="48" t="str">
        <f>IF(Учет!A1976&lt;&gt;"",Учет!A1976,"")</f>
        <v/>
      </c>
      <c r="B1976" s="52">
        <f>IF(Учет!$O1976=Справочники!$F$2,Учет!$H1976,0)</f>
        <v>0</v>
      </c>
      <c r="C1976" s="52">
        <f>IF(Учет!$O1976=Справочники!$F$3,Учет!$H1976,0)</f>
        <v>0</v>
      </c>
      <c r="D1976" s="52">
        <f>IF(Учет!$O1976=Справочники!$F$4,Учет!$H1976,0)</f>
        <v>0</v>
      </c>
      <c r="E1976" s="52">
        <f>IF(Учет!$O1976=Справочники!$F$5,Учет!$H1976,0)</f>
        <v>0</v>
      </c>
      <c r="F1976" s="52">
        <f>IF(Учет!$O1976=Справочники!$F$6,Учет!$H1976,0)</f>
        <v>0</v>
      </c>
      <c r="G1976" s="43">
        <f>G1975+Учет!B1976-B1976</f>
        <v>-488978.92000000004</v>
      </c>
      <c r="H1976" s="43">
        <f>H1975+Учет!C1976-C1976</f>
        <v>336855</v>
      </c>
      <c r="I1976" s="43">
        <f>I1975+Учет!D1976-D1976</f>
        <v>500</v>
      </c>
      <c r="J1976" s="43">
        <f>J1975+Учет!E1976-E1976</f>
        <v>1150</v>
      </c>
      <c r="K1976" s="43">
        <f>K1975+Учет!F1976-F1976</f>
        <v>500000</v>
      </c>
      <c r="L1976" s="45">
        <f>Учет!I1976</f>
        <v>349526.07999999996</v>
      </c>
    </row>
    <row r="1977" spans="1:12" x14ac:dyDescent="0.25">
      <c r="A1977" s="48" t="str">
        <f>IF(Учет!A1977&lt;&gt;"",Учет!A1977,"")</f>
        <v/>
      </c>
      <c r="B1977" s="52">
        <f>IF(Учет!$O1977=Справочники!$F$2,Учет!$H1977,0)</f>
        <v>0</v>
      </c>
      <c r="C1977" s="52">
        <f>IF(Учет!$O1977=Справочники!$F$3,Учет!$H1977,0)</f>
        <v>0</v>
      </c>
      <c r="D1977" s="52">
        <f>IF(Учет!$O1977=Справочники!$F$4,Учет!$H1977,0)</f>
        <v>0</v>
      </c>
      <c r="E1977" s="52">
        <f>IF(Учет!$O1977=Справочники!$F$5,Учет!$H1977,0)</f>
        <v>0</v>
      </c>
      <c r="F1977" s="52">
        <f>IF(Учет!$O1977=Справочники!$F$6,Учет!$H1977,0)</f>
        <v>0</v>
      </c>
      <c r="G1977" s="43">
        <f>G1976+Учет!B1977-B1977</f>
        <v>-488978.92000000004</v>
      </c>
      <c r="H1977" s="43">
        <f>H1976+Учет!C1977-C1977</f>
        <v>336855</v>
      </c>
      <c r="I1977" s="43">
        <f>I1976+Учет!D1977-D1977</f>
        <v>500</v>
      </c>
      <c r="J1977" s="43">
        <f>J1976+Учет!E1977-E1977</f>
        <v>1150</v>
      </c>
      <c r="K1977" s="43">
        <f>K1976+Учет!F1977-F1977</f>
        <v>500000</v>
      </c>
      <c r="L1977" s="45">
        <f>Учет!I1977</f>
        <v>349526.07999999996</v>
      </c>
    </row>
    <row r="1978" spans="1:12" x14ac:dyDescent="0.25">
      <c r="A1978" s="48" t="str">
        <f>IF(Учет!A1978&lt;&gt;"",Учет!A1978,"")</f>
        <v/>
      </c>
      <c r="B1978" s="52">
        <f>IF(Учет!$O1978=Справочники!$F$2,Учет!$H1978,0)</f>
        <v>0</v>
      </c>
      <c r="C1978" s="52">
        <f>IF(Учет!$O1978=Справочники!$F$3,Учет!$H1978,0)</f>
        <v>0</v>
      </c>
      <c r="D1978" s="52">
        <f>IF(Учет!$O1978=Справочники!$F$4,Учет!$H1978,0)</f>
        <v>0</v>
      </c>
      <c r="E1978" s="52">
        <f>IF(Учет!$O1978=Справочники!$F$5,Учет!$H1978,0)</f>
        <v>0</v>
      </c>
      <c r="F1978" s="52">
        <f>IF(Учет!$O1978=Справочники!$F$6,Учет!$H1978,0)</f>
        <v>0</v>
      </c>
      <c r="G1978" s="43">
        <f>G1977+Учет!B1978-B1978</f>
        <v>-488978.92000000004</v>
      </c>
      <c r="H1978" s="43">
        <f>H1977+Учет!C1978-C1978</f>
        <v>336855</v>
      </c>
      <c r="I1978" s="43">
        <f>I1977+Учет!D1978-D1978</f>
        <v>500</v>
      </c>
      <c r="J1978" s="43">
        <f>J1977+Учет!E1978-E1978</f>
        <v>1150</v>
      </c>
      <c r="K1978" s="43">
        <f>K1977+Учет!F1978-F1978</f>
        <v>500000</v>
      </c>
      <c r="L1978" s="45">
        <f>Учет!I1978</f>
        <v>349526.07999999996</v>
      </c>
    </row>
    <row r="1979" spans="1:12" x14ac:dyDescent="0.25">
      <c r="A1979" s="48" t="str">
        <f>IF(Учет!A1979&lt;&gt;"",Учет!A1979,"")</f>
        <v/>
      </c>
      <c r="B1979" s="52">
        <f>IF(Учет!$O1979=Справочники!$F$2,Учет!$H1979,0)</f>
        <v>0</v>
      </c>
      <c r="C1979" s="52">
        <f>IF(Учет!$O1979=Справочники!$F$3,Учет!$H1979,0)</f>
        <v>0</v>
      </c>
      <c r="D1979" s="52">
        <f>IF(Учет!$O1979=Справочники!$F$4,Учет!$H1979,0)</f>
        <v>0</v>
      </c>
      <c r="E1979" s="52">
        <f>IF(Учет!$O1979=Справочники!$F$5,Учет!$H1979,0)</f>
        <v>0</v>
      </c>
      <c r="F1979" s="52">
        <f>IF(Учет!$O1979=Справочники!$F$6,Учет!$H1979,0)</f>
        <v>0</v>
      </c>
      <c r="G1979" s="43">
        <f>G1978+Учет!B1979-B1979</f>
        <v>-488978.92000000004</v>
      </c>
      <c r="H1979" s="43">
        <f>H1978+Учет!C1979-C1979</f>
        <v>336855</v>
      </c>
      <c r="I1979" s="43">
        <f>I1978+Учет!D1979-D1979</f>
        <v>500</v>
      </c>
      <c r="J1979" s="43">
        <f>J1978+Учет!E1979-E1979</f>
        <v>1150</v>
      </c>
      <c r="K1979" s="43">
        <f>K1978+Учет!F1979-F1979</f>
        <v>500000</v>
      </c>
      <c r="L1979" s="45">
        <f>Учет!I1979</f>
        <v>349526.07999999996</v>
      </c>
    </row>
    <row r="1980" spans="1:12" x14ac:dyDescent="0.25">
      <c r="A1980" s="48" t="str">
        <f>IF(Учет!A1980&lt;&gt;"",Учет!A1980,"")</f>
        <v/>
      </c>
      <c r="B1980" s="52">
        <f>IF(Учет!$O1980=Справочники!$F$2,Учет!$H1980,0)</f>
        <v>0</v>
      </c>
      <c r="C1980" s="52">
        <f>IF(Учет!$O1980=Справочники!$F$3,Учет!$H1980,0)</f>
        <v>0</v>
      </c>
      <c r="D1980" s="52">
        <f>IF(Учет!$O1980=Справочники!$F$4,Учет!$H1980,0)</f>
        <v>0</v>
      </c>
      <c r="E1980" s="52">
        <f>IF(Учет!$O1980=Справочники!$F$5,Учет!$H1980,0)</f>
        <v>0</v>
      </c>
      <c r="F1980" s="52">
        <f>IF(Учет!$O1980=Справочники!$F$6,Учет!$H1980,0)</f>
        <v>0</v>
      </c>
      <c r="G1980" s="43">
        <f>G1979+Учет!B1980-B1980</f>
        <v>-488978.92000000004</v>
      </c>
      <c r="H1980" s="43">
        <f>H1979+Учет!C1980-C1980</f>
        <v>336855</v>
      </c>
      <c r="I1980" s="43">
        <f>I1979+Учет!D1980-D1980</f>
        <v>500</v>
      </c>
      <c r="J1980" s="43">
        <f>J1979+Учет!E1980-E1980</f>
        <v>1150</v>
      </c>
      <c r="K1980" s="43">
        <f>K1979+Учет!F1980-F1980</f>
        <v>500000</v>
      </c>
      <c r="L1980" s="45">
        <f>Учет!I1980</f>
        <v>349526.07999999996</v>
      </c>
    </row>
    <row r="1981" spans="1:12" x14ac:dyDescent="0.25">
      <c r="A1981" s="48" t="str">
        <f>IF(Учет!A1981&lt;&gt;"",Учет!A1981,"")</f>
        <v/>
      </c>
      <c r="B1981" s="52">
        <f>IF(Учет!$O1981=Справочники!$F$2,Учет!$H1981,0)</f>
        <v>0</v>
      </c>
      <c r="C1981" s="52">
        <f>IF(Учет!$O1981=Справочники!$F$3,Учет!$H1981,0)</f>
        <v>0</v>
      </c>
      <c r="D1981" s="52">
        <f>IF(Учет!$O1981=Справочники!$F$4,Учет!$H1981,0)</f>
        <v>0</v>
      </c>
      <c r="E1981" s="52">
        <f>IF(Учет!$O1981=Справочники!$F$5,Учет!$H1981,0)</f>
        <v>0</v>
      </c>
      <c r="F1981" s="52">
        <f>IF(Учет!$O1981=Справочники!$F$6,Учет!$H1981,0)</f>
        <v>0</v>
      </c>
      <c r="G1981" s="43">
        <f>G1980+Учет!B1981-B1981</f>
        <v>-488978.92000000004</v>
      </c>
      <c r="H1981" s="43">
        <f>H1980+Учет!C1981-C1981</f>
        <v>336855</v>
      </c>
      <c r="I1981" s="43">
        <f>I1980+Учет!D1981-D1981</f>
        <v>500</v>
      </c>
      <c r="J1981" s="43">
        <f>J1980+Учет!E1981-E1981</f>
        <v>1150</v>
      </c>
      <c r="K1981" s="43">
        <f>K1980+Учет!F1981-F1981</f>
        <v>500000</v>
      </c>
      <c r="L1981" s="45">
        <f>Учет!I1981</f>
        <v>349526.07999999996</v>
      </c>
    </row>
    <row r="1982" spans="1:12" x14ac:dyDescent="0.25">
      <c r="A1982" s="48" t="str">
        <f>IF(Учет!A1982&lt;&gt;"",Учет!A1982,"")</f>
        <v/>
      </c>
      <c r="B1982" s="52">
        <f>IF(Учет!$O1982=Справочники!$F$2,Учет!$H1982,0)</f>
        <v>0</v>
      </c>
      <c r="C1982" s="52">
        <f>IF(Учет!$O1982=Справочники!$F$3,Учет!$H1982,0)</f>
        <v>0</v>
      </c>
      <c r="D1982" s="52">
        <f>IF(Учет!$O1982=Справочники!$F$4,Учет!$H1982,0)</f>
        <v>0</v>
      </c>
      <c r="E1982" s="52">
        <f>IF(Учет!$O1982=Справочники!$F$5,Учет!$H1982,0)</f>
        <v>0</v>
      </c>
      <c r="F1982" s="52">
        <f>IF(Учет!$O1982=Справочники!$F$6,Учет!$H1982,0)</f>
        <v>0</v>
      </c>
      <c r="G1982" s="43">
        <f>G1981+Учет!B1982-B1982</f>
        <v>-488978.92000000004</v>
      </c>
      <c r="H1982" s="43">
        <f>H1981+Учет!C1982-C1982</f>
        <v>336855</v>
      </c>
      <c r="I1982" s="43">
        <f>I1981+Учет!D1982-D1982</f>
        <v>500</v>
      </c>
      <c r="J1982" s="43">
        <f>J1981+Учет!E1982-E1982</f>
        <v>1150</v>
      </c>
      <c r="K1982" s="43">
        <f>K1981+Учет!F1982-F1982</f>
        <v>500000</v>
      </c>
      <c r="L1982" s="45">
        <f>Учет!I1982</f>
        <v>349526.07999999996</v>
      </c>
    </row>
    <row r="1983" spans="1:12" x14ac:dyDescent="0.25">
      <c r="A1983" s="48" t="str">
        <f>IF(Учет!A1983&lt;&gt;"",Учет!A1983,"")</f>
        <v/>
      </c>
      <c r="B1983" s="52">
        <f>IF(Учет!$O1983=Справочники!$F$2,Учет!$H1983,0)</f>
        <v>0</v>
      </c>
      <c r="C1983" s="52">
        <f>IF(Учет!$O1983=Справочники!$F$3,Учет!$H1983,0)</f>
        <v>0</v>
      </c>
      <c r="D1983" s="52">
        <f>IF(Учет!$O1983=Справочники!$F$4,Учет!$H1983,0)</f>
        <v>0</v>
      </c>
      <c r="E1983" s="52">
        <f>IF(Учет!$O1983=Справочники!$F$5,Учет!$H1983,0)</f>
        <v>0</v>
      </c>
      <c r="F1983" s="52">
        <f>IF(Учет!$O1983=Справочники!$F$6,Учет!$H1983,0)</f>
        <v>0</v>
      </c>
      <c r="G1983" s="43">
        <f>G1982+Учет!B1983-B1983</f>
        <v>-488978.92000000004</v>
      </c>
      <c r="H1983" s="43">
        <f>H1982+Учет!C1983-C1983</f>
        <v>336855</v>
      </c>
      <c r="I1983" s="43">
        <f>I1982+Учет!D1983-D1983</f>
        <v>500</v>
      </c>
      <c r="J1983" s="43">
        <f>J1982+Учет!E1983-E1983</f>
        <v>1150</v>
      </c>
      <c r="K1983" s="43">
        <f>K1982+Учет!F1983-F1983</f>
        <v>500000</v>
      </c>
      <c r="L1983" s="45">
        <f>Учет!I1983</f>
        <v>349526.07999999996</v>
      </c>
    </row>
    <row r="1984" spans="1:12" x14ac:dyDescent="0.25">
      <c r="A1984" s="48" t="str">
        <f>IF(Учет!A1984&lt;&gt;"",Учет!A1984,"")</f>
        <v/>
      </c>
      <c r="B1984" s="52">
        <f>IF(Учет!$O1984=Справочники!$F$2,Учет!$H1984,0)</f>
        <v>0</v>
      </c>
      <c r="C1984" s="52">
        <f>IF(Учет!$O1984=Справочники!$F$3,Учет!$H1984,0)</f>
        <v>0</v>
      </c>
      <c r="D1984" s="52">
        <f>IF(Учет!$O1984=Справочники!$F$4,Учет!$H1984,0)</f>
        <v>0</v>
      </c>
      <c r="E1984" s="52">
        <f>IF(Учет!$O1984=Справочники!$F$5,Учет!$H1984,0)</f>
        <v>0</v>
      </c>
      <c r="F1984" s="52">
        <f>IF(Учет!$O1984=Справочники!$F$6,Учет!$H1984,0)</f>
        <v>0</v>
      </c>
      <c r="G1984" s="43">
        <f>G1983+Учет!B1984-B1984</f>
        <v>-488978.92000000004</v>
      </c>
      <c r="H1984" s="43">
        <f>H1983+Учет!C1984-C1984</f>
        <v>336855</v>
      </c>
      <c r="I1984" s="43">
        <f>I1983+Учет!D1984-D1984</f>
        <v>500</v>
      </c>
      <c r="J1984" s="43">
        <f>J1983+Учет!E1984-E1984</f>
        <v>1150</v>
      </c>
      <c r="K1984" s="43">
        <f>K1983+Учет!F1984-F1984</f>
        <v>500000</v>
      </c>
      <c r="L1984" s="45">
        <f>Учет!I1984</f>
        <v>349526.07999999996</v>
      </c>
    </row>
    <row r="1985" spans="1:12" x14ac:dyDescent="0.25">
      <c r="A1985" s="48" t="str">
        <f>IF(Учет!A1985&lt;&gt;"",Учет!A1985,"")</f>
        <v/>
      </c>
      <c r="B1985" s="52">
        <f>IF(Учет!$O1985=Справочники!$F$2,Учет!$H1985,0)</f>
        <v>0</v>
      </c>
      <c r="C1985" s="52">
        <f>IF(Учет!$O1985=Справочники!$F$3,Учет!$H1985,0)</f>
        <v>0</v>
      </c>
      <c r="D1985" s="52">
        <f>IF(Учет!$O1985=Справочники!$F$4,Учет!$H1985,0)</f>
        <v>0</v>
      </c>
      <c r="E1985" s="52">
        <f>IF(Учет!$O1985=Справочники!$F$5,Учет!$H1985,0)</f>
        <v>0</v>
      </c>
      <c r="F1985" s="52">
        <f>IF(Учет!$O1985=Справочники!$F$6,Учет!$H1985,0)</f>
        <v>0</v>
      </c>
      <c r="G1985" s="43">
        <f>G1984+Учет!B1985-B1985</f>
        <v>-488978.92000000004</v>
      </c>
      <c r="H1985" s="43">
        <f>H1984+Учет!C1985-C1985</f>
        <v>336855</v>
      </c>
      <c r="I1985" s="43">
        <f>I1984+Учет!D1985-D1985</f>
        <v>500</v>
      </c>
      <c r="J1985" s="43">
        <f>J1984+Учет!E1985-E1985</f>
        <v>1150</v>
      </c>
      <c r="K1985" s="43">
        <f>K1984+Учет!F1985-F1985</f>
        <v>500000</v>
      </c>
      <c r="L1985" s="45">
        <f>Учет!I1985</f>
        <v>349526.07999999996</v>
      </c>
    </row>
    <row r="1986" spans="1:12" x14ac:dyDescent="0.25">
      <c r="A1986" s="48" t="str">
        <f>IF(Учет!A1986&lt;&gt;"",Учет!A1986,"")</f>
        <v/>
      </c>
      <c r="B1986" s="52">
        <f>IF(Учет!$O1986=Справочники!$F$2,Учет!$H1986,0)</f>
        <v>0</v>
      </c>
      <c r="C1986" s="52">
        <f>IF(Учет!$O1986=Справочники!$F$3,Учет!$H1986,0)</f>
        <v>0</v>
      </c>
      <c r="D1986" s="52">
        <f>IF(Учет!$O1986=Справочники!$F$4,Учет!$H1986,0)</f>
        <v>0</v>
      </c>
      <c r="E1986" s="52">
        <f>IF(Учет!$O1986=Справочники!$F$5,Учет!$H1986,0)</f>
        <v>0</v>
      </c>
      <c r="F1986" s="52">
        <f>IF(Учет!$O1986=Справочники!$F$6,Учет!$H1986,0)</f>
        <v>0</v>
      </c>
      <c r="G1986" s="43">
        <f>G1985+Учет!B1986-B1986</f>
        <v>-488978.92000000004</v>
      </c>
      <c r="H1986" s="43">
        <f>H1985+Учет!C1986-C1986</f>
        <v>336855</v>
      </c>
      <c r="I1986" s="43">
        <f>I1985+Учет!D1986-D1986</f>
        <v>500</v>
      </c>
      <c r="J1986" s="43">
        <f>J1985+Учет!E1986-E1986</f>
        <v>1150</v>
      </c>
      <c r="K1986" s="43">
        <f>K1985+Учет!F1986-F1986</f>
        <v>500000</v>
      </c>
      <c r="L1986" s="45">
        <f>Учет!I1986</f>
        <v>349526.07999999996</v>
      </c>
    </row>
    <row r="1987" spans="1:12" x14ac:dyDescent="0.25">
      <c r="A1987" s="48" t="str">
        <f>IF(Учет!A1987&lt;&gt;"",Учет!A1987,"")</f>
        <v/>
      </c>
      <c r="B1987" s="52">
        <f>IF(Учет!$O1987=Справочники!$F$2,Учет!$H1987,0)</f>
        <v>0</v>
      </c>
      <c r="C1987" s="52">
        <f>IF(Учет!$O1987=Справочники!$F$3,Учет!$H1987,0)</f>
        <v>0</v>
      </c>
      <c r="D1987" s="52">
        <f>IF(Учет!$O1987=Справочники!$F$4,Учет!$H1987,0)</f>
        <v>0</v>
      </c>
      <c r="E1987" s="52">
        <f>IF(Учет!$O1987=Справочники!$F$5,Учет!$H1987,0)</f>
        <v>0</v>
      </c>
      <c r="F1987" s="52">
        <f>IF(Учет!$O1987=Справочники!$F$6,Учет!$H1987,0)</f>
        <v>0</v>
      </c>
      <c r="G1987" s="43">
        <f>G1986+Учет!B1987-B1987</f>
        <v>-488978.92000000004</v>
      </c>
      <c r="H1987" s="43">
        <f>H1986+Учет!C1987-C1987</f>
        <v>336855</v>
      </c>
      <c r="I1987" s="43">
        <f>I1986+Учет!D1987-D1987</f>
        <v>500</v>
      </c>
      <c r="J1987" s="43">
        <f>J1986+Учет!E1987-E1987</f>
        <v>1150</v>
      </c>
      <c r="K1987" s="43">
        <f>K1986+Учет!F1987-F1987</f>
        <v>500000</v>
      </c>
      <c r="L1987" s="45">
        <f>Учет!I1987</f>
        <v>349526.07999999996</v>
      </c>
    </row>
    <row r="1988" spans="1:12" x14ac:dyDescent="0.25">
      <c r="A1988" s="48" t="str">
        <f>IF(Учет!A1988&lt;&gt;"",Учет!A1988,"")</f>
        <v/>
      </c>
      <c r="B1988" s="52">
        <f>IF(Учет!$O1988=Справочники!$F$2,Учет!$H1988,0)</f>
        <v>0</v>
      </c>
      <c r="C1988" s="52">
        <f>IF(Учет!$O1988=Справочники!$F$3,Учет!$H1988,0)</f>
        <v>0</v>
      </c>
      <c r="D1988" s="52">
        <f>IF(Учет!$O1988=Справочники!$F$4,Учет!$H1988,0)</f>
        <v>0</v>
      </c>
      <c r="E1988" s="52">
        <f>IF(Учет!$O1988=Справочники!$F$5,Учет!$H1988,0)</f>
        <v>0</v>
      </c>
      <c r="F1988" s="52">
        <f>IF(Учет!$O1988=Справочники!$F$6,Учет!$H1988,0)</f>
        <v>0</v>
      </c>
      <c r="G1988" s="43">
        <f>G1987+Учет!B1988-B1988</f>
        <v>-488978.92000000004</v>
      </c>
      <c r="H1988" s="43">
        <f>H1987+Учет!C1988-C1988</f>
        <v>336855</v>
      </c>
      <c r="I1988" s="43">
        <f>I1987+Учет!D1988-D1988</f>
        <v>500</v>
      </c>
      <c r="J1988" s="43">
        <f>J1987+Учет!E1988-E1988</f>
        <v>1150</v>
      </c>
      <c r="K1988" s="43">
        <f>K1987+Учет!F1988-F1988</f>
        <v>500000</v>
      </c>
      <c r="L1988" s="45">
        <f>Учет!I1988</f>
        <v>349526.07999999996</v>
      </c>
    </row>
    <row r="1989" spans="1:12" x14ac:dyDescent="0.25">
      <c r="A1989" s="48" t="str">
        <f>IF(Учет!A1989&lt;&gt;"",Учет!A1989,"")</f>
        <v/>
      </c>
      <c r="B1989" s="52">
        <f>IF(Учет!$O1989=Справочники!$F$2,Учет!$H1989,0)</f>
        <v>0</v>
      </c>
      <c r="C1989" s="52">
        <f>IF(Учет!$O1989=Справочники!$F$3,Учет!$H1989,0)</f>
        <v>0</v>
      </c>
      <c r="D1989" s="52">
        <f>IF(Учет!$O1989=Справочники!$F$4,Учет!$H1989,0)</f>
        <v>0</v>
      </c>
      <c r="E1989" s="52">
        <f>IF(Учет!$O1989=Справочники!$F$5,Учет!$H1989,0)</f>
        <v>0</v>
      </c>
      <c r="F1989" s="52">
        <f>IF(Учет!$O1989=Справочники!$F$6,Учет!$H1989,0)</f>
        <v>0</v>
      </c>
      <c r="G1989" s="43">
        <f>G1988+Учет!B1989-B1989</f>
        <v>-488978.92000000004</v>
      </c>
      <c r="H1989" s="43">
        <f>H1988+Учет!C1989-C1989</f>
        <v>336855</v>
      </c>
      <c r="I1989" s="43">
        <f>I1988+Учет!D1989-D1989</f>
        <v>500</v>
      </c>
      <c r="J1989" s="43">
        <f>J1988+Учет!E1989-E1989</f>
        <v>1150</v>
      </c>
      <c r="K1989" s="43">
        <f>K1988+Учет!F1989-F1989</f>
        <v>500000</v>
      </c>
      <c r="L1989" s="45">
        <f>Учет!I1989</f>
        <v>349526.07999999996</v>
      </c>
    </row>
    <row r="1990" spans="1:12" x14ac:dyDescent="0.25">
      <c r="A1990" s="48" t="str">
        <f>IF(Учет!A1990&lt;&gt;"",Учет!A1990,"")</f>
        <v/>
      </c>
      <c r="B1990" s="52">
        <f>IF(Учет!$O1990=Справочники!$F$2,Учет!$H1990,0)</f>
        <v>0</v>
      </c>
      <c r="C1990" s="52">
        <f>IF(Учет!$O1990=Справочники!$F$3,Учет!$H1990,0)</f>
        <v>0</v>
      </c>
      <c r="D1990" s="52">
        <f>IF(Учет!$O1990=Справочники!$F$4,Учет!$H1990,0)</f>
        <v>0</v>
      </c>
      <c r="E1990" s="52">
        <f>IF(Учет!$O1990=Справочники!$F$5,Учет!$H1990,0)</f>
        <v>0</v>
      </c>
      <c r="F1990" s="52">
        <f>IF(Учет!$O1990=Справочники!$F$6,Учет!$H1990,0)</f>
        <v>0</v>
      </c>
      <c r="G1990" s="43">
        <f>G1989+Учет!B1990-B1990</f>
        <v>-488978.92000000004</v>
      </c>
      <c r="H1990" s="43">
        <f>H1989+Учет!C1990-C1990</f>
        <v>336855</v>
      </c>
      <c r="I1990" s="43">
        <f>I1989+Учет!D1990-D1990</f>
        <v>500</v>
      </c>
      <c r="J1990" s="43">
        <f>J1989+Учет!E1990-E1990</f>
        <v>1150</v>
      </c>
      <c r="K1990" s="43">
        <f>K1989+Учет!F1990-F1990</f>
        <v>500000</v>
      </c>
      <c r="L1990" s="45">
        <f>Учет!I1990</f>
        <v>349526.07999999996</v>
      </c>
    </row>
    <row r="1991" spans="1:12" x14ac:dyDescent="0.25">
      <c r="A1991" s="48" t="str">
        <f>IF(Учет!A1991&lt;&gt;"",Учет!A1991,"")</f>
        <v/>
      </c>
      <c r="B1991" s="52">
        <f>IF(Учет!$O1991=Справочники!$F$2,Учет!$H1991,0)</f>
        <v>0</v>
      </c>
      <c r="C1991" s="52">
        <f>IF(Учет!$O1991=Справочники!$F$3,Учет!$H1991,0)</f>
        <v>0</v>
      </c>
      <c r="D1991" s="52">
        <f>IF(Учет!$O1991=Справочники!$F$4,Учет!$H1991,0)</f>
        <v>0</v>
      </c>
      <c r="E1991" s="52">
        <f>IF(Учет!$O1991=Справочники!$F$5,Учет!$H1991,0)</f>
        <v>0</v>
      </c>
      <c r="F1991" s="52">
        <f>IF(Учет!$O1991=Справочники!$F$6,Учет!$H1991,0)</f>
        <v>0</v>
      </c>
      <c r="G1991" s="43">
        <f>G1990+Учет!B1991-B1991</f>
        <v>-488978.92000000004</v>
      </c>
      <c r="H1991" s="43">
        <f>H1990+Учет!C1991-C1991</f>
        <v>336855</v>
      </c>
      <c r="I1991" s="43">
        <f>I1990+Учет!D1991-D1991</f>
        <v>500</v>
      </c>
      <c r="J1991" s="43">
        <f>J1990+Учет!E1991-E1991</f>
        <v>1150</v>
      </c>
      <c r="K1991" s="43">
        <f>K1990+Учет!F1991-F1991</f>
        <v>500000</v>
      </c>
      <c r="L1991" s="45">
        <f>Учет!I1991</f>
        <v>349526.07999999996</v>
      </c>
    </row>
    <row r="1992" spans="1:12" x14ac:dyDescent="0.25">
      <c r="A1992" s="48" t="str">
        <f>IF(Учет!A1992&lt;&gt;"",Учет!A1992,"")</f>
        <v/>
      </c>
      <c r="B1992" s="52">
        <f>IF(Учет!$O1992=Справочники!$F$2,Учет!$H1992,0)</f>
        <v>0</v>
      </c>
      <c r="C1992" s="52">
        <f>IF(Учет!$O1992=Справочники!$F$3,Учет!$H1992,0)</f>
        <v>0</v>
      </c>
      <c r="D1992" s="52">
        <f>IF(Учет!$O1992=Справочники!$F$4,Учет!$H1992,0)</f>
        <v>0</v>
      </c>
      <c r="E1992" s="52">
        <f>IF(Учет!$O1992=Справочники!$F$5,Учет!$H1992,0)</f>
        <v>0</v>
      </c>
      <c r="F1992" s="52">
        <f>IF(Учет!$O1992=Справочники!$F$6,Учет!$H1992,0)</f>
        <v>0</v>
      </c>
      <c r="G1992" s="43">
        <f>G1991+Учет!B1992-B1992</f>
        <v>-488978.92000000004</v>
      </c>
      <c r="H1992" s="43">
        <f>H1991+Учет!C1992-C1992</f>
        <v>336855</v>
      </c>
      <c r="I1992" s="43">
        <f>I1991+Учет!D1992-D1992</f>
        <v>500</v>
      </c>
      <c r="J1992" s="43">
        <f>J1991+Учет!E1992-E1992</f>
        <v>1150</v>
      </c>
      <c r="K1992" s="43">
        <f>K1991+Учет!F1992-F1992</f>
        <v>500000</v>
      </c>
      <c r="L1992" s="45">
        <f>Учет!I1992</f>
        <v>349526.07999999996</v>
      </c>
    </row>
    <row r="1993" spans="1:12" x14ac:dyDescent="0.25">
      <c r="A1993" s="48" t="str">
        <f>IF(Учет!A1993&lt;&gt;"",Учет!A1993,"")</f>
        <v/>
      </c>
      <c r="B1993" s="52">
        <f>IF(Учет!$O1993=Справочники!$F$2,Учет!$H1993,0)</f>
        <v>0</v>
      </c>
      <c r="C1993" s="52">
        <f>IF(Учет!$O1993=Справочники!$F$3,Учет!$H1993,0)</f>
        <v>0</v>
      </c>
      <c r="D1993" s="52">
        <f>IF(Учет!$O1993=Справочники!$F$4,Учет!$H1993,0)</f>
        <v>0</v>
      </c>
      <c r="E1993" s="52">
        <f>IF(Учет!$O1993=Справочники!$F$5,Учет!$H1993,0)</f>
        <v>0</v>
      </c>
      <c r="F1993" s="52">
        <f>IF(Учет!$O1993=Справочники!$F$6,Учет!$H1993,0)</f>
        <v>0</v>
      </c>
      <c r="G1993" s="43">
        <f>G1992+Учет!B1993-B1993</f>
        <v>-488978.92000000004</v>
      </c>
      <c r="H1993" s="43">
        <f>H1992+Учет!C1993-C1993</f>
        <v>336855</v>
      </c>
      <c r="I1993" s="43">
        <f>I1992+Учет!D1993-D1993</f>
        <v>500</v>
      </c>
      <c r="J1993" s="43">
        <f>J1992+Учет!E1993-E1993</f>
        <v>1150</v>
      </c>
      <c r="K1993" s="43">
        <f>K1992+Учет!F1993-F1993</f>
        <v>500000</v>
      </c>
      <c r="L1993" s="45">
        <f>Учет!I1993</f>
        <v>349526.07999999996</v>
      </c>
    </row>
    <row r="1994" spans="1:12" x14ac:dyDescent="0.25">
      <c r="A1994" s="48" t="str">
        <f>IF(Учет!A1994&lt;&gt;"",Учет!A1994,"")</f>
        <v/>
      </c>
      <c r="B1994" s="52">
        <f>IF(Учет!$O1994=Справочники!$F$2,Учет!$H1994,0)</f>
        <v>0</v>
      </c>
      <c r="C1994" s="52">
        <f>IF(Учет!$O1994=Справочники!$F$3,Учет!$H1994,0)</f>
        <v>0</v>
      </c>
      <c r="D1994" s="52">
        <f>IF(Учет!$O1994=Справочники!$F$4,Учет!$H1994,0)</f>
        <v>0</v>
      </c>
      <c r="E1994" s="52">
        <f>IF(Учет!$O1994=Справочники!$F$5,Учет!$H1994,0)</f>
        <v>0</v>
      </c>
      <c r="F1994" s="52">
        <f>IF(Учет!$O1994=Справочники!$F$6,Учет!$H1994,0)</f>
        <v>0</v>
      </c>
      <c r="G1994" s="43">
        <f>G1993+Учет!B1994-B1994</f>
        <v>-488978.92000000004</v>
      </c>
      <c r="H1994" s="43">
        <f>H1993+Учет!C1994-C1994</f>
        <v>336855</v>
      </c>
      <c r="I1994" s="43">
        <f>I1993+Учет!D1994-D1994</f>
        <v>500</v>
      </c>
      <c r="J1994" s="43">
        <f>J1993+Учет!E1994-E1994</f>
        <v>1150</v>
      </c>
      <c r="K1994" s="43">
        <f>K1993+Учет!F1994-F1994</f>
        <v>500000</v>
      </c>
      <c r="L1994" s="45">
        <f>Учет!I1994</f>
        <v>349526.07999999996</v>
      </c>
    </row>
    <row r="1995" spans="1:12" x14ac:dyDescent="0.25">
      <c r="A1995" s="48" t="str">
        <f>IF(Учет!A1995&lt;&gt;"",Учет!A1995,"")</f>
        <v/>
      </c>
      <c r="B1995" s="52">
        <f>IF(Учет!$O1995=Справочники!$F$2,Учет!$H1995,0)</f>
        <v>0</v>
      </c>
      <c r="C1995" s="52">
        <f>IF(Учет!$O1995=Справочники!$F$3,Учет!$H1995,0)</f>
        <v>0</v>
      </c>
      <c r="D1995" s="52">
        <f>IF(Учет!$O1995=Справочники!$F$4,Учет!$H1995,0)</f>
        <v>0</v>
      </c>
      <c r="E1995" s="52">
        <f>IF(Учет!$O1995=Справочники!$F$5,Учет!$H1995,0)</f>
        <v>0</v>
      </c>
      <c r="F1995" s="52">
        <f>IF(Учет!$O1995=Справочники!$F$6,Учет!$H1995,0)</f>
        <v>0</v>
      </c>
      <c r="G1995" s="43">
        <f>G1994+Учет!B1995-B1995</f>
        <v>-488978.92000000004</v>
      </c>
      <c r="H1995" s="43">
        <f>H1994+Учет!C1995-C1995</f>
        <v>336855</v>
      </c>
      <c r="I1995" s="43">
        <f>I1994+Учет!D1995-D1995</f>
        <v>500</v>
      </c>
      <c r="J1995" s="43">
        <f>J1994+Учет!E1995-E1995</f>
        <v>1150</v>
      </c>
      <c r="K1995" s="43">
        <f>K1994+Учет!F1995-F1995</f>
        <v>500000</v>
      </c>
      <c r="L1995" s="45">
        <f>Учет!I1995</f>
        <v>349526.07999999996</v>
      </c>
    </row>
    <row r="1996" spans="1:12" x14ac:dyDescent="0.25">
      <c r="A1996" s="48" t="str">
        <f>IF(Учет!A1996&lt;&gt;"",Учет!A1996,"")</f>
        <v/>
      </c>
      <c r="B1996" s="52">
        <f>IF(Учет!$O1996=Справочники!$F$2,Учет!$H1996,0)</f>
        <v>0</v>
      </c>
      <c r="C1996" s="52">
        <f>IF(Учет!$O1996=Справочники!$F$3,Учет!$H1996,0)</f>
        <v>0</v>
      </c>
      <c r="D1996" s="52">
        <f>IF(Учет!$O1996=Справочники!$F$4,Учет!$H1996,0)</f>
        <v>0</v>
      </c>
      <c r="E1996" s="52">
        <f>IF(Учет!$O1996=Справочники!$F$5,Учет!$H1996,0)</f>
        <v>0</v>
      </c>
      <c r="F1996" s="52">
        <f>IF(Учет!$O1996=Справочники!$F$6,Учет!$H1996,0)</f>
        <v>0</v>
      </c>
      <c r="G1996" s="43">
        <f>G1995+Учет!B1996-B1996</f>
        <v>-488978.92000000004</v>
      </c>
      <c r="H1996" s="43">
        <f>H1995+Учет!C1996-C1996</f>
        <v>336855</v>
      </c>
      <c r="I1996" s="43">
        <f>I1995+Учет!D1996-D1996</f>
        <v>500</v>
      </c>
      <c r="J1996" s="43">
        <f>J1995+Учет!E1996-E1996</f>
        <v>1150</v>
      </c>
      <c r="K1996" s="43">
        <f>K1995+Учет!F1996-F1996</f>
        <v>500000</v>
      </c>
      <c r="L1996" s="45">
        <f>Учет!I1996</f>
        <v>349526.07999999996</v>
      </c>
    </row>
    <row r="1997" spans="1:12" x14ac:dyDescent="0.25">
      <c r="A1997" s="48" t="str">
        <f>IF(Учет!A1997&lt;&gt;"",Учет!A1997,"")</f>
        <v/>
      </c>
      <c r="B1997" s="52">
        <f>IF(Учет!$O1997=Справочники!$F$2,Учет!$H1997,0)</f>
        <v>0</v>
      </c>
      <c r="C1997" s="52">
        <f>IF(Учет!$O1997=Справочники!$F$3,Учет!$H1997,0)</f>
        <v>0</v>
      </c>
      <c r="D1997" s="52">
        <f>IF(Учет!$O1997=Справочники!$F$4,Учет!$H1997,0)</f>
        <v>0</v>
      </c>
      <c r="E1997" s="52">
        <f>IF(Учет!$O1997=Справочники!$F$5,Учет!$H1997,0)</f>
        <v>0</v>
      </c>
      <c r="F1997" s="52">
        <f>IF(Учет!$O1997=Справочники!$F$6,Учет!$H1997,0)</f>
        <v>0</v>
      </c>
      <c r="G1997" s="43">
        <f>G1996+Учет!B1997-B1997</f>
        <v>-488978.92000000004</v>
      </c>
      <c r="H1997" s="43">
        <f>H1996+Учет!C1997-C1997</f>
        <v>336855</v>
      </c>
      <c r="I1997" s="43">
        <f>I1996+Учет!D1997-D1997</f>
        <v>500</v>
      </c>
      <c r="J1997" s="43">
        <f>J1996+Учет!E1997-E1997</f>
        <v>1150</v>
      </c>
      <c r="K1997" s="43">
        <f>K1996+Учет!F1997-F1997</f>
        <v>500000</v>
      </c>
      <c r="L1997" s="45">
        <f>Учет!I1997</f>
        <v>349526.07999999996</v>
      </c>
    </row>
    <row r="1998" spans="1:12" x14ac:dyDescent="0.25">
      <c r="A1998" s="48" t="str">
        <f>IF(Учет!A1998&lt;&gt;"",Учет!A1998,"")</f>
        <v/>
      </c>
      <c r="B1998" s="52">
        <f>IF(Учет!$O1998=Справочники!$F$2,Учет!$H1998,0)</f>
        <v>0</v>
      </c>
      <c r="C1998" s="52">
        <f>IF(Учет!$O1998=Справочники!$F$3,Учет!$H1998,0)</f>
        <v>0</v>
      </c>
      <c r="D1998" s="52">
        <f>IF(Учет!$O1998=Справочники!$F$4,Учет!$H1998,0)</f>
        <v>0</v>
      </c>
      <c r="E1998" s="52">
        <f>IF(Учет!$O1998=Справочники!$F$5,Учет!$H1998,0)</f>
        <v>0</v>
      </c>
      <c r="F1998" s="52">
        <f>IF(Учет!$O1998=Справочники!$F$6,Учет!$H1998,0)</f>
        <v>0</v>
      </c>
      <c r="G1998" s="43">
        <f>G1997+Учет!B1998-B1998</f>
        <v>-488978.92000000004</v>
      </c>
      <c r="H1998" s="43">
        <f>H1997+Учет!C1998-C1998</f>
        <v>336855</v>
      </c>
      <c r="I1998" s="43">
        <f>I1997+Учет!D1998-D1998</f>
        <v>500</v>
      </c>
      <c r="J1998" s="43">
        <f>J1997+Учет!E1998-E1998</f>
        <v>1150</v>
      </c>
      <c r="K1998" s="43">
        <f>K1997+Учет!F1998-F1998</f>
        <v>500000</v>
      </c>
      <c r="L1998" s="45">
        <f>Учет!I1998</f>
        <v>349526.07999999996</v>
      </c>
    </row>
    <row r="1999" spans="1:12" x14ac:dyDescent="0.25">
      <c r="A1999" s="48" t="str">
        <f>IF(Учет!A1999&lt;&gt;"",Учет!A1999,"")</f>
        <v/>
      </c>
      <c r="B1999" s="52">
        <f>IF(Учет!$O1999=Справочники!$F$2,Учет!$H1999,0)</f>
        <v>0</v>
      </c>
      <c r="C1999" s="52">
        <f>IF(Учет!$O1999=Справочники!$F$3,Учет!$H1999,0)</f>
        <v>0</v>
      </c>
      <c r="D1999" s="52">
        <f>IF(Учет!$O1999=Справочники!$F$4,Учет!$H1999,0)</f>
        <v>0</v>
      </c>
      <c r="E1999" s="52">
        <f>IF(Учет!$O1999=Справочники!$F$5,Учет!$H1999,0)</f>
        <v>0</v>
      </c>
      <c r="F1999" s="52">
        <f>IF(Учет!$O1999=Справочники!$F$6,Учет!$H1999,0)</f>
        <v>0</v>
      </c>
      <c r="G1999" s="43">
        <f>G1998+Учет!B1999-B1999</f>
        <v>-488978.92000000004</v>
      </c>
      <c r="H1999" s="43">
        <f>H1998+Учет!C1999-C1999</f>
        <v>336855</v>
      </c>
      <c r="I1999" s="43">
        <f>I1998+Учет!D1999-D1999</f>
        <v>500</v>
      </c>
      <c r="J1999" s="43">
        <f>J1998+Учет!E1999-E1999</f>
        <v>1150</v>
      </c>
      <c r="K1999" s="43">
        <f>K1998+Учет!F1999-F1999</f>
        <v>500000</v>
      </c>
      <c r="L1999" s="45">
        <f>Учет!I1999</f>
        <v>349526.07999999996</v>
      </c>
    </row>
    <row r="2000" spans="1:12" x14ac:dyDescent="0.25">
      <c r="A2000" s="48" t="str">
        <f>IF(Учет!A2000&lt;&gt;"",Учет!A2000,"")</f>
        <v/>
      </c>
      <c r="B2000" s="52">
        <f>IF(Учет!$O2000=Справочники!$F$2,Учет!$H2000,0)</f>
        <v>0</v>
      </c>
      <c r="C2000" s="52">
        <f>IF(Учет!$O2000=Справочники!$F$3,Учет!$H2000,0)</f>
        <v>0</v>
      </c>
      <c r="D2000" s="52">
        <f>IF(Учет!$O2000=Справочники!$F$4,Учет!$H2000,0)</f>
        <v>0</v>
      </c>
      <c r="E2000" s="52">
        <f>IF(Учет!$O2000=Справочники!$F$5,Учет!$H2000,0)</f>
        <v>0</v>
      </c>
      <c r="F2000" s="52">
        <f>IF(Учет!$O2000=Справочники!$F$6,Учет!$H2000,0)</f>
        <v>0</v>
      </c>
      <c r="G2000" s="43">
        <f>G1999+Учет!B2000-B2000</f>
        <v>-488978.92000000004</v>
      </c>
      <c r="H2000" s="43">
        <f>H1999+Учет!C2000-C2000</f>
        <v>336855</v>
      </c>
      <c r="I2000" s="43">
        <f>I1999+Учет!D2000-D2000</f>
        <v>500</v>
      </c>
      <c r="J2000" s="43">
        <f>J1999+Учет!E2000-E2000</f>
        <v>1150</v>
      </c>
      <c r="K2000" s="43">
        <f>K1999+Учет!F2000-F2000</f>
        <v>500000</v>
      </c>
      <c r="L2000" s="45">
        <f>Учет!I2000</f>
        <v>349526.07999999996</v>
      </c>
    </row>
    <row r="2001" spans="1:12" x14ac:dyDescent="0.25">
      <c r="A2001" s="48" t="str">
        <f>IF(Учет!A2001&lt;&gt;"",Учет!A2001,"")</f>
        <v/>
      </c>
      <c r="B2001" s="52">
        <f>IF(Учет!$O2001=Справочники!$F$2,Учет!$H2001,0)</f>
        <v>0</v>
      </c>
      <c r="C2001" s="52">
        <f>IF(Учет!$O2001=Справочники!$F$3,Учет!$H2001,0)</f>
        <v>0</v>
      </c>
      <c r="D2001" s="52">
        <f>IF(Учет!$O2001=Справочники!$F$4,Учет!$H2001,0)</f>
        <v>0</v>
      </c>
      <c r="E2001" s="52">
        <f>IF(Учет!$O2001=Справочники!$F$5,Учет!$H2001,0)</f>
        <v>0</v>
      </c>
      <c r="F2001" s="52">
        <f>IF(Учет!$O2001=Справочники!$F$6,Учет!$H2001,0)</f>
        <v>0</v>
      </c>
      <c r="G2001" s="43">
        <f>G2000+Учет!B2001-B2001</f>
        <v>-488978.92000000004</v>
      </c>
      <c r="H2001" s="43">
        <f>H2000+Учет!C2001-C2001</f>
        <v>336855</v>
      </c>
      <c r="I2001" s="43">
        <f>I2000+Учет!D2001-D2001</f>
        <v>500</v>
      </c>
      <c r="J2001" s="43">
        <f>J2000+Учет!E2001-E2001</f>
        <v>1150</v>
      </c>
      <c r="K2001" s="43">
        <f>K2000+Учет!F2001-F2001</f>
        <v>500000</v>
      </c>
      <c r="L2001" s="45">
        <f>Учет!I2001</f>
        <v>349526.07999999996</v>
      </c>
    </row>
    <row r="2002" spans="1:12" x14ac:dyDescent="0.25">
      <c r="A2002" s="48" t="str">
        <f>IF(Учет!A2002&lt;&gt;"",Учет!A2002,"")</f>
        <v/>
      </c>
      <c r="B2002" s="52">
        <f>IF(Учет!$O2002=Справочники!$F$2,Учет!$H2002,0)</f>
        <v>0</v>
      </c>
      <c r="C2002" s="52">
        <f>IF(Учет!$O2002=Справочники!$F$3,Учет!$H2002,0)</f>
        <v>0</v>
      </c>
      <c r="D2002" s="52">
        <f>IF(Учет!$O2002=Справочники!$F$4,Учет!$H2002,0)</f>
        <v>0</v>
      </c>
      <c r="E2002" s="52">
        <f>IF(Учет!$O2002=Справочники!$F$5,Учет!$H2002,0)</f>
        <v>0</v>
      </c>
      <c r="F2002" s="52">
        <f>IF(Учет!$O2002=Справочники!$F$6,Учет!$H2002,0)</f>
        <v>0</v>
      </c>
      <c r="G2002" s="43">
        <f>G2001+Учет!B2002-B2002</f>
        <v>-488978.92000000004</v>
      </c>
      <c r="H2002" s="43">
        <f>H2001+Учет!C2002-C2002</f>
        <v>336855</v>
      </c>
      <c r="I2002" s="43">
        <f>I2001+Учет!D2002-D2002</f>
        <v>500</v>
      </c>
      <c r="J2002" s="43">
        <f>J2001+Учет!E2002-E2002</f>
        <v>1150</v>
      </c>
      <c r="K2002" s="43">
        <f>K2001+Учет!F2002-F2002</f>
        <v>500000</v>
      </c>
      <c r="L2002" s="45">
        <f>Учет!I2002</f>
        <v>349526.07999999996</v>
      </c>
    </row>
    <row r="2003" spans="1:12" x14ac:dyDescent="0.25">
      <c r="A2003" s="48" t="str">
        <f>IF(Учет!A2003&lt;&gt;"",Учет!A2003,"")</f>
        <v/>
      </c>
      <c r="B2003" s="52">
        <f>IF(Учет!$O2003=Справочники!$F$2,Учет!$H2003,0)</f>
        <v>0</v>
      </c>
      <c r="C2003" s="52">
        <f>IF(Учет!$O2003=Справочники!$F$3,Учет!$H2003,0)</f>
        <v>0</v>
      </c>
      <c r="D2003" s="52">
        <f>IF(Учет!$O2003=Справочники!$F$4,Учет!$H2003,0)</f>
        <v>0</v>
      </c>
      <c r="E2003" s="52">
        <f>IF(Учет!$O2003=Справочники!$F$5,Учет!$H2003,0)</f>
        <v>0</v>
      </c>
      <c r="F2003" s="52">
        <f>IF(Учет!$O2003=Справочники!$F$6,Учет!$H2003,0)</f>
        <v>0</v>
      </c>
      <c r="G2003" s="43">
        <f>G2002+Учет!B2003-B2003</f>
        <v>-488978.92000000004</v>
      </c>
      <c r="H2003" s="43">
        <f>H2002+Учет!C2003-C2003</f>
        <v>336855</v>
      </c>
      <c r="I2003" s="43">
        <f>I2002+Учет!D2003-D2003</f>
        <v>500</v>
      </c>
      <c r="J2003" s="43">
        <f>J2002+Учет!E2003-E2003</f>
        <v>1150</v>
      </c>
      <c r="K2003" s="43">
        <f>K2002+Учет!F2003-F2003</f>
        <v>500000</v>
      </c>
      <c r="L2003" s="45">
        <f>Учет!I2003</f>
        <v>349526.07999999996</v>
      </c>
    </row>
    <row r="2004" spans="1:12" x14ac:dyDescent="0.25">
      <c r="A2004" s="48" t="str">
        <f>IF(Учет!A2004&lt;&gt;"",Учет!A2004,"")</f>
        <v/>
      </c>
      <c r="B2004" s="52">
        <f>IF(Учет!$O2004=Справочники!$F$2,Учет!$H2004,0)</f>
        <v>0</v>
      </c>
      <c r="C2004" s="52">
        <f>IF(Учет!$O2004=Справочники!$F$3,Учет!$H2004,0)</f>
        <v>0</v>
      </c>
      <c r="D2004" s="52">
        <f>IF(Учет!$O2004=Справочники!$F$4,Учет!$H2004,0)</f>
        <v>0</v>
      </c>
      <c r="E2004" s="52">
        <f>IF(Учет!$O2004=Справочники!$F$5,Учет!$H2004,0)</f>
        <v>0</v>
      </c>
      <c r="F2004" s="52">
        <f>IF(Учет!$O2004=Справочники!$F$6,Учет!$H2004,0)</f>
        <v>0</v>
      </c>
      <c r="G2004" s="43">
        <f>G2003+Учет!B2004-B2004</f>
        <v>-488978.92000000004</v>
      </c>
      <c r="H2004" s="43">
        <f>H2003+Учет!C2004-C2004</f>
        <v>336855</v>
      </c>
      <c r="I2004" s="43">
        <f>I2003+Учет!D2004-D2004</f>
        <v>500</v>
      </c>
      <c r="J2004" s="43">
        <f>J2003+Учет!E2004-E2004</f>
        <v>1150</v>
      </c>
      <c r="K2004" s="43">
        <f>K2003+Учет!F2004-F2004</f>
        <v>500000</v>
      </c>
      <c r="L2004" s="45">
        <f>Учет!I2004</f>
        <v>349526.07999999996</v>
      </c>
    </row>
    <row r="2005" spans="1:12" x14ac:dyDescent="0.25">
      <c r="A2005" s="48" t="str">
        <f>IF(Учет!A2005&lt;&gt;"",Учет!A2005,"")</f>
        <v/>
      </c>
      <c r="B2005" s="52">
        <f>IF(Учет!$O2005=Справочники!$F$2,Учет!$H2005,0)</f>
        <v>0</v>
      </c>
      <c r="C2005" s="52">
        <f>IF(Учет!$O2005=Справочники!$F$3,Учет!$H2005,0)</f>
        <v>0</v>
      </c>
      <c r="D2005" s="52">
        <f>IF(Учет!$O2005=Справочники!$F$4,Учет!$H2005,0)</f>
        <v>0</v>
      </c>
      <c r="E2005" s="52">
        <f>IF(Учет!$O2005=Справочники!$F$5,Учет!$H2005,0)</f>
        <v>0</v>
      </c>
      <c r="F2005" s="52">
        <f>IF(Учет!$O2005=Справочники!$F$6,Учет!$H2005,0)</f>
        <v>0</v>
      </c>
      <c r="G2005" s="43">
        <f>G2004+Учет!B2005-B2005</f>
        <v>-488978.92000000004</v>
      </c>
      <c r="H2005" s="43">
        <f>H2004+Учет!C2005-C2005</f>
        <v>336855</v>
      </c>
      <c r="I2005" s="43">
        <f>I2004+Учет!D2005-D2005</f>
        <v>500</v>
      </c>
      <c r="J2005" s="43">
        <f>J2004+Учет!E2005-E2005</f>
        <v>1150</v>
      </c>
      <c r="K2005" s="43">
        <f>K2004+Учет!F2005-F2005</f>
        <v>500000</v>
      </c>
      <c r="L2005" s="45">
        <f>Учет!I2005</f>
        <v>349526.07999999996</v>
      </c>
    </row>
    <row r="2006" spans="1:12" x14ac:dyDescent="0.25">
      <c r="A2006" s="48" t="str">
        <f>IF(Учет!A2006&lt;&gt;"",Учет!A2006,"")</f>
        <v/>
      </c>
      <c r="B2006" s="52">
        <f>IF(Учет!$O2006=Справочники!$F$2,Учет!$H2006,0)</f>
        <v>0</v>
      </c>
      <c r="C2006" s="52">
        <f>IF(Учет!$O2006=Справочники!$F$3,Учет!$H2006,0)</f>
        <v>0</v>
      </c>
      <c r="D2006" s="52">
        <f>IF(Учет!$O2006=Справочники!$F$4,Учет!$H2006,0)</f>
        <v>0</v>
      </c>
      <c r="E2006" s="52">
        <f>IF(Учет!$O2006=Справочники!$F$5,Учет!$H2006,0)</f>
        <v>0</v>
      </c>
      <c r="F2006" s="52">
        <f>IF(Учет!$O2006=Справочники!$F$6,Учет!$H2006,0)</f>
        <v>0</v>
      </c>
      <c r="G2006" s="43">
        <f>G2005+Учет!B2006-B2006</f>
        <v>-488978.92000000004</v>
      </c>
      <c r="H2006" s="43">
        <f>H2005+Учет!C2006-C2006</f>
        <v>336855</v>
      </c>
      <c r="I2006" s="43">
        <f>I2005+Учет!D2006-D2006</f>
        <v>500</v>
      </c>
      <c r="J2006" s="43">
        <f>J2005+Учет!E2006-E2006</f>
        <v>1150</v>
      </c>
      <c r="K2006" s="43">
        <f>K2005+Учет!F2006-F2006</f>
        <v>500000</v>
      </c>
      <c r="L2006" s="45">
        <f>Учет!I2006</f>
        <v>349526.07999999996</v>
      </c>
    </row>
    <row r="2007" spans="1:12" x14ac:dyDescent="0.25">
      <c r="A2007" s="48" t="str">
        <f>IF(Учет!A2007&lt;&gt;"",Учет!A2007,"")</f>
        <v/>
      </c>
      <c r="B2007" s="52">
        <f>IF(Учет!$O2007=Справочники!$F$2,Учет!$H2007,0)</f>
        <v>0</v>
      </c>
      <c r="C2007" s="52">
        <f>IF(Учет!$O2007=Справочники!$F$3,Учет!$H2007,0)</f>
        <v>0</v>
      </c>
      <c r="D2007" s="52">
        <f>IF(Учет!$O2007=Справочники!$F$4,Учет!$H2007,0)</f>
        <v>0</v>
      </c>
      <c r="E2007" s="52">
        <f>IF(Учет!$O2007=Справочники!$F$5,Учет!$H2007,0)</f>
        <v>0</v>
      </c>
      <c r="F2007" s="52">
        <f>IF(Учет!$O2007=Справочники!$F$6,Учет!$H2007,0)</f>
        <v>0</v>
      </c>
      <c r="G2007" s="43">
        <f>G2006+Учет!B2007-B2007</f>
        <v>-488978.92000000004</v>
      </c>
      <c r="H2007" s="43">
        <f>H2006+Учет!C2007-C2007</f>
        <v>336855</v>
      </c>
      <c r="I2007" s="43">
        <f>I2006+Учет!D2007-D2007</f>
        <v>500</v>
      </c>
      <c r="J2007" s="43">
        <f>J2006+Учет!E2007-E2007</f>
        <v>1150</v>
      </c>
      <c r="K2007" s="43">
        <f>K2006+Учет!F2007-F2007</f>
        <v>500000</v>
      </c>
      <c r="L2007" s="45">
        <f>Учет!I2007</f>
        <v>349526.07999999996</v>
      </c>
    </row>
    <row r="2008" spans="1:12" x14ac:dyDescent="0.25">
      <c r="A2008" s="48" t="str">
        <f>IF(Учет!A2008&lt;&gt;"",Учет!A2008,"")</f>
        <v/>
      </c>
      <c r="B2008" s="52">
        <f>IF(Учет!$O2008=Справочники!$F$2,Учет!$H2008,0)</f>
        <v>0</v>
      </c>
      <c r="C2008" s="52">
        <f>IF(Учет!$O2008=Справочники!$F$3,Учет!$H2008,0)</f>
        <v>0</v>
      </c>
      <c r="D2008" s="52">
        <f>IF(Учет!$O2008=Справочники!$F$4,Учет!$H2008,0)</f>
        <v>0</v>
      </c>
      <c r="E2008" s="52">
        <f>IF(Учет!$O2008=Справочники!$F$5,Учет!$H2008,0)</f>
        <v>0</v>
      </c>
      <c r="F2008" s="52">
        <f>IF(Учет!$O2008=Справочники!$F$6,Учет!$H2008,0)</f>
        <v>0</v>
      </c>
      <c r="G2008" s="43">
        <f>G2007+Учет!B2008-B2008</f>
        <v>-488978.92000000004</v>
      </c>
      <c r="H2008" s="43">
        <f>H2007+Учет!C2008-C2008</f>
        <v>336855</v>
      </c>
      <c r="I2008" s="43">
        <f>I2007+Учет!D2008-D2008</f>
        <v>500</v>
      </c>
      <c r="J2008" s="43">
        <f>J2007+Учет!E2008-E2008</f>
        <v>1150</v>
      </c>
      <c r="K2008" s="43">
        <f>K2007+Учет!F2008-F2008</f>
        <v>500000</v>
      </c>
      <c r="L2008" s="45">
        <f>Учет!I2008</f>
        <v>349526.07999999996</v>
      </c>
    </row>
    <row r="2009" spans="1:12" x14ac:dyDescent="0.25">
      <c r="A2009" s="48" t="str">
        <f>IF(Учет!A2009&lt;&gt;"",Учет!A2009,"")</f>
        <v/>
      </c>
      <c r="B2009" s="52">
        <f>IF(Учет!$O2009=Справочники!$F$2,Учет!$H2009,0)</f>
        <v>0</v>
      </c>
      <c r="C2009" s="52">
        <f>IF(Учет!$O2009=Справочники!$F$3,Учет!$H2009,0)</f>
        <v>0</v>
      </c>
      <c r="D2009" s="52">
        <f>IF(Учет!$O2009=Справочники!$F$4,Учет!$H2009,0)</f>
        <v>0</v>
      </c>
      <c r="E2009" s="52">
        <f>IF(Учет!$O2009=Справочники!$F$5,Учет!$H2009,0)</f>
        <v>0</v>
      </c>
      <c r="F2009" s="52">
        <f>IF(Учет!$O2009=Справочники!$F$6,Учет!$H2009,0)</f>
        <v>0</v>
      </c>
      <c r="G2009" s="43">
        <f>G2008+Учет!B2009-B2009</f>
        <v>-488978.92000000004</v>
      </c>
      <c r="H2009" s="43">
        <f>H2008+Учет!C2009-C2009</f>
        <v>336855</v>
      </c>
      <c r="I2009" s="43">
        <f>I2008+Учет!D2009-D2009</f>
        <v>500</v>
      </c>
      <c r="J2009" s="43">
        <f>J2008+Учет!E2009-E2009</f>
        <v>1150</v>
      </c>
      <c r="K2009" s="43">
        <f>K2008+Учет!F2009-F2009</f>
        <v>500000</v>
      </c>
      <c r="L2009" s="45">
        <f>Учет!I2009</f>
        <v>349526.07999999996</v>
      </c>
    </row>
    <row r="2010" spans="1:12" x14ac:dyDescent="0.25">
      <c r="A2010" s="48" t="str">
        <f>IF(Учет!A2010&lt;&gt;"",Учет!A2010,"")</f>
        <v/>
      </c>
      <c r="B2010" s="52">
        <f>IF(Учет!$O2010=Справочники!$F$2,Учет!$H2010,0)</f>
        <v>0</v>
      </c>
      <c r="C2010" s="52">
        <f>IF(Учет!$O2010=Справочники!$F$3,Учет!$H2010,0)</f>
        <v>0</v>
      </c>
      <c r="D2010" s="52">
        <f>IF(Учет!$O2010=Справочники!$F$4,Учет!$H2010,0)</f>
        <v>0</v>
      </c>
      <c r="E2010" s="52">
        <f>IF(Учет!$O2010=Справочники!$F$5,Учет!$H2010,0)</f>
        <v>0</v>
      </c>
      <c r="F2010" s="52">
        <f>IF(Учет!$O2010=Справочники!$F$6,Учет!$H2010,0)</f>
        <v>0</v>
      </c>
      <c r="G2010" s="43">
        <f>G2009+Учет!B2010-B2010</f>
        <v>-488978.92000000004</v>
      </c>
      <c r="H2010" s="43">
        <f>H2009+Учет!C2010-C2010</f>
        <v>336855</v>
      </c>
      <c r="I2010" s="43">
        <f>I2009+Учет!D2010-D2010</f>
        <v>500</v>
      </c>
      <c r="J2010" s="43">
        <f>J2009+Учет!E2010-E2010</f>
        <v>1150</v>
      </c>
      <c r="K2010" s="43">
        <f>K2009+Учет!F2010-F2010</f>
        <v>500000</v>
      </c>
      <c r="L2010" s="45">
        <f>Учет!I2010</f>
        <v>349526.07999999996</v>
      </c>
    </row>
    <row r="2011" spans="1:12" x14ac:dyDescent="0.25">
      <c r="A2011" s="48" t="str">
        <f>IF(Учет!A2011&lt;&gt;"",Учет!A2011,"")</f>
        <v/>
      </c>
      <c r="B2011" s="52">
        <f>IF(Учет!$O2011=Справочники!$F$2,Учет!$H2011,0)</f>
        <v>0</v>
      </c>
      <c r="C2011" s="52">
        <f>IF(Учет!$O2011=Справочники!$F$3,Учет!$H2011,0)</f>
        <v>0</v>
      </c>
      <c r="D2011" s="52">
        <f>IF(Учет!$O2011=Справочники!$F$4,Учет!$H2011,0)</f>
        <v>0</v>
      </c>
      <c r="E2011" s="52">
        <f>IF(Учет!$O2011=Справочники!$F$5,Учет!$H2011,0)</f>
        <v>0</v>
      </c>
      <c r="F2011" s="52">
        <f>IF(Учет!$O2011=Справочники!$F$6,Учет!$H2011,0)</f>
        <v>0</v>
      </c>
      <c r="G2011" s="43">
        <f>G2010+Учет!B2011-B2011</f>
        <v>-488978.92000000004</v>
      </c>
      <c r="H2011" s="43">
        <f>H2010+Учет!C2011-C2011</f>
        <v>336855</v>
      </c>
      <c r="I2011" s="43">
        <f>I2010+Учет!D2011-D2011</f>
        <v>500</v>
      </c>
      <c r="J2011" s="43">
        <f>J2010+Учет!E2011-E2011</f>
        <v>1150</v>
      </c>
      <c r="K2011" s="43">
        <f>K2010+Учет!F2011-F2011</f>
        <v>500000</v>
      </c>
      <c r="L2011" s="45">
        <f>Учет!I2011</f>
        <v>349526.07999999996</v>
      </c>
    </row>
    <row r="2012" spans="1:12" x14ac:dyDescent="0.25">
      <c r="A2012" s="48" t="str">
        <f>IF(Учет!A2012&lt;&gt;"",Учет!A2012,"")</f>
        <v/>
      </c>
      <c r="B2012" s="52">
        <f>IF(Учет!$O2012=Справочники!$F$2,Учет!$H2012,0)</f>
        <v>0</v>
      </c>
      <c r="C2012" s="52">
        <f>IF(Учет!$O2012=Справочники!$F$3,Учет!$H2012,0)</f>
        <v>0</v>
      </c>
      <c r="D2012" s="52">
        <f>IF(Учет!$O2012=Справочники!$F$4,Учет!$H2012,0)</f>
        <v>0</v>
      </c>
      <c r="E2012" s="52">
        <f>IF(Учет!$O2012=Справочники!$F$5,Учет!$H2012,0)</f>
        <v>0</v>
      </c>
      <c r="F2012" s="52">
        <f>IF(Учет!$O2012=Справочники!$F$6,Учет!$H2012,0)</f>
        <v>0</v>
      </c>
      <c r="G2012" s="43">
        <f>G2011+Учет!B2012-B2012</f>
        <v>-488978.92000000004</v>
      </c>
      <c r="H2012" s="43">
        <f>H2011+Учет!C2012-C2012</f>
        <v>336855</v>
      </c>
      <c r="I2012" s="43">
        <f>I2011+Учет!D2012-D2012</f>
        <v>500</v>
      </c>
      <c r="J2012" s="43">
        <f>J2011+Учет!E2012-E2012</f>
        <v>1150</v>
      </c>
      <c r="K2012" s="43">
        <f>K2011+Учет!F2012-F2012</f>
        <v>500000</v>
      </c>
      <c r="L2012" s="45">
        <f>Учет!I2012</f>
        <v>349526.07999999996</v>
      </c>
    </row>
    <row r="2013" spans="1:12" x14ac:dyDescent="0.25">
      <c r="A2013" s="48" t="str">
        <f>IF(Учет!A2013&lt;&gt;"",Учет!A2013,"")</f>
        <v/>
      </c>
      <c r="B2013" s="52">
        <f>IF(Учет!$O2013=Справочники!$F$2,Учет!$H2013,0)</f>
        <v>0</v>
      </c>
      <c r="C2013" s="52">
        <f>IF(Учет!$O2013=Справочники!$F$3,Учет!$H2013,0)</f>
        <v>0</v>
      </c>
      <c r="D2013" s="52">
        <f>IF(Учет!$O2013=Справочники!$F$4,Учет!$H2013,0)</f>
        <v>0</v>
      </c>
      <c r="E2013" s="52">
        <f>IF(Учет!$O2013=Справочники!$F$5,Учет!$H2013,0)</f>
        <v>0</v>
      </c>
      <c r="F2013" s="52">
        <f>IF(Учет!$O2013=Справочники!$F$6,Учет!$H2013,0)</f>
        <v>0</v>
      </c>
      <c r="G2013" s="43">
        <f>G2012+Учет!B2013-B2013</f>
        <v>-488978.92000000004</v>
      </c>
      <c r="H2013" s="43">
        <f>H2012+Учет!C2013-C2013</f>
        <v>336855</v>
      </c>
      <c r="I2013" s="43">
        <f>I2012+Учет!D2013-D2013</f>
        <v>500</v>
      </c>
      <c r="J2013" s="43">
        <f>J2012+Учет!E2013-E2013</f>
        <v>1150</v>
      </c>
      <c r="K2013" s="43">
        <f>K2012+Учет!F2013-F2013</f>
        <v>500000</v>
      </c>
      <c r="L2013" s="45">
        <f>Учет!I2013</f>
        <v>349526.07999999996</v>
      </c>
    </row>
    <row r="2014" spans="1:12" x14ac:dyDescent="0.25">
      <c r="A2014" s="48" t="str">
        <f>IF(Учет!A2014&lt;&gt;"",Учет!A2014,"")</f>
        <v/>
      </c>
      <c r="B2014" s="52">
        <f>IF(Учет!$O2014=Справочники!$F$2,Учет!$H2014,0)</f>
        <v>0</v>
      </c>
      <c r="C2014" s="52">
        <f>IF(Учет!$O2014=Справочники!$F$3,Учет!$H2014,0)</f>
        <v>0</v>
      </c>
      <c r="D2014" s="52">
        <f>IF(Учет!$O2014=Справочники!$F$4,Учет!$H2014,0)</f>
        <v>0</v>
      </c>
      <c r="E2014" s="52">
        <f>IF(Учет!$O2014=Справочники!$F$5,Учет!$H2014,0)</f>
        <v>0</v>
      </c>
      <c r="F2014" s="52">
        <f>IF(Учет!$O2014=Справочники!$F$6,Учет!$H2014,0)</f>
        <v>0</v>
      </c>
      <c r="G2014" s="43">
        <f>G2013+Учет!B2014-B2014</f>
        <v>-488978.92000000004</v>
      </c>
      <c r="H2014" s="43">
        <f>H2013+Учет!C2014-C2014</f>
        <v>336855</v>
      </c>
      <c r="I2014" s="43">
        <f>I2013+Учет!D2014-D2014</f>
        <v>500</v>
      </c>
      <c r="J2014" s="43">
        <f>J2013+Учет!E2014-E2014</f>
        <v>1150</v>
      </c>
      <c r="K2014" s="43">
        <f>K2013+Учет!F2014-F2014</f>
        <v>500000</v>
      </c>
      <c r="L2014" s="45">
        <f>Учет!I2014</f>
        <v>349526.07999999996</v>
      </c>
    </row>
    <row r="2015" spans="1:12" x14ac:dyDescent="0.25">
      <c r="A2015" s="48" t="str">
        <f>IF(Учет!A2015&lt;&gt;"",Учет!A2015,"")</f>
        <v/>
      </c>
      <c r="B2015" s="52">
        <f>IF(Учет!$O2015=Справочники!$F$2,Учет!$H2015,0)</f>
        <v>0</v>
      </c>
      <c r="C2015" s="52">
        <f>IF(Учет!$O2015=Справочники!$F$3,Учет!$H2015,0)</f>
        <v>0</v>
      </c>
      <c r="D2015" s="52">
        <f>IF(Учет!$O2015=Справочники!$F$4,Учет!$H2015,0)</f>
        <v>0</v>
      </c>
      <c r="E2015" s="52">
        <f>IF(Учет!$O2015=Справочники!$F$5,Учет!$H2015,0)</f>
        <v>0</v>
      </c>
      <c r="F2015" s="52">
        <f>IF(Учет!$O2015=Справочники!$F$6,Учет!$H2015,0)</f>
        <v>0</v>
      </c>
      <c r="G2015" s="43">
        <f>G2014+Учет!B2015-B2015</f>
        <v>-488978.92000000004</v>
      </c>
      <c r="H2015" s="43">
        <f>H2014+Учет!C2015-C2015</f>
        <v>336855</v>
      </c>
      <c r="I2015" s="43">
        <f>I2014+Учет!D2015-D2015</f>
        <v>500</v>
      </c>
      <c r="J2015" s="43">
        <f>J2014+Учет!E2015-E2015</f>
        <v>1150</v>
      </c>
      <c r="K2015" s="43">
        <f>K2014+Учет!F2015-F2015</f>
        <v>500000</v>
      </c>
      <c r="L2015" s="45">
        <f>Учет!I2015</f>
        <v>349526.07999999996</v>
      </c>
    </row>
    <row r="2016" spans="1:12" x14ac:dyDescent="0.25">
      <c r="A2016" s="48" t="str">
        <f>IF(Учет!A2016&lt;&gt;"",Учет!A2016,"")</f>
        <v/>
      </c>
      <c r="B2016" s="52">
        <f>IF(Учет!$O2016=Справочники!$F$2,Учет!$H2016,0)</f>
        <v>0</v>
      </c>
      <c r="C2016" s="52">
        <f>IF(Учет!$O2016=Справочники!$F$3,Учет!$H2016,0)</f>
        <v>0</v>
      </c>
      <c r="D2016" s="52">
        <f>IF(Учет!$O2016=Справочники!$F$4,Учет!$H2016,0)</f>
        <v>0</v>
      </c>
      <c r="E2016" s="52">
        <f>IF(Учет!$O2016=Справочники!$F$5,Учет!$H2016,0)</f>
        <v>0</v>
      </c>
      <c r="F2016" s="52">
        <f>IF(Учет!$O2016=Справочники!$F$6,Учет!$H2016,0)</f>
        <v>0</v>
      </c>
      <c r="G2016" s="43">
        <f>G2015+Учет!B2016-B2016</f>
        <v>-488978.92000000004</v>
      </c>
      <c r="H2016" s="43">
        <f>H2015+Учет!C2016-C2016</f>
        <v>336855</v>
      </c>
      <c r="I2016" s="43">
        <f>I2015+Учет!D2016-D2016</f>
        <v>500</v>
      </c>
      <c r="J2016" s="43">
        <f>J2015+Учет!E2016-E2016</f>
        <v>1150</v>
      </c>
      <c r="K2016" s="43">
        <f>K2015+Учет!F2016-F2016</f>
        <v>500000</v>
      </c>
      <c r="L2016" s="45">
        <f>Учет!I2016</f>
        <v>349526.07999999996</v>
      </c>
    </row>
    <row r="2017" spans="1:12" x14ac:dyDescent="0.25">
      <c r="A2017" s="48" t="str">
        <f>IF(Учет!A2017&lt;&gt;"",Учет!A2017,"")</f>
        <v/>
      </c>
      <c r="B2017" s="52">
        <f>IF(Учет!$O2017=Справочники!$F$2,Учет!$H2017,0)</f>
        <v>0</v>
      </c>
      <c r="C2017" s="52">
        <f>IF(Учет!$O2017=Справочники!$F$3,Учет!$H2017,0)</f>
        <v>0</v>
      </c>
      <c r="D2017" s="52">
        <f>IF(Учет!$O2017=Справочники!$F$4,Учет!$H2017,0)</f>
        <v>0</v>
      </c>
      <c r="E2017" s="52">
        <f>IF(Учет!$O2017=Справочники!$F$5,Учет!$H2017,0)</f>
        <v>0</v>
      </c>
      <c r="F2017" s="52">
        <f>IF(Учет!$O2017=Справочники!$F$6,Учет!$H2017,0)</f>
        <v>0</v>
      </c>
      <c r="G2017" s="43">
        <f>G2016+Учет!B2017-B2017</f>
        <v>-488978.92000000004</v>
      </c>
      <c r="H2017" s="43">
        <f>H2016+Учет!C2017-C2017</f>
        <v>336855</v>
      </c>
      <c r="I2017" s="43">
        <f>I2016+Учет!D2017-D2017</f>
        <v>500</v>
      </c>
      <c r="J2017" s="43">
        <f>J2016+Учет!E2017-E2017</f>
        <v>1150</v>
      </c>
      <c r="K2017" s="43">
        <f>K2016+Учет!F2017-F2017</f>
        <v>500000</v>
      </c>
      <c r="L2017" s="45">
        <f>Учет!I2017</f>
        <v>349526.07999999996</v>
      </c>
    </row>
    <row r="2018" spans="1:12" x14ac:dyDescent="0.25">
      <c r="A2018" s="48" t="str">
        <f>IF(Учет!A2018&lt;&gt;"",Учет!A2018,"")</f>
        <v/>
      </c>
      <c r="B2018" s="52">
        <f>IF(Учет!$O2018=Справочники!$F$2,Учет!$H2018,0)</f>
        <v>0</v>
      </c>
      <c r="C2018" s="52">
        <f>IF(Учет!$O2018=Справочники!$F$3,Учет!$H2018,0)</f>
        <v>0</v>
      </c>
      <c r="D2018" s="52">
        <f>IF(Учет!$O2018=Справочники!$F$4,Учет!$H2018,0)</f>
        <v>0</v>
      </c>
      <c r="E2018" s="52">
        <f>IF(Учет!$O2018=Справочники!$F$5,Учет!$H2018,0)</f>
        <v>0</v>
      </c>
      <c r="F2018" s="52">
        <f>IF(Учет!$O2018=Справочники!$F$6,Учет!$H2018,0)</f>
        <v>0</v>
      </c>
      <c r="G2018" s="43">
        <f>G2017+Учет!B2018-B2018</f>
        <v>-488978.92000000004</v>
      </c>
      <c r="H2018" s="43">
        <f>H2017+Учет!C2018-C2018</f>
        <v>336855</v>
      </c>
      <c r="I2018" s="43">
        <f>I2017+Учет!D2018-D2018</f>
        <v>500</v>
      </c>
      <c r="J2018" s="43">
        <f>J2017+Учет!E2018-E2018</f>
        <v>1150</v>
      </c>
      <c r="K2018" s="43">
        <f>K2017+Учет!F2018-F2018</f>
        <v>500000</v>
      </c>
      <c r="L2018" s="45">
        <f>Учет!I2018</f>
        <v>349526.07999999996</v>
      </c>
    </row>
    <row r="2019" spans="1:12" x14ac:dyDescent="0.25">
      <c r="A2019" s="48" t="str">
        <f>IF(Учет!A2019&lt;&gt;"",Учет!A2019,"")</f>
        <v/>
      </c>
      <c r="B2019" s="52">
        <f>IF(Учет!$O2019=Справочники!$F$2,Учет!$H2019,0)</f>
        <v>0</v>
      </c>
      <c r="C2019" s="52">
        <f>IF(Учет!$O2019=Справочники!$F$3,Учет!$H2019,0)</f>
        <v>0</v>
      </c>
      <c r="D2019" s="52">
        <f>IF(Учет!$O2019=Справочники!$F$4,Учет!$H2019,0)</f>
        <v>0</v>
      </c>
      <c r="E2019" s="52">
        <f>IF(Учет!$O2019=Справочники!$F$5,Учет!$H2019,0)</f>
        <v>0</v>
      </c>
      <c r="F2019" s="52">
        <f>IF(Учет!$O2019=Справочники!$F$6,Учет!$H2019,0)</f>
        <v>0</v>
      </c>
      <c r="G2019" s="43">
        <f>G2018+Учет!B2019-B2019</f>
        <v>-488978.92000000004</v>
      </c>
      <c r="H2019" s="43">
        <f>H2018+Учет!C2019-C2019</f>
        <v>336855</v>
      </c>
      <c r="I2019" s="43">
        <f>I2018+Учет!D2019-D2019</f>
        <v>500</v>
      </c>
      <c r="J2019" s="43">
        <f>J2018+Учет!E2019-E2019</f>
        <v>1150</v>
      </c>
      <c r="K2019" s="43">
        <f>K2018+Учет!F2019-F2019</f>
        <v>500000</v>
      </c>
      <c r="L2019" s="45">
        <f>Учет!I2019</f>
        <v>349526.07999999996</v>
      </c>
    </row>
    <row r="2020" spans="1:12" x14ac:dyDescent="0.25">
      <c r="A2020" s="48" t="str">
        <f>IF(Учет!A2020&lt;&gt;"",Учет!A2020,"")</f>
        <v/>
      </c>
      <c r="B2020" s="52">
        <f>IF(Учет!$O2020=Справочники!$F$2,Учет!$H2020,0)</f>
        <v>0</v>
      </c>
      <c r="C2020" s="52">
        <f>IF(Учет!$O2020=Справочники!$F$3,Учет!$H2020,0)</f>
        <v>0</v>
      </c>
      <c r="D2020" s="52">
        <f>IF(Учет!$O2020=Справочники!$F$4,Учет!$H2020,0)</f>
        <v>0</v>
      </c>
      <c r="E2020" s="52">
        <f>IF(Учет!$O2020=Справочники!$F$5,Учет!$H2020,0)</f>
        <v>0</v>
      </c>
      <c r="F2020" s="52">
        <f>IF(Учет!$O2020=Справочники!$F$6,Учет!$H2020,0)</f>
        <v>0</v>
      </c>
      <c r="G2020" s="43">
        <f>G2019+Учет!B2020-B2020</f>
        <v>-488978.92000000004</v>
      </c>
      <c r="H2020" s="43">
        <f>H2019+Учет!C2020-C2020</f>
        <v>336855</v>
      </c>
      <c r="I2020" s="43">
        <f>I2019+Учет!D2020-D2020</f>
        <v>500</v>
      </c>
      <c r="J2020" s="43">
        <f>J2019+Учет!E2020-E2020</f>
        <v>1150</v>
      </c>
      <c r="K2020" s="43">
        <f>K2019+Учет!F2020-F2020</f>
        <v>500000</v>
      </c>
      <c r="L2020" s="45">
        <f>Учет!I2020</f>
        <v>349526.07999999996</v>
      </c>
    </row>
    <row r="2021" spans="1:12" x14ac:dyDescent="0.25">
      <c r="A2021" s="48" t="str">
        <f>IF(Учет!A2021&lt;&gt;"",Учет!A2021,"")</f>
        <v/>
      </c>
      <c r="B2021" s="52">
        <f>IF(Учет!$O2021=Справочники!$F$2,Учет!$H2021,0)</f>
        <v>0</v>
      </c>
      <c r="C2021" s="52">
        <f>IF(Учет!$O2021=Справочники!$F$3,Учет!$H2021,0)</f>
        <v>0</v>
      </c>
      <c r="D2021" s="52">
        <f>IF(Учет!$O2021=Справочники!$F$4,Учет!$H2021,0)</f>
        <v>0</v>
      </c>
      <c r="E2021" s="52">
        <f>IF(Учет!$O2021=Справочники!$F$5,Учет!$H2021,0)</f>
        <v>0</v>
      </c>
      <c r="F2021" s="52">
        <f>IF(Учет!$O2021=Справочники!$F$6,Учет!$H2021,0)</f>
        <v>0</v>
      </c>
      <c r="G2021" s="43">
        <f>G2020+Учет!B2021-B2021</f>
        <v>-488978.92000000004</v>
      </c>
      <c r="H2021" s="43">
        <f>H2020+Учет!C2021-C2021</f>
        <v>336855</v>
      </c>
      <c r="I2021" s="43">
        <f>I2020+Учет!D2021-D2021</f>
        <v>500</v>
      </c>
      <c r="J2021" s="43">
        <f>J2020+Учет!E2021-E2021</f>
        <v>1150</v>
      </c>
      <c r="K2021" s="43">
        <f>K2020+Учет!F2021-F2021</f>
        <v>500000</v>
      </c>
      <c r="L2021" s="45">
        <f>Учет!I2021</f>
        <v>349526.07999999996</v>
      </c>
    </row>
    <row r="2022" spans="1:12" x14ac:dyDescent="0.25">
      <c r="A2022" s="48" t="str">
        <f>IF(Учет!A2022&lt;&gt;"",Учет!A2022,"")</f>
        <v/>
      </c>
      <c r="B2022" s="52">
        <f>IF(Учет!$O2022=Справочники!$F$2,Учет!$H2022,0)</f>
        <v>0</v>
      </c>
      <c r="C2022" s="52">
        <f>IF(Учет!$O2022=Справочники!$F$3,Учет!$H2022,0)</f>
        <v>0</v>
      </c>
      <c r="D2022" s="52">
        <f>IF(Учет!$O2022=Справочники!$F$4,Учет!$H2022,0)</f>
        <v>0</v>
      </c>
      <c r="E2022" s="52">
        <f>IF(Учет!$O2022=Справочники!$F$5,Учет!$H2022,0)</f>
        <v>0</v>
      </c>
      <c r="F2022" s="52">
        <f>IF(Учет!$O2022=Справочники!$F$6,Учет!$H2022,0)</f>
        <v>0</v>
      </c>
      <c r="G2022" s="43">
        <f>G2021+Учет!B2022-B2022</f>
        <v>-488978.92000000004</v>
      </c>
      <c r="H2022" s="43">
        <f>H2021+Учет!C2022-C2022</f>
        <v>336855</v>
      </c>
      <c r="I2022" s="43">
        <f>I2021+Учет!D2022-D2022</f>
        <v>500</v>
      </c>
      <c r="J2022" s="43">
        <f>J2021+Учет!E2022-E2022</f>
        <v>1150</v>
      </c>
      <c r="K2022" s="43">
        <f>K2021+Учет!F2022-F2022</f>
        <v>500000</v>
      </c>
      <c r="L2022" s="45">
        <f>Учет!I2022</f>
        <v>349526.07999999996</v>
      </c>
    </row>
    <row r="2023" spans="1:12" x14ac:dyDescent="0.25">
      <c r="A2023" s="48" t="str">
        <f>IF(Учет!A2023&lt;&gt;"",Учет!A2023,"")</f>
        <v/>
      </c>
      <c r="B2023" s="52">
        <f>IF(Учет!$O2023=Справочники!$F$2,Учет!$H2023,0)</f>
        <v>0</v>
      </c>
      <c r="C2023" s="52">
        <f>IF(Учет!$O2023=Справочники!$F$3,Учет!$H2023,0)</f>
        <v>0</v>
      </c>
      <c r="D2023" s="52">
        <f>IF(Учет!$O2023=Справочники!$F$4,Учет!$H2023,0)</f>
        <v>0</v>
      </c>
      <c r="E2023" s="52">
        <f>IF(Учет!$O2023=Справочники!$F$5,Учет!$H2023,0)</f>
        <v>0</v>
      </c>
      <c r="F2023" s="52">
        <f>IF(Учет!$O2023=Справочники!$F$6,Учет!$H2023,0)</f>
        <v>0</v>
      </c>
      <c r="G2023" s="43">
        <f>G2022+Учет!B2023-B2023</f>
        <v>-488978.92000000004</v>
      </c>
      <c r="H2023" s="43">
        <f>H2022+Учет!C2023-C2023</f>
        <v>336855</v>
      </c>
      <c r="I2023" s="43">
        <f>I2022+Учет!D2023-D2023</f>
        <v>500</v>
      </c>
      <c r="J2023" s="43">
        <f>J2022+Учет!E2023-E2023</f>
        <v>1150</v>
      </c>
      <c r="K2023" s="43">
        <f>K2022+Учет!F2023-F2023</f>
        <v>500000</v>
      </c>
      <c r="L2023" s="45">
        <f>Учет!I2023</f>
        <v>349526.07999999996</v>
      </c>
    </row>
    <row r="2024" spans="1:12" x14ac:dyDescent="0.25">
      <c r="A2024" s="48" t="str">
        <f>IF(Учет!A2024&lt;&gt;"",Учет!A2024,"")</f>
        <v/>
      </c>
      <c r="B2024" s="52">
        <f>IF(Учет!$O2024=Справочники!$F$2,Учет!$H2024,0)</f>
        <v>0</v>
      </c>
      <c r="C2024" s="52">
        <f>IF(Учет!$O2024=Справочники!$F$3,Учет!$H2024,0)</f>
        <v>0</v>
      </c>
      <c r="D2024" s="52">
        <f>IF(Учет!$O2024=Справочники!$F$4,Учет!$H2024,0)</f>
        <v>0</v>
      </c>
      <c r="E2024" s="52">
        <f>IF(Учет!$O2024=Справочники!$F$5,Учет!$H2024,0)</f>
        <v>0</v>
      </c>
      <c r="F2024" s="52">
        <f>IF(Учет!$O2024=Справочники!$F$6,Учет!$H2024,0)</f>
        <v>0</v>
      </c>
      <c r="G2024" s="43">
        <f>G2023+Учет!B2024-B2024</f>
        <v>-488978.92000000004</v>
      </c>
      <c r="H2024" s="43">
        <f>H2023+Учет!C2024-C2024</f>
        <v>336855</v>
      </c>
      <c r="I2024" s="43">
        <f>I2023+Учет!D2024-D2024</f>
        <v>500</v>
      </c>
      <c r="J2024" s="43">
        <f>J2023+Учет!E2024-E2024</f>
        <v>1150</v>
      </c>
      <c r="K2024" s="43">
        <f>K2023+Учет!F2024-F2024</f>
        <v>500000</v>
      </c>
      <c r="L2024" s="45">
        <f>Учет!I2024</f>
        <v>349526.07999999996</v>
      </c>
    </row>
    <row r="2025" spans="1:12" x14ac:dyDescent="0.25">
      <c r="A2025" s="48" t="str">
        <f>IF(Учет!A2025&lt;&gt;"",Учет!A2025,"")</f>
        <v/>
      </c>
      <c r="B2025" s="52">
        <f>IF(Учет!$O2025=Справочники!$F$2,Учет!$H2025,0)</f>
        <v>0</v>
      </c>
      <c r="C2025" s="52">
        <f>IF(Учет!$O2025=Справочники!$F$3,Учет!$H2025,0)</f>
        <v>0</v>
      </c>
      <c r="D2025" s="52">
        <f>IF(Учет!$O2025=Справочники!$F$4,Учет!$H2025,0)</f>
        <v>0</v>
      </c>
      <c r="E2025" s="52">
        <f>IF(Учет!$O2025=Справочники!$F$5,Учет!$H2025,0)</f>
        <v>0</v>
      </c>
      <c r="F2025" s="52">
        <f>IF(Учет!$O2025=Справочники!$F$6,Учет!$H2025,0)</f>
        <v>0</v>
      </c>
      <c r="G2025" s="43">
        <f>G2024+Учет!B2025-B2025</f>
        <v>-488978.92000000004</v>
      </c>
      <c r="H2025" s="43">
        <f>H2024+Учет!C2025-C2025</f>
        <v>336855</v>
      </c>
      <c r="I2025" s="43">
        <f>I2024+Учет!D2025-D2025</f>
        <v>500</v>
      </c>
      <c r="J2025" s="43">
        <f>J2024+Учет!E2025-E2025</f>
        <v>1150</v>
      </c>
      <c r="K2025" s="43">
        <f>K2024+Учет!F2025-F2025</f>
        <v>500000</v>
      </c>
      <c r="L2025" s="45">
        <f>Учет!I2025</f>
        <v>349526.07999999996</v>
      </c>
    </row>
    <row r="2026" spans="1:12" x14ac:dyDescent="0.25">
      <c r="A2026" s="48" t="str">
        <f>IF(Учет!A2026&lt;&gt;"",Учет!A2026,"")</f>
        <v/>
      </c>
      <c r="B2026" s="52">
        <f>IF(Учет!$O2026=Справочники!$F$2,Учет!$H2026,0)</f>
        <v>0</v>
      </c>
      <c r="C2026" s="52">
        <f>IF(Учет!$O2026=Справочники!$F$3,Учет!$H2026,0)</f>
        <v>0</v>
      </c>
      <c r="D2026" s="52">
        <f>IF(Учет!$O2026=Справочники!$F$4,Учет!$H2026,0)</f>
        <v>0</v>
      </c>
      <c r="E2026" s="52">
        <f>IF(Учет!$O2026=Справочники!$F$5,Учет!$H2026,0)</f>
        <v>0</v>
      </c>
      <c r="F2026" s="52">
        <f>IF(Учет!$O2026=Справочники!$F$6,Учет!$H2026,0)</f>
        <v>0</v>
      </c>
      <c r="G2026" s="43">
        <f>G2025+Учет!B2026-B2026</f>
        <v>-488978.92000000004</v>
      </c>
      <c r="H2026" s="43">
        <f>H2025+Учет!C2026-C2026</f>
        <v>336855</v>
      </c>
      <c r="I2026" s="43">
        <f>I2025+Учет!D2026-D2026</f>
        <v>500</v>
      </c>
      <c r="J2026" s="43">
        <f>J2025+Учет!E2026-E2026</f>
        <v>1150</v>
      </c>
      <c r="K2026" s="43">
        <f>K2025+Учет!F2026-F2026</f>
        <v>500000</v>
      </c>
      <c r="L2026" s="45">
        <f>Учет!I2026</f>
        <v>349526.07999999996</v>
      </c>
    </row>
    <row r="2027" spans="1:12" x14ac:dyDescent="0.25">
      <c r="A2027" s="48" t="str">
        <f>IF(Учет!A2027&lt;&gt;"",Учет!A2027,"")</f>
        <v/>
      </c>
      <c r="B2027" s="52">
        <f>IF(Учет!$O2027=Справочники!$F$2,Учет!$H2027,0)</f>
        <v>0</v>
      </c>
      <c r="C2027" s="52">
        <f>IF(Учет!$O2027=Справочники!$F$3,Учет!$H2027,0)</f>
        <v>0</v>
      </c>
      <c r="D2027" s="52">
        <f>IF(Учет!$O2027=Справочники!$F$4,Учет!$H2027,0)</f>
        <v>0</v>
      </c>
      <c r="E2027" s="52">
        <f>IF(Учет!$O2027=Справочники!$F$5,Учет!$H2027,0)</f>
        <v>0</v>
      </c>
      <c r="F2027" s="52">
        <f>IF(Учет!$O2027=Справочники!$F$6,Учет!$H2027,0)</f>
        <v>0</v>
      </c>
      <c r="G2027" s="43">
        <f>G2026+Учет!B2027-B2027</f>
        <v>-488978.92000000004</v>
      </c>
      <c r="H2027" s="43">
        <f>H2026+Учет!C2027-C2027</f>
        <v>336855</v>
      </c>
      <c r="I2027" s="43">
        <f>I2026+Учет!D2027-D2027</f>
        <v>500</v>
      </c>
      <c r="J2027" s="43">
        <f>J2026+Учет!E2027-E2027</f>
        <v>1150</v>
      </c>
      <c r="K2027" s="43">
        <f>K2026+Учет!F2027-F2027</f>
        <v>500000</v>
      </c>
      <c r="L2027" s="45">
        <f>Учет!I2027</f>
        <v>349526.07999999996</v>
      </c>
    </row>
    <row r="2028" spans="1:12" x14ac:dyDescent="0.25">
      <c r="A2028" s="48" t="str">
        <f>IF(Учет!A2028&lt;&gt;"",Учет!A2028,"")</f>
        <v/>
      </c>
      <c r="B2028" s="52">
        <f>IF(Учет!$O2028=Справочники!$F$2,Учет!$H2028,0)</f>
        <v>0</v>
      </c>
      <c r="C2028" s="52">
        <f>IF(Учет!$O2028=Справочники!$F$3,Учет!$H2028,0)</f>
        <v>0</v>
      </c>
      <c r="D2028" s="52">
        <f>IF(Учет!$O2028=Справочники!$F$4,Учет!$H2028,0)</f>
        <v>0</v>
      </c>
      <c r="E2028" s="52">
        <f>IF(Учет!$O2028=Справочники!$F$5,Учет!$H2028,0)</f>
        <v>0</v>
      </c>
      <c r="F2028" s="52">
        <f>IF(Учет!$O2028=Справочники!$F$6,Учет!$H2028,0)</f>
        <v>0</v>
      </c>
      <c r="G2028" s="43">
        <f>G2027+Учет!B2028-B2028</f>
        <v>-488978.92000000004</v>
      </c>
      <c r="H2028" s="43">
        <f>H2027+Учет!C2028-C2028</f>
        <v>336855</v>
      </c>
      <c r="I2028" s="43">
        <f>I2027+Учет!D2028-D2028</f>
        <v>500</v>
      </c>
      <c r="J2028" s="43">
        <f>J2027+Учет!E2028-E2028</f>
        <v>1150</v>
      </c>
      <c r="K2028" s="43">
        <f>K2027+Учет!F2028-F2028</f>
        <v>500000</v>
      </c>
      <c r="L2028" s="45">
        <f>Учет!I2028</f>
        <v>349526.07999999996</v>
      </c>
    </row>
    <row r="2029" spans="1:12" x14ac:dyDescent="0.25">
      <c r="A2029" s="48" t="str">
        <f>IF(Учет!A2029&lt;&gt;"",Учет!A2029,"")</f>
        <v/>
      </c>
      <c r="B2029" s="52">
        <f>IF(Учет!$O2029=Справочники!$F$2,Учет!$H2029,0)</f>
        <v>0</v>
      </c>
      <c r="C2029" s="52">
        <f>IF(Учет!$O2029=Справочники!$F$3,Учет!$H2029,0)</f>
        <v>0</v>
      </c>
      <c r="D2029" s="52">
        <f>IF(Учет!$O2029=Справочники!$F$4,Учет!$H2029,0)</f>
        <v>0</v>
      </c>
      <c r="E2029" s="52">
        <f>IF(Учет!$O2029=Справочники!$F$5,Учет!$H2029,0)</f>
        <v>0</v>
      </c>
      <c r="F2029" s="52">
        <f>IF(Учет!$O2029=Справочники!$F$6,Учет!$H2029,0)</f>
        <v>0</v>
      </c>
      <c r="G2029" s="43">
        <f>G2028+Учет!B2029-B2029</f>
        <v>-488978.92000000004</v>
      </c>
      <c r="H2029" s="43">
        <f>H2028+Учет!C2029-C2029</f>
        <v>336855</v>
      </c>
      <c r="I2029" s="43">
        <f>I2028+Учет!D2029-D2029</f>
        <v>500</v>
      </c>
      <c r="J2029" s="43">
        <f>J2028+Учет!E2029-E2029</f>
        <v>1150</v>
      </c>
      <c r="K2029" s="43">
        <f>K2028+Учет!F2029-F2029</f>
        <v>500000</v>
      </c>
      <c r="L2029" s="45">
        <f>Учет!I2029</f>
        <v>349526.07999999996</v>
      </c>
    </row>
    <row r="2030" spans="1:12" x14ac:dyDescent="0.25">
      <c r="A2030" s="48" t="str">
        <f>IF(Учет!A2030&lt;&gt;"",Учет!A2030,"")</f>
        <v/>
      </c>
      <c r="B2030" s="52">
        <f>IF(Учет!$O2030=Справочники!$F$2,Учет!$H2030,0)</f>
        <v>0</v>
      </c>
      <c r="C2030" s="52">
        <f>IF(Учет!$O2030=Справочники!$F$3,Учет!$H2030,0)</f>
        <v>0</v>
      </c>
      <c r="D2030" s="52">
        <f>IF(Учет!$O2030=Справочники!$F$4,Учет!$H2030,0)</f>
        <v>0</v>
      </c>
      <c r="E2030" s="52">
        <f>IF(Учет!$O2030=Справочники!$F$5,Учет!$H2030,0)</f>
        <v>0</v>
      </c>
      <c r="F2030" s="52">
        <f>IF(Учет!$O2030=Справочники!$F$6,Учет!$H2030,0)</f>
        <v>0</v>
      </c>
      <c r="G2030" s="43">
        <f>G2029+Учет!B2030-B2030</f>
        <v>-488978.92000000004</v>
      </c>
      <c r="H2030" s="43">
        <f>H2029+Учет!C2030-C2030</f>
        <v>336855</v>
      </c>
      <c r="I2030" s="43">
        <f>I2029+Учет!D2030-D2030</f>
        <v>500</v>
      </c>
      <c r="J2030" s="43">
        <f>J2029+Учет!E2030-E2030</f>
        <v>1150</v>
      </c>
      <c r="K2030" s="43">
        <f>K2029+Учет!F2030-F2030</f>
        <v>500000</v>
      </c>
      <c r="L2030" s="45">
        <f>Учет!I2030</f>
        <v>349526.07999999996</v>
      </c>
    </row>
    <row r="2031" spans="1:12" x14ac:dyDescent="0.25">
      <c r="A2031" s="48" t="str">
        <f>IF(Учет!A2031&lt;&gt;"",Учет!A2031,"")</f>
        <v/>
      </c>
      <c r="B2031" s="52">
        <f>IF(Учет!$O2031=Справочники!$F$2,Учет!$H2031,0)</f>
        <v>0</v>
      </c>
      <c r="C2031" s="52">
        <f>IF(Учет!$O2031=Справочники!$F$3,Учет!$H2031,0)</f>
        <v>0</v>
      </c>
      <c r="D2031" s="52">
        <f>IF(Учет!$O2031=Справочники!$F$4,Учет!$H2031,0)</f>
        <v>0</v>
      </c>
      <c r="E2031" s="52">
        <f>IF(Учет!$O2031=Справочники!$F$5,Учет!$H2031,0)</f>
        <v>0</v>
      </c>
      <c r="F2031" s="52">
        <f>IF(Учет!$O2031=Справочники!$F$6,Учет!$H2031,0)</f>
        <v>0</v>
      </c>
      <c r="G2031" s="43">
        <f>G2030+Учет!B2031-B2031</f>
        <v>-488978.92000000004</v>
      </c>
      <c r="H2031" s="43">
        <f>H2030+Учет!C2031-C2031</f>
        <v>336855</v>
      </c>
      <c r="I2031" s="43">
        <f>I2030+Учет!D2031-D2031</f>
        <v>500</v>
      </c>
      <c r="J2031" s="43">
        <f>J2030+Учет!E2031-E2031</f>
        <v>1150</v>
      </c>
      <c r="K2031" s="43">
        <f>K2030+Учет!F2031-F2031</f>
        <v>500000</v>
      </c>
      <c r="L2031" s="45">
        <f>Учет!I2031</f>
        <v>349526.07999999996</v>
      </c>
    </row>
    <row r="2032" spans="1:12" x14ac:dyDescent="0.25">
      <c r="A2032" s="48" t="str">
        <f>IF(Учет!A2032&lt;&gt;"",Учет!A2032,"")</f>
        <v/>
      </c>
      <c r="B2032" s="52">
        <f>IF(Учет!$O2032=Справочники!$F$2,Учет!$H2032,0)</f>
        <v>0</v>
      </c>
      <c r="C2032" s="52">
        <f>IF(Учет!$O2032=Справочники!$F$3,Учет!$H2032,0)</f>
        <v>0</v>
      </c>
      <c r="D2032" s="52">
        <f>IF(Учет!$O2032=Справочники!$F$4,Учет!$H2032,0)</f>
        <v>0</v>
      </c>
      <c r="E2032" s="52">
        <f>IF(Учет!$O2032=Справочники!$F$5,Учет!$H2032,0)</f>
        <v>0</v>
      </c>
      <c r="F2032" s="52">
        <f>IF(Учет!$O2032=Справочники!$F$6,Учет!$H2032,0)</f>
        <v>0</v>
      </c>
      <c r="G2032" s="43">
        <f>G2031+Учет!B2032-B2032</f>
        <v>-488978.92000000004</v>
      </c>
      <c r="H2032" s="43">
        <f>H2031+Учет!C2032-C2032</f>
        <v>336855</v>
      </c>
      <c r="I2032" s="43">
        <f>I2031+Учет!D2032-D2032</f>
        <v>500</v>
      </c>
      <c r="J2032" s="43">
        <f>J2031+Учет!E2032-E2032</f>
        <v>1150</v>
      </c>
      <c r="K2032" s="43">
        <f>K2031+Учет!F2032-F2032</f>
        <v>500000</v>
      </c>
      <c r="L2032" s="45">
        <f>Учет!I2032</f>
        <v>349526.07999999996</v>
      </c>
    </row>
    <row r="2033" spans="1:12" x14ac:dyDescent="0.25">
      <c r="A2033" s="48" t="str">
        <f>IF(Учет!A2033&lt;&gt;"",Учет!A2033,"")</f>
        <v/>
      </c>
      <c r="B2033" s="52">
        <f>IF(Учет!$O2033=Справочники!$F$2,Учет!$H2033,0)</f>
        <v>0</v>
      </c>
      <c r="C2033" s="52">
        <f>IF(Учет!$O2033=Справочники!$F$3,Учет!$H2033,0)</f>
        <v>0</v>
      </c>
      <c r="D2033" s="52">
        <f>IF(Учет!$O2033=Справочники!$F$4,Учет!$H2033,0)</f>
        <v>0</v>
      </c>
      <c r="E2033" s="52">
        <f>IF(Учет!$O2033=Справочники!$F$5,Учет!$H2033,0)</f>
        <v>0</v>
      </c>
      <c r="F2033" s="52">
        <f>IF(Учет!$O2033=Справочники!$F$6,Учет!$H2033,0)</f>
        <v>0</v>
      </c>
      <c r="G2033" s="43">
        <f>G2032+Учет!B2033-B2033</f>
        <v>-488978.92000000004</v>
      </c>
      <c r="H2033" s="43">
        <f>H2032+Учет!C2033-C2033</f>
        <v>336855</v>
      </c>
      <c r="I2033" s="43">
        <f>I2032+Учет!D2033-D2033</f>
        <v>500</v>
      </c>
      <c r="J2033" s="43">
        <f>J2032+Учет!E2033-E2033</f>
        <v>1150</v>
      </c>
      <c r="K2033" s="43">
        <f>K2032+Учет!F2033-F2033</f>
        <v>500000</v>
      </c>
      <c r="L2033" s="45">
        <f>Учет!I2033</f>
        <v>349526.07999999996</v>
      </c>
    </row>
    <row r="2034" spans="1:12" x14ac:dyDescent="0.25">
      <c r="A2034" s="48" t="str">
        <f>IF(Учет!A2034&lt;&gt;"",Учет!A2034,"")</f>
        <v/>
      </c>
      <c r="B2034" s="52">
        <f>IF(Учет!$O2034=Справочники!$F$2,Учет!$H2034,0)</f>
        <v>0</v>
      </c>
      <c r="C2034" s="52">
        <f>IF(Учет!$O2034=Справочники!$F$3,Учет!$H2034,0)</f>
        <v>0</v>
      </c>
      <c r="D2034" s="52">
        <f>IF(Учет!$O2034=Справочники!$F$4,Учет!$H2034,0)</f>
        <v>0</v>
      </c>
      <c r="E2034" s="52">
        <f>IF(Учет!$O2034=Справочники!$F$5,Учет!$H2034,0)</f>
        <v>0</v>
      </c>
      <c r="F2034" s="52">
        <f>IF(Учет!$O2034=Справочники!$F$6,Учет!$H2034,0)</f>
        <v>0</v>
      </c>
      <c r="G2034" s="43">
        <f>G2033+Учет!B2034-B2034</f>
        <v>-488978.92000000004</v>
      </c>
      <c r="H2034" s="43">
        <f>H2033+Учет!C2034-C2034</f>
        <v>336855</v>
      </c>
      <c r="I2034" s="43">
        <f>I2033+Учет!D2034-D2034</f>
        <v>500</v>
      </c>
      <c r="J2034" s="43">
        <f>J2033+Учет!E2034-E2034</f>
        <v>1150</v>
      </c>
      <c r="K2034" s="43">
        <f>K2033+Учет!F2034-F2034</f>
        <v>500000</v>
      </c>
      <c r="L2034" s="45">
        <f>Учет!I2034</f>
        <v>349526.07999999996</v>
      </c>
    </row>
    <row r="2035" spans="1:12" x14ac:dyDescent="0.25">
      <c r="A2035" s="48" t="str">
        <f>IF(Учет!A2035&lt;&gt;"",Учет!A2035,"")</f>
        <v/>
      </c>
      <c r="B2035" s="52">
        <f>IF(Учет!$O2035=Справочники!$F$2,Учет!$H2035,0)</f>
        <v>0</v>
      </c>
      <c r="C2035" s="52">
        <f>IF(Учет!$O2035=Справочники!$F$3,Учет!$H2035,0)</f>
        <v>0</v>
      </c>
      <c r="D2035" s="52">
        <f>IF(Учет!$O2035=Справочники!$F$4,Учет!$H2035,0)</f>
        <v>0</v>
      </c>
      <c r="E2035" s="52">
        <f>IF(Учет!$O2035=Справочники!$F$5,Учет!$H2035,0)</f>
        <v>0</v>
      </c>
      <c r="F2035" s="52">
        <f>IF(Учет!$O2035=Справочники!$F$6,Учет!$H2035,0)</f>
        <v>0</v>
      </c>
      <c r="G2035" s="43">
        <f>G2034+Учет!B2035-B2035</f>
        <v>-488978.92000000004</v>
      </c>
      <c r="H2035" s="43">
        <f>H2034+Учет!C2035-C2035</f>
        <v>336855</v>
      </c>
      <c r="I2035" s="43">
        <f>I2034+Учет!D2035-D2035</f>
        <v>500</v>
      </c>
      <c r="J2035" s="43">
        <f>J2034+Учет!E2035-E2035</f>
        <v>1150</v>
      </c>
      <c r="K2035" s="43">
        <f>K2034+Учет!F2035-F2035</f>
        <v>500000</v>
      </c>
      <c r="L2035" s="45">
        <f>Учет!I2035</f>
        <v>349526.07999999996</v>
      </c>
    </row>
    <row r="2036" spans="1:12" x14ac:dyDescent="0.25">
      <c r="A2036" s="48" t="str">
        <f>IF(Учет!A2036&lt;&gt;"",Учет!A2036,"")</f>
        <v/>
      </c>
      <c r="B2036" s="52">
        <f>IF(Учет!$O2036=Справочники!$F$2,Учет!$H2036,0)</f>
        <v>0</v>
      </c>
      <c r="C2036" s="52">
        <f>IF(Учет!$O2036=Справочники!$F$3,Учет!$H2036,0)</f>
        <v>0</v>
      </c>
      <c r="D2036" s="52">
        <f>IF(Учет!$O2036=Справочники!$F$4,Учет!$H2036,0)</f>
        <v>0</v>
      </c>
      <c r="E2036" s="52">
        <f>IF(Учет!$O2036=Справочники!$F$5,Учет!$H2036,0)</f>
        <v>0</v>
      </c>
      <c r="F2036" s="52">
        <f>IF(Учет!$O2036=Справочники!$F$6,Учет!$H2036,0)</f>
        <v>0</v>
      </c>
      <c r="G2036" s="43">
        <f>G2035+Учет!B2036-B2036</f>
        <v>-488978.92000000004</v>
      </c>
      <c r="H2036" s="43">
        <f>H2035+Учет!C2036-C2036</f>
        <v>336855</v>
      </c>
      <c r="I2036" s="43">
        <f>I2035+Учет!D2036-D2036</f>
        <v>500</v>
      </c>
      <c r="J2036" s="43">
        <f>J2035+Учет!E2036-E2036</f>
        <v>1150</v>
      </c>
      <c r="K2036" s="43">
        <f>K2035+Учет!F2036-F2036</f>
        <v>500000</v>
      </c>
      <c r="L2036" s="45">
        <f>Учет!I2036</f>
        <v>349526.07999999996</v>
      </c>
    </row>
    <row r="2037" spans="1:12" x14ac:dyDescent="0.25">
      <c r="A2037" s="48" t="str">
        <f>IF(Учет!A2037&lt;&gt;"",Учет!A2037,"")</f>
        <v/>
      </c>
      <c r="B2037" s="52">
        <f>IF(Учет!$O2037=Справочники!$F$2,Учет!$H2037,0)</f>
        <v>0</v>
      </c>
      <c r="C2037" s="52">
        <f>IF(Учет!$O2037=Справочники!$F$3,Учет!$H2037,0)</f>
        <v>0</v>
      </c>
      <c r="D2037" s="52">
        <f>IF(Учет!$O2037=Справочники!$F$4,Учет!$H2037,0)</f>
        <v>0</v>
      </c>
      <c r="E2037" s="52">
        <f>IF(Учет!$O2037=Справочники!$F$5,Учет!$H2037,0)</f>
        <v>0</v>
      </c>
      <c r="F2037" s="52">
        <f>IF(Учет!$O2037=Справочники!$F$6,Учет!$H2037,0)</f>
        <v>0</v>
      </c>
      <c r="G2037" s="43">
        <f>G2036+Учет!B2037-B2037</f>
        <v>-488978.92000000004</v>
      </c>
      <c r="H2037" s="43">
        <f>H2036+Учет!C2037-C2037</f>
        <v>336855</v>
      </c>
      <c r="I2037" s="43">
        <f>I2036+Учет!D2037-D2037</f>
        <v>500</v>
      </c>
      <c r="J2037" s="43">
        <f>J2036+Учет!E2037-E2037</f>
        <v>1150</v>
      </c>
      <c r="K2037" s="43">
        <f>K2036+Учет!F2037-F2037</f>
        <v>500000</v>
      </c>
      <c r="L2037" s="45">
        <f>Учет!I2037</f>
        <v>349526.07999999996</v>
      </c>
    </row>
    <row r="2038" spans="1:12" x14ac:dyDescent="0.25">
      <c r="A2038" s="48" t="str">
        <f>IF(Учет!A2038&lt;&gt;"",Учет!A2038,"")</f>
        <v/>
      </c>
      <c r="B2038" s="52">
        <f>IF(Учет!$O2038=Справочники!$F$2,Учет!$H2038,0)</f>
        <v>0</v>
      </c>
      <c r="C2038" s="52">
        <f>IF(Учет!$O2038=Справочники!$F$3,Учет!$H2038,0)</f>
        <v>0</v>
      </c>
      <c r="D2038" s="52">
        <f>IF(Учет!$O2038=Справочники!$F$4,Учет!$H2038,0)</f>
        <v>0</v>
      </c>
      <c r="E2038" s="52">
        <f>IF(Учет!$O2038=Справочники!$F$5,Учет!$H2038,0)</f>
        <v>0</v>
      </c>
      <c r="F2038" s="52">
        <f>IF(Учет!$O2038=Справочники!$F$6,Учет!$H2038,0)</f>
        <v>0</v>
      </c>
      <c r="G2038" s="43">
        <f>G2037+Учет!B2038-B2038</f>
        <v>-488978.92000000004</v>
      </c>
      <c r="H2038" s="43">
        <f>H2037+Учет!C2038-C2038</f>
        <v>336855</v>
      </c>
      <c r="I2038" s="43">
        <f>I2037+Учет!D2038-D2038</f>
        <v>500</v>
      </c>
      <c r="J2038" s="43">
        <f>J2037+Учет!E2038-E2038</f>
        <v>1150</v>
      </c>
      <c r="K2038" s="43">
        <f>K2037+Учет!F2038-F2038</f>
        <v>500000</v>
      </c>
      <c r="L2038" s="45">
        <f>Учет!I2038</f>
        <v>349526.07999999996</v>
      </c>
    </row>
    <row r="2039" spans="1:12" x14ac:dyDescent="0.25">
      <c r="A2039" s="48" t="str">
        <f>IF(Учет!A2039&lt;&gt;"",Учет!A2039,"")</f>
        <v/>
      </c>
      <c r="B2039" s="52">
        <f>IF(Учет!$O2039=Справочники!$F$2,Учет!$H2039,0)</f>
        <v>0</v>
      </c>
      <c r="C2039" s="52">
        <f>IF(Учет!$O2039=Справочники!$F$3,Учет!$H2039,0)</f>
        <v>0</v>
      </c>
      <c r="D2039" s="52">
        <f>IF(Учет!$O2039=Справочники!$F$4,Учет!$H2039,0)</f>
        <v>0</v>
      </c>
      <c r="E2039" s="52">
        <f>IF(Учет!$O2039=Справочники!$F$5,Учет!$H2039,0)</f>
        <v>0</v>
      </c>
      <c r="F2039" s="52">
        <f>IF(Учет!$O2039=Справочники!$F$6,Учет!$H2039,0)</f>
        <v>0</v>
      </c>
      <c r="G2039" s="43">
        <f>G2038+Учет!B2039-B2039</f>
        <v>-488978.92000000004</v>
      </c>
      <c r="H2039" s="43">
        <f>H2038+Учет!C2039-C2039</f>
        <v>336855</v>
      </c>
      <c r="I2039" s="43">
        <f>I2038+Учет!D2039-D2039</f>
        <v>500</v>
      </c>
      <c r="J2039" s="43">
        <f>J2038+Учет!E2039-E2039</f>
        <v>1150</v>
      </c>
      <c r="K2039" s="43">
        <f>K2038+Учет!F2039-F2039</f>
        <v>500000</v>
      </c>
      <c r="L2039" s="45">
        <f>Учет!I2039</f>
        <v>349526.07999999996</v>
      </c>
    </row>
    <row r="2040" spans="1:12" x14ac:dyDescent="0.25">
      <c r="A2040" s="48" t="str">
        <f>IF(Учет!A2040&lt;&gt;"",Учет!A2040,"")</f>
        <v/>
      </c>
      <c r="B2040" s="52">
        <f>IF(Учет!$O2040=Справочники!$F$2,Учет!$H2040,0)</f>
        <v>0</v>
      </c>
      <c r="C2040" s="52">
        <f>IF(Учет!$O2040=Справочники!$F$3,Учет!$H2040,0)</f>
        <v>0</v>
      </c>
      <c r="D2040" s="52">
        <f>IF(Учет!$O2040=Справочники!$F$4,Учет!$H2040,0)</f>
        <v>0</v>
      </c>
      <c r="E2040" s="52">
        <f>IF(Учет!$O2040=Справочники!$F$5,Учет!$H2040,0)</f>
        <v>0</v>
      </c>
      <c r="F2040" s="52">
        <f>IF(Учет!$O2040=Справочники!$F$6,Учет!$H2040,0)</f>
        <v>0</v>
      </c>
      <c r="G2040" s="43">
        <f>G2039+Учет!B2040-B2040</f>
        <v>-488978.92000000004</v>
      </c>
      <c r="H2040" s="43">
        <f>H2039+Учет!C2040-C2040</f>
        <v>336855</v>
      </c>
      <c r="I2040" s="43">
        <f>I2039+Учет!D2040-D2040</f>
        <v>500</v>
      </c>
      <c r="J2040" s="43">
        <f>J2039+Учет!E2040-E2040</f>
        <v>1150</v>
      </c>
      <c r="K2040" s="43">
        <f>K2039+Учет!F2040-F2040</f>
        <v>500000</v>
      </c>
      <c r="L2040" s="45">
        <f>Учет!I2040</f>
        <v>349526.07999999996</v>
      </c>
    </row>
    <row r="2041" spans="1:12" x14ac:dyDescent="0.25">
      <c r="A2041" s="48" t="str">
        <f>IF(Учет!A2041&lt;&gt;"",Учет!A2041,"")</f>
        <v/>
      </c>
      <c r="B2041" s="52">
        <f>IF(Учет!$O2041=Справочники!$F$2,Учет!$H2041,0)</f>
        <v>0</v>
      </c>
      <c r="C2041" s="52">
        <f>IF(Учет!$O2041=Справочники!$F$3,Учет!$H2041,0)</f>
        <v>0</v>
      </c>
      <c r="D2041" s="52">
        <f>IF(Учет!$O2041=Справочники!$F$4,Учет!$H2041,0)</f>
        <v>0</v>
      </c>
      <c r="E2041" s="52">
        <f>IF(Учет!$O2041=Справочники!$F$5,Учет!$H2041,0)</f>
        <v>0</v>
      </c>
      <c r="F2041" s="52">
        <f>IF(Учет!$O2041=Справочники!$F$6,Учет!$H2041,0)</f>
        <v>0</v>
      </c>
      <c r="G2041" s="43">
        <f>G2040+Учет!B2041-B2041</f>
        <v>-488978.92000000004</v>
      </c>
      <c r="H2041" s="43">
        <f>H2040+Учет!C2041-C2041</f>
        <v>336855</v>
      </c>
      <c r="I2041" s="43">
        <f>I2040+Учет!D2041-D2041</f>
        <v>500</v>
      </c>
      <c r="J2041" s="43">
        <f>J2040+Учет!E2041-E2041</f>
        <v>1150</v>
      </c>
      <c r="K2041" s="43">
        <f>K2040+Учет!F2041-F2041</f>
        <v>500000</v>
      </c>
      <c r="L2041" s="45">
        <f>Учет!I2041</f>
        <v>349526.07999999996</v>
      </c>
    </row>
    <row r="2042" spans="1:12" x14ac:dyDescent="0.25">
      <c r="A2042" s="48" t="str">
        <f>IF(Учет!A2042&lt;&gt;"",Учет!A2042,"")</f>
        <v/>
      </c>
      <c r="B2042" s="52">
        <f>IF(Учет!$O2042=Справочники!$F$2,Учет!$H2042,0)</f>
        <v>0</v>
      </c>
      <c r="C2042" s="52">
        <f>IF(Учет!$O2042=Справочники!$F$3,Учет!$H2042,0)</f>
        <v>0</v>
      </c>
      <c r="D2042" s="52">
        <f>IF(Учет!$O2042=Справочники!$F$4,Учет!$H2042,0)</f>
        <v>0</v>
      </c>
      <c r="E2042" s="52">
        <f>IF(Учет!$O2042=Справочники!$F$5,Учет!$H2042,0)</f>
        <v>0</v>
      </c>
      <c r="F2042" s="52">
        <f>IF(Учет!$O2042=Справочники!$F$6,Учет!$H2042,0)</f>
        <v>0</v>
      </c>
      <c r="G2042" s="43">
        <f>G2041+Учет!B2042-B2042</f>
        <v>-488978.92000000004</v>
      </c>
      <c r="H2042" s="43">
        <f>H2041+Учет!C2042-C2042</f>
        <v>336855</v>
      </c>
      <c r="I2042" s="43">
        <f>I2041+Учет!D2042-D2042</f>
        <v>500</v>
      </c>
      <c r="J2042" s="43">
        <f>J2041+Учет!E2042-E2042</f>
        <v>1150</v>
      </c>
      <c r="K2042" s="43">
        <f>K2041+Учет!F2042-F2042</f>
        <v>500000</v>
      </c>
      <c r="L2042" s="45">
        <f>Учет!I2042</f>
        <v>349526.07999999996</v>
      </c>
    </row>
    <row r="2043" spans="1:12" x14ac:dyDescent="0.25">
      <c r="A2043" s="48" t="str">
        <f>IF(Учет!A2043&lt;&gt;"",Учет!A2043,"")</f>
        <v/>
      </c>
      <c r="B2043" s="52">
        <f>IF(Учет!$O2043=Справочники!$F$2,Учет!$H2043,0)</f>
        <v>0</v>
      </c>
      <c r="C2043" s="52">
        <f>IF(Учет!$O2043=Справочники!$F$3,Учет!$H2043,0)</f>
        <v>0</v>
      </c>
      <c r="D2043" s="52">
        <f>IF(Учет!$O2043=Справочники!$F$4,Учет!$H2043,0)</f>
        <v>0</v>
      </c>
      <c r="E2043" s="52">
        <f>IF(Учет!$O2043=Справочники!$F$5,Учет!$H2043,0)</f>
        <v>0</v>
      </c>
      <c r="F2043" s="52">
        <f>IF(Учет!$O2043=Справочники!$F$6,Учет!$H2043,0)</f>
        <v>0</v>
      </c>
      <c r="G2043" s="43">
        <f>G2042+Учет!B2043-B2043</f>
        <v>-488978.92000000004</v>
      </c>
      <c r="H2043" s="43">
        <f>H2042+Учет!C2043-C2043</f>
        <v>336855</v>
      </c>
      <c r="I2043" s="43">
        <f>I2042+Учет!D2043-D2043</f>
        <v>500</v>
      </c>
      <c r="J2043" s="43">
        <f>J2042+Учет!E2043-E2043</f>
        <v>1150</v>
      </c>
      <c r="K2043" s="43">
        <f>K2042+Учет!F2043-F2043</f>
        <v>500000</v>
      </c>
      <c r="L2043" s="45">
        <f>Учет!I2043</f>
        <v>349526.07999999996</v>
      </c>
    </row>
    <row r="2044" spans="1:12" x14ac:dyDescent="0.25">
      <c r="A2044" s="48" t="str">
        <f>IF(Учет!A2044&lt;&gt;"",Учет!A2044,"")</f>
        <v/>
      </c>
      <c r="B2044" s="52">
        <f>IF(Учет!$O2044=Справочники!$F$2,Учет!$H2044,0)</f>
        <v>0</v>
      </c>
      <c r="C2044" s="52">
        <f>IF(Учет!$O2044=Справочники!$F$3,Учет!$H2044,0)</f>
        <v>0</v>
      </c>
      <c r="D2044" s="52">
        <f>IF(Учет!$O2044=Справочники!$F$4,Учет!$H2044,0)</f>
        <v>0</v>
      </c>
      <c r="E2044" s="52">
        <f>IF(Учет!$O2044=Справочники!$F$5,Учет!$H2044,0)</f>
        <v>0</v>
      </c>
      <c r="F2044" s="52">
        <f>IF(Учет!$O2044=Справочники!$F$6,Учет!$H2044,0)</f>
        <v>0</v>
      </c>
      <c r="G2044" s="43">
        <f>G2043+Учет!B2044-B2044</f>
        <v>-488978.92000000004</v>
      </c>
      <c r="H2044" s="43">
        <f>H2043+Учет!C2044-C2044</f>
        <v>336855</v>
      </c>
      <c r="I2044" s="43">
        <f>I2043+Учет!D2044-D2044</f>
        <v>500</v>
      </c>
      <c r="J2044" s="43">
        <f>J2043+Учет!E2044-E2044</f>
        <v>1150</v>
      </c>
      <c r="K2044" s="43">
        <f>K2043+Учет!F2044-F2044</f>
        <v>500000</v>
      </c>
      <c r="L2044" s="45">
        <f>Учет!I2044</f>
        <v>349526.07999999996</v>
      </c>
    </row>
    <row r="2045" spans="1:12" x14ac:dyDescent="0.25">
      <c r="A2045" s="48" t="str">
        <f>IF(Учет!A2045&lt;&gt;"",Учет!A2045,"")</f>
        <v/>
      </c>
      <c r="B2045" s="52">
        <f>IF(Учет!$O2045=Справочники!$F$2,Учет!$H2045,0)</f>
        <v>0</v>
      </c>
      <c r="C2045" s="52">
        <f>IF(Учет!$O2045=Справочники!$F$3,Учет!$H2045,0)</f>
        <v>0</v>
      </c>
      <c r="D2045" s="52">
        <f>IF(Учет!$O2045=Справочники!$F$4,Учет!$H2045,0)</f>
        <v>0</v>
      </c>
      <c r="E2045" s="52">
        <f>IF(Учет!$O2045=Справочники!$F$5,Учет!$H2045,0)</f>
        <v>0</v>
      </c>
      <c r="F2045" s="52">
        <f>IF(Учет!$O2045=Справочники!$F$6,Учет!$H2045,0)</f>
        <v>0</v>
      </c>
      <c r="G2045" s="43">
        <f>G2044+Учет!B2045-B2045</f>
        <v>-488978.92000000004</v>
      </c>
      <c r="H2045" s="43">
        <f>H2044+Учет!C2045-C2045</f>
        <v>336855</v>
      </c>
      <c r="I2045" s="43">
        <f>I2044+Учет!D2045-D2045</f>
        <v>500</v>
      </c>
      <c r="J2045" s="43">
        <f>J2044+Учет!E2045-E2045</f>
        <v>1150</v>
      </c>
      <c r="K2045" s="43">
        <f>K2044+Учет!F2045-F2045</f>
        <v>500000</v>
      </c>
      <c r="L2045" s="45">
        <f>Учет!I2045</f>
        <v>349526.07999999996</v>
      </c>
    </row>
    <row r="2046" spans="1:12" x14ac:dyDescent="0.25">
      <c r="A2046" s="48" t="str">
        <f>IF(Учет!A2046&lt;&gt;"",Учет!A2046,"")</f>
        <v/>
      </c>
      <c r="B2046" s="52">
        <f>IF(Учет!$O2046=Справочники!$F$2,Учет!$H2046,0)</f>
        <v>0</v>
      </c>
      <c r="C2046" s="52">
        <f>IF(Учет!$O2046=Справочники!$F$3,Учет!$H2046,0)</f>
        <v>0</v>
      </c>
      <c r="D2046" s="52">
        <f>IF(Учет!$O2046=Справочники!$F$4,Учет!$H2046,0)</f>
        <v>0</v>
      </c>
      <c r="E2046" s="52">
        <f>IF(Учет!$O2046=Справочники!$F$5,Учет!$H2046,0)</f>
        <v>0</v>
      </c>
      <c r="F2046" s="52">
        <f>IF(Учет!$O2046=Справочники!$F$6,Учет!$H2046,0)</f>
        <v>0</v>
      </c>
      <c r="G2046" s="43">
        <f>G2045+Учет!B2046-B2046</f>
        <v>-488978.92000000004</v>
      </c>
      <c r="H2046" s="43">
        <f>H2045+Учет!C2046-C2046</f>
        <v>336855</v>
      </c>
      <c r="I2046" s="43">
        <f>I2045+Учет!D2046-D2046</f>
        <v>500</v>
      </c>
      <c r="J2046" s="43">
        <f>J2045+Учет!E2046-E2046</f>
        <v>1150</v>
      </c>
      <c r="K2046" s="43">
        <f>K2045+Учет!F2046-F2046</f>
        <v>500000</v>
      </c>
      <c r="L2046" s="45">
        <f>Учет!I2046</f>
        <v>349526.07999999996</v>
      </c>
    </row>
    <row r="2047" spans="1:12" x14ac:dyDescent="0.25">
      <c r="A2047" s="48" t="str">
        <f>IF(Учет!A2047&lt;&gt;"",Учет!A2047,"")</f>
        <v/>
      </c>
      <c r="B2047" s="52">
        <f>IF(Учет!$O2047=Справочники!$F$2,Учет!$H2047,0)</f>
        <v>0</v>
      </c>
      <c r="C2047" s="52">
        <f>IF(Учет!$O2047=Справочники!$F$3,Учет!$H2047,0)</f>
        <v>0</v>
      </c>
      <c r="D2047" s="52">
        <f>IF(Учет!$O2047=Справочники!$F$4,Учет!$H2047,0)</f>
        <v>0</v>
      </c>
      <c r="E2047" s="52">
        <f>IF(Учет!$O2047=Справочники!$F$5,Учет!$H2047,0)</f>
        <v>0</v>
      </c>
      <c r="F2047" s="52">
        <f>IF(Учет!$O2047=Справочники!$F$6,Учет!$H2047,0)</f>
        <v>0</v>
      </c>
      <c r="G2047" s="43">
        <f>G2046+Учет!B2047-B2047</f>
        <v>-488978.92000000004</v>
      </c>
      <c r="H2047" s="43">
        <f>H2046+Учет!C2047-C2047</f>
        <v>336855</v>
      </c>
      <c r="I2047" s="43">
        <f>I2046+Учет!D2047-D2047</f>
        <v>500</v>
      </c>
      <c r="J2047" s="43">
        <f>J2046+Учет!E2047-E2047</f>
        <v>1150</v>
      </c>
      <c r="K2047" s="43">
        <f>K2046+Учет!F2047-F2047</f>
        <v>500000</v>
      </c>
      <c r="L2047" s="45">
        <f>Учет!I2047</f>
        <v>349526.07999999996</v>
      </c>
    </row>
    <row r="2048" spans="1:12" x14ac:dyDescent="0.25">
      <c r="A2048" s="48" t="str">
        <f>IF(Учет!A2048&lt;&gt;"",Учет!A2048,"")</f>
        <v/>
      </c>
      <c r="B2048" s="52">
        <f>IF(Учет!$O2048=Справочники!$F$2,Учет!$H2048,0)</f>
        <v>0</v>
      </c>
      <c r="C2048" s="52">
        <f>IF(Учет!$O2048=Справочники!$F$3,Учет!$H2048,0)</f>
        <v>0</v>
      </c>
      <c r="D2048" s="52">
        <f>IF(Учет!$O2048=Справочники!$F$4,Учет!$H2048,0)</f>
        <v>0</v>
      </c>
      <c r="E2048" s="52">
        <f>IF(Учет!$O2048=Справочники!$F$5,Учет!$H2048,0)</f>
        <v>0</v>
      </c>
      <c r="F2048" s="52">
        <f>IF(Учет!$O2048=Справочники!$F$6,Учет!$H2048,0)</f>
        <v>0</v>
      </c>
      <c r="G2048" s="43">
        <f>G2047+Учет!B2048-B2048</f>
        <v>-488978.92000000004</v>
      </c>
      <c r="H2048" s="43">
        <f>H2047+Учет!C2048-C2048</f>
        <v>336855</v>
      </c>
      <c r="I2048" s="43">
        <f>I2047+Учет!D2048-D2048</f>
        <v>500</v>
      </c>
      <c r="J2048" s="43">
        <f>J2047+Учет!E2048-E2048</f>
        <v>1150</v>
      </c>
      <c r="K2048" s="43">
        <f>K2047+Учет!F2048-F2048</f>
        <v>500000</v>
      </c>
      <c r="L2048" s="45">
        <f>Учет!I2048</f>
        <v>349526.07999999996</v>
      </c>
    </row>
    <row r="2049" spans="1:12" x14ac:dyDescent="0.25">
      <c r="A2049" s="48" t="str">
        <f>IF(Учет!A2049&lt;&gt;"",Учет!A2049,"")</f>
        <v/>
      </c>
      <c r="B2049" s="52">
        <f>IF(Учет!$O2049=Справочники!$F$2,Учет!$H2049,0)</f>
        <v>0</v>
      </c>
      <c r="C2049" s="52">
        <f>IF(Учет!$O2049=Справочники!$F$3,Учет!$H2049,0)</f>
        <v>0</v>
      </c>
      <c r="D2049" s="52">
        <f>IF(Учет!$O2049=Справочники!$F$4,Учет!$H2049,0)</f>
        <v>0</v>
      </c>
      <c r="E2049" s="52">
        <f>IF(Учет!$O2049=Справочники!$F$5,Учет!$H2049,0)</f>
        <v>0</v>
      </c>
      <c r="F2049" s="52">
        <f>IF(Учет!$O2049=Справочники!$F$6,Учет!$H2049,0)</f>
        <v>0</v>
      </c>
      <c r="G2049" s="43">
        <f>G2048+Учет!B2049-B2049</f>
        <v>-488978.92000000004</v>
      </c>
      <c r="H2049" s="43">
        <f>H2048+Учет!C2049-C2049</f>
        <v>336855</v>
      </c>
      <c r="I2049" s="43">
        <f>I2048+Учет!D2049-D2049</f>
        <v>500</v>
      </c>
      <c r="J2049" s="43">
        <f>J2048+Учет!E2049-E2049</f>
        <v>1150</v>
      </c>
      <c r="K2049" s="43">
        <f>K2048+Учет!F2049-F2049</f>
        <v>500000</v>
      </c>
      <c r="L2049" s="45">
        <f>Учет!I2049</f>
        <v>349526.07999999996</v>
      </c>
    </row>
    <row r="2050" spans="1:12" x14ac:dyDescent="0.25">
      <c r="A2050" s="48" t="str">
        <f>IF(Учет!A2050&lt;&gt;"",Учет!A2050,"")</f>
        <v/>
      </c>
      <c r="B2050" s="52">
        <f>IF(Учет!$O2050=Справочники!$F$2,Учет!$H2050,0)</f>
        <v>0</v>
      </c>
      <c r="C2050" s="52">
        <f>IF(Учет!$O2050=Справочники!$F$3,Учет!$H2050,0)</f>
        <v>0</v>
      </c>
      <c r="D2050" s="52">
        <f>IF(Учет!$O2050=Справочники!$F$4,Учет!$H2050,0)</f>
        <v>0</v>
      </c>
      <c r="E2050" s="52">
        <f>IF(Учет!$O2050=Справочники!$F$5,Учет!$H2050,0)</f>
        <v>0</v>
      </c>
      <c r="F2050" s="52">
        <f>IF(Учет!$O2050=Справочники!$F$6,Учет!$H2050,0)</f>
        <v>0</v>
      </c>
      <c r="G2050" s="43">
        <f>G2049+Учет!B2050-B2050</f>
        <v>-488978.92000000004</v>
      </c>
      <c r="H2050" s="43">
        <f>H2049+Учет!C2050-C2050</f>
        <v>336855</v>
      </c>
      <c r="I2050" s="43">
        <f>I2049+Учет!D2050-D2050</f>
        <v>500</v>
      </c>
      <c r="J2050" s="43">
        <f>J2049+Учет!E2050-E2050</f>
        <v>1150</v>
      </c>
      <c r="K2050" s="43">
        <f>K2049+Учет!F2050-F2050</f>
        <v>500000</v>
      </c>
      <c r="L2050" s="45">
        <f>Учет!I2050</f>
        <v>349526.07999999996</v>
      </c>
    </row>
    <row r="2051" spans="1:12" x14ac:dyDescent="0.25">
      <c r="A2051" s="48" t="str">
        <f>IF(Учет!A2051&lt;&gt;"",Учет!A2051,"")</f>
        <v/>
      </c>
      <c r="B2051" s="52">
        <f>IF(Учет!$O2051=Справочники!$F$2,Учет!$H2051,0)</f>
        <v>0</v>
      </c>
      <c r="C2051" s="52">
        <f>IF(Учет!$O2051=Справочники!$F$3,Учет!$H2051,0)</f>
        <v>0</v>
      </c>
      <c r="D2051" s="52">
        <f>IF(Учет!$O2051=Справочники!$F$4,Учет!$H2051,0)</f>
        <v>0</v>
      </c>
      <c r="E2051" s="52">
        <f>IF(Учет!$O2051=Справочники!$F$5,Учет!$H2051,0)</f>
        <v>0</v>
      </c>
      <c r="F2051" s="52">
        <f>IF(Учет!$O2051=Справочники!$F$6,Учет!$H2051,0)</f>
        <v>0</v>
      </c>
      <c r="G2051" s="43">
        <f>G2050+Учет!B2051-B2051</f>
        <v>-488978.92000000004</v>
      </c>
      <c r="H2051" s="43">
        <f>H2050+Учет!C2051-C2051</f>
        <v>336855</v>
      </c>
      <c r="I2051" s="43">
        <f>I2050+Учет!D2051-D2051</f>
        <v>500</v>
      </c>
      <c r="J2051" s="43">
        <f>J2050+Учет!E2051-E2051</f>
        <v>1150</v>
      </c>
      <c r="K2051" s="43">
        <f>K2050+Учет!F2051-F2051</f>
        <v>500000</v>
      </c>
      <c r="L2051" s="45">
        <f>Учет!I2051</f>
        <v>349526.07999999996</v>
      </c>
    </row>
    <row r="2052" spans="1:12" x14ac:dyDescent="0.25">
      <c r="A2052" s="48" t="str">
        <f>IF(Учет!A2052&lt;&gt;"",Учет!A2052,"")</f>
        <v/>
      </c>
      <c r="B2052" s="52">
        <f>IF(Учет!$O2052=Справочники!$F$2,Учет!$H2052,0)</f>
        <v>0</v>
      </c>
      <c r="C2052" s="52">
        <f>IF(Учет!$O2052=Справочники!$F$3,Учет!$H2052,0)</f>
        <v>0</v>
      </c>
      <c r="D2052" s="52">
        <f>IF(Учет!$O2052=Справочники!$F$4,Учет!$H2052,0)</f>
        <v>0</v>
      </c>
      <c r="E2052" s="52">
        <f>IF(Учет!$O2052=Справочники!$F$5,Учет!$H2052,0)</f>
        <v>0</v>
      </c>
      <c r="F2052" s="52">
        <f>IF(Учет!$O2052=Справочники!$F$6,Учет!$H2052,0)</f>
        <v>0</v>
      </c>
      <c r="G2052" s="43">
        <f>G2051+Учет!B2052-B2052</f>
        <v>-488978.92000000004</v>
      </c>
      <c r="H2052" s="43">
        <f>H2051+Учет!C2052-C2052</f>
        <v>336855</v>
      </c>
      <c r="I2052" s="43">
        <f>I2051+Учет!D2052-D2052</f>
        <v>500</v>
      </c>
      <c r="J2052" s="43">
        <f>J2051+Учет!E2052-E2052</f>
        <v>1150</v>
      </c>
      <c r="K2052" s="43">
        <f>K2051+Учет!F2052-F2052</f>
        <v>500000</v>
      </c>
      <c r="L2052" s="45">
        <f>Учет!I2052</f>
        <v>349526.07999999996</v>
      </c>
    </row>
    <row r="2053" spans="1:12" x14ac:dyDescent="0.25">
      <c r="A2053" s="48" t="str">
        <f>IF(Учет!A2053&lt;&gt;"",Учет!A2053,"")</f>
        <v/>
      </c>
      <c r="B2053" s="52">
        <f>IF(Учет!$O2053=Справочники!$F$2,Учет!$H2053,0)</f>
        <v>0</v>
      </c>
      <c r="C2053" s="52">
        <f>IF(Учет!$O2053=Справочники!$F$3,Учет!$H2053,0)</f>
        <v>0</v>
      </c>
      <c r="D2053" s="52">
        <f>IF(Учет!$O2053=Справочники!$F$4,Учет!$H2053,0)</f>
        <v>0</v>
      </c>
      <c r="E2053" s="52">
        <f>IF(Учет!$O2053=Справочники!$F$5,Учет!$H2053,0)</f>
        <v>0</v>
      </c>
      <c r="F2053" s="52">
        <f>IF(Учет!$O2053=Справочники!$F$6,Учет!$H2053,0)</f>
        <v>0</v>
      </c>
      <c r="G2053" s="43">
        <f>G2052+Учет!B2053-B2053</f>
        <v>-488978.92000000004</v>
      </c>
      <c r="H2053" s="43">
        <f>H2052+Учет!C2053-C2053</f>
        <v>336855</v>
      </c>
      <c r="I2053" s="43">
        <f>I2052+Учет!D2053-D2053</f>
        <v>500</v>
      </c>
      <c r="J2053" s="43">
        <f>J2052+Учет!E2053-E2053</f>
        <v>1150</v>
      </c>
      <c r="K2053" s="43">
        <f>K2052+Учет!F2053-F2053</f>
        <v>500000</v>
      </c>
      <c r="L2053" s="45">
        <f>Учет!I2053</f>
        <v>349526.07999999996</v>
      </c>
    </row>
    <row r="2054" spans="1:12" x14ac:dyDescent="0.25">
      <c r="A2054" s="48" t="str">
        <f>IF(Учет!A2054&lt;&gt;"",Учет!A2054,"")</f>
        <v/>
      </c>
      <c r="B2054" s="52">
        <f>IF(Учет!$O2054=Справочники!$F$2,Учет!$H2054,0)</f>
        <v>0</v>
      </c>
      <c r="C2054" s="52">
        <f>IF(Учет!$O2054=Справочники!$F$3,Учет!$H2054,0)</f>
        <v>0</v>
      </c>
      <c r="D2054" s="52">
        <f>IF(Учет!$O2054=Справочники!$F$4,Учет!$H2054,0)</f>
        <v>0</v>
      </c>
      <c r="E2054" s="52">
        <f>IF(Учет!$O2054=Справочники!$F$5,Учет!$H2054,0)</f>
        <v>0</v>
      </c>
      <c r="F2054" s="52">
        <f>IF(Учет!$O2054=Справочники!$F$6,Учет!$H2054,0)</f>
        <v>0</v>
      </c>
      <c r="G2054" s="43">
        <f>G2053+Учет!B2054-B2054</f>
        <v>-488978.92000000004</v>
      </c>
      <c r="H2054" s="43">
        <f>H2053+Учет!C2054-C2054</f>
        <v>336855</v>
      </c>
      <c r="I2054" s="43">
        <f>I2053+Учет!D2054-D2054</f>
        <v>500</v>
      </c>
      <c r="J2054" s="43">
        <f>J2053+Учет!E2054-E2054</f>
        <v>1150</v>
      </c>
      <c r="K2054" s="43">
        <f>K2053+Учет!F2054-F2054</f>
        <v>500000</v>
      </c>
      <c r="L2054" s="45">
        <f>Учет!I2054</f>
        <v>349526.07999999996</v>
      </c>
    </row>
    <row r="2055" spans="1:12" x14ac:dyDescent="0.25">
      <c r="A2055" s="48" t="str">
        <f>IF(Учет!A2055&lt;&gt;"",Учет!A2055,"")</f>
        <v/>
      </c>
      <c r="B2055" s="52">
        <f>IF(Учет!$O2055=Справочники!$F$2,Учет!$H2055,0)</f>
        <v>0</v>
      </c>
      <c r="C2055" s="52">
        <f>IF(Учет!$O2055=Справочники!$F$3,Учет!$H2055,0)</f>
        <v>0</v>
      </c>
      <c r="D2055" s="52">
        <f>IF(Учет!$O2055=Справочники!$F$4,Учет!$H2055,0)</f>
        <v>0</v>
      </c>
      <c r="E2055" s="52">
        <f>IF(Учет!$O2055=Справочники!$F$5,Учет!$H2055,0)</f>
        <v>0</v>
      </c>
      <c r="F2055" s="52">
        <f>IF(Учет!$O2055=Справочники!$F$6,Учет!$H2055,0)</f>
        <v>0</v>
      </c>
      <c r="G2055" s="43">
        <f>G2054+Учет!B2055-B2055</f>
        <v>-488978.92000000004</v>
      </c>
      <c r="H2055" s="43">
        <f>H2054+Учет!C2055-C2055</f>
        <v>336855</v>
      </c>
      <c r="I2055" s="43">
        <f>I2054+Учет!D2055-D2055</f>
        <v>500</v>
      </c>
      <c r="J2055" s="43">
        <f>J2054+Учет!E2055-E2055</f>
        <v>1150</v>
      </c>
      <c r="K2055" s="43">
        <f>K2054+Учет!F2055-F2055</f>
        <v>500000</v>
      </c>
      <c r="L2055" s="45">
        <f>Учет!I2055</f>
        <v>349526.07999999996</v>
      </c>
    </row>
    <row r="2056" spans="1:12" x14ac:dyDescent="0.25">
      <c r="A2056" s="48" t="str">
        <f>IF(Учет!A2056&lt;&gt;"",Учет!A2056,"")</f>
        <v/>
      </c>
      <c r="B2056" s="52">
        <f>IF(Учет!$O2056=Справочники!$F$2,Учет!$H2056,0)</f>
        <v>0</v>
      </c>
      <c r="C2056" s="52">
        <f>IF(Учет!$O2056=Справочники!$F$3,Учет!$H2056,0)</f>
        <v>0</v>
      </c>
      <c r="D2056" s="52">
        <f>IF(Учет!$O2056=Справочники!$F$4,Учет!$H2056,0)</f>
        <v>0</v>
      </c>
      <c r="E2056" s="52">
        <f>IF(Учет!$O2056=Справочники!$F$5,Учет!$H2056,0)</f>
        <v>0</v>
      </c>
      <c r="F2056" s="52">
        <f>IF(Учет!$O2056=Справочники!$F$6,Учет!$H2056,0)</f>
        <v>0</v>
      </c>
      <c r="G2056" s="43">
        <f>G2055+Учет!B2056-B2056</f>
        <v>-488978.92000000004</v>
      </c>
      <c r="H2056" s="43">
        <f>H2055+Учет!C2056-C2056</f>
        <v>336855</v>
      </c>
      <c r="I2056" s="43">
        <f>I2055+Учет!D2056-D2056</f>
        <v>500</v>
      </c>
      <c r="J2056" s="43">
        <f>J2055+Учет!E2056-E2056</f>
        <v>1150</v>
      </c>
      <c r="K2056" s="43">
        <f>K2055+Учет!F2056-F2056</f>
        <v>500000</v>
      </c>
      <c r="L2056" s="45">
        <f>Учет!I2056</f>
        <v>349526.07999999996</v>
      </c>
    </row>
    <row r="2057" spans="1:12" x14ac:dyDescent="0.25">
      <c r="A2057" s="48" t="str">
        <f>IF(Учет!A2057&lt;&gt;"",Учет!A2057,"")</f>
        <v/>
      </c>
      <c r="B2057" s="52">
        <f>IF(Учет!$O2057=Справочники!$F$2,Учет!$H2057,0)</f>
        <v>0</v>
      </c>
      <c r="C2057" s="52">
        <f>IF(Учет!$O2057=Справочники!$F$3,Учет!$H2057,0)</f>
        <v>0</v>
      </c>
      <c r="D2057" s="52">
        <f>IF(Учет!$O2057=Справочники!$F$4,Учет!$H2057,0)</f>
        <v>0</v>
      </c>
      <c r="E2057" s="52">
        <f>IF(Учет!$O2057=Справочники!$F$5,Учет!$H2057,0)</f>
        <v>0</v>
      </c>
      <c r="F2057" s="52">
        <f>IF(Учет!$O2057=Справочники!$F$6,Учет!$H2057,0)</f>
        <v>0</v>
      </c>
      <c r="G2057" s="43">
        <f>G2056+Учет!B2057-B2057</f>
        <v>-488978.92000000004</v>
      </c>
      <c r="H2057" s="43">
        <f>H2056+Учет!C2057-C2057</f>
        <v>336855</v>
      </c>
      <c r="I2057" s="43">
        <f>I2056+Учет!D2057-D2057</f>
        <v>500</v>
      </c>
      <c r="J2057" s="43">
        <f>J2056+Учет!E2057-E2057</f>
        <v>1150</v>
      </c>
      <c r="K2057" s="43">
        <f>K2056+Учет!F2057-F2057</f>
        <v>500000</v>
      </c>
      <c r="L2057" s="45">
        <f>Учет!I2057</f>
        <v>349526.07999999996</v>
      </c>
    </row>
    <row r="2058" spans="1:12" x14ac:dyDescent="0.25">
      <c r="A2058" s="48" t="str">
        <f>IF(Учет!A2058&lt;&gt;"",Учет!A2058,"")</f>
        <v/>
      </c>
      <c r="B2058" s="52">
        <f>IF(Учет!$O2058=Справочники!$F$2,Учет!$H2058,0)</f>
        <v>0</v>
      </c>
      <c r="C2058" s="52">
        <f>IF(Учет!$O2058=Справочники!$F$3,Учет!$H2058,0)</f>
        <v>0</v>
      </c>
      <c r="D2058" s="52">
        <f>IF(Учет!$O2058=Справочники!$F$4,Учет!$H2058,0)</f>
        <v>0</v>
      </c>
      <c r="E2058" s="52">
        <f>IF(Учет!$O2058=Справочники!$F$5,Учет!$H2058,0)</f>
        <v>0</v>
      </c>
      <c r="F2058" s="52">
        <f>IF(Учет!$O2058=Справочники!$F$6,Учет!$H2058,0)</f>
        <v>0</v>
      </c>
      <c r="G2058" s="43">
        <f>G2057+Учет!B2058-B2058</f>
        <v>-488978.92000000004</v>
      </c>
      <c r="H2058" s="43">
        <f>H2057+Учет!C2058-C2058</f>
        <v>336855</v>
      </c>
      <c r="I2058" s="43">
        <f>I2057+Учет!D2058-D2058</f>
        <v>500</v>
      </c>
      <c r="J2058" s="43">
        <f>J2057+Учет!E2058-E2058</f>
        <v>1150</v>
      </c>
      <c r="K2058" s="43">
        <f>K2057+Учет!F2058-F2058</f>
        <v>500000</v>
      </c>
      <c r="L2058" s="45">
        <f>Учет!I2058</f>
        <v>349526.07999999996</v>
      </c>
    </row>
    <row r="2059" spans="1:12" x14ac:dyDescent="0.25">
      <c r="A2059" s="48" t="str">
        <f>IF(Учет!A2059&lt;&gt;"",Учет!A2059,"")</f>
        <v/>
      </c>
      <c r="B2059" s="52">
        <f>IF(Учет!$O2059=Справочники!$F$2,Учет!$H2059,0)</f>
        <v>0</v>
      </c>
      <c r="C2059" s="52">
        <f>IF(Учет!$O2059=Справочники!$F$3,Учет!$H2059,0)</f>
        <v>0</v>
      </c>
      <c r="D2059" s="52">
        <f>IF(Учет!$O2059=Справочники!$F$4,Учет!$H2059,0)</f>
        <v>0</v>
      </c>
      <c r="E2059" s="52">
        <f>IF(Учет!$O2059=Справочники!$F$5,Учет!$H2059,0)</f>
        <v>0</v>
      </c>
      <c r="F2059" s="52">
        <f>IF(Учет!$O2059=Справочники!$F$6,Учет!$H2059,0)</f>
        <v>0</v>
      </c>
      <c r="G2059" s="43">
        <f>G2058+Учет!B2059-B2059</f>
        <v>-488978.92000000004</v>
      </c>
      <c r="H2059" s="43">
        <f>H2058+Учет!C2059-C2059</f>
        <v>336855</v>
      </c>
      <c r="I2059" s="43">
        <f>I2058+Учет!D2059-D2059</f>
        <v>500</v>
      </c>
      <c r="J2059" s="43">
        <f>J2058+Учет!E2059-E2059</f>
        <v>1150</v>
      </c>
      <c r="K2059" s="43">
        <f>K2058+Учет!F2059-F2059</f>
        <v>500000</v>
      </c>
      <c r="L2059" s="45">
        <f>Учет!I2059</f>
        <v>349526.07999999996</v>
      </c>
    </row>
    <row r="2060" spans="1:12" x14ac:dyDescent="0.25">
      <c r="A2060" s="48" t="str">
        <f>IF(Учет!A2060&lt;&gt;"",Учет!A2060,"")</f>
        <v/>
      </c>
      <c r="B2060" s="52">
        <f>IF(Учет!$O2060=Справочники!$F$2,Учет!$H2060,0)</f>
        <v>0</v>
      </c>
      <c r="C2060" s="52">
        <f>IF(Учет!$O2060=Справочники!$F$3,Учет!$H2060,0)</f>
        <v>0</v>
      </c>
      <c r="D2060" s="52">
        <f>IF(Учет!$O2060=Справочники!$F$4,Учет!$H2060,0)</f>
        <v>0</v>
      </c>
      <c r="E2060" s="52">
        <f>IF(Учет!$O2060=Справочники!$F$5,Учет!$H2060,0)</f>
        <v>0</v>
      </c>
      <c r="F2060" s="52">
        <f>IF(Учет!$O2060=Справочники!$F$6,Учет!$H2060,0)</f>
        <v>0</v>
      </c>
      <c r="G2060" s="43">
        <f>G2059+Учет!B2060-B2060</f>
        <v>-488978.92000000004</v>
      </c>
      <c r="H2060" s="43">
        <f>H2059+Учет!C2060-C2060</f>
        <v>336855</v>
      </c>
      <c r="I2060" s="43">
        <f>I2059+Учет!D2060-D2060</f>
        <v>500</v>
      </c>
      <c r="J2060" s="43">
        <f>J2059+Учет!E2060-E2060</f>
        <v>1150</v>
      </c>
      <c r="K2060" s="43">
        <f>K2059+Учет!F2060-F2060</f>
        <v>500000</v>
      </c>
      <c r="L2060" s="45">
        <f>Учет!I2060</f>
        <v>349526.07999999996</v>
      </c>
    </row>
    <row r="2061" spans="1:12" x14ac:dyDescent="0.25">
      <c r="A2061" s="48" t="str">
        <f>IF(Учет!A2061&lt;&gt;"",Учет!A2061,"")</f>
        <v/>
      </c>
      <c r="B2061" s="52">
        <f>IF(Учет!$O2061=Справочники!$F$2,Учет!$H2061,0)</f>
        <v>0</v>
      </c>
      <c r="C2061" s="52">
        <f>IF(Учет!$O2061=Справочники!$F$3,Учет!$H2061,0)</f>
        <v>0</v>
      </c>
      <c r="D2061" s="52">
        <f>IF(Учет!$O2061=Справочники!$F$4,Учет!$H2061,0)</f>
        <v>0</v>
      </c>
      <c r="E2061" s="52">
        <f>IF(Учет!$O2061=Справочники!$F$5,Учет!$H2061,0)</f>
        <v>0</v>
      </c>
      <c r="F2061" s="52">
        <f>IF(Учет!$O2061=Справочники!$F$6,Учет!$H2061,0)</f>
        <v>0</v>
      </c>
      <c r="G2061" s="43">
        <f>G2060+Учет!B2061-B2061</f>
        <v>-488978.92000000004</v>
      </c>
      <c r="H2061" s="43">
        <f>H2060+Учет!C2061-C2061</f>
        <v>336855</v>
      </c>
      <c r="I2061" s="43">
        <f>I2060+Учет!D2061-D2061</f>
        <v>500</v>
      </c>
      <c r="J2061" s="43">
        <f>J2060+Учет!E2061-E2061</f>
        <v>1150</v>
      </c>
      <c r="K2061" s="43">
        <f>K2060+Учет!F2061-F2061</f>
        <v>500000</v>
      </c>
      <c r="L2061" s="45">
        <f>Учет!I2061</f>
        <v>349526.07999999996</v>
      </c>
    </row>
    <row r="2062" spans="1:12" x14ac:dyDescent="0.25">
      <c r="A2062" s="48" t="str">
        <f>IF(Учет!A2062&lt;&gt;"",Учет!A2062,"")</f>
        <v/>
      </c>
      <c r="B2062" s="52">
        <f>IF(Учет!$O2062=Справочники!$F$2,Учет!$H2062,0)</f>
        <v>0</v>
      </c>
      <c r="C2062" s="52">
        <f>IF(Учет!$O2062=Справочники!$F$3,Учет!$H2062,0)</f>
        <v>0</v>
      </c>
      <c r="D2062" s="52">
        <f>IF(Учет!$O2062=Справочники!$F$4,Учет!$H2062,0)</f>
        <v>0</v>
      </c>
      <c r="E2062" s="52">
        <f>IF(Учет!$O2062=Справочники!$F$5,Учет!$H2062,0)</f>
        <v>0</v>
      </c>
      <c r="F2062" s="52">
        <f>IF(Учет!$O2062=Справочники!$F$6,Учет!$H2062,0)</f>
        <v>0</v>
      </c>
      <c r="G2062" s="43">
        <f>G2061+Учет!B2062-B2062</f>
        <v>-488978.92000000004</v>
      </c>
      <c r="H2062" s="43">
        <f>H2061+Учет!C2062-C2062</f>
        <v>336855</v>
      </c>
      <c r="I2062" s="43">
        <f>I2061+Учет!D2062-D2062</f>
        <v>500</v>
      </c>
      <c r="J2062" s="43">
        <f>J2061+Учет!E2062-E2062</f>
        <v>1150</v>
      </c>
      <c r="K2062" s="43">
        <f>K2061+Учет!F2062-F2062</f>
        <v>500000</v>
      </c>
      <c r="L2062" s="45">
        <f>Учет!I2062</f>
        <v>349526.07999999996</v>
      </c>
    </row>
    <row r="2063" spans="1:12" x14ac:dyDescent="0.25">
      <c r="A2063" s="48" t="str">
        <f>IF(Учет!A2063&lt;&gt;"",Учет!A2063,"")</f>
        <v/>
      </c>
      <c r="B2063" s="52">
        <f>IF(Учет!$O2063=Справочники!$F$2,Учет!$H2063,0)</f>
        <v>0</v>
      </c>
      <c r="C2063" s="52">
        <f>IF(Учет!$O2063=Справочники!$F$3,Учет!$H2063,0)</f>
        <v>0</v>
      </c>
      <c r="D2063" s="52">
        <f>IF(Учет!$O2063=Справочники!$F$4,Учет!$H2063,0)</f>
        <v>0</v>
      </c>
      <c r="E2063" s="52">
        <f>IF(Учет!$O2063=Справочники!$F$5,Учет!$H2063,0)</f>
        <v>0</v>
      </c>
      <c r="F2063" s="52">
        <f>IF(Учет!$O2063=Справочники!$F$6,Учет!$H2063,0)</f>
        <v>0</v>
      </c>
      <c r="G2063" s="43">
        <f>G2062+Учет!B2063-B2063</f>
        <v>-488978.92000000004</v>
      </c>
      <c r="H2063" s="43">
        <f>H2062+Учет!C2063-C2063</f>
        <v>336855</v>
      </c>
      <c r="I2063" s="43">
        <f>I2062+Учет!D2063-D2063</f>
        <v>500</v>
      </c>
      <c r="J2063" s="43">
        <f>J2062+Учет!E2063-E2063</f>
        <v>1150</v>
      </c>
      <c r="K2063" s="43">
        <f>K2062+Учет!F2063-F2063</f>
        <v>500000</v>
      </c>
      <c r="L2063" s="45">
        <f>Учет!I2063</f>
        <v>349526.07999999996</v>
      </c>
    </row>
    <row r="2064" spans="1:12" x14ac:dyDescent="0.25">
      <c r="A2064" s="48" t="str">
        <f>IF(Учет!A2064&lt;&gt;"",Учет!A2064,"")</f>
        <v/>
      </c>
      <c r="B2064" s="52">
        <f>IF(Учет!$O2064=Справочники!$F$2,Учет!$H2064,0)</f>
        <v>0</v>
      </c>
      <c r="C2064" s="52">
        <f>IF(Учет!$O2064=Справочники!$F$3,Учет!$H2064,0)</f>
        <v>0</v>
      </c>
      <c r="D2064" s="52">
        <f>IF(Учет!$O2064=Справочники!$F$4,Учет!$H2064,0)</f>
        <v>0</v>
      </c>
      <c r="E2064" s="52">
        <f>IF(Учет!$O2064=Справочники!$F$5,Учет!$H2064,0)</f>
        <v>0</v>
      </c>
      <c r="F2064" s="52">
        <f>IF(Учет!$O2064=Справочники!$F$6,Учет!$H2064,0)</f>
        <v>0</v>
      </c>
      <c r="G2064" s="43">
        <f>G2063+Учет!B2064-B2064</f>
        <v>-488978.92000000004</v>
      </c>
      <c r="H2064" s="43">
        <f>H2063+Учет!C2064-C2064</f>
        <v>336855</v>
      </c>
      <c r="I2064" s="43">
        <f>I2063+Учет!D2064-D2064</f>
        <v>500</v>
      </c>
      <c r="J2064" s="43">
        <f>J2063+Учет!E2064-E2064</f>
        <v>1150</v>
      </c>
      <c r="K2064" s="43">
        <f>K2063+Учет!F2064-F2064</f>
        <v>500000</v>
      </c>
      <c r="L2064" s="45">
        <f>Учет!I2064</f>
        <v>349526.07999999996</v>
      </c>
    </row>
    <row r="2065" spans="1:12" x14ac:dyDescent="0.25">
      <c r="A2065" s="48" t="str">
        <f>IF(Учет!A2065&lt;&gt;"",Учет!A2065,"")</f>
        <v/>
      </c>
      <c r="B2065" s="52">
        <f>IF(Учет!$O2065=Справочники!$F$2,Учет!$H2065,0)</f>
        <v>0</v>
      </c>
      <c r="C2065" s="52">
        <f>IF(Учет!$O2065=Справочники!$F$3,Учет!$H2065,0)</f>
        <v>0</v>
      </c>
      <c r="D2065" s="52">
        <f>IF(Учет!$O2065=Справочники!$F$4,Учет!$H2065,0)</f>
        <v>0</v>
      </c>
      <c r="E2065" s="52">
        <f>IF(Учет!$O2065=Справочники!$F$5,Учет!$H2065,0)</f>
        <v>0</v>
      </c>
      <c r="F2065" s="52">
        <f>IF(Учет!$O2065=Справочники!$F$6,Учет!$H2065,0)</f>
        <v>0</v>
      </c>
      <c r="G2065" s="43">
        <f>G2064+Учет!B2065-B2065</f>
        <v>-488978.92000000004</v>
      </c>
      <c r="H2065" s="43">
        <f>H2064+Учет!C2065-C2065</f>
        <v>336855</v>
      </c>
      <c r="I2065" s="43">
        <f>I2064+Учет!D2065-D2065</f>
        <v>500</v>
      </c>
      <c r="J2065" s="43">
        <f>J2064+Учет!E2065-E2065</f>
        <v>1150</v>
      </c>
      <c r="K2065" s="43">
        <f>K2064+Учет!F2065-F2065</f>
        <v>500000</v>
      </c>
      <c r="L2065" s="45">
        <f>Учет!I2065</f>
        <v>349526.07999999996</v>
      </c>
    </row>
    <row r="2066" spans="1:12" x14ac:dyDescent="0.25">
      <c r="A2066" s="48" t="str">
        <f>IF(Учет!A2066&lt;&gt;"",Учет!A2066,"")</f>
        <v/>
      </c>
      <c r="B2066" s="52">
        <f>IF(Учет!$O2066=Справочники!$F$2,Учет!$H2066,0)</f>
        <v>0</v>
      </c>
      <c r="C2066" s="52">
        <f>IF(Учет!$O2066=Справочники!$F$3,Учет!$H2066,0)</f>
        <v>0</v>
      </c>
      <c r="D2066" s="52">
        <f>IF(Учет!$O2066=Справочники!$F$4,Учет!$H2066,0)</f>
        <v>0</v>
      </c>
      <c r="E2066" s="52">
        <f>IF(Учет!$O2066=Справочники!$F$5,Учет!$H2066,0)</f>
        <v>0</v>
      </c>
      <c r="F2066" s="52">
        <f>IF(Учет!$O2066=Справочники!$F$6,Учет!$H2066,0)</f>
        <v>0</v>
      </c>
      <c r="G2066" s="43">
        <f>G2065+Учет!B2066-B2066</f>
        <v>-488978.92000000004</v>
      </c>
      <c r="H2066" s="43">
        <f>H2065+Учет!C2066-C2066</f>
        <v>336855</v>
      </c>
      <c r="I2066" s="43">
        <f>I2065+Учет!D2066-D2066</f>
        <v>500</v>
      </c>
      <c r="J2066" s="43">
        <f>J2065+Учет!E2066-E2066</f>
        <v>1150</v>
      </c>
      <c r="K2066" s="43">
        <f>K2065+Учет!F2066-F2066</f>
        <v>500000</v>
      </c>
      <c r="L2066" s="45">
        <f>Учет!I2066</f>
        <v>349526.07999999996</v>
      </c>
    </row>
    <row r="2067" spans="1:12" x14ac:dyDescent="0.25">
      <c r="A2067" s="48" t="str">
        <f>IF(Учет!A2067&lt;&gt;"",Учет!A2067,"")</f>
        <v/>
      </c>
      <c r="B2067" s="52">
        <f>IF(Учет!$O2067=Справочники!$F$2,Учет!$H2067,0)</f>
        <v>0</v>
      </c>
      <c r="C2067" s="52">
        <f>IF(Учет!$O2067=Справочники!$F$3,Учет!$H2067,0)</f>
        <v>0</v>
      </c>
      <c r="D2067" s="52">
        <f>IF(Учет!$O2067=Справочники!$F$4,Учет!$H2067,0)</f>
        <v>0</v>
      </c>
      <c r="E2067" s="52">
        <f>IF(Учет!$O2067=Справочники!$F$5,Учет!$H2067,0)</f>
        <v>0</v>
      </c>
      <c r="F2067" s="52">
        <f>IF(Учет!$O2067=Справочники!$F$6,Учет!$H2067,0)</f>
        <v>0</v>
      </c>
      <c r="G2067" s="43">
        <f>G2066+Учет!B2067-B2067</f>
        <v>-488978.92000000004</v>
      </c>
      <c r="H2067" s="43">
        <f>H2066+Учет!C2067-C2067</f>
        <v>336855</v>
      </c>
      <c r="I2067" s="43">
        <f>I2066+Учет!D2067-D2067</f>
        <v>500</v>
      </c>
      <c r="J2067" s="43">
        <f>J2066+Учет!E2067-E2067</f>
        <v>1150</v>
      </c>
      <c r="K2067" s="43">
        <f>K2066+Учет!F2067-F2067</f>
        <v>500000</v>
      </c>
      <c r="L2067" s="45">
        <f>Учет!I2067</f>
        <v>349526.07999999996</v>
      </c>
    </row>
    <row r="2068" spans="1:12" x14ac:dyDescent="0.25">
      <c r="A2068" s="48" t="str">
        <f>IF(Учет!A2068&lt;&gt;"",Учет!A2068,"")</f>
        <v/>
      </c>
      <c r="B2068" s="52">
        <f>IF(Учет!$O2068=Справочники!$F$2,Учет!$H2068,0)</f>
        <v>0</v>
      </c>
      <c r="C2068" s="52">
        <f>IF(Учет!$O2068=Справочники!$F$3,Учет!$H2068,0)</f>
        <v>0</v>
      </c>
      <c r="D2068" s="52">
        <f>IF(Учет!$O2068=Справочники!$F$4,Учет!$H2068,0)</f>
        <v>0</v>
      </c>
      <c r="E2068" s="52">
        <f>IF(Учет!$O2068=Справочники!$F$5,Учет!$H2068,0)</f>
        <v>0</v>
      </c>
      <c r="F2068" s="52">
        <f>IF(Учет!$O2068=Справочники!$F$6,Учет!$H2068,0)</f>
        <v>0</v>
      </c>
      <c r="G2068" s="43">
        <f>G2067+Учет!B2068-B2068</f>
        <v>-488978.92000000004</v>
      </c>
      <c r="H2068" s="43">
        <f>H2067+Учет!C2068-C2068</f>
        <v>336855</v>
      </c>
      <c r="I2068" s="43">
        <f>I2067+Учет!D2068-D2068</f>
        <v>500</v>
      </c>
      <c r="J2068" s="43">
        <f>J2067+Учет!E2068-E2068</f>
        <v>1150</v>
      </c>
      <c r="K2068" s="43">
        <f>K2067+Учет!F2068-F2068</f>
        <v>500000</v>
      </c>
      <c r="L2068" s="45">
        <f>Учет!I2068</f>
        <v>349526.07999999996</v>
      </c>
    </row>
    <row r="2069" spans="1:12" x14ac:dyDescent="0.25">
      <c r="A2069" s="48" t="str">
        <f>IF(Учет!A2069&lt;&gt;"",Учет!A2069,"")</f>
        <v/>
      </c>
      <c r="B2069" s="52">
        <f>IF(Учет!$O2069=Справочники!$F$2,Учет!$H2069,0)</f>
        <v>0</v>
      </c>
      <c r="C2069" s="52">
        <f>IF(Учет!$O2069=Справочники!$F$3,Учет!$H2069,0)</f>
        <v>0</v>
      </c>
      <c r="D2069" s="52">
        <f>IF(Учет!$O2069=Справочники!$F$4,Учет!$H2069,0)</f>
        <v>0</v>
      </c>
      <c r="E2069" s="52">
        <f>IF(Учет!$O2069=Справочники!$F$5,Учет!$H2069,0)</f>
        <v>0</v>
      </c>
      <c r="F2069" s="52">
        <f>IF(Учет!$O2069=Справочники!$F$6,Учет!$H2069,0)</f>
        <v>0</v>
      </c>
      <c r="G2069" s="43">
        <f>G2068+Учет!B2069-B2069</f>
        <v>-488978.92000000004</v>
      </c>
      <c r="H2069" s="43">
        <f>H2068+Учет!C2069-C2069</f>
        <v>336855</v>
      </c>
      <c r="I2069" s="43">
        <f>I2068+Учет!D2069-D2069</f>
        <v>500</v>
      </c>
      <c r="J2069" s="43">
        <f>J2068+Учет!E2069-E2069</f>
        <v>1150</v>
      </c>
      <c r="K2069" s="43">
        <f>K2068+Учет!F2069-F2069</f>
        <v>500000</v>
      </c>
      <c r="L2069" s="45">
        <f>Учет!I2069</f>
        <v>349526.07999999996</v>
      </c>
    </row>
    <row r="2070" spans="1:12" x14ac:dyDescent="0.25">
      <c r="A2070" s="48" t="str">
        <f>IF(Учет!A2070&lt;&gt;"",Учет!A2070,"")</f>
        <v/>
      </c>
      <c r="B2070" s="52">
        <f>IF(Учет!$O2070=Справочники!$F$2,Учет!$H2070,0)</f>
        <v>0</v>
      </c>
      <c r="C2070" s="52">
        <f>IF(Учет!$O2070=Справочники!$F$3,Учет!$H2070,0)</f>
        <v>0</v>
      </c>
      <c r="D2070" s="52">
        <f>IF(Учет!$O2070=Справочники!$F$4,Учет!$H2070,0)</f>
        <v>0</v>
      </c>
      <c r="E2070" s="52">
        <f>IF(Учет!$O2070=Справочники!$F$5,Учет!$H2070,0)</f>
        <v>0</v>
      </c>
      <c r="F2070" s="52">
        <f>IF(Учет!$O2070=Справочники!$F$6,Учет!$H2070,0)</f>
        <v>0</v>
      </c>
      <c r="G2070" s="43">
        <f>G2069+Учет!B2070-B2070</f>
        <v>-488978.92000000004</v>
      </c>
      <c r="H2070" s="43">
        <f>H2069+Учет!C2070-C2070</f>
        <v>336855</v>
      </c>
      <c r="I2070" s="43">
        <f>I2069+Учет!D2070-D2070</f>
        <v>500</v>
      </c>
      <c r="J2070" s="43">
        <f>J2069+Учет!E2070-E2070</f>
        <v>1150</v>
      </c>
      <c r="K2070" s="43">
        <f>K2069+Учет!F2070-F2070</f>
        <v>500000</v>
      </c>
      <c r="L2070" s="45">
        <f>Учет!I2070</f>
        <v>349526.07999999996</v>
      </c>
    </row>
    <row r="2071" spans="1:12" x14ac:dyDescent="0.25">
      <c r="A2071" s="48" t="str">
        <f>IF(Учет!A2071&lt;&gt;"",Учет!A2071,"")</f>
        <v/>
      </c>
      <c r="B2071" s="52">
        <f>IF(Учет!$O2071=Справочники!$F$2,Учет!$H2071,0)</f>
        <v>0</v>
      </c>
      <c r="C2071" s="52">
        <f>IF(Учет!$O2071=Справочники!$F$3,Учет!$H2071,0)</f>
        <v>0</v>
      </c>
      <c r="D2071" s="52">
        <f>IF(Учет!$O2071=Справочники!$F$4,Учет!$H2071,0)</f>
        <v>0</v>
      </c>
      <c r="E2071" s="52">
        <f>IF(Учет!$O2071=Справочники!$F$5,Учет!$H2071,0)</f>
        <v>0</v>
      </c>
      <c r="F2071" s="52">
        <f>IF(Учет!$O2071=Справочники!$F$6,Учет!$H2071,0)</f>
        <v>0</v>
      </c>
      <c r="G2071" s="43">
        <f>G2070+Учет!B2071-B2071</f>
        <v>-488978.92000000004</v>
      </c>
      <c r="H2071" s="43">
        <f>H2070+Учет!C2071-C2071</f>
        <v>336855</v>
      </c>
      <c r="I2071" s="43">
        <f>I2070+Учет!D2071-D2071</f>
        <v>500</v>
      </c>
      <c r="J2071" s="43">
        <f>J2070+Учет!E2071-E2071</f>
        <v>1150</v>
      </c>
      <c r="K2071" s="43">
        <f>K2070+Учет!F2071-F2071</f>
        <v>500000</v>
      </c>
      <c r="L2071" s="45">
        <f>Учет!I2071</f>
        <v>349526.07999999996</v>
      </c>
    </row>
    <row r="2072" spans="1:12" x14ac:dyDescent="0.25">
      <c r="A2072" s="48" t="str">
        <f>IF(Учет!A2072&lt;&gt;"",Учет!A2072,"")</f>
        <v/>
      </c>
      <c r="B2072" s="52">
        <f>IF(Учет!$O2072=Справочники!$F$2,Учет!$H2072,0)</f>
        <v>0</v>
      </c>
      <c r="C2072" s="52">
        <f>IF(Учет!$O2072=Справочники!$F$3,Учет!$H2072,0)</f>
        <v>0</v>
      </c>
      <c r="D2072" s="52">
        <f>IF(Учет!$O2072=Справочники!$F$4,Учет!$H2072,0)</f>
        <v>0</v>
      </c>
      <c r="E2072" s="52">
        <f>IF(Учет!$O2072=Справочники!$F$5,Учет!$H2072,0)</f>
        <v>0</v>
      </c>
      <c r="F2072" s="52">
        <f>IF(Учет!$O2072=Справочники!$F$6,Учет!$H2072,0)</f>
        <v>0</v>
      </c>
      <c r="G2072" s="43">
        <f>G2071+Учет!B2072-B2072</f>
        <v>-488978.92000000004</v>
      </c>
      <c r="H2072" s="43">
        <f>H2071+Учет!C2072-C2072</f>
        <v>336855</v>
      </c>
      <c r="I2072" s="43">
        <f>I2071+Учет!D2072-D2072</f>
        <v>500</v>
      </c>
      <c r="J2072" s="43">
        <f>J2071+Учет!E2072-E2072</f>
        <v>1150</v>
      </c>
      <c r="K2072" s="43">
        <f>K2071+Учет!F2072-F2072</f>
        <v>500000</v>
      </c>
      <c r="L2072" s="45">
        <f>Учет!I2072</f>
        <v>349526.07999999996</v>
      </c>
    </row>
    <row r="2073" spans="1:12" x14ac:dyDescent="0.25">
      <c r="A2073" s="48" t="str">
        <f>IF(Учет!A2073&lt;&gt;"",Учет!A2073,"")</f>
        <v/>
      </c>
      <c r="B2073" s="52">
        <f>IF(Учет!$O2073=Справочники!$F$2,Учет!$H2073,0)</f>
        <v>0</v>
      </c>
      <c r="C2073" s="52">
        <f>IF(Учет!$O2073=Справочники!$F$3,Учет!$H2073,0)</f>
        <v>0</v>
      </c>
      <c r="D2073" s="52">
        <f>IF(Учет!$O2073=Справочники!$F$4,Учет!$H2073,0)</f>
        <v>0</v>
      </c>
      <c r="E2073" s="52">
        <f>IF(Учет!$O2073=Справочники!$F$5,Учет!$H2073,0)</f>
        <v>0</v>
      </c>
      <c r="F2073" s="52">
        <f>IF(Учет!$O2073=Справочники!$F$6,Учет!$H2073,0)</f>
        <v>0</v>
      </c>
      <c r="G2073" s="43">
        <f>G2072+Учет!B2073-B2073</f>
        <v>-488978.92000000004</v>
      </c>
      <c r="H2073" s="43">
        <f>H2072+Учет!C2073-C2073</f>
        <v>336855</v>
      </c>
      <c r="I2073" s="43">
        <f>I2072+Учет!D2073-D2073</f>
        <v>500</v>
      </c>
      <c r="J2073" s="43">
        <f>J2072+Учет!E2073-E2073</f>
        <v>1150</v>
      </c>
      <c r="K2073" s="43">
        <f>K2072+Учет!F2073-F2073</f>
        <v>500000</v>
      </c>
      <c r="L2073" s="45">
        <f>Учет!I2073</f>
        <v>349526.07999999996</v>
      </c>
    </row>
    <row r="2074" spans="1:12" x14ac:dyDescent="0.25">
      <c r="A2074" s="48" t="str">
        <f>IF(Учет!A2074&lt;&gt;"",Учет!A2074,"")</f>
        <v/>
      </c>
      <c r="B2074" s="52">
        <f>IF(Учет!$O2074=Справочники!$F$2,Учет!$H2074,0)</f>
        <v>0</v>
      </c>
      <c r="C2074" s="52">
        <f>IF(Учет!$O2074=Справочники!$F$3,Учет!$H2074,0)</f>
        <v>0</v>
      </c>
      <c r="D2074" s="52">
        <f>IF(Учет!$O2074=Справочники!$F$4,Учет!$H2074,0)</f>
        <v>0</v>
      </c>
      <c r="E2074" s="52">
        <f>IF(Учет!$O2074=Справочники!$F$5,Учет!$H2074,0)</f>
        <v>0</v>
      </c>
      <c r="F2074" s="52">
        <f>IF(Учет!$O2074=Справочники!$F$6,Учет!$H2074,0)</f>
        <v>0</v>
      </c>
      <c r="G2074" s="43">
        <f>G2073+Учет!B2074-B2074</f>
        <v>-488978.92000000004</v>
      </c>
      <c r="H2074" s="43">
        <f>H2073+Учет!C2074-C2074</f>
        <v>336855</v>
      </c>
      <c r="I2074" s="43">
        <f>I2073+Учет!D2074-D2074</f>
        <v>500</v>
      </c>
      <c r="J2074" s="43">
        <f>J2073+Учет!E2074-E2074</f>
        <v>1150</v>
      </c>
      <c r="K2074" s="43">
        <f>K2073+Учет!F2074-F2074</f>
        <v>500000</v>
      </c>
      <c r="L2074" s="45">
        <f>Учет!I2074</f>
        <v>349526.07999999996</v>
      </c>
    </row>
    <row r="2075" spans="1:12" x14ac:dyDescent="0.25">
      <c r="A2075" s="48" t="str">
        <f>IF(Учет!A2075&lt;&gt;"",Учет!A2075,"")</f>
        <v/>
      </c>
      <c r="B2075" s="52">
        <f>IF(Учет!$O2075=Справочники!$F$2,Учет!$H2075,0)</f>
        <v>0</v>
      </c>
      <c r="C2075" s="52">
        <f>IF(Учет!$O2075=Справочники!$F$3,Учет!$H2075,0)</f>
        <v>0</v>
      </c>
      <c r="D2075" s="52">
        <f>IF(Учет!$O2075=Справочники!$F$4,Учет!$H2075,0)</f>
        <v>0</v>
      </c>
      <c r="E2075" s="52">
        <f>IF(Учет!$O2075=Справочники!$F$5,Учет!$H2075,0)</f>
        <v>0</v>
      </c>
      <c r="F2075" s="52">
        <f>IF(Учет!$O2075=Справочники!$F$6,Учет!$H2075,0)</f>
        <v>0</v>
      </c>
      <c r="G2075" s="43">
        <f>G2074+Учет!B2075-B2075</f>
        <v>-488978.92000000004</v>
      </c>
      <c r="H2075" s="43">
        <f>H2074+Учет!C2075-C2075</f>
        <v>336855</v>
      </c>
      <c r="I2075" s="43">
        <f>I2074+Учет!D2075-D2075</f>
        <v>500</v>
      </c>
      <c r="J2075" s="43">
        <f>J2074+Учет!E2075-E2075</f>
        <v>1150</v>
      </c>
      <c r="K2075" s="43">
        <f>K2074+Учет!F2075-F2075</f>
        <v>500000</v>
      </c>
      <c r="L2075" s="45">
        <f>Учет!I2075</f>
        <v>349526.07999999996</v>
      </c>
    </row>
    <row r="2076" spans="1:12" x14ac:dyDescent="0.25">
      <c r="A2076" s="48" t="str">
        <f>IF(Учет!A2076&lt;&gt;"",Учет!A2076,"")</f>
        <v/>
      </c>
      <c r="B2076" s="52">
        <f>IF(Учет!$O2076=Справочники!$F$2,Учет!$H2076,0)</f>
        <v>0</v>
      </c>
      <c r="C2076" s="52">
        <f>IF(Учет!$O2076=Справочники!$F$3,Учет!$H2076,0)</f>
        <v>0</v>
      </c>
      <c r="D2076" s="52">
        <f>IF(Учет!$O2076=Справочники!$F$4,Учет!$H2076,0)</f>
        <v>0</v>
      </c>
      <c r="E2076" s="52">
        <f>IF(Учет!$O2076=Справочники!$F$5,Учет!$H2076,0)</f>
        <v>0</v>
      </c>
      <c r="F2076" s="52">
        <f>IF(Учет!$O2076=Справочники!$F$6,Учет!$H2076,0)</f>
        <v>0</v>
      </c>
      <c r="G2076" s="43">
        <f>G2075+Учет!B2076-B2076</f>
        <v>-488978.92000000004</v>
      </c>
      <c r="H2076" s="43">
        <f>H2075+Учет!C2076-C2076</f>
        <v>336855</v>
      </c>
      <c r="I2076" s="43">
        <f>I2075+Учет!D2076-D2076</f>
        <v>500</v>
      </c>
      <c r="J2076" s="43">
        <f>J2075+Учет!E2076-E2076</f>
        <v>1150</v>
      </c>
      <c r="K2076" s="43">
        <f>K2075+Учет!F2076-F2076</f>
        <v>500000</v>
      </c>
      <c r="L2076" s="45">
        <f>Учет!I2076</f>
        <v>349526.07999999996</v>
      </c>
    </row>
    <row r="2077" spans="1:12" x14ac:dyDescent="0.25">
      <c r="A2077" s="48" t="str">
        <f>IF(Учет!A2077&lt;&gt;"",Учет!A2077,"")</f>
        <v/>
      </c>
      <c r="B2077" s="52">
        <f>IF(Учет!$O2077=Справочники!$F$2,Учет!$H2077,0)</f>
        <v>0</v>
      </c>
      <c r="C2077" s="52">
        <f>IF(Учет!$O2077=Справочники!$F$3,Учет!$H2077,0)</f>
        <v>0</v>
      </c>
      <c r="D2077" s="52">
        <f>IF(Учет!$O2077=Справочники!$F$4,Учет!$H2077,0)</f>
        <v>0</v>
      </c>
      <c r="E2077" s="52">
        <f>IF(Учет!$O2077=Справочники!$F$5,Учет!$H2077,0)</f>
        <v>0</v>
      </c>
      <c r="F2077" s="52">
        <f>IF(Учет!$O2077=Справочники!$F$6,Учет!$H2077,0)</f>
        <v>0</v>
      </c>
      <c r="G2077" s="43">
        <f>G2076+Учет!B2077-B2077</f>
        <v>-488978.92000000004</v>
      </c>
      <c r="H2077" s="43">
        <f>H2076+Учет!C2077-C2077</f>
        <v>336855</v>
      </c>
      <c r="I2077" s="43">
        <f>I2076+Учет!D2077-D2077</f>
        <v>500</v>
      </c>
      <c r="J2077" s="43">
        <f>J2076+Учет!E2077-E2077</f>
        <v>1150</v>
      </c>
      <c r="K2077" s="43">
        <f>K2076+Учет!F2077-F2077</f>
        <v>500000</v>
      </c>
      <c r="L2077" s="45">
        <f>Учет!I2077</f>
        <v>349526.07999999996</v>
      </c>
    </row>
    <row r="2078" spans="1:12" x14ac:dyDescent="0.25">
      <c r="A2078" s="48" t="str">
        <f>IF(Учет!A2078&lt;&gt;"",Учет!A2078,"")</f>
        <v/>
      </c>
      <c r="B2078" s="52">
        <f>IF(Учет!$O2078=Справочники!$F$2,Учет!$H2078,0)</f>
        <v>0</v>
      </c>
      <c r="C2078" s="52">
        <f>IF(Учет!$O2078=Справочники!$F$3,Учет!$H2078,0)</f>
        <v>0</v>
      </c>
      <c r="D2078" s="52">
        <f>IF(Учет!$O2078=Справочники!$F$4,Учет!$H2078,0)</f>
        <v>0</v>
      </c>
      <c r="E2078" s="52">
        <f>IF(Учет!$O2078=Справочники!$F$5,Учет!$H2078,0)</f>
        <v>0</v>
      </c>
      <c r="F2078" s="52">
        <f>IF(Учет!$O2078=Справочники!$F$6,Учет!$H2078,0)</f>
        <v>0</v>
      </c>
      <c r="G2078" s="43">
        <f>G2077+Учет!B2078-B2078</f>
        <v>-488978.92000000004</v>
      </c>
      <c r="H2078" s="43">
        <f>H2077+Учет!C2078-C2078</f>
        <v>336855</v>
      </c>
      <c r="I2078" s="43">
        <f>I2077+Учет!D2078-D2078</f>
        <v>500</v>
      </c>
      <c r="J2078" s="43">
        <f>J2077+Учет!E2078-E2078</f>
        <v>1150</v>
      </c>
      <c r="K2078" s="43">
        <f>K2077+Учет!F2078-F2078</f>
        <v>500000</v>
      </c>
      <c r="L2078" s="45">
        <f>Учет!I2078</f>
        <v>349526.07999999996</v>
      </c>
    </row>
    <row r="2079" spans="1:12" x14ac:dyDescent="0.25">
      <c r="A2079" s="48" t="str">
        <f>IF(Учет!A2079&lt;&gt;"",Учет!A2079,"")</f>
        <v/>
      </c>
      <c r="B2079" s="52">
        <f>IF(Учет!$O2079=Справочники!$F$2,Учет!$H2079,0)</f>
        <v>0</v>
      </c>
      <c r="C2079" s="52">
        <f>IF(Учет!$O2079=Справочники!$F$3,Учет!$H2079,0)</f>
        <v>0</v>
      </c>
      <c r="D2079" s="52">
        <f>IF(Учет!$O2079=Справочники!$F$4,Учет!$H2079,0)</f>
        <v>0</v>
      </c>
      <c r="E2079" s="52">
        <f>IF(Учет!$O2079=Справочники!$F$5,Учет!$H2079,0)</f>
        <v>0</v>
      </c>
      <c r="F2079" s="52">
        <f>IF(Учет!$O2079=Справочники!$F$6,Учет!$H2079,0)</f>
        <v>0</v>
      </c>
      <c r="G2079" s="43">
        <f>G2078+Учет!B2079-B2079</f>
        <v>-488978.92000000004</v>
      </c>
      <c r="H2079" s="43">
        <f>H2078+Учет!C2079-C2079</f>
        <v>336855</v>
      </c>
      <c r="I2079" s="43">
        <f>I2078+Учет!D2079-D2079</f>
        <v>500</v>
      </c>
      <c r="J2079" s="43">
        <f>J2078+Учет!E2079-E2079</f>
        <v>1150</v>
      </c>
      <c r="K2079" s="43">
        <f>K2078+Учет!F2079-F2079</f>
        <v>500000</v>
      </c>
      <c r="L2079" s="45">
        <f>Учет!I2079</f>
        <v>349526.07999999996</v>
      </c>
    </row>
    <row r="2080" spans="1:12" x14ac:dyDescent="0.25">
      <c r="A2080" s="48" t="str">
        <f>IF(Учет!A2080&lt;&gt;"",Учет!A2080,"")</f>
        <v/>
      </c>
      <c r="B2080" s="52">
        <f>IF(Учет!$O2080=Справочники!$F$2,Учет!$H2080,0)</f>
        <v>0</v>
      </c>
      <c r="C2080" s="52">
        <f>IF(Учет!$O2080=Справочники!$F$3,Учет!$H2080,0)</f>
        <v>0</v>
      </c>
      <c r="D2080" s="52">
        <f>IF(Учет!$O2080=Справочники!$F$4,Учет!$H2080,0)</f>
        <v>0</v>
      </c>
      <c r="E2080" s="52">
        <f>IF(Учет!$O2080=Справочники!$F$5,Учет!$H2080,0)</f>
        <v>0</v>
      </c>
      <c r="F2080" s="52">
        <f>IF(Учет!$O2080=Справочники!$F$6,Учет!$H2080,0)</f>
        <v>0</v>
      </c>
      <c r="G2080" s="43">
        <f>G2079+Учет!B2080-B2080</f>
        <v>-488978.92000000004</v>
      </c>
      <c r="H2080" s="43">
        <f>H2079+Учет!C2080-C2080</f>
        <v>336855</v>
      </c>
      <c r="I2080" s="43">
        <f>I2079+Учет!D2080-D2080</f>
        <v>500</v>
      </c>
      <c r="J2080" s="43">
        <f>J2079+Учет!E2080-E2080</f>
        <v>1150</v>
      </c>
      <c r="K2080" s="43">
        <f>K2079+Учет!F2080-F2080</f>
        <v>500000</v>
      </c>
      <c r="L2080" s="45">
        <f>Учет!I2080</f>
        <v>349526.07999999996</v>
      </c>
    </row>
    <row r="2081" spans="1:12" x14ac:dyDescent="0.25">
      <c r="A2081" s="48" t="str">
        <f>IF(Учет!A2081&lt;&gt;"",Учет!A2081,"")</f>
        <v/>
      </c>
      <c r="B2081" s="52">
        <f>IF(Учет!$O2081=Справочники!$F$2,Учет!$H2081,0)</f>
        <v>0</v>
      </c>
      <c r="C2081" s="52">
        <f>IF(Учет!$O2081=Справочники!$F$3,Учет!$H2081,0)</f>
        <v>0</v>
      </c>
      <c r="D2081" s="52">
        <f>IF(Учет!$O2081=Справочники!$F$4,Учет!$H2081,0)</f>
        <v>0</v>
      </c>
      <c r="E2081" s="52">
        <f>IF(Учет!$O2081=Справочники!$F$5,Учет!$H2081,0)</f>
        <v>0</v>
      </c>
      <c r="F2081" s="52">
        <f>IF(Учет!$O2081=Справочники!$F$6,Учет!$H2081,0)</f>
        <v>0</v>
      </c>
      <c r="G2081" s="43">
        <f>G2080+Учет!B2081-B2081</f>
        <v>-488978.92000000004</v>
      </c>
      <c r="H2081" s="43">
        <f>H2080+Учет!C2081-C2081</f>
        <v>336855</v>
      </c>
      <c r="I2081" s="43">
        <f>I2080+Учет!D2081-D2081</f>
        <v>500</v>
      </c>
      <c r="J2081" s="43">
        <f>J2080+Учет!E2081-E2081</f>
        <v>1150</v>
      </c>
      <c r="K2081" s="43">
        <f>K2080+Учет!F2081-F2081</f>
        <v>500000</v>
      </c>
      <c r="L2081" s="45">
        <f>Учет!I2081</f>
        <v>349526.07999999996</v>
      </c>
    </row>
    <row r="2082" spans="1:12" x14ac:dyDescent="0.25">
      <c r="A2082" s="48" t="str">
        <f>IF(Учет!A2082&lt;&gt;"",Учет!A2082,"")</f>
        <v/>
      </c>
      <c r="B2082" s="52">
        <f>IF(Учет!$O2082=Справочники!$F$2,Учет!$H2082,0)</f>
        <v>0</v>
      </c>
      <c r="C2082" s="52">
        <f>IF(Учет!$O2082=Справочники!$F$3,Учет!$H2082,0)</f>
        <v>0</v>
      </c>
      <c r="D2082" s="52">
        <f>IF(Учет!$O2082=Справочники!$F$4,Учет!$H2082,0)</f>
        <v>0</v>
      </c>
      <c r="E2082" s="52">
        <f>IF(Учет!$O2082=Справочники!$F$5,Учет!$H2082,0)</f>
        <v>0</v>
      </c>
      <c r="F2082" s="52">
        <f>IF(Учет!$O2082=Справочники!$F$6,Учет!$H2082,0)</f>
        <v>0</v>
      </c>
      <c r="G2082" s="43">
        <f>G2081+Учет!B2082-B2082</f>
        <v>-488978.92000000004</v>
      </c>
      <c r="H2082" s="43">
        <f>H2081+Учет!C2082-C2082</f>
        <v>336855</v>
      </c>
      <c r="I2082" s="43">
        <f>I2081+Учет!D2082-D2082</f>
        <v>500</v>
      </c>
      <c r="J2082" s="43">
        <f>J2081+Учет!E2082-E2082</f>
        <v>1150</v>
      </c>
      <c r="K2082" s="43">
        <f>K2081+Учет!F2082-F2082</f>
        <v>500000</v>
      </c>
      <c r="L2082" s="45">
        <f>Учет!I2082</f>
        <v>349526.07999999996</v>
      </c>
    </row>
    <row r="2083" spans="1:12" x14ac:dyDescent="0.25">
      <c r="A2083" s="48" t="str">
        <f>IF(Учет!A2083&lt;&gt;"",Учет!A2083,"")</f>
        <v/>
      </c>
      <c r="B2083" s="52">
        <f>IF(Учет!$O2083=Справочники!$F$2,Учет!$H2083,0)</f>
        <v>0</v>
      </c>
      <c r="C2083" s="52">
        <f>IF(Учет!$O2083=Справочники!$F$3,Учет!$H2083,0)</f>
        <v>0</v>
      </c>
      <c r="D2083" s="52">
        <f>IF(Учет!$O2083=Справочники!$F$4,Учет!$H2083,0)</f>
        <v>0</v>
      </c>
      <c r="E2083" s="52">
        <f>IF(Учет!$O2083=Справочники!$F$5,Учет!$H2083,0)</f>
        <v>0</v>
      </c>
      <c r="F2083" s="52">
        <f>IF(Учет!$O2083=Справочники!$F$6,Учет!$H2083,0)</f>
        <v>0</v>
      </c>
      <c r="G2083" s="43">
        <f>G2082+Учет!B2083-B2083</f>
        <v>-488978.92000000004</v>
      </c>
      <c r="H2083" s="43">
        <f>H2082+Учет!C2083-C2083</f>
        <v>336855</v>
      </c>
      <c r="I2083" s="43">
        <f>I2082+Учет!D2083-D2083</f>
        <v>500</v>
      </c>
      <c r="J2083" s="43">
        <f>J2082+Учет!E2083-E2083</f>
        <v>1150</v>
      </c>
      <c r="K2083" s="43">
        <f>K2082+Учет!F2083-F2083</f>
        <v>500000</v>
      </c>
      <c r="L2083" s="45">
        <f>Учет!I2083</f>
        <v>349526.07999999996</v>
      </c>
    </row>
    <row r="2084" spans="1:12" x14ac:dyDescent="0.25">
      <c r="A2084" s="48" t="str">
        <f>IF(Учет!A2084&lt;&gt;"",Учет!A2084,"")</f>
        <v/>
      </c>
      <c r="B2084" s="52">
        <f>IF(Учет!$O2084=Справочники!$F$2,Учет!$H2084,0)</f>
        <v>0</v>
      </c>
      <c r="C2084" s="52">
        <f>IF(Учет!$O2084=Справочники!$F$3,Учет!$H2084,0)</f>
        <v>0</v>
      </c>
      <c r="D2084" s="52">
        <f>IF(Учет!$O2084=Справочники!$F$4,Учет!$H2084,0)</f>
        <v>0</v>
      </c>
      <c r="E2084" s="52">
        <f>IF(Учет!$O2084=Справочники!$F$5,Учет!$H2084,0)</f>
        <v>0</v>
      </c>
      <c r="F2084" s="52">
        <f>IF(Учет!$O2084=Справочники!$F$6,Учет!$H2084,0)</f>
        <v>0</v>
      </c>
      <c r="G2084" s="43">
        <f>G2083+Учет!B2084-B2084</f>
        <v>-488978.92000000004</v>
      </c>
      <c r="H2084" s="43">
        <f>H2083+Учет!C2084-C2084</f>
        <v>336855</v>
      </c>
      <c r="I2084" s="43">
        <f>I2083+Учет!D2084-D2084</f>
        <v>500</v>
      </c>
      <c r="J2084" s="43">
        <f>J2083+Учет!E2084-E2084</f>
        <v>1150</v>
      </c>
      <c r="K2084" s="43">
        <f>K2083+Учет!F2084-F2084</f>
        <v>500000</v>
      </c>
      <c r="L2084" s="45">
        <f>Учет!I2084</f>
        <v>349526.07999999996</v>
      </c>
    </row>
    <row r="2085" spans="1:12" x14ac:dyDescent="0.25">
      <c r="A2085" s="48" t="str">
        <f>IF(Учет!A2085&lt;&gt;"",Учет!A2085,"")</f>
        <v/>
      </c>
      <c r="B2085" s="52">
        <f>IF(Учет!$O2085=Справочники!$F$2,Учет!$H2085,0)</f>
        <v>0</v>
      </c>
      <c r="C2085" s="52">
        <f>IF(Учет!$O2085=Справочники!$F$3,Учет!$H2085,0)</f>
        <v>0</v>
      </c>
      <c r="D2085" s="52">
        <f>IF(Учет!$O2085=Справочники!$F$4,Учет!$H2085,0)</f>
        <v>0</v>
      </c>
      <c r="E2085" s="52">
        <f>IF(Учет!$O2085=Справочники!$F$5,Учет!$H2085,0)</f>
        <v>0</v>
      </c>
      <c r="F2085" s="52">
        <f>IF(Учет!$O2085=Справочники!$F$6,Учет!$H2085,0)</f>
        <v>0</v>
      </c>
      <c r="G2085" s="43">
        <f>G2084+Учет!B2085-B2085</f>
        <v>-488978.92000000004</v>
      </c>
      <c r="H2085" s="43">
        <f>H2084+Учет!C2085-C2085</f>
        <v>336855</v>
      </c>
      <c r="I2085" s="43">
        <f>I2084+Учет!D2085-D2085</f>
        <v>500</v>
      </c>
      <c r="J2085" s="43">
        <f>J2084+Учет!E2085-E2085</f>
        <v>1150</v>
      </c>
      <c r="K2085" s="43">
        <f>K2084+Учет!F2085-F2085</f>
        <v>500000</v>
      </c>
      <c r="L2085" s="45">
        <f>Учет!I2085</f>
        <v>349526.07999999996</v>
      </c>
    </row>
    <row r="2086" spans="1:12" x14ac:dyDescent="0.25">
      <c r="A2086" s="48" t="str">
        <f>IF(Учет!A2086&lt;&gt;"",Учет!A2086,"")</f>
        <v/>
      </c>
      <c r="B2086" s="52">
        <f>IF(Учет!$O2086=Справочники!$F$2,Учет!$H2086,0)</f>
        <v>0</v>
      </c>
      <c r="C2086" s="52">
        <f>IF(Учет!$O2086=Справочники!$F$3,Учет!$H2086,0)</f>
        <v>0</v>
      </c>
      <c r="D2086" s="52">
        <f>IF(Учет!$O2086=Справочники!$F$4,Учет!$H2086,0)</f>
        <v>0</v>
      </c>
      <c r="E2086" s="52">
        <f>IF(Учет!$O2086=Справочники!$F$5,Учет!$H2086,0)</f>
        <v>0</v>
      </c>
      <c r="F2086" s="52">
        <f>IF(Учет!$O2086=Справочники!$F$6,Учет!$H2086,0)</f>
        <v>0</v>
      </c>
      <c r="G2086" s="43">
        <f>G2085+Учет!B2086-B2086</f>
        <v>-488978.92000000004</v>
      </c>
      <c r="H2086" s="43">
        <f>H2085+Учет!C2086-C2086</f>
        <v>336855</v>
      </c>
      <c r="I2086" s="43">
        <f>I2085+Учет!D2086-D2086</f>
        <v>500</v>
      </c>
      <c r="J2086" s="43">
        <f>J2085+Учет!E2086-E2086</f>
        <v>1150</v>
      </c>
      <c r="K2086" s="43">
        <f>K2085+Учет!F2086-F2086</f>
        <v>500000</v>
      </c>
      <c r="L2086" s="45">
        <f>Учет!I2086</f>
        <v>349526.07999999996</v>
      </c>
    </row>
    <row r="2087" spans="1:12" x14ac:dyDescent="0.25">
      <c r="A2087" s="48" t="str">
        <f>IF(Учет!A2087&lt;&gt;"",Учет!A2087,"")</f>
        <v/>
      </c>
      <c r="B2087" s="52">
        <f>IF(Учет!$O2087=Справочники!$F$2,Учет!$H2087,0)</f>
        <v>0</v>
      </c>
      <c r="C2087" s="52">
        <f>IF(Учет!$O2087=Справочники!$F$3,Учет!$H2087,0)</f>
        <v>0</v>
      </c>
      <c r="D2087" s="52">
        <f>IF(Учет!$O2087=Справочники!$F$4,Учет!$H2087,0)</f>
        <v>0</v>
      </c>
      <c r="E2087" s="52">
        <f>IF(Учет!$O2087=Справочники!$F$5,Учет!$H2087,0)</f>
        <v>0</v>
      </c>
      <c r="F2087" s="52">
        <f>IF(Учет!$O2087=Справочники!$F$6,Учет!$H2087,0)</f>
        <v>0</v>
      </c>
      <c r="G2087" s="43">
        <f>G2086+Учет!B2087-B2087</f>
        <v>-488978.92000000004</v>
      </c>
      <c r="H2087" s="43">
        <f>H2086+Учет!C2087-C2087</f>
        <v>336855</v>
      </c>
      <c r="I2087" s="43">
        <f>I2086+Учет!D2087-D2087</f>
        <v>500</v>
      </c>
      <c r="J2087" s="43">
        <f>J2086+Учет!E2087-E2087</f>
        <v>1150</v>
      </c>
      <c r="K2087" s="43">
        <f>K2086+Учет!F2087-F2087</f>
        <v>500000</v>
      </c>
      <c r="L2087" s="45">
        <f>Учет!I2087</f>
        <v>349526.07999999996</v>
      </c>
    </row>
    <row r="2088" spans="1:12" x14ac:dyDescent="0.25">
      <c r="A2088" s="48" t="str">
        <f>IF(Учет!A2088&lt;&gt;"",Учет!A2088,"")</f>
        <v/>
      </c>
      <c r="B2088" s="52">
        <f>IF(Учет!$O2088=Справочники!$F$2,Учет!$H2088,0)</f>
        <v>0</v>
      </c>
      <c r="C2088" s="52">
        <f>IF(Учет!$O2088=Справочники!$F$3,Учет!$H2088,0)</f>
        <v>0</v>
      </c>
      <c r="D2088" s="52">
        <f>IF(Учет!$O2088=Справочники!$F$4,Учет!$H2088,0)</f>
        <v>0</v>
      </c>
      <c r="E2088" s="52">
        <f>IF(Учет!$O2088=Справочники!$F$5,Учет!$H2088,0)</f>
        <v>0</v>
      </c>
      <c r="F2088" s="52">
        <f>IF(Учет!$O2088=Справочники!$F$6,Учет!$H2088,0)</f>
        <v>0</v>
      </c>
      <c r="G2088" s="43">
        <f>G2087+Учет!B2088-B2088</f>
        <v>-488978.92000000004</v>
      </c>
      <c r="H2088" s="43">
        <f>H2087+Учет!C2088-C2088</f>
        <v>336855</v>
      </c>
      <c r="I2088" s="43">
        <f>I2087+Учет!D2088-D2088</f>
        <v>500</v>
      </c>
      <c r="J2088" s="43">
        <f>J2087+Учет!E2088-E2088</f>
        <v>1150</v>
      </c>
      <c r="K2088" s="43">
        <f>K2087+Учет!F2088-F2088</f>
        <v>500000</v>
      </c>
      <c r="L2088" s="45">
        <f>Учет!I2088</f>
        <v>349526.07999999996</v>
      </c>
    </row>
    <row r="2089" spans="1:12" x14ac:dyDescent="0.25">
      <c r="A2089" s="48" t="str">
        <f>IF(Учет!A2089&lt;&gt;"",Учет!A2089,"")</f>
        <v/>
      </c>
      <c r="B2089" s="52">
        <f>IF(Учет!$O2089=Справочники!$F$2,Учет!$H2089,0)</f>
        <v>0</v>
      </c>
      <c r="C2089" s="52">
        <f>IF(Учет!$O2089=Справочники!$F$3,Учет!$H2089,0)</f>
        <v>0</v>
      </c>
      <c r="D2089" s="52">
        <f>IF(Учет!$O2089=Справочники!$F$4,Учет!$H2089,0)</f>
        <v>0</v>
      </c>
      <c r="E2089" s="52">
        <f>IF(Учет!$O2089=Справочники!$F$5,Учет!$H2089,0)</f>
        <v>0</v>
      </c>
      <c r="F2089" s="52">
        <f>IF(Учет!$O2089=Справочники!$F$6,Учет!$H2089,0)</f>
        <v>0</v>
      </c>
      <c r="G2089" s="43">
        <f>G2088+Учет!B2089-B2089</f>
        <v>-488978.92000000004</v>
      </c>
      <c r="H2089" s="43">
        <f>H2088+Учет!C2089-C2089</f>
        <v>336855</v>
      </c>
      <c r="I2089" s="43">
        <f>I2088+Учет!D2089-D2089</f>
        <v>500</v>
      </c>
      <c r="J2089" s="43">
        <f>J2088+Учет!E2089-E2089</f>
        <v>1150</v>
      </c>
      <c r="K2089" s="43">
        <f>K2088+Учет!F2089-F2089</f>
        <v>500000</v>
      </c>
      <c r="L2089" s="45">
        <f>Учет!I2089</f>
        <v>349526.07999999996</v>
      </c>
    </row>
    <row r="2090" spans="1:12" x14ac:dyDescent="0.25">
      <c r="A2090" s="48" t="str">
        <f>IF(Учет!A2090&lt;&gt;"",Учет!A2090,"")</f>
        <v/>
      </c>
      <c r="B2090" s="52">
        <f>IF(Учет!$O2090=Справочники!$F$2,Учет!$H2090,0)</f>
        <v>0</v>
      </c>
      <c r="C2090" s="52">
        <f>IF(Учет!$O2090=Справочники!$F$3,Учет!$H2090,0)</f>
        <v>0</v>
      </c>
      <c r="D2090" s="52">
        <f>IF(Учет!$O2090=Справочники!$F$4,Учет!$H2090,0)</f>
        <v>0</v>
      </c>
      <c r="E2090" s="52">
        <f>IF(Учет!$O2090=Справочники!$F$5,Учет!$H2090,0)</f>
        <v>0</v>
      </c>
      <c r="F2090" s="52">
        <f>IF(Учет!$O2090=Справочники!$F$6,Учет!$H2090,0)</f>
        <v>0</v>
      </c>
      <c r="G2090" s="43">
        <f>G2089+Учет!B2090-B2090</f>
        <v>-488978.92000000004</v>
      </c>
      <c r="H2090" s="43">
        <f>H2089+Учет!C2090-C2090</f>
        <v>336855</v>
      </c>
      <c r="I2090" s="43">
        <f>I2089+Учет!D2090-D2090</f>
        <v>500</v>
      </c>
      <c r="J2090" s="43">
        <f>J2089+Учет!E2090-E2090</f>
        <v>1150</v>
      </c>
      <c r="K2090" s="43">
        <f>K2089+Учет!F2090-F2090</f>
        <v>500000</v>
      </c>
      <c r="L2090" s="45">
        <f>Учет!I2090</f>
        <v>349526.07999999996</v>
      </c>
    </row>
    <row r="2091" spans="1:12" x14ac:dyDescent="0.25">
      <c r="A2091" s="48" t="str">
        <f>IF(Учет!A2091&lt;&gt;"",Учет!A2091,"")</f>
        <v/>
      </c>
      <c r="B2091" s="52">
        <f>IF(Учет!$O2091=Справочники!$F$2,Учет!$H2091,0)</f>
        <v>0</v>
      </c>
      <c r="C2091" s="52">
        <f>IF(Учет!$O2091=Справочники!$F$3,Учет!$H2091,0)</f>
        <v>0</v>
      </c>
      <c r="D2091" s="52">
        <f>IF(Учет!$O2091=Справочники!$F$4,Учет!$H2091,0)</f>
        <v>0</v>
      </c>
      <c r="E2091" s="52">
        <f>IF(Учет!$O2091=Справочники!$F$5,Учет!$H2091,0)</f>
        <v>0</v>
      </c>
      <c r="F2091" s="52">
        <f>IF(Учет!$O2091=Справочники!$F$6,Учет!$H2091,0)</f>
        <v>0</v>
      </c>
      <c r="G2091" s="43">
        <f>G2090+Учет!B2091-B2091</f>
        <v>-488978.92000000004</v>
      </c>
      <c r="H2091" s="43">
        <f>H2090+Учет!C2091-C2091</f>
        <v>336855</v>
      </c>
      <c r="I2091" s="43">
        <f>I2090+Учет!D2091-D2091</f>
        <v>500</v>
      </c>
      <c r="J2091" s="43">
        <f>J2090+Учет!E2091-E2091</f>
        <v>1150</v>
      </c>
      <c r="K2091" s="43">
        <f>K2090+Учет!F2091-F2091</f>
        <v>500000</v>
      </c>
      <c r="L2091" s="45">
        <f>Учет!I2091</f>
        <v>349526.07999999996</v>
      </c>
    </row>
    <row r="2092" spans="1:12" x14ac:dyDescent="0.25">
      <c r="A2092" s="48" t="str">
        <f>IF(Учет!A2092&lt;&gt;"",Учет!A2092,"")</f>
        <v/>
      </c>
      <c r="B2092" s="52">
        <f>IF(Учет!$O2092=Справочники!$F$2,Учет!$H2092,0)</f>
        <v>0</v>
      </c>
      <c r="C2092" s="52">
        <f>IF(Учет!$O2092=Справочники!$F$3,Учет!$H2092,0)</f>
        <v>0</v>
      </c>
      <c r="D2092" s="52">
        <f>IF(Учет!$O2092=Справочники!$F$4,Учет!$H2092,0)</f>
        <v>0</v>
      </c>
      <c r="E2092" s="52">
        <f>IF(Учет!$O2092=Справочники!$F$5,Учет!$H2092,0)</f>
        <v>0</v>
      </c>
      <c r="F2092" s="52">
        <f>IF(Учет!$O2092=Справочники!$F$6,Учет!$H2092,0)</f>
        <v>0</v>
      </c>
      <c r="G2092" s="43">
        <f>G2091+Учет!B2092-B2092</f>
        <v>-488978.92000000004</v>
      </c>
      <c r="H2092" s="43">
        <f>H2091+Учет!C2092-C2092</f>
        <v>336855</v>
      </c>
      <c r="I2092" s="43">
        <f>I2091+Учет!D2092-D2092</f>
        <v>500</v>
      </c>
      <c r="J2092" s="43">
        <f>J2091+Учет!E2092-E2092</f>
        <v>1150</v>
      </c>
      <c r="K2092" s="43">
        <f>K2091+Учет!F2092-F2092</f>
        <v>500000</v>
      </c>
      <c r="L2092" s="45">
        <f>Учет!I2092</f>
        <v>349526.07999999996</v>
      </c>
    </row>
    <row r="2093" spans="1:12" x14ac:dyDescent="0.25">
      <c r="A2093" s="48" t="str">
        <f>IF(Учет!A2093&lt;&gt;"",Учет!A2093,"")</f>
        <v/>
      </c>
      <c r="B2093" s="52">
        <f>IF(Учет!$O2093=Справочники!$F$2,Учет!$H2093,0)</f>
        <v>0</v>
      </c>
      <c r="C2093" s="52">
        <f>IF(Учет!$O2093=Справочники!$F$3,Учет!$H2093,0)</f>
        <v>0</v>
      </c>
      <c r="D2093" s="52">
        <f>IF(Учет!$O2093=Справочники!$F$4,Учет!$H2093,0)</f>
        <v>0</v>
      </c>
      <c r="E2093" s="52">
        <f>IF(Учет!$O2093=Справочники!$F$5,Учет!$H2093,0)</f>
        <v>0</v>
      </c>
      <c r="F2093" s="52">
        <f>IF(Учет!$O2093=Справочники!$F$6,Учет!$H2093,0)</f>
        <v>0</v>
      </c>
      <c r="G2093" s="43">
        <f>G2092+Учет!B2093-B2093</f>
        <v>-488978.92000000004</v>
      </c>
      <c r="H2093" s="43">
        <f>H2092+Учет!C2093-C2093</f>
        <v>336855</v>
      </c>
      <c r="I2093" s="43">
        <f>I2092+Учет!D2093-D2093</f>
        <v>500</v>
      </c>
      <c r="J2093" s="43">
        <f>J2092+Учет!E2093-E2093</f>
        <v>1150</v>
      </c>
      <c r="K2093" s="43">
        <f>K2092+Учет!F2093-F2093</f>
        <v>500000</v>
      </c>
      <c r="L2093" s="45">
        <f>Учет!I2093</f>
        <v>349526.07999999996</v>
      </c>
    </row>
    <row r="2094" spans="1:12" x14ac:dyDescent="0.25">
      <c r="A2094" s="48" t="str">
        <f>IF(Учет!A2094&lt;&gt;"",Учет!A2094,"")</f>
        <v/>
      </c>
      <c r="B2094" s="52">
        <f>IF(Учет!$O2094=Справочники!$F$2,Учет!$H2094,0)</f>
        <v>0</v>
      </c>
      <c r="C2094" s="52">
        <f>IF(Учет!$O2094=Справочники!$F$3,Учет!$H2094,0)</f>
        <v>0</v>
      </c>
      <c r="D2094" s="52">
        <f>IF(Учет!$O2094=Справочники!$F$4,Учет!$H2094,0)</f>
        <v>0</v>
      </c>
      <c r="E2094" s="52">
        <f>IF(Учет!$O2094=Справочники!$F$5,Учет!$H2094,0)</f>
        <v>0</v>
      </c>
      <c r="F2094" s="52">
        <f>IF(Учет!$O2094=Справочники!$F$6,Учет!$H2094,0)</f>
        <v>0</v>
      </c>
      <c r="G2094" s="43">
        <f>G2093+Учет!B2094-B2094</f>
        <v>-488978.92000000004</v>
      </c>
      <c r="H2094" s="43">
        <f>H2093+Учет!C2094-C2094</f>
        <v>336855</v>
      </c>
      <c r="I2094" s="43">
        <f>I2093+Учет!D2094-D2094</f>
        <v>500</v>
      </c>
      <c r="J2094" s="43">
        <f>J2093+Учет!E2094-E2094</f>
        <v>1150</v>
      </c>
      <c r="K2094" s="43">
        <f>K2093+Учет!F2094-F2094</f>
        <v>500000</v>
      </c>
      <c r="L2094" s="45">
        <f>Учет!I2094</f>
        <v>349526.07999999996</v>
      </c>
    </row>
    <row r="2095" spans="1:12" x14ac:dyDescent="0.25">
      <c r="A2095" s="48" t="str">
        <f>IF(Учет!A2095&lt;&gt;"",Учет!A2095,"")</f>
        <v/>
      </c>
      <c r="B2095" s="52">
        <f>IF(Учет!$O2095=Справочники!$F$2,Учет!$H2095,0)</f>
        <v>0</v>
      </c>
      <c r="C2095" s="52">
        <f>IF(Учет!$O2095=Справочники!$F$3,Учет!$H2095,0)</f>
        <v>0</v>
      </c>
      <c r="D2095" s="52">
        <f>IF(Учет!$O2095=Справочники!$F$4,Учет!$H2095,0)</f>
        <v>0</v>
      </c>
      <c r="E2095" s="52">
        <f>IF(Учет!$O2095=Справочники!$F$5,Учет!$H2095,0)</f>
        <v>0</v>
      </c>
      <c r="F2095" s="52">
        <f>IF(Учет!$O2095=Справочники!$F$6,Учет!$H2095,0)</f>
        <v>0</v>
      </c>
      <c r="G2095" s="43">
        <f>G2094+Учет!B2095-B2095</f>
        <v>-488978.92000000004</v>
      </c>
      <c r="H2095" s="43">
        <f>H2094+Учет!C2095-C2095</f>
        <v>336855</v>
      </c>
      <c r="I2095" s="43">
        <f>I2094+Учет!D2095-D2095</f>
        <v>500</v>
      </c>
      <c r="J2095" s="43">
        <f>J2094+Учет!E2095-E2095</f>
        <v>1150</v>
      </c>
      <c r="K2095" s="43">
        <f>K2094+Учет!F2095-F2095</f>
        <v>500000</v>
      </c>
      <c r="L2095" s="45">
        <f>Учет!I2095</f>
        <v>349526.07999999996</v>
      </c>
    </row>
    <row r="2096" spans="1:12" x14ac:dyDescent="0.25">
      <c r="A2096" s="48" t="str">
        <f>IF(Учет!A2096&lt;&gt;"",Учет!A2096,"")</f>
        <v/>
      </c>
      <c r="B2096" s="52">
        <f>IF(Учет!$O2096=Справочники!$F$2,Учет!$H2096,0)</f>
        <v>0</v>
      </c>
      <c r="C2096" s="52">
        <f>IF(Учет!$O2096=Справочники!$F$3,Учет!$H2096,0)</f>
        <v>0</v>
      </c>
      <c r="D2096" s="52">
        <f>IF(Учет!$O2096=Справочники!$F$4,Учет!$H2096,0)</f>
        <v>0</v>
      </c>
      <c r="E2096" s="52">
        <f>IF(Учет!$O2096=Справочники!$F$5,Учет!$H2096,0)</f>
        <v>0</v>
      </c>
      <c r="F2096" s="52">
        <f>IF(Учет!$O2096=Справочники!$F$6,Учет!$H2096,0)</f>
        <v>0</v>
      </c>
      <c r="G2096" s="43">
        <f>G2095+Учет!B2096-B2096</f>
        <v>-488978.92000000004</v>
      </c>
      <c r="H2096" s="43">
        <f>H2095+Учет!C2096-C2096</f>
        <v>336855</v>
      </c>
      <c r="I2096" s="43">
        <f>I2095+Учет!D2096-D2096</f>
        <v>500</v>
      </c>
      <c r="J2096" s="43">
        <f>J2095+Учет!E2096-E2096</f>
        <v>1150</v>
      </c>
      <c r="K2096" s="43">
        <f>K2095+Учет!F2096-F2096</f>
        <v>500000</v>
      </c>
      <c r="L2096" s="45">
        <f>Учет!I2096</f>
        <v>349526.07999999996</v>
      </c>
    </row>
    <row r="2097" spans="1:12" x14ac:dyDescent="0.25">
      <c r="A2097" s="48" t="str">
        <f>IF(Учет!A2097&lt;&gt;"",Учет!A2097,"")</f>
        <v/>
      </c>
      <c r="B2097" s="52">
        <f>IF(Учет!$O2097=Справочники!$F$2,Учет!$H2097,0)</f>
        <v>0</v>
      </c>
      <c r="C2097" s="52">
        <f>IF(Учет!$O2097=Справочники!$F$3,Учет!$H2097,0)</f>
        <v>0</v>
      </c>
      <c r="D2097" s="52">
        <f>IF(Учет!$O2097=Справочники!$F$4,Учет!$H2097,0)</f>
        <v>0</v>
      </c>
      <c r="E2097" s="52">
        <f>IF(Учет!$O2097=Справочники!$F$5,Учет!$H2097,0)</f>
        <v>0</v>
      </c>
      <c r="F2097" s="52">
        <f>IF(Учет!$O2097=Справочники!$F$6,Учет!$H2097,0)</f>
        <v>0</v>
      </c>
      <c r="G2097" s="43">
        <f>G2096+Учет!B2097-B2097</f>
        <v>-488978.92000000004</v>
      </c>
      <c r="H2097" s="43">
        <f>H2096+Учет!C2097-C2097</f>
        <v>336855</v>
      </c>
      <c r="I2097" s="43">
        <f>I2096+Учет!D2097-D2097</f>
        <v>500</v>
      </c>
      <c r="J2097" s="43">
        <f>J2096+Учет!E2097-E2097</f>
        <v>1150</v>
      </c>
      <c r="K2097" s="43">
        <f>K2096+Учет!F2097-F2097</f>
        <v>500000</v>
      </c>
      <c r="L2097" s="45">
        <f>Учет!I2097</f>
        <v>349526.07999999996</v>
      </c>
    </row>
    <row r="2098" spans="1:12" x14ac:dyDescent="0.25">
      <c r="A2098" s="48" t="str">
        <f>IF(Учет!A2098&lt;&gt;"",Учет!A2098,"")</f>
        <v/>
      </c>
      <c r="B2098" s="52">
        <f>IF(Учет!$O2098=Справочники!$F$2,Учет!$H2098,0)</f>
        <v>0</v>
      </c>
      <c r="C2098" s="52">
        <f>IF(Учет!$O2098=Справочники!$F$3,Учет!$H2098,0)</f>
        <v>0</v>
      </c>
      <c r="D2098" s="52">
        <f>IF(Учет!$O2098=Справочники!$F$4,Учет!$H2098,0)</f>
        <v>0</v>
      </c>
      <c r="E2098" s="52">
        <f>IF(Учет!$O2098=Справочники!$F$5,Учет!$H2098,0)</f>
        <v>0</v>
      </c>
      <c r="F2098" s="52">
        <f>IF(Учет!$O2098=Справочники!$F$6,Учет!$H2098,0)</f>
        <v>0</v>
      </c>
      <c r="G2098" s="43">
        <f>G2097+Учет!B2098-B2098</f>
        <v>-488978.92000000004</v>
      </c>
      <c r="H2098" s="43">
        <f>H2097+Учет!C2098-C2098</f>
        <v>336855</v>
      </c>
      <c r="I2098" s="43">
        <f>I2097+Учет!D2098-D2098</f>
        <v>500</v>
      </c>
      <c r="J2098" s="43">
        <f>J2097+Учет!E2098-E2098</f>
        <v>1150</v>
      </c>
      <c r="K2098" s="43">
        <f>K2097+Учет!F2098-F2098</f>
        <v>500000</v>
      </c>
      <c r="L2098" s="45">
        <f>Учет!I2098</f>
        <v>349526.07999999996</v>
      </c>
    </row>
    <row r="2099" spans="1:12" x14ac:dyDescent="0.25">
      <c r="A2099" s="48" t="str">
        <f>IF(Учет!A2099&lt;&gt;"",Учет!A2099,"")</f>
        <v/>
      </c>
      <c r="B2099" s="52">
        <f>IF(Учет!$O2099=Справочники!$F$2,Учет!$H2099,0)</f>
        <v>0</v>
      </c>
      <c r="C2099" s="52">
        <f>IF(Учет!$O2099=Справочники!$F$3,Учет!$H2099,0)</f>
        <v>0</v>
      </c>
      <c r="D2099" s="52">
        <f>IF(Учет!$O2099=Справочники!$F$4,Учет!$H2099,0)</f>
        <v>0</v>
      </c>
      <c r="E2099" s="52">
        <f>IF(Учет!$O2099=Справочники!$F$5,Учет!$H2099,0)</f>
        <v>0</v>
      </c>
      <c r="F2099" s="52">
        <f>IF(Учет!$O2099=Справочники!$F$6,Учет!$H2099,0)</f>
        <v>0</v>
      </c>
      <c r="G2099" s="43">
        <f>G2098+Учет!B2099-B2099</f>
        <v>-488978.92000000004</v>
      </c>
      <c r="H2099" s="43">
        <f>H2098+Учет!C2099-C2099</f>
        <v>336855</v>
      </c>
      <c r="I2099" s="43">
        <f>I2098+Учет!D2099-D2099</f>
        <v>500</v>
      </c>
      <c r="J2099" s="43">
        <f>J2098+Учет!E2099-E2099</f>
        <v>1150</v>
      </c>
      <c r="K2099" s="43">
        <f>K2098+Учет!F2099-F2099</f>
        <v>500000</v>
      </c>
      <c r="L2099" s="45">
        <f>Учет!I2099</f>
        <v>349526.07999999996</v>
      </c>
    </row>
    <row r="2100" spans="1:12" x14ac:dyDescent="0.25">
      <c r="A2100" s="48" t="str">
        <f>IF(Учет!A2100&lt;&gt;"",Учет!A2100,"")</f>
        <v/>
      </c>
      <c r="B2100" s="52">
        <f>IF(Учет!$O2100=Справочники!$F$2,Учет!$H2100,0)</f>
        <v>0</v>
      </c>
      <c r="C2100" s="52">
        <f>IF(Учет!$O2100=Справочники!$F$3,Учет!$H2100,0)</f>
        <v>0</v>
      </c>
      <c r="D2100" s="52">
        <f>IF(Учет!$O2100=Справочники!$F$4,Учет!$H2100,0)</f>
        <v>0</v>
      </c>
      <c r="E2100" s="52">
        <f>IF(Учет!$O2100=Справочники!$F$5,Учет!$H2100,0)</f>
        <v>0</v>
      </c>
      <c r="F2100" s="52">
        <f>IF(Учет!$O2100=Справочники!$F$6,Учет!$H2100,0)</f>
        <v>0</v>
      </c>
      <c r="G2100" s="43">
        <f>G2099+Учет!B2100-B2100</f>
        <v>-488978.92000000004</v>
      </c>
      <c r="H2100" s="43">
        <f>H2099+Учет!C2100-C2100</f>
        <v>336855</v>
      </c>
      <c r="I2100" s="43">
        <f>I2099+Учет!D2100-D2100</f>
        <v>500</v>
      </c>
      <c r="J2100" s="43">
        <f>J2099+Учет!E2100-E2100</f>
        <v>1150</v>
      </c>
      <c r="K2100" s="43">
        <f>K2099+Учет!F2100-F2100</f>
        <v>500000</v>
      </c>
      <c r="L2100" s="45">
        <f>Учет!I2100</f>
        <v>349526.07999999996</v>
      </c>
    </row>
    <row r="2101" spans="1:12" x14ac:dyDescent="0.25">
      <c r="A2101" s="48" t="str">
        <f>IF(Учет!A2101&lt;&gt;"",Учет!A2101,"")</f>
        <v/>
      </c>
      <c r="B2101" s="52">
        <f>IF(Учет!$O2101=Справочники!$F$2,Учет!$H2101,0)</f>
        <v>0</v>
      </c>
      <c r="C2101" s="52">
        <f>IF(Учет!$O2101=Справочники!$F$3,Учет!$H2101,0)</f>
        <v>0</v>
      </c>
      <c r="D2101" s="52">
        <f>IF(Учет!$O2101=Справочники!$F$4,Учет!$H2101,0)</f>
        <v>0</v>
      </c>
      <c r="E2101" s="52">
        <f>IF(Учет!$O2101=Справочники!$F$5,Учет!$H2101,0)</f>
        <v>0</v>
      </c>
      <c r="F2101" s="52">
        <f>IF(Учет!$O2101=Справочники!$F$6,Учет!$H2101,0)</f>
        <v>0</v>
      </c>
      <c r="G2101" s="43">
        <f>G2100+Учет!B2101-B2101</f>
        <v>-488978.92000000004</v>
      </c>
      <c r="H2101" s="43">
        <f>H2100+Учет!C2101-C2101</f>
        <v>336855</v>
      </c>
      <c r="I2101" s="43">
        <f>I2100+Учет!D2101-D2101</f>
        <v>500</v>
      </c>
      <c r="J2101" s="43">
        <f>J2100+Учет!E2101-E2101</f>
        <v>1150</v>
      </c>
      <c r="K2101" s="43">
        <f>K2100+Учет!F2101-F2101</f>
        <v>500000</v>
      </c>
      <c r="L2101" s="45">
        <f>Учет!I2101</f>
        <v>349526.07999999996</v>
      </c>
    </row>
    <row r="2102" spans="1:12" x14ac:dyDescent="0.25">
      <c r="A2102" s="48" t="str">
        <f>IF(Учет!A2102&lt;&gt;"",Учет!A2102,"")</f>
        <v/>
      </c>
      <c r="B2102" s="52">
        <f>IF(Учет!$O2102=Справочники!$F$2,Учет!$H2102,0)</f>
        <v>0</v>
      </c>
      <c r="C2102" s="52">
        <f>IF(Учет!$O2102=Справочники!$F$3,Учет!$H2102,0)</f>
        <v>0</v>
      </c>
      <c r="D2102" s="52">
        <f>IF(Учет!$O2102=Справочники!$F$4,Учет!$H2102,0)</f>
        <v>0</v>
      </c>
      <c r="E2102" s="52">
        <f>IF(Учет!$O2102=Справочники!$F$5,Учет!$H2102,0)</f>
        <v>0</v>
      </c>
      <c r="F2102" s="52">
        <f>IF(Учет!$O2102=Справочники!$F$6,Учет!$H2102,0)</f>
        <v>0</v>
      </c>
      <c r="G2102" s="43">
        <f>G2101+Учет!B2102-B2102</f>
        <v>-488978.92000000004</v>
      </c>
      <c r="H2102" s="43">
        <f>H2101+Учет!C2102-C2102</f>
        <v>336855</v>
      </c>
      <c r="I2102" s="43">
        <f>I2101+Учет!D2102-D2102</f>
        <v>500</v>
      </c>
      <c r="J2102" s="43">
        <f>J2101+Учет!E2102-E2102</f>
        <v>1150</v>
      </c>
      <c r="K2102" s="43">
        <f>K2101+Учет!F2102-F2102</f>
        <v>500000</v>
      </c>
      <c r="L2102" s="45">
        <f>Учет!I2102</f>
        <v>349526.07999999996</v>
      </c>
    </row>
    <row r="2103" spans="1:12" x14ac:dyDescent="0.25">
      <c r="A2103" s="48" t="str">
        <f>IF(Учет!A2103&lt;&gt;"",Учет!A2103,"")</f>
        <v/>
      </c>
      <c r="B2103" s="52">
        <f>IF(Учет!$O2103=Справочники!$F$2,Учет!$H2103,0)</f>
        <v>0</v>
      </c>
      <c r="C2103" s="52">
        <f>IF(Учет!$O2103=Справочники!$F$3,Учет!$H2103,0)</f>
        <v>0</v>
      </c>
      <c r="D2103" s="52">
        <f>IF(Учет!$O2103=Справочники!$F$4,Учет!$H2103,0)</f>
        <v>0</v>
      </c>
      <c r="E2103" s="52">
        <f>IF(Учет!$O2103=Справочники!$F$5,Учет!$H2103,0)</f>
        <v>0</v>
      </c>
      <c r="F2103" s="52">
        <f>IF(Учет!$O2103=Справочники!$F$6,Учет!$H2103,0)</f>
        <v>0</v>
      </c>
      <c r="G2103" s="43">
        <f>G2102+Учет!B2103-B2103</f>
        <v>-488978.92000000004</v>
      </c>
      <c r="H2103" s="43">
        <f>H2102+Учет!C2103-C2103</f>
        <v>336855</v>
      </c>
      <c r="I2103" s="43">
        <f>I2102+Учет!D2103-D2103</f>
        <v>500</v>
      </c>
      <c r="J2103" s="43">
        <f>J2102+Учет!E2103-E2103</f>
        <v>1150</v>
      </c>
      <c r="K2103" s="43">
        <f>K2102+Учет!F2103-F2103</f>
        <v>500000</v>
      </c>
      <c r="L2103" s="45">
        <f>Учет!I2103</f>
        <v>349526.07999999996</v>
      </c>
    </row>
    <row r="2104" spans="1:12" x14ac:dyDescent="0.25">
      <c r="A2104" s="48" t="str">
        <f>IF(Учет!A2104&lt;&gt;"",Учет!A2104,"")</f>
        <v/>
      </c>
      <c r="B2104" s="52">
        <f>IF(Учет!$O2104=Справочники!$F$2,Учет!$H2104,0)</f>
        <v>0</v>
      </c>
      <c r="C2104" s="52">
        <f>IF(Учет!$O2104=Справочники!$F$3,Учет!$H2104,0)</f>
        <v>0</v>
      </c>
      <c r="D2104" s="52">
        <f>IF(Учет!$O2104=Справочники!$F$4,Учет!$H2104,0)</f>
        <v>0</v>
      </c>
      <c r="E2104" s="52">
        <f>IF(Учет!$O2104=Справочники!$F$5,Учет!$H2104,0)</f>
        <v>0</v>
      </c>
      <c r="F2104" s="52">
        <f>IF(Учет!$O2104=Справочники!$F$6,Учет!$H2104,0)</f>
        <v>0</v>
      </c>
      <c r="G2104" s="43">
        <f>G2103+Учет!B2104-B2104</f>
        <v>-488978.92000000004</v>
      </c>
      <c r="H2104" s="43">
        <f>H2103+Учет!C2104-C2104</f>
        <v>336855</v>
      </c>
      <c r="I2104" s="43">
        <f>I2103+Учет!D2104-D2104</f>
        <v>500</v>
      </c>
      <c r="J2104" s="43">
        <f>J2103+Учет!E2104-E2104</f>
        <v>1150</v>
      </c>
      <c r="K2104" s="43">
        <f>K2103+Учет!F2104-F2104</f>
        <v>500000</v>
      </c>
      <c r="L2104" s="45">
        <f>Учет!I2104</f>
        <v>349526.07999999996</v>
      </c>
    </row>
    <row r="2105" spans="1:12" x14ac:dyDescent="0.25">
      <c r="A2105" s="48" t="str">
        <f>IF(Учет!A2105&lt;&gt;"",Учет!A2105,"")</f>
        <v/>
      </c>
      <c r="B2105" s="52">
        <f>IF(Учет!$O2105=Справочники!$F$2,Учет!$H2105,0)</f>
        <v>0</v>
      </c>
      <c r="C2105" s="52">
        <f>IF(Учет!$O2105=Справочники!$F$3,Учет!$H2105,0)</f>
        <v>0</v>
      </c>
      <c r="D2105" s="52">
        <f>IF(Учет!$O2105=Справочники!$F$4,Учет!$H2105,0)</f>
        <v>0</v>
      </c>
      <c r="E2105" s="52">
        <f>IF(Учет!$O2105=Справочники!$F$5,Учет!$H2105,0)</f>
        <v>0</v>
      </c>
      <c r="F2105" s="52">
        <f>IF(Учет!$O2105=Справочники!$F$6,Учет!$H2105,0)</f>
        <v>0</v>
      </c>
      <c r="G2105" s="43">
        <f>G2104+Учет!B2105-B2105</f>
        <v>-488978.92000000004</v>
      </c>
      <c r="H2105" s="43">
        <f>H2104+Учет!C2105-C2105</f>
        <v>336855</v>
      </c>
      <c r="I2105" s="43">
        <f>I2104+Учет!D2105-D2105</f>
        <v>500</v>
      </c>
      <c r="J2105" s="43">
        <f>J2104+Учет!E2105-E2105</f>
        <v>1150</v>
      </c>
      <c r="K2105" s="43">
        <f>K2104+Учет!F2105-F2105</f>
        <v>500000</v>
      </c>
      <c r="L2105" s="45">
        <f>Учет!I2105</f>
        <v>349526.07999999996</v>
      </c>
    </row>
    <row r="2106" spans="1:12" x14ac:dyDescent="0.25">
      <c r="A2106" s="48" t="str">
        <f>IF(Учет!A2106&lt;&gt;"",Учет!A2106,"")</f>
        <v/>
      </c>
      <c r="B2106" s="52">
        <f>IF(Учет!$O2106=Справочники!$F$2,Учет!$H2106,0)</f>
        <v>0</v>
      </c>
      <c r="C2106" s="52">
        <f>IF(Учет!$O2106=Справочники!$F$3,Учет!$H2106,0)</f>
        <v>0</v>
      </c>
      <c r="D2106" s="52">
        <f>IF(Учет!$O2106=Справочники!$F$4,Учет!$H2106,0)</f>
        <v>0</v>
      </c>
      <c r="E2106" s="52">
        <f>IF(Учет!$O2106=Справочники!$F$5,Учет!$H2106,0)</f>
        <v>0</v>
      </c>
      <c r="F2106" s="52">
        <f>IF(Учет!$O2106=Справочники!$F$6,Учет!$H2106,0)</f>
        <v>0</v>
      </c>
      <c r="G2106" s="43">
        <f>G2105+Учет!B2106-B2106</f>
        <v>-488978.92000000004</v>
      </c>
      <c r="H2106" s="43">
        <f>H2105+Учет!C2106-C2106</f>
        <v>336855</v>
      </c>
      <c r="I2106" s="43">
        <f>I2105+Учет!D2106-D2106</f>
        <v>500</v>
      </c>
      <c r="J2106" s="43">
        <f>J2105+Учет!E2106-E2106</f>
        <v>1150</v>
      </c>
      <c r="K2106" s="43">
        <f>K2105+Учет!F2106-F2106</f>
        <v>500000</v>
      </c>
      <c r="L2106" s="45">
        <f>Учет!I2106</f>
        <v>349526.07999999996</v>
      </c>
    </row>
    <row r="2107" spans="1:12" x14ac:dyDescent="0.25">
      <c r="A2107" s="48" t="str">
        <f>IF(Учет!A2107&lt;&gt;"",Учет!A2107,"")</f>
        <v/>
      </c>
      <c r="B2107" s="52">
        <f>IF(Учет!$O2107=Справочники!$F$2,Учет!$H2107,0)</f>
        <v>0</v>
      </c>
      <c r="C2107" s="52">
        <f>IF(Учет!$O2107=Справочники!$F$3,Учет!$H2107,0)</f>
        <v>0</v>
      </c>
      <c r="D2107" s="52">
        <f>IF(Учет!$O2107=Справочники!$F$4,Учет!$H2107,0)</f>
        <v>0</v>
      </c>
      <c r="E2107" s="52">
        <f>IF(Учет!$O2107=Справочники!$F$5,Учет!$H2107,0)</f>
        <v>0</v>
      </c>
      <c r="F2107" s="52">
        <f>IF(Учет!$O2107=Справочники!$F$6,Учет!$H2107,0)</f>
        <v>0</v>
      </c>
      <c r="G2107" s="43">
        <f>G2106+Учет!B2107-B2107</f>
        <v>-488978.92000000004</v>
      </c>
      <c r="H2107" s="43">
        <f>H2106+Учет!C2107-C2107</f>
        <v>336855</v>
      </c>
      <c r="I2107" s="43">
        <f>I2106+Учет!D2107-D2107</f>
        <v>500</v>
      </c>
      <c r="J2107" s="43">
        <f>J2106+Учет!E2107-E2107</f>
        <v>1150</v>
      </c>
      <c r="K2107" s="43">
        <f>K2106+Учет!F2107-F2107</f>
        <v>500000</v>
      </c>
      <c r="L2107" s="45">
        <f>Учет!I2107</f>
        <v>349526.07999999996</v>
      </c>
    </row>
    <row r="2108" spans="1:12" x14ac:dyDescent="0.25">
      <c r="A2108" s="48" t="str">
        <f>IF(Учет!A2108&lt;&gt;"",Учет!A2108,"")</f>
        <v/>
      </c>
      <c r="B2108" s="52">
        <f>IF(Учет!$O2108=Справочники!$F$2,Учет!$H2108,0)</f>
        <v>0</v>
      </c>
      <c r="C2108" s="52">
        <f>IF(Учет!$O2108=Справочники!$F$3,Учет!$H2108,0)</f>
        <v>0</v>
      </c>
      <c r="D2108" s="52">
        <f>IF(Учет!$O2108=Справочники!$F$4,Учет!$H2108,0)</f>
        <v>0</v>
      </c>
      <c r="E2108" s="52">
        <f>IF(Учет!$O2108=Справочники!$F$5,Учет!$H2108,0)</f>
        <v>0</v>
      </c>
      <c r="F2108" s="52">
        <f>IF(Учет!$O2108=Справочники!$F$6,Учет!$H2108,0)</f>
        <v>0</v>
      </c>
      <c r="G2108" s="43">
        <f>G2107+Учет!B2108-B2108</f>
        <v>-488978.92000000004</v>
      </c>
      <c r="H2108" s="43">
        <f>H2107+Учет!C2108-C2108</f>
        <v>336855</v>
      </c>
      <c r="I2108" s="43">
        <f>I2107+Учет!D2108-D2108</f>
        <v>500</v>
      </c>
      <c r="J2108" s="43">
        <f>J2107+Учет!E2108-E2108</f>
        <v>1150</v>
      </c>
      <c r="K2108" s="43">
        <f>K2107+Учет!F2108-F2108</f>
        <v>500000</v>
      </c>
      <c r="L2108" s="45">
        <f>Учет!I2108</f>
        <v>349526.07999999996</v>
      </c>
    </row>
    <row r="2109" spans="1:12" x14ac:dyDescent="0.25">
      <c r="A2109" s="48" t="str">
        <f>IF(Учет!A2109&lt;&gt;"",Учет!A2109,"")</f>
        <v/>
      </c>
      <c r="B2109" s="52">
        <f>IF(Учет!$O2109=Справочники!$F$2,Учет!$H2109,0)</f>
        <v>0</v>
      </c>
      <c r="C2109" s="52">
        <f>IF(Учет!$O2109=Справочники!$F$3,Учет!$H2109,0)</f>
        <v>0</v>
      </c>
      <c r="D2109" s="52">
        <f>IF(Учет!$O2109=Справочники!$F$4,Учет!$H2109,0)</f>
        <v>0</v>
      </c>
      <c r="E2109" s="52">
        <f>IF(Учет!$O2109=Справочники!$F$5,Учет!$H2109,0)</f>
        <v>0</v>
      </c>
      <c r="F2109" s="52">
        <f>IF(Учет!$O2109=Справочники!$F$6,Учет!$H2109,0)</f>
        <v>0</v>
      </c>
      <c r="G2109" s="43">
        <f>G2108+Учет!B2109-B2109</f>
        <v>-488978.92000000004</v>
      </c>
      <c r="H2109" s="43">
        <f>H2108+Учет!C2109-C2109</f>
        <v>336855</v>
      </c>
      <c r="I2109" s="43">
        <f>I2108+Учет!D2109-D2109</f>
        <v>500</v>
      </c>
      <c r="J2109" s="43">
        <f>J2108+Учет!E2109-E2109</f>
        <v>1150</v>
      </c>
      <c r="K2109" s="43">
        <f>K2108+Учет!F2109-F2109</f>
        <v>500000</v>
      </c>
      <c r="L2109" s="45">
        <f>Учет!I2109</f>
        <v>349526.07999999996</v>
      </c>
    </row>
    <row r="2110" spans="1:12" x14ac:dyDescent="0.25">
      <c r="A2110" s="48" t="str">
        <f>IF(Учет!A2110&lt;&gt;"",Учет!A2110,"")</f>
        <v/>
      </c>
      <c r="B2110" s="52">
        <f>IF(Учет!$O2110=Справочники!$F$2,Учет!$H2110,0)</f>
        <v>0</v>
      </c>
      <c r="C2110" s="52">
        <f>IF(Учет!$O2110=Справочники!$F$3,Учет!$H2110,0)</f>
        <v>0</v>
      </c>
      <c r="D2110" s="52">
        <f>IF(Учет!$O2110=Справочники!$F$4,Учет!$H2110,0)</f>
        <v>0</v>
      </c>
      <c r="E2110" s="52">
        <f>IF(Учет!$O2110=Справочники!$F$5,Учет!$H2110,0)</f>
        <v>0</v>
      </c>
      <c r="F2110" s="52">
        <f>IF(Учет!$O2110=Справочники!$F$6,Учет!$H2110,0)</f>
        <v>0</v>
      </c>
      <c r="G2110" s="43">
        <f>G2109+Учет!B2110-B2110</f>
        <v>-488978.92000000004</v>
      </c>
      <c r="H2110" s="43">
        <f>H2109+Учет!C2110-C2110</f>
        <v>336855</v>
      </c>
      <c r="I2110" s="43">
        <f>I2109+Учет!D2110-D2110</f>
        <v>500</v>
      </c>
      <c r="J2110" s="43">
        <f>J2109+Учет!E2110-E2110</f>
        <v>1150</v>
      </c>
      <c r="K2110" s="43">
        <f>K2109+Учет!F2110-F2110</f>
        <v>500000</v>
      </c>
      <c r="L2110" s="45">
        <f>Учет!I2110</f>
        <v>349526.07999999996</v>
      </c>
    </row>
    <row r="2111" spans="1:12" x14ac:dyDescent="0.25">
      <c r="A2111" s="48" t="str">
        <f>IF(Учет!A2111&lt;&gt;"",Учет!A2111,"")</f>
        <v/>
      </c>
      <c r="B2111" s="52">
        <f>IF(Учет!$O2111=Справочники!$F$2,Учет!$H2111,0)</f>
        <v>0</v>
      </c>
      <c r="C2111" s="52">
        <f>IF(Учет!$O2111=Справочники!$F$3,Учет!$H2111,0)</f>
        <v>0</v>
      </c>
      <c r="D2111" s="52">
        <f>IF(Учет!$O2111=Справочники!$F$4,Учет!$H2111,0)</f>
        <v>0</v>
      </c>
      <c r="E2111" s="52">
        <f>IF(Учет!$O2111=Справочники!$F$5,Учет!$H2111,0)</f>
        <v>0</v>
      </c>
      <c r="F2111" s="52">
        <f>IF(Учет!$O2111=Справочники!$F$6,Учет!$H2111,0)</f>
        <v>0</v>
      </c>
      <c r="G2111" s="43">
        <f>G2110+Учет!B2111-B2111</f>
        <v>-488978.92000000004</v>
      </c>
      <c r="H2111" s="43">
        <f>H2110+Учет!C2111-C2111</f>
        <v>336855</v>
      </c>
      <c r="I2111" s="43">
        <f>I2110+Учет!D2111-D2111</f>
        <v>500</v>
      </c>
      <c r="J2111" s="43">
        <f>J2110+Учет!E2111-E2111</f>
        <v>1150</v>
      </c>
      <c r="K2111" s="43">
        <f>K2110+Учет!F2111-F2111</f>
        <v>500000</v>
      </c>
      <c r="L2111" s="45">
        <f>Учет!I2111</f>
        <v>349526.07999999996</v>
      </c>
    </row>
    <row r="2112" spans="1:12" x14ac:dyDescent="0.25">
      <c r="A2112" s="48" t="str">
        <f>IF(Учет!A2112&lt;&gt;"",Учет!A2112,"")</f>
        <v/>
      </c>
      <c r="B2112" s="52">
        <f>IF(Учет!$O2112=Справочники!$F$2,Учет!$H2112,0)</f>
        <v>0</v>
      </c>
      <c r="C2112" s="52">
        <f>IF(Учет!$O2112=Справочники!$F$3,Учет!$H2112,0)</f>
        <v>0</v>
      </c>
      <c r="D2112" s="52">
        <f>IF(Учет!$O2112=Справочники!$F$4,Учет!$H2112,0)</f>
        <v>0</v>
      </c>
      <c r="E2112" s="52">
        <f>IF(Учет!$O2112=Справочники!$F$5,Учет!$H2112,0)</f>
        <v>0</v>
      </c>
      <c r="F2112" s="52">
        <f>IF(Учет!$O2112=Справочники!$F$6,Учет!$H2112,0)</f>
        <v>0</v>
      </c>
      <c r="G2112" s="43">
        <f>G2111+Учет!B2112-B2112</f>
        <v>-488978.92000000004</v>
      </c>
      <c r="H2112" s="43">
        <f>H2111+Учет!C2112-C2112</f>
        <v>336855</v>
      </c>
      <c r="I2112" s="43">
        <f>I2111+Учет!D2112-D2112</f>
        <v>500</v>
      </c>
      <c r="J2112" s="43">
        <f>J2111+Учет!E2112-E2112</f>
        <v>1150</v>
      </c>
      <c r="K2112" s="43">
        <f>K2111+Учет!F2112-F2112</f>
        <v>500000</v>
      </c>
      <c r="L2112" s="45">
        <f>Учет!I2112</f>
        <v>349526.07999999996</v>
      </c>
    </row>
    <row r="2113" spans="1:12" x14ac:dyDescent="0.25">
      <c r="A2113" s="48" t="str">
        <f>IF(Учет!A2113&lt;&gt;"",Учет!A2113,"")</f>
        <v/>
      </c>
      <c r="B2113" s="52">
        <f>IF(Учет!$O2113=Справочники!$F$2,Учет!$H2113,0)</f>
        <v>0</v>
      </c>
      <c r="C2113" s="52">
        <f>IF(Учет!$O2113=Справочники!$F$3,Учет!$H2113,0)</f>
        <v>0</v>
      </c>
      <c r="D2113" s="52">
        <f>IF(Учет!$O2113=Справочники!$F$4,Учет!$H2113,0)</f>
        <v>0</v>
      </c>
      <c r="E2113" s="52">
        <f>IF(Учет!$O2113=Справочники!$F$5,Учет!$H2113,0)</f>
        <v>0</v>
      </c>
      <c r="F2113" s="52">
        <f>IF(Учет!$O2113=Справочники!$F$6,Учет!$H2113,0)</f>
        <v>0</v>
      </c>
      <c r="G2113" s="43">
        <f>G2112+Учет!B2113-B2113</f>
        <v>-488978.92000000004</v>
      </c>
      <c r="H2113" s="43">
        <f>H2112+Учет!C2113-C2113</f>
        <v>336855</v>
      </c>
      <c r="I2113" s="43">
        <f>I2112+Учет!D2113-D2113</f>
        <v>500</v>
      </c>
      <c r="J2113" s="43">
        <f>J2112+Учет!E2113-E2113</f>
        <v>1150</v>
      </c>
      <c r="K2113" s="43">
        <f>K2112+Учет!F2113-F2113</f>
        <v>500000</v>
      </c>
      <c r="L2113" s="45">
        <f>Учет!I2113</f>
        <v>349526.07999999996</v>
      </c>
    </row>
    <row r="2114" spans="1:12" x14ac:dyDescent="0.25">
      <c r="A2114" s="48" t="str">
        <f>IF(Учет!A2114&lt;&gt;"",Учет!A2114,"")</f>
        <v/>
      </c>
      <c r="B2114" s="52">
        <f>IF(Учет!$O2114=Справочники!$F$2,Учет!$H2114,0)</f>
        <v>0</v>
      </c>
      <c r="C2114" s="52">
        <f>IF(Учет!$O2114=Справочники!$F$3,Учет!$H2114,0)</f>
        <v>0</v>
      </c>
      <c r="D2114" s="52">
        <f>IF(Учет!$O2114=Справочники!$F$4,Учет!$H2114,0)</f>
        <v>0</v>
      </c>
      <c r="E2114" s="52">
        <f>IF(Учет!$O2114=Справочники!$F$5,Учет!$H2114,0)</f>
        <v>0</v>
      </c>
      <c r="F2114" s="52">
        <f>IF(Учет!$O2114=Справочники!$F$6,Учет!$H2114,0)</f>
        <v>0</v>
      </c>
      <c r="G2114" s="43">
        <f>G2113+Учет!B2114-B2114</f>
        <v>-488978.92000000004</v>
      </c>
      <c r="H2114" s="43">
        <f>H2113+Учет!C2114-C2114</f>
        <v>336855</v>
      </c>
      <c r="I2114" s="43">
        <f>I2113+Учет!D2114-D2114</f>
        <v>500</v>
      </c>
      <c r="J2114" s="43">
        <f>J2113+Учет!E2114-E2114</f>
        <v>1150</v>
      </c>
      <c r="K2114" s="43">
        <f>K2113+Учет!F2114-F2114</f>
        <v>500000</v>
      </c>
      <c r="L2114" s="45">
        <f>Учет!I2114</f>
        <v>349526.07999999996</v>
      </c>
    </row>
    <row r="2115" spans="1:12" x14ac:dyDescent="0.25">
      <c r="A2115" s="48" t="str">
        <f>IF(Учет!A2115&lt;&gt;"",Учет!A2115,"")</f>
        <v/>
      </c>
      <c r="B2115" s="52">
        <f>IF(Учет!$O2115=Справочники!$F$2,Учет!$H2115,0)</f>
        <v>0</v>
      </c>
      <c r="C2115" s="52">
        <f>IF(Учет!$O2115=Справочники!$F$3,Учет!$H2115,0)</f>
        <v>0</v>
      </c>
      <c r="D2115" s="52">
        <f>IF(Учет!$O2115=Справочники!$F$4,Учет!$H2115,0)</f>
        <v>0</v>
      </c>
      <c r="E2115" s="52">
        <f>IF(Учет!$O2115=Справочники!$F$5,Учет!$H2115,0)</f>
        <v>0</v>
      </c>
      <c r="F2115" s="52">
        <f>IF(Учет!$O2115=Справочники!$F$6,Учет!$H2115,0)</f>
        <v>0</v>
      </c>
      <c r="G2115" s="43">
        <f>G2114+Учет!B2115-B2115</f>
        <v>-488978.92000000004</v>
      </c>
      <c r="H2115" s="43">
        <f>H2114+Учет!C2115-C2115</f>
        <v>336855</v>
      </c>
      <c r="I2115" s="43">
        <f>I2114+Учет!D2115-D2115</f>
        <v>500</v>
      </c>
      <c r="J2115" s="43">
        <f>J2114+Учет!E2115-E2115</f>
        <v>1150</v>
      </c>
      <c r="K2115" s="43">
        <f>K2114+Учет!F2115-F2115</f>
        <v>500000</v>
      </c>
      <c r="L2115" s="45">
        <f>Учет!I2115</f>
        <v>349526.07999999996</v>
      </c>
    </row>
    <row r="2116" spans="1:12" x14ac:dyDescent="0.25">
      <c r="A2116" s="48" t="str">
        <f>IF(Учет!A2116&lt;&gt;"",Учет!A2116,"")</f>
        <v/>
      </c>
      <c r="B2116" s="52">
        <f>IF(Учет!$O2116=Справочники!$F$2,Учет!$H2116,0)</f>
        <v>0</v>
      </c>
      <c r="C2116" s="52">
        <f>IF(Учет!$O2116=Справочники!$F$3,Учет!$H2116,0)</f>
        <v>0</v>
      </c>
      <c r="D2116" s="52">
        <f>IF(Учет!$O2116=Справочники!$F$4,Учет!$H2116,0)</f>
        <v>0</v>
      </c>
      <c r="E2116" s="52">
        <f>IF(Учет!$O2116=Справочники!$F$5,Учет!$H2116,0)</f>
        <v>0</v>
      </c>
      <c r="F2116" s="52">
        <f>IF(Учет!$O2116=Справочники!$F$6,Учет!$H2116,0)</f>
        <v>0</v>
      </c>
      <c r="G2116" s="43">
        <f>G2115+Учет!B2116-B2116</f>
        <v>-488978.92000000004</v>
      </c>
      <c r="H2116" s="43">
        <f>H2115+Учет!C2116-C2116</f>
        <v>336855</v>
      </c>
      <c r="I2116" s="43">
        <f>I2115+Учет!D2116-D2116</f>
        <v>500</v>
      </c>
      <c r="J2116" s="43">
        <f>J2115+Учет!E2116-E2116</f>
        <v>1150</v>
      </c>
      <c r="K2116" s="43">
        <f>K2115+Учет!F2116-F2116</f>
        <v>500000</v>
      </c>
      <c r="L2116" s="45">
        <f>Учет!I2116</f>
        <v>349526.07999999996</v>
      </c>
    </row>
    <row r="2117" spans="1:12" x14ac:dyDescent="0.25">
      <c r="A2117" s="48" t="str">
        <f>IF(Учет!A2117&lt;&gt;"",Учет!A2117,"")</f>
        <v/>
      </c>
      <c r="B2117" s="52">
        <f>IF(Учет!$O2117=Справочники!$F$2,Учет!$H2117,0)</f>
        <v>0</v>
      </c>
      <c r="C2117" s="52">
        <f>IF(Учет!$O2117=Справочники!$F$3,Учет!$H2117,0)</f>
        <v>0</v>
      </c>
      <c r="D2117" s="52">
        <f>IF(Учет!$O2117=Справочники!$F$4,Учет!$H2117,0)</f>
        <v>0</v>
      </c>
      <c r="E2117" s="52">
        <f>IF(Учет!$O2117=Справочники!$F$5,Учет!$H2117,0)</f>
        <v>0</v>
      </c>
      <c r="F2117" s="52">
        <f>IF(Учет!$O2117=Справочники!$F$6,Учет!$H2117,0)</f>
        <v>0</v>
      </c>
      <c r="G2117" s="43">
        <f>G2116+Учет!B2117-B2117</f>
        <v>-488978.92000000004</v>
      </c>
      <c r="H2117" s="43">
        <f>H2116+Учет!C2117-C2117</f>
        <v>336855</v>
      </c>
      <c r="I2117" s="43">
        <f>I2116+Учет!D2117-D2117</f>
        <v>500</v>
      </c>
      <c r="J2117" s="43">
        <f>J2116+Учет!E2117-E2117</f>
        <v>1150</v>
      </c>
      <c r="K2117" s="43">
        <f>K2116+Учет!F2117-F2117</f>
        <v>500000</v>
      </c>
      <c r="L2117" s="45">
        <f>Учет!I2117</f>
        <v>349526.07999999996</v>
      </c>
    </row>
    <row r="2118" spans="1:12" x14ac:dyDescent="0.25">
      <c r="A2118" s="48" t="str">
        <f>IF(Учет!A2118&lt;&gt;"",Учет!A2118,"")</f>
        <v/>
      </c>
      <c r="B2118" s="52">
        <f>IF(Учет!$O2118=Справочники!$F$2,Учет!$H2118,0)</f>
        <v>0</v>
      </c>
      <c r="C2118" s="52">
        <f>IF(Учет!$O2118=Справочники!$F$3,Учет!$H2118,0)</f>
        <v>0</v>
      </c>
      <c r="D2118" s="52">
        <f>IF(Учет!$O2118=Справочники!$F$4,Учет!$H2118,0)</f>
        <v>0</v>
      </c>
      <c r="E2118" s="52">
        <f>IF(Учет!$O2118=Справочники!$F$5,Учет!$H2118,0)</f>
        <v>0</v>
      </c>
      <c r="F2118" s="52">
        <f>IF(Учет!$O2118=Справочники!$F$6,Учет!$H2118,0)</f>
        <v>0</v>
      </c>
      <c r="G2118" s="43">
        <f>G2117+Учет!B2118-B2118</f>
        <v>-488978.92000000004</v>
      </c>
      <c r="H2118" s="43">
        <f>H2117+Учет!C2118-C2118</f>
        <v>336855</v>
      </c>
      <c r="I2118" s="43">
        <f>I2117+Учет!D2118-D2118</f>
        <v>500</v>
      </c>
      <c r="J2118" s="43">
        <f>J2117+Учет!E2118-E2118</f>
        <v>1150</v>
      </c>
      <c r="K2118" s="43">
        <f>K2117+Учет!F2118-F2118</f>
        <v>500000</v>
      </c>
      <c r="L2118" s="45">
        <f>Учет!I2118</f>
        <v>349526.07999999996</v>
      </c>
    </row>
    <row r="2119" spans="1:12" x14ac:dyDescent="0.25">
      <c r="A2119" s="48" t="str">
        <f>IF(Учет!A2119&lt;&gt;"",Учет!A2119,"")</f>
        <v/>
      </c>
      <c r="B2119" s="52">
        <f>IF(Учет!$O2119=Справочники!$F$2,Учет!$H2119,0)</f>
        <v>0</v>
      </c>
      <c r="C2119" s="52">
        <f>IF(Учет!$O2119=Справочники!$F$3,Учет!$H2119,0)</f>
        <v>0</v>
      </c>
      <c r="D2119" s="52">
        <f>IF(Учет!$O2119=Справочники!$F$4,Учет!$H2119,0)</f>
        <v>0</v>
      </c>
      <c r="E2119" s="52">
        <f>IF(Учет!$O2119=Справочники!$F$5,Учет!$H2119,0)</f>
        <v>0</v>
      </c>
      <c r="F2119" s="52">
        <f>IF(Учет!$O2119=Справочники!$F$6,Учет!$H2119,0)</f>
        <v>0</v>
      </c>
      <c r="G2119" s="43">
        <f>G2118+Учет!B2119-B2119</f>
        <v>-488978.92000000004</v>
      </c>
      <c r="H2119" s="43">
        <f>H2118+Учет!C2119-C2119</f>
        <v>336855</v>
      </c>
      <c r="I2119" s="43">
        <f>I2118+Учет!D2119-D2119</f>
        <v>500</v>
      </c>
      <c r="J2119" s="43">
        <f>J2118+Учет!E2119-E2119</f>
        <v>1150</v>
      </c>
      <c r="K2119" s="43">
        <f>K2118+Учет!F2119-F2119</f>
        <v>500000</v>
      </c>
      <c r="L2119" s="45">
        <f>Учет!I2119</f>
        <v>349526.07999999996</v>
      </c>
    </row>
    <row r="2120" spans="1:12" x14ac:dyDescent="0.25">
      <c r="A2120" s="48" t="str">
        <f>IF(Учет!A2120&lt;&gt;"",Учет!A2120,"")</f>
        <v/>
      </c>
      <c r="B2120" s="52">
        <f>IF(Учет!$O2120=Справочники!$F$2,Учет!$H2120,0)</f>
        <v>0</v>
      </c>
      <c r="C2120" s="52">
        <f>IF(Учет!$O2120=Справочники!$F$3,Учет!$H2120,0)</f>
        <v>0</v>
      </c>
      <c r="D2120" s="52">
        <f>IF(Учет!$O2120=Справочники!$F$4,Учет!$H2120,0)</f>
        <v>0</v>
      </c>
      <c r="E2120" s="52">
        <f>IF(Учет!$O2120=Справочники!$F$5,Учет!$H2120,0)</f>
        <v>0</v>
      </c>
      <c r="F2120" s="52">
        <f>IF(Учет!$O2120=Справочники!$F$6,Учет!$H2120,0)</f>
        <v>0</v>
      </c>
      <c r="G2120" s="43">
        <f>G2119+Учет!B2120-B2120</f>
        <v>-488978.92000000004</v>
      </c>
      <c r="H2120" s="43">
        <f>H2119+Учет!C2120-C2120</f>
        <v>336855</v>
      </c>
      <c r="I2120" s="43">
        <f>I2119+Учет!D2120-D2120</f>
        <v>500</v>
      </c>
      <c r="J2120" s="43">
        <f>J2119+Учет!E2120-E2120</f>
        <v>1150</v>
      </c>
      <c r="K2120" s="43">
        <f>K2119+Учет!F2120-F2120</f>
        <v>500000</v>
      </c>
      <c r="L2120" s="45">
        <f>Учет!I2120</f>
        <v>349526.07999999996</v>
      </c>
    </row>
    <row r="2121" spans="1:12" x14ac:dyDescent="0.25">
      <c r="A2121" s="48" t="str">
        <f>IF(Учет!A2121&lt;&gt;"",Учет!A2121,"")</f>
        <v/>
      </c>
      <c r="B2121" s="52">
        <f>IF(Учет!$O2121=Справочники!$F$2,Учет!$H2121,0)</f>
        <v>0</v>
      </c>
      <c r="C2121" s="52">
        <f>IF(Учет!$O2121=Справочники!$F$3,Учет!$H2121,0)</f>
        <v>0</v>
      </c>
      <c r="D2121" s="52">
        <f>IF(Учет!$O2121=Справочники!$F$4,Учет!$H2121,0)</f>
        <v>0</v>
      </c>
      <c r="E2121" s="52">
        <f>IF(Учет!$O2121=Справочники!$F$5,Учет!$H2121,0)</f>
        <v>0</v>
      </c>
      <c r="F2121" s="52">
        <f>IF(Учет!$O2121=Справочники!$F$6,Учет!$H2121,0)</f>
        <v>0</v>
      </c>
      <c r="G2121" s="43">
        <f>G2120+Учет!B2121-B2121</f>
        <v>-488978.92000000004</v>
      </c>
      <c r="H2121" s="43">
        <f>H2120+Учет!C2121-C2121</f>
        <v>336855</v>
      </c>
      <c r="I2121" s="43">
        <f>I2120+Учет!D2121-D2121</f>
        <v>500</v>
      </c>
      <c r="J2121" s="43">
        <f>J2120+Учет!E2121-E2121</f>
        <v>1150</v>
      </c>
      <c r="K2121" s="43">
        <f>K2120+Учет!F2121-F2121</f>
        <v>500000</v>
      </c>
      <c r="L2121" s="45">
        <f>Учет!I2121</f>
        <v>349526.07999999996</v>
      </c>
    </row>
    <row r="2122" spans="1:12" x14ac:dyDescent="0.25">
      <c r="A2122" s="48" t="str">
        <f>IF(Учет!A2122&lt;&gt;"",Учет!A2122,"")</f>
        <v/>
      </c>
      <c r="B2122" s="52">
        <f>IF(Учет!$O2122=Справочники!$F$2,Учет!$H2122,0)</f>
        <v>0</v>
      </c>
      <c r="C2122" s="52">
        <f>IF(Учет!$O2122=Справочники!$F$3,Учет!$H2122,0)</f>
        <v>0</v>
      </c>
      <c r="D2122" s="52">
        <f>IF(Учет!$O2122=Справочники!$F$4,Учет!$H2122,0)</f>
        <v>0</v>
      </c>
      <c r="E2122" s="52">
        <f>IF(Учет!$O2122=Справочники!$F$5,Учет!$H2122,0)</f>
        <v>0</v>
      </c>
      <c r="F2122" s="52">
        <f>IF(Учет!$O2122=Справочники!$F$6,Учет!$H2122,0)</f>
        <v>0</v>
      </c>
      <c r="G2122" s="43">
        <f>G2121+Учет!B2122-B2122</f>
        <v>-488978.92000000004</v>
      </c>
      <c r="H2122" s="43">
        <f>H2121+Учет!C2122-C2122</f>
        <v>336855</v>
      </c>
      <c r="I2122" s="43">
        <f>I2121+Учет!D2122-D2122</f>
        <v>500</v>
      </c>
      <c r="J2122" s="43">
        <f>J2121+Учет!E2122-E2122</f>
        <v>1150</v>
      </c>
      <c r="K2122" s="43">
        <f>K2121+Учет!F2122-F2122</f>
        <v>500000</v>
      </c>
      <c r="L2122" s="45">
        <f>Учет!I2122</f>
        <v>349526.07999999996</v>
      </c>
    </row>
    <row r="2123" spans="1:12" x14ac:dyDescent="0.25">
      <c r="A2123" s="48" t="str">
        <f>IF(Учет!A2123&lt;&gt;"",Учет!A2123,"")</f>
        <v/>
      </c>
      <c r="B2123" s="52">
        <f>IF(Учет!$O2123=Справочники!$F$2,Учет!$H2123,0)</f>
        <v>0</v>
      </c>
      <c r="C2123" s="52">
        <f>IF(Учет!$O2123=Справочники!$F$3,Учет!$H2123,0)</f>
        <v>0</v>
      </c>
      <c r="D2123" s="52">
        <f>IF(Учет!$O2123=Справочники!$F$4,Учет!$H2123,0)</f>
        <v>0</v>
      </c>
      <c r="E2123" s="52">
        <f>IF(Учет!$O2123=Справочники!$F$5,Учет!$H2123,0)</f>
        <v>0</v>
      </c>
      <c r="F2123" s="52">
        <f>IF(Учет!$O2123=Справочники!$F$6,Учет!$H2123,0)</f>
        <v>0</v>
      </c>
      <c r="G2123" s="43">
        <f>G2122+Учет!B2123-B2123</f>
        <v>-488978.92000000004</v>
      </c>
      <c r="H2123" s="43">
        <f>H2122+Учет!C2123-C2123</f>
        <v>336855</v>
      </c>
      <c r="I2123" s="43">
        <f>I2122+Учет!D2123-D2123</f>
        <v>500</v>
      </c>
      <c r="J2123" s="43">
        <f>J2122+Учет!E2123-E2123</f>
        <v>1150</v>
      </c>
      <c r="K2123" s="43">
        <f>K2122+Учет!F2123-F2123</f>
        <v>500000</v>
      </c>
      <c r="L2123" s="45">
        <f>Учет!I2123</f>
        <v>349526.07999999996</v>
      </c>
    </row>
    <row r="2124" spans="1:12" x14ac:dyDescent="0.25">
      <c r="A2124" s="48" t="str">
        <f>IF(Учет!A2124&lt;&gt;"",Учет!A2124,"")</f>
        <v/>
      </c>
      <c r="B2124" s="52">
        <f>IF(Учет!$O2124=Справочники!$F$2,Учет!$H2124,0)</f>
        <v>0</v>
      </c>
      <c r="C2124" s="52">
        <f>IF(Учет!$O2124=Справочники!$F$3,Учет!$H2124,0)</f>
        <v>0</v>
      </c>
      <c r="D2124" s="52">
        <f>IF(Учет!$O2124=Справочники!$F$4,Учет!$H2124,0)</f>
        <v>0</v>
      </c>
      <c r="E2124" s="52">
        <f>IF(Учет!$O2124=Справочники!$F$5,Учет!$H2124,0)</f>
        <v>0</v>
      </c>
      <c r="F2124" s="52">
        <f>IF(Учет!$O2124=Справочники!$F$6,Учет!$H2124,0)</f>
        <v>0</v>
      </c>
      <c r="G2124" s="43">
        <f>G2123+Учет!B2124-B2124</f>
        <v>-488978.92000000004</v>
      </c>
      <c r="H2124" s="43">
        <f>H2123+Учет!C2124-C2124</f>
        <v>336855</v>
      </c>
      <c r="I2124" s="43">
        <f>I2123+Учет!D2124-D2124</f>
        <v>500</v>
      </c>
      <c r="J2124" s="43">
        <f>J2123+Учет!E2124-E2124</f>
        <v>1150</v>
      </c>
      <c r="K2124" s="43">
        <f>K2123+Учет!F2124-F2124</f>
        <v>500000</v>
      </c>
      <c r="L2124" s="45">
        <f>Учет!I2124</f>
        <v>349526.07999999996</v>
      </c>
    </row>
    <row r="2125" spans="1:12" x14ac:dyDescent="0.25">
      <c r="A2125" s="48" t="str">
        <f>IF(Учет!A2125&lt;&gt;"",Учет!A2125,"")</f>
        <v/>
      </c>
      <c r="B2125" s="52">
        <f>IF(Учет!$O2125=Справочники!$F$2,Учет!$H2125,0)</f>
        <v>0</v>
      </c>
      <c r="C2125" s="52">
        <f>IF(Учет!$O2125=Справочники!$F$3,Учет!$H2125,0)</f>
        <v>0</v>
      </c>
      <c r="D2125" s="52">
        <f>IF(Учет!$O2125=Справочники!$F$4,Учет!$H2125,0)</f>
        <v>0</v>
      </c>
      <c r="E2125" s="52">
        <f>IF(Учет!$O2125=Справочники!$F$5,Учет!$H2125,0)</f>
        <v>0</v>
      </c>
      <c r="F2125" s="52">
        <f>IF(Учет!$O2125=Справочники!$F$6,Учет!$H2125,0)</f>
        <v>0</v>
      </c>
      <c r="G2125" s="43">
        <f>G2124+Учет!B2125-B2125</f>
        <v>-488978.92000000004</v>
      </c>
      <c r="H2125" s="43">
        <f>H2124+Учет!C2125-C2125</f>
        <v>336855</v>
      </c>
      <c r="I2125" s="43">
        <f>I2124+Учет!D2125-D2125</f>
        <v>500</v>
      </c>
      <c r="J2125" s="43">
        <f>J2124+Учет!E2125-E2125</f>
        <v>1150</v>
      </c>
      <c r="K2125" s="43">
        <f>K2124+Учет!F2125-F2125</f>
        <v>500000</v>
      </c>
      <c r="L2125" s="45">
        <f>Учет!I2125</f>
        <v>349526.07999999996</v>
      </c>
    </row>
    <row r="2126" spans="1:12" x14ac:dyDescent="0.25">
      <c r="A2126" s="48" t="str">
        <f>IF(Учет!A2126&lt;&gt;"",Учет!A2126,"")</f>
        <v/>
      </c>
      <c r="B2126" s="52">
        <f>IF(Учет!$O2126=Справочники!$F$2,Учет!$H2126,0)</f>
        <v>0</v>
      </c>
      <c r="C2126" s="52">
        <f>IF(Учет!$O2126=Справочники!$F$3,Учет!$H2126,0)</f>
        <v>0</v>
      </c>
      <c r="D2126" s="52">
        <f>IF(Учет!$O2126=Справочники!$F$4,Учет!$H2126,0)</f>
        <v>0</v>
      </c>
      <c r="E2126" s="52">
        <f>IF(Учет!$O2126=Справочники!$F$5,Учет!$H2126,0)</f>
        <v>0</v>
      </c>
      <c r="F2126" s="52">
        <f>IF(Учет!$O2126=Справочники!$F$6,Учет!$H2126,0)</f>
        <v>0</v>
      </c>
      <c r="G2126" s="43">
        <f>G2125+Учет!B2126-B2126</f>
        <v>-488978.92000000004</v>
      </c>
      <c r="H2126" s="43">
        <f>H2125+Учет!C2126-C2126</f>
        <v>336855</v>
      </c>
      <c r="I2126" s="43">
        <f>I2125+Учет!D2126-D2126</f>
        <v>500</v>
      </c>
      <c r="J2126" s="43">
        <f>J2125+Учет!E2126-E2126</f>
        <v>1150</v>
      </c>
      <c r="K2126" s="43">
        <f>K2125+Учет!F2126-F2126</f>
        <v>500000</v>
      </c>
      <c r="L2126" s="45">
        <f>Учет!I2126</f>
        <v>349526.07999999996</v>
      </c>
    </row>
    <row r="2127" spans="1:12" x14ac:dyDescent="0.25">
      <c r="A2127" s="48" t="str">
        <f>IF(Учет!A2127&lt;&gt;"",Учет!A2127,"")</f>
        <v/>
      </c>
      <c r="B2127" s="52">
        <f>IF(Учет!$O2127=Справочники!$F$2,Учет!$H2127,0)</f>
        <v>0</v>
      </c>
      <c r="C2127" s="52">
        <f>IF(Учет!$O2127=Справочники!$F$3,Учет!$H2127,0)</f>
        <v>0</v>
      </c>
      <c r="D2127" s="52">
        <f>IF(Учет!$O2127=Справочники!$F$4,Учет!$H2127,0)</f>
        <v>0</v>
      </c>
      <c r="E2127" s="52">
        <f>IF(Учет!$O2127=Справочники!$F$5,Учет!$H2127,0)</f>
        <v>0</v>
      </c>
      <c r="F2127" s="52">
        <f>IF(Учет!$O2127=Справочники!$F$6,Учет!$H2127,0)</f>
        <v>0</v>
      </c>
      <c r="G2127" s="43">
        <f>G2126+Учет!B2127-B2127</f>
        <v>-488978.92000000004</v>
      </c>
      <c r="H2127" s="43">
        <f>H2126+Учет!C2127-C2127</f>
        <v>336855</v>
      </c>
      <c r="I2127" s="43">
        <f>I2126+Учет!D2127-D2127</f>
        <v>500</v>
      </c>
      <c r="J2127" s="43">
        <f>J2126+Учет!E2127-E2127</f>
        <v>1150</v>
      </c>
      <c r="K2127" s="43">
        <f>K2126+Учет!F2127-F2127</f>
        <v>500000</v>
      </c>
      <c r="L2127" s="45">
        <f>Учет!I2127</f>
        <v>349526.07999999996</v>
      </c>
    </row>
    <row r="2128" spans="1:12" x14ac:dyDescent="0.25">
      <c r="A2128" s="48" t="str">
        <f>IF(Учет!A2128&lt;&gt;"",Учет!A2128,"")</f>
        <v/>
      </c>
      <c r="B2128" s="52">
        <f>IF(Учет!$O2128=Справочники!$F$2,Учет!$H2128,0)</f>
        <v>0</v>
      </c>
      <c r="C2128" s="52">
        <f>IF(Учет!$O2128=Справочники!$F$3,Учет!$H2128,0)</f>
        <v>0</v>
      </c>
      <c r="D2128" s="52">
        <f>IF(Учет!$O2128=Справочники!$F$4,Учет!$H2128,0)</f>
        <v>0</v>
      </c>
      <c r="E2128" s="52">
        <f>IF(Учет!$O2128=Справочники!$F$5,Учет!$H2128,0)</f>
        <v>0</v>
      </c>
      <c r="F2128" s="52">
        <f>IF(Учет!$O2128=Справочники!$F$6,Учет!$H2128,0)</f>
        <v>0</v>
      </c>
      <c r="G2128" s="43">
        <f>G2127+Учет!B2128-B2128</f>
        <v>-488978.92000000004</v>
      </c>
      <c r="H2128" s="43">
        <f>H2127+Учет!C2128-C2128</f>
        <v>336855</v>
      </c>
      <c r="I2128" s="43">
        <f>I2127+Учет!D2128-D2128</f>
        <v>500</v>
      </c>
      <c r="J2128" s="43">
        <f>J2127+Учет!E2128-E2128</f>
        <v>1150</v>
      </c>
      <c r="K2128" s="43">
        <f>K2127+Учет!F2128-F2128</f>
        <v>500000</v>
      </c>
      <c r="L2128" s="45">
        <f>Учет!I2128</f>
        <v>349526.07999999996</v>
      </c>
    </row>
    <row r="2129" spans="1:12" x14ac:dyDescent="0.25">
      <c r="A2129" s="48" t="str">
        <f>IF(Учет!A2129&lt;&gt;"",Учет!A2129,"")</f>
        <v/>
      </c>
      <c r="B2129" s="52">
        <f>IF(Учет!$O2129=Справочники!$F$2,Учет!$H2129,0)</f>
        <v>0</v>
      </c>
      <c r="C2129" s="52">
        <f>IF(Учет!$O2129=Справочники!$F$3,Учет!$H2129,0)</f>
        <v>0</v>
      </c>
      <c r="D2129" s="52">
        <f>IF(Учет!$O2129=Справочники!$F$4,Учет!$H2129,0)</f>
        <v>0</v>
      </c>
      <c r="E2129" s="52">
        <f>IF(Учет!$O2129=Справочники!$F$5,Учет!$H2129,0)</f>
        <v>0</v>
      </c>
      <c r="F2129" s="52">
        <f>IF(Учет!$O2129=Справочники!$F$6,Учет!$H2129,0)</f>
        <v>0</v>
      </c>
      <c r="G2129" s="43">
        <f>G2128+Учет!B2129-B2129</f>
        <v>-488978.92000000004</v>
      </c>
      <c r="H2129" s="43">
        <f>H2128+Учет!C2129-C2129</f>
        <v>336855</v>
      </c>
      <c r="I2129" s="43">
        <f>I2128+Учет!D2129-D2129</f>
        <v>500</v>
      </c>
      <c r="J2129" s="43">
        <f>J2128+Учет!E2129-E2129</f>
        <v>1150</v>
      </c>
      <c r="K2129" s="43">
        <f>K2128+Учет!F2129-F2129</f>
        <v>500000</v>
      </c>
      <c r="L2129" s="45">
        <f>Учет!I2129</f>
        <v>349526.07999999996</v>
      </c>
    </row>
    <row r="2130" spans="1:12" x14ac:dyDescent="0.25">
      <c r="A2130" s="48" t="str">
        <f>IF(Учет!A2130&lt;&gt;"",Учет!A2130,"")</f>
        <v/>
      </c>
      <c r="B2130" s="52">
        <f>IF(Учет!$O2130=Справочники!$F$2,Учет!$H2130,0)</f>
        <v>0</v>
      </c>
      <c r="C2130" s="52">
        <f>IF(Учет!$O2130=Справочники!$F$3,Учет!$H2130,0)</f>
        <v>0</v>
      </c>
      <c r="D2130" s="52">
        <f>IF(Учет!$O2130=Справочники!$F$4,Учет!$H2130,0)</f>
        <v>0</v>
      </c>
      <c r="E2130" s="52">
        <f>IF(Учет!$O2130=Справочники!$F$5,Учет!$H2130,0)</f>
        <v>0</v>
      </c>
      <c r="F2130" s="52">
        <f>IF(Учет!$O2130=Справочники!$F$6,Учет!$H2130,0)</f>
        <v>0</v>
      </c>
      <c r="G2130" s="43">
        <f>G2129+Учет!B2130-B2130</f>
        <v>-488978.92000000004</v>
      </c>
      <c r="H2130" s="43">
        <f>H2129+Учет!C2130-C2130</f>
        <v>336855</v>
      </c>
      <c r="I2130" s="43">
        <f>I2129+Учет!D2130-D2130</f>
        <v>500</v>
      </c>
      <c r="J2130" s="43">
        <f>J2129+Учет!E2130-E2130</f>
        <v>1150</v>
      </c>
      <c r="K2130" s="43">
        <f>K2129+Учет!F2130-F2130</f>
        <v>500000</v>
      </c>
      <c r="L2130" s="45">
        <f>Учет!I2130</f>
        <v>349526.07999999996</v>
      </c>
    </row>
    <row r="2131" spans="1:12" x14ac:dyDescent="0.25">
      <c r="A2131" s="48" t="str">
        <f>IF(Учет!A2131&lt;&gt;"",Учет!A2131,"")</f>
        <v/>
      </c>
      <c r="B2131" s="52">
        <f>IF(Учет!$O2131=Справочники!$F$2,Учет!$H2131,0)</f>
        <v>0</v>
      </c>
      <c r="C2131" s="52">
        <f>IF(Учет!$O2131=Справочники!$F$3,Учет!$H2131,0)</f>
        <v>0</v>
      </c>
      <c r="D2131" s="52">
        <f>IF(Учет!$O2131=Справочники!$F$4,Учет!$H2131,0)</f>
        <v>0</v>
      </c>
      <c r="E2131" s="52">
        <f>IF(Учет!$O2131=Справочники!$F$5,Учет!$H2131,0)</f>
        <v>0</v>
      </c>
      <c r="F2131" s="52">
        <f>IF(Учет!$O2131=Справочники!$F$6,Учет!$H2131,0)</f>
        <v>0</v>
      </c>
      <c r="G2131" s="43">
        <f>G2130+Учет!B2131-B2131</f>
        <v>-488978.92000000004</v>
      </c>
      <c r="H2131" s="43">
        <f>H2130+Учет!C2131-C2131</f>
        <v>336855</v>
      </c>
      <c r="I2131" s="43">
        <f>I2130+Учет!D2131-D2131</f>
        <v>500</v>
      </c>
      <c r="J2131" s="43">
        <f>J2130+Учет!E2131-E2131</f>
        <v>1150</v>
      </c>
      <c r="K2131" s="43">
        <f>K2130+Учет!F2131-F2131</f>
        <v>500000</v>
      </c>
      <c r="L2131" s="45">
        <f>Учет!I2131</f>
        <v>349526.07999999996</v>
      </c>
    </row>
    <row r="2132" spans="1:12" x14ac:dyDescent="0.25">
      <c r="A2132" s="48" t="str">
        <f>IF(Учет!A2132&lt;&gt;"",Учет!A2132,"")</f>
        <v/>
      </c>
      <c r="B2132" s="52">
        <f>IF(Учет!$O2132=Справочники!$F$2,Учет!$H2132,0)</f>
        <v>0</v>
      </c>
      <c r="C2132" s="52">
        <f>IF(Учет!$O2132=Справочники!$F$3,Учет!$H2132,0)</f>
        <v>0</v>
      </c>
      <c r="D2132" s="52">
        <f>IF(Учет!$O2132=Справочники!$F$4,Учет!$H2132,0)</f>
        <v>0</v>
      </c>
      <c r="E2132" s="52">
        <f>IF(Учет!$O2132=Справочники!$F$5,Учет!$H2132,0)</f>
        <v>0</v>
      </c>
      <c r="F2132" s="52">
        <f>IF(Учет!$O2132=Справочники!$F$6,Учет!$H2132,0)</f>
        <v>0</v>
      </c>
      <c r="G2132" s="43">
        <f>G2131+Учет!B2132-B2132</f>
        <v>-488978.92000000004</v>
      </c>
      <c r="H2132" s="43">
        <f>H2131+Учет!C2132-C2132</f>
        <v>336855</v>
      </c>
      <c r="I2132" s="43">
        <f>I2131+Учет!D2132-D2132</f>
        <v>500</v>
      </c>
      <c r="J2132" s="43">
        <f>J2131+Учет!E2132-E2132</f>
        <v>1150</v>
      </c>
      <c r="K2132" s="43">
        <f>K2131+Учет!F2132-F2132</f>
        <v>500000</v>
      </c>
      <c r="L2132" s="45">
        <f>Учет!I2132</f>
        <v>349526.07999999996</v>
      </c>
    </row>
    <row r="2133" spans="1:12" x14ac:dyDescent="0.25">
      <c r="A2133" s="48" t="str">
        <f>IF(Учет!A2133&lt;&gt;"",Учет!A2133,"")</f>
        <v/>
      </c>
      <c r="B2133" s="52">
        <f>IF(Учет!$O2133=Справочники!$F$2,Учет!$H2133,0)</f>
        <v>0</v>
      </c>
      <c r="C2133" s="52">
        <f>IF(Учет!$O2133=Справочники!$F$3,Учет!$H2133,0)</f>
        <v>0</v>
      </c>
      <c r="D2133" s="52">
        <f>IF(Учет!$O2133=Справочники!$F$4,Учет!$H2133,0)</f>
        <v>0</v>
      </c>
      <c r="E2133" s="52">
        <f>IF(Учет!$O2133=Справочники!$F$5,Учет!$H2133,0)</f>
        <v>0</v>
      </c>
      <c r="F2133" s="52">
        <f>IF(Учет!$O2133=Справочники!$F$6,Учет!$H2133,0)</f>
        <v>0</v>
      </c>
      <c r="G2133" s="43">
        <f>G2132+Учет!B2133-B2133</f>
        <v>-488978.92000000004</v>
      </c>
      <c r="H2133" s="43">
        <f>H2132+Учет!C2133-C2133</f>
        <v>336855</v>
      </c>
      <c r="I2133" s="43">
        <f>I2132+Учет!D2133-D2133</f>
        <v>500</v>
      </c>
      <c r="J2133" s="43">
        <f>J2132+Учет!E2133-E2133</f>
        <v>1150</v>
      </c>
      <c r="K2133" s="43">
        <f>K2132+Учет!F2133-F2133</f>
        <v>500000</v>
      </c>
      <c r="L2133" s="45">
        <f>Учет!I2133</f>
        <v>349526.07999999996</v>
      </c>
    </row>
    <row r="2134" spans="1:12" x14ac:dyDescent="0.25">
      <c r="A2134" s="48" t="str">
        <f>IF(Учет!A2134&lt;&gt;"",Учет!A2134,"")</f>
        <v/>
      </c>
      <c r="B2134" s="52">
        <f>IF(Учет!$O2134=Справочники!$F$2,Учет!$H2134,0)</f>
        <v>0</v>
      </c>
      <c r="C2134" s="52">
        <f>IF(Учет!$O2134=Справочники!$F$3,Учет!$H2134,0)</f>
        <v>0</v>
      </c>
      <c r="D2134" s="52">
        <f>IF(Учет!$O2134=Справочники!$F$4,Учет!$H2134,0)</f>
        <v>0</v>
      </c>
      <c r="E2134" s="52">
        <f>IF(Учет!$O2134=Справочники!$F$5,Учет!$H2134,0)</f>
        <v>0</v>
      </c>
      <c r="F2134" s="52">
        <f>IF(Учет!$O2134=Справочники!$F$6,Учет!$H2134,0)</f>
        <v>0</v>
      </c>
      <c r="G2134" s="43">
        <f>G2133+Учет!B2134-B2134</f>
        <v>-488978.92000000004</v>
      </c>
      <c r="H2134" s="43">
        <f>H2133+Учет!C2134-C2134</f>
        <v>336855</v>
      </c>
      <c r="I2134" s="43">
        <f>I2133+Учет!D2134-D2134</f>
        <v>500</v>
      </c>
      <c r="J2134" s="43">
        <f>J2133+Учет!E2134-E2134</f>
        <v>1150</v>
      </c>
      <c r="K2134" s="43">
        <f>K2133+Учет!F2134-F2134</f>
        <v>500000</v>
      </c>
      <c r="L2134" s="45">
        <f>Учет!I2134</f>
        <v>349526.07999999996</v>
      </c>
    </row>
    <row r="2135" spans="1:12" x14ac:dyDescent="0.25">
      <c r="A2135" s="48" t="str">
        <f>IF(Учет!A2135&lt;&gt;"",Учет!A2135,"")</f>
        <v/>
      </c>
      <c r="B2135" s="52">
        <f>IF(Учет!$O2135=Справочники!$F$2,Учет!$H2135,0)</f>
        <v>0</v>
      </c>
      <c r="C2135" s="52">
        <f>IF(Учет!$O2135=Справочники!$F$3,Учет!$H2135,0)</f>
        <v>0</v>
      </c>
      <c r="D2135" s="52">
        <f>IF(Учет!$O2135=Справочники!$F$4,Учет!$H2135,0)</f>
        <v>0</v>
      </c>
      <c r="E2135" s="52">
        <f>IF(Учет!$O2135=Справочники!$F$5,Учет!$H2135,0)</f>
        <v>0</v>
      </c>
      <c r="F2135" s="52">
        <f>IF(Учет!$O2135=Справочники!$F$6,Учет!$H2135,0)</f>
        <v>0</v>
      </c>
      <c r="G2135" s="43">
        <f>G2134+Учет!B2135-B2135</f>
        <v>-488978.92000000004</v>
      </c>
      <c r="H2135" s="43">
        <f>H2134+Учет!C2135-C2135</f>
        <v>336855</v>
      </c>
      <c r="I2135" s="43">
        <f>I2134+Учет!D2135-D2135</f>
        <v>500</v>
      </c>
      <c r="J2135" s="43">
        <f>J2134+Учет!E2135-E2135</f>
        <v>1150</v>
      </c>
      <c r="K2135" s="43">
        <f>K2134+Учет!F2135-F2135</f>
        <v>500000</v>
      </c>
      <c r="L2135" s="45">
        <f>Учет!I2135</f>
        <v>349526.07999999996</v>
      </c>
    </row>
    <row r="2136" spans="1:12" x14ac:dyDescent="0.25">
      <c r="A2136" s="48" t="str">
        <f>IF(Учет!A2136&lt;&gt;"",Учет!A2136,"")</f>
        <v/>
      </c>
      <c r="B2136" s="52">
        <f>IF(Учет!$O2136=Справочники!$F$2,Учет!$H2136,0)</f>
        <v>0</v>
      </c>
      <c r="C2136" s="52">
        <f>IF(Учет!$O2136=Справочники!$F$3,Учет!$H2136,0)</f>
        <v>0</v>
      </c>
      <c r="D2136" s="52">
        <f>IF(Учет!$O2136=Справочники!$F$4,Учет!$H2136,0)</f>
        <v>0</v>
      </c>
      <c r="E2136" s="52">
        <f>IF(Учет!$O2136=Справочники!$F$5,Учет!$H2136,0)</f>
        <v>0</v>
      </c>
      <c r="F2136" s="52">
        <f>IF(Учет!$O2136=Справочники!$F$6,Учет!$H2136,0)</f>
        <v>0</v>
      </c>
      <c r="G2136" s="43">
        <f>G2135+Учет!B2136-B2136</f>
        <v>-488978.92000000004</v>
      </c>
      <c r="H2136" s="43">
        <f>H2135+Учет!C2136-C2136</f>
        <v>336855</v>
      </c>
      <c r="I2136" s="43">
        <f>I2135+Учет!D2136-D2136</f>
        <v>500</v>
      </c>
      <c r="J2136" s="43">
        <f>J2135+Учет!E2136-E2136</f>
        <v>1150</v>
      </c>
      <c r="K2136" s="43">
        <f>K2135+Учет!F2136-F2136</f>
        <v>500000</v>
      </c>
      <c r="L2136" s="45">
        <f>Учет!I2136</f>
        <v>349526.07999999996</v>
      </c>
    </row>
    <row r="2137" spans="1:12" x14ac:dyDescent="0.25">
      <c r="A2137" s="48" t="str">
        <f>IF(Учет!A2137&lt;&gt;"",Учет!A2137,"")</f>
        <v/>
      </c>
      <c r="B2137" s="52">
        <f>IF(Учет!$O2137=Справочники!$F$2,Учет!$H2137,0)</f>
        <v>0</v>
      </c>
      <c r="C2137" s="52">
        <f>IF(Учет!$O2137=Справочники!$F$3,Учет!$H2137,0)</f>
        <v>0</v>
      </c>
      <c r="D2137" s="52">
        <f>IF(Учет!$O2137=Справочники!$F$4,Учет!$H2137,0)</f>
        <v>0</v>
      </c>
      <c r="E2137" s="52">
        <f>IF(Учет!$O2137=Справочники!$F$5,Учет!$H2137,0)</f>
        <v>0</v>
      </c>
      <c r="F2137" s="52">
        <f>IF(Учет!$O2137=Справочники!$F$6,Учет!$H2137,0)</f>
        <v>0</v>
      </c>
      <c r="G2137" s="43">
        <f>G2136+Учет!B2137-B2137</f>
        <v>-488978.92000000004</v>
      </c>
      <c r="H2137" s="43">
        <f>H2136+Учет!C2137-C2137</f>
        <v>336855</v>
      </c>
      <c r="I2137" s="43">
        <f>I2136+Учет!D2137-D2137</f>
        <v>500</v>
      </c>
      <c r="J2137" s="43">
        <f>J2136+Учет!E2137-E2137</f>
        <v>1150</v>
      </c>
      <c r="K2137" s="43">
        <f>K2136+Учет!F2137-F2137</f>
        <v>500000</v>
      </c>
      <c r="L2137" s="45">
        <f>Учет!I2137</f>
        <v>349526.07999999996</v>
      </c>
    </row>
    <row r="2138" spans="1:12" x14ac:dyDescent="0.25">
      <c r="A2138" s="48" t="str">
        <f>IF(Учет!A2138&lt;&gt;"",Учет!A2138,"")</f>
        <v/>
      </c>
      <c r="B2138" s="52">
        <f>IF(Учет!$O2138=Справочники!$F$2,Учет!$H2138,0)</f>
        <v>0</v>
      </c>
      <c r="C2138" s="52">
        <f>IF(Учет!$O2138=Справочники!$F$3,Учет!$H2138,0)</f>
        <v>0</v>
      </c>
      <c r="D2138" s="52">
        <f>IF(Учет!$O2138=Справочники!$F$4,Учет!$H2138,0)</f>
        <v>0</v>
      </c>
      <c r="E2138" s="52">
        <f>IF(Учет!$O2138=Справочники!$F$5,Учет!$H2138,0)</f>
        <v>0</v>
      </c>
      <c r="F2138" s="52">
        <f>IF(Учет!$O2138=Справочники!$F$6,Учет!$H2138,0)</f>
        <v>0</v>
      </c>
      <c r="G2138" s="43">
        <f>G2137+Учет!B2138-B2138</f>
        <v>-488978.92000000004</v>
      </c>
      <c r="H2138" s="43">
        <f>H2137+Учет!C2138-C2138</f>
        <v>336855</v>
      </c>
      <c r="I2138" s="43">
        <f>I2137+Учет!D2138-D2138</f>
        <v>500</v>
      </c>
      <c r="J2138" s="43">
        <f>J2137+Учет!E2138-E2138</f>
        <v>1150</v>
      </c>
      <c r="K2138" s="43">
        <f>K2137+Учет!F2138-F2138</f>
        <v>500000</v>
      </c>
      <c r="L2138" s="45">
        <f>Учет!I2138</f>
        <v>349526.07999999996</v>
      </c>
    </row>
    <row r="2139" spans="1:12" x14ac:dyDescent="0.25">
      <c r="A2139" s="48" t="str">
        <f>IF(Учет!A2139&lt;&gt;"",Учет!A2139,"")</f>
        <v/>
      </c>
      <c r="B2139" s="52">
        <f>IF(Учет!$O2139=Справочники!$F$2,Учет!$H2139,0)</f>
        <v>0</v>
      </c>
      <c r="C2139" s="52">
        <f>IF(Учет!$O2139=Справочники!$F$3,Учет!$H2139,0)</f>
        <v>0</v>
      </c>
      <c r="D2139" s="52">
        <f>IF(Учет!$O2139=Справочники!$F$4,Учет!$H2139,0)</f>
        <v>0</v>
      </c>
      <c r="E2139" s="52">
        <f>IF(Учет!$O2139=Справочники!$F$5,Учет!$H2139,0)</f>
        <v>0</v>
      </c>
      <c r="F2139" s="52">
        <f>IF(Учет!$O2139=Справочники!$F$6,Учет!$H2139,0)</f>
        <v>0</v>
      </c>
      <c r="G2139" s="43">
        <f>G2138+Учет!B2139-B2139</f>
        <v>-488978.92000000004</v>
      </c>
      <c r="H2139" s="43">
        <f>H2138+Учет!C2139-C2139</f>
        <v>336855</v>
      </c>
      <c r="I2139" s="43">
        <f>I2138+Учет!D2139-D2139</f>
        <v>500</v>
      </c>
      <c r="J2139" s="43">
        <f>J2138+Учет!E2139-E2139</f>
        <v>1150</v>
      </c>
      <c r="K2139" s="43">
        <f>K2138+Учет!F2139-F2139</f>
        <v>500000</v>
      </c>
      <c r="L2139" s="45">
        <f>Учет!I2139</f>
        <v>349526.07999999996</v>
      </c>
    </row>
    <row r="2140" spans="1:12" x14ac:dyDescent="0.25">
      <c r="A2140" s="48" t="str">
        <f>IF(Учет!A2140&lt;&gt;"",Учет!A2140,"")</f>
        <v/>
      </c>
      <c r="B2140" s="52">
        <f>IF(Учет!$O2140=Справочники!$F$2,Учет!$H2140,0)</f>
        <v>0</v>
      </c>
      <c r="C2140" s="52">
        <f>IF(Учет!$O2140=Справочники!$F$3,Учет!$H2140,0)</f>
        <v>0</v>
      </c>
      <c r="D2140" s="52">
        <f>IF(Учет!$O2140=Справочники!$F$4,Учет!$H2140,0)</f>
        <v>0</v>
      </c>
      <c r="E2140" s="52">
        <f>IF(Учет!$O2140=Справочники!$F$5,Учет!$H2140,0)</f>
        <v>0</v>
      </c>
      <c r="F2140" s="52">
        <f>IF(Учет!$O2140=Справочники!$F$6,Учет!$H2140,0)</f>
        <v>0</v>
      </c>
      <c r="G2140" s="43">
        <f>G2139+Учет!B2140-B2140</f>
        <v>-488978.92000000004</v>
      </c>
      <c r="H2140" s="43">
        <f>H2139+Учет!C2140-C2140</f>
        <v>336855</v>
      </c>
      <c r="I2140" s="43">
        <f>I2139+Учет!D2140-D2140</f>
        <v>500</v>
      </c>
      <c r="J2140" s="43">
        <f>J2139+Учет!E2140-E2140</f>
        <v>1150</v>
      </c>
      <c r="K2140" s="43">
        <f>K2139+Учет!F2140-F2140</f>
        <v>500000</v>
      </c>
      <c r="L2140" s="45">
        <f>Учет!I2140</f>
        <v>349526.07999999996</v>
      </c>
    </row>
    <row r="2141" spans="1:12" x14ac:dyDescent="0.25">
      <c r="A2141" s="48" t="str">
        <f>IF(Учет!A2141&lt;&gt;"",Учет!A2141,"")</f>
        <v/>
      </c>
      <c r="B2141" s="52">
        <f>IF(Учет!$O2141=Справочники!$F$2,Учет!$H2141,0)</f>
        <v>0</v>
      </c>
      <c r="C2141" s="52">
        <f>IF(Учет!$O2141=Справочники!$F$3,Учет!$H2141,0)</f>
        <v>0</v>
      </c>
      <c r="D2141" s="52">
        <f>IF(Учет!$O2141=Справочники!$F$4,Учет!$H2141,0)</f>
        <v>0</v>
      </c>
      <c r="E2141" s="52">
        <f>IF(Учет!$O2141=Справочники!$F$5,Учет!$H2141,0)</f>
        <v>0</v>
      </c>
      <c r="F2141" s="52">
        <f>IF(Учет!$O2141=Справочники!$F$6,Учет!$H2141,0)</f>
        <v>0</v>
      </c>
      <c r="G2141" s="43">
        <f>G2140+Учет!B2141-B2141</f>
        <v>-488978.92000000004</v>
      </c>
      <c r="H2141" s="43">
        <f>H2140+Учет!C2141-C2141</f>
        <v>336855</v>
      </c>
      <c r="I2141" s="43">
        <f>I2140+Учет!D2141-D2141</f>
        <v>500</v>
      </c>
      <c r="J2141" s="43">
        <f>J2140+Учет!E2141-E2141</f>
        <v>1150</v>
      </c>
      <c r="K2141" s="43">
        <f>K2140+Учет!F2141-F2141</f>
        <v>500000</v>
      </c>
      <c r="L2141" s="45">
        <f>Учет!I2141</f>
        <v>349526.07999999996</v>
      </c>
    </row>
    <row r="2142" spans="1:12" x14ac:dyDescent="0.25">
      <c r="A2142" s="48" t="str">
        <f>IF(Учет!A2142&lt;&gt;"",Учет!A2142,"")</f>
        <v/>
      </c>
      <c r="B2142" s="52">
        <f>IF(Учет!$O2142=Справочники!$F$2,Учет!$H2142,0)</f>
        <v>0</v>
      </c>
      <c r="C2142" s="52">
        <f>IF(Учет!$O2142=Справочники!$F$3,Учет!$H2142,0)</f>
        <v>0</v>
      </c>
      <c r="D2142" s="52">
        <f>IF(Учет!$O2142=Справочники!$F$4,Учет!$H2142,0)</f>
        <v>0</v>
      </c>
      <c r="E2142" s="52">
        <f>IF(Учет!$O2142=Справочники!$F$5,Учет!$H2142,0)</f>
        <v>0</v>
      </c>
      <c r="F2142" s="52">
        <f>IF(Учет!$O2142=Справочники!$F$6,Учет!$H2142,0)</f>
        <v>0</v>
      </c>
      <c r="G2142" s="43">
        <f>G2141+Учет!B2142-B2142</f>
        <v>-488978.92000000004</v>
      </c>
      <c r="H2142" s="43">
        <f>H2141+Учет!C2142-C2142</f>
        <v>336855</v>
      </c>
      <c r="I2142" s="43">
        <f>I2141+Учет!D2142-D2142</f>
        <v>500</v>
      </c>
      <c r="J2142" s="43">
        <f>J2141+Учет!E2142-E2142</f>
        <v>1150</v>
      </c>
      <c r="K2142" s="43">
        <f>K2141+Учет!F2142-F2142</f>
        <v>500000</v>
      </c>
      <c r="L2142" s="45">
        <f>Учет!I2142</f>
        <v>349526.07999999996</v>
      </c>
    </row>
    <row r="2143" spans="1:12" x14ac:dyDescent="0.25">
      <c r="A2143" s="48" t="str">
        <f>IF(Учет!A2143&lt;&gt;"",Учет!A2143,"")</f>
        <v/>
      </c>
      <c r="B2143" s="52">
        <f>IF(Учет!$O2143=Справочники!$F$2,Учет!$H2143,0)</f>
        <v>0</v>
      </c>
      <c r="C2143" s="52">
        <f>IF(Учет!$O2143=Справочники!$F$3,Учет!$H2143,0)</f>
        <v>0</v>
      </c>
      <c r="D2143" s="52">
        <f>IF(Учет!$O2143=Справочники!$F$4,Учет!$H2143,0)</f>
        <v>0</v>
      </c>
      <c r="E2143" s="52">
        <f>IF(Учет!$O2143=Справочники!$F$5,Учет!$H2143,0)</f>
        <v>0</v>
      </c>
      <c r="F2143" s="52">
        <f>IF(Учет!$O2143=Справочники!$F$6,Учет!$H2143,0)</f>
        <v>0</v>
      </c>
      <c r="G2143" s="43">
        <f>G2142+Учет!B2143-B2143</f>
        <v>-488978.92000000004</v>
      </c>
      <c r="H2143" s="43">
        <f>H2142+Учет!C2143-C2143</f>
        <v>336855</v>
      </c>
      <c r="I2143" s="43">
        <f>I2142+Учет!D2143-D2143</f>
        <v>500</v>
      </c>
      <c r="J2143" s="43">
        <f>J2142+Учет!E2143-E2143</f>
        <v>1150</v>
      </c>
      <c r="K2143" s="43">
        <f>K2142+Учет!F2143-F2143</f>
        <v>500000</v>
      </c>
      <c r="L2143" s="45">
        <f>Учет!I2143</f>
        <v>349526.07999999996</v>
      </c>
    </row>
    <row r="2144" spans="1:12" x14ac:dyDescent="0.25">
      <c r="A2144" s="48" t="str">
        <f>IF(Учет!A2144&lt;&gt;"",Учет!A2144,"")</f>
        <v/>
      </c>
      <c r="B2144" s="52">
        <f>IF(Учет!$O2144=Справочники!$F$2,Учет!$H2144,0)</f>
        <v>0</v>
      </c>
      <c r="C2144" s="52">
        <f>IF(Учет!$O2144=Справочники!$F$3,Учет!$H2144,0)</f>
        <v>0</v>
      </c>
      <c r="D2144" s="52">
        <f>IF(Учет!$O2144=Справочники!$F$4,Учет!$H2144,0)</f>
        <v>0</v>
      </c>
      <c r="E2144" s="52">
        <f>IF(Учет!$O2144=Справочники!$F$5,Учет!$H2144,0)</f>
        <v>0</v>
      </c>
      <c r="F2144" s="52">
        <f>IF(Учет!$O2144=Справочники!$F$6,Учет!$H2144,0)</f>
        <v>0</v>
      </c>
      <c r="G2144" s="43">
        <f>G2143+Учет!B2144-B2144</f>
        <v>-488978.92000000004</v>
      </c>
      <c r="H2144" s="43">
        <f>H2143+Учет!C2144-C2144</f>
        <v>336855</v>
      </c>
      <c r="I2144" s="43">
        <f>I2143+Учет!D2144-D2144</f>
        <v>500</v>
      </c>
      <c r="J2144" s="43">
        <f>J2143+Учет!E2144-E2144</f>
        <v>1150</v>
      </c>
      <c r="K2144" s="43">
        <f>K2143+Учет!F2144-F2144</f>
        <v>500000</v>
      </c>
      <c r="L2144" s="45">
        <f>Учет!I2144</f>
        <v>349526.07999999996</v>
      </c>
    </row>
    <row r="2145" spans="1:12" x14ac:dyDescent="0.25">
      <c r="A2145" s="48" t="str">
        <f>IF(Учет!A2145&lt;&gt;"",Учет!A2145,"")</f>
        <v/>
      </c>
      <c r="B2145" s="52">
        <f>IF(Учет!$O2145=Справочники!$F$2,Учет!$H2145,0)</f>
        <v>0</v>
      </c>
      <c r="C2145" s="52">
        <f>IF(Учет!$O2145=Справочники!$F$3,Учет!$H2145,0)</f>
        <v>0</v>
      </c>
      <c r="D2145" s="52">
        <f>IF(Учет!$O2145=Справочники!$F$4,Учет!$H2145,0)</f>
        <v>0</v>
      </c>
      <c r="E2145" s="52">
        <f>IF(Учет!$O2145=Справочники!$F$5,Учет!$H2145,0)</f>
        <v>0</v>
      </c>
      <c r="F2145" s="52">
        <f>IF(Учет!$O2145=Справочники!$F$6,Учет!$H2145,0)</f>
        <v>0</v>
      </c>
      <c r="G2145" s="43">
        <f>G2144+Учет!B2145-B2145</f>
        <v>-488978.92000000004</v>
      </c>
      <c r="H2145" s="43">
        <f>H2144+Учет!C2145-C2145</f>
        <v>336855</v>
      </c>
      <c r="I2145" s="43">
        <f>I2144+Учет!D2145-D2145</f>
        <v>500</v>
      </c>
      <c r="J2145" s="43">
        <f>J2144+Учет!E2145-E2145</f>
        <v>1150</v>
      </c>
      <c r="K2145" s="43">
        <f>K2144+Учет!F2145-F2145</f>
        <v>500000</v>
      </c>
      <c r="L2145" s="45">
        <f>Учет!I2145</f>
        <v>349526.07999999996</v>
      </c>
    </row>
    <row r="2146" spans="1:12" x14ac:dyDescent="0.25">
      <c r="A2146" s="48" t="str">
        <f>IF(Учет!A2146&lt;&gt;"",Учет!A2146,"")</f>
        <v/>
      </c>
      <c r="B2146" s="52">
        <f>IF(Учет!$O2146=Справочники!$F$2,Учет!$H2146,0)</f>
        <v>0</v>
      </c>
      <c r="C2146" s="52">
        <f>IF(Учет!$O2146=Справочники!$F$3,Учет!$H2146,0)</f>
        <v>0</v>
      </c>
      <c r="D2146" s="52">
        <f>IF(Учет!$O2146=Справочники!$F$4,Учет!$H2146,0)</f>
        <v>0</v>
      </c>
      <c r="E2146" s="52">
        <f>IF(Учет!$O2146=Справочники!$F$5,Учет!$H2146,0)</f>
        <v>0</v>
      </c>
      <c r="F2146" s="52">
        <f>IF(Учет!$O2146=Справочники!$F$6,Учет!$H2146,0)</f>
        <v>0</v>
      </c>
      <c r="G2146" s="43">
        <f>G2145+Учет!B2146-B2146</f>
        <v>-488978.92000000004</v>
      </c>
      <c r="H2146" s="43">
        <f>H2145+Учет!C2146-C2146</f>
        <v>336855</v>
      </c>
      <c r="I2146" s="43">
        <f>I2145+Учет!D2146-D2146</f>
        <v>500</v>
      </c>
      <c r="J2146" s="43">
        <f>J2145+Учет!E2146-E2146</f>
        <v>1150</v>
      </c>
      <c r="K2146" s="43">
        <f>K2145+Учет!F2146-F2146</f>
        <v>500000</v>
      </c>
      <c r="L2146" s="45">
        <f>Учет!I2146</f>
        <v>349526.07999999996</v>
      </c>
    </row>
    <row r="2147" spans="1:12" x14ac:dyDescent="0.25">
      <c r="A2147" s="48" t="str">
        <f>IF(Учет!A2147&lt;&gt;"",Учет!A2147,"")</f>
        <v/>
      </c>
      <c r="B2147" s="52">
        <f>IF(Учет!$O2147=Справочники!$F$2,Учет!$H2147,0)</f>
        <v>0</v>
      </c>
      <c r="C2147" s="52">
        <f>IF(Учет!$O2147=Справочники!$F$3,Учет!$H2147,0)</f>
        <v>0</v>
      </c>
      <c r="D2147" s="52">
        <f>IF(Учет!$O2147=Справочники!$F$4,Учет!$H2147,0)</f>
        <v>0</v>
      </c>
      <c r="E2147" s="52">
        <f>IF(Учет!$O2147=Справочники!$F$5,Учет!$H2147,0)</f>
        <v>0</v>
      </c>
      <c r="F2147" s="52">
        <f>IF(Учет!$O2147=Справочники!$F$6,Учет!$H2147,0)</f>
        <v>0</v>
      </c>
      <c r="G2147" s="43">
        <f>G2146+Учет!B2147-B2147</f>
        <v>-488978.92000000004</v>
      </c>
      <c r="H2147" s="43">
        <f>H2146+Учет!C2147-C2147</f>
        <v>336855</v>
      </c>
      <c r="I2147" s="43">
        <f>I2146+Учет!D2147-D2147</f>
        <v>500</v>
      </c>
      <c r="J2147" s="43">
        <f>J2146+Учет!E2147-E2147</f>
        <v>1150</v>
      </c>
      <c r="K2147" s="43">
        <f>K2146+Учет!F2147-F2147</f>
        <v>500000</v>
      </c>
      <c r="L2147" s="45">
        <f>Учет!I2147</f>
        <v>349526.07999999996</v>
      </c>
    </row>
    <row r="2148" spans="1:12" x14ac:dyDescent="0.25">
      <c r="A2148" s="48" t="str">
        <f>IF(Учет!A2148&lt;&gt;"",Учет!A2148,"")</f>
        <v/>
      </c>
      <c r="B2148" s="52">
        <f>IF(Учет!$O2148=Справочники!$F$2,Учет!$H2148,0)</f>
        <v>0</v>
      </c>
      <c r="C2148" s="52">
        <f>IF(Учет!$O2148=Справочники!$F$3,Учет!$H2148,0)</f>
        <v>0</v>
      </c>
      <c r="D2148" s="52">
        <f>IF(Учет!$O2148=Справочники!$F$4,Учет!$H2148,0)</f>
        <v>0</v>
      </c>
      <c r="E2148" s="52">
        <f>IF(Учет!$O2148=Справочники!$F$5,Учет!$H2148,0)</f>
        <v>0</v>
      </c>
      <c r="F2148" s="52">
        <f>IF(Учет!$O2148=Справочники!$F$6,Учет!$H2148,0)</f>
        <v>0</v>
      </c>
      <c r="G2148" s="43">
        <f>G2147+Учет!B2148-B2148</f>
        <v>-488978.92000000004</v>
      </c>
      <c r="H2148" s="43">
        <f>H2147+Учет!C2148-C2148</f>
        <v>336855</v>
      </c>
      <c r="I2148" s="43">
        <f>I2147+Учет!D2148-D2148</f>
        <v>500</v>
      </c>
      <c r="J2148" s="43">
        <f>J2147+Учет!E2148-E2148</f>
        <v>1150</v>
      </c>
      <c r="K2148" s="43">
        <f>K2147+Учет!F2148-F2148</f>
        <v>500000</v>
      </c>
      <c r="L2148" s="45">
        <f>Учет!I2148</f>
        <v>349526.07999999996</v>
      </c>
    </row>
    <row r="2149" spans="1:12" x14ac:dyDescent="0.25">
      <c r="A2149" s="48" t="str">
        <f>IF(Учет!A2149&lt;&gt;"",Учет!A2149,"")</f>
        <v/>
      </c>
      <c r="B2149" s="52">
        <f>IF(Учет!$O2149=Справочники!$F$2,Учет!$H2149,0)</f>
        <v>0</v>
      </c>
      <c r="C2149" s="52">
        <f>IF(Учет!$O2149=Справочники!$F$3,Учет!$H2149,0)</f>
        <v>0</v>
      </c>
      <c r="D2149" s="52">
        <f>IF(Учет!$O2149=Справочники!$F$4,Учет!$H2149,0)</f>
        <v>0</v>
      </c>
      <c r="E2149" s="52">
        <f>IF(Учет!$O2149=Справочники!$F$5,Учет!$H2149,0)</f>
        <v>0</v>
      </c>
      <c r="F2149" s="52">
        <f>IF(Учет!$O2149=Справочники!$F$6,Учет!$H2149,0)</f>
        <v>0</v>
      </c>
      <c r="G2149" s="43">
        <f>G2148+Учет!B2149-B2149</f>
        <v>-488978.92000000004</v>
      </c>
      <c r="H2149" s="43">
        <f>H2148+Учет!C2149-C2149</f>
        <v>336855</v>
      </c>
      <c r="I2149" s="43">
        <f>I2148+Учет!D2149-D2149</f>
        <v>500</v>
      </c>
      <c r="J2149" s="43">
        <f>J2148+Учет!E2149-E2149</f>
        <v>1150</v>
      </c>
      <c r="K2149" s="43">
        <f>K2148+Учет!F2149-F2149</f>
        <v>500000</v>
      </c>
      <c r="L2149" s="45">
        <f>Учет!I2149</f>
        <v>349526.07999999996</v>
      </c>
    </row>
    <row r="2150" spans="1:12" x14ac:dyDescent="0.25">
      <c r="A2150" s="48" t="str">
        <f>IF(Учет!A2150&lt;&gt;"",Учет!A2150,"")</f>
        <v/>
      </c>
      <c r="B2150" s="52">
        <f>IF(Учет!$O2150=Справочники!$F$2,Учет!$H2150,0)</f>
        <v>0</v>
      </c>
      <c r="C2150" s="52">
        <f>IF(Учет!$O2150=Справочники!$F$3,Учет!$H2150,0)</f>
        <v>0</v>
      </c>
      <c r="D2150" s="52">
        <f>IF(Учет!$O2150=Справочники!$F$4,Учет!$H2150,0)</f>
        <v>0</v>
      </c>
      <c r="E2150" s="52">
        <f>IF(Учет!$O2150=Справочники!$F$5,Учет!$H2150,0)</f>
        <v>0</v>
      </c>
      <c r="F2150" s="52">
        <f>IF(Учет!$O2150=Справочники!$F$6,Учет!$H2150,0)</f>
        <v>0</v>
      </c>
      <c r="G2150" s="43">
        <f>G2149+Учет!B2150-B2150</f>
        <v>-488978.92000000004</v>
      </c>
      <c r="H2150" s="43">
        <f>H2149+Учет!C2150-C2150</f>
        <v>336855</v>
      </c>
      <c r="I2150" s="43">
        <f>I2149+Учет!D2150-D2150</f>
        <v>500</v>
      </c>
      <c r="J2150" s="43">
        <f>J2149+Учет!E2150-E2150</f>
        <v>1150</v>
      </c>
      <c r="K2150" s="43">
        <f>K2149+Учет!F2150-F2150</f>
        <v>500000</v>
      </c>
      <c r="L2150" s="45">
        <f>Учет!I2150</f>
        <v>349526.07999999996</v>
      </c>
    </row>
    <row r="2151" spans="1:12" x14ac:dyDescent="0.25">
      <c r="A2151" s="48" t="str">
        <f>IF(Учет!A2151&lt;&gt;"",Учет!A2151,"")</f>
        <v/>
      </c>
      <c r="B2151" s="52">
        <f>IF(Учет!$O2151=Справочники!$F$2,Учет!$H2151,0)</f>
        <v>0</v>
      </c>
      <c r="C2151" s="52">
        <f>IF(Учет!$O2151=Справочники!$F$3,Учет!$H2151,0)</f>
        <v>0</v>
      </c>
      <c r="D2151" s="52">
        <f>IF(Учет!$O2151=Справочники!$F$4,Учет!$H2151,0)</f>
        <v>0</v>
      </c>
      <c r="E2151" s="52">
        <f>IF(Учет!$O2151=Справочники!$F$5,Учет!$H2151,0)</f>
        <v>0</v>
      </c>
      <c r="F2151" s="52">
        <f>IF(Учет!$O2151=Справочники!$F$6,Учет!$H2151,0)</f>
        <v>0</v>
      </c>
      <c r="G2151" s="43">
        <f>G2150+Учет!B2151-B2151</f>
        <v>-488978.92000000004</v>
      </c>
      <c r="H2151" s="43">
        <f>H2150+Учет!C2151-C2151</f>
        <v>336855</v>
      </c>
      <c r="I2151" s="43">
        <f>I2150+Учет!D2151-D2151</f>
        <v>500</v>
      </c>
      <c r="J2151" s="43">
        <f>J2150+Учет!E2151-E2151</f>
        <v>1150</v>
      </c>
      <c r="K2151" s="43">
        <f>K2150+Учет!F2151-F2151</f>
        <v>500000</v>
      </c>
      <c r="L2151" s="45">
        <f>Учет!I2151</f>
        <v>349526.07999999996</v>
      </c>
    </row>
    <row r="2152" spans="1:12" x14ac:dyDescent="0.25">
      <c r="A2152" s="48" t="str">
        <f>IF(Учет!A2152&lt;&gt;"",Учет!A2152,"")</f>
        <v/>
      </c>
      <c r="B2152" s="52">
        <f>IF(Учет!$O2152=Справочники!$F$2,Учет!$H2152,0)</f>
        <v>0</v>
      </c>
      <c r="C2152" s="52">
        <f>IF(Учет!$O2152=Справочники!$F$3,Учет!$H2152,0)</f>
        <v>0</v>
      </c>
      <c r="D2152" s="52">
        <f>IF(Учет!$O2152=Справочники!$F$4,Учет!$H2152,0)</f>
        <v>0</v>
      </c>
      <c r="E2152" s="52">
        <f>IF(Учет!$O2152=Справочники!$F$5,Учет!$H2152,0)</f>
        <v>0</v>
      </c>
      <c r="F2152" s="52">
        <f>IF(Учет!$O2152=Справочники!$F$6,Учет!$H2152,0)</f>
        <v>0</v>
      </c>
      <c r="G2152" s="43">
        <f>G2151+Учет!B2152-B2152</f>
        <v>-488978.92000000004</v>
      </c>
      <c r="H2152" s="43">
        <f>H2151+Учет!C2152-C2152</f>
        <v>336855</v>
      </c>
      <c r="I2152" s="43">
        <f>I2151+Учет!D2152-D2152</f>
        <v>500</v>
      </c>
      <c r="J2152" s="43">
        <f>J2151+Учет!E2152-E2152</f>
        <v>1150</v>
      </c>
      <c r="K2152" s="43">
        <f>K2151+Учет!F2152-F2152</f>
        <v>500000</v>
      </c>
      <c r="L2152" s="45">
        <f>Учет!I2152</f>
        <v>349526.07999999996</v>
      </c>
    </row>
    <row r="2153" spans="1:12" x14ac:dyDescent="0.25">
      <c r="A2153" s="48" t="str">
        <f>IF(Учет!A2153&lt;&gt;"",Учет!A2153,"")</f>
        <v/>
      </c>
      <c r="B2153" s="52">
        <f>IF(Учет!$O2153=Справочники!$F$2,Учет!$H2153,0)</f>
        <v>0</v>
      </c>
      <c r="C2153" s="52">
        <f>IF(Учет!$O2153=Справочники!$F$3,Учет!$H2153,0)</f>
        <v>0</v>
      </c>
      <c r="D2153" s="52">
        <f>IF(Учет!$O2153=Справочники!$F$4,Учет!$H2153,0)</f>
        <v>0</v>
      </c>
      <c r="E2153" s="52">
        <f>IF(Учет!$O2153=Справочники!$F$5,Учет!$H2153,0)</f>
        <v>0</v>
      </c>
      <c r="F2153" s="52">
        <f>IF(Учет!$O2153=Справочники!$F$6,Учет!$H2153,0)</f>
        <v>0</v>
      </c>
      <c r="G2153" s="43">
        <f>G2152+Учет!B2153-B2153</f>
        <v>-488978.92000000004</v>
      </c>
      <c r="H2153" s="43">
        <f>H2152+Учет!C2153-C2153</f>
        <v>336855</v>
      </c>
      <c r="I2153" s="43">
        <f>I2152+Учет!D2153-D2153</f>
        <v>500</v>
      </c>
      <c r="J2153" s="43">
        <f>J2152+Учет!E2153-E2153</f>
        <v>1150</v>
      </c>
      <c r="K2153" s="43">
        <f>K2152+Учет!F2153-F2153</f>
        <v>500000</v>
      </c>
      <c r="L2153" s="45">
        <f>Учет!I2153</f>
        <v>349526.07999999996</v>
      </c>
    </row>
    <row r="2154" spans="1:12" x14ac:dyDescent="0.25">
      <c r="A2154" s="48" t="str">
        <f>IF(Учет!A2154&lt;&gt;"",Учет!A2154,"")</f>
        <v/>
      </c>
      <c r="B2154" s="52">
        <f>IF(Учет!$O2154=Справочники!$F$2,Учет!$H2154,0)</f>
        <v>0</v>
      </c>
      <c r="C2154" s="52">
        <f>IF(Учет!$O2154=Справочники!$F$3,Учет!$H2154,0)</f>
        <v>0</v>
      </c>
      <c r="D2154" s="52">
        <f>IF(Учет!$O2154=Справочники!$F$4,Учет!$H2154,0)</f>
        <v>0</v>
      </c>
      <c r="E2154" s="52">
        <f>IF(Учет!$O2154=Справочники!$F$5,Учет!$H2154,0)</f>
        <v>0</v>
      </c>
      <c r="F2154" s="52">
        <f>IF(Учет!$O2154=Справочники!$F$6,Учет!$H2154,0)</f>
        <v>0</v>
      </c>
      <c r="G2154" s="43">
        <f>G2153+Учет!B2154-B2154</f>
        <v>-488978.92000000004</v>
      </c>
      <c r="H2154" s="43">
        <f>H2153+Учет!C2154-C2154</f>
        <v>336855</v>
      </c>
      <c r="I2154" s="43">
        <f>I2153+Учет!D2154-D2154</f>
        <v>500</v>
      </c>
      <c r="J2154" s="43">
        <f>J2153+Учет!E2154-E2154</f>
        <v>1150</v>
      </c>
      <c r="K2154" s="43">
        <f>K2153+Учет!F2154-F2154</f>
        <v>500000</v>
      </c>
      <c r="L2154" s="45">
        <f>Учет!I2154</f>
        <v>349526.07999999996</v>
      </c>
    </row>
    <row r="2155" spans="1:12" x14ac:dyDescent="0.25">
      <c r="A2155" s="48" t="str">
        <f>IF(Учет!A2155&lt;&gt;"",Учет!A2155,"")</f>
        <v/>
      </c>
      <c r="B2155" s="52">
        <f>IF(Учет!$O2155=Справочники!$F$2,Учет!$H2155,0)</f>
        <v>0</v>
      </c>
      <c r="C2155" s="52">
        <f>IF(Учет!$O2155=Справочники!$F$3,Учет!$H2155,0)</f>
        <v>0</v>
      </c>
      <c r="D2155" s="52">
        <f>IF(Учет!$O2155=Справочники!$F$4,Учет!$H2155,0)</f>
        <v>0</v>
      </c>
      <c r="E2155" s="52">
        <f>IF(Учет!$O2155=Справочники!$F$5,Учет!$H2155,0)</f>
        <v>0</v>
      </c>
      <c r="F2155" s="52">
        <f>IF(Учет!$O2155=Справочники!$F$6,Учет!$H2155,0)</f>
        <v>0</v>
      </c>
      <c r="G2155" s="43">
        <f>G2154+Учет!B2155-B2155</f>
        <v>-488978.92000000004</v>
      </c>
      <c r="H2155" s="43">
        <f>H2154+Учет!C2155-C2155</f>
        <v>336855</v>
      </c>
      <c r="I2155" s="43">
        <f>I2154+Учет!D2155-D2155</f>
        <v>500</v>
      </c>
      <c r="J2155" s="43">
        <f>J2154+Учет!E2155-E2155</f>
        <v>1150</v>
      </c>
      <c r="K2155" s="43">
        <f>K2154+Учет!F2155-F2155</f>
        <v>500000</v>
      </c>
      <c r="L2155" s="45">
        <f>Учет!I2155</f>
        <v>349526.07999999996</v>
      </c>
    </row>
    <row r="2156" spans="1:12" x14ac:dyDescent="0.25">
      <c r="A2156" s="48" t="str">
        <f>IF(Учет!A2156&lt;&gt;"",Учет!A2156,"")</f>
        <v/>
      </c>
      <c r="B2156" s="52">
        <f>IF(Учет!$O2156=Справочники!$F$2,Учет!$H2156,0)</f>
        <v>0</v>
      </c>
      <c r="C2156" s="52">
        <f>IF(Учет!$O2156=Справочники!$F$3,Учет!$H2156,0)</f>
        <v>0</v>
      </c>
      <c r="D2156" s="52">
        <f>IF(Учет!$O2156=Справочники!$F$4,Учет!$H2156,0)</f>
        <v>0</v>
      </c>
      <c r="E2156" s="52">
        <f>IF(Учет!$O2156=Справочники!$F$5,Учет!$H2156,0)</f>
        <v>0</v>
      </c>
      <c r="F2156" s="52">
        <f>IF(Учет!$O2156=Справочники!$F$6,Учет!$H2156,0)</f>
        <v>0</v>
      </c>
      <c r="G2156" s="43">
        <f>G2155+Учет!B2156-B2156</f>
        <v>-488978.92000000004</v>
      </c>
      <c r="H2156" s="43">
        <f>H2155+Учет!C2156-C2156</f>
        <v>336855</v>
      </c>
      <c r="I2156" s="43">
        <f>I2155+Учет!D2156-D2156</f>
        <v>500</v>
      </c>
      <c r="J2156" s="43">
        <f>J2155+Учет!E2156-E2156</f>
        <v>1150</v>
      </c>
      <c r="K2156" s="43">
        <f>K2155+Учет!F2156-F2156</f>
        <v>500000</v>
      </c>
      <c r="L2156" s="45">
        <f>Учет!I2156</f>
        <v>349526.07999999996</v>
      </c>
    </row>
    <row r="2157" spans="1:12" x14ac:dyDescent="0.25">
      <c r="A2157" s="48" t="str">
        <f>IF(Учет!A2157&lt;&gt;"",Учет!A2157,"")</f>
        <v/>
      </c>
      <c r="B2157" s="52">
        <f>IF(Учет!$O2157=Справочники!$F$2,Учет!$H2157,0)</f>
        <v>0</v>
      </c>
      <c r="C2157" s="52">
        <f>IF(Учет!$O2157=Справочники!$F$3,Учет!$H2157,0)</f>
        <v>0</v>
      </c>
      <c r="D2157" s="52">
        <f>IF(Учет!$O2157=Справочники!$F$4,Учет!$H2157,0)</f>
        <v>0</v>
      </c>
      <c r="E2157" s="52">
        <f>IF(Учет!$O2157=Справочники!$F$5,Учет!$H2157,0)</f>
        <v>0</v>
      </c>
      <c r="F2157" s="52">
        <f>IF(Учет!$O2157=Справочники!$F$6,Учет!$H2157,0)</f>
        <v>0</v>
      </c>
      <c r="G2157" s="43">
        <f>G2156+Учет!B2157-B2157</f>
        <v>-488978.92000000004</v>
      </c>
      <c r="H2157" s="43">
        <f>H2156+Учет!C2157-C2157</f>
        <v>336855</v>
      </c>
      <c r="I2157" s="43">
        <f>I2156+Учет!D2157-D2157</f>
        <v>500</v>
      </c>
      <c r="J2157" s="43">
        <f>J2156+Учет!E2157-E2157</f>
        <v>1150</v>
      </c>
      <c r="K2157" s="43">
        <f>K2156+Учет!F2157-F2157</f>
        <v>500000</v>
      </c>
      <c r="L2157" s="45">
        <f>Учет!I2157</f>
        <v>349526.07999999996</v>
      </c>
    </row>
    <row r="2158" spans="1:12" x14ac:dyDescent="0.25">
      <c r="A2158" s="48" t="str">
        <f>IF(Учет!A2158&lt;&gt;"",Учет!A2158,"")</f>
        <v/>
      </c>
      <c r="B2158" s="52">
        <f>IF(Учет!$O2158=Справочники!$F$2,Учет!$H2158,0)</f>
        <v>0</v>
      </c>
      <c r="C2158" s="52">
        <f>IF(Учет!$O2158=Справочники!$F$3,Учет!$H2158,0)</f>
        <v>0</v>
      </c>
      <c r="D2158" s="52">
        <f>IF(Учет!$O2158=Справочники!$F$4,Учет!$H2158,0)</f>
        <v>0</v>
      </c>
      <c r="E2158" s="52">
        <f>IF(Учет!$O2158=Справочники!$F$5,Учет!$H2158,0)</f>
        <v>0</v>
      </c>
      <c r="F2158" s="52">
        <f>IF(Учет!$O2158=Справочники!$F$6,Учет!$H2158,0)</f>
        <v>0</v>
      </c>
      <c r="G2158" s="43">
        <f>G2157+Учет!B2158-B2158</f>
        <v>-488978.92000000004</v>
      </c>
      <c r="H2158" s="43">
        <f>H2157+Учет!C2158-C2158</f>
        <v>336855</v>
      </c>
      <c r="I2158" s="43">
        <f>I2157+Учет!D2158-D2158</f>
        <v>500</v>
      </c>
      <c r="J2158" s="43">
        <f>J2157+Учет!E2158-E2158</f>
        <v>1150</v>
      </c>
      <c r="K2158" s="43">
        <f>K2157+Учет!F2158-F2158</f>
        <v>500000</v>
      </c>
      <c r="L2158" s="45">
        <f>Учет!I2158</f>
        <v>349526.07999999996</v>
      </c>
    </row>
    <row r="2159" spans="1:12" x14ac:dyDescent="0.25">
      <c r="A2159" s="48" t="str">
        <f>IF(Учет!A2159&lt;&gt;"",Учет!A2159,"")</f>
        <v/>
      </c>
      <c r="B2159" s="52">
        <f>IF(Учет!$O2159=Справочники!$F$2,Учет!$H2159,0)</f>
        <v>0</v>
      </c>
      <c r="C2159" s="52">
        <f>IF(Учет!$O2159=Справочники!$F$3,Учет!$H2159,0)</f>
        <v>0</v>
      </c>
      <c r="D2159" s="52">
        <f>IF(Учет!$O2159=Справочники!$F$4,Учет!$H2159,0)</f>
        <v>0</v>
      </c>
      <c r="E2159" s="52">
        <f>IF(Учет!$O2159=Справочники!$F$5,Учет!$H2159,0)</f>
        <v>0</v>
      </c>
      <c r="F2159" s="52">
        <f>IF(Учет!$O2159=Справочники!$F$6,Учет!$H2159,0)</f>
        <v>0</v>
      </c>
      <c r="G2159" s="43">
        <f>G2158+Учет!B2159-B2159</f>
        <v>-488978.92000000004</v>
      </c>
      <c r="H2159" s="43">
        <f>H2158+Учет!C2159-C2159</f>
        <v>336855</v>
      </c>
      <c r="I2159" s="43">
        <f>I2158+Учет!D2159-D2159</f>
        <v>500</v>
      </c>
      <c r="J2159" s="43">
        <f>J2158+Учет!E2159-E2159</f>
        <v>1150</v>
      </c>
      <c r="K2159" s="43">
        <f>K2158+Учет!F2159-F2159</f>
        <v>500000</v>
      </c>
      <c r="L2159" s="45">
        <f>Учет!I2159</f>
        <v>349526.07999999996</v>
      </c>
    </row>
    <row r="2160" spans="1:12" x14ac:dyDescent="0.25">
      <c r="A2160" s="48" t="str">
        <f>IF(Учет!A2160&lt;&gt;"",Учет!A2160,"")</f>
        <v/>
      </c>
      <c r="B2160" s="52">
        <f>IF(Учет!$O2160=Справочники!$F$2,Учет!$H2160,0)</f>
        <v>0</v>
      </c>
      <c r="C2160" s="52">
        <f>IF(Учет!$O2160=Справочники!$F$3,Учет!$H2160,0)</f>
        <v>0</v>
      </c>
      <c r="D2160" s="52">
        <f>IF(Учет!$O2160=Справочники!$F$4,Учет!$H2160,0)</f>
        <v>0</v>
      </c>
      <c r="E2160" s="52">
        <f>IF(Учет!$O2160=Справочники!$F$5,Учет!$H2160,0)</f>
        <v>0</v>
      </c>
      <c r="F2160" s="52">
        <f>IF(Учет!$O2160=Справочники!$F$6,Учет!$H2160,0)</f>
        <v>0</v>
      </c>
      <c r="G2160" s="43">
        <f>G2159+Учет!B2160-B2160</f>
        <v>-488978.92000000004</v>
      </c>
      <c r="H2160" s="43">
        <f>H2159+Учет!C2160-C2160</f>
        <v>336855</v>
      </c>
      <c r="I2160" s="43">
        <f>I2159+Учет!D2160-D2160</f>
        <v>500</v>
      </c>
      <c r="J2160" s="43">
        <f>J2159+Учет!E2160-E2160</f>
        <v>1150</v>
      </c>
      <c r="K2160" s="43">
        <f>K2159+Учет!F2160-F2160</f>
        <v>500000</v>
      </c>
      <c r="L2160" s="45">
        <f>Учет!I2160</f>
        <v>349526.07999999996</v>
      </c>
    </row>
    <row r="2161" spans="1:12" x14ac:dyDescent="0.25">
      <c r="A2161" s="48" t="str">
        <f>IF(Учет!A2161&lt;&gt;"",Учет!A2161,"")</f>
        <v/>
      </c>
      <c r="B2161" s="52">
        <f>IF(Учет!$O2161=Справочники!$F$2,Учет!$H2161,0)</f>
        <v>0</v>
      </c>
      <c r="C2161" s="52">
        <f>IF(Учет!$O2161=Справочники!$F$3,Учет!$H2161,0)</f>
        <v>0</v>
      </c>
      <c r="D2161" s="52">
        <f>IF(Учет!$O2161=Справочники!$F$4,Учет!$H2161,0)</f>
        <v>0</v>
      </c>
      <c r="E2161" s="52">
        <f>IF(Учет!$O2161=Справочники!$F$5,Учет!$H2161,0)</f>
        <v>0</v>
      </c>
      <c r="F2161" s="52">
        <f>IF(Учет!$O2161=Справочники!$F$6,Учет!$H2161,0)</f>
        <v>0</v>
      </c>
      <c r="G2161" s="43">
        <f>G2160+Учет!B2161-B2161</f>
        <v>-488978.92000000004</v>
      </c>
      <c r="H2161" s="43">
        <f>H2160+Учет!C2161-C2161</f>
        <v>336855</v>
      </c>
      <c r="I2161" s="43">
        <f>I2160+Учет!D2161-D2161</f>
        <v>500</v>
      </c>
      <c r="J2161" s="43">
        <f>J2160+Учет!E2161-E2161</f>
        <v>1150</v>
      </c>
      <c r="K2161" s="43">
        <f>K2160+Учет!F2161-F2161</f>
        <v>500000</v>
      </c>
      <c r="L2161" s="45">
        <f>Учет!I2161</f>
        <v>349526.07999999996</v>
      </c>
    </row>
    <row r="2162" spans="1:12" x14ac:dyDescent="0.25">
      <c r="A2162" s="48" t="str">
        <f>IF(Учет!A2162&lt;&gt;"",Учет!A2162,"")</f>
        <v/>
      </c>
      <c r="B2162" s="52">
        <f>IF(Учет!$O2162=Справочники!$F$2,Учет!$H2162,0)</f>
        <v>0</v>
      </c>
      <c r="C2162" s="52">
        <f>IF(Учет!$O2162=Справочники!$F$3,Учет!$H2162,0)</f>
        <v>0</v>
      </c>
      <c r="D2162" s="52">
        <f>IF(Учет!$O2162=Справочники!$F$4,Учет!$H2162,0)</f>
        <v>0</v>
      </c>
      <c r="E2162" s="52">
        <f>IF(Учет!$O2162=Справочники!$F$5,Учет!$H2162,0)</f>
        <v>0</v>
      </c>
      <c r="F2162" s="52">
        <f>IF(Учет!$O2162=Справочники!$F$6,Учет!$H2162,0)</f>
        <v>0</v>
      </c>
      <c r="G2162" s="43">
        <f>G2161+Учет!B2162-B2162</f>
        <v>-488978.92000000004</v>
      </c>
      <c r="H2162" s="43">
        <f>H2161+Учет!C2162-C2162</f>
        <v>336855</v>
      </c>
      <c r="I2162" s="43">
        <f>I2161+Учет!D2162-D2162</f>
        <v>500</v>
      </c>
      <c r="J2162" s="43">
        <f>J2161+Учет!E2162-E2162</f>
        <v>1150</v>
      </c>
      <c r="K2162" s="43">
        <f>K2161+Учет!F2162-F2162</f>
        <v>500000</v>
      </c>
      <c r="L2162" s="45">
        <f>Учет!I2162</f>
        <v>349526.07999999996</v>
      </c>
    </row>
    <row r="2163" spans="1:12" x14ac:dyDescent="0.25">
      <c r="A2163" s="48" t="str">
        <f>IF(Учет!A2163&lt;&gt;"",Учет!A2163,"")</f>
        <v/>
      </c>
      <c r="B2163" s="52">
        <f>IF(Учет!$O2163=Справочники!$F$2,Учет!$H2163,0)</f>
        <v>0</v>
      </c>
      <c r="C2163" s="52">
        <f>IF(Учет!$O2163=Справочники!$F$3,Учет!$H2163,0)</f>
        <v>0</v>
      </c>
      <c r="D2163" s="52">
        <f>IF(Учет!$O2163=Справочники!$F$4,Учет!$H2163,0)</f>
        <v>0</v>
      </c>
      <c r="E2163" s="52">
        <f>IF(Учет!$O2163=Справочники!$F$5,Учет!$H2163,0)</f>
        <v>0</v>
      </c>
      <c r="F2163" s="52">
        <f>IF(Учет!$O2163=Справочники!$F$6,Учет!$H2163,0)</f>
        <v>0</v>
      </c>
      <c r="G2163" s="43">
        <f>G2162+Учет!B2163-B2163</f>
        <v>-488978.92000000004</v>
      </c>
      <c r="H2163" s="43">
        <f>H2162+Учет!C2163-C2163</f>
        <v>336855</v>
      </c>
      <c r="I2163" s="43">
        <f>I2162+Учет!D2163-D2163</f>
        <v>500</v>
      </c>
      <c r="J2163" s="43">
        <f>J2162+Учет!E2163-E2163</f>
        <v>1150</v>
      </c>
      <c r="K2163" s="43">
        <f>K2162+Учет!F2163-F2163</f>
        <v>500000</v>
      </c>
      <c r="L2163" s="45">
        <f>Учет!I2163</f>
        <v>349526.07999999996</v>
      </c>
    </row>
    <row r="2164" spans="1:12" x14ac:dyDescent="0.25">
      <c r="A2164" s="48" t="str">
        <f>IF(Учет!A2164&lt;&gt;"",Учет!A2164,"")</f>
        <v/>
      </c>
      <c r="B2164" s="52">
        <f>IF(Учет!$O2164=Справочники!$F$2,Учет!$H2164,0)</f>
        <v>0</v>
      </c>
      <c r="C2164" s="52">
        <f>IF(Учет!$O2164=Справочники!$F$3,Учет!$H2164,0)</f>
        <v>0</v>
      </c>
      <c r="D2164" s="52">
        <f>IF(Учет!$O2164=Справочники!$F$4,Учет!$H2164,0)</f>
        <v>0</v>
      </c>
      <c r="E2164" s="52">
        <f>IF(Учет!$O2164=Справочники!$F$5,Учет!$H2164,0)</f>
        <v>0</v>
      </c>
      <c r="F2164" s="52">
        <f>IF(Учет!$O2164=Справочники!$F$6,Учет!$H2164,0)</f>
        <v>0</v>
      </c>
      <c r="G2164" s="43">
        <f>G2163+Учет!B2164-B2164</f>
        <v>-488978.92000000004</v>
      </c>
      <c r="H2164" s="43">
        <f>H2163+Учет!C2164-C2164</f>
        <v>336855</v>
      </c>
      <c r="I2164" s="43">
        <f>I2163+Учет!D2164-D2164</f>
        <v>500</v>
      </c>
      <c r="J2164" s="43">
        <f>J2163+Учет!E2164-E2164</f>
        <v>1150</v>
      </c>
      <c r="K2164" s="43">
        <f>K2163+Учет!F2164-F2164</f>
        <v>500000</v>
      </c>
      <c r="L2164" s="45">
        <f>Учет!I2164</f>
        <v>349526.07999999996</v>
      </c>
    </row>
    <row r="2165" spans="1:12" x14ac:dyDescent="0.25">
      <c r="A2165" s="48" t="str">
        <f>IF(Учет!A2165&lt;&gt;"",Учет!A2165,"")</f>
        <v/>
      </c>
      <c r="B2165" s="52">
        <f>IF(Учет!$O2165=Справочники!$F$2,Учет!$H2165,0)</f>
        <v>0</v>
      </c>
      <c r="C2165" s="52">
        <f>IF(Учет!$O2165=Справочники!$F$3,Учет!$H2165,0)</f>
        <v>0</v>
      </c>
      <c r="D2165" s="52">
        <f>IF(Учет!$O2165=Справочники!$F$4,Учет!$H2165,0)</f>
        <v>0</v>
      </c>
      <c r="E2165" s="52">
        <f>IF(Учет!$O2165=Справочники!$F$5,Учет!$H2165,0)</f>
        <v>0</v>
      </c>
      <c r="F2165" s="52">
        <f>IF(Учет!$O2165=Справочники!$F$6,Учет!$H2165,0)</f>
        <v>0</v>
      </c>
      <c r="G2165" s="43">
        <f>G2164+Учет!B2165-B2165</f>
        <v>-488978.92000000004</v>
      </c>
      <c r="H2165" s="43">
        <f>H2164+Учет!C2165-C2165</f>
        <v>336855</v>
      </c>
      <c r="I2165" s="43">
        <f>I2164+Учет!D2165-D2165</f>
        <v>500</v>
      </c>
      <c r="J2165" s="43">
        <f>J2164+Учет!E2165-E2165</f>
        <v>1150</v>
      </c>
      <c r="K2165" s="43">
        <f>K2164+Учет!F2165-F2165</f>
        <v>500000</v>
      </c>
      <c r="L2165" s="45">
        <f>Учет!I2165</f>
        <v>349526.07999999996</v>
      </c>
    </row>
    <row r="2166" spans="1:12" x14ac:dyDescent="0.25">
      <c r="A2166" s="48" t="str">
        <f>IF(Учет!A2166&lt;&gt;"",Учет!A2166,"")</f>
        <v/>
      </c>
      <c r="B2166" s="52">
        <f>IF(Учет!$O2166=Справочники!$F$2,Учет!$H2166,0)</f>
        <v>0</v>
      </c>
      <c r="C2166" s="52">
        <f>IF(Учет!$O2166=Справочники!$F$3,Учет!$H2166,0)</f>
        <v>0</v>
      </c>
      <c r="D2166" s="52">
        <f>IF(Учет!$O2166=Справочники!$F$4,Учет!$H2166,0)</f>
        <v>0</v>
      </c>
      <c r="E2166" s="52">
        <f>IF(Учет!$O2166=Справочники!$F$5,Учет!$H2166,0)</f>
        <v>0</v>
      </c>
      <c r="F2166" s="52">
        <f>IF(Учет!$O2166=Справочники!$F$6,Учет!$H2166,0)</f>
        <v>0</v>
      </c>
      <c r="G2166" s="43">
        <f>G2165+Учет!B2166-B2166</f>
        <v>-488978.92000000004</v>
      </c>
      <c r="H2166" s="43">
        <f>H2165+Учет!C2166-C2166</f>
        <v>336855</v>
      </c>
      <c r="I2166" s="43">
        <f>I2165+Учет!D2166-D2166</f>
        <v>500</v>
      </c>
      <c r="J2166" s="43">
        <f>J2165+Учет!E2166-E2166</f>
        <v>1150</v>
      </c>
      <c r="K2166" s="43">
        <f>K2165+Учет!F2166-F2166</f>
        <v>500000</v>
      </c>
      <c r="L2166" s="45">
        <f>Учет!I2166</f>
        <v>349526.07999999996</v>
      </c>
    </row>
    <row r="2167" spans="1:12" x14ac:dyDescent="0.25">
      <c r="A2167" s="48" t="str">
        <f>IF(Учет!A2167&lt;&gt;"",Учет!A2167,"")</f>
        <v/>
      </c>
      <c r="B2167" s="52">
        <f>IF(Учет!$O2167=Справочники!$F$2,Учет!$H2167,0)</f>
        <v>0</v>
      </c>
      <c r="C2167" s="52">
        <f>IF(Учет!$O2167=Справочники!$F$3,Учет!$H2167,0)</f>
        <v>0</v>
      </c>
      <c r="D2167" s="52">
        <f>IF(Учет!$O2167=Справочники!$F$4,Учет!$H2167,0)</f>
        <v>0</v>
      </c>
      <c r="E2167" s="52">
        <f>IF(Учет!$O2167=Справочники!$F$5,Учет!$H2167,0)</f>
        <v>0</v>
      </c>
      <c r="F2167" s="52">
        <f>IF(Учет!$O2167=Справочники!$F$6,Учет!$H2167,0)</f>
        <v>0</v>
      </c>
      <c r="G2167" s="43">
        <f>G2166+Учет!B2167-B2167</f>
        <v>-488978.92000000004</v>
      </c>
      <c r="H2167" s="43">
        <f>H2166+Учет!C2167-C2167</f>
        <v>336855</v>
      </c>
      <c r="I2167" s="43">
        <f>I2166+Учет!D2167-D2167</f>
        <v>500</v>
      </c>
      <c r="J2167" s="43">
        <f>J2166+Учет!E2167-E2167</f>
        <v>1150</v>
      </c>
      <c r="K2167" s="43">
        <f>K2166+Учет!F2167-F2167</f>
        <v>500000</v>
      </c>
      <c r="L2167" s="45">
        <f>Учет!I2167</f>
        <v>349526.07999999996</v>
      </c>
    </row>
    <row r="2168" spans="1:12" x14ac:dyDescent="0.25">
      <c r="A2168" s="48" t="str">
        <f>IF(Учет!A2168&lt;&gt;"",Учет!A2168,"")</f>
        <v/>
      </c>
      <c r="B2168" s="52">
        <f>IF(Учет!$O2168=Справочники!$F$2,Учет!$H2168,0)</f>
        <v>0</v>
      </c>
      <c r="C2168" s="52">
        <f>IF(Учет!$O2168=Справочники!$F$3,Учет!$H2168,0)</f>
        <v>0</v>
      </c>
      <c r="D2168" s="52">
        <f>IF(Учет!$O2168=Справочники!$F$4,Учет!$H2168,0)</f>
        <v>0</v>
      </c>
      <c r="E2168" s="52">
        <f>IF(Учет!$O2168=Справочники!$F$5,Учет!$H2168,0)</f>
        <v>0</v>
      </c>
      <c r="F2168" s="52">
        <f>IF(Учет!$O2168=Справочники!$F$6,Учет!$H2168,0)</f>
        <v>0</v>
      </c>
      <c r="G2168" s="43">
        <f>G2167+Учет!B2168-B2168</f>
        <v>-488978.92000000004</v>
      </c>
      <c r="H2168" s="43">
        <f>H2167+Учет!C2168-C2168</f>
        <v>336855</v>
      </c>
      <c r="I2168" s="43">
        <f>I2167+Учет!D2168-D2168</f>
        <v>500</v>
      </c>
      <c r="J2168" s="43">
        <f>J2167+Учет!E2168-E2168</f>
        <v>1150</v>
      </c>
      <c r="K2168" s="43">
        <f>K2167+Учет!F2168-F2168</f>
        <v>500000</v>
      </c>
      <c r="L2168" s="45">
        <f>Учет!I2168</f>
        <v>349526.07999999996</v>
      </c>
    </row>
    <row r="2169" spans="1:12" x14ac:dyDescent="0.25">
      <c r="A2169" s="48" t="str">
        <f>IF(Учет!A2169&lt;&gt;"",Учет!A2169,"")</f>
        <v/>
      </c>
      <c r="B2169" s="52">
        <f>IF(Учет!$O2169=Справочники!$F$2,Учет!$H2169,0)</f>
        <v>0</v>
      </c>
      <c r="C2169" s="52">
        <f>IF(Учет!$O2169=Справочники!$F$3,Учет!$H2169,0)</f>
        <v>0</v>
      </c>
      <c r="D2169" s="52">
        <f>IF(Учет!$O2169=Справочники!$F$4,Учет!$H2169,0)</f>
        <v>0</v>
      </c>
      <c r="E2169" s="52">
        <f>IF(Учет!$O2169=Справочники!$F$5,Учет!$H2169,0)</f>
        <v>0</v>
      </c>
      <c r="F2169" s="52">
        <f>IF(Учет!$O2169=Справочники!$F$6,Учет!$H2169,0)</f>
        <v>0</v>
      </c>
      <c r="G2169" s="43">
        <f>G2168+Учет!B2169-B2169</f>
        <v>-488978.92000000004</v>
      </c>
      <c r="H2169" s="43">
        <f>H2168+Учет!C2169-C2169</f>
        <v>336855</v>
      </c>
      <c r="I2169" s="43">
        <f>I2168+Учет!D2169-D2169</f>
        <v>500</v>
      </c>
      <c r="J2169" s="43">
        <f>J2168+Учет!E2169-E2169</f>
        <v>1150</v>
      </c>
      <c r="K2169" s="43">
        <f>K2168+Учет!F2169-F2169</f>
        <v>500000</v>
      </c>
      <c r="L2169" s="45">
        <f>Учет!I2169</f>
        <v>349526.07999999996</v>
      </c>
    </row>
    <row r="2170" spans="1:12" x14ac:dyDescent="0.25">
      <c r="A2170" s="48" t="str">
        <f>IF(Учет!A2170&lt;&gt;"",Учет!A2170,"")</f>
        <v/>
      </c>
      <c r="B2170" s="52">
        <f>IF(Учет!$O2170=Справочники!$F$2,Учет!$H2170,0)</f>
        <v>0</v>
      </c>
      <c r="C2170" s="52">
        <f>IF(Учет!$O2170=Справочники!$F$3,Учет!$H2170,0)</f>
        <v>0</v>
      </c>
      <c r="D2170" s="52">
        <f>IF(Учет!$O2170=Справочники!$F$4,Учет!$H2170,0)</f>
        <v>0</v>
      </c>
      <c r="E2170" s="52">
        <f>IF(Учет!$O2170=Справочники!$F$5,Учет!$H2170,0)</f>
        <v>0</v>
      </c>
      <c r="F2170" s="52">
        <f>IF(Учет!$O2170=Справочники!$F$6,Учет!$H2170,0)</f>
        <v>0</v>
      </c>
      <c r="G2170" s="43">
        <f>G2169+Учет!B2170-B2170</f>
        <v>-488978.92000000004</v>
      </c>
      <c r="H2170" s="43">
        <f>H2169+Учет!C2170-C2170</f>
        <v>336855</v>
      </c>
      <c r="I2170" s="43">
        <f>I2169+Учет!D2170-D2170</f>
        <v>500</v>
      </c>
      <c r="J2170" s="43">
        <f>J2169+Учет!E2170-E2170</f>
        <v>1150</v>
      </c>
      <c r="K2170" s="43">
        <f>K2169+Учет!F2170-F2170</f>
        <v>500000</v>
      </c>
      <c r="L2170" s="45">
        <f>Учет!I2170</f>
        <v>349526.07999999996</v>
      </c>
    </row>
    <row r="2171" spans="1:12" x14ac:dyDescent="0.25">
      <c r="A2171" s="48" t="str">
        <f>IF(Учет!A2171&lt;&gt;"",Учет!A2171,"")</f>
        <v/>
      </c>
      <c r="B2171" s="52">
        <f>IF(Учет!$O2171=Справочники!$F$2,Учет!$H2171,0)</f>
        <v>0</v>
      </c>
      <c r="C2171" s="52">
        <f>IF(Учет!$O2171=Справочники!$F$3,Учет!$H2171,0)</f>
        <v>0</v>
      </c>
      <c r="D2171" s="52">
        <f>IF(Учет!$O2171=Справочники!$F$4,Учет!$H2171,0)</f>
        <v>0</v>
      </c>
      <c r="E2171" s="52">
        <f>IF(Учет!$O2171=Справочники!$F$5,Учет!$H2171,0)</f>
        <v>0</v>
      </c>
      <c r="F2171" s="52">
        <f>IF(Учет!$O2171=Справочники!$F$6,Учет!$H2171,0)</f>
        <v>0</v>
      </c>
      <c r="G2171" s="43">
        <f>G2170+Учет!B2171-B2171</f>
        <v>-488978.92000000004</v>
      </c>
      <c r="H2171" s="43">
        <f>H2170+Учет!C2171-C2171</f>
        <v>336855</v>
      </c>
      <c r="I2171" s="43">
        <f>I2170+Учет!D2171-D2171</f>
        <v>500</v>
      </c>
      <c r="J2171" s="43">
        <f>J2170+Учет!E2171-E2171</f>
        <v>1150</v>
      </c>
      <c r="K2171" s="43">
        <f>K2170+Учет!F2171-F2171</f>
        <v>500000</v>
      </c>
      <c r="L2171" s="45">
        <f>Учет!I2171</f>
        <v>349526.07999999996</v>
      </c>
    </row>
    <row r="2172" spans="1:12" x14ac:dyDescent="0.25">
      <c r="A2172" s="48" t="str">
        <f>IF(Учет!A2172&lt;&gt;"",Учет!A2172,"")</f>
        <v/>
      </c>
      <c r="B2172" s="52">
        <f>IF(Учет!$O2172=Справочники!$F$2,Учет!$H2172,0)</f>
        <v>0</v>
      </c>
      <c r="C2172" s="52">
        <f>IF(Учет!$O2172=Справочники!$F$3,Учет!$H2172,0)</f>
        <v>0</v>
      </c>
      <c r="D2172" s="52">
        <f>IF(Учет!$O2172=Справочники!$F$4,Учет!$H2172,0)</f>
        <v>0</v>
      </c>
      <c r="E2172" s="52">
        <f>IF(Учет!$O2172=Справочники!$F$5,Учет!$H2172,0)</f>
        <v>0</v>
      </c>
      <c r="F2172" s="52">
        <f>IF(Учет!$O2172=Справочники!$F$6,Учет!$H2172,0)</f>
        <v>0</v>
      </c>
      <c r="G2172" s="43">
        <f>G2171+Учет!B2172-B2172</f>
        <v>-488978.92000000004</v>
      </c>
      <c r="H2172" s="43">
        <f>H2171+Учет!C2172-C2172</f>
        <v>336855</v>
      </c>
      <c r="I2172" s="43">
        <f>I2171+Учет!D2172-D2172</f>
        <v>500</v>
      </c>
      <c r="J2172" s="43">
        <f>J2171+Учет!E2172-E2172</f>
        <v>1150</v>
      </c>
      <c r="K2172" s="43">
        <f>K2171+Учет!F2172-F2172</f>
        <v>500000</v>
      </c>
      <c r="L2172" s="45">
        <f>Учет!I2172</f>
        <v>349526.07999999996</v>
      </c>
    </row>
    <row r="2173" spans="1:12" x14ac:dyDescent="0.25">
      <c r="A2173" s="48" t="str">
        <f>IF(Учет!A2173&lt;&gt;"",Учет!A2173,"")</f>
        <v/>
      </c>
      <c r="B2173" s="52">
        <f>IF(Учет!$O2173=Справочники!$F$2,Учет!$H2173,0)</f>
        <v>0</v>
      </c>
      <c r="C2173" s="52">
        <f>IF(Учет!$O2173=Справочники!$F$3,Учет!$H2173,0)</f>
        <v>0</v>
      </c>
      <c r="D2173" s="52">
        <f>IF(Учет!$O2173=Справочники!$F$4,Учет!$H2173,0)</f>
        <v>0</v>
      </c>
      <c r="E2173" s="52">
        <f>IF(Учет!$O2173=Справочники!$F$5,Учет!$H2173,0)</f>
        <v>0</v>
      </c>
      <c r="F2173" s="52">
        <f>IF(Учет!$O2173=Справочники!$F$6,Учет!$H2173,0)</f>
        <v>0</v>
      </c>
      <c r="G2173" s="43">
        <f>G2172+Учет!B2173-B2173</f>
        <v>-488978.92000000004</v>
      </c>
      <c r="H2173" s="43">
        <f>H2172+Учет!C2173-C2173</f>
        <v>336855</v>
      </c>
      <c r="I2173" s="43">
        <f>I2172+Учет!D2173-D2173</f>
        <v>500</v>
      </c>
      <c r="J2173" s="43">
        <f>J2172+Учет!E2173-E2173</f>
        <v>1150</v>
      </c>
      <c r="K2173" s="43">
        <f>K2172+Учет!F2173-F2173</f>
        <v>500000</v>
      </c>
      <c r="L2173" s="45">
        <f>Учет!I2173</f>
        <v>349526.07999999996</v>
      </c>
    </row>
    <row r="2174" spans="1:12" x14ac:dyDescent="0.25">
      <c r="A2174" s="48" t="str">
        <f>IF(Учет!A2174&lt;&gt;"",Учет!A2174,"")</f>
        <v/>
      </c>
      <c r="B2174" s="52">
        <f>IF(Учет!$O2174=Справочники!$F$2,Учет!$H2174,0)</f>
        <v>0</v>
      </c>
      <c r="C2174" s="52">
        <f>IF(Учет!$O2174=Справочники!$F$3,Учет!$H2174,0)</f>
        <v>0</v>
      </c>
      <c r="D2174" s="52">
        <f>IF(Учет!$O2174=Справочники!$F$4,Учет!$H2174,0)</f>
        <v>0</v>
      </c>
      <c r="E2174" s="52">
        <f>IF(Учет!$O2174=Справочники!$F$5,Учет!$H2174,0)</f>
        <v>0</v>
      </c>
      <c r="F2174" s="52">
        <f>IF(Учет!$O2174=Справочники!$F$6,Учет!$H2174,0)</f>
        <v>0</v>
      </c>
      <c r="G2174" s="43">
        <f>G2173+Учет!B2174-B2174</f>
        <v>-488978.92000000004</v>
      </c>
      <c r="H2174" s="43">
        <f>H2173+Учет!C2174-C2174</f>
        <v>336855</v>
      </c>
      <c r="I2174" s="43">
        <f>I2173+Учет!D2174-D2174</f>
        <v>500</v>
      </c>
      <c r="J2174" s="43">
        <f>J2173+Учет!E2174-E2174</f>
        <v>1150</v>
      </c>
      <c r="K2174" s="43">
        <f>K2173+Учет!F2174-F2174</f>
        <v>500000</v>
      </c>
      <c r="L2174" s="45">
        <f>Учет!I2174</f>
        <v>349526.07999999996</v>
      </c>
    </row>
    <row r="2175" spans="1:12" x14ac:dyDescent="0.25">
      <c r="A2175" s="48" t="str">
        <f>IF(Учет!A2175&lt;&gt;"",Учет!A2175,"")</f>
        <v/>
      </c>
      <c r="B2175" s="52">
        <f>IF(Учет!$O2175=Справочники!$F$2,Учет!$H2175,0)</f>
        <v>0</v>
      </c>
      <c r="C2175" s="52">
        <f>IF(Учет!$O2175=Справочники!$F$3,Учет!$H2175,0)</f>
        <v>0</v>
      </c>
      <c r="D2175" s="52">
        <f>IF(Учет!$O2175=Справочники!$F$4,Учет!$H2175,0)</f>
        <v>0</v>
      </c>
      <c r="E2175" s="52">
        <f>IF(Учет!$O2175=Справочники!$F$5,Учет!$H2175,0)</f>
        <v>0</v>
      </c>
      <c r="F2175" s="52">
        <f>IF(Учет!$O2175=Справочники!$F$6,Учет!$H2175,0)</f>
        <v>0</v>
      </c>
      <c r="G2175" s="43">
        <f>G2174+Учет!B2175-B2175</f>
        <v>-488978.92000000004</v>
      </c>
      <c r="H2175" s="43">
        <f>H2174+Учет!C2175-C2175</f>
        <v>336855</v>
      </c>
      <c r="I2175" s="43">
        <f>I2174+Учет!D2175-D2175</f>
        <v>500</v>
      </c>
      <c r="J2175" s="43">
        <f>J2174+Учет!E2175-E2175</f>
        <v>1150</v>
      </c>
      <c r="K2175" s="43">
        <f>K2174+Учет!F2175-F2175</f>
        <v>500000</v>
      </c>
      <c r="L2175" s="45">
        <f>Учет!I2175</f>
        <v>349526.07999999996</v>
      </c>
    </row>
    <row r="2176" spans="1:12" x14ac:dyDescent="0.25">
      <c r="A2176" s="48" t="str">
        <f>IF(Учет!A2176&lt;&gt;"",Учет!A2176,"")</f>
        <v/>
      </c>
      <c r="B2176" s="52">
        <f>IF(Учет!$O2176=Справочники!$F$2,Учет!$H2176,0)</f>
        <v>0</v>
      </c>
      <c r="C2176" s="52">
        <f>IF(Учет!$O2176=Справочники!$F$3,Учет!$H2176,0)</f>
        <v>0</v>
      </c>
      <c r="D2176" s="52">
        <f>IF(Учет!$O2176=Справочники!$F$4,Учет!$H2176,0)</f>
        <v>0</v>
      </c>
      <c r="E2176" s="52">
        <f>IF(Учет!$O2176=Справочники!$F$5,Учет!$H2176,0)</f>
        <v>0</v>
      </c>
      <c r="F2176" s="52">
        <f>IF(Учет!$O2176=Справочники!$F$6,Учет!$H2176,0)</f>
        <v>0</v>
      </c>
      <c r="G2176" s="43">
        <f>G2175+Учет!B2176-B2176</f>
        <v>-488978.92000000004</v>
      </c>
      <c r="H2176" s="43">
        <f>H2175+Учет!C2176-C2176</f>
        <v>336855</v>
      </c>
      <c r="I2176" s="43">
        <f>I2175+Учет!D2176-D2176</f>
        <v>500</v>
      </c>
      <c r="J2176" s="43">
        <f>J2175+Учет!E2176-E2176</f>
        <v>1150</v>
      </c>
      <c r="K2176" s="43">
        <f>K2175+Учет!F2176-F2176</f>
        <v>500000</v>
      </c>
      <c r="L2176" s="45">
        <f>Учет!I2176</f>
        <v>349526.07999999996</v>
      </c>
    </row>
    <row r="2177" spans="1:12" x14ac:dyDescent="0.25">
      <c r="A2177" s="48" t="str">
        <f>IF(Учет!A2177&lt;&gt;"",Учет!A2177,"")</f>
        <v/>
      </c>
      <c r="B2177" s="52">
        <f>IF(Учет!$O2177=Справочники!$F$2,Учет!$H2177,0)</f>
        <v>0</v>
      </c>
      <c r="C2177" s="52">
        <f>IF(Учет!$O2177=Справочники!$F$3,Учет!$H2177,0)</f>
        <v>0</v>
      </c>
      <c r="D2177" s="52">
        <f>IF(Учет!$O2177=Справочники!$F$4,Учет!$H2177,0)</f>
        <v>0</v>
      </c>
      <c r="E2177" s="52">
        <f>IF(Учет!$O2177=Справочники!$F$5,Учет!$H2177,0)</f>
        <v>0</v>
      </c>
      <c r="F2177" s="52">
        <f>IF(Учет!$O2177=Справочники!$F$6,Учет!$H2177,0)</f>
        <v>0</v>
      </c>
      <c r="G2177" s="43">
        <f>G2176+Учет!B2177-B2177</f>
        <v>-488978.92000000004</v>
      </c>
      <c r="H2177" s="43">
        <f>H2176+Учет!C2177-C2177</f>
        <v>336855</v>
      </c>
      <c r="I2177" s="43">
        <f>I2176+Учет!D2177-D2177</f>
        <v>500</v>
      </c>
      <c r="J2177" s="43">
        <f>J2176+Учет!E2177-E2177</f>
        <v>1150</v>
      </c>
      <c r="K2177" s="43">
        <f>K2176+Учет!F2177-F2177</f>
        <v>500000</v>
      </c>
      <c r="L2177" s="45">
        <f>Учет!I2177</f>
        <v>349526.07999999996</v>
      </c>
    </row>
    <row r="2178" spans="1:12" x14ac:dyDescent="0.25">
      <c r="A2178" s="48" t="str">
        <f>IF(Учет!A2178&lt;&gt;"",Учет!A2178,"")</f>
        <v/>
      </c>
      <c r="B2178" s="52">
        <f>IF(Учет!$O2178=Справочники!$F$2,Учет!$H2178,0)</f>
        <v>0</v>
      </c>
      <c r="C2178" s="52">
        <f>IF(Учет!$O2178=Справочники!$F$3,Учет!$H2178,0)</f>
        <v>0</v>
      </c>
      <c r="D2178" s="52">
        <f>IF(Учет!$O2178=Справочники!$F$4,Учет!$H2178,0)</f>
        <v>0</v>
      </c>
      <c r="E2178" s="52">
        <f>IF(Учет!$O2178=Справочники!$F$5,Учет!$H2178,0)</f>
        <v>0</v>
      </c>
      <c r="F2178" s="52">
        <f>IF(Учет!$O2178=Справочники!$F$6,Учет!$H2178,0)</f>
        <v>0</v>
      </c>
      <c r="G2178" s="43">
        <f>G2177+Учет!B2178-B2178</f>
        <v>-488978.92000000004</v>
      </c>
      <c r="H2178" s="43">
        <f>H2177+Учет!C2178-C2178</f>
        <v>336855</v>
      </c>
      <c r="I2178" s="43">
        <f>I2177+Учет!D2178-D2178</f>
        <v>500</v>
      </c>
      <c r="J2178" s="43">
        <f>J2177+Учет!E2178-E2178</f>
        <v>1150</v>
      </c>
      <c r="K2178" s="43">
        <f>K2177+Учет!F2178-F2178</f>
        <v>500000</v>
      </c>
      <c r="L2178" s="45">
        <f>Учет!I2178</f>
        <v>349526.07999999996</v>
      </c>
    </row>
    <row r="2179" spans="1:12" x14ac:dyDescent="0.25">
      <c r="A2179" s="48" t="str">
        <f>IF(Учет!A2179&lt;&gt;"",Учет!A2179,"")</f>
        <v/>
      </c>
      <c r="B2179" s="52">
        <f>IF(Учет!$O2179=Справочники!$F$2,Учет!$H2179,0)</f>
        <v>0</v>
      </c>
      <c r="C2179" s="52">
        <f>IF(Учет!$O2179=Справочники!$F$3,Учет!$H2179,0)</f>
        <v>0</v>
      </c>
      <c r="D2179" s="52">
        <f>IF(Учет!$O2179=Справочники!$F$4,Учет!$H2179,0)</f>
        <v>0</v>
      </c>
      <c r="E2179" s="52">
        <f>IF(Учет!$O2179=Справочники!$F$5,Учет!$H2179,0)</f>
        <v>0</v>
      </c>
      <c r="F2179" s="52">
        <f>IF(Учет!$O2179=Справочники!$F$6,Учет!$H2179,0)</f>
        <v>0</v>
      </c>
      <c r="G2179" s="43">
        <f>G2178+Учет!B2179-B2179</f>
        <v>-488978.92000000004</v>
      </c>
      <c r="H2179" s="43">
        <f>H2178+Учет!C2179-C2179</f>
        <v>336855</v>
      </c>
      <c r="I2179" s="43">
        <f>I2178+Учет!D2179-D2179</f>
        <v>500</v>
      </c>
      <c r="J2179" s="43">
        <f>J2178+Учет!E2179-E2179</f>
        <v>1150</v>
      </c>
      <c r="K2179" s="43">
        <f>K2178+Учет!F2179-F2179</f>
        <v>500000</v>
      </c>
      <c r="L2179" s="45">
        <f>Учет!I2179</f>
        <v>349526.07999999996</v>
      </c>
    </row>
    <row r="2180" spans="1:12" x14ac:dyDescent="0.25">
      <c r="A2180" s="48" t="str">
        <f>IF(Учет!A2180&lt;&gt;"",Учет!A2180,"")</f>
        <v/>
      </c>
      <c r="B2180" s="52">
        <f>IF(Учет!$O2180=Справочники!$F$2,Учет!$H2180,0)</f>
        <v>0</v>
      </c>
      <c r="C2180" s="52">
        <f>IF(Учет!$O2180=Справочники!$F$3,Учет!$H2180,0)</f>
        <v>0</v>
      </c>
      <c r="D2180" s="52">
        <f>IF(Учет!$O2180=Справочники!$F$4,Учет!$H2180,0)</f>
        <v>0</v>
      </c>
      <c r="E2180" s="52">
        <f>IF(Учет!$O2180=Справочники!$F$5,Учет!$H2180,0)</f>
        <v>0</v>
      </c>
      <c r="F2180" s="52">
        <f>IF(Учет!$O2180=Справочники!$F$6,Учет!$H2180,0)</f>
        <v>0</v>
      </c>
      <c r="G2180" s="43">
        <f>G2179+Учет!B2180-B2180</f>
        <v>-488978.92000000004</v>
      </c>
      <c r="H2180" s="43">
        <f>H2179+Учет!C2180-C2180</f>
        <v>336855</v>
      </c>
      <c r="I2180" s="43">
        <f>I2179+Учет!D2180-D2180</f>
        <v>500</v>
      </c>
      <c r="J2180" s="43">
        <f>J2179+Учет!E2180-E2180</f>
        <v>1150</v>
      </c>
      <c r="K2180" s="43">
        <f>K2179+Учет!F2180-F2180</f>
        <v>500000</v>
      </c>
      <c r="L2180" s="45">
        <f>Учет!I2180</f>
        <v>349526.07999999996</v>
      </c>
    </row>
    <row r="2181" spans="1:12" x14ac:dyDescent="0.25">
      <c r="A2181" s="48" t="str">
        <f>IF(Учет!A2181&lt;&gt;"",Учет!A2181,"")</f>
        <v/>
      </c>
      <c r="B2181" s="52">
        <f>IF(Учет!$O2181=Справочники!$F$2,Учет!$H2181,0)</f>
        <v>0</v>
      </c>
      <c r="C2181" s="52">
        <f>IF(Учет!$O2181=Справочники!$F$3,Учет!$H2181,0)</f>
        <v>0</v>
      </c>
      <c r="D2181" s="52">
        <f>IF(Учет!$O2181=Справочники!$F$4,Учет!$H2181,0)</f>
        <v>0</v>
      </c>
      <c r="E2181" s="52">
        <f>IF(Учет!$O2181=Справочники!$F$5,Учет!$H2181,0)</f>
        <v>0</v>
      </c>
      <c r="F2181" s="52">
        <f>IF(Учет!$O2181=Справочники!$F$6,Учет!$H2181,0)</f>
        <v>0</v>
      </c>
      <c r="G2181" s="43">
        <f>G2180+Учет!B2181-B2181</f>
        <v>-488978.92000000004</v>
      </c>
      <c r="H2181" s="43">
        <f>H2180+Учет!C2181-C2181</f>
        <v>336855</v>
      </c>
      <c r="I2181" s="43">
        <f>I2180+Учет!D2181-D2181</f>
        <v>500</v>
      </c>
      <c r="J2181" s="43">
        <f>J2180+Учет!E2181-E2181</f>
        <v>1150</v>
      </c>
      <c r="K2181" s="43">
        <f>K2180+Учет!F2181-F2181</f>
        <v>500000</v>
      </c>
      <c r="L2181" s="45">
        <f>Учет!I2181</f>
        <v>349526.07999999996</v>
      </c>
    </row>
    <row r="2182" spans="1:12" x14ac:dyDescent="0.25">
      <c r="A2182" s="48" t="str">
        <f>IF(Учет!A2182&lt;&gt;"",Учет!A2182,"")</f>
        <v/>
      </c>
      <c r="B2182" s="52">
        <f>IF(Учет!$O2182=Справочники!$F$2,Учет!$H2182,0)</f>
        <v>0</v>
      </c>
      <c r="C2182" s="52">
        <f>IF(Учет!$O2182=Справочники!$F$3,Учет!$H2182,0)</f>
        <v>0</v>
      </c>
      <c r="D2182" s="52">
        <f>IF(Учет!$O2182=Справочники!$F$4,Учет!$H2182,0)</f>
        <v>0</v>
      </c>
      <c r="E2182" s="52">
        <f>IF(Учет!$O2182=Справочники!$F$5,Учет!$H2182,0)</f>
        <v>0</v>
      </c>
      <c r="F2182" s="52">
        <f>IF(Учет!$O2182=Справочники!$F$6,Учет!$H2182,0)</f>
        <v>0</v>
      </c>
      <c r="G2182" s="43">
        <f>G2181+Учет!B2182-B2182</f>
        <v>-488978.92000000004</v>
      </c>
      <c r="H2182" s="43">
        <f>H2181+Учет!C2182-C2182</f>
        <v>336855</v>
      </c>
      <c r="I2182" s="43">
        <f>I2181+Учет!D2182-D2182</f>
        <v>500</v>
      </c>
      <c r="J2182" s="43">
        <f>J2181+Учет!E2182-E2182</f>
        <v>1150</v>
      </c>
      <c r="K2182" s="43">
        <f>K2181+Учет!F2182-F2182</f>
        <v>500000</v>
      </c>
      <c r="L2182" s="45">
        <f>Учет!I2182</f>
        <v>349526.07999999996</v>
      </c>
    </row>
    <row r="2183" spans="1:12" x14ac:dyDescent="0.25">
      <c r="A2183" s="48" t="str">
        <f>IF(Учет!A2183&lt;&gt;"",Учет!A2183,"")</f>
        <v/>
      </c>
      <c r="B2183" s="52">
        <f>IF(Учет!$O2183=Справочники!$F$2,Учет!$H2183,0)</f>
        <v>0</v>
      </c>
      <c r="C2183" s="52">
        <f>IF(Учет!$O2183=Справочники!$F$3,Учет!$H2183,0)</f>
        <v>0</v>
      </c>
      <c r="D2183" s="52">
        <f>IF(Учет!$O2183=Справочники!$F$4,Учет!$H2183,0)</f>
        <v>0</v>
      </c>
      <c r="E2183" s="52">
        <f>IF(Учет!$O2183=Справочники!$F$5,Учет!$H2183,0)</f>
        <v>0</v>
      </c>
      <c r="F2183" s="52">
        <f>IF(Учет!$O2183=Справочники!$F$6,Учет!$H2183,0)</f>
        <v>0</v>
      </c>
      <c r="G2183" s="43">
        <f>G2182+Учет!B2183-B2183</f>
        <v>-488978.92000000004</v>
      </c>
      <c r="H2183" s="43">
        <f>H2182+Учет!C2183-C2183</f>
        <v>336855</v>
      </c>
      <c r="I2183" s="43">
        <f>I2182+Учет!D2183-D2183</f>
        <v>500</v>
      </c>
      <c r="J2183" s="43">
        <f>J2182+Учет!E2183-E2183</f>
        <v>1150</v>
      </c>
      <c r="K2183" s="43">
        <f>K2182+Учет!F2183-F2183</f>
        <v>500000</v>
      </c>
      <c r="L2183" s="45">
        <f>Учет!I2183</f>
        <v>349526.07999999996</v>
      </c>
    </row>
    <row r="2184" spans="1:12" x14ac:dyDescent="0.25">
      <c r="A2184" s="48" t="str">
        <f>IF(Учет!A2184&lt;&gt;"",Учет!A2184,"")</f>
        <v/>
      </c>
      <c r="B2184" s="52">
        <f>IF(Учет!$O2184=Справочники!$F$2,Учет!$H2184,0)</f>
        <v>0</v>
      </c>
      <c r="C2184" s="52">
        <f>IF(Учет!$O2184=Справочники!$F$3,Учет!$H2184,0)</f>
        <v>0</v>
      </c>
      <c r="D2184" s="52">
        <f>IF(Учет!$O2184=Справочники!$F$4,Учет!$H2184,0)</f>
        <v>0</v>
      </c>
      <c r="E2184" s="52">
        <f>IF(Учет!$O2184=Справочники!$F$5,Учет!$H2184,0)</f>
        <v>0</v>
      </c>
      <c r="F2184" s="52">
        <f>IF(Учет!$O2184=Справочники!$F$6,Учет!$H2184,0)</f>
        <v>0</v>
      </c>
      <c r="G2184" s="43">
        <f>G2183+Учет!B2184-B2184</f>
        <v>-488978.92000000004</v>
      </c>
      <c r="H2184" s="43">
        <f>H2183+Учет!C2184-C2184</f>
        <v>336855</v>
      </c>
      <c r="I2184" s="43">
        <f>I2183+Учет!D2184-D2184</f>
        <v>500</v>
      </c>
      <c r="J2184" s="43">
        <f>J2183+Учет!E2184-E2184</f>
        <v>1150</v>
      </c>
      <c r="K2184" s="43">
        <f>K2183+Учет!F2184-F2184</f>
        <v>500000</v>
      </c>
      <c r="L2184" s="45">
        <f>Учет!I2184</f>
        <v>349526.07999999996</v>
      </c>
    </row>
    <row r="2185" spans="1:12" x14ac:dyDescent="0.25">
      <c r="A2185" s="48" t="str">
        <f>IF(Учет!A2185&lt;&gt;"",Учет!A2185,"")</f>
        <v/>
      </c>
      <c r="B2185" s="52">
        <f>IF(Учет!$O2185=Справочники!$F$2,Учет!$H2185,0)</f>
        <v>0</v>
      </c>
      <c r="C2185" s="52">
        <f>IF(Учет!$O2185=Справочники!$F$3,Учет!$H2185,0)</f>
        <v>0</v>
      </c>
      <c r="D2185" s="52">
        <f>IF(Учет!$O2185=Справочники!$F$4,Учет!$H2185,0)</f>
        <v>0</v>
      </c>
      <c r="E2185" s="52">
        <f>IF(Учет!$O2185=Справочники!$F$5,Учет!$H2185,0)</f>
        <v>0</v>
      </c>
      <c r="F2185" s="52">
        <f>IF(Учет!$O2185=Справочники!$F$6,Учет!$H2185,0)</f>
        <v>0</v>
      </c>
      <c r="G2185" s="43">
        <f>G2184+Учет!B2185-B2185</f>
        <v>-488978.92000000004</v>
      </c>
      <c r="H2185" s="43">
        <f>H2184+Учет!C2185-C2185</f>
        <v>336855</v>
      </c>
      <c r="I2185" s="43">
        <f>I2184+Учет!D2185-D2185</f>
        <v>500</v>
      </c>
      <c r="J2185" s="43">
        <f>J2184+Учет!E2185-E2185</f>
        <v>1150</v>
      </c>
      <c r="K2185" s="43">
        <f>K2184+Учет!F2185-F2185</f>
        <v>500000</v>
      </c>
      <c r="L2185" s="45">
        <f>Учет!I2185</f>
        <v>349526.07999999996</v>
      </c>
    </row>
    <row r="2186" spans="1:12" x14ac:dyDescent="0.25">
      <c r="A2186" s="48" t="str">
        <f>IF(Учет!A2186&lt;&gt;"",Учет!A2186,"")</f>
        <v/>
      </c>
      <c r="B2186" s="52">
        <f>IF(Учет!$O2186=Справочники!$F$2,Учет!$H2186,0)</f>
        <v>0</v>
      </c>
      <c r="C2186" s="52">
        <f>IF(Учет!$O2186=Справочники!$F$3,Учет!$H2186,0)</f>
        <v>0</v>
      </c>
      <c r="D2186" s="52">
        <f>IF(Учет!$O2186=Справочники!$F$4,Учет!$H2186,0)</f>
        <v>0</v>
      </c>
      <c r="E2186" s="52">
        <f>IF(Учет!$O2186=Справочники!$F$5,Учет!$H2186,0)</f>
        <v>0</v>
      </c>
      <c r="F2186" s="52">
        <f>IF(Учет!$O2186=Справочники!$F$6,Учет!$H2186,0)</f>
        <v>0</v>
      </c>
      <c r="G2186" s="43">
        <f>G2185+Учет!B2186-B2186</f>
        <v>-488978.92000000004</v>
      </c>
      <c r="H2186" s="43">
        <f>H2185+Учет!C2186-C2186</f>
        <v>336855</v>
      </c>
      <c r="I2186" s="43">
        <f>I2185+Учет!D2186-D2186</f>
        <v>500</v>
      </c>
      <c r="J2186" s="43">
        <f>J2185+Учет!E2186-E2186</f>
        <v>1150</v>
      </c>
      <c r="K2186" s="43">
        <f>K2185+Учет!F2186-F2186</f>
        <v>500000</v>
      </c>
      <c r="L2186" s="45">
        <f>Учет!I2186</f>
        <v>349526.07999999996</v>
      </c>
    </row>
    <row r="2187" spans="1:12" x14ac:dyDescent="0.25">
      <c r="A2187" s="48" t="str">
        <f>IF(Учет!A2187&lt;&gt;"",Учет!A2187,"")</f>
        <v/>
      </c>
      <c r="B2187" s="52">
        <f>IF(Учет!$O2187=Справочники!$F$2,Учет!$H2187,0)</f>
        <v>0</v>
      </c>
      <c r="C2187" s="52">
        <f>IF(Учет!$O2187=Справочники!$F$3,Учет!$H2187,0)</f>
        <v>0</v>
      </c>
      <c r="D2187" s="52">
        <f>IF(Учет!$O2187=Справочники!$F$4,Учет!$H2187,0)</f>
        <v>0</v>
      </c>
      <c r="E2187" s="52">
        <f>IF(Учет!$O2187=Справочники!$F$5,Учет!$H2187,0)</f>
        <v>0</v>
      </c>
      <c r="F2187" s="52">
        <f>IF(Учет!$O2187=Справочники!$F$6,Учет!$H2187,0)</f>
        <v>0</v>
      </c>
      <c r="G2187" s="43">
        <f>G2186+Учет!B2187-B2187</f>
        <v>-488978.92000000004</v>
      </c>
      <c r="H2187" s="43">
        <f>H2186+Учет!C2187-C2187</f>
        <v>336855</v>
      </c>
      <c r="I2187" s="43">
        <f>I2186+Учет!D2187-D2187</f>
        <v>500</v>
      </c>
      <c r="J2187" s="43">
        <f>J2186+Учет!E2187-E2187</f>
        <v>1150</v>
      </c>
      <c r="K2187" s="43">
        <f>K2186+Учет!F2187-F2187</f>
        <v>500000</v>
      </c>
      <c r="L2187" s="45">
        <f>Учет!I2187</f>
        <v>349526.07999999996</v>
      </c>
    </row>
    <row r="2188" spans="1:12" x14ac:dyDescent="0.25">
      <c r="A2188" s="48" t="str">
        <f>IF(Учет!A2188&lt;&gt;"",Учет!A2188,"")</f>
        <v/>
      </c>
      <c r="B2188" s="52">
        <f>IF(Учет!$O2188=Справочники!$F$2,Учет!$H2188,0)</f>
        <v>0</v>
      </c>
      <c r="C2188" s="52">
        <f>IF(Учет!$O2188=Справочники!$F$3,Учет!$H2188,0)</f>
        <v>0</v>
      </c>
      <c r="D2188" s="52">
        <f>IF(Учет!$O2188=Справочники!$F$4,Учет!$H2188,0)</f>
        <v>0</v>
      </c>
      <c r="E2188" s="52">
        <f>IF(Учет!$O2188=Справочники!$F$5,Учет!$H2188,0)</f>
        <v>0</v>
      </c>
      <c r="F2188" s="52">
        <f>IF(Учет!$O2188=Справочники!$F$6,Учет!$H2188,0)</f>
        <v>0</v>
      </c>
      <c r="G2188" s="43">
        <f>G2187+Учет!B2188-B2188</f>
        <v>-488978.92000000004</v>
      </c>
      <c r="H2188" s="43">
        <f>H2187+Учет!C2188-C2188</f>
        <v>336855</v>
      </c>
      <c r="I2188" s="43">
        <f>I2187+Учет!D2188-D2188</f>
        <v>500</v>
      </c>
      <c r="J2188" s="43">
        <f>J2187+Учет!E2188-E2188</f>
        <v>1150</v>
      </c>
      <c r="K2188" s="43">
        <f>K2187+Учет!F2188-F2188</f>
        <v>500000</v>
      </c>
      <c r="L2188" s="45">
        <f>Учет!I2188</f>
        <v>349526.07999999996</v>
      </c>
    </row>
    <row r="2189" spans="1:12" x14ac:dyDescent="0.25">
      <c r="A2189" s="48" t="str">
        <f>IF(Учет!A2189&lt;&gt;"",Учет!A2189,"")</f>
        <v/>
      </c>
      <c r="B2189" s="52">
        <f>IF(Учет!$O2189=Справочники!$F$2,Учет!$H2189,0)</f>
        <v>0</v>
      </c>
      <c r="C2189" s="52">
        <f>IF(Учет!$O2189=Справочники!$F$3,Учет!$H2189,0)</f>
        <v>0</v>
      </c>
      <c r="D2189" s="52">
        <f>IF(Учет!$O2189=Справочники!$F$4,Учет!$H2189,0)</f>
        <v>0</v>
      </c>
      <c r="E2189" s="52">
        <f>IF(Учет!$O2189=Справочники!$F$5,Учет!$H2189,0)</f>
        <v>0</v>
      </c>
      <c r="F2189" s="52">
        <f>IF(Учет!$O2189=Справочники!$F$6,Учет!$H2189,0)</f>
        <v>0</v>
      </c>
      <c r="G2189" s="43">
        <f>G2188+Учет!B2189-B2189</f>
        <v>-488978.92000000004</v>
      </c>
      <c r="H2189" s="43">
        <f>H2188+Учет!C2189-C2189</f>
        <v>336855</v>
      </c>
      <c r="I2189" s="43">
        <f>I2188+Учет!D2189-D2189</f>
        <v>500</v>
      </c>
      <c r="J2189" s="43">
        <f>J2188+Учет!E2189-E2189</f>
        <v>1150</v>
      </c>
      <c r="K2189" s="43">
        <f>K2188+Учет!F2189-F2189</f>
        <v>500000</v>
      </c>
      <c r="L2189" s="45">
        <f>Учет!I2189</f>
        <v>349526.07999999996</v>
      </c>
    </row>
    <row r="2190" spans="1:12" x14ac:dyDescent="0.25">
      <c r="A2190" s="48" t="str">
        <f>IF(Учет!A2190&lt;&gt;"",Учет!A2190,"")</f>
        <v/>
      </c>
      <c r="B2190" s="52">
        <f>IF(Учет!$O2190=Справочники!$F$2,Учет!$H2190,0)</f>
        <v>0</v>
      </c>
      <c r="C2190" s="52">
        <f>IF(Учет!$O2190=Справочники!$F$3,Учет!$H2190,0)</f>
        <v>0</v>
      </c>
      <c r="D2190" s="52">
        <f>IF(Учет!$O2190=Справочники!$F$4,Учет!$H2190,0)</f>
        <v>0</v>
      </c>
      <c r="E2190" s="52">
        <f>IF(Учет!$O2190=Справочники!$F$5,Учет!$H2190,0)</f>
        <v>0</v>
      </c>
      <c r="F2190" s="52">
        <f>IF(Учет!$O2190=Справочники!$F$6,Учет!$H2190,0)</f>
        <v>0</v>
      </c>
      <c r="G2190" s="43">
        <f>G2189+Учет!B2190-B2190</f>
        <v>-488978.92000000004</v>
      </c>
      <c r="H2190" s="43">
        <f>H2189+Учет!C2190-C2190</f>
        <v>336855</v>
      </c>
      <c r="I2190" s="43">
        <f>I2189+Учет!D2190-D2190</f>
        <v>500</v>
      </c>
      <c r="J2190" s="43">
        <f>J2189+Учет!E2190-E2190</f>
        <v>1150</v>
      </c>
      <c r="K2190" s="43">
        <f>K2189+Учет!F2190-F2190</f>
        <v>500000</v>
      </c>
      <c r="L2190" s="45">
        <f>Учет!I2190</f>
        <v>349526.07999999996</v>
      </c>
    </row>
    <row r="2191" spans="1:12" x14ac:dyDescent="0.25">
      <c r="A2191" s="48" t="str">
        <f>IF(Учет!A2191&lt;&gt;"",Учет!A2191,"")</f>
        <v/>
      </c>
      <c r="B2191" s="52">
        <f>IF(Учет!$O2191=Справочники!$F$2,Учет!$H2191,0)</f>
        <v>0</v>
      </c>
      <c r="C2191" s="52">
        <f>IF(Учет!$O2191=Справочники!$F$3,Учет!$H2191,0)</f>
        <v>0</v>
      </c>
      <c r="D2191" s="52">
        <f>IF(Учет!$O2191=Справочники!$F$4,Учет!$H2191,0)</f>
        <v>0</v>
      </c>
      <c r="E2191" s="52">
        <f>IF(Учет!$O2191=Справочники!$F$5,Учет!$H2191,0)</f>
        <v>0</v>
      </c>
      <c r="F2191" s="52">
        <f>IF(Учет!$O2191=Справочники!$F$6,Учет!$H2191,0)</f>
        <v>0</v>
      </c>
      <c r="G2191" s="43">
        <f>G2190+Учет!B2191-B2191</f>
        <v>-488978.92000000004</v>
      </c>
      <c r="H2191" s="43">
        <f>H2190+Учет!C2191-C2191</f>
        <v>336855</v>
      </c>
      <c r="I2191" s="43">
        <f>I2190+Учет!D2191-D2191</f>
        <v>500</v>
      </c>
      <c r="J2191" s="43">
        <f>J2190+Учет!E2191-E2191</f>
        <v>1150</v>
      </c>
      <c r="K2191" s="43">
        <f>K2190+Учет!F2191-F2191</f>
        <v>500000</v>
      </c>
      <c r="L2191" s="45">
        <f>Учет!I2191</f>
        <v>349526.07999999996</v>
      </c>
    </row>
    <row r="2192" spans="1:12" x14ac:dyDescent="0.25">
      <c r="A2192" s="48" t="str">
        <f>IF(Учет!A2192&lt;&gt;"",Учет!A2192,"")</f>
        <v/>
      </c>
      <c r="B2192" s="52">
        <f>IF(Учет!$O2192=Справочники!$F$2,Учет!$H2192,0)</f>
        <v>0</v>
      </c>
      <c r="C2192" s="52">
        <f>IF(Учет!$O2192=Справочники!$F$3,Учет!$H2192,0)</f>
        <v>0</v>
      </c>
      <c r="D2192" s="52">
        <f>IF(Учет!$O2192=Справочники!$F$4,Учет!$H2192,0)</f>
        <v>0</v>
      </c>
      <c r="E2192" s="52">
        <f>IF(Учет!$O2192=Справочники!$F$5,Учет!$H2192,0)</f>
        <v>0</v>
      </c>
      <c r="F2192" s="52">
        <f>IF(Учет!$O2192=Справочники!$F$6,Учет!$H2192,0)</f>
        <v>0</v>
      </c>
      <c r="G2192" s="43">
        <f>G2191+Учет!B2192-B2192</f>
        <v>-488978.92000000004</v>
      </c>
      <c r="H2192" s="43">
        <f>H2191+Учет!C2192-C2192</f>
        <v>336855</v>
      </c>
      <c r="I2192" s="43">
        <f>I2191+Учет!D2192-D2192</f>
        <v>500</v>
      </c>
      <c r="J2192" s="43">
        <f>J2191+Учет!E2192-E2192</f>
        <v>1150</v>
      </c>
      <c r="K2192" s="43">
        <f>K2191+Учет!F2192-F2192</f>
        <v>500000</v>
      </c>
      <c r="L2192" s="45">
        <f>Учет!I2192</f>
        <v>349526.07999999996</v>
      </c>
    </row>
    <row r="2193" spans="1:12" x14ac:dyDescent="0.25">
      <c r="A2193" s="48" t="str">
        <f>IF(Учет!A2193&lt;&gt;"",Учет!A2193,"")</f>
        <v/>
      </c>
      <c r="B2193" s="52">
        <f>IF(Учет!$O2193=Справочники!$F$2,Учет!$H2193,0)</f>
        <v>0</v>
      </c>
      <c r="C2193" s="52">
        <f>IF(Учет!$O2193=Справочники!$F$3,Учет!$H2193,0)</f>
        <v>0</v>
      </c>
      <c r="D2193" s="52">
        <f>IF(Учет!$O2193=Справочники!$F$4,Учет!$H2193,0)</f>
        <v>0</v>
      </c>
      <c r="E2193" s="52">
        <f>IF(Учет!$O2193=Справочники!$F$5,Учет!$H2193,0)</f>
        <v>0</v>
      </c>
      <c r="F2193" s="52">
        <f>IF(Учет!$O2193=Справочники!$F$6,Учет!$H2193,0)</f>
        <v>0</v>
      </c>
      <c r="G2193" s="43">
        <f>G2192+Учет!B2193-B2193</f>
        <v>-488978.92000000004</v>
      </c>
      <c r="H2193" s="43">
        <f>H2192+Учет!C2193-C2193</f>
        <v>336855</v>
      </c>
      <c r="I2193" s="43">
        <f>I2192+Учет!D2193-D2193</f>
        <v>500</v>
      </c>
      <c r="J2193" s="43">
        <f>J2192+Учет!E2193-E2193</f>
        <v>1150</v>
      </c>
      <c r="K2193" s="43">
        <f>K2192+Учет!F2193-F2193</f>
        <v>500000</v>
      </c>
      <c r="L2193" s="45">
        <f>Учет!I2193</f>
        <v>349526.07999999996</v>
      </c>
    </row>
    <row r="2194" spans="1:12" x14ac:dyDescent="0.25">
      <c r="A2194" s="48" t="str">
        <f>IF(Учет!A2194&lt;&gt;"",Учет!A2194,"")</f>
        <v/>
      </c>
      <c r="B2194" s="52">
        <f>IF(Учет!$O2194=Справочники!$F$2,Учет!$H2194,0)</f>
        <v>0</v>
      </c>
      <c r="C2194" s="52">
        <f>IF(Учет!$O2194=Справочники!$F$3,Учет!$H2194,0)</f>
        <v>0</v>
      </c>
      <c r="D2194" s="52">
        <f>IF(Учет!$O2194=Справочники!$F$4,Учет!$H2194,0)</f>
        <v>0</v>
      </c>
      <c r="E2194" s="52">
        <f>IF(Учет!$O2194=Справочники!$F$5,Учет!$H2194,0)</f>
        <v>0</v>
      </c>
      <c r="F2194" s="52">
        <f>IF(Учет!$O2194=Справочники!$F$6,Учет!$H2194,0)</f>
        <v>0</v>
      </c>
      <c r="G2194" s="43">
        <f>G2193+Учет!B2194-B2194</f>
        <v>-488978.92000000004</v>
      </c>
      <c r="H2194" s="43">
        <f>H2193+Учет!C2194-C2194</f>
        <v>336855</v>
      </c>
      <c r="I2194" s="43">
        <f>I2193+Учет!D2194-D2194</f>
        <v>500</v>
      </c>
      <c r="J2194" s="43">
        <f>J2193+Учет!E2194-E2194</f>
        <v>1150</v>
      </c>
      <c r="K2194" s="43">
        <f>K2193+Учет!F2194-F2194</f>
        <v>500000</v>
      </c>
      <c r="L2194" s="45">
        <f>Учет!I2194</f>
        <v>349526.07999999996</v>
      </c>
    </row>
    <row r="2195" spans="1:12" x14ac:dyDescent="0.25">
      <c r="A2195" s="48" t="str">
        <f>IF(Учет!A2195&lt;&gt;"",Учет!A2195,"")</f>
        <v/>
      </c>
      <c r="B2195" s="52">
        <f>IF(Учет!$O2195=Справочники!$F$2,Учет!$H2195,0)</f>
        <v>0</v>
      </c>
      <c r="C2195" s="52">
        <f>IF(Учет!$O2195=Справочники!$F$3,Учет!$H2195,0)</f>
        <v>0</v>
      </c>
      <c r="D2195" s="52">
        <f>IF(Учет!$O2195=Справочники!$F$4,Учет!$H2195,0)</f>
        <v>0</v>
      </c>
      <c r="E2195" s="52">
        <f>IF(Учет!$O2195=Справочники!$F$5,Учет!$H2195,0)</f>
        <v>0</v>
      </c>
      <c r="F2195" s="52">
        <f>IF(Учет!$O2195=Справочники!$F$6,Учет!$H2195,0)</f>
        <v>0</v>
      </c>
      <c r="G2195" s="43">
        <f>G2194+Учет!B2195-B2195</f>
        <v>-488978.92000000004</v>
      </c>
      <c r="H2195" s="43">
        <f>H2194+Учет!C2195-C2195</f>
        <v>336855</v>
      </c>
      <c r="I2195" s="43">
        <f>I2194+Учет!D2195-D2195</f>
        <v>500</v>
      </c>
      <c r="J2195" s="43">
        <f>J2194+Учет!E2195-E2195</f>
        <v>1150</v>
      </c>
      <c r="K2195" s="43">
        <f>K2194+Учет!F2195-F2195</f>
        <v>500000</v>
      </c>
      <c r="L2195" s="45">
        <f>Учет!I2195</f>
        <v>349526.07999999996</v>
      </c>
    </row>
    <row r="2196" spans="1:12" x14ac:dyDescent="0.25">
      <c r="A2196" s="48" t="str">
        <f>IF(Учет!A2196&lt;&gt;"",Учет!A2196,"")</f>
        <v/>
      </c>
      <c r="B2196" s="52">
        <f>IF(Учет!$O2196=Справочники!$F$2,Учет!$H2196,0)</f>
        <v>0</v>
      </c>
      <c r="C2196" s="52">
        <f>IF(Учет!$O2196=Справочники!$F$3,Учет!$H2196,0)</f>
        <v>0</v>
      </c>
      <c r="D2196" s="52">
        <f>IF(Учет!$O2196=Справочники!$F$4,Учет!$H2196,0)</f>
        <v>0</v>
      </c>
      <c r="E2196" s="52">
        <f>IF(Учет!$O2196=Справочники!$F$5,Учет!$H2196,0)</f>
        <v>0</v>
      </c>
      <c r="F2196" s="52">
        <f>IF(Учет!$O2196=Справочники!$F$6,Учет!$H2196,0)</f>
        <v>0</v>
      </c>
      <c r="G2196" s="43">
        <f>G2195+Учет!B2196-B2196</f>
        <v>-488978.92000000004</v>
      </c>
      <c r="H2196" s="43">
        <f>H2195+Учет!C2196-C2196</f>
        <v>336855</v>
      </c>
      <c r="I2196" s="43">
        <f>I2195+Учет!D2196-D2196</f>
        <v>500</v>
      </c>
      <c r="J2196" s="43">
        <f>J2195+Учет!E2196-E2196</f>
        <v>1150</v>
      </c>
      <c r="K2196" s="43">
        <f>K2195+Учет!F2196-F2196</f>
        <v>500000</v>
      </c>
      <c r="L2196" s="45">
        <f>Учет!I2196</f>
        <v>349526.07999999996</v>
      </c>
    </row>
    <row r="2197" spans="1:12" x14ac:dyDescent="0.25">
      <c r="A2197" s="48" t="str">
        <f>IF(Учет!A2197&lt;&gt;"",Учет!A2197,"")</f>
        <v/>
      </c>
      <c r="B2197" s="52">
        <f>IF(Учет!$O2197=Справочники!$F$2,Учет!$H2197,0)</f>
        <v>0</v>
      </c>
      <c r="C2197" s="52">
        <f>IF(Учет!$O2197=Справочники!$F$3,Учет!$H2197,0)</f>
        <v>0</v>
      </c>
      <c r="D2197" s="52">
        <f>IF(Учет!$O2197=Справочники!$F$4,Учет!$H2197,0)</f>
        <v>0</v>
      </c>
      <c r="E2197" s="52">
        <f>IF(Учет!$O2197=Справочники!$F$5,Учет!$H2197,0)</f>
        <v>0</v>
      </c>
      <c r="F2197" s="52">
        <f>IF(Учет!$O2197=Справочники!$F$6,Учет!$H2197,0)</f>
        <v>0</v>
      </c>
      <c r="G2197" s="43">
        <f>G2196+Учет!B2197-B2197</f>
        <v>-488978.92000000004</v>
      </c>
      <c r="H2197" s="43">
        <f>H2196+Учет!C2197-C2197</f>
        <v>336855</v>
      </c>
      <c r="I2197" s="43">
        <f>I2196+Учет!D2197-D2197</f>
        <v>500</v>
      </c>
      <c r="J2197" s="43">
        <f>J2196+Учет!E2197-E2197</f>
        <v>1150</v>
      </c>
      <c r="K2197" s="43">
        <f>K2196+Учет!F2197-F2197</f>
        <v>500000</v>
      </c>
      <c r="L2197" s="45">
        <f>Учет!I2197</f>
        <v>349526.07999999996</v>
      </c>
    </row>
    <row r="2198" spans="1:12" x14ac:dyDescent="0.25">
      <c r="A2198" s="48" t="str">
        <f>IF(Учет!A2198&lt;&gt;"",Учет!A2198,"")</f>
        <v/>
      </c>
      <c r="B2198" s="52">
        <f>IF(Учет!$O2198=Справочники!$F$2,Учет!$H2198,0)</f>
        <v>0</v>
      </c>
      <c r="C2198" s="52">
        <f>IF(Учет!$O2198=Справочники!$F$3,Учет!$H2198,0)</f>
        <v>0</v>
      </c>
      <c r="D2198" s="52">
        <f>IF(Учет!$O2198=Справочники!$F$4,Учет!$H2198,0)</f>
        <v>0</v>
      </c>
      <c r="E2198" s="52">
        <f>IF(Учет!$O2198=Справочники!$F$5,Учет!$H2198,0)</f>
        <v>0</v>
      </c>
      <c r="F2198" s="52">
        <f>IF(Учет!$O2198=Справочники!$F$6,Учет!$H2198,0)</f>
        <v>0</v>
      </c>
      <c r="G2198" s="43">
        <f>G2197+Учет!B2198-B2198</f>
        <v>-488978.92000000004</v>
      </c>
      <c r="H2198" s="43">
        <f>H2197+Учет!C2198-C2198</f>
        <v>336855</v>
      </c>
      <c r="I2198" s="43">
        <f>I2197+Учет!D2198-D2198</f>
        <v>500</v>
      </c>
      <c r="J2198" s="43">
        <f>J2197+Учет!E2198-E2198</f>
        <v>1150</v>
      </c>
      <c r="K2198" s="43">
        <f>K2197+Учет!F2198-F2198</f>
        <v>500000</v>
      </c>
      <c r="L2198" s="45">
        <f>Учет!I2198</f>
        <v>349526.07999999996</v>
      </c>
    </row>
    <row r="2199" spans="1:12" x14ac:dyDescent="0.25">
      <c r="A2199" s="48" t="str">
        <f>IF(Учет!A2199&lt;&gt;"",Учет!A2199,"")</f>
        <v/>
      </c>
      <c r="B2199" s="52">
        <f>IF(Учет!$O2199=Справочники!$F$2,Учет!$H2199,0)</f>
        <v>0</v>
      </c>
      <c r="C2199" s="52">
        <f>IF(Учет!$O2199=Справочники!$F$3,Учет!$H2199,0)</f>
        <v>0</v>
      </c>
      <c r="D2199" s="52">
        <f>IF(Учет!$O2199=Справочники!$F$4,Учет!$H2199,0)</f>
        <v>0</v>
      </c>
      <c r="E2199" s="52">
        <f>IF(Учет!$O2199=Справочники!$F$5,Учет!$H2199,0)</f>
        <v>0</v>
      </c>
      <c r="F2199" s="52">
        <f>IF(Учет!$O2199=Справочники!$F$6,Учет!$H2199,0)</f>
        <v>0</v>
      </c>
      <c r="G2199" s="43">
        <f>G2198+Учет!B2199-B2199</f>
        <v>-488978.92000000004</v>
      </c>
      <c r="H2199" s="43">
        <f>H2198+Учет!C2199-C2199</f>
        <v>336855</v>
      </c>
      <c r="I2199" s="43">
        <f>I2198+Учет!D2199-D2199</f>
        <v>500</v>
      </c>
      <c r="J2199" s="43">
        <f>J2198+Учет!E2199-E2199</f>
        <v>1150</v>
      </c>
      <c r="K2199" s="43">
        <f>K2198+Учет!F2199-F2199</f>
        <v>500000</v>
      </c>
      <c r="L2199" s="45">
        <f>Учет!I2199</f>
        <v>349526.07999999996</v>
      </c>
    </row>
    <row r="2200" spans="1:12" x14ac:dyDescent="0.25">
      <c r="A2200" s="48" t="str">
        <f>IF(Учет!A2200&lt;&gt;"",Учет!A2200,"")</f>
        <v/>
      </c>
      <c r="B2200" s="52">
        <f>IF(Учет!$O2200=Справочники!$F$2,Учет!$H2200,0)</f>
        <v>0</v>
      </c>
      <c r="C2200" s="52">
        <f>IF(Учет!$O2200=Справочники!$F$3,Учет!$H2200,0)</f>
        <v>0</v>
      </c>
      <c r="D2200" s="52">
        <f>IF(Учет!$O2200=Справочники!$F$4,Учет!$H2200,0)</f>
        <v>0</v>
      </c>
      <c r="E2200" s="52">
        <f>IF(Учет!$O2200=Справочники!$F$5,Учет!$H2200,0)</f>
        <v>0</v>
      </c>
      <c r="F2200" s="52">
        <f>IF(Учет!$O2200=Справочники!$F$6,Учет!$H2200,0)</f>
        <v>0</v>
      </c>
      <c r="G2200" s="43">
        <f>G2199+Учет!B2200-B2200</f>
        <v>-488978.92000000004</v>
      </c>
      <c r="H2200" s="43">
        <f>H2199+Учет!C2200-C2200</f>
        <v>336855</v>
      </c>
      <c r="I2200" s="43">
        <f>I2199+Учет!D2200-D2200</f>
        <v>500</v>
      </c>
      <c r="J2200" s="43">
        <f>J2199+Учет!E2200-E2200</f>
        <v>1150</v>
      </c>
      <c r="K2200" s="43">
        <f>K2199+Учет!F2200-F2200</f>
        <v>500000</v>
      </c>
      <c r="L2200" s="45">
        <f>Учет!I2200</f>
        <v>349526.07999999996</v>
      </c>
    </row>
    <row r="2201" spans="1:12" x14ac:dyDescent="0.25">
      <c r="A2201" s="48" t="str">
        <f>IF(Учет!A2201&lt;&gt;"",Учет!A2201,"")</f>
        <v/>
      </c>
      <c r="B2201" s="52">
        <f>IF(Учет!$O2201=Справочники!$F$2,Учет!$H2201,0)</f>
        <v>0</v>
      </c>
      <c r="C2201" s="52">
        <f>IF(Учет!$O2201=Справочники!$F$3,Учет!$H2201,0)</f>
        <v>0</v>
      </c>
      <c r="D2201" s="52">
        <f>IF(Учет!$O2201=Справочники!$F$4,Учет!$H2201,0)</f>
        <v>0</v>
      </c>
      <c r="E2201" s="52">
        <f>IF(Учет!$O2201=Справочники!$F$5,Учет!$H2201,0)</f>
        <v>0</v>
      </c>
      <c r="F2201" s="52">
        <f>IF(Учет!$O2201=Справочники!$F$6,Учет!$H2201,0)</f>
        <v>0</v>
      </c>
      <c r="G2201" s="43">
        <f>G2200+Учет!B2201-B2201</f>
        <v>-488978.92000000004</v>
      </c>
      <c r="H2201" s="43">
        <f>H2200+Учет!C2201-C2201</f>
        <v>336855</v>
      </c>
      <c r="I2201" s="43">
        <f>I2200+Учет!D2201-D2201</f>
        <v>500</v>
      </c>
      <c r="J2201" s="43">
        <f>J2200+Учет!E2201-E2201</f>
        <v>1150</v>
      </c>
      <c r="K2201" s="43">
        <f>K2200+Учет!F2201-F2201</f>
        <v>500000</v>
      </c>
      <c r="L2201" s="45">
        <f>Учет!I2201</f>
        <v>349526.07999999996</v>
      </c>
    </row>
    <row r="2202" spans="1:12" x14ac:dyDescent="0.25">
      <c r="A2202" s="48" t="str">
        <f>IF(Учет!A2202&lt;&gt;"",Учет!A2202,"")</f>
        <v/>
      </c>
      <c r="B2202" s="52">
        <f>IF(Учет!$O2202=Справочники!$F$2,Учет!$H2202,0)</f>
        <v>0</v>
      </c>
      <c r="C2202" s="52">
        <f>IF(Учет!$O2202=Справочники!$F$3,Учет!$H2202,0)</f>
        <v>0</v>
      </c>
      <c r="D2202" s="52">
        <f>IF(Учет!$O2202=Справочники!$F$4,Учет!$H2202,0)</f>
        <v>0</v>
      </c>
      <c r="E2202" s="52">
        <f>IF(Учет!$O2202=Справочники!$F$5,Учет!$H2202,0)</f>
        <v>0</v>
      </c>
      <c r="F2202" s="52">
        <f>IF(Учет!$O2202=Справочники!$F$6,Учет!$H2202,0)</f>
        <v>0</v>
      </c>
      <c r="G2202" s="43">
        <f>G2201+Учет!B2202-B2202</f>
        <v>-488978.92000000004</v>
      </c>
      <c r="H2202" s="43">
        <f>H2201+Учет!C2202-C2202</f>
        <v>336855</v>
      </c>
      <c r="I2202" s="43">
        <f>I2201+Учет!D2202-D2202</f>
        <v>500</v>
      </c>
      <c r="J2202" s="43">
        <f>J2201+Учет!E2202-E2202</f>
        <v>1150</v>
      </c>
      <c r="K2202" s="43">
        <f>K2201+Учет!F2202-F2202</f>
        <v>500000</v>
      </c>
      <c r="L2202" s="45">
        <f>Учет!I2202</f>
        <v>349526.07999999996</v>
      </c>
    </row>
    <row r="2203" spans="1:12" x14ac:dyDescent="0.25">
      <c r="A2203" s="48" t="str">
        <f>IF(Учет!A2203&lt;&gt;"",Учет!A2203,"")</f>
        <v/>
      </c>
      <c r="B2203" s="52">
        <f>IF(Учет!$O2203=Справочники!$F$2,Учет!$H2203,0)</f>
        <v>0</v>
      </c>
      <c r="C2203" s="52">
        <f>IF(Учет!$O2203=Справочники!$F$3,Учет!$H2203,0)</f>
        <v>0</v>
      </c>
      <c r="D2203" s="52">
        <f>IF(Учет!$O2203=Справочники!$F$4,Учет!$H2203,0)</f>
        <v>0</v>
      </c>
      <c r="E2203" s="52">
        <f>IF(Учет!$O2203=Справочники!$F$5,Учет!$H2203,0)</f>
        <v>0</v>
      </c>
      <c r="F2203" s="52">
        <f>IF(Учет!$O2203=Справочники!$F$6,Учет!$H2203,0)</f>
        <v>0</v>
      </c>
      <c r="G2203" s="43">
        <f>G2202+Учет!B2203-B2203</f>
        <v>-488978.92000000004</v>
      </c>
      <c r="H2203" s="43">
        <f>H2202+Учет!C2203-C2203</f>
        <v>336855</v>
      </c>
      <c r="I2203" s="43">
        <f>I2202+Учет!D2203-D2203</f>
        <v>500</v>
      </c>
      <c r="J2203" s="43">
        <f>J2202+Учет!E2203-E2203</f>
        <v>1150</v>
      </c>
      <c r="K2203" s="43">
        <f>K2202+Учет!F2203-F2203</f>
        <v>500000</v>
      </c>
      <c r="L2203" s="45">
        <f>Учет!I2203</f>
        <v>349526.07999999996</v>
      </c>
    </row>
    <row r="2204" spans="1:12" x14ac:dyDescent="0.25">
      <c r="A2204" s="48" t="str">
        <f>IF(Учет!A2204&lt;&gt;"",Учет!A2204,"")</f>
        <v/>
      </c>
      <c r="B2204" s="52">
        <f>IF(Учет!$O2204=Справочники!$F$2,Учет!$H2204,0)</f>
        <v>0</v>
      </c>
      <c r="C2204" s="52">
        <f>IF(Учет!$O2204=Справочники!$F$3,Учет!$H2204,0)</f>
        <v>0</v>
      </c>
      <c r="D2204" s="52">
        <f>IF(Учет!$O2204=Справочники!$F$4,Учет!$H2204,0)</f>
        <v>0</v>
      </c>
      <c r="E2204" s="52">
        <f>IF(Учет!$O2204=Справочники!$F$5,Учет!$H2204,0)</f>
        <v>0</v>
      </c>
      <c r="F2204" s="52">
        <f>IF(Учет!$O2204=Справочники!$F$6,Учет!$H2204,0)</f>
        <v>0</v>
      </c>
      <c r="G2204" s="43">
        <f>G2203+Учет!B2204-B2204</f>
        <v>-488978.92000000004</v>
      </c>
      <c r="H2204" s="43">
        <f>H2203+Учет!C2204-C2204</f>
        <v>336855</v>
      </c>
      <c r="I2204" s="43">
        <f>I2203+Учет!D2204-D2204</f>
        <v>500</v>
      </c>
      <c r="J2204" s="43">
        <f>J2203+Учет!E2204-E2204</f>
        <v>1150</v>
      </c>
      <c r="K2204" s="43">
        <f>K2203+Учет!F2204-F2204</f>
        <v>500000</v>
      </c>
      <c r="L2204" s="45">
        <f>Учет!I2204</f>
        <v>349526.07999999996</v>
      </c>
    </row>
    <row r="2205" spans="1:12" x14ac:dyDescent="0.25">
      <c r="A2205" s="48" t="str">
        <f>IF(Учет!A2205&lt;&gt;"",Учет!A2205,"")</f>
        <v/>
      </c>
      <c r="B2205" s="52">
        <f>IF(Учет!$O2205=Справочники!$F$2,Учет!$H2205,0)</f>
        <v>0</v>
      </c>
      <c r="C2205" s="52">
        <f>IF(Учет!$O2205=Справочники!$F$3,Учет!$H2205,0)</f>
        <v>0</v>
      </c>
      <c r="D2205" s="52">
        <f>IF(Учет!$O2205=Справочники!$F$4,Учет!$H2205,0)</f>
        <v>0</v>
      </c>
      <c r="E2205" s="52">
        <f>IF(Учет!$O2205=Справочники!$F$5,Учет!$H2205,0)</f>
        <v>0</v>
      </c>
      <c r="F2205" s="52">
        <f>IF(Учет!$O2205=Справочники!$F$6,Учет!$H2205,0)</f>
        <v>0</v>
      </c>
      <c r="G2205" s="43">
        <f>G2204+Учет!B2205-B2205</f>
        <v>-488978.92000000004</v>
      </c>
      <c r="H2205" s="43">
        <f>H2204+Учет!C2205-C2205</f>
        <v>336855</v>
      </c>
      <c r="I2205" s="43">
        <f>I2204+Учет!D2205-D2205</f>
        <v>500</v>
      </c>
      <c r="J2205" s="43">
        <f>J2204+Учет!E2205-E2205</f>
        <v>1150</v>
      </c>
      <c r="K2205" s="43">
        <f>K2204+Учет!F2205-F2205</f>
        <v>500000</v>
      </c>
      <c r="L2205" s="45">
        <f>Учет!I2205</f>
        <v>349526.07999999996</v>
      </c>
    </row>
    <row r="2206" spans="1:12" x14ac:dyDescent="0.25">
      <c r="A2206" s="48" t="str">
        <f>IF(Учет!A2206&lt;&gt;"",Учет!A2206,"")</f>
        <v/>
      </c>
      <c r="B2206" s="52">
        <f>IF(Учет!$O2206=Справочники!$F$2,Учет!$H2206,0)</f>
        <v>0</v>
      </c>
      <c r="C2206" s="52">
        <f>IF(Учет!$O2206=Справочники!$F$3,Учет!$H2206,0)</f>
        <v>0</v>
      </c>
      <c r="D2206" s="52">
        <f>IF(Учет!$O2206=Справочники!$F$4,Учет!$H2206,0)</f>
        <v>0</v>
      </c>
      <c r="E2206" s="52">
        <f>IF(Учет!$O2206=Справочники!$F$5,Учет!$H2206,0)</f>
        <v>0</v>
      </c>
      <c r="F2206" s="52">
        <f>IF(Учет!$O2206=Справочники!$F$6,Учет!$H2206,0)</f>
        <v>0</v>
      </c>
      <c r="G2206" s="43">
        <f>G2205+Учет!B2206-B2206</f>
        <v>-488978.92000000004</v>
      </c>
      <c r="H2206" s="43">
        <f>H2205+Учет!C2206-C2206</f>
        <v>336855</v>
      </c>
      <c r="I2206" s="43">
        <f>I2205+Учет!D2206-D2206</f>
        <v>500</v>
      </c>
      <c r="J2206" s="43">
        <f>J2205+Учет!E2206-E2206</f>
        <v>1150</v>
      </c>
      <c r="K2206" s="43">
        <f>K2205+Учет!F2206-F2206</f>
        <v>500000</v>
      </c>
      <c r="L2206" s="45">
        <f>Учет!I2206</f>
        <v>349526.07999999996</v>
      </c>
    </row>
    <row r="2207" spans="1:12" x14ac:dyDescent="0.25">
      <c r="A2207" s="48" t="str">
        <f>IF(Учет!A2207&lt;&gt;"",Учет!A2207,"")</f>
        <v/>
      </c>
      <c r="B2207" s="52">
        <f>IF(Учет!$O2207=Справочники!$F$2,Учет!$H2207,0)</f>
        <v>0</v>
      </c>
      <c r="C2207" s="52">
        <f>IF(Учет!$O2207=Справочники!$F$3,Учет!$H2207,0)</f>
        <v>0</v>
      </c>
      <c r="D2207" s="52">
        <f>IF(Учет!$O2207=Справочники!$F$4,Учет!$H2207,0)</f>
        <v>0</v>
      </c>
      <c r="E2207" s="52">
        <f>IF(Учет!$O2207=Справочники!$F$5,Учет!$H2207,0)</f>
        <v>0</v>
      </c>
      <c r="F2207" s="52">
        <f>IF(Учет!$O2207=Справочники!$F$6,Учет!$H2207,0)</f>
        <v>0</v>
      </c>
      <c r="G2207" s="43">
        <f>G2206+Учет!B2207-B2207</f>
        <v>-488978.92000000004</v>
      </c>
      <c r="H2207" s="43">
        <f>H2206+Учет!C2207-C2207</f>
        <v>336855</v>
      </c>
      <c r="I2207" s="43">
        <f>I2206+Учет!D2207-D2207</f>
        <v>500</v>
      </c>
      <c r="J2207" s="43">
        <f>J2206+Учет!E2207-E2207</f>
        <v>1150</v>
      </c>
      <c r="K2207" s="43">
        <f>K2206+Учет!F2207-F2207</f>
        <v>500000</v>
      </c>
      <c r="L2207" s="45">
        <f>Учет!I2207</f>
        <v>349526.07999999996</v>
      </c>
    </row>
    <row r="2208" spans="1:12" x14ac:dyDescent="0.25">
      <c r="A2208" s="48" t="str">
        <f>IF(Учет!A2208&lt;&gt;"",Учет!A2208,"")</f>
        <v/>
      </c>
      <c r="B2208" s="52">
        <f>IF(Учет!$O2208=Справочники!$F$2,Учет!$H2208,0)</f>
        <v>0</v>
      </c>
      <c r="C2208" s="52">
        <f>IF(Учет!$O2208=Справочники!$F$3,Учет!$H2208,0)</f>
        <v>0</v>
      </c>
      <c r="D2208" s="52">
        <f>IF(Учет!$O2208=Справочники!$F$4,Учет!$H2208,0)</f>
        <v>0</v>
      </c>
      <c r="E2208" s="52">
        <f>IF(Учет!$O2208=Справочники!$F$5,Учет!$H2208,0)</f>
        <v>0</v>
      </c>
      <c r="F2208" s="52">
        <f>IF(Учет!$O2208=Справочники!$F$6,Учет!$H2208,0)</f>
        <v>0</v>
      </c>
      <c r="G2208" s="43">
        <f>G2207+Учет!B2208-B2208</f>
        <v>-488978.92000000004</v>
      </c>
      <c r="H2208" s="43">
        <f>H2207+Учет!C2208-C2208</f>
        <v>336855</v>
      </c>
      <c r="I2208" s="43">
        <f>I2207+Учет!D2208-D2208</f>
        <v>500</v>
      </c>
      <c r="J2208" s="43">
        <f>J2207+Учет!E2208-E2208</f>
        <v>1150</v>
      </c>
      <c r="K2208" s="43">
        <f>K2207+Учет!F2208-F2208</f>
        <v>500000</v>
      </c>
      <c r="L2208" s="45">
        <f>Учет!I2208</f>
        <v>349526.07999999996</v>
      </c>
    </row>
    <row r="2209" spans="1:12" x14ac:dyDescent="0.25">
      <c r="A2209" s="48" t="str">
        <f>IF(Учет!A2209&lt;&gt;"",Учет!A2209,"")</f>
        <v/>
      </c>
      <c r="B2209" s="52">
        <f>IF(Учет!$O2209=Справочники!$F$2,Учет!$H2209,0)</f>
        <v>0</v>
      </c>
      <c r="C2209" s="52">
        <f>IF(Учет!$O2209=Справочники!$F$3,Учет!$H2209,0)</f>
        <v>0</v>
      </c>
      <c r="D2209" s="52">
        <f>IF(Учет!$O2209=Справочники!$F$4,Учет!$H2209,0)</f>
        <v>0</v>
      </c>
      <c r="E2209" s="52">
        <f>IF(Учет!$O2209=Справочники!$F$5,Учет!$H2209,0)</f>
        <v>0</v>
      </c>
      <c r="F2209" s="52">
        <f>IF(Учет!$O2209=Справочники!$F$6,Учет!$H2209,0)</f>
        <v>0</v>
      </c>
      <c r="G2209" s="43">
        <f>G2208+Учет!B2209-B2209</f>
        <v>-488978.92000000004</v>
      </c>
      <c r="H2209" s="43">
        <f>H2208+Учет!C2209-C2209</f>
        <v>336855</v>
      </c>
      <c r="I2209" s="43">
        <f>I2208+Учет!D2209-D2209</f>
        <v>500</v>
      </c>
      <c r="J2209" s="43">
        <f>J2208+Учет!E2209-E2209</f>
        <v>1150</v>
      </c>
      <c r="K2209" s="43">
        <f>K2208+Учет!F2209-F2209</f>
        <v>500000</v>
      </c>
      <c r="L2209" s="45">
        <f>Учет!I2209</f>
        <v>349526.07999999996</v>
      </c>
    </row>
    <row r="2210" spans="1:12" x14ac:dyDescent="0.25">
      <c r="A2210" s="48" t="str">
        <f>IF(Учет!A2210&lt;&gt;"",Учет!A2210,"")</f>
        <v/>
      </c>
      <c r="B2210" s="52">
        <f>IF(Учет!$O2210=Справочники!$F$2,Учет!$H2210,0)</f>
        <v>0</v>
      </c>
      <c r="C2210" s="52">
        <f>IF(Учет!$O2210=Справочники!$F$3,Учет!$H2210,0)</f>
        <v>0</v>
      </c>
      <c r="D2210" s="52">
        <f>IF(Учет!$O2210=Справочники!$F$4,Учет!$H2210,0)</f>
        <v>0</v>
      </c>
      <c r="E2210" s="52">
        <f>IF(Учет!$O2210=Справочники!$F$5,Учет!$H2210,0)</f>
        <v>0</v>
      </c>
      <c r="F2210" s="52">
        <f>IF(Учет!$O2210=Справочники!$F$6,Учет!$H2210,0)</f>
        <v>0</v>
      </c>
      <c r="G2210" s="43">
        <f>G2209+Учет!B2210-B2210</f>
        <v>-488978.92000000004</v>
      </c>
      <c r="H2210" s="43">
        <f>H2209+Учет!C2210-C2210</f>
        <v>336855</v>
      </c>
      <c r="I2210" s="43">
        <f>I2209+Учет!D2210-D2210</f>
        <v>500</v>
      </c>
      <c r="J2210" s="43">
        <f>J2209+Учет!E2210-E2210</f>
        <v>1150</v>
      </c>
      <c r="K2210" s="43">
        <f>K2209+Учет!F2210-F2210</f>
        <v>500000</v>
      </c>
      <c r="L2210" s="45">
        <f>Учет!I2210</f>
        <v>349526.07999999996</v>
      </c>
    </row>
    <row r="2211" spans="1:12" x14ac:dyDescent="0.25">
      <c r="A2211" s="48" t="str">
        <f>IF(Учет!A2211&lt;&gt;"",Учет!A2211,"")</f>
        <v/>
      </c>
      <c r="B2211" s="52">
        <f>IF(Учет!$O2211=Справочники!$F$2,Учет!$H2211,0)</f>
        <v>0</v>
      </c>
      <c r="C2211" s="52">
        <f>IF(Учет!$O2211=Справочники!$F$3,Учет!$H2211,0)</f>
        <v>0</v>
      </c>
      <c r="D2211" s="52">
        <f>IF(Учет!$O2211=Справочники!$F$4,Учет!$H2211,0)</f>
        <v>0</v>
      </c>
      <c r="E2211" s="52">
        <f>IF(Учет!$O2211=Справочники!$F$5,Учет!$H2211,0)</f>
        <v>0</v>
      </c>
      <c r="F2211" s="52">
        <f>IF(Учет!$O2211=Справочники!$F$6,Учет!$H2211,0)</f>
        <v>0</v>
      </c>
      <c r="G2211" s="43">
        <f>G2210+Учет!B2211-B2211</f>
        <v>-488978.92000000004</v>
      </c>
      <c r="H2211" s="43">
        <f>H2210+Учет!C2211-C2211</f>
        <v>336855</v>
      </c>
      <c r="I2211" s="43">
        <f>I2210+Учет!D2211-D2211</f>
        <v>500</v>
      </c>
      <c r="J2211" s="43">
        <f>J2210+Учет!E2211-E2211</f>
        <v>1150</v>
      </c>
      <c r="K2211" s="43">
        <f>K2210+Учет!F2211-F2211</f>
        <v>500000</v>
      </c>
      <c r="L2211" s="45">
        <f>Учет!I2211</f>
        <v>349526.07999999996</v>
      </c>
    </row>
    <row r="2212" spans="1:12" x14ac:dyDescent="0.25">
      <c r="A2212" s="48" t="str">
        <f>IF(Учет!A2212&lt;&gt;"",Учет!A2212,"")</f>
        <v/>
      </c>
      <c r="B2212" s="52">
        <f>IF(Учет!$O2212=Справочники!$F$2,Учет!$H2212,0)</f>
        <v>0</v>
      </c>
      <c r="C2212" s="52">
        <f>IF(Учет!$O2212=Справочники!$F$3,Учет!$H2212,0)</f>
        <v>0</v>
      </c>
      <c r="D2212" s="52">
        <f>IF(Учет!$O2212=Справочники!$F$4,Учет!$H2212,0)</f>
        <v>0</v>
      </c>
      <c r="E2212" s="52">
        <f>IF(Учет!$O2212=Справочники!$F$5,Учет!$H2212,0)</f>
        <v>0</v>
      </c>
      <c r="F2212" s="52">
        <f>IF(Учет!$O2212=Справочники!$F$6,Учет!$H2212,0)</f>
        <v>0</v>
      </c>
      <c r="G2212" s="43">
        <f>G2211+Учет!B2212-B2212</f>
        <v>-488978.92000000004</v>
      </c>
      <c r="H2212" s="43">
        <f>H2211+Учет!C2212-C2212</f>
        <v>336855</v>
      </c>
      <c r="I2212" s="43">
        <f>I2211+Учет!D2212-D2212</f>
        <v>500</v>
      </c>
      <c r="J2212" s="43">
        <f>J2211+Учет!E2212-E2212</f>
        <v>1150</v>
      </c>
      <c r="K2212" s="43">
        <f>K2211+Учет!F2212-F2212</f>
        <v>500000</v>
      </c>
      <c r="L2212" s="45">
        <f>Учет!I2212</f>
        <v>349526.07999999996</v>
      </c>
    </row>
    <row r="2213" spans="1:12" x14ac:dyDescent="0.25">
      <c r="A2213" s="48" t="str">
        <f>IF(Учет!A2213&lt;&gt;"",Учет!A2213,"")</f>
        <v/>
      </c>
      <c r="B2213" s="52">
        <f>IF(Учет!$O2213=Справочники!$F$2,Учет!$H2213,0)</f>
        <v>0</v>
      </c>
      <c r="C2213" s="52">
        <f>IF(Учет!$O2213=Справочники!$F$3,Учет!$H2213,0)</f>
        <v>0</v>
      </c>
      <c r="D2213" s="52">
        <f>IF(Учет!$O2213=Справочники!$F$4,Учет!$H2213,0)</f>
        <v>0</v>
      </c>
      <c r="E2213" s="52">
        <f>IF(Учет!$O2213=Справочники!$F$5,Учет!$H2213,0)</f>
        <v>0</v>
      </c>
      <c r="F2213" s="52">
        <f>IF(Учет!$O2213=Справочники!$F$6,Учет!$H2213,0)</f>
        <v>0</v>
      </c>
      <c r="G2213" s="43">
        <f>G2212+Учет!B2213-B2213</f>
        <v>-488978.92000000004</v>
      </c>
      <c r="H2213" s="43">
        <f>H2212+Учет!C2213-C2213</f>
        <v>336855</v>
      </c>
      <c r="I2213" s="43">
        <f>I2212+Учет!D2213-D2213</f>
        <v>500</v>
      </c>
      <c r="J2213" s="43">
        <f>J2212+Учет!E2213-E2213</f>
        <v>1150</v>
      </c>
      <c r="K2213" s="43">
        <f>K2212+Учет!F2213-F2213</f>
        <v>500000</v>
      </c>
      <c r="L2213" s="45">
        <f>Учет!I2213</f>
        <v>349526.07999999996</v>
      </c>
    </row>
    <row r="2214" spans="1:12" x14ac:dyDescent="0.25">
      <c r="A2214" s="48" t="str">
        <f>IF(Учет!A2214&lt;&gt;"",Учет!A2214,"")</f>
        <v/>
      </c>
      <c r="B2214" s="52">
        <f>IF(Учет!$O2214=Справочники!$F$2,Учет!$H2214,0)</f>
        <v>0</v>
      </c>
      <c r="C2214" s="52">
        <f>IF(Учет!$O2214=Справочники!$F$3,Учет!$H2214,0)</f>
        <v>0</v>
      </c>
      <c r="D2214" s="52">
        <f>IF(Учет!$O2214=Справочники!$F$4,Учет!$H2214,0)</f>
        <v>0</v>
      </c>
      <c r="E2214" s="52">
        <f>IF(Учет!$O2214=Справочники!$F$5,Учет!$H2214,0)</f>
        <v>0</v>
      </c>
      <c r="F2214" s="52">
        <f>IF(Учет!$O2214=Справочники!$F$6,Учет!$H2214,0)</f>
        <v>0</v>
      </c>
      <c r="G2214" s="43">
        <f>G2213+Учет!B2214-B2214</f>
        <v>-488978.92000000004</v>
      </c>
      <c r="H2214" s="43">
        <f>H2213+Учет!C2214-C2214</f>
        <v>336855</v>
      </c>
      <c r="I2214" s="43">
        <f>I2213+Учет!D2214-D2214</f>
        <v>500</v>
      </c>
      <c r="J2214" s="43">
        <f>J2213+Учет!E2214-E2214</f>
        <v>1150</v>
      </c>
      <c r="K2214" s="43">
        <f>K2213+Учет!F2214-F2214</f>
        <v>500000</v>
      </c>
      <c r="L2214" s="45">
        <f>Учет!I2214</f>
        <v>349526.07999999996</v>
      </c>
    </row>
    <row r="2215" spans="1:12" x14ac:dyDescent="0.25">
      <c r="A2215" s="48" t="str">
        <f>IF(Учет!A2215&lt;&gt;"",Учет!A2215,"")</f>
        <v/>
      </c>
      <c r="B2215" s="52">
        <f>IF(Учет!$O2215=Справочники!$F$2,Учет!$H2215,0)</f>
        <v>0</v>
      </c>
      <c r="C2215" s="52">
        <f>IF(Учет!$O2215=Справочники!$F$3,Учет!$H2215,0)</f>
        <v>0</v>
      </c>
      <c r="D2215" s="52">
        <f>IF(Учет!$O2215=Справочники!$F$4,Учет!$H2215,0)</f>
        <v>0</v>
      </c>
      <c r="E2215" s="52">
        <f>IF(Учет!$O2215=Справочники!$F$5,Учет!$H2215,0)</f>
        <v>0</v>
      </c>
      <c r="F2215" s="52">
        <f>IF(Учет!$O2215=Справочники!$F$6,Учет!$H2215,0)</f>
        <v>0</v>
      </c>
      <c r="G2215" s="43">
        <f>G2214+Учет!B2215-B2215</f>
        <v>-488978.92000000004</v>
      </c>
      <c r="H2215" s="43">
        <f>H2214+Учет!C2215-C2215</f>
        <v>336855</v>
      </c>
      <c r="I2215" s="43">
        <f>I2214+Учет!D2215-D2215</f>
        <v>500</v>
      </c>
      <c r="J2215" s="43">
        <f>J2214+Учет!E2215-E2215</f>
        <v>1150</v>
      </c>
      <c r="K2215" s="43">
        <f>K2214+Учет!F2215-F2215</f>
        <v>500000</v>
      </c>
      <c r="L2215" s="45">
        <f>Учет!I2215</f>
        <v>349526.07999999996</v>
      </c>
    </row>
    <row r="2216" spans="1:12" x14ac:dyDescent="0.25">
      <c r="A2216" s="48" t="str">
        <f>IF(Учет!A2216&lt;&gt;"",Учет!A2216,"")</f>
        <v/>
      </c>
      <c r="B2216" s="52">
        <f>IF(Учет!$O2216=Справочники!$F$2,Учет!$H2216,0)</f>
        <v>0</v>
      </c>
      <c r="C2216" s="52">
        <f>IF(Учет!$O2216=Справочники!$F$3,Учет!$H2216,0)</f>
        <v>0</v>
      </c>
      <c r="D2216" s="52">
        <f>IF(Учет!$O2216=Справочники!$F$4,Учет!$H2216,0)</f>
        <v>0</v>
      </c>
      <c r="E2216" s="52">
        <f>IF(Учет!$O2216=Справочники!$F$5,Учет!$H2216,0)</f>
        <v>0</v>
      </c>
      <c r="F2216" s="52">
        <f>IF(Учет!$O2216=Справочники!$F$6,Учет!$H2216,0)</f>
        <v>0</v>
      </c>
      <c r="G2216" s="43">
        <f>G2215+Учет!B2216-B2216</f>
        <v>-488978.92000000004</v>
      </c>
      <c r="H2216" s="43">
        <f>H2215+Учет!C2216-C2216</f>
        <v>336855</v>
      </c>
      <c r="I2216" s="43">
        <f>I2215+Учет!D2216-D2216</f>
        <v>500</v>
      </c>
      <c r="J2216" s="43">
        <f>J2215+Учет!E2216-E2216</f>
        <v>1150</v>
      </c>
      <c r="K2216" s="43">
        <f>K2215+Учет!F2216-F2216</f>
        <v>500000</v>
      </c>
      <c r="L2216" s="45">
        <f>Учет!I2216</f>
        <v>349526.07999999996</v>
      </c>
    </row>
    <row r="2217" spans="1:12" x14ac:dyDescent="0.25">
      <c r="A2217" s="48" t="str">
        <f>IF(Учет!A2217&lt;&gt;"",Учет!A2217,"")</f>
        <v/>
      </c>
      <c r="B2217" s="52">
        <f>IF(Учет!$O2217=Справочники!$F$2,Учет!$H2217,0)</f>
        <v>0</v>
      </c>
      <c r="C2217" s="52">
        <f>IF(Учет!$O2217=Справочники!$F$3,Учет!$H2217,0)</f>
        <v>0</v>
      </c>
      <c r="D2217" s="52">
        <f>IF(Учет!$O2217=Справочники!$F$4,Учет!$H2217,0)</f>
        <v>0</v>
      </c>
      <c r="E2217" s="52">
        <f>IF(Учет!$O2217=Справочники!$F$5,Учет!$H2217,0)</f>
        <v>0</v>
      </c>
      <c r="F2217" s="52">
        <f>IF(Учет!$O2217=Справочники!$F$6,Учет!$H2217,0)</f>
        <v>0</v>
      </c>
      <c r="G2217" s="43">
        <f>G2216+Учет!B2217-B2217</f>
        <v>-488978.92000000004</v>
      </c>
      <c r="H2217" s="43">
        <f>H2216+Учет!C2217-C2217</f>
        <v>336855</v>
      </c>
      <c r="I2217" s="43">
        <f>I2216+Учет!D2217-D2217</f>
        <v>500</v>
      </c>
      <c r="J2217" s="43">
        <f>J2216+Учет!E2217-E2217</f>
        <v>1150</v>
      </c>
      <c r="K2217" s="43">
        <f>K2216+Учет!F2217-F2217</f>
        <v>500000</v>
      </c>
      <c r="L2217" s="45">
        <f>Учет!I2217</f>
        <v>349526.07999999996</v>
      </c>
    </row>
    <row r="2218" spans="1:12" x14ac:dyDescent="0.25">
      <c r="A2218" s="48" t="str">
        <f>IF(Учет!A2218&lt;&gt;"",Учет!A2218,"")</f>
        <v/>
      </c>
      <c r="B2218" s="52">
        <f>IF(Учет!$O2218=Справочники!$F$2,Учет!$H2218,0)</f>
        <v>0</v>
      </c>
      <c r="C2218" s="52">
        <f>IF(Учет!$O2218=Справочники!$F$3,Учет!$H2218,0)</f>
        <v>0</v>
      </c>
      <c r="D2218" s="52">
        <f>IF(Учет!$O2218=Справочники!$F$4,Учет!$H2218,0)</f>
        <v>0</v>
      </c>
      <c r="E2218" s="52">
        <f>IF(Учет!$O2218=Справочники!$F$5,Учет!$H2218,0)</f>
        <v>0</v>
      </c>
      <c r="F2218" s="52">
        <f>IF(Учет!$O2218=Справочники!$F$6,Учет!$H2218,0)</f>
        <v>0</v>
      </c>
      <c r="G2218" s="43">
        <f>G2217+Учет!B2218-B2218</f>
        <v>-488978.92000000004</v>
      </c>
      <c r="H2218" s="43">
        <f>H2217+Учет!C2218-C2218</f>
        <v>336855</v>
      </c>
      <c r="I2218" s="43">
        <f>I2217+Учет!D2218-D2218</f>
        <v>500</v>
      </c>
      <c r="J2218" s="43">
        <f>J2217+Учет!E2218-E2218</f>
        <v>1150</v>
      </c>
      <c r="K2218" s="43">
        <f>K2217+Учет!F2218-F2218</f>
        <v>500000</v>
      </c>
      <c r="L2218" s="45">
        <f>Учет!I2218</f>
        <v>349526.07999999996</v>
      </c>
    </row>
    <row r="2219" spans="1:12" x14ac:dyDescent="0.25">
      <c r="A2219" s="48" t="str">
        <f>IF(Учет!A2219&lt;&gt;"",Учет!A2219,"")</f>
        <v/>
      </c>
      <c r="B2219" s="52">
        <f>IF(Учет!$O2219=Справочники!$F$2,Учет!$H2219,0)</f>
        <v>0</v>
      </c>
      <c r="C2219" s="52">
        <f>IF(Учет!$O2219=Справочники!$F$3,Учет!$H2219,0)</f>
        <v>0</v>
      </c>
      <c r="D2219" s="52">
        <f>IF(Учет!$O2219=Справочники!$F$4,Учет!$H2219,0)</f>
        <v>0</v>
      </c>
      <c r="E2219" s="52">
        <f>IF(Учет!$O2219=Справочники!$F$5,Учет!$H2219,0)</f>
        <v>0</v>
      </c>
      <c r="F2219" s="52">
        <f>IF(Учет!$O2219=Справочники!$F$6,Учет!$H2219,0)</f>
        <v>0</v>
      </c>
      <c r="G2219" s="43">
        <f>G2218+Учет!B2219-B2219</f>
        <v>-488978.92000000004</v>
      </c>
      <c r="H2219" s="43">
        <f>H2218+Учет!C2219-C2219</f>
        <v>336855</v>
      </c>
      <c r="I2219" s="43">
        <f>I2218+Учет!D2219-D2219</f>
        <v>500</v>
      </c>
      <c r="J2219" s="43">
        <f>J2218+Учет!E2219-E2219</f>
        <v>1150</v>
      </c>
      <c r="K2219" s="43">
        <f>K2218+Учет!F2219-F2219</f>
        <v>500000</v>
      </c>
      <c r="L2219" s="45">
        <f>Учет!I2219</f>
        <v>349526.07999999996</v>
      </c>
    </row>
    <row r="2220" spans="1:12" x14ac:dyDescent="0.25">
      <c r="A2220" s="48" t="str">
        <f>IF(Учет!A2220&lt;&gt;"",Учет!A2220,"")</f>
        <v/>
      </c>
      <c r="B2220" s="52">
        <f>IF(Учет!$O2220=Справочники!$F$2,Учет!$H2220,0)</f>
        <v>0</v>
      </c>
      <c r="C2220" s="52">
        <f>IF(Учет!$O2220=Справочники!$F$3,Учет!$H2220,0)</f>
        <v>0</v>
      </c>
      <c r="D2220" s="52">
        <f>IF(Учет!$O2220=Справочники!$F$4,Учет!$H2220,0)</f>
        <v>0</v>
      </c>
      <c r="E2220" s="52">
        <f>IF(Учет!$O2220=Справочники!$F$5,Учет!$H2220,0)</f>
        <v>0</v>
      </c>
      <c r="F2220" s="52">
        <f>IF(Учет!$O2220=Справочники!$F$6,Учет!$H2220,0)</f>
        <v>0</v>
      </c>
      <c r="G2220" s="43">
        <f>G2219+Учет!B2220-B2220</f>
        <v>-488978.92000000004</v>
      </c>
      <c r="H2220" s="43">
        <f>H2219+Учет!C2220-C2220</f>
        <v>336855</v>
      </c>
      <c r="I2220" s="43">
        <f>I2219+Учет!D2220-D2220</f>
        <v>500</v>
      </c>
      <c r="J2220" s="43">
        <f>J2219+Учет!E2220-E2220</f>
        <v>1150</v>
      </c>
      <c r="K2220" s="43">
        <f>K2219+Учет!F2220-F2220</f>
        <v>500000</v>
      </c>
      <c r="L2220" s="45">
        <f>Учет!I2220</f>
        <v>349526.07999999996</v>
      </c>
    </row>
    <row r="2221" spans="1:12" x14ac:dyDescent="0.25">
      <c r="A2221" s="48" t="str">
        <f>IF(Учет!A2221&lt;&gt;"",Учет!A2221,"")</f>
        <v/>
      </c>
      <c r="B2221" s="52">
        <f>IF(Учет!$O2221=Справочники!$F$2,Учет!$H2221,0)</f>
        <v>0</v>
      </c>
      <c r="C2221" s="52">
        <f>IF(Учет!$O2221=Справочники!$F$3,Учет!$H2221,0)</f>
        <v>0</v>
      </c>
      <c r="D2221" s="52">
        <f>IF(Учет!$O2221=Справочники!$F$4,Учет!$H2221,0)</f>
        <v>0</v>
      </c>
      <c r="E2221" s="52">
        <f>IF(Учет!$O2221=Справочники!$F$5,Учет!$H2221,0)</f>
        <v>0</v>
      </c>
      <c r="F2221" s="52">
        <f>IF(Учет!$O2221=Справочники!$F$6,Учет!$H2221,0)</f>
        <v>0</v>
      </c>
      <c r="G2221" s="43">
        <f>G2220+Учет!B2221-B2221</f>
        <v>-488978.92000000004</v>
      </c>
      <c r="H2221" s="43">
        <f>H2220+Учет!C2221-C2221</f>
        <v>336855</v>
      </c>
      <c r="I2221" s="43">
        <f>I2220+Учет!D2221-D2221</f>
        <v>500</v>
      </c>
      <c r="J2221" s="43">
        <f>J2220+Учет!E2221-E2221</f>
        <v>1150</v>
      </c>
      <c r="K2221" s="43">
        <f>K2220+Учет!F2221-F2221</f>
        <v>500000</v>
      </c>
      <c r="L2221" s="45">
        <f>Учет!I2221</f>
        <v>349526.07999999996</v>
      </c>
    </row>
    <row r="2222" spans="1:12" x14ac:dyDescent="0.25">
      <c r="A2222" s="48" t="str">
        <f>IF(Учет!A2222&lt;&gt;"",Учет!A2222,"")</f>
        <v/>
      </c>
      <c r="B2222" s="52">
        <f>IF(Учет!$O2222=Справочники!$F$2,Учет!$H2222,0)</f>
        <v>0</v>
      </c>
      <c r="C2222" s="52">
        <f>IF(Учет!$O2222=Справочники!$F$3,Учет!$H2222,0)</f>
        <v>0</v>
      </c>
      <c r="D2222" s="52">
        <f>IF(Учет!$O2222=Справочники!$F$4,Учет!$H2222,0)</f>
        <v>0</v>
      </c>
      <c r="E2222" s="52">
        <f>IF(Учет!$O2222=Справочники!$F$5,Учет!$H2222,0)</f>
        <v>0</v>
      </c>
      <c r="F2222" s="52">
        <f>IF(Учет!$O2222=Справочники!$F$6,Учет!$H2222,0)</f>
        <v>0</v>
      </c>
      <c r="G2222" s="43">
        <f>G2221+Учет!B2222-B2222</f>
        <v>-488978.92000000004</v>
      </c>
      <c r="H2222" s="43">
        <f>H2221+Учет!C2222-C2222</f>
        <v>336855</v>
      </c>
      <c r="I2222" s="43">
        <f>I2221+Учет!D2222-D2222</f>
        <v>500</v>
      </c>
      <c r="J2222" s="43">
        <f>J2221+Учет!E2222-E2222</f>
        <v>1150</v>
      </c>
      <c r="K2222" s="43">
        <f>K2221+Учет!F2222-F2222</f>
        <v>500000</v>
      </c>
      <c r="L2222" s="45">
        <f>Учет!I2222</f>
        <v>349526.07999999996</v>
      </c>
    </row>
    <row r="2223" spans="1:12" x14ac:dyDescent="0.25">
      <c r="A2223" s="48" t="str">
        <f>IF(Учет!A2223&lt;&gt;"",Учет!A2223,"")</f>
        <v/>
      </c>
      <c r="B2223" s="52">
        <f>IF(Учет!$O2223=Справочники!$F$2,Учет!$H2223,0)</f>
        <v>0</v>
      </c>
      <c r="C2223" s="52">
        <f>IF(Учет!$O2223=Справочники!$F$3,Учет!$H2223,0)</f>
        <v>0</v>
      </c>
      <c r="D2223" s="52">
        <f>IF(Учет!$O2223=Справочники!$F$4,Учет!$H2223,0)</f>
        <v>0</v>
      </c>
      <c r="E2223" s="52">
        <f>IF(Учет!$O2223=Справочники!$F$5,Учет!$H2223,0)</f>
        <v>0</v>
      </c>
      <c r="F2223" s="52">
        <f>IF(Учет!$O2223=Справочники!$F$6,Учет!$H2223,0)</f>
        <v>0</v>
      </c>
      <c r="G2223" s="43">
        <f>G2222+Учет!B2223-B2223</f>
        <v>-488978.92000000004</v>
      </c>
      <c r="H2223" s="43">
        <f>H2222+Учет!C2223-C2223</f>
        <v>336855</v>
      </c>
      <c r="I2223" s="43">
        <f>I2222+Учет!D2223-D2223</f>
        <v>500</v>
      </c>
      <c r="J2223" s="43">
        <f>J2222+Учет!E2223-E2223</f>
        <v>1150</v>
      </c>
      <c r="K2223" s="43">
        <f>K2222+Учет!F2223-F2223</f>
        <v>500000</v>
      </c>
      <c r="L2223" s="45">
        <f>Учет!I2223</f>
        <v>349526.07999999996</v>
      </c>
    </row>
    <row r="2224" spans="1:12" x14ac:dyDescent="0.25">
      <c r="A2224" s="48" t="str">
        <f>IF(Учет!A2224&lt;&gt;"",Учет!A2224,"")</f>
        <v/>
      </c>
      <c r="B2224" s="52">
        <f>IF(Учет!$O2224=Справочники!$F$2,Учет!$H2224,0)</f>
        <v>0</v>
      </c>
      <c r="C2224" s="52">
        <f>IF(Учет!$O2224=Справочники!$F$3,Учет!$H2224,0)</f>
        <v>0</v>
      </c>
      <c r="D2224" s="52">
        <f>IF(Учет!$O2224=Справочники!$F$4,Учет!$H2224,0)</f>
        <v>0</v>
      </c>
      <c r="E2224" s="52">
        <f>IF(Учет!$O2224=Справочники!$F$5,Учет!$H2224,0)</f>
        <v>0</v>
      </c>
      <c r="F2224" s="52">
        <f>IF(Учет!$O2224=Справочники!$F$6,Учет!$H2224,0)</f>
        <v>0</v>
      </c>
      <c r="G2224" s="43">
        <f>G2223+Учет!B2224-B2224</f>
        <v>-488978.92000000004</v>
      </c>
      <c r="H2224" s="43">
        <f>H2223+Учет!C2224-C2224</f>
        <v>336855</v>
      </c>
      <c r="I2224" s="43">
        <f>I2223+Учет!D2224-D2224</f>
        <v>500</v>
      </c>
      <c r="J2224" s="43">
        <f>J2223+Учет!E2224-E2224</f>
        <v>1150</v>
      </c>
      <c r="K2224" s="43">
        <f>K2223+Учет!F2224-F2224</f>
        <v>500000</v>
      </c>
      <c r="L2224" s="45">
        <f>Учет!I2224</f>
        <v>349526.07999999996</v>
      </c>
    </row>
    <row r="2225" spans="1:12" x14ac:dyDescent="0.25">
      <c r="A2225" s="48" t="str">
        <f>IF(Учет!A2225&lt;&gt;"",Учет!A2225,"")</f>
        <v/>
      </c>
      <c r="B2225" s="52">
        <f>IF(Учет!$O2225=Справочники!$F$2,Учет!$H2225,0)</f>
        <v>0</v>
      </c>
      <c r="C2225" s="52">
        <f>IF(Учет!$O2225=Справочники!$F$3,Учет!$H2225,0)</f>
        <v>0</v>
      </c>
      <c r="D2225" s="52">
        <f>IF(Учет!$O2225=Справочники!$F$4,Учет!$H2225,0)</f>
        <v>0</v>
      </c>
      <c r="E2225" s="52">
        <f>IF(Учет!$O2225=Справочники!$F$5,Учет!$H2225,0)</f>
        <v>0</v>
      </c>
      <c r="F2225" s="52">
        <f>IF(Учет!$O2225=Справочники!$F$6,Учет!$H2225,0)</f>
        <v>0</v>
      </c>
      <c r="G2225" s="43">
        <f>G2224+Учет!B2225-B2225</f>
        <v>-488978.92000000004</v>
      </c>
      <c r="H2225" s="43">
        <f>H2224+Учет!C2225-C2225</f>
        <v>336855</v>
      </c>
      <c r="I2225" s="43">
        <f>I2224+Учет!D2225-D2225</f>
        <v>500</v>
      </c>
      <c r="J2225" s="43">
        <f>J2224+Учет!E2225-E2225</f>
        <v>1150</v>
      </c>
      <c r="K2225" s="43">
        <f>K2224+Учет!F2225-F2225</f>
        <v>500000</v>
      </c>
      <c r="L2225" s="45">
        <f>Учет!I2225</f>
        <v>349526.07999999996</v>
      </c>
    </row>
    <row r="2226" spans="1:12" x14ac:dyDescent="0.25">
      <c r="A2226" s="48" t="str">
        <f>IF(Учет!A2226&lt;&gt;"",Учет!A2226,"")</f>
        <v/>
      </c>
      <c r="B2226" s="52">
        <f>IF(Учет!$O2226=Справочники!$F$2,Учет!$H2226,0)</f>
        <v>0</v>
      </c>
      <c r="C2226" s="52">
        <f>IF(Учет!$O2226=Справочники!$F$3,Учет!$H2226,0)</f>
        <v>0</v>
      </c>
      <c r="D2226" s="52">
        <f>IF(Учет!$O2226=Справочники!$F$4,Учет!$H2226,0)</f>
        <v>0</v>
      </c>
      <c r="E2226" s="52">
        <f>IF(Учет!$O2226=Справочники!$F$5,Учет!$H2226,0)</f>
        <v>0</v>
      </c>
      <c r="F2226" s="52">
        <f>IF(Учет!$O2226=Справочники!$F$6,Учет!$H2226,0)</f>
        <v>0</v>
      </c>
      <c r="G2226" s="43">
        <f>G2225+Учет!B2226-B2226</f>
        <v>-488978.92000000004</v>
      </c>
      <c r="H2226" s="43">
        <f>H2225+Учет!C2226-C2226</f>
        <v>336855</v>
      </c>
      <c r="I2226" s="43">
        <f>I2225+Учет!D2226-D2226</f>
        <v>500</v>
      </c>
      <c r="J2226" s="43">
        <f>J2225+Учет!E2226-E2226</f>
        <v>1150</v>
      </c>
      <c r="K2226" s="43">
        <f>K2225+Учет!F2226-F2226</f>
        <v>500000</v>
      </c>
      <c r="L2226" s="45">
        <f>Учет!I2226</f>
        <v>349526.07999999996</v>
      </c>
    </row>
    <row r="2227" spans="1:12" x14ac:dyDescent="0.25">
      <c r="A2227" s="48" t="str">
        <f>IF(Учет!A2227&lt;&gt;"",Учет!A2227,"")</f>
        <v/>
      </c>
      <c r="B2227" s="52">
        <f>IF(Учет!$O2227=Справочники!$F$2,Учет!$H2227,0)</f>
        <v>0</v>
      </c>
      <c r="C2227" s="52">
        <f>IF(Учет!$O2227=Справочники!$F$3,Учет!$H2227,0)</f>
        <v>0</v>
      </c>
      <c r="D2227" s="52">
        <f>IF(Учет!$O2227=Справочники!$F$4,Учет!$H2227,0)</f>
        <v>0</v>
      </c>
      <c r="E2227" s="52">
        <f>IF(Учет!$O2227=Справочники!$F$5,Учет!$H2227,0)</f>
        <v>0</v>
      </c>
      <c r="F2227" s="52">
        <f>IF(Учет!$O2227=Справочники!$F$6,Учет!$H2227,0)</f>
        <v>0</v>
      </c>
      <c r="G2227" s="43">
        <f>G2226+Учет!B2227-B2227</f>
        <v>-488978.92000000004</v>
      </c>
      <c r="H2227" s="43">
        <f>H2226+Учет!C2227-C2227</f>
        <v>336855</v>
      </c>
      <c r="I2227" s="43">
        <f>I2226+Учет!D2227-D2227</f>
        <v>500</v>
      </c>
      <c r="J2227" s="43">
        <f>J2226+Учет!E2227-E2227</f>
        <v>1150</v>
      </c>
      <c r="K2227" s="43">
        <f>K2226+Учет!F2227-F2227</f>
        <v>500000</v>
      </c>
      <c r="L2227" s="45">
        <f>Учет!I2227</f>
        <v>349526.07999999996</v>
      </c>
    </row>
    <row r="2228" spans="1:12" x14ac:dyDescent="0.25">
      <c r="A2228" s="48" t="str">
        <f>IF(Учет!A2228&lt;&gt;"",Учет!A2228,"")</f>
        <v/>
      </c>
      <c r="B2228" s="52">
        <f>IF(Учет!$O2228=Справочники!$F$2,Учет!$H2228,0)</f>
        <v>0</v>
      </c>
      <c r="C2228" s="52">
        <f>IF(Учет!$O2228=Справочники!$F$3,Учет!$H2228,0)</f>
        <v>0</v>
      </c>
      <c r="D2228" s="52">
        <f>IF(Учет!$O2228=Справочники!$F$4,Учет!$H2228,0)</f>
        <v>0</v>
      </c>
      <c r="E2228" s="52">
        <f>IF(Учет!$O2228=Справочники!$F$5,Учет!$H2228,0)</f>
        <v>0</v>
      </c>
      <c r="F2228" s="52">
        <f>IF(Учет!$O2228=Справочники!$F$6,Учет!$H2228,0)</f>
        <v>0</v>
      </c>
      <c r="G2228" s="43">
        <f>G2227+Учет!B2228-B2228</f>
        <v>-488978.92000000004</v>
      </c>
      <c r="H2228" s="43">
        <f>H2227+Учет!C2228-C2228</f>
        <v>336855</v>
      </c>
      <c r="I2228" s="43">
        <f>I2227+Учет!D2228-D2228</f>
        <v>500</v>
      </c>
      <c r="J2228" s="43">
        <f>J2227+Учет!E2228-E2228</f>
        <v>1150</v>
      </c>
      <c r="K2228" s="43">
        <f>K2227+Учет!F2228-F2228</f>
        <v>500000</v>
      </c>
      <c r="L2228" s="45">
        <f>Учет!I2228</f>
        <v>349526.07999999996</v>
      </c>
    </row>
    <row r="2229" spans="1:12" x14ac:dyDescent="0.25">
      <c r="A2229" s="48" t="str">
        <f>IF(Учет!A2229&lt;&gt;"",Учет!A2229,"")</f>
        <v/>
      </c>
      <c r="B2229" s="52">
        <f>IF(Учет!$O2229=Справочники!$F$2,Учет!$H2229,0)</f>
        <v>0</v>
      </c>
      <c r="C2229" s="52">
        <f>IF(Учет!$O2229=Справочники!$F$3,Учет!$H2229,0)</f>
        <v>0</v>
      </c>
      <c r="D2229" s="52">
        <f>IF(Учет!$O2229=Справочники!$F$4,Учет!$H2229,0)</f>
        <v>0</v>
      </c>
      <c r="E2229" s="52">
        <f>IF(Учет!$O2229=Справочники!$F$5,Учет!$H2229,0)</f>
        <v>0</v>
      </c>
      <c r="F2229" s="52">
        <f>IF(Учет!$O2229=Справочники!$F$6,Учет!$H2229,0)</f>
        <v>0</v>
      </c>
      <c r="G2229" s="43">
        <f>G2228+Учет!B2229-B2229</f>
        <v>-488978.92000000004</v>
      </c>
      <c r="H2229" s="43">
        <f>H2228+Учет!C2229-C2229</f>
        <v>336855</v>
      </c>
      <c r="I2229" s="43">
        <f>I2228+Учет!D2229-D2229</f>
        <v>500</v>
      </c>
      <c r="J2229" s="43">
        <f>J2228+Учет!E2229-E2229</f>
        <v>1150</v>
      </c>
      <c r="K2229" s="43">
        <f>K2228+Учет!F2229-F2229</f>
        <v>500000</v>
      </c>
      <c r="L2229" s="45">
        <f>Учет!I2229</f>
        <v>349526.07999999996</v>
      </c>
    </row>
    <row r="2230" spans="1:12" x14ac:dyDescent="0.25">
      <c r="A2230" s="48" t="str">
        <f>IF(Учет!A2230&lt;&gt;"",Учет!A2230,"")</f>
        <v/>
      </c>
      <c r="B2230" s="52">
        <f>IF(Учет!$O2230=Справочники!$F$2,Учет!$H2230,0)</f>
        <v>0</v>
      </c>
      <c r="C2230" s="52">
        <f>IF(Учет!$O2230=Справочники!$F$3,Учет!$H2230,0)</f>
        <v>0</v>
      </c>
      <c r="D2230" s="52">
        <f>IF(Учет!$O2230=Справочники!$F$4,Учет!$H2230,0)</f>
        <v>0</v>
      </c>
      <c r="E2230" s="52">
        <f>IF(Учет!$O2230=Справочники!$F$5,Учет!$H2230,0)</f>
        <v>0</v>
      </c>
      <c r="F2230" s="52">
        <f>IF(Учет!$O2230=Справочники!$F$6,Учет!$H2230,0)</f>
        <v>0</v>
      </c>
      <c r="G2230" s="43">
        <f>G2229+Учет!B2230-B2230</f>
        <v>-488978.92000000004</v>
      </c>
      <c r="H2230" s="43">
        <f>H2229+Учет!C2230-C2230</f>
        <v>336855</v>
      </c>
      <c r="I2230" s="43">
        <f>I2229+Учет!D2230-D2230</f>
        <v>500</v>
      </c>
      <c r="J2230" s="43">
        <f>J2229+Учет!E2230-E2230</f>
        <v>1150</v>
      </c>
      <c r="K2230" s="43">
        <f>K2229+Учет!F2230-F2230</f>
        <v>500000</v>
      </c>
      <c r="L2230" s="45">
        <f>Учет!I2230</f>
        <v>349526.07999999996</v>
      </c>
    </row>
    <row r="2231" spans="1:12" x14ac:dyDescent="0.25">
      <c r="A2231" s="48" t="str">
        <f>IF(Учет!A2231&lt;&gt;"",Учет!A2231,"")</f>
        <v/>
      </c>
      <c r="B2231" s="52">
        <f>IF(Учет!$O2231=Справочники!$F$2,Учет!$H2231,0)</f>
        <v>0</v>
      </c>
      <c r="C2231" s="52">
        <f>IF(Учет!$O2231=Справочники!$F$3,Учет!$H2231,0)</f>
        <v>0</v>
      </c>
      <c r="D2231" s="52">
        <f>IF(Учет!$O2231=Справочники!$F$4,Учет!$H2231,0)</f>
        <v>0</v>
      </c>
      <c r="E2231" s="52">
        <f>IF(Учет!$O2231=Справочники!$F$5,Учет!$H2231,0)</f>
        <v>0</v>
      </c>
      <c r="F2231" s="52">
        <f>IF(Учет!$O2231=Справочники!$F$6,Учет!$H2231,0)</f>
        <v>0</v>
      </c>
      <c r="G2231" s="43">
        <f>G2230+Учет!B2231-B2231</f>
        <v>-488978.92000000004</v>
      </c>
      <c r="H2231" s="43">
        <f>H2230+Учет!C2231-C2231</f>
        <v>336855</v>
      </c>
      <c r="I2231" s="43">
        <f>I2230+Учет!D2231-D2231</f>
        <v>500</v>
      </c>
      <c r="J2231" s="43">
        <f>J2230+Учет!E2231-E2231</f>
        <v>1150</v>
      </c>
      <c r="K2231" s="43">
        <f>K2230+Учет!F2231-F2231</f>
        <v>500000</v>
      </c>
      <c r="L2231" s="45">
        <f>Учет!I2231</f>
        <v>349526.07999999996</v>
      </c>
    </row>
    <row r="2232" spans="1:12" x14ac:dyDescent="0.25">
      <c r="A2232" s="48" t="str">
        <f>IF(Учет!A2232&lt;&gt;"",Учет!A2232,"")</f>
        <v/>
      </c>
      <c r="B2232" s="52">
        <f>IF(Учет!$O2232=Справочники!$F$2,Учет!$H2232,0)</f>
        <v>0</v>
      </c>
      <c r="C2232" s="52">
        <f>IF(Учет!$O2232=Справочники!$F$3,Учет!$H2232,0)</f>
        <v>0</v>
      </c>
      <c r="D2232" s="52">
        <f>IF(Учет!$O2232=Справочники!$F$4,Учет!$H2232,0)</f>
        <v>0</v>
      </c>
      <c r="E2232" s="52">
        <f>IF(Учет!$O2232=Справочники!$F$5,Учет!$H2232,0)</f>
        <v>0</v>
      </c>
      <c r="F2232" s="52">
        <f>IF(Учет!$O2232=Справочники!$F$6,Учет!$H2232,0)</f>
        <v>0</v>
      </c>
      <c r="G2232" s="43">
        <f>G2231+Учет!B2232-B2232</f>
        <v>-488978.92000000004</v>
      </c>
      <c r="H2232" s="43">
        <f>H2231+Учет!C2232-C2232</f>
        <v>336855</v>
      </c>
      <c r="I2232" s="43">
        <f>I2231+Учет!D2232-D2232</f>
        <v>500</v>
      </c>
      <c r="J2232" s="43">
        <f>J2231+Учет!E2232-E2232</f>
        <v>1150</v>
      </c>
      <c r="K2232" s="43">
        <f>K2231+Учет!F2232-F2232</f>
        <v>500000</v>
      </c>
      <c r="L2232" s="45">
        <f>Учет!I2232</f>
        <v>349526.07999999996</v>
      </c>
    </row>
    <row r="2233" spans="1:12" x14ac:dyDescent="0.25">
      <c r="A2233" s="48" t="str">
        <f>IF(Учет!A2233&lt;&gt;"",Учет!A2233,"")</f>
        <v/>
      </c>
      <c r="B2233" s="52">
        <f>IF(Учет!$O2233=Справочники!$F$2,Учет!$H2233,0)</f>
        <v>0</v>
      </c>
      <c r="C2233" s="52">
        <f>IF(Учет!$O2233=Справочники!$F$3,Учет!$H2233,0)</f>
        <v>0</v>
      </c>
      <c r="D2233" s="52">
        <f>IF(Учет!$O2233=Справочники!$F$4,Учет!$H2233,0)</f>
        <v>0</v>
      </c>
      <c r="E2233" s="52">
        <f>IF(Учет!$O2233=Справочники!$F$5,Учет!$H2233,0)</f>
        <v>0</v>
      </c>
      <c r="F2233" s="52">
        <f>IF(Учет!$O2233=Справочники!$F$6,Учет!$H2233,0)</f>
        <v>0</v>
      </c>
      <c r="G2233" s="43">
        <f>G2232+Учет!B2233-B2233</f>
        <v>-488978.92000000004</v>
      </c>
      <c r="H2233" s="43">
        <f>H2232+Учет!C2233-C2233</f>
        <v>336855</v>
      </c>
      <c r="I2233" s="43">
        <f>I2232+Учет!D2233-D2233</f>
        <v>500</v>
      </c>
      <c r="J2233" s="43">
        <f>J2232+Учет!E2233-E2233</f>
        <v>1150</v>
      </c>
      <c r="K2233" s="43">
        <f>K2232+Учет!F2233-F2233</f>
        <v>500000</v>
      </c>
      <c r="L2233" s="45">
        <f>Учет!I2233</f>
        <v>349526.07999999996</v>
      </c>
    </row>
    <row r="2234" spans="1:12" x14ac:dyDescent="0.25">
      <c r="A2234" s="48" t="str">
        <f>IF(Учет!A2234&lt;&gt;"",Учет!A2234,"")</f>
        <v/>
      </c>
      <c r="B2234" s="52">
        <f>IF(Учет!$O2234=Справочники!$F$2,Учет!$H2234,0)</f>
        <v>0</v>
      </c>
      <c r="C2234" s="52">
        <f>IF(Учет!$O2234=Справочники!$F$3,Учет!$H2234,0)</f>
        <v>0</v>
      </c>
      <c r="D2234" s="52">
        <f>IF(Учет!$O2234=Справочники!$F$4,Учет!$H2234,0)</f>
        <v>0</v>
      </c>
      <c r="E2234" s="52">
        <f>IF(Учет!$O2234=Справочники!$F$5,Учет!$H2234,0)</f>
        <v>0</v>
      </c>
      <c r="F2234" s="52">
        <f>IF(Учет!$O2234=Справочники!$F$6,Учет!$H2234,0)</f>
        <v>0</v>
      </c>
      <c r="G2234" s="43">
        <f>G2233+Учет!B2234-B2234</f>
        <v>-488978.92000000004</v>
      </c>
      <c r="H2234" s="43">
        <f>H2233+Учет!C2234-C2234</f>
        <v>336855</v>
      </c>
      <c r="I2234" s="43">
        <f>I2233+Учет!D2234-D2234</f>
        <v>500</v>
      </c>
      <c r="J2234" s="43">
        <f>J2233+Учет!E2234-E2234</f>
        <v>1150</v>
      </c>
      <c r="K2234" s="43">
        <f>K2233+Учет!F2234-F2234</f>
        <v>500000</v>
      </c>
      <c r="L2234" s="45">
        <f>Учет!I2234</f>
        <v>349526.07999999996</v>
      </c>
    </row>
    <row r="2235" spans="1:12" x14ac:dyDescent="0.25">
      <c r="A2235" s="48" t="str">
        <f>IF(Учет!A2235&lt;&gt;"",Учет!A2235,"")</f>
        <v/>
      </c>
      <c r="B2235" s="52">
        <f>IF(Учет!$O2235=Справочники!$F$2,Учет!$H2235,0)</f>
        <v>0</v>
      </c>
      <c r="C2235" s="52">
        <f>IF(Учет!$O2235=Справочники!$F$3,Учет!$H2235,0)</f>
        <v>0</v>
      </c>
      <c r="D2235" s="52">
        <f>IF(Учет!$O2235=Справочники!$F$4,Учет!$H2235,0)</f>
        <v>0</v>
      </c>
      <c r="E2235" s="52">
        <f>IF(Учет!$O2235=Справочники!$F$5,Учет!$H2235,0)</f>
        <v>0</v>
      </c>
      <c r="F2235" s="52">
        <f>IF(Учет!$O2235=Справочники!$F$6,Учет!$H2235,0)</f>
        <v>0</v>
      </c>
      <c r="G2235" s="43">
        <f>G2234+Учет!B2235-B2235</f>
        <v>-488978.92000000004</v>
      </c>
      <c r="H2235" s="43">
        <f>H2234+Учет!C2235-C2235</f>
        <v>336855</v>
      </c>
      <c r="I2235" s="43">
        <f>I2234+Учет!D2235-D2235</f>
        <v>500</v>
      </c>
      <c r="J2235" s="43">
        <f>J2234+Учет!E2235-E2235</f>
        <v>1150</v>
      </c>
      <c r="K2235" s="43">
        <f>K2234+Учет!F2235-F2235</f>
        <v>500000</v>
      </c>
      <c r="L2235" s="45">
        <f>Учет!I2235</f>
        <v>349526.07999999996</v>
      </c>
    </row>
    <row r="2236" spans="1:12" x14ac:dyDescent="0.25">
      <c r="A2236" s="48" t="str">
        <f>IF(Учет!A2236&lt;&gt;"",Учет!A2236,"")</f>
        <v/>
      </c>
      <c r="B2236" s="52">
        <f>IF(Учет!$O2236=Справочники!$F$2,Учет!$H2236,0)</f>
        <v>0</v>
      </c>
      <c r="C2236" s="52">
        <f>IF(Учет!$O2236=Справочники!$F$3,Учет!$H2236,0)</f>
        <v>0</v>
      </c>
      <c r="D2236" s="52">
        <f>IF(Учет!$O2236=Справочники!$F$4,Учет!$H2236,0)</f>
        <v>0</v>
      </c>
      <c r="E2236" s="52">
        <f>IF(Учет!$O2236=Справочники!$F$5,Учет!$H2236,0)</f>
        <v>0</v>
      </c>
      <c r="F2236" s="52">
        <f>IF(Учет!$O2236=Справочники!$F$6,Учет!$H2236,0)</f>
        <v>0</v>
      </c>
      <c r="G2236" s="43">
        <f>G2235+Учет!B2236-B2236</f>
        <v>-488978.92000000004</v>
      </c>
      <c r="H2236" s="43">
        <f>H2235+Учет!C2236-C2236</f>
        <v>336855</v>
      </c>
      <c r="I2236" s="43">
        <f>I2235+Учет!D2236-D2236</f>
        <v>500</v>
      </c>
      <c r="J2236" s="43">
        <f>J2235+Учет!E2236-E2236</f>
        <v>1150</v>
      </c>
      <c r="K2236" s="43">
        <f>K2235+Учет!F2236-F2236</f>
        <v>500000</v>
      </c>
      <c r="L2236" s="45">
        <f>Учет!I2236</f>
        <v>349526.07999999996</v>
      </c>
    </row>
    <row r="2237" spans="1:12" x14ac:dyDescent="0.25">
      <c r="A2237" s="48" t="str">
        <f>IF(Учет!A2237&lt;&gt;"",Учет!A2237,"")</f>
        <v/>
      </c>
      <c r="B2237" s="52">
        <f>IF(Учет!$O2237=Справочники!$F$2,Учет!$H2237,0)</f>
        <v>0</v>
      </c>
      <c r="C2237" s="52">
        <f>IF(Учет!$O2237=Справочники!$F$3,Учет!$H2237,0)</f>
        <v>0</v>
      </c>
      <c r="D2237" s="52">
        <f>IF(Учет!$O2237=Справочники!$F$4,Учет!$H2237,0)</f>
        <v>0</v>
      </c>
      <c r="E2237" s="52">
        <f>IF(Учет!$O2237=Справочники!$F$5,Учет!$H2237,0)</f>
        <v>0</v>
      </c>
      <c r="F2237" s="52">
        <f>IF(Учет!$O2237=Справочники!$F$6,Учет!$H2237,0)</f>
        <v>0</v>
      </c>
      <c r="G2237" s="43">
        <f>G2236+Учет!B2237-B2237</f>
        <v>-488978.92000000004</v>
      </c>
      <c r="H2237" s="43">
        <f>H2236+Учет!C2237-C2237</f>
        <v>336855</v>
      </c>
      <c r="I2237" s="43">
        <f>I2236+Учет!D2237-D2237</f>
        <v>500</v>
      </c>
      <c r="J2237" s="43">
        <f>J2236+Учет!E2237-E2237</f>
        <v>1150</v>
      </c>
      <c r="K2237" s="43">
        <f>K2236+Учет!F2237-F2237</f>
        <v>500000</v>
      </c>
      <c r="L2237" s="45">
        <f>Учет!I2237</f>
        <v>349526.07999999996</v>
      </c>
    </row>
    <row r="2238" spans="1:12" x14ac:dyDescent="0.25">
      <c r="A2238" s="48" t="str">
        <f>IF(Учет!A2238&lt;&gt;"",Учет!A2238,"")</f>
        <v/>
      </c>
      <c r="B2238" s="52">
        <f>IF(Учет!$O2238=Справочники!$F$2,Учет!$H2238,0)</f>
        <v>0</v>
      </c>
      <c r="C2238" s="52">
        <f>IF(Учет!$O2238=Справочники!$F$3,Учет!$H2238,0)</f>
        <v>0</v>
      </c>
      <c r="D2238" s="52">
        <f>IF(Учет!$O2238=Справочники!$F$4,Учет!$H2238,0)</f>
        <v>0</v>
      </c>
      <c r="E2238" s="52">
        <f>IF(Учет!$O2238=Справочники!$F$5,Учет!$H2238,0)</f>
        <v>0</v>
      </c>
      <c r="F2238" s="52">
        <f>IF(Учет!$O2238=Справочники!$F$6,Учет!$H2238,0)</f>
        <v>0</v>
      </c>
      <c r="G2238" s="43">
        <f>G2237+Учет!B2238-B2238</f>
        <v>-488978.92000000004</v>
      </c>
      <c r="H2238" s="43">
        <f>H2237+Учет!C2238-C2238</f>
        <v>336855</v>
      </c>
      <c r="I2238" s="43">
        <f>I2237+Учет!D2238-D2238</f>
        <v>500</v>
      </c>
      <c r="J2238" s="43">
        <f>J2237+Учет!E2238-E2238</f>
        <v>1150</v>
      </c>
      <c r="K2238" s="43">
        <f>K2237+Учет!F2238-F2238</f>
        <v>500000</v>
      </c>
      <c r="L2238" s="45">
        <f>Учет!I2238</f>
        <v>349526.07999999996</v>
      </c>
    </row>
    <row r="2239" spans="1:12" x14ac:dyDescent="0.25">
      <c r="A2239" s="48" t="str">
        <f>IF(Учет!A2239&lt;&gt;"",Учет!A2239,"")</f>
        <v/>
      </c>
      <c r="B2239" s="52">
        <f>IF(Учет!$O2239=Справочники!$F$2,Учет!$H2239,0)</f>
        <v>0</v>
      </c>
      <c r="C2239" s="52">
        <f>IF(Учет!$O2239=Справочники!$F$3,Учет!$H2239,0)</f>
        <v>0</v>
      </c>
      <c r="D2239" s="52">
        <f>IF(Учет!$O2239=Справочники!$F$4,Учет!$H2239,0)</f>
        <v>0</v>
      </c>
      <c r="E2239" s="52">
        <f>IF(Учет!$O2239=Справочники!$F$5,Учет!$H2239,0)</f>
        <v>0</v>
      </c>
      <c r="F2239" s="52">
        <f>IF(Учет!$O2239=Справочники!$F$6,Учет!$H2239,0)</f>
        <v>0</v>
      </c>
      <c r="G2239" s="43">
        <f>G2238+Учет!B2239-B2239</f>
        <v>-488978.92000000004</v>
      </c>
      <c r="H2239" s="43">
        <f>H2238+Учет!C2239-C2239</f>
        <v>336855</v>
      </c>
      <c r="I2239" s="43">
        <f>I2238+Учет!D2239-D2239</f>
        <v>500</v>
      </c>
      <c r="J2239" s="43">
        <f>J2238+Учет!E2239-E2239</f>
        <v>1150</v>
      </c>
      <c r="K2239" s="43">
        <f>K2238+Учет!F2239-F2239</f>
        <v>500000</v>
      </c>
      <c r="L2239" s="45">
        <f>Учет!I2239</f>
        <v>349526.07999999996</v>
      </c>
    </row>
    <row r="2240" spans="1:12" x14ac:dyDescent="0.25">
      <c r="A2240" s="48" t="str">
        <f>IF(Учет!A2240&lt;&gt;"",Учет!A2240,"")</f>
        <v/>
      </c>
      <c r="B2240" s="52">
        <f>IF(Учет!$O2240=Справочники!$F$2,Учет!$H2240,0)</f>
        <v>0</v>
      </c>
      <c r="C2240" s="52">
        <f>IF(Учет!$O2240=Справочники!$F$3,Учет!$H2240,0)</f>
        <v>0</v>
      </c>
      <c r="D2240" s="52">
        <f>IF(Учет!$O2240=Справочники!$F$4,Учет!$H2240,0)</f>
        <v>0</v>
      </c>
      <c r="E2240" s="52">
        <f>IF(Учет!$O2240=Справочники!$F$5,Учет!$H2240,0)</f>
        <v>0</v>
      </c>
      <c r="F2240" s="52">
        <f>IF(Учет!$O2240=Справочники!$F$6,Учет!$H2240,0)</f>
        <v>0</v>
      </c>
      <c r="G2240" s="43">
        <f>G2239+Учет!B2240-B2240</f>
        <v>-488978.92000000004</v>
      </c>
      <c r="H2240" s="43">
        <f>H2239+Учет!C2240-C2240</f>
        <v>336855</v>
      </c>
      <c r="I2240" s="43">
        <f>I2239+Учет!D2240-D2240</f>
        <v>500</v>
      </c>
      <c r="J2240" s="43">
        <f>J2239+Учет!E2240-E2240</f>
        <v>1150</v>
      </c>
      <c r="K2240" s="43">
        <f>K2239+Учет!F2240-F2240</f>
        <v>500000</v>
      </c>
      <c r="L2240" s="45">
        <f>Учет!I2240</f>
        <v>349526.07999999996</v>
      </c>
    </row>
    <row r="2241" spans="1:12" x14ac:dyDescent="0.25">
      <c r="A2241" s="48" t="str">
        <f>IF(Учет!A2241&lt;&gt;"",Учет!A2241,"")</f>
        <v/>
      </c>
      <c r="B2241" s="52">
        <f>IF(Учет!$O2241=Справочники!$F$2,Учет!$H2241,0)</f>
        <v>0</v>
      </c>
      <c r="C2241" s="52">
        <f>IF(Учет!$O2241=Справочники!$F$3,Учет!$H2241,0)</f>
        <v>0</v>
      </c>
      <c r="D2241" s="52">
        <f>IF(Учет!$O2241=Справочники!$F$4,Учет!$H2241,0)</f>
        <v>0</v>
      </c>
      <c r="E2241" s="52">
        <f>IF(Учет!$O2241=Справочники!$F$5,Учет!$H2241,0)</f>
        <v>0</v>
      </c>
      <c r="F2241" s="52">
        <f>IF(Учет!$O2241=Справочники!$F$6,Учет!$H2241,0)</f>
        <v>0</v>
      </c>
      <c r="G2241" s="43">
        <f>G2240+Учет!B2241-B2241</f>
        <v>-488978.92000000004</v>
      </c>
      <c r="H2241" s="43">
        <f>H2240+Учет!C2241-C2241</f>
        <v>336855</v>
      </c>
      <c r="I2241" s="43">
        <f>I2240+Учет!D2241-D2241</f>
        <v>500</v>
      </c>
      <c r="J2241" s="43">
        <f>J2240+Учет!E2241-E2241</f>
        <v>1150</v>
      </c>
      <c r="K2241" s="43">
        <f>K2240+Учет!F2241-F2241</f>
        <v>500000</v>
      </c>
      <c r="L2241" s="45">
        <f>Учет!I2241</f>
        <v>349526.07999999996</v>
      </c>
    </row>
    <row r="2242" spans="1:12" x14ac:dyDescent="0.25">
      <c r="A2242" s="48" t="str">
        <f>IF(Учет!A2242&lt;&gt;"",Учет!A2242,"")</f>
        <v/>
      </c>
      <c r="B2242" s="52">
        <f>IF(Учет!$O2242=Справочники!$F$2,Учет!$H2242,0)</f>
        <v>0</v>
      </c>
      <c r="C2242" s="52">
        <f>IF(Учет!$O2242=Справочники!$F$3,Учет!$H2242,0)</f>
        <v>0</v>
      </c>
      <c r="D2242" s="52">
        <f>IF(Учет!$O2242=Справочники!$F$4,Учет!$H2242,0)</f>
        <v>0</v>
      </c>
      <c r="E2242" s="52">
        <f>IF(Учет!$O2242=Справочники!$F$5,Учет!$H2242,0)</f>
        <v>0</v>
      </c>
      <c r="F2242" s="52">
        <f>IF(Учет!$O2242=Справочники!$F$6,Учет!$H2242,0)</f>
        <v>0</v>
      </c>
      <c r="G2242" s="43">
        <f>G2241+Учет!B2242-B2242</f>
        <v>-488978.92000000004</v>
      </c>
      <c r="H2242" s="43">
        <f>H2241+Учет!C2242-C2242</f>
        <v>336855</v>
      </c>
      <c r="I2242" s="43">
        <f>I2241+Учет!D2242-D2242</f>
        <v>500</v>
      </c>
      <c r="J2242" s="43">
        <f>J2241+Учет!E2242-E2242</f>
        <v>1150</v>
      </c>
      <c r="K2242" s="43">
        <f>K2241+Учет!F2242-F2242</f>
        <v>500000</v>
      </c>
      <c r="L2242" s="45">
        <f>Учет!I2242</f>
        <v>349526.07999999996</v>
      </c>
    </row>
    <row r="2243" spans="1:12" x14ac:dyDescent="0.25">
      <c r="A2243" s="48" t="str">
        <f>IF(Учет!A2243&lt;&gt;"",Учет!A2243,"")</f>
        <v/>
      </c>
      <c r="B2243" s="52">
        <f>IF(Учет!$O2243=Справочники!$F$2,Учет!$H2243,0)</f>
        <v>0</v>
      </c>
      <c r="C2243" s="52">
        <f>IF(Учет!$O2243=Справочники!$F$3,Учет!$H2243,0)</f>
        <v>0</v>
      </c>
      <c r="D2243" s="52">
        <f>IF(Учет!$O2243=Справочники!$F$4,Учет!$H2243,0)</f>
        <v>0</v>
      </c>
      <c r="E2243" s="52">
        <f>IF(Учет!$O2243=Справочники!$F$5,Учет!$H2243,0)</f>
        <v>0</v>
      </c>
      <c r="F2243" s="52">
        <f>IF(Учет!$O2243=Справочники!$F$6,Учет!$H2243,0)</f>
        <v>0</v>
      </c>
      <c r="G2243" s="43">
        <f>G2242+Учет!B2243-B2243</f>
        <v>-488978.92000000004</v>
      </c>
      <c r="H2243" s="43">
        <f>H2242+Учет!C2243-C2243</f>
        <v>336855</v>
      </c>
      <c r="I2243" s="43">
        <f>I2242+Учет!D2243-D2243</f>
        <v>500</v>
      </c>
      <c r="J2243" s="43">
        <f>J2242+Учет!E2243-E2243</f>
        <v>1150</v>
      </c>
      <c r="K2243" s="43">
        <f>K2242+Учет!F2243-F2243</f>
        <v>500000</v>
      </c>
      <c r="L2243" s="45">
        <f>Учет!I2243</f>
        <v>349526.07999999996</v>
      </c>
    </row>
    <row r="2244" spans="1:12" x14ac:dyDescent="0.25">
      <c r="A2244" s="48" t="str">
        <f>IF(Учет!A2244&lt;&gt;"",Учет!A2244,"")</f>
        <v/>
      </c>
      <c r="B2244" s="52">
        <f>IF(Учет!$O2244=Справочники!$F$2,Учет!$H2244,0)</f>
        <v>0</v>
      </c>
      <c r="C2244" s="52">
        <f>IF(Учет!$O2244=Справочники!$F$3,Учет!$H2244,0)</f>
        <v>0</v>
      </c>
      <c r="D2244" s="52">
        <f>IF(Учет!$O2244=Справочники!$F$4,Учет!$H2244,0)</f>
        <v>0</v>
      </c>
      <c r="E2244" s="52">
        <f>IF(Учет!$O2244=Справочники!$F$5,Учет!$H2244,0)</f>
        <v>0</v>
      </c>
      <c r="F2244" s="52">
        <f>IF(Учет!$O2244=Справочники!$F$6,Учет!$H2244,0)</f>
        <v>0</v>
      </c>
      <c r="G2244" s="43">
        <f>G2243+Учет!B2244-B2244</f>
        <v>-488978.92000000004</v>
      </c>
      <c r="H2244" s="43">
        <f>H2243+Учет!C2244-C2244</f>
        <v>336855</v>
      </c>
      <c r="I2244" s="43">
        <f>I2243+Учет!D2244-D2244</f>
        <v>500</v>
      </c>
      <c r="J2244" s="43">
        <f>J2243+Учет!E2244-E2244</f>
        <v>1150</v>
      </c>
      <c r="K2244" s="43">
        <f>K2243+Учет!F2244-F2244</f>
        <v>500000</v>
      </c>
      <c r="L2244" s="45">
        <f>Учет!I2244</f>
        <v>349526.07999999996</v>
      </c>
    </row>
    <row r="2245" spans="1:12" x14ac:dyDescent="0.25">
      <c r="A2245" s="48" t="str">
        <f>IF(Учет!A2245&lt;&gt;"",Учет!A2245,"")</f>
        <v/>
      </c>
      <c r="B2245" s="52">
        <f>IF(Учет!$O2245=Справочники!$F$2,Учет!$H2245,0)</f>
        <v>0</v>
      </c>
      <c r="C2245" s="52">
        <f>IF(Учет!$O2245=Справочники!$F$3,Учет!$H2245,0)</f>
        <v>0</v>
      </c>
      <c r="D2245" s="52">
        <f>IF(Учет!$O2245=Справочники!$F$4,Учет!$H2245,0)</f>
        <v>0</v>
      </c>
      <c r="E2245" s="52">
        <f>IF(Учет!$O2245=Справочники!$F$5,Учет!$H2245,0)</f>
        <v>0</v>
      </c>
      <c r="F2245" s="52">
        <f>IF(Учет!$O2245=Справочники!$F$6,Учет!$H2245,0)</f>
        <v>0</v>
      </c>
      <c r="G2245" s="43">
        <f>G2244+Учет!B2245-B2245</f>
        <v>-488978.92000000004</v>
      </c>
      <c r="H2245" s="43">
        <f>H2244+Учет!C2245-C2245</f>
        <v>336855</v>
      </c>
      <c r="I2245" s="43">
        <f>I2244+Учет!D2245-D2245</f>
        <v>500</v>
      </c>
      <c r="J2245" s="43">
        <f>J2244+Учет!E2245-E2245</f>
        <v>1150</v>
      </c>
      <c r="K2245" s="43">
        <f>K2244+Учет!F2245-F2245</f>
        <v>500000</v>
      </c>
      <c r="L2245" s="45">
        <f>Учет!I2245</f>
        <v>349526.07999999996</v>
      </c>
    </row>
    <row r="2246" spans="1:12" x14ac:dyDescent="0.25">
      <c r="A2246" s="48" t="str">
        <f>IF(Учет!A2246&lt;&gt;"",Учет!A2246,"")</f>
        <v/>
      </c>
      <c r="B2246" s="52">
        <f>IF(Учет!$O2246=Справочники!$F$2,Учет!$H2246,0)</f>
        <v>0</v>
      </c>
      <c r="C2246" s="52">
        <f>IF(Учет!$O2246=Справочники!$F$3,Учет!$H2246,0)</f>
        <v>0</v>
      </c>
      <c r="D2246" s="52">
        <f>IF(Учет!$O2246=Справочники!$F$4,Учет!$H2246,0)</f>
        <v>0</v>
      </c>
      <c r="E2246" s="52">
        <f>IF(Учет!$O2246=Справочники!$F$5,Учет!$H2246,0)</f>
        <v>0</v>
      </c>
      <c r="F2246" s="52">
        <f>IF(Учет!$O2246=Справочники!$F$6,Учет!$H2246,0)</f>
        <v>0</v>
      </c>
      <c r="G2246" s="43">
        <f>G2245+Учет!B2246-B2246</f>
        <v>-488978.92000000004</v>
      </c>
      <c r="H2246" s="43">
        <f>H2245+Учет!C2246-C2246</f>
        <v>336855</v>
      </c>
      <c r="I2246" s="43">
        <f>I2245+Учет!D2246-D2246</f>
        <v>500</v>
      </c>
      <c r="J2246" s="43">
        <f>J2245+Учет!E2246-E2246</f>
        <v>1150</v>
      </c>
      <c r="K2246" s="43">
        <f>K2245+Учет!F2246-F2246</f>
        <v>500000</v>
      </c>
      <c r="L2246" s="45">
        <f>Учет!I2246</f>
        <v>349526.07999999996</v>
      </c>
    </row>
    <row r="2247" spans="1:12" x14ac:dyDescent="0.25">
      <c r="A2247" s="48" t="str">
        <f>IF(Учет!A2247&lt;&gt;"",Учет!A2247,"")</f>
        <v/>
      </c>
      <c r="B2247" s="52">
        <f>IF(Учет!$O2247=Справочники!$F$2,Учет!$H2247,0)</f>
        <v>0</v>
      </c>
      <c r="C2247" s="52">
        <f>IF(Учет!$O2247=Справочники!$F$3,Учет!$H2247,0)</f>
        <v>0</v>
      </c>
      <c r="D2247" s="52">
        <f>IF(Учет!$O2247=Справочники!$F$4,Учет!$H2247,0)</f>
        <v>0</v>
      </c>
      <c r="E2247" s="52">
        <f>IF(Учет!$O2247=Справочники!$F$5,Учет!$H2247,0)</f>
        <v>0</v>
      </c>
      <c r="F2247" s="52">
        <f>IF(Учет!$O2247=Справочники!$F$6,Учет!$H2247,0)</f>
        <v>0</v>
      </c>
      <c r="G2247" s="43">
        <f>G2246+Учет!B2247-B2247</f>
        <v>-488978.92000000004</v>
      </c>
      <c r="H2247" s="43">
        <f>H2246+Учет!C2247-C2247</f>
        <v>336855</v>
      </c>
      <c r="I2247" s="43">
        <f>I2246+Учет!D2247-D2247</f>
        <v>500</v>
      </c>
      <c r="J2247" s="43">
        <f>J2246+Учет!E2247-E2247</f>
        <v>1150</v>
      </c>
      <c r="K2247" s="43">
        <f>K2246+Учет!F2247-F2247</f>
        <v>500000</v>
      </c>
      <c r="L2247" s="45">
        <f>Учет!I2247</f>
        <v>349526.07999999996</v>
      </c>
    </row>
    <row r="2248" spans="1:12" x14ac:dyDescent="0.25">
      <c r="A2248" s="48" t="str">
        <f>IF(Учет!A2248&lt;&gt;"",Учет!A2248,"")</f>
        <v/>
      </c>
      <c r="B2248" s="52">
        <f>IF(Учет!$O2248=Справочники!$F$2,Учет!$H2248,0)</f>
        <v>0</v>
      </c>
      <c r="C2248" s="52">
        <f>IF(Учет!$O2248=Справочники!$F$3,Учет!$H2248,0)</f>
        <v>0</v>
      </c>
      <c r="D2248" s="52">
        <f>IF(Учет!$O2248=Справочники!$F$4,Учет!$H2248,0)</f>
        <v>0</v>
      </c>
      <c r="E2248" s="52">
        <f>IF(Учет!$O2248=Справочники!$F$5,Учет!$H2248,0)</f>
        <v>0</v>
      </c>
      <c r="F2248" s="52">
        <f>IF(Учет!$O2248=Справочники!$F$6,Учет!$H2248,0)</f>
        <v>0</v>
      </c>
      <c r="G2248" s="43">
        <f>G2247+Учет!B2248-B2248</f>
        <v>-488978.92000000004</v>
      </c>
      <c r="H2248" s="43">
        <f>H2247+Учет!C2248-C2248</f>
        <v>336855</v>
      </c>
      <c r="I2248" s="43">
        <f>I2247+Учет!D2248-D2248</f>
        <v>500</v>
      </c>
      <c r="J2248" s="43">
        <f>J2247+Учет!E2248-E2248</f>
        <v>1150</v>
      </c>
      <c r="K2248" s="43">
        <f>K2247+Учет!F2248-F2248</f>
        <v>500000</v>
      </c>
      <c r="L2248" s="45">
        <f>Учет!I2248</f>
        <v>349526.07999999996</v>
      </c>
    </row>
    <row r="2249" spans="1:12" x14ac:dyDescent="0.25">
      <c r="A2249" s="48" t="str">
        <f>IF(Учет!A2249&lt;&gt;"",Учет!A2249,"")</f>
        <v/>
      </c>
      <c r="B2249" s="52">
        <f>IF(Учет!$O2249=Справочники!$F$2,Учет!$H2249,0)</f>
        <v>0</v>
      </c>
      <c r="C2249" s="52">
        <f>IF(Учет!$O2249=Справочники!$F$3,Учет!$H2249,0)</f>
        <v>0</v>
      </c>
      <c r="D2249" s="52">
        <f>IF(Учет!$O2249=Справочники!$F$4,Учет!$H2249,0)</f>
        <v>0</v>
      </c>
      <c r="E2249" s="52">
        <f>IF(Учет!$O2249=Справочники!$F$5,Учет!$H2249,0)</f>
        <v>0</v>
      </c>
      <c r="F2249" s="52">
        <f>IF(Учет!$O2249=Справочники!$F$6,Учет!$H2249,0)</f>
        <v>0</v>
      </c>
      <c r="G2249" s="43">
        <f>G2248+Учет!B2249-B2249</f>
        <v>-488978.92000000004</v>
      </c>
      <c r="H2249" s="43">
        <f>H2248+Учет!C2249-C2249</f>
        <v>336855</v>
      </c>
      <c r="I2249" s="43">
        <f>I2248+Учет!D2249-D2249</f>
        <v>500</v>
      </c>
      <c r="J2249" s="43">
        <f>J2248+Учет!E2249-E2249</f>
        <v>1150</v>
      </c>
      <c r="K2249" s="43">
        <f>K2248+Учет!F2249-F2249</f>
        <v>500000</v>
      </c>
      <c r="L2249" s="45">
        <f>Учет!I2249</f>
        <v>349526.07999999996</v>
      </c>
    </row>
    <row r="2250" spans="1:12" x14ac:dyDescent="0.25">
      <c r="A2250" s="48" t="str">
        <f>IF(Учет!A2250&lt;&gt;"",Учет!A2250,"")</f>
        <v/>
      </c>
      <c r="B2250" s="52">
        <f>IF(Учет!$O2250=Справочники!$F$2,Учет!$H2250,0)</f>
        <v>0</v>
      </c>
      <c r="C2250" s="52">
        <f>IF(Учет!$O2250=Справочники!$F$3,Учет!$H2250,0)</f>
        <v>0</v>
      </c>
      <c r="D2250" s="52">
        <f>IF(Учет!$O2250=Справочники!$F$4,Учет!$H2250,0)</f>
        <v>0</v>
      </c>
      <c r="E2250" s="52">
        <f>IF(Учет!$O2250=Справочники!$F$5,Учет!$H2250,0)</f>
        <v>0</v>
      </c>
      <c r="F2250" s="52">
        <f>IF(Учет!$O2250=Справочники!$F$6,Учет!$H2250,0)</f>
        <v>0</v>
      </c>
      <c r="G2250" s="43">
        <f>G2249+Учет!B2250-B2250</f>
        <v>-488978.92000000004</v>
      </c>
      <c r="H2250" s="43">
        <f>H2249+Учет!C2250-C2250</f>
        <v>336855</v>
      </c>
      <c r="I2250" s="43">
        <f>I2249+Учет!D2250-D2250</f>
        <v>500</v>
      </c>
      <c r="J2250" s="43">
        <f>J2249+Учет!E2250-E2250</f>
        <v>1150</v>
      </c>
      <c r="K2250" s="43">
        <f>K2249+Учет!F2250-F2250</f>
        <v>500000</v>
      </c>
      <c r="L2250" s="45">
        <f>Учет!I2250</f>
        <v>349526.07999999996</v>
      </c>
    </row>
    <row r="2251" spans="1:12" x14ac:dyDescent="0.25">
      <c r="A2251" s="48" t="str">
        <f>IF(Учет!A2251&lt;&gt;"",Учет!A2251,"")</f>
        <v/>
      </c>
      <c r="B2251" s="52">
        <f>IF(Учет!$O2251=Справочники!$F$2,Учет!$H2251,0)</f>
        <v>0</v>
      </c>
      <c r="C2251" s="52">
        <f>IF(Учет!$O2251=Справочники!$F$3,Учет!$H2251,0)</f>
        <v>0</v>
      </c>
      <c r="D2251" s="52">
        <f>IF(Учет!$O2251=Справочники!$F$4,Учет!$H2251,0)</f>
        <v>0</v>
      </c>
      <c r="E2251" s="52">
        <f>IF(Учет!$O2251=Справочники!$F$5,Учет!$H2251,0)</f>
        <v>0</v>
      </c>
      <c r="F2251" s="52">
        <f>IF(Учет!$O2251=Справочники!$F$6,Учет!$H2251,0)</f>
        <v>0</v>
      </c>
      <c r="G2251" s="43">
        <f>G2250+Учет!B2251-B2251</f>
        <v>-488978.92000000004</v>
      </c>
      <c r="H2251" s="43">
        <f>H2250+Учет!C2251-C2251</f>
        <v>336855</v>
      </c>
      <c r="I2251" s="43">
        <f>I2250+Учет!D2251-D2251</f>
        <v>500</v>
      </c>
      <c r="J2251" s="43">
        <f>J2250+Учет!E2251-E2251</f>
        <v>1150</v>
      </c>
      <c r="K2251" s="43">
        <f>K2250+Учет!F2251-F2251</f>
        <v>500000</v>
      </c>
      <c r="L2251" s="45">
        <f>Учет!I2251</f>
        <v>349526.07999999996</v>
      </c>
    </row>
    <row r="2252" spans="1:12" x14ac:dyDescent="0.25">
      <c r="A2252" s="48" t="str">
        <f>IF(Учет!A2252&lt;&gt;"",Учет!A2252,"")</f>
        <v/>
      </c>
      <c r="B2252" s="52">
        <f>IF(Учет!$O2252=Справочники!$F$2,Учет!$H2252,0)</f>
        <v>0</v>
      </c>
      <c r="C2252" s="52">
        <f>IF(Учет!$O2252=Справочники!$F$3,Учет!$H2252,0)</f>
        <v>0</v>
      </c>
      <c r="D2252" s="52">
        <f>IF(Учет!$O2252=Справочники!$F$4,Учет!$H2252,0)</f>
        <v>0</v>
      </c>
      <c r="E2252" s="52">
        <f>IF(Учет!$O2252=Справочники!$F$5,Учет!$H2252,0)</f>
        <v>0</v>
      </c>
      <c r="F2252" s="52">
        <f>IF(Учет!$O2252=Справочники!$F$6,Учет!$H2252,0)</f>
        <v>0</v>
      </c>
      <c r="G2252" s="43">
        <f>G2251+Учет!B2252-B2252</f>
        <v>-488978.92000000004</v>
      </c>
      <c r="H2252" s="43">
        <f>H2251+Учет!C2252-C2252</f>
        <v>336855</v>
      </c>
      <c r="I2252" s="43">
        <f>I2251+Учет!D2252-D2252</f>
        <v>500</v>
      </c>
      <c r="J2252" s="43">
        <f>J2251+Учет!E2252-E2252</f>
        <v>1150</v>
      </c>
      <c r="K2252" s="43">
        <f>K2251+Учет!F2252-F2252</f>
        <v>500000</v>
      </c>
      <c r="L2252" s="45">
        <f>Учет!I2252</f>
        <v>349526.07999999996</v>
      </c>
    </row>
    <row r="2253" spans="1:12" x14ac:dyDescent="0.25">
      <c r="A2253" s="48" t="str">
        <f>IF(Учет!A2253&lt;&gt;"",Учет!A2253,"")</f>
        <v/>
      </c>
      <c r="B2253" s="52">
        <f>IF(Учет!$O2253=Справочники!$F$2,Учет!$H2253,0)</f>
        <v>0</v>
      </c>
      <c r="C2253" s="52">
        <f>IF(Учет!$O2253=Справочники!$F$3,Учет!$H2253,0)</f>
        <v>0</v>
      </c>
      <c r="D2253" s="52">
        <f>IF(Учет!$O2253=Справочники!$F$4,Учет!$H2253,0)</f>
        <v>0</v>
      </c>
      <c r="E2253" s="52">
        <f>IF(Учет!$O2253=Справочники!$F$5,Учет!$H2253,0)</f>
        <v>0</v>
      </c>
      <c r="F2253" s="52">
        <f>IF(Учет!$O2253=Справочники!$F$6,Учет!$H2253,0)</f>
        <v>0</v>
      </c>
      <c r="G2253" s="43">
        <f>G2252+Учет!B2253-B2253</f>
        <v>-488978.92000000004</v>
      </c>
      <c r="H2253" s="43">
        <f>H2252+Учет!C2253-C2253</f>
        <v>336855</v>
      </c>
      <c r="I2253" s="43">
        <f>I2252+Учет!D2253-D2253</f>
        <v>500</v>
      </c>
      <c r="J2253" s="43">
        <f>J2252+Учет!E2253-E2253</f>
        <v>1150</v>
      </c>
      <c r="K2253" s="43">
        <f>K2252+Учет!F2253-F2253</f>
        <v>500000</v>
      </c>
      <c r="L2253" s="45">
        <f>Учет!I2253</f>
        <v>349526.07999999996</v>
      </c>
    </row>
    <row r="2254" spans="1:12" x14ac:dyDescent="0.25">
      <c r="A2254" s="48" t="str">
        <f>IF(Учет!A2254&lt;&gt;"",Учет!A2254,"")</f>
        <v/>
      </c>
      <c r="B2254" s="52">
        <f>IF(Учет!$O2254=Справочники!$F$2,Учет!$H2254,0)</f>
        <v>0</v>
      </c>
      <c r="C2254" s="52">
        <f>IF(Учет!$O2254=Справочники!$F$3,Учет!$H2254,0)</f>
        <v>0</v>
      </c>
      <c r="D2254" s="52">
        <f>IF(Учет!$O2254=Справочники!$F$4,Учет!$H2254,0)</f>
        <v>0</v>
      </c>
      <c r="E2254" s="52">
        <f>IF(Учет!$O2254=Справочники!$F$5,Учет!$H2254,0)</f>
        <v>0</v>
      </c>
      <c r="F2254" s="52">
        <f>IF(Учет!$O2254=Справочники!$F$6,Учет!$H2254,0)</f>
        <v>0</v>
      </c>
      <c r="G2254" s="43">
        <f>G2253+Учет!B2254-B2254</f>
        <v>-488978.92000000004</v>
      </c>
      <c r="H2254" s="43">
        <f>H2253+Учет!C2254-C2254</f>
        <v>336855</v>
      </c>
      <c r="I2254" s="43">
        <f>I2253+Учет!D2254-D2254</f>
        <v>500</v>
      </c>
      <c r="J2254" s="43">
        <f>J2253+Учет!E2254-E2254</f>
        <v>1150</v>
      </c>
      <c r="K2254" s="43">
        <f>K2253+Учет!F2254-F2254</f>
        <v>500000</v>
      </c>
      <c r="L2254" s="45">
        <f>Учет!I2254</f>
        <v>349526.07999999996</v>
      </c>
    </row>
    <row r="2255" spans="1:12" x14ac:dyDescent="0.25">
      <c r="A2255" s="48" t="str">
        <f>IF(Учет!A2255&lt;&gt;"",Учет!A2255,"")</f>
        <v/>
      </c>
      <c r="B2255" s="52">
        <f>IF(Учет!$O2255=Справочники!$F$2,Учет!$H2255,0)</f>
        <v>0</v>
      </c>
      <c r="C2255" s="52">
        <f>IF(Учет!$O2255=Справочники!$F$3,Учет!$H2255,0)</f>
        <v>0</v>
      </c>
      <c r="D2255" s="52">
        <f>IF(Учет!$O2255=Справочники!$F$4,Учет!$H2255,0)</f>
        <v>0</v>
      </c>
      <c r="E2255" s="52">
        <f>IF(Учет!$O2255=Справочники!$F$5,Учет!$H2255,0)</f>
        <v>0</v>
      </c>
      <c r="F2255" s="52">
        <f>IF(Учет!$O2255=Справочники!$F$6,Учет!$H2255,0)</f>
        <v>0</v>
      </c>
      <c r="G2255" s="43">
        <f>G2254+Учет!B2255-B2255</f>
        <v>-488978.92000000004</v>
      </c>
      <c r="H2255" s="43">
        <f>H2254+Учет!C2255-C2255</f>
        <v>336855</v>
      </c>
      <c r="I2255" s="43">
        <f>I2254+Учет!D2255-D2255</f>
        <v>500</v>
      </c>
      <c r="J2255" s="43">
        <f>J2254+Учет!E2255-E2255</f>
        <v>1150</v>
      </c>
      <c r="K2255" s="43">
        <f>K2254+Учет!F2255-F2255</f>
        <v>500000</v>
      </c>
      <c r="L2255" s="45">
        <f>Учет!I2255</f>
        <v>349526.07999999996</v>
      </c>
    </row>
    <row r="2256" spans="1:12" x14ac:dyDescent="0.25">
      <c r="A2256" s="48" t="str">
        <f>IF(Учет!A2256&lt;&gt;"",Учет!A2256,"")</f>
        <v/>
      </c>
      <c r="B2256" s="52">
        <f>IF(Учет!$O2256=Справочники!$F$2,Учет!$H2256,0)</f>
        <v>0</v>
      </c>
      <c r="C2256" s="52">
        <f>IF(Учет!$O2256=Справочники!$F$3,Учет!$H2256,0)</f>
        <v>0</v>
      </c>
      <c r="D2256" s="52">
        <f>IF(Учет!$O2256=Справочники!$F$4,Учет!$H2256,0)</f>
        <v>0</v>
      </c>
      <c r="E2256" s="52">
        <f>IF(Учет!$O2256=Справочники!$F$5,Учет!$H2256,0)</f>
        <v>0</v>
      </c>
      <c r="F2256" s="52">
        <f>IF(Учет!$O2256=Справочники!$F$6,Учет!$H2256,0)</f>
        <v>0</v>
      </c>
      <c r="G2256" s="43">
        <f>G2255+Учет!B2256-B2256</f>
        <v>-488978.92000000004</v>
      </c>
      <c r="H2256" s="43">
        <f>H2255+Учет!C2256-C2256</f>
        <v>336855</v>
      </c>
      <c r="I2256" s="43">
        <f>I2255+Учет!D2256-D2256</f>
        <v>500</v>
      </c>
      <c r="J2256" s="43">
        <f>J2255+Учет!E2256-E2256</f>
        <v>1150</v>
      </c>
      <c r="K2256" s="43">
        <f>K2255+Учет!F2256-F2256</f>
        <v>500000</v>
      </c>
      <c r="L2256" s="45">
        <f>Учет!I2256</f>
        <v>349526.07999999996</v>
      </c>
    </row>
    <row r="2257" spans="1:12" x14ac:dyDescent="0.25">
      <c r="A2257" s="48" t="str">
        <f>IF(Учет!A2257&lt;&gt;"",Учет!A2257,"")</f>
        <v/>
      </c>
      <c r="B2257" s="52">
        <f>IF(Учет!$O2257=Справочники!$F$2,Учет!$H2257,0)</f>
        <v>0</v>
      </c>
      <c r="C2257" s="52">
        <f>IF(Учет!$O2257=Справочники!$F$3,Учет!$H2257,0)</f>
        <v>0</v>
      </c>
      <c r="D2257" s="52">
        <f>IF(Учет!$O2257=Справочники!$F$4,Учет!$H2257,0)</f>
        <v>0</v>
      </c>
      <c r="E2257" s="52">
        <f>IF(Учет!$O2257=Справочники!$F$5,Учет!$H2257,0)</f>
        <v>0</v>
      </c>
      <c r="F2257" s="52">
        <f>IF(Учет!$O2257=Справочники!$F$6,Учет!$H2257,0)</f>
        <v>0</v>
      </c>
      <c r="G2257" s="43">
        <f>G2256+Учет!B2257-B2257</f>
        <v>-488978.92000000004</v>
      </c>
      <c r="H2257" s="43">
        <f>H2256+Учет!C2257-C2257</f>
        <v>336855</v>
      </c>
      <c r="I2257" s="43">
        <f>I2256+Учет!D2257-D2257</f>
        <v>500</v>
      </c>
      <c r="J2257" s="43">
        <f>J2256+Учет!E2257-E2257</f>
        <v>1150</v>
      </c>
      <c r="K2257" s="43">
        <f>K2256+Учет!F2257-F2257</f>
        <v>500000</v>
      </c>
      <c r="L2257" s="45">
        <f>Учет!I2257</f>
        <v>349526.07999999996</v>
      </c>
    </row>
    <row r="2258" spans="1:12" x14ac:dyDescent="0.25">
      <c r="A2258" s="48" t="str">
        <f>IF(Учет!A2258&lt;&gt;"",Учет!A2258,"")</f>
        <v/>
      </c>
      <c r="B2258" s="52">
        <f>IF(Учет!$O2258=Справочники!$F$2,Учет!$H2258,0)</f>
        <v>0</v>
      </c>
      <c r="C2258" s="52">
        <f>IF(Учет!$O2258=Справочники!$F$3,Учет!$H2258,0)</f>
        <v>0</v>
      </c>
      <c r="D2258" s="52">
        <f>IF(Учет!$O2258=Справочники!$F$4,Учет!$H2258,0)</f>
        <v>0</v>
      </c>
      <c r="E2258" s="52">
        <f>IF(Учет!$O2258=Справочники!$F$5,Учет!$H2258,0)</f>
        <v>0</v>
      </c>
      <c r="F2258" s="52">
        <f>IF(Учет!$O2258=Справочники!$F$6,Учет!$H2258,0)</f>
        <v>0</v>
      </c>
      <c r="G2258" s="43">
        <f>G2257+Учет!B2258-B2258</f>
        <v>-488978.92000000004</v>
      </c>
      <c r="H2258" s="43">
        <f>H2257+Учет!C2258-C2258</f>
        <v>336855</v>
      </c>
      <c r="I2258" s="43">
        <f>I2257+Учет!D2258-D2258</f>
        <v>500</v>
      </c>
      <c r="J2258" s="43">
        <f>J2257+Учет!E2258-E2258</f>
        <v>1150</v>
      </c>
      <c r="K2258" s="43">
        <f>K2257+Учет!F2258-F2258</f>
        <v>500000</v>
      </c>
      <c r="L2258" s="45">
        <f>Учет!I2258</f>
        <v>349526.07999999996</v>
      </c>
    </row>
    <row r="2259" spans="1:12" x14ac:dyDescent="0.25">
      <c r="A2259" s="48" t="str">
        <f>IF(Учет!A2259&lt;&gt;"",Учет!A2259,"")</f>
        <v/>
      </c>
      <c r="B2259" s="52">
        <f>IF(Учет!$O2259=Справочники!$F$2,Учет!$H2259,0)</f>
        <v>0</v>
      </c>
      <c r="C2259" s="52">
        <f>IF(Учет!$O2259=Справочники!$F$3,Учет!$H2259,0)</f>
        <v>0</v>
      </c>
      <c r="D2259" s="52">
        <f>IF(Учет!$O2259=Справочники!$F$4,Учет!$H2259,0)</f>
        <v>0</v>
      </c>
      <c r="E2259" s="52">
        <f>IF(Учет!$O2259=Справочники!$F$5,Учет!$H2259,0)</f>
        <v>0</v>
      </c>
      <c r="F2259" s="52">
        <f>IF(Учет!$O2259=Справочники!$F$6,Учет!$H2259,0)</f>
        <v>0</v>
      </c>
      <c r="G2259" s="43">
        <f>G2258+Учет!B2259-B2259</f>
        <v>-488978.92000000004</v>
      </c>
      <c r="H2259" s="43">
        <f>H2258+Учет!C2259-C2259</f>
        <v>336855</v>
      </c>
      <c r="I2259" s="43">
        <f>I2258+Учет!D2259-D2259</f>
        <v>500</v>
      </c>
      <c r="J2259" s="43">
        <f>J2258+Учет!E2259-E2259</f>
        <v>1150</v>
      </c>
      <c r="K2259" s="43">
        <f>K2258+Учет!F2259-F2259</f>
        <v>500000</v>
      </c>
      <c r="L2259" s="45">
        <f>Учет!I2259</f>
        <v>349526.07999999996</v>
      </c>
    </row>
    <row r="2260" spans="1:12" x14ac:dyDescent="0.25">
      <c r="A2260" s="48" t="str">
        <f>IF(Учет!A2260&lt;&gt;"",Учет!A2260,"")</f>
        <v/>
      </c>
      <c r="B2260" s="52">
        <f>IF(Учет!$O2260=Справочники!$F$2,Учет!$H2260,0)</f>
        <v>0</v>
      </c>
      <c r="C2260" s="52">
        <f>IF(Учет!$O2260=Справочники!$F$3,Учет!$H2260,0)</f>
        <v>0</v>
      </c>
      <c r="D2260" s="52">
        <f>IF(Учет!$O2260=Справочники!$F$4,Учет!$H2260,0)</f>
        <v>0</v>
      </c>
      <c r="E2260" s="52">
        <f>IF(Учет!$O2260=Справочники!$F$5,Учет!$H2260,0)</f>
        <v>0</v>
      </c>
      <c r="F2260" s="52">
        <f>IF(Учет!$O2260=Справочники!$F$6,Учет!$H2260,0)</f>
        <v>0</v>
      </c>
      <c r="G2260" s="43">
        <f>G2259+Учет!B2260-B2260</f>
        <v>-488978.92000000004</v>
      </c>
      <c r="H2260" s="43">
        <f>H2259+Учет!C2260-C2260</f>
        <v>336855</v>
      </c>
      <c r="I2260" s="43">
        <f>I2259+Учет!D2260-D2260</f>
        <v>500</v>
      </c>
      <c r="J2260" s="43">
        <f>J2259+Учет!E2260-E2260</f>
        <v>1150</v>
      </c>
      <c r="K2260" s="43">
        <f>K2259+Учет!F2260-F2260</f>
        <v>500000</v>
      </c>
      <c r="L2260" s="45">
        <f>Учет!I2260</f>
        <v>349526.07999999996</v>
      </c>
    </row>
    <row r="2261" spans="1:12" x14ac:dyDescent="0.25">
      <c r="A2261" s="48" t="str">
        <f>IF(Учет!A2261&lt;&gt;"",Учет!A2261,"")</f>
        <v/>
      </c>
      <c r="B2261" s="52">
        <f>IF(Учет!$O2261=Справочники!$F$2,Учет!$H2261,0)</f>
        <v>0</v>
      </c>
      <c r="C2261" s="52">
        <f>IF(Учет!$O2261=Справочники!$F$3,Учет!$H2261,0)</f>
        <v>0</v>
      </c>
      <c r="D2261" s="52">
        <f>IF(Учет!$O2261=Справочники!$F$4,Учет!$H2261,0)</f>
        <v>0</v>
      </c>
      <c r="E2261" s="52">
        <f>IF(Учет!$O2261=Справочники!$F$5,Учет!$H2261,0)</f>
        <v>0</v>
      </c>
      <c r="F2261" s="52">
        <f>IF(Учет!$O2261=Справочники!$F$6,Учет!$H2261,0)</f>
        <v>0</v>
      </c>
      <c r="G2261" s="43">
        <f>G2260+Учет!B2261-B2261</f>
        <v>-488978.92000000004</v>
      </c>
      <c r="H2261" s="43">
        <f>H2260+Учет!C2261-C2261</f>
        <v>336855</v>
      </c>
      <c r="I2261" s="43">
        <f>I2260+Учет!D2261-D2261</f>
        <v>500</v>
      </c>
      <c r="J2261" s="43">
        <f>J2260+Учет!E2261-E2261</f>
        <v>1150</v>
      </c>
      <c r="K2261" s="43">
        <f>K2260+Учет!F2261-F2261</f>
        <v>500000</v>
      </c>
      <c r="L2261" s="45">
        <f>Учет!I2261</f>
        <v>349526.07999999996</v>
      </c>
    </row>
    <row r="2262" spans="1:12" x14ac:dyDescent="0.25">
      <c r="A2262" s="48" t="str">
        <f>IF(Учет!A2262&lt;&gt;"",Учет!A2262,"")</f>
        <v/>
      </c>
      <c r="B2262" s="52">
        <f>IF(Учет!$O2262=Справочники!$F$2,Учет!$H2262,0)</f>
        <v>0</v>
      </c>
      <c r="C2262" s="52">
        <f>IF(Учет!$O2262=Справочники!$F$3,Учет!$H2262,0)</f>
        <v>0</v>
      </c>
      <c r="D2262" s="52">
        <f>IF(Учет!$O2262=Справочники!$F$4,Учет!$H2262,0)</f>
        <v>0</v>
      </c>
      <c r="E2262" s="52">
        <f>IF(Учет!$O2262=Справочники!$F$5,Учет!$H2262,0)</f>
        <v>0</v>
      </c>
      <c r="F2262" s="52">
        <f>IF(Учет!$O2262=Справочники!$F$6,Учет!$H2262,0)</f>
        <v>0</v>
      </c>
      <c r="G2262" s="43">
        <f>G2261+Учет!B2262-B2262</f>
        <v>-488978.92000000004</v>
      </c>
      <c r="H2262" s="43">
        <f>H2261+Учет!C2262-C2262</f>
        <v>336855</v>
      </c>
      <c r="I2262" s="43">
        <f>I2261+Учет!D2262-D2262</f>
        <v>500</v>
      </c>
      <c r="J2262" s="43">
        <f>J2261+Учет!E2262-E2262</f>
        <v>1150</v>
      </c>
      <c r="K2262" s="43">
        <f>K2261+Учет!F2262-F2262</f>
        <v>500000</v>
      </c>
      <c r="L2262" s="45">
        <f>Учет!I2262</f>
        <v>349526.07999999996</v>
      </c>
    </row>
    <row r="2263" spans="1:12" x14ac:dyDescent="0.25">
      <c r="A2263" s="48" t="str">
        <f>IF(Учет!A2263&lt;&gt;"",Учет!A2263,"")</f>
        <v/>
      </c>
      <c r="B2263" s="52">
        <f>IF(Учет!$O2263=Справочники!$F$2,Учет!$H2263,0)</f>
        <v>0</v>
      </c>
      <c r="C2263" s="52">
        <f>IF(Учет!$O2263=Справочники!$F$3,Учет!$H2263,0)</f>
        <v>0</v>
      </c>
      <c r="D2263" s="52">
        <f>IF(Учет!$O2263=Справочники!$F$4,Учет!$H2263,0)</f>
        <v>0</v>
      </c>
      <c r="E2263" s="52">
        <f>IF(Учет!$O2263=Справочники!$F$5,Учет!$H2263,0)</f>
        <v>0</v>
      </c>
      <c r="F2263" s="52">
        <f>IF(Учет!$O2263=Справочники!$F$6,Учет!$H2263,0)</f>
        <v>0</v>
      </c>
      <c r="G2263" s="43">
        <f>G2262+Учет!B2263-B2263</f>
        <v>-488978.92000000004</v>
      </c>
      <c r="H2263" s="43">
        <f>H2262+Учет!C2263-C2263</f>
        <v>336855</v>
      </c>
      <c r="I2263" s="43">
        <f>I2262+Учет!D2263-D2263</f>
        <v>500</v>
      </c>
      <c r="J2263" s="43">
        <f>J2262+Учет!E2263-E2263</f>
        <v>1150</v>
      </c>
      <c r="K2263" s="43">
        <f>K2262+Учет!F2263-F2263</f>
        <v>500000</v>
      </c>
      <c r="L2263" s="45">
        <f>Учет!I2263</f>
        <v>349526.07999999996</v>
      </c>
    </row>
    <row r="2264" spans="1:12" x14ac:dyDescent="0.25">
      <c r="A2264" s="48" t="str">
        <f>IF(Учет!A2264&lt;&gt;"",Учет!A2264,"")</f>
        <v/>
      </c>
      <c r="B2264" s="52">
        <f>IF(Учет!$O2264=Справочники!$F$2,Учет!$H2264,0)</f>
        <v>0</v>
      </c>
      <c r="C2264" s="52">
        <f>IF(Учет!$O2264=Справочники!$F$3,Учет!$H2264,0)</f>
        <v>0</v>
      </c>
      <c r="D2264" s="52">
        <f>IF(Учет!$O2264=Справочники!$F$4,Учет!$H2264,0)</f>
        <v>0</v>
      </c>
      <c r="E2264" s="52">
        <f>IF(Учет!$O2264=Справочники!$F$5,Учет!$H2264,0)</f>
        <v>0</v>
      </c>
      <c r="F2264" s="52">
        <f>IF(Учет!$O2264=Справочники!$F$6,Учет!$H2264,0)</f>
        <v>0</v>
      </c>
      <c r="G2264" s="43">
        <f>G2263+Учет!B2264-B2264</f>
        <v>-488978.92000000004</v>
      </c>
      <c r="H2264" s="43">
        <f>H2263+Учет!C2264-C2264</f>
        <v>336855</v>
      </c>
      <c r="I2264" s="43">
        <f>I2263+Учет!D2264-D2264</f>
        <v>500</v>
      </c>
      <c r="J2264" s="43">
        <f>J2263+Учет!E2264-E2264</f>
        <v>1150</v>
      </c>
      <c r="K2264" s="43">
        <f>K2263+Учет!F2264-F2264</f>
        <v>500000</v>
      </c>
      <c r="L2264" s="45">
        <f>Учет!I2264</f>
        <v>349526.07999999996</v>
      </c>
    </row>
    <row r="2265" spans="1:12" x14ac:dyDescent="0.25">
      <c r="A2265" s="48" t="str">
        <f>IF(Учет!A2265&lt;&gt;"",Учет!A2265,"")</f>
        <v/>
      </c>
      <c r="B2265" s="52">
        <f>IF(Учет!$O2265=Справочники!$F$2,Учет!$H2265,0)</f>
        <v>0</v>
      </c>
      <c r="C2265" s="52">
        <f>IF(Учет!$O2265=Справочники!$F$3,Учет!$H2265,0)</f>
        <v>0</v>
      </c>
      <c r="D2265" s="52">
        <f>IF(Учет!$O2265=Справочники!$F$4,Учет!$H2265,0)</f>
        <v>0</v>
      </c>
      <c r="E2265" s="52">
        <f>IF(Учет!$O2265=Справочники!$F$5,Учет!$H2265,0)</f>
        <v>0</v>
      </c>
      <c r="F2265" s="52">
        <f>IF(Учет!$O2265=Справочники!$F$6,Учет!$H2265,0)</f>
        <v>0</v>
      </c>
      <c r="G2265" s="43">
        <f>G2264+Учет!B2265-B2265</f>
        <v>-488978.92000000004</v>
      </c>
      <c r="H2265" s="43">
        <f>H2264+Учет!C2265-C2265</f>
        <v>336855</v>
      </c>
      <c r="I2265" s="43">
        <f>I2264+Учет!D2265-D2265</f>
        <v>500</v>
      </c>
      <c r="J2265" s="43">
        <f>J2264+Учет!E2265-E2265</f>
        <v>1150</v>
      </c>
      <c r="K2265" s="43">
        <f>K2264+Учет!F2265-F2265</f>
        <v>500000</v>
      </c>
      <c r="L2265" s="45">
        <f>Учет!I2265</f>
        <v>349526.07999999996</v>
      </c>
    </row>
    <row r="2266" spans="1:12" x14ac:dyDescent="0.25">
      <c r="A2266" s="48" t="str">
        <f>IF(Учет!A2266&lt;&gt;"",Учет!A2266,"")</f>
        <v/>
      </c>
      <c r="B2266" s="52">
        <f>IF(Учет!$O2266=Справочники!$F$2,Учет!$H2266,0)</f>
        <v>0</v>
      </c>
      <c r="C2266" s="52">
        <f>IF(Учет!$O2266=Справочники!$F$3,Учет!$H2266,0)</f>
        <v>0</v>
      </c>
      <c r="D2266" s="52">
        <f>IF(Учет!$O2266=Справочники!$F$4,Учет!$H2266,0)</f>
        <v>0</v>
      </c>
      <c r="E2266" s="52">
        <f>IF(Учет!$O2266=Справочники!$F$5,Учет!$H2266,0)</f>
        <v>0</v>
      </c>
      <c r="F2266" s="52">
        <f>IF(Учет!$O2266=Справочники!$F$6,Учет!$H2266,0)</f>
        <v>0</v>
      </c>
      <c r="G2266" s="43">
        <f>G2265+Учет!B2266-B2266</f>
        <v>-488978.92000000004</v>
      </c>
      <c r="H2266" s="43">
        <f>H2265+Учет!C2266-C2266</f>
        <v>336855</v>
      </c>
      <c r="I2266" s="43">
        <f>I2265+Учет!D2266-D2266</f>
        <v>500</v>
      </c>
      <c r="J2266" s="43">
        <f>J2265+Учет!E2266-E2266</f>
        <v>1150</v>
      </c>
      <c r="K2266" s="43">
        <f>K2265+Учет!F2266-F2266</f>
        <v>500000</v>
      </c>
      <c r="L2266" s="45">
        <f>Учет!I2266</f>
        <v>349526.07999999996</v>
      </c>
    </row>
    <row r="2267" spans="1:12" x14ac:dyDescent="0.25">
      <c r="A2267" s="48" t="str">
        <f>IF(Учет!A2267&lt;&gt;"",Учет!A2267,"")</f>
        <v/>
      </c>
      <c r="B2267" s="52">
        <f>IF(Учет!$O2267=Справочники!$F$2,Учет!$H2267,0)</f>
        <v>0</v>
      </c>
      <c r="C2267" s="52">
        <f>IF(Учет!$O2267=Справочники!$F$3,Учет!$H2267,0)</f>
        <v>0</v>
      </c>
      <c r="D2267" s="52">
        <f>IF(Учет!$O2267=Справочники!$F$4,Учет!$H2267,0)</f>
        <v>0</v>
      </c>
      <c r="E2267" s="52">
        <f>IF(Учет!$O2267=Справочники!$F$5,Учет!$H2267,0)</f>
        <v>0</v>
      </c>
      <c r="F2267" s="52">
        <f>IF(Учет!$O2267=Справочники!$F$6,Учет!$H2267,0)</f>
        <v>0</v>
      </c>
      <c r="G2267" s="43">
        <f>G2266+Учет!B2267-B2267</f>
        <v>-488978.92000000004</v>
      </c>
      <c r="H2267" s="43">
        <f>H2266+Учет!C2267-C2267</f>
        <v>336855</v>
      </c>
      <c r="I2267" s="43">
        <f>I2266+Учет!D2267-D2267</f>
        <v>500</v>
      </c>
      <c r="J2267" s="43">
        <f>J2266+Учет!E2267-E2267</f>
        <v>1150</v>
      </c>
      <c r="K2267" s="43">
        <f>K2266+Учет!F2267-F2267</f>
        <v>500000</v>
      </c>
      <c r="L2267" s="45">
        <f>Учет!I2267</f>
        <v>349526.07999999996</v>
      </c>
    </row>
    <row r="2268" spans="1:12" x14ac:dyDescent="0.25">
      <c r="A2268" s="48" t="str">
        <f>IF(Учет!A2268&lt;&gt;"",Учет!A2268,"")</f>
        <v/>
      </c>
      <c r="B2268" s="52">
        <f>IF(Учет!$O2268=Справочники!$F$2,Учет!$H2268,0)</f>
        <v>0</v>
      </c>
      <c r="C2268" s="52">
        <f>IF(Учет!$O2268=Справочники!$F$3,Учет!$H2268,0)</f>
        <v>0</v>
      </c>
      <c r="D2268" s="52">
        <f>IF(Учет!$O2268=Справочники!$F$4,Учет!$H2268,0)</f>
        <v>0</v>
      </c>
      <c r="E2268" s="52">
        <f>IF(Учет!$O2268=Справочники!$F$5,Учет!$H2268,0)</f>
        <v>0</v>
      </c>
      <c r="F2268" s="52">
        <f>IF(Учет!$O2268=Справочники!$F$6,Учет!$H2268,0)</f>
        <v>0</v>
      </c>
      <c r="G2268" s="43">
        <f>G2267+Учет!B2268-B2268</f>
        <v>-488978.92000000004</v>
      </c>
      <c r="H2268" s="43">
        <f>H2267+Учет!C2268-C2268</f>
        <v>336855</v>
      </c>
      <c r="I2268" s="43">
        <f>I2267+Учет!D2268-D2268</f>
        <v>500</v>
      </c>
      <c r="J2268" s="43">
        <f>J2267+Учет!E2268-E2268</f>
        <v>1150</v>
      </c>
      <c r="K2268" s="43">
        <f>K2267+Учет!F2268-F2268</f>
        <v>500000</v>
      </c>
      <c r="L2268" s="45">
        <f>Учет!I2268</f>
        <v>349526.07999999996</v>
      </c>
    </row>
    <row r="2269" spans="1:12" x14ac:dyDescent="0.25">
      <c r="A2269" s="48" t="str">
        <f>IF(Учет!A2269&lt;&gt;"",Учет!A2269,"")</f>
        <v/>
      </c>
      <c r="B2269" s="52">
        <f>IF(Учет!$O2269=Справочники!$F$2,Учет!$H2269,0)</f>
        <v>0</v>
      </c>
      <c r="C2269" s="52">
        <f>IF(Учет!$O2269=Справочники!$F$3,Учет!$H2269,0)</f>
        <v>0</v>
      </c>
      <c r="D2269" s="52">
        <f>IF(Учет!$O2269=Справочники!$F$4,Учет!$H2269,0)</f>
        <v>0</v>
      </c>
      <c r="E2269" s="52">
        <f>IF(Учет!$O2269=Справочники!$F$5,Учет!$H2269,0)</f>
        <v>0</v>
      </c>
      <c r="F2269" s="52">
        <f>IF(Учет!$O2269=Справочники!$F$6,Учет!$H2269,0)</f>
        <v>0</v>
      </c>
      <c r="G2269" s="43">
        <f>G2268+Учет!B2269-B2269</f>
        <v>-488978.92000000004</v>
      </c>
      <c r="H2269" s="43">
        <f>H2268+Учет!C2269-C2269</f>
        <v>336855</v>
      </c>
      <c r="I2269" s="43">
        <f>I2268+Учет!D2269-D2269</f>
        <v>500</v>
      </c>
      <c r="J2269" s="43">
        <f>J2268+Учет!E2269-E2269</f>
        <v>1150</v>
      </c>
      <c r="K2269" s="43">
        <f>K2268+Учет!F2269-F2269</f>
        <v>500000</v>
      </c>
      <c r="L2269" s="45">
        <f>Учет!I2269</f>
        <v>349526.07999999996</v>
      </c>
    </row>
    <row r="2270" spans="1:12" x14ac:dyDescent="0.25">
      <c r="A2270" s="48" t="str">
        <f>IF(Учет!A2270&lt;&gt;"",Учет!A2270,"")</f>
        <v/>
      </c>
      <c r="B2270" s="52">
        <f>IF(Учет!$O2270=Справочники!$F$2,Учет!$H2270,0)</f>
        <v>0</v>
      </c>
      <c r="C2270" s="52">
        <f>IF(Учет!$O2270=Справочники!$F$3,Учет!$H2270,0)</f>
        <v>0</v>
      </c>
      <c r="D2270" s="52">
        <f>IF(Учет!$O2270=Справочники!$F$4,Учет!$H2270,0)</f>
        <v>0</v>
      </c>
      <c r="E2270" s="52">
        <f>IF(Учет!$O2270=Справочники!$F$5,Учет!$H2270,0)</f>
        <v>0</v>
      </c>
      <c r="F2270" s="52">
        <f>IF(Учет!$O2270=Справочники!$F$6,Учет!$H2270,0)</f>
        <v>0</v>
      </c>
      <c r="G2270" s="43">
        <f>G2269+Учет!B2270-B2270</f>
        <v>-488978.92000000004</v>
      </c>
      <c r="H2270" s="43">
        <f>H2269+Учет!C2270-C2270</f>
        <v>336855</v>
      </c>
      <c r="I2270" s="43">
        <f>I2269+Учет!D2270-D2270</f>
        <v>500</v>
      </c>
      <c r="J2270" s="43">
        <f>J2269+Учет!E2270-E2270</f>
        <v>1150</v>
      </c>
      <c r="K2270" s="43">
        <f>K2269+Учет!F2270-F2270</f>
        <v>500000</v>
      </c>
      <c r="L2270" s="45">
        <f>Учет!I2270</f>
        <v>349526.07999999996</v>
      </c>
    </row>
    <row r="2271" spans="1:12" x14ac:dyDescent="0.25">
      <c r="A2271" s="48" t="str">
        <f>IF(Учет!A2271&lt;&gt;"",Учет!A2271,"")</f>
        <v/>
      </c>
      <c r="B2271" s="52">
        <f>IF(Учет!$O2271=Справочники!$F$2,Учет!$H2271,0)</f>
        <v>0</v>
      </c>
      <c r="C2271" s="52">
        <f>IF(Учет!$O2271=Справочники!$F$3,Учет!$H2271,0)</f>
        <v>0</v>
      </c>
      <c r="D2271" s="52">
        <f>IF(Учет!$O2271=Справочники!$F$4,Учет!$H2271,0)</f>
        <v>0</v>
      </c>
      <c r="E2271" s="52">
        <f>IF(Учет!$O2271=Справочники!$F$5,Учет!$H2271,0)</f>
        <v>0</v>
      </c>
      <c r="F2271" s="52">
        <f>IF(Учет!$O2271=Справочники!$F$6,Учет!$H2271,0)</f>
        <v>0</v>
      </c>
      <c r="G2271" s="43">
        <f>G2270+Учет!B2271-B2271</f>
        <v>-488978.92000000004</v>
      </c>
      <c r="H2271" s="43">
        <f>H2270+Учет!C2271-C2271</f>
        <v>336855</v>
      </c>
      <c r="I2271" s="43">
        <f>I2270+Учет!D2271-D2271</f>
        <v>500</v>
      </c>
      <c r="J2271" s="43">
        <f>J2270+Учет!E2271-E2271</f>
        <v>1150</v>
      </c>
      <c r="K2271" s="43">
        <f>K2270+Учет!F2271-F2271</f>
        <v>500000</v>
      </c>
      <c r="L2271" s="45">
        <f>Учет!I2271</f>
        <v>349526.07999999996</v>
      </c>
    </row>
    <row r="2272" spans="1:12" x14ac:dyDescent="0.25">
      <c r="A2272" s="48" t="str">
        <f>IF(Учет!A2272&lt;&gt;"",Учет!A2272,"")</f>
        <v/>
      </c>
      <c r="B2272" s="52">
        <f>IF(Учет!$O2272=Справочники!$F$2,Учет!$H2272,0)</f>
        <v>0</v>
      </c>
      <c r="C2272" s="52">
        <f>IF(Учет!$O2272=Справочники!$F$3,Учет!$H2272,0)</f>
        <v>0</v>
      </c>
      <c r="D2272" s="52">
        <f>IF(Учет!$O2272=Справочники!$F$4,Учет!$H2272,0)</f>
        <v>0</v>
      </c>
      <c r="E2272" s="52">
        <f>IF(Учет!$O2272=Справочники!$F$5,Учет!$H2272,0)</f>
        <v>0</v>
      </c>
      <c r="F2272" s="52">
        <f>IF(Учет!$O2272=Справочники!$F$6,Учет!$H2272,0)</f>
        <v>0</v>
      </c>
      <c r="G2272" s="43">
        <f>G2271+Учет!B2272-B2272</f>
        <v>-488978.92000000004</v>
      </c>
      <c r="H2272" s="43">
        <f>H2271+Учет!C2272-C2272</f>
        <v>336855</v>
      </c>
      <c r="I2272" s="43">
        <f>I2271+Учет!D2272-D2272</f>
        <v>500</v>
      </c>
      <c r="J2272" s="43">
        <f>J2271+Учет!E2272-E2272</f>
        <v>1150</v>
      </c>
      <c r="K2272" s="43">
        <f>K2271+Учет!F2272-F2272</f>
        <v>500000</v>
      </c>
      <c r="L2272" s="45">
        <f>Учет!I2272</f>
        <v>349526.07999999996</v>
      </c>
    </row>
    <row r="2273" spans="1:12" x14ac:dyDescent="0.25">
      <c r="A2273" s="48" t="str">
        <f>IF(Учет!A2273&lt;&gt;"",Учет!A2273,"")</f>
        <v/>
      </c>
      <c r="B2273" s="52">
        <f>IF(Учет!$O2273=Справочники!$F$2,Учет!$H2273,0)</f>
        <v>0</v>
      </c>
      <c r="C2273" s="52">
        <f>IF(Учет!$O2273=Справочники!$F$3,Учет!$H2273,0)</f>
        <v>0</v>
      </c>
      <c r="D2273" s="52">
        <f>IF(Учет!$O2273=Справочники!$F$4,Учет!$H2273,0)</f>
        <v>0</v>
      </c>
      <c r="E2273" s="52">
        <f>IF(Учет!$O2273=Справочники!$F$5,Учет!$H2273,0)</f>
        <v>0</v>
      </c>
      <c r="F2273" s="52">
        <f>IF(Учет!$O2273=Справочники!$F$6,Учет!$H2273,0)</f>
        <v>0</v>
      </c>
      <c r="G2273" s="43">
        <f>G2272+Учет!B2273-B2273</f>
        <v>-488978.92000000004</v>
      </c>
      <c r="H2273" s="43">
        <f>H2272+Учет!C2273-C2273</f>
        <v>336855</v>
      </c>
      <c r="I2273" s="43">
        <f>I2272+Учет!D2273-D2273</f>
        <v>500</v>
      </c>
      <c r="J2273" s="43">
        <f>J2272+Учет!E2273-E2273</f>
        <v>1150</v>
      </c>
      <c r="K2273" s="43">
        <f>K2272+Учет!F2273-F2273</f>
        <v>500000</v>
      </c>
      <c r="L2273" s="45">
        <f>Учет!I2273</f>
        <v>349526.07999999996</v>
      </c>
    </row>
    <row r="2274" spans="1:12" x14ac:dyDescent="0.25">
      <c r="A2274" s="48" t="str">
        <f>IF(Учет!A2274&lt;&gt;"",Учет!A2274,"")</f>
        <v/>
      </c>
      <c r="B2274" s="52">
        <f>IF(Учет!$O2274=Справочники!$F$2,Учет!$H2274,0)</f>
        <v>0</v>
      </c>
      <c r="C2274" s="52">
        <f>IF(Учет!$O2274=Справочники!$F$3,Учет!$H2274,0)</f>
        <v>0</v>
      </c>
      <c r="D2274" s="52">
        <f>IF(Учет!$O2274=Справочники!$F$4,Учет!$H2274,0)</f>
        <v>0</v>
      </c>
      <c r="E2274" s="52">
        <f>IF(Учет!$O2274=Справочники!$F$5,Учет!$H2274,0)</f>
        <v>0</v>
      </c>
      <c r="F2274" s="52">
        <f>IF(Учет!$O2274=Справочники!$F$6,Учет!$H2274,0)</f>
        <v>0</v>
      </c>
      <c r="G2274" s="43">
        <f>G2273+Учет!B2274-B2274</f>
        <v>-488978.92000000004</v>
      </c>
      <c r="H2274" s="43">
        <f>H2273+Учет!C2274-C2274</f>
        <v>336855</v>
      </c>
      <c r="I2274" s="43">
        <f>I2273+Учет!D2274-D2274</f>
        <v>500</v>
      </c>
      <c r="J2274" s="43">
        <f>J2273+Учет!E2274-E2274</f>
        <v>1150</v>
      </c>
      <c r="K2274" s="43">
        <f>K2273+Учет!F2274-F2274</f>
        <v>500000</v>
      </c>
      <c r="L2274" s="45">
        <f>Учет!I2274</f>
        <v>349526.07999999996</v>
      </c>
    </row>
    <row r="2275" spans="1:12" x14ac:dyDescent="0.25">
      <c r="A2275" s="48" t="str">
        <f>IF(Учет!A2275&lt;&gt;"",Учет!A2275,"")</f>
        <v/>
      </c>
      <c r="B2275" s="52">
        <f>IF(Учет!$O2275=Справочники!$F$2,Учет!$H2275,0)</f>
        <v>0</v>
      </c>
      <c r="C2275" s="52">
        <f>IF(Учет!$O2275=Справочники!$F$3,Учет!$H2275,0)</f>
        <v>0</v>
      </c>
      <c r="D2275" s="52">
        <f>IF(Учет!$O2275=Справочники!$F$4,Учет!$H2275,0)</f>
        <v>0</v>
      </c>
      <c r="E2275" s="52">
        <f>IF(Учет!$O2275=Справочники!$F$5,Учет!$H2275,0)</f>
        <v>0</v>
      </c>
      <c r="F2275" s="52">
        <f>IF(Учет!$O2275=Справочники!$F$6,Учет!$H2275,0)</f>
        <v>0</v>
      </c>
      <c r="G2275" s="43">
        <f>G2274+Учет!B2275-B2275</f>
        <v>-488978.92000000004</v>
      </c>
      <c r="H2275" s="43">
        <f>H2274+Учет!C2275-C2275</f>
        <v>336855</v>
      </c>
      <c r="I2275" s="43">
        <f>I2274+Учет!D2275-D2275</f>
        <v>500</v>
      </c>
      <c r="J2275" s="43">
        <f>J2274+Учет!E2275-E2275</f>
        <v>1150</v>
      </c>
      <c r="K2275" s="43">
        <f>K2274+Учет!F2275-F2275</f>
        <v>500000</v>
      </c>
      <c r="L2275" s="45">
        <f>Учет!I2275</f>
        <v>349526.07999999996</v>
      </c>
    </row>
    <row r="2276" spans="1:12" x14ac:dyDescent="0.25">
      <c r="A2276" s="48" t="str">
        <f>IF(Учет!A2276&lt;&gt;"",Учет!A2276,"")</f>
        <v/>
      </c>
      <c r="B2276" s="52">
        <f>IF(Учет!$O2276=Справочники!$F$2,Учет!$H2276,0)</f>
        <v>0</v>
      </c>
      <c r="C2276" s="52">
        <f>IF(Учет!$O2276=Справочники!$F$3,Учет!$H2276,0)</f>
        <v>0</v>
      </c>
      <c r="D2276" s="52">
        <f>IF(Учет!$O2276=Справочники!$F$4,Учет!$H2276,0)</f>
        <v>0</v>
      </c>
      <c r="E2276" s="52">
        <f>IF(Учет!$O2276=Справочники!$F$5,Учет!$H2276,0)</f>
        <v>0</v>
      </c>
      <c r="F2276" s="52">
        <f>IF(Учет!$O2276=Справочники!$F$6,Учет!$H2276,0)</f>
        <v>0</v>
      </c>
      <c r="G2276" s="43">
        <f>G2275+Учет!B2276-B2276</f>
        <v>-488978.92000000004</v>
      </c>
      <c r="H2276" s="43">
        <f>H2275+Учет!C2276-C2276</f>
        <v>336855</v>
      </c>
      <c r="I2276" s="43">
        <f>I2275+Учет!D2276-D2276</f>
        <v>500</v>
      </c>
      <c r="J2276" s="43">
        <f>J2275+Учет!E2276-E2276</f>
        <v>1150</v>
      </c>
      <c r="K2276" s="43">
        <f>K2275+Учет!F2276-F2276</f>
        <v>500000</v>
      </c>
      <c r="L2276" s="45">
        <f>Учет!I2276</f>
        <v>349526.07999999996</v>
      </c>
    </row>
    <row r="2277" spans="1:12" x14ac:dyDescent="0.25">
      <c r="A2277" s="48" t="str">
        <f>IF(Учет!A2277&lt;&gt;"",Учет!A2277,"")</f>
        <v/>
      </c>
      <c r="B2277" s="52">
        <f>IF(Учет!$O2277=Справочники!$F$2,Учет!$H2277,0)</f>
        <v>0</v>
      </c>
      <c r="C2277" s="52">
        <f>IF(Учет!$O2277=Справочники!$F$3,Учет!$H2277,0)</f>
        <v>0</v>
      </c>
      <c r="D2277" s="52">
        <f>IF(Учет!$O2277=Справочники!$F$4,Учет!$H2277,0)</f>
        <v>0</v>
      </c>
      <c r="E2277" s="52">
        <f>IF(Учет!$O2277=Справочники!$F$5,Учет!$H2277,0)</f>
        <v>0</v>
      </c>
      <c r="F2277" s="52">
        <f>IF(Учет!$O2277=Справочники!$F$6,Учет!$H2277,0)</f>
        <v>0</v>
      </c>
      <c r="G2277" s="43">
        <f>G2276+Учет!B2277-B2277</f>
        <v>-488978.92000000004</v>
      </c>
      <c r="H2277" s="43">
        <f>H2276+Учет!C2277-C2277</f>
        <v>336855</v>
      </c>
      <c r="I2277" s="43">
        <f>I2276+Учет!D2277-D2277</f>
        <v>500</v>
      </c>
      <c r="J2277" s="43">
        <f>J2276+Учет!E2277-E2277</f>
        <v>1150</v>
      </c>
      <c r="K2277" s="43">
        <f>K2276+Учет!F2277-F2277</f>
        <v>500000</v>
      </c>
      <c r="L2277" s="45">
        <f>Учет!I2277</f>
        <v>349526.07999999996</v>
      </c>
    </row>
    <row r="2278" spans="1:12" x14ac:dyDescent="0.25">
      <c r="A2278" s="48" t="str">
        <f>IF(Учет!A2278&lt;&gt;"",Учет!A2278,"")</f>
        <v/>
      </c>
      <c r="B2278" s="52">
        <f>IF(Учет!$O2278=Справочники!$F$2,Учет!$H2278,0)</f>
        <v>0</v>
      </c>
      <c r="C2278" s="52">
        <f>IF(Учет!$O2278=Справочники!$F$3,Учет!$H2278,0)</f>
        <v>0</v>
      </c>
      <c r="D2278" s="52">
        <f>IF(Учет!$O2278=Справочники!$F$4,Учет!$H2278,0)</f>
        <v>0</v>
      </c>
      <c r="E2278" s="52">
        <f>IF(Учет!$O2278=Справочники!$F$5,Учет!$H2278,0)</f>
        <v>0</v>
      </c>
      <c r="F2278" s="52">
        <f>IF(Учет!$O2278=Справочники!$F$6,Учет!$H2278,0)</f>
        <v>0</v>
      </c>
      <c r="G2278" s="43">
        <f>G2277+Учет!B2278-B2278</f>
        <v>-488978.92000000004</v>
      </c>
      <c r="H2278" s="43">
        <f>H2277+Учет!C2278-C2278</f>
        <v>336855</v>
      </c>
      <c r="I2278" s="43">
        <f>I2277+Учет!D2278-D2278</f>
        <v>500</v>
      </c>
      <c r="J2278" s="43">
        <f>J2277+Учет!E2278-E2278</f>
        <v>1150</v>
      </c>
      <c r="K2278" s="43">
        <f>K2277+Учет!F2278-F2278</f>
        <v>500000</v>
      </c>
      <c r="L2278" s="45">
        <f>Учет!I2278</f>
        <v>349526.07999999996</v>
      </c>
    </row>
    <row r="2279" spans="1:12" x14ac:dyDescent="0.25">
      <c r="A2279" s="48" t="str">
        <f>IF(Учет!A2279&lt;&gt;"",Учет!A2279,"")</f>
        <v/>
      </c>
      <c r="B2279" s="52">
        <f>IF(Учет!$O2279=Справочники!$F$2,Учет!$H2279,0)</f>
        <v>0</v>
      </c>
      <c r="C2279" s="52">
        <f>IF(Учет!$O2279=Справочники!$F$3,Учет!$H2279,0)</f>
        <v>0</v>
      </c>
      <c r="D2279" s="52">
        <f>IF(Учет!$O2279=Справочники!$F$4,Учет!$H2279,0)</f>
        <v>0</v>
      </c>
      <c r="E2279" s="52">
        <f>IF(Учет!$O2279=Справочники!$F$5,Учет!$H2279,0)</f>
        <v>0</v>
      </c>
      <c r="F2279" s="52">
        <f>IF(Учет!$O2279=Справочники!$F$6,Учет!$H2279,0)</f>
        <v>0</v>
      </c>
      <c r="G2279" s="43">
        <f>G2278+Учет!B2279-B2279</f>
        <v>-488978.92000000004</v>
      </c>
      <c r="H2279" s="43">
        <f>H2278+Учет!C2279-C2279</f>
        <v>336855</v>
      </c>
      <c r="I2279" s="43">
        <f>I2278+Учет!D2279-D2279</f>
        <v>500</v>
      </c>
      <c r="J2279" s="43">
        <f>J2278+Учет!E2279-E2279</f>
        <v>1150</v>
      </c>
      <c r="K2279" s="43">
        <f>K2278+Учет!F2279-F2279</f>
        <v>500000</v>
      </c>
      <c r="L2279" s="45">
        <f>Учет!I2279</f>
        <v>349526.07999999996</v>
      </c>
    </row>
    <row r="2280" spans="1:12" x14ac:dyDescent="0.25">
      <c r="A2280" s="48" t="str">
        <f>IF(Учет!A2280&lt;&gt;"",Учет!A2280,"")</f>
        <v/>
      </c>
      <c r="B2280" s="52">
        <f>IF(Учет!$O2280=Справочники!$F$2,Учет!$H2280,0)</f>
        <v>0</v>
      </c>
      <c r="C2280" s="52">
        <f>IF(Учет!$O2280=Справочники!$F$3,Учет!$H2280,0)</f>
        <v>0</v>
      </c>
      <c r="D2280" s="52">
        <f>IF(Учет!$O2280=Справочники!$F$4,Учет!$H2280,0)</f>
        <v>0</v>
      </c>
      <c r="E2280" s="52">
        <f>IF(Учет!$O2280=Справочники!$F$5,Учет!$H2280,0)</f>
        <v>0</v>
      </c>
      <c r="F2280" s="52">
        <f>IF(Учет!$O2280=Справочники!$F$6,Учет!$H2280,0)</f>
        <v>0</v>
      </c>
      <c r="G2280" s="43">
        <f>G2279+Учет!B2280-B2280</f>
        <v>-488978.92000000004</v>
      </c>
      <c r="H2280" s="43">
        <f>H2279+Учет!C2280-C2280</f>
        <v>336855</v>
      </c>
      <c r="I2280" s="43">
        <f>I2279+Учет!D2280-D2280</f>
        <v>500</v>
      </c>
      <c r="J2280" s="43">
        <f>J2279+Учет!E2280-E2280</f>
        <v>1150</v>
      </c>
      <c r="K2280" s="43">
        <f>K2279+Учет!F2280-F2280</f>
        <v>500000</v>
      </c>
      <c r="L2280" s="45">
        <f>Учет!I2280</f>
        <v>349526.07999999996</v>
      </c>
    </row>
    <row r="2281" spans="1:12" x14ac:dyDescent="0.25">
      <c r="A2281" s="48" t="str">
        <f>IF(Учет!A2281&lt;&gt;"",Учет!A2281,"")</f>
        <v/>
      </c>
      <c r="B2281" s="52">
        <f>IF(Учет!$O2281=Справочники!$F$2,Учет!$H2281,0)</f>
        <v>0</v>
      </c>
      <c r="C2281" s="52">
        <f>IF(Учет!$O2281=Справочники!$F$3,Учет!$H2281,0)</f>
        <v>0</v>
      </c>
      <c r="D2281" s="52">
        <f>IF(Учет!$O2281=Справочники!$F$4,Учет!$H2281,0)</f>
        <v>0</v>
      </c>
      <c r="E2281" s="52">
        <f>IF(Учет!$O2281=Справочники!$F$5,Учет!$H2281,0)</f>
        <v>0</v>
      </c>
      <c r="F2281" s="52">
        <f>IF(Учет!$O2281=Справочники!$F$6,Учет!$H2281,0)</f>
        <v>0</v>
      </c>
      <c r="G2281" s="43">
        <f>G2280+Учет!B2281-B2281</f>
        <v>-488978.92000000004</v>
      </c>
      <c r="H2281" s="43">
        <f>H2280+Учет!C2281-C2281</f>
        <v>336855</v>
      </c>
      <c r="I2281" s="43">
        <f>I2280+Учет!D2281-D2281</f>
        <v>500</v>
      </c>
      <c r="J2281" s="43">
        <f>J2280+Учет!E2281-E2281</f>
        <v>1150</v>
      </c>
      <c r="K2281" s="43">
        <f>K2280+Учет!F2281-F2281</f>
        <v>500000</v>
      </c>
      <c r="L2281" s="45">
        <f>Учет!I2281</f>
        <v>349526.07999999996</v>
      </c>
    </row>
    <row r="2282" spans="1:12" x14ac:dyDescent="0.25">
      <c r="A2282" s="48" t="str">
        <f>IF(Учет!A2282&lt;&gt;"",Учет!A2282,"")</f>
        <v/>
      </c>
      <c r="B2282" s="52">
        <f>IF(Учет!$O2282=Справочники!$F$2,Учет!$H2282,0)</f>
        <v>0</v>
      </c>
      <c r="C2282" s="52">
        <f>IF(Учет!$O2282=Справочники!$F$3,Учет!$H2282,0)</f>
        <v>0</v>
      </c>
      <c r="D2282" s="52">
        <f>IF(Учет!$O2282=Справочники!$F$4,Учет!$H2282,0)</f>
        <v>0</v>
      </c>
      <c r="E2282" s="52">
        <f>IF(Учет!$O2282=Справочники!$F$5,Учет!$H2282,0)</f>
        <v>0</v>
      </c>
      <c r="F2282" s="52">
        <f>IF(Учет!$O2282=Справочники!$F$6,Учет!$H2282,0)</f>
        <v>0</v>
      </c>
      <c r="G2282" s="43">
        <f>G2281+Учет!B2282-B2282</f>
        <v>-488978.92000000004</v>
      </c>
      <c r="H2282" s="43">
        <f>H2281+Учет!C2282-C2282</f>
        <v>336855</v>
      </c>
      <c r="I2282" s="43">
        <f>I2281+Учет!D2282-D2282</f>
        <v>500</v>
      </c>
      <c r="J2282" s="43">
        <f>J2281+Учет!E2282-E2282</f>
        <v>1150</v>
      </c>
      <c r="K2282" s="43">
        <f>K2281+Учет!F2282-F2282</f>
        <v>500000</v>
      </c>
      <c r="L2282" s="45">
        <f>Учет!I2282</f>
        <v>349526.07999999996</v>
      </c>
    </row>
    <row r="2283" spans="1:12" x14ac:dyDescent="0.25">
      <c r="A2283" s="48" t="str">
        <f>IF(Учет!A2283&lt;&gt;"",Учет!A2283,"")</f>
        <v/>
      </c>
      <c r="B2283" s="52">
        <f>IF(Учет!$O2283=Справочники!$F$2,Учет!$H2283,0)</f>
        <v>0</v>
      </c>
      <c r="C2283" s="52">
        <f>IF(Учет!$O2283=Справочники!$F$3,Учет!$H2283,0)</f>
        <v>0</v>
      </c>
      <c r="D2283" s="52">
        <f>IF(Учет!$O2283=Справочники!$F$4,Учет!$H2283,0)</f>
        <v>0</v>
      </c>
      <c r="E2283" s="52">
        <f>IF(Учет!$O2283=Справочники!$F$5,Учет!$H2283,0)</f>
        <v>0</v>
      </c>
      <c r="F2283" s="52">
        <f>IF(Учет!$O2283=Справочники!$F$6,Учет!$H2283,0)</f>
        <v>0</v>
      </c>
      <c r="G2283" s="43">
        <f>G2282+Учет!B2283-B2283</f>
        <v>-488978.92000000004</v>
      </c>
      <c r="H2283" s="43">
        <f>H2282+Учет!C2283-C2283</f>
        <v>336855</v>
      </c>
      <c r="I2283" s="43">
        <f>I2282+Учет!D2283-D2283</f>
        <v>500</v>
      </c>
      <c r="J2283" s="43">
        <f>J2282+Учет!E2283-E2283</f>
        <v>1150</v>
      </c>
      <c r="K2283" s="43">
        <f>K2282+Учет!F2283-F2283</f>
        <v>500000</v>
      </c>
      <c r="L2283" s="45">
        <f>Учет!I2283</f>
        <v>349526.07999999996</v>
      </c>
    </row>
    <row r="2284" spans="1:12" x14ac:dyDescent="0.25">
      <c r="A2284" s="48" t="str">
        <f>IF(Учет!A2284&lt;&gt;"",Учет!A2284,"")</f>
        <v/>
      </c>
      <c r="B2284" s="52">
        <f>IF(Учет!$O2284=Справочники!$F$2,Учет!$H2284,0)</f>
        <v>0</v>
      </c>
      <c r="C2284" s="52">
        <f>IF(Учет!$O2284=Справочники!$F$3,Учет!$H2284,0)</f>
        <v>0</v>
      </c>
      <c r="D2284" s="52">
        <f>IF(Учет!$O2284=Справочники!$F$4,Учет!$H2284,0)</f>
        <v>0</v>
      </c>
      <c r="E2284" s="52">
        <f>IF(Учет!$O2284=Справочники!$F$5,Учет!$H2284,0)</f>
        <v>0</v>
      </c>
      <c r="F2284" s="52">
        <f>IF(Учет!$O2284=Справочники!$F$6,Учет!$H2284,0)</f>
        <v>0</v>
      </c>
      <c r="G2284" s="43">
        <f>G2283+Учет!B2284-B2284</f>
        <v>-488978.92000000004</v>
      </c>
      <c r="H2284" s="43">
        <f>H2283+Учет!C2284-C2284</f>
        <v>336855</v>
      </c>
      <c r="I2284" s="43">
        <f>I2283+Учет!D2284-D2284</f>
        <v>500</v>
      </c>
      <c r="J2284" s="43">
        <f>J2283+Учет!E2284-E2284</f>
        <v>1150</v>
      </c>
      <c r="K2284" s="43">
        <f>K2283+Учет!F2284-F2284</f>
        <v>500000</v>
      </c>
      <c r="L2284" s="45">
        <f>Учет!I2284</f>
        <v>349526.07999999996</v>
      </c>
    </row>
    <row r="2285" spans="1:12" x14ac:dyDescent="0.25">
      <c r="A2285" s="48" t="str">
        <f>IF(Учет!A2285&lt;&gt;"",Учет!A2285,"")</f>
        <v/>
      </c>
      <c r="B2285" s="52">
        <f>IF(Учет!$O2285=Справочники!$F$2,Учет!$H2285,0)</f>
        <v>0</v>
      </c>
      <c r="C2285" s="52">
        <f>IF(Учет!$O2285=Справочники!$F$3,Учет!$H2285,0)</f>
        <v>0</v>
      </c>
      <c r="D2285" s="52">
        <f>IF(Учет!$O2285=Справочники!$F$4,Учет!$H2285,0)</f>
        <v>0</v>
      </c>
      <c r="E2285" s="52">
        <f>IF(Учет!$O2285=Справочники!$F$5,Учет!$H2285,0)</f>
        <v>0</v>
      </c>
      <c r="F2285" s="52">
        <f>IF(Учет!$O2285=Справочники!$F$6,Учет!$H2285,0)</f>
        <v>0</v>
      </c>
      <c r="G2285" s="43">
        <f>G2284+Учет!B2285-B2285</f>
        <v>-488978.92000000004</v>
      </c>
      <c r="H2285" s="43">
        <f>H2284+Учет!C2285-C2285</f>
        <v>336855</v>
      </c>
      <c r="I2285" s="43">
        <f>I2284+Учет!D2285-D2285</f>
        <v>500</v>
      </c>
      <c r="J2285" s="43">
        <f>J2284+Учет!E2285-E2285</f>
        <v>1150</v>
      </c>
      <c r="K2285" s="43">
        <f>K2284+Учет!F2285-F2285</f>
        <v>500000</v>
      </c>
      <c r="L2285" s="45">
        <f>Учет!I2285</f>
        <v>349526.07999999996</v>
      </c>
    </row>
    <row r="2286" spans="1:12" x14ac:dyDescent="0.25">
      <c r="A2286" s="48" t="str">
        <f>IF(Учет!A2286&lt;&gt;"",Учет!A2286,"")</f>
        <v/>
      </c>
      <c r="B2286" s="52">
        <f>IF(Учет!$O2286=Справочники!$F$2,Учет!$H2286,0)</f>
        <v>0</v>
      </c>
      <c r="C2286" s="52">
        <f>IF(Учет!$O2286=Справочники!$F$3,Учет!$H2286,0)</f>
        <v>0</v>
      </c>
      <c r="D2286" s="52">
        <f>IF(Учет!$O2286=Справочники!$F$4,Учет!$H2286,0)</f>
        <v>0</v>
      </c>
      <c r="E2286" s="52">
        <f>IF(Учет!$O2286=Справочники!$F$5,Учет!$H2286,0)</f>
        <v>0</v>
      </c>
      <c r="F2286" s="52">
        <f>IF(Учет!$O2286=Справочники!$F$6,Учет!$H2286,0)</f>
        <v>0</v>
      </c>
      <c r="G2286" s="43">
        <f>G2285+Учет!B2286-B2286</f>
        <v>-488978.92000000004</v>
      </c>
      <c r="H2286" s="43">
        <f>H2285+Учет!C2286-C2286</f>
        <v>336855</v>
      </c>
      <c r="I2286" s="43">
        <f>I2285+Учет!D2286-D2286</f>
        <v>500</v>
      </c>
      <c r="J2286" s="43">
        <f>J2285+Учет!E2286-E2286</f>
        <v>1150</v>
      </c>
      <c r="K2286" s="43">
        <f>K2285+Учет!F2286-F2286</f>
        <v>500000</v>
      </c>
      <c r="L2286" s="45">
        <f>Учет!I2286</f>
        <v>349526.07999999996</v>
      </c>
    </row>
    <row r="2287" spans="1:12" x14ac:dyDescent="0.25">
      <c r="A2287" s="48" t="str">
        <f>IF(Учет!A2287&lt;&gt;"",Учет!A2287,"")</f>
        <v/>
      </c>
      <c r="B2287" s="52">
        <f>IF(Учет!$O2287=Справочники!$F$2,Учет!$H2287,0)</f>
        <v>0</v>
      </c>
      <c r="C2287" s="52">
        <f>IF(Учет!$O2287=Справочники!$F$3,Учет!$H2287,0)</f>
        <v>0</v>
      </c>
      <c r="D2287" s="52">
        <f>IF(Учет!$O2287=Справочники!$F$4,Учет!$H2287,0)</f>
        <v>0</v>
      </c>
      <c r="E2287" s="52">
        <f>IF(Учет!$O2287=Справочники!$F$5,Учет!$H2287,0)</f>
        <v>0</v>
      </c>
      <c r="F2287" s="52">
        <f>IF(Учет!$O2287=Справочники!$F$6,Учет!$H2287,0)</f>
        <v>0</v>
      </c>
      <c r="G2287" s="43">
        <f>G2286+Учет!B2287-B2287</f>
        <v>-488978.92000000004</v>
      </c>
      <c r="H2287" s="43">
        <f>H2286+Учет!C2287-C2287</f>
        <v>336855</v>
      </c>
      <c r="I2287" s="43">
        <f>I2286+Учет!D2287-D2287</f>
        <v>500</v>
      </c>
      <c r="J2287" s="43">
        <f>J2286+Учет!E2287-E2287</f>
        <v>1150</v>
      </c>
      <c r="K2287" s="43">
        <f>K2286+Учет!F2287-F2287</f>
        <v>500000</v>
      </c>
      <c r="L2287" s="45">
        <f>Учет!I2287</f>
        <v>349526.07999999996</v>
      </c>
    </row>
    <row r="2288" spans="1:12" x14ac:dyDescent="0.25">
      <c r="A2288" s="48" t="str">
        <f>IF(Учет!A2288&lt;&gt;"",Учет!A2288,"")</f>
        <v/>
      </c>
      <c r="B2288" s="52">
        <f>IF(Учет!$O2288=Справочники!$F$2,Учет!$H2288,0)</f>
        <v>0</v>
      </c>
      <c r="C2288" s="52">
        <f>IF(Учет!$O2288=Справочники!$F$3,Учет!$H2288,0)</f>
        <v>0</v>
      </c>
      <c r="D2288" s="52">
        <f>IF(Учет!$O2288=Справочники!$F$4,Учет!$H2288,0)</f>
        <v>0</v>
      </c>
      <c r="E2288" s="52">
        <f>IF(Учет!$O2288=Справочники!$F$5,Учет!$H2288,0)</f>
        <v>0</v>
      </c>
      <c r="F2288" s="52">
        <f>IF(Учет!$O2288=Справочники!$F$6,Учет!$H2288,0)</f>
        <v>0</v>
      </c>
      <c r="G2288" s="43">
        <f>G2287+Учет!B2288-B2288</f>
        <v>-488978.92000000004</v>
      </c>
      <c r="H2288" s="43">
        <f>H2287+Учет!C2288-C2288</f>
        <v>336855</v>
      </c>
      <c r="I2288" s="43">
        <f>I2287+Учет!D2288-D2288</f>
        <v>500</v>
      </c>
      <c r="J2288" s="43">
        <f>J2287+Учет!E2288-E2288</f>
        <v>1150</v>
      </c>
      <c r="K2288" s="43">
        <f>K2287+Учет!F2288-F2288</f>
        <v>500000</v>
      </c>
      <c r="L2288" s="45">
        <f>Учет!I2288</f>
        <v>349526.07999999996</v>
      </c>
    </row>
    <row r="2289" spans="1:12" x14ac:dyDescent="0.25">
      <c r="A2289" s="48" t="str">
        <f>IF(Учет!A2289&lt;&gt;"",Учет!A2289,"")</f>
        <v/>
      </c>
      <c r="B2289" s="52">
        <f>IF(Учет!$O2289=Справочники!$F$2,Учет!$H2289,0)</f>
        <v>0</v>
      </c>
      <c r="C2289" s="52">
        <f>IF(Учет!$O2289=Справочники!$F$3,Учет!$H2289,0)</f>
        <v>0</v>
      </c>
      <c r="D2289" s="52">
        <f>IF(Учет!$O2289=Справочники!$F$4,Учет!$H2289,0)</f>
        <v>0</v>
      </c>
      <c r="E2289" s="52">
        <f>IF(Учет!$O2289=Справочники!$F$5,Учет!$H2289,0)</f>
        <v>0</v>
      </c>
      <c r="F2289" s="52">
        <f>IF(Учет!$O2289=Справочники!$F$6,Учет!$H2289,0)</f>
        <v>0</v>
      </c>
      <c r="G2289" s="43">
        <f>G2288+Учет!B2289-B2289</f>
        <v>-488978.92000000004</v>
      </c>
      <c r="H2289" s="43">
        <f>H2288+Учет!C2289-C2289</f>
        <v>336855</v>
      </c>
      <c r="I2289" s="43">
        <f>I2288+Учет!D2289-D2289</f>
        <v>500</v>
      </c>
      <c r="J2289" s="43">
        <f>J2288+Учет!E2289-E2289</f>
        <v>1150</v>
      </c>
      <c r="K2289" s="43">
        <f>K2288+Учет!F2289-F2289</f>
        <v>500000</v>
      </c>
      <c r="L2289" s="45">
        <f>Учет!I2289</f>
        <v>349526.07999999996</v>
      </c>
    </row>
    <row r="2290" spans="1:12" x14ac:dyDescent="0.25">
      <c r="A2290" s="48" t="str">
        <f>IF(Учет!A2290&lt;&gt;"",Учет!A2290,"")</f>
        <v/>
      </c>
      <c r="B2290" s="52">
        <f>IF(Учет!$O2290=Справочники!$F$2,Учет!$H2290,0)</f>
        <v>0</v>
      </c>
      <c r="C2290" s="52">
        <f>IF(Учет!$O2290=Справочники!$F$3,Учет!$H2290,0)</f>
        <v>0</v>
      </c>
      <c r="D2290" s="52">
        <f>IF(Учет!$O2290=Справочники!$F$4,Учет!$H2290,0)</f>
        <v>0</v>
      </c>
      <c r="E2290" s="52">
        <f>IF(Учет!$O2290=Справочники!$F$5,Учет!$H2290,0)</f>
        <v>0</v>
      </c>
      <c r="F2290" s="52">
        <f>IF(Учет!$O2290=Справочники!$F$6,Учет!$H2290,0)</f>
        <v>0</v>
      </c>
      <c r="G2290" s="43">
        <f>G2289+Учет!B2290-B2290</f>
        <v>-488978.92000000004</v>
      </c>
      <c r="H2290" s="43">
        <f>H2289+Учет!C2290-C2290</f>
        <v>336855</v>
      </c>
      <c r="I2290" s="43">
        <f>I2289+Учет!D2290-D2290</f>
        <v>500</v>
      </c>
      <c r="J2290" s="43">
        <f>J2289+Учет!E2290-E2290</f>
        <v>1150</v>
      </c>
      <c r="K2290" s="43">
        <f>K2289+Учет!F2290-F2290</f>
        <v>500000</v>
      </c>
      <c r="L2290" s="45">
        <f>Учет!I2290</f>
        <v>349526.07999999996</v>
      </c>
    </row>
    <row r="2291" spans="1:12" x14ac:dyDescent="0.25">
      <c r="A2291" s="48" t="str">
        <f>IF(Учет!A2291&lt;&gt;"",Учет!A2291,"")</f>
        <v/>
      </c>
      <c r="B2291" s="52">
        <f>IF(Учет!$O2291=Справочники!$F$2,Учет!$H2291,0)</f>
        <v>0</v>
      </c>
      <c r="C2291" s="52">
        <f>IF(Учет!$O2291=Справочники!$F$3,Учет!$H2291,0)</f>
        <v>0</v>
      </c>
      <c r="D2291" s="52">
        <f>IF(Учет!$O2291=Справочники!$F$4,Учет!$H2291,0)</f>
        <v>0</v>
      </c>
      <c r="E2291" s="52">
        <f>IF(Учет!$O2291=Справочники!$F$5,Учет!$H2291,0)</f>
        <v>0</v>
      </c>
      <c r="F2291" s="52">
        <f>IF(Учет!$O2291=Справочники!$F$6,Учет!$H2291,0)</f>
        <v>0</v>
      </c>
      <c r="G2291" s="43">
        <f>G2290+Учет!B2291-B2291</f>
        <v>-488978.92000000004</v>
      </c>
      <c r="H2291" s="43">
        <f>H2290+Учет!C2291-C2291</f>
        <v>336855</v>
      </c>
      <c r="I2291" s="43">
        <f>I2290+Учет!D2291-D2291</f>
        <v>500</v>
      </c>
      <c r="J2291" s="43">
        <f>J2290+Учет!E2291-E2291</f>
        <v>1150</v>
      </c>
      <c r="K2291" s="43">
        <f>K2290+Учет!F2291-F2291</f>
        <v>500000</v>
      </c>
      <c r="L2291" s="45">
        <f>Учет!I2291</f>
        <v>349526.07999999996</v>
      </c>
    </row>
    <row r="2292" spans="1:12" x14ac:dyDescent="0.25">
      <c r="A2292" s="48" t="str">
        <f>IF(Учет!A2292&lt;&gt;"",Учет!A2292,"")</f>
        <v/>
      </c>
      <c r="B2292" s="52">
        <f>IF(Учет!$O2292=Справочники!$F$2,Учет!$H2292,0)</f>
        <v>0</v>
      </c>
      <c r="C2292" s="52">
        <f>IF(Учет!$O2292=Справочники!$F$3,Учет!$H2292,0)</f>
        <v>0</v>
      </c>
      <c r="D2292" s="52">
        <f>IF(Учет!$O2292=Справочники!$F$4,Учет!$H2292,0)</f>
        <v>0</v>
      </c>
      <c r="E2292" s="52">
        <f>IF(Учет!$O2292=Справочники!$F$5,Учет!$H2292,0)</f>
        <v>0</v>
      </c>
      <c r="F2292" s="52">
        <f>IF(Учет!$O2292=Справочники!$F$6,Учет!$H2292,0)</f>
        <v>0</v>
      </c>
      <c r="G2292" s="43">
        <f>G2291+Учет!B2292-B2292</f>
        <v>-488978.92000000004</v>
      </c>
      <c r="H2292" s="43">
        <f>H2291+Учет!C2292-C2292</f>
        <v>336855</v>
      </c>
      <c r="I2292" s="43">
        <f>I2291+Учет!D2292-D2292</f>
        <v>500</v>
      </c>
      <c r="J2292" s="43">
        <f>J2291+Учет!E2292-E2292</f>
        <v>1150</v>
      </c>
      <c r="K2292" s="43">
        <f>K2291+Учет!F2292-F2292</f>
        <v>500000</v>
      </c>
      <c r="L2292" s="45">
        <f>Учет!I2292</f>
        <v>349526.07999999996</v>
      </c>
    </row>
    <row r="2293" spans="1:12" x14ac:dyDescent="0.25">
      <c r="A2293" s="48" t="str">
        <f>IF(Учет!A2293&lt;&gt;"",Учет!A2293,"")</f>
        <v/>
      </c>
      <c r="B2293" s="52">
        <f>IF(Учет!$O2293=Справочники!$F$2,Учет!$H2293,0)</f>
        <v>0</v>
      </c>
      <c r="C2293" s="52">
        <f>IF(Учет!$O2293=Справочники!$F$3,Учет!$H2293,0)</f>
        <v>0</v>
      </c>
      <c r="D2293" s="52">
        <f>IF(Учет!$O2293=Справочники!$F$4,Учет!$H2293,0)</f>
        <v>0</v>
      </c>
      <c r="E2293" s="52">
        <f>IF(Учет!$O2293=Справочники!$F$5,Учет!$H2293,0)</f>
        <v>0</v>
      </c>
      <c r="F2293" s="52">
        <f>IF(Учет!$O2293=Справочники!$F$6,Учет!$H2293,0)</f>
        <v>0</v>
      </c>
      <c r="G2293" s="43">
        <f>G2292+Учет!B2293-B2293</f>
        <v>-488978.92000000004</v>
      </c>
      <c r="H2293" s="43">
        <f>H2292+Учет!C2293-C2293</f>
        <v>336855</v>
      </c>
      <c r="I2293" s="43">
        <f>I2292+Учет!D2293-D2293</f>
        <v>500</v>
      </c>
      <c r="J2293" s="43">
        <f>J2292+Учет!E2293-E2293</f>
        <v>1150</v>
      </c>
      <c r="K2293" s="43">
        <f>K2292+Учет!F2293-F2293</f>
        <v>500000</v>
      </c>
      <c r="L2293" s="45">
        <f>Учет!I2293</f>
        <v>349526.07999999996</v>
      </c>
    </row>
    <row r="2294" spans="1:12" x14ac:dyDescent="0.25">
      <c r="A2294" s="48" t="str">
        <f>IF(Учет!A2294&lt;&gt;"",Учет!A2294,"")</f>
        <v/>
      </c>
      <c r="B2294" s="52">
        <f>IF(Учет!$O2294=Справочники!$F$2,Учет!$H2294,0)</f>
        <v>0</v>
      </c>
      <c r="C2294" s="52">
        <f>IF(Учет!$O2294=Справочники!$F$3,Учет!$H2294,0)</f>
        <v>0</v>
      </c>
      <c r="D2294" s="52">
        <f>IF(Учет!$O2294=Справочники!$F$4,Учет!$H2294,0)</f>
        <v>0</v>
      </c>
      <c r="E2294" s="52">
        <f>IF(Учет!$O2294=Справочники!$F$5,Учет!$H2294,0)</f>
        <v>0</v>
      </c>
      <c r="F2294" s="52">
        <f>IF(Учет!$O2294=Справочники!$F$6,Учет!$H2294,0)</f>
        <v>0</v>
      </c>
      <c r="G2294" s="43">
        <f>G2293+Учет!B2294-B2294</f>
        <v>-488978.92000000004</v>
      </c>
      <c r="H2294" s="43">
        <f>H2293+Учет!C2294-C2294</f>
        <v>336855</v>
      </c>
      <c r="I2294" s="43">
        <f>I2293+Учет!D2294-D2294</f>
        <v>500</v>
      </c>
      <c r="J2294" s="43">
        <f>J2293+Учет!E2294-E2294</f>
        <v>1150</v>
      </c>
      <c r="K2294" s="43">
        <f>K2293+Учет!F2294-F2294</f>
        <v>500000</v>
      </c>
      <c r="L2294" s="45">
        <f>Учет!I2294</f>
        <v>349526.07999999996</v>
      </c>
    </row>
    <row r="2295" spans="1:12" x14ac:dyDescent="0.25">
      <c r="A2295" s="48" t="str">
        <f>IF(Учет!A2295&lt;&gt;"",Учет!A2295,"")</f>
        <v/>
      </c>
      <c r="B2295" s="52">
        <f>IF(Учет!$O2295=Справочники!$F$2,Учет!$H2295,0)</f>
        <v>0</v>
      </c>
      <c r="C2295" s="52">
        <f>IF(Учет!$O2295=Справочники!$F$3,Учет!$H2295,0)</f>
        <v>0</v>
      </c>
      <c r="D2295" s="52">
        <f>IF(Учет!$O2295=Справочники!$F$4,Учет!$H2295,0)</f>
        <v>0</v>
      </c>
      <c r="E2295" s="52">
        <f>IF(Учет!$O2295=Справочники!$F$5,Учет!$H2295,0)</f>
        <v>0</v>
      </c>
      <c r="F2295" s="52">
        <f>IF(Учет!$O2295=Справочники!$F$6,Учет!$H2295,0)</f>
        <v>0</v>
      </c>
      <c r="G2295" s="43">
        <f>G2294+Учет!B2295-B2295</f>
        <v>-488978.92000000004</v>
      </c>
      <c r="H2295" s="43">
        <f>H2294+Учет!C2295-C2295</f>
        <v>336855</v>
      </c>
      <c r="I2295" s="43">
        <f>I2294+Учет!D2295-D2295</f>
        <v>500</v>
      </c>
      <c r="J2295" s="43">
        <f>J2294+Учет!E2295-E2295</f>
        <v>1150</v>
      </c>
      <c r="K2295" s="43">
        <f>K2294+Учет!F2295-F2295</f>
        <v>500000</v>
      </c>
      <c r="L2295" s="45">
        <f>Учет!I2295</f>
        <v>349526.07999999996</v>
      </c>
    </row>
    <row r="2296" spans="1:12" x14ac:dyDescent="0.25">
      <c r="A2296" s="48" t="str">
        <f>IF(Учет!A2296&lt;&gt;"",Учет!A2296,"")</f>
        <v/>
      </c>
      <c r="B2296" s="52">
        <f>IF(Учет!$O2296=Справочники!$F$2,Учет!$H2296,0)</f>
        <v>0</v>
      </c>
      <c r="C2296" s="52">
        <f>IF(Учет!$O2296=Справочники!$F$3,Учет!$H2296,0)</f>
        <v>0</v>
      </c>
      <c r="D2296" s="52">
        <f>IF(Учет!$O2296=Справочники!$F$4,Учет!$H2296,0)</f>
        <v>0</v>
      </c>
      <c r="E2296" s="52">
        <f>IF(Учет!$O2296=Справочники!$F$5,Учет!$H2296,0)</f>
        <v>0</v>
      </c>
      <c r="F2296" s="52">
        <f>IF(Учет!$O2296=Справочники!$F$6,Учет!$H2296,0)</f>
        <v>0</v>
      </c>
      <c r="G2296" s="43">
        <f>G2295+Учет!B2296-B2296</f>
        <v>-488978.92000000004</v>
      </c>
      <c r="H2296" s="43">
        <f>H2295+Учет!C2296-C2296</f>
        <v>336855</v>
      </c>
      <c r="I2296" s="43">
        <f>I2295+Учет!D2296-D2296</f>
        <v>500</v>
      </c>
      <c r="J2296" s="43">
        <f>J2295+Учет!E2296-E2296</f>
        <v>1150</v>
      </c>
      <c r="K2296" s="43">
        <f>K2295+Учет!F2296-F2296</f>
        <v>500000</v>
      </c>
      <c r="L2296" s="45">
        <f>Учет!I2296</f>
        <v>349526.07999999996</v>
      </c>
    </row>
    <row r="2297" spans="1:12" x14ac:dyDescent="0.25">
      <c r="A2297" s="48" t="str">
        <f>IF(Учет!A2297&lt;&gt;"",Учет!A2297,"")</f>
        <v/>
      </c>
      <c r="B2297" s="52">
        <f>IF(Учет!$O2297=Справочники!$F$2,Учет!$H2297,0)</f>
        <v>0</v>
      </c>
      <c r="C2297" s="52">
        <f>IF(Учет!$O2297=Справочники!$F$3,Учет!$H2297,0)</f>
        <v>0</v>
      </c>
      <c r="D2297" s="52">
        <f>IF(Учет!$O2297=Справочники!$F$4,Учет!$H2297,0)</f>
        <v>0</v>
      </c>
      <c r="E2297" s="52">
        <f>IF(Учет!$O2297=Справочники!$F$5,Учет!$H2297,0)</f>
        <v>0</v>
      </c>
      <c r="F2297" s="52">
        <f>IF(Учет!$O2297=Справочники!$F$6,Учет!$H2297,0)</f>
        <v>0</v>
      </c>
      <c r="G2297" s="43">
        <f>G2296+Учет!B2297-B2297</f>
        <v>-488978.92000000004</v>
      </c>
      <c r="H2297" s="43">
        <f>H2296+Учет!C2297-C2297</f>
        <v>336855</v>
      </c>
      <c r="I2297" s="43">
        <f>I2296+Учет!D2297-D2297</f>
        <v>500</v>
      </c>
      <c r="J2297" s="43">
        <f>J2296+Учет!E2297-E2297</f>
        <v>1150</v>
      </c>
      <c r="K2297" s="43">
        <f>K2296+Учет!F2297-F2297</f>
        <v>500000</v>
      </c>
      <c r="L2297" s="45">
        <f>Учет!I2297</f>
        <v>349526.07999999996</v>
      </c>
    </row>
    <row r="2298" spans="1:12" x14ac:dyDescent="0.25">
      <c r="A2298" s="48" t="str">
        <f>IF(Учет!A2298&lt;&gt;"",Учет!A2298,"")</f>
        <v/>
      </c>
      <c r="B2298" s="52">
        <f>IF(Учет!$O2298=Справочники!$F$2,Учет!$H2298,0)</f>
        <v>0</v>
      </c>
      <c r="C2298" s="52">
        <f>IF(Учет!$O2298=Справочники!$F$3,Учет!$H2298,0)</f>
        <v>0</v>
      </c>
      <c r="D2298" s="52">
        <f>IF(Учет!$O2298=Справочники!$F$4,Учет!$H2298,0)</f>
        <v>0</v>
      </c>
      <c r="E2298" s="52">
        <f>IF(Учет!$O2298=Справочники!$F$5,Учет!$H2298,0)</f>
        <v>0</v>
      </c>
      <c r="F2298" s="52">
        <f>IF(Учет!$O2298=Справочники!$F$6,Учет!$H2298,0)</f>
        <v>0</v>
      </c>
      <c r="G2298" s="43">
        <f>G2297+Учет!B2298-B2298</f>
        <v>-488978.92000000004</v>
      </c>
      <c r="H2298" s="43">
        <f>H2297+Учет!C2298-C2298</f>
        <v>336855</v>
      </c>
      <c r="I2298" s="43">
        <f>I2297+Учет!D2298-D2298</f>
        <v>500</v>
      </c>
      <c r="J2298" s="43">
        <f>J2297+Учет!E2298-E2298</f>
        <v>1150</v>
      </c>
      <c r="K2298" s="43">
        <f>K2297+Учет!F2298-F2298</f>
        <v>500000</v>
      </c>
      <c r="L2298" s="45">
        <f>Учет!I2298</f>
        <v>349526.07999999996</v>
      </c>
    </row>
    <row r="2299" spans="1:12" x14ac:dyDescent="0.25">
      <c r="A2299" s="48" t="str">
        <f>IF(Учет!A2299&lt;&gt;"",Учет!A2299,"")</f>
        <v/>
      </c>
      <c r="B2299" s="52">
        <f>IF(Учет!$O2299=Справочники!$F$2,Учет!$H2299,0)</f>
        <v>0</v>
      </c>
      <c r="C2299" s="52">
        <f>IF(Учет!$O2299=Справочники!$F$3,Учет!$H2299,0)</f>
        <v>0</v>
      </c>
      <c r="D2299" s="52">
        <f>IF(Учет!$O2299=Справочники!$F$4,Учет!$H2299,0)</f>
        <v>0</v>
      </c>
      <c r="E2299" s="52">
        <f>IF(Учет!$O2299=Справочники!$F$5,Учет!$H2299,0)</f>
        <v>0</v>
      </c>
      <c r="F2299" s="52">
        <f>IF(Учет!$O2299=Справочники!$F$6,Учет!$H2299,0)</f>
        <v>0</v>
      </c>
      <c r="G2299" s="43">
        <f>G2298+Учет!B2299-B2299</f>
        <v>-488978.92000000004</v>
      </c>
      <c r="H2299" s="43">
        <f>H2298+Учет!C2299-C2299</f>
        <v>336855</v>
      </c>
      <c r="I2299" s="43">
        <f>I2298+Учет!D2299-D2299</f>
        <v>500</v>
      </c>
      <c r="J2299" s="43">
        <f>J2298+Учет!E2299-E2299</f>
        <v>1150</v>
      </c>
      <c r="K2299" s="43">
        <f>K2298+Учет!F2299-F2299</f>
        <v>500000</v>
      </c>
      <c r="L2299" s="45">
        <f>Учет!I2299</f>
        <v>349526.07999999996</v>
      </c>
    </row>
    <row r="2300" spans="1:12" x14ac:dyDescent="0.25">
      <c r="A2300" s="48" t="str">
        <f>IF(Учет!A2300&lt;&gt;"",Учет!A2300,"")</f>
        <v/>
      </c>
      <c r="B2300" s="52">
        <f>IF(Учет!$O2300=Справочники!$F$2,Учет!$H2300,0)</f>
        <v>0</v>
      </c>
      <c r="C2300" s="52">
        <f>IF(Учет!$O2300=Справочники!$F$3,Учет!$H2300,0)</f>
        <v>0</v>
      </c>
      <c r="D2300" s="52">
        <f>IF(Учет!$O2300=Справочники!$F$4,Учет!$H2300,0)</f>
        <v>0</v>
      </c>
      <c r="E2300" s="52">
        <f>IF(Учет!$O2300=Справочники!$F$5,Учет!$H2300,0)</f>
        <v>0</v>
      </c>
      <c r="F2300" s="52">
        <f>IF(Учет!$O2300=Справочники!$F$6,Учет!$H2300,0)</f>
        <v>0</v>
      </c>
      <c r="G2300" s="43">
        <f>G2299+Учет!B2300-B2300</f>
        <v>-488978.92000000004</v>
      </c>
      <c r="H2300" s="43">
        <f>H2299+Учет!C2300-C2300</f>
        <v>336855</v>
      </c>
      <c r="I2300" s="43">
        <f>I2299+Учет!D2300-D2300</f>
        <v>500</v>
      </c>
      <c r="J2300" s="43">
        <f>J2299+Учет!E2300-E2300</f>
        <v>1150</v>
      </c>
      <c r="K2300" s="43">
        <f>K2299+Учет!F2300-F2300</f>
        <v>500000</v>
      </c>
      <c r="L2300" s="45">
        <f>Учет!I2300</f>
        <v>349526.07999999996</v>
      </c>
    </row>
    <row r="2301" spans="1:12" x14ac:dyDescent="0.25">
      <c r="A2301" s="48" t="str">
        <f>IF(Учет!A2301&lt;&gt;"",Учет!A2301,"")</f>
        <v/>
      </c>
      <c r="B2301" s="52">
        <f>IF(Учет!$O2301=Справочники!$F$2,Учет!$H2301,0)</f>
        <v>0</v>
      </c>
      <c r="C2301" s="52">
        <f>IF(Учет!$O2301=Справочники!$F$3,Учет!$H2301,0)</f>
        <v>0</v>
      </c>
      <c r="D2301" s="52">
        <f>IF(Учет!$O2301=Справочники!$F$4,Учет!$H2301,0)</f>
        <v>0</v>
      </c>
      <c r="E2301" s="52">
        <f>IF(Учет!$O2301=Справочники!$F$5,Учет!$H2301,0)</f>
        <v>0</v>
      </c>
      <c r="F2301" s="52">
        <f>IF(Учет!$O2301=Справочники!$F$6,Учет!$H2301,0)</f>
        <v>0</v>
      </c>
      <c r="G2301" s="43">
        <f>G2300+Учет!B2301-B2301</f>
        <v>-488978.92000000004</v>
      </c>
      <c r="H2301" s="43">
        <f>H2300+Учет!C2301-C2301</f>
        <v>336855</v>
      </c>
      <c r="I2301" s="43">
        <f>I2300+Учет!D2301-D2301</f>
        <v>500</v>
      </c>
      <c r="J2301" s="43">
        <f>J2300+Учет!E2301-E2301</f>
        <v>1150</v>
      </c>
      <c r="K2301" s="43">
        <f>K2300+Учет!F2301-F2301</f>
        <v>500000</v>
      </c>
      <c r="L2301" s="45">
        <f>Учет!I2301</f>
        <v>349526.07999999996</v>
      </c>
    </row>
    <row r="2302" spans="1:12" x14ac:dyDescent="0.25">
      <c r="A2302" s="48" t="str">
        <f>IF(Учет!A2302&lt;&gt;"",Учет!A2302,"")</f>
        <v/>
      </c>
      <c r="B2302" s="52">
        <f>IF(Учет!$O2302=Справочники!$F$2,Учет!$H2302,0)</f>
        <v>0</v>
      </c>
      <c r="C2302" s="52">
        <f>IF(Учет!$O2302=Справочники!$F$3,Учет!$H2302,0)</f>
        <v>0</v>
      </c>
      <c r="D2302" s="52">
        <f>IF(Учет!$O2302=Справочники!$F$4,Учет!$H2302,0)</f>
        <v>0</v>
      </c>
      <c r="E2302" s="52">
        <f>IF(Учет!$O2302=Справочники!$F$5,Учет!$H2302,0)</f>
        <v>0</v>
      </c>
      <c r="F2302" s="52">
        <f>IF(Учет!$O2302=Справочники!$F$6,Учет!$H2302,0)</f>
        <v>0</v>
      </c>
      <c r="G2302" s="43">
        <f>G2301+Учет!B2302-B2302</f>
        <v>-488978.92000000004</v>
      </c>
      <c r="H2302" s="43">
        <f>H2301+Учет!C2302-C2302</f>
        <v>336855</v>
      </c>
      <c r="I2302" s="43">
        <f>I2301+Учет!D2302-D2302</f>
        <v>500</v>
      </c>
      <c r="J2302" s="43">
        <f>J2301+Учет!E2302-E2302</f>
        <v>1150</v>
      </c>
      <c r="K2302" s="43">
        <f>K2301+Учет!F2302-F2302</f>
        <v>500000</v>
      </c>
      <c r="L2302" s="45">
        <f>Учет!I2302</f>
        <v>349526.07999999996</v>
      </c>
    </row>
    <row r="2303" spans="1:12" x14ac:dyDescent="0.25">
      <c r="A2303" s="48" t="str">
        <f>IF(Учет!A2303&lt;&gt;"",Учет!A2303,"")</f>
        <v/>
      </c>
      <c r="B2303" s="52">
        <f>IF(Учет!$O2303=Справочники!$F$2,Учет!$H2303,0)</f>
        <v>0</v>
      </c>
      <c r="C2303" s="52">
        <f>IF(Учет!$O2303=Справочники!$F$3,Учет!$H2303,0)</f>
        <v>0</v>
      </c>
      <c r="D2303" s="52">
        <f>IF(Учет!$O2303=Справочники!$F$4,Учет!$H2303,0)</f>
        <v>0</v>
      </c>
      <c r="E2303" s="52">
        <f>IF(Учет!$O2303=Справочники!$F$5,Учет!$H2303,0)</f>
        <v>0</v>
      </c>
      <c r="F2303" s="52">
        <f>IF(Учет!$O2303=Справочники!$F$6,Учет!$H2303,0)</f>
        <v>0</v>
      </c>
      <c r="G2303" s="43">
        <f>G2302+Учет!B2303-B2303</f>
        <v>-488978.92000000004</v>
      </c>
      <c r="H2303" s="43">
        <f>H2302+Учет!C2303-C2303</f>
        <v>336855</v>
      </c>
      <c r="I2303" s="43">
        <f>I2302+Учет!D2303-D2303</f>
        <v>500</v>
      </c>
      <c r="J2303" s="43">
        <f>J2302+Учет!E2303-E2303</f>
        <v>1150</v>
      </c>
      <c r="K2303" s="43">
        <f>K2302+Учет!F2303-F2303</f>
        <v>500000</v>
      </c>
      <c r="L2303" s="45">
        <f>Учет!I2303</f>
        <v>349526.07999999996</v>
      </c>
    </row>
    <row r="2304" spans="1:12" x14ac:dyDescent="0.25">
      <c r="A2304" s="48" t="str">
        <f>IF(Учет!A2304&lt;&gt;"",Учет!A2304,"")</f>
        <v/>
      </c>
      <c r="B2304" s="52">
        <f>IF(Учет!$O2304=Справочники!$F$2,Учет!$H2304,0)</f>
        <v>0</v>
      </c>
      <c r="C2304" s="52">
        <f>IF(Учет!$O2304=Справочники!$F$3,Учет!$H2304,0)</f>
        <v>0</v>
      </c>
      <c r="D2304" s="52">
        <f>IF(Учет!$O2304=Справочники!$F$4,Учет!$H2304,0)</f>
        <v>0</v>
      </c>
      <c r="E2304" s="52">
        <f>IF(Учет!$O2304=Справочники!$F$5,Учет!$H2304,0)</f>
        <v>0</v>
      </c>
      <c r="F2304" s="52">
        <f>IF(Учет!$O2304=Справочники!$F$6,Учет!$H2304,0)</f>
        <v>0</v>
      </c>
      <c r="G2304" s="43">
        <f>G2303+Учет!B2304-B2304</f>
        <v>-488978.92000000004</v>
      </c>
      <c r="H2304" s="43">
        <f>H2303+Учет!C2304-C2304</f>
        <v>336855</v>
      </c>
      <c r="I2304" s="43">
        <f>I2303+Учет!D2304-D2304</f>
        <v>500</v>
      </c>
      <c r="J2304" s="43">
        <f>J2303+Учет!E2304-E2304</f>
        <v>1150</v>
      </c>
      <c r="K2304" s="43">
        <f>K2303+Учет!F2304-F2304</f>
        <v>500000</v>
      </c>
      <c r="L2304" s="45">
        <f>Учет!I2304</f>
        <v>349526.07999999996</v>
      </c>
    </row>
    <row r="2305" spans="1:12" x14ac:dyDescent="0.25">
      <c r="A2305" s="48" t="str">
        <f>IF(Учет!A2305&lt;&gt;"",Учет!A2305,"")</f>
        <v/>
      </c>
      <c r="B2305" s="52">
        <f>IF(Учет!$O2305=Справочники!$F$2,Учет!$H2305,0)</f>
        <v>0</v>
      </c>
      <c r="C2305" s="52">
        <f>IF(Учет!$O2305=Справочники!$F$3,Учет!$H2305,0)</f>
        <v>0</v>
      </c>
      <c r="D2305" s="52">
        <f>IF(Учет!$O2305=Справочники!$F$4,Учет!$H2305,0)</f>
        <v>0</v>
      </c>
      <c r="E2305" s="52">
        <f>IF(Учет!$O2305=Справочники!$F$5,Учет!$H2305,0)</f>
        <v>0</v>
      </c>
      <c r="F2305" s="52">
        <f>IF(Учет!$O2305=Справочники!$F$6,Учет!$H2305,0)</f>
        <v>0</v>
      </c>
      <c r="G2305" s="43">
        <f>G2304+Учет!B2305-B2305</f>
        <v>-488978.92000000004</v>
      </c>
      <c r="H2305" s="43">
        <f>H2304+Учет!C2305-C2305</f>
        <v>336855</v>
      </c>
      <c r="I2305" s="43">
        <f>I2304+Учет!D2305-D2305</f>
        <v>500</v>
      </c>
      <c r="J2305" s="43">
        <f>J2304+Учет!E2305-E2305</f>
        <v>1150</v>
      </c>
      <c r="K2305" s="43">
        <f>K2304+Учет!F2305-F2305</f>
        <v>500000</v>
      </c>
      <c r="L2305" s="45">
        <f>Учет!I2305</f>
        <v>349526.07999999996</v>
      </c>
    </row>
    <row r="2306" spans="1:12" x14ac:dyDescent="0.25">
      <c r="A2306" s="48" t="str">
        <f>IF(Учет!A2306&lt;&gt;"",Учет!A2306,"")</f>
        <v/>
      </c>
      <c r="B2306" s="52">
        <f>IF(Учет!$O2306=Справочники!$F$2,Учет!$H2306,0)</f>
        <v>0</v>
      </c>
      <c r="C2306" s="52">
        <f>IF(Учет!$O2306=Справочники!$F$3,Учет!$H2306,0)</f>
        <v>0</v>
      </c>
      <c r="D2306" s="52">
        <f>IF(Учет!$O2306=Справочники!$F$4,Учет!$H2306,0)</f>
        <v>0</v>
      </c>
      <c r="E2306" s="52">
        <f>IF(Учет!$O2306=Справочники!$F$5,Учет!$H2306,0)</f>
        <v>0</v>
      </c>
      <c r="F2306" s="52">
        <f>IF(Учет!$O2306=Справочники!$F$6,Учет!$H2306,0)</f>
        <v>0</v>
      </c>
      <c r="G2306" s="43">
        <f>G2305+Учет!B2306-B2306</f>
        <v>-488978.92000000004</v>
      </c>
      <c r="H2306" s="43">
        <f>H2305+Учет!C2306-C2306</f>
        <v>336855</v>
      </c>
      <c r="I2306" s="43">
        <f>I2305+Учет!D2306-D2306</f>
        <v>500</v>
      </c>
      <c r="J2306" s="43">
        <f>J2305+Учет!E2306-E2306</f>
        <v>1150</v>
      </c>
      <c r="K2306" s="43">
        <f>K2305+Учет!F2306-F2306</f>
        <v>500000</v>
      </c>
      <c r="L2306" s="45">
        <f>Учет!I2306</f>
        <v>349526.07999999996</v>
      </c>
    </row>
    <row r="2307" spans="1:12" x14ac:dyDescent="0.25">
      <c r="A2307" s="48" t="str">
        <f>IF(Учет!A2307&lt;&gt;"",Учет!A2307,"")</f>
        <v/>
      </c>
      <c r="B2307" s="52">
        <f>IF(Учет!$O2307=Справочники!$F$2,Учет!$H2307,0)</f>
        <v>0</v>
      </c>
      <c r="C2307" s="52">
        <f>IF(Учет!$O2307=Справочники!$F$3,Учет!$H2307,0)</f>
        <v>0</v>
      </c>
      <c r="D2307" s="52">
        <f>IF(Учет!$O2307=Справочники!$F$4,Учет!$H2307,0)</f>
        <v>0</v>
      </c>
      <c r="E2307" s="52">
        <f>IF(Учет!$O2307=Справочники!$F$5,Учет!$H2307,0)</f>
        <v>0</v>
      </c>
      <c r="F2307" s="52">
        <f>IF(Учет!$O2307=Справочники!$F$6,Учет!$H2307,0)</f>
        <v>0</v>
      </c>
      <c r="G2307" s="43">
        <f>G2306+Учет!B2307-B2307</f>
        <v>-488978.92000000004</v>
      </c>
      <c r="H2307" s="43">
        <f>H2306+Учет!C2307-C2307</f>
        <v>336855</v>
      </c>
      <c r="I2307" s="43">
        <f>I2306+Учет!D2307-D2307</f>
        <v>500</v>
      </c>
      <c r="J2307" s="43">
        <f>J2306+Учет!E2307-E2307</f>
        <v>1150</v>
      </c>
      <c r="K2307" s="43">
        <f>K2306+Учет!F2307-F2307</f>
        <v>500000</v>
      </c>
      <c r="L2307" s="45">
        <f>Учет!I2307</f>
        <v>349526.07999999996</v>
      </c>
    </row>
    <row r="2308" spans="1:12" x14ac:dyDescent="0.25">
      <c r="A2308" s="48" t="str">
        <f>IF(Учет!A2308&lt;&gt;"",Учет!A2308,"")</f>
        <v/>
      </c>
      <c r="B2308" s="52">
        <f>IF(Учет!$O2308=Справочники!$F$2,Учет!$H2308,0)</f>
        <v>0</v>
      </c>
      <c r="C2308" s="52">
        <f>IF(Учет!$O2308=Справочники!$F$3,Учет!$H2308,0)</f>
        <v>0</v>
      </c>
      <c r="D2308" s="52">
        <f>IF(Учет!$O2308=Справочники!$F$4,Учет!$H2308,0)</f>
        <v>0</v>
      </c>
      <c r="E2308" s="52">
        <f>IF(Учет!$O2308=Справочники!$F$5,Учет!$H2308,0)</f>
        <v>0</v>
      </c>
      <c r="F2308" s="52">
        <f>IF(Учет!$O2308=Справочники!$F$6,Учет!$H2308,0)</f>
        <v>0</v>
      </c>
      <c r="G2308" s="43">
        <f>G2307+Учет!B2308-B2308</f>
        <v>-488978.92000000004</v>
      </c>
      <c r="H2308" s="43">
        <f>H2307+Учет!C2308-C2308</f>
        <v>336855</v>
      </c>
      <c r="I2308" s="43">
        <f>I2307+Учет!D2308-D2308</f>
        <v>500</v>
      </c>
      <c r="J2308" s="43">
        <f>J2307+Учет!E2308-E2308</f>
        <v>1150</v>
      </c>
      <c r="K2308" s="43">
        <f>K2307+Учет!F2308-F2308</f>
        <v>500000</v>
      </c>
      <c r="L2308" s="45">
        <f>Учет!I2308</f>
        <v>349526.07999999996</v>
      </c>
    </row>
    <row r="2309" spans="1:12" x14ac:dyDescent="0.25">
      <c r="A2309" s="48" t="str">
        <f>IF(Учет!A2309&lt;&gt;"",Учет!A2309,"")</f>
        <v/>
      </c>
      <c r="B2309" s="52">
        <f>IF(Учет!$O2309=Справочники!$F$2,Учет!$H2309,0)</f>
        <v>0</v>
      </c>
      <c r="C2309" s="52">
        <f>IF(Учет!$O2309=Справочники!$F$3,Учет!$H2309,0)</f>
        <v>0</v>
      </c>
      <c r="D2309" s="52">
        <f>IF(Учет!$O2309=Справочники!$F$4,Учет!$H2309,0)</f>
        <v>0</v>
      </c>
      <c r="E2309" s="52">
        <f>IF(Учет!$O2309=Справочники!$F$5,Учет!$H2309,0)</f>
        <v>0</v>
      </c>
      <c r="F2309" s="52">
        <f>IF(Учет!$O2309=Справочники!$F$6,Учет!$H2309,0)</f>
        <v>0</v>
      </c>
      <c r="G2309" s="43">
        <f>G2308+Учет!B2309-B2309</f>
        <v>-488978.92000000004</v>
      </c>
      <c r="H2309" s="43">
        <f>H2308+Учет!C2309-C2309</f>
        <v>336855</v>
      </c>
      <c r="I2309" s="43">
        <f>I2308+Учет!D2309-D2309</f>
        <v>500</v>
      </c>
      <c r="J2309" s="43">
        <f>J2308+Учет!E2309-E2309</f>
        <v>1150</v>
      </c>
      <c r="K2309" s="43">
        <f>K2308+Учет!F2309-F2309</f>
        <v>500000</v>
      </c>
      <c r="L2309" s="45">
        <f>Учет!I2309</f>
        <v>349526.07999999996</v>
      </c>
    </row>
    <row r="2310" spans="1:12" x14ac:dyDescent="0.25">
      <c r="A2310" s="48" t="str">
        <f>IF(Учет!A2310&lt;&gt;"",Учет!A2310,"")</f>
        <v/>
      </c>
      <c r="B2310" s="52">
        <f>IF(Учет!$O2310=Справочники!$F$2,Учет!$H2310,0)</f>
        <v>0</v>
      </c>
      <c r="C2310" s="52">
        <f>IF(Учет!$O2310=Справочники!$F$3,Учет!$H2310,0)</f>
        <v>0</v>
      </c>
      <c r="D2310" s="52">
        <f>IF(Учет!$O2310=Справочники!$F$4,Учет!$H2310,0)</f>
        <v>0</v>
      </c>
      <c r="E2310" s="52">
        <f>IF(Учет!$O2310=Справочники!$F$5,Учет!$H2310,0)</f>
        <v>0</v>
      </c>
      <c r="F2310" s="52">
        <f>IF(Учет!$O2310=Справочники!$F$6,Учет!$H2310,0)</f>
        <v>0</v>
      </c>
      <c r="G2310" s="43">
        <f>G2309+Учет!B2310-B2310</f>
        <v>-488978.92000000004</v>
      </c>
      <c r="H2310" s="43">
        <f>H2309+Учет!C2310-C2310</f>
        <v>336855</v>
      </c>
      <c r="I2310" s="43">
        <f>I2309+Учет!D2310-D2310</f>
        <v>500</v>
      </c>
      <c r="J2310" s="43">
        <f>J2309+Учет!E2310-E2310</f>
        <v>1150</v>
      </c>
      <c r="K2310" s="43">
        <f>K2309+Учет!F2310-F2310</f>
        <v>500000</v>
      </c>
      <c r="L2310" s="45">
        <f>Учет!I2310</f>
        <v>349526.07999999996</v>
      </c>
    </row>
    <row r="2311" spans="1:12" x14ac:dyDescent="0.25">
      <c r="A2311" s="48" t="str">
        <f>IF(Учет!A2311&lt;&gt;"",Учет!A2311,"")</f>
        <v/>
      </c>
      <c r="B2311" s="52">
        <f>IF(Учет!$O2311=Справочники!$F$2,Учет!$H2311,0)</f>
        <v>0</v>
      </c>
      <c r="C2311" s="52">
        <f>IF(Учет!$O2311=Справочники!$F$3,Учет!$H2311,0)</f>
        <v>0</v>
      </c>
      <c r="D2311" s="52">
        <f>IF(Учет!$O2311=Справочники!$F$4,Учет!$H2311,0)</f>
        <v>0</v>
      </c>
      <c r="E2311" s="52">
        <f>IF(Учет!$O2311=Справочники!$F$5,Учет!$H2311,0)</f>
        <v>0</v>
      </c>
      <c r="F2311" s="52">
        <f>IF(Учет!$O2311=Справочники!$F$6,Учет!$H2311,0)</f>
        <v>0</v>
      </c>
      <c r="G2311" s="43">
        <f>G2310+Учет!B2311-B2311</f>
        <v>-488978.92000000004</v>
      </c>
      <c r="H2311" s="43">
        <f>H2310+Учет!C2311-C2311</f>
        <v>336855</v>
      </c>
      <c r="I2311" s="43">
        <f>I2310+Учет!D2311-D2311</f>
        <v>500</v>
      </c>
      <c r="J2311" s="43">
        <f>J2310+Учет!E2311-E2311</f>
        <v>1150</v>
      </c>
      <c r="K2311" s="43">
        <f>K2310+Учет!F2311-F2311</f>
        <v>500000</v>
      </c>
      <c r="L2311" s="45">
        <f>Учет!I2311</f>
        <v>349526.07999999996</v>
      </c>
    </row>
    <row r="2312" spans="1:12" x14ac:dyDescent="0.25">
      <c r="A2312" s="48" t="str">
        <f>IF(Учет!A2312&lt;&gt;"",Учет!A2312,"")</f>
        <v/>
      </c>
      <c r="B2312" s="52">
        <f>IF(Учет!$O2312=Справочники!$F$2,Учет!$H2312,0)</f>
        <v>0</v>
      </c>
      <c r="C2312" s="52">
        <f>IF(Учет!$O2312=Справочники!$F$3,Учет!$H2312,0)</f>
        <v>0</v>
      </c>
      <c r="D2312" s="52">
        <f>IF(Учет!$O2312=Справочники!$F$4,Учет!$H2312,0)</f>
        <v>0</v>
      </c>
      <c r="E2312" s="52">
        <f>IF(Учет!$O2312=Справочники!$F$5,Учет!$H2312,0)</f>
        <v>0</v>
      </c>
      <c r="F2312" s="52">
        <f>IF(Учет!$O2312=Справочники!$F$6,Учет!$H2312,0)</f>
        <v>0</v>
      </c>
      <c r="G2312" s="43">
        <f>G2311+Учет!B2312-B2312</f>
        <v>-488978.92000000004</v>
      </c>
      <c r="H2312" s="43">
        <f>H2311+Учет!C2312-C2312</f>
        <v>336855</v>
      </c>
      <c r="I2312" s="43">
        <f>I2311+Учет!D2312-D2312</f>
        <v>500</v>
      </c>
      <c r="J2312" s="43">
        <f>J2311+Учет!E2312-E2312</f>
        <v>1150</v>
      </c>
      <c r="K2312" s="43">
        <f>K2311+Учет!F2312-F2312</f>
        <v>500000</v>
      </c>
      <c r="L2312" s="45">
        <f>Учет!I2312</f>
        <v>349526.07999999996</v>
      </c>
    </row>
    <row r="2313" spans="1:12" x14ac:dyDescent="0.25">
      <c r="A2313" s="48" t="str">
        <f>IF(Учет!A2313&lt;&gt;"",Учет!A2313,"")</f>
        <v/>
      </c>
      <c r="B2313" s="52">
        <f>IF(Учет!$O2313=Справочники!$F$2,Учет!$H2313,0)</f>
        <v>0</v>
      </c>
      <c r="C2313" s="52">
        <f>IF(Учет!$O2313=Справочники!$F$3,Учет!$H2313,0)</f>
        <v>0</v>
      </c>
      <c r="D2313" s="52">
        <f>IF(Учет!$O2313=Справочники!$F$4,Учет!$H2313,0)</f>
        <v>0</v>
      </c>
      <c r="E2313" s="52">
        <f>IF(Учет!$O2313=Справочники!$F$5,Учет!$H2313,0)</f>
        <v>0</v>
      </c>
      <c r="F2313" s="52">
        <f>IF(Учет!$O2313=Справочники!$F$6,Учет!$H2313,0)</f>
        <v>0</v>
      </c>
      <c r="G2313" s="43">
        <f>G2312+Учет!B2313-B2313</f>
        <v>-488978.92000000004</v>
      </c>
      <c r="H2313" s="43">
        <f>H2312+Учет!C2313-C2313</f>
        <v>336855</v>
      </c>
      <c r="I2313" s="43">
        <f>I2312+Учет!D2313-D2313</f>
        <v>500</v>
      </c>
      <c r="J2313" s="43">
        <f>J2312+Учет!E2313-E2313</f>
        <v>1150</v>
      </c>
      <c r="K2313" s="43">
        <f>K2312+Учет!F2313-F2313</f>
        <v>500000</v>
      </c>
      <c r="L2313" s="45">
        <f>Учет!I2313</f>
        <v>349526.07999999996</v>
      </c>
    </row>
    <row r="2314" spans="1:12" x14ac:dyDescent="0.25">
      <c r="A2314" s="48" t="str">
        <f>IF(Учет!A2314&lt;&gt;"",Учет!A2314,"")</f>
        <v/>
      </c>
      <c r="B2314" s="52">
        <f>IF(Учет!$O2314=Справочники!$F$2,Учет!$H2314,0)</f>
        <v>0</v>
      </c>
      <c r="C2314" s="52">
        <f>IF(Учет!$O2314=Справочники!$F$3,Учет!$H2314,0)</f>
        <v>0</v>
      </c>
      <c r="D2314" s="52">
        <f>IF(Учет!$O2314=Справочники!$F$4,Учет!$H2314,0)</f>
        <v>0</v>
      </c>
      <c r="E2314" s="52">
        <f>IF(Учет!$O2314=Справочники!$F$5,Учет!$H2314,0)</f>
        <v>0</v>
      </c>
      <c r="F2314" s="52">
        <f>IF(Учет!$O2314=Справочники!$F$6,Учет!$H2314,0)</f>
        <v>0</v>
      </c>
      <c r="G2314" s="43">
        <f>G2313+Учет!B2314-B2314</f>
        <v>-488978.92000000004</v>
      </c>
      <c r="H2314" s="43">
        <f>H2313+Учет!C2314-C2314</f>
        <v>336855</v>
      </c>
      <c r="I2314" s="43">
        <f>I2313+Учет!D2314-D2314</f>
        <v>500</v>
      </c>
      <c r="J2314" s="43">
        <f>J2313+Учет!E2314-E2314</f>
        <v>1150</v>
      </c>
      <c r="K2314" s="43">
        <f>K2313+Учет!F2314-F2314</f>
        <v>500000</v>
      </c>
      <c r="L2314" s="45">
        <f>Учет!I2314</f>
        <v>349526.07999999996</v>
      </c>
    </row>
    <row r="2315" spans="1:12" x14ac:dyDescent="0.25">
      <c r="A2315" s="48" t="str">
        <f>IF(Учет!A2315&lt;&gt;"",Учет!A2315,"")</f>
        <v/>
      </c>
      <c r="B2315" s="52">
        <f>IF(Учет!$O2315=Справочники!$F$2,Учет!$H2315,0)</f>
        <v>0</v>
      </c>
      <c r="C2315" s="52">
        <f>IF(Учет!$O2315=Справочники!$F$3,Учет!$H2315,0)</f>
        <v>0</v>
      </c>
      <c r="D2315" s="52">
        <f>IF(Учет!$O2315=Справочники!$F$4,Учет!$H2315,0)</f>
        <v>0</v>
      </c>
      <c r="E2315" s="52">
        <f>IF(Учет!$O2315=Справочники!$F$5,Учет!$H2315,0)</f>
        <v>0</v>
      </c>
      <c r="F2315" s="52">
        <f>IF(Учет!$O2315=Справочники!$F$6,Учет!$H2315,0)</f>
        <v>0</v>
      </c>
      <c r="G2315" s="43">
        <f>G2314+Учет!B2315-B2315</f>
        <v>-488978.92000000004</v>
      </c>
      <c r="H2315" s="43">
        <f>H2314+Учет!C2315-C2315</f>
        <v>336855</v>
      </c>
      <c r="I2315" s="43">
        <f>I2314+Учет!D2315-D2315</f>
        <v>500</v>
      </c>
      <c r="J2315" s="43">
        <f>J2314+Учет!E2315-E2315</f>
        <v>1150</v>
      </c>
      <c r="K2315" s="43">
        <f>K2314+Учет!F2315-F2315</f>
        <v>500000</v>
      </c>
      <c r="L2315" s="45">
        <f>Учет!I2315</f>
        <v>349526.07999999996</v>
      </c>
    </row>
    <row r="2316" spans="1:12" x14ac:dyDescent="0.25">
      <c r="A2316" s="48" t="str">
        <f>IF(Учет!A2316&lt;&gt;"",Учет!A2316,"")</f>
        <v/>
      </c>
      <c r="B2316" s="52">
        <f>IF(Учет!$O2316=Справочники!$F$2,Учет!$H2316,0)</f>
        <v>0</v>
      </c>
      <c r="C2316" s="52">
        <f>IF(Учет!$O2316=Справочники!$F$3,Учет!$H2316,0)</f>
        <v>0</v>
      </c>
      <c r="D2316" s="52">
        <f>IF(Учет!$O2316=Справочники!$F$4,Учет!$H2316,0)</f>
        <v>0</v>
      </c>
      <c r="E2316" s="52">
        <f>IF(Учет!$O2316=Справочники!$F$5,Учет!$H2316,0)</f>
        <v>0</v>
      </c>
      <c r="F2316" s="52">
        <f>IF(Учет!$O2316=Справочники!$F$6,Учет!$H2316,0)</f>
        <v>0</v>
      </c>
      <c r="G2316" s="43">
        <f>G2315+Учет!B2316-B2316</f>
        <v>-488978.92000000004</v>
      </c>
      <c r="H2316" s="43">
        <f>H2315+Учет!C2316-C2316</f>
        <v>336855</v>
      </c>
      <c r="I2316" s="43">
        <f>I2315+Учет!D2316-D2316</f>
        <v>500</v>
      </c>
      <c r="J2316" s="43">
        <f>J2315+Учет!E2316-E2316</f>
        <v>1150</v>
      </c>
      <c r="K2316" s="43">
        <f>K2315+Учет!F2316-F2316</f>
        <v>500000</v>
      </c>
      <c r="L2316" s="45">
        <f>Учет!I2316</f>
        <v>349526.07999999996</v>
      </c>
    </row>
    <row r="2317" spans="1:12" x14ac:dyDescent="0.25">
      <c r="A2317" s="48" t="str">
        <f>IF(Учет!A2317&lt;&gt;"",Учет!A2317,"")</f>
        <v/>
      </c>
      <c r="B2317" s="52">
        <f>IF(Учет!$O2317=Справочники!$F$2,Учет!$H2317,0)</f>
        <v>0</v>
      </c>
      <c r="C2317" s="52">
        <f>IF(Учет!$O2317=Справочники!$F$3,Учет!$H2317,0)</f>
        <v>0</v>
      </c>
      <c r="D2317" s="52">
        <f>IF(Учет!$O2317=Справочники!$F$4,Учет!$H2317,0)</f>
        <v>0</v>
      </c>
      <c r="E2317" s="52">
        <f>IF(Учет!$O2317=Справочники!$F$5,Учет!$H2317,0)</f>
        <v>0</v>
      </c>
      <c r="F2317" s="52">
        <f>IF(Учет!$O2317=Справочники!$F$6,Учет!$H2317,0)</f>
        <v>0</v>
      </c>
      <c r="G2317" s="43">
        <f>G2316+Учет!B2317-B2317</f>
        <v>-488978.92000000004</v>
      </c>
      <c r="H2317" s="43">
        <f>H2316+Учет!C2317-C2317</f>
        <v>336855</v>
      </c>
      <c r="I2317" s="43">
        <f>I2316+Учет!D2317-D2317</f>
        <v>500</v>
      </c>
      <c r="J2317" s="43">
        <f>J2316+Учет!E2317-E2317</f>
        <v>1150</v>
      </c>
      <c r="K2317" s="43">
        <f>K2316+Учет!F2317-F2317</f>
        <v>500000</v>
      </c>
      <c r="L2317" s="45">
        <f>Учет!I2317</f>
        <v>349526.07999999996</v>
      </c>
    </row>
    <row r="2318" spans="1:12" x14ac:dyDescent="0.25">
      <c r="A2318" s="48" t="str">
        <f>IF(Учет!A2318&lt;&gt;"",Учет!A2318,"")</f>
        <v/>
      </c>
      <c r="B2318" s="52">
        <f>IF(Учет!$O2318=Справочники!$F$2,Учет!$H2318,0)</f>
        <v>0</v>
      </c>
      <c r="C2318" s="52">
        <f>IF(Учет!$O2318=Справочники!$F$3,Учет!$H2318,0)</f>
        <v>0</v>
      </c>
      <c r="D2318" s="52">
        <f>IF(Учет!$O2318=Справочники!$F$4,Учет!$H2318,0)</f>
        <v>0</v>
      </c>
      <c r="E2318" s="52">
        <f>IF(Учет!$O2318=Справочники!$F$5,Учет!$H2318,0)</f>
        <v>0</v>
      </c>
      <c r="F2318" s="52">
        <f>IF(Учет!$O2318=Справочники!$F$6,Учет!$H2318,0)</f>
        <v>0</v>
      </c>
      <c r="G2318" s="43">
        <f>G2317+Учет!B2318-B2318</f>
        <v>-488978.92000000004</v>
      </c>
      <c r="H2318" s="43">
        <f>H2317+Учет!C2318-C2318</f>
        <v>336855</v>
      </c>
      <c r="I2318" s="43">
        <f>I2317+Учет!D2318-D2318</f>
        <v>500</v>
      </c>
      <c r="J2318" s="43">
        <f>J2317+Учет!E2318-E2318</f>
        <v>1150</v>
      </c>
      <c r="K2318" s="43">
        <f>K2317+Учет!F2318-F2318</f>
        <v>500000</v>
      </c>
      <c r="L2318" s="45">
        <f>Учет!I2318</f>
        <v>349526.07999999996</v>
      </c>
    </row>
    <row r="2319" spans="1:12" x14ac:dyDescent="0.25">
      <c r="A2319" s="48" t="str">
        <f>IF(Учет!A2319&lt;&gt;"",Учет!A2319,"")</f>
        <v/>
      </c>
      <c r="B2319" s="52">
        <f>IF(Учет!$O2319=Справочники!$F$2,Учет!$H2319,0)</f>
        <v>0</v>
      </c>
      <c r="C2319" s="52">
        <f>IF(Учет!$O2319=Справочники!$F$3,Учет!$H2319,0)</f>
        <v>0</v>
      </c>
      <c r="D2319" s="52">
        <f>IF(Учет!$O2319=Справочники!$F$4,Учет!$H2319,0)</f>
        <v>0</v>
      </c>
      <c r="E2319" s="52">
        <f>IF(Учет!$O2319=Справочники!$F$5,Учет!$H2319,0)</f>
        <v>0</v>
      </c>
      <c r="F2319" s="52">
        <f>IF(Учет!$O2319=Справочники!$F$6,Учет!$H2319,0)</f>
        <v>0</v>
      </c>
      <c r="G2319" s="43">
        <f>G2318+Учет!B2319-B2319</f>
        <v>-488978.92000000004</v>
      </c>
      <c r="H2319" s="43">
        <f>H2318+Учет!C2319-C2319</f>
        <v>336855</v>
      </c>
      <c r="I2319" s="43">
        <f>I2318+Учет!D2319-D2319</f>
        <v>500</v>
      </c>
      <c r="J2319" s="43">
        <f>J2318+Учет!E2319-E2319</f>
        <v>1150</v>
      </c>
      <c r="K2319" s="43">
        <f>K2318+Учет!F2319-F2319</f>
        <v>500000</v>
      </c>
      <c r="L2319" s="45">
        <f>Учет!I2319</f>
        <v>349526.07999999996</v>
      </c>
    </row>
    <row r="2320" spans="1:12" x14ac:dyDescent="0.25">
      <c r="A2320" s="48" t="str">
        <f>IF(Учет!A2320&lt;&gt;"",Учет!A2320,"")</f>
        <v/>
      </c>
      <c r="B2320" s="52">
        <f>IF(Учет!$O2320=Справочники!$F$2,Учет!$H2320,0)</f>
        <v>0</v>
      </c>
      <c r="C2320" s="52">
        <f>IF(Учет!$O2320=Справочники!$F$3,Учет!$H2320,0)</f>
        <v>0</v>
      </c>
      <c r="D2320" s="52">
        <f>IF(Учет!$O2320=Справочники!$F$4,Учет!$H2320,0)</f>
        <v>0</v>
      </c>
      <c r="E2320" s="52">
        <f>IF(Учет!$O2320=Справочники!$F$5,Учет!$H2320,0)</f>
        <v>0</v>
      </c>
      <c r="F2320" s="52">
        <f>IF(Учет!$O2320=Справочники!$F$6,Учет!$H2320,0)</f>
        <v>0</v>
      </c>
      <c r="G2320" s="43">
        <f>G2319+Учет!B2320-B2320</f>
        <v>-488978.92000000004</v>
      </c>
      <c r="H2320" s="43">
        <f>H2319+Учет!C2320-C2320</f>
        <v>336855</v>
      </c>
      <c r="I2320" s="43">
        <f>I2319+Учет!D2320-D2320</f>
        <v>500</v>
      </c>
      <c r="J2320" s="43">
        <f>J2319+Учет!E2320-E2320</f>
        <v>1150</v>
      </c>
      <c r="K2320" s="43">
        <f>K2319+Учет!F2320-F2320</f>
        <v>500000</v>
      </c>
      <c r="L2320" s="45">
        <f>Учет!I2320</f>
        <v>349526.07999999996</v>
      </c>
    </row>
    <row r="2321" spans="1:12" x14ac:dyDescent="0.25">
      <c r="A2321" s="48" t="str">
        <f>IF(Учет!A2321&lt;&gt;"",Учет!A2321,"")</f>
        <v/>
      </c>
      <c r="B2321" s="52">
        <f>IF(Учет!$O2321=Справочники!$F$2,Учет!$H2321,0)</f>
        <v>0</v>
      </c>
      <c r="C2321" s="52">
        <f>IF(Учет!$O2321=Справочники!$F$3,Учет!$H2321,0)</f>
        <v>0</v>
      </c>
      <c r="D2321" s="52">
        <f>IF(Учет!$O2321=Справочники!$F$4,Учет!$H2321,0)</f>
        <v>0</v>
      </c>
      <c r="E2321" s="52">
        <f>IF(Учет!$O2321=Справочники!$F$5,Учет!$H2321,0)</f>
        <v>0</v>
      </c>
      <c r="F2321" s="52">
        <f>IF(Учет!$O2321=Справочники!$F$6,Учет!$H2321,0)</f>
        <v>0</v>
      </c>
      <c r="G2321" s="43">
        <f>G2320+Учет!B2321-B2321</f>
        <v>-488978.92000000004</v>
      </c>
      <c r="H2321" s="43">
        <f>H2320+Учет!C2321-C2321</f>
        <v>336855</v>
      </c>
      <c r="I2321" s="43">
        <f>I2320+Учет!D2321-D2321</f>
        <v>500</v>
      </c>
      <c r="J2321" s="43">
        <f>J2320+Учет!E2321-E2321</f>
        <v>1150</v>
      </c>
      <c r="K2321" s="43">
        <f>K2320+Учет!F2321-F2321</f>
        <v>500000</v>
      </c>
      <c r="L2321" s="45">
        <f>Учет!I2321</f>
        <v>349526.07999999996</v>
      </c>
    </row>
    <row r="2322" spans="1:12" x14ac:dyDescent="0.25">
      <c r="A2322" s="48" t="str">
        <f>IF(Учет!A2322&lt;&gt;"",Учет!A2322,"")</f>
        <v/>
      </c>
      <c r="B2322" s="52">
        <f>IF(Учет!$O2322=Справочники!$F$2,Учет!$H2322,0)</f>
        <v>0</v>
      </c>
      <c r="C2322" s="52">
        <f>IF(Учет!$O2322=Справочники!$F$3,Учет!$H2322,0)</f>
        <v>0</v>
      </c>
      <c r="D2322" s="52">
        <f>IF(Учет!$O2322=Справочники!$F$4,Учет!$H2322,0)</f>
        <v>0</v>
      </c>
      <c r="E2322" s="52">
        <f>IF(Учет!$O2322=Справочники!$F$5,Учет!$H2322,0)</f>
        <v>0</v>
      </c>
      <c r="F2322" s="52">
        <f>IF(Учет!$O2322=Справочники!$F$6,Учет!$H2322,0)</f>
        <v>0</v>
      </c>
      <c r="G2322" s="43">
        <f>G2321+Учет!B2322-B2322</f>
        <v>-488978.92000000004</v>
      </c>
      <c r="H2322" s="43">
        <f>H2321+Учет!C2322-C2322</f>
        <v>336855</v>
      </c>
      <c r="I2322" s="43">
        <f>I2321+Учет!D2322-D2322</f>
        <v>500</v>
      </c>
      <c r="J2322" s="43">
        <f>J2321+Учет!E2322-E2322</f>
        <v>1150</v>
      </c>
      <c r="K2322" s="43">
        <f>K2321+Учет!F2322-F2322</f>
        <v>500000</v>
      </c>
      <c r="L2322" s="45">
        <f>Учет!I2322</f>
        <v>349526.07999999996</v>
      </c>
    </row>
    <row r="2323" spans="1:12" x14ac:dyDescent="0.25">
      <c r="A2323" s="48" t="str">
        <f>IF(Учет!A2323&lt;&gt;"",Учет!A2323,"")</f>
        <v/>
      </c>
      <c r="B2323" s="52">
        <f>IF(Учет!$O2323=Справочники!$F$2,Учет!$H2323,0)</f>
        <v>0</v>
      </c>
      <c r="C2323" s="52">
        <f>IF(Учет!$O2323=Справочники!$F$3,Учет!$H2323,0)</f>
        <v>0</v>
      </c>
      <c r="D2323" s="52">
        <f>IF(Учет!$O2323=Справочники!$F$4,Учет!$H2323,0)</f>
        <v>0</v>
      </c>
      <c r="E2323" s="52">
        <f>IF(Учет!$O2323=Справочники!$F$5,Учет!$H2323,0)</f>
        <v>0</v>
      </c>
      <c r="F2323" s="52">
        <f>IF(Учет!$O2323=Справочники!$F$6,Учет!$H2323,0)</f>
        <v>0</v>
      </c>
      <c r="G2323" s="43">
        <f>G2322+Учет!B2323-B2323</f>
        <v>-488978.92000000004</v>
      </c>
      <c r="H2323" s="43">
        <f>H2322+Учет!C2323-C2323</f>
        <v>336855</v>
      </c>
      <c r="I2323" s="43">
        <f>I2322+Учет!D2323-D2323</f>
        <v>500</v>
      </c>
      <c r="J2323" s="43">
        <f>J2322+Учет!E2323-E2323</f>
        <v>1150</v>
      </c>
      <c r="K2323" s="43">
        <f>K2322+Учет!F2323-F2323</f>
        <v>500000</v>
      </c>
      <c r="L2323" s="45">
        <f>Учет!I2323</f>
        <v>349526.07999999996</v>
      </c>
    </row>
    <row r="2324" spans="1:12" x14ac:dyDescent="0.25">
      <c r="A2324" s="48" t="str">
        <f>IF(Учет!A2324&lt;&gt;"",Учет!A2324,"")</f>
        <v/>
      </c>
      <c r="B2324" s="52">
        <f>IF(Учет!$O2324=Справочники!$F$2,Учет!$H2324,0)</f>
        <v>0</v>
      </c>
      <c r="C2324" s="52">
        <f>IF(Учет!$O2324=Справочники!$F$3,Учет!$H2324,0)</f>
        <v>0</v>
      </c>
      <c r="D2324" s="52">
        <f>IF(Учет!$O2324=Справочники!$F$4,Учет!$H2324,0)</f>
        <v>0</v>
      </c>
      <c r="E2324" s="52">
        <f>IF(Учет!$O2324=Справочники!$F$5,Учет!$H2324,0)</f>
        <v>0</v>
      </c>
      <c r="F2324" s="52">
        <f>IF(Учет!$O2324=Справочники!$F$6,Учет!$H2324,0)</f>
        <v>0</v>
      </c>
      <c r="G2324" s="43">
        <f>G2323+Учет!B2324-B2324</f>
        <v>-488978.92000000004</v>
      </c>
      <c r="H2324" s="43">
        <f>H2323+Учет!C2324-C2324</f>
        <v>336855</v>
      </c>
      <c r="I2324" s="43">
        <f>I2323+Учет!D2324-D2324</f>
        <v>500</v>
      </c>
      <c r="J2324" s="43">
        <f>J2323+Учет!E2324-E2324</f>
        <v>1150</v>
      </c>
      <c r="K2324" s="43">
        <f>K2323+Учет!F2324-F2324</f>
        <v>500000</v>
      </c>
      <c r="L2324" s="45">
        <f>Учет!I2324</f>
        <v>349526.07999999996</v>
      </c>
    </row>
    <row r="2325" spans="1:12" x14ac:dyDescent="0.25">
      <c r="A2325" s="48" t="str">
        <f>IF(Учет!A2325&lt;&gt;"",Учет!A2325,"")</f>
        <v/>
      </c>
      <c r="B2325" s="52">
        <f>IF(Учет!$O2325=Справочники!$F$2,Учет!$H2325,0)</f>
        <v>0</v>
      </c>
      <c r="C2325" s="52">
        <f>IF(Учет!$O2325=Справочники!$F$3,Учет!$H2325,0)</f>
        <v>0</v>
      </c>
      <c r="D2325" s="52">
        <f>IF(Учет!$O2325=Справочники!$F$4,Учет!$H2325,0)</f>
        <v>0</v>
      </c>
      <c r="E2325" s="52">
        <f>IF(Учет!$O2325=Справочники!$F$5,Учет!$H2325,0)</f>
        <v>0</v>
      </c>
      <c r="F2325" s="52">
        <f>IF(Учет!$O2325=Справочники!$F$6,Учет!$H2325,0)</f>
        <v>0</v>
      </c>
      <c r="G2325" s="43">
        <f>G2324+Учет!B2325-B2325</f>
        <v>-488978.92000000004</v>
      </c>
      <c r="H2325" s="43">
        <f>H2324+Учет!C2325-C2325</f>
        <v>336855</v>
      </c>
      <c r="I2325" s="43">
        <f>I2324+Учет!D2325-D2325</f>
        <v>500</v>
      </c>
      <c r="J2325" s="43">
        <f>J2324+Учет!E2325-E2325</f>
        <v>1150</v>
      </c>
      <c r="K2325" s="43">
        <f>K2324+Учет!F2325-F2325</f>
        <v>500000</v>
      </c>
      <c r="L2325" s="45">
        <f>Учет!I2325</f>
        <v>349526.07999999996</v>
      </c>
    </row>
    <row r="2326" spans="1:12" x14ac:dyDescent="0.25">
      <c r="A2326" s="48" t="str">
        <f>IF(Учет!A2326&lt;&gt;"",Учет!A2326,"")</f>
        <v/>
      </c>
      <c r="B2326" s="52">
        <f>IF(Учет!$O2326=Справочники!$F$2,Учет!$H2326,0)</f>
        <v>0</v>
      </c>
      <c r="C2326" s="52">
        <f>IF(Учет!$O2326=Справочники!$F$3,Учет!$H2326,0)</f>
        <v>0</v>
      </c>
      <c r="D2326" s="52">
        <f>IF(Учет!$O2326=Справочники!$F$4,Учет!$H2326,0)</f>
        <v>0</v>
      </c>
      <c r="E2326" s="52">
        <f>IF(Учет!$O2326=Справочники!$F$5,Учет!$H2326,0)</f>
        <v>0</v>
      </c>
      <c r="F2326" s="52">
        <f>IF(Учет!$O2326=Справочники!$F$6,Учет!$H2326,0)</f>
        <v>0</v>
      </c>
      <c r="G2326" s="43">
        <f>G2325+Учет!B2326-B2326</f>
        <v>-488978.92000000004</v>
      </c>
      <c r="H2326" s="43">
        <f>H2325+Учет!C2326-C2326</f>
        <v>336855</v>
      </c>
      <c r="I2326" s="43">
        <f>I2325+Учет!D2326-D2326</f>
        <v>500</v>
      </c>
      <c r="J2326" s="43">
        <f>J2325+Учет!E2326-E2326</f>
        <v>1150</v>
      </c>
      <c r="K2326" s="43">
        <f>K2325+Учет!F2326-F2326</f>
        <v>500000</v>
      </c>
      <c r="L2326" s="45">
        <f>Учет!I2326</f>
        <v>349526.07999999996</v>
      </c>
    </row>
    <row r="2327" spans="1:12" x14ac:dyDescent="0.25">
      <c r="A2327" s="48" t="str">
        <f>IF(Учет!A2327&lt;&gt;"",Учет!A2327,"")</f>
        <v/>
      </c>
      <c r="B2327" s="52">
        <f>IF(Учет!$O2327=Справочники!$F$2,Учет!$H2327,0)</f>
        <v>0</v>
      </c>
      <c r="C2327" s="52">
        <f>IF(Учет!$O2327=Справочники!$F$3,Учет!$H2327,0)</f>
        <v>0</v>
      </c>
      <c r="D2327" s="52">
        <f>IF(Учет!$O2327=Справочники!$F$4,Учет!$H2327,0)</f>
        <v>0</v>
      </c>
      <c r="E2327" s="52">
        <f>IF(Учет!$O2327=Справочники!$F$5,Учет!$H2327,0)</f>
        <v>0</v>
      </c>
      <c r="F2327" s="52">
        <f>IF(Учет!$O2327=Справочники!$F$6,Учет!$H2327,0)</f>
        <v>0</v>
      </c>
      <c r="G2327" s="43">
        <f>G2326+Учет!B2327-B2327</f>
        <v>-488978.92000000004</v>
      </c>
      <c r="H2327" s="43">
        <f>H2326+Учет!C2327-C2327</f>
        <v>336855</v>
      </c>
      <c r="I2327" s="43">
        <f>I2326+Учет!D2327-D2327</f>
        <v>500</v>
      </c>
      <c r="J2327" s="43">
        <f>J2326+Учет!E2327-E2327</f>
        <v>1150</v>
      </c>
      <c r="K2327" s="43">
        <f>K2326+Учет!F2327-F2327</f>
        <v>500000</v>
      </c>
      <c r="L2327" s="45">
        <f>Учет!I2327</f>
        <v>349526.07999999996</v>
      </c>
    </row>
    <row r="2328" spans="1:12" x14ac:dyDescent="0.25">
      <c r="A2328" s="48" t="str">
        <f>IF(Учет!A2328&lt;&gt;"",Учет!A2328,"")</f>
        <v/>
      </c>
      <c r="B2328" s="52">
        <f>IF(Учет!$O2328=Справочники!$F$2,Учет!$H2328,0)</f>
        <v>0</v>
      </c>
      <c r="C2328" s="52">
        <f>IF(Учет!$O2328=Справочники!$F$3,Учет!$H2328,0)</f>
        <v>0</v>
      </c>
      <c r="D2328" s="52">
        <f>IF(Учет!$O2328=Справочники!$F$4,Учет!$H2328,0)</f>
        <v>0</v>
      </c>
      <c r="E2328" s="52">
        <f>IF(Учет!$O2328=Справочники!$F$5,Учет!$H2328,0)</f>
        <v>0</v>
      </c>
      <c r="F2328" s="52">
        <f>IF(Учет!$O2328=Справочники!$F$6,Учет!$H2328,0)</f>
        <v>0</v>
      </c>
      <c r="G2328" s="43">
        <f>G2327+Учет!B2328-B2328</f>
        <v>-488978.92000000004</v>
      </c>
      <c r="H2328" s="43">
        <f>H2327+Учет!C2328-C2328</f>
        <v>336855</v>
      </c>
      <c r="I2328" s="43">
        <f>I2327+Учет!D2328-D2328</f>
        <v>500</v>
      </c>
      <c r="J2328" s="43">
        <f>J2327+Учет!E2328-E2328</f>
        <v>1150</v>
      </c>
      <c r="K2328" s="43">
        <f>K2327+Учет!F2328-F2328</f>
        <v>500000</v>
      </c>
      <c r="L2328" s="45">
        <f>Учет!I2328</f>
        <v>349526.07999999996</v>
      </c>
    </row>
    <row r="2329" spans="1:12" x14ac:dyDescent="0.25">
      <c r="A2329" s="48" t="str">
        <f>IF(Учет!A2329&lt;&gt;"",Учет!A2329,"")</f>
        <v/>
      </c>
      <c r="B2329" s="52">
        <f>IF(Учет!$O2329=Справочники!$F$2,Учет!$H2329,0)</f>
        <v>0</v>
      </c>
      <c r="C2329" s="52">
        <f>IF(Учет!$O2329=Справочники!$F$3,Учет!$H2329,0)</f>
        <v>0</v>
      </c>
      <c r="D2329" s="52">
        <f>IF(Учет!$O2329=Справочники!$F$4,Учет!$H2329,0)</f>
        <v>0</v>
      </c>
      <c r="E2329" s="52">
        <f>IF(Учет!$O2329=Справочники!$F$5,Учет!$H2329,0)</f>
        <v>0</v>
      </c>
      <c r="F2329" s="52">
        <f>IF(Учет!$O2329=Справочники!$F$6,Учет!$H2329,0)</f>
        <v>0</v>
      </c>
      <c r="G2329" s="43">
        <f>G2328+Учет!B2329-B2329</f>
        <v>-488978.92000000004</v>
      </c>
      <c r="H2329" s="43">
        <f>H2328+Учет!C2329-C2329</f>
        <v>336855</v>
      </c>
      <c r="I2329" s="43">
        <f>I2328+Учет!D2329-D2329</f>
        <v>500</v>
      </c>
      <c r="J2329" s="43">
        <f>J2328+Учет!E2329-E2329</f>
        <v>1150</v>
      </c>
      <c r="K2329" s="43">
        <f>K2328+Учет!F2329-F2329</f>
        <v>500000</v>
      </c>
      <c r="L2329" s="45">
        <f>Учет!I2329</f>
        <v>349526.07999999996</v>
      </c>
    </row>
    <row r="2330" spans="1:12" x14ac:dyDescent="0.25">
      <c r="A2330" s="48" t="str">
        <f>IF(Учет!A2330&lt;&gt;"",Учет!A2330,"")</f>
        <v/>
      </c>
      <c r="B2330" s="52">
        <f>IF(Учет!$O2330=Справочники!$F$2,Учет!$H2330,0)</f>
        <v>0</v>
      </c>
      <c r="C2330" s="52">
        <f>IF(Учет!$O2330=Справочники!$F$3,Учет!$H2330,0)</f>
        <v>0</v>
      </c>
      <c r="D2330" s="52">
        <f>IF(Учет!$O2330=Справочники!$F$4,Учет!$H2330,0)</f>
        <v>0</v>
      </c>
      <c r="E2330" s="52">
        <f>IF(Учет!$O2330=Справочники!$F$5,Учет!$H2330,0)</f>
        <v>0</v>
      </c>
      <c r="F2330" s="52">
        <f>IF(Учет!$O2330=Справочники!$F$6,Учет!$H2330,0)</f>
        <v>0</v>
      </c>
      <c r="G2330" s="43">
        <f>G2329+Учет!B2330-B2330</f>
        <v>-488978.92000000004</v>
      </c>
      <c r="H2330" s="43">
        <f>H2329+Учет!C2330-C2330</f>
        <v>336855</v>
      </c>
      <c r="I2330" s="43">
        <f>I2329+Учет!D2330-D2330</f>
        <v>500</v>
      </c>
      <c r="J2330" s="43">
        <f>J2329+Учет!E2330-E2330</f>
        <v>1150</v>
      </c>
      <c r="K2330" s="43">
        <f>K2329+Учет!F2330-F2330</f>
        <v>500000</v>
      </c>
      <c r="L2330" s="45">
        <f>Учет!I2330</f>
        <v>349526.07999999996</v>
      </c>
    </row>
    <row r="2331" spans="1:12" x14ac:dyDescent="0.25">
      <c r="A2331" s="48" t="str">
        <f>IF(Учет!A2331&lt;&gt;"",Учет!A2331,"")</f>
        <v/>
      </c>
      <c r="B2331" s="52">
        <f>IF(Учет!$O2331=Справочники!$F$2,Учет!$H2331,0)</f>
        <v>0</v>
      </c>
      <c r="C2331" s="52">
        <f>IF(Учет!$O2331=Справочники!$F$3,Учет!$H2331,0)</f>
        <v>0</v>
      </c>
      <c r="D2331" s="52">
        <f>IF(Учет!$O2331=Справочники!$F$4,Учет!$H2331,0)</f>
        <v>0</v>
      </c>
      <c r="E2331" s="52">
        <f>IF(Учет!$O2331=Справочники!$F$5,Учет!$H2331,0)</f>
        <v>0</v>
      </c>
      <c r="F2331" s="52">
        <f>IF(Учет!$O2331=Справочники!$F$6,Учет!$H2331,0)</f>
        <v>0</v>
      </c>
      <c r="G2331" s="43">
        <f>G2330+Учет!B2331-B2331</f>
        <v>-488978.92000000004</v>
      </c>
      <c r="H2331" s="43">
        <f>H2330+Учет!C2331-C2331</f>
        <v>336855</v>
      </c>
      <c r="I2331" s="43">
        <f>I2330+Учет!D2331-D2331</f>
        <v>500</v>
      </c>
      <c r="J2331" s="43">
        <f>J2330+Учет!E2331-E2331</f>
        <v>1150</v>
      </c>
      <c r="K2331" s="43">
        <f>K2330+Учет!F2331-F2331</f>
        <v>500000</v>
      </c>
      <c r="L2331" s="45">
        <f>Учет!I2331</f>
        <v>349526.07999999996</v>
      </c>
    </row>
    <row r="2332" spans="1:12" x14ac:dyDescent="0.25">
      <c r="A2332" s="48" t="str">
        <f>IF(Учет!A2332&lt;&gt;"",Учет!A2332,"")</f>
        <v/>
      </c>
      <c r="B2332" s="52">
        <f>IF(Учет!$O2332=Справочники!$F$2,Учет!$H2332,0)</f>
        <v>0</v>
      </c>
      <c r="C2332" s="52">
        <f>IF(Учет!$O2332=Справочники!$F$3,Учет!$H2332,0)</f>
        <v>0</v>
      </c>
      <c r="D2332" s="52">
        <f>IF(Учет!$O2332=Справочники!$F$4,Учет!$H2332,0)</f>
        <v>0</v>
      </c>
      <c r="E2332" s="52">
        <f>IF(Учет!$O2332=Справочники!$F$5,Учет!$H2332,0)</f>
        <v>0</v>
      </c>
      <c r="F2332" s="52">
        <f>IF(Учет!$O2332=Справочники!$F$6,Учет!$H2332,0)</f>
        <v>0</v>
      </c>
      <c r="G2332" s="43">
        <f>G2331+Учет!B2332-B2332</f>
        <v>-488978.92000000004</v>
      </c>
      <c r="H2332" s="43">
        <f>H2331+Учет!C2332-C2332</f>
        <v>336855</v>
      </c>
      <c r="I2332" s="43">
        <f>I2331+Учет!D2332-D2332</f>
        <v>500</v>
      </c>
      <c r="J2332" s="43">
        <f>J2331+Учет!E2332-E2332</f>
        <v>1150</v>
      </c>
      <c r="K2332" s="43">
        <f>K2331+Учет!F2332-F2332</f>
        <v>500000</v>
      </c>
      <c r="L2332" s="45">
        <f>Учет!I2332</f>
        <v>349526.07999999996</v>
      </c>
    </row>
    <row r="2333" spans="1:12" x14ac:dyDescent="0.25">
      <c r="A2333" s="48" t="str">
        <f>IF(Учет!A2333&lt;&gt;"",Учет!A2333,"")</f>
        <v/>
      </c>
      <c r="B2333" s="52">
        <f>IF(Учет!$O2333=Справочники!$F$2,Учет!$H2333,0)</f>
        <v>0</v>
      </c>
      <c r="C2333" s="52">
        <f>IF(Учет!$O2333=Справочники!$F$3,Учет!$H2333,0)</f>
        <v>0</v>
      </c>
      <c r="D2333" s="52">
        <f>IF(Учет!$O2333=Справочники!$F$4,Учет!$H2333,0)</f>
        <v>0</v>
      </c>
      <c r="E2333" s="52">
        <f>IF(Учет!$O2333=Справочники!$F$5,Учет!$H2333,0)</f>
        <v>0</v>
      </c>
      <c r="F2333" s="52">
        <f>IF(Учет!$O2333=Справочники!$F$6,Учет!$H2333,0)</f>
        <v>0</v>
      </c>
      <c r="G2333" s="43">
        <f>G2332+Учет!B2333-B2333</f>
        <v>-488978.92000000004</v>
      </c>
      <c r="H2333" s="43">
        <f>H2332+Учет!C2333-C2333</f>
        <v>336855</v>
      </c>
      <c r="I2333" s="43">
        <f>I2332+Учет!D2333-D2333</f>
        <v>500</v>
      </c>
      <c r="J2333" s="43">
        <f>J2332+Учет!E2333-E2333</f>
        <v>1150</v>
      </c>
      <c r="K2333" s="43">
        <f>K2332+Учет!F2333-F2333</f>
        <v>500000</v>
      </c>
      <c r="L2333" s="45">
        <f>Учет!I2333</f>
        <v>349526.07999999996</v>
      </c>
    </row>
    <row r="2334" spans="1:12" x14ac:dyDescent="0.25">
      <c r="A2334" s="48" t="str">
        <f>IF(Учет!A2334&lt;&gt;"",Учет!A2334,"")</f>
        <v/>
      </c>
      <c r="B2334" s="52">
        <f>IF(Учет!$O2334=Справочники!$F$2,Учет!$H2334,0)</f>
        <v>0</v>
      </c>
      <c r="C2334" s="52">
        <f>IF(Учет!$O2334=Справочники!$F$3,Учет!$H2334,0)</f>
        <v>0</v>
      </c>
      <c r="D2334" s="52">
        <f>IF(Учет!$O2334=Справочники!$F$4,Учет!$H2334,0)</f>
        <v>0</v>
      </c>
      <c r="E2334" s="52">
        <f>IF(Учет!$O2334=Справочники!$F$5,Учет!$H2334,0)</f>
        <v>0</v>
      </c>
      <c r="F2334" s="52">
        <f>IF(Учет!$O2334=Справочники!$F$6,Учет!$H2334,0)</f>
        <v>0</v>
      </c>
      <c r="G2334" s="43">
        <f>G2333+Учет!B2334-B2334</f>
        <v>-488978.92000000004</v>
      </c>
      <c r="H2334" s="43">
        <f>H2333+Учет!C2334-C2334</f>
        <v>336855</v>
      </c>
      <c r="I2334" s="43">
        <f>I2333+Учет!D2334-D2334</f>
        <v>500</v>
      </c>
      <c r="J2334" s="43">
        <f>J2333+Учет!E2334-E2334</f>
        <v>1150</v>
      </c>
      <c r="K2334" s="43">
        <f>K2333+Учет!F2334-F2334</f>
        <v>500000</v>
      </c>
      <c r="L2334" s="45">
        <f>Учет!I2334</f>
        <v>349526.07999999996</v>
      </c>
    </row>
    <row r="2335" spans="1:12" x14ac:dyDescent="0.25">
      <c r="A2335" s="48" t="str">
        <f>IF(Учет!A2335&lt;&gt;"",Учет!A2335,"")</f>
        <v/>
      </c>
      <c r="B2335" s="52">
        <f>IF(Учет!$O2335=Справочники!$F$2,Учет!$H2335,0)</f>
        <v>0</v>
      </c>
      <c r="C2335" s="52">
        <f>IF(Учет!$O2335=Справочники!$F$3,Учет!$H2335,0)</f>
        <v>0</v>
      </c>
      <c r="D2335" s="52">
        <f>IF(Учет!$O2335=Справочники!$F$4,Учет!$H2335,0)</f>
        <v>0</v>
      </c>
      <c r="E2335" s="52">
        <f>IF(Учет!$O2335=Справочники!$F$5,Учет!$H2335,0)</f>
        <v>0</v>
      </c>
      <c r="F2335" s="52">
        <f>IF(Учет!$O2335=Справочники!$F$6,Учет!$H2335,0)</f>
        <v>0</v>
      </c>
      <c r="G2335" s="43">
        <f>G2334+Учет!B2335-B2335</f>
        <v>-488978.92000000004</v>
      </c>
      <c r="H2335" s="43">
        <f>H2334+Учет!C2335-C2335</f>
        <v>336855</v>
      </c>
      <c r="I2335" s="43">
        <f>I2334+Учет!D2335-D2335</f>
        <v>500</v>
      </c>
      <c r="J2335" s="43">
        <f>J2334+Учет!E2335-E2335</f>
        <v>1150</v>
      </c>
      <c r="K2335" s="43">
        <f>K2334+Учет!F2335-F2335</f>
        <v>500000</v>
      </c>
      <c r="L2335" s="45">
        <f>Учет!I2335</f>
        <v>349526.07999999996</v>
      </c>
    </row>
    <row r="2336" spans="1:12" x14ac:dyDescent="0.25">
      <c r="A2336" s="48" t="str">
        <f>IF(Учет!A2336&lt;&gt;"",Учет!A2336,"")</f>
        <v/>
      </c>
      <c r="B2336" s="52">
        <f>IF(Учет!$O2336=Справочники!$F$2,Учет!$H2336,0)</f>
        <v>0</v>
      </c>
      <c r="C2336" s="52">
        <f>IF(Учет!$O2336=Справочники!$F$3,Учет!$H2336,0)</f>
        <v>0</v>
      </c>
      <c r="D2336" s="52">
        <f>IF(Учет!$O2336=Справочники!$F$4,Учет!$H2336,0)</f>
        <v>0</v>
      </c>
      <c r="E2336" s="52">
        <f>IF(Учет!$O2336=Справочники!$F$5,Учет!$H2336,0)</f>
        <v>0</v>
      </c>
      <c r="F2336" s="52">
        <f>IF(Учет!$O2336=Справочники!$F$6,Учет!$H2336,0)</f>
        <v>0</v>
      </c>
      <c r="G2336" s="43">
        <f>G2335+Учет!B2336-B2336</f>
        <v>-488978.92000000004</v>
      </c>
      <c r="H2336" s="43">
        <f>H2335+Учет!C2336-C2336</f>
        <v>336855</v>
      </c>
      <c r="I2336" s="43">
        <f>I2335+Учет!D2336-D2336</f>
        <v>500</v>
      </c>
      <c r="J2336" s="43">
        <f>J2335+Учет!E2336-E2336</f>
        <v>1150</v>
      </c>
      <c r="K2336" s="43">
        <f>K2335+Учет!F2336-F2336</f>
        <v>500000</v>
      </c>
      <c r="L2336" s="45">
        <f>Учет!I2336</f>
        <v>349526.07999999996</v>
      </c>
    </row>
    <row r="2337" spans="1:12" x14ac:dyDescent="0.25">
      <c r="A2337" s="48" t="str">
        <f>IF(Учет!A2337&lt;&gt;"",Учет!A2337,"")</f>
        <v/>
      </c>
      <c r="B2337" s="52">
        <f>IF(Учет!$O2337=Справочники!$F$2,Учет!$H2337,0)</f>
        <v>0</v>
      </c>
      <c r="C2337" s="52">
        <f>IF(Учет!$O2337=Справочники!$F$3,Учет!$H2337,0)</f>
        <v>0</v>
      </c>
      <c r="D2337" s="52">
        <f>IF(Учет!$O2337=Справочники!$F$4,Учет!$H2337,0)</f>
        <v>0</v>
      </c>
      <c r="E2337" s="52">
        <f>IF(Учет!$O2337=Справочники!$F$5,Учет!$H2337,0)</f>
        <v>0</v>
      </c>
      <c r="F2337" s="52">
        <f>IF(Учет!$O2337=Справочники!$F$6,Учет!$H2337,0)</f>
        <v>0</v>
      </c>
      <c r="G2337" s="43">
        <f>G2336+Учет!B2337-B2337</f>
        <v>-488978.92000000004</v>
      </c>
      <c r="H2337" s="43">
        <f>H2336+Учет!C2337-C2337</f>
        <v>336855</v>
      </c>
      <c r="I2337" s="43">
        <f>I2336+Учет!D2337-D2337</f>
        <v>500</v>
      </c>
      <c r="J2337" s="43">
        <f>J2336+Учет!E2337-E2337</f>
        <v>1150</v>
      </c>
      <c r="K2337" s="43">
        <f>K2336+Учет!F2337-F2337</f>
        <v>500000</v>
      </c>
      <c r="L2337" s="45">
        <f>Учет!I2337</f>
        <v>349526.07999999996</v>
      </c>
    </row>
    <row r="2338" spans="1:12" x14ac:dyDescent="0.25">
      <c r="A2338" s="48" t="str">
        <f>IF(Учет!A2338&lt;&gt;"",Учет!A2338,"")</f>
        <v/>
      </c>
      <c r="B2338" s="52">
        <f>IF(Учет!$O2338=Справочники!$F$2,Учет!$H2338,0)</f>
        <v>0</v>
      </c>
      <c r="C2338" s="52">
        <f>IF(Учет!$O2338=Справочники!$F$3,Учет!$H2338,0)</f>
        <v>0</v>
      </c>
      <c r="D2338" s="52">
        <f>IF(Учет!$O2338=Справочники!$F$4,Учет!$H2338,0)</f>
        <v>0</v>
      </c>
      <c r="E2338" s="52">
        <f>IF(Учет!$O2338=Справочники!$F$5,Учет!$H2338,0)</f>
        <v>0</v>
      </c>
      <c r="F2338" s="52">
        <f>IF(Учет!$O2338=Справочники!$F$6,Учет!$H2338,0)</f>
        <v>0</v>
      </c>
      <c r="G2338" s="43">
        <f>G2337+Учет!B2338-B2338</f>
        <v>-488978.92000000004</v>
      </c>
      <c r="H2338" s="43">
        <f>H2337+Учет!C2338-C2338</f>
        <v>336855</v>
      </c>
      <c r="I2338" s="43">
        <f>I2337+Учет!D2338-D2338</f>
        <v>500</v>
      </c>
      <c r="J2338" s="43">
        <f>J2337+Учет!E2338-E2338</f>
        <v>1150</v>
      </c>
      <c r="K2338" s="43">
        <f>K2337+Учет!F2338-F2338</f>
        <v>500000</v>
      </c>
      <c r="L2338" s="45">
        <f>Учет!I2338</f>
        <v>349526.07999999996</v>
      </c>
    </row>
    <row r="2339" spans="1:12" x14ac:dyDescent="0.25">
      <c r="A2339" s="48" t="str">
        <f>IF(Учет!A2339&lt;&gt;"",Учет!A2339,"")</f>
        <v/>
      </c>
      <c r="B2339" s="52">
        <f>IF(Учет!$O2339=Справочники!$F$2,Учет!$H2339,0)</f>
        <v>0</v>
      </c>
      <c r="C2339" s="52">
        <f>IF(Учет!$O2339=Справочники!$F$3,Учет!$H2339,0)</f>
        <v>0</v>
      </c>
      <c r="D2339" s="52">
        <f>IF(Учет!$O2339=Справочники!$F$4,Учет!$H2339,0)</f>
        <v>0</v>
      </c>
      <c r="E2339" s="52">
        <f>IF(Учет!$O2339=Справочники!$F$5,Учет!$H2339,0)</f>
        <v>0</v>
      </c>
      <c r="F2339" s="52">
        <f>IF(Учет!$O2339=Справочники!$F$6,Учет!$H2339,0)</f>
        <v>0</v>
      </c>
      <c r="G2339" s="43">
        <f>G2338+Учет!B2339-B2339</f>
        <v>-488978.92000000004</v>
      </c>
      <c r="H2339" s="43">
        <f>H2338+Учет!C2339-C2339</f>
        <v>336855</v>
      </c>
      <c r="I2339" s="43">
        <f>I2338+Учет!D2339-D2339</f>
        <v>500</v>
      </c>
      <c r="J2339" s="43">
        <f>J2338+Учет!E2339-E2339</f>
        <v>1150</v>
      </c>
      <c r="K2339" s="43">
        <f>K2338+Учет!F2339-F2339</f>
        <v>500000</v>
      </c>
      <c r="L2339" s="45">
        <f>Учет!I2339</f>
        <v>349526.07999999996</v>
      </c>
    </row>
    <row r="2340" spans="1:12" x14ac:dyDescent="0.25">
      <c r="A2340" s="48" t="str">
        <f>IF(Учет!A2340&lt;&gt;"",Учет!A2340,"")</f>
        <v/>
      </c>
      <c r="B2340" s="52">
        <f>IF(Учет!$O2340=Справочники!$F$2,Учет!$H2340,0)</f>
        <v>0</v>
      </c>
      <c r="C2340" s="52">
        <f>IF(Учет!$O2340=Справочники!$F$3,Учет!$H2340,0)</f>
        <v>0</v>
      </c>
      <c r="D2340" s="52">
        <f>IF(Учет!$O2340=Справочники!$F$4,Учет!$H2340,0)</f>
        <v>0</v>
      </c>
      <c r="E2340" s="52">
        <f>IF(Учет!$O2340=Справочники!$F$5,Учет!$H2340,0)</f>
        <v>0</v>
      </c>
      <c r="F2340" s="52">
        <f>IF(Учет!$O2340=Справочники!$F$6,Учет!$H2340,0)</f>
        <v>0</v>
      </c>
      <c r="G2340" s="43">
        <f>G2339+Учет!B2340-B2340</f>
        <v>-488978.92000000004</v>
      </c>
      <c r="H2340" s="43">
        <f>H2339+Учет!C2340-C2340</f>
        <v>336855</v>
      </c>
      <c r="I2340" s="43">
        <f>I2339+Учет!D2340-D2340</f>
        <v>500</v>
      </c>
      <c r="J2340" s="43">
        <f>J2339+Учет!E2340-E2340</f>
        <v>1150</v>
      </c>
      <c r="K2340" s="43">
        <f>K2339+Учет!F2340-F2340</f>
        <v>500000</v>
      </c>
      <c r="L2340" s="45">
        <f>Учет!I2340</f>
        <v>349526.07999999996</v>
      </c>
    </row>
    <row r="2341" spans="1:12" x14ac:dyDescent="0.25">
      <c r="A2341" s="48" t="str">
        <f>IF(Учет!A2341&lt;&gt;"",Учет!A2341,"")</f>
        <v/>
      </c>
      <c r="B2341" s="52">
        <f>IF(Учет!$O2341=Справочники!$F$2,Учет!$H2341,0)</f>
        <v>0</v>
      </c>
      <c r="C2341" s="52">
        <f>IF(Учет!$O2341=Справочники!$F$3,Учет!$H2341,0)</f>
        <v>0</v>
      </c>
      <c r="D2341" s="52">
        <f>IF(Учет!$O2341=Справочники!$F$4,Учет!$H2341,0)</f>
        <v>0</v>
      </c>
      <c r="E2341" s="52">
        <f>IF(Учет!$O2341=Справочники!$F$5,Учет!$H2341,0)</f>
        <v>0</v>
      </c>
      <c r="F2341" s="52">
        <f>IF(Учет!$O2341=Справочники!$F$6,Учет!$H2341,0)</f>
        <v>0</v>
      </c>
      <c r="G2341" s="43">
        <f>G2340+Учет!B2341-B2341</f>
        <v>-488978.92000000004</v>
      </c>
      <c r="H2341" s="43">
        <f>H2340+Учет!C2341-C2341</f>
        <v>336855</v>
      </c>
      <c r="I2341" s="43">
        <f>I2340+Учет!D2341-D2341</f>
        <v>500</v>
      </c>
      <c r="J2341" s="43">
        <f>J2340+Учет!E2341-E2341</f>
        <v>1150</v>
      </c>
      <c r="K2341" s="43">
        <f>K2340+Учет!F2341-F2341</f>
        <v>500000</v>
      </c>
      <c r="L2341" s="45">
        <f>Учет!I2341</f>
        <v>349526.07999999996</v>
      </c>
    </row>
    <row r="2342" spans="1:12" x14ac:dyDescent="0.25">
      <c r="A2342" s="48" t="str">
        <f>IF(Учет!A2342&lt;&gt;"",Учет!A2342,"")</f>
        <v/>
      </c>
      <c r="B2342" s="52">
        <f>IF(Учет!$O2342=Справочники!$F$2,Учет!$H2342,0)</f>
        <v>0</v>
      </c>
      <c r="C2342" s="52">
        <f>IF(Учет!$O2342=Справочники!$F$3,Учет!$H2342,0)</f>
        <v>0</v>
      </c>
      <c r="D2342" s="52">
        <f>IF(Учет!$O2342=Справочники!$F$4,Учет!$H2342,0)</f>
        <v>0</v>
      </c>
      <c r="E2342" s="52">
        <f>IF(Учет!$O2342=Справочники!$F$5,Учет!$H2342,0)</f>
        <v>0</v>
      </c>
      <c r="F2342" s="52">
        <f>IF(Учет!$O2342=Справочники!$F$6,Учет!$H2342,0)</f>
        <v>0</v>
      </c>
      <c r="G2342" s="43">
        <f>G2341+Учет!B2342-B2342</f>
        <v>-488978.92000000004</v>
      </c>
      <c r="H2342" s="43">
        <f>H2341+Учет!C2342-C2342</f>
        <v>336855</v>
      </c>
      <c r="I2342" s="43">
        <f>I2341+Учет!D2342-D2342</f>
        <v>500</v>
      </c>
      <c r="J2342" s="43">
        <f>J2341+Учет!E2342-E2342</f>
        <v>1150</v>
      </c>
      <c r="K2342" s="43">
        <f>K2341+Учет!F2342-F2342</f>
        <v>500000</v>
      </c>
      <c r="L2342" s="45">
        <f>Учет!I2342</f>
        <v>349526.07999999996</v>
      </c>
    </row>
    <row r="2343" spans="1:12" x14ac:dyDescent="0.25">
      <c r="A2343" s="48" t="str">
        <f>IF(Учет!A2343&lt;&gt;"",Учет!A2343,"")</f>
        <v/>
      </c>
      <c r="B2343" s="52">
        <f>IF(Учет!$O2343=Справочники!$F$2,Учет!$H2343,0)</f>
        <v>0</v>
      </c>
      <c r="C2343" s="52">
        <f>IF(Учет!$O2343=Справочники!$F$3,Учет!$H2343,0)</f>
        <v>0</v>
      </c>
      <c r="D2343" s="52">
        <f>IF(Учет!$O2343=Справочники!$F$4,Учет!$H2343,0)</f>
        <v>0</v>
      </c>
      <c r="E2343" s="52">
        <f>IF(Учет!$O2343=Справочники!$F$5,Учет!$H2343,0)</f>
        <v>0</v>
      </c>
      <c r="F2343" s="52">
        <f>IF(Учет!$O2343=Справочники!$F$6,Учет!$H2343,0)</f>
        <v>0</v>
      </c>
      <c r="G2343" s="43">
        <f>G2342+Учет!B2343-B2343</f>
        <v>-488978.92000000004</v>
      </c>
      <c r="H2343" s="43">
        <f>H2342+Учет!C2343-C2343</f>
        <v>336855</v>
      </c>
      <c r="I2343" s="43">
        <f>I2342+Учет!D2343-D2343</f>
        <v>500</v>
      </c>
      <c r="J2343" s="43">
        <f>J2342+Учет!E2343-E2343</f>
        <v>1150</v>
      </c>
      <c r="K2343" s="43">
        <f>K2342+Учет!F2343-F2343</f>
        <v>500000</v>
      </c>
      <c r="L2343" s="45">
        <f>Учет!I2343</f>
        <v>349526.07999999996</v>
      </c>
    </row>
    <row r="2344" spans="1:12" x14ac:dyDescent="0.25">
      <c r="A2344" s="48" t="str">
        <f>IF(Учет!A2344&lt;&gt;"",Учет!A2344,"")</f>
        <v/>
      </c>
      <c r="B2344" s="52">
        <f>IF(Учет!$O2344=Справочники!$F$2,Учет!$H2344,0)</f>
        <v>0</v>
      </c>
      <c r="C2344" s="52">
        <f>IF(Учет!$O2344=Справочники!$F$3,Учет!$H2344,0)</f>
        <v>0</v>
      </c>
      <c r="D2344" s="52">
        <f>IF(Учет!$O2344=Справочники!$F$4,Учет!$H2344,0)</f>
        <v>0</v>
      </c>
      <c r="E2344" s="52">
        <f>IF(Учет!$O2344=Справочники!$F$5,Учет!$H2344,0)</f>
        <v>0</v>
      </c>
      <c r="F2344" s="52">
        <f>IF(Учет!$O2344=Справочники!$F$6,Учет!$H2344,0)</f>
        <v>0</v>
      </c>
      <c r="G2344" s="43">
        <f>G2343+Учет!B2344-B2344</f>
        <v>-488978.92000000004</v>
      </c>
      <c r="H2344" s="43">
        <f>H2343+Учет!C2344-C2344</f>
        <v>336855</v>
      </c>
      <c r="I2344" s="43">
        <f>I2343+Учет!D2344-D2344</f>
        <v>500</v>
      </c>
      <c r="J2344" s="43">
        <f>J2343+Учет!E2344-E2344</f>
        <v>1150</v>
      </c>
      <c r="K2344" s="43">
        <f>K2343+Учет!F2344-F2344</f>
        <v>500000</v>
      </c>
      <c r="L2344" s="45">
        <f>Учет!I2344</f>
        <v>349526.07999999996</v>
      </c>
    </row>
    <row r="2345" spans="1:12" x14ac:dyDescent="0.25">
      <c r="A2345" s="48" t="str">
        <f>IF(Учет!A2345&lt;&gt;"",Учет!A2345,"")</f>
        <v/>
      </c>
      <c r="B2345" s="52">
        <f>IF(Учет!$O2345=Справочники!$F$2,Учет!$H2345,0)</f>
        <v>0</v>
      </c>
      <c r="C2345" s="52">
        <f>IF(Учет!$O2345=Справочники!$F$3,Учет!$H2345,0)</f>
        <v>0</v>
      </c>
      <c r="D2345" s="52">
        <f>IF(Учет!$O2345=Справочники!$F$4,Учет!$H2345,0)</f>
        <v>0</v>
      </c>
      <c r="E2345" s="52">
        <f>IF(Учет!$O2345=Справочники!$F$5,Учет!$H2345,0)</f>
        <v>0</v>
      </c>
      <c r="F2345" s="52">
        <f>IF(Учет!$O2345=Справочники!$F$6,Учет!$H2345,0)</f>
        <v>0</v>
      </c>
      <c r="G2345" s="43">
        <f>G2344+Учет!B2345-B2345</f>
        <v>-488978.92000000004</v>
      </c>
      <c r="H2345" s="43">
        <f>H2344+Учет!C2345-C2345</f>
        <v>336855</v>
      </c>
      <c r="I2345" s="43">
        <f>I2344+Учет!D2345-D2345</f>
        <v>500</v>
      </c>
      <c r="J2345" s="43">
        <f>J2344+Учет!E2345-E2345</f>
        <v>1150</v>
      </c>
      <c r="K2345" s="43">
        <f>K2344+Учет!F2345-F2345</f>
        <v>500000</v>
      </c>
      <c r="L2345" s="45">
        <f>Учет!I2345</f>
        <v>349526.07999999996</v>
      </c>
    </row>
    <row r="2346" spans="1:12" x14ac:dyDescent="0.25">
      <c r="A2346" s="48" t="str">
        <f>IF(Учет!A2346&lt;&gt;"",Учет!A2346,"")</f>
        <v/>
      </c>
      <c r="B2346" s="52">
        <f>IF(Учет!$O2346=Справочники!$F$2,Учет!$H2346,0)</f>
        <v>0</v>
      </c>
      <c r="C2346" s="52">
        <f>IF(Учет!$O2346=Справочники!$F$3,Учет!$H2346,0)</f>
        <v>0</v>
      </c>
      <c r="D2346" s="52">
        <f>IF(Учет!$O2346=Справочники!$F$4,Учет!$H2346,0)</f>
        <v>0</v>
      </c>
      <c r="E2346" s="52">
        <f>IF(Учет!$O2346=Справочники!$F$5,Учет!$H2346,0)</f>
        <v>0</v>
      </c>
      <c r="F2346" s="52">
        <f>IF(Учет!$O2346=Справочники!$F$6,Учет!$H2346,0)</f>
        <v>0</v>
      </c>
      <c r="G2346" s="43">
        <f>G2345+Учет!B2346-B2346</f>
        <v>-488978.92000000004</v>
      </c>
      <c r="H2346" s="43">
        <f>H2345+Учет!C2346-C2346</f>
        <v>336855</v>
      </c>
      <c r="I2346" s="43">
        <f>I2345+Учет!D2346-D2346</f>
        <v>500</v>
      </c>
      <c r="J2346" s="43">
        <f>J2345+Учет!E2346-E2346</f>
        <v>1150</v>
      </c>
      <c r="K2346" s="43">
        <f>K2345+Учет!F2346-F2346</f>
        <v>500000</v>
      </c>
      <c r="L2346" s="45">
        <f>Учет!I2346</f>
        <v>349526.07999999996</v>
      </c>
    </row>
    <row r="2347" spans="1:12" x14ac:dyDescent="0.25">
      <c r="A2347" s="48" t="str">
        <f>IF(Учет!A2347&lt;&gt;"",Учет!A2347,"")</f>
        <v/>
      </c>
      <c r="B2347" s="52">
        <f>IF(Учет!$O2347=Справочники!$F$2,Учет!$H2347,0)</f>
        <v>0</v>
      </c>
      <c r="C2347" s="52">
        <f>IF(Учет!$O2347=Справочники!$F$3,Учет!$H2347,0)</f>
        <v>0</v>
      </c>
      <c r="D2347" s="52">
        <f>IF(Учет!$O2347=Справочники!$F$4,Учет!$H2347,0)</f>
        <v>0</v>
      </c>
      <c r="E2347" s="52">
        <f>IF(Учет!$O2347=Справочники!$F$5,Учет!$H2347,0)</f>
        <v>0</v>
      </c>
      <c r="F2347" s="52">
        <f>IF(Учет!$O2347=Справочники!$F$6,Учет!$H2347,0)</f>
        <v>0</v>
      </c>
      <c r="G2347" s="43">
        <f>G2346+Учет!B2347-B2347</f>
        <v>-488978.92000000004</v>
      </c>
      <c r="H2347" s="43">
        <f>H2346+Учет!C2347-C2347</f>
        <v>336855</v>
      </c>
      <c r="I2347" s="43">
        <f>I2346+Учет!D2347-D2347</f>
        <v>500</v>
      </c>
      <c r="J2347" s="43">
        <f>J2346+Учет!E2347-E2347</f>
        <v>1150</v>
      </c>
      <c r="K2347" s="43">
        <f>K2346+Учет!F2347-F2347</f>
        <v>500000</v>
      </c>
      <c r="L2347" s="45">
        <f>Учет!I2347</f>
        <v>349526.07999999996</v>
      </c>
    </row>
    <row r="2348" spans="1:12" x14ac:dyDescent="0.25">
      <c r="A2348" s="48" t="str">
        <f>IF(Учет!A2348&lt;&gt;"",Учет!A2348,"")</f>
        <v/>
      </c>
      <c r="B2348" s="52">
        <f>IF(Учет!$O2348=Справочники!$F$2,Учет!$H2348,0)</f>
        <v>0</v>
      </c>
      <c r="C2348" s="52">
        <f>IF(Учет!$O2348=Справочники!$F$3,Учет!$H2348,0)</f>
        <v>0</v>
      </c>
      <c r="D2348" s="52">
        <f>IF(Учет!$O2348=Справочники!$F$4,Учет!$H2348,0)</f>
        <v>0</v>
      </c>
      <c r="E2348" s="52">
        <f>IF(Учет!$O2348=Справочники!$F$5,Учет!$H2348,0)</f>
        <v>0</v>
      </c>
      <c r="F2348" s="52">
        <f>IF(Учет!$O2348=Справочники!$F$6,Учет!$H2348,0)</f>
        <v>0</v>
      </c>
      <c r="G2348" s="43">
        <f>G2347+Учет!B2348-B2348</f>
        <v>-488978.92000000004</v>
      </c>
      <c r="H2348" s="43">
        <f>H2347+Учет!C2348-C2348</f>
        <v>336855</v>
      </c>
      <c r="I2348" s="43">
        <f>I2347+Учет!D2348-D2348</f>
        <v>500</v>
      </c>
      <c r="J2348" s="43">
        <f>J2347+Учет!E2348-E2348</f>
        <v>1150</v>
      </c>
      <c r="K2348" s="43">
        <f>K2347+Учет!F2348-F2348</f>
        <v>500000</v>
      </c>
      <c r="L2348" s="45">
        <f>Учет!I2348</f>
        <v>349526.07999999996</v>
      </c>
    </row>
    <row r="2349" spans="1:12" x14ac:dyDescent="0.25">
      <c r="A2349" s="48" t="str">
        <f>IF(Учет!A2349&lt;&gt;"",Учет!A2349,"")</f>
        <v/>
      </c>
      <c r="B2349" s="52">
        <f>IF(Учет!$O2349=Справочники!$F$2,Учет!$H2349,0)</f>
        <v>0</v>
      </c>
      <c r="C2349" s="52">
        <f>IF(Учет!$O2349=Справочники!$F$3,Учет!$H2349,0)</f>
        <v>0</v>
      </c>
      <c r="D2349" s="52">
        <f>IF(Учет!$O2349=Справочники!$F$4,Учет!$H2349,0)</f>
        <v>0</v>
      </c>
      <c r="E2349" s="52">
        <f>IF(Учет!$O2349=Справочники!$F$5,Учет!$H2349,0)</f>
        <v>0</v>
      </c>
      <c r="F2349" s="52">
        <f>IF(Учет!$O2349=Справочники!$F$6,Учет!$H2349,0)</f>
        <v>0</v>
      </c>
      <c r="G2349" s="43">
        <f>G2348+Учет!B2349-B2349</f>
        <v>-488978.92000000004</v>
      </c>
      <c r="H2349" s="43">
        <f>H2348+Учет!C2349-C2349</f>
        <v>336855</v>
      </c>
      <c r="I2349" s="43">
        <f>I2348+Учет!D2349-D2349</f>
        <v>500</v>
      </c>
      <c r="J2349" s="43">
        <f>J2348+Учет!E2349-E2349</f>
        <v>1150</v>
      </c>
      <c r="K2349" s="43">
        <f>K2348+Учет!F2349-F2349</f>
        <v>500000</v>
      </c>
      <c r="L2349" s="45">
        <f>Учет!I2349</f>
        <v>349526.07999999996</v>
      </c>
    </row>
    <row r="2350" spans="1:12" x14ac:dyDescent="0.25">
      <c r="A2350" s="48" t="str">
        <f>IF(Учет!A2350&lt;&gt;"",Учет!A2350,"")</f>
        <v/>
      </c>
      <c r="B2350" s="52">
        <f>IF(Учет!$O2350=Справочники!$F$2,Учет!$H2350,0)</f>
        <v>0</v>
      </c>
      <c r="C2350" s="52">
        <f>IF(Учет!$O2350=Справочники!$F$3,Учет!$H2350,0)</f>
        <v>0</v>
      </c>
      <c r="D2350" s="52">
        <f>IF(Учет!$O2350=Справочники!$F$4,Учет!$H2350,0)</f>
        <v>0</v>
      </c>
      <c r="E2350" s="52">
        <f>IF(Учет!$O2350=Справочники!$F$5,Учет!$H2350,0)</f>
        <v>0</v>
      </c>
      <c r="F2350" s="52">
        <f>IF(Учет!$O2350=Справочники!$F$6,Учет!$H2350,0)</f>
        <v>0</v>
      </c>
      <c r="G2350" s="43">
        <f>G2349+Учет!B2350-B2350</f>
        <v>-488978.92000000004</v>
      </c>
      <c r="H2350" s="43">
        <f>H2349+Учет!C2350-C2350</f>
        <v>336855</v>
      </c>
      <c r="I2350" s="43">
        <f>I2349+Учет!D2350-D2350</f>
        <v>500</v>
      </c>
      <c r="J2350" s="43">
        <f>J2349+Учет!E2350-E2350</f>
        <v>1150</v>
      </c>
      <c r="K2350" s="43">
        <f>K2349+Учет!F2350-F2350</f>
        <v>500000</v>
      </c>
      <c r="L2350" s="45">
        <f>Учет!I2350</f>
        <v>349526.07999999996</v>
      </c>
    </row>
    <row r="2351" spans="1:12" x14ac:dyDescent="0.25">
      <c r="A2351" s="48" t="str">
        <f>IF(Учет!A2351&lt;&gt;"",Учет!A2351,"")</f>
        <v/>
      </c>
      <c r="B2351" s="52">
        <f>IF(Учет!$O2351=Справочники!$F$2,Учет!$H2351,0)</f>
        <v>0</v>
      </c>
      <c r="C2351" s="52">
        <f>IF(Учет!$O2351=Справочники!$F$3,Учет!$H2351,0)</f>
        <v>0</v>
      </c>
      <c r="D2351" s="52">
        <f>IF(Учет!$O2351=Справочники!$F$4,Учет!$H2351,0)</f>
        <v>0</v>
      </c>
      <c r="E2351" s="52">
        <f>IF(Учет!$O2351=Справочники!$F$5,Учет!$H2351,0)</f>
        <v>0</v>
      </c>
      <c r="F2351" s="52">
        <f>IF(Учет!$O2351=Справочники!$F$6,Учет!$H2351,0)</f>
        <v>0</v>
      </c>
      <c r="G2351" s="43">
        <f>G2350+Учет!B2351-B2351</f>
        <v>-488978.92000000004</v>
      </c>
      <c r="H2351" s="43">
        <f>H2350+Учет!C2351-C2351</f>
        <v>336855</v>
      </c>
      <c r="I2351" s="43">
        <f>I2350+Учет!D2351-D2351</f>
        <v>500</v>
      </c>
      <c r="J2351" s="43">
        <f>J2350+Учет!E2351-E2351</f>
        <v>1150</v>
      </c>
      <c r="K2351" s="43">
        <f>K2350+Учет!F2351-F2351</f>
        <v>500000</v>
      </c>
      <c r="L2351" s="45">
        <f>Учет!I2351</f>
        <v>349526.07999999996</v>
      </c>
    </row>
    <row r="2352" spans="1:12" x14ac:dyDescent="0.25">
      <c r="A2352" s="48" t="str">
        <f>IF(Учет!A2352&lt;&gt;"",Учет!A2352,"")</f>
        <v/>
      </c>
      <c r="B2352" s="52">
        <f>IF(Учет!$O2352=Справочники!$F$2,Учет!$H2352,0)</f>
        <v>0</v>
      </c>
      <c r="C2352" s="52">
        <f>IF(Учет!$O2352=Справочники!$F$3,Учет!$H2352,0)</f>
        <v>0</v>
      </c>
      <c r="D2352" s="52">
        <f>IF(Учет!$O2352=Справочники!$F$4,Учет!$H2352,0)</f>
        <v>0</v>
      </c>
      <c r="E2352" s="52">
        <f>IF(Учет!$O2352=Справочники!$F$5,Учет!$H2352,0)</f>
        <v>0</v>
      </c>
      <c r="F2352" s="52">
        <f>IF(Учет!$O2352=Справочники!$F$6,Учет!$H2352,0)</f>
        <v>0</v>
      </c>
      <c r="G2352" s="43">
        <f>G2351+Учет!B2352-B2352</f>
        <v>-488978.92000000004</v>
      </c>
      <c r="H2352" s="43">
        <f>H2351+Учет!C2352-C2352</f>
        <v>336855</v>
      </c>
      <c r="I2352" s="43">
        <f>I2351+Учет!D2352-D2352</f>
        <v>500</v>
      </c>
      <c r="J2352" s="43">
        <f>J2351+Учет!E2352-E2352</f>
        <v>1150</v>
      </c>
      <c r="K2352" s="43">
        <f>K2351+Учет!F2352-F2352</f>
        <v>500000</v>
      </c>
      <c r="L2352" s="45">
        <f>Учет!I2352</f>
        <v>349526.07999999996</v>
      </c>
    </row>
    <row r="2353" spans="1:12" x14ac:dyDescent="0.25">
      <c r="A2353" s="48" t="str">
        <f>IF(Учет!A2353&lt;&gt;"",Учет!A2353,"")</f>
        <v/>
      </c>
      <c r="B2353" s="52">
        <f>IF(Учет!$O2353=Справочники!$F$2,Учет!$H2353,0)</f>
        <v>0</v>
      </c>
      <c r="C2353" s="52">
        <f>IF(Учет!$O2353=Справочники!$F$3,Учет!$H2353,0)</f>
        <v>0</v>
      </c>
      <c r="D2353" s="52">
        <f>IF(Учет!$O2353=Справочники!$F$4,Учет!$H2353,0)</f>
        <v>0</v>
      </c>
      <c r="E2353" s="52">
        <f>IF(Учет!$O2353=Справочники!$F$5,Учет!$H2353,0)</f>
        <v>0</v>
      </c>
      <c r="F2353" s="52">
        <f>IF(Учет!$O2353=Справочники!$F$6,Учет!$H2353,0)</f>
        <v>0</v>
      </c>
      <c r="G2353" s="43">
        <f>G2352+Учет!B2353-B2353</f>
        <v>-488978.92000000004</v>
      </c>
      <c r="H2353" s="43">
        <f>H2352+Учет!C2353-C2353</f>
        <v>336855</v>
      </c>
      <c r="I2353" s="43">
        <f>I2352+Учет!D2353-D2353</f>
        <v>500</v>
      </c>
      <c r="J2353" s="43">
        <f>J2352+Учет!E2353-E2353</f>
        <v>1150</v>
      </c>
      <c r="K2353" s="43">
        <f>K2352+Учет!F2353-F2353</f>
        <v>500000</v>
      </c>
      <c r="L2353" s="45">
        <f>Учет!I2353</f>
        <v>349526.07999999996</v>
      </c>
    </row>
    <row r="2354" spans="1:12" x14ac:dyDescent="0.25">
      <c r="A2354" s="48" t="str">
        <f>IF(Учет!A2354&lt;&gt;"",Учет!A2354,"")</f>
        <v/>
      </c>
      <c r="B2354" s="52">
        <f>IF(Учет!$O2354=Справочники!$F$2,Учет!$H2354,0)</f>
        <v>0</v>
      </c>
      <c r="C2354" s="52">
        <f>IF(Учет!$O2354=Справочники!$F$3,Учет!$H2354,0)</f>
        <v>0</v>
      </c>
      <c r="D2354" s="52">
        <f>IF(Учет!$O2354=Справочники!$F$4,Учет!$H2354,0)</f>
        <v>0</v>
      </c>
      <c r="E2354" s="52">
        <f>IF(Учет!$O2354=Справочники!$F$5,Учет!$H2354,0)</f>
        <v>0</v>
      </c>
      <c r="F2354" s="52">
        <f>IF(Учет!$O2354=Справочники!$F$6,Учет!$H2354,0)</f>
        <v>0</v>
      </c>
      <c r="G2354" s="43">
        <f>G2353+Учет!B2354-B2354</f>
        <v>-488978.92000000004</v>
      </c>
      <c r="H2354" s="43">
        <f>H2353+Учет!C2354-C2354</f>
        <v>336855</v>
      </c>
      <c r="I2354" s="43">
        <f>I2353+Учет!D2354-D2354</f>
        <v>500</v>
      </c>
      <c r="J2354" s="43">
        <f>J2353+Учет!E2354-E2354</f>
        <v>1150</v>
      </c>
      <c r="K2354" s="43">
        <f>K2353+Учет!F2354-F2354</f>
        <v>500000</v>
      </c>
      <c r="L2354" s="45">
        <f>Учет!I2354</f>
        <v>349526.07999999996</v>
      </c>
    </row>
    <row r="2355" spans="1:12" x14ac:dyDescent="0.25">
      <c r="A2355" s="48" t="str">
        <f>IF(Учет!A2355&lt;&gt;"",Учет!A2355,"")</f>
        <v/>
      </c>
      <c r="B2355" s="52">
        <f>IF(Учет!$O2355=Справочники!$F$2,Учет!$H2355,0)</f>
        <v>0</v>
      </c>
      <c r="C2355" s="52">
        <f>IF(Учет!$O2355=Справочники!$F$3,Учет!$H2355,0)</f>
        <v>0</v>
      </c>
      <c r="D2355" s="52">
        <f>IF(Учет!$O2355=Справочники!$F$4,Учет!$H2355,0)</f>
        <v>0</v>
      </c>
      <c r="E2355" s="52">
        <f>IF(Учет!$O2355=Справочники!$F$5,Учет!$H2355,0)</f>
        <v>0</v>
      </c>
      <c r="F2355" s="52">
        <f>IF(Учет!$O2355=Справочники!$F$6,Учет!$H2355,0)</f>
        <v>0</v>
      </c>
      <c r="G2355" s="43">
        <f>G2354+Учет!B2355-B2355</f>
        <v>-488978.92000000004</v>
      </c>
      <c r="H2355" s="43">
        <f>H2354+Учет!C2355-C2355</f>
        <v>336855</v>
      </c>
      <c r="I2355" s="43">
        <f>I2354+Учет!D2355-D2355</f>
        <v>500</v>
      </c>
      <c r="J2355" s="43">
        <f>J2354+Учет!E2355-E2355</f>
        <v>1150</v>
      </c>
      <c r="K2355" s="43">
        <f>K2354+Учет!F2355-F2355</f>
        <v>500000</v>
      </c>
      <c r="L2355" s="45">
        <f>Учет!I2355</f>
        <v>349526.07999999996</v>
      </c>
    </row>
    <row r="2356" spans="1:12" x14ac:dyDescent="0.25">
      <c r="A2356" s="48" t="str">
        <f>IF(Учет!A2356&lt;&gt;"",Учет!A2356,"")</f>
        <v/>
      </c>
      <c r="B2356" s="52">
        <f>IF(Учет!$O2356=Справочники!$F$2,Учет!$H2356,0)</f>
        <v>0</v>
      </c>
      <c r="C2356" s="52">
        <f>IF(Учет!$O2356=Справочники!$F$3,Учет!$H2356,0)</f>
        <v>0</v>
      </c>
      <c r="D2356" s="52">
        <f>IF(Учет!$O2356=Справочники!$F$4,Учет!$H2356,0)</f>
        <v>0</v>
      </c>
      <c r="E2356" s="52">
        <f>IF(Учет!$O2356=Справочники!$F$5,Учет!$H2356,0)</f>
        <v>0</v>
      </c>
      <c r="F2356" s="52">
        <f>IF(Учет!$O2356=Справочники!$F$6,Учет!$H2356,0)</f>
        <v>0</v>
      </c>
      <c r="G2356" s="43">
        <f>G2355+Учет!B2356-B2356</f>
        <v>-488978.92000000004</v>
      </c>
      <c r="H2356" s="43">
        <f>H2355+Учет!C2356-C2356</f>
        <v>336855</v>
      </c>
      <c r="I2356" s="43">
        <f>I2355+Учет!D2356-D2356</f>
        <v>500</v>
      </c>
      <c r="J2356" s="43">
        <f>J2355+Учет!E2356-E2356</f>
        <v>1150</v>
      </c>
      <c r="K2356" s="43">
        <f>K2355+Учет!F2356-F2356</f>
        <v>500000</v>
      </c>
      <c r="L2356" s="45">
        <f>Учет!I2356</f>
        <v>349526.07999999996</v>
      </c>
    </row>
    <row r="2357" spans="1:12" x14ac:dyDescent="0.25">
      <c r="A2357" s="48" t="str">
        <f>IF(Учет!A2357&lt;&gt;"",Учет!A2357,"")</f>
        <v/>
      </c>
      <c r="B2357" s="52">
        <f>IF(Учет!$O2357=Справочники!$F$2,Учет!$H2357,0)</f>
        <v>0</v>
      </c>
      <c r="C2357" s="52">
        <f>IF(Учет!$O2357=Справочники!$F$3,Учет!$H2357,0)</f>
        <v>0</v>
      </c>
      <c r="D2357" s="52">
        <f>IF(Учет!$O2357=Справочники!$F$4,Учет!$H2357,0)</f>
        <v>0</v>
      </c>
      <c r="E2357" s="52">
        <f>IF(Учет!$O2357=Справочники!$F$5,Учет!$H2357,0)</f>
        <v>0</v>
      </c>
      <c r="F2357" s="52">
        <f>IF(Учет!$O2357=Справочники!$F$6,Учет!$H2357,0)</f>
        <v>0</v>
      </c>
      <c r="G2357" s="43">
        <f>G2356+Учет!B2357-B2357</f>
        <v>-488978.92000000004</v>
      </c>
      <c r="H2357" s="43">
        <f>H2356+Учет!C2357-C2357</f>
        <v>336855</v>
      </c>
      <c r="I2357" s="43">
        <f>I2356+Учет!D2357-D2357</f>
        <v>500</v>
      </c>
      <c r="J2357" s="43">
        <f>J2356+Учет!E2357-E2357</f>
        <v>1150</v>
      </c>
      <c r="K2357" s="43">
        <f>K2356+Учет!F2357-F2357</f>
        <v>500000</v>
      </c>
      <c r="L2357" s="45">
        <f>Учет!I2357</f>
        <v>349526.07999999996</v>
      </c>
    </row>
    <row r="2358" spans="1:12" x14ac:dyDescent="0.25">
      <c r="A2358" s="48" t="str">
        <f>IF(Учет!A2358&lt;&gt;"",Учет!A2358,"")</f>
        <v/>
      </c>
      <c r="B2358" s="52">
        <f>IF(Учет!$O2358=Справочники!$F$2,Учет!$H2358,0)</f>
        <v>0</v>
      </c>
      <c r="C2358" s="52">
        <f>IF(Учет!$O2358=Справочники!$F$3,Учет!$H2358,0)</f>
        <v>0</v>
      </c>
      <c r="D2358" s="52">
        <f>IF(Учет!$O2358=Справочники!$F$4,Учет!$H2358,0)</f>
        <v>0</v>
      </c>
      <c r="E2358" s="52">
        <f>IF(Учет!$O2358=Справочники!$F$5,Учет!$H2358,0)</f>
        <v>0</v>
      </c>
      <c r="F2358" s="52">
        <f>IF(Учет!$O2358=Справочники!$F$6,Учет!$H2358,0)</f>
        <v>0</v>
      </c>
      <c r="G2358" s="43">
        <f>G2357+Учет!B2358-B2358</f>
        <v>-488978.92000000004</v>
      </c>
      <c r="H2358" s="43">
        <f>H2357+Учет!C2358-C2358</f>
        <v>336855</v>
      </c>
      <c r="I2358" s="43">
        <f>I2357+Учет!D2358-D2358</f>
        <v>500</v>
      </c>
      <c r="J2358" s="43">
        <f>J2357+Учет!E2358-E2358</f>
        <v>1150</v>
      </c>
      <c r="K2358" s="43">
        <f>K2357+Учет!F2358-F2358</f>
        <v>500000</v>
      </c>
      <c r="L2358" s="45">
        <f>Учет!I2358</f>
        <v>349526.07999999996</v>
      </c>
    </row>
    <row r="2359" spans="1:12" x14ac:dyDescent="0.25">
      <c r="A2359" s="48" t="str">
        <f>IF(Учет!A2359&lt;&gt;"",Учет!A2359,"")</f>
        <v/>
      </c>
      <c r="B2359" s="52">
        <f>IF(Учет!$O2359=Справочники!$F$2,Учет!$H2359,0)</f>
        <v>0</v>
      </c>
      <c r="C2359" s="52">
        <f>IF(Учет!$O2359=Справочники!$F$3,Учет!$H2359,0)</f>
        <v>0</v>
      </c>
      <c r="D2359" s="52">
        <f>IF(Учет!$O2359=Справочники!$F$4,Учет!$H2359,0)</f>
        <v>0</v>
      </c>
      <c r="E2359" s="52">
        <f>IF(Учет!$O2359=Справочники!$F$5,Учет!$H2359,0)</f>
        <v>0</v>
      </c>
      <c r="F2359" s="52">
        <f>IF(Учет!$O2359=Справочники!$F$6,Учет!$H2359,0)</f>
        <v>0</v>
      </c>
      <c r="G2359" s="43">
        <f>G2358+Учет!B2359-B2359</f>
        <v>-488978.92000000004</v>
      </c>
      <c r="H2359" s="43">
        <f>H2358+Учет!C2359-C2359</f>
        <v>336855</v>
      </c>
      <c r="I2359" s="43">
        <f>I2358+Учет!D2359-D2359</f>
        <v>500</v>
      </c>
      <c r="J2359" s="43">
        <f>J2358+Учет!E2359-E2359</f>
        <v>1150</v>
      </c>
      <c r="K2359" s="43">
        <f>K2358+Учет!F2359-F2359</f>
        <v>500000</v>
      </c>
      <c r="L2359" s="45">
        <f>Учет!I2359</f>
        <v>349526.07999999996</v>
      </c>
    </row>
    <row r="2360" spans="1:12" x14ac:dyDescent="0.25">
      <c r="A2360" s="48" t="str">
        <f>IF(Учет!A2360&lt;&gt;"",Учет!A2360,"")</f>
        <v/>
      </c>
      <c r="B2360" s="52">
        <f>IF(Учет!$O2360=Справочники!$F$2,Учет!$H2360,0)</f>
        <v>0</v>
      </c>
      <c r="C2360" s="52">
        <f>IF(Учет!$O2360=Справочники!$F$3,Учет!$H2360,0)</f>
        <v>0</v>
      </c>
      <c r="D2360" s="52">
        <f>IF(Учет!$O2360=Справочники!$F$4,Учет!$H2360,0)</f>
        <v>0</v>
      </c>
      <c r="E2360" s="52">
        <f>IF(Учет!$O2360=Справочники!$F$5,Учет!$H2360,0)</f>
        <v>0</v>
      </c>
      <c r="F2360" s="52">
        <f>IF(Учет!$O2360=Справочники!$F$6,Учет!$H2360,0)</f>
        <v>0</v>
      </c>
      <c r="G2360" s="43">
        <f>G2359+Учет!B2360-B2360</f>
        <v>-488978.92000000004</v>
      </c>
      <c r="H2360" s="43">
        <f>H2359+Учет!C2360-C2360</f>
        <v>336855</v>
      </c>
      <c r="I2360" s="43">
        <f>I2359+Учет!D2360-D2360</f>
        <v>500</v>
      </c>
      <c r="J2360" s="43">
        <f>J2359+Учет!E2360-E2360</f>
        <v>1150</v>
      </c>
      <c r="K2360" s="43">
        <f>K2359+Учет!F2360-F2360</f>
        <v>500000</v>
      </c>
      <c r="L2360" s="45">
        <f>Учет!I2360</f>
        <v>349526.07999999996</v>
      </c>
    </row>
    <row r="2361" spans="1:12" x14ac:dyDescent="0.25">
      <c r="A2361" s="48" t="str">
        <f>IF(Учет!A2361&lt;&gt;"",Учет!A2361,"")</f>
        <v/>
      </c>
      <c r="B2361" s="52">
        <f>IF(Учет!$O2361=Справочники!$F$2,Учет!$H2361,0)</f>
        <v>0</v>
      </c>
      <c r="C2361" s="52">
        <f>IF(Учет!$O2361=Справочники!$F$3,Учет!$H2361,0)</f>
        <v>0</v>
      </c>
      <c r="D2361" s="52">
        <f>IF(Учет!$O2361=Справочники!$F$4,Учет!$H2361,0)</f>
        <v>0</v>
      </c>
      <c r="E2361" s="52">
        <f>IF(Учет!$O2361=Справочники!$F$5,Учет!$H2361,0)</f>
        <v>0</v>
      </c>
      <c r="F2361" s="52">
        <f>IF(Учет!$O2361=Справочники!$F$6,Учет!$H2361,0)</f>
        <v>0</v>
      </c>
      <c r="G2361" s="43">
        <f>G2360+Учет!B2361-B2361</f>
        <v>-488978.92000000004</v>
      </c>
      <c r="H2361" s="43">
        <f>H2360+Учет!C2361-C2361</f>
        <v>336855</v>
      </c>
      <c r="I2361" s="43">
        <f>I2360+Учет!D2361-D2361</f>
        <v>500</v>
      </c>
      <c r="J2361" s="43">
        <f>J2360+Учет!E2361-E2361</f>
        <v>1150</v>
      </c>
      <c r="K2361" s="43">
        <f>K2360+Учет!F2361-F2361</f>
        <v>500000</v>
      </c>
      <c r="L2361" s="45">
        <f>Учет!I2361</f>
        <v>349526.07999999996</v>
      </c>
    </row>
    <row r="2362" spans="1:12" x14ac:dyDescent="0.25">
      <c r="A2362" s="48" t="str">
        <f>IF(Учет!A2362&lt;&gt;"",Учет!A2362,"")</f>
        <v/>
      </c>
      <c r="B2362" s="52">
        <f>IF(Учет!$O2362=Справочники!$F$2,Учет!$H2362,0)</f>
        <v>0</v>
      </c>
      <c r="C2362" s="52">
        <f>IF(Учет!$O2362=Справочники!$F$3,Учет!$H2362,0)</f>
        <v>0</v>
      </c>
      <c r="D2362" s="52">
        <f>IF(Учет!$O2362=Справочники!$F$4,Учет!$H2362,0)</f>
        <v>0</v>
      </c>
      <c r="E2362" s="52">
        <f>IF(Учет!$O2362=Справочники!$F$5,Учет!$H2362,0)</f>
        <v>0</v>
      </c>
      <c r="F2362" s="52">
        <f>IF(Учет!$O2362=Справочники!$F$6,Учет!$H2362,0)</f>
        <v>0</v>
      </c>
      <c r="G2362" s="43">
        <f>G2361+Учет!B2362-B2362</f>
        <v>-488978.92000000004</v>
      </c>
      <c r="H2362" s="43">
        <f>H2361+Учет!C2362-C2362</f>
        <v>336855</v>
      </c>
      <c r="I2362" s="43">
        <f>I2361+Учет!D2362-D2362</f>
        <v>500</v>
      </c>
      <c r="J2362" s="43">
        <f>J2361+Учет!E2362-E2362</f>
        <v>1150</v>
      </c>
      <c r="K2362" s="43">
        <f>K2361+Учет!F2362-F2362</f>
        <v>500000</v>
      </c>
      <c r="L2362" s="45">
        <f>Учет!I2362</f>
        <v>349526.07999999996</v>
      </c>
    </row>
    <row r="2363" spans="1:12" x14ac:dyDescent="0.25">
      <c r="A2363" s="48" t="str">
        <f>IF(Учет!A2363&lt;&gt;"",Учет!A2363,"")</f>
        <v/>
      </c>
      <c r="B2363" s="52">
        <f>IF(Учет!$O2363=Справочники!$F$2,Учет!$H2363,0)</f>
        <v>0</v>
      </c>
      <c r="C2363" s="52">
        <f>IF(Учет!$O2363=Справочники!$F$3,Учет!$H2363,0)</f>
        <v>0</v>
      </c>
      <c r="D2363" s="52">
        <f>IF(Учет!$O2363=Справочники!$F$4,Учет!$H2363,0)</f>
        <v>0</v>
      </c>
      <c r="E2363" s="52">
        <f>IF(Учет!$O2363=Справочники!$F$5,Учет!$H2363,0)</f>
        <v>0</v>
      </c>
      <c r="F2363" s="52">
        <f>IF(Учет!$O2363=Справочники!$F$6,Учет!$H2363,0)</f>
        <v>0</v>
      </c>
      <c r="G2363" s="43">
        <f>G2362+Учет!B2363-B2363</f>
        <v>-488978.92000000004</v>
      </c>
      <c r="H2363" s="43">
        <f>H2362+Учет!C2363-C2363</f>
        <v>336855</v>
      </c>
      <c r="I2363" s="43">
        <f>I2362+Учет!D2363-D2363</f>
        <v>500</v>
      </c>
      <c r="J2363" s="43">
        <f>J2362+Учет!E2363-E2363</f>
        <v>1150</v>
      </c>
      <c r="K2363" s="43">
        <f>K2362+Учет!F2363-F2363</f>
        <v>500000</v>
      </c>
      <c r="L2363" s="45">
        <f>Учет!I2363</f>
        <v>349526.07999999996</v>
      </c>
    </row>
    <row r="2364" spans="1:12" x14ac:dyDescent="0.25">
      <c r="A2364" s="48" t="str">
        <f>IF(Учет!A2364&lt;&gt;"",Учет!A2364,"")</f>
        <v/>
      </c>
      <c r="B2364" s="52">
        <f>IF(Учет!$O2364=Справочники!$F$2,Учет!$H2364,0)</f>
        <v>0</v>
      </c>
      <c r="C2364" s="52">
        <f>IF(Учет!$O2364=Справочники!$F$3,Учет!$H2364,0)</f>
        <v>0</v>
      </c>
      <c r="D2364" s="52">
        <f>IF(Учет!$O2364=Справочники!$F$4,Учет!$H2364,0)</f>
        <v>0</v>
      </c>
      <c r="E2364" s="52">
        <f>IF(Учет!$O2364=Справочники!$F$5,Учет!$H2364,0)</f>
        <v>0</v>
      </c>
      <c r="F2364" s="52">
        <f>IF(Учет!$O2364=Справочники!$F$6,Учет!$H2364,0)</f>
        <v>0</v>
      </c>
      <c r="G2364" s="43">
        <f>G2363+Учет!B2364-B2364</f>
        <v>-488978.92000000004</v>
      </c>
      <c r="H2364" s="43">
        <f>H2363+Учет!C2364-C2364</f>
        <v>336855</v>
      </c>
      <c r="I2364" s="43">
        <f>I2363+Учет!D2364-D2364</f>
        <v>500</v>
      </c>
      <c r="J2364" s="43">
        <f>J2363+Учет!E2364-E2364</f>
        <v>1150</v>
      </c>
      <c r="K2364" s="43">
        <f>K2363+Учет!F2364-F2364</f>
        <v>500000</v>
      </c>
      <c r="L2364" s="45">
        <f>Учет!I2364</f>
        <v>349526.07999999996</v>
      </c>
    </row>
    <row r="2365" spans="1:12" x14ac:dyDescent="0.25">
      <c r="A2365" s="48" t="str">
        <f>IF(Учет!A2365&lt;&gt;"",Учет!A2365,"")</f>
        <v/>
      </c>
      <c r="B2365" s="52">
        <f>IF(Учет!$O2365=Справочники!$F$2,Учет!$H2365,0)</f>
        <v>0</v>
      </c>
      <c r="C2365" s="52">
        <f>IF(Учет!$O2365=Справочники!$F$3,Учет!$H2365,0)</f>
        <v>0</v>
      </c>
      <c r="D2365" s="52">
        <f>IF(Учет!$O2365=Справочники!$F$4,Учет!$H2365,0)</f>
        <v>0</v>
      </c>
      <c r="E2365" s="52">
        <f>IF(Учет!$O2365=Справочники!$F$5,Учет!$H2365,0)</f>
        <v>0</v>
      </c>
      <c r="F2365" s="52">
        <f>IF(Учет!$O2365=Справочники!$F$6,Учет!$H2365,0)</f>
        <v>0</v>
      </c>
      <c r="G2365" s="43">
        <f>G2364+Учет!B2365-B2365</f>
        <v>-488978.92000000004</v>
      </c>
      <c r="H2365" s="43">
        <f>H2364+Учет!C2365-C2365</f>
        <v>336855</v>
      </c>
      <c r="I2365" s="43">
        <f>I2364+Учет!D2365-D2365</f>
        <v>500</v>
      </c>
      <c r="J2365" s="43">
        <f>J2364+Учет!E2365-E2365</f>
        <v>1150</v>
      </c>
      <c r="K2365" s="43">
        <f>K2364+Учет!F2365-F2365</f>
        <v>500000</v>
      </c>
      <c r="L2365" s="45">
        <f>Учет!I2365</f>
        <v>349526.07999999996</v>
      </c>
    </row>
    <row r="2366" spans="1:12" x14ac:dyDescent="0.25">
      <c r="A2366" s="48" t="str">
        <f>IF(Учет!A2366&lt;&gt;"",Учет!A2366,"")</f>
        <v/>
      </c>
      <c r="B2366" s="52">
        <f>IF(Учет!$O2366=Справочники!$F$2,Учет!$H2366,0)</f>
        <v>0</v>
      </c>
      <c r="C2366" s="52">
        <f>IF(Учет!$O2366=Справочники!$F$3,Учет!$H2366,0)</f>
        <v>0</v>
      </c>
      <c r="D2366" s="52">
        <f>IF(Учет!$O2366=Справочники!$F$4,Учет!$H2366,0)</f>
        <v>0</v>
      </c>
      <c r="E2366" s="52">
        <f>IF(Учет!$O2366=Справочники!$F$5,Учет!$H2366,0)</f>
        <v>0</v>
      </c>
      <c r="F2366" s="52">
        <f>IF(Учет!$O2366=Справочники!$F$6,Учет!$H2366,0)</f>
        <v>0</v>
      </c>
      <c r="G2366" s="43">
        <f>G2365+Учет!B2366-B2366</f>
        <v>-488978.92000000004</v>
      </c>
      <c r="H2366" s="43">
        <f>H2365+Учет!C2366-C2366</f>
        <v>336855</v>
      </c>
      <c r="I2366" s="43">
        <f>I2365+Учет!D2366-D2366</f>
        <v>500</v>
      </c>
      <c r="J2366" s="43">
        <f>J2365+Учет!E2366-E2366</f>
        <v>1150</v>
      </c>
      <c r="K2366" s="43">
        <f>K2365+Учет!F2366-F2366</f>
        <v>500000</v>
      </c>
      <c r="L2366" s="45">
        <f>Учет!I2366</f>
        <v>349526.07999999996</v>
      </c>
    </row>
    <row r="2367" spans="1:12" x14ac:dyDescent="0.25">
      <c r="A2367" s="48" t="str">
        <f>IF(Учет!A2367&lt;&gt;"",Учет!A2367,"")</f>
        <v/>
      </c>
      <c r="B2367" s="52">
        <f>IF(Учет!$O2367=Справочники!$F$2,Учет!$H2367,0)</f>
        <v>0</v>
      </c>
      <c r="C2367" s="52">
        <f>IF(Учет!$O2367=Справочники!$F$3,Учет!$H2367,0)</f>
        <v>0</v>
      </c>
      <c r="D2367" s="52">
        <f>IF(Учет!$O2367=Справочники!$F$4,Учет!$H2367,0)</f>
        <v>0</v>
      </c>
      <c r="E2367" s="52">
        <f>IF(Учет!$O2367=Справочники!$F$5,Учет!$H2367,0)</f>
        <v>0</v>
      </c>
      <c r="F2367" s="52">
        <f>IF(Учет!$O2367=Справочники!$F$6,Учет!$H2367,0)</f>
        <v>0</v>
      </c>
      <c r="G2367" s="43">
        <f>G2366+Учет!B2367-B2367</f>
        <v>-488978.92000000004</v>
      </c>
      <c r="H2367" s="43">
        <f>H2366+Учет!C2367-C2367</f>
        <v>336855</v>
      </c>
      <c r="I2367" s="43">
        <f>I2366+Учет!D2367-D2367</f>
        <v>500</v>
      </c>
      <c r="J2367" s="43">
        <f>J2366+Учет!E2367-E2367</f>
        <v>1150</v>
      </c>
      <c r="K2367" s="43">
        <f>K2366+Учет!F2367-F2367</f>
        <v>500000</v>
      </c>
      <c r="L2367" s="45">
        <f>Учет!I2367</f>
        <v>349526.07999999996</v>
      </c>
    </row>
    <row r="2368" spans="1:12" x14ac:dyDescent="0.25">
      <c r="A2368" s="48" t="str">
        <f>IF(Учет!A2368&lt;&gt;"",Учет!A2368,"")</f>
        <v/>
      </c>
      <c r="B2368" s="52">
        <f>IF(Учет!$O2368=Справочники!$F$2,Учет!$H2368,0)</f>
        <v>0</v>
      </c>
      <c r="C2368" s="52">
        <f>IF(Учет!$O2368=Справочники!$F$3,Учет!$H2368,0)</f>
        <v>0</v>
      </c>
      <c r="D2368" s="52">
        <f>IF(Учет!$O2368=Справочники!$F$4,Учет!$H2368,0)</f>
        <v>0</v>
      </c>
      <c r="E2368" s="52">
        <f>IF(Учет!$O2368=Справочники!$F$5,Учет!$H2368,0)</f>
        <v>0</v>
      </c>
      <c r="F2368" s="52">
        <f>IF(Учет!$O2368=Справочники!$F$6,Учет!$H2368,0)</f>
        <v>0</v>
      </c>
      <c r="G2368" s="43">
        <f>G2367+Учет!B2368-B2368</f>
        <v>-488978.92000000004</v>
      </c>
      <c r="H2368" s="43">
        <f>H2367+Учет!C2368-C2368</f>
        <v>336855</v>
      </c>
      <c r="I2368" s="43">
        <f>I2367+Учет!D2368-D2368</f>
        <v>500</v>
      </c>
      <c r="J2368" s="43">
        <f>J2367+Учет!E2368-E2368</f>
        <v>1150</v>
      </c>
      <c r="K2368" s="43">
        <f>K2367+Учет!F2368-F2368</f>
        <v>500000</v>
      </c>
      <c r="L2368" s="45">
        <f>Учет!I2368</f>
        <v>349526.07999999996</v>
      </c>
    </row>
    <row r="2369" spans="1:12" x14ac:dyDescent="0.25">
      <c r="A2369" s="48" t="str">
        <f>IF(Учет!A2369&lt;&gt;"",Учет!A2369,"")</f>
        <v/>
      </c>
      <c r="B2369" s="52">
        <f>IF(Учет!$O2369=Справочники!$F$2,Учет!$H2369,0)</f>
        <v>0</v>
      </c>
      <c r="C2369" s="52">
        <f>IF(Учет!$O2369=Справочники!$F$3,Учет!$H2369,0)</f>
        <v>0</v>
      </c>
      <c r="D2369" s="52">
        <f>IF(Учет!$O2369=Справочники!$F$4,Учет!$H2369,0)</f>
        <v>0</v>
      </c>
      <c r="E2369" s="52">
        <f>IF(Учет!$O2369=Справочники!$F$5,Учет!$H2369,0)</f>
        <v>0</v>
      </c>
      <c r="F2369" s="52">
        <f>IF(Учет!$O2369=Справочники!$F$6,Учет!$H2369,0)</f>
        <v>0</v>
      </c>
      <c r="G2369" s="43">
        <f>G2368+Учет!B2369-B2369</f>
        <v>-488978.92000000004</v>
      </c>
      <c r="H2369" s="43">
        <f>H2368+Учет!C2369-C2369</f>
        <v>336855</v>
      </c>
      <c r="I2369" s="43">
        <f>I2368+Учет!D2369-D2369</f>
        <v>500</v>
      </c>
      <c r="J2369" s="43">
        <f>J2368+Учет!E2369-E2369</f>
        <v>1150</v>
      </c>
      <c r="K2369" s="43">
        <f>K2368+Учет!F2369-F2369</f>
        <v>500000</v>
      </c>
      <c r="L2369" s="45">
        <f>Учет!I2369</f>
        <v>349526.07999999996</v>
      </c>
    </row>
    <row r="2370" spans="1:12" x14ac:dyDescent="0.25">
      <c r="A2370" s="48" t="str">
        <f>IF(Учет!A2370&lt;&gt;"",Учет!A2370,"")</f>
        <v/>
      </c>
      <c r="B2370" s="52">
        <f>IF(Учет!$O2370=Справочники!$F$2,Учет!$H2370,0)</f>
        <v>0</v>
      </c>
      <c r="C2370" s="52">
        <f>IF(Учет!$O2370=Справочники!$F$3,Учет!$H2370,0)</f>
        <v>0</v>
      </c>
      <c r="D2370" s="52">
        <f>IF(Учет!$O2370=Справочники!$F$4,Учет!$H2370,0)</f>
        <v>0</v>
      </c>
      <c r="E2370" s="52">
        <f>IF(Учет!$O2370=Справочники!$F$5,Учет!$H2370,0)</f>
        <v>0</v>
      </c>
      <c r="F2370" s="52">
        <f>IF(Учет!$O2370=Справочники!$F$6,Учет!$H2370,0)</f>
        <v>0</v>
      </c>
      <c r="G2370" s="43">
        <f>G2369+Учет!B2370-B2370</f>
        <v>-488978.92000000004</v>
      </c>
      <c r="H2370" s="43">
        <f>H2369+Учет!C2370-C2370</f>
        <v>336855</v>
      </c>
      <c r="I2370" s="43">
        <f>I2369+Учет!D2370-D2370</f>
        <v>500</v>
      </c>
      <c r="J2370" s="43">
        <f>J2369+Учет!E2370-E2370</f>
        <v>1150</v>
      </c>
      <c r="K2370" s="43">
        <f>K2369+Учет!F2370-F2370</f>
        <v>500000</v>
      </c>
      <c r="L2370" s="45">
        <f>Учет!I2370</f>
        <v>349526.07999999996</v>
      </c>
    </row>
    <row r="2371" spans="1:12" x14ac:dyDescent="0.25">
      <c r="A2371" s="48" t="str">
        <f>IF(Учет!A2371&lt;&gt;"",Учет!A2371,"")</f>
        <v/>
      </c>
      <c r="B2371" s="52">
        <f>IF(Учет!$O2371=Справочники!$F$2,Учет!$H2371,0)</f>
        <v>0</v>
      </c>
      <c r="C2371" s="52">
        <f>IF(Учет!$O2371=Справочники!$F$3,Учет!$H2371,0)</f>
        <v>0</v>
      </c>
      <c r="D2371" s="52">
        <f>IF(Учет!$O2371=Справочники!$F$4,Учет!$H2371,0)</f>
        <v>0</v>
      </c>
      <c r="E2371" s="52">
        <f>IF(Учет!$O2371=Справочники!$F$5,Учет!$H2371,0)</f>
        <v>0</v>
      </c>
      <c r="F2371" s="52">
        <f>IF(Учет!$O2371=Справочники!$F$6,Учет!$H2371,0)</f>
        <v>0</v>
      </c>
      <c r="G2371" s="43">
        <f>G2370+Учет!B2371-B2371</f>
        <v>-488978.92000000004</v>
      </c>
      <c r="H2371" s="43">
        <f>H2370+Учет!C2371-C2371</f>
        <v>336855</v>
      </c>
      <c r="I2371" s="43">
        <f>I2370+Учет!D2371-D2371</f>
        <v>500</v>
      </c>
      <c r="J2371" s="43">
        <f>J2370+Учет!E2371-E2371</f>
        <v>1150</v>
      </c>
      <c r="K2371" s="43">
        <f>K2370+Учет!F2371-F2371</f>
        <v>500000</v>
      </c>
      <c r="L2371" s="45">
        <f>Учет!I2371</f>
        <v>349526.07999999996</v>
      </c>
    </row>
    <row r="2372" spans="1:12" x14ac:dyDescent="0.25">
      <c r="A2372" s="48" t="str">
        <f>IF(Учет!A2372&lt;&gt;"",Учет!A2372,"")</f>
        <v/>
      </c>
      <c r="B2372" s="52">
        <f>IF(Учет!$O2372=Справочники!$F$2,Учет!$H2372,0)</f>
        <v>0</v>
      </c>
      <c r="C2372" s="52">
        <f>IF(Учет!$O2372=Справочники!$F$3,Учет!$H2372,0)</f>
        <v>0</v>
      </c>
      <c r="D2372" s="52">
        <f>IF(Учет!$O2372=Справочники!$F$4,Учет!$H2372,0)</f>
        <v>0</v>
      </c>
      <c r="E2372" s="52">
        <f>IF(Учет!$O2372=Справочники!$F$5,Учет!$H2372,0)</f>
        <v>0</v>
      </c>
      <c r="F2372" s="52">
        <f>IF(Учет!$O2372=Справочники!$F$6,Учет!$H2372,0)</f>
        <v>0</v>
      </c>
      <c r="G2372" s="43">
        <f>G2371+Учет!B2372-B2372</f>
        <v>-488978.92000000004</v>
      </c>
      <c r="H2372" s="43">
        <f>H2371+Учет!C2372-C2372</f>
        <v>336855</v>
      </c>
      <c r="I2372" s="43">
        <f>I2371+Учет!D2372-D2372</f>
        <v>500</v>
      </c>
      <c r="J2372" s="43">
        <f>J2371+Учет!E2372-E2372</f>
        <v>1150</v>
      </c>
      <c r="K2372" s="43">
        <f>K2371+Учет!F2372-F2372</f>
        <v>500000</v>
      </c>
      <c r="L2372" s="45">
        <f>Учет!I2372</f>
        <v>349526.07999999996</v>
      </c>
    </row>
    <row r="2373" spans="1:12" x14ac:dyDescent="0.25">
      <c r="A2373" s="48" t="str">
        <f>IF(Учет!A2373&lt;&gt;"",Учет!A2373,"")</f>
        <v/>
      </c>
      <c r="B2373" s="52">
        <f>IF(Учет!$O2373=Справочники!$F$2,Учет!$H2373,0)</f>
        <v>0</v>
      </c>
      <c r="C2373" s="52">
        <f>IF(Учет!$O2373=Справочники!$F$3,Учет!$H2373,0)</f>
        <v>0</v>
      </c>
      <c r="D2373" s="52">
        <f>IF(Учет!$O2373=Справочники!$F$4,Учет!$H2373,0)</f>
        <v>0</v>
      </c>
      <c r="E2373" s="52">
        <f>IF(Учет!$O2373=Справочники!$F$5,Учет!$H2373,0)</f>
        <v>0</v>
      </c>
      <c r="F2373" s="52">
        <f>IF(Учет!$O2373=Справочники!$F$6,Учет!$H2373,0)</f>
        <v>0</v>
      </c>
      <c r="G2373" s="43">
        <f>G2372+Учет!B2373-B2373</f>
        <v>-488978.92000000004</v>
      </c>
      <c r="H2373" s="43">
        <f>H2372+Учет!C2373-C2373</f>
        <v>336855</v>
      </c>
      <c r="I2373" s="43">
        <f>I2372+Учет!D2373-D2373</f>
        <v>500</v>
      </c>
      <c r="J2373" s="43">
        <f>J2372+Учет!E2373-E2373</f>
        <v>1150</v>
      </c>
      <c r="K2373" s="43">
        <f>K2372+Учет!F2373-F2373</f>
        <v>500000</v>
      </c>
      <c r="L2373" s="45">
        <f>Учет!I2373</f>
        <v>349526.07999999996</v>
      </c>
    </row>
    <row r="2374" spans="1:12" x14ac:dyDescent="0.25">
      <c r="A2374" s="48" t="str">
        <f>IF(Учет!A2374&lt;&gt;"",Учет!A2374,"")</f>
        <v/>
      </c>
      <c r="B2374" s="52">
        <f>IF(Учет!$O2374=Справочники!$F$2,Учет!$H2374,0)</f>
        <v>0</v>
      </c>
      <c r="C2374" s="52">
        <f>IF(Учет!$O2374=Справочники!$F$3,Учет!$H2374,0)</f>
        <v>0</v>
      </c>
      <c r="D2374" s="52">
        <f>IF(Учет!$O2374=Справочники!$F$4,Учет!$H2374,0)</f>
        <v>0</v>
      </c>
      <c r="E2374" s="52">
        <f>IF(Учет!$O2374=Справочники!$F$5,Учет!$H2374,0)</f>
        <v>0</v>
      </c>
      <c r="F2374" s="52">
        <f>IF(Учет!$O2374=Справочники!$F$6,Учет!$H2374,0)</f>
        <v>0</v>
      </c>
      <c r="G2374" s="43">
        <f>G2373+Учет!B2374-B2374</f>
        <v>-488978.92000000004</v>
      </c>
      <c r="H2374" s="43">
        <f>H2373+Учет!C2374-C2374</f>
        <v>336855</v>
      </c>
      <c r="I2374" s="43">
        <f>I2373+Учет!D2374-D2374</f>
        <v>500</v>
      </c>
      <c r="J2374" s="43">
        <f>J2373+Учет!E2374-E2374</f>
        <v>1150</v>
      </c>
      <c r="K2374" s="43">
        <f>K2373+Учет!F2374-F2374</f>
        <v>500000</v>
      </c>
      <c r="L2374" s="45">
        <f>Учет!I2374</f>
        <v>349526.07999999996</v>
      </c>
    </row>
    <row r="2375" spans="1:12" x14ac:dyDescent="0.25">
      <c r="A2375" s="48" t="str">
        <f>IF(Учет!A2375&lt;&gt;"",Учет!A2375,"")</f>
        <v/>
      </c>
      <c r="B2375" s="52">
        <f>IF(Учет!$O2375=Справочники!$F$2,Учет!$H2375,0)</f>
        <v>0</v>
      </c>
      <c r="C2375" s="52">
        <f>IF(Учет!$O2375=Справочники!$F$3,Учет!$H2375,0)</f>
        <v>0</v>
      </c>
      <c r="D2375" s="52">
        <f>IF(Учет!$O2375=Справочники!$F$4,Учет!$H2375,0)</f>
        <v>0</v>
      </c>
      <c r="E2375" s="52">
        <f>IF(Учет!$O2375=Справочники!$F$5,Учет!$H2375,0)</f>
        <v>0</v>
      </c>
      <c r="F2375" s="52">
        <f>IF(Учет!$O2375=Справочники!$F$6,Учет!$H2375,0)</f>
        <v>0</v>
      </c>
      <c r="G2375" s="43">
        <f>G2374+Учет!B2375-B2375</f>
        <v>-488978.92000000004</v>
      </c>
      <c r="H2375" s="43">
        <f>H2374+Учет!C2375-C2375</f>
        <v>336855</v>
      </c>
      <c r="I2375" s="43">
        <f>I2374+Учет!D2375-D2375</f>
        <v>500</v>
      </c>
      <c r="J2375" s="43">
        <f>J2374+Учет!E2375-E2375</f>
        <v>1150</v>
      </c>
      <c r="K2375" s="43">
        <f>K2374+Учет!F2375-F2375</f>
        <v>500000</v>
      </c>
      <c r="L2375" s="45">
        <f>Учет!I2375</f>
        <v>349526.07999999996</v>
      </c>
    </row>
    <row r="2376" spans="1:12" x14ac:dyDescent="0.25">
      <c r="A2376" s="48" t="str">
        <f>IF(Учет!A2376&lt;&gt;"",Учет!A2376,"")</f>
        <v/>
      </c>
      <c r="B2376" s="52">
        <f>IF(Учет!$O2376=Справочники!$F$2,Учет!$H2376,0)</f>
        <v>0</v>
      </c>
      <c r="C2376" s="52">
        <f>IF(Учет!$O2376=Справочники!$F$3,Учет!$H2376,0)</f>
        <v>0</v>
      </c>
      <c r="D2376" s="52">
        <f>IF(Учет!$O2376=Справочники!$F$4,Учет!$H2376,0)</f>
        <v>0</v>
      </c>
      <c r="E2376" s="52">
        <f>IF(Учет!$O2376=Справочники!$F$5,Учет!$H2376,0)</f>
        <v>0</v>
      </c>
      <c r="F2376" s="52">
        <f>IF(Учет!$O2376=Справочники!$F$6,Учет!$H2376,0)</f>
        <v>0</v>
      </c>
      <c r="G2376" s="43">
        <f>G2375+Учет!B2376-B2376</f>
        <v>-488978.92000000004</v>
      </c>
      <c r="H2376" s="43">
        <f>H2375+Учет!C2376-C2376</f>
        <v>336855</v>
      </c>
      <c r="I2376" s="43">
        <f>I2375+Учет!D2376-D2376</f>
        <v>500</v>
      </c>
      <c r="J2376" s="43">
        <f>J2375+Учет!E2376-E2376</f>
        <v>1150</v>
      </c>
      <c r="K2376" s="43">
        <f>K2375+Учет!F2376-F2376</f>
        <v>500000</v>
      </c>
      <c r="L2376" s="45">
        <f>Учет!I2376</f>
        <v>349526.07999999996</v>
      </c>
    </row>
    <row r="2377" spans="1:12" x14ac:dyDescent="0.25">
      <c r="A2377" s="48" t="str">
        <f>IF(Учет!A2377&lt;&gt;"",Учет!A2377,"")</f>
        <v/>
      </c>
      <c r="B2377" s="52">
        <f>IF(Учет!$O2377=Справочники!$F$2,Учет!$H2377,0)</f>
        <v>0</v>
      </c>
      <c r="C2377" s="52">
        <f>IF(Учет!$O2377=Справочники!$F$3,Учет!$H2377,0)</f>
        <v>0</v>
      </c>
      <c r="D2377" s="52">
        <f>IF(Учет!$O2377=Справочники!$F$4,Учет!$H2377,0)</f>
        <v>0</v>
      </c>
      <c r="E2377" s="52">
        <f>IF(Учет!$O2377=Справочники!$F$5,Учет!$H2377,0)</f>
        <v>0</v>
      </c>
      <c r="F2377" s="52">
        <f>IF(Учет!$O2377=Справочники!$F$6,Учет!$H2377,0)</f>
        <v>0</v>
      </c>
      <c r="G2377" s="43">
        <f>G2376+Учет!B2377-B2377</f>
        <v>-488978.92000000004</v>
      </c>
      <c r="H2377" s="43">
        <f>H2376+Учет!C2377-C2377</f>
        <v>336855</v>
      </c>
      <c r="I2377" s="43">
        <f>I2376+Учет!D2377-D2377</f>
        <v>500</v>
      </c>
      <c r="J2377" s="43">
        <f>J2376+Учет!E2377-E2377</f>
        <v>1150</v>
      </c>
      <c r="K2377" s="43">
        <f>K2376+Учет!F2377-F2377</f>
        <v>500000</v>
      </c>
      <c r="L2377" s="45">
        <f>Учет!I2377</f>
        <v>349526.07999999996</v>
      </c>
    </row>
    <row r="2378" spans="1:12" x14ac:dyDescent="0.25">
      <c r="A2378" s="48" t="str">
        <f>IF(Учет!A2378&lt;&gt;"",Учет!A2378,"")</f>
        <v/>
      </c>
      <c r="B2378" s="52">
        <f>IF(Учет!$O2378=Справочники!$F$2,Учет!$H2378,0)</f>
        <v>0</v>
      </c>
      <c r="C2378" s="52">
        <f>IF(Учет!$O2378=Справочники!$F$3,Учет!$H2378,0)</f>
        <v>0</v>
      </c>
      <c r="D2378" s="52">
        <f>IF(Учет!$O2378=Справочники!$F$4,Учет!$H2378,0)</f>
        <v>0</v>
      </c>
      <c r="E2378" s="52">
        <f>IF(Учет!$O2378=Справочники!$F$5,Учет!$H2378,0)</f>
        <v>0</v>
      </c>
      <c r="F2378" s="52">
        <f>IF(Учет!$O2378=Справочники!$F$6,Учет!$H2378,0)</f>
        <v>0</v>
      </c>
      <c r="G2378" s="43">
        <f>G2377+Учет!B2378-B2378</f>
        <v>-488978.92000000004</v>
      </c>
      <c r="H2378" s="43">
        <f>H2377+Учет!C2378-C2378</f>
        <v>336855</v>
      </c>
      <c r="I2378" s="43">
        <f>I2377+Учет!D2378-D2378</f>
        <v>500</v>
      </c>
      <c r="J2378" s="43">
        <f>J2377+Учет!E2378-E2378</f>
        <v>1150</v>
      </c>
      <c r="K2378" s="43">
        <f>K2377+Учет!F2378-F2378</f>
        <v>500000</v>
      </c>
      <c r="L2378" s="45">
        <f>Учет!I2378</f>
        <v>349526.07999999996</v>
      </c>
    </row>
    <row r="2379" spans="1:12" x14ac:dyDescent="0.25">
      <c r="A2379" s="48" t="str">
        <f>IF(Учет!A2379&lt;&gt;"",Учет!A2379,"")</f>
        <v/>
      </c>
      <c r="B2379" s="52">
        <f>IF(Учет!$O2379=Справочники!$F$2,Учет!$H2379,0)</f>
        <v>0</v>
      </c>
      <c r="C2379" s="52">
        <f>IF(Учет!$O2379=Справочники!$F$3,Учет!$H2379,0)</f>
        <v>0</v>
      </c>
      <c r="D2379" s="52">
        <f>IF(Учет!$O2379=Справочники!$F$4,Учет!$H2379,0)</f>
        <v>0</v>
      </c>
      <c r="E2379" s="52">
        <f>IF(Учет!$O2379=Справочники!$F$5,Учет!$H2379,0)</f>
        <v>0</v>
      </c>
      <c r="F2379" s="52">
        <f>IF(Учет!$O2379=Справочники!$F$6,Учет!$H2379,0)</f>
        <v>0</v>
      </c>
      <c r="G2379" s="43">
        <f>G2378+Учет!B2379-B2379</f>
        <v>-488978.92000000004</v>
      </c>
      <c r="H2379" s="43">
        <f>H2378+Учет!C2379-C2379</f>
        <v>336855</v>
      </c>
      <c r="I2379" s="43">
        <f>I2378+Учет!D2379-D2379</f>
        <v>500</v>
      </c>
      <c r="J2379" s="43">
        <f>J2378+Учет!E2379-E2379</f>
        <v>1150</v>
      </c>
      <c r="K2379" s="43">
        <f>K2378+Учет!F2379-F2379</f>
        <v>500000</v>
      </c>
      <c r="L2379" s="45">
        <f>Учет!I2379</f>
        <v>349526.07999999996</v>
      </c>
    </row>
    <row r="2380" spans="1:12" x14ac:dyDescent="0.25">
      <c r="A2380" s="48" t="str">
        <f>IF(Учет!A2380&lt;&gt;"",Учет!A2380,"")</f>
        <v/>
      </c>
      <c r="B2380" s="52">
        <f>IF(Учет!$O2380=Справочники!$F$2,Учет!$H2380,0)</f>
        <v>0</v>
      </c>
      <c r="C2380" s="52">
        <f>IF(Учет!$O2380=Справочники!$F$3,Учет!$H2380,0)</f>
        <v>0</v>
      </c>
      <c r="D2380" s="52">
        <f>IF(Учет!$O2380=Справочники!$F$4,Учет!$H2380,0)</f>
        <v>0</v>
      </c>
      <c r="E2380" s="52">
        <f>IF(Учет!$O2380=Справочники!$F$5,Учет!$H2380,0)</f>
        <v>0</v>
      </c>
      <c r="F2380" s="52">
        <f>IF(Учет!$O2380=Справочники!$F$6,Учет!$H2380,0)</f>
        <v>0</v>
      </c>
      <c r="G2380" s="43">
        <f>G2379+Учет!B2380-B2380</f>
        <v>-488978.92000000004</v>
      </c>
      <c r="H2380" s="43">
        <f>H2379+Учет!C2380-C2380</f>
        <v>336855</v>
      </c>
      <c r="I2380" s="43">
        <f>I2379+Учет!D2380-D2380</f>
        <v>500</v>
      </c>
      <c r="J2380" s="43">
        <f>J2379+Учет!E2380-E2380</f>
        <v>1150</v>
      </c>
      <c r="K2380" s="43">
        <f>K2379+Учет!F2380-F2380</f>
        <v>500000</v>
      </c>
      <c r="L2380" s="45">
        <f>Учет!I2380</f>
        <v>349526.07999999996</v>
      </c>
    </row>
    <row r="2381" spans="1:12" x14ac:dyDescent="0.25">
      <c r="A2381" s="48" t="str">
        <f>IF(Учет!A2381&lt;&gt;"",Учет!A2381,"")</f>
        <v/>
      </c>
      <c r="B2381" s="52">
        <f>IF(Учет!$O2381=Справочники!$F$2,Учет!$H2381,0)</f>
        <v>0</v>
      </c>
      <c r="C2381" s="52">
        <f>IF(Учет!$O2381=Справочники!$F$3,Учет!$H2381,0)</f>
        <v>0</v>
      </c>
      <c r="D2381" s="52">
        <f>IF(Учет!$O2381=Справочники!$F$4,Учет!$H2381,0)</f>
        <v>0</v>
      </c>
      <c r="E2381" s="52">
        <f>IF(Учет!$O2381=Справочники!$F$5,Учет!$H2381,0)</f>
        <v>0</v>
      </c>
      <c r="F2381" s="52">
        <f>IF(Учет!$O2381=Справочники!$F$6,Учет!$H2381,0)</f>
        <v>0</v>
      </c>
      <c r="G2381" s="43">
        <f>G2380+Учет!B2381-B2381</f>
        <v>-488978.92000000004</v>
      </c>
      <c r="H2381" s="43">
        <f>H2380+Учет!C2381-C2381</f>
        <v>336855</v>
      </c>
      <c r="I2381" s="43">
        <f>I2380+Учет!D2381-D2381</f>
        <v>500</v>
      </c>
      <c r="J2381" s="43">
        <f>J2380+Учет!E2381-E2381</f>
        <v>1150</v>
      </c>
      <c r="K2381" s="43">
        <f>K2380+Учет!F2381-F2381</f>
        <v>500000</v>
      </c>
      <c r="L2381" s="45">
        <f>Учет!I2381</f>
        <v>349526.07999999996</v>
      </c>
    </row>
    <row r="2382" spans="1:12" x14ac:dyDescent="0.25">
      <c r="A2382" s="48" t="str">
        <f>IF(Учет!A2382&lt;&gt;"",Учет!A2382,"")</f>
        <v/>
      </c>
      <c r="B2382" s="52">
        <f>IF(Учет!$O2382=Справочники!$F$2,Учет!$H2382,0)</f>
        <v>0</v>
      </c>
      <c r="C2382" s="52">
        <f>IF(Учет!$O2382=Справочники!$F$3,Учет!$H2382,0)</f>
        <v>0</v>
      </c>
      <c r="D2382" s="52">
        <f>IF(Учет!$O2382=Справочники!$F$4,Учет!$H2382,0)</f>
        <v>0</v>
      </c>
      <c r="E2382" s="52">
        <f>IF(Учет!$O2382=Справочники!$F$5,Учет!$H2382,0)</f>
        <v>0</v>
      </c>
      <c r="F2382" s="52">
        <f>IF(Учет!$O2382=Справочники!$F$6,Учет!$H2382,0)</f>
        <v>0</v>
      </c>
      <c r="G2382" s="43">
        <f>G2381+Учет!B2382-B2382</f>
        <v>-488978.92000000004</v>
      </c>
      <c r="H2382" s="43">
        <f>H2381+Учет!C2382-C2382</f>
        <v>336855</v>
      </c>
      <c r="I2382" s="43">
        <f>I2381+Учет!D2382-D2382</f>
        <v>500</v>
      </c>
      <c r="J2382" s="43">
        <f>J2381+Учет!E2382-E2382</f>
        <v>1150</v>
      </c>
      <c r="K2382" s="43">
        <f>K2381+Учет!F2382-F2382</f>
        <v>500000</v>
      </c>
      <c r="L2382" s="45">
        <f>Учет!I2382</f>
        <v>349526.07999999996</v>
      </c>
    </row>
    <row r="2383" spans="1:12" x14ac:dyDescent="0.25">
      <c r="A2383" s="48" t="str">
        <f>IF(Учет!A2383&lt;&gt;"",Учет!A2383,"")</f>
        <v/>
      </c>
      <c r="B2383" s="52">
        <f>IF(Учет!$O2383=Справочники!$F$2,Учет!$H2383,0)</f>
        <v>0</v>
      </c>
      <c r="C2383" s="52">
        <f>IF(Учет!$O2383=Справочники!$F$3,Учет!$H2383,0)</f>
        <v>0</v>
      </c>
      <c r="D2383" s="52">
        <f>IF(Учет!$O2383=Справочники!$F$4,Учет!$H2383,0)</f>
        <v>0</v>
      </c>
      <c r="E2383" s="52">
        <f>IF(Учет!$O2383=Справочники!$F$5,Учет!$H2383,0)</f>
        <v>0</v>
      </c>
      <c r="F2383" s="52">
        <f>IF(Учет!$O2383=Справочники!$F$6,Учет!$H2383,0)</f>
        <v>0</v>
      </c>
      <c r="G2383" s="43">
        <f>G2382+Учет!B2383-B2383</f>
        <v>-488978.92000000004</v>
      </c>
      <c r="H2383" s="43">
        <f>H2382+Учет!C2383-C2383</f>
        <v>336855</v>
      </c>
      <c r="I2383" s="43">
        <f>I2382+Учет!D2383-D2383</f>
        <v>500</v>
      </c>
      <c r="J2383" s="43">
        <f>J2382+Учет!E2383-E2383</f>
        <v>1150</v>
      </c>
      <c r="K2383" s="43">
        <f>K2382+Учет!F2383-F2383</f>
        <v>500000</v>
      </c>
      <c r="L2383" s="45">
        <f>Учет!I2383</f>
        <v>349526.07999999996</v>
      </c>
    </row>
    <row r="2384" spans="1:12" x14ac:dyDescent="0.25">
      <c r="A2384" s="48" t="str">
        <f>IF(Учет!A2384&lt;&gt;"",Учет!A2384,"")</f>
        <v/>
      </c>
      <c r="B2384" s="52">
        <f>IF(Учет!$O2384=Справочники!$F$2,Учет!$H2384,0)</f>
        <v>0</v>
      </c>
      <c r="C2384" s="52">
        <f>IF(Учет!$O2384=Справочники!$F$3,Учет!$H2384,0)</f>
        <v>0</v>
      </c>
      <c r="D2384" s="52">
        <f>IF(Учет!$O2384=Справочники!$F$4,Учет!$H2384,0)</f>
        <v>0</v>
      </c>
      <c r="E2384" s="52">
        <f>IF(Учет!$O2384=Справочники!$F$5,Учет!$H2384,0)</f>
        <v>0</v>
      </c>
      <c r="F2384" s="52">
        <f>IF(Учет!$O2384=Справочники!$F$6,Учет!$H2384,0)</f>
        <v>0</v>
      </c>
      <c r="G2384" s="43">
        <f>G2383+Учет!B2384-B2384</f>
        <v>-488978.92000000004</v>
      </c>
      <c r="H2384" s="43">
        <f>H2383+Учет!C2384-C2384</f>
        <v>336855</v>
      </c>
      <c r="I2384" s="43">
        <f>I2383+Учет!D2384-D2384</f>
        <v>500</v>
      </c>
      <c r="J2384" s="43">
        <f>J2383+Учет!E2384-E2384</f>
        <v>1150</v>
      </c>
      <c r="K2384" s="43">
        <f>K2383+Учет!F2384-F2384</f>
        <v>500000</v>
      </c>
      <c r="L2384" s="45">
        <f>Учет!I2384</f>
        <v>349526.07999999996</v>
      </c>
    </row>
    <row r="2385" spans="1:12" x14ac:dyDescent="0.25">
      <c r="A2385" s="48" t="str">
        <f>IF(Учет!A2385&lt;&gt;"",Учет!A2385,"")</f>
        <v/>
      </c>
      <c r="B2385" s="52">
        <f>IF(Учет!$O2385=Справочники!$F$2,Учет!$H2385,0)</f>
        <v>0</v>
      </c>
      <c r="C2385" s="52">
        <f>IF(Учет!$O2385=Справочники!$F$3,Учет!$H2385,0)</f>
        <v>0</v>
      </c>
      <c r="D2385" s="52">
        <f>IF(Учет!$O2385=Справочники!$F$4,Учет!$H2385,0)</f>
        <v>0</v>
      </c>
      <c r="E2385" s="52">
        <f>IF(Учет!$O2385=Справочники!$F$5,Учет!$H2385,0)</f>
        <v>0</v>
      </c>
      <c r="F2385" s="52">
        <f>IF(Учет!$O2385=Справочники!$F$6,Учет!$H2385,0)</f>
        <v>0</v>
      </c>
      <c r="G2385" s="43">
        <f>G2384+Учет!B2385-B2385</f>
        <v>-488978.92000000004</v>
      </c>
      <c r="H2385" s="43">
        <f>H2384+Учет!C2385-C2385</f>
        <v>336855</v>
      </c>
      <c r="I2385" s="43">
        <f>I2384+Учет!D2385-D2385</f>
        <v>500</v>
      </c>
      <c r="J2385" s="43">
        <f>J2384+Учет!E2385-E2385</f>
        <v>1150</v>
      </c>
      <c r="K2385" s="43">
        <f>K2384+Учет!F2385-F2385</f>
        <v>500000</v>
      </c>
      <c r="L2385" s="45">
        <f>Учет!I2385</f>
        <v>349526.07999999996</v>
      </c>
    </row>
    <row r="2386" spans="1:12" x14ac:dyDescent="0.25">
      <c r="A2386" s="48" t="str">
        <f>IF(Учет!A2386&lt;&gt;"",Учет!A2386,"")</f>
        <v/>
      </c>
      <c r="B2386" s="52">
        <f>IF(Учет!$O2386=Справочники!$F$2,Учет!$H2386,0)</f>
        <v>0</v>
      </c>
      <c r="C2386" s="52">
        <f>IF(Учет!$O2386=Справочники!$F$3,Учет!$H2386,0)</f>
        <v>0</v>
      </c>
      <c r="D2386" s="52">
        <f>IF(Учет!$O2386=Справочники!$F$4,Учет!$H2386,0)</f>
        <v>0</v>
      </c>
      <c r="E2386" s="52">
        <f>IF(Учет!$O2386=Справочники!$F$5,Учет!$H2386,0)</f>
        <v>0</v>
      </c>
      <c r="F2386" s="52">
        <f>IF(Учет!$O2386=Справочники!$F$6,Учет!$H2386,0)</f>
        <v>0</v>
      </c>
      <c r="G2386" s="43">
        <f>G2385+Учет!B2386-B2386</f>
        <v>-488978.92000000004</v>
      </c>
      <c r="H2386" s="43">
        <f>H2385+Учет!C2386-C2386</f>
        <v>336855</v>
      </c>
      <c r="I2386" s="43">
        <f>I2385+Учет!D2386-D2386</f>
        <v>500</v>
      </c>
      <c r="J2386" s="43">
        <f>J2385+Учет!E2386-E2386</f>
        <v>1150</v>
      </c>
      <c r="K2386" s="43">
        <f>K2385+Учет!F2386-F2386</f>
        <v>500000</v>
      </c>
      <c r="L2386" s="45">
        <f>Учет!I2386</f>
        <v>349526.07999999996</v>
      </c>
    </row>
    <row r="2387" spans="1:12" x14ac:dyDescent="0.25">
      <c r="A2387" s="48" t="str">
        <f>IF(Учет!A2387&lt;&gt;"",Учет!A2387,"")</f>
        <v/>
      </c>
      <c r="B2387" s="52">
        <f>IF(Учет!$O2387=Справочники!$F$2,Учет!$H2387,0)</f>
        <v>0</v>
      </c>
      <c r="C2387" s="52">
        <f>IF(Учет!$O2387=Справочники!$F$3,Учет!$H2387,0)</f>
        <v>0</v>
      </c>
      <c r="D2387" s="52">
        <f>IF(Учет!$O2387=Справочники!$F$4,Учет!$H2387,0)</f>
        <v>0</v>
      </c>
      <c r="E2387" s="52">
        <f>IF(Учет!$O2387=Справочники!$F$5,Учет!$H2387,0)</f>
        <v>0</v>
      </c>
      <c r="F2387" s="52">
        <f>IF(Учет!$O2387=Справочники!$F$6,Учет!$H2387,0)</f>
        <v>0</v>
      </c>
      <c r="G2387" s="43">
        <f>G2386+Учет!B2387-B2387</f>
        <v>-488978.92000000004</v>
      </c>
      <c r="H2387" s="43">
        <f>H2386+Учет!C2387-C2387</f>
        <v>336855</v>
      </c>
      <c r="I2387" s="43">
        <f>I2386+Учет!D2387-D2387</f>
        <v>500</v>
      </c>
      <c r="J2387" s="43">
        <f>J2386+Учет!E2387-E2387</f>
        <v>1150</v>
      </c>
      <c r="K2387" s="43">
        <f>K2386+Учет!F2387-F2387</f>
        <v>500000</v>
      </c>
      <c r="L2387" s="45">
        <f>Учет!I2387</f>
        <v>349526.07999999996</v>
      </c>
    </row>
    <row r="2388" spans="1:12" x14ac:dyDescent="0.25">
      <c r="A2388" s="48" t="str">
        <f>IF(Учет!A2388&lt;&gt;"",Учет!A2388,"")</f>
        <v/>
      </c>
      <c r="B2388" s="52">
        <f>IF(Учет!$O2388=Справочники!$F$2,Учет!$H2388,0)</f>
        <v>0</v>
      </c>
      <c r="C2388" s="52">
        <f>IF(Учет!$O2388=Справочники!$F$3,Учет!$H2388,0)</f>
        <v>0</v>
      </c>
      <c r="D2388" s="52">
        <f>IF(Учет!$O2388=Справочники!$F$4,Учет!$H2388,0)</f>
        <v>0</v>
      </c>
      <c r="E2388" s="52">
        <f>IF(Учет!$O2388=Справочники!$F$5,Учет!$H2388,0)</f>
        <v>0</v>
      </c>
      <c r="F2388" s="52">
        <f>IF(Учет!$O2388=Справочники!$F$6,Учет!$H2388,0)</f>
        <v>0</v>
      </c>
      <c r="G2388" s="43">
        <f>G2387+Учет!B2388-B2388</f>
        <v>-488978.92000000004</v>
      </c>
      <c r="H2388" s="43">
        <f>H2387+Учет!C2388-C2388</f>
        <v>336855</v>
      </c>
      <c r="I2388" s="43">
        <f>I2387+Учет!D2388-D2388</f>
        <v>500</v>
      </c>
      <c r="J2388" s="43">
        <f>J2387+Учет!E2388-E2388</f>
        <v>1150</v>
      </c>
      <c r="K2388" s="43">
        <f>K2387+Учет!F2388-F2388</f>
        <v>500000</v>
      </c>
      <c r="L2388" s="45">
        <f>Учет!I2388</f>
        <v>349526.07999999996</v>
      </c>
    </row>
    <row r="2389" spans="1:12" x14ac:dyDescent="0.25">
      <c r="A2389" s="48" t="str">
        <f>IF(Учет!A2389&lt;&gt;"",Учет!A2389,"")</f>
        <v/>
      </c>
      <c r="B2389" s="52">
        <f>IF(Учет!$O2389=Справочники!$F$2,Учет!$H2389,0)</f>
        <v>0</v>
      </c>
      <c r="C2389" s="52">
        <f>IF(Учет!$O2389=Справочники!$F$3,Учет!$H2389,0)</f>
        <v>0</v>
      </c>
      <c r="D2389" s="52">
        <f>IF(Учет!$O2389=Справочники!$F$4,Учет!$H2389,0)</f>
        <v>0</v>
      </c>
      <c r="E2389" s="52">
        <f>IF(Учет!$O2389=Справочники!$F$5,Учет!$H2389,0)</f>
        <v>0</v>
      </c>
      <c r="F2389" s="52">
        <f>IF(Учет!$O2389=Справочники!$F$6,Учет!$H2389,0)</f>
        <v>0</v>
      </c>
      <c r="G2389" s="43">
        <f>G2388+Учет!B2389-B2389</f>
        <v>-488978.92000000004</v>
      </c>
      <c r="H2389" s="43">
        <f>H2388+Учет!C2389-C2389</f>
        <v>336855</v>
      </c>
      <c r="I2389" s="43">
        <f>I2388+Учет!D2389-D2389</f>
        <v>500</v>
      </c>
      <c r="J2389" s="43">
        <f>J2388+Учет!E2389-E2389</f>
        <v>1150</v>
      </c>
      <c r="K2389" s="43">
        <f>K2388+Учет!F2389-F2389</f>
        <v>500000</v>
      </c>
      <c r="L2389" s="45">
        <f>Учет!I2389</f>
        <v>349526.07999999996</v>
      </c>
    </row>
    <row r="2390" spans="1:12" x14ac:dyDescent="0.25">
      <c r="A2390" s="48" t="str">
        <f>IF(Учет!A2390&lt;&gt;"",Учет!A2390,"")</f>
        <v/>
      </c>
      <c r="B2390" s="52">
        <f>IF(Учет!$O2390=Справочники!$F$2,Учет!$H2390,0)</f>
        <v>0</v>
      </c>
      <c r="C2390" s="52">
        <f>IF(Учет!$O2390=Справочники!$F$3,Учет!$H2390,0)</f>
        <v>0</v>
      </c>
      <c r="D2390" s="52">
        <f>IF(Учет!$O2390=Справочники!$F$4,Учет!$H2390,0)</f>
        <v>0</v>
      </c>
      <c r="E2390" s="52">
        <f>IF(Учет!$O2390=Справочники!$F$5,Учет!$H2390,0)</f>
        <v>0</v>
      </c>
      <c r="F2390" s="52">
        <f>IF(Учет!$O2390=Справочники!$F$6,Учет!$H2390,0)</f>
        <v>0</v>
      </c>
      <c r="G2390" s="43">
        <f>G2389+Учет!B2390-B2390</f>
        <v>-488978.92000000004</v>
      </c>
      <c r="H2390" s="43">
        <f>H2389+Учет!C2390-C2390</f>
        <v>336855</v>
      </c>
      <c r="I2390" s="43">
        <f>I2389+Учет!D2390-D2390</f>
        <v>500</v>
      </c>
      <c r="J2390" s="43">
        <f>J2389+Учет!E2390-E2390</f>
        <v>1150</v>
      </c>
      <c r="K2390" s="43">
        <f>K2389+Учет!F2390-F2390</f>
        <v>500000</v>
      </c>
      <c r="L2390" s="45">
        <f>Учет!I2390</f>
        <v>349526.07999999996</v>
      </c>
    </row>
    <row r="2391" spans="1:12" x14ac:dyDescent="0.25">
      <c r="A2391" s="48" t="str">
        <f>IF(Учет!A2391&lt;&gt;"",Учет!A2391,"")</f>
        <v/>
      </c>
      <c r="B2391" s="52">
        <f>IF(Учет!$O2391=Справочники!$F$2,Учет!$H2391,0)</f>
        <v>0</v>
      </c>
      <c r="C2391" s="52">
        <f>IF(Учет!$O2391=Справочники!$F$3,Учет!$H2391,0)</f>
        <v>0</v>
      </c>
      <c r="D2391" s="52">
        <f>IF(Учет!$O2391=Справочники!$F$4,Учет!$H2391,0)</f>
        <v>0</v>
      </c>
      <c r="E2391" s="52">
        <f>IF(Учет!$O2391=Справочники!$F$5,Учет!$H2391,0)</f>
        <v>0</v>
      </c>
      <c r="F2391" s="52">
        <f>IF(Учет!$O2391=Справочники!$F$6,Учет!$H2391,0)</f>
        <v>0</v>
      </c>
      <c r="G2391" s="43">
        <f>G2390+Учет!B2391-B2391</f>
        <v>-488978.92000000004</v>
      </c>
      <c r="H2391" s="43">
        <f>H2390+Учет!C2391-C2391</f>
        <v>336855</v>
      </c>
      <c r="I2391" s="43">
        <f>I2390+Учет!D2391-D2391</f>
        <v>500</v>
      </c>
      <c r="J2391" s="43">
        <f>J2390+Учет!E2391-E2391</f>
        <v>1150</v>
      </c>
      <c r="K2391" s="43">
        <f>K2390+Учет!F2391-F2391</f>
        <v>500000</v>
      </c>
      <c r="L2391" s="45">
        <f>Учет!I2391</f>
        <v>349526.07999999996</v>
      </c>
    </row>
    <row r="2392" spans="1:12" x14ac:dyDescent="0.25">
      <c r="A2392" s="48" t="str">
        <f>IF(Учет!A2392&lt;&gt;"",Учет!A2392,"")</f>
        <v/>
      </c>
      <c r="B2392" s="52">
        <f>IF(Учет!$O2392=Справочники!$F$2,Учет!$H2392,0)</f>
        <v>0</v>
      </c>
      <c r="C2392" s="52">
        <f>IF(Учет!$O2392=Справочники!$F$3,Учет!$H2392,0)</f>
        <v>0</v>
      </c>
      <c r="D2392" s="52">
        <f>IF(Учет!$O2392=Справочники!$F$4,Учет!$H2392,0)</f>
        <v>0</v>
      </c>
      <c r="E2392" s="52">
        <f>IF(Учет!$O2392=Справочники!$F$5,Учет!$H2392,0)</f>
        <v>0</v>
      </c>
      <c r="F2392" s="52">
        <f>IF(Учет!$O2392=Справочники!$F$6,Учет!$H2392,0)</f>
        <v>0</v>
      </c>
      <c r="G2392" s="43">
        <f>G2391+Учет!B2392-B2392</f>
        <v>-488978.92000000004</v>
      </c>
      <c r="H2392" s="43">
        <f>H2391+Учет!C2392-C2392</f>
        <v>336855</v>
      </c>
      <c r="I2392" s="43">
        <f>I2391+Учет!D2392-D2392</f>
        <v>500</v>
      </c>
      <c r="J2392" s="43">
        <f>J2391+Учет!E2392-E2392</f>
        <v>1150</v>
      </c>
      <c r="K2392" s="43">
        <f>K2391+Учет!F2392-F2392</f>
        <v>500000</v>
      </c>
      <c r="L2392" s="45">
        <f>Учет!I2392</f>
        <v>349526.07999999996</v>
      </c>
    </row>
    <row r="2393" spans="1:12" x14ac:dyDescent="0.25">
      <c r="A2393" s="48" t="str">
        <f>IF(Учет!A2393&lt;&gt;"",Учет!A2393,"")</f>
        <v/>
      </c>
      <c r="B2393" s="52">
        <f>IF(Учет!$O2393=Справочники!$F$2,Учет!$H2393,0)</f>
        <v>0</v>
      </c>
      <c r="C2393" s="52">
        <f>IF(Учет!$O2393=Справочники!$F$3,Учет!$H2393,0)</f>
        <v>0</v>
      </c>
      <c r="D2393" s="52">
        <f>IF(Учет!$O2393=Справочники!$F$4,Учет!$H2393,0)</f>
        <v>0</v>
      </c>
      <c r="E2393" s="52">
        <f>IF(Учет!$O2393=Справочники!$F$5,Учет!$H2393,0)</f>
        <v>0</v>
      </c>
      <c r="F2393" s="52">
        <f>IF(Учет!$O2393=Справочники!$F$6,Учет!$H2393,0)</f>
        <v>0</v>
      </c>
      <c r="G2393" s="43">
        <f>G2392+Учет!B2393-B2393</f>
        <v>-488978.92000000004</v>
      </c>
      <c r="H2393" s="43">
        <f>H2392+Учет!C2393-C2393</f>
        <v>336855</v>
      </c>
      <c r="I2393" s="43">
        <f>I2392+Учет!D2393-D2393</f>
        <v>500</v>
      </c>
      <c r="J2393" s="43">
        <f>J2392+Учет!E2393-E2393</f>
        <v>1150</v>
      </c>
      <c r="K2393" s="43">
        <f>K2392+Учет!F2393-F2393</f>
        <v>500000</v>
      </c>
      <c r="L2393" s="45">
        <f>Учет!I2393</f>
        <v>349526.07999999996</v>
      </c>
    </row>
    <row r="2394" spans="1:12" x14ac:dyDescent="0.25">
      <c r="A2394" s="48" t="str">
        <f>IF(Учет!A2394&lt;&gt;"",Учет!A2394,"")</f>
        <v/>
      </c>
      <c r="B2394" s="52">
        <f>IF(Учет!$O2394=Справочники!$F$2,Учет!$H2394,0)</f>
        <v>0</v>
      </c>
      <c r="C2394" s="52">
        <f>IF(Учет!$O2394=Справочники!$F$3,Учет!$H2394,0)</f>
        <v>0</v>
      </c>
      <c r="D2394" s="52">
        <f>IF(Учет!$O2394=Справочники!$F$4,Учет!$H2394,0)</f>
        <v>0</v>
      </c>
      <c r="E2394" s="52">
        <f>IF(Учет!$O2394=Справочники!$F$5,Учет!$H2394,0)</f>
        <v>0</v>
      </c>
      <c r="F2394" s="52">
        <f>IF(Учет!$O2394=Справочники!$F$6,Учет!$H2394,0)</f>
        <v>0</v>
      </c>
      <c r="G2394" s="43">
        <f>G2393+Учет!B2394-B2394</f>
        <v>-488978.92000000004</v>
      </c>
      <c r="H2394" s="43">
        <f>H2393+Учет!C2394-C2394</f>
        <v>336855</v>
      </c>
      <c r="I2394" s="43">
        <f>I2393+Учет!D2394-D2394</f>
        <v>500</v>
      </c>
      <c r="J2394" s="43">
        <f>J2393+Учет!E2394-E2394</f>
        <v>1150</v>
      </c>
      <c r="K2394" s="43">
        <f>K2393+Учет!F2394-F2394</f>
        <v>500000</v>
      </c>
      <c r="L2394" s="45">
        <f>Учет!I2394</f>
        <v>349526.07999999996</v>
      </c>
    </row>
    <row r="2395" spans="1:12" x14ac:dyDescent="0.25">
      <c r="A2395" s="48" t="str">
        <f>IF(Учет!A2395&lt;&gt;"",Учет!A2395,"")</f>
        <v/>
      </c>
      <c r="B2395" s="52">
        <f>IF(Учет!$O2395=Справочники!$F$2,Учет!$H2395,0)</f>
        <v>0</v>
      </c>
      <c r="C2395" s="52">
        <f>IF(Учет!$O2395=Справочники!$F$3,Учет!$H2395,0)</f>
        <v>0</v>
      </c>
      <c r="D2395" s="52">
        <f>IF(Учет!$O2395=Справочники!$F$4,Учет!$H2395,0)</f>
        <v>0</v>
      </c>
      <c r="E2395" s="52">
        <f>IF(Учет!$O2395=Справочники!$F$5,Учет!$H2395,0)</f>
        <v>0</v>
      </c>
      <c r="F2395" s="52">
        <f>IF(Учет!$O2395=Справочники!$F$6,Учет!$H2395,0)</f>
        <v>0</v>
      </c>
      <c r="G2395" s="43">
        <f>G2394+Учет!B2395-B2395</f>
        <v>-488978.92000000004</v>
      </c>
      <c r="H2395" s="43">
        <f>H2394+Учет!C2395-C2395</f>
        <v>336855</v>
      </c>
      <c r="I2395" s="43">
        <f>I2394+Учет!D2395-D2395</f>
        <v>500</v>
      </c>
      <c r="J2395" s="43">
        <f>J2394+Учет!E2395-E2395</f>
        <v>1150</v>
      </c>
      <c r="K2395" s="43">
        <f>K2394+Учет!F2395-F2395</f>
        <v>500000</v>
      </c>
      <c r="L2395" s="45">
        <f>Учет!I2395</f>
        <v>349526.07999999996</v>
      </c>
    </row>
    <row r="2396" spans="1:12" x14ac:dyDescent="0.25">
      <c r="A2396" s="48" t="str">
        <f>IF(Учет!A2396&lt;&gt;"",Учет!A2396,"")</f>
        <v/>
      </c>
      <c r="B2396" s="52">
        <f>IF(Учет!$O2396=Справочники!$F$2,Учет!$H2396,0)</f>
        <v>0</v>
      </c>
      <c r="C2396" s="52">
        <f>IF(Учет!$O2396=Справочники!$F$3,Учет!$H2396,0)</f>
        <v>0</v>
      </c>
      <c r="D2396" s="52">
        <f>IF(Учет!$O2396=Справочники!$F$4,Учет!$H2396,0)</f>
        <v>0</v>
      </c>
      <c r="E2396" s="52">
        <f>IF(Учет!$O2396=Справочники!$F$5,Учет!$H2396,0)</f>
        <v>0</v>
      </c>
      <c r="F2396" s="52">
        <f>IF(Учет!$O2396=Справочники!$F$6,Учет!$H2396,0)</f>
        <v>0</v>
      </c>
      <c r="G2396" s="43">
        <f>G2395+Учет!B2396-B2396</f>
        <v>-488978.92000000004</v>
      </c>
      <c r="H2396" s="43">
        <f>H2395+Учет!C2396-C2396</f>
        <v>336855</v>
      </c>
      <c r="I2396" s="43">
        <f>I2395+Учет!D2396-D2396</f>
        <v>500</v>
      </c>
      <c r="J2396" s="43">
        <f>J2395+Учет!E2396-E2396</f>
        <v>1150</v>
      </c>
      <c r="K2396" s="43">
        <f>K2395+Учет!F2396-F2396</f>
        <v>500000</v>
      </c>
      <c r="L2396" s="45">
        <f>Учет!I2396</f>
        <v>349526.07999999996</v>
      </c>
    </row>
    <row r="2397" spans="1:12" x14ac:dyDescent="0.25">
      <c r="A2397" s="48" t="str">
        <f>IF(Учет!A2397&lt;&gt;"",Учет!A2397,"")</f>
        <v/>
      </c>
      <c r="B2397" s="52">
        <f>IF(Учет!$O2397=Справочники!$F$2,Учет!$H2397,0)</f>
        <v>0</v>
      </c>
      <c r="C2397" s="52">
        <f>IF(Учет!$O2397=Справочники!$F$3,Учет!$H2397,0)</f>
        <v>0</v>
      </c>
      <c r="D2397" s="52">
        <f>IF(Учет!$O2397=Справочники!$F$4,Учет!$H2397,0)</f>
        <v>0</v>
      </c>
      <c r="E2397" s="52">
        <f>IF(Учет!$O2397=Справочники!$F$5,Учет!$H2397,0)</f>
        <v>0</v>
      </c>
      <c r="F2397" s="52">
        <f>IF(Учет!$O2397=Справочники!$F$6,Учет!$H2397,0)</f>
        <v>0</v>
      </c>
      <c r="G2397" s="43">
        <f>G2396+Учет!B2397-B2397</f>
        <v>-488978.92000000004</v>
      </c>
      <c r="H2397" s="43">
        <f>H2396+Учет!C2397-C2397</f>
        <v>336855</v>
      </c>
      <c r="I2397" s="43">
        <f>I2396+Учет!D2397-D2397</f>
        <v>500</v>
      </c>
      <c r="J2397" s="43">
        <f>J2396+Учет!E2397-E2397</f>
        <v>1150</v>
      </c>
      <c r="K2397" s="43">
        <f>K2396+Учет!F2397-F2397</f>
        <v>500000</v>
      </c>
      <c r="L2397" s="45">
        <f>Учет!I2397</f>
        <v>349526.07999999996</v>
      </c>
    </row>
    <row r="2398" spans="1:12" x14ac:dyDescent="0.25">
      <c r="A2398" s="48" t="str">
        <f>IF(Учет!A2398&lt;&gt;"",Учет!A2398,"")</f>
        <v/>
      </c>
      <c r="B2398" s="52">
        <f>IF(Учет!$O2398=Справочники!$F$2,Учет!$H2398,0)</f>
        <v>0</v>
      </c>
      <c r="C2398" s="52">
        <f>IF(Учет!$O2398=Справочники!$F$3,Учет!$H2398,0)</f>
        <v>0</v>
      </c>
      <c r="D2398" s="52">
        <f>IF(Учет!$O2398=Справочники!$F$4,Учет!$H2398,0)</f>
        <v>0</v>
      </c>
      <c r="E2398" s="52">
        <f>IF(Учет!$O2398=Справочники!$F$5,Учет!$H2398,0)</f>
        <v>0</v>
      </c>
      <c r="F2398" s="52">
        <f>IF(Учет!$O2398=Справочники!$F$6,Учет!$H2398,0)</f>
        <v>0</v>
      </c>
      <c r="G2398" s="43">
        <f>G2397+Учет!B2398-B2398</f>
        <v>-488978.92000000004</v>
      </c>
      <c r="H2398" s="43">
        <f>H2397+Учет!C2398-C2398</f>
        <v>336855</v>
      </c>
      <c r="I2398" s="43">
        <f>I2397+Учет!D2398-D2398</f>
        <v>500</v>
      </c>
      <c r="J2398" s="43">
        <f>J2397+Учет!E2398-E2398</f>
        <v>1150</v>
      </c>
      <c r="K2398" s="43">
        <f>K2397+Учет!F2398-F2398</f>
        <v>500000</v>
      </c>
      <c r="L2398" s="45">
        <f>Учет!I2398</f>
        <v>349526.07999999996</v>
      </c>
    </row>
    <row r="2399" spans="1:12" x14ac:dyDescent="0.25">
      <c r="A2399" s="48" t="str">
        <f>IF(Учет!A2399&lt;&gt;"",Учет!A2399,"")</f>
        <v/>
      </c>
      <c r="B2399" s="52">
        <f>IF(Учет!$O2399=Справочники!$F$2,Учет!$H2399,0)</f>
        <v>0</v>
      </c>
      <c r="C2399" s="52">
        <f>IF(Учет!$O2399=Справочники!$F$3,Учет!$H2399,0)</f>
        <v>0</v>
      </c>
      <c r="D2399" s="52">
        <f>IF(Учет!$O2399=Справочники!$F$4,Учет!$H2399,0)</f>
        <v>0</v>
      </c>
      <c r="E2399" s="52">
        <f>IF(Учет!$O2399=Справочники!$F$5,Учет!$H2399,0)</f>
        <v>0</v>
      </c>
      <c r="F2399" s="52">
        <f>IF(Учет!$O2399=Справочники!$F$6,Учет!$H2399,0)</f>
        <v>0</v>
      </c>
      <c r="G2399" s="43">
        <f>G2398+Учет!B2399-B2399</f>
        <v>-488978.92000000004</v>
      </c>
      <c r="H2399" s="43">
        <f>H2398+Учет!C2399-C2399</f>
        <v>336855</v>
      </c>
      <c r="I2399" s="43">
        <f>I2398+Учет!D2399-D2399</f>
        <v>500</v>
      </c>
      <c r="J2399" s="43">
        <f>J2398+Учет!E2399-E2399</f>
        <v>1150</v>
      </c>
      <c r="K2399" s="43">
        <f>K2398+Учет!F2399-F2399</f>
        <v>500000</v>
      </c>
      <c r="L2399" s="45">
        <f>Учет!I2399</f>
        <v>349526.07999999996</v>
      </c>
    </row>
    <row r="2400" spans="1:12" x14ac:dyDescent="0.25">
      <c r="A2400" s="48" t="str">
        <f>IF(Учет!A2400&lt;&gt;"",Учет!A2400,"")</f>
        <v/>
      </c>
      <c r="B2400" s="52">
        <f>IF(Учет!$O2400=Справочники!$F$2,Учет!$H2400,0)</f>
        <v>0</v>
      </c>
      <c r="C2400" s="52">
        <f>IF(Учет!$O2400=Справочники!$F$3,Учет!$H2400,0)</f>
        <v>0</v>
      </c>
      <c r="D2400" s="52">
        <f>IF(Учет!$O2400=Справочники!$F$4,Учет!$H2400,0)</f>
        <v>0</v>
      </c>
      <c r="E2400" s="52">
        <f>IF(Учет!$O2400=Справочники!$F$5,Учет!$H2400,0)</f>
        <v>0</v>
      </c>
      <c r="F2400" s="52">
        <f>IF(Учет!$O2400=Справочники!$F$6,Учет!$H2400,0)</f>
        <v>0</v>
      </c>
      <c r="G2400" s="43">
        <f>G2399+Учет!B2400-B2400</f>
        <v>-488978.92000000004</v>
      </c>
      <c r="H2400" s="43">
        <f>H2399+Учет!C2400-C2400</f>
        <v>336855</v>
      </c>
      <c r="I2400" s="43">
        <f>I2399+Учет!D2400-D2400</f>
        <v>500</v>
      </c>
      <c r="J2400" s="43">
        <f>J2399+Учет!E2400-E2400</f>
        <v>1150</v>
      </c>
      <c r="K2400" s="43">
        <f>K2399+Учет!F2400-F2400</f>
        <v>500000</v>
      </c>
      <c r="L2400" s="45">
        <f>Учет!I2400</f>
        <v>349526.07999999996</v>
      </c>
    </row>
    <row r="2401" spans="1:12" x14ac:dyDescent="0.25">
      <c r="A2401" s="48" t="str">
        <f>IF(Учет!A2401&lt;&gt;"",Учет!A2401,"")</f>
        <v/>
      </c>
      <c r="B2401" s="52">
        <f>IF(Учет!$O2401=Справочники!$F$2,Учет!$H2401,0)</f>
        <v>0</v>
      </c>
      <c r="C2401" s="52">
        <f>IF(Учет!$O2401=Справочники!$F$3,Учет!$H2401,0)</f>
        <v>0</v>
      </c>
      <c r="D2401" s="52">
        <f>IF(Учет!$O2401=Справочники!$F$4,Учет!$H2401,0)</f>
        <v>0</v>
      </c>
      <c r="E2401" s="52">
        <f>IF(Учет!$O2401=Справочники!$F$5,Учет!$H2401,0)</f>
        <v>0</v>
      </c>
      <c r="F2401" s="52">
        <f>IF(Учет!$O2401=Справочники!$F$6,Учет!$H2401,0)</f>
        <v>0</v>
      </c>
      <c r="G2401" s="43">
        <f>G2400+Учет!B2401-B2401</f>
        <v>-488978.92000000004</v>
      </c>
      <c r="H2401" s="43">
        <f>H2400+Учет!C2401-C2401</f>
        <v>336855</v>
      </c>
      <c r="I2401" s="43">
        <f>I2400+Учет!D2401-D2401</f>
        <v>500</v>
      </c>
      <c r="J2401" s="43">
        <f>J2400+Учет!E2401-E2401</f>
        <v>1150</v>
      </c>
      <c r="K2401" s="43">
        <f>K2400+Учет!F2401-F2401</f>
        <v>500000</v>
      </c>
      <c r="L2401" s="45">
        <f>Учет!I2401</f>
        <v>349526.07999999996</v>
      </c>
    </row>
    <row r="2402" spans="1:12" x14ac:dyDescent="0.25">
      <c r="A2402" s="48" t="str">
        <f>IF(Учет!A2402&lt;&gt;"",Учет!A2402,"")</f>
        <v/>
      </c>
      <c r="B2402" s="52">
        <f>IF(Учет!$O2402=Справочники!$F$2,Учет!$H2402,0)</f>
        <v>0</v>
      </c>
      <c r="C2402" s="52">
        <f>IF(Учет!$O2402=Справочники!$F$3,Учет!$H2402,0)</f>
        <v>0</v>
      </c>
      <c r="D2402" s="52">
        <f>IF(Учет!$O2402=Справочники!$F$4,Учет!$H2402,0)</f>
        <v>0</v>
      </c>
      <c r="E2402" s="52">
        <f>IF(Учет!$O2402=Справочники!$F$5,Учет!$H2402,0)</f>
        <v>0</v>
      </c>
      <c r="F2402" s="52">
        <f>IF(Учет!$O2402=Справочники!$F$6,Учет!$H2402,0)</f>
        <v>0</v>
      </c>
      <c r="G2402" s="43">
        <f>G2401+Учет!B2402-B2402</f>
        <v>-488978.92000000004</v>
      </c>
      <c r="H2402" s="43">
        <f>H2401+Учет!C2402-C2402</f>
        <v>336855</v>
      </c>
      <c r="I2402" s="43">
        <f>I2401+Учет!D2402-D2402</f>
        <v>500</v>
      </c>
      <c r="J2402" s="43">
        <f>J2401+Учет!E2402-E2402</f>
        <v>1150</v>
      </c>
      <c r="K2402" s="43">
        <f>K2401+Учет!F2402-F2402</f>
        <v>500000</v>
      </c>
      <c r="L2402" s="45">
        <f>Учет!I2402</f>
        <v>349526.07999999996</v>
      </c>
    </row>
    <row r="2403" spans="1:12" x14ac:dyDescent="0.25">
      <c r="A2403" s="48" t="str">
        <f>IF(Учет!A2403&lt;&gt;"",Учет!A2403,"")</f>
        <v/>
      </c>
      <c r="B2403" s="52">
        <f>IF(Учет!$O2403=Справочники!$F$2,Учет!$H2403,0)</f>
        <v>0</v>
      </c>
      <c r="C2403" s="52">
        <f>IF(Учет!$O2403=Справочники!$F$3,Учет!$H2403,0)</f>
        <v>0</v>
      </c>
      <c r="D2403" s="52">
        <f>IF(Учет!$O2403=Справочники!$F$4,Учет!$H2403,0)</f>
        <v>0</v>
      </c>
      <c r="E2403" s="52">
        <f>IF(Учет!$O2403=Справочники!$F$5,Учет!$H2403,0)</f>
        <v>0</v>
      </c>
      <c r="F2403" s="52">
        <f>IF(Учет!$O2403=Справочники!$F$6,Учет!$H2403,0)</f>
        <v>0</v>
      </c>
      <c r="G2403" s="43">
        <f>G2402+Учет!B2403-B2403</f>
        <v>-488978.92000000004</v>
      </c>
      <c r="H2403" s="43">
        <f>H2402+Учет!C2403-C2403</f>
        <v>336855</v>
      </c>
      <c r="I2403" s="43">
        <f>I2402+Учет!D2403-D2403</f>
        <v>500</v>
      </c>
      <c r="J2403" s="43">
        <f>J2402+Учет!E2403-E2403</f>
        <v>1150</v>
      </c>
      <c r="K2403" s="43">
        <f>K2402+Учет!F2403-F2403</f>
        <v>500000</v>
      </c>
      <c r="L2403" s="45">
        <f>Учет!I2403</f>
        <v>349526.07999999996</v>
      </c>
    </row>
    <row r="2404" spans="1:12" x14ac:dyDescent="0.25">
      <c r="A2404" s="48" t="str">
        <f>IF(Учет!A2404&lt;&gt;"",Учет!A2404,"")</f>
        <v/>
      </c>
      <c r="B2404" s="52">
        <f>IF(Учет!$O2404=Справочники!$F$2,Учет!$H2404,0)</f>
        <v>0</v>
      </c>
      <c r="C2404" s="52">
        <f>IF(Учет!$O2404=Справочники!$F$3,Учет!$H2404,0)</f>
        <v>0</v>
      </c>
      <c r="D2404" s="52">
        <f>IF(Учет!$O2404=Справочники!$F$4,Учет!$H2404,0)</f>
        <v>0</v>
      </c>
      <c r="E2404" s="52">
        <f>IF(Учет!$O2404=Справочники!$F$5,Учет!$H2404,0)</f>
        <v>0</v>
      </c>
      <c r="F2404" s="52">
        <f>IF(Учет!$O2404=Справочники!$F$6,Учет!$H2404,0)</f>
        <v>0</v>
      </c>
      <c r="G2404" s="43">
        <f>G2403+Учет!B2404-B2404</f>
        <v>-488978.92000000004</v>
      </c>
      <c r="H2404" s="43">
        <f>H2403+Учет!C2404-C2404</f>
        <v>336855</v>
      </c>
      <c r="I2404" s="43">
        <f>I2403+Учет!D2404-D2404</f>
        <v>500</v>
      </c>
      <c r="J2404" s="43">
        <f>J2403+Учет!E2404-E2404</f>
        <v>1150</v>
      </c>
      <c r="K2404" s="43">
        <f>K2403+Учет!F2404-F2404</f>
        <v>500000</v>
      </c>
      <c r="L2404" s="45">
        <f>Учет!I2404</f>
        <v>349526.07999999996</v>
      </c>
    </row>
    <row r="2405" spans="1:12" x14ac:dyDescent="0.25">
      <c r="A2405" s="48" t="str">
        <f>IF(Учет!A2405&lt;&gt;"",Учет!A2405,"")</f>
        <v/>
      </c>
      <c r="B2405" s="52">
        <f>IF(Учет!$O2405=Справочники!$F$2,Учет!$H2405,0)</f>
        <v>0</v>
      </c>
      <c r="C2405" s="52">
        <f>IF(Учет!$O2405=Справочники!$F$3,Учет!$H2405,0)</f>
        <v>0</v>
      </c>
      <c r="D2405" s="52">
        <f>IF(Учет!$O2405=Справочники!$F$4,Учет!$H2405,0)</f>
        <v>0</v>
      </c>
      <c r="E2405" s="52">
        <f>IF(Учет!$O2405=Справочники!$F$5,Учет!$H2405,0)</f>
        <v>0</v>
      </c>
      <c r="F2405" s="52">
        <f>IF(Учет!$O2405=Справочники!$F$6,Учет!$H2405,0)</f>
        <v>0</v>
      </c>
      <c r="G2405" s="43">
        <f>G2404+Учет!B2405-B2405</f>
        <v>-488978.92000000004</v>
      </c>
      <c r="H2405" s="43">
        <f>H2404+Учет!C2405-C2405</f>
        <v>336855</v>
      </c>
      <c r="I2405" s="43">
        <f>I2404+Учет!D2405-D2405</f>
        <v>500</v>
      </c>
      <c r="J2405" s="43">
        <f>J2404+Учет!E2405-E2405</f>
        <v>1150</v>
      </c>
      <c r="K2405" s="43">
        <f>K2404+Учет!F2405-F2405</f>
        <v>500000</v>
      </c>
      <c r="L2405" s="45">
        <f>Учет!I2405</f>
        <v>349526.07999999996</v>
      </c>
    </row>
    <row r="2406" spans="1:12" x14ac:dyDescent="0.25">
      <c r="A2406" s="48" t="str">
        <f>IF(Учет!A2406&lt;&gt;"",Учет!A2406,"")</f>
        <v/>
      </c>
      <c r="B2406" s="52">
        <f>IF(Учет!$O2406=Справочники!$F$2,Учет!$H2406,0)</f>
        <v>0</v>
      </c>
      <c r="C2406" s="52">
        <f>IF(Учет!$O2406=Справочники!$F$3,Учет!$H2406,0)</f>
        <v>0</v>
      </c>
      <c r="D2406" s="52">
        <f>IF(Учет!$O2406=Справочники!$F$4,Учет!$H2406,0)</f>
        <v>0</v>
      </c>
      <c r="E2406" s="52">
        <f>IF(Учет!$O2406=Справочники!$F$5,Учет!$H2406,0)</f>
        <v>0</v>
      </c>
      <c r="F2406" s="52">
        <f>IF(Учет!$O2406=Справочники!$F$6,Учет!$H2406,0)</f>
        <v>0</v>
      </c>
      <c r="G2406" s="43">
        <f>G2405+Учет!B2406-B2406</f>
        <v>-488978.92000000004</v>
      </c>
      <c r="H2406" s="43">
        <f>H2405+Учет!C2406-C2406</f>
        <v>336855</v>
      </c>
      <c r="I2406" s="43">
        <f>I2405+Учет!D2406-D2406</f>
        <v>500</v>
      </c>
      <c r="J2406" s="43">
        <f>J2405+Учет!E2406-E2406</f>
        <v>1150</v>
      </c>
      <c r="K2406" s="43">
        <f>K2405+Учет!F2406-F2406</f>
        <v>500000</v>
      </c>
      <c r="L2406" s="45">
        <f>Учет!I2406</f>
        <v>349526.07999999996</v>
      </c>
    </row>
    <row r="2407" spans="1:12" x14ac:dyDescent="0.25">
      <c r="A2407" s="48" t="str">
        <f>IF(Учет!A2407&lt;&gt;"",Учет!A2407,"")</f>
        <v/>
      </c>
      <c r="B2407" s="52">
        <f>IF(Учет!$O2407=Справочники!$F$2,Учет!$H2407,0)</f>
        <v>0</v>
      </c>
      <c r="C2407" s="52">
        <f>IF(Учет!$O2407=Справочники!$F$3,Учет!$H2407,0)</f>
        <v>0</v>
      </c>
      <c r="D2407" s="52">
        <f>IF(Учет!$O2407=Справочники!$F$4,Учет!$H2407,0)</f>
        <v>0</v>
      </c>
      <c r="E2407" s="52">
        <f>IF(Учет!$O2407=Справочники!$F$5,Учет!$H2407,0)</f>
        <v>0</v>
      </c>
      <c r="F2407" s="52">
        <f>IF(Учет!$O2407=Справочники!$F$6,Учет!$H2407,0)</f>
        <v>0</v>
      </c>
      <c r="G2407" s="43">
        <f>G2406+Учет!B2407-B2407</f>
        <v>-488978.92000000004</v>
      </c>
      <c r="H2407" s="43">
        <f>H2406+Учет!C2407-C2407</f>
        <v>336855</v>
      </c>
      <c r="I2407" s="43">
        <f>I2406+Учет!D2407-D2407</f>
        <v>500</v>
      </c>
      <c r="J2407" s="43">
        <f>J2406+Учет!E2407-E2407</f>
        <v>1150</v>
      </c>
      <c r="K2407" s="43">
        <f>K2406+Учет!F2407-F2407</f>
        <v>500000</v>
      </c>
      <c r="L2407" s="45">
        <f>Учет!I2407</f>
        <v>349526.07999999996</v>
      </c>
    </row>
    <row r="2408" spans="1:12" x14ac:dyDescent="0.25">
      <c r="A2408" s="48" t="str">
        <f>IF(Учет!A2408&lt;&gt;"",Учет!A2408,"")</f>
        <v/>
      </c>
      <c r="B2408" s="52">
        <f>IF(Учет!$O2408=Справочники!$F$2,Учет!$H2408,0)</f>
        <v>0</v>
      </c>
      <c r="C2408" s="52">
        <f>IF(Учет!$O2408=Справочники!$F$3,Учет!$H2408,0)</f>
        <v>0</v>
      </c>
      <c r="D2408" s="52">
        <f>IF(Учет!$O2408=Справочники!$F$4,Учет!$H2408,0)</f>
        <v>0</v>
      </c>
      <c r="E2408" s="52">
        <f>IF(Учет!$O2408=Справочники!$F$5,Учет!$H2408,0)</f>
        <v>0</v>
      </c>
      <c r="F2408" s="52">
        <f>IF(Учет!$O2408=Справочники!$F$6,Учет!$H2408,0)</f>
        <v>0</v>
      </c>
      <c r="G2408" s="43">
        <f>G2407+Учет!B2408-B2408</f>
        <v>-488978.92000000004</v>
      </c>
      <c r="H2408" s="43">
        <f>H2407+Учет!C2408-C2408</f>
        <v>336855</v>
      </c>
      <c r="I2408" s="43">
        <f>I2407+Учет!D2408-D2408</f>
        <v>500</v>
      </c>
      <c r="J2408" s="43">
        <f>J2407+Учет!E2408-E2408</f>
        <v>1150</v>
      </c>
      <c r="K2408" s="43">
        <f>K2407+Учет!F2408-F2408</f>
        <v>500000</v>
      </c>
      <c r="L2408" s="45">
        <f>Учет!I2408</f>
        <v>349526.07999999996</v>
      </c>
    </row>
    <row r="2409" spans="1:12" x14ac:dyDescent="0.25">
      <c r="A2409" s="48" t="str">
        <f>IF(Учет!A2409&lt;&gt;"",Учет!A2409,"")</f>
        <v/>
      </c>
      <c r="B2409" s="52">
        <f>IF(Учет!$O2409=Справочники!$F$2,Учет!$H2409,0)</f>
        <v>0</v>
      </c>
      <c r="C2409" s="52">
        <f>IF(Учет!$O2409=Справочники!$F$3,Учет!$H2409,0)</f>
        <v>0</v>
      </c>
      <c r="D2409" s="52">
        <f>IF(Учет!$O2409=Справочники!$F$4,Учет!$H2409,0)</f>
        <v>0</v>
      </c>
      <c r="E2409" s="52">
        <f>IF(Учет!$O2409=Справочники!$F$5,Учет!$H2409,0)</f>
        <v>0</v>
      </c>
      <c r="F2409" s="52">
        <f>IF(Учет!$O2409=Справочники!$F$6,Учет!$H2409,0)</f>
        <v>0</v>
      </c>
      <c r="G2409" s="43">
        <f>G2408+Учет!B2409-B2409</f>
        <v>-488978.92000000004</v>
      </c>
      <c r="H2409" s="43">
        <f>H2408+Учет!C2409-C2409</f>
        <v>336855</v>
      </c>
      <c r="I2409" s="43">
        <f>I2408+Учет!D2409-D2409</f>
        <v>500</v>
      </c>
      <c r="J2409" s="43">
        <f>J2408+Учет!E2409-E2409</f>
        <v>1150</v>
      </c>
      <c r="K2409" s="43">
        <f>K2408+Учет!F2409-F2409</f>
        <v>500000</v>
      </c>
      <c r="L2409" s="45">
        <f>Учет!I2409</f>
        <v>349526.07999999996</v>
      </c>
    </row>
    <row r="2410" spans="1:12" x14ac:dyDescent="0.25">
      <c r="A2410" s="48" t="str">
        <f>IF(Учет!A2410&lt;&gt;"",Учет!A2410,"")</f>
        <v/>
      </c>
      <c r="B2410" s="52">
        <f>IF(Учет!$O2410=Справочники!$F$2,Учет!$H2410,0)</f>
        <v>0</v>
      </c>
      <c r="C2410" s="52">
        <f>IF(Учет!$O2410=Справочники!$F$3,Учет!$H2410,0)</f>
        <v>0</v>
      </c>
      <c r="D2410" s="52">
        <f>IF(Учет!$O2410=Справочники!$F$4,Учет!$H2410,0)</f>
        <v>0</v>
      </c>
      <c r="E2410" s="52">
        <f>IF(Учет!$O2410=Справочники!$F$5,Учет!$H2410,0)</f>
        <v>0</v>
      </c>
      <c r="F2410" s="52">
        <f>IF(Учет!$O2410=Справочники!$F$6,Учет!$H2410,0)</f>
        <v>0</v>
      </c>
      <c r="G2410" s="43">
        <f>G2409+Учет!B2410-B2410</f>
        <v>-488978.92000000004</v>
      </c>
      <c r="H2410" s="43">
        <f>H2409+Учет!C2410-C2410</f>
        <v>336855</v>
      </c>
      <c r="I2410" s="43">
        <f>I2409+Учет!D2410-D2410</f>
        <v>500</v>
      </c>
      <c r="J2410" s="43">
        <f>J2409+Учет!E2410-E2410</f>
        <v>1150</v>
      </c>
      <c r="K2410" s="43">
        <f>K2409+Учет!F2410-F2410</f>
        <v>500000</v>
      </c>
      <c r="L2410" s="45">
        <f>Учет!I2410</f>
        <v>349526.07999999996</v>
      </c>
    </row>
    <row r="2411" spans="1:12" x14ac:dyDescent="0.25">
      <c r="A2411" s="48" t="str">
        <f>IF(Учет!A2411&lt;&gt;"",Учет!A2411,"")</f>
        <v/>
      </c>
      <c r="B2411" s="52">
        <f>IF(Учет!$O2411=Справочники!$F$2,Учет!$H2411,0)</f>
        <v>0</v>
      </c>
      <c r="C2411" s="52">
        <f>IF(Учет!$O2411=Справочники!$F$3,Учет!$H2411,0)</f>
        <v>0</v>
      </c>
      <c r="D2411" s="52">
        <f>IF(Учет!$O2411=Справочники!$F$4,Учет!$H2411,0)</f>
        <v>0</v>
      </c>
      <c r="E2411" s="52">
        <f>IF(Учет!$O2411=Справочники!$F$5,Учет!$H2411,0)</f>
        <v>0</v>
      </c>
      <c r="F2411" s="52">
        <f>IF(Учет!$O2411=Справочники!$F$6,Учет!$H2411,0)</f>
        <v>0</v>
      </c>
      <c r="G2411" s="43">
        <f>G2410+Учет!B2411-B2411</f>
        <v>-488978.92000000004</v>
      </c>
      <c r="H2411" s="43">
        <f>H2410+Учет!C2411-C2411</f>
        <v>336855</v>
      </c>
      <c r="I2411" s="43">
        <f>I2410+Учет!D2411-D2411</f>
        <v>500</v>
      </c>
      <c r="J2411" s="43">
        <f>J2410+Учет!E2411-E2411</f>
        <v>1150</v>
      </c>
      <c r="K2411" s="43">
        <f>K2410+Учет!F2411-F2411</f>
        <v>500000</v>
      </c>
      <c r="L2411" s="45">
        <f>Учет!I2411</f>
        <v>349526.07999999996</v>
      </c>
    </row>
    <row r="2412" spans="1:12" x14ac:dyDescent="0.25">
      <c r="A2412" s="48" t="str">
        <f>IF(Учет!A2412&lt;&gt;"",Учет!A2412,"")</f>
        <v/>
      </c>
      <c r="B2412" s="52">
        <f>IF(Учет!$O2412=Справочники!$F$2,Учет!$H2412,0)</f>
        <v>0</v>
      </c>
      <c r="C2412" s="52">
        <f>IF(Учет!$O2412=Справочники!$F$3,Учет!$H2412,0)</f>
        <v>0</v>
      </c>
      <c r="D2412" s="52">
        <f>IF(Учет!$O2412=Справочники!$F$4,Учет!$H2412,0)</f>
        <v>0</v>
      </c>
      <c r="E2412" s="52">
        <f>IF(Учет!$O2412=Справочники!$F$5,Учет!$H2412,0)</f>
        <v>0</v>
      </c>
      <c r="F2412" s="52">
        <f>IF(Учет!$O2412=Справочники!$F$6,Учет!$H2412,0)</f>
        <v>0</v>
      </c>
      <c r="G2412" s="43">
        <f>G2411+Учет!B2412-B2412</f>
        <v>-488978.92000000004</v>
      </c>
      <c r="H2412" s="43">
        <f>H2411+Учет!C2412-C2412</f>
        <v>336855</v>
      </c>
      <c r="I2412" s="43">
        <f>I2411+Учет!D2412-D2412</f>
        <v>500</v>
      </c>
      <c r="J2412" s="43">
        <f>J2411+Учет!E2412-E2412</f>
        <v>1150</v>
      </c>
      <c r="K2412" s="43">
        <f>K2411+Учет!F2412-F2412</f>
        <v>500000</v>
      </c>
      <c r="L2412" s="45">
        <f>Учет!I2412</f>
        <v>349526.07999999996</v>
      </c>
    </row>
    <row r="2413" spans="1:12" x14ac:dyDescent="0.25">
      <c r="A2413" s="48" t="str">
        <f>IF(Учет!A2413&lt;&gt;"",Учет!A2413,"")</f>
        <v/>
      </c>
      <c r="B2413" s="52">
        <f>IF(Учет!$O2413=Справочники!$F$2,Учет!$H2413,0)</f>
        <v>0</v>
      </c>
      <c r="C2413" s="52">
        <f>IF(Учет!$O2413=Справочники!$F$3,Учет!$H2413,0)</f>
        <v>0</v>
      </c>
      <c r="D2413" s="52">
        <f>IF(Учет!$O2413=Справочники!$F$4,Учет!$H2413,0)</f>
        <v>0</v>
      </c>
      <c r="E2413" s="52">
        <f>IF(Учет!$O2413=Справочники!$F$5,Учет!$H2413,0)</f>
        <v>0</v>
      </c>
      <c r="F2413" s="52">
        <f>IF(Учет!$O2413=Справочники!$F$6,Учет!$H2413,0)</f>
        <v>0</v>
      </c>
      <c r="G2413" s="43">
        <f>G2412+Учет!B2413-B2413</f>
        <v>-488978.92000000004</v>
      </c>
      <c r="H2413" s="43">
        <f>H2412+Учет!C2413-C2413</f>
        <v>336855</v>
      </c>
      <c r="I2413" s="43">
        <f>I2412+Учет!D2413-D2413</f>
        <v>500</v>
      </c>
      <c r="J2413" s="43">
        <f>J2412+Учет!E2413-E2413</f>
        <v>1150</v>
      </c>
      <c r="K2413" s="43">
        <f>K2412+Учет!F2413-F2413</f>
        <v>500000</v>
      </c>
      <c r="L2413" s="45">
        <f>Учет!I2413</f>
        <v>349526.07999999996</v>
      </c>
    </row>
    <row r="2414" spans="1:12" x14ac:dyDescent="0.25">
      <c r="A2414" s="48" t="str">
        <f>IF(Учет!A2414&lt;&gt;"",Учет!A2414,"")</f>
        <v/>
      </c>
      <c r="B2414" s="52">
        <f>IF(Учет!$O2414=Справочники!$F$2,Учет!$H2414,0)</f>
        <v>0</v>
      </c>
      <c r="C2414" s="52">
        <f>IF(Учет!$O2414=Справочники!$F$3,Учет!$H2414,0)</f>
        <v>0</v>
      </c>
      <c r="D2414" s="52">
        <f>IF(Учет!$O2414=Справочники!$F$4,Учет!$H2414,0)</f>
        <v>0</v>
      </c>
      <c r="E2414" s="52">
        <f>IF(Учет!$O2414=Справочники!$F$5,Учет!$H2414,0)</f>
        <v>0</v>
      </c>
      <c r="F2414" s="52">
        <f>IF(Учет!$O2414=Справочники!$F$6,Учет!$H2414,0)</f>
        <v>0</v>
      </c>
      <c r="G2414" s="43">
        <f>G2413+Учет!B2414-B2414</f>
        <v>-488978.92000000004</v>
      </c>
      <c r="H2414" s="43">
        <f>H2413+Учет!C2414-C2414</f>
        <v>336855</v>
      </c>
      <c r="I2414" s="43">
        <f>I2413+Учет!D2414-D2414</f>
        <v>500</v>
      </c>
      <c r="J2414" s="43">
        <f>J2413+Учет!E2414-E2414</f>
        <v>1150</v>
      </c>
      <c r="K2414" s="43">
        <f>K2413+Учет!F2414-F2414</f>
        <v>500000</v>
      </c>
      <c r="L2414" s="45">
        <f>Учет!I2414</f>
        <v>349526.07999999996</v>
      </c>
    </row>
    <row r="2415" spans="1:12" x14ac:dyDescent="0.25">
      <c r="A2415" s="48" t="str">
        <f>IF(Учет!A2415&lt;&gt;"",Учет!A2415,"")</f>
        <v/>
      </c>
      <c r="B2415" s="52">
        <f>IF(Учет!$O2415=Справочники!$F$2,Учет!$H2415,0)</f>
        <v>0</v>
      </c>
      <c r="C2415" s="52">
        <f>IF(Учет!$O2415=Справочники!$F$3,Учет!$H2415,0)</f>
        <v>0</v>
      </c>
      <c r="D2415" s="52">
        <f>IF(Учет!$O2415=Справочники!$F$4,Учет!$H2415,0)</f>
        <v>0</v>
      </c>
      <c r="E2415" s="52">
        <f>IF(Учет!$O2415=Справочники!$F$5,Учет!$H2415,0)</f>
        <v>0</v>
      </c>
      <c r="F2415" s="52">
        <f>IF(Учет!$O2415=Справочники!$F$6,Учет!$H2415,0)</f>
        <v>0</v>
      </c>
      <c r="G2415" s="43">
        <f>G2414+Учет!B2415-B2415</f>
        <v>-488978.92000000004</v>
      </c>
      <c r="H2415" s="43">
        <f>H2414+Учет!C2415-C2415</f>
        <v>336855</v>
      </c>
      <c r="I2415" s="43">
        <f>I2414+Учет!D2415-D2415</f>
        <v>500</v>
      </c>
      <c r="J2415" s="43">
        <f>J2414+Учет!E2415-E2415</f>
        <v>1150</v>
      </c>
      <c r="K2415" s="43">
        <f>K2414+Учет!F2415-F2415</f>
        <v>500000</v>
      </c>
      <c r="L2415" s="45">
        <f>Учет!I2415</f>
        <v>349526.07999999996</v>
      </c>
    </row>
    <row r="2416" spans="1:12" x14ac:dyDescent="0.25">
      <c r="A2416" s="48" t="str">
        <f>IF(Учет!A2416&lt;&gt;"",Учет!A2416,"")</f>
        <v/>
      </c>
      <c r="B2416" s="52">
        <f>IF(Учет!$O2416=Справочники!$F$2,Учет!$H2416,0)</f>
        <v>0</v>
      </c>
      <c r="C2416" s="52">
        <f>IF(Учет!$O2416=Справочники!$F$3,Учет!$H2416,0)</f>
        <v>0</v>
      </c>
      <c r="D2416" s="52">
        <f>IF(Учет!$O2416=Справочники!$F$4,Учет!$H2416,0)</f>
        <v>0</v>
      </c>
      <c r="E2416" s="52">
        <f>IF(Учет!$O2416=Справочники!$F$5,Учет!$H2416,0)</f>
        <v>0</v>
      </c>
      <c r="F2416" s="52">
        <f>IF(Учет!$O2416=Справочники!$F$6,Учет!$H2416,0)</f>
        <v>0</v>
      </c>
      <c r="G2416" s="43">
        <f>G2415+Учет!B2416-B2416</f>
        <v>-488978.92000000004</v>
      </c>
      <c r="H2416" s="43">
        <f>H2415+Учет!C2416-C2416</f>
        <v>336855</v>
      </c>
      <c r="I2416" s="43">
        <f>I2415+Учет!D2416-D2416</f>
        <v>500</v>
      </c>
      <c r="J2416" s="43">
        <f>J2415+Учет!E2416-E2416</f>
        <v>1150</v>
      </c>
      <c r="K2416" s="43">
        <f>K2415+Учет!F2416-F2416</f>
        <v>500000</v>
      </c>
      <c r="L2416" s="45">
        <f>Учет!I2416</f>
        <v>349526.07999999996</v>
      </c>
    </row>
    <row r="2417" spans="1:12" x14ac:dyDescent="0.25">
      <c r="A2417" s="48" t="str">
        <f>IF(Учет!A2417&lt;&gt;"",Учет!A2417,"")</f>
        <v/>
      </c>
      <c r="B2417" s="52">
        <f>IF(Учет!$O2417=Справочники!$F$2,Учет!$H2417,0)</f>
        <v>0</v>
      </c>
      <c r="C2417" s="52">
        <f>IF(Учет!$O2417=Справочники!$F$3,Учет!$H2417,0)</f>
        <v>0</v>
      </c>
      <c r="D2417" s="52">
        <f>IF(Учет!$O2417=Справочники!$F$4,Учет!$H2417,0)</f>
        <v>0</v>
      </c>
      <c r="E2417" s="52">
        <f>IF(Учет!$O2417=Справочники!$F$5,Учет!$H2417,0)</f>
        <v>0</v>
      </c>
      <c r="F2417" s="52">
        <f>IF(Учет!$O2417=Справочники!$F$6,Учет!$H2417,0)</f>
        <v>0</v>
      </c>
      <c r="G2417" s="43">
        <f>G2416+Учет!B2417-B2417</f>
        <v>-488978.92000000004</v>
      </c>
      <c r="H2417" s="43">
        <f>H2416+Учет!C2417-C2417</f>
        <v>336855</v>
      </c>
      <c r="I2417" s="43">
        <f>I2416+Учет!D2417-D2417</f>
        <v>500</v>
      </c>
      <c r="J2417" s="43">
        <f>J2416+Учет!E2417-E2417</f>
        <v>1150</v>
      </c>
      <c r="K2417" s="43">
        <f>K2416+Учет!F2417-F2417</f>
        <v>500000</v>
      </c>
      <c r="L2417" s="45">
        <f>Учет!I2417</f>
        <v>349526.07999999996</v>
      </c>
    </row>
    <row r="2418" spans="1:12" x14ac:dyDescent="0.25">
      <c r="A2418" s="48" t="str">
        <f>IF(Учет!A2418&lt;&gt;"",Учет!A2418,"")</f>
        <v/>
      </c>
      <c r="B2418" s="52">
        <f>IF(Учет!$O2418=Справочники!$F$2,Учет!$H2418,0)</f>
        <v>0</v>
      </c>
      <c r="C2418" s="52">
        <f>IF(Учет!$O2418=Справочники!$F$3,Учет!$H2418,0)</f>
        <v>0</v>
      </c>
      <c r="D2418" s="52">
        <f>IF(Учет!$O2418=Справочники!$F$4,Учет!$H2418,0)</f>
        <v>0</v>
      </c>
      <c r="E2418" s="52">
        <f>IF(Учет!$O2418=Справочники!$F$5,Учет!$H2418,0)</f>
        <v>0</v>
      </c>
      <c r="F2418" s="52">
        <f>IF(Учет!$O2418=Справочники!$F$6,Учет!$H2418,0)</f>
        <v>0</v>
      </c>
      <c r="G2418" s="43">
        <f>G2417+Учет!B2418-B2418</f>
        <v>-488978.92000000004</v>
      </c>
      <c r="H2418" s="43">
        <f>H2417+Учет!C2418-C2418</f>
        <v>336855</v>
      </c>
      <c r="I2418" s="43">
        <f>I2417+Учет!D2418-D2418</f>
        <v>500</v>
      </c>
      <c r="J2418" s="43">
        <f>J2417+Учет!E2418-E2418</f>
        <v>1150</v>
      </c>
      <c r="K2418" s="43">
        <f>K2417+Учет!F2418-F2418</f>
        <v>500000</v>
      </c>
      <c r="L2418" s="45">
        <f>Учет!I2418</f>
        <v>349526.07999999996</v>
      </c>
    </row>
    <row r="2419" spans="1:12" x14ac:dyDescent="0.25">
      <c r="A2419" s="48" t="str">
        <f>IF(Учет!A2419&lt;&gt;"",Учет!A2419,"")</f>
        <v/>
      </c>
      <c r="B2419" s="52">
        <f>IF(Учет!$O2419=Справочники!$F$2,Учет!$H2419,0)</f>
        <v>0</v>
      </c>
      <c r="C2419" s="52">
        <f>IF(Учет!$O2419=Справочники!$F$3,Учет!$H2419,0)</f>
        <v>0</v>
      </c>
      <c r="D2419" s="52">
        <f>IF(Учет!$O2419=Справочники!$F$4,Учет!$H2419,0)</f>
        <v>0</v>
      </c>
      <c r="E2419" s="52">
        <f>IF(Учет!$O2419=Справочники!$F$5,Учет!$H2419,0)</f>
        <v>0</v>
      </c>
      <c r="F2419" s="52">
        <f>IF(Учет!$O2419=Справочники!$F$6,Учет!$H2419,0)</f>
        <v>0</v>
      </c>
      <c r="G2419" s="43">
        <f>G2418+Учет!B2419-B2419</f>
        <v>-488978.92000000004</v>
      </c>
      <c r="H2419" s="43">
        <f>H2418+Учет!C2419-C2419</f>
        <v>336855</v>
      </c>
      <c r="I2419" s="43">
        <f>I2418+Учет!D2419-D2419</f>
        <v>500</v>
      </c>
      <c r="J2419" s="43">
        <f>J2418+Учет!E2419-E2419</f>
        <v>1150</v>
      </c>
      <c r="K2419" s="43">
        <f>K2418+Учет!F2419-F2419</f>
        <v>500000</v>
      </c>
      <c r="L2419" s="45">
        <f>Учет!I2419</f>
        <v>349526.07999999996</v>
      </c>
    </row>
    <row r="2420" spans="1:12" x14ac:dyDescent="0.25">
      <c r="A2420" s="48" t="str">
        <f>IF(Учет!A2420&lt;&gt;"",Учет!A2420,"")</f>
        <v/>
      </c>
      <c r="B2420" s="52">
        <f>IF(Учет!$O2420=Справочники!$F$2,Учет!$H2420,0)</f>
        <v>0</v>
      </c>
      <c r="C2420" s="52">
        <f>IF(Учет!$O2420=Справочники!$F$3,Учет!$H2420,0)</f>
        <v>0</v>
      </c>
      <c r="D2420" s="52">
        <f>IF(Учет!$O2420=Справочники!$F$4,Учет!$H2420,0)</f>
        <v>0</v>
      </c>
      <c r="E2420" s="52">
        <f>IF(Учет!$O2420=Справочники!$F$5,Учет!$H2420,0)</f>
        <v>0</v>
      </c>
      <c r="F2420" s="52">
        <f>IF(Учет!$O2420=Справочники!$F$6,Учет!$H2420,0)</f>
        <v>0</v>
      </c>
      <c r="G2420" s="43">
        <f>G2419+Учет!B2420-B2420</f>
        <v>-488978.92000000004</v>
      </c>
      <c r="H2420" s="43">
        <f>H2419+Учет!C2420-C2420</f>
        <v>336855</v>
      </c>
      <c r="I2420" s="43">
        <f>I2419+Учет!D2420-D2420</f>
        <v>500</v>
      </c>
      <c r="J2420" s="43">
        <f>J2419+Учет!E2420-E2420</f>
        <v>1150</v>
      </c>
      <c r="K2420" s="43">
        <f>K2419+Учет!F2420-F2420</f>
        <v>500000</v>
      </c>
      <c r="L2420" s="45">
        <f>Учет!I2420</f>
        <v>349526.07999999996</v>
      </c>
    </row>
    <row r="2421" spans="1:12" x14ac:dyDescent="0.25">
      <c r="A2421" s="48" t="str">
        <f>IF(Учет!A2421&lt;&gt;"",Учет!A2421,"")</f>
        <v/>
      </c>
      <c r="B2421" s="52">
        <f>IF(Учет!$O2421=Справочники!$F$2,Учет!$H2421,0)</f>
        <v>0</v>
      </c>
      <c r="C2421" s="52">
        <f>IF(Учет!$O2421=Справочники!$F$3,Учет!$H2421,0)</f>
        <v>0</v>
      </c>
      <c r="D2421" s="52">
        <f>IF(Учет!$O2421=Справочники!$F$4,Учет!$H2421,0)</f>
        <v>0</v>
      </c>
      <c r="E2421" s="52">
        <f>IF(Учет!$O2421=Справочники!$F$5,Учет!$H2421,0)</f>
        <v>0</v>
      </c>
      <c r="F2421" s="52">
        <f>IF(Учет!$O2421=Справочники!$F$6,Учет!$H2421,0)</f>
        <v>0</v>
      </c>
      <c r="G2421" s="43">
        <f>G2420+Учет!B2421-B2421</f>
        <v>-488978.92000000004</v>
      </c>
      <c r="H2421" s="43">
        <f>H2420+Учет!C2421-C2421</f>
        <v>336855</v>
      </c>
      <c r="I2421" s="43">
        <f>I2420+Учет!D2421-D2421</f>
        <v>500</v>
      </c>
      <c r="J2421" s="43">
        <f>J2420+Учет!E2421-E2421</f>
        <v>1150</v>
      </c>
      <c r="K2421" s="43">
        <f>K2420+Учет!F2421-F2421</f>
        <v>500000</v>
      </c>
      <c r="L2421" s="45">
        <f>Учет!I2421</f>
        <v>349526.07999999996</v>
      </c>
    </row>
    <row r="2422" spans="1:12" x14ac:dyDescent="0.25">
      <c r="A2422" s="48" t="str">
        <f>IF(Учет!A2422&lt;&gt;"",Учет!A2422,"")</f>
        <v/>
      </c>
      <c r="B2422" s="52">
        <f>IF(Учет!$O2422=Справочники!$F$2,Учет!$H2422,0)</f>
        <v>0</v>
      </c>
      <c r="C2422" s="52">
        <f>IF(Учет!$O2422=Справочники!$F$3,Учет!$H2422,0)</f>
        <v>0</v>
      </c>
      <c r="D2422" s="52">
        <f>IF(Учет!$O2422=Справочники!$F$4,Учет!$H2422,0)</f>
        <v>0</v>
      </c>
      <c r="E2422" s="52">
        <f>IF(Учет!$O2422=Справочники!$F$5,Учет!$H2422,0)</f>
        <v>0</v>
      </c>
      <c r="F2422" s="52">
        <f>IF(Учет!$O2422=Справочники!$F$6,Учет!$H2422,0)</f>
        <v>0</v>
      </c>
      <c r="G2422" s="43">
        <f>G2421+Учет!B2422-B2422</f>
        <v>-488978.92000000004</v>
      </c>
      <c r="H2422" s="43">
        <f>H2421+Учет!C2422-C2422</f>
        <v>336855</v>
      </c>
      <c r="I2422" s="43">
        <f>I2421+Учет!D2422-D2422</f>
        <v>500</v>
      </c>
      <c r="J2422" s="43">
        <f>J2421+Учет!E2422-E2422</f>
        <v>1150</v>
      </c>
      <c r="K2422" s="43">
        <f>K2421+Учет!F2422-F2422</f>
        <v>500000</v>
      </c>
      <c r="L2422" s="45">
        <f>Учет!I2422</f>
        <v>349526.07999999996</v>
      </c>
    </row>
    <row r="2423" spans="1:12" x14ac:dyDescent="0.25">
      <c r="A2423" s="48" t="str">
        <f>IF(Учет!A2423&lt;&gt;"",Учет!A2423,"")</f>
        <v/>
      </c>
      <c r="B2423" s="52">
        <f>IF(Учет!$O2423=Справочники!$F$2,Учет!$H2423,0)</f>
        <v>0</v>
      </c>
      <c r="C2423" s="52">
        <f>IF(Учет!$O2423=Справочники!$F$3,Учет!$H2423,0)</f>
        <v>0</v>
      </c>
      <c r="D2423" s="52">
        <f>IF(Учет!$O2423=Справочники!$F$4,Учет!$H2423,0)</f>
        <v>0</v>
      </c>
      <c r="E2423" s="52">
        <f>IF(Учет!$O2423=Справочники!$F$5,Учет!$H2423,0)</f>
        <v>0</v>
      </c>
      <c r="F2423" s="52">
        <f>IF(Учет!$O2423=Справочники!$F$6,Учет!$H2423,0)</f>
        <v>0</v>
      </c>
      <c r="G2423" s="43">
        <f>G2422+Учет!B2423-B2423</f>
        <v>-488978.92000000004</v>
      </c>
      <c r="H2423" s="43">
        <f>H2422+Учет!C2423-C2423</f>
        <v>336855</v>
      </c>
      <c r="I2423" s="43">
        <f>I2422+Учет!D2423-D2423</f>
        <v>500</v>
      </c>
      <c r="J2423" s="43">
        <f>J2422+Учет!E2423-E2423</f>
        <v>1150</v>
      </c>
      <c r="K2423" s="43">
        <f>K2422+Учет!F2423-F2423</f>
        <v>500000</v>
      </c>
      <c r="L2423" s="45">
        <f>Учет!I2423</f>
        <v>349526.07999999996</v>
      </c>
    </row>
    <row r="2424" spans="1:12" x14ac:dyDescent="0.25">
      <c r="A2424" s="48" t="str">
        <f>IF(Учет!A2424&lt;&gt;"",Учет!A2424,"")</f>
        <v/>
      </c>
      <c r="B2424" s="52">
        <f>IF(Учет!$O2424=Справочники!$F$2,Учет!$H2424,0)</f>
        <v>0</v>
      </c>
      <c r="C2424" s="52">
        <f>IF(Учет!$O2424=Справочники!$F$3,Учет!$H2424,0)</f>
        <v>0</v>
      </c>
      <c r="D2424" s="52">
        <f>IF(Учет!$O2424=Справочники!$F$4,Учет!$H2424,0)</f>
        <v>0</v>
      </c>
      <c r="E2424" s="52">
        <f>IF(Учет!$O2424=Справочники!$F$5,Учет!$H2424,0)</f>
        <v>0</v>
      </c>
      <c r="F2424" s="52">
        <f>IF(Учет!$O2424=Справочники!$F$6,Учет!$H2424,0)</f>
        <v>0</v>
      </c>
      <c r="G2424" s="43">
        <f>G2423+Учет!B2424-B2424</f>
        <v>-488978.92000000004</v>
      </c>
      <c r="H2424" s="43">
        <f>H2423+Учет!C2424-C2424</f>
        <v>336855</v>
      </c>
      <c r="I2424" s="43">
        <f>I2423+Учет!D2424-D2424</f>
        <v>500</v>
      </c>
      <c r="J2424" s="43">
        <f>J2423+Учет!E2424-E2424</f>
        <v>1150</v>
      </c>
      <c r="K2424" s="43">
        <f>K2423+Учет!F2424-F2424</f>
        <v>500000</v>
      </c>
      <c r="L2424" s="45">
        <f>Учет!I2424</f>
        <v>349526.07999999996</v>
      </c>
    </row>
    <row r="2425" spans="1:12" x14ac:dyDescent="0.25">
      <c r="A2425" s="48" t="str">
        <f>IF(Учет!A2425&lt;&gt;"",Учет!A2425,"")</f>
        <v/>
      </c>
      <c r="B2425" s="52">
        <f>IF(Учет!$O2425=Справочники!$F$2,Учет!$H2425,0)</f>
        <v>0</v>
      </c>
      <c r="C2425" s="52">
        <f>IF(Учет!$O2425=Справочники!$F$3,Учет!$H2425,0)</f>
        <v>0</v>
      </c>
      <c r="D2425" s="52">
        <f>IF(Учет!$O2425=Справочники!$F$4,Учет!$H2425,0)</f>
        <v>0</v>
      </c>
      <c r="E2425" s="52">
        <f>IF(Учет!$O2425=Справочники!$F$5,Учет!$H2425,0)</f>
        <v>0</v>
      </c>
      <c r="F2425" s="52">
        <f>IF(Учет!$O2425=Справочники!$F$6,Учет!$H2425,0)</f>
        <v>0</v>
      </c>
      <c r="G2425" s="43">
        <f>G2424+Учет!B2425-B2425</f>
        <v>-488978.92000000004</v>
      </c>
      <c r="H2425" s="43">
        <f>H2424+Учет!C2425-C2425</f>
        <v>336855</v>
      </c>
      <c r="I2425" s="43">
        <f>I2424+Учет!D2425-D2425</f>
        <v>500</v>
      </c>
      <c r="J2425" s="43">
        <f>J2424+Учет!E2425-E2425</f>
        <v>1150</v>
      </c>
      <c r="K2425" s="43">
        <f>K2424+Учет!F2425-F2425</f>
        <v>500000</v>
      </c>
      <c r="L2425" s="45">
        <f>Учет!I2425</f>
        <v>349526.07999999996</v>
      </c>
    </row>
    <row r="2426" spans="1:12" x14ac:dyDescent="0.25">
      <c r="A2426" s="48" t="str">
        <f>IF(Учет!A2426&lt;&gt;"",Учет!A2426,"")</f>
        <v/>
      </c>
      <c r="B2426" s="52">
        <f>IF(Учет!$O2426=Справочники!$F$2,Учет!$H2426,0)</f>
        <v>0</v>
      </c>
      <c r="C2426" s="52">
        <f>IF(Учет!$O2426=Справочники!$F$3,Учет!$H2426,0)</f>
        <v>0</v>
      </c>
      <c r="D2426" s="52">
        <f>IF(Учет!$O2426=Справочники!$F$4,Учет!$H2426,0)</f>
        <v>0</v>
      </c>
      <c r="E2426" s="52">
        <f>IF(Учет!$O2426=Справочники!$F$5,Учет!$H2426,0)</f>
        <v>0</v>
      </c>
      <c r="F2426" s="52">
        <f>IF(Учет!$O2426=Справочники!$F$6,Учет!$H2426,0)</f>
        <v>0</v>
      </c>
      <c r="G2426" s="43">
        <f>G2425+Учет!B2426-B2426</f>
        <v>-488978.92000000004</v>
      </c>
      <c r="H2426" s="43">
        <f>H2425+Учет!C2426-C2426</f>
        <v>336855</v>
      </c>
      <c r="I2426" s="43">
        <f>I2425+Учет!D2426-D2426</f>
        <v>500</v>
      </c>
      <c r="J2426" s="43">
        <f>J2425+Учет!E2426-E2426</f>
        <v>1150</v>
      </c>
      <c r="K2426" s="43">
        <f>K2425+Учет!F2426-F2426</f>
        <v>500000</v>
      </c>
      <c r="L2426" s="45">
        <f>Учет!I2426</f>
        <v>349526.07999999996</v>
      </c>
    </row>
    <row r="2427" spans="1:12" x14ac:dyDescent="0.25">
      <c r="A2427" s="48" t="str">
        <f>IF(Учет!A2427&lt;&gt;"",Учет!A2427,"")</f>
        <v/>
      </c>
      <c r="B2427" s="52">
        <f>IF(Учет!$O2427=Справочники!$F$2,Учет!$H2427,0)</f>
        <v>0</v>
      </c>
      <c r="C2427" s="52">
        <f>IF(Учет!$O2427=Справочники!$F$3,Учет!$H2427,0)</f>
        <v>0</v>
      </c>
      <c r="D2427" s="52">
        <f>IF(Учет!$O2427=Справочники!$F$4,Учет!$H2427,0)</f>
        <v>0</v>
      </c>
      <c r="E2427" s="52">
        <f>IF(Учет!$O2427=Справочники!$F$5,Учет!$H2427,0)</f>
        <v>0</v>
      </c>
      <c r="F2427" s="52">
        <f>IF(Учет!$O2427=Справочники!$F$6,Учет!$H2427,0)</f>
        <v>0</v>
      </c>
      <c r="G2427" s="43">
        <f>G2426+Учет!B2427-B2427</f>
        <v>-488978.92000000004</v>
      </c>
      <c r="H2427" s="43">
        <f>H2426+Учет!C2427-C2427</f>
        <v>336855</v>
      </c>
      <c r="I2427" s="43">
        <f>I2426+Учет!D2427-D2427</f>
        <v>500</v>
      </c>
      <c r="J2427" s="43">
        <f>J2426+Учет!E2427-E2427</f>
        <v>1150</v>
      </c>
      <c r="K2427" s="43">
        <f>K2426+Учет!F2427-F2427</f>
        <v>500000</v>
      </c>
      <c r="L2427" s="45">
        <f>Учет!I2427</f>
        <v>349526.07999999996</v>
      </c>
    </row>
    <row r="2428" spans="1:12" x14ac:dyDescent="0.25">
      <c r="A2428" s="48" t="str">
        <f>IF(Учет!A2428&lt;&gt;"",Учет!A2428,"")</f>
        <v/>
      </c>
      <c r="B2428" s="52">
        <f>IF(Учет!$O2428=Справочники!$F$2,Учет!$H2428,0)</f>
        <v>0</v>
      </c>
      <c r="C2428" s="52">
        <f>IF(Учет!$O2428=Справочники!$F$3,Учет!$H2428,0)</f>
        <v>0</v>
      </c>
      <c r="D2428" s="52">
        <f>IF(Учет!$O2428=Справочники!$F$4,Учет!$H2428,0)</f>
        <v>0</v>
      </c>
      <c r="E2428" s="52">
        <f>IF(Учет!$O2428=Справочники!$F$5,Учет!$H2428,0)</f>
        <v>0</v>
      </c>
      <c r="F2428" s="52">
        <f>IF(Учет!$O2428=Справочники!$F$6,Учет!$H2428,0)</f>
        <v>0</v>
      </c>
      <c r="G2428" s="43">
        <f>G2427+Учет!B2428-B2428</f>
        <v>-488978.92000000004</v>
      </c>
      <c r="H2428" s="43">
        <f>H2427+Учет!C2428-C2428</f>
        <v>336855</v>
      </c>
      <c r="I2428" s="43">
        <f>I2427+Учет!D2428-D2428</f>
        <v>500</v>
      </c>
      <c r="J2428" s="43">
        <f>J2427+Учет!E2428-E2428</f>
        <v>1150</v>
      </c>
      <c r="K2428" s="43">
        <f>K2427+Учет!F2428-F2428</f>
        <v>500000</v>
      </c>
      <c r="L2428" s="45">
        <f>Учет!I2428</f>
        <v>349526.07999999996</v>
      </c>
    </row>
    <row r="2429" spans="1:12" x14ac:dyDescent="0.25">
      <c r="A2429" s="48" t="str">
        <f>IF(Учет!A2429&lt;&gt;"",Учет!A2429,"")</f>
        <v/>
      </c>
      <c r="B2429" s="52">
        <f>IF(Учет!$O2429=Справочники!$F$2,Учет!$H2429,0)</f>
        <v>0</v>
      </c>
      <c r="C2429" s="52">
        <f>IF(Учет!$O2429=Справочники!$F$3,Учет!$H2429,0)</f>
        <v>0</v>
      </c>
      <c r="D2429" s="52">
        <f>IF(Учет!$O2429=Справочники!$F$4,Учет!$H2429,0)</f>
        <v>0</v>
      </c>
      <c r="E2429" s="52">
        <f>IF(Учет!$O2429=Справочники!$F$5,Учет!$H2429,0)</f>
        <v>0</v>
      </c>
      <c r="F2429" s="52">
        <f>IF(Учет!$O2429=Справочники!$F$6,Учет!$H2429,0)</f>
        <v>0</v>
      </c>
      <c r="G2429" s="43">
        <f>G2428+Учет!B2429-B2429</f>
        <v>-488978.92000000004</v>
      </c>
      <c r="H2429" s="43">
        <f>H2428+Учет!C2429-C2429</f>
        <v>336855</v>
      </c>
      <c r="I2429" s="43">
        <f>I2428+Учет!D2429-D2429</f>
        <v>500</v>
      </c>
      <c r="J2429" s="43">
        <f>J2428+Учет!E2429-E2429</f>
        <v>1150</v>
      </c>
      <c r="K2429" s="43">
        <f>K2428+Учет!F2429-F2429</f>
        <v>500000</v>
      </c>
      <c r="L2429" s="45">
        <f>Учет!I2429</f>
        <v>349526.07999999996</v>
      </c>
    </row>
    <row r="2430" spans="1:12" x14ac:dyDescent="0.25">
      <c r="A2430" s="48" t="str">
        <f>IF(Учет!A2430&lt;&gt;"",Учет!A2430,"")</f>
        <v/>
      </c>
      <c r="B2430" s="52">
        <f>IF(Учет!$O2430=Справочники!$F$2,Учет!$H2430,0)</f>
        <v>0</v>
      </c>
      <c r="C2430" s="52">
        <f>IF(Учет!$O2430=Справочники!$F$3,Учет!$H2430,0)</f>
        <v>0</v>
      </c>
      <c r="D2430" s="52">
        <f>IF(Учет!$O2430=Справочники!$F$4,Учет!$H2430,0)</f>
        <v>0</v>
      </c>
      <c r="E2430" s="52">
        <f>IF(Учет!$O2430=Справочники!$F$5,Учет!$H2430,0)</f>
        <v>0</v>
      </c>
      <c r="F2430" s="52">
        <f>IF(Учет!$O2430=Справочники!$F$6,Учет!$H2430,0)</f>
        <v>0</v>
      </c>
      <c r="G2430" s="43">
        <f>G2429+Учет!B2430-B2430</f>
        <v>-488978.92000000004</v>
      </c>
      <c r="H2430" s="43">
        <f>H2429+Учет!C2430-C2430</f>
        <v>336855</v>
      </c>
      <c r="I2430" s="43">
        <f>I2429+Учет!D2430-D2430</f>
        <v>500</v>
      </c>
      <c r="J2430" s="43">
        <f>J2429+Учет!E2430-E2430</f>
        <v>1150</v>
      </c>
      <c r="K2430" s="43">
        <f>K2429+Учет!F2430-F2430</f>
        <v>500000</v>
      </c>
      <c r="L2430" s="45">
        <f>Учет!I2430</f>
        <v>349526.07999999996</v>
      </c>
    </row>
    <row r="2431" spans="1:12" x14ac:dyDescent="0.25">
      <c r="A2431" s="48" t="str">
        <f>IF(Учет!A2431&lt;&gt;"",Учет!A2431,"")</f>
        <v/>
      </c>
      <c r="B2431" s="52">
        <f>IF(Учет!$O2431=Справочники!$F$2,Учет!$H2431,0)</f>
        <v>0</v>
      </c>
      <c r="C2431" s="52">
        <f>IF(Учет!$O2431=Справочники!$F$3,Учет!$H2431,0)</f>
        <v>0</v>
      </c>
      <c r="D2431" s="52">
        <f>IF(Учет!$O2431=Справочники!$F$4,Учет!$H2431,0)</f>
        <v>0</v>
      </c>
      <c r="E2431" s="52">
        <f>IF(Учет!$O2431=Справочники!$F$5,Учет!$H2431,0)</f>
        <v>0</v>
      </c>
      <c r="F2431" s="52">
        <f>IF(Учет!$O2431=Справочники!$F$6,Учет!$H2431,0)</f>
        <v>0</v>
      </c>
      <c r="G2431" s="43">
        <f>G2430+Учет!B2431-B2431</f>
        <v>-488978.92000000004</v>
      </c>
      <c r="H2431" s="43">
        <f>H2430+Учет!C2431-C2431</f>
        <v>336855</v>
      </c>
      <c r="I2431" s="43">
        <f>I2430+Учет!D2431-D2431</f>
        <v>500</v>
      </c>
      <c r="J2431" s="43">
        <f>J2430+Учет!E2431-E2431</f>
        <v>1150</v>
      </c>
      <c r="K2431" s="43">
        <f>K2430+Учет!F2431-F2431</f>
        <v>500000</v>
      </c>
      <c r="L2431" s="45">
        <f>Учет!I2431</f>
        <v>349526.07999999996</v>
      </c>
    </row>
    <row r="2432" spans="1:12" x14ac:dyDescent="0.25">
      <c r="A2432" s="48" t="str">
        <f>IF(Учет!A2432&lt;&gt;"",Учет!A2432,"")</f>
        <v/>
      </c>
      <c r="B2432" s="52">
        <f>IF(Учет!$O2432=Справочники!$F$2,Учет!$H2432,0)</f>
        <v>0</v>
      </c>
      <c r="C2432" s="52">
        <f>IF(Учет!$O2432=Справочники!$F$3,Учет!$H2432,0)</f>
        <v>0</v>
      </c>
      <c r="D2432" s="52">
        <f>IF(Учет!$O2432=Справочники!$F$4,Учет!$H2432,0)</f>
        <v>0</v>
      </c>
      <c r="E2432" s="52">
        <f>IF(Учет!$O2432=Справочники!$F$5,Учет!$H2432,0)</f>
        <v>0</v>
      </c>
      <c r="F2432" s="52">
        <f>IF(Учет!$O2432=Справочники!$F$6,Учет!$H2432,0)</f>
        <v>0</v>
      </c>
      <c r="G2432" s="43">
        <f>G2431+Учет!B2432-B2432</f>
        <v>-488978.92000000004</v>
      </c>
      <c r="H2432" s="43">
        <f>H2431+Учет!C2432-C2432</f>
        <v>336855</v>
      </c>
      <c r="I2432" s="43">
        <f>I2431+Учет!D2432-D2432</f>
        <v>500</v>
      </c>
      <c r="J2432" s="43">
        <f>J2431+Учет!E2432-E2432</f>
        <v>1150</v>
      </c>
      <c r="K2432" s="43">
        <f>K2431+Учет!F2432-F2432</f>
        <v>500000</v>
      </c>
      <c r="L2432" s="45">
        <f>Учет!I2432</f>
        <v>349526.07999999996</v>
      </c>
    </row>
    <row r="2433" spans="1:12" x14ac:dyDescent="0.25">
      <c r="A2433" s="48" t="str">
        <f>IF(Учет!A2433&lt;&gt;"",Учет!A2433,"")</f>
        <v/>
      </c>
      <c r="B2433" s="52">
        <f>IF(Учет!$O2433=Справочники!$F$2,Учет!$H2433,0)</f>
        <v>0</v>
      </c>
      <c r="C2433" s="52">
        <f>IF(Учет!$O2433=Справочники!$F$3,Учет!$H2433,0)</f>
        <v>0</v>
      </c>
      <c r="D2433" s="52">
        <f>IF(Учет!$O2433=Справочники!$F$4,Учет!$H2433,0)</f>
        <v>0</v>
      </c>
      <c r="E2433" s="52">
        <f>IF(Учет!$O2433=Справочники!$F$5,Учет!$H2433,0)</f>
        <v>0</v>
      </c>
      <c r="F2433" s="52">
        <f>IF(Учет!$O2433=Справочники!$F$6,Учет!$H2433,0)</f>
        <v>0</v>
      </c>
      <c r="G2433" s="43">
        <f>G2432+Учет!B2433-B2433</f>
        <v>-488978.92000000004</v>
      </c>
      <c r="H2433" s="43">
        <f>H2432+Учет!C2433-C2433</f>
        <v>336855</v>
      </c>
      <c r="I2433" s="43">
        <f>I2432+Учет!D2433-D2433</f>
        <v>500</v>
      </c>
      <c r="J2433" s="43">
        <f>J2432+Учет!E2433-E2433</f>
        <v>1150</v>
      </c>
      <c r="K2433" s="43">
        <f>K2432+Учет!F2433-F2433</f>
        <v>500000</v>
      </c>
      <c r="L2433" s="45">
        <f>Учет!I2433</f>
        <v>349526.07999999996</v>
      </c>
    </row>
    <row r="2434" spans="1:12" x14ac:dyDescent="0.25">
      <c r="A2434" s="48" t="str">
        <f>IF(Учет!A2434&lt;&gt;"",Учет!A2434,"")</f>
        <v/>
      </c>
      <c r="B2434" s="52">
        <f>IF(Учет!$O2434=Справочники!$F$2,Учет!$H2434,0)</f>
        <v>0</v>
      </c>
      <c r="C2434" s="52">
        <f>IF(Учет!$O2434=Справочники!$F$3,Учет!$H2434,0)</f>
        <v>0</v>
      </c>
      <c r="D2434" s="52">
        <f>IF(Учет!$O2434=Справочники!$F$4,Учет!$H2434,0)</f>
        <v>0</v>
      </c>
      <c r="E2434" s="52">
        <f>IF(Учет!$O2434=Справочники!$F$5,Учет!$H2434,0)</f>
        <v>0</v>
      </c>
      <c r="F2434" s="52">
        <f>IF(Учет!$O2434=Справочники!$F$6,Учет!$H2434,0)</f>
        <v>0</v>
      </c>
      <c r="G2434" s="43">
        <f>G2433+Учет!B2434-B2434</f>
        <v>-488978.92000000004</v>
      </c>
      <c r="H2434" s="43">
        <f>H2433+Учет!C2434-C2434</f>
        <v>336855</v>
      </c>
      <c r="I2434" s="43">
        <f>I2433+Учет!D2434-D2434</f>
        <v>500</v>
      </c>
      <c r="J2434" s="43">
        <f>J2433+Учет!E2434-E2434</f>
        <v>1150</v>
      </c>
      <c r="K2434" s="43">
        <f>K2433+Учет!F2434-F2434</f>
        <v>500000</v>
      </c>
      <c r="L2434" s="45">
        <f>Учет!I2434</f>
        <v>349526.07999999996</v>
      </c>
    </row>
    <row r="2435" spans="1:12" x14ac:dyDescent="0.25">
      <c r="A2435" s="48" t="str">
        <f>IF(Учет!A2435&lt;&gt;"",Учет!A2435,"")</f>
        <v/>
      </c>
      <c r="B2435" s="52">
        <f>IF(Учет!$O2435=Справочники!$F$2,Учет!$H2435,0)</f>
        <v>0</v>
      </c>
      <c r="C2435" s="52">
        <f>IF(Учет!$O2435=Справочники!$F$3,Учет!$H2435,0)</f>
        <v>0</v>
      </c>
      <c r="D2435" s="52">
        <f>IF(Учет!$O2435=Справочники!$F$4,Учет!$H2435,0)</f>
        <v>0</v>
      </c>
      <c r="E2435" s="52">
        <f>IF(Учет!$O2435=Справочники!$F$5,Учет!$H2435,0)</f>
        <v>0</v>
      </c>
      <c r="F2435" s="52">
        <f>IF(Учет!$O2435=Справочники!$F$6,Учет!$H2435,0)</f>
        <v>0</v>
      </c>
      <c r="G2435" s="43">
        <f>G2434+Учет!B2435-B2435</f>
        <v>-488978.92000000004</v>
      </c>
      <c r="H2435" s="43">
        <f>H2434+Учет!C2435-C2435</f>
        <v>336855</v>
      </c>
      <c r="I2435" s="43">
        <f>I2434+Учет!D2435-D2435</f>
        <v>500</v>
      </c>
      <c r="J2435" s="43">
        <f>J2434+Учет!E2435-E2435</f>
        <v>1150</v>
      </c>
      <c r="K2435" s="43">
        <f>K2434+Учет!F2435-F2435</f>
        <v>500000</v>
      </c>
      <c r="L2435" s="45">
        <f>Учет!I2435</f>
        <v>349526.07999999996</v>
      </c>
    </row>
    <row r="2436" spans="1:12" x14ac:dyDescent="0.25">
      <c r="A2436" s="48" t="str">
        <f>IF(Учет!A2436&lt;&gt;"",Учет!A2436,"")</f>
        <v/>
      </c>
      <c r="B2436" s="52">
        <f>IF(Учет!$O2436=Справочники!$F$2,Учет!$H2436,0)</f>
        <v>0</v>
      </c>
      <c r="C2436" s="52">
        <f>IF(Учет!$O2436=Справочники!$F$3,Учет!$H2436,0)</f>
        <v>0</v>
      </c>
      <c r="D2436" s="52">
        <f>IF(Учет!$O2436=Справочники!$F$4,Учет!$H2436,0)</f>
        <v>0</v>
      </c>
      <c r="E2436" s="52">
        <f>IF(Учет!$O2436=Справочники!$F$5,Учет!$H2436,0)</f>
        <v>0</v>
      </c>
      <c r="F2436" s="52">
        <f>IF(Учет!$O2436=Справочники!$F$6,Учет!$H2436,0)</f>
        <v>0</v>
      </c>
      <c r="G2436" s="43">
        <f>G2435+Учет!B2436-B2436</f>
        <v>-488978.92000000004</v>
      </c>
      <c r="H2436" s="43">
        <f>H2435+Учет!C2436-C2436</f>
        <v>336855</v>
      </c>
      <c r="I2436" s="43">
        <f>I2435+Учет!D2436-D2436</f>
        <v>500</v>
      </c>
      <c r="J2436" s="43">
        <f>J2435+Учет!E2436-E2436</f>
        <v>1150</v>
      </c>
      <c r="K2436" s="43">
        <f>K2435+Учет!F2436-F2436</f>
        <v>500000</v>
      </c>
      <c r="L2436" s="45">
        <f>Учет!I2436</f>
        <v>349526.07999999996</v>
      </c>
    </row>
    <row r="2437" spans="1:12" x14ac:dyDescent="0.25">
      <c r="A2437" s="48" t="str">
        <f>IF(Учет!A2437&lt;&gt;"",Учет!A2437,"")</f>
        <v/>
      </c>
      <c r="B2437" s="52">
        <f>IF(Учет!$O2437=Справочники!$F$2,Учет!$H2437,0)</f>
        <v>0</v>
      </c>
      <c r="C2437" s="52">
        <f>IF(Учет!$O2437=Справочники!$F$3,Учет!$H2437,0)</f>
        <v>0</v>
      </c>
      <c r="D2437" s="52">
        <f>IF(Учет!$O2437=Справочники!$F$4,Учет!$H2437,0)</f>
        <v>0</v>
      </c>
      <c r="E2437" s="52">
        <f>IF(Учет!$O2437=Справочники!$F$5,Учет!$H2437,0)</f>
        <v>0</v>
      </c>
      <c r="F2437" s="52">
        <f>IF(Учет!$O2437=Справочники!$F$6,Учет!$H2437,0)</f>
        <v>0</v>
      </c>
      <c r="G2437" s="43">
        <f>G2436+Учет!B2437-B2437</f>
        <v>-488978.92000000004</v>
      </c>
      <c r="H2437" s="43">
        <f>H2436+Учет!C2437-C2437</f>
        <v>336855</v>
      </c>
      <c r="I2437" s="43">
        <f>I2436+Учет!D2437-D2437</f>
        <v>500</v>
      </c>
      <c r="J2437" s="43">
        <f>J2436+Учет!E2437-E2437</f>
        <v>1150</v>
      </c>
      <c r="K2437" s="43">
        <f>K2436+Учет!F2437-F2437</f>
        <v>500000</v>
      </c>
      <c r="L2437" s="45">
        <f>Учет!I2437</f>
        <v>349526.07999999996</v>
      </c>
    </row>
    <row r="2438" spans="1:12" x14ac:dyDescent="0.25">
      <c r="A2438" s="48" t="str">
        <f>IF(Учет!A2438&lt;&gt;"",Учет!A2438,"")</f>
        <v/>
      </c>
      <c r="B2438" s="52">
        <f>IF(Учет!$O2438=Справочники!$F$2,Учет!$H2438,0)</f>
        <v>0</v>
      </c>
      <c r="C2438" s="52">
        <f>IF(Учет!$O2438=Справочники!$F$3,Учет!$H2438,0)</f>
        <v>0</v>
      </c>
      <c r="D2438" s="52">
        <f>IF(Учет!$O2438=Справочники!$F$4,Учет!$H2438,0)</f>
        <v>0</v>
      </c>
      <c r="E2438" s="52">
        <f>IF(Учет!$O2438=Справочники!$F$5,Учет!$H2438,0)</f>
        <v>0</v>
      </c>
      <c r="F2438" s="52">
        <f>IF(Учет!$O2438=Справочники!$F$6,Учет!$H2438,0)</f>
        <v>0</v>
      </c>
      <c r="G2438" s="43">
        <f>G2437+Учет!B2438-B2438</f>
        <v>-488978.92000000004</v>
      </c>
      <c r="H2438" s="43">
        <f>H2437+Учет!C2438-C2438</f>
        <v>336855</v>
      </c>
      <c r="I2438" s="43">
        <f>I2437+Учет!D2438-D2438</f>
        <v>500</v>
      </c>
      <c r="J2438" s="43">
        <f>J2437+Учет!E2438-E2438</f>
        <v>1150</v>
      </c>
      <c r="K2438" s="43">
        <f>K2437+Учет!F2438-F2438</f>
        <v>500000</v>
      </c>
      <c r="L2438" s="45">
        <f>Учет!I2438</f>
        <v>349526.07999999996</v>
      </c>
    </row>
    <row r="2439" spans="1:12" x14ac:dyDescent="0.25">
      <c r="A2439" s="48" t="str">
        <f>IF(Учет!A2439&lt;&gt;"",Учет!A2439,"")</f>
        <v/>
      </c>
      <c r="B2439" s="52">
        <f>IF(Учет!$O2439=Справочники!$F$2,Учет!$H2439,0)</f>
        <v>0</v>
      </c>
      <c r="C2439" s="52">
        <f>IF(Учет!$O2439=Справочники!$F$3,Учет!$H2439,0)</f>
        <v>0</v>
      </c>
      <c r="D2439" s="52">
        <f>IF(Учет!$O2439=Справочники!$F$4,Учет!$H2439,0)</f>
        <v>0</v>
      </c>
      <c r="E2439" s="52">
        <f>IF(Учет!$O2439=Справочники!$F$5,Учет!$H2439,0)</f>
        <v>0</v>
      </c>
      <c r="F2439" s="52">
        <f>IF(Учет!$O2439=Справочники!$F$6,Учет!$H2439,0)</f>
        <v>0</v>
      </c>
      <c r="G2439" s="43">
        <f>G2438+Учет!B2439-B2439</f>
        <v>-488978.92000000004</v>
      </c>
      <c r="H2439" s="43">
        <f>H2438+Учет!C2439-C2439</f>
        <v>336855</v>
      </c>
      <c r="I2439" s="43">
        <f>I2438+Учет!D2439-D2439</f>
        <v>500</v>
      </c>
      <c r="J2439" s="43">
        <f>J2438+Учет!E2439-E2439</f>
        <v>1150</v>
      </c>
      <c r="K2439" s="43">
        <f>K2438+Учет!F2439-F2439</f>
        <v>500000</v>
      </c>
      <c r="L2439" s="45">
        <f>Учет!I2439</f>
        <v>349526.07999999996</v>
      </c>
    </row>
    <row r="2440" spans="1:12" x14ac:dyDescent="0.25">
      <c r="A2440" s="48" t="str">
        <f>IF(Учет!A2440&lt;&gt;"",Учет!A2440,"")</f>
        <v/>
      </c>
      <c r="B2440" s="52">
        <f>IF(Учет!$O2440=Справочники!$F$2,Учет!$H2440,0)</f>
        <v>0</v>
      </c>
      <c r="C2440" s="52">
        <f>IF(Учет!$O2440=Справочники!$F$3,Учет!$H2440,0)</f>
        <v>0</v>
      </c>
      <c r="D2440" s="52">
        <f>IF(Учет!$O2440=Справочники!$F$4,Учет!$H2440,0)</f>
        <v>0</v>
      </c>
      <c r="E2440" s="52">
        <f>IF(Учет!$O2440=Справочники!$F$5,Учет!$H2440,0)</f>
        <v>0</v>
      </c>
      <c r="F2440" s="52">
        <f>IF(Учет!$O2440=Справочники!$F$6,Учет!$H2440,0)</f>
        <v>0</v>
      </c>
      <c r="G2440" s="43">
        <f>G2439+Учет!B2440-B2440</f>
        <v>-488978.92000000004</v>
      </c>
      <c r="H2440" s="43">
        <f>H2439+Учет!C2440-C2440</f>
        <v>336855</v>
      </c>
      <c r="I2440" s="43">
        <f>I2439+Учет!D2440-D2440</f>
        <v>500</v>
      </c>
      <c r="J2440" s="43">
        <f>J2439+Учет!E2440-E2440</f>
        <v>1150</v>
      </c>
      <c r="K2440" s="43">
        <f>K2439+Учет!F2440-F2440</f>
        <v>500000</v>
      </c>
      <c r="L2440" s="45">
        <f>Учет!I2440</f>
        <v>349526.07999999996</v>
      </c>
    </row>
    <row r="2441" spans="1:12" x14ac:dyDescent="0.25">
      <c r="A2441" s="48" t="str">
        <f>IF(Учет!A2441&lt;&gt;"",Учет!A2441,"")</f>
        <v/>
      </c>
      <c r="B2441" s="52">
        <f>IF(Учет!$O2441=Справочники!$F$2,Учет!$H2441,0)</f>
        <v>0</v>
      </c>
      <c r="C2441" s="52">
        <f>IF(Учет!$O2441=Справочники!$F$3,Учет!$H2441,0)</f>
        <v>0</v>
      </c>
      <c r="D2441" s="52">
        <f>IF(Учет!$O2441=Справочники!$F$4,Учет!$H2441,0)</f>
        <v>0</v>
      </c>
      <c r="E2441" s="52">
        <f>IF(Учет!$O2441=Справочники!$F$5,Учет!$H2441,0)</f>
        <v>0</v>
      </c>
      <c r="F2441" s="52">
        <f>IF(Учет!$O2441=Справочники!$F$6,Учет!$H2441,0)</f>
        <v>0</v>
      </c>
      <c r="G2441" s="43">
        <f>G2440+Учет!B2441-B2441</f>
        <v>-488978.92000000004</v>
      </c>
      <c r="H2441" s="43">
        <f>H2440+Учет!C2441-C2441</f>
        <v>336855</v>
      </c>
      <c r="I2441" s="43">
        <f>I2440+Учет!D2441-D2441</f>
        <v>500</v>
      </c>
      <c r="J2441" s="43">
        <f>J2440+Учет!E2441-E2441</f>
        <v>1150</v>
      </c>
      <c r="K2441" s="43">
        <f>K2440+Учет!F2441-F2441</f>
        <v>500000</v>
      </c>
      <c r="L2441" s="45">
        <f>Учет!I2441</f>
        <v>349526.07999999996</v>
      </c>
    </row>
    <row r="2442" spans="1:12" x14ac:dyDescent="0.25">
      <c r="A2442" s="48" t="str">
        <f>IF(Учет!A2442&lt;&gt;"",Учет!A2442,"")</f>
        <v/>
      </c>
      <c r="B2442" s="52">
        <f>IF(Учет!$O2442=Справочники!$F$2,Учет!$H2442,0)</f>
        <v>0</v>
      </c>
      <c r="C2442" s="52">
        <f>IF(Учет!$O2442=Справочники!$F$3,Учет!$H2442,0)</f>
        <v>0</v>
      </c>
      <c r="D2442" s="52">
        <f>IF(Учет!$O2442=Справочники!$F$4,Учет!$H2442,0)</f>
        <v>0</v>
      </c>
      <c r="E2442" s="52">
        <f>IF(Учет!$O2442=Справочники!$F$5,Учет!$H2442,0)</f>
        <v>0</v>
      </c>
      <c r="F2442" s="52">
        <f>IF(Учет!$O2442=Справочники!$F$6,Учет!$H2442,0)</f>
        <v>0</v>
      </c>
      <c r="G2442" s="43">
        <f>G2441+Учет!B2442-B2442</f>
        <v>-488978.92000000004</v>
      </c>
      <c r="H2442" s="43">
        <f>H2441+Учет!C2442-C2442</f>
        <v>336855</v>
      </c>
      <c r="I2442" s="43">
        <f>I2441+Учет!D2442-D2442</f>
        <v>500</v>
      </c>
      <c r="J2442" s="43">
        <f>J2441+Учет!E2442-E2442</f>
        <v>1150</v>
      </c>
      <c r="K2442" s="43">
        <f>K2441+Учет!F2442-F2442</f>
        <v>500000</v>
      </c>
      <c r="L2442" s="45">
        <f>Учет!I2442</f>
        <v>349526.07999999996</v>
      </c>
    </row>
    <row r="2443" spans="1:12" x14ac:dyDescent="0.25">
      <c r="A2443" s="48" t="str">
        <f>IF(Учет!A2443&lt;&gt;"",Учет!A2443,"")</f>
        <v/>
      </c>
      <c r="B2443" s="52">
        <f>IF(Учет!$O2443=Справочники!$F$2,Учет!$H2443,0)</f>
        <v>0</v>
      </c>
      <c r="C2443" s="52">
        <f>IF(Учет!$O2443=Справочники!$F$3,Учет!$H2443,0)</f>
        <v>0</v>
      </c>
      <c r="D2443" s="52">
        <f>IF(Учет!$O2443=Справочники!$F$4,Учет!$H2443,0)</f>
        <v>0</v>
      </c>
      <c r="E2443" s="52">
        <f>IF(Учет!$O2443=Справочники!$F$5,Учет!$H2443,0)</f>
        <v>0</v>
      </c>
      <c r="F2443" s="52">
        <f>IF(Учет!$O2443=Справочники!$F$6,Учет!$H2443,0)</f>
        <v>0</v>
      </c>
      <c r="G2443" s="43">
        <f>G2442+Учет!B2443-B2443</f>
        <v>-488978.92000000004</v>
      </c>
      <c r="H2443" s="43">
        <f>H2442+Учет!C2443-C2443</f>
        <v>336855</v>
      </c>
      <c r="I2443" s="43">
        <f>I2442+Учет!D2443-D2443</f>
        <v>500</v>
      </c>
      <c r="J2443" s="43">
        <f>J2442+Учет!E2443-E2443</f>
        <v>1150</v>
      </c>
      <c r="K2443" s="43">
        <f>K2442+Учет!F2443-F2443</f>
        <v>500000</v>
      </c>
      <c r="L2443" s="45">
        <f>Учет!I2443</f>
        <v>349526.07999999996</v>
      </c>
    </row>
    <row r="2444" spans="1:12" x14ac:dyDescent="0.25">
      <c r="A2444" s="48" t="str">
        <f>IF(Учет!A2444&lt;&gt;"",Учет!A2444,"")</f>
        <v/>
      </c>
      <c r="B2444" s="52">
        <f>IF(Учет!$O2444=Справочники!$F$2,Учет!$H2444,0)</f>
        <v>0</v>
      </c>
      <c r="C2444" s="52">
        <f>IF(Учет!$O2444=Справочники!$F$3,Учет!$H2444,0)</f>
        <v>0</v>
      </c>
      <c r="D2444" s="52">
        <f>IF(Учет!$O2444=Справочники!$F$4,Учет!$H2444,0)</f>
        <v>0</v>
      </c>
      <c r="E2444" s="52">
        <f>IF(Учет!$O2444=Справочники!$F$5,Учет!$H2444,0)</f>
        <v>0</v>
      </c>
      <c r="F2444" s="52">
        <f>IF(Учет!$O2444=Справочники!$F$6,Учет!$H2444,0)</f>
        <v>0</v>
      </c>
      <c r="G2444" s="43">
        <f>G2443+Учет!B2444-B2444</f>
        <v>-488978.92000000004</v>
      </c>
      <c r="H2444" s="43">
        <f>H2443+Учет!C2444-C2444</f>
        <v>336855</v>
      </c>
      <c r="I2444" s="43">
        <f>I2443+Учет!D2444-D2444</f>
        <v>500</v>
      </c>
      <c r="J2444" s="43">
        <f>J2443+Учет!E2444-E2444</f>
        <v>1150</v>
      </c>
      <c r="K2444" s="43">
        <f>K2443+Учет!F2444-F2444</f>
        <v>500000</v>
      </c>
      <c r="L2444" s="45">
        <f>Учет!I2444</f>
        <v>349526.07999999996</v>
      </c>
    </row>
    <row r="2445" spans="1:12" x14ac:dyDescent="0.25">
      <c r="A2445" s="48" t="str">
        <f>IF(Учет!A2445&lt;&gt;"",Учет!A2445,"")</f>
        <v/>
      </c>
      <c r="B2445" s="52">
        <f>IF(Учет!$O2445=Справочники!$F$2,Учет!$H2445,0)</f>
        <v>0</v>
      </c>
      <c r="C2445" s="52">
        <f>IF(Учет!$O2445=Справочники!$F$3,Учет!$H2445,0)</f>
        <v>0</v>
      </c>
      <c r="D2445" s="52">
        <f>IF(Учет!$O2445=Справочники!$F$4,Учет!$H2445,0)</f>
        <v>0</v>
      </c>
      <c r="E2445" s="52">
        <f>IF(Учет!$O2445=Справочники!$F$5,Учет!$H2445,0)</f>
        <v>0</v>
      </c>
      <c r="F2445" s="52">
        <f>IF(Учет!$O2445=Справочники!$F$6,Учет!$H2445,0)</f>
        <v>0</v>
      </c>
      <c r="G2445" s="43">
        <f>G2444+Учет!B2445-B2445</f>
        <v>-488978.92000000004</v>
      </c>
      <c r="H2445" s="43">
        <f>H2444+Учет!C2445-C2445</f>
        <v>336855</v>
      </c>
      <c r="I2445" s="43">
        <f>I2444+Учет!D2445-D2445</f>
        <v>500</v>
      </c>
      <c r="J2445" s="43">
        <f>J2444+Учет!E2445-E2445</f>
        <v>1150</v>
      </c>
      <c r="K2445" s="43">
        <f>K2444+Учет!F2445-F2445</f>
        <v>500000</v>
      </c>
      <c r="L2445" s="45">
        <f>Учет!I2445</f>
        <v>349526.07999999996</v>
      </c>
    </row>
    <row r="2446" spans="1:12" x14ac:dyDescent="0.25">
      <c r="A2446" s="48" t="str">
        <f>IF(Учет!A2446&lt;&gt;"",Учет!A2446,"")</f>
        <v/>
      </c>
      <c r="B2446" s="52">
        <f>IF(Учет!$O2446=Справочники!$F$2,Учет!$H2446,0)</f>
        <v>0</v>
      </c>
      <c r="C2446" s="52">
        <f>IF(Учет!$O2446=Справочники!$F$3,Учет!$H2446,0)</f>
        <v>0</v>
      </c>
      <c r="D2446" s="52">
        <f>IF(Учет!$O2446=Справочники!$F$4,Учет!$H2446,0)</f>
        <v>0</v>
      </c>
      <c r="E2446" s="52">
        <f>IF(Учет!$O2446=Справочники!$F$5,Учет!$H2446,0)</f>
        <v>0</v>
      </c>
      <c r="F2446" s="52">
        <f>IF(Учет!$O2446=Справочники!$F$6,Учет!$H2446,0)</f>
        <v>0</v>
      </c>
      <c r="G2446" s="43">
        <f>G2445+Учет!B2446-B2446</f>
        <v>-488978.92000000004</v>
      </c>
      <c r="H2446" s="43">
        <f>H2445+Учет!C2446-C2446</f>
        <v>336855</v>
      </c>
      <c r="I2446" s="43">
        <f>I2445+Учет!D2446-D2446</f>
        <v>500</v>
      </c>
      <c r="J2446" s="43">
        <f>J2445+Учет!E2446-E2446</f>
        <v>1150</v>
      </c>
      <c r="K2446" s="43">
        <f>K2445+Учет!F2446-F2446</f>
        <v>500000</v>
      </c>
      <c r="L2446" s="45">
        <f>Учет!I2446</f>
        <v>349526.07999999996</v>
      </c>
    </row>
    <row r="2447" spans="1:12" x14ac:dyDescent="0.25">
      <c r="A2447" s="48" t="str">
        <f>IF(Учет!A2447&lt;&gt;"",Учет!A2447,"")</f>
        <v/>
      </c>
      <c r="B2447" s="52">
        <f>IF(Учет!$O2447=Справочники!$F$2,Учет!$H2447,0)</f>
        <v>0</v>
      </c>
      <c r="C2447" s="52">
        <f>IF(Учет!$O2447=Справочники!$F$3,Учет!$H2447,0)</f>
        <v>0</v>
      </c>
      <c r="D2447" s="52">
        <f>IF(Учет!$O2447=Справочники!$F$4,Учет!$H2447,0)</f>
        <v>0</v>
      </c>
      <c r="E2447" s="52">
        <f>IF(Учет!$O2447=Справочники!$F$5,Учет!$H2447,0)</f>
        <v>0</v>
      </c>
      <c r="F2447" s="52">
        <f>IF(Учет!$O2447=Справочники!$F$6,Учет!$H2447,0)</f>
        <v>0</v>
      </c>
      <c r="G2447" s="43">
        <f>G2446+Учет!B2447-B2447</f>
        <v>-488978.92000000004</v>
      </c>
      <c r="H2447" s="43">
        <f>H2446+Учет!C2447-C2447</f>
        <v>336855</v>
      </c>
      <c r="I2447" s="43">
        <f>I2446+Учет!D2447-D2447</f>
        <v>500</v>
      </c>
      <c r="J2447" s="43">
        <f>J2446+Учет!E2447-E2447</f>
        <v>1150</v>
      </c>
      <c r="K2447" s="43">
        <f>K2446+Учет!F2447-F2447</f>
        <v>500000</v>
      </c>
      <c r="L2447" s="45">
        <f>Учет!I2447</f>
        <v>349526.07999999996</v>
      </c>
    </row>
    <row r="2448" spans="1:12" x14ac:dyDescent="0.25">
      <c r="A2448" s="48" t="str">
        <f>IF(Учет!A2448&lt;&gt;"",Учет!A2448,"")</f>
        <v/>
      </c>
      <c r="B2448" s="52">
        <f>IF(Учет!$O2448=Справочники!$F$2,Учет!$H2448,0)</f>
        <v>0</v>
      </c>
      <c r="C2448" s="52">
        <f>IF(Учет!$O2448=Справочники!$F$3,Учет!$H2448,0)</f>
        <v>0</v>
      </c>
      <c r="D2448" s="52">
        <f>IF(Учет!$O2448=Справочники!$F$4,Учет!$H2448,0)</f>
        <v>0</v>
      </c>
      <c r="E2448" s="52">
        <f>IF(Учет!$O2448=Справочники!$F$5,Учет!$H2448,0)</f>
        <v>0</v>
      </c>
      <c r="F2448" s="52">
        <f>IF(Учет!$O2448=Справочники!$F$6,Учет!$H2448,0)</f>
        <v>0</v>
      </c>
      <c r="G2448" s="43">
        <f>G2447+Учет!B2448-B2448</f>
        <v>-488978.92000000004</v>
      </c>
      <c r="H2448" s="43">
        <f>H2447+Учет!C2448-C2448</f>
        <v>336855</v>
      </c>
      <c r="I2448" s="43">
        <f>I2447+Учет!D2448-D2448</f>
        <v>500</v>
      </c>
      <c r="J2448" s="43">
        <f>J2447+Учет!E2448-E2448</f>
        <v>1150</v>
      </c>
      <c r="K2448" s="43">
        <f>K2447+Учет!F2448-F2448</f>
        <v>500000</v>
      </c>
      <c r="L2448" s="45">
        <f>Учет!I2448</f>
        <v>349526.07999999996</v>
      </c>
    </row>
    <row r="2449" spans="1:12" x14ac:dyDescent="0.25">
      <c r="A2449" s="48" t="str">
        <f>IF(Учет!A2449&lt;&gt;"",Учет!A2449,"")</f>
        <v/>
      </c>
      <c r="B2449" s="52">
        <f>IF(Учет!$O2449=Справочники!$F$2,Учет!$H2449,0)</f>
        <v>0</v>
      </c>
      <c r="C2449" s="52">
        <f>IF(Учет!$O2449=Справочники!$F$3,Учет!$H2449,0)</f>
        <v>0</v>
      </c>
      <c r="D2449" s="52">
        <f>IF(Учет!$O2449=Справочники!$F$4,Учет!$H2449,0)</f>
        <v>0</v>
      </c>
      <c r="E2449" s="52">
        <f>IF(Учет!$O2449=Справочники!$F$5,Учет!$H2449,0)</f>
        <v>0</v>
      </c>
      <c r="F2449" s="52">
        <f>IF(Учет!$O2449=Справочники!$F$6,Учет!$H2449,0)</f>
        <v>0</v>
      </c>
      <c r="G2449" s="43">
        <f>G2448+Учет!B2449-B2449</f>
        <v>-488978.92000000004</v>
      </c>
      <c r="H2449" s="43">
        <f>H2448+Учет!C2449-C2449</f>
        <v>336855</v>
      </c>
      <c r="I2449" s="43">
        <f>I2448+Учет!D2449-D2449</f>
        <v>500</v>
      </c>
      <c r="J2449" s="43">
        <f>J2448+Учет!E2449-E2449</f>
        <v>1150</v>
      </c>
      <c r="K2449" s="43">
        <f>K2448+Учет!F2449-F2449</f>
        <v>500000</v>
      </c>
      <c r="L2449" s="45">
        <f>Учет!I2449</f>
        <v>349526.07999999996</v>
      </c>
    </row>
    <row r="2450" spans="1:12" x14ac:dyDescent="0.25">
      <c r="A2450" s="48" t="str">
        <f>IF(Учет!A2450&lt;&gt;"",Учет!A2450,"")</f>
        <v/>
      </c>
      <c r="B2450" s="52">
        <f>IF(Учет!$O2450=Справочники!$F$2,Учет!$H2450,0)</f>
        <v>0</v>
      </c>
      <c r="C2450" s="52">
        <f>IF(Учет!$O2450=Справочники!$F$3,Учет!$H2450,0)</f>
        <v>0</v>
      </c>
      <c r="D2450" s="52">
        <f>IF(Учет!$O2450=Справочники!$F$4,Учет!$H2450,0)</f>
        <v>0</v>
      </c>
      <c r="E2450" s="52">
        <f>IF(Учет!$O2450=Справочники!$F$5,Учет!$H2450,0)</f>
        <v>0</v>
      </c>
      <c r="F2450" s="52">
        <f>IF(Учет!$O2450=Справочники!$F$6,Учет!$H2450,0)</f>
        <v>0</v>
      </c>
      <c r="G2450" s="43">
        <f>G2449+Учет!B2450-B2450</f>
        <v>-488978.92000000004</v>
      </c>
      <c r="H2450" s="43">
        <f>H2449+Учет!C2450-C2450</f>
        <v>336855</v>
      </c>
      <c r="I2450" s="43">
        <f>I2449+Учет!D2450-D2450</f>
        <v>500</v>
      </c>
      <c r="J2450" s="43">
        <f>J2449+Учет!E2450-E2450</f>
        <v>1150</v>
      </c>
      <c r="K2450" s="43">
        <f>K2449+Учет!F2450-F2450</f>
        <v>500000</v>
      </c>
      <c r="L2450" s="45">
        <f>Учет!I2450</f>
        <v>349526.07999999996</v>
      </c>
    </row>
    <row r="2451" spans="1:12" x14ac:dyDescent="0.25">
      <c r="A2451" s="48" t="str">
        <f>IF(Учет!A2451&lt;&gt;"",Учет!A2451,"")</f>
        <v/>
      </c>
      <c r="B2451" s="52">
        <f>IF(Учет!$O2451=Справочники!$F$2,Учет!$H2451,0)</f>
        <v>0</v>
      </c>
      <c r="C2451" s="52">
        <f>IF(Учет!$O2451=Справочники!$F$3,Учет!$H2451,0)</f>
        <v>0</v>
      </c>
      <c r="D2451" s="52">
        <f>IF(Учет!$O2451=Справочники!$F$4,Учет!$H2451,0)</f>
        <v>0</v>
      </c>
      <c r="E2451" s="52">
        <f>IF(Учет!$O2451=Справочники!$F$5,Учет!$H2451,0)</f>
        <v>0</v>
      </c>
      <c r="F2451" s="52">
        <f>IF(Учет!$O2451=Справочники!$F$6,Учет!$H2451,0)</f>
        <v>0</v>
      </c>
      <c r="G2451" s="43">
        <f>G2450+Учет!B2451-B2451</f>
        <v>-488978.92000000004</v>
      </c>
      <c r="H2451" s="43">
        <f>H2450+Учет!C2451-C2451</f>
        <v>336855</v>
      </c>
      <c r="I2451" s="43">
        <f>I2450+Учет!D2451-D2451</f>
        <v>500</v>
      </c>
      <c r="J2451" s="43">
        <f>J2450+Учет!E2451-E2451</f>
        <v>1150</v>
      </c>
      <c r="K2451" s="43">
        <f>K2450+Учет!F2451-F2451</f>
        <v>500000</v>
      </c>
      <c r="L2451" s="45">
        <f>Учет!I2451</f>
        <v>349526.07999999996</v>
      </c>
    </row>
    <row r="2452" spans="1:12" x14ac:dyDescent="0.25">
      <c r="A2452" s="48" t="str">
        <f>IF(Учет!A2452&lt;&gt;"",Учет!A2452,"")</f>
        <v/>
      </c>
      <c r="B2452" s="52">
        <f>IF(Учет!$O2452=Справочники!$F$2,Учет!$H2452,0)</f>
        <v>0</v>
      </c>
      <c r="C2452" s="52">
        <f>IF(Учет!$O2452=Справочники!$F$3,Учет!$H2452,0)</f>
        <v>0</v>
      </c>
      <c r="D2452" s="52">
        <f>IF(Учет!$O2452=Справочники!$F$4,Учет!$H2452,0)</f>
        <v>0</v>
      </c>
      <c r="E2452" s="52">
        <f>IF(Учет!$O2452=Справочники!$F$5,Учет!$H2452,0)</f>
        <v>0</v>
      </c>
      <c r="F2452" s="52">
        <f>IF(Учет!$O2452=Справочники!$F$6,Учет!$H2452,0)</f>
        <v>0</v>
      </c>
      <c r="G2452" s="43">
        <f>G2451+Учет!B2452-B2452</f>
        <v>-488978.92000000004</v>
      </c>
      <c r="H2452" s="43">
        <f>H2451+Учет!C2452-C2452</f>
        <v>336855</v>
      </c>
      <c r="I2452" s="43">
        <f>I2451+Учет!D2452-D2452</f>
        <v>500</v>
      </c>
      <c r="J2452" s="43">
        <f>J2451+Учет!E2452-E2452</f>
        <v>1150</v>
      </c>
      <c r="K2452" s="43">
        <f>K2451+Учет!F2452-F2452</f>
        <v>500000</v>
      </c>
      <c r="L2452" s="45">
        <f>Учет!I2452</f>
        <v>349526.07999999996</v>
      </c>
    </row>
    <row r="2453" spans="1:12" x14ac:dyDescent="0.25">
      <c r="A2453" s="48" t="str">
        <f>IF(Учет!A2453&lt;&gt;"",Учет!A2453,"")</f>
        <v/>
      </c>
      <c r="B2453" s="52">
        <f>IF(Учет!$O2453=Справочники!$F$2,Учет!$H2453,0)</f>
        <v>0</v>
      </c>
      <c r="C2453" s="52">
        <f>IF(Учет!$O2453=Справочники!$F$3,Учет!$H2453,0)</f>
        <v>0</v>
      </c>
      <c r="D2453" s="52">
        <f>IF(Учет!$O2453=Справочники!$F$4,Учет!$H2453,0)</f>
        <v>0</v>
      </c>
      <c r="E2453" s="52">
        <f>IF(Учет!$O2453=Справочники!$F$5,Учет!$H2453,0)</f>
        <v>0</v>
      </c>
      <c r="F2453" s="52">
        <f>IF(Учет!$O2453=Справочники!$F$6,Учет!$H2453,0)</f>
        <v>0</v>
      </c>
      <c r="G2453" s="43">
        <f>G2452+Учет!B2453-B2453</f>
        <v>-488978.92000000004</v>
      </c>
      <c r="H2453" s="43">
        <f>H2452+Учет!C2453-C2453</f>
        <v>336855</v>
      </c>
      <c r="I2453" s="43">
        <f>I2452+Учет!D2453-D2453</f>
        <v>500</v>
      </c>
      <c r="J2453" s="43">
        <f>J2452+Учет!E2453-E2453</f>
        <v>1150</v>
      </c>
      <c r="K2453" s="43">
        <f>K2452+Учет!F2453-F2453</f>
        <v>500000</v>
      </c>
      <c r="L2453" s="45">
        <f>Учет!I2453</f>
        <v>349526.07999999996</v>
      </c>
    </row>
    <row r="2454" spans="1:12" x14ac:dyDescent="0.25">
      <c r="A2454" s="48" t="str">
        <f>IF(Учет!A2454&lt;&gt;"",Учет!A2454,"")</f>
        <v/>
      </c>
      <c r="B2454" s="52">
        <f>IF(Учет!$O2454=Справочники!$F$2,Учет!$H2454,0)</f>
        <v>0</v>
      </c>
      <c r="C2454" s="52">
        <f>IF(Учет!$O2454=Справочники!$F$3,Учет!$H2454,0)</f>
        <v>0</v>
      </c>
      <c r="D2454" s="52">
        <f>IF(Учет!$O2454=Справочники!$F$4,Учет!$H2454,0)</f>
        <v>0</v>
      </c>
      <c r="E2454" s="52">
        <f>IF(Учет!$O2454=Справочники!$F$5,Учет!$H2454,0)</f>
        <v>0</v>
      </c>
      <c r="F2454" s="52">
        <f>IF(Учет!$O2454=Справочники!$F$6,Учет!$H2454,0)</f>
        <v>0</v>
      </c>
      <c r="G2454" s="43">
        <f>G2453+Учет!B2454-B2454</f>
        <v>-488978.92000000004</v>
      </c>
      <c r="H2454" s="43">
        <f>H2453+Учет!C2454-C2454</f>
        <v>336855</v>
      </c>
      <c r="I2454" s="43">
        <f>I2453+Учет!D2454-D2454</f>
        <v>500</v>
      </c>
      <c r="J2454" s="43">
        <f>J2453+Учет!E2454-E2454</f>
        <v>1150</v>
      </c>
      <c r="K2454" s="43">
        <f>K2453+Учет!F2454-F2454</f>
        <v>500000</v>
      </c>
      <c r="L2454" s="45">
        <f>Учет!I2454</f>
        <v>349526.07999999996</v>
      </c>
    </row>
    <row r="2455" spans="1:12" x14ac:dyDescent="0.25">
      <c r="A2455" s="48" t="str">
        <f>IF(Учет!A2455&lt;&gt;"",Учет!A2455,"")</f>
        <v/>
      </c>
      <c r="B2455" s="52">
        <f>IF(Учет!$O2455=Справочники!$F$2,Учет!$H2455,0)</f>
        <v>0</v>
      </c>
      <c r="C2455" s="52">
        <f>IF(Учет!$O2455=Справочники!$F$3,Учет!$H2455,0)</f>
        <v>0</v>
      </c>
      <c r="D2455" s="52">
        <f>IF(Учет!$O2455=Справочники!$F$4,Учет!$H2455,0)</f>
        <v>0</v>
      </c>
      <c r="E2455" s="52">
        <f>IF(Учет!$O2455=Справочники!$F$5,Учет!$H2455,0)</f>
        <v>0</v>
      </c>
      <c r="F2455" s="52">
        <f>IF(Учет!$O2455=Справочники!$F$6,Учет!$H2455,0)</f>
        <v>0</v>
      </c>
      <c r="G2455" s="43">
        <f>G2454+Учет!B2455-B2455</f>
        <v>-488978.92000000004</v>
      </c>
      <c r="H2455" s="43">
        <f>H2454+Учет!C2455-C2455</f>
        <v>336855</v>
      </c>
      <c r="I2455" s="43">
        <f>I2454+Учет!D2455-D2455</f>
        <v>500</v>
      </c>
      <c r="J2455" s="43">
        <f>J2454+Учет!E2455-E2455</f>
        <v>1150</v>
      </c>
      <c r="K2455" s="43">
        <f>K2454+Учет!F2455-F2455</f>
        <v>500000</v>
      </c>
      <c r="L2455" s="45">
        <f>Учет!I2455</f>
        <v>349526.07999999996</v>
      </c>
    </row>
    <row r="2456" spans="1:12" x14ac:dyDescent="0.25">
      <c r="A2456" s="48" t="str">
        <f>IF(Учет!A2456&lt;&gt;"",Учет!A2456,"")</f>
        <v/>
      </c>
      <c r="B2456" s="52">
        <f>IF(Учет!$O2456=Справочники!$F$2,Учет!$H2456,0)</f>
        <v>0</v>
      </c>
      <c r="C2456" s="52">
        <f>IF(Учет!$O2456=Справочники!$F$3,Учет!$H2456,0)</f>
        <v>0</v>
      </c>
      <c r="D2456" s="52">
        <f>IF(Учет!$O2456=Справочники!$F$4,Учет!$H2456,0)</f>
        <v>0</v>
      </c>
      <c r="E2456" s="52">
        <f>IF(Учет!$O2456=Справочники!$F$5,Учет!$H2456,0)</f>
        <v>0</v>
      </c>
      <c r="F2456" s="52">
        <f>IF(Учет!$O2456=Справочники!$F$6,Учет!$H2456,0)</f>
        <v>0</v>
      </c>
      <c r="G2456" s="43">
        <f>G2455+Учет!B2456-B2456</f>
        <v>-488978.92000000004</v>
      </c>
      <c r="H2456" s="43">
        <f>H2455+Учет!C2456-C2456</f>
        <v>336855</v>
      </c>
      <c r="I2456" s="43">
        <f>I2455+Учет!D2456-D2456</f>
        <v>500</v>
      </c>
      <c r="J2456" s="43">
        <f>J2455+Учет!E2456-E2456</f>
        <v>1150</v>
      </c>
      <c r="K2456" s="43">
        <f>K2455+Учет!F2456-F2456</f>
        <v>500000</v>
      </c>
      <c r="L2456" s="45">
        <f>Учет!I2456</f>
        <v>349526.07999999996</v>
      </c>
    </row>
    <row r="2457" spans="1:12" x14ac:dyDescent="0.25">
      <c r="A2457" s="48" t="str">
        <f>IF(Учет!A2457&lt;&gt;"",Учет!A2457,"")</f>
        <v/>
      </c>
      <c r="B2457" s="52">
        <f>IF(Учет!$O2457=Справочники!$F$2,Учет!$H2457,0)</f>
        <v>0</v>
      </c>
      <c r="C2457" s="52">
        <f>IF(Учет!$O2457=Справочники!$F$3,Учет!$H2457,0)</f>
        <v>0</v>
      </c>
      <c r="D2457" s="52">
        <f>IF(Учет!$O2457=Справочники!$F$4,Учет!$H2457,0)</f>
        <v>0</v>
      </c>
      <c r="E2457" s="52">
        <f>IF(Учет!$O2457=Справочники!$F$5,Учет!$H2457,0)</f>
        <v>0</v>
      </c>
      <c r="F2457" s="52">
        <f>IF(Учет!$O2457=Справочники!$F$6,Учет!$H2457,0)</f>
        <v>0</v>
      </c>
      <c r="G2457" s="43">
        <f>G2456+Учет!B2457-B2457</f>
        <v>-488978.92000000004</v>
      </c>
      <c r="H2457" s="43">
        <f>H2456+Учет!C2457-C2457</f>
        <v>336855</v>
      </c>
      <c r="I2457" s="43">
        <f>I2456+Учет!D2457-D2457</f>
        <v>500</v>
      </c>
      <c r="J2457" s="43">
        <f>J2456+Учет!E2457-E2457</f>
        <v>1150</v>
      </c>
      <c r="K2457" s="43">
        <f>K2456+Учет!F2457-F2457</f>
        <v>500000</v>
      </c>
      <c r="L2457" s="45">
        <f>Учет!I2457</f>
        <v>349526.07999999996</v>
      </c>
    </row>
    <row r="2458" spans="1:12" x14ac:dyDescent="0.25">
      <c r="A2458" s="48" t="str">
        <f>IF(Учет!A2458&lt;&gt;"",Учет!A2458,"")</f>
        <v/>
      </c>
      <c r="B2458" s="52">
        <f>IF(Учет!$O2458=Справочники!$F$2,Учет!$H2458,0)</f>
        <v>0</v>
      </c>
      <c r="C2458" s="52">
        <f>IF(Учет!$O2458=Справочники!$F$3,Учет!$H2458,0)</f>
        <v>0</v>
      </c>
      <c r="D2458" s="52">
        <f>IF(Учет!$O2458=Справочники!$F$4,Учет!$H2458,0)</f>
        <v>0</v>
      </c>
      <c r="E2458" s="52">
        <f>IF(Учет!$O2458=Справочники!$F$5,Учет!$H2458,0)</f>
        <v>0</v>
      </c>
      <c r="F2458" s="52">
        <f>IF(Учет!$O2458=Справочники!$F$6,Учет!$H2458,0)</f>
        <v>0</v>
      </c>
      <c r="G2458" s="43">
        <f>G2457+Учет!B2458-B2458</f>
        <v>-488978.92000000004</v>
      </c>
      <c r="H2458" s="43">
        <f>H2457+Учет!C2458-C2458</f>
        <v>336855</v>
      </c>
      <c r="I2458" s="43">
        <f>I2457+Учет!D2458-D2458</f>
        <v>500</v>
      </c>
      <c r="J2458" s="43">
        <f>J2457+Учет!E2458-E2458</f>
        <v>1150</v>
      </c>
      <c r="K2458" s="43">
        <f>K2457+Учет!F2458-F2458</f>
        <v>500000</v>
      </c>
      <c r="L2458" s="45">
        <f>Учет!I2458</f>
        <v>349526.07999999996</v>
      </c>
    </row>
    <row r="2459" spans="1:12" x14ac:dyDescent="0.25">
      <c r="A2459" s="48" t="str">
        <f>IF(Учет!A2459&lt;&gt;"",Учет!A2459,"")</f>
        <v/>
      </c>
      <c r="B2459" s="52">
        <f>IF(Учет!$O2459=Справочники!$F$2,Учет!$H2459,0)</f>
        <v>0</v>
      </c>
      <c r="C2459" s="52">
        <f>IF(Учет!$O2459=Справочники!$F$3,Учет!$H2459,0)</f>
        <v>0</v>
      </c>
      <c r="D2459" s="52">
        <f>IF(Учет!$O2459=Справочники!$F$4,Учет!$H2459,0)</f>
        <v>0</v>
      </c>
      <c r="E2459" s="52">
        <f>IF(Учет!$O2459=Справочники!$F$5,Учет!$H2459,0)</f>
        <v>0</v>
      </c>
      <c r="F2459" s="52">
        <f>IF(Учет!$O2459=Справочники!$F$6,Учет!$H2459,0)</f>
        <v>0</v>
      </c>
      <c r="G2459" s="43">
        <f>G2458+Учет!B2459-B2459</f>
        <v>-488978.92000000004</v>
      </c>
      <c r="H2459" s="43">
        <f>H2458+Учет!C2459-C2459</f>
        <v>336855</v>
      </c>
      <c r="I2459" s="43">
        <f>I2458+Учет!D2459-D2459</f>
        <v>500</v>
      </c>
      <c r="J2459" s="43">
        <f>J2458+Учет!E2459-E2459</f>
        <v>1150</v>
      </c>
      <c r="K2459" s="43">
        <f>K2458+Учет!F2459-F2459</f>
        <v>500000</v>
      </c>
      <c r="L2459" s="45">
        <f>Учет!I2459</f>
        <v>349526.07999999996</v>
      </c>
    </row>
    <row r="2460" spans="1:12" x14ac:dyDescent="0.25">
      <c r="A2460" s="48" t="str">
        <f>IF(Учет!A2460&lt;&gt;"",Учет!A2460,"")</f>
        <v/>
      </c>
      <c r="B2460" s="52">
        <f>IF(Учет!$O2460=Справочники!$F$2,Учет!$H2460,0)</f>
        <v>0</v>
      </c>
      <c r="C2460" s="52">
        <f>IF(Учет!$O2460=Справочники!$F$3,Учет!$H2460,0)</f>
        <v>0</v>
      </c>
      <c r="D2460" s="52">
        <f>IF(Учет!$O2460=Справочники!$F$4,Учет!$H2460,0)</f>
        <v>0</v>
      </c>
      <c r="E2460" s="52">
        <f>IF(Учет!$O2460=Справочники!$F$5,Учет!$H2460,0)</f>
        <v>0</v>
      </c>
      <c r="F2460" s="52">
        <f>IF(Учет!$O2460=Справочники!$F$6,Учет!$H2460,0)</f>
        <v>0</v>
      </c>
      <c r="G2460" s="43">
        <f>G2459+Учет!B2460-B2460</f>
        <v>-488978.92000000004</v>
      </c>
      <c r="H2460" s="43">
        <f>H2459+Учет!C2460-C2460</f>
        <v>336855</v>
      </c>
      <c r="I2460" s="43">
        <f>I2459+Учет!D2460-D2460</f>
        <v>500</v>
      </c>
      <c r="J2460" s="43">
        <f>J2459+Учет!E2460-E2460</f>
        <v>1150</v>
      </c>
      <c r="K2460" s="43">
        <f>K2459+Учет!F2460-F2460</f>
        <v>500000</v>
      </c>
      <c r="L2460" s="45">
        <f>Учет!I2460</f>
        <v>349526.07999999996</v>
      </c>
    </row>
    <row r="2461" spans="1:12" x14ac:dyDescent="0.25">
      <c r="A2461" s="48" t="str">
        <f>IF(Учет!A2461&lt;&gt;"",Учет!A2461,"")</f>
        <v/>
      </c>
      <c r="B2461" s="52">
        <f>IF(Учет!$O2461=Справочники!$F$2,Учет!$H2461,0)</f>
        <v>0</v>
      </c>
      <c r="C2461" s="52">
        <f>IF(Учет!$O2461=Справочники!$F$3,Учет!$H2461,0)</f>
        <v>0</v>
      </c>
      <c r="D2461" s="52">
        <f>IF(Учет!$O2461=Справочники!$F$4,Учет!$H2461,0)</f>
        <v>0</v>
      </c>
      <c r="E2461" s="52">
        <f>IF(Учет!$O2461=Справочники!$F$5,Учет!$H2461,0)</f>
        <v>0</v>
      </c>
      <c r="F2461" s="52">
        <f>IF(Учет!$O2461=Справочники!$F$6,Учет!$H2461,0)</f>
        <v>0</v>
      </c>
      <c r="G2461" s="43">
        <f>G2460+Учет!B2461-B2461</f>
        <v>-488978.92000000004</v>
      </c>
      <c r="H2461" s="43">
        <f>H2460+Учет!C2461-C2461</f>
        <v>336855</v>
      </c>
      <c r="I2461" s="43">
        <f>I2460+Учет!D2461-D2461</f>
        <v>500</v>
      </c>
      <c r="J2461" s="43">
        <f>J2460+Учет!E2461-E2461</f>
        <v>1150</v>
      </c>
      <c r="K2461" s="43">
        <f>K2460+Учет!F2461-F2461</f>
        <v>500000</v>
      </c>
      <c r="L2461" s="45">
        <f>Учет!I2461</f>
        <v>349526.07999999996</v>
      </c>
    </row>
    <row r="2462" spans="1:12" x14ac:dyDescent="0.25">
      <c r="A2462" s="48" t="str">
        <f>IF(Учет!A2462&lt;&gt;"",Учет!A2462,"")</f>
        <v/>
      </c>
      <c r="B2462" s="52">
        <f>IF(Учет!$O2462=Справочники!$F$2,Учет!$H2462,0)</f>
        <v>0</v>
      </c>
      <c r="C2462" s="52">
        <f>IF(Учет!$O2462=Справочники!$F$3,Учет!$H2462,0)</f>
        <v>0</v>
      </c>
      <c r="D2462" s="52">
        <f>IF(Учет!$O2462=Справочники!$F$4,Учет!$H2462,0)</f>
        <v>0</v>
      </c>
      <c r="E2462" s="52">
        <f>IF(Учет!$O2462=Справочники!$F$5,Учет!$H2462,0)</f>
        <v>0</v>
      </c>
      <c r="F2462" s="52">
        <f>IF(Учет!$O2462=Справочники!$F$6,Учет!$H2462,0)</f>
        <v>0</v>
      </c>
      <c r="G2462" s="43">
        <f>G2461+Учет!B2462-B2462</f>
        <v>-488978.92000000004</v>
      </c>
      <c r="H2462" s="43">
        <f>H2461+Учет!C2462-C2462</f>
        <v>336855</v>
      </c>
      <c r="I2462" s="43">
        <f>I2461+Учет!D2462-D2462</f>
        <v>500</v>
      </c>
      <c r="J2462" s="43">
        <f>J2461+Учет!E2462-E2462</f>
        <v>1150</v>
      </c>
      <c r="K2462" s="43">
        <f>K2461+Учет!F2462-F2462</f>
        <v>500000</v>
      </c>
      <c r="L2462" s="45">
        <f>Учет!I2462</f>
        <v>349526.07999999996</v>
      </c>
    </row>
    <row r="2463" spans="1:12" x14ac:dyDescent="0.25">
      <c r="A2463" s="48" t="str">
        <f>IF(Учет!A2463&lt;&gt;"",Учет!A2463,"")</f>
        <v/>
      </c>
      <c r="B2463" s="52">
        <f>IF(Учет!$O2463=Справочники!$F$2,Учет!$H2463,0)</f>
        <v>0</v>
      </c>
      <c r="C2463" s="52">
        <f>IF(Учет!$O2463=Справочники!$F$3,Учет!$H2463,0)</f>
        <v>0</v>
      </c>
      <c r="D2463" s="52">
        <f>IF(Учет!$O2463=Справочники!$F$4,Учет!$H2463,0)</f>
        <v>0</v>
      </c>
      <c r="E2463" s="52">
        <f>IF(Учет!$O2463=Справочники!$F$5,Учет!$H2463,0)</f>
        <v>0</v>
      </c>
      <c r="F2463" s="52">
        <f>IF(Учет!$O2463=Справочники!$F$6,Учет!$H2463,0)</f>
        <v>0</v>
      </c>
      <c r="G2463" s="43">
        <f>G2462+Учет!B2463-B2463</f>
        <v>-488978.92000000004</v>
      </c>
      <c r="H2463" s="43">
        <f>H2462+Учет!C2463-C2463</f>
        <v>336855</v>
      </c>
      <c r="I2463" s="43">
        <f>I2462+Учет!D2463-D2463</f>
        <v>500</v>
      </c>
      <c r="J2463" s="43">
        <f>J2462+Учет!E2463-E2463</f>
        <v>1150</v>
      </c>
      <c r="K2463" s="43">
        <f>K2462+Учет!F2463-F2463</f>
        <v>500000</v>
      </c>
      <c r="L2463" s="45">
        <f>Учет!I2463</f>
        <v>349526.07999999996</v>
      </c>
    </row>
    <row r="2464" spans="1:12" x14ac:dyDescent="0.25">
      <c r="A2464" s="48" t="str">
        <f>IF(Учет!A2464&lt;&gt;"",Учет!A2464,"")</f>
        <v/>
      </c>
      <c r="B2464" s="52">
        <f>IF(Учет!$O2464=Справочники!$F$2,Учет!$H2464,0)</f>
        <v>0</v>
      </c>
      <c r="C2464" s="52">
        <f>IF(Учет!$O2464=Справочники!$F$3,Учет!$H2464,0)</f>
        <v>0</v>
      </c>
      <c r="D2464" s="52">
        <f>IF(Учет!$O2464=Справочники!$F$4,Учет!$H2464,0)</f>
        <v>0</v>
      </c>
      <c r="E2464" s="52">
        <f>IF(Учет!$O2464=Справочники!$F$5,Учет!$H2464,0)</f>
        <v>0</v>
      </c>
      <c r="F2464" s="52">
        <f>IF(Учет!$O2464=Справочники!$F$6,Учет!$H2464,0)</f>
        <v>0</v>
      </c>
      <c r="G2464" s="43">
        <f>G2463+Учет!B2464-B2464</f>
        <v>-488978.92000000004</v>
      </c>
      <c r="H2464" s="43">
        <f>H2463+Учет!C2464-C2464</f>
        <v>336855</v>
      </c>
      <c r="I2464" s="43">
        <f>I2463+Учет!D2464-D2464</f>
        <v>500</v>
      </c>
      <c r="J2464" s="43">
        <f>J2463+Учет!E2464-E2464</f>
        <v>1150</v>
      </c>
      <c r="K2464" s="43">
        <f>K2463+Учет!F2464-F2464</f>
        <v>500000</v>
      </c>
      <c r="L2464" s="45">
        <f>Учет!I2464</f>
        <v>349526.07999999996</v>
      </c>
    </row>
    <row r="2465" spans="1:12" x14ac:dyDescent="0.25">
      <c r="A2465" s="48" t="str">
        <f>IF(Учет!A2465&lt;&gt;"",Учет!A2465,"")</f>
        <v/>
      </c>
      <c r="B2465" s="52">
        <f>IF(Учет!$O2465=Справочники!$F$2,Учет!$H2465,0)</f>
        <v>0</v>
      </c>
      <c r="C2465" s="52">
        <f>IF(Учет!$O2465=Справочники!$F$3,Учет!$H2465,0)</f>
        <v>0</v>
      </c>
      <c r="D2465" s="52">
        <f>IF(Учет!$O2465=Справочники!$F$4,Учет!$H2465,0)</f>
        <v>0</v>
      </c>
      <c r="E2465" s="52">
        <f>IF(Учет!$O2465=Справочники!$F$5,Учет!$H2465,0)</f>
        <v>0</v>
      </c>
      <c r="F2465" s="52">
        <f>IF(Учет!$O2465=Справочники!$F$6,Учет!$H2465,0)</f>
        <v>0</v>
      </c>
      <c r="G2465" s="43">
        <f>G2464+Учет!B2465-B2465</f>
        <v>-488978.92000000004</v>
      </c>
      <c r="H2465" s="43">
        <f>H2464+Учет!C2465-C2465</f>
        <v>336855</v>
      </c>
      <c r="I2465" s="43">
        <f>I2464+Учет!D2465-D2465</f>
        <v>500</v>
      </c>
      <c r="J2465" s="43">
        <f>J2464+Учет!E2465-E2465</f>
        <v>1150</v>
      </c>
      <c r="K2465" s="43">
        <f>K2464+Учет!F2465-F2465</f>
        <v>500000</v>
      </c>
      <c r="L2465" s="45">
        <f>Учет!I2465</f>
        <v>349526.07999999996</v>
      </c>
    </row>
    <row r="2466" spans="1:12" x14ac:dyDescent="0.25">
      <c r="A2466" s="48" t="str">
        <f>IF(Учет!A2466&lt;&gt;"",Учет!A2466,"")</f>
        <v/>
      </c>
      <c r="B2466" s="52">
        <f>IF(Учет!$O2466=Справочники!$F$2,Учет!$H2466,0)</f>
        <v>0</v>
      </c>
      <c r="C2466" s="52">
        <f>IF(Учет!$O2466=Справочники!$F$3,Учет!$H2466,0)</f>
        <v>0</v>
      </c>
      <c r="D2466" s="52">
        <f>IF(Учет!$O2466=Справочники!$F$4,Учет!$H2466,0)</f>
        <v>0</v>
      </c>
      <c r="E2466" s="52">
        <f>IF(Учет!$O2466=Справочники!$F$5,Учет!$H2466,0)</f>
        <v>0</v>
      </c>
      <c r="F2466" s="52">
        <f>IF(Учет!$O2466=Справочники!$F$6,Учет!$H2466,0)</f>
        <v>0</v>
      </c>
      <c r="G2466" s="43">
        <f>G2465+Учет!B2466-B2466</f>
        <v>-488978.92000000004</v>
      </c>
      <c r="H2466" s="43">
        <f>H2465+Учет!C2466-C2466</f>
        <v>336855</v>
      </c>
      <c r="I2466" s="43">
        <f>I2465+Учет!D2466-D2466</f>
        <v>500</v>
      </c>
      <c r="J2466" s="43">
        <f>J2465+Учет!E2466-E2466</f>
        <v>1150</v>
      </c>
      <c r="K2466" s="43">
        <f>K2465+Учет!F2466-F2466</f>
        <v>500000</v>
      </c>
      <c r="L2466" s="45">
        <f>Учет!I2466</f>
        <v>349526.07999999996</v>
      </c>
    </row>
    <row r="2467" spans="1:12" x14ac:dyDescent="0.25">
      <c r="A2467" s="48" t="str">
        <f>IF(Учет!A2467&lt;&gt;"",Учет!A2467,"")</f>
        <v/>
      </c>
      <c r="B2467" s="52">
        <f>IF(Учет!$O2467=Справочники!$F$2,Учет!$H2467,0)</f>
        <v>0</v>
      </c>
      <c r="C2467" s="52">
        <f>IF(Учет!$O2467=Справочники!$F$3,Учет!$H2467,0)</f>
        <v>0</v>
      </c>
      <c r="D2467" s="52">
        <f>IF(Учет!$O2467=Справочники!$F$4,Учет!$H2467,0)</f>
        <v>0</v>
      </c>
      <c r="E2467" s="52">
        <f>IF(Учет!$O2467=Справочники!$F$5,Учет!$H2467,0)</f>
        <v>0</v>
      </c>
      <c r="F2467" s="52">
        <f>IF(Учет!$O2467=Справочники!$F$6,Учет!$H2467,0)</f>
        <v>0</v>
      </c>
      <c r="G2467" s="43">
        <f>G2466+Учет!B2467-B2467</f>
        <v>-488978.92000000004</v>
      </c>
      <c r="H2467" s="43">
        <f>H2466+Учет!C2467-C2467</f>
        <v>336855</v>
      </c>
      <c r="I2467" s="43">
        <f>I2466+Учет!D2467-D2467</f>
        <v>500</v>
      </c>
      <c r="J2467" s="43">
        <f>J2466+Учет!E2467-E2467</f>
        <v>1150</v>
      </c>
      <c r="K2467" s="43">
        <f>K2466+Учет!F2467-F2467</f>
        <v>500000</v>
      </c>
      <c r="L2467" s="45">
        <f>Учет!I2467</f>
        <v>349526.07999999996</v>
      </c>
    </row>
    <row r="2468" spans="1:12" x14ac:dyDescent="0.25">
      <c r="A2468" s="48" t="str">
        <f>IF(Учет!A2468&lt;&gt;"",Учет!A2468,"")</f>
        <v/>
      </c>
      <c r="B2468" s="52">
        <f>IF(Учет!$O2468=Справочники!$F$2,Учет!$H2468,0)</f>
        <v>0</v>
      </c>
      <c r="C2468" s="52">
        <f>IF(Учет!$O2468=Справочники!$F$3,Учет!$H2468,0)</f>
        <v>0</v>
      </c>
      <c r="D2468" s="52">
        <f>IF(Учет!$O2468=Справочники!$F$4,Учет!$H2468,0)</f>
        <v>0</v>
      </c>
      <c r="E2468" s="52">
        <f>IF(Учет!$O2468=Справочники!$F$5,Учет!$H2468,0)</f>
        <v>0</v>
      </c>
      <c r="F2468" s="52">
        <f>IF(Учет!$O2468=Справочники!$F$6,Учет!$H2468,0)</f>
        <v>0</v>
      </c>
      <c r="G2468" s="43">
        <f>G2467+Учет!B2468-B2468</f>
        <v>-488978.92000000004</v>
      </c>
      <c r="H2468" s="43">
        <f>H2467+Учет!C2468-C2468</f>
        <v>336855</v>
      </c>
      <c r="I2468" s="43">
        <f>I2467+Учет!D2468-D2468</f>
        <v>500</v>
      </c>
      <c r="J2468" s="43">
        <f>J2467+Учет!E2468-E2468</f>
        <v>1150</v>
      </c>
      <c r="K2468" s="43">
        <f>K2467+Учет!F2468-F2468</f>
        <v>500000</v>
      </c>
      <c r="L2468" s="45">
        <f>Учет!I2468</f>
        <v>349526.07999999996</v>
      </c>
    </row>
    <row r="2469" spans="1:12" x14ac:dyDescent="0.25">
      <c r="A2469" s="48" t="str">
        <f>IF(Учет!A2469&lt;&gt;"",Учет!A2469,"")</f>
        <v/>
      </c>
      <c r="B2469" s="52">
        <f>IF(Учет!$O2469=Справочники!$F$2,Учет!$H2469,0)</f>
        <v>0</v>
      </c>
      <c r="C2469" s="52">
        <f>IF(Учет!$O2469=Справочники!$F$3,Учет!$H2469,0)</f>
        <v>0</v>
      </c>
      <c r="D2469" s="52">
        <f>IF(Учет!$O2469=Справочники!$F$4,Учет!$H2469,0)</f>
        <v>0</v>
      </c>
      <c r="E2469" s="52">
        <f>IF(Учет!$O2469=Справочники!$F$5,Учет!$H2469,0)</f>
        <v>0</v>
      </c>
      <c r="F2469" s="52">
        <f>IF(Учет!$O2469=Справочники!$F$6,Учет!$H2469,0)</f>
        <v>0</v>
      </c>
      <c r="G2469" s="43">
        <f>G2468+Учет!B2469-B2469</f>
        <v>-488978.92000000004</v>
      </c>
      <c r="H2469" s="43">
        <f>H2468+Учет!C2469-C2469</f>
        <v>336855</v>
      </c>
      <c r="I2469" s="43">
        <f>I2468+Учет!D2469-D2469</f>
        <v>500</v>
      </c>
      <c r="J2469" s="43">
        <f>J2468+Учет!E2469-E2469</f>
        <v>1150</v>
      </c>
      <c r="K2469" s="43">
        <f>K2468+Учет!F2469-F2469</f>
        <v>500000</v>
      </c>
      <c r="L2469" s="45">
        <f>Учет!I2469</f>
        <v>349526.07999999996</v>
      </c>
    </row>
    <row r="2470" spans="1:12" x14ac:dyDescent="0.25">
      <c r="A2470" s="48" t="str">
        <f>IF(Учет!A2470&lt;&gt;"",Учет!A2470,"")</f>
        <v/>
      </c>
      <c r="B2470" s="52">
        <f>IF(Учет!$O2470=Справочники!$F$2,Учет!$H2470,0)</f>
        <v>0</v>
      </c>
      <c r="C2470" s="52">
        <f>IF(Учет!$O2470=Справочники!$F$3,Учет!$H2470,0)</f>
        <v>0</v>
      </c>
      <c r="D2470" s="52">
        <f>IF(Учет!$O2470=Справочники!$F$4,Учет!$H2470,0)</f>
        <v>0</v>
      </c>
      <c r="E2470" s="52">
        <f>IF(Учет!$O2470=Справочники!$F$5,Учет!$H2470,0)</f>
        <v>0</v>
      </c>
      <c r="F2470" s="52">
        <f>IF(Учет!$O2470=Справочники!$F$6,Учет!$H2470,0)</f>
        <v>0</v>
      </c>
      <c r="G2470" s="43">
        <f>G2469+Учет!B2470-B2470</f>
        <v>-488978.92000000004</v>
      </c>
      <c r="H2470" s="43">
        <f>H2469+Учет!C2470-C2470</f>
        <v>336855</v>
      </c>
      <c r="I2470" s="43">
        <f>I2469+Учет!D2470-D2470</f>
        <v>500</v>
      </c>
      <c r="J2470" s="43">
        <f>J2469+Учет!E2470-E2470</f>
        <v>1150</v>
      </c>
      <c r="K2470" s="43">
        <f>K2469+Учет!F2470-F2470</f>
        <v>500000</v>
      </c>
      <c r="L2470" s="45">
        <f>Учет!I2470</f>
        <v>349526.07999999996</v>
      </c>
    </row>
    <row r="2471" spans="1:12" x14ac:dyDescent="0.25">
      <c r="A2471" s="48" t="str">
        <f>IF(Учет!A2471&lt;&gt;"",Учет!A2471,"")</f>
        <v/>
      </c>
      <c r="B2471" s="52">
        <f>IF(Учет!$O2471=Справочники!$F$2,Учет!$H2471,0)</f>
        <v>0</v>
      </c>
      <c r="C2471" s="52">
        <f>IF(Учет!$O2471=Справочники!$F$3,Учет!$H2471,0)</f>
        <v>0</v>
      </c>
      <c r="D2471" s="52">
        <f>IF(Учет!$O2471=Справочники!$F$4,Учет!$H2471,0)</f>
        <v>0</v>
      </c>
      <c r="E2471" s="52">
        <f>IF(Учет!$O2471=Справочники!$F$5,Учет!$H2471,0)</f>
        <v>0</v>
      </c>
      <c r="F2471" s="52">
        <f>IF(Учет!$O2471=Справочники!$F$6,Учет!$H2471,0)</f>
        <v>0</v>
      </c>
      <c r="G2471" s="43">
        <f>G2470+Учет!B2471-B2471</f>
        <v>-488978.92000000004</v>
      </c>
      <c r="H2471" s="43">
        <f>H2470+Учет!C2471-C2471</f>
        <v>336855</v>
      </c>
      <c r="I2471" s="43">
        <f>I2470+Учет!D2471-D2471</f>
        <v>500</v>
      </c>
      <c r="J2471" s="43">
        <f>J2470+Учет!E2471-E2471</f>
        <v>1150</v>
      </c>
      <c r="K2471" s="43">
        <f>K2470+Учет!F2471-F2471</f>
        <v>500000</v>
      </c>
      <c r="L2471" s="45">
        <f>Учет!I2471</f>
        <v>349526.07999999996</v>
      </c>
    </row>
    <row r="2472" spans="1:12" x14ac:dyDescent="0.25">
      <c r="A2472" s="48" t="str">
        <f>IF(Учет!A2472&lt;&gt;"",Учет!A2472,"")</f>
        <v/>
      </c>
      <c r="B2472" s="52">
        <f>IF(Учет!$O2472=Справочники!$F$2,Учет!$H2472,0)</f>
        <v>0</v>
      </c>
      <c r="C2472" s="52">
        <f>IF(Учет!$O2472=Справочники!$F$3,Учет!$H2472,0)</f>
        <v>0</v>
      </c>
      <c r="D2472" s="52">
        <f>IF(Учет!$O2472=Справочники!$F$4,Учет!$H2472,0)</f>
        <v>0</v>
      </c>
      <c r="E2472" s="52">
        <f>IF(Учет!$O2472=Справочники!$F$5,Учет!$H2472,0)</f>
        <v>0</v>
      </c>
      <c r="F2472" s="52">
        <f>IF(Учет!$O2472=Справочники!$F$6,Учет!$H2472,0)</f>
        <v>0</v>
      </c>
      <c r="G2472" s="43">
        <f>G2471+Учет!B2472-B2472</f>
        <v>-488978.92000000004</v>
      </c>
      <c r="H2472" s="43">
        <f>H2471+Учет!C2472-C2472</f>
        <v>336855</v>
      </c>
      <c r="I2472" s="43">
        <f>I2471+Учет!D2472-D2472</f>
        <v>500</v>
      </c>
      <c r="J2472" s="43">
        <f>J2471+Учет!E2472-E2472</f>
        <v>1150</v>
      </c>
      <c r="K2472" s="43">
        <f>K2471+Учет!F2472-F2472</f>
        <v>500000</v>
      </c>
      <c r="L2472" s="45">
        <f>Учет!I2472</f>
        <v>349526.07999999996</v>
      </c>
    </row>
    <row r="2473" spans="1:12" x14ac:dyDescent="0.25">
      <c r="A2473" s="48" t="str">
        <f>IF(Учет!A2473&lt;&gt;"",Учет!A2473,"")</f>
        <v/>
      </c>
      <c r="B2473" s="52">
        <f>IF(Учет!$O2473=Справочники!$F$2,Учет!$H2473,0)</f>
        <v>0</v>
      </c>
      <c r="C2473" s="52">
        <f>IF(Учет!$O2473=Справочники!$F$3,Учет!$H2473,0)</f>
        <v>0</v>
      </c>
      <c r="D2473" s="52">
        <f>IF(Учет!$O2473=Справочники!$F$4,Учет!$H2473,0)</f>
        <v>0</v>
      </c>
      <c r="E2473" s="52">
        <f>IF(Учет!$O2473=Справочники!$F$5,Учет!$H2473,0)</f>
        <v>0</v>
      </c>
      <c r="F2473" s="52">
        <f>IF(Учет!$O2473=Справочники!$F$6,Учет!$H2473,0)</f>
        <v>0</v>
      </c>
      <c r="G2473" s="43">
        <f>G2472+Учет!B2473-B2473</f>
        <v>-488978.92000000004</v>
      </c>
      <c r="H2473" s="43">
        <f>H2472+Учет!C2473-C2473</f>
        <v>336855</v>
      </c>
      <c r="I2473" s="43">
        <f>I2472+Учет!D2473-D2473</f>
        <v>500</v>
      </c>
      <c r="J2473" s="43">
        <f>J2472+Учет!E2473-E2473</f>
        <v>1150</v>
      </c>
      <c r="K2473" s="43">
        <f>K2472+Учет!F2473-F2473</f>
        <v>500000</v>
      </c>
      <c r="L2473" s="45">
        <f>Учет!I2473</f>
        <v>349526.07999999996</v>
      </c>
    </row>
    <row r="2474" spans="1:12" x14ac:dyDescent="0.25">
      <c r="A2474" s="48" t="str">
        <f>IF(Учет!A2474&lt;&gt;"",Учет!A2474,"")</f>
        <v/>
      </c>
      <c r="B2474" s="52">
        <f>IF(Учет!$O2474=Справочники!$F$2,Учет!$H2474,0)</f>
        <v>0</v>
      </c>
      <c r="C2474" s="52">
        <f>IF(Учет!$O2474=Справочники!$F$3,Учет!$H2474,0)</f>
        <v>0</v>
      </c>
      <c r="D2474" s="52">
        <f>IF(Учет!$O2474=Справочники!$F$4,Учет!$H2474,0)</f>
        <v>0</v>
      </c>
      <c r="E2474" s="52">
        <f>IF(Учет!$O2474=Справочники!$F$5,Учет!$H2474,0)</f>
        <v>0</v>
      </c>
      <c r="F2474" s="52">
        <f>IF(Учет!$O2474=Справочники!$F$6,Учет!$H2474,0)</f>
        <v>0</v>
      </c>
      <c r="G2474" s="43">
        <f>G2473+Учет!B2474-B2474</f>
        <v>-488978.92000000004</v>
      </c>
      <c r="H2474" s="43">
        <f>H2473+Учет!C2474-C2474</f>
        <v>336855</v>
      </c>
      <c r="I2474" s="43">
        <f>I2473+Учет!D2474-D2474</f>
        <v>500</v>
      </c>
      <c r="J2474" s="43">
        <f>J2473+Учет!E2474-E2474</f>
        <v>1150</v>
      </c>
      <c r="K2474" s="43">
        <f>K2473+Учет!F2474-F2474</f>
        <v>500000</v>
      </c>
      <c r="L2474" s="45">
        <f>Учет!I2474</f>
        <v>349526.07999999996</v>
      </c>
    </row>
    <row r="2475" spans="1:12" x14ac:dyDescent="0.25">
      <c r="A2475" s="48" t="str">
        <f>IF(Учет!A2475&lt;&gt;"",Учет!A2475,"")</f>
        <v/>
      </c>
      <c r="B2475" s="52">
        <f>IF(Учет!$O2475=Справочники!$F$2,Учет!$H2475,0)</f>
        <v>0</v>
      </c>
      <c r="C2475" s="52">
        <f>IF(Учет!$O2475=Справочники!$F$3,Учет!$H2475,0)</f>
        <v>0</v>
      </c>
      <c r="D2475" s="52">
        <f>IF(Учет!$O2475=Справочники!$F$4,Учет!$H2475,0)</f>
        <v>0</v>
      </c>
      <c r="E2475" s="52">
        <f>IF(Учет!$O2475=Справочники!$F$5,Учет!$H2475,0)</f>
        <v>0</v>
      </c>
      <c r="F2475" s="52">
        <f>IF(Учет!$O2475=Справочники!$F$6,Учет!$H2475,0)</f>
        <v>0</v>
      </c>
      <c r="G2475" s="43">
        <f>G2474+Учет!B2475-B2475</f>
        <v>-488978.92000000004</v>
      </c>
      <c r="H2475" s="43">
        <f>H2474+Учет!C2475-C2475</f>
        <v>336855</v>
      </c>
      <c r="I2475" s="43">
        <f>I2474+Учет!D2475-D2475</f>
        <v>500</v>
      </c>
      <c r="J2475" s="43">
        <f>J2474+Учет!E2475-E2475</f>
        <v>1150</v>
      </c>
      <c r="K2475" s="43">
        <f>K2474+Учет!F2475-F2475</f>
        <v>500000</v>
      </c>
      <c r="L2475" s="45">
        <f>Учет!I2475</f>
        <v>349526.07999999996</v>
      </c>
    </row>
    <row r="2476" spans="1:12" x14ac:dyDescent="0.25">
      <c r="A2476" s="48" t="str">
        <f>IF(Учет!A2476&lt;&gt;"",Учет!A2476,"")</f>
        <v/>
      </c>
      <c r="B2476" s="52">
        <f>IF(Учет!$O2476=Справочники!$F$2,Учет!$H2476,0)</f>
        <v>0</v>
      </c>
      <c r="C2476" s="52">
        <f>IF(Учет!$O2476=Справочники!$F$3,Учет!$H2476,0)</f>
        <v>0</v>
      </c>
      <c r="D2476" s="52">
        <f>IF(Учет!$O2476=Справочники!$F$4,Учет!$H2476,0)</f>
        <v>0</v>
      </c>
      <c r="E2476" s="52">
        <f>IF(Учет!$O2476=Справочники!$F$5,Учет!$H2476,0)</f>
        <v>0</v>
      </c>
      <c r="F2476" s="52">
        <f>IF(Учет!$O2476=Справочники!$F$6,Учет!$H2476,0)</f>
        <v>0</v>
      </c>
      <c r="G2476" s="43">
        <f>G2475+Учет!B2476-B2476</f>
        <v>-488978.92000000004</v>
      </c>
      <c r="H2476" s="43">
        <f>H2475+Учет!C2476-C2476</f>
        <v>336855</v>
      </c>
      <c r="I2476" s="43">
        <f>I2475+Учет!D2476-D2476</f>
        <v>500</v>
      </c>
      <c r="J2476" s="43">
        <f>J2475+Учет!E2476-E2476</f>
        <v>1150</v>
      </c>
      <c r="K2476" s="43">
        <f>K2475+Учет!F2476-F2476</f>
        <v>500000</v>
      </c>
      <c r="L2476" s="45">
        <f>Учет!I2476</f>
        <v>349526.07999999996</v>
      </c>
    </row>
    <row r="2477" spans="1:12" x14ac:dyDescent="0.25">
      <c r="A2477" s="48" t="str">
        <f>IF(Учет!A2477&lt;&gt;"",Учет!A2477,"")</f>
        <v/>
      </c>
      <c r="B2477" s="52">
        <f>IF(Учет!$O2477=Справочники!$F$2,Учет!$H2477,0)</f>
        <v>0</v>
      </c>
      <c r="C2477" s="52">
        <f>IF(Учет!$O2477=Справочники!$F$3,Учет!$H2477,0)</f>
        <v>0</v>
      </c>
      <c r="D2477" s="52">
        <f>IF(Учет!$O2477=Справочники!$F$4,Учет!$H2477,0)</f>
        <v>0</v>
      </c>
      <c r="E2477" s="52">
        <f>IF(Учет!$O2477=Справочники!$F$5,Учет!$H2477,0)</f>
        <v>0</v>
      </c>
      <c r="F2477" s="52">
        <f>IF(Учет!$O2477=Справочники!$F$6,Учет!$H2477,0)</f>
        <v>0</v>
      </c>
      <c r="G2477" s="43">
        <f>G2476+Учет!B2477-B2477</f>
        <v>-488978.92000000004</v>
      </c>
      <c r="H2477" s="43">
        <f>H2476+Учет!C2477-C2477</f>
        <v>336855</v>
      </c>
      <c r="I2477" s="43">
        <f>I2476+Учет!D2477-D2477</f>
        <v>500</v>
      </c>
      <c r="J2477" s="43">
        <f>J2476+Учет!E2477-E2477</f>
        <v>1150</v>
      </c>
      <c r="K2477" s="43">
        <f>K2476+Учет!F2477-F2477</f>
        <v>500000</v>
      </c>
      <c r="L2477" s="45">
        <f>Учет!I2477</f>
        <v>349526.07999999996</v>
      </c>
    </row>
    <row r="2478" spans="1:12" x14ac:dyDescent="0.25">
      <c r="A2478" s="48" t="str">
        <f>IF(Учет!A2478&lt;&gt;"",Учет!A2478,"")</f>
        <v/>
      </c>
      <c r="B2478" s="52">
        <f>IF(Учет!$O2478=Справочники!$F$2,Учет!$H2478,0)</f>
        <v>0</v>
      </c>
      <c r="C2478" s="52">
        <f>IF(Учет!$O2478=Справочники!$F$3,Учет!$H2478,0)</f>
        <v>0</v>
      </c>
      <c r="D2478" s="52">
        <f>IF(Учет!$O2478=Справочники!$F$4,Учет!$H2478,0)</f>
        <v>0</v>
      </c>
      <c r="E2478" s="52">
        <f>IF(Учет!$O2478=Справочники!$F$5,Учет!$H2478,0)</f>
        <v>0</v>
      </c>
      <c r="F2478" s="52">
        <f>IF(Учет!$O2478=Справочники!$F$6,Учет!$H2478,0)</f>
        <v>0</v>
      </c>
      <c r="G2478" s="43">
        <f>G2477+Учет!B2478-B2478</f>
        <v>-488978.92000000004</v>
      </c>
      <c r="H2478" s="43">
        <f>H2477+Учет!C2478-C2478</f>
        <v>336855</v>
      </c>
      <c r="I2478" s="43">
        <f>I2477+Учет!D2478-D2478</f>
        <v>500</v>
      </c>
      <c r="J2478" s="43">
        <f>J2477+Учет!E2478-E2478</f>
        <v>1150</v>
      </c>
      <c r="K2478" s="43">
        <f>K2477+Учет!F2478-F2478</f>
        <v>500000</v>
      </c>
      <c r="L2478" s="45">
        <f>Учет!I2478</f>
        <v>349526.07999999996</v>
      </c>
    </row>
    <row r="2479" spans="1:12" x14ac:dyDescent="0.25">
      <c r="A2479" s="48" t="str">
        <f>IF(Учет!A2479&lt;&gt;"",Учет!A2479,"")</f>
        <v/>
      </c>
      <c r="B2479" s="52">
        <f>IF(Учет!$O2479=Справочники!$F$2,Учет!$H2479,0)</f>
        <v>0</v>
      </c>
      <c r="C2479" s="52">
        <f>IF(Учет!$O2479=Справочники!$F$3,Учет!$H2479,0)</f>
        <v>0</v>
      </c>
      <c r="D2479" s="52">
        <f>IF(Учет!$O2479=Справочники!$F$4,Учет!$H2479,0)</f>
        <v>0</v>
      </c>
      <c r="E2479" s="52">
        <f>IF(Учет!$O2479=Справочники!$F$5,Учет!$H2479,0)</f>
        <v>0</v>
      </c>
      <c r="F2479" s="52">
        <f>IF(Учет!$O2479=Справочники!$F$6,Учет!$H2479,0)</f>
        <v>0</v>
      </c>
      <c r="G2479" s="43">
        <f>G2478+Учет!B2479-B2479</f>
        <v>-488978.92000000004</v>
      </c>
      <c r="H2479" s="43">
        <f>H2478+Учет!C2479-C2479</f>
        <v>336855</v>
      </c>
      <c r="I2479" s="43">
        <f>I2478+Учет!D2479-D2479</f>
        <v>500</v>
      </c>
      <c r="J2479" s="43">
        <f>J2478+Учет!E2479-E2479</f>
        <v>1150</v>
      </c>
      <c r="K2479" s="43">
        <f>K2478+Учет!F2479-F2479</f>
        <v>500000</v>
      </c>
      <c r="L2479" s="45">
        <f>Учет!I2479</f>
        <v>349526.07999999996</v>
      </c>
    </row>
    <row r="2480" spans="1:12" x14ac:dyDescent="0.25">
      <c r="A2480" s="48" t="str">
        <f>IF(Учет!A2480&lt;&gt;"",Учет!A2480,"")</f>
        <v/>
      </c>
      <c r="B2480" s="52">
        <f>IF(Учет!$O2480=Справочники!$F$2,Учет!$H2480,0)</f>
        <v>0</v>
      </c>
      <c r="C2480" s="52">
        <f>IF(Учет!$O2480=Справочники!$F$3,Учет!$H2480,0)</f>
        <v>0</v>
      </c>
      <c r="D2480" s="52">
        <f>IF(Учет!$O2480=Справочники!$F$4,Учет!$H2480,0)</f>
        <v>0</v>
      </c>
      <c r="E2480" s="52">
        <f>IF(Учет!$O2480=Справочники!$F$5,Учет!$H2480,0)</f>
        <v>0</v>
      </c>
      <c r="F2480" s="52">
        <f>IF(Учет!$O2480=Справочники!$F$6,Учет!$H2480,0)</f>
        <v>0</v>
      </c>
      <c r="G2480" s="43">
        <f>G2479+Учет!B2480-B2480</f>
        <v>-488978.92000000004</v>
      </c>
      <c r="H2480" s="43">
        <f>H2479+Учет!C2480-C2480</f>
        <v>336855</v>
      </c>
      <c r="I2480" s="43">
        <f>I2479+Учет!D2480-D2480</f>
        <v>500</v>
      </c>
      <c r="J2480" s="43">
        <f>J2479+Учет!E2480-E2480</f>
        <v>1150</v>
      </c>
      <c r="K2480" s="43">
        <f>K2479+Учет!F2480-F2480</f>
        <v>500000</v>
      </c>
      <c r="L2480" s="45">
        <f>Учет!I2480</f>
        <v>349526.07999999996</v>
      </c>
    </row>
    <row r="2481" spans="1:12" x14ac:dyDescent="0.25">
      <c r="A2481" s="48" t="str">
        <f>IF(Учет!A2481&lt;&gt;"",Учет!A2481,"")</f>
        <v/>
      </c>
      <c r="B2481" s="52">
        <f>IF(Учет!$O2481=Справочники!$F$2,Учет!$H2481,0)</f>
        <v>0</v>
      </c>
      <c r="C2481" s="52">
        <f>IF(Учет!$O2481=Справочники!$F$3,Учет!$H2481,0)</f>
        <v>0</v>
      </c>
      <c r="D2481" s="52">
        <f>IF(Учет!$O2481=Справочники!$F$4,Учет!$H2481,0)</f>
        <v>0</v>
      </c>
      <c r="E2481" s="52">
        <f>IF(Учет!$O2481=Справочники!$F$5,Учет!$H2481,0)</f>
        <v>0</v>
      </c>
      <c r="F2481" s="52">
        <f>IF(Учет!$O2481=Справочники!$F$6,Учет!$H2481,0)</f>
        <v>0</v>
      </c>
      <c r="G2481" s="43">
        <f>G2480+Учет!B2481-B2481</f>
        <v>-488978.92000000004</v>
      </c>
      <c r="H2481" s="43">
        <f>H2480+Учет!C2481-C2481</f>
        <v>336855</v>
      </c>
      <c r="I2481" s="43">
        <f>I2480+Учет!D2481-D2481</f>
        <v>500</v>
      </c>
      <c r="J2481" s="43">
        <f>J2480+Учет!E2481-E2481</f>
        <v>1150</v>
      </c>
      <c r="K2481" s="43">
        <f>K2480+Учет!F2481-F2481</f>
        <v>500000</v>
      </c>
      <c r="L2481" s="45">
        <f>Учет!I2481</f>
        <v>349526.07999999996</v>
      </c>
    </row>
    <row r="2482" spans="1:12" x14ac:dyDescent="0.25">
      <c r="A2482" s="48" t="str">
        <f>IF(Учет!A2482&lt;&gt;"",Учет!A2482,"")</f>
        <v/>
      </c>
      <c r="B2482" s="52">
        <f>IF(Учет!$O2482=Справочники!$F$2,Учет!$H2482,0)</f>
        <v>0</v>
      </c>
      <c r="C2482" s="52">
        <f>IF(Учет!$O2482=Справочники!$F$3,Учет!$H2482,0)</f>
        <v>0</v>
      </c>
      <c r="D2482" s="52">
        <f>IF(Учет!$O2482=Справочники!$F$4,Учет!$H2482,0)</f>
        <v>0</v>
      </c>
      <c r="E2482" s="52">
        <f>IF(Учет!$O2482=Справочники!$F$5,Учет!$H2482,0)</f>
        <v>0</v>
      </c>
      <c r="F2482" s="52">
        <f>IF(Учет!$O2482=Справочники!$F$6,Учет!$H2482,0)</f>
        <v>0</v>
      </c>
      <c r="G2482" s="43">
        <f>G2481+Учет!B2482-B2482</f>
        <v>-488978.92000000004</v>
      </c>
      <c r="H2482" s="43">
        <f>H2481+Учет!C2482-C2482</f>
        <v>336855</v>
      </c>
      <c r="I2482" s="43">
        <f>I2481+Учет!D2482-D2482</f>
        <v>500</v>
      </c>
      <c r="J2482" s="43">
        <f>J2481+Учет!E2482-E2482</f>
        <v>1150</v>
      </c>
      <c r="K2482" s="43">
        <f>K2481+Учет!F2482-F2482</f>
        <v>500000</v>
      </c>
      <c r="L2482" s="45">
        <f>Учет!I2482</f>
        <v>349526.07999999996</v>
      </c>
    </row>
    <row r="2483" spans="1:12" x14ac:dyDescent="0.25">
      <c r="A2483" s="48" t="str">
        <f>IF(Учет!A2483&lt;&gt;"",Учет!A2483,"")</f>
        <v/>
      </c>
      <c r="B2483" s="52">
        <f>IF(Учет!$O2483=Справочники!$F$2,Учет!$H2483,0)</f>
        <v>0</v>
      </c>
      <c r="C2483" s="52">
        <f>IF(Учет!$O2483=Справочники!$F$3,Учет!$H2483,0)</f>
        <v>0</v>
      </c>
      <c r="D2483" s="52">
        <f>IF(Учет!$O2483=Справочники!$F$4,Учет!$H2483,0)</f>
        <v>0</v>
      </c>
      <c r="E2483" s="52">
        <f>IF(Учет!$O2483=Справочники!$F$5,Учет!$H2483,0)</f>
        <v>0</v>
      </c>
      <c r="F2483" s="52">
        <f>IF(Учет!$O2483=Справочники!$F$6,Учет!$H2483,0)</f>
        <v>0</v>
      </c>
      <c r="G2483" s="43">
        <f>G2482+Учет!B2483-B2483</f>
        <v>-488978.92000000004</v>
      </c>
      <c r="H2483" s="43">
        <f>H2482+Учет!C2483-C2483</f>
        <v>336855</v>
      </c>
      <c r="I2483" s="43">
        <f>I2482+Учет!D2483-D2483</f>
        <v>500</v>
      </c>
      <c r="J2483" s="43">
        <f>J2482+Учет!E2483-E2483</f>
        <v>1150</v>
      </c>
      <c r="K2483" s="43">
        <f>K2482+Учет!F2483-F2483</f>
        <v>500000</v>
      </c>
      <c r="L2483" s="45">
        <f>Учет!I2483</f>
        <v>349526.07999999996</v>
      </c>
    </row>
    <row r="2484" spans="1:12" x14ac:dyDescent="0.25">
      <c r="A2484" s="48" t="str">
        <f>IF(Учет!A2484&lt;&gt;"",Учет!A2484,"")</f>
        <v/>
      </c>
      <c r="B2484" s="52">
        <f>IF(Учет!$O2484=Справочники!$F$2,Учет!$H2484,0)</f>
        <v>0</v>
      </c>
      <c r="C2484" s="52">
        <f>IF(Учет!$O2484=Справочники!$F$3,Учет!$H2484,0)</f>
        <v>0</v>
      </c>
      <c r="D2484" s="52">
        <f>IF(Учет!$O2484=Справочники!$F$4,Учет!$H2484,0)</f>
        <v>0</v>
      </c>
      <c r="E2484" s="52">
        <f>IF(Учет!$O2484=Справочники!$F$5,Учет!$H2484,0)</f>
        <v>0</v>
      </c>
      <c r="F2484" s="52">
        <f>IF(Учет!$O2484=Справочники!$F$6,Учет!$H2484,0)</f>
        <v>0</v>
      </c>
      <c r="G2484" s="43">
        <f>G2483+Учет!B2484-B2484</f>
        <v>-488978.92000000004</v>
      </c>
      <c r="H2484" s="43">
        <f>H2483+Учет!C2484-C2484</f>
        <v>336855</v>
      </c>
      <c r="I2484" s="43">
        <f>I2483+Учет!D2484-D2484</f>
        <v>500</v>
      </c>
      <c r="J2484" s="43">
        <f>J2483+Учет!E2484-E2484</f>
        <v>1150</v>
      </c>
      <c r="K2484" s="43">
        <f>K2483+Учет!F2484-F2484</f>
        <v>500000</v>
      </c>
      <c r="L2484" s="45">
        <f>Учет!I2484</f>
        <v>349526.07999999996</v>
      </c>
    </row>
    <row r="2485" spans="1:12" x14ac:dyDescent="0.25">
      <c r="A2485" s="48" t="str">
        <f>IF(Учет!A2485&lt;&gt;"",Учет!A2485,"")</f>
        <v/>
      </c>
      <c r="B2485" s="52">
        <f>IF(Учет!$O2485=Справочники!$F$2,Учет!$H2485,0)</f>
        <v>0</v>
      </c>
      <c r="C2485" s="52">
        <f>IF(Учет!$O2485=Справочники!$F$3,Учет!$H2485,0)</f>
        <v>0</v>
      </c>
      <c r="D2485" s="52">
        <f>IF(Учет!$O2485=Справочники!$F$4,Учет!$H2485,0)</f>
        <v>0</v>
      </c>
      <c r="E2485" s="52">
        <f>IF(Учет!$O2485=Справочники!$F$5,Учет!$H2485,0)</f>
        <v>0</v>
      </c>
      <c r="F2485" s="52">
        <f>IF(Учет!$O2485=Справочники!$F$6,Учет!$H2485,0)</f>
        <v>0</v>
      </c>
      <c r="G2485" s="43">
        <f>G2484+Учет!B2485-B2485</f>
        <v>-488978.92000000004</v>
      </c>
      <c r="H2485" s="43">
        <f>H2484+Учет!C2485-C2485</f>
        <v>336855</v>
      </c>
      <c r="I2485" s="43">
        <f>I2484+Учет!D2485-D2485</f>
        <v>500</v>
      </c>
      <c r="J2485" s="43">
        <f>J2484+Учет!E2485-E2485</f>
        <v>1150</v>
      </c>
      <c r="K2485" s="43">
        <f>K2484+Учет!F2485-F2485</f>
        <v>500000</v>
      </c>
      <c r="L2485" s="45">
        <f>Учет!I2485</f>
        <v>349526.07999999996</v>
      </c>
    </row>
    <row r="2486" spans="1:12" x14ac:dyDescent="0.25">
      <c r="A2486" s="48" t="str">
        <f>IF(Учет!A2486&lt;&gt;"",Учет!A2486,"")</f>
        <v/>
      </c>
      <c r="B2486" s="52">
        <f>IF(Учет!$O2486=Справочники!$F$2,Учет!$H2486,0)</f>
        <v>0</v>
      </c>
      <c r="C2486" s="52">
        <f>IF(Учет!$O2486=Справочники!$F$3,Учет!$H2486,0)</f>
        <v>0</v>
      </c>
      <c r="D2486" s="52">
        <f>IF(Учет!$O2486=Справочники!$F$4,Учет!$H2486,0)</f>
        <v>0</v>
      </c>
      <c r="E2486" s="52">
        <f>IF(Учет!$O2486=Справочники!$F$5,Учет!$H2486,0)</f>
        <v>0</v>
      </c>
      <c r="F2486" s="52">
        <f>IF(Учет!$O2486=Справочники!$F$6,Учет!$H2486,0)</f>
        <v>0</v>
      </c>
      <c r="G2486" s="43">
        <f>G2485+Учет!B2486-B2486</f>
        <v>-488978.92000000004</v>
      </c>
      <c r="H2486" s="43">
        <f>H2485+Учет!C2486-C2486</f>
        <v>336855</v>
      </c>
      <c r="I2486" s="43">
        <f>I2485+Учет!D2486-D2486</f>
        <v>500</v>
      </c>
      <c r="J2486" s="43">
        <f>J2485+Учет!E2486-E2486</f>
        <v>1150</v>
      </c>
      <c r="K2486" s="43">
        <f>K2485+Учет!F2486-F2486</f>
        <v>500000</v>
      </c>
      <c r="L2486" s="45">
        <f>Учет!I2486</f>
        <v>349526.07999999996</v>
      </c>
    </row>
    <row r="2487" spans="1:12" x14ac:dyDescent="0.25">
      <c r="A2487" s="48" t="str">
        <f>IF(Учет!A2487&lt;&gt;"",Учет!A2487,"")</f>
        <v/>
      </c>
      <c r="B2487" s="52">
        <f>IF(Учет!$O2487=Справочники!$F$2,Учет!$H2487,0)</f>
        <v>0</v>
      </c>
      <c r="C2487" s="52">
        <f>IF(Учет!$O2487=Справочники!$F$3,Учет!$H2487,0)</f>
        <v>0</v>
      </c>
      <c r="D2487" s="52">
        <f>IF(Учет!$O2487=Справочники!$F$4,Учет!$H2487,0)</f>
        <v>0</v>
      </c>
      <c r="E2487" s="52">
        <f>IF(Учет!$O2487=Справочники!$F$5,Учет!$H2487,0)</f>
        <v>0</v>
      </c>
      <c r="F2487" s="52">
        <f>IF(Учет!$O2487=Справочники!$F$6,Учет!$H2487,0)</f>
        <v>0</v>
      </c>
      <c r="G2487" s="43">
        <f>G2486+Учет!B2487-B2487</f>
        <v>-488978.92000000004</v>
      </c>
      <c r="H2487" s="43">
        <f>H2486+Учет!C2487-C2487</f>
        <v>336855</v>
      </c>
      <c r="I2487" s="43">
        <f>I2486+Учет!D2487-D2487</f>
        <v>500</v>
      </c>
      <c r="J2487" s="43">
        <f>J2486+Учет!E2487-E2487</f>
        <v>1150</v>
      </c>
      <c r="K2487" s="43">
        <f>K2486+Учет!F2487-F2487</f>
        <v>500000</v>
      </c>
      <c r="L2487" s="45">
        <f>Учет!I2487</f>
        <v>349526.07999999996</v>
      </c>
    </row>
    <row r="2488" spans="1:12" x14ac:dyDescent="0.25">
      <c r="A2488" s="48" t="str">
        <f>IF(Учет!A2488&lt;&gt;"",Учет!A2488,"")</f>
        <v/>
      </c>
      <c r="B2488" s="52">
        <f>IF(Учет!$O2488=Справочники!$F$2,Учет!$H2488,0)</f>
        <v>0</v>
      </c>
      <c r="C2488" s="52">
        <f>IF(Учет!$O2488=Справочники!$F$3,Учет!$H2488,0)</f>
        <v>0</v>
      </c>
      <c r="D2488" s="52">
        <f>IF(Учет!$O2488=Справочники!$F$4,Учет!$H2488,0)</f>
        <v>0</v>
      </c>
      <c r="E2488" s="52">
        <f>IF(Учет!$O2488=Справочники!$F$5,Учет!$H2488,0)</f>
        <v>0</v>
      </c>
      <c r="F2488" s="52">
        <f>IF(Учет!$O2488=Справочники!$F$6,Учет!$H2488,0)</f>
        <v>0</v>
      </c>
      <c r="G2488" s="43">
        <f>G2487+Учет!B2488-B2488</f>
        <v>-488978.92000000004</v>
      </c>
      <c r="H2488" s="43">
        <f>H2487+Учет!C2488-C2488</f>
        <v>336855</v>
      </c>
      <c r="I2488" s="43">
        <f>I2487+Учет!D2488-D2488</f>
        <v>500</v>
      </c>
      <c r="J2488" s="43">
        <f>J2487+Учет!E2488-E2488</f>
        <v>1150</v>
      </c>
      <c r="K2488" s="43">
        <f>K2487+Учет!F2488-F2488</f>
        <v>500000</v>
      </c>
      <c r="L2488" s="45">
        <f>Учет!I2488</f>
        <v>349526.07999999996</v>
      </c>
    </row>
    <row r="2489" spans="1:12" x14ac:dyDescent="0.25">
      <c r="A2489" s="48" t="str">
        <f>IF(Учет!A2489&lt;&gt;"",Учет!A2489,"")</f>
        <v/>
      </c>
      <c r="B2489" s="52">
        <f>IF(Учет!$O2489=Справочники!$F$2,Учет!$H2489,0)</f>
        <v>0</v>
      </c>
      <c r="C2489" s="52">
        <f>IF(Учет!$O2489=Справочники!$F$3,Учет!$H2489,0)</f>
        <v>0</v>
      </c>
      <c r="D2489" s="52">
        <f>IF(Учет!$O2489=Справочники!$F$4,Учет!$H2489,0)</f>
        <v>0</v>
      </c>
      <c r="E2489" s="52">
        <f>IF(Учет!$O2489=Справочники!$F$5,Учет!$H2489,0)</f>
        <v>0</v>
      </c>
      <c r="F2489" s="52">
        <f>IF(Учет!$O2489=Справочники!$F$6,Учет!$H2489,0)</f>
        <v>0</v>
      </c>
      <c r="G2489" s="43">
        <f>G2488+Учет!B2489-B2489</f>
        <v>-488978.92000000004</v>
      </c>
      <c r="H2489" s="43">
        <f>H2488+Учет!C2489-C2489</f>
        <v>336855</v>
      </c>
      <c r="I2489" s="43">
        <f>I2488+Учет!D2489-D2489</f>
        <v>500</v>
      </c>
      <c r="J2489" s="43">
        <f>J2488+Учет!E2489-E2489</f>
        <v>1150</v>
      </c>
      <c r="K2489" s="43">
        <f>K2488+Учет!F2489-F2489</f>
        <v>500000</v>
      </c>
      <c r="L2489" s="45">
        <f>Учет!I2489</f>
        <v>349526.07999999996</v>
      </c>
    </row>
    <row r="2490" spans="1:12" x14ac:dyDescent="0.25">
      <c r="A2490" s="48" t="str">
        <f>IF(Учет!A2490&lt;&gt;"",Учет!A2490,"")</f>
        <v/>
      </c>
      <c r="B2490" s="52">
        <f>IF(Учет!$O2490=Справочники!$F$2,Учет!$H2490,0)</f>
        <v>0</v>
      </c>
      <c r="C2490" s="52">
        <f>IF(Учет!$O2490=Справочники!$F$3,Учет!$H2490,0)</f>
        <v>0</v>
      </c>
      <c r="D2490" s="52">
        <f>IF(Учет!$O2490=Справочники!$F$4,Учет!$H2490,0)</f>
        <v>0</v>
      </c>
      <c r="E2490" s="52">
        <f>IF(Учет!$O2490=Справочники!$F$5,Учет!$H2490,0)</f>
        <v>0</v>
      </c>
      <c r="F2490" s="52">
        <f>IF(Учет!$O2490=Справочники!$F$6,Учет!$H2490,0)</f>
        <v>0</v>
      </c>
      <c r="G2490" s="43">
        <f>G2489+Учет!B2490-B2490</f>
        <v>-488978.92000000004</v>
      </c>
      <c r="H2490" s="43">
        <f>H2489+Учет!C2490-C2490</f>
        <v>336855</v>
      </c>
      <c r="I2490" s="43">
        <f>I2489+Учет!D2490-D2490</f>
        <v>500</v>
      </c>
      <c r="J2490" s="43">
        <f>J2489+Учет!E2490-E2490</f>
        <v>1150</v>
      </c>
      <c r="K2490" s="43">
        <f>K2489+Учет!F2490-F2490</f>
        <v>500000</v>
      </c>
      <c r="L2490" s="45">
        <f>Учет!I2490</f>
        <v>349526.07999999996</v>
      </c>
    </row>
    <row r="2491" spans="1:12" x14ac:dyDescent="0.25">
      <c r="A2491" s="48" t="str">
        <f>IF(Учет!A2491&lt;&gt;"",Учет!A2491,"")</f>
        <v/>
      </c>
      <c r="B2491" s="52">
        <f>IF(Учет!$O2491=Справочники!$F$2,Учет!$H2491,0)</f>
        <v>0</v>
      </c>
      <c r="C2491" s="52">
        <f>IF(Учет!$O2491=Справочники!$F$3,Учет!$H2491,0)</f>
        <v>0</v>
      </c>
      <c r="D2491" s="52">
        <f>IF(Учет!$O2491=Справочники!$F$4,Учет!$H2491,0)</f>
        <v>0</v>
      </c>
      <c r="E2491" s="52">
        <f>IF(Учет!$O2491=Справочники!$F$5,Учет!$H2491,0)</f>
        <v>0</v>
      </c>
      <c r="F2491" s="52">
        <f>IF(Учет!$O2491=Справочники!$F$6,Учет!$H2491,0)</f>
        <v>0</v>
      </c>
      <c r="G2491" s="43">
        <f>G2490+Учет!B2491-B2491</f>
        <v>-488978.92000000004</v>
      </c>
      <c r="H2491" s="43">
        <f>H2490+Учет!C2491-C2491</f>
        <v>336855</v>
      </c>
      <c r="I2491" s="43">
        <f>I2490+Учет!D2491-D2491</f>
        <v>500</v>
      </c>
      <c r="J2491" s="43">
        <f>J2490+Учет!E2491-E2491</f>
        <v>1150</v>
      </c>
      <c r="K2491" s="43">
        <f>K2490+Учет!F2491-F2491</f>
        <v>500000</v>
      </c>
      <c r="L2491" s="45">
        <f>Учет!I2491</f>
        <v>349526.07999999996</v>
      </c>
    </row>
    <row r="2492" spans="1:12" x14ac:dyDescent="0.25">
      <c r="A2492" s="48" t="str">
        <f>IF(Учет!A2492&lt;&gt;"",Учет!A2492,"")</f>
        <v/>
      </c>
      <c r="B2492" s="52">
        <f>IF(Учет!$O2492=Справочники!$F$2,Учет!$H2492,0)</f>
        <v>0</v>
      </c>
      <c r="C2492" s="52">
        <f>IF(Учет!$O2492=Справочники!$F$3,Учет!$H2492,0)</f>
        <v>0</v>
      </c>
      <c r="D2492" s="52">
        <f>IF(Учет!$O2492=Справочники!$F$4,Учет!$H2492,0)</f>
        <v>0</v>
      </c>
      <c r="E2492" s="52">
        <f>IF(Учет!$O2492=Справочники!$F$5,Учет!$H2492,0)</f>
        <v>0</v>
      </c>
      <c r="F2492" s="52">
        <f>IF(Учет!$O2492=Справочники!$F$6,Учет!$H2492,0)</f>
        <v>0</v>
      </c>
      <c r="G2492" s="43">
        <f>G2491+Учет!B2492-B2492</f>
        <v>-488978.92000000004</v>
      </c>
      <c r="H2492" s="43">
        <f>H2491+Учет!C2492-C2492</f>
        <v>336855</v>
      </c>
      <c r="I2492" s="43">
        <f>I2491+Учет!D2492-D2492</f>
        <v>500</v>
      </c>
      <c r="J2492" s="43">
        <f>J2491+Учет!E2492-E2492</f>
        <v>1150</v>
      </c>
      <c r="K2492" s="43">
        <f>K2491+Учет!F2492-F2492</f>
        <v>500000</v>
      </c>
      <c r="L2492" s="45">
        <f>Учет!I2492</f>
        <v>349526.07999999996</v>
      </c>
    </row>
    <row r="2493" spans="1:12" x14ac:dyDescent="0.25">
      <c r="A2493" s="48" t="str">
        <f>IF(Учет!A2493&lt;&gt;"",Учет!A2493,"")</f>
        <v/>
      </c>
      <c r="B2493" s="52">
        <f>IF(Учет!$O2493=Справочники!$F$2,Учет!$H2493,0)</f>
        <v>0</v>
      </c>
      <c r="C2493" s="52">
        <f>IF(Учет!$O2493=Справочники!$F$3,Учет!$H2493,0)</f>
        <v>0</v>
      </c>
      <c r="D2493" s="52">
        <f>IF(Учет!$O2493=Справочники!$F$4,Учет!$H2493,0)</f>
        <v>0</v>
      </c>
      <c r="E2493" s="52">
        <f>IF(Учет!$O2493=Справочники!$F$5,Учет!$H2493,0)</f>
        <v>0</v>
      </c>
      <c r="F2493" s="52">
        <f>IF(Учет!$O2493=Справочники!$F$6,Учет!$H2493,0)</f>
        <v>0</v>
      </c>
      <c r="G2493" s="43">
        <f>G2492+Учет!B2493-B2493</f>
        <v>-488978.92000000004</v>
      </c>
      <c r="H2493" s="43">
        <f>H2492+Учет!C2493-C2493</f>
        <v>336855</v>
      </c>
      <c r="I2493" s="43">
        <f>I2492+Учет!D2493-D2493</f>
        <v>500</v>
      </c>
      <c r="J2493" s="43">
        <f>J2492+Учет!E2493-E2493</f>
        <v>1150</v>
      </c>
      <c r="K2493" s="43">
        <f>K2492+Учет!F2493-F2493</f>
        <v>500000</v>
      </c>
      <c r="L2493" s="45">
        <f>Учет!I2493</f>
        <v>349526.07999999996</v>
      </c>
    </row>
    <row r="2494" spans="1:12" x14ac:dyDescent="0.25">
      <c r="A2494" s="48" t="str">
        <f>IF(Учет!A2494&lt;&gt;"",Учет!A2494,"")</f>
        <v/>
      </c>
      <c r="B2494" s="52">
        <f>IF(Учет!$O2494=Справочники!$F$2,Учет!$H2494,0)</f>
        <v>0</v>
      </c>
      <c r="C2494" s="52">
        <f>IF(Учет!$O2494=Справочники!$F$3,Учет!$H2494,0)</f>
        <v>0</v>
      </c>
      <c r="D2494" s="52">
        <f>IF(Учет!$O2494=Справочники!$F$4,Учет!$H2494,0)</f>
        <v>0</v>
      </c>
      <c r="E2494" s="52">
        <f>IF(Учет!$O2494=Справочники!$F$5,Учет!$H2494,0)</f>
        <v>0</v>
      </c>
      <c r="F2494" s="52">
        <f>IF(Учет!$O2494=Справочники!$F$6,Учет!$H2494,0)</f>
        <v>0</v>
      </c>
      <c r="G2494" s="43">
        <f>G2493+Учет!B2494-B2494</f>
        <v>-488978.92000000004</v>
      </c>
      <c r="H2494" s="43">
        <f>H2493+Учет!C2494-C2494</f>
        <v>336855</v>
      </c>
      <c r="I2494" s="43">
        <f>I2493+Учет!D2494-D2494</f>
        <v>500</v>
      </c>
      <c r="J2494" s="43">
        <f>J2493+Учет!E2494-E2494</f>
        <v>1150</v>
      </c>
      <c r="K2494" s="43">
        <f>K2493+Учет!F2494-F2494</f>
        <v>500000</v>
      </c>
      <c r="L2494" s="45">
        <f>Учет!I2494</f>
        <v>349526.07999999996</v>
      </c>
    </row>
    <row r="2495" spans="1:12" x14ac:dyDescent="0.25">
      <c r="A2495" s="48" t="str">
        <f>IF(Учет!A2495&lt;&gt;"",Учет!A2495,"")</f>
        <v/>
      </c>
      <c r="B2495" s="52">
        <f>IF(Учет!$O2495=Справочники!$F$2,Учет!$H2495,0)</f>
        <v>0</v>
      </c>
      <c r="C2495" s="52">
        <f>IF(Учет!$O2495=Справочники!$F$3,Учет!$H2495,0)</f>
        <v>0</v>
      </c>
      <c r="D2495" s="52">
        <f>IF(Учет!$O2495=Справочники!$F$4,Учет!$H2495,0)</f>
        <v>0</v>
      </c>
      <c r="E2495" s="52">
        <f>IF(Учет!$O2495=Справочники!$F$5,Учет!$H2495,0)</f>
        <v>0</v>
      </c>
      <c r="F2495" s="52">
        <f>IF(Учет!$O2495=Справочники!$F$6,Учет!$H2495,0)</f>
        <v>0</v>
      </c>
      <c r="G2495" s="43">
        <f>G2494+Учет!B2495-B2495</f>
        <v>-488978.92000000004</v>
      </c>
      <c r="H2495" s="43">
        <f>H2494+Учет!C2495-C2495</f>
        <v>336855</v>
      </c>
      <c r="I2495" s="43">
        <f>I2494+Учет!D2495-D2495</f>
        <v>500</v>
      </c>
      <c r="J2495" s="43">
        <f>J2494+Учет!E2495-E2495</f>
        <v>1150</v>
      </c>
      <c r="K2495" s="43">
        <f>K2494+Учет!F2495-F2495</f>
        <v>500000</v>
      </c>
      <c r="L2495" s="45">
        <f>Учет!I2495</f>
        <v>349526.07999999996</v>
      </c>
    </row>
    <row r="2496" spans="1:12" x14ac:dyDescent="0.25">
      <c r="A2496" s="48" t="str">
        <f>IF(Учет!A2496&lt;&gt;"",Учет!A2496,"")</f>
        <v/>
      </c>
      <c r="B2496" s="52">
        <f>IF(Учет!$O2496=Справочники!$F$2,Учет!$H2496,0)</f>
        <v>0</v>
      </c>
      <c r="C2496" s="52">
        <f>IF(Учет!$O2496=Справочники!$F$3,Учет!$H2496,0)</f>
        <v>0</v>
      </c>
      <c r="D2496" s="52">
        <f>IF(Учет!$O2496=Справочники!$F$4,Учет!$H2496,0)</f>
        <v>0</v>
      </c>
      <c r="E2496" s="52">
        <f>IF(Учет!$O2496=Справочники!$F$5,Учет!$H2496,0)</f>
        <v>0</v>
      </c>
      <c r="F2496" s="52">
        <f>IF(Учет!$O2496=Справочники!$F$6,Учет!$H2496,0)</f>
        <v>0</v>
      </c>
      <c r="G2496" s="43">
        <f>G2495+Учет!B2496-B2496</f>
        <v>-488978.92000000004</v>
      </c>
      <c r="H2496" s="43">
        <f>H2495+Учет!C2496-C2496</f>
        <v>336855</v>
      </c>
      <c r="I2496" s="43">
        <f>I2495+Учет!D2496-D2496</f>
        <v>500</v>
      </c>
      <c r="J2496" s="43">
        <f>J2495+Учет!E2496-E2496</f>
        <v>1150</v>
      </c>
      <c r="K2496" s="43">
        <f>K2495+Учет!F2496-F2496</f>
        <v>500000</v>
      </c>
      <c r="L2496" s="45">
        <f>Учет!I2496</f>
        <v>349526.07999999996</v>
      </c>
    </row>
    <row r="2497" spans="1:12" x14ac:dyDescent="0.25">
      <c r="A2497" s="48" t="str">
        <f>IF(Учет!A2497&lt;&gt;"",Учет!A2497,"")</f>
        <v/>
      </c>
      <c r="B2497" s="52">
        <f>IF(Учет!$O2497=Справочники!$F$2,Учет!$H2497,0)</f>
        <v>0</v>
      </c>
      <c r="C2497" s="52">
        <f>IF(Учет!$O2497=Справочники!$F$3,Учет!$H2497,0)</f>
        <v>0</v>
      </c>
      <c r="D2497" s="52">
        <f>IF(Учет!$O2497=Справочники!$F$4,Учет!$H2497,0)</f>
        <v>0</v>
      </c>
      <c r="E2497" s="52">
        <f>IF(Учет!$O2497=Справочники!$F$5,Учет!$H2497,0)</f>
        <v>0</v>
      </c>
      <c r="F2497" s="52">
        <f>IF(Учет!$O2497=Справочники!$F$6,Учет!$H2497,0)</f>
        <v>0</v>
      </c>
      <c r="G2497" s="43">
        <f>G2496+Учет!B2497-B2497</f>
        <v>-488978.92000000004</v>
      </c>
      <c r="H2497" s="43">
        <f>H2496+Учет!C2497-C2497</f>
        <v>336855</v>
      </c>
      <c r="I2497" s="43">
        <f>I2496+Учет!D2497-D2497</f>
        <v>500</v>
      </c>
      <c r="J2497" s="43">
        <f>J2496+Учет!E2497-E2497</f>
        <v>1150</v>
      </c>
      <c r="K2497" s="43">
        <f>K2496+Учет!F2497-F2497</f>
        <v>500000</v>
      </c>
      <c r="L2497" s="45">
        <f>Учет!I2497</f>
        <v>349526.07999999996</v>
      </c>
    </row>
    <row r="2498" spans="1:12" x14ac:dyDescent="0.25">
      <c r="A2498" s="48" t="str">
        <f>IF(Учет!A2498&lt;&gt;"",Учет!A2498,"")</f>
        <v/>
      </c>
      <c r="B2498" s="52">
        <f>IF(Учет!$O2498=Справочники!$F$2,Учет!$H2498,0)</f>
        <v>0</v>
      </c>
      <c r="C2498" s="52">
        <f>IF(Учет!$O2498=Справочники!$F$3,Учет!$H2498,0)</f>
        <v>0</v>
      </c>
      <c r="D2498" s="52">
        <f>IF(Учет!$O2498=Справочники!$F$4,Учет!$H2498,0)</f>
        <v>0</v>
      </c>
      <c r="E2498" s="52">
        <f>IF(Учет!$O2498=Справочники!$F$5,Учет!$H2498,0)</f>
        <v>0</v>
      </c>
      <c r="F2498" s="52">
        <f>IF(Учет!$O2498=Справочники!$F$6,Учет!$H2498,0)</f>
        <v>0</v>
      </c>
      <c r="G2498" s="43">
        <f>G2497+Учет!B2498-B2498</f>
        <v>-488978.92000000004</v>
      </c>
      <c r="H2498" s="43">
        <f>H2497+Учет!C2498-C2498</f>
        <v>336855</v>
      </c>
      <c r="I2498" s="43">
        <f>I2497+Учет!D2498-D2498</f>
        <v>500</v>
      </c>
      <c r="J2498" s="43">
        <f>J2497+Учет!E2498-E2498</f>
        <v>1150</v>
      </c>
      <c r="K2498" s="43">
        <f>K2497+Учет!F2498-F2498</f>
        <v>500000</v>
      </c>
      <c r="L2498" s="45">
        <f>Учет!I2498</f>
        <v>349526.07999999996</v>
      </c>
    </row>
    <row r="2499" spans="1:12" x14ac:dyDescent="0.25">
      <c r="A2499" s="48" t="str">
        <f>IF(Учет!A2499&lt;&gt;"",Учет!A2499,"")</f>
        <v/>
      </c>
      <c r="B2499" s="52">
        <f>IF(Учет!$O2499=Справочники!$F$2,Учет!$H2499,0)</f>
        <v>0</v>
      </c>
      <c r="C2499" s="52">
        <f>IF(Учет!$O2499=Справочники!$F$3,Учет!$H2499,0)</f>
        <v>0</v>
      </c>
      <c r="D2499" s="52">
        <f>IF(Учет!$O2499=Справочники!$F$4,Учет!$H2499,0)</f>
        <v>0</v>
      </c>
      <c r="E2499" s="52">
        <f>IF(Учет!$O2499=Справочники!$F$5,Учет!$H2499,0)</f>
        <v>0</v>
      </c>
      <c r="F2499" s="52">
        <f>IF(Учет!$O2499=Справочники!$F$6,Учет!$H2499,0)</f>
        <v>0</v>
      </c>
      <c r="G2499" s="43">
        <f>G2498+Учет!B2499-B2499</f>
        <v>-488978.92000000004</v>
      </c>
      <c r="H2499" s="43">
        <f>H2498+Учет!C2499-C2499</f>
        <v>336855</v>
      </c>
      <c r="I2499" s="43">
        <f>I2498+Учет!D2499-D2499</f>
        <v>500</v>
      </c>
      <c r="J2499" s="43">
        <f>J2498+Учет!E2499-E2499</f>
        <v>1150</v>
      </c>
      <c r="K2499" s="43">
        <f>K2498+Учет!F2499-F2499</f>
        <v>500000</v>
      </c>
      <c r="L2499" s="45">
        <f>Учет!I2499</f>
        <v>349526.07999999996</v>
      </c>
    </row>
    <row r="2500" spans="1:12" x14ac:dyDescent="0.25">
      <c r="A2500" s="48" t="str">
        <f>IF(Учет!A2500&lt;&gt;"",Учет!A2500,"")</f>
        <v/>
      </c>
      <c r="B2500" s="52">
        <f>IF(Учет!$O2500=Справочники!$F$2,Учет!$H2500,0)</f>
        <v>0</v>
      </c>
      <c r="C2500" s="52">
        <f>IF(Учет!$O2500=Справочники!$F$3,Учет!$H2500,0)</f>
        <v>0</v>
      </c>
      <c r="D2500" s="52">
        <f>IF(Учет!$O2500=Справочники!$F$4,Учет!$H2500,0)</f>
        <v>0</v>
      </c>
      <c r="E2500" s="52">
        <f>IF(Учет!$O2500=Справочники!$F$5,Учет!$H2500,0)</f>
        <v>0</v>
      </c>
      <c r="F2500" s="52">
        <f>IF(Учет!$O2500=Справочники!$F$6,Учет!$H2500,0)</f>
        <v>0</v>
      </c>
      <c r="G2500" s="43">
        <f>G2499+Учет!B2500-B2500</f>
        <v>-488978.92000000004</v>
      </c>
      <c r="H2500" s="43">
        <f>H2499+Учет!C2500-C2500</f>
        <v>336855</v>
      </c>
      <c r="I2500" s="43">
        <f>I2499+Учет!D2500-D2500</f>
        <v>500</v>
      </c>
      <c r="J2500" s="43">
        <f>J2499+Учет!E2500-E2500</f>
        <v>1150</v>
      </c>
      <c r="K2500" s="43">
        <f>K2499+Учет!F2500-F2500</f>
        <v>500000</v>
      </c>
      <c r="L2500" s="45">
        <f>Учет!I2500</f>
        <v>349526.07999999996</v>
      </c>
    </row>
    <row r="2501" spans="1:12" x14ac:dyDescent="0.25">
      <c r="A2501" s="48" t="str">
        <f>IF(Учет!A2501&lt;&gt;"",Учет!A2501,"")</f>
        <v/>
      </c>
      <c r="B2501" s="52">
        <f>IF(Учет!$O2501=Справочники!$F$2,Учет!$H2501,0)</f>
        <v>0</v>
      </c>
      <c r="C2501" s="52">
        <f>IF(Учет!$O2501=Справочники!$F$3,Учет!$H2501,0)</f>
        <v>0</v>
      </c>
      <c r="D2501" s="52">
        <f>IF(Учет!$O2501=Справочники!$F$4,Учет!$H2501,0)</f>
        <v>0</v>
      </c>
      <c r="E2501" s="52">
        <f>IF(Учет!$O2501=Справочники!$F$5,Учет!$H2501,0)</f>
        <v>0</v>
      </c>
      <c r="F2501" s="52">
        <f>IF(Учет!$O2501=Справочники!$F$6,Учет!$H2501,0)</f>
        <v>0</v>
      </c>
      <c r="G2501" s="43">
        <f>G2500+Учет!B2501-B2501</f>
        <v>-488978.92000000004</v>
      </c>
      <c r="H2501" s="43">
        <f>H2500+Учет!C2501-C2501</f>
        <v>336855</v>
      </c>
      <c r="I2501" s="43">
        <f>I2500+Учет!D2501-D2501</f>
        <v>500</v>
      </c>
      <c r="J2501" s="43">
        <f>J2500+Учет!E2501-E2501</f>
        <v>1150</v>
      </c>
      <c r="K2501" s="43">
        <f>K2500+Учет!F2501-F2501</f>
        <v>500000</v>
      </c>
      <c r="L2501" s="45">
        <f>Учет!I2501</f>
        <v>349526.07999999996</v>
      </c>
    </row>
    <row r="2502" spans="1:12" x14ac:dyDescent="0.25">
      <c r="A2502" s="48" t="str">
        <f>IF(Учет!A2502&lt;&gt;"",Учет!A2502,"")</f>
        <v/>
      </c>
      <c r="B2502" s="52">
        <f>IF(Учет!$O2502=Справочники!$F$2,Учет!$H2502,0)</f>
        <v>0</v>
      </c>
      <c r="C2502" s="52">
        <f>IF(Учет!$O2502=Справочники!$F$3,Учет!$H2502,0)</f>
        <v>0</v>
      </c>
      <c r="D2502" s="52">
        <f>IF(Учет!$O2502=Справочники!$F$4,Учет!$H2502,0)</f>
        <v>0</v>
      </c>
      <c r="E2502" s="52">
        <f>IF(Учет!$O2502=Справочники!$F$5,Учет!$H2502,0)</f>
        <v>0</v>
      </c>
      <c r="F2502" s="52">
        <f>IF(Учет!$O2502=Справочники!$F$6,Учет!$H2502,0)</f>
        <v>0</v>
      </c>
      <c r="G2502" s="43">
        <f>G2501+Учет!B2502-B2502</f>
        <v>-488978.92000000004</v>
      </c>
      <c r="H2502" s="43">
        <f>H2501+Учет!C2502-C2502</f>
        <v>336855</v>
      </c>
      <c r="I2502" s="43">
        <f>I2501+Учет!D2502-D2502</f>
        <v>500</v>
      </c>
      <c r="J2502" s="43">
        <f>J2501+Учет!E2502-E2502</f>
        <v>1150</v>
      </c>
      <c r="K2502" s="43">
        <f>K2501+Учет!F2502-F2502</f>
        <v>500000</v>
      </c>
      <c r="L2502" s="45">
        <f>Учет!I2502</f>
        <v>349526.07999999996</v>
      </c>
    </row>
    <row r="2503" spans="1:12" x14ac:dyDescent="0.25">
      <c r="A2503" s="48" t="str">
        <f>IF(Учет!A2503&lt;&gt;"",Учет!A2503,"")</f>
        <v/>
      </c>
      <c r="B2503" s="52">
        <f>IF(Учет!$O2503=Справочники!$F$2,Учет!$H2503,0)</f>
        <v>0</v>
      </c>
      <c r="C2503" s="52">
        <f>IF(Учет!$O2503=Справочники!$F$3,Учет!$H2503,0)</f>
        <v>0</v>
      </c>
      <c r="D2503" s="52">
        <f>IF(Учет!$O2503=Справочники!$F$4,Учет!$H2503,0)</f>
        <v>0</v>
      </c>
      <c r="E2503" s="52">
        <f>IF(Учет!$O2503=Справочники!$F$5,Учет!$H2503,0)</f>
        <v>0</v>
      </c>
      <c r="F2503" s="52">
        <f>IF(Учет!$O2503=Справочники!$F$6,Учет!$H2503,0)</f>
        <v>0</v>
      </c>
      <c r="G2503" s="43">
        <f>G2502+Учет!B2503-B2503</f>
        <v>-488978.92000000004</v>
      </c>
      <c r="H2503" s="43">
        <f>H2502+Учет!C2503-C2503</f>
        <v>336855</v>
      </c>
      <c r="I2503" s="43">
        <f>I2502+Учет!D2503-D2503</f>
        <v>500</v>
      </c>
      <c r="J2503" s="43">
        <f>J2502+Учет!E2503-E2503</f>
        <v>1150</v>
      </c>
      <c r="K2503" s="43">
        <f>K2502+Учет!F2503-F2503</f>
        <v>500000</v>
      </c>
      <c r="L2503" s="45">
        <f>Учет!I2503</f>
        <v>349526.07999999996</v>
      </c>
    </row>
    <row r="2504" spans="1:12" x14ac:dyDescent="0.25">
      <c r="A2504" s="48" t="str">
        <f>IF(Учет!A2504&lt;&gt;"",Учет!A2504,"")</f>
        <v/>
      </c>
      <c r="B2504" s="52">
        <f>IF(Учет!$O2504=Справочники!$F$2,Учет!$H2504,0)</f>
        <v>0</v>
      </c>
      <c r="C2504" s="52">
        <f>IF(Учет!$O2504=Справочники!$F$3,Учет!$H2504,0)</f>
        <v>0</v>
      </c>
      <c r="D2504" s="52">
        <f>IF(Учет!$O2504=Справочники!$F$4,Учет!$H2504,0)</f>
        <v>0</v>
      </c>
      <c r="E2504" s="52">
        <f>IF(Учет!$O2504=Справочники!$F$5,Учет!$H2504,0)</f>
        <v>0</v>
      </c>
      <c r="F2504" s="52">
        <f>IF(Учет!$O2504=Справочники!$F$6,Учет!$H2504,0)</f>
        <v>0</v>
      </c>
      <c r="G2504" s="43">
        <f>G2503+Учет!B2504-B2504</f>
        <v>-488978.92000000004</v>
      </c>
      <c r="H2504" s="43">
        <f>H2503+Учет!C2504-C2504</f>
        <v>336855</v>
      </c>
      <c r="I2504" s="43">
        <f>I2503+Учет!D2504-D2504</f>
        <v>500</v>
      </c>
      <c r="J2504" s="43">
        <f>J2503+Учет!E2504-E2504</f>
        <v>1150</v>
      </c>
      <c r="K2504" s="43">
        <f>K2503+Учет!F2504-F2504</f>
        <v>500000</v>
      </c>
      <c r="L2504" s="45">
        <f>Учет!I2504</f>
        <v>349526.07999999996</v>
      </c>
    </row>
    <row r="2505" spans="1:12" x14ac:dyDescent="0.25">
      <c r="A2505" s="48" t="str">
        <f>IF(Учет!A2505&lt;&gt;"",Учет!A2505,"")</f>
        <v/>
      </c>
      <c r="B2505" s="52">
        <f>IF(Учет!$O2505=Справочники!$F$2,Учет!$H2505,0)</f>
        <v>0</v>
      </c>
      <c r="C2505" s="52">
        <f>IF(Учет!$O2505=Справочники!$F$3,Учет!$H2505,0)</f>
        <v>0</v>
      </c>
      <c r="D2505" s="52">
        <f>IF(Учет!$O2505=Справочники!$F$4,Учет!$H2505,0)</f>
        <v>0</v>
      </c>
      <c r="E2505" s="52">
        <f>IF(Учет!$O2505=Справочники!$F$5,Учет!$H2505,0)</f>
        <v>0</v>
      </c>
      <c r="F2505" s="52">
        <f>IF(Учет!$O2505=Справочники!$F$6,Учет!$H2505,0)</f>
        <v>0</v>
      </c>
      <c r="G2505" s="43">
        <f>G2504+Учет!B2505-B2505</f>
        <v>-488978.92000000004</v>
      </c>
      <c r="H2505" s="43">
        <f>H2504+Учет!C2505-C2505</f>
        <v>336855</v>
      </c>
      <c r="I2505" s="43">
        <f>I2504+Учет!D2505-D2505</f>
        <v>500</v>
      </c>
      <c r="J2505" s="43">
        <f>J2504+Учет!E2505-E2505</f>
        <v>1150</v>
      </c>
      <c r="K2505" s="43">
        <f>K2504+Учет!F2505-F2505</f>
        <v>500000</v>
      </c>
      <c r="L2505" s="45">
        <f>Учет!I2505</f>
        <v>349526.07999999996</v>
      </c>
    </row>
    <row r="2506" spans="1:12" x14ac:dyDescent="0.25">
      <c r="A2506" s="48" t="str">
        <f>IF(Учет!A2506&lt;&gt;"",Учет!A2506,"")</f>
        <v/>
      </c>
      <c r="B2506" s="52">
        <f>IF(Учет!$O2506=Справочники!$F$2,Учет!$H2506,0)</f>
        <v>0</v>
      </c>
      <c r="C2506" s="52">
        <f>IF(Учет!$O2506=Справочники!$F$3,Учет!$H2506,0)</f>
        <v>0</v>
      </c>
      <c r="D2506" s="52">
        <f>IF(Учет!$O2506=Справочники!$F$4,Учет!$H2506,0)</f>
        <v>0</v>
      </c>
      <c r="E2506" s="52">
        <f>IF(Учет!$O2506=Справочники!$F$5,Учет!$H2506,0)</f>
        <v>0</v>
      </c>
      <c r="F2506" s="52">
        <f>IF(Учет!$O2506=Справочники!$F$6,Учет!$H2506,0)</f>
        <v>0</v>
      </c>
      <c r="G2506" s="43">
        <f>G2505+Учет!B2506-B2506</f>
        <v>-488978.92000000004</v>
      </c>
      <c r="H2506" s="43">
        <f>H2505+Учет!C2506-C2506</f>
        <v>336855</v>
      </c>
      <c r="I2506" s="43">
        <f>I2505+Учет!D2506-D2506</f>
        <v>500</v>
      </c>
      <c r="J2506" s="43">
        <f>J2505+Учет!E2506-E2506</f>
        <v>1150</v>
      </c>
      <c r="K2506" s="43">
        <f>K2505+Учет!F2506-F2506</f>
        <v>500000</v>
      </c>
      <c r="L2506" s="45">
        <f>Учет!I2506</f>
        <v>349526.07999999996</v>
      </c>
    </row>
    <row r="2507" spans="1:12" x14ac:dyDescent="0.25">
      <c r="A2507" s="48" t="str">
        <f>IF(Учет!A2507&lt;&gt;"",Учет!A2507,"")</f>
        <v/>
      </c>
      <c r="B2507" s="52">
        <f>IF(Учет!$O2507=Справочники!$F$2,Учет!$H2507,0)</f>
        <v>0</v>
      </c>
      <c r="C2507" s="52">
        <f>IF(Учет!$O2507=Справочники!$F$3,Учет!$H2507,0)</f>
        <v>0</v>
      </c>
      <c r="D2507" s="52">
        <f>IF(Учет!$O2507=Справочники!$F$4,Учет!$H2507,0)</f>
        <v>0</v>
      </c>
      <c r="E2507" s="52">
        <f>IF(Учет!$O2507=Справочники!$F$5,Учет!$H2507,0)</f>
        <v>0</v>
      </c>
      <c r="F2507" s="52">
        <f>IF(Учет!$O2507=Справочники!$F$6,Учет!$H2507,0)</f>
        <v>0</v>
      </c>
      <c r="G2507" s="43">
        <f>G2506+Учет!B2507-B2507</f>
        <v>-488978.92000000004</v>
      </c>
      <c r="H2507" s="43">
        <f>H2506+Учет!C2507-C2507</f>
        <v>336855</v>
      </c>
      <c r="I2507" s="43">
        <f>I2506+Учет!D2507-D2507</f>
        <v>500</v>
      </c>
      <c r="J2507" s="43">
        <f>J2506+Учет!E2507-E2507</f>
        <v>1150</v>
      </c>
      <c r="K2507" s="43">
        <f>K2506+Учет!F2507-F2507</f>
        <v>500000</v>
      </c>
      <c r="L2507" s="45">
        <f>Учет!I2507</f>
        <v>349526.07999999996</v>
      </c>
    </row>
    <row r="2508" spans="1:12" x14ac:dyDescent="0.25">
      <c r="A2508" s="48" t="str">
        <f>IF(Учет!A2508&lt;&gt;"",Учет!A2508,"")</f>
        <v/>
      </c>
      <c r="B2508" s="52">
        <f>IF(Учет!$O2508=Справочники!$F$2,Учет!$H2508,0)</f>
        <v>0</v>
      </c>
      <c r="C2508" s="52">
        <f>IF(Учет!$O2508=Справочники!$F$3,Учет!$H2508,0)</f>
        <v>0</v>
      </c>
      <c r="D2508" s="52">
        <f>IF(Учет!$O2508=Справочники!$F$4,Учет!$H2508,0)</f>
        <v>0</v>
      </c>
      <c r="E2508" s="52">
        <f>IF(Учет!$O2508=Справочники!$F$5,Учет!$H2508,0)</f>
        <v>0</v>
      </c>
      <c r="F2508" s="52">
        <f>IF(Учет!$O2508=Справочники!$F$6,Учет!$H2508,0)</f>
        <v>0</v>
      </c>
      <c r="G2508" s="43">
        <f>G2507+Учет!B2508-B2508</f>
        <v>-488978.92000000004</v>
      </c>
      <c r="H2508" s="43">
        <f>H2507+Учет!C2508-C2508</f>
        <v>336855</v>
      </c>
      <c r="I2508" s="43">
        <f>I2507+Учет!D2508-D2508</f>
        <v>500</v>
      </c>
      <c r="J2508" s="43">
        <f>J2507+Учет!E2508-E2508</f>
        <v>1150</v>
      </c>
      <c r="K2508" s="43">
        <f>K2507+Учет!F2508-F2508</f>
        <v>500000</v>
      </c>
      <c r="L2508" s="45">
        <f>Учет!I2508</f>
        <v>349526.07999999996</v>
      </c>
    </row>
    <row r="2509" spans="1:12" x14ac:dyDescent="0.25">
      <c r="A2509" s="48" t="str">
        <f>IF(Учет!A2509&lt;&gt;"",Учет!A2509,"")</f>
        <v/>
      </c>
      <c r="B2509" s="52">
        <f>IF(Учет!$O2509=Справочники!$F$2,Учет!$H2509,0)</f>
        <v>0</v>
      </c>
      <c r="C2509" s="52">
        <f>IF(Учет!$O2509=Справочники!$F$3,Учет!$H2509,0)</f>
        <v>0</v>
      </c>
      <c r="D2509" s="52">
        <f>IF(Учет!$O2509=Справочники!$F$4,Учет!$H2509,0)</f>
        <v>0</v>
      </c>
      <c r="E2509" s="52">
        <f>IF(Учет!$O2509=Справочники!$F$5,Учет!$H2509,0)</f>
        <v>0</v>
      </c>
      <c r="F2509" s="52">
        <f>IF(Учет!$O2509=Справочники!$F$6,Учет!$H2509,0)</f>
        <v>0</v>
      </c>
      <c r="G2509" s="43">
        <f>G2508+Учет!B2509-B2509</f>
        <v>-488978.92000000004</v>
      </c>
      <c r="H2509" s="43">
        <f>H2508+Учет!C2509-C2509</f>
        <v>336855</v>
      </c>
      <c r="I2509" s="43">
        <f>I2508+Учет!D2509-D2509</f>
        <v>500</v>
      </c>
      <c r="J2509" s="43">
        <f>J2508+Учет!E2509-E2509</f>
        <v>1150</v>
      </c>
      <c r="K2509" s="43">
        <f>K2508+Учет!F2509-F2509</f>
        <v>500000</v>
      </c>
      <c r="L2509" s="45">
        <f>Учет!I2509</f>
        <v>349526.07999999996</v>
      </c>
    </row>
    <row r="2510" spans="1:12" x14ac:dyDescent="0.25">
      <c r="A2510" s="48" t="str">
        <f>IF(Учет!A2510&lt;&gt;"",Учет!A2510,"")</f>
        <v/>
      </c>
      <c r="B2510" s="52">
        <f>IF(Учет!$O2510=Справочники!$F$2,Учет!$H2510,0)</f>
        <v>0</v>
      </c>
      <c r="C2510" s="52">
        <f>IF(Учет!$O2510=Справочники!$F$3,Учет!$H2510,0)</f>
        <v>0</v>
      </c>
      <c r="D2510" s="52">
        <f>IF(Учет!$O2510=Справочники!$F$4,Учет!$H2510,0)</f>
        <v>0</v>
      </c>
      <c r="E2510" s="52">
        <f>IF(Учет!$O2510=Справочники!$F$5,Учет!$H2510,0)</f>
        <v>0</v>
      </c>
      <c r="F2510" s="52">
        <f>IF(Учет!$O2510=Справочники!$F$6,Учет!$H2510,0)</f>
        <v>0</v>
      </c>
      <c r="G2510" s="43">
        <f>G2509+Учет!B2510-B2510</f>
        <v>-488978.92000000004</v>
      </c>
      <c r="H2510" s="43">
        <f>H2509+Учет!C2510-C2510</f>
        <v>336855</v>
      </c>
      <c r="I2510" s="43">
        <f>I2509+Учет!D2510-D2510</f>
        <v>500</v>
      </c>
      <c r="J2510" s="43">
        <f>J2509+Учет!E2510-E2510</f>
        <v>1150</v>
      </c>
      <c r="K2510" s="43">
        <f>K2509+Учет!F2510-F2510</f>
        <v>500000</v>
      </c>
      <c r="L2510" s="45">
        <f>Учет!I2510</f>
        <v>349526.07999999996</v>
      </c>
    </row>
    <row r="2511" spans="1:12" x14ac:dyDescent="0.25">
      <c r="A2511" s="48" t="str">
        <f>IF(Учет!A2511&lt;&gt;"",Учет!A2511,"")</f>
        <v/>
      </c>
      <c r="B2511" s="52">
        <f>IF(Учет!$O2511=Справочники!$F$2,Учет!$H2511,0)</f>
        <v>0</v>
      </c>
      <c r="C2511" s="52">
        <f>IF(Учет!$O2511=Справочники!$F$3,Учет!$H2511,0)</f>
        <v>0</v>
      </c>
      <c r="D2511" s="52">
        <f>IF(Учет!$O2511=Справочники!$F$4,Учет!$H2511,0)</f>
        <v>0</v>
      </c>
      <c r="E2511" s="52">
        <f>IF(Учет!$O2511=Справочники!$F$5,Учет!$H2511,0)</f>
        <v>0</v>
      </c>
      <c r="F2511" s="52">
        <f>IF(Учет!$O2511=Справочники!$F$6,Учет!$H2511,0)</f>
        <v>0</v>
      </c>
      <c r="G2511" s="43">
        <f>G2510+Учет!B2511-B2511</f>
        <v>-488978.92000000004</v>
      </c>
      <c r="H2511" s="43">
        <f>H2510+Учет!C2511-C2511</f>
        <v>336855</v>
      </c>
      <c r="I2511" s="43">
        <f>I2510+Учет!D2511-D2511</f>
        <v>500</v>
      </c>
      <c r="J2511" s="43">
        <f>J2510+Учет!E2511-E2511</f>
        <v>1150</v>
      </c>
      <c r="K2511" s="43">
        <f>K2510+Учет!F2511-F2511</f>
        <v>500000</v>
      </c>
      <c r="L2511" s="45">
        <f>Учет!I2511</f>
        <v>349526.07999999996</v>
      </c>
    </row>
    <row r="2512" spans="1:12" x14ac:dyDescent="0.25">
      <c r="A2512" s="48" t="str">
        <f>IF(Учет!A2512&lt;&gt;"",Учет!A2512,"")</f>
        <v/>
      </c>
      <c r="B2512" s="52">
        <f>IF(Учет!$O2512=Справочники!$F$2,Учет!$H2512,0)</f>
        <v>0</v>
      </c>
      <c r="C2512" s="52">
        <f>IF(Учет!$O2512=Справочники!$F$3,Учет!$H2512,0)</f>
        <v>0</v>
      </c>
      <c r="D2512" s="52">
        <f>IF(Учет!$O2512=Справочники!$F$4,Учет!$H2512,0)</f>
        <v>0</v>
      </c>
      <c r="E2512" s="52">
        <f>IF(Учет!$O2512=Справочники!$F$5,Учет!$H2512,0)</f>
        <v>0</v>
      </c>
      <c r="F2512" s="52">
        <f>IF(Учет!$O2512=Справочники!$F$6,Учет!$H2512,0)</f>
        <v>0</v>
      </c>
      <c r="G2512" s="43">
        <f>G2511+Учет!B2512-B2512</f>
        <v>-488978.92000000004</v>
      </c>
      <c r="H2512" s="43">
        <f>H2511+Учет!C2512-C2512</f>
        <v>336855</v>
      </c>
      <c r="I2512" s="43">
        <f>I2511+Учет!D2512-D2512</f>
        <v>500</v>
      </c>
      <c r="J2512" s="43">
        <f>J2511+Учет!E2512-E2512</f>
        <v>1150</v>
      </c>
      <c r="K2512" s="43">
        <f>K2511+Учет!F2512-F2512</f>
        <v>500000</v>
      </c>
      <c r="L2512" s="45">
        <f>Учет!I2512</f>
        <v>349526.07999999996</v>
      </c>
    </row>
    <row r="2513" spans="1:12" x14ac:dyDescent="0.25">
      <c r="A2513" s="48" t="str">
        <f>IF(Учет!A2513&lt;&gt;"",Учет!A2513,"")</f>
        <v/>
      </c>
      <c r="B2513" s="52">
        <f>IF(Учет!$O2513=Справочники!$F$2,Учет!$H2513,0)</f>
        <v>0</v>
      </c>
      <c r="C2513" s="52">
        <f>IF(Учет!$O2513=Справочники!$F$3,Учет!$H2513,0)</f>
        <v>0</v>
      </c>
      <c r="D2513" s="52">
        <f>IF(Учет!$O2513=Справочники!$F$4,Учет!$H2513,0)</f>
        <v>0</v>
      </c>
      <c r="E2513" s="52">
        <f>IF(Учет!$O2513=Справочники!$F$5,Учет!$H2513,0)</f>
        <v>0</v>
      </c>
      <c r="F2513" s="52">
        <f>IF(Учет!$O2513=Справочники!$F$6,Учет!$H2513,0)</f>
        <v>0</v>
      </c>
      <c r="G2513" s="43">
        <f>G2512+Учет!B2513-B2513</f>
        <v>-488978.92000000004</v>
      </c>
      <c r="H2513" s="43">
        <f>H2512+Учет!C2513-C2513</f>
        <v>336855</v>
      </c>
      <c r="I2513" s="43">
        <f>I2512+Учет!D2513-D2513</f>
        <v>500</v>
      </c>
      <c r="J2513" s="43">
        <f>J2512+Учет!E2513-E2513</f>
        <v>1150</v>
      </c>
      <c r="K2513" s="43">
        <f>K2512+Учет!F2513-F2513</f>
        <v>500000</v>
      </c>
      <c r="L2513" s="45">
        <f>Учет!I2513</f>
        <v>349526.07999999996</v>
      </c>
    </row>
    <row r="2514" spans="1:12" x14ac:dyDescent="0.25">
      <c r="A2514" s="48" t="str">
        <f>IF(Учет!A2514&lt;&gt;"",Учет!A2514,"")</f>
        <v/>
      </c>
      <c r="B2514" s="52">
        <f>IF(Учет!$O2514=Справочники!$F$2,Учет!$H2514,0)</f>
        <v>0</v>
      </c>
      <c r="C2514" s="52">
        <f>IF(Учет!$O2514=Справочники!$F$3,Учет!$H2514,0)</f>
        <v>0</v>
      </c>
      <c r="D2514" s="52">
        <f>IF(Учет!$O2514=Справочники!$F$4,Учет!$H2514,0)</f>
        <v>0</v>
      </c>
      <c r="E2514" s="52">
        <f>IF(Учет!$O2514=Справочники!$F$5,Учет!$H2514,0)</f>
        <v>0</v>
      </c>
      <c r="F2514" s="52">
        <f>IF(Учет!$O2514=Справочники!$F$6,Учет!$H2514,0)</f>
        <v>0</v>
      </c>
      <c r="G2514" s="43">
        <f>G2513+Учет!B2514-B2514</f>
        <v>-488978.92000000004</v>
      </c>
      <c r="H2514" s="43">
        <f>H2513+Учет!C2514-C2514</f>
        <v>336855</v>
      </c>
      <c r="I2514" s="43">
        <f>I2513+Учет!D2514-D2514</f>
        <v>500</v>
      </c>
      <c r="J2514" s="43">
        <f>J2513+Учет!E2514-E2514</f>
        <v>1150</v>
      </c>
      <c r="K2514" s="43">
        <f>K2513+Учет!F2514-F2514</f>
        <v>500000</v>
      </c>
      <c r="L2514" s="45">
        <f>Учет!I2514</f>
        <v>349526.07999999996</v>
      </c>
    </row>
    <row r="2515" spans="1:12" x14ac:dyDescent="0.25">
      <c r="A2515" s="48" t="str">
        <f>IF(Учет!A2515&lt;&gt;"",Учет!A2515,"")</f>
        <v/>
      </c>
      <c r="B2515" s="52">
        <f>IF(Учет!$O2515=Справочники!$F$2,Учет!$H2515,0)</f>
        <v>0</v>
      </c>
      <c r="C2515" s="52">
        <f>IF(Учет!$O2515=Справочники!$F$3,Учет!$H2515,0)</f>
        <v>0</v>
      </c>
      <c r="D2515" s="52">
        <f>IF(Учет!$O2515=Справочники!$F$4,Учет!$H2515,0)</f>
        <v>0</v>
      </c>
      <c r="E2515" s="52">
        <f>IF(Учет!$O2515=Справочники!$F$5,Учет!$H2515,0)</f>
        <v>0</v>
      </c>
      <c r="F2515" s="52">
        <f>IF(Учет!$O2515=Справочники!$F$6,Учет!$H2515,0)</f>
        <v>0</v>
      </c>
      <c r="G2515" s="43">
        <f>G2514+Учет!B2515-B2515</f>
        <v>-488978.92000000004</v>
      </c>
      <c r="H2515" s="43">
        <f>H2514+Учет!C2515-C2515</f>
        <v>336855</v>
      </c>
      <c r="I2515" s="43">
        <f>I2514+Учет!D2515-D2515</f>
        <v>500</v>
      </c>
      <c r="J2515" s="43">
        <f>J2514+Учет!E2515-E2515</f>
        <v>1150</v>
      </c>
      <c r="K2515" s="43">
        <f>K2514+Учет!F2515-F2515</f>
        <v>500000</v>
      </c>
      <c r="L2515" s="45">
        <f>Учет!I2515</f>
        <v>349526.07999999996</v>
      </c>
    </row>
    <row r="2516" spans="1:12" x14ac:dyDescent="0.25">
      <c r="A2516" s="48" t="str">
        <f>IF(Учет!A2516&lt;&gt;"",Учет!A2516,"")</f>
        <v/>
      </c>
      <c r="B2516" s="52">
        <f>IF(Учет!$O2516=Справочники!$F$2,Учет!$H2516,0)</f>
        <v>0</v>
      </c>
      <c r="C2516" s="52">
        <f>IF(Учет!$O2516=Справочники!$F$3,Учет!$H2516,0)</f>
        <v>0</v>
      </c>
      <c r="D2516" s="52">
        <f>IF(Учет!$O2516=Справочники!$F$4,Учет!$H2516,0)</f>
        <v>0</v>
      </c>
      <c r="E2516" s="52">
        <f>IF(Учет!$O2516=Справочники!$F$5,Учет!$H2516,0)</f>
        <v>0</v>
      </c>
      <c r="F2516" s="52">
        <f>IF(Учет!$O2516=Справочники!$F$6,Учет!$H2516,0)</f>
        <v>0</v>
      </c>
      <c r="G2516" s="43">
        <f>G2515+Учет!B2516-B2516</f>
        <v>-488978.92000000004</v>
      </c>
      <c r="H2516" s="43">
        <f>H2515+Учет!C2516-C2516</f>
        <v>336855</v>
      </c>
      <c r="I2516" s="43">
        <f>I2515+Учет!D2516-D2516</f>
        <v>500</v>
      </c>
      <c r="J2516" s="43">
        <f>J2515+Учет!E2516-E2516</f>
        <v>1150</v>
      </c>
      <c r="K2516" s="43">
        <f>K2515+Учет!F2516-F2516</f>
        <v>500000</v>
      </c>
      <c r="L2516" s="45">
        <f>Учет!I2516</f>
        <v>349526.07999999996</v>
      </c>
    </row>
    <row r="2517" spans="1:12" x14ac:dyDescent="0.25">
      <c r="A2517" s="48" t="str">
        <f>IF(Учет!A2517&lt;&gt;"",Учет!A2517,"")</f>
        <v/>
      </c>
      <c r="B2517" s="52">
        <f>IF(Учет!$O2517=Справочники!$F$2,Учет!$H2517,0)</f>
        <v>0</v>
      </c>
      <c r="C2517" s="52">
        <f>IF(Учет!$O2517=Справочники!$F$3,Учет!$H2517,0)</f>
        <v>0</v>
      </c>
      <c r="D2517" s="52">
        <f>IF(Учет!$O2517=Справочники!$F$4,Учет!$H2517,0)</f>
        <v>0</v>
      </c>
      <c r="E2517" s="52">
        <f>IF(Учет!$O2517=Справочники!$F$5,Учет!$H2517,0)</f>
        <v>0</v>
      </c>
      <c r="F2517" s="52">
        <f>IF(Учет!$O2517=Справочники!$F$6,Учет!$H2517,0)</f>
        <v>0</v>
      </c>
      <c r="G2517" s="43">
        <f>G2516+Учет!B2517-B2517</f>
        <v>-488978.92000000004</v>
      </c>
      <c r="H2517" s="43">
        <f>H2516+Учет!C2517-C2517</f>
        <v>336855</v>
      </c>
      <c r="I2517" s="43">
        <f>I2516+Учет!D2517-D2517</f>
        <v>500</v>
      </c>
      <c r="J2517" s="43">
        <f>J2516+Учет!E2517-E2517</f>
        <v>1150</v>
      </c>
      <c r="K2517" s="43">
        <f>K2516+Учет!F2517-F2517</f>
        <v>500000</v>
      </c>
      <c r="L2517" s="45">
        <f>Учет!I2517</f>
        <v>349526.07999999996</v>
      </c>
    </row>
    <row r="2518" spans="1:12" x14ac:dyDescent="0.25">
      <c r="A2518" s="48" t="str">
        <f>IF(Учет!A2518&lt;&gt;"",Учет!A2518,"")</f>
        <v/>
      </c>
      <c r="B2518" s="52">
        <f>IF(Учет!$O2518=Справочники!$F$2,Учет!$H2518,0)</f>
        <v>0</v>
      </c>
      <c r="C2518" s="52">
        <f>IF(Учет!$O2518=Справочники!$F$3,Учет!$H2518,0)</f>
        <v>0</v>
      </c>
      <c r="D2518" s="52">
        <f>IF(Учет!$O2518=Справочники!$F$4,Учет!$H2518,0)</f>
        <v>0</v>
      </c>
      <c r="E2518" s="52">
        <f>IF(Учет!$O2518=Справочники!$F$5,Учет!$H2518,0)</f>
        <v>0</v>
      </c>
      <c r="F2518" s="52">
        <f>IF(Учет!$O2518=Справочники!$F$6,Учет!$H2518,0)</f>
        <v>0</v>
      </c>
      <c r="G2518" s="43">
        <f>G2517+Учет!B2518-B2518</f>
        <v>-488978.92000000004</v>
      </c>
      <c r="H2518" s="43">
        <f>H2517+Учет!C2518-C2518</f>
        <v>336855</v>
      </c>
      <c r="I2518" s="43">
        <f>I2517+Учет!D2518-D2518</f>
        <v>500</v>
      </c>
      <c r="J2518" s="43">
        <f>J2517+Учет!E2518-E2518</f>
        <v>1150</v>
      </c>
      <c r="K2518" s="43">
        <f>K2517+Учет!F2518-F2518</f>
        <v>500000</v>
      </c>
      <c r="L2518" s="45">
        <f>Учет!I2518</f>
        <v>349526.07999999996</v>
      </c>
    </row>
    <row r="2519" spans="1:12" x14ac:dyDescent="0.25">
      <c r="A2519" s="48" t="str">
        <f>IF(Учет!A2519&lt;&gt;"",Учет!A2519,"")</f>
        <v/>
      </c>
      <c r="B2519" s="52">
        <f>IF(Учет!$O2519=Справочники!$F$2,Учет!$H2519,0)</f>
        <v>0</v>
      </c>
      <c r="C2519" s="52">
        <f>IF(Учет!$O2519=Справочники!$F$3,Учет!$H2519,0)</f>
        <v>0</v>
      </c>
      <c r="D2519" s="52">
        <f>IF(Учет!$O2519=Справочники!$F$4,Учет!$H2519,0)</f>
        <v>0</v>
      </c>
      <c r="E2519" s="52">
        <f>IF(Учет!$O2519=Справочники!$F$5,Учет!$H2519,0)</f>
        <v>0</v>
      </c>
      <c r="F2519" s="52">
        <f>IF(Учет!$O2519=Справочники!$F$6,Учет!$H2519,0)</f>
        <v>0</v>
      </c>
      <c r="G2519" s="43">
        <f>G2518+Учет!B2519-B2519</f>
        <v>-488978.92000000004</v>
      </c>
      <c r="H2519" s="43">
        <f>H2518+Учет!C2519-C2519</f>
        <v>336855</v>
      </c>
      <c r="I2519" s="43">
        <f>I2518+Учет!D2519-D2519</f>
        <v>500</v>
      </c>
      <c r="J2519" s="43">
        <f>J2518+Учет!E2519-E2519</f>
        <v>1150</v>
      </c>
      <c r="K2519" s="43">
        <f>K2518+Учет!F2519-F2519</f>
        <v>500000</v>
      </c>
      <c r="L2519" s="45">
        <f>Учет!I2519</f>
        <v>349526.07999999996</v>
      </c>
    </row>
    <row r="2520" spans="1:12" x14ac:dyDescent="0.25">
      <c r="A2520" s="48" t="str">
        <f>IF(Учет!A2520&lt;&gt;"",Учет!A2520,"")</f>
        <v/>
      </c>
      <c r="B2520" s="52">
        <f>IF(Учет!$O2520=Справочники!$F$2,Учет!$H2520,0)</f>
        <v>0</v>
      </c>
      <c r="C2520" s="52">
        <f>IF(Учет!$O2520=Справочники!$F$3,Учет!$H2520,0)</f>
        <v>0</v>
      </c>
      <c r="D2520" s="52">
        <f>IF(Учет!$O2520=Справочники!$F$4,Учет!$H2520,0)</f>
        <v>0</v>
      </c>
      <c r="E2520" s="52">
        <f>IF(Учет!$O2520=Справочники!$F$5,Учет!$H2520,0)</f>
        <v>0</v>
      </c>
      <c r="F2520" s="52">
        <f>IF(Учет!$O2520=Справочники!$F$6,Учет!$H2520,0)</f>
        <v>0</v>
      </c>
      <c r="G2520" s="43">
        <f>G2519+Учет!B2520-B2520</f>
        <v>-488978.92000000004</v>
      </c>
      <c r="H2520" s="43">
        <f>H2519+Учет!C2520-C2520</f>
        <v>336855</v>
      </c>
      <c r="I2520" s="43">
        <f>I2519+Учет!D2520-D2520</f>
        <v>500</v>
      </c>
      <c r="J2520" s="43">
        <f>J2519+Учет!E2520-E2520</f>
        <v>1150</v>
      </c>
      <c r="K2520" s="43">
        <f>K2519+Учет!F2520-F2520</f>
        <v>500000</v>
      </c>
      <c r="L2520" s="45">
        <f>Учет!I2520</f>
        <v>349526.07999999996</v>
      </c>
    </row>
    <row r="2521" spans="1:12" x14ac:dyDescent="0.25">
      <c r="A2521" s="48" t="str">
        <f>IF(Учет!A2521&lt;&gt;"",Учет!A2521,"")</f>
        <v/>
      </c>
      <c r="B2521" s="52">
        <f>IF(Учет!$O2521=Справочники!$F$2,Учет!$H2521,0)</f>
        <v>0</v>
      </c>
      <c r="C2521" s="52">
        <f>IF(Учет!$O2521=Справочники!$F$3,Учет!$H2521,0)</f>
        <v>0</v>
      </c>
      <c r="D2521" s="52">
        <f>IF(Учет!$O2521=Справочники!$F$4,Учет!$H2521,0)</f>
        <v>0</v>
      </c>
      <c r="E2521" s="52">
        <f>IF(Учет!$O2521=Справочники!$F$5,Учет!$H2521,0)</f>
        <v>0</v>
      </c>
      <c r="F2521" s="52">
        <f>IF(Учет!$O2521=Справочники!$F$6,Учет!$H2521,0)</f>
        <v>0</v>
      </c>
      <c r="G2521" s="43">
        <f>G2520+Учет!B2521-B2521</f>
        <v>-488978.92000000004</v>
      </c>
      <c r="H2521" s="43">
        <f>H2520+Учет!C2521-C2521</f>
        <v>336855</v>
      </c>
      <c r="I2521" s="43">
        <f>I2520+Учет!D2521-D2521</f>
        <v>500</v>
      </c>
      <c r="J2521" s="43">
        <f>J2520+Учет!E2521-E2521</f>
        <v>1150</v>
      </c>
      <c r="K2521" s="43">
        <f>K2520+Учет!F2521-F2521</f>
        <v>500000</v>
      </c>
      <c r="L2521" s="45">
        <f>Учет!I2521</f>
        <v>349526.07999999996</v>
      </c>
    </row>
    <row r="2522" spans="1:12" x14ac:dyDescent="0.25">
      <c r="A2522" s="48" t="str">
        <f>IF(Учет!A2522&lt;&gt;"",Учет!A2522,"")</f>
        <v/>
      </c>
      <c r="B2522" s="52">
        <f>IF(Учет!$O2522=Справочники!$F$2,Учет!$H2522,0)</f>
        <v>0</v>
      </c>
      <c r="C2522" s="52">
        <f>IF(Учет!$O2522=Справочники!$F$3,Учет!$H2522,0)</f>
        <v>0</v>
      </c>
      <c r="D2522" s="52">
        <f>IF(Учет!$O2522=Справочники!$F$4,Учет!$H2522,0)</f>
        <v>0</v>
      </c>
      <c r="E2522" s="52">
        <f>IF(Учет!$O2522=Справочники!$F$5,Учет!$H2522,0)</f>
        <v>0</v>
      </c>
      <c r="F2522" s="52">
        <f>IF(Учет!$O2522=Справочники!$F$6,Учет!$H2522,0)</f>
        <v>0</v>
      </c>
      <c r="G2522" s="43">
        <f>G2521+Учет!B2522-B2522</f>
        <v>-488978.92000000004</v>
      </c>
      <c r="H2522" s="43">
        <f>H2521+Учет!C2522-C2522</f>
        <v>336855</v>
      </c>
      <c r="I2522" s="43">
        <f>I2521+Учет!D2522-D2522</f>
        <v>500</v>
      </c>
      <c r="J2522" s="43">
        <f>J2521+Учет!E2522-E2522</f>
        <v>1150</v>
      </c>
      <c r="K2522" s="43">
        <f>K2521+Учет!F2522-F2522</f>
        <v>500000</v>
      </c>
      <c r="L2522" s="45">
        <f>Учет!I2522</f>
        <v>349526.07999999996</v>
      </c>
    </row>
    <row r="2523" spans="1:12" x14ac:dyDescent="0.25">
      <c r="A2523" s="48" t="str">
        <f>IF(Учет!A2523&lt;&gt;"",Учет!A2523,"")</f>
        <v/>
      </c>
      <c r="B2523" s="52">
        <f>IF(Учет!$O2523=Справочники!$F$2,Учет!$H2523,0)</f>
        <v>0</v>
      </c>
      <c r="C2523" s="52">
        <f>IF(Учет!$O2523=Справочники!$F$3,Учет!$H2523,0)</f>
        <v>0</v>
      </c>
      <c r="D2523" s="52">
        <f>IF(Учет!$O2523=Справочники!$F$4,Учет!$H2523,0)</f>
        <v>0</v>
      </c>
      <c r="E2523" s="52">
        <f>IF(Учет!$O2523=Справочники!$F$5,Учет!$H2523,0)</f>
        <v>0</v>
      </c>
      <c r="F2523" s="52">
        <f>IF(Учет!$O2523=Справочники!$F$6,Учет!$H2523,0)</f>
        <v>0</v>
      </c>
      <c r="G2523" s="43">
        <f>G2522+Учет!B2523-B2523</f>
        <v>-488978.92000000004</v>
      </c>
      <c r="H2523" s="43">
        <f>H2522+Учет!C2523-C2523</f>
        <v>336855</v>
      </c>
      <c r="I2523" s="43">
        <f>I2522+Учет!D2523-D2523</f>
        <v>500</v>
      </c>
      <c r="J2523" s="43">
        <f>J2522+Учет!E2523-E2523</f>
        <v>1150</v>
      </c>
      <c r="K2523" s="43">
        <f>K2522+Учет!F2523-F2523</f>
        <v>500000</v>
      </c>
      <c r="L2523" s="45">
        <f>Учет!I2523</f>
        <v>349526.07999999996</v>
      </c>
    </row>
    <row r="2524" spans="1:12" x14ac:dyDescent="0.25">
      <c r="A2524" s="48" t="str">
        <f>IF(Учет!A2524&lt;&gt;"",Учет!A2524,"")</f>
        <v/>
      </c>
      <c r="B2524" s="52">
        <f>IF(Учет!$O2524=Справочники!$F$2,Учет!$H2524,0)</f>
        <v>0</v>
      </c>
      <c r="C2524" s="52">
        <f>IF(Учет!$O2524=Справочники!$F$3,Учет!$H2524,0)</f>
        <v>0</v>
      </c>
      <c r="D2524" s="52">
        <f>IF(Учет!$O2524=Справочники!$F$4,Учет!$H2524,0)</f>
        <v>0</v>
      </c>
      <c r="E2524" s="52">
        <f>IF(Учет!$O2524=Справочники!$F$5,Учет!$H2524,0)</f>
        <v>0</v>
      </c>
      <c r="F2524" s="52">
        <f>IF(Учет!$O2524=Справочники!$F$6,Учет!$H2524,0)</f>
        <v>0</v>
      </c>
      <c r="G2524" s="43">
        <f>G2523+Учет!B2524-B2524</f>
        <v>-488978.92000000004</v>
      </c>
      <c r="H2524" s="43">
        <f>H2523+Учет!C2524-C2524</f>
        <v>336855</v>
      </c>
      <c r="I2524" s="43">
        <f>I2523+Учет!D2524-D2524</f>
        <v>500</v>
      </c>
      <c r="J2524" s="43">
        <f>J2523+Учет!E2524-E2524</f>
        <v>1150</v>
      </c>
      <c r="K2524" s="43">
        <f>K2523+Учет!F2524-F2524</f>
        <v>500000</v>
      </c>
      <c r="L2524" s="45">
        <f>Учет!I2524</f>
        <v>349526.07999999996</v>
      </c>
    </row>
    <row r="2525" spans="1:12" x14ac:dyDescent="0.25">
      <c r="A2525" s="48" t="str">
        <f>IF(Учет!A2525&lt;&gt;"",Учет!A2525,"")</f>
        <v/>
      </c>
      <c r="B2525" s="52">
        <f>IF(Учет!$O2525=Справочники!$F$2,Учет!$H2525,0)</f>
        <v>0</v>
      </c>
      <c r="C2525" s="52">
        <f>IF(Учет!$O2525=Справочники!$F$3,Учет!$H2525,0)</f>
        <v>0</v>
      </c>
      <c r="D2525" s="52">
        <f>IF(Учет!$O2525=Справочники!$F$4,Учет!$H2525,0)</f>
        <v>0</v>
      </c>
      <c r="E2525" s="52">
        <f>IF(Учет!$O2525=Справочники!$F$5,Учет!$H2525,0)</f>
        <v>0</v>
      </c>
      <c r="F2525" s="52">
        <f>IF(Учет!$O2525=Справочники!$F$6,Учет!$H2525,0)</f>
        <v>0</v>
      </c>
      <c r="G2525" s="43">
        <f>G2524+Учет!B2525-B2525</f>
        <v>-488978.92000000004</v>
      </c>
      <c r="H2525" s="43">
        <f>H2524+Учет!C2525-C2525</f>
        <v>336855</v>
      </c>
      <c r="I2525" s="43">
        <f>I2524+Учет!D2525-D2525</f>
        <v>500</v>
      </c>
      <c r="J2525" s="43">
        <f>J2524+Учет!E2525-E2525</f>
        <v>1150</v>
      </c>
      <c r="K2525" s="43">
        <f>K2524+Учет!F2525-F2525</f>
        <v>500000</v>
      </c>
      <c r="L2525" s="45">
        <f>Учет!I2525</f>
        <v>349526.07999999996</v>
      </c>
    </row>
    <row r="2526" spans="1:12" x14ac:dyDescent="0.25">
      <c r="A2526" s="48" t="str">
        <f>IF(Учет!A2526&lt;&gt;"",Учет!A2526,"")</f>
        <v/>
      </c>
      <c r="B2526" s="52">
        <f>IF(Учет!$O2526=Справочники!$F$2,Учет!$H2526,0)</f>
        <v>0</v>
      </c>
      <c r="C2526" s="52">
        <f>IF(Учет!$O2526=Справочники!$F$3,Учет!$H2526,0)</f>
        <v>0</v>
      </c>
      <c r="D2526" s="52">
        <f>IF(Учет!$O2526=Справочники!$F$4,Учет!$H2526,0)</f>
        <v>0</v>
      </c>
      <c r="E2526" s="52">
        <f>IF(Учет!$O2526=Справочники!$F$5,Учет!$H2526,0)</f>
        <v>0</v>
      </c>
      <c r="F2526" s="52">
        <f>IF(Учет!$O2526=Справочники!$F$6,Учет!$H2526,0)</f>
        <v>0</v>
      </c>
      <c r="G2526" s="43">
        <f>G2525+Учет!B2526-B2526</f>
        <v>-488978.92000000004</v>
      </c>
      <c r="H2526" s="43">
        <f>H2525+Учет!C2526-C2526</f>
        <v>336855</v>
      </c>
      <c r="I2526" s="43">
        <f>I2525+Учет!D2526-D2526</f>
        <v>500</v>
      </c>
      <c r="J2526" s="43">
        <f>J2525+Учет!E2526-E2526</f>
        <v>1150</v>
      </c>
      <c r="K2526" s="43">
        <f>K2525+Учет!F2526-F2526</f>
        <v>500000</v>
      </c>
      <c r="L2526" s="45">
        <f>Учет!I2526</f>
        <v>349526.07999999996</v>
      </c>
    </row>
    <row r="2527" spans="1:12" x14ac:dyDescent="0.25">
      <c r="A2527" s="48" t="str">
        <f>IF(Учет!A2527&lt;&gt;"",Учет!A2527,"")</f>
        <v/>
      </c>
      <c r="B2527" s="52">
        <f>IF(Учет!$O2527=Справочники!$F$2,Учет!$H2527,0)</f>
        <v>0</v>
      </c>
      <c r="C2527" s="52">
        <f>IF(Учет!$O2527=Справочники!$F$3,Учет!$H2527,0)</f>
        <v>0</v>
      </c>
      <c r="D2527" s="52">
        <f>IF(Учет!$O2527=Справочники!$F$4,Учет!$H2527,0)</f>
        <v>0</v>
      </c>
      <c r="E2527" s="52">
        <f>IF(Учет!$O2527=Справочники!$F$5,Учет!$H2527,0)</f>
        <v>0</v>
      </c>
      <c r="F2527" s="52">
        <f>IF(Учет!$O2527=Справочники!$F$6,Учет!$H2527,0)</f>
        <v>0</v>
      </c>
      <c r="G2527" s="43">
        <f>G2526+Учет!B2527-B2527</f>
        <v>-488978.92000000004</v>
      </c>
      <c r="H2527" s="43">
        <f>H2526+Учет!C2527-C2527</f>
        <v>336855</v>
      </c>
      <c r="I2527" s="43">
        <f>I2526+Учет!D2527-D2527</f>
        <v>500</v>
      </c>
      <c r="J2527" s="43">
        <f>J2526+Учет!E2527-E2527</f>
        <v>1150</v>
      </c>
      <c r="K2527" s="43">
        <f>K2526+Учет!F2527-F2527</f>
        <v>500000</v>
      </c>
      <c r="L2527" s="45">
        <f>Учет!I2527</f>
        <v>349526.07999999996</v>
      </c>
    </row>
    <row r="2528" spans="1:12" x14ac:dyDescent="0.25">
      <c r="A2528" s="48" t="str">
        <f>IF(Учет!A2528&lt;&gt;"",Учет!A2528,"")</f>
        <v/>
      </c>
      <c r="B2528" s="52">
        <f>IF(Учет!$O2528=Справочники!$F$2,Учет!$H2528,0)</f>
        <v>0</v>
      </c>
      <c r="C2528" s="52">
        <f>IF(Учет!$O2528=Справочники!$F$3,Учет!$H2528,0)</f>
        <v>0</v>
      </c>
      <c r="D2528" s="52">
        <f>IF(Учет!$O2528=Справочники!$F$4,Учет!$H2528,0)</f>
        <v>0</v>
      </c>
      <c r="E2528" s="52">
        <f>IF(Учет!$O2528=Справочники!$F$5,Учет!$H2528,0)</f>
        <v>0</v>
      </c>
      <c r="F2528" s="52">
        <f>IF(Учет!$O2528=Справочники!$F$6,Учет!$H2528,0)</f>
        <v>0</v>
      </c>
      <c r="G2528" s="43">
        <f>G2527+Учет!B2528-B2528</f>
        <v>-488978.92000000004</v>
      </c>
      <c r="H2528" s="43">
        <f>H2527+Учет!C2528-C2528</f>
        <v>336855</v>
      </c>
      <c r="I2528" s="43">
        <f>I2527+Учет!D2528-D2528</f>
        <v>500</v>
      </c>
      <c r="J2528" s="43">
        <f>J2527+Учет!E2528-E2528</f>
        <v>1150</v>
      </c>
      <c r="K2528" s="43">
        <f>K2527+Учет!F2528-F2528</f>
        <v>500000</v>
      </c>
      <c r="L2528" s="45">
        <f>Учет!I2528</f>
        <v>349526.07999999996</v>
      </c>
    </row>
    <row r="2529" spans="1:12" x14ac:dyDescent="0.25">
      <c r="A2529" s="48" t="str">
        <f>IF(Учет!A2529&lt;&gt;"",Учет!A2529,"")</f>
        <v/>
      </c>
      <c r="B2529" s="52">
        <f>IF(Учет!$O2529=Справочники!$F$2,Учет!$H2529,0)</f>
        <v>0</v>
      </c>
      <c r="C2529" s="52">
        <f>IF(Учет!$O2529=Справочники!$F$3,Учет!$H2529,0)</f>
        <v>0</v>
      </c>
      <c r="D2529" s="52">
        <f>IF(Учет!$O2529=Справочники!$F$4,Учет!$H2529,0)</f>
        <v>0</v>
      </c>
      <c r="E2529" s="52">
        <f>IF(Учет!$O2529=Справочники!$F$5,Учет!$H2529,0)</f>
        <v>0</v>
      </c>
      <c r="F2529" s="52">
        <f>IF(Учет!$O2529=Справочники!$F$6,Учет!$H2529,0)</f>
        <v>0</v>
      </c>
      <c r="G2529" s="43">
        <f>G2528+Учет!B2529-B2529</f>
        <v>-488978.92000000004</v>
      </c>
      <c r="H2529" s="43">
        <f>H2528+Учет!C2529-C2529</f>
        <v>336855</v>
      </c>
      <c r="I2529" s="43">
        <f>I2528+Учет!D2529-D2529</f>
        <v>500</v>
      </c>
      <c r="J2529" s="43">
        <f>J2528+Учет!E2529-E2529</f>
        <v>1150</v>
      </c>
      <c r="K2529" s="43">
        <f>K2528+Учет!F2529-F2529</f>
        <v>500000</v>
      </c>
      <c r="L2529" s="45">
        <f>Учет!I2529</f>
        <v>349526.07999999996</v>
      </c>
    </row>
    <row r="2530" spans="1:12" x14ac:dyDescent="0.25">
      <c r="A2530" s="48" t="str">
        <f>IF(Учет!A2530&lt;&gt;"",Учет!A2530,"")</f>
        <v/>
      </c>
      <c r="B2530" s="52">
        <f>IF(Учет!$O2530=Справочники!$F$2,Учет!$H2530,0)</f>
        <v>0</v>
      </c>
      <c r="C2530" s="52">
        <f>IF(Учет!$O2530=Справочники!$F$3,Учет!$H2530,0)</f>
        <v>0</v>
      </c>
      <c r="D2530" s="52">
        <f>IF(Учет!$O2530=Справочники!$F$4,Учет!$H2530,0)</f>
        <v>0</v>
      </c>
      <c r="E2530" s="52">
        <f>IF(Учет!$O2530=Справочники!$F$5,Учет!$H2530,0)</f>
        <v>0</v>
      </c>
      <c r="F2530" s="52">
        <f>IF(Учет!$O2530=Справочники!$F$6,Учет!$H2530,0)</f>
        <v>0</v>
      </c>
      <c r="G2530" s="43">
        <f>G2529+Учет!B2530-B2530</f>
        <v>-488978.92000000004</v>
      </c>
      <c r="H2530" s="43">
        <f>H2529+Учет!C2530-C2530</f>
        <v>336855</v>
      </c>
      <c r="I2530" s="43">
        <f>I2529+Учет!D2530-D2530</f>
        <v>500</v>
      </c>
      <c r="J2530" s="43">
        <f>J2529+Учет!E2530-E2530</f>
        <v>1150</v>
      </c>
      <c r="K2530" s="43">
        <f>K2529+Учет!F2530-F2530</f>
        <v>500000</v>
      </c>
      <c r="L2530" s="45">
        <f>Учет!I2530</f>
        <v>349526.07999999996</v>
      </c>
    </row>
    <row r="2531" spans="1:12" x14ac:dyDescent="0.25">
      <c r="A2531" s="48" t="str">
        <f>IF(Учет!A2531&lt;&gt;"",Учет!A2531,"")</f>
        <v/>
      </c>
      <c r="B2531" s="52">
        <f>IF(Учет!$O2531=Справочники!$F$2,Учет!$H2531,0)</f>
        <v>0</v>
      </c>
      <c r="C2531" s="52">
        <f>IF(Учет!$O2531=Справочники!$F$3,Учет!$H2531,0)</f>
        <v>0</v>
      </c>
      <c r="D2531" s="52">
        <f>IF(Учет!$O2531=Справочники!$F$4,Учет!$H2531,0)</f>
        <v>0</v>
      </c>
      <c r="E2531" s="52">
        <f>IF(Учет!$O2531=Справочники!$F$5,Учет!$H2531,0)</f>
        <v>0</v>
      </c>
      <c r="F2531" s="52">
        <f>IF(Учет!$O2531=Справочники!$F$6,Учет!$H2531,0)</f>
        <v>0</v>
      </c>
      <c r="G2531" s="43">
        <f>G2530+Учет!B2531-B2531</f>
        <v>-488978.92000000004</v>
      </c>
      <c r="H2531" s="43">
        <f>H2530+Учет!C2531-C2531</f>
        <v>336855</v>
      </c>
      <c r="I2531" s="43">
        <f>I2530+Учет!D2531-D2531</f>
        <v>500</v>
      </c>
      <c r="J2531" s="43">
        <f>J2530+Учет!E2531-E2531</f>
        <v>1150</v>
      </c>
      <c r="K2531" s="43">
        <f>K2530+Учет!F2531-F2531</f>
        <v>500000</v>
      </c>
      <c r="L2531" s="45">
        <f>Учет!I2531</f>
        <v>349526.07999999996</v>
      </c>
    </row>
    <row r="2532" spans="1:12" x14ac:dyDescent="0.25">
      <c r="A2532" s="48" t="str">
        <f>IF(Учет!A2532&lt;&gt;"",Учет!A2532,"")</f>
        <v/>
      </c>
      <c r="B2532" s="52">
        <f>IF(Учет!$O2532=Справочники!$F$2,Учет!$H2532,0)</f>
        <v>0</v>
      </c>
      <c r="C2532" s="52">
        <f>IF(Учет!$O2532=Справочники!$F$3,Учет!$H2532,0)</f>
        <v>0</v>
      </c>
      <c r="D2532" s="52">
        <f>IF(Учет!$O2532=Справочники!$F$4,Учет!$H2532,0)</f>
        <v>0</v>
      </c>
      <c r="E2532" s="52">
        <f>IF(Учет!$O2532=Справочники!$F$5,Учет!$H2532,0)</f>
        <v>0</v>
      </c>
      <c r="F2532" s="52">
        <f>IF(Учет!$O2532=Справочники!$F$6,Учет!$H2532,0)</f>
        <v>0</v>
      </c>
      <c r="G2532" s="43">
        <f>G2531+Учет!B2532-B2532</f>
        <v>-488978.92000000004</v>
      </c>
      <c r="H2532" s="43">
        <f>H2531+Учет!C2532-C2532</f>
        <v>336855</v>
      </c>
      <c r="I2532" s="43">
        <f>I2531+Учет!D2532-D2532</f>
        <v>500</v>
      </c>
      <c r="J2532" s="43">
        <f>J2531+Учет!E2532-E2532</f>
        <v>1150</v>
      </c>
      <c r="K2532" s="43">
        <f>K2531+Учет!F2532-F2532</f>
        <v>500000</v>
      </c>
      <c r="L2532" s="45">
        <f>Учет!I2532</f>
        <v>349526.07999999996</v>
      </c>
    </row>
    <row r="2533" spans="1:12" x14ac:dyDescent="0.25">
      <c r="A2533" s="48" t="str">
        <f>IF(Учет!A2533&lt;&gt;"",Учет!A2533,"")</f>
        <v/>
      </c>
      <c r="B2533" s="52">
        <f>IF(Учет!$O2533=Справочники!$F$2,Учет!$H2533,0)</f>
        <v>0</v>
      </c>
      <c r="C2533" s="52">
        <f>IF(Учет!$O2533=Справочники!$F$3,Учет!$H2533,0)</f>
        <v>0</v>
      </c>
      <c r="D2533" s="52">
        <f>IF(Учет!$O2533=Справочники!$F$4,Учет!$H2533,0)</f>
        <v>0</v>
      </c>
      <c r="E2533" s="52">
        <f>IF(Учет!$O2533=Справочники!$F$5,Учет!$H2533,0)</f>
        <v>0</v>
      </c>
      <c r="F2533" s="52">
        <f>IF(Учет!$O2533=Справочники!$F$6,Учет!$H2533,0)</f>
        <v>0</v>
      </c>
      <c r="G2533" s="43">
        <f>G2532+Учет!B2533-B2533</f>
        <v>-488978.92000000004</v>
      </c>
      <c r="H2533" s="43">
        <f>H2532+Учет!C2533-C2533</f>
        <v>336855</v>
      </c>
      <c r="I2533" s="43">
        <f>I2532+Учет!D2533-D2533</f>
        <v>500</v>
      </c>
      <c r="J2533" s="43">
        <f>J2532+Учет!E2533-E2533</f>
        <v>1150</v>
      </c>
      <c r="K2533" s="43">
        <f>K2532+Учет!F2533-F2533</f>
        <v>500000</v>
      </c>
      <c r="L2533" s="45">
        <f>Учет!I2533</f>
        <v>349526.07999999996</v>
      </c>
    </row>
    <row r="2534" spans="1:12" x14ac:dyDescent="0.25">
      <c r="A2534" s="48" t="str">
        <f>IF(Учет!A2534&lt;&gt;"",Учет!A2534,"")</f>
        <v/>
      </c>
      <c r="B2534" s="52">
        <f>IF(Учет!$O2534=Справочники!$F$2,Учет!$H2534,0)</f>
        <v>0</v>
      </c>
      <c r="C2534" s="52">
        <f>IF(Учет!$O2534=Справочники!$F$3,Учет!$H2534,0)</f>
        <v>0</v>
      </c>
      <c r="D2534" s="52">
        <f>IF(Учет!$O2534=Справочники!$F$4,Учет!$H2534,0)</f>
        <v>0</v>
      </c>
      <c r="E2534" s="52">
        <f>IF(Учет!$O2534=Справочники!$F$5,Учет!$H2534,0)</f>
        <v>0</v>
      </c>
      <c r="F2534" s="52">
        <f>IF(Учет!$O2534=Справочники!$F$6,Учет!$H2534,0)</f>
        <v>0</v>
      </c>
      <c r="G2534" s="43">
        <f>G2533+Учет!B2534-B2534</f>
        <v>-488978.92000000004</v>
      </c>
      <c r="H2534" s="43">
        <f>H2533+Учет!C2534-C2534</f>
        <v>336855</v>
      </c>
      <c r="I2534" s="43">
        <f>I2533+Учет!D2534-D2534</f>
        <v>500</v>
      </c>
      <c r="J2534" s="43">
        <f>J2533+Учет!E2534-E2534</f>
        <v>1150</v>
      </c>
      <c r="K2534" s="43">
        <f>K2533+Учет!F2534-F2534</f>
        <v>500000</v>
      </c>
      <c r="L2534" s="45">
        <f>Учет!I2534</f>
        <v>349526.07999999996</v>
      </c>
    </row>
    <row r="2535" spans="1:12" x14ac:dyDescent="0.25">
      <c r="A2535" s="48" t="str">
        <f>IF(Учет!A2535&lt;&gt;"",Учет!A2535,"")</f>
        <v/>
      </c>
      <c r="B2535" s="52">
        <f>IF(Учет!$O2535=Справочники!$F$2,Учет!$H2535,0)</f>
        <v>0</v>
      </c>
      <c r="C2535" s="52">
        <f>IF(Учет!$O2535=Справочники!$F$3,Учет!$H2535,0)</f>
        <v>0</v>
      </c>
      <c r="D2535" s="52">
        <f>IF(Учет!$O2535=Справочники!$F$4,Учет!$H2535,0)</f>
        <v>0</v>
      </c>
      <c r="E2535" s="52">
        <f>IF(Учет!$O2535=Справочники!$F$5,Учет!$H2535,0)</f>
        <v>0</v>
      </c>
      <c r="F2535" s="52">
        <f>IF(Учет!$O2535=Справочники!$F$6,Учет!$H2535,0)</f>
        <v>0</v>
      </c>
      <c r="G2535" s="43">
        <f>G2534+Учет!B2535-B2535</f>
        <v>-488978.92000000004</v>
      </c>
      <c r="H2535" s="43">
        <f>H2534+Учет!C2535-C2535</f>
        <v>336855</v>
      </c>
      <c r="I2535" s="43">
        <f>I2534+Учет!D2535-D2535</f>
        <v>500</v>
      </c>
      <c r="J2535" s="43">
        <f>J2534+Учет!E2535-E2535</f>
        <v>1150</v>
      </c>
      <c r="K2535" s="43">
        <f>K2534+Учет!F2535-F2535</f>
        <v>500000</v>
      </c>
      <c r="L2535" s="45">
        <f>Учет!I2535</f>
        <v>349526.07999999996</v>
      </c>
    </row>
    <row r="2536" spans="1:12" x14ac:dyDescent="0.25">
      <c r="A2536" s="48" t="str">
        <f>IF(Учет!A2536&lt;&gt;"",Учет!A2536,"")</f>
        <v/>
      </c>
      <c r="B2536" s="52">
        <f>IF(Учет!$O2536=Справочники!$F$2,Учет!$H2536,0)</f>
        <v>0</v>
      </c>
      <c r="C2536" s="52">
        <f>IF(Учет!$O2536=Справочники!$F$3,Учет!$H2536,0)</f>
        <v>0</v>
      </c>
      <c r="D2536" s="52">
        <f>IF(Учет!$O2536=Справочники!$F$4,Учет!$H2536,0)</f>
        <v>0</v>
      </c>
      <c r="E2536" s="52">
        <f>IF(Учет!$O2536=Справочники!$F$5,Учет!$H2536,0)</f>
        <v>0</v>
      </c>
      <c r="F2536" s="52">
        <f>IF(Учет!$O2536=Справочники!$F$6,Учет!$H2536,0)</f>
        <v>0</v>
      </c>
      <c r="G2536" s="43">
        <f>G2535+Учет!B2536-B2536</f>
        <v>-488978.92000000004</v>
      </c>
      <c r="H2536" s="43">
        <f>H2535+Учет!C2536-C2536</f>
        <v>336855</v>
      </c>
      <c r="I2536" s="43">
        <f>I2535+Учет!D2536-D2536</f>
        <v>500</v>
      </c>
      <c r="J2536" s="43">
        <f>J2535+Учет!E2536-E2536</f>
        <v>1150</v>
      </c>
      <c r="K2536" s="43">
        <f>K2535+Учет!F2536-F2536</f>
        <v>500000</v>
      </c>
      <c r="L2536" s="45">
        <f>Учет!I2536</f>
        <v>349526.07999999996</v>
      </c>
    </row>
    <row r="2537" spans="1:12" x14ac:dyDescent="0.25">
      <c r="A2537" s="48" t="str">
        <f>IF(Учет!A2537&lt;&gt;"",Учет!A2537,"")</f>
        <v/>
      </c>
      <c r="B2537" s="52">
        <f>IF(Учет!$O2537=Справочники!$F$2,Учет!$H2537,0)</f>
        <v>0</v>
      </c>
      <c r="C2537" s="52">
        <f>IF(Учет!$O2537=Справочники!$F$3,Учет!$H2537,0)</f>
        <v>0</v>
      </c>
      <c r="D2537" s="52">
        <f>IF(Учет!$O2537=Справочники!$F$4,Учет!$H2537,0)</f>
        <v>0</v>
      </c>
      <c r="E2537" s="52">
        <f>IF(Учет!$O2537=Справочники!$F$5,Учет!$H2537,0)</f>
        <v>0</v>
      </c>
      <c r="F2537" s="52">
        <f>IF(Учет!$O2537=Справочники!$F$6,Учет!$H2537,0)</f>
        <v>0</v>
      </c>
      <c r="G2537" s="43">
        <f>G2536+Учет!B2537-B2537</f>
        <v>-488978.92000000004</v>
      </c>
      <c r="H2537" s="43">
        <f>H2536+Учет!C2537-C2537</f>
        <v>336855</v>
      </c>
      <c r="I2537" s="43">
        <f>I2536+Учет!D2537-D2537</f>
        <v>500</v>
      </c>
      <c r="J2537" s="43">
        <f>J2536+Учет!E2537-E2537</f>
        <v>1150</v>
      </c>
      <c r="K2537" s="43">
        <f>K2536+Учет!F2537-F2537</f>
        <v>500000</v>
      </c>
      <c r="L2537" s="45">
        <f>Учет!I2537</f>
        <v>349526.07999999996</v>
      </c>
    </row>
    <row r="2538" spans="1:12" x14ac:dyDescent="0.25">
      <c r="A2538" s="48" t="str">
        <f>IF(Учет!A2538&lt;&gt;"",Учет!A2538,"")</f>
        <v/>
      </c>
      <c r="B2538" s="52">
        <f>IF(Учет!$O2538=Справочники!$F$2,Учет!$H2538,0)</f>
        <v>0</v>
      </c>
      <c r="C2538" s="52">
        <f>IF(Учет!$O2538=Справочники!$F$3,Учет!$H2538,0)</f>
        <v>0</v>
      </c>
      <c r="D2538" s="52">
        <f>IF(Учет!$O2538=Справочники!$F$4,Учет!$H2538,0)</f>
        <v>0</v>
      </c>
      <c r="E2538" s="52">
        <f>IF(Учет!$O2538=Справочники!$F$5,Учет!$H2538,0)</f>
        <v>0</v>
      </c>
      <c r="F2538" s="52">
        <f>IF(Учет!$O2538=Справочники!$F$6,Учет!$H2538,0)</f>
        <v>0</v>
      </c>
      <c r="G2538" s="43">
        <f>G2537+Учет!B2538-B2538</f>
        <v>-488978.92000000004</v>
      </c>
      <c r="H2538" s="43">
        <f>H2537+Учет!C2538-C2538</f>
        <v>336855</v>
      </c>
      <c r="I2538" s="43">
        <f>I2537+Учет!D2538-D2538</f>
        <v>500</v>
      </c>
      <c r="J2538" s="43">
        <f>J2537+Учет!E2538-E2538</f>
        <v>1150</v>
      </c>
      <c r="K2538" s="43">
        <f>K2537+Учет!F2538-F2538</f>
        <v>500000</v>
      </c>
      <c r="L2538" s="45">
        <f>Учет!I2538</f>
        <v>349526.07999999996</v>
      </c>
    </row>
    <row r="2539" spans="1:12" x14ac:dyDescent="0.25">
      <c r="A2539" s="48" t="str">
        <f>IF(Учет!A2539&lt;&gt;"",Учет!A2539,"")</f>
        <v/>
      </c>
      <c r="B2539" s="52">
        <f>IF(Учет!$O2539=Справочники!$F$2,Учет!$H2539,0)</f>
        <v>0</v>
      </c>
      <c r="C2539" s="52">
        <f>IF(Учет!$O2539=Справочники!$F$3,Учет!$H2539,0)</f>
        <v>0</v>
      </c>
      <c r="D2539" s="52">
        <f>IF(Учет!$O2539=Справочники!$F$4,Учет!$H2539,0)</f>
        <v>0</v>
      </c>
      <c r="E2539" s="52">
        <f>IF(Учет!$O2539=Справочники!$F$5,Учет!$H2539,0)</f>
        <v>0</v>
      </c>
      <c r="F2539" s="52">
        <f>IF(Учет!$O2539=Справочники!$F$6,Учет!$H2539,0)</f>
        <v>0</v>
      </c>
      <c r="G2539" s="43">
        <f>G2538+Учет!B2539-B2539</f>
        <v>-488978.92000000004</v>
      </c>
      <c r="H2539" s="43">
        <f>H2538+Учет!C2539-C2539</f>
        <v>336855</v>
      </c>
      <c r="I2539" s="43">
        <f>I2538+Учет!D2539-D2539</f>
        <v>500</v>
      </c>
      <c r="J2539" s="43">
        <f>J2538+Учет!E2539-E2539</f>
        <v>1150</v>
      </c>
      <c r="K2539" s="43">
        <f>K2538+Учет!F2539-F2539</f>
        <v>500000</v>
      </c>
      <c r="L2539" s="45">
        <f>Учет!I2539</f>
        <v>349526.07999999996</v>
      </c>
    </row>
    <row r="2540" spans="1:12" x14ac:dyDescent="0.25">
      <c r="A2540" s="48" t="str">
        <f>IF(Учет!A2540&lt;&gt;"",Учет!A2540,"")</f>
        <v/>
      </c>
      <c r="B2540" s="52">
        <f>IF(Учет!$O2540=Справочники!$F$2,Учет!$H2540,0)</f>
        <v>0</v>
      </c>
      <c r="C2540" s="52">
        <f>IF(Учет!$O2540=Справочники!$F$3,Учет!$H2540,0)</f>
        <v>0</v>
      </c>
      <c r="D2540" s="52">
        <f>IF(Учет!$O2540=Справочники!$F$4,Учет!$H2540,0)</f>
        <v>0</v>
      </c>
      <c r="E2540" s="52">
        <f>IF(Учет!$O2540=Справочники!$F$5,Учет!$H2540,0)</f>
        <v>0</v>
      </c>
      <c r="F2540" s="52">
        <f>IF(Учет!$O2540=Справочники!$F$6,Учет!$H2540,0)</f>
        <v>0</v>
      </c>
      <c r="G2540" s="43">
        <f>G2539+Учет!B2540-B2540</f>
        <v>-488978.92000000004</v>
      </c>
      <c r="H2540" s="43">
        <f>H2539+Учет!C2540-C2540</f>
        <v>336855</v>
      </c>
      <c r="I2540" s="43">
        <f>I2539+Учет!D2540-D2540</f>
        <v>500</v>
      </c>
      <c r="J2540" s="43">
        <f>J2539+Учет!E2540-E2540</f>
        <v>1150</v>
      </c>
      <c r="K2540" s="43">
        <f>K2539+Учет!F2540-F2540</f>
        <v>500000</v>
      </c>
      <c r="L2540" s="45">
        <f>Учет!I2540</f>
        <v>349526.07999999996</v>
      </c>
    </row>
    <row r="2541" spans="1:12" x14ac:dyDescent="0.25">
      <c r="A2541" s="48" t="str">
        <f>IF(Учет!A2541&lt;&gt;"",Учет!A2541,"")</f>
        <v/>
      </c>
      <c r="B2541" s="52">
        <f>IF(Учет!$O2541=Справочники!$F$2,Учет!$H2541,0)</f>
        <v>0</v>
      </c>
      <c r="C2541" s="52">
        <f>IF(Учет!$O2541=Справочники!$F$3,Учет!$H2541,0)</f>
        <v>0</v>
      </c>
      <c r="D2541" s="52">
        <f>IF(Учет!$O2541=Справочники!$F$4,Учет!$H2541,0)</f>
        <v>0</v>
      </c>
      <c r="E2541" s="52">
        <f>IF(Учет!$O2541=Справочники!$F$5,Учет!$H2541,0)</f>
        <v>0</v>
      </c>
      <c r="F2541" s="52">
        <f>IF(Учет!$O2541=Справочники!$F$6,Учет!$H2541,0)</f>
        <v>0</v>
      </c>
      <c r="G2541" s="43">
        <f>G2540+Учет!B2541-B2541</f>
        <v>-488978.92000000004</v>
      </c>
      <c r="H2541" s="43">
        <f>H2540+Учет!C2541-C2541</f>
        <v>336855</v>
      </c>
      <c r="I2541" s="43">
        <f>I2540+Учет!D2541-D2541</f>
        <v>500</v>
      </c>
      <c r="J2541" s="43">
        <f>J2540+Учет!E2541-E2541</f>
        <v>1150</v>
      </c>
      <c r="K2541" s="43">
        <f>K2540+Учет!F2541-F2541</f>
        <v>500000</v>
      </c>
      <c r="L2541" s="45">
        <f>Учет!I2541</f>
        <v>349526.07999999996</v>
      </c>
    </row>
    <row r="2542" spans="1:12" x14ac:dyDescent="0.25">
      <c r="A2542" s="48" t="str">
        <f>IF(Учет!A2542&lt;&gt;"",Учет!A2542,"")</f>
        <v/>
      </c>
      <c r="B2542" s="52">
        <f>IF(Учет!$O2542=Справочники!$F$2,Учет!$H2542,0)</f>
        <v>0</v>
      </c>
      <c r="C2542" s="52">
        <f>IF(Учет!$O2542=Справочники!$F$3,Учет!$H2542,0)</f>
        <v>0</v>
      </c>
      <c r="D2542" s="52">
        <f>IF(Учет!$O2542=Справочники!$F$4,Учет!$H2542,0)</f>
        <v>0</v>
      </c>
      <c r="E2542" s="52">
        <f>IF(Учет!$O2542=Справочники!$F$5,Учет!$H2542,0)</f>
        <v>0</v>
      </c>
      <c r="F2542" s="52">
        <f>IF(Учет!$O2542=Справочники!$F$6,Учет!$H2542,0)</f>
        <v>0</v>
      </c>
      <c r="G2542" s="43">
        <f>G2541+Учет!B2542-B2542</f>
        <v>-488978.92000000004</v>
      </c>
      <c r="H2542" s="43">
        <f>H2541+Учет!C2542-C2542</f>
        <v>336855</v>
      </c>
      <c r="I2542" s="43">
        <f>I2541+Учет!D2542-D2542</f>
        <v>500</v>
      </c>
      <c r="J2542" s="43">
        <f>J2541+Учет!E2542-E2542</f>
        <v>1150</v>
      </c>
      <c r="K2542" s="43">
        <f>K2541+Учет!F2542-F2542</f>
        <v>500000</v>
      </c>
      <c r="L2542" s="45">
        <f>Учет!I2542</f>
        <v>349526.07999999996</v>
      </c>
    </row>
    <row r="2543" spans="1:12" x14ac:dyDescent="0.25">
      <c r="A2543" s="48" t="str">
        <f>IF(Учет!A2543&lt;&gt;"",Учет!A2543,"")</f>
        <v/>
      </c>
      <c r="B2543" s="52">
        <f>IF(Учет!$O2543=Справочники!$F$2,Учет!$H2543,0)</f>
        <v>0</v>
      </c>
      <c r="C2543" s="52">
        <f>IF(Учет!$O2543=Справочники!$F$3,Учет!$H2543,0)</f>
        <v>0</v>
      </c>
      <c r="D2543" s="52">
        <f>IF(Учет!$O2543=Справочники!$F$4,Учет!$H2543,0)</f>
        <v>0</v>
      </c>
      <c r="E2543" s="52">
        <f>IF(Учет!$O2543=Справочники!$F$5,Учет!$H2543,0)</f>
        <v>0</v>
      </c>
      <c r="F2543" s="52">
        <f>IF(Учет!$O2543=Справочники!$F$6,Учет!$H2543,0)</f>
        <v>0</v>
      </c>
      <c r="G2543" s="43">
        <f>G2542+Учет!B2543-B2543</f>
        <v>-488978.92000000004</v>
      </c>
      <c r="H2543" s="43">
        <f>H2542+Учет!C2543-C2543</f>
        <v>336855</v>
      </c>
      <c r="I2543" s="43">
        <f>I2542+Учет!D2543-D2543</f>
        <v>500</v>
      </c>
      <c r="J2543" s="43">
        <f>J2542+Учет!E2543-E2543</f>
        <v>1150</v>
      </c>
      <c r="K2543" s="43">
        <f>K2542+Учет!F2543-F2543</f>
        <v>500000</v>
      </c>
      <c r="L2543" s="45">
        <f>Учет!I2543</f>
        <v>349526.07999999996</v>
      </c>
    </row>
    <row r="2544" spans="1:12" x14ac:dyDescent="0.25">
      <c r="A2544" s="48" t="str">
        <f>IF(Учет!A2544&lt;&gt;"",Учет!A2544,"")</f>
        <v/>
      </c>
      <c r="B2544" s="52">
        <f>IF(Учет!$O2544=Справочники!$F$2,Учет!$H2544,0)</f>
        <v>0</v>
      </c>
      <c r="C2544" s="52">
        <f>IF(Учет!$O2544=Справочники!$F$3,Учет!$H2544,0)</f>
        <v>0</v>
      </c>
      <c r="D2544" s="52">
        <f>IF(Учет!$O2544=Справочники!$F$4,Учет!$H2544,0)</f>
        <v>0</v>
      </c>
      <c r="E2544" s="52">
        <f>IF(Учет!$O2544=Справочники!$F$5,Учет!$H2544,0)</f>
        <v>0</v>
      </c>
      <c r="F2544" s="52">
        <f>IF(Учет!$O2544=Справочники!$F$6,Учет!$H2544,0)</f>
        <v>0</v>
      </c>
      <c r="G2544" s="43">
        <f>G2543+Учет!B2544-B2544</f>
        <v>-488978.92000000004</v>
      </c>
      <c r="H2544" s="43">
        <f>H2543+Учет!C2544-C2544</f>
        <v>336855</v>
      </c>
      <c r="I2544" s="43">
        <f>I2543+Учет!D2544-D2544</f>
        <v>500</v>
      </c>
      <c r="J2544" s="43">
        <f>J2543+Учет!E2544-E2544</f>
        <v>1150</v>
      </c>
      <c r="K2544" s="43">
        <f>K2543+Учет!F2544-F2544</f>
        <v>500000</v>
      </c>
      <c r="L2544" s="45">
        <f>Учет!I2544</f>
        <v>349526.07999999996</v>
      </c>
    </row>
    <row r="2545" spans="1:12" x14ac:dyDescent="0.25">
      <c r="A2545" s="48" t="str">
        <f>IF(Учет!A2545&lt;&gt;"",Учет!A2545,"")</f>
        <v/>
      </c>
      <c r="B2545" s="52">
        <f>IF(Учет!$O2545=Справочники!$F$2,Учет!$H2545,0)</f>
        <v>0</v>
      </c>
      <c r="C2545" s="52">
        <f>IF(Учет!$O2545=Справочники!$F$3,Учет!$H2545,0)</f>
        <v>0</v>
      </c>
      <c r="D2545" s="52">
        <f>IF(Учет!$O2545=Справочники!$F$4,Учет!$H2545,0)</f>
        <v>0</v>
      </c>
      <c r="E2545" s="52">
        <f>IF(Учет!$O2545=Справочники!$F$5,Учет!$H2545,0)</f>
        <v>0</v>
      </c>
      <c r="F2545" s="52">
        <f>IF(Учет!$O2545=Справочники!$F$6,Учет!$H2545,0)</f>
        <v>0</v>
      </c>
      <c r="G2545" s="43">
        <f>G2544+Учет!B2545-B2545</f>
        <v>-488978.92000000004</v>
      </c>
      <c r="H2545" s="43">
        <f>H2544+Учет!C2545-C2545</f>
        <v>336855</v>
      </c>
      <c r="I2545" s="43">
        <f>I2544+Учет!D2545-D2545</f>
        <v>500</v>
      </c>
      <c r="J2545" s="43">
        <f>J2544+Учет!E2545-E2545</f>
        <v>1150</v>
      </c>
      <c r="K2545" s="43">
        <f>K2544+Учет!F2545-F2545</f>
        <v>500000</v>
      </c>
      <c r="L2545" s="45">
        <f>Учет!I2545</f>
        <v>349526.07999999996</v>
      </c>
    </row>
    <row r="2546" spans="1:12" x14ac:dyDescent="0.25">
      <c r="A2546" s="48" t="str">
        <f>IF(Учет!A2546&lt;&gt;"",Учет!A2546,"")</f>
        <v/>
      </c>
      <c r="B2546" s="52">
        <f>IF(Учет!$O2546=Справочники!$F$2,Учет!$H2546,0)</f>
        <v>0</v>
      </c>
      <c r="C2546" s="52">
        <f>IF(Учет!$O2546=Справочники!$F$3,Учет!$H2546,0)</f>
        <v>0</v>
      </c>
      <c r="D2546" s="52">
        <f>IF(Учет!$O2546=Справочники!$F$4,Учет!$H2546,0)</f>
        <v>0</v>
      </c>
      <c r="E2546" s="52">
        <f>IF(Учет!$O2546=Справочники!$F$5,Учет!$H2546,0)</f>
        <v>0</v>
      </c>
      <c r="F2546" s="52">
        <f>IF(Учет!$O2546=Справочники!$F$6,Учет!$H2546,0)</f>
        <v>0</v>
      </c>
      <c r="G2546" s="43">
        <f>G2545+Учет!B2546-B2546</f>
        <v>-488978.92000000004</v>
      </c>
      <c r="H2546" s="43">
        <f>H2545+Учет!C2546-C2546</f>
        <v>336855</v>
      </c>
      <c r="I2546" s="43">
        <f>I2545+Учет!D2546-D2546</f>
        <v>500</v>
      </c>
      <c r="J2546" s="43">
        <f>J2545+Учет!E2546-E2546</f>
        <v>1150</v>
      </c>
      <c r="K2546" s="43">
        <f>K2545+Учет!F2546-F2546</f>
        <v>500000</v>
      </c>
      <c r="L2546" s="45">
        <f>Учет!I2546</f>
        <v>349526.07999999996</v>
      </c>
    </row>
    <row r="2547" spans="1:12" x14ac:dyDescent="0.25">
      <c r="A2547" s="48" t="str">
        <f>IF(Учет!A2547&lt;&gt;"",Учет!A2547,"")</f>
        <v/>
      </c>
      <c r="B2547" s="52">
        <f>IF(Учет!$O2547=Справочники!$F$2,Учет!$H2547,0)</f>
        <v>0</v>
      </c>
      <c r="C2547" s="52">
        <f>IF(Учет!$O2547=Справочники!$F$3,Учет!$H2547,0)</f>
        <v>0</v>
      </c>
      <c r="D2547" s="52">
        <f>IF(Учет!$O2547=Справочники!$F$4,Учет!$H2547,0)</f>
        <v>0</v>
      </c>
      <c r="E2547" s="52">
        <f>IF(Учет!$O2547=Справочники!$F$5,Учет!$H2547,0)</f>
        <v>0</v>
      </c>
      <c r="F2547" s="52">
        <f>IF(Учет!$O2547=Справочники!$F$6,Учет!$H2547,0)</f>
        <v>0</v>
      </c>
      <c r="G2547" s="43">
        <f>G2546+Учет!B2547-B2547</f>
        <v>-488978.92000000004</v>
      </c>
      <c r="H2547" s="43">
        <f>H2546+Учет!C2547-C2547</f>
        <v>336855</v>
      </c>
      <c r="I2547" s="43">
        <f>I2546+Учет!D2547-D2547</f>
        <v>500</v>
      </c>
      <c r="J2547" s="43">
        <f>J2546+Учет!E2547-E2547</f>
        <v>1150</v>
      </c>
      <c r="K2547" s="43">
        <f>K2546+Учет!F2547-F2547</f>
        <v>500000</v>
      </c>
      <c r="L2547" s="45">
        <f>Учет!I2547</f>
        <v>349526.07999999996</v>
      </c>
    </row>
    <row r="2548" spans="1:12" x14ac:dyDescent="0.25">
      <c r="A2548" s="48" t="str">
        <f>IF(Учет!A2548&lt;&gt;"",Учет!A2548,"")</f>
        <v/>
      </c>
      <c r="B2548" s="52">
        <f>IF(Учет!$O2548=Справочники!$F$2,Учет!$H2548,0)</f>
        <v>0</v>
      </c>
      <c r="C2548" s="52">
        <f>IF(Учет!$O2548=Справочники!$F$3,Учет!$H2548,0)</f>
        <v>0</v>
      </c>
      <c r="D2548" s="52">
        <f>IF(Учет!$O2548=Справочники!$F$4,Учет!$H2548,0)</f>
        <v>0</v>
      </c>
      <c r="E2548" s="52">
        <f>IF(Учет!$O2548=Справочники!$F$5,Учет!$H2548,0)</f>
        <v>0</v>
      </c>
      <c r="F2548" s="52">
        <f>IF(Учет!$O2548=Справочники!$F$6,Учет!$H2548,0)</f>
        <v>0</v>
      </c>
      <c r="G2548" s="43">
        <f>G2547+Учет!B2548-B2548</f>
        <v>-488978.92000000004</v>
      </c>
      <c r="H2548" s="43">
        <f>H2547+Учет!C2548-C2548</f>
        <v>336855</v>
      </c>
      <c r="I2548" s="43">
        <f>I2547+Учет!D2548-D2548</f>
        <v>500</v>
      </c>
      <c r="J2548" s="43">
        <f>J2547+Учет!E2548-E2548</f>
        <v>1150</v>
      </c>
      <c r="K2548" s="43">
        <f>K2547+Учет!F2548-F2548</f>
        <v>500000</v>
      </c>
      <c r="L2548" s="45">
        <f>Учет!I2548</f>
        <v>349526.07999999996</v>
      </c>
    </row>
    <row r="2549" spans="1:12" x14ac:dyDescent="0.25">
      <c r="A2549" s="48" t="str">
        <f>IF(Учет!A2549&lt;&gt;"",Учет!A2549,"")</f>
        <v/>
      </c>
      <c r="B2549" s="52">
        <f>IF(Учет!$O2549=Справочники!$F$2,Учет!$H2549,0)</f>
        <v>0</v>
      </c>
      <c r="C2549" s="52">
        <f>IF(Учет!$O2549=Справочники!$F$3,Учет!$H2549,0)</f>
        <v>0</v>
      </c>
      <c r="D2549" s="52">
        <f>IF(Учет!$O2549=Справочники!$F$4,Учет!$H2549,0)</f>
        <v>0</v>
      </c>
      <c r="E2549" s="52">
        <f>IF(Учет!$O2549=Справочники!$F$5,Учет!$H2549,0)</f>
        <v>0</v>
      </c>
      <c r="F2549" s="52">
        <f>IF(Учет!$O2549=Справочники!$F$6,Учет!$H2549,0)</f>
        <v>0</v>
      </c>
      <c r="G2549" s="43">
        <f>G2548+Учет!B2549-B2549</f>
        <v>-488978.92000000004</v>
      </c>
      <c r="H2549" s="43">
        <f>H2548+Учет!C2549-C2549</f>
        <v>336855</v>
      </c>
      <c r="I2549" s="43">
        <f>I2548+Учет!D2549-D2549</f>
        <v>500</v>
      </c>
      <c r="J2549" s="43">
        <f>J2548+Учет!E2549-E2549</f>
        <v>1150</v>
      </c>
      <c r="K2549" s="43">
        <f>K2548+Учет!F2549-F2549</f>
        <v>500000</v>
      </c>
      <c r="L2549" s="45">
        <f>Учет!I2549</f>
        <v>349526.07999999996</v>
      </c>
    </row>
    <row r="2550" spans="1:12" x14ac:dyDescent="0.25">
      <c r="A2550" s="48" t="str">
        <f>IF(Учет!A2550&lt;&gt;"",Учет!A2550,"")</f>
        <v/>
      </c>
      <c r="B2550" s="52">
        <f>IF(Учет!$O2550=Справочники!$F$2,Учет!$H2550,0)</f>
        <v>0</v>
      </c>
      <c r="C2550" s="52">
        <f>IF(Учет!$O2550=Справочники!$F$3,Учет!$H2550,0)</f>
        <v>0</v>
      </c>
      <c r="D2550" s="52">
        <f>IF(Учет!$O2550=Справочники!$F$4,Учет!$H2550,0)</f>
        <v>0</v>
      </c>
      <c r="E2550" s="52">
        <f>IF(Учет!$O2550=Справочники!$F$5,Учет!$H2550,0)</f>
        <v>0</v>
      </c>
      <c r="F2550" s="52">
        <f>IF(Учет!$O2550=Справочники!$F$6,Учет!$H2550,0)</f>
        <v>0</v>
      </c>
      <c r="G2550" s="43">
        <f>G2549+Учет!B2550-B2550</f>
        <v>-488978.92000000004</v>
      </c>
      <c r="H2550" s="43">
        <f>H2549+Учет!C2550-C2550</f>
        <v>336855</v>
      </c>
      <c r="I2550" s="43">
        <f>I2549+Учет!D2550-D2550</f>
        <v>500</v>
      </c>
      <c r="J2550" s="43">
        <f>J2549+Учет!E2550-E2550</f>
        <v>1150</v>
      </c>
      <c r="K2550" s="43">
        <f>K2549+Учет!F2550-F2550</f>
        <v>500000</v>
      </c>
      <c r="L2550" s="45">
        <f>Учет!I2550</f>
        <v>349526.07999999996</v>
      </c>
    </row>
    <row r="2551" spans="1:12" x14ac:dyDescent="0.25">
      <c r="A2551" s="48" t="str">
        <f>IF(Учет!A2551&lt;&gt;"",Учет!A2551,"")</f>
        <v/>
      </c>
      <c r="B2551" s="52">
        <f>IF(Учет!$O2551=Справочники!$F$2,Учет!$H2551,0)</f>
        <v>0</v>
      </c>
      <c r="C2551" s="52">
        <f>IF(Учет!$O2551=Справочники!$F$3,Учет!$H2551,0)</f>
        <v>0</v>
      </c>
      <c r="D2551" s="52">
        <f>IF(Учет!$O2551=Справочники!$F$4,Учет!$H2551,0)</f>
        <v>0</v>
      </c>
      <c r="E2551" s="52">
        <f>IF(Учет!$O2551=Справочники!$F$5,Учет!$H2551,0)</f>
        <v>0</v>
      </c>
      <c r="F2551" s="52">
        <f>IF(Учет!$O2551=Справочники!$F$6,Учет!$H2551,0)</f>
        <v>0</v>
      </c>
      <c r="G2551" s="43">
        <f>G2550+Учет!B2551-B2551</f>
        <v>-488978.92000000004</v>
      </c>
      <c r="H2551" s="43">
        <f>H2550+Учет!C2551-C2551</f>
        <v>336855</v>
      </c>
      <c r="I2551" s="43">
        <f>I2550+Учет!D2551-D2551</f>
        <v>500</v>
      </c>
      <c r="J2551" s="43">
        <f>J2550+Учет!E2551-E2551</f>
        <v>1150</v>
      </c>
      <c r="K2551" s="43">
        <f>K2550+Учет!F2551-F2551</f>
        <v>500000</v>
      </c>
      <c r="L2551" s="45">
        <f>Учет!I2551</f>
        <v>349526.07999999996</v>
      </c>
    </row>
    <row r="2552" spans="1:12" x14ac:dyDescent="0.25">
      <c r="A2552" s="48" t="str">
        <f>IF(Учет!A2552&lt;&gt;"",Учет!A2552,"")</f>
        <v/>
      </c>
      <c r="B2552" s="52">
        <f>IF(Учет!$O2552=Справочники!$F$2,Учет!$H2552,0)</f>
        <v>0</v>
      </c>
      <c r="C2552" s="52">
        <f>IF(Учет!$O2552=Справочники!$F$3,Учет!$H2552,0)</f>
        <v>0</v>
      </c>
      <c r="D2552" s="52">
        <f>IF(Учет!$O2552=Справочники!$F$4,Учет!$H2552,0)</f>
        <v>0</v>
      </c>
      <c r="E2552" s="52">
        <f>IF(Учет!$O2552=Справочники!$F$5,Учет!$H2552,0)</f>
        <v>0</v>
      </c>
      <c r="F2552" s="52">
        <f>IF(Учет!$O2552=Справочники!$F$6,Учет!$H2552,0)</f>
        <v>0</v>
      </c>
      <c r="G2552" s="43">
        <f>G2551+Учет!B2552-B2552</f>
        <v>-488978.92000000004</v>
      </c>
      <c r="H2552" s="43">
        <f>H2551+Учет!C2552-C2552</f>
        <v>336855</v>
      </c>
      <c r="I2552" s="43">
        <f>I2551+Учет!D2552-D2552</f>
        <v>500</v>
      </c>
      <c r="J2552" s="43">
        <f>J2551+Учет!E2552-E2552</f>
        <v>1150</v>
      </c>
      <c r="K2552" s="43">
        <f>K2551+Учет!F2552-F2552</f>
        <v>500000</v>
      </c>
      <c r="L2552" s="45">
        <f>Учет!I2552</f>
        <v>349526.07999999996</v>
      </c>
    </row>
    <row r="2553" spans="1:12" x14ac:dyDescent="0.25">
      <c r="A2553" s="48" t="str">
        <f>IF(Учет!A2553&lt;&gt;"",Учет!A2553,"")</f>
        <v/>
      </c>
      <c r="B2553" s="52">
        <f>IF(Учет!$O2553=Справочники!$F$2,Учет!$H2553,0)</f>
        <v>0</v>
      </c>
      <c r="C2553" s="52">
        <f>IF(Учет!$O2553=Справочники!$F$3,Учет!$H2553,0)</f>
        <v>0</v>
      </c>
      <c r="D2553" s="52">
        <f>IF(Учет!$O2553=Справочники!$F$4,Учет!$H2553,0)</f>
        <v>0</v>
      </c>
      <c r="E2553" s="52">
        <f>IF(Учет!$O2553=Справочники!$F$5,Учет!$H2553,0)</f>
        <v>0</v>
      </c>
      <c r="F2553" s="52">
        <f>IF(Учет!$O2553=Справочники!$F$6,Учет!$H2553,0)</f>
        <v>0</v>
      </c>
      <c r="G2553" s="43">
        <f>G2552+Учет!B2553-B2553</f>
        <v>-488978.92000000004</v>
      </c>
      <c r="H2553" s="43">
        <f>H2552+Учет!C2553-C2553</f>
        <v>336855</v>
      </c>
      <c r="I2553" s="43">
        <f>I2552+Учет!D2553-D2553</f>
        <v>500</v>
      </c>
      <c r="J2553" s="43">
        <f>J2552+Учет!E2553-E2553</f>
        <v>1150</v>
      </c>
      <c r="K2553" s="43">
        <f>K2552+Учет!F2553-F2553</f>
        <v>500000</v>
      </c>
      <c r="L2553" s="45">
        <f>Учет!I2553</f>
        <v>349526.07999999996</v>
      </c>
    </row>
    <row r="2554" spans="1:12" x14ac:dyDescent="0.25">
      <c r="A2554" s="48" t="str">
        <f>IF(Учет!A2554&lt;&gt;"",Учет!A2554,"")</f>
        <v/>
      </c>
      <c r="B2554" s="52">
        <f>IF(Учет!$O2554=Справочники!$F$2,Учет!$H2554,0)</f>
        <v>0</v>
      </c>
      <c r="C2554" s="52">
        <f>IF(Учет!$O2554=Справочники!$F$3,Учет!$H2554,0)</f>
        <v>0</v>
      </c>
      <c r="D2554" s="52">
        <f>IF(Учет!$O2554=Справочники!$F$4,Учет!$H2554,0)</f>
        <v>0</v>
      </c>
      <c r="E2554" s="52">
        <f>IF(Учет!$O2554=Справочники!$F$5,Учет!$H2554,0)</f>
        <v>0</v>
      </c>
      <c r="F2554" s="52">
        <f>IF(Учет!$O2554=Справочники!$F$6,Учет!$H2554,0)</f>
        <v>0</v>
      </c>
      <c r="G2554" s="43">
        <f>G2553+Учет!B2554-B2554</f>
        <v>-488978.92000000004</v>
      </c>
      <c r="H2554" s="43">
        <f>H2553+Учет!C2554-C2554</f>
        <v>336855</v>
      </c>
      <c r="I2554" s="43">
        <f>I2553+Учет!D2554-D2554</f>
        <v>500</v>
      </c>
      <c r="J2554" s="43">
        <f>J2553+Учет!E2554-E2554</f>
        <v>1150</v>
      </c>
      <c r="K2554" s="43">
        <f>K2553+Учет!F2554-F2554</f>
        <v>500000</v>
      </c>
      <c r="L2554" s="45">
        <f>Учет!I2554</f>
        <v>349526.07999999996</v>
      </c>
    </row>
    <row r="2555" spans="1:12" x14ac:dyDescent="0.25">
      <c r="A2555" s="48" t="str">
        <f>IF(Учет!A2555&lt;&gt;"",Учет!A2555,"")</f>
        <v/>
      </c>
      <c r="B2555" s="52">
        <f>IF(Учет!$O2555=Справочники!$F$2,Учет!$H2555,0)</f>
        <v>0</v>
      </c>
      <c r="C2555" s="52">
        <f>IF(Учет!$O2555=Справочники!$F$3,Учет!$H2555,0)</f>
        <v>0</v>
      </c>
      <c r="D2555" s="52">
        <f>IF(Учет!$O2555=Справочники!$F$4,Учет!$H2555,0)</f>
        <v>0</v>
      </c>
      <c r="E2555" s="52">
        <f>IF(Учет!$O2555=Справочники!$F$5,Учет!$H2555,0)</f>
        <v>0</v>
      </c>
      <c r="F2555" s="52">
        <f>IF(Учет!$O2555=Справочники!$F$6,Учет!$H2555,0)</f>
        <v>0</v>
      </c>
      <c r="G2555" s="43">
        <f>G2554+Учет!B2555-B2555</f>
        <v>-488978.92000000004</v>
      </c>
      <c r="H2555" s="43">
        <f>H2554+Учет!C2555-C2555</f>
        <v>336855</v>
      </c>
      <c r="I2555" s="43">
        <f>I2554+Учет!D2555-D2555</f>
        <v>500</v>
      </c>
      <c r="J2555" s="43">
        <f>J2554+Учет!E2555-E2555</f>
        <v>1150</v>
      </c>
      <c r="K2555" s="43">
        <f>K2554+Учет!F2555-F2555</f>
        <v>500000</v>
      </c>
      <c r="L2555" s="45">
        <f>Учет!I2555</f>
        <v>349526.07999999996</v>
      </c>
    </row>
    <row r="2556" spans="1:12" x14ac:dyDescent="0.25">
      <c r="A2556" s="48" t="str">
        <f>IF(Учет!A2556&lt;&gt;"",Учет!A2556,"")</f>
        <v/>
      </c>
      <c r="B2556" s="52">
        <f>IF(Учет!$O2556=Справочники!$F$2,Учет!$H2556,0)</f>
        <v>0</v>
      </c>
      <c r="C2556" s="52">
        <f>IF(Учет!$O2556=Справочники!$F$3,Учет!$H2556,0)</f>
        <v>0</v>
      </c>
      <c r="D2556" s="52">
        <f>IF(Учет!$O2556=Справочники!$F$4,Учет!$H2556,0)</f>
        <v>0</v>
      </c>
      <c r="E2556" s="52">
        <f>IF(Учет!$O2556=Справочники!$F$5,Учет!$H2556,0)</f>
        <v>0</v>
      </c>
      <c r="F2556" s="52">
        <f>IF(Учет!$O2556=Справочники!$F$6,Учет!$H2556,0)</f>
        <v>0</v>
      </c>
      <c r="G2556" s="43">
        <f>G2555+Учет!B2556-B2556</f>
        <v>-488978.92000000004</v>
      </c>
      <c r="H2556" s="43">
        <f>H2555+Учет!C2556-C2556</f>
        <v>336855</v>
      </c>
      <c r="I2556" s="43">
        <f>I2555+Учет!D2556-D2556</f>
        <v>500</v>
      </c>
      <c r="J2556" s="43">
        <f>J2555+Учет!E2556-E2556</f>
        <v>1150</v>
      </c>
      <c r="K2556" s="43">
        <f>K2555+Учет!F2556-F2556</f>
        <v>500000</v>
      </c>
      <c r="L2556" s="45">
        <f>Учет!I2556</f>
        <v>349526.07999999996</v>
      </c>
    </row>
    <row r="2557" spans="1:12" x14ac:dyDescent="0.25">
      <c r="A2557" s="48" t="str">
        <f>IF(Учет!A2557&lt;&gt;"",Учет!A2557,"")</f>
        <v/>
      </c>
      <c r="B2557" s="52">
        <f>IF(Учет!$O2557=Справочники!$F$2,Учет!$H2557,0)</f>
        <v>0</v>
      </c>
      <c r="C2557" s="52">
        <f>IF(Учет!$O2557=Справочники!$F$3,Учет!$H2557,0)</f>
        <v>0</v>
      </c>
      <c r="D2557" s="52">
        <f>IF(Учет!$O2557=Справочники!$F$4,Учет!$H2557,0)</f>
        <v>0</v>
      </c>
      <c r="E2557" s="52">
        <f>IF(Учет!$O2557=Справочники!$F$5,Учет!$H2557,0)</f>
        <v>0</v>
      </c>
      <c r="F2557" s="52">
        <f>IF(Учет!$O2557=Справочники!$F$6,Учет!$H2557,0)</f>
        <v>0</v>
      </c>
      <c r="G2557" s="43">
        <f>G2556+Учет!B2557-B2557</f>
        <v>-488978.92000000004</v>
      </c>
      <c r="H2557" s="43">
        <f>H2556+Учет!C2557-C2557</f>
        <v>336855</v>
      </c>
      <c r="I2557" s="43">
        <f>I2556+Учет!D2557-D2557</f>
        <v>500</v>
      </c>
      <c r="J2557" s="43">
        <f>J2556+Учет!E2557-E2557</f>
        <v>1150</v>
      </c>
      <c r="K2557" s="43">
        <f>K2556+Учет!F2557-F2557</f>
        <v>500000</v>
      </c>
      <c r="L2557" s="45">
        <f>Учет!I2557</f>
        <v>349526.07999999996</v>
      </c>
    </row>
    <row r="2558" spans="1:12" x14ac:dyDescent="0.25">
      <c r="A2558" s="48" t="str">
        <f>IF(Учет!A2558&lt;&gt;"",Учет!A2558,"")</f>
        <v/>
      </c>
      <c r="B2558" s="52">
        <f>IF(Учет!$O2558=Справочники!$F$2,Учет!$H2558,0)</f>
        <v>0</v>
      </c>
      <c r="C2558" s="52">
        <f>IF(Учет!$O2558=Справочники!$F$3,Учет!$H2558,0)</f>
        <v>0</v>
      </c>
      <c r="D2558" s="52">
        <f>IF(Учет!$O2558=Справочники!$F$4,Учет!$H2558,0)</f>
        <v>0</v>
      </c>
      <c r="E2558" s="52">
        <f>IF(Учет!$O2558=Справочники!$F$5,Учет!$H2558,0)</f>
        <v>0</v>
      </c>
      <c r="F2558" s="52">
        <f>IF(Учет!$O2558=Справочники!$F$6,Учет!$H2558,0)</f>
        <v>0</v>
      </c>
      <c r="G2558" s="43">
        <f>G2557+Учет!B2558-B2558</f>
        <v>-488978.92000000004</v>
      </c>
      <c r="H2558" s="43">
        <f>H2557+Учет!C2558-C2558</f>
        <v>336855</v>
      </c>
      <c r="I2558" s="43">
        <f>I2557+Учет!D2558-D2558</f>
        <v>500</v>
      </c>
      <c r="J2558" s="43">
        <f>J2557+Учет!E2558-E2558</f>
        <v>1150</v>
      </c>
      <c r="K2558" s="43">
        <f>K2557+Учет!F2558-F2558</f>
        <v>500000</v>
      </c>
      <c r="L2558" s="45">
        <f>Учет!I2558</f>
        <v>349526.07999999996</v>
      </c>
    </row>
    <row r="2559" spans="1:12" x14ac:dyDescent="0.25">
      <c r="A2559" s="48" t="str">
        <f>IF(Учет!A2559&lt;&gt;"",Учет!A2559,"")</f>
        <v/>
      </c>
      <c r="B2559" s="52">
        <f>IF(Учет!$O2559=Справочники!$F$2,Учет!$H2559,0)</f>
        <v>0</v>
      </c>
      <c r="C2559" s="52">
        <f>IF(Учет!$O2559=Справочники!$F$3,Учет!$H2559,0)</f>
        <v>0</v>
      </c>
      <c r="D2559" s="52">
        <f>IF(Учет!$O2559=Справочники!$F$4,Учет!$H2559,0)</f>
        <v>0</v>
      </c>
      <c r="E2559" s="52">
        <f>IF(Учет!$O2559=Справочники!$F$5,Учет!$H2559,0)</f>
        <v>0</v>
      </c>
      <c r="F2559" s="52">
        <f>IF(Учет!$O2559=Справочники!$F$6,Учет!$H2559,0)</f>
        <v>0</v>
      </c>
      <c r="G2559" s="43">
        <f>G2558+Учет!B2559-B2559</f>
        <v>-488978.92000000004</v>
      </c>
      <c r="H2559" s="43">
        <f>H2558+Учет!C2559-C2559</f>
        <v>336855</v>
      </c>
      <c r="I2559" s="43">
        <f>I2558+Учет!D2559-D2559</f>
        <v>500</v>
      </c>
      <c r="J2559" s="43">
        <f>J2558+Учет!E2559-E2559</f>
        <v>1150</v>
      </c>
      <c r="K2559" s="43">
        <f>K2558+Учет!F2559-F2559</f>
        <v>500000</v>
      </c>
      <c r="L2559" s="45">
        <f>Учет!I2559</f>
        <v>349526.07999999996</v>
      </c>
    </row>
    <row r="2560" spans="1:12" x14ac:dyDescent="0.25">
      <c r="A2560" s="48" t="str">
        <f>IF(Учет!A2560&lt;&gt;"",Учет!A2560,"")</f>
        <v/>
      </c>
      <c r="B2560" s="52">
        <f>IF(Учет!$O2560=Справочники!$F$2,Учет!$H2560,0)</f>
        <v>0</v>
      </c>
      <c r="C2560" s="52">
        <f>IF(Учет!$O2560=Справочники!$F$3,Учет!$H2560,0)</f>
        <v>0</v>
      </c>
      <c r="D2560" s="52">
        <f>IF(Учет!$O2560=Справочники!$F$4,Учет!$H2560,0)</f>
        <v>0</v>
      </c>
      <c r="E2560" s="52">
        <f>IF(Учет!$O2560=Справочники!$F$5,Учет!$H2560,0)</f>
        <v>0</v>
      </c>
      <c r="F2560" s="52">
        <f>IF(Учет!$O2560=Справочники!$F$6,Учет!$H2560,0)</f>
        <v>0</v>
      </c>
      <c r="G2560" s="43">
        <f>G2559+Учет!B2560-B2560</f>
        <v>-488978.92000000004</v>
      </c>
      <c r="H2560" s="43">
        <f>H2559+Учет!C2560-C2560</f>
        <v>336855</v>
      </c>
      <c r="I2560" s="43">
        <f>I2559+Учет!D2560-D2560</f>
        <v>500</v>
      </c>
      <c r="J2560" s="43">
        <f>J2559+Учет!E2560-E2560</f>
        <v>1150</v>
      </c>
      <c r="K2560" s="43">
        <f>K2559+Учет!F2560-F2560</f>
        <v>500000</v>
      </c>
      <c r="L2560" s="45">
        <f>Учет!I2560</f>
        <v>349526.07999999996</v>
      </c>
    </row>
    <row r="2561" spans="1:12" x14ac:dyDescent="0.25">
      <c r="A2561" s="48" t="str">
        <f>IF(Учет!A2561&lt;&gt;"",Учет!A2561,"")</f>
        <v/>
      </c>
      <c r="B2561" s="52">
        <f>IF(Учет!$O2561=Справочники!$F$2,Учет!$H2561,0)</f>
        <v>0</v>
      </c>
      <c r="C2561" s="52">
        <f>IF(Учет!$O2561=Справочники!$F$3,Учет!$H2561,0)</f>
        <v>0</v>
      </c>
      <c r="D2561" s="52">
        <f>IF(Учет!$O2561=Справочники!$F$4,Учет!$H2561,0)</f>
        <v>0</v>
      </c>
      <c r="E2561" s="52">
        <f>IF(Учет!$O2561=Справочники!$F$5,Учет!$H2561,0)</f>
        <v>0</v>
      </c>
      <c r="F2561" s="52">
        <f>IF(Учет!$O2561=Справочники!$F$6,Учет!$H2561,0)</f>
        <v>0</v>
      </c>
      <c r="G2561" s="43">
        <f>G2560+Учет!B2561-B2561</f>
        <v>-488978.92000000004</v>
      </c>
      <c r="H2561" s="43">
        <f>H2560+Учет!C2561-C2561</f>
        <v>336855</v>
      </c>
      <c r="I2561" s="43">
        <f>I2560+Учет!D2561-D2561</f>
        <v>500</v>
      </c>
      <c r="J2561" s="43">
        <f>J2560+Учет!E2561-E2561</f>
        <v>1150</v>
      </c>
      <c r="K2561" s="43">
        <f>K2560+Учет!F2561-F2561</f>
        <v>500000</v>
      </c>
      <c r="L2561" s="45">
        <f>Учет!I2561</f>
        <v>349526.07999999996</v>
      </c>
    </row>
    <row r="2562" spans="1:12" x14ac:dyDescent="0.25">
      <c r="A2562" s="48" t="str">
        <f>IF(Учет!A2562&lt;&gt;"",Учет!A2562,"")</f>
        <v/>
      </c>
      <c r="B2562" s="52">
        <f>IF(Учет!$O2562=Справочники!$F$2,Учет!$H2562,0)</f>
        <v>0</v>
      </c>
      <c r="C2562" s="52">
        <f>IF(Учет!$O2562=Справочники!$F$3,Учет!$H2562,0)</f>
        <v>0</v>
      </c>
      <c r="D2562" s="52">
        <f>IF(Учет!$O2562=Справочники!$F$4,Учет!$H2562,0)</f>
        <v>0</v>
      </c>
      <c r="E2562" s="52">
        <f>IF(Учет!$O2562=Справочники!$F$5,Учет!$H2562,0)</f>
        <v>0</v>
      </c>
      <c r="F2562" s="52">
        <f>IF(Учет!$O2562=Справочники!$F$6,Учет!$H2562,0)</f>
        <v>0</v>
      </c>
      <c r="G2562" s="43">
        <f>G2561+Учет!B2562-B2562</f>
        <v>-488978.92000000004</v>
      </c>
      <c r="H2562" s="43">
        <f>H2561+Учет!C2562-C2562</f>
        <v>336855</v>
      </c>
      <c r="I2562" s="43">
        <f>I2561+Учет!D2562-D2562</f>
        <v>500</v>
      </c>
      <c r="J2562" s="43">
        <f>J2561+Учет!E2562-E2562</f>
        <v>1150</v>
      </c>
      <c r="K2562" s="43">
        <f>K2561+Учет!F2562-F2562</f>
        <v>500000</v>
      </c>
      <c r="L2562" s="45">
        <f>Учет!I2562</f>
        <v>349526.07999999996</v>
      </c>
    </row>
    <row r="2563" spans="1:12" x14ac:dyDescent="0.25">
      <c r="A2563" s="48" t="str">
        <f>IF(Учет!A2563&lt;&gt;"",Учет!A2563,"")</f>
        <v/>
      </c>
      <c r="B2563" s="52">
        <f>IF(Учет!$O2563=Справочники!$F$2,Учет!$H2563,0)</f>
        <v>0</v>
      </c>
      <c r="C2563" s="52">
        <f>IF(Учет!$O2563=Справочники!$F$3,Учет!$H2563,0)</f>
        <v>0</v>
      </c>
      <c r="D2563" s="52">
        <f>IF(Учет!$O2563=Справочники!$F$4,Учет!$H2563,0)</f>
        <v>0</v>
      </c>
      <c r="E2563" s="52">
        <f>IF(Учет!$O2563=Справочники!$F$5,Учет!$H2563,0)</f>
        <v>0</v>
      </c>
      <c r="F2563" s="52">
        <f>IF(Учет!$O2563=Справочники!$F$6,Учет!$H2563,0)</f>
        <v>0</v>
      </c>
      <c r="G2563" s="43">
        <f>G2562+Учет!B2563-B2563</f>
        <v>-488978.92000000004</v>
      </c>
      <c r="H2563" s="43">
        <f>H2562+Учет!C2563-C2563</f>
        <v>336855</v>
      </c>
      <c r="I2563" s="43">
        <f>I2562+Учет!D2563-D2563</f>
        <v>500</v>
      </c>
      <c r="J2563" s="43">
        <f>J2562+Учет!E2563-E2563</f>
        <v>1150</v>
      </c>
      <c r="K2563" s="43">
        <f>K2562+Учет!F2563-F2563</f>
        <v>500000</v>
      </c>
      <c r="L2563" s="45">
        <f>Учет!I2563</f>
        <v>349526.07999999996</v>
      </c>
    </row>
    <row r="2564" spans="1:12" x14ac:dyDescent="0.25">
      <c r="A2564" s="48" t="str">
        <f>IF(Учет!A2564&lt;&gt;"",Учет!A2564,"")</f>
        <v/>
      </c>
      <c r="B2564" s="52">
        <f>IF(Учет!$O2564=Справочники!$F$2,Учет!$H2564,0)</f>
        <v>0</v>
      </c>
      <c r="C2564" s="52">
        <f>IF(Учет!$O2564=Справочники!$F$3,Учет!$H2564,0)</f>
        <v>0</v>
      </c>
      <c r="D2564" s="52">
        <f>IF(Учет!$O2564=Справочники!$F$4,Учет!$H2564,0)</f>
        <v>0</v>
      </c>
      <c r="E2564" s="52">
        <f>IF(Учет!$O2564=Справочники!$F$5,Учет!$H2564,0)</f>
        <v>0</v>
      </c>
      <c r="F2564" s="52">
        <f>IF(Учет!$O2564=Справочники!$F$6,Учет!$H2564,0)</f>
        <v>0</v>
      </c>
      <c r="G2564" s="43">
        <f>G2563+Учет!B2564-B2564</f>
        <v>-488978.92000000004</v>
      </c>
      <c r="H2564" s="43">
        <f>H2563+Учет!C2564-C2564</f>
        <v>336855</v>
      </c>
      <c r="I2564" s="43">
        <f>I2563+Учет!D2564-D2564</f>
        <v>500</v>
      </c>
      <c r="J2564" s="43">
        <f>J2563+Учет!E2564-E2564</f>
        <v>1150</v>
      </c>
      <c r="K2564" s="43">
        <f>K2563+Учет!F2564-F2564</f>
        <v>500000</v>
      </c>
      <c r="L2564" s="45">
        <f>Учет!I2564</f>
        <v>349526.07999999996</v>
      </c>
    </row>
    <row r="2565" spans="1:12" x14ac:dyDescent="0.25">
      <c r="A2565" s="48" t="str">
        <f>IF(Учет!A2565&lt;&gt;"",Учет!A2565,"")</f>
        <v/>
      </c>
      <c r="B2565" s="52">
        <f>IF(Учет!$O2565=Справочники!$F$2,Учет!$H2565,0)</f>
        <v>0</v>
      </c>
      <c r="C2565" s="52">
        <f>IF(Учет!$O2565=Справочники!$F$3,Учет!$H2565,0)</f>
        <v>0</v>
      </c>
      <c r="D2565" s="52">
        <f>IF(Учет!$O2565=Справочники!$F$4,Учет!$H2565,0)</f>
        <v>0</v>
      </c>
      <c r="E2565" s="52">
        <f>IF(Учет!$O2565=Справочники!$F$5,Учет!$H2565,0)</f>
        <v>0</v>
      </c>
      <c r="F2565" s="52">
        <f>IF(Учет!$O2565=Справочники!$F$6,Учет!$H2565,0)</f>
        <v>0</v>
      </c>
      <c r="G2565" s="43">
        <f>G2564+Учет!B2565-B2565</f>
        <v>-488978.92000000004</v>
      </c>
      <c r="H2565" s="43">
        <f>H2564+Учет!C2565-C2565</f>
        <v>336855</v>
      </c>
      <c r="I2565" s="43">
        <f>I2564+Учет!D2565-D2565</f>
        <v>500</v>
      </c>
      <c r="J2565" s="43">
        <f>J2564+Учет!E2565-E2565</f>
        <v>1150</v>
      </c>
      <c r="K2565" s="43">
        <f>K2564+Учет!F2565-F2565</f>
        <v>500000</v>
      </c>
      <c r="L2565" s="45">
        <f>Учет!I2565</f>
        <v>349526.07999999996</v>
      </c>
    </row>
    <row r="2566" spans="1:12" x14ac:dyDescent="0.25">
      <c r="A2566" s="48" t="str">
        <f>IF(Учет!A2566&lt;&gt;"",Учет!A2566,"")</f>
        <v/>
      </c>
      <c r="B2566" s="52">
        <f>IF(Учет!$O2566=Справочники!$F$2,Учет!$H2566,0)</f>
        <v>0</v>
      </c>
      <c r="C2566" s="52">
        <f>IF(Учет!$O2566=Справочники!$F$3,Учет!$H2566,0)</f>
        <v>0</v>
      </c>
      <c r="D2566" s="52">
        <f>IF(Учет!$O2566=Справочники!$F$4,Учет!$H2566,0)</f>
        <v>0</v>
      </c>
      <c r="E2566" s="52">
        <f>IF(Учет!$O2566=Справочники!$F$5,Учет!$H2566,0)</f>
        <v>0</v>
      </c>
      <c r="F2566" s="52">
        <f>IF(Учет!$O2566=Справочники!$F$6,Учет!$H2566,0)</f>
        <v>0</v>
      </c>
      <c r="G2566" s="43">
        <f>G2565+Учет!B2566-B2566</f>
        <v>-488978.92000000004</v>
      </c>
      <c r="H2566" s="43">
        <f>H2565+Учет!C2566-C2566</f>
        <v>336855</v>
      </c>
      <c r="I2566" s="43">
        <f>I2565+Учет!D2566-D2566</f>
        <v>500</v>
      </c>
      <c r="J2566" s="43">
        <f>J2565+Учет!E2566-E2566</f>
        <v>1150</v>
      </c>
      <c r="K2566" s="43">
        <f>K2565+Учет!F2566-F2566</f>
        <v>500000</v>
      </c>
      <c r="L2566" s="45">
        <f>Учет!I2566</f>
        <v>349526.07999999996</v>
      </c>
    </row>
    <row r="2567" spans="1:12" x14ac:dyDescent="0.25">
      <c r="A2567" s="48" t="str">
        <f>IF(Учет!A2567&lt;&gt;"",Учет!A2567,"")</f>
        <v/>
      </c>
      <c r="B2567" s="52">
        <f>IF(Учет!$O2567=Справочники!$F$2,Учет!$H2567,0)</f>
        <v>0</v>
      </c>
      <c r="C2567" s="52">
        <f>IF(Учет!$O2567=Справочники!$F$3,Учет!$H2567,0)</f>
        <v>0</v>
      </c>
      <c r="D2567" s="52">
        <f>IF(Учет!$O2567=Справочники!$F$4,Учет!$H2567,0)</f>
        <v>0</v>
      </c>
      <c r="E2567" s="52">
        <f>IF(Учет!$O2567=Справочники!$F$5,Учет!$H2567,0)</f>
        <v>0</v>
      </c>
      <c r="F2567" s="52">
        <f>IF(Учет!$O2567=Справочники!$F$6,Учет!$H2567,0)</f>
        <v>0</v>
      </c>
      <c r="G2567" s="43">
        <f>G2566+Учет!B2567-B2567</f>
        <v>-488978.92000000004</v>
      </c>
      <c r="H2567" s="43">
        <f>H2566+Учет!C2567-C2567</f>
        <v>336855</v>
      </c>
      <c r="I2567" s="43">
        <f>I2566+Учет!D2567-D2567</f>
        <v>500</v>
      </c>
      <c r="J2567" s="43">
        <f>J2566+Учет!E2567-E2567</f>
        <v>1150</v>
      </c>
      <c r="K2567" s="43">
        <f>K2566+Учет!F2567-F2567</f>
        <v>500000</v>
      </c>
      <c r="L2567" s="45">
        <f>Учет!I2567</f>
        <v>349526.07999999996</v>
      </c>
    </row>
    <row r="2568" spans="1:12" x14ac:dyDescent="0.25">
      <c r="A2568" s="48" t="str">
        <f>IF(Учет!A2568&lt;&gt;"",Учет!A2568,"")</f>
        <v/>
      </c>
      <c r="B2568" s="52">
        <f>IF(Учет!$O2568=Справочники!$F$2,Учет!$H2568,0)</f>
        <v>0</v>
      </c>
      <c r="C2568" s="52">
        <f>IF(Учет!$O2568=Справочники!$F$3,Учет!$H2568,0)</f>
        <v>0</v>
      </c>
      <c r="D2568" s="52">
        <f>IF(Учет!$O2568=Справочники!$F$4,Учет!$H2568,0)</f>
        <v>0</v>
      </c>
      <c r="E2568" s="52">
        <f>IF(Учет!$O2568=Справочники!$F$5,Учет!$H2568,0)</f>
        <v>0</v>
      </c>
      <c r="F2568" s="52">
        <f>IF(Учет!$O2568=Справочники!$F$6,Учет!$H2568,0)</f>
        <v>0</v>
      </c>
      <c r="G2568" s="43">
        <f>G2567+Учет!B2568-B2568</f>
        <v>-488978.92000000004</v>
      </c>
      <c r="H2568" s="43">
        <f>H2567+Учет!C2568-C2568</f>
        <v>336855</v>
      </c>
      <c r="I2568" s="43">
        <f>I2567+Учет!D2568-D2568</f>
        <v>500</v>
      </c>
      <c r="J2568" s="43">
        <f>J2567+Учет!E2568-E2568</f>
        <v>1150</v>
      </c>
      <c r="K2568" s="43">
        <f>K2567+Учет!F2568-F2568</f>
        <v>500000</v>
      </c>
      <c r="L2568" s="45">
        <f>Учет!I2568</f>
        <v>349526.07999999996</v>
      </c>
    </row>
    <row r="2569" spans="1:12" x14ac:dyDescent="0.25">
      <c r="A2569" s="48" t="str">
        <f>IF(Учет!A2569&lt;&gt;"",Учет!A2569,"")</f>
        <v/>
      </c>
      <c r="B2569" s="52">
        <f>IF(Учет!$O2569=Справочники!$F$2,Учет!$H2569,0)</f>
        <v>0</v>
      </c>
      <c r="C2569" s="52">
        <f>IF(Учет!$O2569=Справочники!$F$3,Учет!$H2569,0)</f>
        <v>0</v>
      </c>
      <c r="D2569" s="52">
        <f>IF(Учет!$O2569=Справочники!$F$4,Учет!$H2569,0)</f>
        <v>0</v>
      </c>
      <c r="E2569" s="52">
        <f>IF(Учет!$O2569=Справочники!$F$5,Учет!$H2569,0)</f>
        <v>0</v>
      </c>
      <c r="F2569" s="52">
        <f>IF(Учет!$O2569=Справочники!$F$6,Учет!$H2569,0)</f>
        <v>0</v>
      </c>
      <c r="G2569" s="43">
        <f>G2568+Учет!B2569-B2569</f>
        <v>-488978.92000000004</v>
      </c>
      <c r="H2569" s="43">
        <f>H2568+Учет!C2569-C2569</f>
        <v>336855</v>
      </c>
      <c r="I2569" s="43">
        <f>I2568+Учет!D2569-D2569</f>
        <v>500</v>
      </c>
      <c r="J2569" s="43">
        <f>J2568+Учет!E2569-E2569</f>
        <v>1150</v>
      </c>
      <c r="K2569" s="43">
        <f>K2568+Учет!F2569-F2569</f>
        <v>500000</v>
      </c>
      <c r="L2569" s="45">
        <f>Учет!I2569</f>
        <v>349526.07999999996</v>
      </c>
    </row>
    <row r="2570" spans="1:12" x14ac:dyDescent="0.25">
      <c r="A2570" s="48" t="str">
        <f>IF(Учет!A2570&lt;&gt;"",Учет!A2570,"")</f>
        <v/>
      </c>
      <c r="B2570" s="52">
        <f>IF(Учет!$O2570=Справочники!$F$2,Учет!$H2570,0)</f>
        <v>0</v>
      </c>
      <c r="C2570" s="52">
        <f>IF(Учет!$O2570=Справочники!$F$3,Учет!$H2570,0)</f>
        <v>0</v>
      </c>
      <c r="D2570" s="52">
        <f>IF(Учет!$O2570=Справочники!$F$4,Учет!$H2570,0)</f>
        <v>0</v>
      </c>
      <c r="E2570" s="52">
        <f>IF(Учет!$O2570=Справочники!$F$5,Учет!$H2570,0)</f>
        <v>0</v>
      </c>
      <c r="F2570" s="52">
        <f>IF(Учет!$O2570=Справочники!$F$6,Учет!$H2570,0)</f>
        <v>0</v>
      </c>
      <c r="G2570" s="43">
        <f>G2569+Учет!B2570-B2570</f>
        <v>-488978.92000000004</v>
      </c>
      <c r="H2570" s="43">
        <f>H2569+Учет!C2570-C2570</f>
        <v>336855</v>
      </c>
      <c r="I2570" s="43">
        <f>I2569+Учет!D2570-D2570</f>
        <v>500</v>
      </c>
      <c r="J2570" s="43">
        <f>J2569+Учет!E2570-E2570</f>
        <v>1150</v>
      </c>
      <c r="K2570" s="43">
        <f>K2569+Учет!F2570-F2570</f>
        <v>500000</v>
      </c>
      <c r="L2570" s="45">
        <f>Учет!I2570</f>
        <v>349526.07999999996</v>
      </c>
    </row>
    <row r="2571" spans="1:12" x14ac:dyDescent="0.25">
      <c r="A2571" s="48" t="str">
        <f>IF(Учет!A2571&lt;&gt;"",Учет!A2571,"")</f>
        <v/>
      </c>
      <c r="B2571" s="52">
        <f>IF(Учет!$O2571=Справочники!$F$2,Учет!$H2571,0)</f>
        <v>0</v>
      </c>
      <c r="C2571" s="52">
        <f>IF(Учет!$O2571=Справочники!$F$3,Учет!$H2571,0)</f>
        <v>0</v>
      </c>
      <c r="D2571" s="52">
        <f>IF(Учет!$O2571=Справочники!$F$4,Учет!$H2571,0)</f>
        <v>0</v>
      </c>
      <c r="E2571" s="52">
        <f>IF(Учет!$O2571=Справочники!$F$5,Учет!$H2571,0)</f>
        <v>0</v>
      </c>
      <c r="F2571" s="52">
        <f>IF(Учет!$O2571=Справочники!$F$6,Учет!$H2571,0)</f>
        <v>0</v>
      </c>
      <c r="G2571" s="43">
        <f>G2570+Учет!B2571-B2571</f>
        <v>-488978.92000000004</v>
      </c>
      <c r="H2571" s="43">
        <f>H2570+Учет!C2571-C2571</f>
        <v>336855</v>
      </c>
      <c r="I2571" s="43">
        <f>I2570+Учет!D2571-D2571</f>
        <v>500</v>
      </c>
      <c r="J2571" s="43">
        <f>J2570+Учет!E2571-E2571</f>
        <v>1150</v>
      </c>
      <c r="K2571" s="43">
        <f>K2570+Учет!F2571-F2571</f>
        <v>500000</v>
      </c>
      <c r="L2571" s="45">
        <f>Учет!I2571</f>
        <v>349526.07999999996</v>
      </c>
    </row>
    <row r="2572" spans="1:12" x14ac:dyDescent="0.25">
      <c r="A2572" s="48" t="str">
        <f>IF(Учет!A2572&lt;&gt;"",Учет!A2572,"")</f>
        <v/>
      </c>
      <c r="B2572" s="52">
        <f>IF(Учет!$O2572=Справочники!$F$2,Учет!$H2572,0)</f>
        <v>0</v>
      </c>
      <c r="C2572" s="52">
        <f>IF(Учет!$O2572=Справочники!$F$3,Учет!$H2572,0)</f>
        <v>0</v>
      </c>
      <c r="D2572" s="52">
        <f>IF(Учет!$O2572=Справочники!$F$4,Учет!$H2572,0)</f>
        <v>0</v>
      </c>
      <c r="E2572" s="52">
        <f>IF(Учет!$O2572=Справочники!$F$5,Учет!$H2572,0)</f>
        <v>0</v>
      </c>
      <c r="F2572" s="52">
        <f>IF(Учет!$O2572=Справочники!$F$6,Учет!$H2572,0)</f>
        <v>0</v>
      </c>
      <c r="G2572" s="43">
        <f>G2571+Учет!B2572-B2572</f>
        <v>-488978.92000000004</v>
      </c>
      <c r="H2572" s="43">
        <f>H2571+Учет!C2572-C2572</f>
        <v>336855</v>
      </c>
      <c r="I2572" s="43">
        <f>I2571+Учет!D2572-D2572</f>
        <v>500</v>
      </c>
      <c r="J2572" s="43">
        <f>J2571+Учет!E2572-E2572</f>
        <v>1150</v>
      </c>
      <c r="K2572" s="43">
        <f>K2571+Учет!F2572-F2572</f>
        <v>500000</v>
      </c>
      <c r="L2572" s="45">
        <f>Учет!I2572</f>
        <v>349526.07999999996</v>
      </c>
    </row>
    <row r="2573" spans="1:12" x14ac:dyDescent="0.25">
      <c r="A2573" s="48" t="str">
        <f>IF(Учет!A2573&lt;&gt;"",Учет!A2573,"")</f>
        <v/>
      </c>
      <c r="B2573" s="52">
        <f>IF(Учет!$O2573=Справочники!$F$2,Учет!$H2573,0)</f>
        <v>0</v>
      </c>
      <c r="C2573" s="52">
        <f>IF(Учет!$O2573=Справочники!$F$3,Учет!$H2573,0)</f>
        <v>0</v>
      </c>
      <c r="D2573" s="52">
        <f>IF(Учет!$O2573=Справочники!$F$4,Учет!$H2573,0)</f>
        <v>0</v>
      </c>
      <c r="E2573" s="52">
        <f>IF(Учет!$O2573=Справочники!$F$5,Учет!$H2573,0)</f>
        <v>0</v>
      </c>
      <c r="F2573" s="52">
        <f>IF(Учет!$O2573=Справочники!$F$6,Учет!$H2573,0)</f>
        <v>0</v>
      </c>
      <c r="G2573" s="43">
        <f>G2572+Учет!B2573-B2573</f>
        <v>-488978.92000000004</v>
      </c>
      <c r="H2573" s="43">
        <f>H2572+Учет!C2573-C2573</f>
        <v>336855</v>
      </c>
      <c r="I2573" s="43">
        <f>I2572+Учет!D2573-D2573</f>
        <v>500</v>
      </c>
      <c r="J2573" s="43">
        <f>J2572+Учет!E2573-E2573</f>
        <v>1150</v>
      </c>
      <c r="K2573" s="43">
        <f>K2572+Учет!F2573-F2573</f>
        <v>500000</v>
      </c>
      <c r="L2573" s="45">
        <f>Учет!I2573</f>
        <v>349526.07999999996</v>
      </c>
    </row>
    <row r="2574" spans="1:12" x14ac:dyDescent="0.25">
      <c r="A2574" s="48" t="str">
        <f>IF(Учет!A2574&lt;&gt;"",Учет!A2574,"")</f>
        <v/>
      </c>
      <c r="B2574" s="52">
        <f>IF(Учет!$O2574=Справочники!$F$2,Учет!$H2574,0)</f>
        <v>0</v>
      </c>
      <c r="C2574" s="52">
        <f>IF(Учет!$O2574=Справочники!$F$3,Учет!$H2574,0)</f>
        <v>0</v>
      </c>
      <c r="D2574" s="52">
        <f>IF(Учет!$O2574=Справочники!$F$4,Учет!$H2574,0)</f>
        <v>0</v>
      </c>
      <c r="E2574" s="52">
        <f>IF(Учет!$O2574=Справочники!$F$5,Учет!$H2574,0)</f>
        <v>0</v>
      </c>
      <c r="F2574" s="52">
        <f>IF(Учет!$O2574=Справочники!$F$6,Учет!$H2574,0)</f>
        <v>0</v>
      </c>
      <c r="G2574" s="43">
        <f>G2573+Учет!B2574-B2574</f>
        <v>-488978.92000000004</v>
      </c>
      <c r="H2574" s="43">
        <f>H2573+Учет!C2574-C2574</f>
        <v>336855</v>
      </c>
      <c r="I2574" s="43">
        <f>I2573+Учет!D2574-D2574</f>
        <v>500</v>
      </c>
      <c r="J2574" s="43">
        <f>J2573+Учет!E2574-E2574</f>
        <v>1150</v>
      </c>
      <c r="K2574" s="43">
        <f>K2573+Учет!F2574-F2574</f>
        <v>500000</v>
      </c>
      <c r="L2574" s="45">
        <f>Учет!I2574</f>
        <v>349526.07999999996</v>
      </c>
    </row>
    <row r="2575" spans="1:12" x14ac:dyDescent="0.25">
      <c r="A2575" s="48" t="str">
        <f>IF(Учет!A2575&lt;&gt;"",Учет!A2575,"")</f>
        <v/>
      </c>
      <c r="B2575" s="52">
        <f>IF(Учет!$O2575=Справочники!$F$2,Учет!$H2575,0)</f>
        <v>0</v>
      </c>
      <c r="C2575" s="52">
        <f>IF(Учет!$O2575=Справочники!$F$3,Учет!$H2575,0)</f>
        <v>0</v>
      </c>
      <c r="D2575" s="52">
        <f>IF(Учет!$O2575=Справочники!$F$4,Учет!$H2575,0)</f>
        <v>0</v>
      </c>
      <c r="E2575" s="52">
        <f>IF(Учет!$O2575=Справочники!$F$5,Учет!$H2575,0)</f>
        <v>0</v>
      </c>
      <c r="F2575" s="52">
        <f>IF(Учет!$O2575=Справочники!$F$6,Учет!$H2575,0)</f>
        <v>0</v>
      </c>
      <c r="G2575" s="43">
        <f>G2574+Учет!B2575-B2575</f>
        <v>-488978.92000000004</v>
      </c>
      <c r="H2575" s="43">
        <f>H2574+Учет!C2575-C2575</f>
        <v>336855</v>
      </c>
      <c r="I2575" s="43">
        <f>I2574+Учет!D2575-D2575</f>
        <v>500</v>
      </c>
      <c r="J2575" s="43">
        <f>J2574+Учет!E2575-E2575</f>
        <v>1150</v>
      </c>
      <c r="K2575" s="43">
        <f>K2574+Учет!F2575-F2575</f>
        <v>500000</v>
      </c>
      <c r="L2575" s="45">
        <f>Учет!I2575</f>
        <v>349526.07999999996</v>
      </c>
    </row>
    <row r="2576" spans="1:12" x14ac:dyDescent="0.25">
      <c r="A2576" s="48" t="str">
        <f>IF(Учет!A2576&lt;&gt;"",Учет!A2576,"")</f>
        <v/>
      </c>
      <c r="B2576" s="52">
        <f>IF(Учет!$O2576=Справочники!$F$2,Учет!$H2576,0)</f>
        <v>0</v>
      </c>
      <c r="C2576" s="52">
        <f>IF(Учет!$O2576=Справочники!$F$3,Учет!$H2576,0)</f>
        <v>0</v>
      </c>
      <c r="D2576" s="52">
        <f>IF(Учет!$O2576=Справочники!$F$4,Учет!$H2576,0)</f>
        <v>0</v>
      </c>
      <c r="E2576" s="52">
        <f>IF(Учет!$O2576=Справочники!$F$5,Учет!$H2576,0)</f>
        <v>0</v>
      </c>
      <c r="F2576" s="52">
        <f>IF(Учет!$O2576=Справочники!$F$6,Учет!$H2576,0)</f>
        <v>0</v>
      </c>
      <c r="G2576" s="43">
        <f>G2575+Учет!B2576-B2576</f>
        <v>-488978.92000000004</v>
      </c>
      <c r="H2576" s="43">
        <f>H2575+Учет!C2576-C2576</f>
        <v>336855</v>
      </c>
      <c r="I2576" s="43">
        <f>I2575+Учет!D2576-D2576</f>
        <v>500</v>
      </c>
      <c r="J2576" s="43">
        <f>J2575+Учет!E2576-E2576</f>
        <v>1150</v>
      </c>
      <c r="K2576" s="43">
        <f>K2575+Учет!F2576-F2576</f>
        <v>500000</v>
      </c>
      <c r="L2576" s="45">
        <f>Учет!I2576</f>
        <v>349526.07999999996</v>
      </c>
    </row>
    <row r="2577" spans="1:12" x14ac:dyDescent="0.25">
      <c r="A2577" s="48" t="str">
        <f>IF(Учет!A2577&lt;&gt;"",Учет!A2577,"")</f>
        <v/>
      </c>
      <c r="B2577" s="52">
        <f>IF(Учет!$O2577=Справочники!$F$2,Учет!$H2577,0)</f>
        <v>0</v>
      </c>
      <c r="C2577" s="52">
        <f>IF(Учет!$O2577=Справочники!$F$3,Учет!$H2577,0)</f>
        <v>0</v>
      </c>
      <c r="D2577" s="52">
        <f>IF(Учет!$O2577=Справочники!$F$4,Учет!$H2577,0)</f>
        <v>0</v>
      </c>
      <c r="E2577" s="52">
        <f>IF(Учет!$O2577=Справочники!$F$5,Учет!$H2577,0)</f>
        <v>0</v>
      </c>
      <c r="F2577" s="52">
        <f>IF(Учет!$O2577=Справочники!$F$6,Учет!$H2577,0)</f>
        <v>0</v>
      </c>
      <c r="G2577" s="43">
        <f>G2576+Учет!B2577-B2577</f>
        <v>-488978.92000000004</v>
      </c>
      <c r="H2577" s="43">
        <f>H2576+Учет!C2577-C2577</f>
        <v>336855</v>
      </c>
      <c r="I2577" s="43">
        <f>I2576+Учет!D2577-D2577</f>
        <v>500</v>
      </c>
      <c r="J2577" s="43">
        <f>J2576+Учет!E2577-E2577</f>
        <v>1150</v>
      </c>
      <c r="K2577" s="43">
        <f>K2576+Учет!F2577-F2577</f>
        <v>500000</v>
      </c>
      <c r="L2577" s="45">
        <f>Учет!I2577</f>
        <v>349526.07999999996</v>
      </c>
    </row>
    <row r="2578" spans="1:12" x14ac:dyDescent="0.25">
      <c r="A2578" s="48" t="str">
        <f>IF(Учет!A2578&lt;&gt;"",Учет!A2578,"")</f>
        <v/>
      </c>
      <c r="B2578" s="52">
        <f>IF(Учет!$O2578=Справочники!$F$2,Учет!$H2578,0)</f>
        <v>0</v>
      </c>
      <c r="C2578" s="52">
        <f>IF(Учет!$O2578=Справочники!$F$3,Учет!$H2578,0)</f>
        <v>0</v>
      </c>
      <c r="D2578" s="52">
        <f>IF(Учет!$O2578=Справочники!$F$4,Учет!$H2578,0)</f>
        <v>0</v>
      </c>
      <c r="E2578" s="52">
        <f>IF(Учет!$O2578=Справочники!$F$5,Учет!$H2578,0)</f>
        <v>0</v>
      </c>
      <c r="F2578" s="52">
        <f>IF(Учет!$O2578=Справочники!$F$6,Учет!$H2578,0)</f>
        <v>0</v>
      </c>
      <c r="G2578" s="43">
        <f>G2577+Учет!B2578-B2578</f>
        <v>-488978.92000000004</v>
      </c>
      <c r="H2578" s="43">
        <f>H2577+Учет!C2578-C2578</f>
        <v>336855</v>
      </c>
      <c r="I2578" s="43">
        <f>I2577+Учет!D2578-D2578</f>
        <v>500</v>
      </c>
      <c r="J2578" s="43">
        <f>J2577+Учет!E2578-E2578</f>
        <v>1150</v>
      </c>
      <c r="K2578" s="43">
        <f>K2577+Учет!F2578-F2578</f>
        <v>500000</v>
      </c>
      <c r="L2578" s="45">
        <f>Учет!I2578</f>
        <v>349526.07999999996</v>
      </c>
    </row>
    <row r="2579" spans="1:12" x14ac:dyDescent="0.25">
      <c r="A2579" s="48" t="str">
        <f>IF(Учет!A2579&lt;&gt;"",Учет!A2579,"")</f>
        <v/>
      </c>
      <c r="B2579" s="52">
        <f>IF(Учет!$O2579=Справочники!$F$2,Учет!$H2579,0)</f>
        <v>0</v>
      </c>
      <c r="C2579" s="52">
        <f>IF(Учет!$O2579=Справочники!$F$3,Учет!$H2579,0)</f>
        <v>0</v>
      </c>
      <c r="D2579" s="52">
        <f>IF(Учет!$O2579=Справочники!$F$4,Учет!$H2579,0)</f>
        <v>0</v>
      </c>
      <c r="E2579" s="52">
        <f>IF(Учет!$O2579=Справочники!$F$5,Учет!$H2579,0)</f>
        <v>0</v>
      </c>
      <c r="F2579" s="52">
        <f>IF(Учет!$O2579=Справочники!$F$6,Учет!$H2579,0)</f>
        <v>0</v>
      </c>
      <c r="G2579" s="43">
        <f>G2578+Учет!B2579-B2579</f>
        <v>-488978.92000000004</v>
      </c>
      <c r="H2579" s="43">
        <f>H2578+Учет!C2579-C2579</f>
        <v>336855</v>
      </c>
      <c r="I2579" s="43">
        <f>I2578+Учет!D2579-D2579</f>
        <v>500</v>
      </c>
      <c r="J2579" s="43">
        <f>J2578+Учет!E2579-E2579</f>
        <v>1150</v>
      </c>
      <c r="K2579" s="43">
        <f>K2578+Учет!F2579-F2579</f>
        <v>500000</v>
      </c>
      <c r="L2579" s="45">
        <f>Учет!I2579</f>
        <v>349526.07999999996</v>
      </c>
    </row>
    <row r="2580" spans="1:12" x14ac:dyDescent="0.25">
      <c r="A2580" s="48" t="str">
        <f>IF(Учет!A2580&lt;&gt;"",Учет!A2580,"")</f>
        <v/>
      </c>
      <c r="B2580" s="52">
        <f>IF(Учет!$O2580=Справочники!$F$2,Учет!$H2580,0)</f>
        <v>0</v>
      </c>
      <c r="C2580" s="52">
        <f>IF(Учет!$O2580=Справочники!$F$3,Учет!$H2580,0)</f>
        <v>0</v>
      </c>
      <c r="D2580" s="52">
        <f>IF(Учет!$O2580=Справочники!$F$4,Учет!$H2580,0)</f>
        <v>0</v>
      </c>
      <c r="E2580" s="52">
        <f>IF(Учет!$O2580=Справочники!$F$5,Учет!$H2580,0)</f>
        <v>0</v>
      </c>
      <c r="F2580" s="52">
        <f>IF(Учет!$O2580=Справочники!$F$6,Учет!$H2580,0)</f>
        <v>0</v>
      </c>
      <c r="G2580" s="43">
        <f>G2579+Учет!B2580-B2580</f>
        <v>-488978.92000000004</v>
      </c>
      <c r="H2580" s="43">
        <f>H2579+Учет!C2580-C2580</f>
        <v>336855</v>
      </c>
      <c r="I2580" s="43">
        <f>I2579+Учет!D2580-D2580</f>
        <v>500</v>
      </c>
      <c r="J2580" s="43">
        <f>J2579+Учет!E2580-E2580</f>
        <v>1150</v>
      </c>
      <c r="K2580" s="43">
        <f>K2579+Учет!F2580-F2580</f>
        <v>500000</v>
      </c>
      <c r="L2580" s="45">
        <f>Учет!I2580</f>
        <v>349526.07999999996</v>
      </c>
    </row>
    <row r="2581" spans="1:12" x14ac:dyDescent="0.25">
      <c r="A2581" s="48" t="str">
        <f>IF(Учет!A2581&lt;&gt;"",Учет!A2581,"")</f>
        <v/>
      </c>
      <c r="B2581" s="52">
        <f>IF(Учет!$O2581=Справочники!$F$2,Учет!$H2581,0)</f>
        <v>0</v>
      </c>
      <c r="C2581" s="52">
        <f>IF(Учет!$O2581=Справочники!$F$3,Учет!$H2581,0)</f>
        <v>0</v>
      </c>
      <c r="D2581" s="52">
        <f>IF(Учет!$O2581=Справочники!$F$4,Учет!$H2581,0)</f>
        <v>0</v>
      </c>
      <c r="E2581" s="52">
        <f>IF(Учет!$O2581=Справочники!$F$5,Учет!$H2581,0)</f>
        <v>0</v>
      </c>
      <c r="F2581" s="52">
        <f>IF(Учет!$O2581=Справочники!$F$6,Учет!$H2581,0)</f>
        <v>0</v>
      </c>
      <c r="G2581" s="43">
        <f>G2580+Учет!B2581-B2581</f>
        <v>-488978.92000000004</v>
      </c>
      <c r="H2581" s="43">
        <f>H2580+Учет!C2581-C2581</f>
        <v>336855</v>
      </c>
      <c r="I2581" s="43">
        <f>I2580+Учет!D2581-D2581</f>
        <v>500</v>
      </c>
      <c r="J2581" s="43">
        <f>J2580+Учет!E2581-E2581</f>
        <v>1150</v>
      </c>
      <c r="K2581" s="43">
        <f>K2580+Учет!F2581-F2581</f>
        <v>500000</v>
      </c>
      <c r="L2581" s="45">
        <f>Учет!I2581</f>
        <v>349526.07999999996</v>
      </c>
    </row>
    <row r="2582" spans="1:12" x14ac:dyDescent="0.25">
      <c r="A2582" s="48" t="str">
        <f>IF(Учет!A2582&lt;&gt;"",Учет!A2582,"")</f>
        <v/>
      </c>
      <c r="B2582" s="52">
        <f>IF(Учет!$O2582=Справочники!$F$2,Учет!$H2582,0)</f>
        <v>0</v>
      </c>
      <c r="C2582" s="52">
        <f>IF(Учет!$O2582=Справочники!$F$3,Учет!$H2582,0)</f>
        <v>0</v>
      </c>
      <c r="D2582" s="52">
        <f>IF(Учет!$O2582=Справочники!$F$4,Учет!$H2582,0)</f>
        <v>0</v>
      </c>
      <c r="E2582" s="52">
        <f>IF(Учет!$O2582=Справочники!$F$5,Учет!$H2582,0)</f>
        <v>0</v>
      </c>
      <c r="F2582" s="52">
        <f>IF(Учет!$O2582=Справочники!$F$6,Учет!$H2582,0)</f>
        <v>0</v>
      </c>
      <c r="G2582" s="43">
        <f>G2581+Учет!B2582-B2582</f>
        <v>-488978.92000000004</v>
      </c>
      <c r="H2582" s="43">
        <f>H2581+Учет!C2582-C2582</f>
        <v>336855</v>
      </c>
      <c r="I2582" s="43">
        <f>I2581+Учет!D2582-D2582</f>
        <v>500</v>
      </c>
      <c r="J2582" s="43">
        <f>J2581+Учет!E2582-E2582</f>
        <v>1150</v>
      </c>
      <c r="K2582" s="43">
        <f>K2581+Учет!F2582-F2582</f>
        <v>500000</v>
      </c>
      <c r="L2582" s="45">
        <f>Учет!I2582</f>
        <v>349526.07999999996</v>
      </c>
    </row>
    <row r="2583" spans="1:12" x14ac:dyDescent="0.25">
      <c r="A2583" s="48" t="str">
        <f>IF(Учет!A2583&lt;&gt;"",Учет!A2583,"")</f>
        <v/>
      </c>
      <c r="B2583" s="52">
        <f>IF(Учет!$O2583=Справочники!$F$2,Учет!$H2583,0)</f>
        <v>0</v>
      </c>
      <c r="C2583" s="52">
        <f>IF(Учет!$O2583=Справочники!$F$3,Учет!$H2583,0)</f>
        <v>0</v>
      </c>
      <c r="D2583" s="52">
        <f>IF(Учет!$O2583=Справочники!$F$4,Учет!$H2583,0)</f>
        <v>0</v>
      </c>
      <c r="E2583" s="52">
        <f>IF(Учет!$O2583=Справочники!$F$5,Учет!$H2583,0)</f>
        <v>0</v>
      </c>
      <c r="F2583" s="52">
        <f>IF(Учет!$O2583=Справочники!$F$6,Учет!$H2583,0)</f>
        <v>0</v>
      </c>
      <c r="G2583" s="43">
        <f>G2582+Учет!B2583-B2583</f>
        <v>-488978.92000000004</v>
      </c>
      <c r="H2583" s="43">
        <f>H2582+Учет!C2583-C2583</f>
        <v>336855</v>
      </c>
      <c r="I2583" s="43">
        <f>I2582+Учет!D2583-D2583</f>
        <v>500</v>
      </c>
      <c r="J2583" s="43">
        <f>J2582+Учет!E2583-E2583</f>
        <v>1150</v>
      </c>
      <c r="K2583" s="43">
        <f>K2582+Учет!F2583-F2583</f>
        <v>500000</v>
      </c>
      <c r="L2583" s="45">
        <f>Учет!I2583</f>
        <v>349526.07999999996</v>
      </c>
    </row>
    <row r="2584" spans="1:12" x14ac:dyDescent="0.25">
      <c r="A2584" s="48" t="str">
        <f>IF(Учет!A2584&lt;&gt;"",Учет!A2584,"")</f>
        <v/>
      </c>
      <c r="B2584" s="52">
        <f>IF(Учет!$O2584=Справочники!$F$2,Учет!$H2584,0)</f>
        <v>0</v>
      </c>
      <c r="C2584" s="52">
        <f>IF(Учет!$O2584=Справочники!$F$3,Учет!$H2584,0)</f>
        <v>0</v>
      </c>
      <c r="D2584" s="52">
        <f>IF(Учет!$O2584=Справочники!$F$4,Учет!$H2584,0)</f>
        <v>0</v>
      </c>
      <c r="E2584" s="52">
        <f>IF(Учет!$O2584=Справочники!$F$5,Учет!$H2584,0)</f>
        <v>0</v>
      </c>
      <c r="F2584" s="52">
        <f>IF(Учет!$O2584=Справочники!$F$6,Учет!$H2584,0)</f>
        <v>0</v>
      </c>
      <c r="G2584" s="43">
        <f>G2583+Учет!B2584-B2584</f>
        <v>-488978.92000000004</v>
      </c>
      <c r="H2584" s="43">
        <f>H2583+Учет!C2584-C2584</f>
        <v>336855</v>
      </c>
      <c r="I2584" s="43">
        <f>I2583+Учет!D2584-D2584</f>
        <v>500</v>
      </c>
      <c r="J2584" s="43">
        <f>J2583+Учет!E2584-E2584</f>
        <v>1150</v>
      </c>
      <c r="K2584" s="43">
        <f>K2583+Учет!F2584-F2584</f>
        <v>500000</v>
      </c>
      <c r="L2584" s="45">
        <f>Учет!I2584</f>
        <v>349526.07999999996</v>
      </c>
    </row>
    <row r="2585" spans="1:12" x14ac:dyDescent="0.25">
      <c r="A2585" s="48" t="str">
        <f>IF(Учет!A2585&lt;&gt;"",Учет!A2585,"")</f>
        <v/>
      </c>
      <c r="B2585" s="52">
        <f>IF(Учет!$O2585=Справочники!$F$2,Учет!$H2585,0)</f>
        <v>0</v>
      </c>
      <c r="C2585" s="52">
        <f>IF(Учет!$O2585=Справочники!$F$3,Учет!$H2585,0)</f>
        <v>0</v>
      </c>
      <c r="D2585" s="52">
        <f>IF(Учет!$O2585=Справочники!$F$4,Учет!$H2585,0)</f>
        <v>0</v>
      </c>
      <c r="E2585" s="52">
        <f>IF(Учет!$O2585=Справочники!$F$5,Учет!$H2585,0)</f>
        <v>0</v>
      </c>
      <c r="F2585" s="52">
        <f>IF(Учет!$O2585=Справочники!$F$6,Учет!$H2585,0)</f>
        <v>0</v>
      </c>
      <c r="G2585" s="43">
        <f>G2584+Учет!B2585-B2585</f>
        <v>-488978.92000000004</v>
      </c>
      <c r="H2585" s="43">
        <f>H2584+Учет!C2585-C2585</f>
        <v>336855</v>
      </c>
      <c r="I2585" s="43">
        <f>I2584+Учет!D2585-D2585</f>
        <v>500</v>
      </c>
      <c r="J2585" s="43">
        <f>J2584+Учет!E2585-E2585</f>
        <v>1150</v>
      </c>
      <c r="K2585" s="43">
        <f>K2584+Учет!F2585-F2585</f>
        <v>500000</v>
      </c>
      <c r="L2585" s="45">
        <f>Учет!I2585</f>
        <v>349526.07999999996</v>
      </c>
    </row>
    <row r="2586" spans="1:12" x14ac:dyDescent="0.25">
      <c r="A2586" s="48" t="str">
        <f>IF(Учет!A2586&lt;&gt;"",Учет!A2586,"")</f>
        <v/>
      </c>
      <c r="B2586" s="52">
        <f>IF(Учет!$O2586=Справочники!$F$2,Учет!$H2586,0)</f>
        <v>0</v>
      </c>
      <c r="C2586" s="52">
        <f>IF(Учет!$O2586=Справочники!$F$3,Учет!$H2586,0)</f>
        <v>0</v>
      </c>
      <c r="D2586" s="52">
        <f>IF(Учет!$O2586=Справочники!$F$4,Учет!$H2586,0)</f>
        <v>0</v>
      </c>
      <c r="E2586" s="52">
        <f>IF(Учет!$O2586=Справочники!$F$5,Учет!$H2586,0)</f>
        <v>0</v>
      </c>
      <c r="F2586" s="52">
        <f>IF(Учет!$O2586=Справочники!$F$6,Учет!$H2586,0)</f>
        <v>0</v>
      </c>
      <c r="G2586" s="43">
        <f>G2585+Учет!B2586-B2586</f>
        <v>-488978.92000000004</v>
      </c>
      <c r="H2586" s="43">
        <f>H2585+Учет!C2586-C2586</f>
        <v>336855</v>
      </c>
      <c r="I2586" s="43">
        <f>I2585+Учет!D2586-D2586</f>
        <v>500</v>
      </c>
      <c r="J2586" s="43">
        <f>J2585+Учет!E2586-E2586</f>
        <v>1150</v>
      </c>
      <c r="K2586" s="43">
        <f>K2585+Учет!F2586-F2586</f>
        <v>500000</v>
      </c>
      <c r="L2586" s="45">
        <f>Учет!I2586</f>
        <v>349526.07999999996</v>
      </c>
    </row>
    <row r="2587" spans="1:12" x14ac:dyDescent="0.25">
      <c r="A2587" s="48" t="str">
        <f>IF(Учет!A2587&lt;&gt;"",Учет!A2587,"")</f>
        <v/>
      </c>
      <c r="B2587" s="52">
        <f>IF(Учет!$O2587=Справочники!$F$2,Учет!$H2587,0)</f>
        <v>0</v>
      </c>
      <c r="C2587" s="52">
        <f>IF(Учет!$O2587=Справочники!$F$3,Учет!$H2587,0)</f>
        <v>0</v>
      </c>
      <c r="D2587" s="52">
        <f>IF(Учет!$O2587=Справочники!$F$4,Учет!$H2587,0)</f>
        <v>0</v>
      </c>
      <c r="E2587" s="52">
        <f>IF(Учет!$O2587=Справочники!$F$5,Учет!$H2587,0)</f>
        <v>0</v>
      </c>
      <c r="F2587" s="52">
        <f>IF(Учет!$O2587=Справочники!$F$6,Учет!$H2587,0)</f>
        <v>0</v>
      </c>
      <c r="G2587" s="43">
        <f>G2586+Учет!B2587-B2587</f>
        <v>-488978.92000000004</v>
      </c>
      <c r="H2587" s="43">
        <f>H2586+Учет!C2587-C2587</f>
        <v>336855</v>
      </c>
      <c r="I2587" s="43">
        <f>I2586+Учет!D2587-D2587</f>
        <v>500</v>
      </c>
      <c r="J2587" s="43">
        <f>J2586+Учет!E2587-E2587</f>
        <v>1150</v>
      </c>
      <c r="K2587" s="43">
        <f>K2586+Учет!F2587-F2587</f>
        <v>500000</v>
      </c>
      <c r="L2587" s="45">
        <f>Учет!I2587</f>
        <v>349526.07999999996</v>
      </c>
    </row>
    <row r="2588" spans="1:12" x14ac:dyDescent="0.25">
      <c r="A2588" s="48" t="str">
        <f>IF(Учет!A2588&lt;&gt;"",Учет!A2588,"")</f>
        <v/>
      </c>
      <c r="B2588" s="52">
        <f>IF(Учет!$O2588=Справочники!$F$2,Учет!$H2588,0)</f>
        <v>0</v>
      </c>
      <c r="C2588" s="52">
        <f>IF(Учет!$O2588=Справочники!$F$3,Учет!$H2588,0)</f>
        <v>0</v>
      </c>
      <c r="D2588" s="52">
        <f>IF(Учет!$O2588=Справочники!$F$4,Учет!$H2588,0)</f>
        <v>0</v>
      </c>
      <c r="E2588" s="52">
        <f>IF(Учет!$O2588=Справочники!$F$5,Учет!$H2588,0)</f>
        <v>0</v>
      </c>
      <c r="F2588" s="52">
        <f>IF(Учет!$O2588=Справочники!$F$6,Учет!$H2588,0)</f>
        <v>0</v>
      </c>
      <c r="G2588" s="43">
        <f>G2587+Учет!B2588-B2588</f>
        <v>-488978.92000000004</v>
      </c>
      <c r="H2588" s="43">
        <f>H2587+Учет!C2588-C2588</f>
        <v>336855</v>
      </c>
      <c r="I2588" s="43">
        <f>I2587+Учет!D2588-D2588</f>
        <v>500</v>
      </c>
      <c r="J2588" s="43">
        <f>J2587+Учет!E2588-E2588</f>
        <v>1150</v>
      </c>
      <c r="K2588" s="43">
        <f>K2587+Учет!F2588-F2588</f>
        <v>500000</v>
      </c>
      <c r="L2588" s="45">
        <f>Учет!I2588</f>
        <v>349526.07999999996</v>
      </c>
    </row>
    <row r="2589" spans="1:12" x14ac:dyDescent="0.25">
      <c r="A2589" s="48" t="str">
        <f>IF(Учет!A2589&lt;&gt;"",Учет!A2589,"")</f>
        <v/>
      </c>
      <c r="B2589" s="52">
        <f>IF(Учет!$O2589=Справочники!$F$2,Учет!$H2589,0)</f>
        <v>0</v>
      </c>
      <c r="C2589" s="52">
        <f>IF(Учет!$O2589=Справочники!$F$3,Учет!$H2589,0)</f>
        <v>0</v>
      </c>
      <c r="D2589" s="52">
        <f>IF(Учет!$O2589=Справочники!$F$4,Учет!$H2589,0)</f>
        <v>0</v>
      </c>
      <c r="E2589" s="52">
        <f>IF(Учет!$O2589=Справочники!$F$5,Учет!$H2589,0)</f>
        <v>0</v>
      </c>
      <c r="F2589" s="52">
        <f>IF(Учет!$O2589=Справочники!$F$6,Учет!$H2589,0)</f>
        <v>0</v>
      </c>
      <c r="G2589" s="43">
        <f>G2588+Учет!B2589-B2589</f>
        <v>-488978.92000000004</v>
      </c>
      <c r="H2589" s="43">
        <f>H2588+Учет!C2589-C2589</f>
        <v>336855</v>
      </c>
      <c r="I2589" s="43">
        <f>I2588+Учет!D2589-D2589</f>
        <v>500</v>
      </c>
      <c r="J2589" s="43">
        <f>J2588+Учет!E2589-E2589</f>
        <v>1150</v>
      </c>
      <c r="K2589" s="43">
        <f>K2588+Учет!F2589-F2589</f>
        <v>500000</v>
      </c>
      <c r="L2589" s="45">
        <f>Учет!I2589</f>
        <v>349526.07999999996</v>
      </c>
    </row>
    <row r="2590" spans="1:12" x14ac:dyDescent="0.25">
      <c r="A2590" s="48" t="str">
        <f>IF(Учет!A2590&lt;&gt;"",Учет!A2590,"")</f>
        <v/>
      </c>
      <c r="B2590" s="52">
        <f>IF(Учет!$O2590=Справочники!$F$2,Учет!$H2590,0)</f>
        <v>0</v>
      </c>
      <c r="C2590" s="52">
        <f>IF(Учет!$O2590=Справочники!$F$3,Учет!$H2590,0)</f>
        <v>0</v>
      </c>
      <c r="D2590" s="52">
        <f>IF(Учет!$O2590=Справочники!$F$4,Учет!$H2590,0)</f>
        <v>0</v>
      </c>
      <c r="E2590" s="52">
        <f>IF(Учет!$O2590=Справочники!$F$5,Учет!$H2590,0)</f>
        <v>0</v>
      </c>
      <c r="F2590" s="52">
        <f>IF(Учет!$O2590=Справочники!$F$6,Учет!$H2590,0)</f>
        <v>0</v>
      </c>
      <c r="G2590" s="43">
        <f>G2589+Учет!B2590-B2590</f>
        <v>-488978.92000000004</v>
      </c>
      <c r="H2590" s="43">
        <f>H2589+Учет!C2590-C2590</f>
        <v>336855</v>
      </c>
      <c r="I2590" s="43">
        <f>I2589+Учет!D2590-D2590</f>
        <v>500</v>
      </c>
      <c r="J2590" s="43">
        <f>J2589+Учет!E2590-E2590</f>
        <v>1150</v>
      </c>
      <c r="K2590" s="43">
        <f>K2589+Учет!F2590-F2590</f>
        <v>500000</v>
      </c>
      <c r="L2590" s="45">
        <f>Учет!I2590</f>
        <v>349526.07999999996</v>
      </c>
    </row>
    <row r="2591" spans="1:12" x14ac:dyDescent="0.25">
      <c r="A2591" s="48" t="str">
        <f>IF(Учет!A2591&lt;&gt;"",Учет!A2591,"")</f>
        <v/>
      </c>
      <c r="B2591" s="52">
        <f>IF(Учет!$O2591=Справочники!$F$2,Учет!$H2591,0)</f>
        <v>0</v>
      </c>
      <c r="C2591" s="52">
        <f>IF(Учет!$O2591=Справочники!$F$3,Учет!$H2591,0)</f>
        <v>0</v>
      </c>
      <c r="D2591" s="52">
        <f>IF(Учет!$O2591=Справочники!$F$4,Учет!$H2591,0)</f>
        <v>0</v>
      </c>
      <c r="E2591" s="52">
        <f>IF(Учет!$O2591=Справочники!$F$5,Учет!$H2591,0)</f>
        <v>0</v>
      </c>
      <c r="F2591" s="52">
        <f>IF(Учет!$O2591=Справочники!$F$6,Учет!$H2591,0)</f>
        <v>0</v>
      </c>
      <c r="G2591" s="43">
        <f>G2590+Учет!B2591-B2591</f>
        <v>-488978.92000000004</v>
      </c>
      <c r="H2591" s="43">
        <f>H2590+Учет!C2591-C2591</f>
        <v>336855</v>
      </c>
      <c r="I2591" s="43">
        <f>I2590+Учет!D2591-D2591</f>
        <v>500</v>
      </c>
      <c r="J2591" s="43">
        <f>J2590+Учет!E2591-E2591</f>
        <v>1150</v>
      </c>
      <c r="K2591" s="43">
        <f>K2590+Учет!F2591-F2591</f>
        <v>500000</v>
      </c>
      <c r="L2591" s="45">
        <f>Учет!I2591</f>
        <v>349526.07999999996</v>
      </c>
    </row>
    <row r="2592" spans="1:12" x14ac:dyDescent="0.25">
      <c r="A2592" s="48" t="str">
        <f>IF(Учет!A2592&lt;&gt;"",Учет!A2592,"")</f>
        <v/>
      </c>
      <c r="B2592" s="52">
        <f>IF(Учет!$O2592=Справочники!$F$2,Учет!$H2592,0)</f>
        <v>0</v>
      </c>
      <c r="C2592" s="52">
        <f>IF(Учет!$O2592=Справочники!$F$3,Учет!$H2592,0)</f>
        <v>0</v>
      </c>
      <c r="D2592" s="52">
        <f>IF(Учет!$O2592=Справочники!$F$4,Учет!$H2592,0)</f>
        <v>0</v>
      </c>
      <c r="E2592" s="52">
        <f>IF(Учет!$O2592=Справочники!$F$5,Учет!$H2592,0)</f>
        <v>0</v>
      </c>
      <c r="F2592" s="52">
        <f>IF(Учет!$O2592=Справочники!$F$6,Учет!$H2592,0)</f>
        <v>0</v>
      </c>
      <c r="G2592" s="43">
        <f>G2591+Учет!B2592-B2592</f>
        <v>-488978.92000000004</v>
      </c>
      <c r="H2592" s="43">
        <f>H2591+Учет!C2592-C2592</f>
        <v>336855</v>
      </c>
      <c r="I2592" s="43">
        <f>I2591+Учет!D2592-D2592</f>
        <v>500</v>
      </c>
      <c r="J2592" s="43">
        <f>J2591+Учет!E2592-E2592</f>
        <v>1150</v>
      </c>
      <c r="K2592" s="43">
        <f>K2591+Учет!F2592-F2592</f>
        <v>500000</v>
      </c>
      <c r="L2592" s="45">
        <f>Учет!I2592</f>
        <v>349526.07999999996</v>
      </c>
    </row>
    <row r="2593" spans="1:12" x14ac:dyDescent="0.25">
      <c r="A2593" s="48" t="str">
        <f>IF(Учет!A2593&lt;&gt;"",Учет!A2593,"")</f>
        <v/>
      </c>
      <c r="B2593" s="52">
        <f>IF(Учет!$O2593=Справочники!$F$2,Учет!$H2593,0)</f>
        <v>0</v>
      </c>
      <c r="C2593" s="52">
        <f>IF(Учет!$O2593=Справочники!$F$3,Учет!$H2593,0)</f>
        <v>0</v>
      </c>
      <c r="D2593" s="52">
        <f>IF(Учет!$O2593=Справочники!$F$4,Учет!$H2593,0)</f>
        <v>0</v>
      </c>
      <c r="E2593" s="52">
        <f>IF(Учет!$O2593=Справочники!$F$5,Учет!$H2593,0)</f>
        <v>0</v>
      </c>
      <c r="F2593" s="52">
        <f>IF(Учет!$O2593=Справочники!$F$6,Учет!$H2593,0)</f>
        <v>0</v>
      </c>
      <c r="G2593" s="43">
        <f>G2592+Учет!B2593-B2593</f>
        <v>-488978.92000000004</v>
      </c>
      <c r="H2593" s="43">
        <f>H2592+Учет!C2593-C2593</f>
        <v>336855</v>
      </c>
      <c r="I2593" s="43">
        <f>I2592+Учет!D2593-D2593</f>
        <v>500</v>
      </c>
      <c r="J2593" s="43">
        <f>J2592+Учет!E2593-E2593</f>
        <v>1150</v>
      </c>
      <c r="K2593" s="43">
        <f>K2592+Учет!F2593-F2593</f>
        <v>500000</v>
      </c>
      <c r="L2593" s="45">
        <f>Учет!I2593</f>
        <v>349526.07999999996</v>
      </c>
    </row>
    <row r="2594" spans="1:12" x14ac:dyDescent="0.25">
      <c r="A2594" s="48" t="str">
        <f>IF(Учет!A2594&lt;&gt;"",Учет!A2594,"")</f>
        <v/>
      </c>
      <c r="B2594" s="52">
        <f>IF(Учет!$O2594=Справочники!$F$2,Учет!$H2594,0)</f>
        <v>0</v>
      </c>
      <c r="C2594" s="52">
        <f>IF(Учет!$O2594=Справочники!$F$3,Учет!$H2594,0)</f>
        <v>0</v>
      </c>
      <c r="D2594" s="52">
        <f>IF(Учет!$O2594=Справочники!$F$4,Учет!$H2594,0)</f>
        <v>0</v>
      </c>
      <c r="E2594" s="52">
        <f>IF(Учет!$O2594=Справочники!$F$5,Учет!$H2594,0)</f>
        <v>0</v>
      </c>
      <c r="F2594" s="52">
        <f>IF(Учет!$O2594=Справочники!$F$6,Учет!$H2594,0)</f>
        <v>0</v>
      </c>
      <c r="G2594" s="43">
        <f>G2593+Учет!B2594-B2594</f>
        <v>-488978.92000000004</v>
      </c>
      <c r="H2594" s="43">
        <f>H2593+Учет!C2594-C2594</f>
        <v>336855</v>
      </c>
      <c r="I2594" s="43">
        <f>I2593+Учет!D2594-D2594</f>
        <v>500</v>
      </c>
      <c r="J2594" s="43">
        <f>J2593+Учет!E2594-E2594</f>
        <v>1150</v>
      </c>
      <c r="K2594" s="43">
        <f>K2593+Учет!F2594-F2594</f>
        <v>500000</v>
      </c>
      <c r="L2594" s="45">
        <f>Учет!I2594</f>
        <v>349526.07999999996</v>
      </c>
    </row>
    <row r="2595" spans="1:12" x14ac:dyDescent="0.25">
      <c r="A2595" s="48" t="str">
        <f>IF(Учет!A2595&lt;&gt;"",Учет!A2595,"")</f>
        <v/>
      </c>
      <c r="B2595" s="52">
        <f>IF(Учет!$O2595=Справочники!$F$2,Учет!$H2595,0)</f>
        <v>0</v>
      </c>
      <c r="C2595" s="52">
        <f>IF(Учет!$O2595=Справочники!$F$3,Учет!$H2595,0)</f>
        <v>0</v>
      </c>
      <c r="D2595" s="52">
        <f>IF(Учет!$O2595=Справочники!$F$4,Учет!$H2595,0)</f>
        <v>0</v>
      </c>
      <c r="E2595" s="52">
        <f>IF(Учет!$O2595=Справочники!$F$5,Учет!$H2595,0)</f>
        <v>0</v>
      </c>
      <c r="F2595" s="52">
        <f>IF(Учет!$O2595=Справочники!$F$6,Учет!$H2595,0)</f>
        <v>0</v>
      </c>
      <c r="G2595" s="43">
        <f>G2594+Учет!B2595-B2595</f>
        <v>-488978.92000000004</v>
      </c>
      <c r="H2595" s="43">
        <f>H2594+Учет!C2595-C2595</f>
        <v>336855</v>
      </c>
      <c r="I2595" s="43">
        <f>I2594+Учет!D2595-D2595</f>
        <v>500</v>
      </c>
      <c r="J2595" s="43">
        <f>J2594+Учет!E2595-E2595</f>
        <v>1150</v>
      </c>
      <c r="K2595" s="43">
        <f>K2594+Учет!F2595-F2595</f>
        <v>500000</v>
      </c>
      <c r="L2595" s="45">
        <f>Учет!I2595</f>
        <v>349526.07999999996</v>
      </c>
    </row>
    <row r="2596" spans="1:12" x14ac:dyDescent="0.25">
      <c r="A2596" s="48" t="str">
        <f>IF(Учет!A2596&lt;&gt;"",Учет!A2596,"")</f>
        <v/>
      </c>
      <c r="B2596" s="52">
        <f>IF(Учет!$O2596=Справочники!$F$2,Учет!$H2596,0)</f>
        <v>0</v>
      </c>
      <c r="C2596" s="52">
        <f>IF(Учет!$O2596=Справочники!$F$3,Учет!$H2596,0)</f>
        <v>0</v>
      </c>
      <c r="D2596" s="52">
        <f>IF(Учет!$O2596=Справочники!$F$4,Учет!$H2596,0)</f>
        <v>0</v>
      </c>
      <c r="E2596" s="52">
        <f>IF(Учет!$O2596=Справочники!$F$5,Учет!$H2596,0)</f>
        <v>0</v>
      </c>
      <c r="F2596" s="52">
        <f>IF(Учет!$O2596=Справочники!$F$6,Учет!$H2596,0)</f>
        <v>0</v>
      </c>
      <c r="G2596" s="43">
        <f>G2595+Учет!B2596-B2596</f>
        <v>-488978.92000000004</v>
      </c>
      <c r="H2596" s="43">
        <f>H2595+Учет!C2596-C2596</f>
        <v>336855</v>
      </c>
      <c r="I2596" s="43">
        <f>I2595+Учет!D2596-D2596</f>
        <v>500</v>
      </c>
      <c r="J2596" s="43">
        <f>J2595+Учет!E2596-E2596</f>
        <v>1150</v>
      </c>
      <c r="K2596" s="43">
        <f>K2595+Учет!F2596-F2596</f>
        <v>500000</v>
      </c>
      <c r="L2596" s="45">
        <f>Учет!I2596</f>
        <v>349526.07999999996</v>
      </c>
    </row>
    <row r="2597" spans="1:12" x14ac:dyDescent="0.25">
      <c r="A2597" s="48" t="str">
        <f>IF(Учет!A2597&lt;&gt;"",Учет!A2597,"")</f>
        <v/>
      </c>
      <c r="B2597" s="52">
        <f>IF(Учет!$O2597=Справочники!$F$2,Учет!$H2597,0)</f>
        <v>0</v>
      </c>
      <c r="C2597" s="52">
        <f>IF(Учет!$O2597=Справочники!$F$3,Учет!$H2597,0)</f>
        <v>0</v>
      </c>
      <c r="D2597" s="52">
        <f>IF(Учет!$O2597=Справочники!$F$4,Учет!$H2597,0)</f>
        <v>0</v>
      </c>
      <c r="E2597" s="52">
        <f>IF(Учет!$O2597=Справочники!$F$5,Учет!$H2597,0)</f>
        <v>0</v>
      </c>
      <c r="F2597" s="52">
        <f>IF(Учет!$O2597=Справочники!$F$6,Учет!$H2597,0)</f>
        <v>0</v>
      </c>
      <c r="G2597" s="43">
        <f>G2596+Учет!B2597-B2597</f>
        <v>-488978.92000000004</v>
      </c>
      <c r="H2597" s="43">
        <f>H2596+Учет!C2597-C2597</f>
        <v>336855</v>
      </c>
      <c r="I2597" s="43">
        <f>I2596+Учет!D2597-D2597</f>
        <v>500</v>
      </c>
      <c r="J2597" s="43">
        <f>J2596+Учет!E2597-E2597</f>
        <v>1150</v>
      </c>
      <c r="K2597" s="43">
        <f>K2596+Учет!F2597-F2597</f>
        <v>500000</v>
      </c>
      <c r="L2597" s="45">
        <f>Учет!I2597</f>
        <v>349526.07999999996</v>
      </c>
    </row>
    <row r="2598" spans="1:12" x14ac:dyDescent="0.25">
      <c r="A2598" s="48" t="str">
        <f>IF(Учет!A2598&lt;&gt;"",Учет!A2598,"")</f>
        <v/>
      </c>
      <c r="B2598" s="52">
        <f>IF(Учет!$O2598=Справочники!$F$2,Учет!$H2598,0)</f>
        <v>0</v>
      </c>
      <c r="C2598" s="52">
        <f>IF(Учет!$O2598=Справочники!$F$3,Учет!$H2598,0)</f>
        <v>0</v>
      </c>
      <c r="D2598" s="52">
        <f>IF(Учет!$O2598=Справочники!$F$4,Учет!$H2598,0)</f>
        <v>0</v>
      </c>
      <c r="E2598" s="52">
        <f>IF(Учет!$O2598=Справочники!$F$5,Учет!$H2598,0)</f>
        <v>0</v>
      </c>
      <c r="F2598" s="52">
        <f>IF(Учет!$O2598=Справочники!$F$6,Учет!$H2598,0)</f>
        <v>0</v>
      </c>
      <c r="G2598" s="43">
        <f>G2597+Учет!B2598-B2598</f>
        <v>-488978.92000000004</v>
      </c>
      <c r="H2598" s="43">
        <f>H2597+Учет!C2598-C2598</f>
        <v>336855</v>
      </c>
      <c r="I2598" s="43">
        <f>I2597+Учет!D2598-D2598</f>
        <v>500</v>
      </c>
      <c r="J2598" s="43">
        <f>J2597+Учет!E2598-E2598</f>
        <v>1150</v>
      </c>
      <c r="K2598" s="43">
        <f>K2597+Учет!F2598-F2598</f>
        <v>500000</v>
      </c>
      <c r="L2598" s="45">
        <f>Учет!I2598</f>
        <v>349526.07999999996</v>
      </c>
    </row>
    <row r="2599" spans="1:12" x14ac:dyDescent="0.25">
      <c r="A2599" s="48" t="str">
        <f>IF(Учет!A2599&lt;&gt;"",Учет!A2599,"")</f>
        <v/>
      </c>
      <c r="B2599" s="52">
        <f>IF(Учет!$O2599=Справочники!$F$2,Учет!$H2599,0)</f>
        <v>0</v>
      </c>
      <c r="C2599" s="52">
        <f>IF(Учет!$O2599=Справочники!$F$3,Учет!$H2599,0)</f>
        <v>0</v>
      </c>
      <c r="D2599" s="52">
        <f>IF(Учет!$O2599=Справочники!$F$4,Учет!$H2599,0)</f>
        <v>0</v>
      </c>
      <c r="E2599" s="52">
        <f>IF(Учет!$O2599=Справочники!$F$5,Учет!$H2599,0)</f>
        <v>0</v>
      </c>
      <c r="F2599" s="52">
        <f>IF(Учет!$O2599=Справочники!$F$6,Учет!$H2599,0)</f>
        <v>0</v>
      </c>
      <c r="G2599" s="43">
        <f>G2598+Учет!B2599-B2599</f>
        <v>-488978.92000000004</v>
      </c>
      <c r="H2599" s="43">
        <f>H2598+Учет!C2599-C2599</f>
        <v>336855</v>
      </c>
      <c r="I2599" s="43">
        <f>I2598+Учет!D2599-D2599</f>
        <v>500</v>
      </c>
      <c r="J2599" s="43">
        <f>J2598+Учет!E2599-E2599</f>
        <v>1150</v>
      </c>
      <c r="K2599" s="43">
        <f>K2598+Учет!F2599-F2599</f>
        <v>500000</v>
      </c>
      <c r="L2599" s="45">
        <f>Учет!I2599</f>
        <v>349526.07999999996</v>
      </c>
    </row>
    <row r="2600" spans="1:12" x14ac:dyDescent="0.25">
      <c r="A2600" s="48" t="str">
        <f>IF(Учет!A2600&lt;&gt;"",Учет!A2600,"")</f>
        <v/>
      </c>
      <c r="B2600" s="52">
        <f>IF(Учет!$O2600=Справочники!$F$2,Учет!$H2600,0)</f>
        <v>0</v>
      </c>
      <c r="C2600" s="52">
        <f>IF(Учет!$O2600=Справочники!$F$3,Учет!$H2600,0)</f>
        <v>0</v>
      </c>
      <c r="D2600" s="52">
        <f>IF(Учет!$O2600=Справочники!$F$4,Учет!$H2600,0)</f>
        <v>0</v>
      </c>
      <c r="E2600" s="52">
        <f>IF(Учет!$O2600=Справочники!$F$5,Учет!$H2600,0)</f>
        <v>0</v>
      </c>
      <c r="F2600" s="52">
        <f>IF(Учет!$O2600=Справочники!$F$6,Учет!$H2600,0)</f>
        <v>0</v>
      </c>
      <c r="G2600" s="43">
        <f>G2599+Учет!B2600-B2600</f>
        <v>-488978.92000000004</v>
      </c>
      <c r="H2600" s="43">
        <f>H2599+Учет!C2600-C2600</f>
        <v>336855</v>
      </c>
      <c r="I2600" s="43">
        <f>I2599+Учет!D2600-D2600</f>
        <v>500</v>
      </c>
      <c r="J2600" s="43">
        <f>J2599+Учет!E2600-E2600</f>
        <v>1150</v>
      </c>
      <c r="K2600" s="43">
        <f>K2599+Учет!F2600-F2600</f>
        <v>500000</v>
      </c>
      <c r="L2600" s="45">
        <f>Учет!I2600</f>
        <v>349526.07999999996</v>
      </c>
    </row>
    <row r="2601" spans="1:12" x14ac:dyDescent="0.25">
      <c r="A2601" s="48" t="str">
        <f>IF(Учет!A2601&lt;&gt;"",Учет!A2601,"")</f>
        <v/>
      </c>
      <c r="B2601" s="52">
        <f>IF(Учет!$O2601=Справочники!$F$2,Учет!$H2601,0)</f>
        <v>0</v>
      </c>
      <c r="C2601" s="52">
        <f>IF(Учет!$O2601=Справочники!$F$3,Учет!$H2601,0)</f>
        <v>0</v>
      </c>
      <c r="D2601" s="52">
        <f>IF(Учет!$O2601=Справочники!$F$4,Учет!$H2601,0)</f>
        <v>0</v>
      </c>
      <c r="E2601" s="52">
        <f>IF(Учет!$O2601=Справочники!$F$5,Учет!$H2601,0)</f>
        <v>0</v>
      </c>
      <c r="F2601" s="52">
        <f>IF(Учет!$O2601=Справочники!$F$6,Учет!$H2601,0)</f>
        <v>0</v>
      </c>
      <c r="G2601" s="43">
        <f>G2600+Учет!B2601-B2601</f>
        <v>-488978.92000000004</v>
      </c>
      <c r="H2601" s="43">
        <f>H2600+Учет!C2601-C2601</f>
        <v>336855</v>
      </c>
      <c r="I2601" s="43">
        <f>I2600+Учет!D2601-D2601</f>
        <v>500</v>
      </c>
      <c r="J2601" s="43">
        <f>J2600+Учет!E2601-E2601</f>
        <v>1150</v>
      </c>
      <c r="K2601" s="43">
        <f>K2600+Учет!F2601-F2601</f>
        <v>500000</v>
      </c>
      <c r="L2601" s="45">
        <f>Учет!I2601</f>
        <v>349526.07999999996</v>
      </c>
    </row>
    <row r="2602" spans="1:12" x14ac:dyDescent="0.25">
      <c r="A2602" s="48" t="str">
        <f>IF(Учет!A2602&lt;&gt;"",Учет!A2602,"")</f>
        <v/>
      </c>
      <c r="B2602" s="52">
        <f>IF(Учет!$O2602=Справочники!$F$2,Учет!$H2602,0)</f>
        <v>0</v>
      </c>
      <c r="C2602" s="52">
        <f>IF(Учет!$O2602=Справочники!$F$3,Учет!$H2602,0)</f>
        <v>0</v>
      </c>
      <c r="D2602" s="52">
        <f>IF(Учет!$O2602=Справочники!$F$4,Учет!$H2602,0)</f>
        <v>0</v>
      </c>
      <c r="E2602" s="52">
        <f>IF(Учет!$O2602=Справочники!$F$5,Учет!$H2602,0)</f>
        <v>0</v>
      </c>
      <c r="F2602" s="52">
        <f>IF(Учет!$O2602=Справочники!$F$6,Учет!$H2602,0)</f>
        <v>0</v>
      </c>
      <c r="G2602" s="43">
        <f>G2601+Учет!B2602-B2602</f>
        <v>-488978.92000000004</v>
      </c>
      <c r="H2602" s="43">
        <f>H2601+Учет!C2602-C2602</f>
        <v>336855</v>
      </c>
      <c r="I2602" s="43">
        <f>I2601+Учет!D2602-D2602</f>
        <v>500</v>
      </c>
      <c r="J2602" s="43">
        <f>J2601+Учет!E2602-E2602</f>
        <v>1150</v>
      </c>
      <c r="K2602" s="43">
        <f>K2601+Учет!F2602-F2602</f>
        <v>500000</v>
      </c>
      <c r="L2602" s="45">
        <f>Учет!I2602</f>
        <v>349526.07999999996</v>
      </c>
    </row>
    <row r="2603" spans="1:12" x14ac:dyDescent="0.25">
      <c r="A2603" s="48" t="str">
        <f>IF(Учет!A2603&lt;&gt;"",Учет!A2603,"")</f>
        <v/>
      </c>
      <c r="B2603" s="52">
        <f>IF(Учет!$O2603=Справочники!$F$2,Учет!$H2603,0)</f>
        <v>0</v>
      </c>
      <c r="C2603" s="52">
        <f>IF(Учет!$O2603=Справочники!$F$3,Учет!$H2603,0)</f>
        <v>0</v>
      </c>
      <c r="D2603" s="52">
        <f>IF(Учет!$O2603=Справочники!$F$4,Учет!$H2603,0)</f>
        <v>0</v>
      </c>
      <c r="E2603" s="52">
        <f>IF(Учет!$O2603=Справочники!$F$5,Учет!$H2603,0)</f>
        <v>0</v>
      </c>
      <c r="F2603" s="52">
        <f>IF(Учет!$O2603=Справочники!$F$6,Учет!$H2603,0)</f>
        <v>0</v>
      </c>
      <c r="G2603" s="43">
        <f>G2602+Учет!B2603-B2603</f>
        <v>-488978.92000000004</v>
      </c>
      <c r="H2603" s="43">
        <f>H2602+Учет!C2603-C2603</f>
        <v>336855</v>
      </c>
      <c r="I2603" s="43">
        <f>I2602+Учет!D2603-D2603</f>
        <v>500</v>
      </c>
      <c r="J2603" s="43">
        <f>J2602+Учет!E2603-E2603</f>
        <v>1150</v>
      </c>
      <c r="K2603" s="43">
        <f>K2602+Учет!F2603-F2603</f>
        <v>500000</v>
      </c>
      <c r="L2603" s="45">
        <f>Учет!I2603</f>
        <v>349526.07999999996</v>
      </c>
    </row>
    <row r="2604" spans="1:12" x14ac:dyDescent="0.25">
      <c r="A2604" s="48" t="str">
        <f>IF(Учет!A2604&lt;&gt;"",Учет!A2604,"")</f>
        <v/>
      </c>
      <c r="B2604" s="52">
        <f>IF(Учет!$O2604=Справочники!$F$2,Учет!$H2604,0)</f>
        <v>0</v>
      </c>
      <c r="C2604" s="52">
        <f>IF(Учет!$O2604=Справочники!$F$3,Учет!$H2604,0)</f>
        <v>0</v>
      </c>
      <c r="D2604" s="52">
        <f>IF(Учет!$O2604=Справочники!$F$4,Учет!$H2604,0)</f>
        <v>0</v>
      </c>
      <c r="E2604" s="52">
        <f>IF(Учет!$O2604=Справочники!$F$5,Учет!$H2604,0)</f>
        <v>0</v>
      </c>
      <c r="F2604" s="52">
        <f>IF(Учет!$O2604=Справочники!$F$6,Учет!$H2604,0)</f>
        <v>0</v>
      </c>
      <c r="G2604" s="43">
        <f>G2603+Учет!B2604-B2604</f>
        <v>-488978.92000000004</v>
      </c>
      <c r="H2604" s="43">
        <f>H2603+Учет!C2604-C2604</f>
        <v>336855</v>
      </c>
      <c r="I2604" s="43">
        <f>I2603+Учет!D2604-D2604</f>
        <v>500</v>
      </c>
      <c r="J2604" s="43">
        <f>J2603+Учет!E2604-E2604</f>
        <v>1150</v>
      </c>
      <c r="K2604" s="43">
        <f>K2603+Учет!F2604-F2604</f>
        <v>500000</v>
      </c>
      <c r="L2604" s="45">
        <f>Учет!I2604</f>
        <v>349526.07999999996</v>
      </c>
    </row>
    <row r="2605" spans="1:12" x14ac:dyDescent="0.25">
      <c r="A2605" s="48" t="str">
        <f>IF(Учет!A2605&lt;&gt;"",Учет!A2605,"")</f>
        <v/>
      </c>
      <c r="B2605" s="52">
        <f>IF(Учет!$O2605=Справочники!$F$2,Учет!$H2605,0)</f>
        <v>0</v>
      </c>
      <c r="C2605" s="52">
        <f>IF(Учет!$O2605=Справочники!$F$3,Учет!$H2605,0)</f>
        <v>0</v>
      </c>
      <c r="D2605" s="52">
        <f>IF(Учет!$O2605=Справочники!$F$4,Учет!$H2605,0)</f>
        <v>0</v>
      </c>
      <c r="E2605" s="52">
        <f>IF(Учет!$O2605=Справочники!$F$5,Учет!$H2605,0)</f>
        <v>0</v>
      </c>
      <c r="F2605" s="52">
        <f>IF(Учет!$O2605=Справочники!$F$6,Учет!$H2605,0)</f>
        <v>0</v>
      </c>
      <c r="G2605" s="43">
        <f>G2604+Учет!B2605-B2605</f>
        <v>-488978.92000000004</v>
      </c>
      <c r="H2605" s="43">
        <f>H2604+Учет!C2605-C2605</f>
        <v>336855</v>
      </c>
      <c r="I2605" s="43">
        <f>I2604+Учет!D2605-D2605</f>
        <v>500</v>
      </c>
      <c r="J2605" s="43">
        <f>J2604+Учет!E2605-E2605</f>
        <v>1150</v>
      </c>
      <c r="K2605" s="43">
        <f>K2604+Учет!F2605-F2605</f>
        <v>500000</v>
      </c>
      <c r="L2605" s="45">
        <f>Учет!I2605</f>
        <v>349526.07999999996</v>
      </c>
    </row>
    <row r="2606" spans="1:12" x14ac:dyDescent="0.25">
      <c r="A2606" s="48" t="str">
        <f>IF(Учет!A2606&lt;&gt;"",Учет!A2606,"")</f>
        <v/>
      </c>
      <c r="B2606" s="52">
        <f>IF(Учет!$O2606=Справочники!$F$2,Учет!$H2606,0)</f>
        <v>0</v>
      </c>
      <c r="C2606" s="52">
        <f>IF(Учет!$O2606=Справочники!$F$3,Учет!$H2606,0)</f>
        <v>0</v>
      </c>
      <c r="D2606" s="52">
        <f>IF(Учет!$O2606=Справочники!$F$4,Учет!$H2606,0)</f>
        <v>0</v>
      </c>
      <c r="E2606" s="52">
        <f>IF(Учет!$O2606=Справочники!$F$5,Учет!$H2606,0)</f>
        <v>0</v>
      </c>
      <c r="F2606" s="52">
        <f>IF(Учет!$O2606=Справочники!$F$6,Учет!$H2606,0)</f>
        <v>0</v>
      </c>
      <c r="G2606" s="43">
        <f>G2605+Учет!B2606-B2606</f>
        <v>-488978.92000000004</v>
      </c>
      <c r="H2606" s="43">
        <f>H2605+Учет!C2606-C2606</f>
        <v>336855</v>
      </c>
      <c r="I2606" s="43">
        <f>I2605+Учет!D2606-D2606</f>
        <v>500</v>
      </c>
      <c r="J2606" s="43">
        <f>J2605+Учет!E2606-E2606</f>
        <v>1150</v>
      </c>
      <c r="K2606" s="43">
        <f>K2605+Учет!F2606-F2606</f>
        <v>500000</v>
      </c>
      <c r="L2606" s="45">
        <f>Учет!I2606</f>
        <v>349526.07999999996</v>
      </c>
    </row>
    <row r="2607" spans="1:12" x14ac:dyDescent="0.25">
      <c r="A2607" s="48" t="str">
        <f>IF(Учет!A2607&lt;&gt;"",Учет!A2607,"")</f>
        <v/>
      </c>
      <c r="B2607" s="52">
        <f>IF(Учет!$O2607=Справочники!$F$2,Учет!$H2607,0)</f>
        <v>0</v>
      </c>
      <c r="C2607" s="52">
        <f>IF(Учет!$O2607=Справочники!$F$3,Учет!$H2607,0)</f>
        <v>0</v>
      </c>
      <c r="D2607" s="52">
        <f>IF(Учет!$O2607=Справочники!$F$4,Учет!$H2607,0)</f>
        <v>0</v>
      </c>
      <c r="E2607" s="52">
        <f>IF(Учет!$O2607=Справочники!$F$5,Учет!$H2607,0)</f>
        <v>0</v>
      </c>
      <c r="F2607" s="52">
        <f>IF(Учет!$O2607=Справочники!$F$6,Учет!$H2607,0)</f>
        <v>0</v>
      </c>
      <c r="G2607" s="43">
        <f>G2606+Учет!B2607-B2607</f>
        <v>-488978.92000000004</v>
      </c>
      <c r="H2607" s="43">
        <f>H2606+Учет!C2607-C2607</f>
        <v>336855</v>
      </c>
      <c r="I2607" s="43">
        <f>I2606+Учет!D2607-D2607</f>
        <v>500</v>
      </c>
      <c r="J2607" s="43">
        <f>J2606+Учет!E2607-E2607</f>
        <v>1150</v>
      </c>
      <c r="K2607" s="43">
        <f>K2606+Учет!F2607-F2607</f>
        <v>500000</v>
      </c>
      <c r="L2607" s="45">
        <f>Учет!I2607</f>
        <v>349526.07999999996</v>
      </c>
    </row>
    <row r="2608" spans="1:12" x14ac:dyDescent="0.25">
      <c r="A2608" s="48" t="str">
        <f>IF(Учет!A2608&lt;&gt;"",Учет!A2608,"")</f>
        <v/>
      </c>
      <c r="B2608" s="52">
        <f>IF(Учет!$O2608=Справочники!$F$2,Учет!$H2608,0)</f>
        <v>0</v>
      </c>
      <c r="C2608" s="52">
        <f>IF(Учет!$O2608=Справочники!$F$3,Учет!$H2608,0)</f>
        <v>0</v>
      </c>
      <c r="D2608" s="52">
        <f>IF(Учет!$O2608=Справочники!$F$4,Учет!$H2608,0)</f>
        <v>0</v>
      </c>
      <c r="E2608" s="52">
        <f>IF(Учет!$O2608=Справочники!$F$5,Учет!$H2608,0)</f>
        <v>0</v>
      </c>
      <c r="F2608" s="52">
        <f>IF(Учет!$O2608=Справочники!$F$6,Учет!$H2608,0)</f>
        <v>0</v>
      </c>
      <c r="G2608" s="43">
        <f>G2607+Учет!B2608-B2608</f>
        <v>-488978.92000000004</v>
      </c>
      <c r="H2608" s="43">
        <f>H2607+Учет!C2608-C2608</f>
        <v>336855</v>
      </c>
      <c r="I2608" s="43">
        <f>I2607+Учет!D2608-D2608</f>
        <v>500</v>
      </c>
      <c r="J2608" s="43">
        <f>J2607+Учет!E2608-E2608</f>
        <v>1150</v>
      </c>
      <c r="K2608" s="43">
        <f>K2607+Учет!F2608-F2608</f>
        <v>500000</v>
      </c>
      <c r="L2608" s="45">
        <f>Учет!I2608</f>
        <v>349526.07999999996</v>
      </c>
    </row>
    <row r="2609" spans="1:12" x14ac:dyDescent="0.25">
      <c r="A2609" s="48" t="str">
        <f>IF(Учет!A2609&lt;&gt;"",Учет!A2609,"")</f>
        <v/>
      </c>
      <c r="B2609" s="52">
        <f>IF(Учет!$O2609=Справочники!$F$2,Учет!$H2609,0)</f>
        <v>0</v>
      </c>
      <c r="C2609" s="52">
        <f>IF(Учет!$O2609=Справочники!$F$3,Учет!$H2609,0)</f>
        <v>0</v>
      </c>
      <c r="D2609" s="52">
        <f>IF(Учет!$O2609=Справочники!$F$4,Учет!$H2609,0)</f>
        <v>0</v>
      </c>
      <c r="E2609" s="52">
        <f>IF(Учет!$O2609=Справочники!$F$5,Учет!$H2609,0)</f>
        <v>0</v>
      </c>
      <c r="F2609" s="52">
        <f>IF(Учет!$O2609=Справочники!$F$6,Учет!$H2609,0)</f>
        <v>0</v>
      </c>
      <c r="G2609" s="43">
        <f>G2608+Учет!B2609-B2609</f>
        <v>-488978.92000000004</v>
      </c>
      <c r="H2609" s="43">
        <f>H2608+Учет!C2609-C2609</f>
        <v>336855</v>
      </c>
      <c r="I2609" s="43">
        <f>I2608+Учет!D2609-D2609</f>
        <v>500</v>
      </c>
      <c r="J2609" s="43">
        <f>J2608+Учет!E2609-E2609</f>
        <v>1150</v>
      </c>
      <c r="K2609" s="43">
        <f>K2608+Учет!F2609-F2609</f>
        <v>500000</v>
      </c>
      <c r="L2609" s="45">
        <f>Учет!I2609</f>
        <v>349526.07999999996</v>
      </c>
    </row>
    <row r="2610" spans="1:12" x14ac:dyDescent="0.25">
      <c r="A2610" s="48" t="str">
        <f>IF(Учет!A2610&lt;&gt;"",Учет!A2610,"")</f>
        <v/>
      </c>
      <c r="B2610" s="52">
        <f>IF(Учет!$O2610=Справочники!$F$2,Учет!$H2610,0)</f>
        <v>0</v>
      </c>
      <c r="C2610" s="52">
        <f>IF(Учет!$O2610=Справочники!$F$3,Учет!$H2610,0)</f>
        <v>0</v>
      </c>
      <c r="D2610" s="52">
        <f>IF(Учет!$O2610=Справочники!$F$4,Учет!$H2610,0)</f>
        <v>0</v>
      </c>
      <c r="E2610" s="52">
        <f>IF(Учет!$O2610=Справочники!$F$5,Учет!$H2610,0)</f>
        <v>0</v>
      </c>
      <c r="F2610" s="52">
        <f>IF(Учет!$O2610=Справочники!$F$6,Учет!$H2610,0)</f>
        <v>0</v>
      </c>
      <c r="G2610" s="43">
        <f>G2609+Учет!B2610-B2610</f>
        <v>-488978.92000000004</v>
      </c>
      <c r="H2610" s="43">
        <f>H2609+Учет!C2610-C2610</f>
        <v>336855</v>
      </c>
      <c r="I2610" s="43">
        <f>I2609+Учет!D2610-D2610</f>
        <v>500</v>
      </c>
      <c r="J2610" s="43">
        <f>J2609+Учет!E2610-E2610</f>
        <v>1150</v>
      </c>
      <c r="K2610" s="43">
        <f>K2609+Учет!F2610-F2610</f>
        <v>500000</v>
      </c>
      <c r="L2610" s="45">
        <f>Учет!I2610</f>
        <v>349526.07999999996</v>
      </c>
    </row>
    <row r="2611" spans="1:12" x14ac:dyDescent="0.25">
      <c r="A2611" s="48" t="str">
        <f>IF(Учет!A2611&lt;&gt;"",Учет!A2611,"")</f>
        <v/>
      </c>
      <c r="B2611" s="52">
        <f>IF(Учет!$O2611=Справочники!$F$2,Учет!$H2611,0)</f>
        <v>0</v>
      </c>
      <c r="C2611" s="52">
        <f>IF(Учет!$O2611=Справочники!$F$3,Учет!$H2611,0)</f>
        <v>0</v>
      </c>
      <c r="D2611" s="52">
        <f>IF(Учет!$O2611=Справочники!$F$4,Учет!$H2611,0)</f>
        <v>0</v>
      </c>
      <c r="E2611" s="52">
        <f>IF(Учет!$O2611=Справочники!$F$5,Учет!$H2611,0)</f>
        <v>0</v>
      </c>
      <c r="F2611" s="52">
        <f>IF(Учет!$O2611=Справочники!$F$6,Учет!$H2611,0)</f>
        <v>0</v>
      </c>
      <c r="G2611" s="43">
        <f>G2610+Учет!B2611-B2611</f>
        <v>-488978.92000000004</v>
      </c>
      <c r="H2611" s="43">
        <f>H2610+Учет!C2611-C2611</f>
        <v>336855</v>
      </c>
      <c r="I2611" s="43">
        <f>I2610+Учет!D2611-D2611</f>
        <v>500</v>
      </c>
      <c r="J2611" s="43">
        <f>J2610+Учет!E2611-E2611</f>
        <v>1150</v>
      </c>
      <c r="K2611" s="43">
        <f>K2610+Учет!F2611-F2611</f>
        <v>500000</v>
      </c>
      <c r="L2611" s="45">
        <f>Учет!I2611</f>
        <v>349526.07999999996</v>
      </c>
    </row>
    <row r="2612" spans="1:12" x14ac:dyDescent="0.25">
      <c r="A2612" s="48" t="str">
        <f>IF(Учет!A2612&lt;&gt;"",Учет!A2612,"")</f>
        <v/>
      </c>
      <c r="B2612" s="52">
        <f>IF(Учет!$O2612=Справочники!$F$2,Учет!$H2612,0)</f>
        <v>0</v>
      </c>
      <c r="C2612" s="52">
        <f>IF(Учет!$O2612=Справочники!$F$3,Учет!$H2612,0)</f>
        <v>0</v>
      </c>
      <c r="D2612" s="52">
        <f>IF(Учет!$O2612=Справочники!$F$4,Учет!$H2612,0)</f>
        <v>0</v>
      </c>
      <c r="E2612" s="52">
        <f>IF(Учет!$O2612=Справочники!$F$5,Учет!$H2612,0)</f>
        <v>0</v>
      </c>
      <c r="F2612" s="52">
        <f>IF(Учет!$O2612=Справочники!$F$6,Учет!$H2612,0)</f>
        <v>0</v>
      </c>
      <c r="G2612" s="43">
        <f>G2611+Учет!B2612-B2612</f>
        <v>-488978.92000000004</v>
      </c>
      <c r="H2612" s="43">
        <f>H2611+Учет!C2612-C2612</f>
        <v>336855</v>
      </c>
      <c r="I2612" s="43">
        <f>I2611+Учет!D2612-D2612</f>
        <v>500</v>
      </c>
      <c r="J2612" s="43">
        <f>J2611+Учет!E2612-E2612</f>
        <v>1150</v>
      </c>
      <c r="K2612" s="43">
        <f>K2611+Учет!F2612-F2612</f>
        <v>500000</v>
      </c>
      <c r="L2612" s="45">
        <f>Учет!I2612</f>
        <v>349526.07999999996</v>
      </c>
    </row>
    <row r="2613" spans="1:12" x14ac:dyDescent="0.25">
      <c r="A2613" s="48" t="str">
        <f>IF(Учет!A2613&lt;&gt;"",Учет!A2613,"")</f>
        <v/>
      </c>
      <c r="B2613" s="52">
        <f>IF(Учет!$O2613=Справочники!$F$2,Учет!$H2613,0)</f>
        <v>0</v>
      </c>
      <c r="C2613" s="52">
        <f>IF(Учет!$O2613=Справочники!$F$3,Учет!$H2613,0)</f>
        <v>0</v>
      </c>
      <c r="D2613" s="52">
        <f>IF(Учет!$O2613=Справочники!$F$4,Учет!$H2613,0)</f>
        <v>0</v>
      </c>
      <c r="E2613" s="52">
        <f>IF(Учет!$O2613=Справочники!$F$5,Учет!$H2613,0)</f>
        <v>0</v>
      </c>
      <c r="F2613" s="52">
        <f>IF(Учет!$O2613=Справочники!$F$6,Учет!$H2613,0)</f>
        <v>0</v>
      </c>
      <c r="G2613" s="43">
        <f>G2612+Учет!B2613-B2613</f>
        <v>-488978.92000000004</v>
      </c>
      <c r="H2613" s="43">
        <f>H2612+Учет!C2613-C2613</f>
        <v>336855</v>
      </c>
      <c r="I2613" s="43">
        <f>I2612+Учет!D2613-D2613</f>
        <v>500</v>
      </c>
      <c r="J2613" s="43">
        <f>J2612+Учет!E2613-E2613</f>
        <v>1150</v>
      </c>
      <c r="K2613" s="43">
        <f>K2612+Учет!F2613-F2613</f>
        <v>500000</v>
      </c>
      <c r="L2613" s="45">
        <f>Учет!I2613</f>
        <v>349526.07999999996</v>
      </c>
    </row>
    <row r="2614" spans="1:12" x14ac:dyDescent="0.25">
      <c r="A2614" s="48" t="str">
        <f>IF(Учет!A2614&lt;&gt;"",Учет!A2614,"")</f>
        <v/>
      </c>
      <c r="B2614" s="52">
        <f>IF(Учет!$O2614=Справочники!$F$2,Учет!$H2614,0)</f>
        <v>0</v>
      </c>
      <c r="C2614" s="52">
        <f>IF(Учет!$O2614=Справочники!$F$3,Учет!$H2614,0)</f>
        <v>0</v>
      </c>
      <c r="D2614" s="52">
        <f>IF(Учет!$O2614=Справочники!$F$4,Учет!$H2614,0)</f>
        <v>0</v>
      </c>
      <c r="E2614" s="52">
        <f>IF(Учет!$O2614=Справочники!$F$5,Учет!$H2614,0)</f>
        <v>0</v>
      </c>
      <c r="F2614" s="52">
        <f>IF(Учет!$O2614=Справочники!$F$6,Учет!$H2614,0)</f>
        <v>0</v>
      </c>
      <c r="G2614" s="43">
        <f>G2613+Учет!B2614-B2614</f>
        <v>-488978.92000000004</v>
      </c>
      <c r="H2614" s="43">
        <f>H2613+Учет!C2614-C2614</f>
        <v>336855</v>
      </c>
      <c r="I2614" s="43">
        <f>I2613+Учет!D2614-D2614</f>
        <v>500</v>
      </c>
      <c r="J2614" s="43">
        <f>J2613+Учет!E2614-E2614</f>
        <v>1150</v>
      </c>
      <c r="K2614" s="43">
        <f>K2613+Учет!F2614-F2614</f>
        <v>500000</v>
      </c>
      <c r="L2614" s="45">
        <f>Учет!I2614</f>
        <v>349526.07999999996</v>
      </c>
    </row>
    <row r="2615" spans="1:12" x14ac:dyDescent="0.25">
      <c r="A2615" s="48" t="str">
        <f>IF(Учет!A2615&lt;&gt;"",Учет!A2615,"")</f>
        <v/>
      </c>
      <c r="B2615" s="52">
        <f>IF(Учет!$O2615=Справочники!$F$2,Учет!$H2615,0)</f>
        <v>0</v>
      </c>
      <c r="C2615" s="52">
        <f>IF(Учет!$O2615=Справочники!$F$3,Учет!$H2615,0)</f>
        <v>0</v>
      </c>
      <c r="D2615" s="52">
        <f>IF(Учет!$O2615=Справочники!$F$4,Учет!$H2615,0)</f>
        <v>0</v>
      </c>
      <c r="E2615" s="52">
        <f>IF(Учет!$O2615=Справочники!$F$5,Учет!$H2615,0)</f>
        <v>0</v>
      </c>
      <c r="F2615" s="52">
        <f>IF(Учет!$O2615=Справочники!$F$6,Учет!$H2615,0)</f>
        <v>0</v>
      </c>
      <c r="G2615" s="43">
        <f>G2614+Учет!B2615-B2615</f>
        <v>-488978.92000000004</v>
      </c>
      <c r="H2615" s="43">
        <f>H2614+Учет!C2615-C2615</f>
        <v>336855</v>
      </c>
      <c r="I2615" s="43">
        <f>I2614+Учет!D2615-D2615</f>
        <v>500</v>
      </c>
      <c r="J2615" s="43">
        <f>J2614+Учет!E2615-E2615</f>
        <v>1150</v>
      </c>
      <c r="K2615" s="43">
        <f>K2614+Учет!F2615-F2615</f>
        <v>500000</v>
      </c>
      <c r="L2615" s="45">
        <f>Учет!I2615</f>
        <v>349526.07999999996</v>
      </c>
    </row>
    <row r="2616" spans="1:12" x14ac:dyDescent="0.25">
      <c r="A2616" s="48" t="str">
        <f>IF(Учет!A2616&lt;&gt;"",Учет!A2616,"")</f>
        <v/>
      </c>
      <c r="B2616" s="52">
        <f>IF(Учет!$O2616=Справочники!$F$2,Учет!$H2616,0)</f>
        <v>0</v>
      </c>
      <c r="C2616" s="52">
        <f>IF(Учет!$O2616=Справочники!$F$3,Учет!$H2616,0)</f>
        <v>0</v>
      </c>
      <c r="D2616" s="52">
        <f>IF(Учет!$O2616=Справочники!$F$4,Учет!$H2616,0)</f>
        <v>0</v>
      </c>
      <c r="E2616" s="52">
        <f>IF(Учет!$O2616=Справочники!$F$5,Учет!$H2616,0)</f>
        <v>0</v>
      </c>
      <c r="F2616" s="52">
        <f>IF(Учет!$O2616=Справочники!$F$6,Учет!$H2616,0)</f>
        <v>0</v>
      </c>
      <c r="G2616" s="43">
        <f>G2615+Учет!B2616-B2616</f>
        <v>-488978.92000000004</v>
      </c>
      <c r="H2616" s="43">
        <f>H2615+Учет!C2616-C2616</f>
        <v>336855</v>
      </c>
      <c r="I2616" s="43">
        <f>I2615+Учет!D2616-D2616</f>
        <v>500</v>
      </c>
      <c r="J2616" s="43">
        <f>J2615+Учет!E2616-E2616</f>
        <v>1150</v>
      </c>
      <c r="K2616" s="43">
        <f>K2615+Учет!F2616-F2616</f>
        <v>500000</v>
      </c>
      <c r="L2616" s="45">
        <f>Учет!I2616</f>
        <v>349526.07999999996</v>
      </c>
    </row>
    <row r="2617" spans="1:12" x14ac:dyDescent="0.25">
      <c r="A2617" s="48" t="str">
        <f>IF(Учет!A2617&lt;&gt;"",Учет!A2617,"")</f>
        <v/>
      </c>
      <c r="B2617" s="52">
        <f>IF(Учет!$O2617=Справочники!$F$2,Учет!$H2617,0)</f>
        <v>0</v>
      </c>
      <c r="C2617" s="52">
        <f>IF(Учет!$O2617=Справочники!$F$3,Учет!$H2617,0)</f>
        <v>0</v>
      </c>
      <c r="D2617" s="52">
        <f>IF(Учет!$O2617=Справочники!$F$4,Учет!$H2617,0)</f>
        <v>0</v>
      </c>
      <c r="E2617" s="52">
        <f>IF(Учет!$O2617=Справочники!$F$5,Учет!$H2617,0)</f>
        <v>0</v>
      </c>
      <c r="F2617" s="52">
        <f>IF(Учет!$O2617=Справочники!$F$6,Учет!$H2617,0)</f>
        <v>0</v>
      </c>
      <c r="G2617" s="43">
        <f>G2616+Учет!B2617-B2617</f>
        <v>-488978.92000000004</v>
      </c>
      <c r="H2617" s="43">
        <f>H2616+Учет!C2617-C2617</f>
        <v>336855</v>
      </c>
      <c r="I2617" s="43">
        <f>I2616+Учет!D2617-D2617</f>
        <v>500</v>
      </c>
      <c r="J2617" s="43">
        <f>J2616+Учет!E2617-E2617</f>
        <v>1150</v>
      </c>
      <c r="K2617" s="43">
        <f>K2616+Учет!F2617-F2617</f>
        <v>500000</v>
      </c>
      <c r="L2617" s="45">
        <f>Учет!I2617</f>
        <v>349526.07999999996</v>
      </c>
    </row>
    <row r="2618" spans="1:12" x14ac:dyDescent="0.25">
      <c r="A2618" s="48" t="str">
        <f>IF(Учет!A2618&lt;&gt;"",Учет!A2618,"")</f>
        <v/>
      </c>
      <c r="B2618" s="52">
        <f>IF(Учет!$O2618=Справочники!$F$2,Учет!$H2618,0)</f>
        <v>0</v>
      </c>
      <c r="C2618" s="52">
        <f>IF(Учет!$O2618=Справочники!$F$3,Учет!$H2618,0)</f>
        <v>0</v>
      </c>
      <c r="D2618" s="52">
        <f>IF(Учет!$O2618=Справочники!$F$4,Учет!$H2618,0)</f>
        <v>0</v>
      </c>
      <c r="E2618" s="52">
        <f>IF(Учет!$O2618=Справочники!$F$5,Учет!$H2618,0)</f>
        <v>0</v>
      </c>
      <c r="F2618" s="52">
        <f>IF(Учет!$O2618=Справочники!$F$6,Учет!$H2618,0)</f>
        <v>0</v>
      </c>
      <c r="G2618" s="43">
        <f>G2617+Учет!B2618-B2618</f>
        <v>-488978.92000000004</v>
      </c>
      <c r="H2618" s="43">
        <f>H2617+Учет!C2618-C2618</f>
        <v>336855</v>
      </c>
      <c r="I2618" s="43">
        <f>I2617+Учет!D2618-D2618</f>
        <v>500</v>
      </c>
      <c r="J2618" s="43">
        <f>J2617+Учет!E2618-E2618</f>
        <v>1150</v>
      </c>
      <c r="K2618" s="43">
        <f>K2617+Учет!F2618-F2618</f>
        <v>500000</v>
      </c>
      <c r="L2618" s="45">
        <f>Учет!I2618</f>
        <v>349526.07999999996</v>
      </c>
    </row>
    <row r="2619" spans="1:12" x14ac:dyDescent="0.25">
      <c r="A2619" s="48" t="str">
        <f>IF(Учет!A2619&lt;&gt;"",Учет!A2619,"")</f>
        <v/>
      </c>
      <c r="B2619" s="52">
        <f>IF(Учет!$O2619=Справочники!$F$2,Учет!$H2619,0)</f>
        <v>0</v>
      </c>
      <c r="C2619" s="52">
        <f>IF(Учет!$O2619=Справочники!$F$3,Учет!$H2619,0)</f>
        <v>0</v>
      </c>
      <c r="D2619" s="52">
        <f>IF(Учет!$O2619=Справочники!$F$4,Учет!$H2619,0)</f>
        <v>0</v>
      </c>
      <c r="E2619" s="52">
        <f>IF(Учет!$O2619=Справочники!$F$5,Учет!$H2619,0)</f>
        <v>0</v>
      </c>
      <c r="F2619" s="52">
        <f>IF(Учет!$O2619=Справочники!$F$6,Учет!$H2619,0)</f>
        <v>0</v>
      </c>
      <c r="G2619" s="43">
        <f>G2618+Учет!B2619-B2619</f>
        <v>-488978.92000000004</v>
      </c>
      <c r="H2619" s="43">
        <f>H2618+Учет!C2619-C2619</f>
        <v>336855</v>
      </c>
      <c r="I2619" s="43">
        <f>I2618+Учет!D2619-D2619</f>
        <v>500</v>
      </c>
      <c r="J2619" s="43">
        <f>J2618+Учет!E2619-E2619</f>
        <v>1150</v>
      </c>
      <c r="K2619" s="43">
        <f>K2618+Учет!F2619-F2619</f>
        <v>500000</v>
      </c>
      <c r="L2619" s="45">
        <f>Учет!I2619</f>
        <v>349526.07999999996</v>
      </c>
    </row>
    <row r="2620" spans="1:12" x14ac:dyDescent="0.25">
      <c r="A2620" s="48" t="str">
        <f>IF(Учет!A2620&lt;&gt;"",Учет!A2620,"")</f>
        <v/>
      </c>
      <c r="B2620" s="52">
        <f>IF(Учет!$O2620=Справочники!$F$2,Учет!$H2620,0)</f>
        <v>0</v>
      </c>
      <c r="C2620" s="52">
        <f>IF(Учет!$O2620=Справочники!$F$3,Учет!$H2620,0)</f>
        <v>0</v>
      </c>
      <c r="D2620" s="52">
        <f>IF(Учет!$O2620=Справочники!$F$4,Учет!$H2620,0)</f>
        <v>0</v>
      </c>
      <c r="E2620" s="52">
        <f>IF(Учет!$O2620=Справочники!$F$5,Учет!$H2620,0)</f>
        <v>0</v>
      </c>
      <c r="F2620" s="52">
        <f>IF(Учет!$O2620=Справочники!$F$6,Учет!$H2620,0)</f>
        <v>0</v>
      </c>
      <c r="G2620" s="43">
        <f>G2619+Учет!B2620-B2620</f>
        <v>-488978.92000000004</v>
      </c>
      <c r="H2620" s="43">
        <f>H2619+Учет!C2620-C2620</f>
        <v>336855</v>
      </c>
      <c r="I2620" s="43">
        <f>I2619+Учет!D2620-D2620</f>
        <v>500</v>
      </c>
      <c r="J2620" s="43">
        <f>J2619+Учет!E2620-E2620</f>
        <v>1150</v>
      </c>
      <c r="K2620" s="43">
        <f>K2619+Учет!F2620-F2620</f>
        <v>500000</v>
      </c>
      <c r="L2620" s="45">
        <f>Учет!I2620</f>
        <v>349526.07999999996</v>
      </c>
    </row>
    <row r="2621" spans="1:12" x14ac:dyDescent="0.25">
      <c r="A2621" s="48" t="str">
        <f>IF(Учет!A2621&lt;&gt;"",Учет!A2621,"")</f>
        <v/>
      </c>
      <c r="B2621" s="52">
        <f>IF(Учет!$O2621=Справочники!$F$2,Учет!$H2621,0)</f>
        <v>0</v>
      </c>
      <c r="C2621" s="52">
        <f>IF(Учет!$O2621=Справочники!$F$3,Учет!$H2621,0)</f>
        <v>0</v>
      </c>
      <c r="D2621" s="52">
        <f>IF(Учет!$O2621=Справочники!$F$4,Учет!$H2621,0)</f>
        <v>0</v>
      </c>
      <c r="E2621" s="52">
        <f>IF(Учет!$O2621=Справочники!$F$5,Учет!$H2621,0)</f>
        <v>0</v>
      </c>
      <c r="F2621" s="52">
        <f>IF(Учет!$O2621=Справочники!$F$6,Учет!$H2621,0)</f>
        <v>0</v>
      </c>
      <c r="G2621" s="43">
        <f>G2620+Учет!B2621-B2621</f>
        <v>-488978.92000000004</v>
      </c>
      <c r="H2621" s="43">
        <f>H2620+Учет!C2621-C2621</f>
        <v>336855</v>
      </c>
      <c r="I2621" s="43">
        <f>I2620+Учет!D2621-D2621</f>
        <v>500</v>
      </c>
      <c r="J2621" s="43">
        <f>J2620+Учет!E2621-E2621</f>
        <v>1150</v>
      </c>
      <c r="K2621" s="43">
        <f>K2620+Учет!F2621-F2621</f>
        <v>500000</v>
      </c>
      <c r="L2621" s="45">
        <f>Учет!I2621</f>
        <v>349526.07999999996</v>
      </c>
    </row>
    <row r="2622" spans="1:12" x14ac:dyDescent="0.25">
      <c r="A2622" s="48" t="str">
        <f>IF(Учет!A2622&lt;&gt;"",Учет!A2622,"")</f>
        <v/>
      </c>
      <c r="B2622" s="52">
        <f>IF(Учет!$O2622=Справочники!$F$2,Учет!$H2622,0)</f>
        <v>0</v>
      </c>
      <c r="C2622" s="52">
        <f>IF(Учет!$O2622=Справочники!$F$3,Учет!$H2622,0)</f>
        <v>0</v>
      </c>
      <c r="D2622" s="52">
        <f>IF(Учет!$O2622=Справочники!$F$4,Учет!$H2622,0)</f>
        <v>0</v>
      </c>
      <c r="E2622" s="52">
        <f>IF(Учет!$O2622=Справочники!$F$5,Учет!$H2622,0)</f>
        <v>0</v>
      </c>
      <c r="F2622" s="52">
        <f>IF(Учет!$O2622=Справочники!$F$6,Учет!$H2622,0)</f>
        <v>0</v>
      </c>
      <c r="G2622" s="43">
        <f>G2621+Учет!B2622-B2622</f>
        <v>-488978.92000000004</v>
      </c>
      <c r="H2622" s="43">
        <f>H2621+Учет!C2622-C2622</f>
        <v>336855</v>
      </c>
      <c r="I2622" s="43">
        <f>I2621+Учет!D2622-D2622</f>
        <v>500</v>
      </c>
      <c r="J2622" s="43">
        <f>J2621+Учет!E2622-E2622</f>
        <v>1150</v>
      </c>
      <c r="K2622" s="43">
        <f>K2621+Учет!F2622-F2622</f>
        <v>500000</v>
      </c>
      <c r="L2622" s="45">
        <f>Учет!I2622</f>
        <v>349526.07999999996</v>
      </c>
    </row>
    <row r="2623" spans="1:12" x14ac:dyDescent="0.25">
      <c r="A2623" s="48" t="str">
        <f>IF(Учет!A2623&lt;&gt;"",Учет!A2623,"")</f>
        <v/>
      </c>
      <c r="B2623" s="52">
        <f>IF(Учет!$O2623=Справочники!$F$2,Учет!$H2623,0)</f>
        <v>0</v>
      </c>
      <c r="C2623" s="52">
        <f>IF(Учет!$O2623=Справочники!$F$3,Учет!$H2623,0)</f>
        <v>0</v>
      </c>
      <c r="D2623" s="52">
        <f>IF(Учет!$O2623=Справочники!$F$4,Учет!$H2623,0)</f>
        <v>0</v>
      </c>
      <c r="E2623" s="52">
        <f>IF(Учет!$O2623=Справочники!$F$5,Учет!$H2623,0)</f>
        <v>0</v>
      </c>
      <c r="F2623" s="52">
        <f>IF(Учет!$O2623=Справочники!$F$6,Учет!$H2623,0)</f>
        <v>0</v>
      </c>
      <c r="G2623" s="43">
        <f>G2622+Учет!B2623-B2623</f>
        <v>-488978.92000000004</v>
      </c>
      <c r="H2623" s="43">
        <f>H2622+Учет!C2623-C2623</f>
        <v>336855</v>
      </c>
      <c r="I2623" s="43">
        <f>I2622+Учет!D2623-D2623</f>
        <v>500</v>
      </c>
      <c r="J2623" s="43">
        <f>J2622+Учет!E2623-E2623</f>
        <v>1150</v>
      </c>
      <c r="K2623" s="43">
        <f>K2622+Учет!F2623-F2623</f>
        <v>500000</v>
      </c>
      <c r="L2623" s="45">
        <f>Учет!I2623</f>
        <v>349526.07999999996</v>
      </c>
    </row>
    <row r="2624" spans="1:12" x14ac:dyDescent="0.25">
      <c r="A2624" s="48" t="str">
        <f>IF(Учет!A2624&lt;&gt;"",Учет!A2624,"")</f>
        <v/>
      </c>
      <c r="B2624" s="52">
        <f>IF(Учет!$O2624=Справочники!$F$2,Учет!$H2624,0)</f>
        <v>0</v>
      </c>
      <c r="C2624" s="52">
        <f>IF(Учет!$O2624=Справочники!$F$3,Учет!$H2624,0)</f>
        <v>0</v>
      </c>
      <c r="D2624" s="52">
        <f>IF(Учет!$O2624=Справочники!$F$4,Учет!$H2624,0)</f>
        <v>0</v>
      </c>
      <c r="E2624" s="52">
        <f>IF(Учет!$O2624=Справочники!$F$5,Учет!$H2624,0)</f>
        <v>0</v>
      </c>
      <c r="F2624" s="52">
        <f>IF(Учет!$O2624=Справочники!$F$6,Учет!$H2624,0)</f>
        <v>0</v>
      </c>
      <c r="G2624" s="43">
        <f>G2623+Учет!B2624-B2624</f>
        <v>-488978.92000000004</v>
      </c>
      <c r="H2624" s="43">
        <f>H2623+Учет!C2624-C2624</f>
        <v>336855</v>
      </c>
      <c r="I2624" s="43">
        <f>I2623+Учет!D2624-D2624</f>
        <v>500</v>
      </c>
      <c r="J2624" s="43">
        <f>J2623+Учет!E2624-E2624</f>
        <v>1150</v>
      </c>
      <c r="K2624" s="43">
        <f>K2623+Учет!F2624-F2624</f>
        <v>500000</v>
      </c>
      <c r="L2624" s="45">
        <f>Учет!I2624</f>
        <v>349526.07999999996</v>
      </c>
    </row>
    <row r="2625" spans="1:12" x14ac:dyDescent="0.25">
      <c r="A2625" s="48" t="str">
        <f>IF(Учет!A2625&lt;&gt;"",Учет!A2625,"")</f>
        <v/>
      </c>
      <c r="B2625" s="52">
        <f>IF(Учет!$O2625=Справочники!$F$2,Учет!$H2625,0)</f>
        <v>0</v>
      </c>
      <c r="C2625" s="52">
        <f>IF(Учет!$O2625=Справочники!$F$3,Учет!$H2625,0)</f>
        <v>0</v>
      </c>
      <c r="D2625" s="52">
        <f>IF(Учет!$O2625=Справочники!$F$4,Учет!$H2625,0)</f>
        <v>0</v>
      </c>
      <c r="E2625" s="52">
        <f>IF(Учет!$O2625=Справочники!$F$5,Учет!$H2625,0)</f>
        <v>0</v>
      </c>
      <c r="F2625" s="52">
        <f>IF(Учет!$O2625=Справочники!$F$6,Учет!$H2625,0)</f>
        <v>0</v>
      </c>
      <c r="G2625" s="43">
        <f>G2624+Учет!B2625-B2625</f>
        <v>-488978.92000000004</v>
      </c>
      <c r="H2625" s="43">
        <f>H2624+Учет!C2625-C2625</f>
        <v>336855</v>
      </c>
      <c r="I2625" s="43">
        <f>I2624+Учет!D2625-D2625</f>
        <v>500</v>
      </c>
      <c r="J2625" s="43">
        <f>J2624+Учет!E2625-E2625</f>
        <v>1150</v>
      </c>
      <c r="K2625" s="43">
        <f>K2624+Учет!F2625-F2625</f>
        <v>500000</v>
      </c>
      <c r="L2625" s="45">
        <f>Учет!I2625</f>
        <v>349526.07999999996</v>
      </c>
    </row>
    <row r="2626" spans="1:12" x14ac:dyDescent="0.25">
      <c r="A2626" s="48" t="str">
        <f>IF(Учет!A2626&lt;&gt;"",Учет!A2626,"")</f>
        <v/>
      </c>
      <c r="B2626" s="52">
        <f>IF(Учет!$O2626=Справочники!$F$2,Учет!$H2626,0)</f>
        <v>0</v>
      </c>
      <c r="C2626" s="52">
        <f>IF(Учет!$O2626=Справочники!$F$3,Учет!$H2626,0)</f>
        <v>0</v>
      </c>
      <c r="D2626" s="52">
        <f>IF(Учет!$O2626=Справочники!$F$4,Учет!$H2626,0)</f>
        <v>0</v>
      </c>
      <c r="E2626" s="52">
        <f>IF(Учет!$O2626=Справочники!$F$5,Учет!$H2626,0)</f>
        <v>0</v>
      </c>
      <c r="F2626" s="52">
        <f>IF(Учет!$O2626=Справочники!$F$6,Учет!$H2626,0)</f>
        <v>0</v>
      </c>
      <c r="G2626" s="43">
        <f>G2625+Учет!B2626-B2626</f>
        <v>-488978.92000000004</v>
      </c>
      <c r="H2626" s="43">
        <f>H2625+Учет!C2626-C2626</f>
        <v>336855</v>
      </c>
      <c r="I2626" s="43">
        <f>I2625+Учет!D2626-D2626</f>
        <v>500</v>
      </c>
      <c r="J2626" s="43">
        <f>J2625+Учет!E2626-E2626</f>
        <v>1150</v>
      </c>
      <c r="K2626" s="43">
        <f>K2625+Учет!F2626-F2626</f>
        <v>500000</v>
      </c>
      <c r="L2626" s="45">
        <f>Учет!I2626</f>
        <v>349526.07999999996</v>
      </c>
    </row>
    <row r="2627" spans="1:12" x14ac:dyDescent="0.25">
      <c r="A2627" s="48" t="str">
        <f>IF(Учет!A2627&lt;&gt;"",Учет!A2627,"")</f>
        <v/>
      </c>
      <c r="B2627" s="52">
        <f>IF(Учет!$O2627=Справочники!$F$2,Учет!$H2627,0)</f>
        <v>0</v>
      </c>
      <c r="C2627" s="52">
        <f>IF(Учет!$O2627=Справочники!$F$3,Учет!$H2627,0)</f>
        <v>0</v>
      </c>
      <c r="D2627" s="52">
        <f>IF(Учет!$O2627=Справочники!$F$4,Учет!$H2627,0)</f>
        <v>0</v>
      </c>
      <c r="E2627" s="52">
        <f>IF(Учет!$O2627=Справочники!$F$5,Учет!$H2627,0)</f>
        <v>0</v>
      </c>
      <c r="F2627" s="52">
        <f>IF(Учет!$O2627=Справочники!$F$6,Учет!$H2627,0)</f>
        <v>0</v>
      </c>
      <c r="G2627" s="43">
        <f>G2626+Учет!B2627-B2627</f>
        <v>-488978.92000000004</v>
      </c>
      <c r="H2627" s="43">
        <f>H2626+Учет!C2627-C2627</f>
        <v>336855</v>
      </c>
      <c r="I2627" s="43">
        <f>I2626+Учет!D2627-D2627</f>
        <v>500</v>
      </c>
      <c r="J2627" s="43">
        <f>J2626+Учет!E2627-E2627</f>
        <v>1150</v>
      </c>
      <c r="K2627" s="43">
        <f>K2626+Учет!F2627-F2627</f>
        <v>500000</v>
      </c>
      <c r="L2627" s="45">
        <f>Учет!I2627</f>
        <v>349526.07999999996</v>
      </c>
    </row>
    <row r="2628" spans="1:12" x14ac:dyDescent="0.25">
      <c r="A2628" s="48" t="str">
        <f>IF(Учет!A2628&lt;&gt;"",Учет!A2628,"")</f>
        <v/>
      </c>
      <c r="B2628" s="52">
        <f>IF(Учет!$O2628=Справочники!$F$2,Учет!$H2628,0)</f>
        <v>0</v>
      </c>
      <c r="C2628" s="52">
        <f>IF(Учет!$O2628=Справочники!$F$3,Учет!$H2628,0)</f>
        <v>0</v>
      </c>
      <c r="D2628" s="52">
        <f>IF(Учет!$O2628=Справочники!$F$4,Учет!$H2628,0)</f>
        <v>0</v>
      </c>
      <c r="E2628" s="52">
        <f>IF(Учет!$O2628=Справочники!$F$5,Учет!$H2628,0)</f>
        <v>0</v>
      </c>
      <c r="F2628" s="52">
        <f>IF(Учет!$O2628=Справочники!$F$6,Учет!$H2628,0)</f>
        <v>0</v>
      </c>
      <c r="G2628" s="43">
        <f>G2627+Учет!B2628-B2628</f>
        <v>-488978.92000000004</v>
      </c>
      <c r="H2628" s="43">
        <f>H2627+Учет!C2628-C2628</f>
        <v>336855</v>
      </c>
      <c r="I2628" s="43">
        <f>I2627+Учет!D2628-D2628</f>
        <v>500</v>
      </c>
      <c r="J2628" s="43">
        <f>J2627+Учет!E2628-E2628</f>
        <v>1150</v>
      </c>
      <c r="K2628" s="43">
        <f>K2627+Учет!F2628-F2628</f>
        <v>500000</v>
      </c>
      <c r="L2628" s="45">
        <f>Учет!I2628</f>
        <v>349526.07999999996</v>
      </c>
    </row>
    <row r="2629" spans="1:12" x14ac:dyDescent="0.25">
      <c r="A2629" s="48" t="str">
        <f>IF(Учет!A2629&lt;&gt;"",Учет!A2629,"")</f>
        <v/>
      </c>
      <c r="B2629" s="52">
        <f>IF(Учет!$O2629=Справочники!$F$2,Учет!$H2629,0)</f>
        <v>0</v>
      </c>
      <c r="C2629" s="52">
        <f>IF(Учет!$O2629=Справочники!$F$3,Учет!$H2629,0)</f>
        <v>0</v>
      </c>
      <c r="D2629" s="52">
        <f>IF(Учет!$O2629=Справочники!$F$4,Учет!$H2629,0)</f>
        <v>0</v>
      </c>
      <c r="E2629" s="52">
        <f>IF(Учет!$O2629=Справочники!$F$5,Учет!$H2629,0)</f>
        <v>0</v>
      </c>
      <c r="F2629" s="52">
        <f>IF(Учет!$O2629=Справочники!$F$6,Учет!$H2629,0)</f>
        <v>0</v>
      </c>
      <c r="G2629" s="43">
        <f>G2628+Учет!B2629-B2629</f>
        <v>-488978.92000000004</v>
      </c>
      <c r="H2629" s="43">
        <f>H2628+Учет!C2629-C2629</f>
        <v>336855</v>
      </c>
      <c r="I2629" s="43">
        <f>I2628+Учет!D2629-D2629</f>
        <v>500</v>
      </c>
      <c r="J2629" s="43">
        <f>J2628+Учет!E2629-E2629</f>
        <v>1150</v>
      </c>
      <c r="K2629" s="43">
        <f>K2628+Учет!F2629-F2629</f>
        <v>500000</v>
      </c>
      <c r="L2629" s="45">
        <f>Учет!I2629</f>
        <v>349526.07999999996</v>
      </c>
    </row>
    <row r="2630" spans="1:12" x14ac:dyDescent="0.25">
      <c r="A2630" s="48" t="str">
        <f>IF(Учет!A2630&lt;&gt;"",Учет!A2630,"")</f>
        <v/>
      </c>
      <c r="B2630" s="52">
        <f>IF(Учет!$O2630=Справочники!$F$2,Учет!$H2630,0)</f>
        <v>0</v>
      </c>
      <c r="C2630" s="52">
        <f>IF(Учет!$O2630=Справочники!$F$3,Учет!$H2630,0)</f>
        <v>0</v>
      </c>
      <c r="D2630" s="52">
        <f>IF(Учет!$O2630=Справочники!$F$4,Учет!$H2630,0)</f>
        <v>0</v>
      </c>
      <c r="E2630" s="52">
        <f>IF(Учет!$O2630=Справочники!$F$5,Учет!$H2630,0)</f>
        <v>0</v>
      </c>
      <c r="F2630" s="52">
        <f>IF(Учет!$O2630=Справочники!$F$6,Учет!$H2630,0)</f>
        <v>0</v>
      </c>
      <c r="G2630" s="43">
        <f>G2629+Учет!B2630-B2630</f>
        <v>-488978.92000000004</v>
      </c>
      <c r="H2630" s="43">
        <f>H2629+Учет!C2630-C2630</f>
        <v>336855</v>
      </c>
      <c r="I2630" s="43">
        <f>I2629+Учет!D2630-D2630</f>
        <v>500</v>
      </c>
      <c r="J2630" s="43">
        <f>J2629+Учет!E2630-E2630</f>
        <v>1150</v>
      </c>
      <c r="K2630" s="43">
        <f>K2629+Учет!F2630-F2630</f>
        <v>500000</v>
      </c>
      <c r="L2630" s="45">
        <f>Учет!I2630</f>
        <v>349526.07999999996</v>
      </c>
    </row>
    <row r="2631" spans="1:12" x14ac:dyDescent="0.25">
      <c r="A2631" s="48" t="str">
        <f>IF(Учет!A2631&lt;&gt;"",Учет!A2631,"")</f>
        <v/>
      </c>
      <c r="B2631" s="52">
        <f>IF(Учет!$O2631=Справочники!$F$2,Учет!$H2631,0)</f>
        <v>0</v>
      </c>
      <c r="C2631" s="52">
        <f>IF(Учет!$O2631=Справочники!$F$3,Учет!$H2631,0)</f>
        <v>0</v>
      </c>
      <c r="D2631" s="52">
        <f>IF(Учет!$O2631=Справочники!$F$4,Учет!$H2631,0)</f>
        <v>0</v>
      </c>
      <c r="E2631" s="52">
        <f>IF(Учет!$O2631=Справочники!$F$5,Учет!$H2631,0)</f>
        <v>0</v>
      </c>
      <c r="F2631" s="52">
        <f>IF(Учет!$O2631=Справочники!$F$6,Учет!$H2631,0)</f>
        <v>0</v>
      </c>
      <c r="G2631" s="43">
        <f>G2630+Учет!B2631-B2631</f>
        <v>-488978.92000000004</v>
      </c>
      <c r="H2631" s="43">
        <f>H2630+Учет!C2631-C2631</f>
        <v>336855</v>
      </c>
      <c r="I2631" s="43">
        <f>I2630+Учет!D2631-D2631</f>
        <v>500</v>
      </c>
      <c r="J2631" s="43">
        <f>J2630+Учет!E2631-E2631</f>
        <v>1150</v>
      </c>
      <c r="K2631" s="43">
        <f>K2630+Учет!F2631-F2631</f>
        <v>500000</v>
      </c>
      <c r="L2631" s="45">
        <f>Учет!I2631</f>
        <v>349526.07999999996</v>
      </c>
    </row>
    <row r="2632" spans="1:12" x14ac:dyDescent="0.25">
      <c r="A2632" s="48" t="str">
        <f>IF(Учет!A2632&lt;&gt;"",Учет!A2632,"")</f>
        <v/>
      </c>
      <c r="B2632" s="52">
        <f>IF(Учет!$O2632=Справочники!$F$2,Учет!$H2632,0)</f>
        <v>0</v>
      </c>
      <c r="C2632" s="52">
        <f>IF(Учет!$O2632=Справочники!$F$3,Учет!$H2632,0)</f>
        <v>0</v>
      </c>
      <c r="D2632" s="52">
        <f>IF(Учет!$O2632=Справочники!$F$4,Учет!$H2632,0)</f>
        <v>0</v>
      </c>
      <c r="E2632" s="52">
        <f>IF(Учет!$O2632=Справочники!$F$5,Учет!$H2632,0)</f>
        <v>0</v>
      </c>
      <c r="F2632" s="52">
        <f>IF(Учет!$O2632=Справочники!$F$6,Учет!$H2632,0)</f>
        <v>0</v>
      </c>
      <c r="G2632" s="43">
        <f>G2631+Учет!B2632-B2632</f>
        <v>-488978.92000000004</v>
      </c>
      <c r="H2632" s="43">
        <f>H2631+Учет!C2632-C2632</f>
        <v>336855</v>
      </c>
      <c r="I2632" s="43">
        <f>I2631+Учет!D2632-D2632</f>
        <v>500</v>
      </c>
      <c r="J2632" s="43">
        <f>J2631+Учет!E2632-E2632</f>
        <v>1150</v>
      </c>
      <c r="K2632" s="43">
        <f>K2631+Учет!F2632-F2632</f>
        <v>500000</v>
      </c>
      <c r="L2632" s="45">
        <f>Учет!I2632</f>
        <v>349526.07999999996</v>
      </c>
    </row>
    <row r="2633" spans="1:12" x14ac:dyDescent="0.25">
      <c r="A2633" s="48" t="str">
        <f>IF(Учет!A2633&lt;&gt;"",Учет!A2633,"")</f>
        <v/>
      </c>
      <c r="B2633" s="52">
        <f>IF(Учет!$O2633=Справочники!$F$2,Учет!$H2633,0)</f>
        <v>0</v>
      </c>
      <c r="C2633" s="52">
        <f>IF(Учет!$O2633=Справочники!$F$3,Учет!$H2633,0)</f>
        <v>0</v>
      </c>
      <c r="D2633" s="52">
        <f>IF(Учет!$O2633=Справочники!$F$4,Учет!$H2633,0)</f>
        <v>0</v>
      </c>
      <c r="E2633" s="52">
        <f>IF(Учет!$O2633=Справочники!$F$5,Учет!$H2633,0)</f>
        <v>0</v>
      </c>
      <c r="F2633" s="52">
        <f>IF(Учет!$O2633=Справочники!$F$6,Учет!$H2633,0)</f>
        <v>0</v>
      </c>
      <c r="G2633" s="43">
        <f>G2632+Учет!B2633-B2633</f>
        <v>-488978.92000000004</v>
      </c>
      <c r="H2633" s="43">
        <f>H2632+Учет!C2633-C2633</f>
        <v>336855</v>
      </c>
      <c r="I2633" s="43">
        <f>I2632+Учет!D2633-D2633</f>
        <v>500</v>
      </c>
      <c r="J2633" s="43">
        <f>J2632+Учет!E2633-E2633</f>
        <v>1150</v>
      </c>
      <c r="K2633" s="43">
        <f>K2632+Учет!F2633-F2633</f>
        <v>500000</v>
      </c>
      <c r="L2633" s="45">
        <f>Учет!I2633</f>
        <v>349526.07999999996</v>
      </c>
    </row>
    <row r="2634" spans="1:12" x14ac:dyDescent="0.25">
      <c r="A2634" s="48" t="str">
        <f>IF(Учет!A2634&lt;&gt;"",Учет!A2634,"")</f>
        <v/>
      </c>
      <c r="B2634" s="52">
        <f>IF(Учет!$O2634=Справочники!$F$2,Учет!$H2634,0)</f>
        <v>0</v>
      </c>
      <c r="C2634" s="52">
        <f>IF(Учет!$O2634=Справочники!$F$3,Учет!$H2634,0)</f>
        <v>0</v>
      </c>
      <c r="D2634" s="52">
        <f>IF(Учет!$O2634=Справочники!$F$4,Учет!$H2634,0)</f>
        <v>0</v>
      </c>
      <c r="E2634" s="52">
        <f>IF(Учет!$O2634=Справочники!$F$5,Учет!$H2634,0)</f>
        <v>0</v>
      </c>
      <c r="F2634" s="52">
        <f>IF(Учет!$O2634=Справочники!$F$6,Учет!$H2634,0)</f>
        <v>0</v>
      </c>
      <c r="G2634" s="43">
        <f>G2633+Учет!B2634-B2634</f>
        <v>-488978.92000000004</v>
      </c>
      <c r="H2634" s="43">
        <f>H2633+Учет!C2634-C2634</f>
        <v>336855</v>
      </c>
      <c r="I2634" s="43">
        <f>I2633+Учет!D2634-D2634</f>
        <v>500</v>
      </c>
      <c r="J2634" s="43">
        <f>J2633+Учет!E2634-E2634</f>
        <v>1150</v>
      </c>
      <c r="K2634" s="43">
        <f>K2633+Учет!F2634-F2634</f>
        <v>500000</v>
      </c>
      <c r="L2634" s="45">
        <f>Учет!I2634</f>
        <v>349526.07999999996</v>
      </c>
    </row>
    <row r="2635" spans="1:12" x14ac:dyDescent="0.25">
      <c r="A2635" s="48" t="str">
        <f>IF(Учет!A2635&lt;&gt;"",Учет!A2635,"")</f>
        <v/>
      </c>
      <c r="B2635" s="52">
        <f>IF(Учет!$O2635=Справочники!$F$2,Учет!$H2635,0)</f>
        <v>0</v>
      </c>
      <c r="C2635" s="52">
        <f>IF(Учет!$O2635=Справочники!$F$3,Учет!$H2635,0)</f>
        <v>0</v>
      </c>
      <c r="D2635" s="52">
        <f>IF(Учет!$O2635=Справочники!$F$4,Учет!$H2635,0)</f>
        <v>0</v>
      </c>
      <c r="E2635" s="52">
        <f>IF(Учет!$O2635=Справочники!$F$5,Учет!$H2635,0)</f>
        <v>0</v>
      </c>
      <c r="F2635" s="52">
        <f>IF(Учет!$O2635=Справочники!$F$6,Учет!$H2635,0)</f>
        <v>0</v>
      </c>
      <c r="G2635" s="43">
        <f>G2634+Учет!B2635-B2635</f>
        <v>-488978.92000000004</v>
      </c>
      <c r="H2635" s="43">
        <f>H2634+Учет!C2635-C2635</f>
        <v>336855</v>
      </c>
      <c r="I2635" s="43">
        <f>I2634+Учет!D2635-D2635</f>
        <v>500</v>
      </c>
      <c r="J2635" s="43">
        <f>J2634+Учет!E2635-E2635</f>
        <v>1150</v>
      </c>
      <c r="K2635" s="43">
        <f>K2634+Учет!F2635-F2635</f>
        <v>500000</v>
      </c>
      <c r="L2635" s="45">
        <f>Учет!I2635</f>
        <v>349526.07999999996</v>
      </c>
    </row>
    <row r="2636" spans="1:12" x14ac:dyDescent="0.25">
      <c r="A2636" s="48" t="str">
        <f>IF(Учет!A2636&lt;&gt;"",Учет!A2636,"")</f>
        <v/>
      </c>
      <c r="B2636" s="52">
        <f>IF(Учет!$O2636=Справочники!$F$2,Учет!$H2636,0)</f>
        <v>0</v>
      </c>
      <c r="C2636" s="52">
        <f>IF(Учет!$O2636=Справочники!$F$3,Учет!$H2636,0)</f>
        <v>0</v>
      </c>
      <c r="D2636" s="52">
        <f>IF(Учет!$O2636=Справочники!$F$4,Учет!$H2636,0)</f>
        <v>0</v>
      </c>
      <c r="E2636" s="52">
        <f>IF(Учет!$O2636=Справочники!$F$5,Учет!$H2636,0)</f>
        <v>0</v>
      </c>
      <c r="F2636" s="52">
        <f>IF(Учет!$O2636=Справочники!$F$6,Учет!$H2636,0)</f>
        <v>0</v>
      </c>
      <c r="G2636" s="43">
        <f>G2635+Учет!B2636-B2636</f>
        <v>-488978.92000000004</v>
      </c>
      <c r="H2636" s="43">
        <f>H2635+Учет!C2636-C2636</f>
        <v>336855</v>
      </c>
      <c r="I2636" s="43">
        <f>I2635+Учет!D2636-D2636</f>
        <v>500</v>
      </c>
      <c r="J2636" s="43">
        <f>J2635+Учет!E2636-E2636</f>
        <v>1150</v>
      </c>
      <c r="K2636" s="43">
        <f>K2635+Учет!F2636-F2636</f>
        <v>500000</v>
      </c>
      <c r="L2636" s="45">
        <f>Учет!I2636</f>
        <v>349526.07999999996</v>
      </c>
    </row>
    <row r="2637" spans="1:12" x14ac:dyDescent="0.25">
      <c r="A2637" s="48" t="str">
        <f>IF(Учет!A2637&lt;&gt;"",Учет!A2637,"")</f>
        <v/>
      </c>
      <c r="B2637" s="52">
        <f>IF(Учет!$O2637=Справочники!$F$2,Учет!$H2637,0)</f>
        <v>0</v>
      </c>
      <c r="C2637" s="52">
        <f>IF(Учет!$O2637=Справочники!$F$3,Учет!$H2637,0)</f>
        <v>0</v>
      </c>
      <c r="D2637" s="52">
        <f>IF(Учет!$O2637=Справочники!$F$4,Учет!$H2637,0)</f>
        <v>0</v>
      </c>
      <c r="E2637" s="52">
        <f>IF(Учет!$O2637=Справочники!$F$5,Учет!$H2637,0)</f>
        <v>0</v>
      </c>
      <c r="F2637" s="52">
        <f>IF(Учет!$O2637=Справочники!$F$6,Учет!$H2637,0)</f>
        <v>0</v>
      </c>
      <c r="G2637" s="43">
        <f>G2636+Учет!B2637-B2637</f>
        <v>-488978.92000000004</v>
      </c>
      <c r="H2637" s="43">
        <f>H2636+Учет!C2637-C2637</f>
        <v>336855</v>
      </c>
      <c r="I2637" s="43">
        <f>I2636+Учет!D2637-D2637</f>
        <v>500</v>
      </c>
      <c r="J2637" s="43">
        <f>J2636+Учет!E2637-E2637</f>
        <v>1150</v>
      </c>
      <c r="K2637" s="43">
        <f>K2636+Учет!F2637-F2637</f>
        <v>500000</v>
      </c>
      <c r="L2637" s="45">
        <f>Учет!I2637</f>
        <v>349526.07999999996</v>
      </c>
    </row>
    <row r="2638" spans="1:12" x14ac:dyDescent="0.25">
      <c r="A2638" s="48" t="str">
        <f>IF(Учет!A2638&lt;&gt;"",Учет!A2638,"")</f>
        <v/>
      </c>
      <c r="B2638" s="52">
        <f>IF(Учет!$O2638=Справочники!$F$2,Учет!$H2638,0)</f>
        <v>0</v>
      </c>
      <c r="C2638" s="52">
        <f>IF(Учет!$O2638=Справочники!$F$3,Учет!$H2638,0)</f>
        <v>0</v>
      </c>
      <c r="D2638" s="52">
        <f>IF(Учет!$O2638=Справочники!$F$4,Учет!$H2638,0)</f>
        <v>0</v>
      </c>
      <c r="E2638" s="52">
        <f>IF(Учет!$O2638=Справочники!$F$5,Учет!$H2638,0)</f>
        <v>0</v>
      </c>
      <c r="F2638" s="52">
        <f>IF(Учет!$O2638=Справочники!$F$6,Учет!$H2638,0)</f>
        <v>0</v>
      </c>
      <c r="G2638" s="43">
        <f>G2637+Учет!B2638-B2638</f>
        <v>-488978.92000000004</v>
      </c>
      <c r="H2638" s="43">
        <f>H2637+Учет!C2638-C2638</f>
        <v>336855</v>
      </c>
      <c r="I2638" s="43">
        <f>I2637+Учет!D2638-D2638</f>
        <v>500</v>
      </c>
      <c r="J2638" s="43">
        <f>J2637+Учет!E2638-E2638</f>
        <v>1150</v>
      </c>
      <c r="K2638" s="43">
        <f>K2637+Учет!F2638-F2638</f>
        <v>500000</v>
      </c>
      <c r="L2638" s="45">
        <f>Учет!I2638</f>
        <v>349526.07999999996</v>
      </c>
    </row>
    <row r="2639" spans="1:12" x14ac:dyDescent="0.25">
      <c r="A2639" s="48" t="str">
        <f>IF(Учет!A2639&lt;&gt;"",Учет!A2639,"")</f>
        <v/>
      </c>
      <c r="B2639" s="52">
        <f>IF(Учет!$O2639=Справочники!$F$2,Учет!$H2639,0)</f>
        <v>0</v>
      </c>
      <c r="C2639" s="52">
        <f>IF(Учет!$O2639=Справочники!$F$3,Учет!$H2639,0)</f>
        <v>0</v>
      </c>
      <c r="D2639" s="52">
        <f>IF(Учет!$O2639=Справочники!$F$4,Учет!$H2639,0)</f>
        <v>0</v>
      </c>
      <c r="E2639" s="52">
        <f>IF(Учет!$O2639=Справочники!$F$5,Учет!$H2639,0)</f>
        <v>0</v>
      </c>
      <c r="F2639" s="52">
        <f>IF(Учет!$O2639=Справочники!$F$6,Учет!$H2639,0)</f>
        <v>0</v>
      </c>
      <c r="G2639" s="43">
        <f>G2638+Учет!B2639-B2639</f>
        <v>-488978.92000000004</v>
      </c>
      <c r="H2639" s="43">
        <f>H2638+Учет!C2639-C2639</f>
        <v>336855</v>
      </c>
      <c r="I2639" s="43">
        <f>I2638+Учет!D2639-D2639</f>
        <v>500</v>
      </c>
      <c r="J2639" s="43">
        <f>J2638+Учет!E2639-E2639</f>
        <v>1150</v>
      </c>
      <c r="K2639" s="43">
        <f>K2638+Учет!F2639-F2639</f>
        <v>500000</v>
      </c>
      <c r="L2639" s="45">
        <f>Учет!I2639</f>
        <v>349526.07999999996</v>
      </c>
    </row>
    <row r="2640" spans="1:12" x14ac:dyDescent="0.25">
      <c r="A2640" s="48" t="str">
        <f>IF(Учет!A2640&lt;&gt;"",Учет!A2640,"")</f>
        <v/>
      </c>
      <c r="B2640" s="52">
        <f>IF(Учет!$O2640=Справочники!$F$2,Учет!$H2640,0)</f>
        <v>0</v>
      </c>
      <c r="C2640" s="52">
        <f>IF(Учет!$O2640=Справочники!$F$3,Учет!$H2640,0)</f>
        <v>0</v>
      </c>
      <c r="D2640" s="52">
        <f>IF(Учет!$O2640=Справочники!$F$4,Учет!$H2640,0)</f>
        <v>0</v>
      </c>
      <c r="E2640" s="52">
        <f>IF(Учет!$O2640=Справочники!$F$5,Учет!$H2640,0)</f>
        <v>0</v>
      </c>
      <c r="F2640" s="52">
        <f>IF(Учет!$O2640=Справочники!$F$6,Учет!$H2640,0)</f>
        <v>0</v>
      </c>
      <c r="G2640" s="43">
        <f>G2639+Учет!B2640-B2640</f>
        <v>-488978.92000000004</v>
      </c>
      <c r="H2640" s="43">
        <f>H2639+Учет!C2640-C2640</f>
        <v>336855</v>
      </c>
      <c r="I2640" s="43">
        <f>I2639+Учет!D2640-D2640</f>
        <v>500</v>
      </c>
      <c r="J2640" s="43">
        <f>J2639+Учет!E2640-E2640</f>
        <v>1150</v>
      </c>
      <c r="K2640" s="43">
        <f>K2639+Учет!F2640-F2640</f>
        <v>500000</v>
      </c>
      <c r="L2640" s="45">
        <f>Учет!I2640</f>
        <v>349526.07999999996</v>
      </c>
    </row>
    <row r="2641" spans="1:12" x14ac:dyDescent="0.25">
      <c r="A2641" s="48" t="str">
        <f>IF(Учет!A2641&lt;&gt;"",Учет!A2641,"")</f>
        <v/>
      </c>
      <c r="B2641" s="52">
        <f>IF(Учет!$O2641=Справочники!$F$2,Учет!$H2641,0)</f>
        <v>0</v>
      </c>
      <c r="C2641" s="52">
        <f>IF(Учет!$O2641=Справочники!$F$3,Учет!$H2641,0)</f>
        <v>0</v>
      </c>
      <c r="D2641" s="52">
        <f>IF(Учет!$O2641=Справочники!$F$4,Учет!$H2641,0)</f>
        <v>0</v>
      </c>
      <c r="E2641" s="52">
        <f>IF(Учет!$O2641=Справочники!$F$5,Учет!$H2641,0)</f>
        <v>0</v>
      </c>
      <c r="F2641" s="52">
        <f>IF(Учет!$O2641=Справочники!$F$6,Учет!$H2641,0)</f>
        <v>0</v>
      </c>
      <c r="G2641" s="43">
        <f>G2640+Учет!B2641-B2641</f>
        <v>-488978.92000000004</v>
      </c>
      <c r="H2641" s="43">
        <f>H2640+Учет!C2641-C2641</f>
        <v>336855</v>
      </c>
      <c r="I2641" s="43">
        <f>I2640+Учет!D2641-D2641</f>
        <v>500</v>
      </c>
      <c r="J2641" s="43">
        <f>J2640+Учет!E2641-E2641</f>
        <v>1150</v>
      </c>
      <c r="K2641" s="43">
        <f>K2640+Учет!F2641-F2641</f>
        <v>500000</v>
      </c>
      <c r="L2641" s="45">
        <f>Учет!I2641</f>
        <v>349526.07999999996</v>
      </c>
    </row>
    <row r="2642" spans="1:12" x14ac:dyDescent="0.25">
      <c r="A2642" s="48" t="str">
        <f>IF(Учет!A2642&lt;&gt;"",Учет!A2642,"")</f>
        <v/>
      </c>
      <c r="B2642" s="52">
        <f>IF(Учет!$O2642=Справочники!$F$2,Учет!$H2642,0)</f>
        <v>0</v>
      </c>
      <c r="C2642" s="52">
        <f>IF(Учет!$O2642=Справочники!$F$3,Учет!$H2642,0)</f>
        <v>0</v>
      </c>
      <c r="D2642" s="52">
        <f>IF(Учет!$O2642=Справочники!$F$4,Учет!$H2642,0)</f>
        <v>0</v>
      </c>
      <c r="E2642" s="52">
        <f>IF(Учет!$O2642=Справочники!$F$5,Учет!$H2642,0)</f>
        <v>0</v>
      </c>
      <c r="F2642" s="52">
        <f>IF(Учет!$O2642=Справочники!$F$6,Учет!$H2642,0)</f>
        <v>0</v>
      </c>
      <c r="G2642" s="43">
        <f>G2641+Учет!B2642-B2642</f>
        <v>-488978.92000000004</v>
      </c>
      <c r="H2642" s="43">
        <f>H2641+Учет!C2642-C2642</f>
        <v>336855</v>
      </c>
      <c r="I2642" s="43">
        <f>I2641+Учет!D2642-D2642</f>
        <v>500</v>
      </c>
      <c r="J2642" s="43">
        <f>J2641+Учет!E2642-E2642</f>
        <v>1150</v>
      </c>
      <c r="K2642" s="43">
        <f>K2641+Учет!F2642-F2642</f>
        <v>500000</v>
      </c>
      <c r="L2642" s="45">
        <f>Учет!I2642</f>
        <v>349526.07999999996</v>
      </c>
    </row>
    <row r="2643" spans="1:12" x14ac:dyDescent="0.25">
      <c r="A2643" s="48" t="str">
        <f>IF(Учет!A2643&lt;&gt;"",Учет!A2643,"")</f>
        <v/>
      </c>
      <c r="B2643" s="52">
        <f>IF(Учет!$O2643=Справочники!$F$2,Учет!$H2643,0)</f>
        <v>0</v>
      </c>
      <c r="C2643" s="52">
        <f>IF(Учет!$O2643=Справочники!$F$3,Учет!$H2643,0)</f>
        <v>0</v>
      </c>
      <c r="D2643" s="52">
        <f>IF(Учет!$O2643=Справочники!$F$4,Учет!$H2643,0)</f>
        <v>0</v>
      </c>
      <c r="E2643" s="52">
        <f>IF(Учет!$O2643=Справочники!$F$5,Учет!$H2643,0)</f>
        <v>0</v>
      </c>
      <c r="F2643" s="52">
        <f>IF(Учет!$O2643=Справочники!$F$6,Учет!$H2643,0)</f>
        <v>0</v>
      </c>
      <c r="G2643" s="43">
        <f>G2642+Учет!B2643-B2643</f>
        <v>-488978.92000000004</v>
      </c>
      <c r="H2643" s="43">
        <f>H2642+Учет!C2643-C2643</f>
        <v>336855</v>
      </c>
      <c r="I2643" s="43">
        <f>I2642+Учет!D2643-D2643</f>
        <v>500</v>
      </c>
      <c r="J2643" s="43">
        <f>J2642+Учет!E2643-E2643</f>
        <v>1150</v>
      </c>
      <c r="K2643" s="43">
        <f>K2642+Учет!F2643-F2643</f>
        <v>500000</v>
      </c>
      <c r="L2643" s="45">
        <f>Учет!I2643</f>
        <v>349526.07999999996</v>
      </c>
    </row>
    <row r="2644" spans="1:12" x14ac:dyDescent="0.25">
      <c r="A2644" s="48" t="str">
        <f>IF(Учет!A2644&lt;&gt;"",Учет!A2644,"")</f>
        <v/>
      </c>
      <c r="B2644" s="52">
        <f>IF(Учет!$O2644=Справочники!$F$2,Учет!$H2644,0)</f>
        <v>0</v>
      </c>
      <c r="C2644" s="52">
        <f>IF(Учет!$O2644=Справочники!$F$3,Учет!$H2644,0)</f>
        <v>0</v>
      </c>
      <c r="D2644" s="52">
        <f>IF(Учет!$O2644=Справочники!$F$4,Учет!$H2644,0)</f>
        <v>0</v>
      </c>
      <c r="E2644" s="52">
        <f>IF(Учет!$O2644=Справочники!$F$5,Учет!$H2644,0)</f>
        <v>0</v>
      </c>
      <c r="F2644" s="52">
        <f>IF(Учет!$O2644=Справочники!$F$6,Учет!$H2644,0)</f>
        <v>0</v>
      </c>
      <c r="G2644" s="43">
        <f>G2643+Учет!B2644-B2644</f>
        <v>-488978.92000000004</v>
      </c>
      <c r="H2644" s="43">
        <f>H2643+Учет!C2644-C2644</f>
        <v>336855</v>
      </c>
      <c r="I2644" s="43">
        <f>I2643+Учет!D2644-D2644</f>
        <v>500</v>
      </c>
      <c r="J2644" s="43">
        <f>J2643+Учет!E2644-E2644</f>
        <v>1150</v>
      </c>
      <c r="K2644" s="43">
        <f>K2643+Учет!F2644-F2644</f>
        <v>500000</v>
      </c>
      <c r="L2644" s="45">
        <f>Учет!I2644</f>
        <v>349526.07999999996</v>
      </c>
    </row>
    <row r="2645" spans="1:12" x14ac:dyDescent="0.25">
      <c r="A2645" s="48" t="str">
        <f>IF(Учет!A2645&lt;&gt;"",Учет!A2645,"")</f>
        <v/>
      </c>
      <c r="B2645" s="52">
        <f>IF(Учет!$O2645=Справочники!$F$2,Учет!$H2645,0)</f>
        <v>0</v>
      </c>
      <c r="C2645" s="52">
        <f>IF(Учет!$O2645=Справочники!$F$3,Учет!$H2645,0)</f>
        <v>0</v>
      </c>
      <c r="D2645" s="52">
        <f>IF(Учет!$O2645=Справочники!$F$4,Учет!$H2645,0)</f>
        <v>0</v>
      </c>
      <c r="E2645" s="52">
        <f>IF(Учет!$O2645=Справочники!$F$5,Учет!$H2645,0)</f>
        <v>0</v>
      </c>
      <c r="F2645" s="52">
        <f>IF(Учет!$O2645=Справочники!$F$6,Учет!$H2645,0)</f>
        <v>0</v>
      </c>
      <c r="G2645" s="43">
        <f>G2644+Учет!B2645-B2645</f>
        <v>-488978.92000000004</v>
      </c>
      <c r="H2645" s="43">
        <f>H2644+Учет!C2645-C2645</f>
        <v>336855</v>
      </c>
      <c r="I2645" s="43">
        <f>I2644+Учет!D2645-D2645</f>
        <v>500</v>
      </c>
      <c r="J2645" s="43">
        <f>J2644+Учет!E2645-E2645</f>
        <v>1150</v>
      </c>
      <c r="K2645" s="43">
        <f>K2644+Учет!F2645-F2645</f>
        <v>500000</v>
      </c>
      <c r="L2645" s="45">
        <f>Учет!I2645</f>
        <v>349526.07999999996</v>
      </c>
    </row>
    <row r="2646" spans="1:12" x14ac:dyDescent="0.25">
      <c r="A2646" s="48" t="str">
        <f>IF(Учет!A2646&lt;&gt;"",Учет!A2646,"")</f>
        <v/>
      </c>
      <c r="B2646" s="52">
        <f>IF(Учет!$O2646=Справочники!$F$2,Учет!$H2646,0)</f>
        <v>0</v>
      </c>
      <c r="C2646" s="52">
        <f>IF(Учет!$O2646=Справочники!$F$3,Учет!$H2646,0)</f>
        <v>0</v>
      </c>
      <c r="D2646" s="52">
        <f>IF(Учет!$O2646=Справочники!$F$4,Учет!$H2646,0)</f>
        <v>0</v>
      </c>
      <c r="E2646" s="52">
        <f>IF(Учет!$O2646=Справочники!$F$5,Учет!$H2646,0)</f>
        <v>0</v>
      </c>
      <c r="F2646" s="52">
        <f>IF(Учет!$O2646=Справочники!$F$6,Учет!$H2646,0)</f>
        <v>0</v>
      </c>
      <c r="G2646" s="43">
        <f>G2645+Учет!B2646-B2646</f>
        <v>-488978.92000000004</v>
      </c>
      <c r="H2646" s="43">
        <f>H2645+Учет!C2646-C2646</f>
        <v>336855</v>
      </c>
      <c r="I2646" s="43">
        <f>I2645+Учет!D2646-D2646</f>
        <v>500</v>
      </c>
      <c r="J2646" s="43">
        <f>J2645+Учет!E2646-E2646</f>
        <v>1150</v>
      </c>
      <c r="K2646" s="43">
        <f>K2645+Учет!F2646-F2646</f>
        <v>500000</v>
      </c>
      <c r="L2646" s="45">
        <f>Учет!I2646</f>
        <v>349526.07999999996</v>
      </c>
    </row>
    <row r="2647" spans="1:12" x14ac:dyDescent="0.25">
      <c r="A2647" s="48" t="str">
        <f>IF(Учет!A2647&lt;&gt;"",Учет!A2647,"")</f>
        <v/>
      </c>
      <c r="B2647" s="52">
        <f>IF(Учет!$O2647=Справочники!$F$2,Учет!$H2647,0)</f>
        <v>0</v>
      </c>
      <c r="C2647" s="52">
        <f>IF(Учет!$O2647=Справочники!$F$3,Учет!$H2647,0)</f>
        <v>0</v>
      </c>
      <c r="D2647" s="52">
        <f>IF(Учет!$O2647=Справочники!$F$4,Учет!$H2647,0)</f>
        <v>0</v>
      </c>
      <c r="E2647" s="52">
        <f>IF(Учет!$O2647=Справочники!$F$5,Учет!$H2647,0)</f>
        <v>0</v>
      </c>
      <c r="F2647" s="52">
        <f>IF(Учет!$O2647=Справочники!$F$6,Учет!$H2647,0)</f>
        <v>0</v>
      </c>
      <c r="G2647" s="43">
        <f>G2646+Учет!B2647-B2647</f>
        <v>-488978.92000000004</v>
      </c>
      <c r="H2647" s="43">
        <f>H2646+Учет!C2647-C2647</f>
        <v>336855</v>
      </c>
      <c r="I2647" s="43">
        <f>I2646+Учет!D2647-D2647</f>
        <v>500</v>
      </c>
      <c r="J2647" s="43">
        <f>J2646+Учет!E2647-E2647</f>
        <v>1150</v>
      </c>
      <c r="K2647" s="43">
        <f>K2646+Учет!F2647-F2647</f>
        <v>500000</v>
      </c>
      <c r="L2647" s="45">
        <f>Учет!I2647</f>
        <v>349526.07999999996</v>
      </c>
    </row>
    <row r="2648" spans="1:12" x14ac:dyDescent="0.25">
      <c r="A2648" s="48" t="str">
        <f>IF(Учет!A2648&lt;&gt;"",Учет!A2648,"")</f>
        <v/>
      </c>
      <c r="B2648" s="52">
        <f>IF(Учет!$O2648=Справочники!$F$2,Учет!$H2648,0)</f>
        <v>0</v>
      </c>
      <c r="C2648" s="52">
        <f>IF(Учет!$O2648=Справочники!$F$3,Учет!$H2648,0)</f>
        <v>0</v>
      </c>
      <c r="D2648" s="52">
        <f>IF(Учет!$O2648=Справочники!$F$4,Учет!$H2648,0)</f>
        <v>0</v>
      </c>
      <c r="E2648" s="52">
        <f>IF(Учет!$O2648=Справочники!$F$5,Учет!$H2648,0)</f>
        <v>0</v>
      </c>
      <c r="F2648" s="52">
        <f>IF(Учет!$O2648=Справочники!$F$6,Учет!$H2648,0)</f>
        <v>0</v>
      </c>
      <c r="G2648" s="43">
        <f>G2647+Учет!B2648-B2648</f>
        <v>-488978.92000000004</v>
      </c>
      <c r="H2648" s="43">
        <f>H2647+Учет!C2648-C2648</f>
        <v>336855</v>
      </c>
      <c r="I2648" s="43">
        <f>I2647+Учет!D2648-D2648</f>
        <v>500</v>
      </c>
      <c r="J2648" s="43">
        <f>J2647+Учет!E2648-E2648</f>
        <v>1150</v>
      </c>
      <c r="K2648" s="43">
        <f>K2647+Учет!F2648-F2648</f>
        <v>500000</v>
      </c>
      <c r="L2648" s="45">
        <f>Учет!I2648</f>
        <v>349526.07999999996</v>
      </c>
    </row>
    <row r="2649" spans="1:12" x14ac:dyDescent="0.25">
      <c r="A2649" s="48" t="str">
        <f>IF(Учет!A2649&lt;&gt;"",Учет!A2649,"")</f>
        <v/>
      </c>
      <c r="B2649" s="52">
        <f>IF(Учет!$O2649=Справочники!$F$2,Учет!$H2649,0)</f>
        <v>0</v>
      </c>
      <c r="C2649" s="52">
        <f>IF(Учет!$O2649=Справочники!$F$3,Учет!$H2649,0)</f>
        <v>0</v>
      </c>
      <c r="D2649" s="52">
        <f>IF(Учет!$O2649=Справочники!$F$4,Учет!$H2649,0)</f>
        <v>0</v>
      </c>
      <c r="E2649" s="52">
        <f>IF(Учет!$O2649=Справочники!$F$5,Учет!$H2649,0)</f>
        <v>0</v>
      </c>
      <c r="F2649" s="52">
        <f>IF(Учет!$O2649=Справочники!$F$6,Учет!$H2649,0)</f>
        <v>0</v>
      </c>
      <c r="G2649" s="43">
        <f>G2648+Учет!B2649-B2649</f>
        <v>-488978.92000000004</v>
      </c>
      <c r="H2649" s="43">
        <f>H2648+Учет!C2649-C2649</f>
        <v>336855</v>
      </c>
      <c r="I2649" s="43">
        <f>I2648+Учет!D2649-D2649</f>
        <v>500</v>
      </c>
      <c r="J2649" s="43">
        <f>J2648+Учет!E2649-E2649</f>
        <v>1150</v>
      </c>
      <c r="K2649" s="43">
        <f>K2648+Учет!F2649-F2649</f>
        <v>500000</v>
      </c>
      <c r="L2649" s="45">
        <f>Учет!I2649</f>
        <v>349526.07999999996</v>
      </c>
    </row>
    <row r="2650" spans="1:12" x14ac:dyDescent="0.25">
      <c r="A2650" s="48" t="str">
        <f>IF(Учет!A2650&lt;&gt;"",Учет!A2650,"")</f>
        <v/>
      </c>
      <c r="B2650" s="52">
        <f>IF(Учет!$O2650=Справочники!$F$2,Учет!$H2650,0)</f>
        <v>0</v>
      </c>
      <c r="C2650" s="52">
        <f>IF(Учет!$O2650=Справочники!$F$3,Учет!$H2650,0)</f>
        <v>0</v>
      </c>
      <c r="D2650" s="52">
        <f>IF(Учет!$O2650=Справочники!$F$4,Учет!$H2650,0)</f>
        <v>0</v>
      </c>
      <c r="E2650" s="52">
        <f>IF(Учет!$O2650=Справочники!$F$5,Учет!$H2650,0)</f>
        <v>0</v>
      </c>
      <c r="F2650" s="52">
        <f>IF(Учет!$O2650=Справочники!$F$6,Учет!$H2650,0)</f>
        <v>0</v>
      </c>
      <c r="G2650" s="43">
        <f>G2649+Учет!B2650-B2650</f>
        <v>-488978.92000000004</v>
      </c>
      <c r="H2650" s="43">
        <f>H2649+Учет!C2650-C2650</f>
        <v>336855</v>
      </c>
      <c r="I2650" s="43">
        <f>I2649+Учет!D2650-D2650</f>
        <v>500</v>
      </c>
      <c r="J2650" s="43">
        <f>J2649+Учет!E2650-E2650</f>
        <v>1150</v>
      </c>
      <c r="K2650" s="43">
        <f>K2649+Учет!F2650-F2650</f>
        <v>500000</v>
      </c>
      <c r="L2650" s="45">
        <f>Учет!I2650</f>
        <v>349526.07999999996</v>
      </c>
    </row>
    <row r="2651" spans="1:12" x14ac:dyDescent="0.25">
      <c r="A2651" s="48" t="str">
        <f>IF(Учет!A2651&lt;&gt;"",Учет!A2651,"")</f>
        <v/>
      </c>
      <c r="B2651" s="52">
        <f>IF(Учет!$O2651=Справочники!$F$2,Учет!$H2651,0)</f>
        <v>0</v>
      </c>
      <c r="C2651" s="52">
        <f>IF(Учет!$O2651=Справочники!$F$3,Учет!$H2651,0)</f>
        <v>0</v>
      </c>
      <c r="D2651" s="52">
        <f>IF(Учет!$O2651=Справочники!$F$4,Учет!$H2651,0)</f>
        <v>0</v>
      </c>
      <c r="E2651" s="52">
        <f>IF(Учет!$O2651=Справочники!$F$5,Учет!$H2651,0)</f>
        <v>0</v>
      </c>
      <c r="F2651" s="52">
        <f>IF(Учет!$O2651=Справочники!$F$6,Учет!$H2651,0)</f>
        <v>0</v>
      </c>
      <c r="G2651" s="43">
        <f>G2650+Учет!B2651-B2651</f>
        <v>-488978.92000000004</v>
      </c>
      <c r="H2651" s="43">
        <f>H2650+Учет!C2651-C2651</f>
        <v>336855</v>
      </c>
      <c r="I2651" s="43">
        <f>I2650+Учет!D2651-D2651</f>
        <v>500</v>
      </c>
      <c r="J2651" s="43">
        <f>J2650+Учет!E2651-E2651</f>
        <v>1150</v>
      </c>
      <c r="K2651" s="43">
        <f>K2650+Учет!F2651-F2651</f>
        <v>500000</v>
      </c>
      <c r="L2651" s="45">
        <f>Учет!I2651</f>
        <v>349526.07999999996</v>
      </c>
    </row>
    <row r="2652" spans="1:12" x14ac:dyDescent="0.25">
      <c r="A2652" s="48" t="str">
        <f>IF(Учет!A2652&lt;&gt;"",Учет!A2652,"")</f>
        <v/>
      </c>
      <c r="B2652" s="52">
        <f>IF(Учет!$O2652=Справочники!$F$2,Учет!$H2652,0)</f>
        <v>0</v>
      </c>
      <c r="C2652" s="52">
        <f>IF(Учет!$O2652=Справочники!$F$3,Учет!$H2652,0)</f>
        <v>0</v>
      </c>
      <c r="D2652" s="52">
        <f>IF(Учет!$O2652=Справочники!$F$4,Учет!$H2652,0)</f>
        <v>0</v>
      </c>
      <c r="E2652" s="52">
        <f>IF(Учет!$O2652=Справочники!$F$5,Учет!$H2652,0)</f>
        <v>0</v>
      </c>
      <c r="F2652" s="52">
        <f>IF(Учет!$O2652=Справочники!$F$6,Учет!$H2652,0)</f>
        <v>0</v>
      </c>
      <c r="G2652" s="43">
        <f>G2651+Учет!B2652-B2652</f>
        <v>-488978.92000000004</v>
      </c>
      <c r="H2652" s="43">
        <f>H2651+Учет!C2652-C2652</f>
        <v>336855</v>
      </c>
      <c r="I2652" s="43">
        <f>I2651+Учет!D2652-D2652</f>
        <v>500</v>
      </c>
      <c r="J2652" s="43">
        <f>J2651+Учет!E2652-E2652</f>
        <v>1150</v>
      </c>
      <c r="K2652" s="43">
        <f>K2651+Учет!F2652-F2652</f>
        <v>500000</v>
      </c>
      <c r="L2652" s="45">
        <f>Учет!I2652</f>
        <v>349526.07999999996</v>
      </c>
    </row>
    <row r="2653" spans="1:12" x14ac:dyDescent="0.25">
      <c r="A2653" s="48" t="str">
        <f>IF(Учет!A2653&lt;&gt;"",Учет!A2653,"")</f>
        <v/>
      </c>
      <c r="B2653" s="52">
        <f>IF(Учет!$O2653=Справочники!$F$2,Учет!$H2653,0)</f>
        <v>0</v>
      </c>
      <c r="C2653" s="52">
        <f>IF(Учет!$O2653=Справочники!$F$3,Учет!$H2653,0)</f>
        <v>0</v>
      </c>
      <c r="D2653" s="52">
        <f>IF(Учет!$O2653=Справочники!$F$4,Учет!$H2653,0)</f>
        <v>0</v>
      </c>
      <c r="E2653" s="52">
        <f>IF(Учет!$O2653=Справочники!$F$5,Учет!$H2653,0)</f>
        <v>0</v>
      </c>
      <c r="F2653" s="52">
        <f>IF(Учет!$O2653=Справочники!$F$6,Учет!$H2653,0)</f>
        <v>0</v>
      </c>
      <c r="G2653" s="43">
        <f>G2652+Учет!B2653-B2653</f>
        <v>-488978.92000000004</v>
      </c>
      <c r="H2653" s="43">
        <f>H2652+Учет!C2653-C2653</f>
        <v>336855</v>
      </c>
      <c r="I2653" s="43">
        <f>I2652+Учет!D2653-D2653</f>
        <v>500</v>
      </c>
      <c r="J2653" s="43">
        <f>J2652+Учет!E2653-E2653</f>
        <v>1150</v>
      </c>
      <c r="K2653" s="43">
        <f>K2652+Учет!F2653-F2653</f>
        <v>500000</v>
      </c>
      <c r="L2653" s="45">
        <f>Учет!I2653</f>
        <v>349526.07999999996</v>
      </c>
    </row>
    <row r="2654" spans="1:12" x14ac:dyDescent="0.25">
      <c r="A2654" s="48" t="str">
        <f>IF(Учет!A2654&lt;&gt;"",Учет!A2654,"")</f>
        <v/>
      </c>
      <c r="B2654" s="52">
        <f>IF(Учет!$O2654=Справочники!$F$2,Учет!$H2654,0)</f>
        <v>0</v>
      </c>
      <c r="C2654" s="52">
        <f>IF(Учет!$O2654=Справочники!$F$3,Учет!$H2654,0)</f>
        <v>0</v>
      </c>
      <c r="D2654" s="52">
        <f>IF(Учет!$O2654=Справочники!$F$4,Учет!$H2654,0)</f>
        <v>0</v>
      </c>
      <c r="E2654" s="52">
        <f>IF(Учет!$O2654=Справочники!$F$5,Учет!$H2654,0)</f>
        <v>0</v>
      </c>
      <c r="F2654" s="52">
        <f>IF(Учет!$O2654=Справочники!$F$6,Учет!$H2654,0)</f>
        <v>0</v>
      </c>
      <c r="G2654" s="43">
        <f>G2653+Учет!B2654-B2654</f>
        <v>-488978.92000000004</v>
      </c>
      <c r="H2654" s="43">
        <f>H2653+Учет!C2654-C2654</f>
        <v>336855</v>
      </c>
      <c r="I2654" s="43">
        <f>I2653+Учет!D2654-D2654</f>
        <v>500</v>
      </c>
      <c r="J2654" s="43">
        <f>J2653+Учет!E2654-E2654</f>
        <v>1150</v>
      </c>
      <c r="K2654" s="43">
        <f>K2653+Учет!F2654-F2654</f>
        <v>500000</v>
      </c>
      <c r="L2654" s="45">
        <f>Учет!I2654</f>
        <v>349526.07999999996</v>
      </c>
    </row>
    <row r="2655" spans="1:12" x14ac:dyDescent="0.25">
      <c r="A2655" s="48" t="str">
        <f>IF(Учет!A2655&lt;&gt;"",Учет!A2655,"")</f>
        <v/>
      </c>
      <c r="B2655" s="52">
        <f>IF(Учет!$O2655=Справочники!$F$2,Учет!$H2655,0)</f>
        <v>0</v>
      </c>
      <c r="C2655" s="52">
        <f>IF(Учет!$O2655=Справочники!$F$3,Учет!$H2655,0)</f>
        <v>0</v>
      </c>
      <c r="D2655" s="52">
        <f>IF(Учет!$O2655=Справочники!$F$4,Учет!$H2655,0)</f>
        <v>0</v>
      </c>
      <c r="E2655" s="52">
        <f>IF(Учет!$O2655=Справочники!$F$5,Учет!$H2655,0)</f>
        <v>0</v>
      </c>
      <c r="F2655" s="52">
        <f>IF(Учет!$O2655=Справочники!$F$6,Учет!$H2655,0)</f>
        <v>0</v>
      </c>
      <c r="G2655" s="43">
        <f>G2654+Учет!B2655-B2655</f>
        <v>-488978.92000000004</v>
      </c>
      <c r="H2655" s="43">
        <f>H2654+Учет!C2655-C2655</f>
        <v>336855</v>
      </c>
      <c r="I2655" s="43">
        <f>I2654+Учет!D2655-D2655</f>
        <v>500</v>
      </c>
      <c r="J2655" s="43">
        <f>J2654+Учет!E2655-E2655</f>
        <v>1150</v>
      </c>
      <c r="K2655" s="43">
        <f>K2654+Учет!F2655-F2655</f>
        <v>500000</v>
      </c>
      <c r="L2655" s="45">
        <f>Учет!I2655</f>
        <v>349526.07999999996</v>
      </c>
    </row>
    <row r="2656" spans="1:12" x14ac:dyDescent="0.25">
      <c r="A2656" s="48" t="str">
        <f>IF(Учет!A2656&lt;&gt;"",Учет!A2656,"")</f>
        <v/>
      </c>
      <c r="B2656" s="52">
        <f>IF(Учет!$O2656=Справочники!$F$2,Учет!$H2656,0)</f>
        <v>0</v>
      </c>
      <c r="C2656" s="52">
        <f>IF(Учет!$O2656=Справочники!$F$3,Учет!$H2656,0)</f>
        <v>0</v>
      </c>
      <c r="D2656" s="52">
        <f>IF(Учет!$O2656=Справочники!$F$4,Учет!$H2656,0)</f>
        <v>0</v>
      </c>
      <c r="E2656" s="52">
        <f>IF(Учет!$O2656=Справочники!$F$5,Учет!$H2656,0)</f>
        <v>0</v>
      </c>
      <c r="F2656" s="52">
        <f>IF(Учет!$O2656=Справочники!$F$6,Учет!$H2656,0)</f>
        <v>0</v>
      </c>
      <c r="G2656" s="43">
        <f>G2655+Учет!B2656-B2656</f>
        <v>-488978.92000000004</v>
      </c>
      <c r="H2656" s="43">
        <f>H2655+Учет!C2656-C2656</f>
        <v>336855</v>
      </c>
      <c r="I2656" s="43">
        <f>I2655+Учет!D2656-D2656</f>
        <v>500</v>
      </c>
      <c r="J2656" s="43">
        <f>J2655+Учет!E2656-E2656</f>
        <v>1150</v>
      </c>
      <c r="K2656" s="43">
        <f>K2655+Учет!F2656-F2656</f>
        <v>500000</v>
      </c>
      <c r="L2656" s="45">
        <f>Учет!I2656</f>
        <v>349526.07999999996</v>
      </c>
    </row>
    <row r="2657" spans="1:12" x14ac:dyDescent="0.25">
      <c r="A2657" s="48" t="str">
        <f>IF(Учет!A2657&lt;&gt;"",Учет!A2657,"")</f>
        <v/>
      </c>
      <c r="B2657" s="52">
        <f>IF(Учет!$O2657=Справочники!$F$2,Учет!$H2657,0)</f>
        <v>0</v>
      </c>
      <c r="C2657" s="52">
        <f>IF(Учет!$O2657=Справочники!$F$3,Учет!$H2657,0)</f>
        <v>0</v>
      </c>
      <c r="D2657" s="52">
        <f>IF(Учет!$O2657=Справочники!$F$4,Учет!$H2657,0)</f>
        <v>0</v>
      </c>
      <c r="E2657" s="52">
        <f>IF(Учет!$O2657=Справочники!$F$5,Учет!$H2657,0)</f>
        <v>0</v>
      </c>
      <c r="F2657" s="52">
        <f>IF(Учет!$O2657=Справочники!$F$6,Учет!$H2657,0)</f>
        <v>0</v>
      </c>
      <c r="G2657" s="43">
        <f>G2656+Учет!B2657-B2657</f>
        <v>-488978.92000000004</v>
      </c>
      <c r="H2657" s="43">
        <f>H2656+Учет!C2657-C2657</f>
        <v>336855</v>
      </c>
      <c r="I2657" s="43">
        <f>I2656+Учет!D2657-D2657</f>
        <v>500</v>
      </c>
      <c r="J2657" s="43">
        <f>J2656+Учет!E2657-E2657</f>
        <v>1150</v>
      </c>
      <c r="K2657" s="43">
        <f>K2656+Учет!F2657-F2657</f>
        <v>500000</v>
      </c>
      <c r="L2657" s="45">
        <f>Учет!I2657</f>
        <v>349526.07999999996</v>
      </c>
    </row>
    <row r="2658" spans="1:12" x14ac:dyDescent="0.25">
      <c r="A2658" s="48" t="str">
        <f>IF(Учет!A2658&lt;&gt;"",Учет!A2658,"")</f>
        <v/>
      </c>
      <c r="B2658" s="52">
        <f>IF(Учет!$O2658=Справочники!$F$2,Учет!$H2658,0)</f>
        <v>0</v>
      </c>
      <c r="C2658" s="52">
        <f>IF(Учет!$O2658=Справочники!$F$3,Учет!$H2658,0)</f>
        <v>0</v>
      </c>
      <c r="D2658" s="52">
        <f>IF(Учет!$O2658=Справочники!$F$4,Учет!$H2658,0)</f>
        <v>0</v>
      </c>
      <c r="E2658" s="52">
        <f>IF(Учет!$O2658=Справочники!$F$5,Учет!$H2658,0)</f>
        <v>0</v>
      </c>
      <c r="F2658" s="52">
        <f>IF(Учет!$O2658=Справочники!$F$6,Учет!$H2658,0)</f>
        <v>0</v>
      </c>
      <c r="G2658" s="43">
        <f>G2657+Учет!B2658-B2658</f>
        <v>-488978.92000000004</v>
      </c>
      <c r="H2658" s="43">
        <f>H2657+Учет!C2658-C2658</f>
        <v>336855</v>
      </c>
      <c r="I2658" s="43">
        <f>I2657+Учет!D2658-D2658</f>
        <v>500</v>
      </c>
      <c r="J2658" s="43">
        <f>J2657+Учет!E2658-E2658</f>
        <v>1150</v>
      </c>
      <c r="K2658" s="43">
        <f>K2657+Учет!F2658-F2658</f>
        <v>500000</v>
      </c>
      <c r="L2658" s="45">
        <f>Учет!I2658</f>
        <v>349526.07999999996</v>
      </c>
    </row>
    <row r="2659" spans="1:12" x14ac:dyDescent="0.25">
      <c r="A2659" s="48" t="str">
        <f>IF(Учет!A2659&lt;&gt;"",Учет!A2659,"")</f>
        <v/>
      </c>
      <c r="B2659" s="52">
        <f>IF(Учет!$O2659=Справочники!$F$2,Учет!$H2659,0)</f>
        <v>0</v>
      </c>
      <c r="C2659" s="52">
        <f>IF(Учет!$O2659=Справочники!$F$3,Учет!$H2659,0)</f>
        <v>0</v>
      </c>
      <c r="D2659" s="52">
        <f>IF(Учет!$O2659=Справочники!$F$4,Учет!$H2659,0)</f>
        <v>0</v>
      </c>
      <c r="E2659" s="52">
        <f>IF(Учет!$O2659=Справочники!$F$5,Учет!$H2659,0)</f>
        <v>0</v>
      </c>
      <c r="F2659" s="52">
        <f>IF(Учет!$O2659=Справочники!$F$6,Учет!$H2659,0)</f>
        <v>0</v>
      </c>
      <c r="G2659" s="43">
        <f>G2658+Учет!B2659-B2659</f>
        <v>-488978.92000000004</v>
      </c>
      <c r="H2659" s="43">
        <f>H2658+Учет!C2659-C2659</f>
        <v>336855</v>
      </c>
      <c r="I2659" s="43">
        <f>I2658+Учет!D2659-D2659</f>
        <v>500</v>
      </c>
      <c r="J2659" s="43">
        <f>J2658+Учет!E2659-E2659</f>
        <v>1150</v>
      </c>
      <c r="K2659" s="43">
        <f>K2658+Учет!F2659-F2659</f>
        <v>500000</v>
      </c>
      <c r="L2659" s="45">
        <f>Учет!I2659</f>
        <v>349526.07999999996</v>
      </c>
    </row>
    <row r="2660" spans="1:12" x14ac:dyDescent="0.25">
      <c r="A2660" s="48" t="str">
        <f>IF(Учет!A2660&lt;&gt;"",Учет!A2660,"")</f>
        <v/>
      </c>
      <c r="B2660" s="52">
        <f>IF(Учет!$O2660=Справочники!$F$2,Учет!$H2660,0)</f>
        <v>0</v>
      </c>
      <c r="C2660" s="52">
        <f>IF(Учет!$O2660=Справочники!$F$3,Учет!$H2660,0)</f>
        <v>0</v>
      </c>
      <c r="D2660" s="52">
        <f>IF(Учет!$O2660=Справочники!$F$4,Учет!$H2660,0)</f>
        <v>0</v>
      </c>
      <c r="E2660" s="52">
        <f>IF(Учет!$O2660=Справочники!$F$5,Учет!$H2660,0)</f>
        <v>0</v>
      </c>
      <c r="F2660" s="52">
        <f>IF(Учет!$O2660=Справочники!$F$6,Учет!$H2660,0)</f>
        <v>0</v>
      </c>
      <c r="G2660" s="43">
        <f>G2659+Учет!B2660-B2660</f>
        <v>-488978.92000000004</v>
      </c>
      <c r="H2660" s="43">
        <f>H2659+Учет!C2660-C2660</f>
        <v>336855</v>
      </c>
      <c r="I2660" s="43">
        <f>I2659+Учет!D2660-D2660</f>
        <v>500</v>
      </c>
      <c r="J2660" s="43">
        <f>J2659+Учет!E2660-E2660</f>
        <v>1150</v>
      </c>
      <c r="K2660" s="43">
        <f>K2659+Учет!F2660-F2660</f>
        <v>500000</v>
      </c>
      <c r="L2660" s="45">
        <f>Учет!I2660</f>
        <v>349526.07999999996</v>
      </c>
    </row>
    <row r="2661" spans="1:12" x14ac:dyDescent="0.25">
      <c r="A2661" s="48" t="str">
        <f>IF(Учет!A2661&lt;&gt;"",Учет!A2661,"")</f>
        <v/>
      </c>
      <c r="B2661" s="52">
        <f>IF(Учет!$O2661=Справочники!$F$2,Учет!$H2661,0)</f>
        <v>0</v>
      </c>
      <c r="C2661" s="52">
        <f>IF(Учет!$O2661=Справочники!$F$3,Учет!$H2661,0)</f>
        <v>0</v>
      </c>
      <c r="D2661" s="52">
        <f>IF(Учет!$O2661=Справочники!$F$4,Учет!$H2661,0)</f>
        <v>0</v>
      </c>
      <c r="E2661" s="52">
        <f>IF(Учет!$O2661=Справочники!$F$5,Учет!$H2661,0)</f>
        <v>0</v>
      </c>
      <c r="F2661" s="52">
        <f>IF(Учет!$O2661=Справочники!$F$6,Учет!$H2661,0)</f>
        <v>0</v>
      </c>
      <c r="G2661" s="43">
        <f>G2660+Учет!B2661-B2661</f>
        <v>-488978.92000000004</v>
      </c>
      <c r="H2661" s="43">
        <f>H2660+Учет!C2661-C2661</f>
        <v>336855</v>
      </c>
      <c r="I2661" s="43">
        <f>I2660+Учет!D2661-D2661</f>
        <v>500</v>
      </c>
      <c r="J2661" s="43">
        <f>J2660+Учет!E2661-E2661</f>
        <v>1150</v>
      </c>
      <c r="K2661" s="43">
        <f>K2660+Учет!F2661-F2661</f>
        <v>500000</v>
      </c>
      <c r="L2661" s="45">
        <f>Учет!I2661</f>
        <v>349526.07999999996</v>
      </c>
    </row>
    <row r="2662" spans="1:12" x14ac:dyDescent="0.25">
      <c r="A2662" s="48" t="str">
        <f>IF(Учет!A2662&lt;&gt;"",Учет!A2662,"")</f>
        <v/>
      </c>
      <c r="B2662" s="52">
        <f>IF(Учет!$O2662=Справочники!$F$2,Учет!$H2662,0)</f>
        <v>0</v>
      </c>
      <c r="C2662" s="52">
        <f>IF(Учет!$O2662=Справочники!$F$3,Учет!$H2662,0)</f>
        <v>0</v>
      </c>
      <c r="D2662" s="52">
        <f>IF(Учет!$O2662=Справочники!$F$4,Учет!$H2662,0)</f>
        <v>0</v>
      </c>
      <c r="E2662" s="52">
        <f>IF(Учет!$O2662=Справочники!$F$5,Учет!$H2662,0)</f>
        <v>0</v>
      </c>
      <c r="F2662" s="52">
        <f>IF(Учет!$O2662=Справочники!$F$6,Учет!$H2662,0)</f>
        <v>0</v>
      </c>
      <c r="G2662" s="43">
        <f>G2661+Учет!B2662-B2662</f>
        <v>-488978.92000000004</v>
      </c>
      <c r="H2662" s="43">
        <f>H2661+Учет!C2662-C2662</f>
        <v>336855</v>
      </c>
      <c r="I2662" s="43">
        <f>I2661+Учет!D2662-D2662</f>
        <v>500</v>
      </c>
      <c r="J2662" s="43">
        <f>J2661+Учет!E2662-E2662</f>
        <v>1150</v>
      </c>
      <c r="K2662" s="43">
        <f>K2661+Учет!F2662-F2662</f>
        <v>500000</v>
      </c>
      <c r="L2662" s="45">
        <f>Учет!I2662</f>
        <v>349526.07999999996</v>
      </c>
    </row>
    <row r="2663" spans="1:12" x14ac:dyDescent="0.25">
      <c r="A2663" s="48" t="str">
        <f>IF(Учет!A2663&lt;&gt;"",Учет!A2663,"")</f>
        <v/>
      </c>
      <c r="B2663" s="52">
        <f>IF(Учет!$O2663=Справочники!$F$2,Учет!$H2663,0)</f>
        <v>0</v>
      </c>
      <c r="C2663" s="52">
        <f>IF(Учет!$O2663=Справочники!$F$3,Учет!$H2663,0)</f>
        <v>0</v>
      </c>
      <c r="D2663" s="52">
        <f>IF(Учет!$O2663=Справочники!$F$4,Учет!$H2663,0)</f>
        <v>0</v>
      </c>
      <c r="E2663" s="52">
        <f>IF(Учет!$O2663=Справочники!$F$5,Учет!$H2663,0)</f>
        <v>0</v>
      </c>
      <c r="F2663" s="52">
        <f>IF(Учет!$O2663=Справочники!$F$6,Учет!$H2663,0)</f>
        <v>0</v>
      </c>
      <c r="G2663" s="43">
        <f>G2662+Учет!B2663-B2663</f>
        <v>-488978.92000000004</v>
      </c>
      <c r="H2663" s="43">
        <f>H2662+Учет!C2663-C2663</f>
        <v>336855</v>
      </c>
      <c r="I2663" s="43">
        <f>I2662+Учет!D2663-D2663</f>
        <v>500</v>
      </c>
      <c r="J2663" s="43">
        <f>J2662+Учет!E2663-E2663</f>
        <v>1150</v>
      </c>
      <c r="K2663" s="43">
        <f>K2662+Учет!F2663-F2663</f>
        <v>500000</v>
      </c>
      <c r="L2663" s="45">
        <f>Учет!I2663</f>
        <v>349526.07999999996</v>
      </c>
    </row>
    <row r="2664" spans="1:12" x14ac:dyDescent="0.25">
      <c r="A2664" s="48" t="str">
        <f>IF(Учет!A2664&lt;&gt;"",Учет!A2664,"")</f>
        <v/>
      </c>
      <c r="B2664" s="52">
        <f>IF(Учет!$O2664=Справочники!$F$2,Учет!$H2664,0)</f>
        <v>0</v>
      </c>
      <c r="C2664" s="52">
        <f>IF(Учет!$O2664=Справочники!$F$3,Учет!$H2664,0)</f>
        <v>0</v>
      </c>
      <c r="D2664" s="52">
        <f>IF(Учет!$O2664=Справочники!$F$4,Учет!$H2664,0)</f>
        <v>0</v>
      </c>
      <c r="E2664" s="52">
        <f>IF(Учет!$O2664=Справочники!$F$5,Учет!$H2664,0)</f>
        <v>0</v>
      </c>
      <c r="F2664" s="52">
        <f>IF(Учет!$O2664=Справочники!$F$6,Учет!$H2664,0)</f>
        <v>0</v>
      </c>
      <c r="G2664" s="43">
        <f>G2663+Учет!B2664-B2664</f>
        <v>-488978.92000000004</v>
      </c>
      <c r="H2664" s="43">
        <f>H2663+Учет!C2664-C2664</f>
        <v>336855</v>
      </c>
      <c r="I2664" s="43">
        <f>I2663+Учет!D2664-D2664</f>
        <v>500</v>
      </c>
      <c r="J2664" s="43">
        <f>J2663+Учет!E2664-E2664</f>
        <v>1150</v>
      </c>
      <c r="K2664" s="43">
        <f>K2663+Учет!F2664-F2664</f>
        <v>500000</v>
      </c>
      <c r="L2664" s="45">
        <f>Учет!I2664</f>
        <v>349526.07999999996</v>
      </c>
    </row>
    <row r="2665" spans="1:12" x14ac:dyDescent="0.25">
      <c r="A2665" s="48" t="str">
        <f>IF(Учет!A2665&lt;&gt;"",Учет!A2665,"")</f>
        <v/>
      </c>
      <c r="B2665" s="52">
        <f>IF(Учет!$O2665=Справочники!$F$2,Учет!$H2665,0)</f>
        <v>0</v>
      </c>
      <c r="C2665" s="52">
        <f>IF(Учет!$O2665=Справочники!$F$3,Учет!$H2665,0)</f>
        <v>0</v>
      </c>
      <c r="D2665" s="52">
        <f>IF(Учет!$O2665=Справочники!$F$4,Учет!$H2665,0)</f>
        <v>0</v>
      </c>
      <c r="E2665" s="52">
        <f>IF(Учет!$O2665=Справочники!$F$5,Учет!$H2665,0)</f>
        <v>0</v>
      </c>
      <c r="F2665" s="52">
        <f>IF(Учет!$O2665=Справочники!$F$6,Учет!$H2665,0)</f>
        <v>0</v>
      </c>
      <c r="G2665" s="43">
        <f>G2664+Учет!B2665-B2665</f>
        <v>-488978.92000000004</v>
      </c>
      <c r="H2665" s="43">
        <f>H2664+Учет!C2665-C2665</f>
        <v>336855</v>
      </c>
      <c r="I2665" s="43">
        <f>I2664+Учет!D2665-D2665</f>
        <v>500</v>
      </c>
      <c r="J2665" s="43">
        <f>J2664+Учет!E2665-E2665</f>
        <v>1150</v>
      </c>
      <c r="K2665" s="43">
        <f>K2664+Учет!F2665-F2665</f>
        <v>500000</v>
      </c>
      <c r="L2665" s="45">
        <f>Учет!I2665</f>
        <v>349526.07999999996</v>
      </c>
    </row>
    <row r="2666" spans="1:12" x14ac:dyDescent="0.25">
      <c r="A2666" s="48" t="str">
        <f>IF(Учет!A2666&lt;&gt;"",Учет!A2666,"")</f>
        <v/>
      </c>
      <c r="B2666" s="52">
        <f>IF(Учет!$O2666=Справочники!$F$2,Учет!$H2666,0)</f>
        <v>0</v>
      </c>
      <c r="C2666" s="52">
        <f>IF(Учет!$O2666=Справочники!$F$3,Учет!$H2666,0)</f>
        <v>0</v>
      </c>
      <c r="D2666" s="52">
        <f>IF(Учет!$O2666=Справочники!$F$4,Учет!$H2666,0)</f>
        <v>0</v>
      </c>
      <c r="E2666" s="52">
        <f>IF(Учет!$O2666=Справочники!$F$5,Учет!$H2666,0)</f>
        <v>0</v>
      </c>
      <c r="F2666" s="52">
        <f>IF(Учет!$O2666=Справочники!$F$6,Учет!$H2666,0)</f>
        <v>0</v>
      </c>
      <c r="G2666" s="43">
        <f>G2665+Учет!B2666-B2666</f>
        <v>-488978.92000000004</v>
      </c>
      <c r="H2666" s="43">
        <f>H2665+Учет!C2666-C2666</f>
        <v>336855</v>
      </c>
      <c r="I2666" s="43">
        <f>I2665+Учет!D2666-D2666</f>
        <v>500</v>
      </c>
      <c r="J2666" s="43">
        <f>J2665+Учет!E2666-E2666</f>
        <v>1150</v>
      </c>
      <c r="K2666" s="43">
        <f>K2665+Учет!F2666-F2666</f>
        <v>500000</v>
      </c>
      <c r="L2666" s="45">
        <f>Учет!I2666</f>
        <v>349526.07999999996</v>
      </c>
    </row>
    <row r="2667" spans="1:12" x14ac:dyDescent="0.25">
      <c r="A2667" s="48" t="str">
        <f>IF(Учет!A2667&lt;&gt;"",Учет!A2667,"")</f>
        <v/>
      </c>
      <c r="B2667" s="52">
        <f>IF(Учет!$O2667=Справочники!$F$2,Учет!$H2667,0)</f>
        <v>0</v>
      </c>
      <c r="C2667" s="52">
        <f>IF(Учет!$O2667=Справочники!$F$3,Учет!$H2667,0)</f>
        <v>0</v>
      </c>
      <c r="D2667" s="52">
        <f>IF(Учет!$O2667=Справочники!$F$4,Учет!$H2667,0)</f>
        <v>0</v>
      </c>
      <c r="E2667" s="52">
        <f>IF(Учет!$O2667=Справочники!$F$5,Учет!$H2667,0)</f>
        <v>0</v>
      </c>
      <c r="F2667" s="52">
        <f>IF(Учет!$O2667=Справочники!$F$6,Учет!$H2667,0)</f>
        <v>0</v>
      </c>
      <c r="G2667" s="43">
        <f>G2666+Учет!B2667-B2667</f>
        <v>-488978.92000000004</v>
      </c>
      <c r="H2667" s="43">
        <f>H2666+Учет!C2667-C2667</f>
        <v>336855</v>
      </c>
      <c r="I2667" s="43">
        <f>I2666+Учет!D2667-D2667</f>
        <v>500</v>
      </c>
      <c r="J2667" s="43">
        <f>J2666+Учет!E2667-E2667</f>
        <v>1150</v>
      </c>
      <c r="K2667" s="43">
        <f>K2666+Учет!F2667-F2667</f>
        <v>500000</v>
      </c>
      <c r="L2667" s="45">
        <f>Учет!I2667</f>
        <v>349526.07999999996</v>
      </c>
    </row>
    <row r="2668" spans="1:12" x14ac:dyDescent="0.25">
      <c r="A2668" s="48" t="str">
        <f>IF(Учет!A2668&lt;&gt;"",Учет!A2668,"")</f>
        <v/>
      </c>
      <c r="B2668" s="52">
        <f>IF(Учет!$O2668=Справочники!$F$2,Учет!$H2668,0)</f>
        <v>0</v>
      </c>
      <c r="C2668" s="52">
        <f>IF(Учет!$O2668=Справочники!$F$3,Учет!$H2668,0)</f>
        <v>0</v>
      </c>
      <c r="D2668" s="52">
        <f>IF(Учет!$O2668=Справочники!$F$4,Учет!$H2668,0)</f>
        <v>0</v>
      </c>
      <c r="E2668" s="52">
        <f>IF(Учет!$O2668=Справочники!$F$5,Учет!$H2668,0)</f>
        <v>0</v>
      </c>
      <c r="F2668" s="52">
        <f>IF(Учет!$O2668=Справочники!$F$6,Учет!$H2668,0)</f>
        <v>0</v>
      </c>
      <c r="G2668" s="43">
        <f>G2667+Учет!B2668-B2668</f>
        <v>-488978.92000000004</v>
      </c>
      <c r="H2668" s="43">
        <f>H2667+Учет!C2668-C2668</f>
        <v>336855</v>
      </c>
      <c r="I2668" s="43">
        <f>I2667+Учет!D2668-D2668</f>
        <v>500</v>
      </c>
      <c r="J2668" s="43">
        <f>J2667+Учет!E2668-E2668</f>
        <v>1150</v>
      </c>
      <c r="K2668" s="43">
        <f>K2667+Учет!F2668-F2668</f>
        <v>500000</v>
      </c>
      <c r="L2668" s="45">
        <f>Учет!I2668</f>
        <v>349526.07999999996</v>
      </c>
    </row>
    <row r="2669" spans="1:12" x14ac:dyDescent="0.25">
      <c r="A2669" s="48" t="str">
        <f>IF(Учет!A2669&lt;&gt;"",Учет!A2669,"")</f>
        <v/>
      </c>
      <c r="B2669" s="52">
        <f>IF(Учет!$O2669=Справочники!$F$2,Учет!$H2669,0)</f>
        <v>0</v>
      </c>
      <c r="C2669" s="52">
        <f>IF(Учет!$O2669=Справочники!$F$3,Учет!$H2669,0)</f>
        <v>0</v>
      </c>
      <c r="D2669" s="52">
        <f>IF(Учет!$O2669=Справочники!$F$4,Учет!$H2669,0)</f>
        <v>0</v>
      </c>
      <c r="E2669" s="52">
        <f>IF(Учет!$O2669=Справочники!$F$5,Учет!$H2669,0)</f>
        <v>0</v>
      </c>
      <c r="F2669" s="52">
        <f>IF(Учет!$O2669=Справочники!$F$6,Учет!$H2669,0)</f>
        <v>0</v>
      </c>
      <c r="G2669" s="43">
        <f>G2668+Учет!B2669-B2669</f>
        <v>-488978.92000000004</v>
      </c>
      <c r="H2669" s="43">
        <f>H2668+Учет!C2669-C2669</f>
        <v>336855</v>
      </c>
      <c r="I2669" s="43">
        <f>I2668+Учет!D2669-D2669</f>
        <v>500</v>
      </c>
      <c r="J2669" s="43">
        <f>J2668+Учет!E2669-E2669</f>
        <v>1150</v>
      </c>
      <c r="K2669" s="43">
        <f>K2668+Учет!F2669-F2669</f>
        <v>500000</v>
      </c>
      <c r="L2669" s="45">
        <f>Учет!I2669</f>
        <v>349526.07999999996</v>
      </c>
    </row>
    <row r="2670" spans="1:12" x14ac:dyDescent="0.25">
      <c r="A2670" s="48" t="str">
        <f>IF(Учет!A2670&lt;&gt;"",Учет!A2670,"")</f>
        <v/>
      </c>
      <c r="B2670" s="52">
        <f>IF(Учет!$O2670=Справочники!$F$2,Учет!$H2670,0)</f>
        <v>0</v>
      </c>
      <c r="C2670" s="52">
        <f>IF(Учет!$O2670=Справочники!$F$3,Учет!$H2670,0)</f>
        <v>0</v>
      </c>
      <c r="D2670" s="52">
        <f>IF(Учет!$O2670=Справочники!$F$4,Учет!$H2670,0)</f>
        <v>0</v>
      </c>
      <c r="E2670" s="52">
        <f>IF(Учет!$O2670=Справочники!$F$5,Учет!$H2670,0)</f>
        <v>0</v>
      </c>
      <c r="F2670" s="52">
        <f>IF(Учет!$O2670=Справочники!$F$6,Учет!$H2670,0)</f>
        <v>0</v>
      </c>
      <c r="G2670" s="43">
        <f>G2669+Учет!B2670-B2670</f>
        <v>-488978.92000000004</v>
      </c>
      <c r="H2670" s="43">
        <f>H2669+Учет!C2670-C2670</f>
        <v>336855</v>
      </c>
      <c r="I2670" s="43">
        <f>I2669+Учет!D2670-D2670</f>
        <v>500</v>
      </c>
      <c r="J2670" s="43">
        <f>J2669+Учет!E2670-E2670</f>
        <v>1150</v>
      </c>
      <c r="K2670" s="43">
        <f>K2669+Учет!F2670-F2670</f>
        <v>500000</v>
      </c>
      <c r="L2670" s="45">
        <f>Учет!I2670</f>
        <v>349526.07999999996</v>
      </c>
    </row>
    <row r="2671" spans="1:12" x14ac:dyDescent="0.25">
      <c r="A2671" s="48" t="str">
        <f>IF(Учет!A2671&lt;&gt;"",Учет!A2671,"")</f>
        <v/>
      </c>
      <c r="B2671" s="52">
        <f>IF(Учет!$O2671=Справочники!$F$2,Учет!$H2671,0)</f>
        <v>0</v>
      </c>
      <c r="C2671" s="52">
        <f>IF(Учет!$O2671=Справочники!$F$3,Учет!$H2671,0)</f>
        <v>0</v>
      </c>
      <c r="D2671" s="52">
        <f>IF(Учет!$O2671=Справочники!$F$4,Учет!$H2671,0)</f>
        <v>0</v>
      </c>
      <c r="E2671" s="52">
        <f>IF(Учет!$O2671=Справочники!$F$5,Учет!$H2671,0)</f>
        <v>0</v>
      </c>
      <c r="F2671" s="52">
        <f>IF(Учет!$O2671=Справочники!$F$6,Учет!$H2671,0)</f>
        <v>0</v>
      </c>
      <c r="G2671" s="43">
        <f>G2670+Учет!B2671-B2671</f>
        <v>-488978.92000000004</v>
      </c>
      <c r="H2671" s="43">
        <f>H2670+Учет!C2671-C2671</f>
        <v>336855</v>
      </c>
      <c r="I2671" s="43">
        <f>I2670+Учет!D2671-D2671</f>
        <v>500</v>
      </c>
      <c r="J2671" s="43">
        <f>J2670+Учет!E2671-E2671</f>
        <v>1150</v>
      </c>
      <c r="K2671" s="43">
        <f>K2670+Учет!F2671-F2671</f>
        <v>500000</v>
      </c>
      <c r="L2671" s="45">
        <f>Учет!I2671</f>
        <v>349526.07999999996</v>
      </c>
    </row>
    <row r="2672" spans="1:12" x14ac:dyDescent="0.25">
      <c r="A2672" s="48" t="str">
        <f>IF(Учет!A2672&lt;&gt;"",Учет!A2672,"")</f>
        <v/>
      </c>
      <c r="B2672" s="52">
        <f>IF(Учет!$O2672=Справочники!$F$2,Учет!$H2672,0)</f>
        <v>0</v>
      </c>
      <c r="C2672" s="52">
        <f>IF(Учет!$O2672=Справочники!$F$3,Учет!$H2672,0)</f>
        <v>0</v>
      </c>
      <c r="D2672" s="52">
        <f>IF(Учет!$O2672=Справочники!$F$4,Учет!$H2672,0)</f>
        <v>0</v>
      </c>
      <c r="E2672" s="52">
        <f>IF(Учет!$O2672=Справочники!$F$5,Учет!$H2672,0)</f>
        <v>0</v>
      </c>
      <c r="F2672" s="52">
        <f>IF(Учет!$O2672=Справочники!$F$6,Учет!$H2672,0)</f>
        <v>0</v>
      </c>
      <c r="G2672" s="43">
        <f>G2671+Учет!B2672-B2672</f>
        <v>-488978.92000000004</v>
      </c>
      <c r="H2672" s="43">
        <f>H2671+Учет!C2672-C2672</f>
        <v>336855</v>
      </c>
      <c r="I2672" s="43">
        <f>I2671+Учет!D2672-D2672</f>
        <v>500</v>
      </c>
      <c r="J2672" s="43">
        <f>J2671+Учет!E2672-E2672</f>
        <v>1150</v>
      </c>
      <c r="K2672" s="43">
        <f>K2671+Учет!F2672-F2672</f>
        <v>500000</v>
      </c>
      <c r="L2672" s="45">
        <f>Учет!I2672</f>
        <v>349526.07999999996</v>
      </c>
    </row>
    <row r="2673" spans="1:12" x14ac:dyDescent="0.25">
      <c r="A2673" s="48" t="str">
        <f>IF(Учет!A2673&lt;&gt;"",Учет!A2673,"")</f>
        <v/>
      </c>
      <c r="B2673" s="52">
        <f>IF(Учет!$O2673=Справочники!$F$2,Учет!$H2673,0)</f>
        <v>0</v>
      </c>
      <c r="C2673" s="52">
        <f>IF(Учет!$O2673=Справочники!$F$3,Учет!$H2673,0)</f>
        <v>0</v>
      </c>
      <c r="D2673" s="52">
        <f>IF(Учет!$O2673=Справочники!$F$4,Учет!$H2673,0)</f>
        <v>0</v>
      </c>
      <c r="E2673" s="52">
        <f>IF(Учет!$O2673=Справочники!$F$5,Учет!$H2673,0)</f>
        <v>0</v>
      </c>
      <c r="F2673" s="52">
        <f>IF(Учет!$O2673=Справочники!$F$6,Учет!$H2673,0)</f>
        <v>0</v>
      </c>
      <c r="G2673" s="43">
        <f>G2672+Учет!B2673-B2673</f>
        <v>-488978.92000000004</v>
      </c>
      <c r="H2673" s="43">
        <f>H2672+Учет!C2673-C2673</f>
        <v>336855</v>
      </c>
      <c r="I2673" s="43">
        <f>I2672+Учет!D2673-D2673</f>
        <v>500</v>
      </c>
      <c r="J2673" s="43">
        <f>J2672+Учет!E2673-E2673</f>
        <v>1150</v>
      </c>
      <c r="K2673" s="43">
        <f>K2672+Учет!F2673-F2673</f>
        <v>500000</v>
      </c>
      <c r="L2673" s="45">
        <f>Учет!I2673</f>
        <v>349526.07999999996</v>
      </c>
    </row>
    <row r="2674" spans="1:12" x14ac:dyDescent="0.25">
      <c r="A2674" s="48" t="str">
        <f>IF(Учет!A2674&lt;&gt;"",Учет!A2674,"")</f>
        <v/>
      </c>
      <c r="B2674" s="52">
        <f>IF(Учет!$O2674=Справочники!$F$2,Учет!$H2674,0)</f>
        <v>0</v>
      </c>
      <c r="C2674" s="52">
        <f>IF(Учет!$O2674=Справочники!$F$3,Учет!$H2674,0)</f>
        <v>0</v>
      </c>
      <c r="D2674" s="52">
        <f>IF(Учет!$O2674=Справочники!$F$4,Учет!$H2674,0)</f>
        <v>0</v>
      </c>
      <c r="E2674" s="52">
        <f>IF(Учет!$O2674=Справочники!$F$5,Учет!$H2674,0)</f>
        <v>0</v>
      </c>
      <c r="F2674" s="52">
        <f>IF(Учет!$O2674=Справочники!$F$6,Учет!$H2674,0)</f>
        <v>0</v>
      </c>
      <c r="G2674" s="43">
        <f>G2673+Учет!B2674-B2674</f>
        <v>-488978.92000000004</v>
      </c>
      <c r="H2674" s="43">
        <f>H2673+Учет!C2674-C2674</f>
        <v>336855</v>
      </c>
      <c r="I2674" s="43">
        <f>I2673+Учет!D2674-D2674</f>
        <v>500</v>
      </c>
      <c r="J2674" s="43">
        <f>J2673+Учет!E2674-E2674</f>
        <v>1150</v>
      </c>
      <c r="K2674" s="43">
        <f>K2673+Учет!F2674-F2674</f>
        <v>500000</v>
      </c>
      <c r="L2674" s="45">
        <f>Учет!I2674</f>
        <v>349526.07999999996</v>
      </c>
    </row>
    <row r="2675" spans="1:12" x14ac:dyDescent="0.25">
      <c r="A2675" s="48" t="str">
        <f>IF(Учет!A2675&lt;&gt;"",Учет!A2675,"")</f>
        <v/>
      </c>
      <c r="B2675" s="52">
        <f>IF(Учет!$O2675=Справочники!$F$2,Учет!$H2675,0)</f>
        <v>0</v>
      </c>
      <c r="C2675" s="52">
        <f>IF(Учет!$O2675=Справочники!$F$3,Учет!$H2675,0)</f>
        <v>0</v>
      </c>
      <c r="D2675" s="52">
        <f>IF(Учет!$O2675=Справочники!$F$4,Учет!$H2675,0)</f>
        <v>0</v>
      </c>
      <c r="E2675" s="52">
        <f>IF(Учет!$O2675=Справочники!$F$5,Учет!$H2675,0)</f>
        <v>0</v>
      </c>
      <c r="F2675" s="52">
        <f>IF(Учет!$O2675=Справочники!$F$6,Учет!$H2675,0)</f>
        <v>0</v>
      </c>
      <c r="G2675" s="43">
        <f>G2674+Учет!B2675-B2675</f>
        <v>-488978.92000000004</v>
      </c>
      <c r="H2675" s="43">
        <f>H2674+Учет!C2675-C2675</f>
        <v>336855</v>
      </c>
      <c r="I2675" s="43">
        <f>I2674+Учет!D2675-D2675</f>
        <v>500</v>
      </c>
      <c r="J2675" s="43">
        <f>J2674+Учет!E2675-E2675</f>
        <v>1150</v>
      </c>
      <c r="K2675" s="43">
        <f>K2674+Учет!F2675-F2675</f>
        <v>500000</v>
      </c>
      <c r="L2675" s="45">
        <f>Учет!I2675</f>
        <v>349526.07999999996</v>
      </c>
    </row>
    <row r="2676" spans="1:12" x14ac:dyDescent="0.25">
      <c r="A2676" s="48" t="str">
        <f>IF(Учет!A2676&lt;&gt;"",Учет!A2676,"")</f>
        <v/>
      </c>
      <c r="B2676" s="52">
        <f>IF(Учет!$O2676=Справочники!$F$2,Учет!$H2676,0)</f>
        <v>0</v>
      </c>
      <c r="C2676" s="52">
        <f>IF(Учет!$O2676=Справочники!$F$3,Учет!$H2676,0)</f>
        <v>0</v>
      </c>
      <c r="D2676" s="52">
        <f>IF(Учет!$O2676=Справочники!$F$4,Учет!$H2676,0)</f>
        <v>0</v>
      </c>
      <c r="E2676" s="52">
        <f>IF(Учет!$O2676=Справочники!$F$5,Учет!$H2676,0)</f>
        <v>0</v>
      </c>
      <c r="F2676" s="52">
        <f>IF(Учет!$O2676=Справочники!$F$6,Учет!$H2676,0)</f>
        <v>0</v>
      </c>
      <c r="G2676" s="43">
        <f>G2675+Учет!B2676-B2676</f>
        <v>-488978.92000000004</v>
      </c>
      <c r="H2676" s="43">
        <f>H2675+Учет!C2676-C2676</f>
        <v>336855</v>
      </c>
      <c r="I2676" s="43">
        <f>I2675+Учет!D2676-D2676</f>
        <v>500</v>
      </c>
      <c r="J2676" s="43">
        <f>J2675+Учет!E2676-E2676</f>
        <v>1150</v>
      </c>
      <c r="K2676" s="43">
        <f>K2675+Учет!F2676-F2676</f>
        <v>500000</v>
      </c>
      <c r="L2676" s="45">
        <f>Учет!I2676</f>
        <v>349526.07999999996</v>
      </c>
    </row>
    <row r="2677" spans="1:12" x14ac:dyDescent="0.25">
      <c r="A2677" s="48" t="str">
        <f>IF(Учет!A2677&lt;&gt;"",Учет!A2677,"")</f>
        <v/>
      </c>
      <c r="B2677" s="52">
        <f>IF(Учет!$O2677=Справочники!$F$2,Учет!$H2677,0)</f>
        <v>0</v>
      </c>
      <c r="C2677" s="52">
        <f>IF(Учет!$O2677=Справочники!$F$3,Учет!$H2677,0)</f>
        <v>0</v>
      </c>
      <c r="D2677" s="52">
        <f>IF(Учет!$O2677=Справочники!$F$4,Учет!$H2677,0)</f>
        <v>0</v>
      </c>
      <c r="E2677" s="52">
        <f>IF(Учет!$O2677=Справочники!$F$5,Учет!$H2677,0)</f>
        <v>0</v>
      </c>
      <c r="F2677" s="52">
        <f>IF(Учет!$O2677=Справочники!$F$6,Учет!$H2677,0)</f>
        <v>0</v>
      </c>
      <c r="G2677" s="43">
        <f>G2676+Учет!B2677-B2677</f>
        <v>-488978.92000000004</v>
      </c>
      <c r="H2677" s="43">
        <f>H2676+Учет!C2677-C2677</f>
        <v>336855</v>
      </c>
      <c r="I2677" s="43">
        <f>I2676+Учет!D2677-D2677</f>
        <v>500</v>
      </c>
      <c r="J2677" s="43">
        <f>J2676+Учет!E2677-E2677</f>
        <v>1150</v>
      </c>
      <c r="K2677" s="43">
        <f>K2676+Учет!F2677-F2677</f>
        <v>500000</v>
      </c>
      <c r="L2677" s="45">
        <f>Учет!I2677</f>
        <v>349526.07999999996</v>
      </c>
    </row>
    <row r="2678" spans="1:12" x14ac:dyDescent="0.25">
      <c r="A2678" s="48" t="str">
        <f>IF(Учет!A2678&lt;&gt;"",Учет!A2678,"")</f>
        <v/>
      </c>
      <c r="B2678" s="52">
        <f>IF(Учет!$O2678=Справочники!$F$2,Учет!$H2678,0)</f>
        <v>0</v>
      </c>
      <c r="C2678" s="52">
        <f>IF(Учет!$O2678=Справочники!$F$3,Учет!$H2678,0)</f>
        <v>0</v>
      </c>
      <c r="D2678" s="52">
        <f>IF(Учет!$O2678=Справочники!$F$4,Учет!$H2678,0)</f>
        <v>0</v>
      </c>
      <c r="E2678" s="52">
        <f>IF(Учет!$O2678=Справочники!$F$5,Учет!$H2678,0)</f>
        <v>0</v>
      </c>
      <c r="F2678" s="52">
        <f>IF(Учет!$O2678=Справочники!$F$6,Учет!$H2678,0)</f>
        <v>0</v>
      </c>
      <c r="G2678" s="43">
        <f>G2677+Учет!B2678-B2678</f>
        <v>-488978.92000000004</v>
      </c>
      <c r="H2678" s="43">
        <f>H2677+Учет!C2678-C2678</f>
        <v>336855</v>
      </c>
      <c r="I2678" s="43">
        <f>I2677+Учет!D2678-D2678</f>
        <v>500</v>
      </c>
      <c r="J2678" s="43">
        <f>J2677+Учет!E2678-E2678</f>
        <v>1150</v>
      </c>
      <c r="K2678" s="43">
        <f>K2677+Учет!F2678-F2678</f>
        <v>500000</v>
      </c>
      <c r="L2678" s="45">
        <f>Учет!I2678</f>
        <v>349526.07999999996</v>
      </c>
    </row>
    <row r="2679" spans="1:12" x14ac:dyDescent="0.25">
      <c r="A2679" s="48" t="str">
        <f>IF(Учет!A2679&lt;&gt;"",Учет!A2679,"")</f>
        <v/>
      </c>
      <c r="B2679" s="52">
        <f>IF(Учет!$O2679=Справочники!$F$2,Учет!$H2679,0)</f>
        <v>0</v>
      </c>
      <c r="C2679" s="52">
        <f>IF(Учет!$O2679=Справочники!$F$3,Учет!$H2679,0)</f>
        <v>0</v>
      </c>
      <c r="D2679" s="52">
        <f>IF(Учет!$O2679=Справочники!$F$4,Учет!$H2679,0)</f>
        <v>0</v>
      </c>
      <c r="E2679" s="52">
        <f>IF(Учет!$O2679=Справочники!$F$5,Учет!$H2679,0)</f>
        <v>0</v>
      </c>
      <c r="F2679" s="52">
        <f>IF(Учет!$O2679=Справочники!$F$6,Учет!$H2679,0)</f>
        <v>0</v>
      </c>
      <c r="G2679" s="43">
        <f>G2678+Учет!B2679-B2679</f>
        <v>-488978.92000000004</v>
      </c>
      <c r="H2679" s="43">
        <f>H2678+Учет!C2679-C2679</f>
        <v>336855</v>
      </c>
      <c r="I2679" s="43">
        <f>I2678+Учет!D2679-D2679</f>
        <v>500</v>
      </c>
      <c r="J2679" s="43">
        <f>J2678+Учет!E2679-E2679</f>
        <v>1150</v>
      </c>
      <c r="K2679" s="43">
        <f>K2678+Учет!F2679-F2679</f>
        <v>500000</v>
      </c>
      <c r="L2679" s="45">
        <f>Учет!I2679</f>
        <v>349526.07999999996</v>
      </c>
    </row>
    <row r="2680" spans="1:12" x14ac:dyDescent="0.25">
      <c r="A2680" s="48" t="str">
        <f>IF(Учет!A2680&lt;&gt;"",Учет!A2680,"")</f>
        <v/>
      </c>
      <c r="B2680" s="52">
        <f>IF(Учет!$O2680=Справочники!$F$2,Учет!$H2680,0)</f>
        <v>0</v>
      </c>
      <c r="C2680" s="52">
        <f>IF(Учет!$O2680=Справочники!$F$3,Учет!$H2680,0)</f>
        <v>0</v>
      </c>
      <c r="D2680" s="52">
        <f>IF(Учет!$O2680=Справочники!$F$4,Учет!$H2680,0)</f>
        <v>0</v>
      </c>
      <c r="E2680" s="52">
        <f>IF(Учет!$O2680=Справочники!$F$5,Учет!$H2680,0)</f>
        <v>0</v>
      </c>
      <c r="F2680" s="52">
        <f>IF(Учет!$O2680=Справочники!$F$6,Учет!$H2680,0)</f>
        <v>0</v>
      </c>
      <c r="G2680" s="43">
        <f>G2679+Учет!B2680-B2680</f>
        <v>-488978.92000000004</v>
      </c>
      <c r="H2680" s="43">
        <f>H2679+Учет!C2680-C2680</f>
        <v>336855</v>
      </c>
      <c r="I2680" s="43">
        <f>I2679+Учет!D2680-D2680</f>
        <v>500</v>
      </c>
      <c r="J2680" s="43">
        <f>J2679+Учет!E2680-E2680</f>
        <v>1150</v>
      </c>
      <c r="K2680" s="43">
        <f>K2679+Учет!F2680-F2680</f>
        <v>500000</v>
      </c>
      <c r="L2680" s="45">
        <f>Учет!I2680</f>
        <v>349526.07999999996</v>
      </c>
    </row>
    <row r="2681" spans="1:12" x14ac:dyDescent="0.25">
      <c r="A2681" s="48" t="str">
        <f>IF(Учет!A2681&lt;&gt;"",Учет!A2681,"")</f>
        <v/>
      </c>
      <c r="B2681" s="52">
        <f>IF(Учет!$O2681=Справочники!$F$2,Учет!$H2681,0)</f>
        <v>0</v>
      </c>
      <c r="C2681" s="52">
        <f>IF(Учет!$O2681=Справочники!$F$3,Учет!$H2681,0)</f>
        <v>0</v>
      </c>
      <c r="D2681" s="52">
        <f>IF(Учет!$O2681=Справочники!$F$4,Учет!$H2681,0)</f>
        <v>0</v>
      </c>
      <c r="E2681" s="52">
        <f>IF(Учет!$O2681=Справочники!$F$5,Учет!$H2681,0)</f>
        <v>0</v>
      </c>
      <c r="F2681" s="52">
        <f>IF(Учет!$O2681=Справочники!$F$6,Учет!$H2681,0)</f>
        <v>0</v>
      </c>
      <c r="G2681" s="43">
        <f>G2680+Учет!B2681-B2681</f>
        <v>-488978.92000000004</v>
      </c>
      <c r="H2681" s="43">
        <f>H2680+Учет!C2681-C2681</f>
        <v>336855</v>
      </c>
      <c r="I2681" s="43">
        <f>I2680+Учет!D2681-D2681</f>
        <v>500</v>
      </c>
      <c r="J2681" s="43">
        <f>J2680+Учет!E2681-E2681</f>
        <v>1150</v>
      </c>
      <c r="K2681" s="43">
        <f>K2680+Учет!F2681-F2681</f>
        <v>500000</v>
      </c>
      <c r="L2681" s="45">
        <f>Учет!I2681</f>
        <v>349526.07999999996</v>
      </c>
    </row>
    <row r="2682" spans="1:12" x14ac:dyDescent="0.25">
      <c r="A2682" s="48" t="str">
        <f>IF(Учет!A2682&lt;&gt;"",Учет!A2682,"")</f>
        <v/>
      </c>
      <c r="B2682" s="52">
        <f>IF(Учет!$O2682=Справочники!$F$2,Учет!$H2682,0)</f>
        <v>0</v>
      </c>
      <c r="C2682" s="52">
        <f>IF(Учет!$O2682=Справочники!$F$3,Учет!$H2682,0)</f>
        <v>0</v>
      </c>
      <c r="D2682" s="52">
        <f>IF(Учет!$O2682=Справочники!$F$4,Учет!$H2682,0)</f>
        <v>0</v>
      </c>
      <c r="E2682" s="52">
        <f>IF(Учет!$O2682=Справочники!$F$5,Учет!$H2682,0)</f>
        <v>0</v>
      </c>
      <c r="F2682" s="52">
        <f>IF(Учет!$O2682=Справочники!$F$6,Учет!$H2682,0)</f>
        <v>0</v>
      </c>
      <c r="G2682" s="43">
        <f>G2681+Учет!B2682-B2682</f>
        <v>-488978.92000000004</v>
      </c>
      <c r="H2682" s="43">
        <f>H2681+Учет!C2682-C2682</f>
        <v>336855</v>
      </c>
      <c r="I2682" s="43">
        <f>I2681+Учет!D2682-D2682</f>
        <v>500</v>
      </c>
      <c r="J2682" s="43">
        <f>J2681+Учет!E2682-E2682</f>
        <v>1150</v>
      </c>
      <c r="K2682" s="43">
        <f>K2681+Учет!F2682-F2682</f>
        <v>500000</v>
      </c>
      <c r="L2682" s="45">
        <f>Учет!I2682</f>
        <v>349526.07999999996</v>
      </c>
    </row>
    <row r="2683" spans="1:12" x14ac:dyDescent="0.25">
      <c r="A2683" s="48" t="str">
        <f>IF(Учет!A2683&lt;&gt;"",Учет!A2683,"")</f>
        <v/>
      </c>
      <c r="B2683" s="52">
        <f>IF(Учет!$O2683=Справочники!$F$2,Учет!$H2683,0)</f>
        <v>0</v>
      </c>
      <c r="C2683" s="52">
        <f>IF(Учет!$O2683=Справочники!$F$3,Учет!$H2683,0)</f>
        <v>0</v>
      </c>
      <c r="D2683" s="52">
        <f>IF(Учет!$O2683=Справочники!$F$4,Учет!$H2683,0)</f>
        <v>0</v>
      </c>
      <c r="E2683" s="52">
        <f>IF(Учет!$O2683=Справочники!$F$5,Учет!$H2683,0)</f>
        <v>0</v>
      </c>
      <c r="F2683" s="52">
        <f>IF(Учет!$O2683=Справочники!$F$6,Учет!$H2683,0)</f>
        <v>0</v>
      </c>
      <c r="G2683" s="43">
        <f>G2682+Учет!B2683-B2683</f>
        <v>-488978.92000000004</v>
      </c>
      <c r="H2683" s="43">
        <f>H2682+Учет!C2683-C2683</f>
        <v>336855</v>
      </c>
      <c r="I2683" s="43">
        <f>I2682+Учет!D2683-D2683</f>
        <v>500</v>
      </c>
      <c r="J2683" s="43">
        <f>J2682+Учет!E2683-E2683</f>
        <v>1150</v>
      </c>
      <c r="K2683" s="43">
        <f>K2682+Учет!F2683-F2683</f>
        <v>500000</v>
      </c>
      <c r="L2683" s="45">
        <f>Учет!I2683</f>
        <v>349526.07999999996</v>
      </c>
    </row>
    <row r="2684" spans="1:12" x14ac:dyDescent="0.25">
      <c r="A2684" s="48" t="str">
        <f>IF(Учет!A2684&lt;&gt;"",Учет!A2684,"")</f>
        <v/>
      </c>
      <c r="B2684" s="52">
        <f>IF(Учет!$O2684=Справочники!$F$2,Учет!$H2684,0)</f>
        <v>0</v>
      </c>
      <c r="C2684" s="52">
        <f>IF(Учет!$O2684=Справочники!$F$3,Учет!$H2684,0)</f>
        <v>0</v>
      </c>
      <c r="D2684" s="52">
        <f>IF(Учет!$O2684=Справочники!$F$4,Учет!$H2684,0)</f>
        <v>0</v>
      </c>
      <c r="E2684" s="52">
        <f>IF(Учет!$O2684=Справочники!$F$5,Учет!$H2684,0)</f>
        <v>0</v>
      </c>
      <c r="F2684" s="52">
        <f>IF(Учет!$O2684=Справочники!$F$6,Учет!$H2684,0)</f>
        <v>0</v>
      </c>
      <c r="G2684" s="43">
        <f>G2683+Учет!B2684-B2684</f>
        <v>-488978.92000000004</v>
      </c>
      <c r="H2684" s="43">
        <f>H2683+Учет!C2684-C2684</f>
        <v>336855</v>
      </c>
      <c r="I2684" s="43">
        <f>I2683+Учет!D2684-D2684</f>
        <v>500</v>
      </c>
      <c r="J2684" s="43">
        <f>J2683+Учет!E2684-E2684</f>
        <v>1150</v>
      </c>
      <c r="K2684" s="43">
        <f>K2683+Учет!F2684-F2684</f>
        <v>500000</v>
      </c>
      <c r="L2684" s="45">
        <f>Учет!I2684</f>
        <v>349526.07999999996</v>
      </c>
    </row>
    <row r="2685" spans="1:12" x14ac:dyDescent="0.25">
      <c r="A2685" s="48" t="str">
        <f>IF(Учет!A2685&lt;&gt;"",Учет!A2685,"")</f>
        <v/>
      </c>
      <c r="B2685" s="52">
        <f>IF(Учет!$O2685=Справочники!$F$2,Учет!$H2685,0)</f>
        <v>0</v>
      </c>
      <c r="C2685" s="52">
        <f>IF(Учет!$O2685=Справочники!$F$3,Учет!$H2685,0)</f>
        <v>0</v>
      </c>
      <c r="D2685" s="52">
        <f>IF(Учет!$O2685=Справочники!$F$4,Учет!$H2685,0)</f>
        <v>0</v>
      </c>
      <c r="E2685" s="52">
        <f>IF(Учет!$O2685=Справочники!$F$5,Учет!$H2685,0)</f>
        <v>0</v>
      </c>
      <c r="F2685" s="52">
        <f>IF(Учет!$O2685=Справочники!$F$6,Учет!$H2685,0)</f>
        <v>0</v>
      </c>
      <c r="G2685" s="43">
        <f>G2684+Учет!B2685-B2685</f>
        <v>-488978.92000000004</v>
      </c>
      <c r="H2685" s="43">
        <f>H2684+Учет!C2685-C2685</f>
        <v>336855</v>
      </c>
      <c r="I2685" s="43">
        <f>I2684+Учет!D2685-D2685</f>
        <v>500</v>
      </c>
      <c r="J2685" s="43">
        <f>J2684+Учет!E2685-E2685</f>
        <v>1150</v>
      </c>
      <c r="K2685" s="43">
        <f>K2684+Учет!F2685-F2685</f>
        <v>500000</v>
      </c>
      <c r="L2685" s="45">
        <f>Учет!I2685</f>
        <v>349526.07999999996</v>
      </c>
    </row>
    <row r="2686" spans="1:12" x14ac:dyDescent="0.25">
      <c r="A2686" s="48" t="str">
        <f>IF(Учет!A2686&lt;&gt;"",Учет!A2686,"")</f>
        <v/>
      </c>
      <c r="B2686" s="52">
        <f>IF(Учет!$O2686=Справочники!$F$2,Учет!$H2686,0)</f>
        <v>0</v>
      </c>
      <c r="C2686" s="52">
        <f>IF(Учет!$O2686=Справочники!$F$3,Учет!$H2686,0)</f>
        <v>0</v>
      </c>
      <c r="D2686" s="52">
        <f>IF(Учет!$O2686=Справочники!$F$4,Учет!$H2686,0)</f>
        <v>0</v>
      </c>
      <c r="E2686" s="52">
        <f>IF(Учет!$O2686=Справочники!$F$5,Учет!$H2686,0)</f>
        <v>0</v>
      </c>
      <c r="F2686" s="52">
        <f>IF(Учет!$O2686=Справочники!$F$6,Учет!$H2686,0)</f>
        <v>0</v>
      </c>
      <c r="G2686" s="43">
        <f>G2685+Учет!B2686-B2686</f>
        <v>-488978.92000000004</v>
      </c>
      <c r="H2686" s="43">
        <f>H2685+Учет!C2686-C2686</f>
        <v>336855</v>
      </c>
      <c r="I2686" s="43">
        <f>I2685+Учет!D2686-D2686</f>
        <v>500</v>
      </c>
      <c r="J2686" s="43">
        <f>J2685+Учет!E2686-E2686</f>
        <v>1150</v>
      </c>
      <c r="K2686" s="43">
        <f>K2685+Учет!F2686-F2686</f>
        <v>500000</v>
      </c>
      <c r="L2686" s="45">
        <f>Учет!I2686</f>
        <v>349526.07999999996</v>
      </c>
    </row>
    <row r="2687" spans="1:12" x14ac:dyDescent="0.25">
      <c r="A2687" s="48" t="str">
        <f>IF(Учет!A2687&lt;&gt;"",Учет!A2687,"")</f>
        <v/>
      </c>
      <c r="B2687" s="52">
        <f>IF(Учет!$O2687=Справочники!$F$2,Учет!$H2687,0)</f>
        <v>0</v>
      </c>
      <c r="C2687" s="52">
        <f>IF(Учет!$O2687=Справочники!$F$3,Учет!$H2687,0)</f>
        <v>0</v>
      </c>
      <c r="D2687" s="52">
        <f>IF(Учет!$O2687=Справочники!$F$4,Учет!$H2687,0)</f>
        <v>0</v>
      </c>
      <c r="E2687" s="52">
        <f>IF(Учет!$O2687=Справочники!$F$5,Учет!$H2687,0)</f>
        <v>0</v>
      </c>
      <c r="F2687" s="52">
        <f>IF(Учет!$O2687=Справочники!$F$6,Учет!$H2687,0)</f>
        <v>0</v>
      </c>
      <c r="G2687" s="43">
        <f>G2686+Учет!B2687-B2687</f>
        <v>-488978.92000000004</v>
      </c>
      <c r="H2687" s="43">
        <f>H2686+Учет!C2687-C2687</f>
        <v>336855</v>
      </c>
      <c r="I2687" s="43">
        <f>I2686+Учет!D2687-D2687</f>
        <v>500</v>
      </c>
      <c r="J2687" s="43">
        <f>J2686+Учет!E2687-E2687</f>
        <v>1150</v>
      </c>
      <c r="K2687" s="43">
        <f>K2686+Учет!F2687-F2687</f>
        <v>500000</v>
      </c>
      <c r="L2687" s="45">
        <f>Учет!I2687</f>
        <v>349526.07999999996</v>
      </c>
    </row>
    <row r="2688" spans="1:12" x14ac:dyDescent="0.25">
      <c r="A2688" s="48" t="str">
        <f>IF(Учет!A2688&lt;&gt;"",Учет!A2688,"")</f>
        <v/>
      </c>
      <c r="B2688" s="52">
        <f>IF(Учет!$O2688=Справочники!$F$2,Учет!$H2688,0)</f>
        <v>0</v>
      </c>
      <c r="C2688" s="52">
        <f>IF(Учет!$O2688=Справочники!$F$3,Учет!$H2688,0)</f>
        <v>0</v>
      </c>
      <c r="D2688" s="52">
        <f>IF(Учет!$O2688=Справочники!$F$4,Учет!$H2688,0)</f>
        <v>0</v>
      </c>
      <c r="E2688" s="52">
        <f>IF(Учет!$O2688=Справочники!$F$5,Учет!$H2688,0)</f>
        <v>0</v>
      </c>
      <c r="F2688" s="52">
        <f>IF(Учет!$O2688=Справочники!$F$6,Учет!$H2688,0)</f>
        <v>0</v>
      </c>
      <c r="G2688" s="43">
        <f>G2687+Учет!B2688-B2688</f>
        <v>-488978.92000000004</v>
      </c>
      <c r="H2688" s="43">
        <f>H2687+Учет!C2688-C2688</f>
        <v>336855</v>
      </c>
      <c r="I2688" s="43">
        <f>I2687+Учет!D2688-D2688</f>
        <v>500</v>
      </c>
      <c r="J2688" s="43">
        <f>J2687+Учет!E2688-E2688</f>
        <v>1150</v>
      </c>
      <c r="K2688" s="43">
        <f>K2687+Учет!F2688-F2688</f>
        <v>500000</v>
      </c>
      <c r="L2688" s="45">
        <f>Учет!I2688</f>
        <v>349526.07999999996</v>
      </c>
    </row>
    <row r="2689" spans="1:12" x14ac:dyDescent="0.25">
      <c r="A2689" s="48" t="str">
        <f>IF(Учет!A2689&lt;&gt;"",Учет!A2689,"")</f>
        <v/>
      </c>
      <c r="B2689" s="52">
        <f>IF(Учет!$O2689=Справочники!$F$2,Учет!$H2689,0)</f>
        <v>0</v>
      </c>
      <c r="C2689" s="52">
        <f>IF(Учет!$O2689=Справочники!$F$3,Учет!$H2689,0)</f>
        <v>0</v>
      </c>
      <c r="D2689" s="52">
        <f>IF(Учет!$O2689=Справочники!$F$4,Учет!$H2689,0)</f>
        <v>0</v>
      </c>
      <c r="E2689" s="52">
        <f>IF(Учет!$O2689=Справочники!$F$5,Учет!$H2689,0)</f>
        <v>0</v>
      </c>
      <c r="F2689" s="52">
        <f>IF(Учет!$O2689=Справочники!$F$6,Учет!$H2689,0)</f>
        <v>0</v>
      </c>
      <c r="G2689" s="43">
        <f>G2688+Учет!B2689-B2689</f>
        <v>-488978.92000000004</v>
      </c>
      <c r="H2689" s="43">
        <f>H2688+Учет!C2689-C2689</f>
        <v>336855</v>
      </c>
      <c r="I2689" s="43">
        <f>I2688+Учет!D2689-D2689</f>
        <v>500</v>
      </c>
      <c r="J2689" s="43">
        <f>J2688+Учет!E2689-E2689</f>
        <v>1150</v>
      </c>
      <c r="K2689" s="43">
        <f>K2688+Учет!F2689-F2689</f>
        <v>500000</v>
      </c>
      <c r="L2689" s="45">
        <f>Учет!I2689</f>
        <v>349526.07999999996</v>
      </c>
    </row>
    <row r="2690" spans="1:12" x14ac:dyDescent="0.25">
      <c r="A2690" s="48" t="str">
        <f>IF(Учет!A2690&lt;&gt;"",Учет!A2690,"")</f>
        <v/>
      </c>
      <c r="B2690" s="52">
        <f>IF(Учет!$O2690=Справочники!$F$2,Учет!$H2690,0)</f>
        <v>0</v>
      </c>
      <c r="C2690" s="52">
        <f>IF(Учет!$O2690=Справочники!$F$3,Учет!$H2690,0)</f>
        <v>0</v>
      </c>
      <c r="D2690" s="52">
        <f>IF(Учет!$O2690=Справочники!$F$4,Учет!$H2690,0)</f>
        <v>0</v>
      </c>
      <c r="E2690" s="52">
        <f>IF(Учет!$O2690=Справочники!$F$5,Учет!$H2690,0)</f>
        <v>0</v>
      </c>
      <c r="F2690" s="52">
        <f>IF(Учет!$O2690=Справочники!$F$6,Учет!$H2690,0)</f>
        <v>0</v>
      </c>
      <c r="G2690" s="43">
        <f>G2689+Учет!B2690-B2690</f>
        <v>-488978.92000000004</v>
      </c>
      <c r="H2690" s="43">
        <f>H2689+Учет!C2690-C2690</f>
        <v>336855</v>
      </c>
      <c r="I2690" s="43">
        <f>I2689+Учет!D2690-D2690</f>
        <v>500</v>
      </c>
      <c r="J2690" s="43">
        <f>J2689+Учет!E2690-E2690</f>
        <v>1150</v>
      </c>
      <c r="K2690" s="43">
        <f>K2689+Учет!F2690-F2690</f>
        <v>500000</v>
      </c>
      <c r="L2690" s="45">
        <f>Учет!I2690</f>
        <v>349526.07999999996</v>
      </c>
    </row>
    <row r="2691" spans="1:12" x14ac:dyDescent="0.25">
      <c r="A2691" s="48" t="str">
        <f>IF(Учет!A2691&lt;&gt;"",Учет!A2691,"")</f>
        <v/>
      </c>
      <c r="B2691" s="52">
        <f>IF(Учет!$O2691=Справочники!$F$2,Учет!$H2691,0)</f>
        <v>0</v>
      </c>
      <c r="C2691" s="52">
        <f>IF(Учет!$O2691=Справочники!$F$3,Учет!$H2691,0)</f>
        <v>0</v>
      </c>
      <c r="D2691" s="52">
        <f>IF(Учет!$O2691=Справочники!$F$4,Учет!$H2691,0)</f>
        <v>0</v>
      </c>
      <c r="E2691" s="52">
        <f>IF(Учет!$O2691=Справочники!$F$5,Учет!$H2691,0)</f>
        <v>0</v>
      </c>
      <c r="F2691" s="52">
        <f>IF(Учет!$O2691=Справочники!$F$6,Учет!$H2691,0)</f>
        <v>0</v>
      </c>
      <c r="G2691" s="43">
        <f>G2690+Учет!B2691-B2691</f>
        <v>-488978.92000000004</v>
      </c>
      <c r="H2691" s="43">
        <f>H2690+Учет!C2691-C2691</f>
        <v>336855</v>
      </c>
      <c r="I2691" s="43">
        <f>I2690+Учет!D2691-D2691</f>
        <v>500</v>
      </c>
      <c r="J2691" s="43">
        <f>J2690+Учет!E2691-E2691</f>
        <v>1150</v>
      </c>
      <c r="K2691" s="43">
        <f>K2690+Учет!F2691-F2691</f>
        <v>500000</v>
      </c>
      <c r="L2691" s="45">
        <f>Учет!I2691</f>
        <v>349526.07999999996</v>
      </c>
    </row>
    <row r="2692" spans="1:12" x14ac:dyDescent="0.25">
      <c r="A2692" s="48" t="str">
        <f>IF(Учет!A2692&lt;&gt;"",Учет!A2692,"")</f>
        <v/>
      </c>
      <c r="B2692" s="52">
        <f>IF(Учет!$O2692=Справочники!$F$2,Учет!$H2692,0)</f>
        <v>0</v>
      </c>
      <c r="C2692" s="52">
        <f>IF(Учет!$O2692=Справочники!$F$3,Учет!$H2692,0)</f>
        <v>0</v>
      </c>
      <c r="D2692" s="52">
        <f>IF(Учет!$O2692=Справочники!$F$4,Учет!$H2692,0)</f>
        <v>0</v>
      </c>
      <c r="E2692" s="52">
        <f>IF(Учет!$O2692=Справочники!$F$5,Учет!$H2692,0)</f>
        <v>0</v>
      </c>
      <c r="F2692" s="52">
        <f>IF(Учет!$O2692=Справочники!$F$6,Учет!$H2692,0)</f>
        <v>0</v>
      </c>
      <c r="G2692" s="43">
        <f>G2691+Учет!B2692-B2692</f>
        <v>-488978.92000000004</v>
      </c>
      <c r="H2692" s="43">
        <f>H2691+Учет!C2692-C2692</f>
        <v>336855</v>
      </c>
      <c r="I2692" s="43">
        <f>I2691+Учет!D2692-D2692</f>
        <v>500</v>
      </c>
      <c r="J2692" s="43">
        <f>J2691+Учет!E2692-E2692</f>
        <v>1150</v>
      </c>
      <c r="K2692" s="43">
        <f>K2691+Учет!F2692-F2692</f>
        <v>500000</v>
      </c>
      <c r="L2692" s="45">
        <f>Учет!I2692</f>
        <v>349526.07999999996</v>
      </c>
    </row>
    <row r="2693" spans="1:12" x14ac:dyDescent="0.25">
      <c r="A2693" s="48" t="str">
        <f>IF(Учет!A2693&lt;&gt;"",Учет!A2693,"")</f>
        <v/>
      </c>
      <c r="B2693" s="52">
        <f>IF(Учет!$O2693=Справочники!$F$2,Учет!$H2693,0)</f>
        <v>0</v>
      </c>
      <c r="C2693" s="52">
        <f>IF(Учет!$O2693=Справочники!$F$3,Учет!$H2693,0)</f>
        <v>0</v>
      </c>
      <c r="D2693" s="52">
        <f>IF(Учет!$O2693=Справочники!$F$4,Учет!$H2693,0)</f>
        <v>0</v>
      </c>
      <c r="E2693" s="52">
        <f>IF(Учет!$O2693=Справочники!$F$5,Учет!$H2693,0)</f>
        <v>0</v>
      </c>
      <c r="F2693" s="52">
        <f>IF(Учет!$O2693=Справочники!$F$6,Учет!$H2693,0)</f>
        <v>0</v>
      </c>
      <c r="G2693" s="43">
        <f>G2692+Учет!B2693-B2693</f>
        <v>-488978.92000000004</v>
      </c>
      <c r="H2693" s="43">
        <f>H2692+Учет!C2693-C2693</f>
        <v>336855</v>
      </c>
      <c r="I2693" s="43">
        <f>I2692+Учет!D2693-D2693</f>
        <v>500</v>
      </c>
      <c r="J2693" s="43">
        <f>J2692+Учет!E2693-E2693</f>
        <v>1150</v>
      </c>
      <c r="K2693" s="43">
        <f>K2692+Учет!F2693-F2693</f>
        <v>500000</v>
      </c>
      <c r="L2693" s="45">
        <f>Учет!I2693</f>
        <v>349526.07999999996</v>
      </c>
    </row>
    <row r="2694" spans="1:12" x14ac:dyDescent="0.25">
      <c r="A2694" s="48" t="str">
        <f>IF(Учет!A2694&lt;&gt;"",Учет!A2694,"")</f>
        <v/>
      </c>
      <c r="B2694" s="52">
        <f>IF(Учет!$O2694=Справочники!$F$2,Учет!$H2694,0)</f>
        <v>0</v>
      </c>
      <c r="C2694" s="52">
        <f>IF(Учет!$O2694=Справочники!$F$3,Учет!$H2694,0)</f>
        <v>0</v>
      </c>
      <c r="D2694" s="52">
        <f>IF(Учет!$O2694=Справочники!$F$4,Учет!$H2694,0)</f>
        <v>0</v>
      </c>
      <c r="E2694" s="52">
        <f>IF(Учет!$O2694=Справочники!$F$5,Учет!$H2694,0)</f>
        <v>0</v>
      </c>
      <c r="F2694" s="52">
        <f>IF(Учет!$O2694=Справочники!$F$6,Учет!$H2694,0)</f>
        <v>0</v>
      </c>
      <c r="G2694" s="43">
        <f>G2693+Учет!B2694-B2694</f>
        <v>-488978.92000000004</v>
      </c>
      <c r="H2694" s="43">
        <f>H2693+Учет!C2694-C2694</f>
        <v>336855</v>
      </c>
      <c r="I2694" s="43">
        <f>I2693+Учет!D2694-D2694</f>
        <v>500</v>
      </c>
      <c r="J2694" s="43">
        <f>J2693+Учет!E2694-E2694</f>
        <v>1150</v>
      </c>
      <c r="K2694" s="43">
        <f>K2693+Учет!F2694-F2694</f>
        <v>500000</v>
      </c>
      <c r="L2694" s="45">
        <f>Учет!I2694</f>
        <v>349526.07999999996</v>
      </c>
    </row>
    <row r="2695" spans="1:12" x14ac:dyDescent="0.25">
      <c r="A2695" s="48" t="str">
        <f>IF(Учет!A2695&lt;&gt;"",Учет!A2695,"")</f>
        <v/>
      </c>
      <c r="B2695" s="52">
        <f>IF(Учет!$O2695=Справочники!$F$2,Учет!$H2695,0)</f>
        <v>0</v>
      </c>
      <c r="C2695" s="52">
        <f>IF(Учет!$O2695=Справочники!$F$3,Учет!$H2695,0)</f>
        <v>0</v>
      </c>
      <c r="D2695" s="52">
        <f>IF(Учет!$O2695=Справочники!$F$4,Учет!$H2695,0)</f>
        <v>0</v>
      </c>
      <c r="E2695" s="52">
        <f>IF(Учет!$O2695=Справочники!$F$5,Учет!$H2695,0)</f>
        <v>0</v>
      </c>
      <c r="F2695" s="52">
        <f>IF(Учет!$O2695=Справочники!$F$6,Учет!$H2695,0)</f>
        <v>0</v>
      </c>
      <c r="G2695" s="43">
        <f>G2694+Учет!B2695-B2695</f>
        <v>-488978.92000000004</v>
      </c>
      <c r="H2695" s="43">
        <f>H2694+Учет!C2695-C2695</f>
        <v>336855</v>
      </c>
      <c r="I2695" s="43">
        <f>I2694+Учет!D2695-D2695</f>
        <v>500</v>
      </c>
      <c r="J2695" s="43">
        <f>J2694+Учет!E2695-E2695</f>
        <v>1150</v>
      </c>
      <c r="K2695" s="43">
        <f>K2694+Учет!F2695-F2695</f>
        <v>500000</v>
      </c>
      <c r="L2695" s="45">
        <f>Учет!I2695</f>
        <v>349526.07999999996</v>
      </c>
    </row>
    <row r="2696" spans="1:12" x14ac:dyDescent="0.25">
      <c r="A2696" s="48" t="str">
        <f>IF(Учет!A2696&lt;&gt;"",Учет!A2696,"")</f>
        <v/>
      </c>
      <c r="B2696" s="52">
        <f>IF(Учет!$O2696=Справочники!$F$2,Учет!$H2696,0)</f>
        <v>0</v>
      </c>
      <c r="C2696" s="52">
        <f>IF(Учет!$O2696=Справочники!$F$3,Учет!$H2696,0)</f>
        <v>0</v>
      </c>
      <c r="D2696" s="52">
        <f>IF(Учет!$O2696=Справочники!$F$4,Учет!$H2696,0)</f>
        <v>0</v>
      </c>
      <c r="E2696" s="52">
        <f>IF(Учет!$O2696=Справочники!$F$5,Учет!$H2696,0)</f>
        <v>0</v>
      </c>
      <c r="F2696" s="52">
        <f>IF(Учет!$O2696=Справочники!$F$6,Учет!$H2696,0)</f>
        <v>0</v>
      </c>
      <c r="G2696" s="43">
        <f>G2695+Учет!B2696-B2696</f>
        <v>-488978.92000000004</v>
      </c>
      <c r="H2696" s="43">
        <f>H2695+Учет!C2696-C2696</f>
        <v>336855</v>
      </c>
      <c r="I2696" s="43">
        <f>I2695+Учет!D2696-D2696</f>
        <v>500</v>
      </c>
      <c r="J2696" s="43">
        <f>J2695+Учет!E2696-E2696</f>
        <v>1150</v>
      </c>
      <c r="K2696" s="43">
        <f>K2695+Учет!F2696-F2696</f>
        <v>500000</v>
      </c>
      <c r="L2696" s="45">
        <f>Учет!I2696</f>
        <v>349526.07999999996</v>
      </c>
    </row>
    <row r="2697" spans="1:12" x14ac:dyDescent="0.25">
      <c r="A2697" s="48" t="str">
        <f>IF(Учет!A2697&lt;&gt;"",Учет!A2697,"")</f>
        <v/>
      </c>
      <c r="B2697" s="52">
        <f>IF(Учет!$O2697=Справочники!$F$2,Учет!$H2697,0)</f>
        <v>0</v>
      </c>
      <c r="C2697" s="52">
        <f>IF(Учет!$O2697=Справочники!$F$3,Учет!$H2697,0)</f>
        <v>0</v>
      </c>
      <c r="D2697" s="52">
        <f>IF(Учет!$O2697=Справочники!$F$4,Учет!$H2697,0)</f>
        <v>0</v>
      </c>
      <c r="E2697" s="52">
        <f>IF(Учет!$O2697=Справочники!$F$5,Учет!$H2697,0)</f>
        <v>0</v>
      </c>
      <c r="F2697" s="52">
        <f>IF(Учет!$O2697=Справочники!$F$6,Учет!$H2697,0)</f>
        <v>0</v>
      </c>
      <c r="G2697" s="43">
        <f>G2696+Учет!B2697-B2697</f>
        <v>-488978.92000000004</v>
      </c>
      <c r="H2697" s="43">
        <f>H2696+Учет!C2697-C2697</f>
        <v>336855</v>
      </c>
      <c r="I2697" s="43">
        <f>I2696+Учет!D2697-D2697</f>
        <v>500</v>
      </c>
      <c r="J2697" s="43">
        <f>J2696+Учет!E2697-E2697</f>
        <v>1150</v>
      </c>
      <c r="K2697" s="43">
        <f>K2696+Учет!F2697-F2697</f>
        <v>500000</v>
      </c>
      <c r="L2697" s="45">
        <f>Учет!I2697</f>
        <v>349526.07999999996</v>
      </c>
    </row>
    <row r="2698" spans="1:12" x14ac:dyDescent="0.25">
      <c r="A2698" s="48" t="str">
        <f>IF(Учет!A2698&lt;&gt;"",Учет!A2698,"")</f>
        <v/>
      </c>
      <c r="B2698" s="52">
        <f>IF(Учет!$O2698=Справочники!$F$2,Учет!$H2698,0)</f>
        <v>0</v>
      </c>
      <c r="C2698" s="52">
        <f>IF(Учет!$O2698=Справочники!$F$3,Учет!$H2698,0)</f>
        <v>0</v>
      </c>
      <c r="D2698" s="52">
        <f>IF(Учет!$O2698=Справочники!$F$4,Учет!$H2698,0)</f>
        <v>0</v>
      </c>
      <c r="E2698" s="52">
        <f>IF(Учет!$O2698=Справочники!$F$5,Учет!$H2698,0)</f>
        <v>0</v>
      </c>
      <c r="F2698" s="52">
        <f>IF(Учет!$O2698=Справочники!$F$6,Учет!$H2698,0)</f>
        <v>0</v>
      </c>
      <c r="G2698" s="43">
        <f>G2697+Учет!B2698-B2698</f>
        <v>-488978.92000000004</v>
      </c>
      <c r="H2698" s="43">
        <f>H2697+Учет!C2698-C2698</f>
        <v>336855</v>
      </c>
      <c r="I2698" s="43">
        <f>I2697+Учет!D2698-D2698</f>
        <v>500</v>
      </c>
      <c r="J2698" s="43">
        <f>J2697+Учет!E2698-E2698</f>
        <v>1150</v>
      </c>
      <c r="K2698" s="43">
        <f>K2697+Учет!F2698-F2698</f>
        <v>500000</v>
      </c>
      <c r="L2698" s="45">
        <f>Учет!I2698</f>
        <v>349526.07999999996</v>
      </c>
    </row>
    <row r="2699" spans="1:12" x14ac:dyDescent="0.25">
      <c r="A2699" s="48" t="str">
        <f>IF(Учет!A2699&lt;&gt;"",Учет!A2699,"")</f>
        <v/>
      </c>
      <c r="B2699" s="52">
        <f>IF(Учет!$O2699=Справочники!$F$2,Учет!$H2699,0)</f>
        <v>0</v>
      </c>
      <c r="C2699" s="52">
        <f>IF(Учет!$O2699=Справочники!$F$3,Учет!$H2699,0)</f>
        <v>0</v>
      </c>
      <c r="D2699" s="52">
        <f>IF(Учет!$O2699=Справочники!$F$4,Учет!$H2699,0)</f>
        <v>0</v>
      </c>
      <c r="E2699" s="52">
        <f>IF(Учет!$O2699=Справочники!$F$5,Учет!$H2699,0)</f>
        <v>0</v>
      </c>
      <c r="F2699" s="52">
        <f>IF(Учет!$O2699=Справочники!$F$6,Учет!$H2699,0)</f>
        <v>0</v>
      </c>
      <c r="G2699" s="43">
        <f>G2698+Учет!B2699-B2699</f>
        <v>-488978.92000000004</v>
      </c>
      <c r="H2699" s="43">
        <f>H2698+Учет!C2699-C2699</f>
        <v>336855</v>
      </c>
      <c r="I2699" s="43">
        <f>I2698+Учет!D2699-D2699</f>
        <v>500</v>
      </c>
      <c r="J2699" s="43">
        <f>J2698+Учет!E2699-E2699</f>
        <v>1150</v>
      </c>
      <c r="K2699" s="43">
        <f>K2698+Учет!F2699-F2699</f>
        <v>500000</v>
      </c>
      <c r="L2699" s="45">
        <f>Учет!I2699</f>
        <v>349526.07999999996</v>
      </c>
    </row>
    <row r="2700" spans="1:12" x14ac:dyDescent="0.25">
      <c r="A2700" s="48" t="str">
        <f>IF(Учет!A2700&lt;&gt;"",Учет!A2700,"")</f>
        <v/>
      </c>
      <c r="B2700" s="52">
        <f>IF(Учет!$O2700=Справочники!$F$2,Учет!$H2700,0)</f>
        <v>0</v>
      </c>
      <c r="C2700" s="52">
        <f>IF(Учет!$O2700=Справочники!$F$3,Учет!$H2700,0)</f>
        <v>0</v>
      </c>
      <c r="D2700" s="52">
        <f>IF(Учет!$O2700=Справочники!$F$4,Учет!$H2700,0)</f>
        <v>0</v>
      </c>
      <c r="E2700" s="52">
        <f>IF(Учет!$O2700=Справочники!$F$5,Учет!$H2700,0)</f>
        <v>0</v>
      </c>
      <c r="F2700" s="52">
        <f>IF(Учет!$O2700=Справочники!$F$6,Учет!$H2700,0)</f>
        <v>0</v>
      </c>
      <c r="G2700" s="43">
        <f>G2699+Учет!B2700-B2700</f>
        <v>-488978.92000000004</v>
      </c>
      <c r="H2700" s="43">
        <f>H2699+Учет!C2700-C2700</f>
        <v>336855</v>
      </c>
      <c r="I2700" s="43">
        <f>I2699+Учет!D2700-D2700</f>
        <v>500</v>
      </c>
      <c r="J2700" s="43">
        <f>J2699+Учет!E2700-E2700</f>
        <v>1150</v>
      </c>
      <c r="K2700" s="43">
        <f>K2699+Учет!F2700-F2700</f>
        <v>500000</v>
      </c>
      <c r="L2700" s="45">
        <f>Учет!I2700</f>
        <v>349526.07999999996</v>
      </c>
    </row>
    <row r="2701" spans="1:12" x14ac:dyDescent="0.25">
      <c r="A2701" s="48" t="str">
        <f>IF(Учет!A2701&lt;&gt;"",Учет!A2701,"")</f>
        <v/>
      </c>
      <c r="B2701" s="52">
        <f>IF(Учет!$O2701=Справочники!$F$2,Учет!$H2701,0)</f>
        <v>0</v>
      </c>
      <c r="C2701" s="52">
        <f>IF(Учет!$O2701=Справочники!$F$3,Учет!$H2701,0)</f>
        <v>0</v>
      </c>
      <c r="D2701" s="52">
        <f>IF(Учет!$O2701=Справочники!$F$4,Учет!$H2701,0)</f>
        <v>0</v>
      </c>
      <c r="E2701" s="52">
        <f>IF(Учет!$O2701=Справочники!$F$5,Учет!$H2701,0)</f>
        <v>0</v>
      </c>
      <c r="F2701" s="52">
        <f>IF(Учет!$O2701=Справочники!$F$6,Учет!$H2701,0)</f>
        <v>0</v>
      </c>
      <c r="G2701" s="43">
        <f>G2700+Учет!B2701-B2701</f>
        <v>-488978.92000000004</v>
      </c>
      <c r="H2701" s="43">
        <f>H2700+Учет!C2701-C2701</f>
        <v>336855</v>
      </c>
      <c r="I2701" s="43">
        <f>I2700+Учет!D2701-D2701</f>
        <v>500</v>
      </c>
      <c r="J2701" s="43">
        <f>J2700+Учет!E2701-E2701</f>
        <v>1150</v>
      </c>
      <c r="K2701" s="43">
        <f>K2700+Учет!F2701-F2701</f>
        <v>500000</v>
      </c>
      <c r="L2701" s="45">
        <f>Учет!I2701</f>
        <v>349526.07999999996</v>
      </c>
    </row>
    <row r="2702" spans="1:12" x14ac:dyDescent="0.25">
      <c r="A2702" s="48" t="str">
        <f>IF(Учет!A2702&lt;&gt;"",Учет!A2702,"")</f>
        <v/>
      </c>
      <c r="B2702" s="52">
        <f>IF(Учет!$O2702=Справочники!$F$2,Учет!$H2702,0)</f>
        <v>0</v>
      </c>
      <c r="C2702" s="52">
        <f>IF(Учет!$O2702=Справочники!$F$3,Учет!$H2702,0)</f>
        <v>0</v>
      </c>
      <c r="D2702" s="52">
        <f>IF(Учет!$O2702=Справочники!$F$4,Учет!$H2702,0)</f>
        <v>0</v>
      </c>
      <c r="E2702" s="52">
        <f>IF(Учет!$O2702=Справочники!$F$5,Учет!$H2702,0)</f>
        <v>0</v>
      </c>
      <c r="F2702" s="52">
        <f>IF(Учет!$O2702=Справочники!$F$6,Учет!$H2702,0)</f>
        <v>0</v>
      </c>
      <c r="G2702" s="43">
        <f>G2701+Учет!B2702-B2702</f>
        <v>-488978.92000000004</v>
      </c>
      <c r="H2702" s="43">
        <f>H2701+Учет!C2702-C2702</f>
        <v>336855</v>
      </c>
      <c r="I2702" s="43">
        <f>I2701+Учет!D2702-D2702</f>
        <v>500</v>
      </c>
      <c r="J2702" s="43">
        <f>J2701+Учет!E2702-E2702</f>
        <v>1150</v>
      </c>
      <c r="K2702" s="43">
        <f>K2701+Учет!F2702-F2702</f>
        <v>500000</v>
      </c>
      <c r="L2702" s="45">
        <f>Учет!I2702</f>
        <v>349526.07999999996</v>
      </c>
    </row>
    <row r="2703" spans="1:12" x14ac:dyDescent="0.25">
      <c r="A2703" s="48" t="str">
        <f>IF(Учет!A2703&lt;&gt;"",Учет!A2703,"")</f>
        <v/>
      </c>
      <c r="B2703" s="52">
        <f>IF(Учет!$O2703=Справочники!$F$2,Учет!$H2703,0)</f>
        <v>0</v>
      </c>
      <c r="C2703" s="52">
        <f>IF(Учет!$O2703=Справочники!$F$3,Учет!$H2703,0)</f>
        <v>0</v>
      </c>
      <c r="D2703" s="52">
        <f>IF(Учет!$O2703=Справочники!$F$4,Учет!$H2703,0)</f>
        <v>0</v>
      </c>
      <c r="E2703" s="52">
        <f>IF(Учет!$O2703=Справочники!$F$5,Учет!$H2703,0)</f>
        <v>0</v>
      </c>
      <c r="F2703" s="52">
        <f>IF(Учет!$O2703=Справочники!$F$6,Учет!$H2703,0)</f>
        <v>0</v>
      </c>
      <c r="G2703" s="43">
        <f>G2702+Учет!B2703-B2703</f>
        <v>-488978.92000000004</v>
      </c>
      <c r="H2703" s="43">
        <f>H2702+Учет!C2703-C2703</f>
        <v>336855</v>
      </c>
      <c r="I2703" s="43">
        <f>I2702+Учет!D2703-D2703</f>
        <v>500</v>
      </c>
      <c r="J2703" s="43">
        <f>J2702+Учет!E2703-E2703</f>
        <v>1150</v>
      </c>
      <c r="K2703" s="43">
        <f>K2702+Учет!F2703-F2703</f>
        <v>500000</v>
      </c>
      <c r="L2703" s="45">
        <f>Учет!I2703</f>
        <v>349526.07999999996</v>
      </c>
    </row>
    <row r="2704" spans="1:12" x14ac:dyDescent="0.25">
      <c r="A2704" s="48" t="str">
        <f>IF(Учет!A2704&lt;&gt;"",Учет!A2704,"")</f>
        <v/>
      </c>
      <c r="B2704" s="52">
        <f>IF(Учет!$O2704=Справочники!$F$2,Учет!$H2704,0)</f>
        <v>0</v>
      </c>
      <c r="C2704" s="52">
        <f>IF(Учет!$O2704=Справочники!$F$3,Учет!$H2704,0)</f>
        <v>0</v>
      </c>
      <c r="D2704" s="52">
        <f>IF(Учет!$O2704=Справочники!$F$4,Учет!$H2704,0)</f>
        <v>0</v>
      </c>
      <c r="E2704" s="52">
        <f>IF(Учет!$O2704=Справочники!$F$5,Учет!$H2704,0)</f>
        <v>0</v>
      </c>
      <c r="F2704" s="52">
        <f>IF(Учет!$O2704=Справочники!$F$6,Учет!$H2704,0)</f>
        <v>0</v>
      </c>
      <c r="G2704" s="43">
        <f>G2703+Учет!B2704-B2704</f>
        <v>-488978.92000000004</v>
      </c>
      <c r="H2704" s="43">
        <f>H2703+Учет!C2704-C2704</f>
        <v>336855</v>
      </c>
      <c r="I2704" s="43">
        <f>I2703+Учет!D2704-D2704</f>
        <v>500</v>
      </c>
      <c r="J2704" s="43">
        <f>J2703+Учет!E2704-E2704</f>
        <v>1150</v>
      </c>
      <c r="K2704" s="43">
        <f>K2703+Учет!F2704-F2704</f>
        <v>500000</v>
      </c>
      <c r="L2704" s="45">
        <f>Учет!I2704</f>
        <v>349526.07999999996</v>
      </c>
    </row>
    <row r="2705" spans="1:12" x14ac:dyDescent="0.25">
      <c r="A2705" s="48" t="str">
        <f>IF(Учет!A2705&lt;&gt;"",Учет!A2705,"")</f>
        <v/>
      </c>
      <c r="B2705" s="52">
        <f>IF(Учет!$O2705=Справочники!$F$2,Учет!$H2705,0)</f>
        <v>0</v>
      </c>
      <c r="C2705" s="52">
        <f>IF(Учет!$O2705=Справочники!$F$3,Учет!$H2705,0)</f>
        <v>0</v>
      </c>
      <c r="D2705" s="52">
        <f>IF(Учет!$O2705=Справочники!$F$4,Учет!$H2705,0)</f>
        <v>0</v>
      </c>
      <c r="E2705" s="52">
        <f>IF(Учет!$O2705=Справочники!$F$5,Учет!$H2705,0)</f>
        <v>0</v>
      </c>
      <c r="F2705" s="52">
        <f>IF(Учет!$O2705=Справочники!$F$6,Учет!$H2705,0)</f>
        <v>0</v>
      </c>
      <c r="G2705" s="43">
        <f>G2704+Учет!B2705-B2705</f>
        <v>-488978.92000000004</v>
      </c>
      <c r="H2705" s="43">
        <f>H2704+Учет!C2705-C2705</f>
        <v>336855</v>
      </c>
      <c r="I2705" s="43">
        <f>I2704+Учет!D2705-D2705</f>
        <v>500</v>
      </c>
      <c r="J2705" s="43">
        <f>J2704+Учет!E2705-E2705</f>
        <v>1150</v>
      </c>
      <c r="K2705" s="43">
        <f>K2704+Учет!F2705-F2705</f>
        <v>500000</v>
      </c>
      <c r="L2705" s="45">
        <f>Учет!I2705</f>
        <v>349526.07999999996</v>
      </c>
    </row>
    <row r="2706" spans="1:12" x14ac:dyDescent="0.25">
      <c r="A2706" s="48" t="str">
        <f>IF(Учет!A2706&lt;&gt;"",Учет!A2706,"")</f>
        <v/>
      </c>
      <c r="B2706" s="52">
        <f>IF(Учет!$O2706=Справочники!$F$2,Учет!$H2706,0)</f>
        <v>0</v>
      </c>
      <c r="C2706" s="52">
        <f>IF(Учет!$O2706=Справочники!$F$3,Учет!$H2706,0)</f>
        <v>0</v>
      </c>
      <c r="D2706" s="52">
        <f>IF(Учет!$O2706=Справочники!$F$4,Учет!$H2706,0)</f>
        <v>0</v>
      </c>
      <c r="E2706" s="52">
        <f>IF(Учет!$O2706=Справочники!$F$5,Учет!$H2706,0)</f>
        <v>0</v>
      </c>
      <c r="F2706" s="52">
        <f>IF(Учет!$O2706=Справочники!$F$6,Учет!$H2706,0)</f>
        <v>0</v>
      </c>
      <c r="G2706" s="43">
        <f>G2705+Учет!B2706-B2706</f>
        <v>-488978.92000000004</v>
      </c>
      <c r="H2706" s="43">
        <f>H2705+Учет!C2706-C2706</f>
        <v>336855</v>
      </c>
      <c r="I2706" s="43">
        <f>I2705+Учет!D2706-D2706</f>
        <v>500</v>
      </c>
      <c r="J2706" s="43">
        <f>J2705+Учет!E2706-E2706</f>
        <v>1150</v>
      </c>
      <c r="K2706" s="43">
        <f>K2705+Учет!F2706-F2706</f>
        <v>500000</v>
      </c>
      <c r="L2706" s="45">
        <f>Учет!I2706</f>
        <v>349526.07999999996</v>
      </c>
    </row>
    <row r="2707" spans="1:12" x14ac:dyDescent="0.25">
      <c r="A2707" s="48" t="str">
        <f>IF(Учет!A2707&lt;&gt;"",Учет!A2707,"")</f>
        <v/>
      </c>
      <c r="B2707" s="52">
        <f>IF(Учет!$O2707=Справочники!$F$2,Учет!$H2707,0)</f>
        <v>0</v>
      </c>
      <c r="C2707" s="52">
        <f>IF(Учет!$O2707=Справочники!$F$3,Учет!$H2707,0)</f>
        <v>0</v>
      </c>
      <c r="D2707" s="52">
        <f>IF(Учет!$O2707=Справочники!$F$4,Учет!$H2707,0)</f>
        <v>0</v>
      </c>
      <c r="E2707" s="52">
        <f>IF(Учет!$O2707=Справочники!$F$5,Учет!$H2707,0)</f>
        <v>0</v>
      </c>
      <c r="F2707" s="52">
        <f>IF(Учет!$O2707=Справочники!$F$6,Учет!$H2707,0)</f>
        <v>0</v>
      </c>
      <c r="G2707" s="43">
        <f>G2706+Учет!B2707-B2707</f>
        <v>-488978.92000000004</v>
      </c>
      <c r="H2707" s="43">
        <f>H2706+Учет!C2707-C2707</f>
        <v>336855</v>
      </c>
      <c r="I2707" s="43">
        <f>I2706+Учет!D2707-D2707</f>
        <v>500</v>
      </c>
      <c r="J2707" s="43">
        <f>J2706+Учет!E2707-E2707</f>
        <v>1150</v>
      </c>
      <c r="K2707" s="43">
        <f>K2706+Учет!F2707-F2707</f>
        <v>500000</v>
      </c>
      <c r="L2707" s="45">
        <f>Учет!I2707</f>
        <v>349526.07999999996</v>
      </c>
    </row>
    <row r="2708" spans="1:12" x14ac:dyDescent="0.25">
      <c r="A2708" s="48" t="str">
        <f>IF(Учет!A2708&lt;&gt;"",Учет!A2708,"")</f>
        <v/>
      </c>
      <c r="B2708" s="52">
        <f>IF(Учет!$O2708=Справочники!$F$2,Учет!$H2708,0)</f>
        <v>0</v>
      </c>
      <c r="C2708" s="52">
        <f>IF(Учет!$O2708=Справочники!$F$3,Учет!$H2708,0)</f>
        <v>0</v>
      </c>
      <c r="D2708" s="52">
        <f>IF(Учет!$O2708=Справочники!$F$4,Учет!$H2708,0)</f>
        <v>0</v>
      </c>
      <c r="E2708" s="52">
        <f>IF(Учет!$O2708=Справочники!$F$5,Учет!$H2708,0)</f>
        <v>0</v>
      </c>
      <c r="F2708" s="52">
        <f>IF(Учет!$O2708=Справочники!$F$6,Учет!$H2708,0)</f>
        <v>0</v>
      </c>
      <c r="G2708" s="43">
        <f>G2707+Учет!B2708-B2708</f>
        <v>-488978.92000000004</v>
      </c>
      <c r="H2708" s="43">
        <f>H2707+Учет!C2708-C2708</f>
        <v>336855</v>
      </c>
      <c r="I2708" s="43">
        <f>I2707+Учет!D2708-D2708</f>
        <v>500</v>
      </c>
      <c r="J2708" s="43">
        <f>J2707+Учет!E2708-E2708</f>
        <v>1150</v>
      </c>
      <c r="K2708" s="43">
        <f>K2707+Учет!F2708-F2708</f>
        <v>500000</v>
      </c>
      <c r="L2708" s="45">
        <f>Учет!I2708</f>
        <v>349526.07999999996</v>
      </c>
    </row>
    <row r="2709" spans="1:12" x14ac:dyDescent="0.25">
      <c r="A2709" s="48" t="str">
        <f>IF(Учет!A2709&lt;&gt;"",Учет!A2709,"")</f>
        <v/>
      </c>
      <c r="B2709" s="52">
        <f>IF(Учет!$O2709=Справочники!$F$2,Учет!$H2709,0)</f>
        <v>0</v>
      </c>
      <c r="C2709" s="52">
        <f>IF(Учет!$O2709=Справочники!$F$3,Учет!$H2709,0)</f>
        <v>0</v>
      </c>
      <c r="D2709" s="52">
        <f>IF(Учет!$O2709=Справочники!$F$4,Учет!$H2709,0)</f>
        <v>0</v>
      </c>
      <c r="E2709" s="52">
        <f>IF(Учет!$O2709=Справочники!$F$5,Учет!$H2709,0)</f>
        <v>0</v>
      </c>
      <c r="F2709" s="52">
        <f>IF(Учет!$O2709=Справочники!$F$6,Учет!$H2709,0)</f>
        <v>0</v>
      </c>
      <c r="G2709" s="43">
        <f>G2708+Учет!B2709-B2709</f>
        <v>-488978.92000000004</v>
      </c>
      <c r="H2709" s="43">
        <f>H2708+Учет!C2709-C2709</f>
        <v>336855</v>
      </c>
      <c r="I2709" s="43">
        <f>I2708+Учет!D2709-D2709</f>
        <v>500</v>
      </c>
      <c r="J2709" s="43">
        <f>J2708+Учет!E2709-E2709</f>
        <v>1150</v>
      </c>
      <c r="K2709" s="43">
        <f>K2708+Учет!F2709-F2709</f>
        <v>500000</v>
      </c>
      <c r="L2709" s="45">
        <f>Учет!I2709</f>
        <v>349526.07999999996</v>
      </c>
    </row>
    <row r="2710" spans="1:12" x14ac:dyDescent="0.25">
      <c r="A2710" s="48" t="str">
        <f>IF(Учет!A2710&lt;&gt;"",Учет!A2710,"")</f>
        <v/>
      </c>
      <c r="B2710" s="52">
        <f>IF(Учет!$O2710=Справочники!$F$2,Учет!$H2710,0)</f>
        <v>0</v>
      </c>
      <c r="C2710" s="52">
        <f>IF(Учет!$O2710=Справочники!$F$3,Учет!$H2710,0)</f>
        <v>0</v>
      </c>
      <c r="D2710" s="52">
        <f>IF(Учет!$O2710=Справочники!$F$4,Учет!$H2710,0)</f>
        <v>0</v>
      </c>
      <c r="E2710" s="52">
        <f>IF(Учет!$O2710=Справочники!$F$5,Учет!$H2710,0)</f>
        <v>0</v>
      </c>
      <c r="F2710" s="52">
        <f>IF(Учет!$O2710=Справочники!$F$6,Учет!$H2710,0)</f>
        <v>0</v>
      </c>
      <c r="G2710" s="43">
        <f>G2709+Учет!B2710-B2710</f>
        <v>-488978.92000000004</v>
      </c>
      <c r="H2710" s="43">
        <f>H2709+Учет!C2710-C2710</f>
        <v>336855</v>
      </c>
      <c r="I2710" s="43">
        <f>I2709+Учет!D2710-D2710</f>
        <v>500</v>
      </c>
      <c r="J2710" s="43">
        <f>J2709+Учет!E2710-E2710</f>
        <v>1150</v>
      </c>
      <c r="K2710" s="43">
        <f>K2709+Учет!F2710-F2710</f>
        <v>500000</v>
      </c>
      <c r="L2710" s="45">
        <f>Учет!I2710</f>
        <v>349526.07999999996</v>
      </c>
    </row>
    <row r="2711" spans="1:12" x14ac:dyDescent="0.25">
      <c r="A2711" s="48" t="str">
        <f>IF(Учет!A2711&lt;&gt;"",Учет!A2711,"")</f>
        <v/>
      </c>
      <c r="B2711" s="52">
        <f>IF(Учет!$O2711=Справочники!$F$2,Учет!$H2711,0)</f>
        <v>0</v>
      </c>
      <c r="C2711" s="52">
        <f>IF(Учет!$O2711=Справочники!$F$3,Учет!$H2711,0)</f>
        <v>0</v>
      </c>
      <c r="D2711" s="52">
        <f>IF(Учет!$O2711=Справочники!$F$4,Учет!$H2711,0)</f>
        <v>0</v>
      </c>
      <c r="E2711" s="52">
        <f>IF(Учет!$O2711=Справочники!$F$5,Учет!$H2711,0)</f>
        <v>0</v>
      </c>
      <c r="F2711" s="52">
        <f>IF(Учет!$O2711=Справочники!$F$6,Учет!$H2711,0)</f>
        <v>0</v>
      </c>
      <c r="G2711" s="43">
        <f>G2710+Учет!B2711-B2711</f>
        <v>-488978.92000000004</v>
      </c>
      <c r="H2711" s="43">
        <f>H2710+Учет!C2711-C2711</f>
        <v>336855</v>
      </c>
      <c r="I2711" s="43">
        <f>I2710+Учет!D2711-D2711</f>
        <v>500</v>
      </c>
      <c r="J2711" s="43">
        <f>J2710+Учет!E2711-E2711</f>
        <v>1150</v>
      </c>
      <c r="K2711" s="43">
        <f>K2710+Учет!F2711-F2711</f>
        <v>500000</v>
      </c>
      <c r="L2711" s="45">
        <f>Учет!I2711</f>
        <v>349526.07999999996</v>
      </c>
    </row>
    <row r="2712" spans="1:12" x14ac:dyDescent="0.25">
      <c r="A2712" s="48" t="str">
        <f>IF(Учет!A2712&lt;&gt;"",Учет!A2712,"")</f>
        <v/>
      </c>
      <c r="B2712" s="52">
        <f>IF(Учет!$O2712=Справочники!$F$2,Учет!$H2712,0)</f>
        <v>0</v>
      </c>
      <c r="C2712" s="52">
        <f>IF(Учет!$O2712=Справочники!$F$3,Учет!$H2712,0)</f>
        <v>0</v>
      </c>
      <c r="D2712" s="52">
        <f>IF(Учет!$O2712=Справочники!$F$4,Учет!$H2712,0)</f>
        <v>0</v>
      </c>
      <c r="E2712" s="52">
        <f>IF(Учет!$O2712=Справочники!$F$5,Учет!$H2712,0)</f>
        <v>0</v>
      </c>
      <c r="F2712" s="52">
        <f>IF(Учет!$O2712=Справочники!$F$6,Учет!$H2712,0)</f>
        <v>0</v>
      </c>
      <c r="G2712" s="43">
        <f>G2711+Учет!B2712-B2712</f>
        <v>-488978.92000000004</v>
      </c>
      <c r="H2712" s="43">
        <f>H2711+Учет!C2712-C2712</f>
        <v>336855</v>
      </c>
      <c r="I2712" s="43">
        <f>I2711+Учет!D2712-D2712</f>
        <v>500</v>
      </c>
      <c r="J2712" s="43">
        <f>J2711+Учет!E2712-E2712</f>
        <v>1150</v>
      </c>
      <c r="K2712" s="43">
        <f>K2711+Учет!F2712-F2712</f>
        <v>500000</v>
      </c>
      <c r="L2712" s="45">
        <f>Учет!I2712</f>
        <v>349526.07999999996</v>
      </c>
    </row>
    <row r="2713" spans="1:12" x14ac:dyDescent="0.25">
      <c r="A2713" s="48" t="str">
        <f>IF(Учет!A2713&lt;&gt;"",Учет!A2713,"")</f>
        <v/>
      </c>
      <c r="B2713" s="52">
        <f>IF(Учет!$O2713=Справочники!$F$2,Учет!$H2713,0)</f>
        <v>0</v>
      </c>
      <c r="C2713" s="52">
        <f>IF(Учет!$O2713=Справочники!$F$3,Учет!$H2713,0)</f>
        <v>0</v>
      </c>
      <c r="D2713" s="52">
        <f>IF(Учет!$O2713=Справочники!$F$4,Учет!$H2713,0)</f>
        <v>0</v>
      </c>
      <c r="E2713" s="52">
        <f>IF(Учет!$O2713=Справочники!$F$5,Учет!$H2713,0)</f>
        <v>0</v>
      </c>
      <c r="F2713" s="52">
        <f>IF(Учет!$O2713=Справочники!$F$6,Учет!$H2713,0)</f>
        <v>0</v>
      </c>
      <c r="G2713" s="43">
        <f>G2712+Учет!B2713-B2713</f>
        <v>-488978.92000000004</v>
      </c>
      <c r="H2713" s="43">
        <f>H2712+Учет!C2713-C2713</f>
        <v>336855</v>
      </c>
      <c r="I2713" s="43">
        <f>I2712+Учет!D2713-D2713</f>
        <v>500</v>
      </c>
      <c r="J2713" s="43">
        <f>J2712+Учет!E2713-E2713</f>
        <v>1150</v>
      </c>
      <c r="K2713" s="43">
        <f>K2712+Учет!F2713-F2713</f>
        <v>500000</v>
      </c>
      <c r="L2713" s="45">
        <f>Учет!I2713</f>
        <v>349526.07999999996</v>
      </c>
    </row>
    <row r="2714" spans="1:12" x14ac:dyDescent="0.25">
      <c r="A2714" s="48" t="str">
        <f>IF(Учет!A2714&lt;&gt;"",Учет!A2714,"")</f>
        <v/>
      </c>
      <c r="B2714" s="52">
        <f>IF(Учет!$O2714=Справочники!$F$2,Учет!$H2714,0)</f>
        <v>0</v>
      </c>
      <c r="C2714" s="52">
        <f>IF(Учет!$O2714=Справочники!$F$3,Учет!$H2714,0)</f>
        <v>0</v>
      </c>
      <c r="D2714" s="52">
        <f>IF(Учет!$O2714=Справочники!$F$4,Учет!$H2714,0)</f>
        <v>0</v>
      </c>
      <c r="E2714" s="52">
        <f>IF(Учет!$O2714=Справочники!$F$5,Учет!$H2714,0)</f>
        <v>0</v>
      </c>
      <c r="F2714" s="52">
        <f>IF(Учет!$O2714=Справочники!$F$6,Учет!$H2714,0)</f>
        <v>0</v>
      </c>
      <c r="G2714" s="43">
        <f>G2713+Учет!B2714-B2714</f>
        <v>-488978.92000000004</v>
      </c>
      <c r="H2714" s="43">
        <f>H2713+Учет!C2714-C2714</f>
        <v>336855</v>
      </c>
      <c r="I2714" s="43">
        <f>I2713+Учет!D2714-D2714</f>
        <v>500</v>
      </c>
      <c r="J2714" s="43">
        <f>J2713+Учет!E2714-E2714</f>
        <v>1150</v>
      </c>
      <c r="K2714" s="43">
        <f>K2713+Учет!F2714-F2714</f>
        <v>500000</v>
      </c>
      <c r="L2714" s="45">
        <f>Учет!I2714</f>
        <v>349526.07999999996</v>
      </c>
    </row>
    <row r="2715" spans="1:12" x14ac:dyDescent="0.25">
      <c r="A2715" s="48" t="str">
        <f>IF(Учет!A2715&lt;&gt;"",Учет!A2715,"")</f>
        <v/>
      </c>
      <c r="B2715" s="52">
        <f>IF(Учет!$O2715=Справочники!$F$2,Учет!$H2715,0)</f>
        <v>0</v>
      </c>
      <c r="C2715" s="52">
        <f>IF(Учет!$O2715=Справочники!$F$3,Учет!$H2715,0)</f>
        <v>0</v>
      </c>
      <c r="D2715" s="52">
        <f>IF(Учет!$O2715=Справочники!$F$4,Учет!$H2715,0)</f>
        <v>0</v>
      </c>
      <c r="E2715" s="52">
        <f>IF(Учет!$O2715=Справочники!$F$5,Учет!$H2715,0)</f>
        <v>0</v>
      </c>
      <c r="F2715" s="52">
        <f>IF(Учет!$O2715=Справочники!$F$6,Учет!$H2715,0)</f>
        <v>0</v>
      </c>
      <c r="G2715" s="43">
        <f>G2714+Учет!B2715-B2715</f>
        <v>-488978.92000000004</v>
      </c>
      <c r="H2715" s="43">
        <f>H2714+Учет!C2715-C2715</f>
        <v>336855</v>
      </c>
      <c r="I2715" s="43">
        <f>I2714+Учет!D2715-D2715</f>
        <v>500</v>
      </c>
      <c r="J2715" s="43">
        <f>J2714+Учет!E2715-E2715</f>
        <v>1150</v>
      </c>
      <c r="K2715" s="43">
        <f>K2714+Учет!F2715-F2715</f>
        <v>500000</v>
      </c>
      <c r="L2715" s="45">
        <f>Учет!I2715</f>
        <v>349526.07999999996</v>
      </c>
    </row>
    <row r="2716" spans="1:12" x14ac:dyDescent="0.25">
      <c r="A2716" s="48" t="str">
        <f>IF(Учет!A2716&lt;&gt;"",Учет!A2716,"")</f>
        <v/>
      </c>
      <c r="B2716" s="52">
        <f>IF(Учет!$O2716=Справочники!$F$2,Учет!$H2716,0)</f>
        <v>0</v>
      </c>
      <c r="C2716" s="52">
        <f>IF(Учет!$O2716=Справочники!$F$3,Учет!$H2716,0)</f>
        <v>0</v>
      </c>
      <c r="D2716" s="52">
        <f>IF(Учет!$O2716=Справочники!$F$4,Учет!$H2716,0)</f>
        <v>0</v>
      </c>
      <c r="E2716" s="52">
        <f>IF(Учет!$O2716=Справочники!$F$5,Учет!$H2716,0)</f>
        <v>0</v>
      </c>
      <c r="F2716" s="52">
        <f>IF(Учет!$O2716=Справочники!$F$6,Учет!$H2716,0)</f>
        <v>0</v>
      </c>
      <c r="G2716" s="43">
        <f>G2715+Учет!B2716-B2716</f>
        <v>-488978.92000000004</v>
      </c>
      <c r="H2716" s="43">
        <f>H2715+Учет!C2716-C2716</f>
        <v>336855</v>
      </c>
      <c r="I2716" s="43">
        <f>I2715+Учет!D2716-D2716</f>
        <v>500</v>
      </c>
      <c r="J2716" s="43">
        <f>J2715+Учет!E2716-E2716</f>
        <v>1150</v>
      </c>
      <c r="K2716" s="43">
        <f>K2715+Учет!F2716-F2716</f>
        <v>500000</v>
      </c>
      <c r="L2716" s="45">
        <f>Учет!I2716</f>
        <v>349526.07999999996</v>
      </c>
    </row>
    <row r="2717" spans="1:12" x14ac:dyDescent="0.25">
      <c r="A2717" s="48" t="str">
        <f>IF(Учет!A2717&lt;&gt;"",Учет!A2717,"")</f>
        <v/>
      </c>
      <c r="B2717" s="52">
        <f>IF(Учет!$O2717=Справочники!$F$2,Учет!$H2717,0)</f>
        <v>0</v>
      </c>
      <c r="C2717" s="52">
        <f>IF(Учет!$O2717=Справочники!$F$3,Учет!$H2717,0)</f>
        <v>0</v>
      </c>
      <c r="D2717" s="52">
        <f>IF(Учет!$O2717=Справочники!$F$4,Учет!$H2717,0)</f>
        <v>0</v>
      </c>
      <c r="E2717" s="52">
        <f>IF(Учет!$O2717=Справочники!$F$5,Учет!$H2717,0)</f>
        <v>0</v>
      </c>
      <c r="F2717" s="52">
        <f>IF(Учет!$O2717=Справочники!$F$6,Учет!$H2717,0)</f>
        <v>0</v>
      </c>
      <c r="G2717" s="43">
        <f>G2716+Учет!B2717-B2717</f>
        <v>-488978.92000000004</v>
      </c>
      <c r="H2717" s="43">
        <f>H2716+Учет!C2717-C2717</f>
        <v>336855</v>
      </c>
      <c r="I2717" s="43">
        <f>I2716+Учет!D2717-D2717</f>
        <v>500</v>
      </c>
      <c r="J2717" s="43">
        <f>J2716+Учет!E2717-E2717</f>
        <v>1150</v>
      </c>
      <c r="K2717" s="43">
        <f>K2716+Учет!F2717-F2717</f>
        <v>500000</v>
      </c>
      <c r="L2717" s="45">
        <f>Учет!I2717</f>
        <v>349526.07999999996</v>
      </c>
    </row>
    <row r="2718" spans="1:12" x14ac:dyDescent="0.25">
      <c r="A2718" s="48" t="str">
        <f>IF(Учет!A2718&lt;&gt;"",Учет!A2718,"")</f>
        <v/>
      </c>
      <c r="B2718" s="52">
        <f>IF(Учет!$O2718=Справочники!$F$2,Учет!$H2718,0)</f>
        <v>0</v>
      </c>
      <c r="C2718" s="52">
        <f>IF(Учет!$O2718=Справочники!$F$3,Учет!$H2718,0)</f>
        <v>0</v>
      </c>
      <c r="D2718" s="52">
        <f>IF(Учет!$O2718=Справочники!$F$4,Учет!$H2718,0)</f>
        <v>0</v>
      </c>
      <c r="E2718" s="52">
        <f>IF(Учет!$O2718=Справочники!$F$5,Учет!$H2718,0)</f>
        <v>0</v>
      </c>
      <c r="F2718" s="52">
        <f>IF(Учет!$O2718=Справочники!$F$6,Учет!$H2718,0)</f>
        <v>0</v>
      </c>
      <c r="G2718" s="43">
        <f>G2717+Учет!B2718-B2718</f>
        <v>-488978.92000000004</v>
      </c>
      <c r="H2718" s="43">
        <f>H2717+Учет!C2718-C2718</f>
        <v>336855</v>
      </c>
      <c r="I2718" s="43">
        <f>I2717+Учет!D2718-D2718</f>
        <v>500</v>
      </c>
      <c r="J2718" s="43">
        <f>J2717+Учет!E2718-E2718</f>
        <v>1150</v>
      </c>
      <c r="K2718" s="43">
        <f>K2717+Учет!F2718-F2718</f>
        <v>500000</v>
      </c>
      <c r="L2718" s="45">
        <f>Учет!I2718</f>
        <v>349526.07999999996</v>
      </c>
    </row>
    <row r="2719" spans="1:12" x14ac:dyDescent="0.25">
      <c r="A2719" s="48" t="str">
        <f>IF(Учет!A2719&lt;&gt;"",Учет!A2719,"")</f>
        <v/>
      </c>
      <c r="B2719" s="52">
        <f>IF(Учет!$O2719=Справочники!$F$2,Учет!$H2719,0)</f>
        <v>0</v>
      </c>
      <c r="C2719" s="52">
        <f>IF(Учет!$O2719=Справочники!$F$3,Учет!$H2719,0)</f>
        <v>0</v>
      </c>
      <c r="D2719" s="52">
        <f>IF(Учет!$O2719=Справочники!$F$4,Учет!$H2719,0)</f>
        <v>0</v>
      </c>
      <c r="E2719" s="52">
        <f>IF(Учет!$O2719=Справочники!$F$5,Учет!$H2719,0)</f>
        <v>0</v>
      </c>
      <c r="F2719" s="52">
        <f>IF(Учет!$O2719=Справочники!$F$6,Учет!$H2719,0)</f>
        <v>0</v>
      </c>
      <c r="G2719" s="43">
        <f>G2718+Учет!B2719-B2719</f>
        <v>-488978.92000000004</v>
      </c>
      <c r="H2719" s="43">
        <f>H2718+Учет!C2719-C2719</f>
        <v>336855</v>
      </c>
      <c r="I2719" s="43">
        <f>I2718+Учет!D2719-D2719</f>
        <v>500</v>
      </c>
      <c r="J2719" s="43">
        <f>J2718+Учет!E2719-E2719</f>
        <v>1150</v>
      </c>
      <c r="K2719" s="43">
        <f>K2718+Учет!F2719-F2719</f>
        <v>500000</v>
      </c>
      <c r="L2719" s="45">
        <f>Учет!I2719</f>
        <v>349526.07999999996</v>
      </c>
    </row>
    <row r="2720" spans="1:12" x14ac:dyDescent="0.25">
      <c r="A2720" s="48" t="str">
        <f>IF(Учет!A2720&lt;&gt;"",Учет!A2720,"")</f>
        <v/>
      </c>
      <c r="B2720" s="52">
        <f>IF(Учет!$O2720=Справочники!$F$2,Учет!$H2720,0)</f>
        <v>0</v>
      </c>
      <c r="C2720" s="52">
        <f>IF(Учет!$O2720=Справочники!$F$3,Учет!$H2720,0)</f>
        <v>0</v>
      </c>
      <c r="D2720" s="52">
        <f>IF(Учет!$O2720=Справочники!$F$4,Учет!$H2720,0)</f>
        <v>0</v>
      </c>
      <c r="E2720" s="52">
        <f>IF(Учет!$O2720=Справочники!$F$5,Учет!$H2720,0)</f>
        <v>0</v>
      </c>
      <c r="F2720" s="52">
        <f>IF(Учет!$O2720=Справочники!$F$6,Учет!$H2720,0)</f>
        <v>0</v>
      </c>
      <c r="G2720" s="43">
        <f>G2719+Учет!B2720-B2720</f>
        <v>-488978.92000000004</v>
      </c>
      <c r="H2720" s="43">
        <f>H2719+Учет!C2720-C2720</f>
        <v>336855</v>
      </c>
      <c r="I2720" s="43">
        <f>I2719+Учет!D2720-D2720</f>
        <v>500</v>
      </c>
      <c r="J2720" s="43">
        <f>J2719+Учет!E2720-E2720</f>
        <v>1150</v>
      </c>
      <c r="K2720" s="43">
        <f>K2719+Учет!F2720-F2720</f>
        <v>500000</v>
      </c>
      <c r="L2720" s="45">
        <f>Учет!I2720</f>
        <v>349526.07999999996</v>
      </c>
    </row>
    <row r="2721" spans="1:12" x14ac:dyDescent="0.25">
      <c r="A2721" s="48" t="str">
        <f>IF(Учет!A2721&lt;&gt;"",Учет!A2721,"")</f>
        <v/>
      </c>
      <c r="B2721" s="52">
        <f>IF(Учет!$O2721=Справочники!$F$2,Учет!$H2721,0)</f>
        <v>0</v>
      </c>
      <c r="C2721" s="52">
        <f>IF(Учет!$O2721=Справочники!$F$3,Учет!$H2721,0)</f>
        <v>0</v>
      </c>
      <c r="D2721" s="52">
        <f>IF(Учет!$O2721=Справочники!$F$4,Учет!$H2721,0)</f>
        <v>0</v>
      </c>
      <c r="E2721" s="52">
        <f>IF(Учет!$O2721=Справочники!$F$5,Учет!$H2721,0)</f>
        <v>0</v>
      </c>
      <c r="F2721" s="52">
        <f>IF(Учет!$O2721=Справочники!$F$6,Учет!$H2721,0)</f>
        <v>0</v>
      </c>
      <c r="G2721" s="43">
        <f>G2720+Учет!B2721-B2721</f>
        <v>-488978.92000000004</v>
      </c>
      <c r="H2721" s="43">
        <f>H2720+Учет!C2721-C2721</f>
        <v>336855</v>
      </c>
      <c r="I2721" s="43">
        <f>I2720+Учет!D2721-D2721</f>
        <v>500</v>
      </c>
      <c r="J2721" s="43">
        <f>J2720+Учет!E2721-E2721</f>
        <v>1150</v>
      </c>
      <c r="K2721" s="43">
        <f>K2720+Учет!F2721-F2721</f>
        <v>500000</v>
      </c>
      <c r="L2721" s="45">
        <f>Учет!I2721</f>
        <v>349526.07999999996</v>
      </c>
    </row>
    <row r="2722" spans="1:12" x14ac:dyDescent="0.25">
      <c r="A2722" s="48" t="str">
        <f>IF(Учет!A2722&lt;&gt;"",Учет!A2722,"")</f>
        <v/>
      </c>
      <c r="B2722" s="52">
        <f>IF(Учет!$O2722=Справочники!$F$2,Учет!$H2722,0)</f>
        <v>0</v>
      </c>
      <c r="C2722" s="52">
        <f>IF(Учет!$O2722=Справочники!$F$3,Учет!$H2722,0)</f>
        <v>0</v>
      </c>
      <c r="D2722" s="52">
        <f>IF(Учет!$O2722=Справочники!$F$4,Учет!$H2722,0)</f>
        <v>0</v>
      </c>
      <c r="E2722" s="52">
        <f>IF(Учет!$O2722=Справочники!$F$5,Учет!$H2722,0)</f>
        <v>0</v>
      </c>
      <c r="F2722" s="52">
        <f>IF(Учет!$O2722=Справочники!$F$6,Учет!$H2722,0)</f>
        <v>0</v>
      </c>
      <c r="G2722" s="43">
        <f>G2721+Учет!B2722-B2722</f>
        <v>-488978.92000000004</v>
      </c>
      <c r="H2722" s="43">
        <f>H2721+Учет!C2722-C2722</f>
        <v>336855</v>
      </c>
      <c r="I2722" s="43">
        <f>I2721+Учет!D2722-D2722</f>
        <v>500</v>
      </c>
      <c r="J2722" s="43">
        <f>J2721+Учет!E2722-E2722</f>
        <v>1150</v>
      </c>
      <c r="K2722" s="43">
        <f>K2721+Учет!F2722-F2722</f>
        <v>500000</v>
      </c>
      <c r="L2722" s="45">
        <f>Учет!I2722</f>
        <v>349526.07999999996</v>
      </c>
    </row>
    <row r="2723" spans="1:12" x14ac:dyDescent="0.25">
      <c r="A2723" s="48" t="str">
        <f>IF(Учет!A2723&lt;&gt;"",Учет!A2723,"")</f>
        <v/>
      </c>
      <c r="B2723" s="52">
        <f>IF(Учет!$O2723=Справочники!$F$2,Учет!$H2723,0)</f>
        <v>0</v>
      </c>
      <c r="C2723" s="52">
        <f>IF(Учет!$O2723=Справочники!$F$3,Учет!$H2723,0)</f>
        <v>0</v>
      </c>
      <c r="D2723" s="52">
        <f>IF(Учет!$O2723=Справочники!$F$4,Учет!$H2723,0)</f>
        <v>0</v>
      </c>
      <c r="E2723" s="52">
        <f>IF(Учет!$O2723=Справочники!$F$5,Учет!$H2723,0)</f>
        <v>0</v>
      </c>
      <c r="F2723" s="52">
        <f>IF(Учет!$O2723=Справочники!$F$6,Учет!$H2723,0)</f>
        <v>0</v>
      </c>
      <c r="G2723" s="43">
        <f>G2722+Учет!B2723-B2723</f>
        <v>-488978.92000000004</v>
      </c>
      <c r="H2723" s="43">
        <f>H2722+Учет!C2723-C2723</f>
        <v>336855</v>
      </c>
      <c r="I2723" s="43">
        <f>I2722+Учет!D2723-D2723</f>
        <v>500</v>
      </c>
      <c r="J2723" s="43">
        <f>J2722+Учет!E2723-E2723</f>
        <v>1150</v>
      </c>
      <c r="K2723" s="43">
        <f>K2722+Учет!F2723-F2723</f>
        <v>500000</v>
      </c>
      <c r="L2723" s="45">
        <f>Учет!I2723</f>
        <v>349526.07999999996</v>
      </c>
    </row>
    <row r="2724" spans="1:12" x14ac:dyDescent="0.25">
      <c r="A2724" s="48" t="str">
        <f>IF(Учет!A2724&lt;&gt;"",Учет!A2724,"")</f>
        <v/>
      </c>
      <c r="B2724" s="52">
        <f>IF(Учет!$O2724=Справочники!$F$2,Учет!$H2724,0)</f>
        <v>0</v>
      </c>
      <c r="C2724" s="52">
        <f>IF(Учет!$O2724=Справочники!$F$3,Учет!$H2724,0)</f>
        <v>0</v>
      </c>
      <c r="D2724" s="52">
        <f>IF(Учет!$O2724=Справочники!$F$4,Учет!$H2724,0)</f>
        <v>0</v>
      </c>
      <c r="E2724" s="52">
        <f>IF(Учет!$O2724=Справочники!$F$5,Учет!$H2724,0)</f>
        <v>0</v>
      </c>
      <c r="F2724" s="52">
        <f>IF(Учет!$O2724=Справочники!$F$6,Учет!$H2724,0)</f>
        <v>0</v>
      </c>
      <c r="G2724" s="43">
        <f>G2723+Учет!B2724-B2724</f>
        <v>-488978.92000000004</v>
      </c>
      <c r="H2724" s="43">
        <f>H2723+Учет!C2724-C2724</f>
        <v>336855</v>
      </c>
      <c r="I2724" s="43">
        <f>I2723+Учет!D2724-D2724</f>
        <v>500</v>
      </c>
      <c r="J2724" s="43">
        <f>J2723+Учет!E2724-E2724</f>
        <v>1150</v>
      </c>
      <c r="K2724" s="43">
        <f>K2723+Учет!F2724-F2724</f>
        <v>500000</v>
      </c>
      <c r="L2724" s="45">
        <f>Учет!I2724</f>
        <v>349526.07999999996</v>
      </c>
    </row>
    <row r="2725" spans="1:12" x14ac:dyDescent="0.25">
      <c r="A2725" s="48" t="str">
        <f>IF(Учет!A2725&lt;&gt;"",Учет!A2725,"")</f>
        <v/>
      </c>
      <c r="B2725" s="52">
        <f>IF(Учет!$O2725=Справочники!$F$2,Учет!$H2725,0)</f>
        <v>0</v>
      </c>
      <c r="C2725" s="52">
        <f>IF(Учет!$O2725=Справочники!$F$3,Учет!$H2725,0)</f>
        <v>0</v>
      </c>
      <c r="D2725" s="52">
        <f>IF(Учет!$O2725=Справочники!$F$4,Учет!$H2725,0)</f>
        <v>0</v>
      </c>
      <c r="E2725" s="52">
        <f>IF(Учет!$O2725=Справочники!$F$5,Учет!$H2725,0)</f>
        <v>0</v>
      </c>
      <c r="F2725" s="52">
        <f>IF(Учет!$O2725=Справочники!$F$6,Учет!$H2725,0)</f>
        <v>0</v>
      </c>
      <c r="G2725" s="43">
        <f>G2724+Учет!B2725-B2725</f>
        <v>-488978.92000000004</v>
      </c>
      <c r="H2725" s="43">
        <f>H2724+Учет!C2725-C2725</f>
        <v>336855</v>
      </c>
      <c r="I2725" s="43">
        <f>I2724+Учет!D2725-D2725</f>
        <v>500</v>
      </c>
      <c r="J2725" s="43">
        <f>J2724+Учет!E2725-E2725</f>
        <v>1150</v>
      </c>
      <c r="K2725" s="43">
        <f>K2724+Учет!F2725-F2725</f>
        <v>500000</v>
      </c>
      <c r="L2725" s="45">
        <f>Учет!I2725</f>
        <v>349526.07999999996</v>
      </c>
    </row>
    <row r="2726" spans="1:12" x14ac:dyDescent="0.25">
      <c r="A2726" s="48" t="str">
        <f>IF(Учет!A2726&lt;&gt;"",Учет!A2726,"")</f>
        <v/>
      </c>
      <c r="B2726" s="52">
        <f>IF(Учет!$O2726=Справочники!$F$2,Учет!$H2726,0)</f>
        <v>0</v>
      </c>
      <c r="C2726" s="52">
        <f>IF(Учет!$O2726=Справочники!$F$3,Учет!$H2726,0)</f>
        <v>0</v>
      </c>
      <c r="D2726" s="52">
        <f>IF(Учет!$O2726=Справочники!$F$4,Учет!$H2726,0)</f>
        <v>0</v>
      </c>
      <c r="E2726" s="52">
        <f>IF(Учет!$O2726=Справочники!$F$5,Учет!$H2726,0)</f>
        <v>0</v>
      </c>
      <c r="F2726" s="52">
        <f>IF(Учет!$O2726=Справочники!$F$6,Учет!$H2726,0)</f>
        <v>0</v>
      </c>
      <c r="G2726" s="43">
        <f>G2725+Учет!B2726-B2726</f>
        <v>-488978.92000000004</v>
      </c>
      <c r="H2726" s="43">
        <f>H2725+Учет!C2726-C2726</f>
        <v>336855</v>
      </c>
      <c r="I2726" s="43">
        <f>I2725+Учет!D2726-D2726</f>
        <v>500</v>
      </c>
      <c r="J2726" s="43">
        <f>J2725+Учет!E2726-E2726</f>
        <v>1150</v>
      </c>
      <c r="K2726" s="43">
        <f>K2725+Учет!F2726-F2726</f>
        <v>500000</v>
      </c>
      <c r="L2726" s="45">
        <f>Учет!I2726</f>
        <v>349526.07999999996</v>
      </c>
    </row>
    <row r="2727" spans="1:12" x14ac:dyDescent="0.25">
      <c r="A2727" s="48" t="str">
        <f>IF(Учет!A2727&lt;&gt;"",Учет!A2727,"")</f>
        <v/>
      </c>
      <c r="B2727" s="52">
        <f>IF(Учет!$O2727=Справочники!$F$2,Учет!$H2727,0)</f>
        <v>0</v>
      </c>
      <c r="C2727" s="52">
        <f>IF(Учет!$O2727=Справочники!$F$3,Учет!$H2727,0)</f>
        <v>0</v>
      </c>
      <c r="D2727" s="52">
        <f>IF(Учет!$O2727=Справочники!$F$4,Учет!$H2727,0)</f>
        <v>0</v>
      </c>
      <c r="E2727" s="52">
        <f>IF(Учет!$O2727=Справочники!$F$5,Учет!$H2727,0)</f>
        <v>0</v>
      </c>
      <c r="F2727" s="52">
        <f>IF(Учет!$O2727=Справочники!$F$6,Учет!$H2727,0)</f>
        <v>0</v>
      </c>
      <c r="G2727" s="43">
        <f>G2726+Учет!B2727-B2727</f>
        <v>-488978.92000000004</v>
      </c>
      <c r="H2727" s="43">
        <f>H2726+Учет!C2727-C2727</f>
        <v>336855</v>
      </c>
      <c r="I2727" s="43">
        <f>I2726+Учет!D2727-D2727</f>
        <v>500</v>
      </c>
      <c r="J2727" s="43">
        <f>J2726+Учет!E2727-E2727</f>
        <v>1150</v>
      </c>
      <c r="K2727" s="43">
        <f>K2726+Учет!F2727-F2727</f>
        <v>500000</v>
      </c>
      <c r="L2727" s="45">
        <f>Учет!I2727</f>
        <v>349526.07999999996</v>
      </c>
    </row>
    <row r="2728" spans="1:12" x14ac:dyDescent="0.25">
      <c r="A2728" s="48" t="str">
        <f>IF(Учет!A2728&lt;&gt;"",Учет!A2728,"")</f>
        <v/>
      </c>
      <c r="B2728" s="52">
        <f>IF(Учет!$O2728=Справочники!$F$2,Учет!$H2728,0)</f>
        <v>0</v>
      </c>
      <c r="C2728" s="52">
        <f>IF(Учет!$O2728=Справочники!$F$3,Учет!$H2728,0)</f>
        <v>0</v>
      </c>
      <c r="D2728" s="52">
        <f>IF(Учет!$O2728=Справочники!$F$4,Учет!$H2728,0)</f>
        <v>0</v>
      </c>
      <c r="E2728" s="52">
        <f>IF(Учет!$O2728=Справочники!$F$5,Учет!$H2728,0)</f>
        <v>0</v>
      </c>
      <c r="F2728" s="52">
        <f>IF(Учет!$O2728=Справочники!$F$6,Учет!$H2728,0)</f>
        <v>0</v>
      </c>
      <c r="G2728" s="43">
        <f>G2727+Учет!B2728-B2728</f>
        <v>-488978.92000000004</v>
      </c>
      <c r="H2728" s="43">
        <f>H2727+Учет!C2728-C2728</f>
        <v>336855</v>
      </c>
      <c r="I2728" s="43">
        <f>I2727+Учет!D2728-D2728</f>
        <v>500</v>
      </c>
      <c r="J2728" s="43">
        <f>J2727+Учет!E2728-E2728</f>
        <v>1150</v>
      </c>
      <c r="K2728" s="43">
        <f>K2727+Учет!F2728-F2728</f>
        <v>500000</v>
      </c>
      <c r="L2728" s="45">
        <f>Учет!I2728</f>
        <v>349526.07999999996</v>
      </c>
    </row>
    <row r="2729" spans="1:12" x14ac:dyDescent="0.25">
      <c r="A2729" s="48" t="str">
        <f>IF(Учет!A2729&lt;&gt;"",Учет!A2729,"")</f>
        <v/>
      </c>
      <c r="B2729" s="52">
        <f>IF(Учет!$O2729=Справочники!$F$2,Учет!$H2729,0)</f>
        <v>0</v>
      </c>
      <c r="C2729" s="52">
        <f>IF(Учет!$O2729=Справочники!$F$3,Учет!$H2729,0)</f>
        <v>0</v>
      </c>
      <c r="D2729" s="52">
        <f>IF(Учет!$O2729=Справочники!$F$4,Учет!$H2729,0)</f>
        <v>0</v>
      </c>
      <c r="E2729" s="52">
        <f>IF(Учет!$O2729=Справочники!$F$5,Учет!$H2729,0)</f>
        <v>0</v>
      </c>
      <c r="F2729" s="52">
        <f>IF(Учет!$O2729=Справочники!$F$6,Учет!$H2729,0)</f>
        <v>0</v>
      </c>
      <c r="G2729" s="43">
        <f>G2728+Учет!B2729-B2729</f>
        <v>-488978.92000000004</v>
      </c>
      <c r="H2729" s="43">
        <f>H2728+Учет!C2729-C2729</f>
        <v>336855</v>
      </c>
      <c r="I2729" s="43">
        <f>I2728+Учет!D2729-D2729</f>
        <v>500</v>
      </c>
      <c r="J2729" s="43">
        <f>J2728+Учет!E2729-E2729</f>
        <v>1150</v>
      </c>
      <c r="K2729" s="43">
        <f>K2728+Учет!F2729-F2729</f>
        <v>500000</v>
      </c>
      <c r="L2729" s="45">
        <f>Учет!I2729</f>
        <v>349526.07999999996</v>
      </c>
    </row>
    <row r="2730" spans="1:12" x14ac:dyDescent="0.25">
      <c r="A2730" s="48" t="str">
        <f>IF(Учет!A2730&lt;&gt;"",Учет!A2730,"")</f>
        <v/>
      </c>
      <c r="B2730" s="52">
        <f>IF(Учет!$O2730=Справочники!$F$2,Учет!$H2730,0)</f>
        <v>0</v>
      </c>
      <c r="C2730" s="52">
        <f>IF(Учет!$O2730=Справочники!$F$3,Учет!$H2730,0)</f>
        <v>0</v>
      </c>
      <c r="D2730" s="52">
        <f>IF(Учет!$O2730=Справочники!$F$4,Учет!$H2730,0)</f>
        <v>0</v>
      </c>
      <c r="E2730" s="52">
        <f>IF(Учет!$O2730=Справочники!$F$5,Учет!$H2730,0)</f>
        <v>0</v>
      </c>
      <c r="F2730" s="52">
        <f>IF(Учет!$O2730=Справочники!$F$6,Учет!$H2730,0)</f>
        <v>0</v>
      </c>
      <c r="G2730" s="43">
        <f>G2729+Учет!B2730-B2730</f>
        <v>-488978.92000000004</v>
      </c>
      <c r="H2730" s="43">
        <f>H2729+Учет!C2730-C2730</f>
        <v>336855</v>
      </c>
      <c r="I2730" s="43">
        <f>I2729+Учет!D2730-D2730</f>
        <v>500</v>
      </c>
      <c r="J2730" s="43">
        <f>J2729+Учет!E2730-E2730</f>
        <v>1150</v>
      </c>
      <c r="K2730" s="43">
        <f>K2729+Учет!F2730-F2730</f>
        <v>500000</v>
      </c>
      <c r="L2730" s="45">
        <f>Учет!I2730</f>
        <v>349526.07999999996</v>
      </c>
    </row>
    <row r="2731" spans="1:12" x14ac:dyDescent="0.25">
      <c r="A2731" s="48" t="str">
        <f>IF(Учет!A2731&lt;&gt;"",Учет!A2731,"")</f>
        <v/>
      </c>
      <c r="B2731" s="52">
        <f>IF(Учет!$O2731=Справочники!$F$2,Учет!$H2731,0)</f>
        <v>0</v>
      </c>
      <c r="C2731" s="52">
        <f>IF(Учет!$O2731=Справочники!$F$3,Учет!$H2731,0)</f>
        <v>0</v>
      </c>
      <c r="D2731" s="52">
        <f>IF(Учет!$O2731=Справочники!$F$4,Учет!$H2731,0)</f>
        <v>0</v>
      </c>
      <c r="E2731" s="52">
        <f>IF(Учет!$O2731=Справочники!$F$5,Учет!$H2731,0)</f>
        <v>0</v>
      </c>
      <c r="F2731" s="52">
        <f>IF(Учет!$O2731=Справочники!$F$6,Учет!$H2731,0)</f>
        <v>0</v>
      </c>
      <c r="G2731" s="43">
        <f>G2730+Учет!B2731-B2731</f>
        <v>-488978.92000000004</v>
      </c>
      <c r="H2731" s="43">
        <f>H2730+Учет!C2731-C2731</f>
        <v>336855</v>
      </c>
      <c r="I2731" s="43">
        <f>I2730+Учет!D2731-D2731</f>
        <v>500</v>
      </c>
      <c r="J2731" s="43">
        <f>J2730+Учет!E2731-E2731</f>
        <v>1150</v>
      </c>
      <c r="K2731" s="43">
        <f>K2730+Учет!F2731-F2731</f>
        <v>500000</v>
      </c>
      <c r="L2731" s="45">
        <f>Учет!I2731</f>
        <v>349526.07999999996</v>
      </c>
    </row>
    <row r="2732" spans="1:12" x14ac:dyDescent="0.25">
      <c r="A2732" s="48" t="str">
        <f>IF(Учет!A2732&lt;&gt;"",Учет!A2732,"")</f>
        <v/>
      </c>
      <c r="B2732" s="52">
        <f>IF(Учет!$O2732=Справочники!$F$2,Учет!$H2732,0)</f>
        <v>0</v>
      </c>
      <c r="C2732" s="52">
        <f>IF(Учет!$O2732=Справочники!$F$3,Учет!$H2732,0)</f>
        <v>0</v>
      </c>
      <c r="D2732" s="52">
        <f>IF(Учет!$O2732=Справочники!$F$4,Учет!$H2732,0)</f>
        <v>0</v>
      </c>
      <c r="E2732" s="52">
        <f>IF(Учет!$O2732=Справочники!$F$5,Учет!$H2732,0)</f>
        <v>0</v>
      </c>
      <c r="F2732" s="52">
        <f>IF(Учет!$O2732=Справочники!$F$6,Учет!$H2732,0)</f>
        <v>0</v>
      </c>
      <c r="G2732" s="43">
        <f>G2731+Учет!B2732-B2732</f>
        <v>-488978.92000000004</v>
      </c>
      <c r="H2732" s="43">
        <f>H2731+Учет!C2732-C2732</f>
        <v>336855</v>
      </c>
      <c r="I2732" s="43">
        <f>I2731+Учет!D2732-D2732</f>
        <v>500</v>
      </c>
      <c r="J2732" s="43">
        <f>J2731+Учет!E2732-E2732</f>
        <v>1150</v>
      </c>
      <c r="K2732" s="43">
        <f>K2731+Учет!F2732-F2732</f>
        <v>500000</v>
      </c>
      <c r="L2732" s="45">
        <f>Учет!I2732</f>
        <v>349526.07999999996</v>
      </c>
    </row>
    <row r="2733" spans="1:12" x14ac:dyDescent="0.25">
      <c r="A2733" s="48" t="str">
        <f>IF(Учет!A2733&lt;&gt;"",Учет!A2733,"")</f>
        <v/>
      </c>
      <c r="B2733" s="52">
        <f>IF(Учет!$O2733=Справочники!$F$2,Учет!$H2733,0)</f>
        <v>0</v>
      </c>
      <c r="C2733" s="52">
        <f>IF(Учет!$O2733=Справочники!$F$3,Учет!$H2733,0)</f>
        <v>0</v>
      </c>
      <c r="D2733" s="52">
        <f>IF(Учет!$O2733=Справочники!$F$4,Учет!$H2733,0)</f>
        <v>0</v>
      </c>
      <c r="E2733" s="52">
        <f>IF(Учет!$O2733=Справочники!$F$5,Учет!$H2733,0)</f>
        <v>0</v>
      </c>
      <c r="F2733" s="52">
        <f>IF(Учет!$O2733=Справочники!$F$6,Учет!$H2733,0)</f>
        <v>0</v>
      </c>
      <c r="G2733" s="43">
        <f>G2732+Учет!B2733-B2733</f>
        <v>-488978.92000000004</v>
      </c>
      <c r="H2733" s="43">
        <f>H2732+Учет!C2733-C2733</f>
        <v>336855</v>
      </c>
      <c r="I2733" s="43">
        <f>I2732+Учет!D2733-D2733</f>
        <v>500</v>
      </c>
      <c r="J2733" s="43">
        <f>J2732+Учет!E2733-E2733</f>
        <v>1150</v>
      </c>
      <c r="K2733" s="43">
        <f>K2732+Учет!F2733-F2733</f>
        <v>500000</v>
      </c>
      <c r="L2733" s="45">
        <f>Учет!I2733</f>
        <v>349526.07999999996</v>
      </c>
    </row>
    <row r="2734" spans="1:12" x14ac:dyDescent="0.25">
      <c r="A2734" s="48" t="str">
        <f>IF(Учет!A2734&lt;&gt;"",Учет!A2734,"")</f>
        <v/>
      </c>
      <c r="B2734" s="52">
        <f>IF(Учет!$O2734=Справочники!$F$2,Учет!$H2734,0)</f>
        <v>0</v>
      </c>
      <c r="C2734" s="52">
        <f>IF(Учет!$O2734=Справочники!$F$3,Учет!$H2734,0)</f>
        <v>0</v>
      </c>
      <c r="D2734" s="52">
        <f>IF(Учет!$O2734=Справочники!$F$4,Учет!$H2734,0)</f>
        <v>0</v>
      </c>
      <c r="E2734" s="52">
        <f>IF(Учет!$O2734=Справочники!$F$5,Учет!$H2734,0)</f>
        <v>0</v>
      </c>
      <c r="F2734" s="52">
        <f>IF(Учет!$O2734=Справочники!$F$6,Учет!$H2734,0)</f>
        <v>0</v>
      </c>
      <c r="G2734" s="43">
        <f>G2733+Учет!B2734-B2734</f>
        <v>-488978.92000000004</v>
      </c>
      <c r="H2734" s="43">
        <f>H2733+Учет!C2734-C2734</f>
        <v>336855</v>
      </c>
      <c r="I2734" s="43">
        <f>I2733+Учет!D2734-D2734</f>
        <v>500</v>
      </c>
      <c r="J2734" s="43">
        <f>J2733+Учет!E2734-E2734</f>
        <v>1150</v>
      </c>
      <c r="K2734" s="43">
        <f>K2733+Учет!F2734-F2734</f>
        <v>500000</v>
      </c>
      <c r="L2734" s="45">
        <f>Учет!I2734</f>
        <v>349526.07999999996</v>
      </c>
    </row>
    <row r="2735" spans="1:12" x14ac:dyDescent="0.25">
      <c r="A2735" s="48" t="str">
        <f>IF(Учет!A2735&lt;&gt;"",Учет!A2735,"")</f>
        <v/>
      </c>
      <c r="B2735" s="52">
        <f>IF(Учет!$O2735=Справочники!$F$2,Учет!$H2735,0)</f>
        <v>0</v>
      </c>
      <c r="C2735" s="52">
        <f>IF(Учет!$O2735=Справочники!$F$3,Учет!$H2735,0)</f>
        <v>0</v>
      </c>
      <c r="D2735" s="52">
        <f>IF(Учет!$O2735=Справочники!$F$4,Учет!$H2735,0)</f>
        <v>0</v>
      </c>
      <c r="E2735" s="52">
        <f>IF(Учет!$O2735=Справочники!$F$5,Учет!$H2735,0)</f>
        <v>0</v>
      </c>
      <c r="F2735" s="52">
        <f>IF(Учет!$O2735=Справочники!$F$6,Учет!$H2735,0)</f>
        <v>0</v>
      </c>
      <c r="G2735" s="43">
        <f>G2734+Учет!B2735-B2735</f>
        <v>-488978.92000000004</v>
      </c>
      <c r="H2735" s="43">
        <f>H2734+Учет!C2735-C2735</f>
        <v>336855</v>
      </c>
      <c r="I2735" s="43">
        <f>I2734+Учет!D2735-D2735</f>
        <v>500</v>
      </c>
      <c r="J2735" s="43">
        <f>J2734+Учет!E2735-E2735</f>
        <v>1150</v>
      </c>
      <c r="K2735" s="43">
        <f>K2734+Учет!F2735-F2735</f>
        <v>500000</v>
      </c>
      <c r="L2735" s="45">
        <f>Учет!I2735</f>
        <v>349526.07999999996</v>
      </c>
    </row>
    <row r="2736" spans="1:12" x14ac:dyDescent="0.25">
      <c r="A2736" s="48" t="str">
        <f>IF(Учет!A2736&lt;&gt;"",Учет!A2736,"")</f>
        <v/>
      </c>
      <c r="B2736" s="52">
        <f>IF(Учет!$O2736=Справочники!$F$2,Учет!$H2736,0)</f>
        <v>0</v>
      </c>
      <c r="C2736" s="52">
        <f>IF(Учет!$O2736=Справочники!$F$3,Учет!$H2736,0)</f>
        <v>0</v>
      </c>
      <c r="D2736" s="52">
        <f>IF(Учет!$O2736=Справочники!$F$4,Учет!$H2736,0)</f>
        <v>0</v>
      </c>
      <c r="E2736" s="52">
        <f>IF(Учет!$O2736=Справочники!$F$5,Учет!$H2736,0)</f>
        <v>0</v>
      </c>
      <c r="F2736" s="52">
        <f>IF(Учет!$O2736=Справочники!$F$6,Учет!$H2736,0)</f>
        <v>0</v>
      </c>
      <c r="G2736" s="43">
        <f>G2735+Учет!B2736-B2736</f>
        <v>-488978.92000000004</v>
      </c>
      <c r="H2736" s="43">
        <f>H2735+Учет!C2736-C2736</f>
        <v>336855</v>
      </c>
      <c r="I2736" s="43">
        <f>I2735+Учет!D2736-D2736</f>
        <v>500</v>
      </c>
      <c r="J2736" s="43">
        <f>J2735+Учет!E2736-E2736</f>
        <v>1150</v>
      </c>
      <c r="K2736" s="43">
        <f>K2735+Учет!F2736-F2736</f>
        <v>500000</v>
      </c>
      <c r="L2736" s="45">
        <f>Учет!I2736</f>
        <v>349526.07999999996</v>
      </c>
    </row>
    <row r="2737" spans="1:12" x14ac:dyDescent="0.25">
      <c r="A2737" s="48" t="str">
        <f>IF(Учет!A2737&lt;&gt;"",Учет!A2737,"")</f>
        <v/>
      </c>
      <c r="B2737" s="52">
        <f>IF(Учет!$O2737=Справочники!$F$2,Учет!$H2737,0)</f>
        <v>0</v>
      </c>
      <c r="C2737" s="52">
        <f>IF(Учет!$O2737=Справочники!$F$3,Учет!$H2737,0)</f>
        <v>0</v>
      </c>
      <c r="D2737" s="52">
        <f>IF(Учет!$O2737=Справочники!$F$4,Учет!$H2737,0)</f>
        <v>0</v>
      </c>
      <c r="E2737" s="52">
        <f>IF(Учет!$O2737=Справочники!$F$5,Учет!$H2737,0)</f>
        <v>0</v>
      </c>
      <c r="F2737" s="52">
        <f>IF(Учет!$O2737=Справочники!$F$6,Учет!$H2737,0)</f>
        <v>0</v>
      </c>
      <c r="G2737" s="43">
        <f>G2736+Учет!B2737-B2737</f>
        <v>-488978.92000000004</v>
      </c>
      <c r="H2737" s="43">
        <f>H2736+Учет!C2737-C2737</f>
        <v>336855</v>
      </c>
      <c r="I2737" s="43">
        <f>I2736+Учет!D2737-D2737</f>
        <v>500</v>
      </c>
      <c r="J2737" s="43">
        <f>J2736+Учет!E2737-E2737</f>
        <v>1150</v>
      </c>
      <c r="K2737" s="43">
        <f>K2736+Учет!F2737-F2737</f>
        <v>500000</v>
      </c>
      <c r="L2737" s="45">
        <f>Учет!I2737</f>
        <v>349526.07999999996</v>
      </c>
    </row>
    <row r="2738" spans="1:12" x14ac:dyDescent="0.25">
      <c r="A2738" s="48" t="str">
        <f>IF(Учет!A2738&lt;&gt;"",Учет!A2738,"")</f>
        <v/>
      </c>
      <c r="B2738" s="52">
        <f>IF(Учет!$O2738=Справочники!$F$2,Учет!$H2738,0)</f>
        <v>0</v>
      </c>
      <c r="C2738" s="52">
        <f>IF(Учет!$O2738=Справочники!$F$3,Учет!$H2738,0)</f>
        <v>0</v>
      </c>
      <c r="D2738" s="52">
        <f>IF(Учет!$O2738=Справочники!$F$4,Учет!$H2738,0)</f>
        <v>0</v>
      </c>
      <c r="E2738" s="52">
        <f>IF(Учет!$O2738=Справочники!$F$5,Учет!$H2738,0)</f>
        <v>0</v>
      </c>
      <c r="F2738" s="52">
        <f>IF(Учет!$O2738=Справочники!$F$6,Учет!$H2738,0)</f>
        <v>0</v>
      </c>
      <c r="G2738" s="43">
        <f>G2737+Учет!B2738-B2738</f>
        <v>-488978.92000000004</v>
      </c>
      <c r="H2738" s="43">
        <f>H2737+Учет!C2738-C2738</f>
        <v>336855</v>
      </c>
      <c r="I2738" s="43">
        <f>I2737+Учет!D2738-D2738</f>
        <v>500</v>
      </c>
      <c r="J2738" s="43">
        <f>J2737+Учет!E2738-E2738</f>
        <v>1150</v>
      </c>
      <c r="K2738" s="43">
        <f>K2737+Учет!F2738-F2738</f>
        <v>500000</v>
      </c>
      <c r="L2738" s="45">
        <f>Учет!I2738</f>
        <v>349526.07999999996</v>
      </c>
    </row>
    <row r="2739" spans="1:12" x14ac:dyDescent="0.25">
      <c r="A2739" s="48" t="str">
        <f>IF(Учет!A2739&lt;&gt;"",Учет!A2739,"")</f>
        <v/>
      </c>
      <c r="B2739" s="52">
        <f>IF(Учет!$O2739=Справочники!$F$2,Учет!$H2739,0)</f>
        <v>0</v>
      </c>
      <c r="C2739" s="52">
        <f>IF(Учет!$O2739=Справочники!$F$3,Учет!$H2739,0)</f>
        <v>0</v>
      </c>
      <c r="D2739" s="52">
        <f>IF(Учет!$O2739=Справочники!$F$4,Учет!$H2739,0)</f>
        <v>0</v>
      </c>
      <c r="E2739" s="52">
        <f>IF(Учет!$O2739=Справочники!$F$5,Учет!$H2739,0)</f>
        <v>0</v>
      </c>
      <c r="F2739" s="52">
        <f>IF(Учет!$O2739=Справочники!$F$6,Учет!$H2739,0)</f>
        <v>0</v>
      </c>
      <c r="G2739" s="43">
        <f>G2738+Учет!B2739-B2739</f>
        <v>-488978.92000000004</v>
      </c>
      <c r="H2739" s="43">
        <f>H2738+Учет!C2739-C2739</f>
        <v>336855</v>
      </c>
      <c r="I2739" s="43">
        <f>I2738+Учет!D2739-D2739</f>
        <v>500</v>
      </c>
      <c r="J2739" s="43">
        <f>J2738+Учет!E2739-E2739</f>
        <v>1150</v>
      </c>
      <c r="K2739" s="43">
        <f>K2738+Учет!F2739-F2739</f>
        <v>500000</v>
      </c>
      <c r="L2739" s="45">
        <f>Учет!I2739</f>
        <v>349526.07999999996</v>
      </c>
    </row>
    <row r="2740" spans="1:12" x14ac:dyDescent="0.25">
      <c r="A2740" s="48" t="str">
        <f>IF(Учет!A2740&lt;&gt;"",Учет!A2740,"")</f>
        <v/>
      </c>
      <c r="B2740" s="52">
        <f>IF(Учет!$O2740=Справочники!$F$2,Учет!$H2740,0)</f>
        <v>0</v>
      </c>
      <c r="C2740" s="52">
        <f>IF(Учет!$O2740=Справочники!$F$3,Учет!$H2740,0)</f>
        <v>0</v>
      </c>
      <c r="D2740" s="52">
        <f>IF(Учет!$O2740=Справочники!$F$4,Учет!$H2740,0)</f>
        <v>0</v>
      </c>
      <c r="E2740" s="52">
        <f>IF(Учет!$O2740=Справочники!$F$5,Учет!$H2740,0)</f>
        <v>0</v>
      </c>
      <c r="F2740" s="52">
        <f>IF(Учет!$O2740=Справочники!$F$6,Учет!$H2740,0)</f>
        <v>0</v>
      </c>
      <c r="G2740" s="43">
        <f>G2739+Учет!B2740-B2740</f>
        <v>-488978.92000000004</v>
      </c>
      <c r="H2740" s="43">
        <f>H2739+Учет!C2740-C2740</f>
        <v>336855</v>
      </c>
      <c r="I2740" s="43">
        <f>I2739+Учет!D2740-D2740</f>
        <v>500</v>
      </c>
      <c r="J2740" s="43">
        <f>J2739+Учет!E2740-E2740</f>
        <v>1150</v>
      </c>
      <c r="K2740" s="43">
        <f>K2739+Учет!F2740-F2740</f>
        <v>500000</v>
      </c>
      <c r="L2740" s="45">
        <f>Учет!I2740</f>
        <v>349526.07999999996</v>
      </c>
    </row>
    <row r="2741" spans="1:12" x14ac:dyDescent="0.25">
      <c r="A2741" s="48" t="str">
        <f>IF(Учет!A2741&lt;&gt;"",Учет!A2741,"")</f>
        <v/>
      </c>
      <c r="B2741" s="52">
        <f>IF(Учет!$O2741=Справочники!$F$2,Учет!$H2741,0)</f>
        <v>0</v>
      </c>
      <c r="C2741" s="52">
        <f>IF(Учет!$O2741=Справочники!$F$3,Учет!$H2741,0)</f>
        <v>0</v>
      </c>
      <c r="D2741" s="52">
        <f>IF(Учет!$O2741=Справочники!$F$4,Учет!$H2741,0)</f>
        <v>0</v>
      </c>
      <c r="E2741" s="52">
        <f>IF(Учет!$O2741=Справочники!$F$5,Учет!$H2741,0)</f>
        <v>0</v>
      </c>
      <c r="F2741" s="52">
        <f>IF(Учет!$O2741=Справочники!$F$6,Учет!$H2741,0)</f>
        <v>0</v>
      </c>
      <c r="G2741" s="43">
        <f>G2740+Учет!B2741-B2741</f>
        <v>-488978.92000000004</v>
      </c>
      <c r="H2741" s="43">
        <f>H2740+Учет!C2741-C2741</f>
        <v>336855</v>
      </c>
      <c r="I2741" s="43">
        <f>I2740+Учет!D2741-D2741</f>
        <v>500</v>
      </c>
      <c r="J2741" s="43">
        <f>J2740+Учет!E2741-E2741</f>
        <v>1150</v>
      </c>
      <c r="K2741" s="43">
        <f>K2740+Учет!F2741-F2741</f>
        <v>500000</v>
      </c>
      <c r="L2741" s="45">
        <f>Учет!I2741</f>
        <v>349526.07999999996</v>
      </c>
    </row>
    <row r="2742" spans="1:12" x14ac:dyDescent="0.25">
      <c r="A2742" s="48" t="str">
        <f>IF(Учет!A2742&lt;&gt;"",Учет!A2742,"")</f>
        <v/>
      </c>
      <c r="B2742" s="52">
        <f>IF(Учет!$O2742=Справочники!$F$2,Учет!$H2742,0)</f>
        <v>0</v>
      </c>
      <c r="C2742" s="52">
        <f>IF(Учет!$O2742=Справочники!$F$3,Учет!$H2742,0)</f>
        <v>0</v>
      </c>
      <c r="D2742" s="52">
        <f>IF(Учет!$O2742=Справочники!$F$4,Учет!$H2742,0)</f>
        <v>0</v>
      </c>
      <c r="E2742" s="52">
        <f>IF(Учет!$O2742=Справочники!$F$5,Учет!$H2742,0)</f>
        <v>0</v>
      </c>
      <c r="F2742" s="52">
        <f>IF(Учет!$O2742=Справочники!$F$6,Учет!$H2742,0)</f>
        <v>0</v>
      </c>
      <c r="G2742" s="43">
        <f>G2741+Учет!B2742-B2742</f>
        <v>-488978.92000000004</v>
      </c>
      <c r="H2742" s="43">
        <f>H2741+Учет!C2742-C2742</f>
        <v>336855</v>
      </c>
      <c r="I2742" s="43">
        <f>I2741+Учет!D2742-D2742</f>
        <v>500</v>
      </c>
      <c r="J2742" s="43">
        <f>J2741+Учет!E2742-E2742</f>
        <v>1150</v>
      </c>
      <c r="K2742" s="43">
        <f>K2741+Учет!F2742-F2742</f>
        <v>500000</v>
      </c>
      <c r="L2742" s="45">
        <f>Учет!I2742</f>
        <v>349526.07999999996</v>
      </c>
    </row>
    <row r="2743" spans="1:12" x14ac:dyDescent="0.25">
      <c r="A2743" s="48" t="str">
        <f>IF(Учет!A2743&lt;&gt;"",Учет!A2743,"")</f>
        <v/>
      </c>
      <c r="B2743" s="52">
        <f>IF(Учет!$O2743=Справочники!$F$2,Учет!$H2743,0)</f>
        <v>0</v>
      </c>
      <c r="C2743" s="52">
        <f>IF(Учет!$O2743=Справочники!$F$3,Учет!$H2743,0)</f>
        <v>0</v>
      </c>
      <c r="D2743" s="52">
        <f>IF(Учет!$O2743=Справочники!$F$4,Учет!$H2743,0)</f>
        <v>0</v>
      </c>
      <c r="E2743" s="52">
        <f>IF(Учет!$O2743=Справочники!$F$5,Учет!$H2743,0)</f>
        <v>0</v>
      </c>
      <c r="F2743" s="52">
        <f>IF(Учет!$O2743=Справочники!$F$6,Учет!$H2743,0)</f>
        <v>0</v>
      </c>
      <c r="G2743" s="43">
        <f>G2742+Учет!B2743-B2743</f>
        <v>-488978.92000000004</v>
      </c>
      <c r="H2743" s="43">
        <f>H2742+Учет!C2743-C2743</f>
        <v>336855</v>
      </c>
      <c r="I2743" s="43">
        <f>I2742+Учет!D2743-D2743</f>
        <v>500</v>
      </c>
      <c r="J2743" s="43">
        <f>J2742+Учет!E2743-E2743</f>
        <v>1150</v>
      </c>
      <c r="K2743" s="43">
        <f>K2742+Учет!F2743-F2743</f>
        <v>500000</v>
      </c>
      <c r="L2743" s="45">
        <f>Учет!I2743</f>
        <v>349526.07999999996</v>
      </c>
    </row>
    <row r="2744" spans="1:12" x14ac:dyDescent="0.25">
      <c r="A2744" s="48" t="str">
        <f>IF(Учет!A2744&lt;&gt;"",Учет!A2744,"")</f>
        <v/>
      </c>
      <c r="B2744" s="52">
        <f>IF(Учет!$O2744=Справочники!$F$2,Учет!$H2744,0)</f>
        <v>0</v>
      </c>
      <c r="C2744" s="52">
        <f>IF(Учет!$O2744=Справочники!$F$3,Учет!$H2744,0)</f>
        <v>0</v>
      </c>
      <c r="D2744" s="52">
        <f>IF(Учет!$O2744=Справочники!$F$4,Учет!$H2744,0)</f>
        <v>0</v>
      </c>
      <c r="E2744" s="52">
        <f>IF(Учет!$O2744=Справочники!$F$5,Учет!$H2744,0)</f>
        <v>0</v>
      </c>
      <c r="F2744" s="52">
        <f>IF(Учет!$O2744=Справочники!$F$6,Учет!$H2744,0)</f>
        <v>0</v>
      </c>
      <c r="G2744" s="43">
        <f>G2743+Учет!B2744-B2744</f>
        <v>-488978.92000000004</v>
      </c>
      <c r="H2744" s="43">
        <f>H2743+Учет!C2744-C2744</f>
        <v>336855</v>
      </c>
      <c r="I2744" s="43">
        <f>I2743+Учет!D2744-D2744</f>
        <v>500</v>
      </c>
      <c r="J2744" s="43">
        <f>J2743+Учет!E2744-E2744</f>
        <v>1150</v>
      </c>
      <c r="K2744" s="43">
        <f>K2743+Учет!F2744-F2744</f>
        <v>500000</v>
      </c>
      <c r="L2744" s="45">
        <f>Учет!I2744</f>
        <v>349526.07999999996</v>
      </c>
    </row>
    <row r="2745" spans="1:12" x14ac:dyDescent="0.25">
      <c r="A2745" s="48" t="str">
        <f>IF(Учет!A2745&lt;&gt;"",Учет!A2745,"")</f>
        <v/>
      </c>
      <c r="B2745" s="52">
        <f>IF(Учет!$O2745=Справочники!$F$2,Учет!$H2745,0)</f>
        <v>0</v>
      </c>
      <c r="C2745" s="52">
        <f>IF(Учет!$O2745=Справочники!$F$3,Учет!$H2745,0)</f>
        <v>0</v>
      </c>
      <c r="D2745" s="52">
        <f>IF(Учет!$O2745=Справочники!$F$4,Учет!$H2745,0)</f>
        <v>0</v>
      </c>
      <c r="E2745" s="52">
        <f>IF(Учет!$O2745=Справочники!$F$5,Учет!$H2745,0)</f>
        <v>0</v>
      </c>
      <c r="F2745" s="52">
        <f>IF(Учет!$O2745=Справочники!$F$6,Учет!$H2745,0)</f>
        <v>0</v>
      </c>
      <c r="G2745" s="43">
        <f>G2744+Учет!B2745-B2745</f>
        <v>-488978.92000000004</v>
      </c>
      <c r="H2745" s="43">
        <f>H2744+Учет!C2745-C2745</f>
        <v>336855</v>
      </c>
      <c r="I2745" s="43">
        <f>I2744+Учет!D2745-D2745</f>
        <v>500</v>
      </c>
      <c r="J2745" s="43">
        <f>J2744+Учет!E2745-E2745</f>
        <v>1150</v>
      </c>
      <c r="K2745" s="43">
        <f>K2744+Учет!F2745-F2745</f>
        <v>500000</v>
      </c>
      <c r="L2745" s="45">
        <f>Учет!I2745</f>
        <v>349526.07999999996</v>
      </c>
    </row>
    <row r="2746" spans="1:12" x14ac:dyDescent="0.25">
      <c r="A2746" s="48" t="str">
        <f>IF(Учет!A2746&lt;&gt;"",Учет!A2746,"")</f>
        <v/>
      </c>
      <c r="B2746" s="52">
        <f>IF(Учет!$O2746=Справочники!$F$2,Учет!$H2746,0)</f>
        <v>0</v>
      </c>
      <c r="C2746" s="52">
        <f>IF(Учет!$O2746=Справочники!$F$3,Учет!$H2746,0)</f>
        <v>0</v>
      </c>
      <c r="D2746" s="52">
        <f>IF(Учет!$O2746=Справочники!$F$4,Учет!$H2746,0)</f>
        <v>0</v>
      </c>
      <c r="E2746" s="52">
        <f>IF(Учет!$O2746=Справочники!$F$5,Учет!$H2746,0)</f>
        <v>0</v>
      </c>
      <c r="F2746" s="52">
        <f>IF(Учет!$O2746=Справочники!$F$6,Учет!$H2746,0)</f>
        <v>0</v>
      </c>
      <c r="G2746" s="43">
        <f>G2745+Учет!B2746-B2746</f>
        <v>-488978.92000000004</v>
      </c>
      <c r="H2746" s="43">
        <f>H2745+Учет!C2746-C2746</f>
        <v>336855</v>
      </c>
      <c r="I2746" s="43">
        <f>I2745+Учет!D2746-D2746</f>
        <v>500</v>
      </c>
      <c r="J2746" s="43">
        <f>J2745+Учет!E2746-E2746</f>
        <v>1150</v>
      </c>
      <c r="K2746" s="43">
        <f>K2745+Учет!F2746-F2746</f>
        <v>500000</v>
      </c>
      <c r="L2746" s="45">
        <f>Учет!I2746</f>
        <v>349526.07999999996</v>
      </c>
    </row>
    <row r="2747" spans="1:12" x14ac:dyDescent="0.25">
      <c r="A2747" s="48" t="str">
        <f>IF(Учет!A2747&lt;&gt;"",Учет!A2747,"")</f>
        <v/>
      </c>
      <c r="B2747" s="52">
        <f>IF(Учет!$O2747=Справочники!$F$2,Учет!$H2747,0)</f>
        <v>0</v>
      </c>
      <c r="C2747" s="52">
        <f>IF(Учет!$O2747=Справочники!$F$3,Учет!$H2747,0)</f>
        <v>0</v>
      </c>
      <c r="D2747" s="52">
        <f>IF(Учет!$O2747=Справочники!$F$4,Учет!$H2747,0)</f>
        <v>0</v>
      </c>
      <c r="E2747" s="52">
        <f>IF(Учет!$O2747=Справочники!$F$5,Учет!$H2747,0)</f>
        <v>0</v>
      </c>
      <c r="F2747" s="52">
        <f>IF(Учет!$O2747=Справочники!$F$6,Учет!$H2747,0)</f>
        <v>0</v>
      </c>
      <c r="G2747" s="43">
        <f>G2746+Учет!B2747-B2747</f>
        <v>-488978.92000000004</v>
      </c>
      <c r="H2747" s="43">
        <f>H2746+Учет!C2747-C2747</f>
        <v>336855</v>
      </c>
      <c r="I2747" s="43">
        <f>I2746+Учет!D2747-D2747</f>
        <v>500</v>
      </c>
      <c r="J2747" s="43">
        <f>J2746+Учет!E2747-E2747</f>
        <v>1150</v>
      </c>
      <c r="K2747" s="43">
        <f>K2746+Учет!F2747-F2747</f>
        <v>500000</v>
      </c>
      <c r="L2747" s="45">
        <f>Учет!I2747</f>
        <v>349526.07999999996</v>
      </c>
    </row>
    <row r="2748" spans="1:12" x14ac:dyDescent="0.25">
      <c r="A2748" s="48" t="str">
        <f>IF(Учет!A2748&lt;&gt;"",Учет!A2748,"")</f>
        <v/>
      </c>
      <c r="B2748" s="52">
        <f>IF(Учет!$O2748=Справочники!$F$2,Учет!$H2748,0)</f>
        <v>0</v>
      </c>
      <c r="C2748" s="52">
        <f>IF(Учет!$O2748=Справочники!$F$3,Учет!$H2748,0)</f>
        <v>0</v>
      </c>
      <c r="D2748" s="52">
        <f>IF(Учет!$O2748=Справочники!$F$4,Учет!$H2748,0)</f>
        <v>0</v>
      </c>
      <c r="E2748" s="52">
        <f>IF(Учет!$O2748=Справочники!$F$5,Учет!$H2748,0)</f>
        <v>0</v>
      </c>
      <c r="F2748" s="52">
        <f>IF(Учет!$O2748=Справочники!$F$6,Учет!$H2748,0)</f>
        <v>0</v>
      </c>
      <c r="G2748" s="43">
        <f>G2747+Учет!B2748-B2748</f>
        <v>-488978.92000000004</v>
      </c>
      <c r="H2748" s="43">
        <f>H2747+Учет!C2748-C2748</f>
        <v>336855</v>
      </c>
      <c r="I2748" s="43">
        <f>I2747+Учет!D2748-D2748</f>
        <v>500</v>
      </c>
      <c r="J2748" s="43">
        <f>J2747+Учет!E2748-E2748</f>
        <v>1150</v>
      </c>
      <c r="K2748" s="43">
        <f>K2747+Учет!F2748-F2748</f>
        <v>500000</v>
      </c>
      <c r="L2748" s="45">
        <f>Учет!I2748</f>
        <v>349526.07999999996</v>
      </c>
    </row>
    <row r="2749" spans="1:12" x14ac:dyDescent="0.25">
      <c r="A2749" s="48" t="str">
        <f>IF(Учет!A2749&lt;&gt;"",Учет!A2749,"")</f>
        <v/>
      </c>
      <c r="B2749" s="52">
        <f>IF(Учет!$O2749=Справочники!$F$2,Учет!$H2749,0)</f>
        <v>0</v>
      </c>
      <c r="C2749" s="52">
        <f>IF(Учет!$O2749=Справочники!$F$3,Учет!$H2749,0)</f>
        <v>0</v>
      </c>
      <c r="D2749" s="52">
        <f>IF(Учет!$O2749=Справочники!$F$4,Учет!$H2749,0)</f>
        <v>0</v>
      </c>
      <c r="E2749" s="52">
        <f>IF(Учет!$O2749=Справочники!$F$5,Учет!$H2749,0)</f>
        <v>0</v>
      </c>
      <c r="F2749" s="52">
        <f>IF(Учет!$O2749=Справочники!$F$6,Учет!$H2749,0)</f>
        <v>0</v>
      </c>
      <c r="G2749" s="43">
        <f>G2748+Учет!B2749-B2749</f>
        <v>-488978.92000000004</v>
      </c>
      <c r="H2749" s="43">
        <f>H2748+Учет!C2749-C2749</f>
        <v>336855</v>
      </c>
      <c r="I2749" s="43">
        <f>I2748+Учет!D2749-D2749</f>
        <v>500</v>
      </c>
      <c r="J2749" s="43">
        <f>J2748+Учет!E2749-E2749</f>
        <v>1150</v>
      </c>
      <c r="K2749" s="43">
        <f>K2748+Учет!F2749-F2749</f>
        <v>500000</v>
      </c>
      <c r="L2749" s="45">
        <f>Учет!I2749</f>
        <v>349526.07999999996</v>
      </c>
    </row>
    <row r="2750" spans="1:12" x14ac:dyDescent="0.25">
      <c r="A2750" s="48" t="str">
        <f>IF(Учет!A2750&lt;&gt;"",Учет!A2750,"")</f>
        <v/>
      </c>
      <c r="B2750" s="52">
        <f>IF(Учет!$O2750=Справочники!$F$2,Учет!$H2750,0)</f>
        <v>0</v>
      </c>
      <c r="C2750" s="52">
        <f>IF(Учет!$O2750=Справочники!$F$3,Учет!$H2750,0)</f>
        <v>0</v>
      </c>
      <c r="D2750" s="52">
        <f>IF(Учет!$O2750=Справочники!$F$4,Учет!$H2750,0)</f>
        <v>0</v>
      </c>
      <c r="E2750" s="52">
        <f>IF(Учет!$O2750=Справочники!$F$5,Учет!$H2750,0)</f>
        <v>0</v>
      </c>
      <c r="F2750" s="52">
        <f>IF(Учет!$O2750=Справочники!$F$6,Учет!$H2750,0)</f>
        <v>0</v>
      </c>
      <c r="G2750" s="43">
        <f>G2749+Учет!B2750-B2750</f>
        <v>-488978.92000000004</v>
      </c>
      <c r="H2750" s="43">
        <f>H2749+Учет!C2750-C2750</f>
        <v>336855</v>
      </c>
      <c r="I2750" s="43">
        <f>I2749+Учет!D2750-D2750</f>
        <v>500</v>
      </c>
      <c r="J2750" s="43">
        <f>J2749+Учет!E2750-E2750</f>
        <v>1150</v>
      </c>
      <c r="K2750" s="43">
        <f>K2749+Учет!F2750-F2750</f>
        <v>500000</v>
      </c>
      <c r="L2750" s="45">
        <f>Учет!I2750</f>
        <v>349526.07999999996</v>
      </c>
    </row>
    <row r="2751" spans="1:12" x14ac:dyDescent="0.25">
      <c r="A2751" s="48" t="str">
        <f>IF(Учет!A2751&lt;&gt;"",Учет!A2751,"")</f>
        <v/>
      </c>
      <c r="B2751" s="52">
        <f>IF(Учет!$O2751=Справочники!$F$2,Учет!$H2751,0)</f>
        <v>0</v>
      </c>
      <c r="C2751" s="52">
        <f>IF(Учет!$O2751=Справочники!$F$3,Учет!$H2751,0)</f>
        <v>0</v>
      </c>
      <c r="D2751" s="52">
        <f>IF(Учет!$O2751=Справочники!$F$4,Учет!$H2751,0)</f>
        <v>0</v>
      </c>
      <c r="E2751" s="52">
        <f>IF(Учет!$O2751=Справочники!$F$5,Учет!$H2751,0)</f>
        <v>0</v>
      </c>
      <c r="F2751" s="52">
        <f>IF(Учет!$O2751=Справочники!$F$6,Учет!$H2751,0)</f>
        <v>0</v>
      </c>
      <c r="G2751" s="43">
        <f>G2750+Учет!B2751-B2751</f>
        <v>-488978.92000000004</v>
      </c>
      <c r="H2751" s="43">
        <f>H2750+Учет!C2751-C2751</f>
        <v>336855</v>
      </c>
      <c r="I2751" s="43">
        <f>I2750+Учет!D2751-D2751</f>
        <v>500</v>
      </c>
      <c r="J2751" s="43">
        <f>J2750+Учет!E2751-E2751</f>
        <v>1150</v>
      </c>
      <c r="K2751" s="43">
        <f>K2750+Учет!F2751-F2751</f>
        <v>500000</v>
      </c>
      <c r="L2751" s="45">
        <f>Учет!I2751</f>
        <v>349526.07999999996</v>
      </c>
    </row>
    <row r="2752" spans="1:12" x14ac:dyDescent="0.25">
      <c r="A2752" s="48" t="str">
        <f>IF(Учет!A2752&lt;&gt;"",Учет!A2752,"")</f>
        <v/>
      </c>
      <c r="B2752" s="52">
        <f>IF(Учет!$O2752=Справочники!$F$2,Учет!$H2752,0)</f>
        <v>0</v>
      </c>
      <c r="C2752" s="52">
        <f>IF(Учет!$O2752=Справочники!$F$3,Учет!$H2752,0)</f>
        <v>0</v>
      </c>
      <c r="D2752" s="52">
        <f>IF(Учет!$O2752=Справочники!$F$4,Учет!$H2752,0)</f>
        <v>0</v>
      </c>
      <c r="E2752" s="52">
        <f>IF(Учет!$O2752=Справочники!$F$5,Учет!$H2752,0)</f>
        <v>0</v>
      </c>
      <c r="F2752" s="52">
        <f>IF(Учет!$O2752=Справочники!$F$6,Учет!$H2752,0)</f>
        <v>0</v>
      </c>
      <c r="G2752" s="43">
        <f>G2751+Учет!B2752-B2752</f>
        <v>-488978.92000000004</v>
      </c>
      <c r="H2752" s="43">
        <f>H2751+Учет!C2752-C2752</f>
        <v>336855</v>
      </c>
      <c r="I2752" s="43">
        <f>I2751+Учет!D2752-D2752</f>
        <v>500</v>
      </c>
      <c r="J2752" s="43">
        <f>J2751+Учет!E2752-E2752</f>
        <v>1150</v>
      </c>
      <c r="K2752" s="43">
        <f>K2751+Учет!F2752-F2752</f>
        <v>500000</v>
      </c>
      <c r="L2752" s="45">
        <f>Учет!I2752</f>
        <v>349526.07999999996</v>
      </c>
    </row>
    <row r="2753" spans="1:12" x14ac:dyDescent="0.25">
      <c r="A2753" s="48" t="str">
        <f>IF(Учет!A2753&lt;&gt;"",Учет!A2753,"")</f>
        <v/>
      </c>
      <c r="B2753" s="52">
        <f>IF(Учет!$O2753=Справочники!$F$2,Учет!$H2753,0)</f>
        <v>0</v>
      </c>
      <c r="C2753" s="52">
        <f>IF(Учет!$O2753=Справочники!$F$3,Учет!$H2753,0)</f>
        <v>0</v>
      </c>
      <c r="D2753" s="52">
        <f>IF(Учет!$O2753=Справочники!$F$4,Учет!$H2753,0)</f>
        <v>0</v>
      </c>
      <c r="E2753" s="52">
        <f>IF(Учет!$O2753=Справочники!$F$5,Учет!$H2753,0)</f>
        <v>0</v>
      </c>
      <c r="F2753" s="52">
        <f>IF(Учет!$O2753=Справочники!$F$6,Учет!$H2753,0)</f>
        <v>0</v>
      </c>
      <c r="G2753" s="43">
        <f>G2752+Учет!B2753-B2753</f>
        <v>-488978.92000000004</v>
      </c>
      <c r="H2753" s="43">
        <f>H2752+Учет!C2753-C2753</f>
        <v>336855</v>
      </c>
      <c r="I2753" s="43">
        <f>I2752+Учет!D2753-D2753</f>
        <v>500</v>
      </c>
      <c r="J2753" s="43">
        <f>J2752+Учет!E2753-E2753</f>
        <v>1150</v>
      </c>
      <c r="K2753" s="43">
        <f>K2752+Учет!F2753-F2753</f>
        <v>500000</v>
      </c>
      <c r="L2753" s="45">
        <f>Учет!I2753</f>
        <v>349526.07999999996</v>
      </c>
    </row>
    <row r="2754" spans="1:12" x14ac:dyDescent="0.25">
      <c r="A2754" s="48" t="str">
        <f>IF(Учет!A2754&lt;&gt;"",Учет!A2754,"")</f>
        <v/>
      </c>
      <c r="B2754" s="52">
        <f>IF(Учет!$O2754=Справочники!$F$2,Учет!$H2754,0)</f>
        <v>0</v>
      </c>
      <c r="C2754" s="52">
        <f>IF(Учет!$O2754=Справочники!$F$3,Учет!$H2754,0)</f>
        <v>0</v>
      </c>
      <c r="D2754" s="52">
        <f>IF(Учет!$O2754=Справочники!$F$4,Учет!$H2754,0)</f>
        <v>0</v>
      </c>
      <c r="E2754" s="52">
        <f>IF(Учет!$O2754=Справочники!$F$5,Учет!$H2754,0)</f>
        <v>0</v>
      </c>
      <c r="F2754" s="52">
        <f>IF(Учет!$O2754=Справочники!$F$6,Учет!$H2754,0)</f>
        <v>0</v>
      </c>
      <c r="G2754" s="43">
        <f>G2753+Учет!B2754-B2754</f>
        <v>-488978.92000000004</v>
      </c>
      <c r="H2754" s="43">
        <f>H2753+Учет!C2754-C2754</f>
        <v>336855</v>
      </c>
      <c r="I2754" s="43">
        <f>I2753+Учет!D2754-D2754</f>
        <v>500</v>
      </c>
      <c r="J2754" s="43">
        <f>J2753+Учет!E2754-E2754</f>
        <v>1150</v>
      </c>
      <c r="K2754" s="43">
        <f>K2753+Учет!F2754-F2754</f>
        <v>500000</v>
      </c>
      <c r="L2754" s="45">
        <f>Учет!I2754</f>
        <v>349526.07999999996</v>
      </c>
    </row>
    <row r="2755" spans="1:12" x14ac:dyDescent="0.25">
      <c r="A2755" s="48" t="str">
        <f>IF(Учет!A2755&lt;&gt;"",Учет!A2755,"")</f>
        <v/>
      </c>
      <c r="B2755" s="52">
        <f>IF(Учет!$O2755=Справочники!$F$2,Учет!$H2755,0)</f>
        <v>0</v>
      </c>
      <c r="C2755" s="52">
        <f>IF(Учет!$O2755=Справочники!$F$3,Учет!$H2755,0)</f>
        <v>0</v>
      </c>
      <c r="D2755" s="52">
        <f>IF(Учет!$O2755=Справочники!$F$4,Учет!$H2755,0)</f>
        <v>0</v>
      </c>
      <c r="E2755" s="52">
        <f>IF(Учет!$O2755=Справочники!$F$5,Учет!$H2755,0)</f>
        <v>0</v>
      </c>
      <c r="F2755" s="52">
        <f>IF(Учет!$O2755=Справочники!$F$6,Учет!$H2755,0)</f>
        <v>0</v>
      </c>
      <c r="G2755" s="43">
        <f>G2754+Учет!B2755-B2755</f>
        <v>-488978.92000000004</v>
      </c>
      <c r="H2755" s="43">
        <f>H2754+Учет!C2755-C2755</f>
        <v>336855</v>
      </c>
      <c r="I2755" s="43">
        <f>I2754+Учет!D2755-D2755</f>
        <v>500</v>
      </c>
      <c r="J2755" s="43">
        <f>J2754+Учет!E2755-E2755</f>
        <v>1150</v>
      </c>
      <c r="K2755" s="43">
        <f>K2754+Учет!F2755-F2755</f>
        <v>500000</v>
      </c>
      <c r="L2755" s="45">
        <f>Учет!I2755</f>
        <v>349526.07999999996</v>
      </c>
    </row>
    <row r="2756" spans="1:12" x14ac:dyDescent="0.25">
      <c r="A2756" s="48" t="str">
        <f>IF(Учет!A2756&lt;&gt;"",Учет!A2756,"")</f>
        <v/>
      </c>
      <c r="B2756" s="52">
        <f>IF(Учет!$O2756=Справочники!$F$2,Учет!$H2756,0)</f>
        <v>0</v>
      </c>
      <c r="C2756" s="52">
        <f>IF(Учет!$O2756=Справочники!$F$3,Учет!$H2756,0)</f>
        <v>0</v>
      </c>
      <c r="D2756" s="52">
        <f>IF(Учет!$O2756=Справочники!$F$4,Учет!$H2756,0)</f>
        <v>0</v>
      </c>
      <c r="E2756" s="52">
        <f>IF(Учет!$O2756=Справочники!$F$5,Учет!$H2756,0)</f>
        <v>0</v>
      </c>
      <c r="F2756" s="52">
        <f>IF(Учет!$O2756=Справочники!$F$6,Учет!$H2756,0)</f>
        <v>0</v>
      </c>
      <c r="G2756" s="43">
        <f>G2755+Учет!B2756-B2756</f>
        <v>-488978.92000000004</v>
      </c>
      <c r="H2756" s="43">
        <f>H2755+Учет!C2756-C2756</f>
        <v>336855</v>
      </c>
      <c r="I2756" s="43">
        <f>I2755+Учет!D2756-D2756</f>
        <v>500</v>
      </c>
      <c r="J2756" s="43">
        <f>J2755+Учет!E2756-E2756</f>
        <v>1150</v>
      </c>
      <c r="K2756" s="43">
        <f>K2755+Учет!F2756-F2756</f>
        <v>500000</v>
      </c>
      <c r="L2756" s="45">
        <f>Учет!I2756</f>
        <v>349526.07999999996</v>
      </c>
    </row>
    <row r="2757" spans="1:12" x14ac:dyDescent="0.25">
      <c r="A2757" s="48" t="str">
        <f>IF(Учет!A2757&lt;&gt;"",Учет!A2757,"")</f>
        <v/>
      </c>
      <c r="B2757" s="52">
        <f>IF(Учет!$O2757=Справочники!$F$2,Учет!$H2757,0)</f>
        <v>0</v>
      </c>
      <c r="C2757" s="52">
        <f>IF(Учет!$O2757=Справочники!$F$3,Учет!$H2757,0)</f>
        <v>0</v>
      </c>
      <c r="D2757" s="52">
        <f>IF(Учет!$O2757=Справочники!$F$4,Учет!$H2757,0)</f>
        <v>0</v>
      </c>
      <c r="E2757" s="52">
        <f>IF(Учет!$O2757=Справочники!$F$5,Учет!$H2757,0)</f>
        <v>0</v>
      </c>
      <c r="F2757" s="52">
        <f>IF(Учет!$O2757=Справочники!$F$6,Учет!$H2757,0)</f>
        <v>0</v>
      </c>
      <c r="G2757" s="43">
        <f>G2756+Учет!B2757-B2757</f>
        <v>-488978.92000000004</v>
      </c>
      <c r="H2757" s="43">
        <f>H2756+Учет!C2757-C2757</f>
        <v>336855</v>
      </c>
      <c r="I2757" s="43">
        <f>I2756+Учет!D2757-D2757</f>
        <v>500</v>
      </c>
      <c r="J2757" s="43">
        <f>J2756+Учет!E2757-E2757</f>
        <v>1150</v>
      </c>
      <c r="K2757" s="43">
        <f>K2756+Учет!F2757-F2757</f>
        <v>500000</v>
      </c>
      <c r="L2757" s="45">
        <f>Учет!I2757</f>
        <v>349526.07999999996</v>
      </c>
    </row>
    <row r="2758" spans="1:12" x14ac:dyDescent="0.25">
      <c r="A2758" s="48" t="str">
        <f>IF(Учет!A2758&lt;&gt;"",Учет!A2758,"")</f>
        <v/>
      </c>
      <c r="B2758" s="52">
        <f>IF(Учет!$O2758=Справочники!$F$2,Учет!$H2758,0)</f>
        <v>0</v>
      </c>
      <c r="C2758" s="52">
        <f>IF(Учет!$O2758=Справочники!$F$3,Учет!$H2758,0)</f>
        <v>0</v>
      </c>
      <c r="D2758" s="52">
        <f>IF(Учет!$O2758=Справочники!$F$4,Учет!$H2758,0)</f>
        <v>0</v>
      </c>
      <c r="E2758" s="52">
        <f>IF(Учет!$O2758=Справочники!$F$5,Учет!$H2758,0)</f>
        <v>0</v>
      </c>
      <c r="F2758" s="52">
        <f>IF(Учет!$O2758=Справочники!$F$6,Учет!$H2758,0)</f>
        <v>0</v>
      </c>
      <c r="G2758" s="43">
        <f>G2757+Учет!B2758-B2758</f>
        <v>-488978.92000000004</v>
      </c>
      <c r="H2758" s="43">
        <f>H2757+Учет!C2758-C2758</f>
        <v>336855</v>
      </c>
      <c r="I2758" s="43">
        <f>I2757+Учет!D2758-D2758</f>
        <v>500</v>
      </c>
      <c r="J2758" s="43">
        <f>J2757+Учет!E2758-E2758</f>
        <v>1150</v>
      </c>
      <c r="K2758" s="43">
        <f>K2757+Учет!F2758-F2758</f>
        <v>500000</v>
      </c>
      <c r="L2758" s="45">
        <f>Учет!I2758</f>
        <v>349526.07999999996</v>
      </c>
    </row>
    <row r="2759" spans="1:12" x14ac:dyDescent="0.25">
      <c r="A2759" s="48" t="str">
        <f>IF(Учет!A2759&lt;&gt;"",Учет!A2759,"")</f>
        <v/>
      </c>
      <c r="B2759" s="52">
        <f>IF(Учет!$O2759=Справочники!$F$2,Учет!$H2759,0)</f>
        <v>0</v>
      </c>
      <c r="C2759" s="52">
        <f>IF(Учет!$O2759=Справочники!$F$3,Учет!$H2759,0)</f>
        <v>0</v>
      </c>
      <c r="D2759" s="52">
        <f>IF(Учет!$O2759=Справочники!$F$4,Учет!$H2759,0)</f>
        <v>0</v>
      </c>
      <c r="E2759" s="52">
        <f>IF(Учет!$O2759=Справочники!$F$5,Учет!$H2759,0)</f>
        <v>0</v>
      </c>
      <c r="F2759" s="52">
        <f>IF(Учет!$O2759=Справочники!$F$6,Учет!$H2759,0)</f>
        <v>0</v>
      </c>
      <c r="G2759" s="43">
        <f>G2758+Учет!B2759-B2759</f>
        <v>-488978.92000000004</v>
      </c>
      <c r="H2759" s="43">
        <f>H2758+Учет!C2759-C2759</f>
        <v>336855</v>
      </c>
      <c r="I2759" s="43">
        <f>I2758+Учет!D2759-D2759</f>
        <v>500</v>
      </c>
      <c r="J2759" s="43">
        <f>J2758+Учет!E2759-E2759</f>
        <v>1150</v>
      </c>
      <c r="K2759" s="43">
        <f>K2758+Учет!F2759-F2759</f>
        <v>500000</v>
      </c>
      <c r="L2759" s="45">
        <f>Учет!I2759</f>
        <v>349526.07999999996</v>
      </c>
    </row>
    <row r="2760" spans="1:12" x14ac:dyDescent="0.25">
      <c r="A2760" s="48" t="str">
        <f>IF(Учет!A2760&lt;&gt;"",Учет!A2760,"")</f>
        <v/>
      </c>
      <c r="B2760" s="52">
        <f>IF(Учет!$O2760=Справочники!$F$2,Учет!$H2760,0)</f>
        <v>0</v>
      </c>
      <c r="C2760" s="52">
        <f>IF(Учет!$O2760=Справочники!$F$3,Учет!$H2760,0)</f>
        <v>0</v>
      </c>
      <c r="D2760" s="52">
        <f>IF(Учет!$O2760=Справочники!$F$4,Учет!$H2760,0)</f>
        <v>0</v>
      </c>
      <c r="E2760" s="52">
        <f>IF(Учет!$O2760=Справочники!$F$5,Учет!$H2760,0)</f>
        <v>0</v>
      </c>
      <c r="F2760" s="52">
        <f>IF(Учет!$O2760=Справочники!$F$6,Учет!$H2760,0)</f>
        <v>0</v>
      </c>
      <c r="G2760" s="43">
        <f>G2759+Учет!B2760-B2760</f>
        <v>-488978.92000000004</v>
      </c>
      <c r="H2760" s="43">
        <f>H2759+Учет!C2760-C2760</f>
        <v>336855</v>
      </c>
      <c r="I2760" s="43">
        <f>I2759+Учет!D2760-D2760</f>
        <v>500</v>
      </c>
      <c r="J2760" s="43">
        <f>J2759+Учет!E2760-E2760</f>
        <v>1150</v>
      </c>
      <c r="K2760" s="43">
        <f>K2759+Учет!F2760-F2760</f>
        <v>500000</v>
      </c>
      <c r="L2760" s="45">
        <f>Учет!I2760</f>
        <v>349526.07999999996</v>
      </c>
    </row>
    <row r="2761" spans="1:12" x14ac:dyDescent="0.25">
      <c r="A2761" s="48" t="str">
        <f>IF(Учет!A2761&lt;&gt;"",Учет!A2761,"")</f>
        <v/>
      </c>
      <c r="B2761" s="52">
        <f>IF(Учет!$O2761=Справочники!$F$2,Учет!$H2761,0)</f>
        <v>0</v>
      </c>
      <c r="C2761" s="52">
        <f>IF(Учет!$O2761=Справочники!$F$3,Учет!$H2761,0)</f>
        <v>0</v>
      </c>
      <c r="D2761" s="52">
        <f>IF(Учет!$O2761=Справочники!$F$4,Учет!$H2761,0)</f>
        <v>0</v>
      </c>
      <c r="E2761" s="52">
        <f>IF(Учет!$O2761=Справочники!$F$5,Учет!$H2761,0)</f>
        <v>0</v>
      </c>
      <c r="F2761" s="52">
        <f>IF(Учет!$O2761=Справочники!$F$6,Учет!$H2761,0)</f>
        <v>0</v>
      </c>
      <c r="G2761" s="43">
        <f>G2760+Учет!B2761-B2761</f>
        <v>-488978.92000000004</v>
      </c>
      <c r="H2761" s="43">
        <f>H2760+Учет!C2761-C2761</f>
        <v>336855</v>
      </c>
      <c r="I2761" s="43">
        <f>I2760+Учет!D2761-D2761</f>
        <v>500</v>
      </c>
      <c r="J2761" s="43">
        <f>J2760+Учет!E2761-E2761</f>
        <v>1150</v>
      </c>
      <c r="K2761" s="43">
        <f>K2760+Учет!F2761-F2761</f>
        <v>500000</v>
      </c>
      <c r="L2761" s="45">
        <f>Учет!I2761</f>
        <v>349526.07999999996</v>
      </c>
    </row>
    <row r="2762" spans="1:12" x14ac:dyDescent="0.25">
      <c r="A2762" s="48" t="str">
        <f>IF(Учет!A2762&lt;&gt;"",Учет!A2762,"")</f>
        <v/>
      </c>
      <c r="B2762" s="52">
        <f>IF(Учет!$O2762=Справочники!$F$2,Учет!$H2762,0)</f>
        <v>0</v>
      </c>
      <c r="C2762" s="52">
        <f>IF(Учет!$O2762=Справочники!$F$3,Учет!$H2762,0)</f>
        <v>0</v>
      </c>
      <c r="D2762" s="52">
        <f>IF(Учет!$O2762=Справочники!$F$4,Учет!$H2762,0)</f>
        <v>0</v>
      </c>
      <c r="E2762" s="52">
        <f>IF(Учет!$O2762=Справочники!$F$5,Учет!$H2762,0)</f>
        <v>0</v>
      </c>
      <c r="F2762" s="52">
        <f>IF(Учет!$O2762=Справочники!$F$6,Учет!$H2762,0)</f>
        <v>0</v>
      </c>
      <c r="G2762" s="43">
        <f>G2761+Учет!B2762-B2762</f>
        <v>-488978.92000000004</v>
      </c>
      <c r="H2762" s="43">
        <f>H2761+Учет!C2762-C2762</f>
        <v>336855</v>
      </c>
      <c r="I2762" s="43">
        <f>I2761+Учет!D2762-D2762</f>
        <v>500</v>
      </c>
      <c r="J2762" s="43">
        <f>J2761+Учет!E2762-E2762</f>
        <v>1150</v>
      </c>
      <c r="K2762" s="43">
        <f>K2761+Учет!F2762-F2762</f>
        <v>500000</v>
      </c>
      <c r="L2762" s="45">
        <f>Учет!I2762</f>
        <v>349526.07999999996</v>
      </c>
    </row>
    <row r="2763" spans="1:12" x14ac:dyDescent="0.25">
      <c r="A2763" s="48" t="str">
        <f>IF(Учет!A2763&lt;&gt;"",Учет!A2763,"")</f>
        <v/>
      </c>
      <c r="B2763" s="52">
        <f>IF(Учет!$O2763=Справочники!$F$2,Учет!$H2763,0)</f>
        <v>0</v>
      </c>
      <c r="C2763" s="52">
        <f>IF(Учет!$O2763=Справочники!$F$3,Учет!$H2763,0)</f>
        <v>0</v>
      </c>
      <c r="D2763" s="52">
        <f>IF(Учет!$O2763=Справочники!$F$4,Учет!$H2763,0)</f>
        <v>0</v>
      </c>
      <c r="E2763" s="52">
        <f>IF(Учет!$O2763=Справочники!$F$5,Учет!$H2763,0)</f>
        <v>0</v>
      </c>
      <c r="F2763" s="52">
        <f>IF(Учет!$O2763=Справочники!$F$6,Учет!$H2763,0)</f>
        <v>0</v>
      </c>
      <c r="G2763" s="43">
        <f>G2762+Учет!B2763-B2763</f>
        <v>-488978.92000000004</v>
      </c>
      <c r="H2763" s="43">
        <f>H2762+Учет!C2763-C2763</f>
        <v>336855</v>
      </c>
      <c r="I2763" s="43">
        <f>I2762+Учет!D2763-D2763</f>
        <v>500</v>
      </c>
      <c r="J2763" s="43">
        <f>J2762+Учет!E2763-E2763</f>
        <v>1150</v>
      </c>
      <c r="K2763" s="43">
        <f>K2762+Учет!F2763-F2763</f>
        <v>500000</v>
      </c>
      <c r="L2763" s="45">
        <f>Учет!I2763</f>
        <v>349526.07999999996</v>
      </c>
    </row>
    <row r="2764" spans="1:12" x14ac:dyDescent="0.25">
      <c r="A2764" s="48" t="str">
        <f>IF(Учет!A2764&lt;&gt;"",Учет!A2764,"")</f>
        <v/>
      </c>
      <c r="B2764" s="52">
        <f>IF(Учет!$O2764=Справочники!$F$2,Учет!$H2764,0)</f>
        <v>0</v>
      </c>
      <c r="C2764" s="52">
        <f>IF(Учет!$O2764=Справочники!$F$3,Учет!$H2764,0)</f>
        <v>0</v>
      </c>
      <c r="D2764" s="52">
        <f>IF(Учет!$O2764=Справочники!$F$4,Учет!$H2764,0)</f>
        <v>0</v>
      </c>
      <c r="E2764" s="52">
        <f>IF(Учет!$O2764=Справочники!$F$5,Учет!$H2764,0)</f>
        <v>0</v>
      </c>
      <c r="F2764" s="52">
        <f>IF(Учет!$O2764=Справочники!$F$6,Учет!$H2764,0)</f>
        <v>0</v>
      </c>
      <c r="G2764" s="43">
        <f>G2763+Учет!B2764-B2764</f>
        <v>-488978.92000000004</v>
      </c>
      <c r="H2764" s="43">
        <f>H2763+Учет!C2764-C2764</f>
        <v>336855</v>
      </c>
      <c r="I2764" s="43">
        <f>I2763+Учет!D2764-D2764</f>
        <v>500</v>
      </c>
      <c r="J2764" s="43">
        <f>J2763+Учет!E2764-E2764</f>
        <v>1150</v>
      </c>
      <c r="K2764" s="43">
        <f>K2763+Учет!F2764-F2764</f>
        <v>500000</v>
      </c>
      <c r="L2764" s="45">
        <f>Учет!I2764</f>
        <v>349526.07999999996</v>
      </c>
    </row>
    <row r="2765" spans="1:12" x14ac:dyDescent="0.25">
      <c r="A2765" s="48" t="str">
        <f>IF(Учет!A2765&lt;&gt;"",Учет!A2765,"")</f>
        <v/>
      </c>
      <c r="B2765" s="52">
        <f>IF(Учет!$O2765=Справочники!$F$2,Учет!$H2765,0)</f>
        <v>0</v>
      </c>
      <c r="C2765" s="52">
        <f>IF(Учет!$O2765=Справочники!$F$3,Учет!$H2765,0)</f>
        <v>0</v>
      </c>
      <c r="D2765" s="52">
        <f>IF(Учет!$O2765=Справочники!$F$4,Учет!$H2765,0)</f>
        <v>0</v>
      </c>
      <c r="E2765" s="52">
        <f>IF(Учет!$O2765=Справочники!$F$5,Учет!$H2765,0)</f>
        <v>0</v>
      </c>
      <c r="F2765" s="52">
        <f>IF(Учет!$O2765=Справочники!$F$6,Учет!$H2765,0)</f>
        <v>0</v>
      </c>
      <c r="G2765" s="43">
        <f>G2764+Учет!B2765-B2765</f>
        <v>-488978.92000000004</v>
      </c>
      <c r="H2765" s="43">
        <f>H2764+Учет!C2765-C2765</f>
        <v>336855</v>
      </c>
      <c r="I2765" s="43">
        <f>I2764+Учет!D2765-D2765</f>
        <v>500</v>
      </c>
      <c r="J2765" s="43">
        <f>J2764+Учет!E2765-E2765</f>
        <v>1150</v>
      </c>
      <c r="K2765" s="43">
        <f>K2764+Учет!F2765-F2765</f>
        <v>500000</v>
      </c>
      <c r="L2765" s="45">
        <f>Учет!I2765</f>
        <v>349526.07999999996</v>
      </c>
    </row>
    <row r="2766" spans="1:12" x14ac:dyDescent="0.25">
      <c r="A2766" s="48" t="str">
        <f>IF(Учет!A2766&lt;&gt;"",Учет!A2766,"")</f>
        <v/>
      </c>
      <c r="B2766" s="52">
        <f>IF(Учет!$O2766=Справочники!$F$2,Учет!$H2766,0)</f>
        <v>0</v>
      </c>
      <c r="C2766" s="52">
        <f>IF(Учет!$O2766=Справочники!$F$3,Учет!$H2766,0)</f>
        <v>0</v>
      </c>
      <c r="D2766" s="52">
        <f>IF(Учет!$O2766=Справочники!$F$4,Учет!$H2766,0)</f>
        <v>0</v>
      </c>
      <c r="E2766" s="52">
        <f>IF(Учет!$O2766=Справочники!$F$5,Учет!$H2766,0)</f>
        <v>0</v>
      </c>
      <c r="F2766" s="52">
        <f>IF(Учет!$O2766=Справочники!$F$6,Учет!$H2766,0)</f>
        <v>0</v>
      </c>
      <c r="G2766" s="43">
        <f>G2765+Учет!B2766-B2766</f>
        <v>-488978.92000000004</v>
      </c>
      <c r="H2766" s="43">
        <f>H2765+Учет!C2766-C2766</f>
        <v>336855</v>
      </c>
      <c r="I2766" s="43">
        <f>I2765+Учет!D2766-D2766</f>
        <v>500</v>
      </c>
      <c r="J2766" s="43">
        <f>J2765+Учет!E2766-E2766</f>
        <v>1150</v>
      </c>
      <c r="K2766" s="43">
        <f>K2765+Учет!F2766-F2766</f>
        <v>500000</v>
      </c>
      <c r="L2766" s="45">
        <f>Учет!I2766</f>
        <v>349526.07999999996</v>
      </c>
    </row>
    <row r="2767" spans="1:12" x14ac:dyDescent="0.25">
      <c r="A2767" s="48" t="str">
        <f>IF(Учет!A2767&lt;&gt;"",Учет!A2767,"")</f>
        <v/>
      </c>
      <c r="B2767" s="52">
        <f>IF(Учет!$O2767=Справочники!$F$2,Учет!$H2767,0)</f>
        <v>0</v>
      </c>
      <c r="C2767" s="52">
        <f>IF(Учет!$O2767=Справочники!$F$3,Учет!$H2767,0)</f>
        <v>0</v>
      </c>
      <c r="D2767" s="52">
        <f>IF(Учет!$O2767=Справочники!$F$4,Учет!$H2767,0)</f>
        <v>0</v>
      </c>
      <c r="E2767" s="52">
        <f>IF(Учет!$O2767=Справочники!$F$5,Учет!$H2767,0)</f>
        <v>0</v>
      </c>
      <c r="F2767" s="52">
        <f>IF(Учет!$O2767=Справочники!$F$6,Учет!$H2767,0)</f>
        <v>0</v>
      </c>
      <c r="G2767" s="43">
        <f>G2766+Учет!B2767-B2767</f>
        <v>-488978.92000000004</v>
      </c>
      <c r="H2767" s="43">
        <f>H2766+Учет!C2767-C2767</f>
        <v>336855</v>
      </c>
      <c r="I2767" s="43">
        <f>I2766+Учет!D2767-D2767</f>
        <v>500</v>
      </c>
      <c r="J2767" s="43">
        <f>J2766+Учет!E2767-E2767</f>
        <v>1150</v>
      </c>
      <c r="K2767" s="43">
        <f>K2766+Учет!F2767-F2767</f>
        <v>500000</v>
      </c>
      <c r="L2767" s="45">
        <f>Учет!I2767</f>
        <v>349526.07999999996</v>
      </c>
    </row>
    <row r="2768" spans="1:12" x14ac:dyDescent="0.25">
      <c r="A2768" s="48" t="str">
        <f>IF(Учет!A2768&lt;&gt;"",Учет!A2768,"")</f>
        <v/>
      </c>
      <c r="B2768" s="52">
        <f>IF(Учет!$O2768=Справочники!$F$2,Учет!$H2768,0)</f>
        <v>0</v>
      </c>
      <c r="C2768" s="52">
        <f>IF(Учет!$O2768=Справочники!$F$3,Учет!$H2768,0)</f>
        <v>0</v>
      </c>
      <c r="D2768" s="52">
        <f>IF(Учет!$O2768=Справочники!$F$4,Учет!$H2768,0)</f>
        <v>0</v>
      </c>
      <c r="E2768" s="52">
        <f>IF(Учет!$O2768=Справочники!$F$5,Учет!$H2768,0)</f>
        <v>0</v>
      </c>
      <c r="F2768" s="52">
        <f>IF(Учет!$O2768=Справочники!$F$6,Учет!$H2768,0)</f>
        <v>0</v>
      </c>
      <c r="G2768" s="43">
        <f>G2767+Учет!B2768-B2768</f>
        <v>-488978.92000000004</v>
      </c>
      <c r="H2768" s="43">
        <f>H2767+Учет!C2768-C2768</f>
        <v>336855</v>
      </c>
      <c r="I2768" s="43">
        <f>I2767+Учет!D2768-D2768</f>
        <v>500</v>
      </c>
      <c r="J2768" s="43">
        <f>J2767+Учет!E2768-E2768</f>
        <v>1150</v>
      </c>
      <c r="K2768" s="43">
        <f>K2767+Учет!F2768-F2768</f>
        <v>500000</v>
      </c>
      <c r="L2768" s="45">
        <f>Учет!I2768</f>
        <v>349526.07999999996</v>
      </c>
    </row>
    <row r="2769" spans="1:12" x14ac:dyDescent="0.25">
      <c r="A2769" s="48" t="str">
        <f>IF(Учет!A2769&lt;&gt;"",Учет!A2769,"")</f>
        <v/>
      </c>
      <c r="B2769" s="52">
        <f>IF(Учет!$O2769=Справочники!$F$2,Учет!$H2769,0)</f>
        <v>0</v>
      </c>
      <c r="C2769" s="52">
        <f>IF(Учет!$O2769=Справочники!$F$3,Учет!$H2769,0)</f>
        <v>0</v>
      </c>
      <c r="D2769" s="52">
        <f>IF(Учет!$O2769=Справочники!$F$4,Учет!$H2769,0)</f>
        <v>0</v>
      </c>
      <c r="E2769" s="52">
        <f>IF(Учет!$O2769=Справочники!$F$5,Учет!$H2769,0)</f>
        <v>0</v>
      </c>
      <c r="F2769" s="52">
        <f>IF(Учет!$O2769=Справочники!$F$6,Учет!$H2769,0)</f>
        <v>0</v>
      </c>
      <c r="G2769" s="43">
        <f>G2768+Учет!B2769-B2769</f>
        <v>-488978.92000000004</v>
      </c>
      <c r="H2769" s="43">
        <f>H2768+Учет!C2769-C2769</f>
        <v>336855</v>
      </c>
      <c r="I2769" s="43">
        <f>I2768+Учет!D2769-D2769</f>
        <v>500</v>
      </c>
      <c r="J2769" s="43">
        <f>J2768+Учет!E2769-E2769</f>
        <v>1150</v>
      </c>
      <c r="K2769" s="43">
        <f>K2768+Учет!F2769-F2769</f>
        <v>500000</v>
      </c>
      <c r="L2769" s="45">
        <f>Учет!I2769</f>
        <v>349526.07999999996</v>
      </c>
    </row>
    <row r="2770" spans="1:12" x14ac:dyDescent="0.25">
      <c r="A2770" s="48" t="str">
        <f>IF(Учет!A2770&lt;&gt;"",Учет!A2770,"")</f>
        <v/>
      </c>
      <c r="B2770" s="52">
        <f>IF(Учет!$O2770=Справочники!$F$2,Учет!$H2770,0)</f>
        <v>0</v>
      </c>
      <c r="C2770" s="52">
        <f>IF(Учет!$O2770=Справочники!$F$3,Учет!$H2770,0)</f>
        <v>0</v>
      </c>
      <c r="D2770" s="52">
        <f>IF(Учет!$O2770=Справочники!$F$4,Учет!$H2770,0)</f>
        <v>0</v>
      </c>
      <c r="E2770" s="52">
        <f>IF(Учет!$O2770=Справочники!$F$5,Учет!$H2770,0)</f>
        <v>0</v>
      </c>
      <c r="F2770" s="52">
        <f>IF(Учет!$O2770=Справочники!$F$6,Учет!$H2770,0)</f>
        <v>0</v>
      </c>
      <c r="G2770" s="43">
        <f>G2769+Учет!B2770-B2770</f>
        <v>-488978.92000000004</v>
      </c>
      <c r="H2770" s="43">
        <f>H2769+Учет!C2770-C2770</f>
        <v>336855</v>
      </c>
      <c r="I2770" s="43">
        <f>I2769+Учет!D2770-D2770</f>
        <v>500</v>
      </c>
      <c r="J2770" s="43">
        <f>J2769+Учет!E2770-E2770</f>
        <v>1150</v>
      </c>
      <c r="K2770" s="43">
        <f>K2769+Учет!F2770-F2770</f>
        <v>500000</v>
      </c>
      <c r="L2770" s="45">
        <f>Учет!I2770</f>
        <v>349526.07999999996</v>
      </c>
    </row>
    <row r="2771" spans="1:12" x14ac:dyDescent="0.25">
      <c r="A2771" s="48" t="str">
        <f>IF(Учет!A2771&lt;&gt;"",Учет!A2771,"")</f>
        <v/>
      </c>
      <c r="B2771" s="52">
        <f>IF(Учет!$O2771=Справочники!$F$2,Учет!$H2771,0)</f>
        <v>0</v>
      </c>
      <c r="C2771" s="52">
        <f>IF(Учет!$O2771=Справочники!$F$3,Учет!$H2771,0)</f>
        <v>0</v>
      </c>
      <c r="D2771" s="52">
        <f>IF(Учет!$O2771=Справочники!$F$4,Учет!$H2771,0)</f>
        <v>0</v>
      </c>
      <c r="E2771" s="52">
        <f>IF(Учет!$O2771=Справочники!$F$5,Учет!$H2771,0)</f>
        <v>0</v>
      </c>
      <c r="F2771" s="52">
        <f>IF(Учет!$O2771=Справочники!$F$6,Учет!$H2771,0)</f>
        <v>0</v>
      </c>
      <c r="G2771" s="43">
        <f>G2770+Учет!B2771-B2771</f>
        <v>-488978.92000000004</v>
      </c>
      <c r="H2771" s="43">
        <f>H2770+Учет!C2771-C2771</f>
        <v>336855</v>
      </c>
      <c r="I2771" s="43">
        <f>I2770+Учет!D2771-D2771</f>
        <v>500</v>
      </c>
      <c r="J2771" s="43">
        <f>J2770+Учет!E2771-E2771</f>
        <v>1150</v>
      </c>
      <c r="K2771" s="43">
        <f>K2770+Учет!F2771-F2771</f>
        <v>500000</v>
      </c>
      <c r="L2771" s="45">
        <f>Учет!I2771</f>
        <v>349526.07999999996</v>
      </c>
    </row>
    <row r="2772" spans="1:12" x14ac:dyDescent="0.25">
      <c r="A2772" s="48" t="str">
        <f>IF(Учет!A2772&lt;&gt;"",Учет!A2772,"")</f>
        <v/>
      </c>
      <c r="B2772" s="52">
        <f>IF(Учет!$O2772=Справочники!$F$2,Учет!$H2772,0)</f>
        <v>0</v>
      </c>
      <c r="C2772" s="52">
        <f>IF(Учет!$O2772=Справочники!$F$3,Учет!$H2772,0)</f>
        <v>0</v>
      </c>
      <c r="D2772" s="52">
        <f>IF(Учет!$O2772=Справочники!$F$4,Учет!$H2772,0)</f>
        <v>0</v>
      </c>
      <c r="E2772" s="52">
        <f>IF(Учет!$O2772=Справочники!$F$5,Учет!$H2772,0)</f>
        <v>0</v>
      </c>
      <c r="F2772" s="52">
        <f>IF(Учет!$O2772=Справочники!$F$6,Учет!$H2772,0)</f>
        <v>0</v>
      </c>
      <c r="G2772" s="43">
        <f>G2771+Учет!B2772-B2772</f>
        <v>-488978.92000000004</v>
      </c>
      <c r="H2772" s="43">
        <f>H2771+Учет!C2772-C2772</f>
        <v>336855</v>
      </c>
      <c r="I2772" s="43">
        <f>I2771+Учет!D2772-D2772</f>
        <v>500</v>
      </c>
      <c r="J2772" s="43">
        <f>J2771+Учет!E2772-E2772</f>
        <v>1150</v>
      </c>
      <c r="K2772" s="43">
        <f>K2771+Учет!F2772-F2772</f>
        <v>500000</v>
      </c>
      <c r="L2772" s="45">
        <f>Учет!I2772</f>
        <v>349526.07999999996</v>
      </c>
    </row>
    <row r="2773" spans="1:12" x14ac:dyDescent="0.25">
      <c r="A2773" s="48" t="str">
        <f>IF(Учет!A2773&lt;&gt;"",Учет!A2773,"")</f>
        <v/>
      </c>
      <c r="B2773" s="52">
        <f>IF(Учет!$O2773=Справочники!$F$2,Учет!$H2773,0)</f>
        <v>0</v>
      </c>
      <c r="C2773" s="52">
        <f>IF(Учет!$O2773=Справочники!$F$3,Учет!$H2773,0)</f>
        <v>0</v>
      </c>
      <c r="D2773" s="52">
        <f>IF(Учет!$O2773=Справочники!$F$4,Учет!$H2773,0)</f>
        <v>0</v>
      </c>
      <c r="E2773" s="52">
        <f>IF(Учет!$O2773=Справочники!$F$5,Учет!$H2773,0)</f>
        <v>0</v>
      </c>
      <c r="F2773" s="52">
        <f>IF(Учет!$O2773=Справочники!$F$6,Учет!$H2773,0)</f>
        <v>0</v>
      </c>
      <c r="G2773" s="43">
        <f>G2772+Учет!B2773-B2773</f>
        <v>-488978.92000000004</v>
      </c>
      <c r="H2773" s="43">
        <f>H2772+Учет!C2773-C2773</f>
        <v>336855</v>
      </c>
      <c r="I2773" s="43">
        <f>I2772+Учет!D2773-D2773</f>
        <v>500</v>
      </c>
      <c r="J2773" s="43">
        <f>J2772+Учет!E2773-E2773</f>
        <v>1150</v>
      </c>
      <c r="K2773" s="43">
        <f>K2772+Учет!F2773-F2773</f>
        <v>500000</v>
      </c>
      <c r="L2773" s="45">
        <f>Учет!I2773</f>
        <v>349526.07999999996</v>
      </c>
    </row>
    <row r="2774" spans="1:12" x14ac:dyDescent="0.25">
      <c r="A2774" s="48" t="str">
        <f>IF(Учет!A2774&lt;&gt;"",Учет!A2774,"")</f>
        <v/>
      </c>
      <c r="B2774" s="52">
        <f>IF(Учет!$O2774=Справочники!$F$2,Учет!$H2774,0)</f>
        <v>0</v>
      </c>
      <c r="C2774" s="52">
        <f>IF(Учет!$O2774=Справочники!$F$3,Учет!$H2774,0)</f>
        <v>0</v>
      </c>
      <c r="D2774" s="52">
        <f>IF(Учет!$O2774=Справочники!$F$4,Учет!$H2774,0)</f>
        <v>0</v>
      </c>
      <c r="E2774" s="52">
        <f>IF(Учет!$O2774=Справочники!$F$5,Учет!$H2774,0)</f>
        <v>0</v>
      </c>
      <c r="F2774" s="52">
        <f>IF(Учет!$O2774=Справочники!$F$6,Учет!$H2774,0)</f>
        <v>0</v>
      </c>
      <c r="G2774" s="43">
        <f>G2773+Учет!B2774-B2774</f>
        <v>-488978.92000000004</v>
      </c>
      <c r="H2774" s="43">
        <f>H2773+Учет!C2774-C2774</f>
        <v>336855</v>
      </c>
      <c r="I2774" s="43">
        <f>I2773+Учет!D2774-D2774</f>
        <v>500</v>
      </c>
      <c r="J2774" s="43">
        <f>J2773+Учет!E2774-E2774</f>
        <v>1150</v>
      </c>
      <c r="K2774" s="43">
        <f>K2773+Учет!F2774-F2774</f>
        <v>500000</v>
      </c>
      <c r="L2774" s="45">
        <f>Учет!I2774</f>
        <v>349526.07999999996</v>
      </c>
    </row>
    <row r="2775" spans="1:12" x14ac:dyDescent="0.25">
      <c r="A2775" s="48" t="str">
        <f>IF(Учет!A2775&lt;&gt;"",Учет!A2775,"")</f>
        <v/>
      </c>
      <c r="B2775" s="52">
        <f>IF(Учет!$O2775=Справочники!$F$2,Учет!$H2775,0)</f>
        <v>0</v>
      </c>
      <c r="C2775" s="52">
        <f>IF(Учет!$O2775=Справочники!$F$3,Учет!$H2775,0)</f>
        <v>0</v>
      </c>
      <c r="D2775" s="52">
        <f>IF(Учет!$O2775=Справочники!$F$4,Учет!$H2775,0)</f>
        <v>0</v>
      </c>
      <c r="E2775" s="52">
        <f>IF(Учет!$O2775=Справочники!$F$5,Учет!$H2775,0)</f>
        <v>0</v>
      </c>
      <c r="F2775" s="52">
        <f>IF(Учет!$O2775=Справочники!$F$6,Учет!$H2775,0)</f>
        <v>0</v>
      </c>
      <c r="G2775" s="43">
        <f>G2774+Учет!B2775-B2775</f>
        <v>-488978.92000000004</v>
      </c>
      <c r="H2775" s="43">
        <f>H2774+Учет!C2775-C2775</f>
        <v>336855</v>
      </c>
      <c r="I2775" s="43">
        <f>I2774+Учет!D2775-D2775</f>
        <v>500</v>
      </c>
      <c r="J2775" s="43">
        <f>J2774+Учет!E2775-E2775</f>
        <v>1150</v>
      </c>
      <c r="K2775" s="43">
        <f>K2774+Учет!F2775-F2775</f>
        <v>500000</v>
      </c>
      <c r="L2775" s="45">
        <f>Учет!I2775</f>
        <v>349526.07999999996</v>
      </c>
    </row>
    <row r="2776" spans="1:12" x14ac:dyDescent="0.25">
      <c r="A2776" s="48" t="str">
        <f>IF(Учет!A2776&lt;&gt;"",Учет!A2776,"")</f>
        <v/>
      </c>
      <c r="B2776" s="52">
        <f>IF(Учет!$O2776=Справочники!$F$2,Учет!$H2776,0)</f>
        <v>0</v>
      </c>
      <c r="C2776" s="52">
        <f>IF(Учет!$O2776=Справочники!$F$3,Учет!$H2776,0)</f>
        <v>0</v>
      </c>
      <c r="D2776" s="52">
        <f>IF(Учет!$O2776=Справочники!$F$4,Учет!$H2776,0)</f>
        <v>0</v>
      </c>
      <c r="E2776" s="52">
        <f>IF(Учет!$O2776=Справочники!$F$5,Учет!$H2776,0)</f>
        <v>0</v>
      </c>
      <c r="F2776" s="52">
        <f>IF(Учет!$O2776=Справочники!$F$6,Учет!$H2776,0)</f>
        <v>0</v>
      </c>
      <c r="G2776" s="43">
        <f>G2775+Учет!B2776-B2776</f>
        <v>-488978.92000000004</v>
      </c>
      <c r="H2776" s="43">
        <f>H2775+Учет!C2776-C2776</f>
        <v>336855</v>
      </c>
      <c r="I2776" s="43">
        <f>I2775+Учет!D2776-D2776</f>
        <v>500</v>
      </c>
      <c r="J2776" s="43">
        <f>J2775+Учет!E2776-E2776</f>
        <v>1150</v>
      </c>
      <c r="K2776" s="43">
        <f>K2775+Учет!F2776-F2776</f>
        <v>500000</v>
      </c>
      <c r="L2776" s="45">
        <f>Учет!I2776</f>
        <v>349526.07999999996</v>
      </c>
    </row>
    <row r="2777" spans="1:12" x14ac:dyDescent="0.25">
      <c r="A2777" s="48" t="str">
        <f>IF(Учет!A2777&lt;&gt;"",Учет!A2777,"")</f>
        <v/>
      </c>
      <c r="B2777" s="52">
        <f>IF(Учет!$O2777=Справочники!$F$2,Учет!$H2777,0)</f>
        <v>0</v>
      </c>
      <c r="C2777" s="52">
        <f>IF(Учет!$O2777=Справочники!$F$3,Учет!$H2777,0)</f>
        <v>0</v>
      </c>
      <c r="D2777" s="52">
        <f>IF(Учет!$O2777=Справочники!$F$4,Учет!$H2777,0)</f>
        <v>0</v>
      </c>
      <c r="E2777" s="52">
        <f>IF(Учет!$O2777=Справочники!$F$5,Учет!$H2777,0)</f>
        <v>0</v>
      </c>
      <c r="F2777" s="52">
        <f>IF(Учет!$O2777=Справочники!$F$6,Учет!$H2777,0)</f>
        <v>0</v>
      </c>
      <c r="G2777" s="43">
        <f>G2776+Учет!B2777-B2777</f>
        <v>-488978.92000000004</v>
      </c>
      <c r="H2777" s="43">
        <f>H2776+Учет!C2777-C2777</f>
        <v>336855</v>
      </c>
      <c r="I2777" s="43">
        <f>I2776+Учет!D2777-D2777</f>
        <v>500</v>
      </c>
      <c r="J2777" s="43">
        <f>J2776+Учет!E2777-E2777</f>
        <v>1150</v>
      </c>
      <c r="K2777" s="43">
        <f>K2776+Учет!F2777-F2777</f>
        <v>500000</v>
      </c>
      <c r="L2777" s="45">
        <f>Учет!I2777</f>
        <v>349526.07999999996</v>
      </c>
    </row>
    <row r="2778" spans="1:12" x14ac:dyDescent="0.25">
      <c r="A2778" s="48" t="str">
        <f>IF(Учет!A2778&lt;&gt;"",Учет!A2778,"")</f>
        <v/>
      </c>
      <c r="B2778" s="52">
        <f>IF(Учет!$O2778=Справочники!$F$2,Учет!$H2778,0)</f>
        <v>0</v>
      </c>
      <c r="C2778" s="52">
        <f>IF(Учет!$O2778=Справочники!$F$3,Учет!$H2778,0)</f>
        <v>0</v>
      </c>
      <c r="D2778" s="52">
        <f>IF(Учет!$O2778=Справочники!$F$4,Учет!$H2778,0)</f>
        <v>0</v>
      </c>
      <c r="E2778" s="52">
        <f>IF(Учет!$O2778=Справочники!$F$5,Учет!$H2778,0)</f>
        <v>0</v>
      </c>
      <c r="F2778" s="52">
        <f>IF(Учет!$O2778=Справочники!$F$6,Учет!$H2778,0)</f>
        <v>0</v>
      </c>
      <c r="G2778" s="43">
        <f>G2777+Учет!B2778-B2778</f>
        <v>-488978.92000000004</v>
      </c>
      <c r="H2778" s="43">
        <f>H2777+Учет!C2778-C2778</f>
        <v>336855</v>
      </c>
      <c r="I2778" s="43">
        <f>I2777+Учет!D2778-D2778</f>
        <v>500</v>
      </c>
      <c r="J2778" s="43">
        <f>J2777+Учет!E2778-E2778</f>
        <v>1150</v>
      </c>
      <c r="K2778" s="43">
        <f>K2777+Учет!F2778-F2778</f>
        <v>500000</v>
      </c>
      <c r="L2778" s="45">
        <f>Учет!I2778</f>
        <v>349526.07999999996</v>
      </c>
    </row>
    <row r="2779" spans="1:12" x14ac:dyDescent="0.25">
      <c r="A2779" s="48" t="str">
        <f>IF(Учет!A2779&lt;&gt;"",Учет!A2779,"")</f>
        <v/>
      </c>
      <c r="B2779" s="52">
        <f>IF(Учет!$O2779=Справочники!$F$2,Учет!$H2779,0)</f>
        <v>0</v>
      </c>
      <c r="C2779" s="52">
        <f>IF(Учет!$O2779=Справочники!$F$3,Учет!$H2779,0)</f>
        <v>0</v>
      </c>
      <c r="D2779" s="52">
        <f>IF(Учет!$O2779=Справочники!$F$4,Учет!$H2779,0)</f>
        <v>0</v>
      </c>
      <c r="E2779" s="52">
        <f>IF(Учет!$O2779=Справочники!$F$5,Учет!$H2779,0)</f>
        <v>0</v>
      </c>
      <c r="F2779" s="52">
        <f>IF(Учет!$O2779=Справочники!$F$6,Учет!$H2779,0)</f>
        <v>0</v>
      </c>
      <c r="G2779" s="43">
        <f>G2778+Учет!B2779-B2779</f>
        <v>-488978.92000000004</v>
      </c>
      <c r="H2779" s="43">
        <f>H2778+Учет!C2779-C2779</f>
        <v>336855</v>
      </c>
      <c r="I2779" s="43">
        <f>I2778+Учет!D2779-D2779</f>
        <v>500</v>
      </c>
      <c r="J2779" s="43">
        <f>J2778+Учет!E2779-E2779</f>
        <v>1150</v>
      </c>
      <c r="K2779" s="43">
        <f>K2778+Учет!F2779-F2779</f>
        <v>500000</v>
      </c>
      <c r="L2779" s="45">
        <f>Учет!I2779</f>
        <v>349526.07999999996</v>
      </c>
    </row>
    <row r="2780" spans="1:12" x14ac:dyDescent="0.25">
      <c r="A2780" s="48" t="str">
        <f>IF(Учет!A2780&lt;&gt;"",Учет!A2780,"")</f>
        <v/>
      </c>
      <c r="B2780" s="52">
        <f>IF(Учет!$O2780=Справочники!$F$2,Учет!$H2780,0)</f>
        <v>0</v>
      </c>
      <c r="C2780" s="52">
        <f>IF(Учет!$O2780=Справочники!$F$3,Учет!$H2780,0)</f>
        <v>0</v>
      </c>
      <c r="D2780" s="52">
        <f>IF(Учет!$O2780=Справочники!$F$4,Учет!$H2780,0)</f>
        <v>0</v>
      </c>
      <c r="E2780" s="52">
        <f>IF(Учет!$O2780=Справочники!$F$5,Учет!$H2780,0)</f>
        <v>0</v>
      </c>
      <c r="F2780" s="52">
        <f>IF(Учет!$O2780=Справочники!$F$6,Учет!$H2780,0)</f>
        <v>0</v>
      </c>
      <c r="G2780" s="43">
        <f>G2779+Учет!B2780-B2780</f>
        <v>-488978.92000000004</v>
      </c>
      <c r="H2780" s="43">
        <f>H2779+Учет!C2780-C2780</f>
        <v>336855</v>
      </c>
      <c r="I2780" s="43">
        <f>I2779+Учет!D2780-D2780</f>
        <v>500</v>
      </c>
      <c r="J2780" s="43">
        <f>J2779+Учет!E2780-E2780</f>
        <v>1150</v>
      </c>
      <c r="K2780" s="43">
        <f>K2779+Учет!F2780-F2780</f>
        <v>500000</v>
      </c>
      <c r="L2780" s="45">
        <f>Учет!I2780</f>
        <v>349526.07999999996</v>
      </c>
    </row>
    <row r="2781" spans="1:12" x14ac:dyDescent="0.25">
      <c r="A2781" s="48" t="str">
        <f>IF(Учет!A2781&lt;&gt;"",Учет!A2781,"")</f>
        <v/>
      </c>
      <c r="B2781" s="52">
        <f>IF(Учет!$O2781=Справочники!$F$2,Учет!$H2781,0)</f>
        <v>0</v>
      </c>
      <c r="C2781" s="52">
        <f>IF(Учет!$O2781=Справочники!$F$3,Учет!$H2781,0)</f>
        <v>0</v>
      </c>
      <c r="D2781" s="52">
        <f>IF(Учет!$O2781=Справочники!$F$4,Учет!$H2781,0)</f>
        <v>0</v>
      </c>
      <c r="E2781" s="52">
        <f>IF(Учет!$O2781=Справочники!$F$5,Учет!$H2781,0)</f>
        <v>0</v>
      </c>
      <c r="F2781" s="52">
        <f>IF(Учет!$O2781=Справочники!$F$6,Учет!$H2781,0)</f>
        <v>0</v>
      </c>
      <c r="G2781" s="43">
        <f>G2780+Учет!B2781-B2781</f>
        <v>-488978.92000000004</v>
      </c>
      <c r="H2781" s="43">
        <f>H2780+Учет!C2781-C2781</f>
        <v>336855</v>
      </c>
      <c r="I2781" s="43">
        <f>I2780+Учет!D2781-D2781</f>
        <v>500</v>
      </c>
      <c r="J2781" s="43">
        <f>J2780+Учет!E2781-E2781</f>
        <v>1150</v>
      </c>
      <c r="K2781" s="43">
        <f>K2780+Учет!F2781-F2781</f>
        <v>500000</v>
      </c>
      <c r="L2781" s="45">
        <f>Учет!I2781</f>
        <v>349526.07999999996</v>
      </c>
    </row>
    <row r="2782" spans="1:12" x14ac:dyDescent="0.25">
      <c r="A2782" s="48" t="str">
        <f>IF(Учет!A2782&lt;&gt;"",Учет!A2782,"")</f>
        <v/>
      </c>
      <c r="B2782" s="52">
        <f>IF(Учет!$O2782=Справочники!$F$2,Учет!$H2782,0)</f>
        <v>0</v>
      </c>
      <c r="C2782" s="52">
        <f>IF(Учет!$O2782=Справочники!$F$3,Учет!$H2782,0)</f>
        <v>0</v>
      </c>
      <c r="D2782" s="52">
        <f>IF(Учет!$O2782=Справочники!$F$4,Учет!$H2782,0)</f>
        <v>0</v>
      </c>
      <c r="E2782" s="52">
        <f>IF(Учет!$O2782=Справочники!$F$5,Учет!$H2782,0)</f>
        <v>0</v>
      </c>
      <c r="F2782" s="52">
        <f>IF(Учет!$O2782=Справочники!$F$6,Учет!$H2782,0)</f>
        <v>0</v>
      </c>
      <c r="G2782" s="43">
        <f>G2781+Учет!B2782-B2782</f>
        <v>-488978.92000000004</v>
      </c>
      <c r="H2782" s="43">
        <f>H2781+Учет!C2782-C2782</f>
        <v>336855</v>
      </c>
      <c r="I2782" s="43">
        <f>I2781+Учет!D2782-D2782</f>
        <v>500</v>
      </c>
      <c r="J2782" s="43">
        <f>J2781+Учет!E2782-E2782</f>
        <v>1150</v>
      </c>
      <c r="K2782" s="43">
        <f>K2781+Учет!F2782-F2782</f>
        <v>500000</v>
      </c>
      <c r="L2782" s="45">
        <f>Учет!I2782</f>
        <v>349526.07999999996</v>
      </c>
    </row>
    <row r="2783" spans="1:12" x14ac:dyDescent="0.25">
      <c r="A2783" s="48" t="str">
        <f>IF(Учет!A2783&lt;&gt;"",Учет!A2783,"")</f>
        <v/>
      </c>
      <c r="B2783" s="52">
        <f>IF(Учет!$O2783=Справочники!$F$2,Учет!$H2783,0)</f>
        <v>0</v>
      </c>
      <c r="C2783" s="52">
        <f>IF(Учет!$O2783=Справочники!$F$3,Учет!$H2783,0)</f>
        <v>0</v>
      </c>
      <c r="D2783" s="52">
        <f>IF(Учет!$O2783=Справочники!$F$4,Учет!$H2783,0)</f>
        <v>0</v>
      </c>
      <c r="E2783" s="52">
        <f>IF(Учет!$O2783=Справочники!$F$5,Учет!$H2783,0)</f>
        <v>0</v>
      </c>
      <c r="F2783" s="52">
        <f>IF(Учет!$O2783=Справочники!$F$6,Учет!$H2783,0)</f>
        <v>0</v>
      </c>
      <c r="G2783" s="43">
        <f>G2782+Учет!B2783-B2783</f>
        <v>-488978.92000000004</v>
      </c>
      <c r="H2783" s="43">
        <f>H2782+Учет!C2783-C2783</f>
        <v>336855</v>
      </c>
      <c r="I2783" s="43">
        <f>I2782+Учет!D2783-D2783</f>
        <v>500</v>
      </c>
      <c r="J2783" s="43">
        <f>J2782+Учет!E2783-E2783</f>
        <v>1150</v>
      </c>
      <c r="K2783" s="43">
        <f>K2782+Учет!F2783-F2783</f>
        <v>500000</v>
      </c>
      <c r="L2783" s="45">
        <f>Учет!I2783</f>
        <v>349526.07999999996</v>
      </c>
    </row>
    <row r="2784" spans="1:12" x14ac:dyDescent="0.25">
      <c r="A2784" s="48" t="str">
        <f>IF(Учет!A2784&lt;&gt;"",Учет!A2784,"")</f>
        <v/>
      </c>
      <c r="B2784" s="52">
        <f>IF(Учет!$O2784=Справочники!$F$2,Учет!$H2784,0)</f>
        <v>0</v>
      </c>
      <c r="C2784" s="52">
        <f>IF(Учет!$O2784=Справочники!$F$3,Учет!$H2784,0)</f>
        <v>0</v>
      </c>
      <c r="D2784" s="52">
        <f>IF(Учет!$O2784=Справочники!$F$4,Учет!$H2784,0)</f>
        <v>0</v>
      </c>
      <c r="E2784" s="52">
        <f>IF(Учет!$O2784=Справочники!$F$5,Учет!$H2784,0)</f>
        <v>0</v>
      </c>
      <c r="F2784" s="52">
        <f>IF(Учет!$O2784=Справочники!$F$6,Учет!$H2784,0)</f>
        <v>0</v>
      </c>
      <c r="G2784" s="43">
        <f>G2783+Учет!B2784-B2784</f>
        <v>-488978.92000000004</v>
      </c>
      <c r="H2784" s="43">
        <f>H2783+Учет!C2784-C2784</f>
        <v>336855</v>
      </c>
      <c r="I2784" s="43">
        <f>I2783+Учет!D2784-D2784</f>
        <v>500</v>
      </c>
      <c r="J2784" s="43">
        <f>J2783+Учет!E2784-E2784</f>
        <v>1150</v>
      </c>
      <c r="K2784" s="43">
        <f>K2783+Учет!F2784-F2784</f>
        <v>500000</v>
      </c>
      <c r="L2784" s="45">
        <f>Учет!I2784</f>
        <v>349526.07999999996</v>
      </c>
    </row>
    <row r="2785" spans="1:12" x14ac:dyDescent="0.25">
      <c r="A2785" s="48" t="str">
        <f>IF(Учет!A2785&lt;&gt;"",Учет!A2785,"")</f>
        <v/>
      </c>
      <c r="B2785" s="52">
        <f>IF(Учет!$O2785=Справочники!$F$2,Учет!$H2785,0)</f>
        <v>0</v>
      </c>
      <c r="C2785" s="52">
        <f>IF(Учет!$O2785=Справочники!$F$3,Учет!$H2785,0)</f>
        <v>0</v>
      </c>
      <c r="D2785" s="52">
        <f>IF(Учет!$O2785=Справочники!$F$4,Учет!$H2785,0)</f>
        <v>0</v>
      </c>
      <c r="E2785" s="52">
        <f>IF(Учет!$O2785=Справочники!$F$5,Учет!$H2785,0)</f>
        <v>0</v>
      </c>
      <c r="F2785" s="52">
        <f>IF(Учет!$O2785=Справочники!$F$6,Учет!$H2785,0)</f>
        <v>0</v>
      </c>
      <c r="G2785" s="43">
        <f>G2784+Учет!B2785-B2785</f>
        <v>-488978.92000000004</v>
      </c>
      <c r="H2785" s="43">
        <f>H2784+Учет!C2785-C2785</f>
        <v>336855</v>
      </c>
      <c r="I2785" s="43">
        <f>I2784+Учет!D2785-D2785</f>
        <v>500</v>
      </c>
      <c r="J2785" s="43">
        <f>J2784+Учет!E2785-E2785</f>
        <v>1150</v>
      </c>
      <c r="K2785" s="43">
        <f>K2784+Учет!F2785-F2785</f>
        <v>500000</v>
      </c>
      <c r="L2785" s="45">
        <f>Учет!I2785</f>
        <v>349526.07999999996</v>
      </c>
    </row>
    <row r="2786" spans="1:12" x14ac:dyDescent="0.25">
      <c r="A2786" s="48" t="str">
        <f>IF(Учет!A2786&lt;&gt;"",Учет!A2786,"")</f>
        <v/>
      </c>
      <c r="B2786" s="52">
        <f>IF(Учет!$O2786=Справочники!$F$2,Учет!$H2786,0)</f>
        <v>0</v>
      </c>
      <c r="C2786" s="52">
        <f>IF(Учет!$O2786=Справочники!$F$3,Учет!$H2786,0)</f>
        <v>0</v>
      </c>
      <c r="D2786" s="52">
        <f>IF(Учет!$O2786=Справочники!$F$4,Учет!$H2786,0)</f>
        <v>0</v>
      </c>
      <c r="E2786" s="52">
        <f>IF(Учет!$O2786=Справочники!$F$5,Учет!$H2786,0)</f>
        <v>0</v>
      </c>
      <c r="F2786" s="52">
        <f>IF(Учет!$O2786=Справочники!$F$6,Учет!$H2786,0)</f>
        <v>0</v>
      </c>
      <c r="G2786" s="43">
        <f>G2785+Учет!B2786-B2786</f>
        <v>-488978.92000000004</v>
      </c>
      <c r="H2786" s="43">
        <f>H2785+Учет!C2786-C2786</f>
        <v>336855</v>
      </c>
      <c r="I2786" s="43">
        <f>I2785+Учет!D2786-D2786</f>
        <v>500</v>
      </c>
      <c r="J2786" s="43">
        <f>J2785+Учет!E2786-E2786</f>
        <v>1150</v>
      </c>
      <c r="K2786" s="43">
        <f>K2785+Учет!F2786-F2786</f>
        <v>500000</v>
      </c>
      <c r="L2786" s="45">
        <f>Учет!I2786</f>
        <v>349526.07999999996</v>
      </c>
    </row>
    <row r="2787" spans="1:12" x14ac:dyDescent="0.25">
      <c r="A2787" s="48" t="str">
        <f>IF(Учет!A2787&lt;&gt;"",Учет!A2787,"")</f>
        <v/>
      </c>
      <c r="B2787" s="52">
        <f>IF(Учет!$O2787=Справочники!$F$2,Учет!$H2787,0)</f>
        <v>0</v>
      </c>
      <c r="C2787" s="52">
        <f>IF(Учет!$O2787=Справочники!$F$3,Учет!$H2787,0)</f>
        <v>0</v>
      </c>
      <c r="D2787" s="52">
        <f>IF(Учет!$O2787=Справочники!$F$4,Учет!$H2787,0)</f>
        <v>0</v>
      </c>
      <c r="E2787" s="52">
        <f>IF(Учет!$O2787=Справочники!$F$5,Учет!$H2787,0)</f>
        <v>0</v>
      </c>
      <c r="F2787" s="52">
        <f>IF(Учет!$O2787=Справочники!$F$6,Учет!$H2787,0)</f>
        <v>0</v>
      </c>
      <c r="G2787" s="43">
        <f>G2786+Учет!B2787-B2787</f>
        <v>-488978.92000000004</v>
      </c>
      <c r="H2787" s="43">
        <f>H2786+Учет!C2787-C2787</f>
        <v>336855</v>
      </c>
      <c r="I2787" s="43">
        <f>I2786+Учет!D2787-D2787</f>
        <v>500</v>
      </c>
      <c r="J2787" s="43">
        <f>J2786+Учет!E2787-E2787</f>
        <v>1150</v>
      </c>
      <c r="K2787" s="43">
        <f>K2786+Учет!F2787-F2787</f>
        <v>500000</v>
      </c>
      <c r="L2787" s="45">
        <f>Учет!I2787</f>
        <v>349526.07999999996</v>
      </c>
    </row>
    <row r="2788" spans="1:12" x14ac:dyDescent="0.25">
      <c r="A2788" s="48" t="str">
        <f>IF(Учет!A2788&lt;&gt;"",Учет!A2788,"")</f>
        <v/>
      </c>
      <c r="B2788" s="52">
        <f>IF(Учет!$O2788=Справочники!$F$2,Учет!$H2788,0)</f>
        <v>0</v>
      </c>
      <c r="C2788" s="52">
        <f>IF(Учет!$O2788=Справочники!$F$3,Учет!$H2788,0)</f>
        <v>0</v>
      </c>
      <c r="D2788" s="52">
        <f>IF(Учет!$O2788=Справочники!$F$4,Учет!$H2788,0)</f>
        <v>0</v>
      </c>
      <c r="E2788" s="52">
        <f>IF(Учет!$O2788=Справочники!$F$5,Учет!$H2788,0)</f>
        <v>0</v>
      </c>
      <c r="F2788" s="52">
        <f>IF(Учет!$O2788=Справочники!$F$6,Учет!$H2788,0)</f>
        <v>0</v>
      </c>
      <c r="G2788" s="43">
        <f>G2787+Учет!B2788-B2788</f>
        <v>-488978.92000000004</v>
      </c>
      <c r="H2788" s="43">
        <f>H2787+Учет!C2788-C2788</f>
        <v>336855</v>
      </c>
      <c r="I2788" s="43">
        <f>I2787+Учет!D2788-D2788</f>
        <v>500</v>
      </c>
      <c r="J2788" s="43">
        <f>J2787+Учет!E2788-E2788</f>
        <v>1150</v>
      </c>
      <c r="K2788" s="43">
        <f>K2787+Учет!F2788-F2788</f>
        <v>500000</v>
      </c>
      <c r="L2788" s="45">
        <f>Учет!I2788</f>
        <v>349526.07999999996</v>
      </c>
    </row>
    <row r="2789" spans="1:12" x14ac:dyDescent="0.25">
      <c r="A2789" s="48" t="str">
        <f>IF(Учет!A2789&lt;&gt;"",Учет!A2789,"")</f>
        <v/>
      </c>
      <c r="B2789" s="52">
        <f>IF(Учет!$O2789=Справочники!$F$2,Учет!$H2789,0)</f>
        <v>0</v>
      </c>
      <c r="C2789" s="52">
        <f>IF(Учет!$O2789=Справочники!$F$3,Учет!$H2789,0)</f>
        <v>0</v>
      </c>
      <c r="D2789" s="52">
        <f>IF(Учет!$O2789=Справочники!$F$4,Учет!$H2789,0)</f>
        <v>0</v>
      </c>
      <c r="E2789" s="52">
        <f>IF(Учет!$O2789=Справочники!$F$5,Учет!$H2789,0)</f>
        <v>0</v>
      </c>
      <c r="F2789" s="52">
        <f>IF(Учет!$O2789=Справочники!$F$6,Учет!$H2789,0)</f>
        <v>0</v>
      </c>
      <c r="G2789" s="43">
        <f>G2788+Учет!B2789-B2789</f>
        <v>-488978.92000000004</v>
      </c>
      <c r="H2789" s="43">
        <f>H2788+Учет!C2789-C2789</f>
        <v>336855</v>
      </c>
      <c r="I2789" s="43">
        <f>I2788+Учет!D2789-D2789</f>
        <v>500</v>
      </c>
      <c r="J2789" s="43">
        <f>J2788+Учет!E2789-E2789</f>
        <v>1150</v>
      </c>
      <c r="K2789" s="43">
        <f>K2788+Учет!F2789-F2789</f>
        <v>500000</v>
      </c>
      <c r="L2789" s="45">
        <f>Учет!I2789</f>
        <v>349526.07999999996</v>
      </c>
    </row>
    <row r="2790" spans="1:12" x14ac:dyDescent="0.25">
      <c r="A2790" s="48" t="str">
        <f>IF(Учет!A2790&lt;&gt;"",Учет!A2790,"")</f>
        <v/>
      </c>
      <c r="B2790" s="52">
        <f>IF(Учет!$O2790=Справочники!$F$2,Учет!$H2790,0)</f>
        <v>0</v>
      </c>
      <c r="C2790" s="52">
        <f>IF(Учет!$O2790=Справочники!$F$3,Учет!$H2790,0)</f>
        <v>0</v>
      </c>
      <c r="D2790" s="52">
        <f>IF(Учет!$O2790=Справочники!$F$4,Учет!$H2790,0)</f>
        <v>0</v>
      </c>
      <c r="E2790" s="52">
        <f>IF(Учет!$O2790=Справочники!$F$5,Учет!$H2790,0)</f>
        <v>0</v>
      </c>
      <c r="F2790" s="52">
        <f>IF(Учет!$O2790=Справочники!$F$6,Учет!$H2790,0)</f>
        <v>0</v>
      </c>
      <c r="G2790" s="43">
        <f>G2789+Учет!B2790-B2790</f>
        <v>-488978.92000000004</v>
      </c>
      <c r="H2790" s="43">
        <f>H2789+Учет!C2790-C2790</f>
        <v>336855</v>
      </c>
      <c r="I2790" s="43">
        <f>I2789+Учет!D2790-D2790</f>
        <v>500</v>
      </c>
      <c r="J2790" s="43">
        <f>J2789+Учет!E2790-E2790</f>
        <v>1150</v>
      </c>
      <c r="K2790" s="43">
        <f>K2789+Учет!F2790-F2790</f>
        <v>500000</v>
      </c>
      <c r="L2790" s="45">
        <f>Учет!I2790</f>
        <v>349526.07999999996</v>
      </c>
    </row>
    <row r="2791" spans="1:12" x14ac:dyDescent="0.25">
      <c r="A2791" s="48" t="str">
        <f>IF(Учет!A2791&lt;&gt;"",Учет!A2791,"")</f>
        <v/>
      </c>
      <c r="B2791" s="52">
        <f>IF(Учет!$O2791=Справочники!$F$2,Учет!$H2791,0)</f>
        <v>0</v>
      </c>
      <c r="C2791" s="52">
        <f>IF(Учет!$O2791=Справочники!$F$3,Учет!$H2791,0)</f>
        <v>0</v>
      </c>
      <c r="D2791" s="52">
        <f>IF(Учет!$O2791=Справочники!$F$4,Учет!$H2791,0)</f>
        <v>0</v>
      </c>
      <c r="E2791" s="52">
        <f>IF(Учет!$O2791=Справочники!$F$5,Учет!$H2791,0)</f>
        <v>0</v>
      </c>
      <c r="F2791" s="52">
        <f>IF(Учет!$O2791=Справочники!$F$6,Учет!$H2791,0)</f>
        <v>0</v>
      </c>
      <c r="G2791" s="43">
        <f>G2790+Учет!B2791-B2791</f>
        <v>-488978.92000000004</v>
      </c>
      <c r="H2791" s="43">
        <f>H2790+Учет!C2791-C2791</f>
        <v>336855</v>
      </c>
      <c r="I2791" s="43">
        <f>I2790+Учет!D2791-D2791</f>
        <v>500</v>
      </c>
      <c r="J2791" s="43">
        <f>J2790+Учет!E2791-E2791</f>
        <v>1150</v>
      </c>
      <c r="K2791" s="43">
        <f>K2790+Учет!F2791-F2791</f>
        <v>500000</v>
      </c>
      <c r="L2791" s="45">
        <f>Учет!I2791</f>
        <v>349526.07999999996</v>
      </c>
    </row>
    <row r="2792" spans="1:12" x14ac:dyDescent="0.25">
      <c r="A2792" s="48" t="str">
        <f>IF(Учет!A2792&lt;&gt;"",Учет!A2792,"")</f>
        <v/>
      </c>
      <c r="B2792" s="52">
        <f>IF(Учет!$O2792=Справочники!$F$2,Учет!$H2792,0)</f>
        <v>0</v>
      </c>
      <c r="C2792" s="52">
        <f>IF(Учет!$O2792=Справочники!$F$3,Учет!$H2792,0)</f>
        <v>0</v>
      </c>
      <c r="D2792" s="52">
        <f>IF(Учет!$O2792=Справочники!$F$4,Учет!$H2792,0)</f>
        <v>0</v>
      </c>
      <c r="E2792" s="52">
        <f>IF(Учет!$O2792=Справочники!$F$5,Учет!$H2792,0)</f>
        <v>0</v>
      </c>
      <c r="F2792" s="52">
        <f>IF(Учет!$O2792=Справочники!$F$6,Учет!$H2792,0)</f>
        <v>0</v>
      </c>
      <c r="G2792" s="43">
        <f>G2791+Учет!B2792-B2792</f>
        <v>-488978.92000000004</v>
      </c>
      <c r="H2792" s="43">
        <f>H2791+Учет!C2792-C2792</f>
        <v>336855</v>
      </c>
      <c r="I2792" s="43">
        <f>I2791+Учет!D2792-D2792</f>
        <v>500</v>
      </c>
      <c r="J2792" s="43">
        <f>J2791+Учет!E2792-E2792</f>
        <v>1150</v>
      </c>
      <c r="K2792" s="43">
        <f>K2791+Учет!F2792-F2792</f>
        <v>500000</v>
      </c>
      <c r="L2792" s="45">
        <f>Учет!I2792</f>
        <v>349526.07999999996</v>
      </c>
    </row>
    <row r="2793" spans="1:12" x14ac:dyDescent="0.25">
      <c r="A2793" s="48" t="str">
        <f>IF(Учет!A2793&lt;&gt;"",Учет!A2793,"")</f>
        <v/>
      </c>
      <c r="B2793" s="52">
        <f>IF(Учет!$O2793=Справочники!$F$2,Учет!$H2793,0)</f>
        <v>0</v>
      </c>
      <c r="C2793" s="52">
        <f>IF(Учет!$O2793=Справочники!$F$3,Учет!$H2793,0)</f>
        <v>0</v>
      </c>
      <c r="D2793" s="52">
        <f>IF(Учет!$O2793=Справочники!$F$4,Учет!$H2793,0)</f>
        <v>0</v>
      </c>
      <c r="E2793" s="52">
        <f>IF(Учет!$O2793=Справочники!$F$5,Учет!$H2793,0)</f>
        <v>0</v>
      </c>
      <c r="F2793" s="52">
        <f>IF(Учет!$O2793=Справочники!$F$6,Учет!$H2793,0)</f>
        <v>0</v>
      </c>
      <c r="G2793" s="43">
        <f>G2792+Учет!B2793-B2793</f>
        <v>-488978.92000000004</v>
      </c>
      <c r="H2793" s="43">
        <f>H2792+Учет!C2793-C2793</f>
        <v>336855</v>
      </c>
      <c r="I2793" s="43">
        <f>I2792+Учет!D2793-D2793</f>
        <v>500</v>
      </c>
      <c r="J2793" s="43">
        <f>J2792+Учет!E2793-E2793</f>
        <v>1150</v>
      </c>
      <c r="K2793" s="43">
        <f>K2792+Учет!F2793-F2793</f>
        <v>500000</v>
      </c>
      <c r="L2793" s="45">
        <f>Учет!I2793</f>
        <v>349526.07999999996</v>
      </c>
    </row>
    <row r="2794" spans="1:12" x14ac:dyDescent="0.25">
      <c r="A2794" s="48" t="str">
        <f>IF(Учет!A2794&lt;&gt;"",Учет!A2794,"")</f>
        <v/>
      </c>
      <c r="B2794" s="52">
        <f>IF(Учет!$O2794=Справочники!$F$2,Учет!$H2794,0)</f>
        <v>0</v>
      </c>
      <c r="C2794" s="52">
        <f>IF(Учет!$O2794=Справочники!$F$3,Учет!$H2794,0)</f>
        <v>0</v>
      </c>
      <c r="D2794" s="52">
        <f>IF(Учет!$O2794=Справочники!$F$4,Учет!$H2794,0)</f>
        <v>0</v>
      </c>
      <c r="E2794" s="52">
        <f>IF(Учет!$O2794=Справочники!$F$5,Учет!$H2794,0)</f>
        <v>0</v>
      </c>
      <c r="F2794" s="52">
        <f>IF(Учет!$O2794=Справочники!$F$6,Учет!$H2794,0)</f>
        <v>0</v>
      </c>
      <c r="G2794" s="43">
        <f>G2793+Учет!B2794-B2794</f>
        <v>-488978.92000000004</v>
      </c>
      <c r="H2794" s="43">
        <f>H2793+Учет!C2794-C2794</f>
        <v>336855</v>
      </c>
      <c r="I2794" s="43">
        <f>I2793+Учет!D2794-D2794</f>
        <v>500</v>
      </c>
      <c r="J2794" s="43">
        <f>J2793+Учет!E2794-E2794</f>
        <v>1150</v>
      </c>
      <c r="K2794" s="43">
        <f>K2793+Учет!F2794-F2794</f>
        <v>500000</v>
      </c>
      <c r="L2794" s="45">
        <f>Учет!I2794</f>
        <v>349526.07999999996</v>
      </c>
    </row>
    <row r="2795" spans="1:12" x14ac:dyDescent="0.25">
      <c r="A2795" s="48" t="str">
        <f>IF(Учет!A2795&lt;&gt;"",Учет!A2795,"")</f>
        <v/>
      </c>
      <c r="B2795" s="52">
        <f>IF(Учет!$O2795=Справочники!$F$2,Учет!$H2795,0)</f>
        <v>0</v>
      </c>
      <c r="C2795" s="52">
        <f>IF(Учет!$O2795=Справочники!$F$3,Учет!$H2795,0)</f>
        <v>0</v>
      </c>
      <c r="D2795" s="52">
        <f>IF(Учет!$O2795=Справочники!$F$4,Учет!$H2795,0)</f>
        <v>0</v>
      </c>
      <c r="E2795" s="52">
        <f>IF(Учет!$O2795=Справочники!$F$5,Учет!$H2795,0)</f>
        <v>0</v>
      </c>
      <c r="F2795" s="52">
        <f>IF(Учет!$O2795=Справочники!$F$6,Учет!$H2795,0)</f>
        <v>0</v>
      </c>
      <c r="G2795" s="43">
        <f>G2794+Учет!B2795-B2795</f>
        <v>-488978.92000000004</v>
      </c>
      <c r="H2795" s="43">
        <f>H2794+Учет!C2795-C2795</f>
        <v>336855</v>
      </c>
      <c r="I2795" s="43">
        <f>I2794+Учет!D2795-D2795</f>
        <v>500</v>
      </c>
      <c r="J2795" s="43">
        <f>J2794+Учет!E2795-E2795</f>
        <v>1150</v>
      </c>
      <c r="K2795" s="43">
        <f>K2794+Учет!F2795-F2795</f>
        <v>500000</v>
      </c>
      <c r="L2795" s="45">
        <f>Учет!I2795</f>
        <v>349526.07999999996</v>
      </c>
    </row>
    <row r="2796" spans="1:12" x14ac:dyDescent="0.25">
      <c r="A2796" s="48" t="str">
        <f>IF(Учет!A2796&lt;&gt;"",Учет!A2796,"")</f>
        <v/>
      </c>
      <c r="B2796" s="52">
        <f>IF(Учет!$O2796=Справочники!$F$2,Учет!$H2796,0)</f>
        <v>0</v>
      </c>
      <c r="C2796" s="52">
        <f>IF(Учет!$O2796=Справочники!$F$3,Учет!$H2796,0)</f>
        <v>0</v>
      </c>
      <c r="D2796" s="52">
        <f>IF(Учет!$O2796=Справочники!$F$4,Учет!$H2796,0)</f>
        <v>0</v>
      </c>
      <c r="E2796" s="52">
        <f>IF(Учет!$O2796=Справочники!$F$5,Учет!$H2796,0)</f>
        <v>0</v>
      </c>
      <c r="F2796" s="52">
        <f>IF(Учет!$O2796=Справочники!$F$6,Учет!$H2796,0)</f>
        <v>0</v>
      </c>
      <c r="G2796" s="43">
        <f>G2795+Учет!B2796-B2796</f>
        <v>-488978.92000000004</v>
      </c>
      <c r="H2796" s="43">
        <f>H2795+Учет!C2796-C2796</f>
        <v>336855</v>
      </c>
      <c r="I2796" s="43">
        <f>I2795+Учет!D2796-D2796</f>
        <v>500</v>
      </c>
      <c r="J2796" s="43">
        <f>J2795+Учет!E2796-E2796</f>
        <v>1150</v>
      </c>
      <c r="K2796" s="43">
        <f>K2795+Учет!F2796-F2796</f>
        <v>500000</v>
      </c>
      <c r="L2796" s="45">
        <f>Учет!I2796</f>
        <v>349526.07999999996</v>
      </c>
    </row>
    <row r="2797" spans="1:12" x14ac:dyDescent="0.25">
      <c r="A2797" s="48" t="str">
        <f>IF(Учет!A2797&lt;&gt;"",Учет!A2797,"")</f>
        <v/>
      </c>
      <c r="B2797" s="52">
        <f>IF(Учет!$O2797=Справочники!$F$2,Учет!$H2797,0)</f>
        <v>0</v>
      </c>
      <c r="C2797" s="52">
        <f>IF(Учет!$O2797=Справочники!$F$3,Учет!$H2797,0)</f>
        <v>0</v>
      </c>
      <c r="D2797" s="52">
        <f>IF(Учет!$O2797=Справочники!$F$4,Учет!$H2797,0)</f>
        <v>0</v>
      </c>
      <c r="E2797" s="52">
        <f>IF(Учет!$O2797=Справочники!$F$5,Учет!$H2797,0)</f>
        <v>0</v>
      </c>
      <c r="F2797" s="52">
        <f>IF(Учет!$O2797=Справочники!$F$6,Учет!$H2797,0)</f>
        <v>0</v>
      </c>
      <c r="G2797" s="43">
        <f>G2796+Учет!B2797-B2797</f>
        <v>-488978.92000000004</v>
      </c>
      <c r="H2797" s="43">
        <f>H2796+Учет!C2797-C2797</f>
        <v>336855</v>
      </c>
      <c r="I2797" s="43">
        <f>I2796+Учет!D2797-D2797</f>
        <v>500</v>
      </c>
      <c r="J2797" s="43">
        <f>J2796+Учет!E2797-E2797</f>
        <v>1150</v>
      </c>
      <c r="K2797" s="43">
        <f>K2796+Учет!F2797-F2797</f>
        <v>500000</v>
      </c>
      <c r="L2797" s="45">
        <f>Учет!I2797</f>
        <v>349526.07999999996</v>
      </c>
    </row>
    <row r="2798" spans="1:12" x14ac:dyDescent="0.25">
      <c r="A2798" s="48" t="str">
        <f>IF(Учет!A2798&lt;&gt;"",Учет!A2798,"")</f>
        <v/>
      </c>
      <c r="B2798" s="52">
        <f>IF(Учет!$O2798=Справочники!$F$2,Учет!$H2798,0)</f>
        <v>0</v>
      </c>
      <c r="C2798" s="52">
        <f>IF(Учет!$O2798=Справочники!$F$3,Учет!$H2798,0)</f>
        <v>0</v>
      </c>
      <c r="D2798" s="52">
        <f>IF(Учет!$O2798=Справочники!$F$4,Учет!$H2798,0)</f>
        <v>0</v>
      </c>
      <c r="E2798" s="52">
        <f>IF(Учет!$O2798=Справочники!$F$5,Учет!$H2798,0)</f>
        <v>0</v>
      </c>
      <c r="F2798" s="52">
        <f>IF(Учет!$O2798=Справочники!$F$6,Учет!$H2798,0)</f>
        <v>0</v>
      </c>
      <c r="G2798" s="43">
        <f>G2797+Учет!B2798-B2798</f>
        <v>-488978.92000000004</v>
      </c>
      <c r="H2798" s="43">
        <f>H2797+Учет!C2798-C2798</f>
        <v>336855</v>
      </c>
      <c r="I2798" s="43">
        <f>I2797+Учет!D2798-D2798</f>
        <v>500</v>
      </c>
      <c r="J2798" s="43">
        <f>J2797+Учет!E2798-E2798</f>
        <v>1150</v>
      </c>
      <c r="K2798" s="43">
        <f>K2797+Учет!F2798-F2798</f>
        <v>500000</v>
      </c>
      <c r="L2798" s="45">
        <f>Учет!I2798</f>
        <v>349526.07999999996</v>
      </c>
    </row>
    <row r="2799" spans="1:12" x14ac:dyDescent="0.25">
      <c r="A2799" s="48" t="str">
        <f>IF(Учет!A2799&lt;&gt;"",Учет!A2799,"")</f>
        <v/>
      </c>
      <c r="B2799" s="52">
        <f>IF(Учет!$O2799=Справочники!$F$2,Учет!$H2799,0)</f>
        <v>0</v>
      </c>
      <c r="C2799" s="52">
        <f>IF(Учет!$O2799=Справочники!$F$3,Учет!$H2799,0)</f>
        <v>0</v>
      </c>
      <c r="D2799" s="52">
        <f>IF(Учет!$O2799=Справочники!$F$4,Учет!$H2799,0)</f>
        <v>0</v>
      </c>
      <c r="E2799" s="52">
        <f>IF(Учет!$O2799=Справочники!$F$5,Учет!$H2799,0)</f>
        <v>0</v>
      </c>
      <c r="F2799" s="52">
        <f>IF(Учет!$O2799=Справочники!$F$6,Учет!$H2799,0)</f>
        <v>0</v>
      </c>
      <c r="G2799" s="43">
        <f>G2798+Учет!B2799-B2799</f>
        <v>-488978.92000000004</v>
      </c>
      <c r="H2799" s="43">
        <f>H2798+Учет!C2799-C2799</f>
        <v>336855</v>
      </c>
      <c r="I2799" s="43">
        <f>I2798+Учет!D2799-D2799</f>
        <v>500</v>
      </c>
      <c r="J2799" s="43">
        <f>J2798+Учет!E2799-E2799</f>
        <v>1150</v>
      </c>
      <c r="K2799" s="43">
        <f>K2798+Учет!F2799-F2799</f>
        <v>500000</v>
      </c>
      <c r="L2799" s="45">
        <f>Учет!I2799</f>
        <v>349526.07999999996</v>
      </c>
    </row>
    <row r="2800" spans="1:12" x14ac:dyDescent="0.25">
      <c r="A2800" s="48" t="str">
        <f>IF(Учет!A2800&lt;&gt;"",Учет!A2800,"")</f>
        <v/>
      </c>
      <c r="B2800" s="52">
        <f>IF(Учет!$O2800=Справочники!$F$2,Учет!$H2800,0)</f>
        <v>0</v>
      </c>
      <c r="C2800" s="52">
        <f>IF(Учет!$O2800=Справочники!$F$3,Учет!$H2800,0)</f>
        <v>0</v>
      </c>
      <c r="D2800" s="52">
        <f>IF(Учет!$O2800=Справочники!$F$4,Учет!$H2800,0)</f>
        <v>0</v>
      </c>
      <c r="E2800" s="52">
        <f>IF(Учет!$O2800=Справочники!$F$5,Учет!$H2800,0)</f>
        <v>0</v>
      </c>
      <c r="F2800" s="52">
        <f>IF(Учет!$O2800=Справочники!$F$6,Учет!$H2800,0)</f>
        <v>0</v>
      </c>
      <c r="G2800" s="43">
        <f>G2799+Учет!B2800-B2800</f>
        <v>-488978.92000000004</v>
      </c>
      <c r="H2800" s="43">
        <f>H2799+Учет!C2800-C2800</f>
        <v>336855</v>
      </c>
      <c r="I2800" s="43">
        <f>I2799+Учет!D2800-D2800</f>
        <v>500</v>
      </c>
      <c r="J2800" s="43">
        <f>J2799+Учет!E2800-E2800</f>
        <v>1150</v>
      </c>
      <c r="K2800" s="43">
        <f>K2799+Учет!F2800-F2800</f>
        <v>500000</v>
      </c>
      <c r="L2800" s="45">
        <f>Учет!I2800</f>
        <v>349526.07999999996</v>
      </c>
    </row>
    <row r="2801" spans="1:12" x14ac:dyDescent="0.25">
      <c r="A2801" s="48" t="str">
        <f>IF(Учет!A2801&lt;&gt;"",Учет!A2801,"")</f>
        <v/>
      </c>
      <c r="B2801" s="52">
        <f>IF(Учет!$O2801=Справочники!$F$2,Учет!$H2801,0)</f>
        <v>0</v>
      </c>
      <c r="C2801" s="52">
        <f>IF(Учет!$O2801=Справочники!$F$3,Учет!$H2801,0)</f>
        <v>0</v>
      </c>
      <c r="D2801" s="52">
        <f>IF(Учет!$O2801=Справочники!$F$4,Учет!$H2801,0)</f>
        <v>0</v>
      </c>
      <c r="E2801" s="52">
        <f>IF(Учет!$O2801=Справочники!$F$5,Учет!$H2801,0)</f>
        <v>0</v>
      </c>
      <c r="F2801" s="52">
        <f>IF(Учет!$O2801=Справочники!$F$6,Учет!$H2801,0)</f>
        <v>0</v>
      </c>
      <c r="G2801" s="43">
        <f>G2800+Учет!B2801-B2801</f>
        <v>-488978.92000000004</v>
      </c>
      <c r="H2801" s="43">
        <f>H2800+Учет!C2801-C2801</f>
        <v>336855</v>
      </c>
      <c r="I2801" s="43">
        <f>I2800+Учет!D2801-D2801</f>
        <v>500</v>
      </c>
      <c r="J2801" s="43">
        <f>J2800+Учет!E2801-E2801</f>
        <v>1150</v>
      </c>
      <c r="K2801" s="43">
        <f>K2800+Учет!F2801-F2801</f>
        <v>500000</v>
      </c>
      <c r="L2801" s="45">
        <f>Учет!I2801</f>
        <v>349526.07999999996</v>
      </c>
    </row>
    <row r="2802" spans="1:12" x14ac:dyDescent="0.25">
      <c r="A2802" s="48" t="str">
        <f>IF(Учет!A2802&lt;&gt;"",Учет!A2802,"")</f>
        <v/>
      </c>
      <c r="B2802" s="52">
        <f>IF(Учет!$O2802=Справочники!$F$2,Учет!$H2802,0)</f>
        <v>0</v>
      </c>
      <c r="C2802" s="52">
        <f>IF(Учет!$O2802=Справочники!$F$3,Учет!$H2802,0)</f>
        <v>0</v>
      </c>
      <c r="D2802" s="52">
        <f>IF(Учет!$O2802=Справочники!$F$4,Учет!$H2802,0)</f>
        <v>0</v>
      </c>
      <c r="E2802" s="52">
        <f>IF(Учет!$O2802=Справочники!$F$5,Учет!$H2802,0)</f>
        <v>0</v>
      </c>
      <c r="F2802" s="52">
        <f>IF(Учет!$O2802=Справочники!$F$6,Учет!$H2802,0)</f>
        <v>0</v>
      </c>
      <c r="G2802" s="43">
        <f>G2801+Учет!B2802-B2802</f>
        <v>-488978.92000000004</v>
      </c>
      <c r="H2802" s="43">
        <f>H2801+Учет!C2802-C2802</f>
        <v>336855</v>
      </c>
      <c r="I2802" s="43">
        <f>I2801+Учет!D2802-D2802</f>
        <v>500</v>
      </c>
      <c r="J2802" s="43">
        <f>J2801+Учет!E2802-E2802</f>
        <v>1150</v>
      </c>
      <c r="K2802" s="43">
        <f>K2801+Учет!F2802-F2802</f>
        <v>500000</v>
      </c>
      <c r="L2802" s="45">
        <f>Учет!I2802</f>
        <v>349526.07999999996</v>
      </c>
    </row>
    <row r="2803" spans="1:12" x14ac:dyDescent="0.25">
      <c r="A2803" s="48" t="str">
        <f>IF(Учет!A2803&lt;&gt;"",Учет!A2803,"")</f>
        <v/>
      </c>
      <c r="B2803" s="52">
        <f>IF(Учет!$O2803=Справочники!$F$2,Учет!$H2803,0)</f>
        <v>0</v>
      </c>
      <c r="C2803" s="52">
        <f>IF(Учет!$O2803=Справочники!$F$3,Учет!$H2803,0)</f>
        <v>0</v>
      </c>
      <c r="D2803" s="52">
        <f>IF(Учет!$O2803=Справочники!$F$4,Учет!$H2803,0)</f>
        <v>0</v>
      </c>
      <c r="E2803" s="52">
        <f>IF(Учет!$O2803=Справочники!$F$5,Учет!$H2803,0)</f>
        <v>0</v>
      </c>
      <c r="F2803" s="52">
        <f>IF(Учет!$O2803=Справочники!$F$6,Учет!$H2803,0)</f>
        <v>0</v>
      </c>
      <c r="G2803" s="43">
        <f>G2802+Учет!B2803-B2803</f>
        <v>-488978.92000000004</v>
      </c>
      <c r="H2803" s="43">
        <f>H2802+Учет!C2803-C2803</f>
        <v>336855</v>
      </c>
      <c r="I2803" s="43">
        <f>I2802+Учет!D2803-D2803</f>
        <v>500</v>
      </c>
      <c r="J2803" s="43">
        <f>J2802+Учет!E2803-E2803</f>
        <v>1150</v>
      </c>
      <c r="K2803" s="43">
        <f>K2802+Учет!F2803-F2803</f>
        <v>500000</v>
      </c>
      <c r="L2803" s="45">
        <f>Учет!I2803</f>
        <v>349526.07999999996</v>
      </c>
    </row>
    <row r="2804" spans="1:12" x14ac:dyDescent="0.25">
      <c r="A2804" s="48" t="str">
        <f>IF(Учет!A2804&lt;&gt;"",Учет!A2804,"")</f>
        <v/>
      </c>
      <c r="B2804" s="52">
        <f>IF(Учет!$O2804=Справочники!$F$2,Учет!$H2804,0)</f>
        <v>0</v>
      </c>
      <c r="C2804" s="52">
        <f>IF(Учет!$O2804=Справочники!$F$3,Учет!$H2804,0)</f>
        <v>0</v>
      </c>
      <c r="D2804" s="52">
        <f>IF(Учет!$O2804=Справочники!$F$4,Учет!$H2804,0)</f>
        <v>0</v>
      </c>
      <c r="E2804" s="52">
        <f>IF(Учет!$O2804=Справочники!$F$5,Учет!$H2804,0)</f>
        <v>0</v>
      </c>
      <c r="F2804" s="52">
        <f>IF(Учет!$O2804=Справочники!$F$6,Учет!$H2804,0)</f>
        <v>0</v>
      </c>
      <c r="G2804" s="43">
        <f>G2803+Учет!B2804-B2804</f>
        <v>-488978.92000000004</v>
      </c>
      <c r="H2804" s="43">
        <f>H2803+Учет!C2804-C2804</f>
        <v>336855</v>
      </c>
      <c r="I2804" s="43">
        <f>I2803+Учет!D2804-D2804</f>
        <v>500</v>
      </c>
      <c r="J2804" s="43">
        <f>J2803+Учет!E2804-E2804</f>
        <v>1150</v>
      </c>
      <c r="K2804" s="43">
        <f>K2803+Учет!F2804-F2804</f>
        <v>500000</v>
      </c>
      <c r="L2804" s="45">
        <f>Учет!I2804</f>
        <v>349526.07999999996</v>
      </c>
    </row>
    <row r="2805" spans="1:12" x14ac:dyDescent="0.25">
      <c r="A2805" s="48" t="str">
        <f>IF(Учет!A2805&lt;&gt;"",Учет!A2805,"")</f>
        <v/>
      </c>
      <c r="B2805" s="52">
        <f>IF(Учет!$O2805=Справочники!$F$2,Учет!$H2805,0)</f>
        <v>0</v>
      </c>
      <c r="C2805" s="52">
        <f>IF(Учет!$O2805=Справочники!$F$3,Учет!$H2805,0)</f>
        <v>0</v>
      </c>
      <c r="D2805" s="52">
        <f>IF(Учет!$O2805=Справочники!$F$4,Учет!$H2805,0)</f>
        <v>0</v>
      </c>
      <c r="E2805" s="52">
        <f>IF(Учет!$O2805=Справочники!$F$5,Учет!$H2805,0)</f>
        <v>0</v>
      </c>
      <c r="F2805" s="52">
        <f>IF(Учет!$O2805=Справочники!$F$6,Учет!$H2805,0)</f>
        <v>0</v>
      </c>
      <c r="G2805" s="43">
        <f>G2804+Учет!B2805-B2805</f>
        <v>-488978.92000000004</v>
      </c>
      <c r="H2805" s="43">
        <f>H2804+Учет!C2805-C2805</f>
        <v>336855</v>
      </c>
      <c r="I2805" s="43">
        <f>I2804+Учет!D2805-D2805</f>
        <v>500</v>
      </c>
      <c r="J2805" s="43">
        <f>J2804+Учет!E2805-E2805</f>
        <v>1150</v>
      </c>
      <c r="K2805" s="43">
        <f>K2804+Учет!F2805-F2805</f>
        <v>500000</v>
      </c>
      <c r="L2805" s="45">
        <f>Учет!I2805</f>
        <v>349526.07999999996</v>
      </c>
    </row>
    <row r="2806" spans="1:12" x14ac:dyDescent="0.25">
      <c r="A2806" s="48" t="str">
        <f>IF(Учет!A2806&lt;&gt;"",Учет!A2806,"")</f>
        <v/>
      </c>
      <c r="B2806" s="52">
        <f>IF(Учет!$O2806=Справочники!$F$2,Учет!$H2806,0)</f>
        <v>0</v>
      </c>
      <c r="C2806" s="52">
        <f>IF(Учет!$O2806=Справочники!$F$3,Учет!$H2806,0)</f>
        <v>0</v>
      </c>
      <c r="D2806" s="52">
        <f>IF(Учет!$O2806=Справочники!$F$4,Учет!$H2806,0)</f>
        <v>0</v>
      </c>
      <c r="E2806" s="52">
        <f>IF(Учет!$O2806=Справочники!$F$5,Учет!$H2806,0)</f>
        <v>0</v>
      </c>
      <c r="F2806" s="52">
        <f>IF(Учет!$O2806=Справочники!$F$6,Учет!$H2806,0)</f>
        <v>0</v>
      </c>
      <c r="G2806" s="43">
        <f>G2805+Учет!B2806-B2806</f>
        <v>-488978.92000000004</v>
      </c>
      <c r="H2806" s="43">
        <f>H2805+Учет!C2806-C2806</f>
        <v>336855</v>
      </c>
      <c r="I2806" s="43">
        <f>I2805+Учет!D2806-D2806</f>
        <v>500</v>
      </c>
      <c r="J2806" s="43">
        <f>J2805+Учет!E2806-E2806</f>
        <v>1150</v>
      </c>
      <c r="K2806" s="43">
        <f>K2805+Учет!F2806-F2806</f>
        <v>500000</v>
      </c>
      <c r="L2806" s="45">
        <f>Учет!I2806</f>
        <v>349526.07999999996</v>
      </c>
    </row>
    <row r="2807" spans="1:12" x14ac:dyDescent="0.25">
      <c r="A2807" s="48" t="str">
        <f>IF(Учет!A2807&lt;&gt;"",Учет!A2807,"")</f>
        <v/>
      </c>
      <c r="B2807" s="52">
        <f>IF(Учет!$O2807=Справочники!$F$2,Учет!$H2807,0)</f>
        <v>0</v>
      </c>
      <c r="C2807" s="52">
        <f>IF(Учет!$O2807=Справочники!$F$3,Учет!$H2807,0)</f>
        <v>0</v>
      </c>
      <c r="D2807" s="52">
        <f>IF(Учет!$O2807=Справочники!$F$4,Учет!$H2807,0)</f>
        <v>0</v>
      </c>
      <c r="E2807" s="52">
        <f>IF(Учет!$O2807=Справочники!$F$5,Учет!$H2807,0)</f>
        <v>0</v>
      </c>
      <c r="F2807" s="52">
        <f>IF(Учет!$O2807=Справочники!$F$6,Учет!$H2807,0)</f>
        <v>0</v>
      </c>
      <c r="G2807" s="43">
        <f>G2806+Учет!B2807-B2807</f>
        <v>-488978.92000000004</v>
      </c>
      <c r="H2807" s="43">
        <f>H2806+Учет!C2807-C2807</f>
        <v>336855</v>
      </c>
      <c r="I2807" s="43">
        <f>I2806+Учет!D2807-D2807</f>
        <v>500</v>
      </c>
      <c r="J2807" s="43">
        <f>J2806+Учет!E2807-E2807</f>
        <v>1150</v>
      </c>
      <c r="K2807" s="43">
        <f>K2806+Учет!F2807-F2807</f>
        <v>500000</v>
      </c>
      <c r="L2807" s="45">
        <f>Учет!I2807</f>
        <v>349526.07999999996</v>
      </c>
    </row>
    <row r="2808" spans="1:12" x14ac:dyDescent="0.25">
      <c r="A2808" s="48" t="str">
        <f>IF(Учет!A2808&lt;&gt;"",Учет!A2808,"")</f>
        <v/>
      </c>
      <c r="B2808" s="52">
        <f>IF(Учет!$O2808=Справочники!$F$2,Учет!$H2808,0)</f>
        <v>0</v>
      </c>
      <c r="C2808" s="52">
        <f>IF(Учет!$O2808=Справочники!$F$3,Учет!$H2808,0)</f>
        <v>0</v>
      </c>
      <c r="D2808" s="52">
        <f>IF(Учет!$O2808=Справочники!$F$4,Учет!$H2808,0)</f>
        <v>0</v>
      </c>
      <c r="E2808" s="52">
        <f>IF(Учет!$O2808=Справочники!$F$5,Учет!$H2808,0)</f>
        <v>0</v>
      </c>
      <c r="F2808" s="52">
        <f>IF(Учет!$O2808=Справочники!$F$6,Учет!$H2808,0)</f>
        <v>0</v>
      </c>
      <c r="G2808" s="43">
        <f>G2807+Учет!B2808-B2808</f>
        <v>-488978.92000000004</v>
      </c>
      <c r="H2808" s="43">
        <f>H2807+Учет!C2808-C2808</f>
        <v>336855</v>
      </c>
      <c r="I2808" s="43">
        <f>I2807+Учет!D2808-D2808</f>
        <v>500</v>
      </c>
      <c r="J2808" s="43">
        <f>J2807+Учет!E2808-E2808</f>
        <v>1150</v>
      </c>
      <c r="K2808" s="43">
        <f>K2807+Учет!F2808-F2808</f>
        <v>500000</v>
      </c>
      <c r="L2808" s="45">
        <f>Учет!I2808</f>
        <v>349526.07999999996</v>
      </c>
    </row>
    <row r="2809" spans="1:12" x14ac:dyDescent="0.25">
      <c r="A2809" s="48" t="str">
        <f>IF(Учет!A2809&lt;&gt;"",Учет!A2809,"")</f>
        <v/>
      </c>
      <c r="B2809" s="52">
        <f>IF(Учет!$O2809=Справочники!$F$2,Учет!$H2809,0)</f>
        <v>0</v>
      </c>
      <c r="C2809" s="52">
        <f>IF(Учет!$O2809=Справочники!$F$3,Учет!$H2809,0)</f>
        <v>0</v>
      </c>
      <c r="D2809" s="52">
        <f>IF(Учет!$O2809=Справочники!$F$4,Учет!$H2809,0)</f>
        <v>0</v>
      </c>
      <c r="E2809" s="52">
        <f>IF(Учет!$O2809=Справочники!$F$5,Учет!$H2809,0)</f>
        <v>0</v>
      </c>
      <c r="F2809" s="52">
        <f>IF(Учет!$O2809=Справочники!$F$6,Учет!$H2809,0)</f>
        <v>0</v>
      </c>
      <c r="G2809" s="43">
        <f>G2808+Учет!B2809-B2809</f>
        <v>-488978.92000000004</v>
      </c>
      <c r="H2809" s="43">
        <f>H2808+Учет!C2809-C2809</f>
        <v>336855</v>
      </c>
      <c r="I2809" s="43">
        <f>I2808+Учет!D2809-D2809</f>
        <v>500</v>
      </c>
      <c r="J2809" s="43">
        <f>J2808+Учет!E2809-E2809</f>
        <v>1150</v>
      </c>
      <c r="K2809" s="43">
        <f>K2808+Учет!F2809-F2809</f>
        <v>500000</v>
      </c>
      <c r="L2809" s="45">
        <f>Учет!I2809</f>
        <v>349526.07999999996</v>
      </c>
    </row>
    <row r="2810" spans="1:12" x14ac:dyDescent="0.25">
      <c r="A2810" s="48" t="str">
        <f>IF(Учет!A2810&lt;&gt;"",Учет!A2810,"")</f>
        <v/>
      </c>
      <c r="B2810" s="52">
        <f>IF(Учет!$O2810=Справочники!$F$2,Учет!$H2810,0)</f>
        <v>0</v>
      </c>
      <c r="C2810" s="52">
        <f>IF(Учет!$O2810=Справочники!$F$3,Учет!$H2810,0)</f>
        <v>0</v>
      </c>
      <c r="D2810" s="52">
        <f>IF(Учет!$O2810=Справочники!$F$4,Учет!$H2810,0)</f>
        <v>0</v>
      </c>
      <c r="E2810" s="52">
        <f>IF(Учет!$O2810=Справочники!$F$5,Учет!$H2810,0)</f>
        <v>0</v>
      </c>
      <c r="F2810" s="52">
        <f>IF(Учет!$O2810=Справочники!$F$6,Учет!$H2810,0)</f>
        <v>0</v>
      </c>
      <c r="G2810" s="43">
        <f>G2809+Учет!B2810-B2810</f>
        <v>-488978.92000000004</v>
      </c>
      <c r="H2810" s="43">
        <f>H2809+Учет!C2810-C2810</f>
        <v>336855</v>
      </c>
      <c r="I2810" s="43">
        <f>I2809+Учет!D2810-D2810</f>
        <v>500</v>
      </c>
      <c r="J2810" s="43">
        <f>J2809+Учет!E2810-E2810</f>
        <v>1150</v>
      </c>
      <c r="K2810" s="43">
        <f>K2809+Учет!F2810-F2810</f>
        <v>500000</v>
      </c>
      <c r="L2810" s="45">
        <f>Учет!I2810</f>
        <v>349526.07999999996</v>
      </c>
    </row>
    <row r="2811" spans="1:12" x14ac:dyDescent="0.25">
      <c r="A2811" s="48" t="str">
        <f>IF(Учет!A2811&lt;&gt;"",Учет!A2811,"")</f>
        <v/>
      </c>
      <c r="B2811" s="52">
        <f>IF(Учет!$O2811=Справочники!$F$2,Учет!$H2811,0)</f>
        <v>0</v>
      </c>
      <c r="C2811" s="52">
        <f>IF(Учет!$O2811=Справочники!$F$3,Учет!$H2811,0)</f>
        <v>0</v>
      </c>
      <c r="D2811" s="52">
        <f>IF(Учет!$O2811=Справочники!$F$4,Учет!$H2811,0)</f>
        <v>0</v>
      </c>
      <c r="E2811" s="52">
        <f>IF(Учет!$O2811=Справочники!$F$5,Учет!$H2811,0)</f>
        <v>0</v>
      </c>
      <c r="F2811" s="52">
        <f>IF(Учет!$O2811=Справочники!$F$6,Учет!$H2811,0)</f>
        <v>0</v>
      </c>
      <c r="G2811" s="43">
        <f>G2810+Учет!B2811-B2811</f>
        <v>-488978.92000000004</v>
      </c>
      <c r="H2811" s="43">
        <f>H2810+Учет!C2811-C2811</f>
        <v>336855</v>
      </c>
      <c r="I2811" s="43">
        <f>I2810+Учет!D2811-D2811</f>
        <v>500</v>
      </c>
      <c r="J2811" s="43">
        <f>J2810+Учет!E2811-E2811</f>
        <v>1150</v>
      </c>
      <c r="K2811" s="43">
        <f>K2810+Учет!F2811-F2811</f>
        <v>500000</v>
      </c>
      <c r="L2811" s="45">
        <f>Учет!I2811</f>
        <v>349526.07999999996</v>
      </c>
    </row>
    <row r="2812" spans="1:12" x14ac:dyDescent="0.25">
      <c r="A2812" s="48" t="str">
        <f>IF(Учет!A2812&lt;&gt;"",Учет!A2812,"")</f>
        <v/>
      </c>
      <c r="B2812" s="52">
        <f>IF(Учет!$O2812=Справочники!$F$2,Учет!$H2812,0)</f>
        <v>0</v>
      </c>
      <c r="C2812" s="52">
        <f>IF(Учет!$O2812=Справочники!$F$3,Учет!$H2812,0)</f>
        <v>0</v>
      </c>
      <c r="D2812" s="52">
        <f>IF(Учет!$O2812=Справочники!$F$4,Учет!$H2812,0)</f>
        <v>0</v>
      </c>
      <c r="E2812" s="52">
        <f>IF(Учет!$O2812=Справочники!$F$5,Учет!$H2812,0)</f>
        <v>0</v>
      </c>
      <c r="F2812" s="52">
        <f>IF(Учет!$O2812=Справочники!$F$6,Учет!$H2812,0)</f>
        <v>0</v>
      </c>
      <c r="G2812" s="43">
        <f>G2811+Учет!B2812-B2812</f>
        <v>-488978.92000000004</v>
      </c>
      <c r="H2812" s="43">
        <f>H2811+Учет!C2812-C2812</f>
        <v>336855</v>
      </c>
      <c r="I2812" s="43">
        <f>I2811+Учет!D2812-D2812</f>
        <v>500</v>
      </c>
      <c r="J2812" s="43">
        <f>J2811+Учет!E2812-E2812</f>
        <v>1150</v>
      </c>
      <c r="K2812" s="43">
        <f>K2811+Учет!F2812-F2812</f>
        <v>500000</v>
      </c>
      <c r="L2812" s="45">
        <f>Учет!I2812</f>
        <v>349526.07999999996</v>
      </c>
    </row>
    <row r="2813" spans="1:12" x14ac:dyDescent="0.25">
      <c r="A2813" s="48" t="str">
        <f>IF(Учет!A2813&lt;&gt;"",Учет!A2813,"")</f>
        <v/>
      </c>
      <c r="B2813" s="52">
        <f>IF(Учет!$O2813=Справочники!$F$2,Учет!$H2813,0)</f>
        <v>0</v>
      </c>
      <c r="C2813" s="52">
        <f>IF(Учет!$O2813=Справочники!$F$3,Учет!$H2813,0)</f>
        <v>0</v>
      </c>
      <c r="D2813" s="52">
        <f>IF(Учет!$O2813=Справочники!$F$4,Учет!$H2813,0)</f>
        <v>0</v>
      </c>
      <c r="E2813" s="52">
        <f>IF(Учет!$O2813=Справочники!$F$5,Учет!$H2813,0)</f>
        <v>0</v>
      </c>
      <c r="F2813" s="52">
        <f>IF(Учет!$O2813=Справочники!$F$6,Учет!$H2813,0)</f>
        <v>0</v>
      </c>
      <c r="G2813" s="43">
        <f>G2812+Учет!B2813-B2813</f>
        <v>-488978.92000000004</v>
      </c>
      <c r="H2813" s="43">
        <f>H2812+Учет!C2813-C2813</f>
        <v>336855</v>
      </c>
      <c r="I2813" s="43">
        <f>I2812+Учет!D2813-D2813</f>
        <v>500</v>
      </c>
      <c r="J2813" s="43">
        <f>J2812+Учет!E2813-E2813</f>
        <v>1150</v>
      </c>
      <c r="K2813" s="43">
        <f>K2812+Учет!F2813-F2813</f>
        <v>500000</v>
      </c>
      <c r="L2813" s="45">
        <f>Учет!I2813</f>
        <v>349526.07999999996</v>
      </c>
    </row>
    <row r="2814" spans="1:12" x14ac:dyDescent="0.25">
      <c r="A2814" s="48" t="str">
        <f>IF(Учет!A2814&lt;&gt;"",Учет!A2814,"")</f>
        <v/>
      </c>
      <c r="B2814" s="52">
        <f>IF(Учет!$O2814=Справочники!$F$2,Учет!$H2814,0)</f>
        <v>0</v>
      </c>
      <c r="C2814" s="52">
        <f>IF(Учет!$O2814=Справочники!$F$3,Учет!$H2814,0)</f>
        <v>0</v>
      </c>
      <c r="D2814" s="52">
        <f>IF(Учет!$O2814=Справочники!$F$4,Учет!$H2814,0)</f>
        <v>0</v>
      </c>
      <c r="E2814" s="52">
        <f>IF(Учет!$O2814=Справочники!$F$5,Учет!$H2814,0)</f>
        <v>0</v>
      </c>
      <c r="F2814" s="52">
        <f>IF(Учет!$O2814=Справочники!$F$6,Учет!$H2814,0)</f>
        <v>0</v>
      </c>
      <c r="G2814" s="43">
        <f>G2813+Учет!B2814-B2814</f>
        <v>-488978.92000000004</v>
      </c>
      <c r="H2814" s="43">
        <f>H2813+Учет!C2814-C2814</f>
        <v>336855</v>
      </c>
      <c r="I2814" s="43">
        <f>I2813+Учет!D2814-D2814</f>
        <v>500</v>
      </c>
      <c r="J2814" s="43">
        <f>J2813+Учет!E2814-E2814</f>
        <v>1150</v>
      </c>
      <c r="K2814" s="43">
        <f>K2813+Учет!F2814-F2814</f>
        <v>500000</v>
      </c>
      <c r="L2814" s="45">
        <f>Учет!I2814</f>
        <v>349526.07999999996</v>
      </c>
    </row>
    <row r="2815" spans="1:12" x14ac:dyDescent="0.25">
      <c r="A2815" s="48" t="str">
        <f>IF(Учет!A2815&lt;&gt;"",Учет!A2815,"")</f>
        <v/>
      </c>
      <c r="B2815" s="52">
        <f>IF(Учет!$O2815=Справочники!$F$2,Учет!$H2815,0)</f>
        <v>0</v>
      </c>
      <c r="C2815" s="52">
        <f>IF(Учет!$O2815=Справочники!$F$3,Учет!$H2815,0)</f>
        <v>0</v>
      </c>
      <c r="D2815" s="52">
        <f>IF(Учет!$O2815=Справочники!$F$4,Учет!$H2815,0)</f>
        <v>0</v>
      </c>
      <c r="E2815" s="52">
        <f>IF(Учет!$O2815=Справочники!$F$5,Учет!$H2815,0)</f>
        <v>0</v>
      </c>
      <c r="F2815" s="52">
        <f>IF(Учет!$O2815=Справочники!$F$6,Учет!$H2815,0)</f>
        <v>0</v>
      </c>
      <c r="G2815" s="43">
        <f>G2814+Учет!B2815-B2815</f>
        <v>-488978.92000000004</v>
      </c>
      <c r="H2815" s="43">
        <f>H2814+Учет!C2815-C2815</f>
        <v>336855</v>
      </c>
      <c r="I2815" s="43">
        <f>I2814+Учет!D2815-D2815</f>
        <v>500</v>
      </c>
      <c r="J2815" s="43">
        <f>J2814+Учет!E2815-E2815</f>
        <v>1150</v>
      </c>
      <c r="K2815" s="43">
        <f>K2814+Учет!F2815-F2815</f>
        <v>500000</v>
      </c>
      <c r="L2815" s="45">
        <f>Учет!I2815</f>
        <v>349526.07999999996</v>
      </c>
    </row>
    <row r="2816" spans="1:12" x14ac:dyDescent="0.25">
      <c r="A2816" s="48" t="str">
        <f>IF(Учет!A2816&lt;&gt;"",Учет!A2816,"")</f>
        <v/>
      </c>
      <c r="B2816" s="52">
        <f>IF(Учет!$O2816=Справочники!$F$2,Учет!$H2816,0)</f>
        <v>0</v>
      </c>
      <c r="C2816" s="52">
        <f>IF(Учет!$O2816=Справочники!$F$3,Учет!$H2816,0)</f>
        <v>0</v>
      </c>
      <c r="D2816" s="52">
        <f>IF(Учет!$O2816=Справочники!$F$4,Учет!$H2816,0)</f>
        <v>0</v>
      </c>
      <c r="E2816" s="52">
        <f>IF(Учет!$O2816=Справочники!$F$5,Учет!$H2816,0)</f>
        <v>0</v>
      </c>
      <c r="F2816" s="52">
        <f>IF(Учет!$O2816=Справочники!$F$6,Учет!$H2816,0)</f>
        <v>0</v>
      </c>
      <c r="G2816" s="43">
        <f>G2815+Учет!B2816-B2816</f>
        <v>-488978.92000000004</v>
      </c>
      <c r="H2816" s="43">
        <f>H2815+Учет!C2816-C2816</f>
        <v>336855</v>
      </c>
      <c r="I2816" s="43">
        <f>I2815+Учет!D2816-D2816</f>
        <v>500</v>
      </c>
      <c r="J2816" s="43">
        <f>J2815+Учет!E2816-E2816</f>
        <v>1150</v>
      </c>
      <c r="K2816" s="43">
        <f>K2815+Учет!F2816-F2816</f>
        <v>500000</v>
      </c>
      <c r="L2816" s="45">
        <f>Учет!I2816</f>
        <v>349526.07999999996</v>
      </c>
    </row>
    <row r="2817" spans="1:12" x14ac:dyDescent="0.25">
      <c r="A2817" s="48" t="str">
        <f>IF(Учет!A2817&lt;&gt;"",Учет!A2817,"")</f>
        <v/>
      </c>
      <c r="B2817" s="52">
        <f>IF(Учет!$O2817=Справочники!$F$2,Учет!$H2817,0)</f>
        <v>0</v>
      </c>
      <c r="C2817" s="52">
        <f>IF(Учет!$O2817=Справочники!$F$3,Учет!$H2817,0)</f>
        <v>0</v>
      </c>
      <c r="D2817" s="52">
        <f>IF(Учет!$O2817=Справочники!$F$4,Учет!$H2817,0)</f>
        <v>0</v>
      </c>
      <c r="E2817" s="52">
        <f>IF(Учет!$O2817=Справочники!$F$5,Учет!$H2817,0)</f>
        <v>0</v>
      </c>
      <c r="F2817" s="52">
        <f>IF(Учет!$O2817=Справочники!$F$6,Учет!$H2817,0)</f>
        <v>0</v>
      </c>
      <c r="G2817" s="43">
        <f>G2816+Учет!B2817-B2817</f>
        <v>-488978.92000000004</v>
      </c>
      <c r="H2817" s="43">
        <f>H2816+Учет!C2817-C2817</f>
        <v>336855</v>
      </c>
      <c r="I2817" s="43">
        <f>I2816+Учет!D2817-D2817</f>
        <v>500</v>
      </c>
      <c r="J2817" s="43">
        <f>J2816+Учет!E2817-E2817</f>
        <v>1150</v>
      </c>
      <c r="K2817" s="43">
        <f>K2816+Учет!F2817-F2817</f>
        <v>500000</v>
      </c>
      <c r="L2817" s="45">
        <f>Учет!I2817</f>
        <v>349526.07999999996</v>
      </c>
    </row>
    <row r="2818" spans="1:12" x14ac:dyDescent="0.25">
      <c r="A2818" s="48" t="str">
        <f>IF(Учет!A2818&lt;&gt;"",Учет!A2818,"")</f>
        <v/>
      </c>
      <c r="B2818" s="52">
        <f>IF(Учет!$O2818=Справочники!$F$2,Учет!$H2818,0)</f>
        <v>0</v>
      </c>
      <c r="C2818" s="52">
        <f>IF(Учет!$O2818=Справочники!$F$3,Учет!$H2818,0)</f>
        <v>0</v>
      </c>
      <c r="D2818" s="52">
        <f>IF(Учет!$O2818=Справочники!$F$4,Учет!$H2818,0)</f>
        <v>0</v>
      </c>
      <c r="E2818" s="52">
        <f>IF(Учет!$O2818=Справочники!$F$5,Учет!$H2818,0)</f>
        <v>0</v>
      </c>
      <c r="F2818" s="52">
        <f>IF(Учет!$O2818=Справочники!$F$6,Учет!$H2818,0)</f>
        <v>0</v>
      </c>
      <c r="G2818" s="43">
        <f>G2817+Учет!B2818-B2818</f>
        <v>-488978.92000000004</v>
      </c>
      <c r="H2818" s="43">
        <f>H2817+Учет!C2818-C2818</f>
        <v>336855</v>
      </c>
      <c r="I2818" s="43">
        <f>I2817+Учет!D2818-D2818</f>
        <v>500</v>
      </c>
      <c r="J2818" s="43">
        <f>J2817+Учет!E2818-E2818</f>
        <v>1150</v>
      </c>
      <c r="K2818" s="43">
        <f>K2817+Учет!F2818-F2818</f>
        <v>500000</v>
      </c>
      <c r="L2818" s="45">
        <f>Учет!I2818</f>
        <v>349526.07999999996</v>
      </c>
    </row>
    <row r="2819" spans="1:12" x14ac:dyDescent="0.25">
      <c r="A2819" s="48" t="str">
        <f>IF(Учет!A2819&lt;&gt;"",Учет!A2819,"")</f>
        <v/>
      </c>
      <c r="B2819" s="52">
        <f>IF(Учет!$O2819=Справочники!$F$2,Учет!$H2819,0)</f>
        <v>0</v>
      </c>
      <c r="C2819" s="52">
        <f>IF(Учет!$O2819=Справочники!$F$3,Учет!$H2819,0)</f>
        <v>0</v>
      </c>
      <c r="D2819" s="52">
        <f>IF(Учет!$O2819=Справочники!$F$4,Учет!$H2819,0)</f>
        <v>0</v>
      </c>
      <c r="E2819" s="52">
        <f>IF(Учет!$O2819=Справочники!$F$5,Учет!$H2819,0)</f>
        <v>0</v>
      </c>
      <c r="F2819" s="52">
        <f>IF(Учет!$O2819=Справочники!$F$6,Учет!$H2819,0)</f>
        <v>0</v>
      </c>
      <c r="G2819" s="43">
        <f>G2818+Учет!B2819-B2819</f>
        <v>-488978.92000000004</v>
      </c>
      <c r="H2819" s="43">
        <f>H2818+Учет!C2819-C2819</f>
        <v>336855</v>
      </c>
      <c r="I2819" s="43">
        <f>I2818+Учет!D2819-D2819</f>
        <v>500</v>
      </c>
      <c r="J2819" s="43">
        <f>J2818+Учет!E2819-E2819</f>
        <v>1150</v>
      </c>
      <c r="K2819" s="43">
        <f>K2818+Учет!F2819-F2819</f>
        <v>500000</v>
      </c>
      <c r="L2819" s="45">
        <f>Учет!I2819</f>
        <v>349526.07999999996</v>
      </c>
    </row>
    <row r="2820" spans="1:12" x14ac:dyDescent="0.25">
      <c r="A2820" s="48" t="str">
        <f>IF(Учет!A2820&lt;&gt;"",Учет!A2820,"")</f>
        <v/>
      </c>
      <c r="B2820" s="52">
        <f>IF(Учет!$O2820=Справочники!$F$2,Учет!$H2820,0)</f>
        <v>0</v>
      </c>
      <c r="C2820" s="52">
        <f>IF(Учет!$O2820=Справочники!$F$3,Учет!$H2820,0)</f>
        <v>0</v>
      </c>
      <c r="D2820" s="52">
        <f>IF(Учет!$O2820=Справочники!$F$4,Учет!$H2820,0)</f>
        <v>0</v>
      </c>
      <c r="E2820" s="52">
        <f>IF(Учет!$O2820=Справочники!$F$5,Учет!$H2820,0)</f>
        <v>0</v>
      </c>
      <c r="F2820" s="52">
        <f>IF(Учет!$O2820=Справочники!$F$6,Учет!$H2820,0)</f>
        <v>0</v>
      </c>
      <c r="G2820" s="43">
        <f>G2819+Учет!B2820-B2820</f>
        <v>-488978.92000000004</v>
      </c>
      <c r="H2820" s="43">
        <f>H2819+Учет!C2820-C2820</f>
        <v>336855</v>
      </c>
      <c r="I2820" s="43">
        <f>I2819+Учет!D2820-D2820</f>
        <v>500</v>
      </c>
      <c r="J2820" s="43">
        <f>J2819+Учет!E2820-E2820</f>
        <v>1150</v>
      </c>
      <c r="K2820" s="43">
        <f>K2819+Учет!F2820-F2820</f>
        <v>500000</v>
      </c>
      <c r="L2820" s="45">
        <f>Учет!I2820</f>
        <v>349526.07999999996</v>
      </c>
    </row>
    <row r="2821" spans="1:12" x14ac:dyDescent="0.25">
      <c r="A2821" s="48" t="str">
        <f>IF(Учет!A2821&lt;&gt;"",Учет!A2821,"")</f>
        <v/>
      </c>
      <c r="B2821" s="52">
        <f>IF(Учет!$O2821=Справочники!$F$2,Учет!$H2821,0)</f>
        <v>0</v>
      </c>
      <c r="C2821" s="52">
        <f>IF(Учет!$O2821=Справочники!$F$3,Учет!$H2821,0)</f>
        <v>0</v>
      </c>
      <c r="D2821" s="52">
        <f>IF(Учет!$O2821=Справочники!$F$4,Учет!$H2821,0)</f>
        <v>0</v>
      </c>
      <c r="E2821" s="52">
        <f>IF(Учет!$O2821=Справочники!$F$5,Учет!$H2821,0)</f>
        <v>0</v>
      </c>
      <c r="F2821" s="52">
        <f>IF(Учет!$O2821=Справочники!$F$6,Учет!$H2821,0)</f>
        <v>0</v>
      </c>
      <c r="G2821" s="43">
        <f>G2820+Учет!B2821-B2821</f>
        <v>-488978.92000000004</v>
      </c>
      <c r="H2821" s="43">
        <f>H2820+Учет!C2821-C2821</f>
        <v>336855</v>
      </c>
      <c r="I2821" s="43">
        <f>I2820+Учет!D2821-D2821</f>
        <v>500</v>
      </c>
      <c r="J2821" s="43">
        <f>J2820+Учет!E2821-E2821</f>
        <v>1150</v>
      </c>
      <c r="K2821" s="43">
        <f>K2820+Учет!F2821-F2821</f>
        <v>500000</v>
      </c>
      <c r="L2821" s="45">
        <f>Учет!I2821</f>
        <v>349526.07999999996</v>
      </c>
    </row>
    <row r="2822" spans="1:12" x14ac:dyDescent="0.25">
      <c r="A2822" s="48" t="str">
        <f>IF(Учет!A2822&lt;&gt;"",Учет!A2822,"")</f>
        <v/>
      </c>
      <c r="B2822" s="52">
        <f>IF(Учет!$O2822=Справочники!$F$2,Учет!$H2822,0)</f>
        <v>0</v>
      </c>
      <c r="C2822" s="52">
        <f>IF(Учет!$O2822=Справочники!$F$3,Учет!$H2822,0)</f>
        <v>0</v>
      </c>
      <c r="D2822" s="52">
        <f>IF(Учет!$O2822=Справочники!$F$4,Учет!$H2822,0)</f>
        <v>0</v>
      </c>
      <c r="E2822" s="52">
        <f>IF(Учет!$O2822=Справочники!$F$5,Учет!$H2822,0)</f>
        <v>0</v>
      </c>
      <c r="F2822" s="52">
        <f>IF(Учет!$O2822=Справочники!$F$6,Учет!$H2822,0)</f>
        <v>0</v>
      </c>
      <c r="G2822" s="43">
        <f>G2821+Учет!B2822-B2822</f>
        <v>-488978.92000000004</v>
      </c>
      <c r="H2822" s="43">
        <f>H2821+Учет!C2822-C2822</f>
        <v>336855</v>
      </c>
      <c r="I2822" s="43">
        <f>I2821+Учет!D2822-D2822</f>
        <v>500</v>
      </c>
      <c r="J2822" s="43">
        <f>J2821+Учет!E2822-E2822</f>
        <v>1150</v>
      </c>
      <c r="K2822" s="43">
        <f>K2821+Учет!F2822-F2822</f>
        <v>500000</v>
      </c>
      <c r="L2822" s="45">
        <f>Учет!I2822</f>
        <v>349526.07999999996</v>
      </c>
    </row>
    <row r="2823" spans="1:12" x14ac:dyDescent="0.25">
      <c r="A2823" s="48" t="str">
        <f>IF(Учет!A2823&lt;&gt;"",Учет!A2823,"")</f>
        <v/>
      </c>
      <c r="B2823" s="52">
        <f>IF(Учет!$O2823=Справочники!$F$2,Учет!$H2823,0)</f>
        <v>0</v>
      </c>
      <c r="C2823" s="52">
        <f>IF(Учет!$O2823=Справочники!$F$3,Учет!$H2823,0)</f>
        <v>0</v>
      </c>
      <c r="D2823" s="52">
        <f>IF(Учет!$O2823=Справочники!$F$4,Учет!$H2823,0)</f>
        <v>0</v>
      </c>
      <c r="E2823" s="52">
        <f>IF(Учет!$O2823=Справочники!$F$5,Учет!$H2823,0)</f>
        <v>0</v>
      </c>
      <c r="F2823" s="52">
        <f>IF(Учет!$O2823=Справочники!$F$6,Учет!$H2823,0)</f>
        <v>0</v>
      </c>
      <c r="G2823" s="43">
        <f>G2822+Учет!B2823-B2823</f>
        <v>-488978.92000000004</v>
      </c>
      <c r="H2823" s="43">
        <f>H2822+Учет!C2823-C2823</f>
        <v>336855</v>
      </c>
      <c r="I2823" s="43">
        <f>I2822+Учет!D2823-D2823</f>
        <v>500</v>
      </c>
      <c r="J2823" s="43">
        <f>J2822+Учет!E2823-E2823</f>
        <v>1150</v>
      </c>
      <c r="K2823" s="43">
        <f>K2822+Учет!F2823-F2823</f>
        <v>500000</v>
      </c>
      <c r="L2823" s="45">
        <f>Учет!I2823</f>
        <v>349526.07999999996</v>
      </c>
    </row>
    <row r="2824" spans="1:12" x14ac:dyDescent="0.25">
      <c r="A2824" s="48" t="str">
        <f>IF(Учет!A2824&lt;&gt;"",Учет!A2824,"")</f>
        <v/>
      </c>
      <c r="B2824" s="52">
        <f>IF(Учет!$O2824=Справочники!$F$2,Учет!$H2824,0)</f>
        <v>0</v>
      </c>
      <c r="C2824" s="52">
        <f>IF(Учет!$O2824=Справочники!$F$3,Учет!$H2824,0)</f>
        <v>0</v>
      </c>
      <c r="D2824" s="52">
        <f>IF(Учет!$O2824=Справочники!$F$4,Учет!$H2824,0)</f>
        <v>0</v>
      </c>
      <c r="E2824" s="52">
        <f>IF(Учет!$O2824=Справочники!$F$5,Учет!$H2824,0)</f>
        <v>0</v>
      </c>
      <c r="F2824" s="52">
        <f>IF(Учет!$O2824=Справочники!$F$6,Учет!$H2824,0)</f>
        <v>0</v>
      </c>
      <c r="G2824" s="43">
        <f>G2823+Учет!B2824-B2824</f>
        <v>-488978.92000000004</v>
      </c>
      <c r="H2824" s="43">
        <f>H2823+Учет!C2824-C2824</f>
        <v>336855</v>
      </c>
      <c r="I2824" s="43">
        <f>I2823+Учет!D2824-D2824</f>
        <v>500</v>
      </c>
      <c r="J2824" s="43">
        <f>J2823+Учет!E2824-E2824</f>
        <v>1150</v>
      </c>
      <c r="K2824" s="43">
        <f>K2823+Учет!F2824-F2824</f>
        <v>500000</v>
      </c>
      <c r="L2824" s="45">
        <f>Учет!I2824</f>
        <v>349526.07999999996</v>
      </c>
    </row>
    <row r="2825" spans="1:12" x14ac:dyDescent="0.25">
      <c r="A2825" s="48" t="str">
        <f>IF(Учет!A2825&lt;&gt;"",Учет!A2825,"")</f>
        <v/>
      </c>
      <c r="B2825" s="52">
        <f>IF(Учет!$O2825=Справочники!$F$2,Учет!$H2825,0)</f>
        <v>0</v>
      </c>
      <c r="C2825" s="52">
        <f>IF(Учет!$O2825=Справочники!$F$3,Учет!$H2825,0)</f>
        <v>0</v>
      </c>
      <c r="D2825" s="52">
        <f>IF(Учет!$O2825=Справочники!$F$4,Учет!$H2825,0)</f>
        <v>0</v>
      </c>
      <c r="E2825" s="52">
        <f>IF(Учет!$O2825=Справочники!$F$5,Учет!$H2825,0)</f>
        <v>0</v>
      </c>
      <c r="F2825" s="52">
        <f>IF(Учет!$O2825=Справочники!$F$6,Учет!$H2825,0)</f>
        <v>0</v>
      </c>
      <c r="G2825" s="43">
        <f>G2824+Учет!B2825-B2825</f>
        <v>-488978.92000000004</v>
      </c>
      <c r="H2825" s="43">
        <f>H2824+Учет!C2825-C2825</f>
        <v>336855</v>
      </c>
      <c r="I2825" s="43">
        <f>I2824+Учет!D2825-D2825</f>
        <v>500</v>
      </c>
      <c r="J2825" s="43">
        <f>J2824+Учет!E2825-E2825</f>
        <v>1150</v>
      </c>
      <c r="K2825" s="43">
        <f>K2824+Учет!F2825-F2825</f>
        <v>500000</v>
      </c>
      <c r="L2825" s="45">
        <f>Учет!I2825</f>
        <v>349526.07999999996</v>
      </c>
    </row>
    <row r="2826" spans="1:12" x14ac:dyDescent="0.25">
      <c r="A2826" s="48" t="str">
        <f>IF(Учет!A2826&lt;&gt;"",Учет!A2826,"")</f>
        <v/>
      </c>
      <c r="B2826" s="52">
        <f>IF(Учет!$O2826=Справочники!$F$2,Учет!$H2826,0)</f>
        <v>0</v>
      </c>
      <c r="C2826" s="52">
        <f>IF(Учет!$O2826=Справочники!$F$3,Учет!$H2826,0)</f>
        <v>0</v>
      </c>
      <c r="D2826" s="52">
        <f>IF(Учет!$O2826=Справочники!$F$4,Учет!$H2826,0)</f>
        <v>0</v>
      </c>
      <c r="E2826" s="52">
        <f>IF(Учет!$O2826=Справочники!$F$5,Учет!$H2826,0)</f>
        <v>0</v>
      </c>
      <c r="F2826" s="52">
        <f>IF(Учет!$O2826=Справочники!$F$6,Учет!$H2826,0)</f>
        <v>0</v>
      </c>
      <c r="G2826" s="43">
        <f>G2825+Учет!B2826-B2826</f>
        <v>-488978.92000000004</v>
      </c>
      <c r="H2826" s="43">
        <f>H2825+Учет!C2826-C2826</f>
        <v>336855</v>
      </c>
      <c r="I2826" s="43">
        <f>I2825+Учет!D2826-D2826</f>
        <v>500</v>
      </c>
      <c r="J2826" s="43">
        <f>J2825+Учет!E2826-E2826</f>
        <v>1150</v>
      </c>
      <c r="K2826" s="43">
        <f>K2825+Учет!F2826-F2826</f>
        <v>500000</v>
      </c>
      <c r="L2826" s="45">
        <f>Учет!I2826</f>
        <v>349526.07999999996</v>
      </c>
    </row>
    <row r="2827" spans="1:12" x14ac:dyDescent="0.25">
      <c r="A2827" s="48" t="str">
        <f>IF(Учет!A2827&lt;&gt;"",Учет!A2827,"")</f>
        <v/>
      </c>
      <c r="B2827" s="52">
        <f>IF(Учет!$O2827=Справочники!$F$2,Учет!$H2827,0)</f>
        <v>0</v>
      </c>
      <c r="C2827" s="52">
        <f>IF(Учет!$O2827=Справочники!$F$3,Учет!$H2827,0)</f>
        <v>0</v>
      </c>
      <c r="D2827" s="52">
        <f>IF(Учет!$O2827=Справочники!$F$4,Учет!$H2827,0)</f>
        <v>0</v>
      </c>
      <c r="E2827" s="52">
        <f>IF(Учет!$O2827=Справочники!$F$5,Учет!$H2827,0)</f>
        <v>0</v>
      </c>
      <c r="F2827" s="52">
        <f>IF(Учет!$O2827=Справочники!$F$6,Учет!$H2827,0)</f>
        <v>0</v>
      </c>
      <c r="G2827" s="43">
        <f>G2826+Учет!B2827-B2827</f>
        <v>-488978.92000000004</v>
      </c>
      <c r="H2827" s="43">
        <f>H2826+Учет!C2827-C2827</f>
        <v>336855</v>
      </c>
      <c r="I2827" s="43">
        <f>I2826+Учет!D2827-D2827</f>
        <v>500</v>
      </c>
      <c r="J2827" s="43">
        <f>J2826+Учет!E2827-E2827</f>
        <v>1150</v>
      </c>
      <c r="K2827" s="43">
        <f>K2826+Учет!F2827-F2827</f>
        <v>500000</v>
      </c>
      <c r="L2827" s="45">
        <f>Учет!I2827</f>
        <v>349526.07999999996</v>
      </c>
    </row>
    <row r="2828" spans="1:12" x14ac:dyDescent="0.25">
      <c r="A2828" s="48" t="str">
        <f>IF(Учет!A2828&lt;&gt;"",Учет!A2828,"")</f>
        <v/>
      </c>
      <c r="B2828" s="52">
        <f>IF(Учет!$O2828=Справочники!$F$2,Учет!$H2828,0)</f>
        <v>0</v>
      </c>
      <c r="C2828" s="52">
        <f>IF(Учет!$O2828=Справочники!$F$3,Учет!$H2828,0)</f>
        <v>0</v>
      </c>
      <c r="D2828" s="52">
        <f>IF(Учет!$O2828=Справочники!$F$4,Учет!$H2828,0)</f>
        <v>0</v>
      </c>
      <c r="E2828" s="52">
        <f>IF(Учет!$O2828=Справочники!$F$5,Учет!$H2828,0)</f>
        <v>0</v>
      </c>
      <c r="F2828" s="52">
        <f>IF(Учет!$O2828=Справочники!$F$6,Учет!$H2828,0)</f>
        <v>0</v>
      </c>
      <c r="G2828" s="43">
        <f>G2827+Учет!B2828-B2828</f>
        <v>-488978.92000000004</v>
      </c>
      <c r="H2828" s="43">
        <f>H2827+Учет!C2828-C2828</f>
        <v>336855</v>
      </c>
      <c r="I2828" s="43">
        <f>I2827+Учет!D2828-D2828</f>
        <v>500</v>
      </c>
      <c r="J2828" s="43">
        <f>J2827+Учет!E2828-E2828</f>
        <v>1150</v>
      </c>
      <c r="K2828" s="43">
        <f>K2827+Учет!F2828-F2828</f>
        <v>500000</v>
      </c>
      <c r="L2828" s="45">
        <f>Учет!I2828</f>
        <v>349526.07999999996</v>
      </c>
    </row>
    <row r="2829" spans="1:12" x14ac:dyDescent="0.25">
      <c r="A2829" s="48" t="str">
        <f>IF(Учет!A2829&lt;&gt;"",Учет!A2829,"")</f>
        <v/>
      </c>
      <c r="B2829" s="52">
        <f>IF(Учет!$O2829=Справочники!$F$2,Учет!$H2829,0)</f>
        <v>0</v>
      </c>
      <c r="C2829" s="52">
        <f>IF(Учет!$O2829=Справочники!$F$3,Учет!$H2829,0)</f>
        <v>0</v>
      </c>
      <c r="D2829" s="52">
        <f>IF(Учет!$O2829=Справочники!$F$4,Учет!$H2829,0)</f>
        <v>0</v>
      </c>
      <c r="E2829" s="52">
        <f>IF(Учет!$O2829=Справочники!$F$5,Учет!$H2829,0)</f>
        <v>0</v>
      </c>
      <c r="F2829" s="52">
        <f>IF(Учет!$O2829=Справочники!$F$6,Учет!$H2829,0)</f>
        <v>0</v>
      </c>
      <c r="G2829" s="43">
        <f>G2828+Учет!B2829-B2829</f>
        <v>-488978.92000000004</v>
      </c>
      <c r="H2829" s="43">
        <f>H2828+Учет!C2829-C2829</f>
        <v>336855</v>
      </c>
      <c r="I2829" s="43">
        <f>I2828+Учет!D2829-D2829</f>
        <v>500</v>
      </c>
      <c r="J2829" s="43">
        <f>J2828+Учет!E2829-E2829</f>
        <v>1150</v>
      </c>
      <c r="K2829" s="43">
        <f>K2828+Учет!F2829-F2829</f>
        <v>500000</v>
      </c>
      <c r="L2829" s="45">
        <f>Учет!I2829</f>
        <v>349526.07999999996</v>
      </c>
    </row>
    <row r="2830" spans="1:12" x14ac:dyDescent="0.25">
      <c r="A2830" s="48" t="str">
        <f>IF(Учет!A2830&lt;&gt;"",Учет!A2830,"")</f>
        <v/>
      </c>
      <c r="B2830" s="52">
        <f>IF(Учет!$O2830=Справочники!$F$2,Учет!$H2830,0)</f>
        <v>0</v>
      </c>
      <c r="C2830" s="52">
        <f>IF(Учет!$O2830=Справочники!$F$3,Учет!$H2830,0)</f>
        <v>0</v>
      </c>
      <c r="D2830" s="52">
        <f>IF(Учет!$O2830=Справочники!$F$4,Учет!$H2830,0)</f>
        <v>0</v>
      </c>
      <c r="E2830" s="52">
        <f>IF(Учет!$O2830=Справочники!$F$5,Учет!$H2830,0)</f>
        <v>0</v>
      </c>
      <c r="F2830" s="52">
        <f>IF(Учет!$O2830=Справочники!$F$6,Учет!$H2830,0)</f>
        <v>0</v>
      </c>
      <c r="G2830" s="43">
        <f>G2829+Учет!B2830-B2830</f>
        <v>-488978.92000000004</v>
      </c>
      <c r="H2830" s="43">
        <f>H2829+Учет!C2830-C2830</f>
        <v>336855</v>
      </c>
      <c r="I2830" s="43">
        <f>I2829+Учет!D2830-D2830</f>
        <v>500</v>
      </c>
      <c r="J2830" s="43">
        <f>J2829+Учет!E2830-E2830</f>
        <v>1150</v>
      </c>
      <c r="K2830" s="43">
        <f>K2829+Учет!F2830-F2830</f>
        <v>500000</v>
      </c>
      <c r="L2830" s="45">
        <f>Учет!I2830</f>
        <v>349526.07999999996</v>
      </c>
    </row>
    <row r="2831" spans="1:12" x14ac:dyDescent="0.25">
      <c r="A2831" s="48" t="str">
        <f>IF(Учет!A2831&lt;&gt;"",Учет!A2831,"")</f>
        <v/>
      </c>
      <c r="B2831" s="52">
        <f>IF(Учет!$O2831=Справочники!$F$2,Учет!$H2831,0)</f>
        <v>0</v>
      </c>
      <c r="C2831" s="52">
        <f>IF(Учет!$O2831=Справочники!$F$3,Учет!$H2831,0)</f>
        <v>0</v>
      </c>
      <c r="D2831" s="52">
        <f>IF(Учет!$O2831=Справочники!$F$4,Учет!$H2831,0)</f>
        <v>0</v>
      </c>
      <c r="E2831" s="52">
        <f>IF(Учет!$O2831=Справочники!$F$5,Учет!$H2831,0)</f>
        <v>0</v>
      </c>
      <c r="F2831" s="52">
        <f>IF(Учет!$O2831=Справочники!$F$6,Учет!$H2831,0)</f>
        <v>0</v>
      </c>
      <c r="G2831" s="43">
        <f>G2830+Учет!B2831-B2831</f>
        <v>-488978.92000000004</v>
      </c>
      <c r="H2831" s="43">
        <f>H2830+Учет!C2831-C2831</f>
        <v>336855</v>
      </c>
      <c r="I2831" s="43">
        <f>I2830+Учет!D2831-D2831</f>
        <v>500</v>
      </c>
      <c r="J2831" s="43">
        <f>J2830+Учет!E2831-E2831</f>
        <v>1150</v>
      </c>
      <c r="K2831" s="43">
        <f>K2830+Учет!F2831-F2831</f>
        <v>500000</v>
      </c>
      <c r="L2831" s="45">
        <f>Учет!I2831</f>
        <v>349526.07999999996</v>
      </c>
    </row>
    <row r="2832" spans="1:12" x14ac:dyDescent="0.25">
      <c r="A2832" s="48" t="str">
        <f>IF(Учет!A2832&lt;&gt;"",Учет!A2832,"")</f>
        <v/>
      </c>
      <c r="B2832" s="52">
        <f>IF(Учет!$O2832=Справочники!$F$2,Учет!$H2832,0)</f>
        <v>0</v>
      </c>
      <c r="C2832" s="52">
        <f>IF(Учет!$O2832=Справочники!$F$3,Учет!$H2832,0)</f>
        <v>0</v>
      </c>
      <c r="D2832" s="52">
        <f>IF(Учет!$O2832=Справочники!$F$4,Учет!$H2832,0)</f>
        <v>0</v>
      </c>
      <c r="E2832" s="52">
        <f>IF(Учет!$O2832=Справочники!$F$5,Учет!$H2832,0)</f>
        <v>0</v>
      </c>
      <c r="F2832" s="52">
        <f>IF(Учет!$O2832=Справочники!$F$6,Учет!$H2832,0)</f>
        <v>0</v>
      </c>
      <c r="G2832" s="43">
        <f>G2831+Учет!B2832-B2832</f>
        <v>-488978.92000000004</v>
      </c>
      <c r="H2832" s="43">
        <f>H2831+Учет!C2832-C2832</f>
        <v>336855</v>
      </c>
      <c r="I2832" s="43">
        <f>I2831+Учет!D2832-D2832</f>
        <v>500</v>
      </c>
      <c r="J2832" s="43">
        <f>J2831+Учет!E2832-E2832</f>
        <v>1150</v>
      </c>
      <c r="K2832" s="43">
        <f>K2831+Учет!F2832-F2832</f>
        <v>500000</v>
      </c>
      <c r="L2832" s="45">
        <f>Учет!I2832</f>
        <v>349526.07999999996</v>
      </c>
    </row>
    <row r="2833" spans="1:12" x14ac:dyDescent="0.25">
      <c r="A2833" s="48" t="str">
        <f>IF(Учет!A2833&lt;&gt;"",Учет!A2833,"")</f>
        <v/>
      </c>
      <c r="B2833" s="52">
        <f>IF(Учет!$O2833=Справочники!$F$2,Учет!$H2833,0)</f>
        <v>0</v>
      </c>
      <c r="C2833" s="52">
        <f>IF(Учет!$O2833=Справочники!$F$3,Учет!$H2833,0)</f>
        <v>0</v>
      </c>
      <c r="D2833" s="52">
        <f>IF(Учет!$O2833=Справочники!$F$4,Учет!$H2833,0)</f>
        <v>0</v>
      </c>
      <c r="E2833" s="52">
        <f>IF(Учет!$O2833=Справочники!$F$5,Учет!$H2833,0)</f>
        <v>0</v>
      </c>
      <c r="F2833" s="52">
        <f>IF(Учет!$O2833=Справочники!$F$6,Учет!$H2833,0)</f>
        <v>0</v>
      </c>
      <c r="G2833" s="43">
        <f>G2832+Учет!B2833-B2833</f>
        <v>-488978.92000000004</v>
      </c>
      <c r="H2833" s="43">
        <f>H2832+Учет!C2833-C2833</f>
        <v>336855</v>
      </c>
      <c r="I2833" s="43">
        <f>I2832+Учет!D2833-D2833</f>
        <v>500</v>
      </c>
      <c r="J2833" s="43">
        <f>J2832+Учет!E2833-E2833</f>
        <v>1150</v>
      </c>
      <c r="K2833" s="43">
        <f>K2832+Учет!F2833-F2833</f>
        <v>500000</v>
      </c>
      <c r="L2833" s="45">
        <f>Учет!I2833</f>
        <v>349526.07999999996</v>
      </c>
    </row>
    <row r="2834" spans="1:12" x14ac:dyDescent="0.25">
      <c r="A2834" s="48" t="str">
        <f>IF(Учет!A2834&lt;&gt;"",Учет!A2834,"")</f>
        <v/>
      </c>
      <c r="B2834" s="52">
        <f>IF(Учет!$O2834=Справочники!$F$2,Учет!$H2834,0)</f>
        <v>0</v>
      </c>
      <c r="C2834" s="52">
        <f>IF(Учет!$O2834=Справочники!$F$3,Учет!$H2834,0)</f>
        <v>0</v>
      </c>
      <c r="D2834" s="52">
        <f>IF(Учет!$O2834=Справочники!$F$4,Учет!$H2834,0)</f>
        <v>0</v>
      </c>
      <c r="E2834" s="52">
        <f>IF(Учет!$O2834=Справочники!$F$5,Учет!$H2834,0)</f>
        <v>0</v>
      </c>
      <c r="F2834" s="52">
        <f>IF(Учет!$O2834=Справочники!$F$6,Учет!$H2834,0)</f>
        <v>0</v>
      </c>
      <c r="G2834" s="43">
        <f>G2833+Учет!B2834-B2834</f>
        <v>-488978.92000000004</v>
      </c>
      <c r="H2834" s="43">
        <f>H2833+Учет!C2834-C2834</f>
        <v>336855</v>
      </c>
      <c r="I2834" s="43">
        <f>I2833+Учет!D2834-D2834</f>
        <v>500</v>
      </c>
      <c r="J2834" s="43">
        <f>J2833+Учет!E2834-E2834</f>
        <v>1150</v>
      </c>
      <c r="K2834" s="43">
        <f>K2833+Учет!F2834-F2834</f>
        <v>500000</v>
      </c>
      <c r="L2834" s="45">
        <f>Учет!I2834</f>
        <v>349526.07999999996</v>
      </c>
    </row>
    <row r="2835" spans="1:12" x14ac:dyDescent="0.25">
      <c r="A2835" s="48" t="str">
        <f>IF(Учет!A2835&lt;&gt;"",Учет!A2835,"")</f>
        <v/>
      </c>
      <c r="B2835" s="52">
        <f>IF(Учет!$O2835=Справочники!$F$2,Учет!$H2835,0)</f>
        <v>0</v>
      </c>
      <c r="C2835" s="52">
        <f>IF(Учет!$O2835=Справочники!$F$3,Учет!$H2835,0)</f>
        <v>0</v>
      </c>
      <c r="D2835" s="52">
        <f>IF(Учет!$O2835=Справочники!$F$4,Учет!$H2835,0)</f>
        <v>0</v>
      </c>
      <c r="E2835" s="52">
        <f>IF(Учет!$O2835=Справочники!$F$5,Учет!$H2835,0)</f>
        <v>0</v>
      </c>
      <c r="F2835" s="52">
        <f>IF(Учет!$O2835=Справочники!$F$6,Учет!$H2835,0)</f>
        <v>0</v>
      </c>
      <c r="G2835" s="43">
        <f>G2834+Учет!B2835-B2835</f>
        <v>-488978.92000000004</v>
      </c>
      <c r="H2835" s="43">
        <f>H2834+Учет!C2835-C2835</f>
        <v>336855</v>
      </c>
      <c r="I2835" s="43">
        <f>I2834+Учет!D2835-D2835</f>
        <v>500</v>
      </c>
      <c r="J2835" s="43">
        <f>J2834+Учет!E2835-E2835</f>
        <v>1150</v>
      </c>
      <c r="K2835" s="43">
        <f>K2834+Учет!F2835-F2835</f>
        <v>500000</v>
      </c>
      <c r="L2835" s="45">
        <f>Учет!I2835</f>
        <v>349526.07999999996</v>
      </c>
    </row>
    <row r="2836" spans="1:12" x14ac:dyDescent="0.25">
      <c r="A2836" s="48" t="str">
        <f>IF(Учет!A2836&lt;&gt;"",Учет!A2836,"")</f>
        <v/>
      </c>
      <c r="B2836" s="52">
        <f>IF(Учет!$O2836=Справочники!$F$2,Учет!$H2836,0)</f>
        <v>0</v>
      </c>
      <c r="C2836" s="52">
        <f>IF(Учет!$O2836=Справочники!$F$3,Учет!$H2836,0)</f>
        <v>0</v>
      </c>
      <c r="D2836" s="52">
        <f>IF(Учет!$O2836=Справочники!$F$4,Учет!$H2836,0)</f>
        <v>0</v>
      </c>
      <c r="E2836" s="52">
        <f>IF(Учет!$O2836=Справочники!$F$5,Учет!$H2836,0)</f>
        <v>0</v>
      </c>
      <c r="F2836" s="52">
        <f>IF(Учет!$O2836=Справочники!$F$6,Учет!$H2836,0)</f>
        <v>0</v>
      </c>
      <c r="G2836" s="43">
        <f>G2835+Учет!B2836-B2836</f>
        <v>-488978.92000000004</v>
      </c>
      <c r="H2836" s="43">
        <f>H2835+Учет!C2836-C2836</f>
        <v>336855</v>
      </c>
      <c r="I2836" s="43">
        <f>I2835+Учет!D2836-D2836</f>
        <v>500</v>
      </c>
      <c r="J2836" s="43">
        <f>J2835+Учет!E2836-E2836</f>
        <v>1150</v>
      </c>
      <c r="K2836" s="43">
        <f>K2835+Учет!F2836-F2836</f>
        <v>500000</v>
      </c>
      <c r="L2836" s="45">
        <f>Учет!I2836</f>
        <v>349526.07999999996</v>
      </c>
    </row>
    <row r="2837" spans="1:12" x14ac:dyDescent="0.25">
      <c r="A2837" s="48" t="str">
        <f>IF(Учет!A2837&lt;&gt;"",Учет!A2837,"")</f>
        <v/>
      </c>
      <c r="B2837" s="52">
        <f>IF(Учет!$O2837=Справочники!$F$2,Учет!$H2837,0)</f>
        <v>0</v>
      </c>
      <c r="C2837" s="52">
        <f>IF(Учет!$O2837=Справочники!$F$3,Учет!$H2837,0)</f>
        <v>0</v>
      </c>
      <c r="D2837" s="52">
        <f>IF(Учет!$O2837=Справочники!$F$4,Учет!$H2837,0)</f>
        <v>0</v>
      </c>
      <c r="E2837" s="52">
        <f>IF(Учет!$O2837=Справочники!$F$5,Учет!$H2837,0)</f>
        <v>0</v>
      </c>
      <c r="F2837" s="52">
        <f>IF(Учет!$O2837=Справочники!$F$6,Учет!$H2837,0)</f>
        <v>0</v>
      </c>
      <c r="G2837" s="43">
        <f>G2836+Учет!B2837-B2837</f>
        <v>-488978.92000000004</v>
      </c>
      <c r="H2837" s="43">
        <f>H2836+Учет!C2837-C2837</f>
        <v>336855</v>
      </c>
      <c r="I2837" s="43">
        <f>I2836+Учет!D2837-D2837</f>
        <v>500</v>
      </c>
      <c r="J2837" s="43">
        <f>J2836+Учет!E2837-E2837</f>
        <v>1150</v>
      </c>
      <c r="K2837" s="43">
        <f>K2836+Учет!F2837-F2837</f>
        <v>500000</v>
      </c>
      <c r="L2837" s="45">
        <f>Учет!I2837</f>
        <v>349526.07999999996</v>
      </c>
    </row>
    <row r="2838" spans="1:12" x14ac:dyDescent="0.25">
      <c r="A2838" s="48" t="str">
        <f>IF(Учет!A2838&lt;&gt;"",Учет!A2838,"")</f>
        <v/>
      </c>
      <c r="B2838" s="52">
        <f>IF(Учет!$O2838=Справочники!$F$2,Учет!$H2838,0)</f>
        <v>0</v>
      </c>
      <c r="C2838" s="52">
        <f>IF(Учет!$O2838=Справочники!$F$3,Учет!$H2838,0)</f>
        <v>0</v>
      </c>
      <c r="D2838" s="52">
        <f>IF(Учет!$O2838=Справочники!$F$4,Учет!$H2838,0)</f>
        <v>0</v>
      </c>
      <c r="E2838" s="52">
        <f>IF(Учет!$O2838=Справочники!$F$5,Учет!$H2838,0)</f>
        <v>0</v>
      </c>
      <c r="F2838" s="52">
        <f>IF(Учет!$O2838=Справочники!$F$6,Учет!$H2838,0)</f>
        <v>0</v>
      </c>
      <c r="G2838" s="43">
        <f>G2837+Учет!B2838-B2838</f>
        <v>-488978.92000000004</v>
      </c>
      <c r="H2838" s="43">
        <f>H2837+Учет!C2838-C2838</f>
        <v>336855</v>
      </c>
      <c r="I2838" s="43">
        <f>I2837+Учет!D2838-D2838</f>
        <v>500</v>
      </c>
      <c r="J2838" s="43">
        <f>J2837+Учет!E2838-E2838</f>
        <v>1150</v>
      </c>
      <c r="K2838" s="43">
        <f>K2837+Учет!F2838-F2838</f>
        <v>500000</v>
      </c>
      <c r="L2838" s="45">
        <f>Учет!I2838</f>
        <v>349526.07999999996</v>
      </c>
    </row>
    <row r="2839" spans="1:12" x14ac:dyDescent="0.25">
      <c r="A2839" s="48" t="str">
        <f>IF(Учет!A2839&lt;&gt;"",Учет!A2839,"")</f>
        <v/>
      </c>
      <c r="B2839" s="52">
        <f>IF(Учет!$O2839=Справочники!$F$2,Учет!$H2839,0)</f>
        <v>0</v>
      </c>
      <c r="C2839" s="52">
        <f>IF(Учет!$O2839=Справочники!$F$3,Учет!$H2839,0)</f>
        <v>0</v>
      </c>
      <c r="D2839" s="52">
        <f>IF(Учет!$O2839=Справочники!$F$4,Учет!$H2839,0)</f>
        <v>0</v>
      </c>
      <c r="E2839" s="52">
        <f>IF(Учет!$O2839=Справочники!$F$5,Учет!$H2839,0)</f>
        <v>0</v>
      </c>
      <c r="F2839" s="52">
        <f>IF(Учет!$O2839=Справочники!$F$6,Учет!$H2839,0)</f>
        <v>0</v>
      </c>
      <c r="G2839" s="43">
        <f>G2838+Учет!B2839-B2839</f>
        <v>-488978.92000000004</v>
      </c>
      <c r="H2839" s="43">
        <f>H2838+Учет!C2839-C2839</f>
        <v>336855</v>
      </c>
      <c r="I2839" s="43">
        <f>I2838+Учет!D2839-D2839</f>
        <v>500</v>
      </c>
      <c r="J2839" s="43">
        <f>J2838+Учет!E2839-E2839</f>
        <v>1150</v>
      </c>
      <c r="K2839" s="43">
        <f>K2838+Учет!F2839-F2839</f>
        <v>500000</v>
      </c>
      <c r="L2839" s="45">
        <f>Учет!I2839</f>
        <v>349526.07999999996</v>
      </c>
    </row>
    <row r="2840" spans="1:12" x14ac:dyDescent="0.25">
      <c r="A2840" s="48" t="str">
        <f>IF(Учет!A2840&lt;&gt;"",Учет!A2840,"")</f>
        <v/>
      </c>
      <c r="B2840" s="52">
        <f>IF(Учет!$O2840=Справочники!$F$2,Учет!$H2840,0)</f>
        <v>0</v>
      </c>
      <c r="C2840" s="52">
        <f>IF(Учет!$O2840=Справочники!$F$3,Учет!$H2840,0)</f>
        <v>0</v>
      </c>
      <c r="D2840" s="52">
        <f>IF(Учет!$O2840=Справочники!$F$4,Учет!$H2840,0)</f>
        <v>0</v>
      </c>
      <c r="E2840" s="52">
        <f>IF(Учет!$O2840=Справочники!$F$5,Учет!$H2840,0)</f>
        <v>0</v>
      </c>
      <c r="F2840" s="52">
        <f>IF(Учет!$O2840=Справочники!$F$6,Учет!$H2840,0)</f>
        <v>0</v>
      </c>
      <c r="G2840" s="43">
        <f>G2839+Учет!B2840-B2840</f>
        <v>-488978.92000000004</v>
      </c>
      <c r="H2840" s="43">
        <f>H2839+Учет!C2840-C2840</f>
        <v>336855</v>
      </c>
      <c r="I2840" s="43">
        <f>I2839+Учет!D2840-D2840</f>
        <v>500</v>
      </c>
      <c r="J2840" s="43">
        <f>J2839+Учет!E2840-E2840</f>
        <v>1150</v>
      </c>
      <c r="K2840" s="43">
        <f>K2839+Учет!F2840-F2840</f>
        <v>500000</v>
      </c>
      <c r="L2840" s="45">
        <f>Учет!I2840</f>
        <v>349526.07999999996</v>
      </c>
    </row>
    <row r="2841" spans="1:12" x14ac:dyDescent="0.25">
      <c r="A2841" s="48" t="str">
        <f>IF(Учет!A2841&lt;&gt;"",Учет!A2841,"")</f>
        <v/>
      </c>
      <c r="B2841" s="52">
        <f>IF(Учет!$O2841=Справочники!$F$2,Учет!$H2841,0)</f>
        <v>0</v>
      </c>
      <c r="C2841" s="52">
        <f>IF(Учет!$O2841=Справочники!$F$3,Учет!$H2841,0)</f>
        <v>0</v>
      </c>
      <c r="D2841" s="52">
        <f>IF(Учет!$O2841=Справочники!$F$4,Учет!$H2841,0)</f>
        <v>0</v>
      </c>
      <c r="E2841" s="52">
        <f>IF(Учет!$O2841=Справочники!$F$5,Учет!$H2841,0)</f>
        <v>0</v>
      </c>
      <c r="F2841" s="52">
        <f>IF(Учет!$O2841=Справочники!$F$6,Учет!$H2841,0)</f>
        <v>0</v>
      </c>
      <c r="G2841" s="43">
        <f>G2840+Учет!B2841-B2841</f>
        <v>-488978.92000000004</v>
      </c>
      <c r="H2841" s="43">
        <f>H2840+Учет!C2841-C2841</f>
        <v>336855</v>
      </c>
      <c r="I2841" s="43">
        <f>I2840+Учет!D2841-D2841</f>
        <v>500</v>
      </c>
      <c r="J2841" s="43">
        <f>J2840+Учет!E2841-E2841</f>
        <v>1150</v>
      </c>
      <c r="K2841" s="43">
        <f>K2840+Учет!F2841-F2841</f>
        <v>500000</v>
      </c>
      <c r="L2841" s="45">
        <f>Учет!I2841</f>
        <v>349526.07999999996</v>
      </c>
    </row>
    <row r="2842" spans="1:12" x14ac:dyDescent="0.25">
      <c r="A2842" s="48" t="str">
        <f>IF(Учет!A2842&lt;&gt;"",Учет!A2842,"")</f>
        <v/>
      </c>
      <c r="B2842" s="52">
        <f>IF(Учет!$O2842=Справочники!$F$2,Учет!$H2842,0)</f>
        <v>0</v>
      </c>
      <c r="C2842" s="52">
        <f>IF(Учет!$O2842=Справочники!$F$3,Учет!$H2842,0)</f>
        <v>0</v>
      </c>
      <c r="D2842" s="52">
        <f>IF(Учет!$O2842=Справочники!$F$4,Учет!$H2842,0)</f>
        <v>0</v>
      </c>
      <c r="E2842" s="52">
        <f>IF(Учет!$O2842=Справочники!$F$5,Учет!$H2842,0)</f>
        <v>0</v>
      </c>
      <c r="F2842" s="52">
        <f>IF(Учет!$O2842=Справочники!$F$6,Учет!$H2842,0)</f>
        <v>0</v>
      </c>
      <c r="G2842" s="43">
        <f>G2841+Учет!B2842-B2842</f>
        <v>-488978.92000000004</v>
      </c>
      <c r="H2842" s="43">
        <f>H2841+Учет!C2842-C2842</f>
        <v>336855</v>
      </c>
      <c r="I2842" s="43">
        <f>I2841+Учет!D2842-D2842</f>
        <v>500</v>
      </c>
      <c r="J2842" s="43">
        <f>J2841+Учет!E2842-E2842</f>
        <v>1150</v>
      </c>
      <c r="K2842" s="43">
        <f>K2841+Учет!F2842-F2842</f>
        <v>500000</v>
      </c>
      <c r="L2842" s="45">
        <f>Учет!I2842</f>
        <v>349526.07999999996</v>
      </c>
    </row>
    <row r="2843" spans="1:12" x14ac:dyDescent="0.25">
      <c r="A2843" s="48" t="str">
        <f>IF(Учет!A2843&lt;&gt;"",Учет!A2843,"")</f>
        <v/>
      </c>
      <c r="B2843" s="52">
        <f>IF(Учет!$O2843=Справочники!$F$2,Учет!$H2843,0)</f>
        <v>0</v>
      </c>
      <c r="C2843" s="52">
        <f>IF(Учет!$O2843=Справочники!$F$3,Учет!$H2843,0)</f>
        <v>0</v>
      </c>
      <c r="D2843" s="52">
        <f>IF(Учет!$O2843=Справочники!$F$4,Учет!$H2843,0)</f>
        <v>0</v>
      </c>
      <c r="E2843" s="52">
        <f>IF(Учет!$O2843=Справочники!$F$5,Учет!$H2843,0)</f>
        <v>0</v>
      </c>
      <c r="F2843" s="52">
        <f>IF(Учет!$O2843=Справочники!$F$6,Учет!$H2843,0)</f>
        <v>0</v>
      </c>
      <c r="G2843" s="43">
        <f>G2842+Учет!B2843-B2843</f>
        <v>-488978.92000000004</v>
      </c>
      <c r="H2843" s="43">
        <f>H2842+Учет!C2843-C2843</f>
        <v>336855</v>
      </c>
      <c r="I2843" s="43">
        <f>I2842+Учет!D2843-D2843</f>
        <v>500</v>
      </c>
      <c r="J2843" s="43">
        <f>J2842+Учет!E2843-E2843</f>
        <v>1150</v>
      </c>
      <c r="K2843" s="43">
        <f>K2842+Учет!F2843-F2843</f>
        <v>500000</v>
      </c>
      <c r="L2843" s="45">
        <f>Учет!I2843</f>
        <v>349526.07999999996</v>
      </c>
    </row>
    <row r="2844" spans="1:12" x14ac:dyDescent="0.25">
      <c r="A2844" s="48" t="str">
        <f>IF(Учет!A2844&lt;&gt;"",Учет!A2844,"")</f>
        <v/>
      </c>
      <c r="B2844" s="52">
        <f>IF(Учет!$O2844=Справочники!$F$2,Учет!$H2844,0)</f>
        <v>0</v>
      </c>
      <c r="C2844" s="52">
        <f>IF(Учет!$O2844=Справочники!$F$3,Учет!$H2844,0)</f>
        <v>0</v>
      </c>
      <c r="D2844" s="52">
        <f>IF(Учет!$O2844=Справочники!$F$4,Учет!$H2844,0)</f>
        <v>0</v>
      </c>
      <c r="E2844" s="52">
        <f>IF(Учет!$O2844=Справочники!$F$5,Учет!$H2844,0)</f>
        <v>0</v>
      </c>
      <c r="F2844" s="52">
        <f>IF(Учет!$O2844=Справочники!$F$6,Учет!$H2844,0)</f>
        <v>0</v>
      </c>
      <c r="G2844" s="43">
        <f>G2843+Учет!B2844-B2844</f>
        <v>-488978.92000000004</v>
      </c>
      <c r="H2844" s="43">
        <f>H2843+Учет!C2844-C2844</f>
        <v>336855</v>
      </c>
      <c r="I2844" s="43">
        <f>I2843+Учет!D2844-D2844</f>
        <v>500</v>
      </c>
      <c r="J2844" s="43">
        <f>J2843+Учет!E2844-E2844</f>
        <v>1150</v>
      </c>
      <c r="K2844" s="43">
        <f>K2843+Учет!F2844-F2844</f>
        <v>500000</v>
      </c>
      <c r="L2844" s="45">
        <f>Учет!I2844</f>
        <v>349526.07999999996</v>
      </c>
    </row>
    <row r="2845" spans="1:12" x14ac:dyDescent="0.25">
      <c r="A2845" s="48" t="str">
        <f>IF(Учет!A2845&lt;&gt;"",Учет!A2845,"")</f>
        <v/>
      </c>
      <c r="B2845" s="52">
        <f>IF(Учет!$O2845=Справочники!$F$2,Учет!$H2845,0)</f>
        <v>0</v>
      </c>
      <c r="C2845" s="52">
        <f>IF(Учет!$O2845=Справочники!$F$3,Учет!$H2845,0)</f>
        <v>0</v>
      </c>
      <c r="D2845" s="52">
        <f>IF(Учет!$O2845=Справочники!$F$4,Учет!$H2845,0)</f>
        <v>0</v>
      </c>
      <c r="E2845" s="52">
        <f>IF(Учет!$O2845=Справочники!$F$5,Учет!$H2845,0)</f>
        <v>0</v>
      </c>
      <c r="F2845" s="52">
        <f>IF(Учет!$O2845=Справочники!$F$6,Учет!$H2845,0)</f>
        <v>0</v>
      </c>
      <c r="G2845" s="43">
        <f>G2844+Учет!B2845-B2845</f>
        <v>-488978.92000000004</v>
      </c>
      <c r="H2845" s="43">
        <f>H2844+Учет!C2845-C2845</f>
        <v>336855</v>
      </c>
      <c r="I2845" s="43">
        <f>I2844+Учет!D2845-D2845</f>
        <v>500</v>
      </c>
      <c r="J2845" s="43">
        <f>J2844+Учет!E2845-E2845</f>
        <v>1150</v>
      </c>
      <c r="K2845" s="43">
        <f>K2844+Учет!F2845-F2845</f>
        <v>500000</v>
      </c>
      <c r="L2845" s="45">
        <f>Учет!I2845</f>
        <v>349526.07999999996</v>
      </c>
    </row>
    <row r="2846" spans="1:12" x14ac:dyDescent="0.25">
      <c r="A2846" s="48" t="str">
        <f>IF(Учет!A2846&lt;&gt;"",Учет!A2846,"")</f>
        <v/>
      </c>
      <c r="B2846" s="52">
        <f>IF(Учет!$O2846=Справочники!$F$2,Учет!$H2846,0)</f>
        <v>0</v>
      </c>
      <c r="C2846" s="52">
        <f>IF(Учет!$O2846=Справочники!$F$3,Учет!$H2846,0)</f>
        <v>0</v>
      </c>
      <c r="D2846" s="52">
        <f>IF(Учет!$O2846=Справочники!$F$4,Учет!$H2846,0)</f>
        <v>0</v>
      </c>
      <c r="E2846" s="52">
        <f>IF(Учет!$O2846=Справочники!$F$5,Учет!$H2846,0)</f>
        <v>0</v>
      </c>
      <c r="F2846" s="52">
        <f>IF(Учет!$O2846=Справочники!$F$6,Учет!$H2846,0)</f>
        <v>0</v>
      </c>
      <c r="G2846" s="43">
        <f>G2845+Учет!B2846-B2846</f>
        <v>-488978.92000000004</v>
      </c>
      <c r="H2846" s="43">
        <f>H2845+Учет!C2846-C2846</f>
        <v>336855</v>
      </c>
      <c r="I2846" s="43">
        <f>I2845+Учет!D2846-D2846</f>
        <v>500</v>
      </c>
      <c r="J2846" s="43">
        <f>J2845+Учет!E2846-E2846</f>
        <v>1150</v>
      </c>
      <c r="K2846" s="43">
        <f>K2845+Учет!F2846-F2846</f>
        <v>500000</v>
      </c>
      <c r="L2846" s="45">
        <f>Учет!I2846</f>
        <v>349526.07999999996</v>
      </c>
    </row>
    <row r="2847" spans="1:12" x14ac:dyDescent="0.25">
      <c r="A2847" s="48" t="str">
        <f>IF(Учет!A2847&lt;&gt;"",Учет!A2847,"")</f>
        <v/>
      </c>
      <c r="B2847" s="52">
        <f>IF(Учет!$O2847=Справочники!$F$2,Учет!$H2847,0)</f>
        <v>0</v>
      </c>
      <c r="C2847" s="52">
        <f>IF(Учет!$O2847=Справочники!$F$3,Учет!$H2847,0)</f>
        <v>0</v>
      </c>
      <c r="D2847" s="52">
        <f>IF(Учет!$O2847=Справочники!$F$4,Учет!$H2847,0)</f>
        <v>0</v>
      </c>
      <c r="E2847" s="52">
        <f>IF(Учет!$O2847=Справочники!$F$5,Учет!$H2847,0)</f>
        <v>0</v>
      </c>
      <c r="F2847" s="52">
        <f>IF(Учет!$O2847=Справочники!$F$6,Учет!$H2847,0)</f>
        <v>0</v>
      </c>
      <c r="G2847" s="43">
        <f>G2846+Учет!B2847-B2847</f>
        <v>-488978.92000000004</v>
      </c>
      <c r="H2847" s="43">
        <f>H2846+Учет!C2847-C2847</f>
        <v>336855</v>
      </c>
      <c r="I2847" s="43">
        <f>I2846+Учет!D2847-D2847</f>
        <v>500</v>
      </c>
      <c r="J2847" s="43">
        <f>J2846+Учет!E2847-E2847</f>
        <v>1150</v>
      </c>
      <c r="K2847" s="43">
        <f>K2846+Учет!F2847-F2847</f>
        <v>500000</v>
      </c>
      <c r="L2847" s="45">
        <f>Учет!I2847</f>
        <v>349526.07999999996</v>
      </c>
    </row>
    <row r="2848" spans="1:12" x14ac:dyDescent="0.25">
      <c r="A2848" s="48" t="str">
        <f>IF(Учет!A2848&lt;&gt;"",Учет!A2848,"")</f>
        <v/>
      </c>
      <c r="B2848" s="52">
        <f>IF(Учет!$O2848=Справочники!$F$2,Учет!$H2848,0)</f>
        <v>0</v>
      </c>
      <c r="C2848" s="52">
        <f>IF(Учет!$O2848=Справочники!$F$3,Учет!$H2848,0)</f>
        <v>0</v>
      </c>
      <c r="D2848" s="52">
        <f>IF(Учет!$O2848=Справочники!$F$4,Учет!$H2848,0)</f>
        <v>0</v>
      </c>
      <c r="E2848" s="52">
        <f>IF(Учет!$O2848=Справочники!$F$5,Учет!$H2848,0)</f>
        <v>0</v>
      </c>
      <c r="F2848" s="52">
        <f>IF(Учет!$O2848=Справочники!$F$6,Учет!$H2848,0)</f>
        <v>0</v>
      </c>
      <c r="G2848" s="43">
        <f>G2847+Учет!B2848-B2848</f>
        <v>-488978.92000000004</v>
      </c>
      <c r="H2848" s="43">
        <f>H2847+Учет!C2848-C2848</f>
        <v>336855</v>
      </c>
      <c r="I2848" s="43">
        <f>I2847+Учет!D2848-D2848</f>
        <v>500</v>
      </c>
      <c r="J2848" s="43">
        <f>J2847+Учет!E2848-E2848</f>
        <v>1150</v>
      </c>
      <c r="K2848" s="43">
        <f>K2847+Учет!F2848-F2848</f>
        <v>500000</v>
      </c>
      <c r="L2848" s="45">
        <f>Учет!I2848</f>
        <v>349526.07999999996</v>
      </c>
    </row>
    <row r="2849" spans="1:12" x14ac:dyDescent="0.25">
      <c r="A2849" s="48" t="str">
        <f>IF(Учет!A2849&lt;&gt;"",Учет!A2849,"")</f>
        <v/>
      </c>
      <c r="B2849" s="52">
        <f>IF(Учет!$O2849=Справочники!$F$2,Учет!$H2849,0)</f>
        <v>0</v>
      </c>
      <c r="C2849" s="52">
        <f>IF(Учет!$O2849=Справочники!$F$3,Учет!$H2849,0)</f>
        <v>0</v>
      </c>
      <c r="D2849" s="52">
        <f>IF(Учет!$O2849=Справочники!$F$4,Учет!$H2849,0)</f>
        <v>0</v>
      </c>
      <c r="E2849" s="52">
        <f>IF(Учет!$O2849=Справочники!$F$5,Учет!$H2849,0)</f>
        <v>0</v>
      </c>
      <c r="F2849" s="52">
        <f>IF(Учет!$O2849=Справочники!$F$6,Учет!$H2849,0)</f>
        <v>0</v>
      </c>
      <c r="G2849" s="43">
        <f>G2848+Учет!B2849-B2849</f>
        <v>-488978.92000000004</v>
      </c>
      <c r="H2849" s="43">
        <f>H2848+Учет!C2849-C2849</f>
        <v>336855</v>
      </c>
      <c r="I2849" s="43">
        <f>I2848+Учет!D2849-D2849</f>
        <v>500</v>
      </c>
      <c r="J2849" s="43">
        <f>J2848+Учет!E2849-E2849</f>
        <v>1150</v>
      </c>
      <c r="K2849" s="43">
        <f>K2848+Учет!F2849-F2849</f>
        <v>500000</v>
      </c>
      <c r="L2849" s="45">
        <f>Учет!I2849</f>
        <v>349526.07999999996</v>
      </c>
    </row>
    <row r="2850" spans="1:12" x14ac:dyDescent="0.25">
      <c r="A2850" s="48" t="str">
        <f>IF(Учет!A2850&lt;&gt;"",Учет!A2850,"")</f>
        <v/>
      </c>
      <c r="B2850" s="52">
        <f>IF(Учет!$O2850=Справочники!$F$2,Учет!$H2850,0)</f>
        <v>0</v>
      </c>
      <c r="C2850" s="52">
        <f>IF(Учет!$O2850=Справочники!$F$3,Учет!$H2850,0)</f>
        <v>0</v>
      </c>
      <c r="D2850" s="52">
        <f>IF(Учет!$O2850=Справочники!$F$4,Учет!$H2850,0)</f>
        <v>0</v>
      </c>
      <c r="E2850" s="52">
        <f>IF(Учет!$O2850=Справочники!$F$5,Учет!$H2850,0)</f>
        <v>0</v>
      </c>
      <c r="F2850" s="52">
        <f>IF(Учет!$O2850=Справочники!$F$6,Учет!$H2850,0)</f>
        <v>0</v>
      </c>
      <c r="G2850" s="43">
        <f>G2849+Учет!B2850-B2850</f>
        <v>-488978.92000000004</v>
      </c>
      <c r="H2850" s="43">
        <f>H2849+Учет!C2850-C2850</f>
        <v>336855</v>
      </c>
      <c r="I2850" s="43">
        <f>I2849+Учет!D2850-D2850</f>
        <v>500</v>
      </c>
      <c r="J2850" s="43">
        <f>J2849+Учет!E2850-E2850</f>
        <v>1150</v>
      </c>
      <c r="K2850" s="43">
        <f>K2849+Учет!F2850-F2850</f>
        <v>500000</v>
      </c>
      <c r="L2850" s="45">
        <f>Учет!I2850</f>
        <v>349526.07999999996</v>
      </c>
    </row>
    <row r="2851" spans="1:12" x14ac:dyDescent="0.25">
      <c r="A2851" s="48" t="str">
        <f>IF(Учет!A2851&lt;&gt;"",Учет!A2851,"")</f>
        <v/>
      </c>
      <c r="B2851" s="52">
        <f>IF(Учет!$O2851=Справочники!$F$2,Учет!$H2851,0)</f>
        <v>0</v>
      </c>
      <c r="C2851" s="52">
        <f>IF(Учет!$O2851=Справочники!$F$3,Учет!$H2851,0)</f>
        <v>0</v>
      </c>
      <c r="D2851" s="52">
        <f>IF(Учет!$O2851=Справочники!$F$4,Учет!$H2851,0)</f>
        <v>0</v>
      </c>
      <c r="E2851" s="52">
        <f>IF(Учет!$O2851=Справочники!$F$5,Учет!$H2851,0)</f>
        <v>0</v>
      </c>
      <c r="F2851" s="52">
        <f>IF(Учет!$O2851=Справочники!$F$6,Учет!$H2851,0)</f>
        <v>0</v>
      </c>
      <c r="G2851" s="43">
        <f>G2850+Учет!B2851-B2851</f>
        <v>-488978.92000000004</v>
      </c>
      <c r="H2851" s="43">
        <f>H2850+Учет!C2851-C2851</f>
        <v>336855</v>
      </c>
      <c r="I2851" s="43">
        <f>I2850+Учет!D2851-D2851</f>
        <v>500</v>
      </c>
      <c r="J2851" s="43">
        <f>J2850+Учет!E2851-E2851</f>
        <v>1150</v>
      </c>
      <c r="K2851" s="43">
        <f>K2850+Учет!F2851-F2851</f>
        <v>500000</v>
      </c>
      <c r="L2851" s="45">
        <f>Учет!I2851</f>
        <v>349526.07999999996</v>
      </c>
    </row>
    <row r="2852" spans="1:12" x14ac:dyDescent="0.25">
      <c r="A2852" s="48" t="str">
        <f>IF(Учет!A2852&lt;&gt;"",Учет!A2852,"")</f>
        <v/>
      </c>
      <c r="B2852" s="52">
        <f>IF(Учет!$O2852=Справочники!$F$2,Учет!$H2852,0)</f>
        <v>0</v>
      </c>
      <c r="C2852" s="52">
        <f>IF(Учет!$O2852=Справочники!$F$3,Учет!$H2852,0)</f>
        <v>0</v>
      </c>
      <c r="D2852" s="52">
        <f>IF(Учет!$O2852=Справочники!$F$4,Учет!$H2852,0)</f>
        <v>0</v>
      </c>
      <c r="E2852" s="52">
        <f>IF(Учет!$O2852=Справочники!$F$5,Учет!$H2852,0)</f>
        <v>0</v>
      </c>
      <c r="F2852" s="52">
        <f>IF(Учет!$O2852=Справочники!$F$6,Учет!$H2852,0)</f>
        <v>0</v>
      </c>
      <c r="G2852" s="43">
        <f>G2851+Учет!B2852-B2852</f>
        <v>-488978.92000000004</v>
      </c>
      <c r="H2852" s="43">
        <f>H2851+Учет!C2852-C2852</f>
        <v>336855</v>
      </c>
      <c r="I2852" s="43">
        <f>I2851+Учет!D2852-D2852</f>
        <v>500</v>
      </c>
      <c r="J2852" s="43">
        <f>J2851+Учет!E2852-E2852</f>
        <v>1150</v>
      </c>
      <c r="K2852" s="43">
        <f>K2851+Учет!F2852-F2852</f>
        <v>500000</v>
      </c>
      <c r="L2852" s="45">
        <f>Учет!I2852</f>
        <v>349526.07999999996</v>
      </c>
    </row>
    <row r="2853" spans="1:12" x14ac:dyDescent="0.25">
      <c r="A2853" s="48" t="str">
        <f>IF(Учет!A2853&lt;&gt;"",Учет!A2853,"")</f>
        <v/>
      </c>
      <c r="B2853" s="52">
        <f>IF(Учет!$O2853=Справочники!$F$2,Учет!$H2853,0)</f>
        <v>0</v>
      </c>
      <c r="C2853" s="52">
        <f>IF(Учет!$O2853=Справочники!$F$3,Учет!$H2853,0)</f>
        <v>0</v>
      </c>
      <c r="D2853" s="52">
        <f>IF(Учет!$O2853=Справочники!$F$4,Учет!$H2853,0)</f>
        <v>0</v>
      </c>
      <c r="E2853" s="52">
        <f>IF(Учет!$O2853=Справочники!$F$5,Учет!$H2853,0)</f>
        <v>0</v>
      </c>
      <c r="F2853" s="52">
        <f>IF(Учет!$O2853=Справочники!$F$6,Учет!$H2853,0)</f>
        <v>0</v>
      </c>
      <c r="G2853" s="43">
        <f>G2852+Учет!B2853-B2853</f>
        <v>-488978.92000000004</v>
      </c>
      <c r="H2853" s="43">
        <f>H2852+Учет!C2853-C2853</f>
        <v>336855</v>
      </c>
      <c r="I2853" s="43">
        <f>I2852+Учет!D2853-D2853</f>
        <v>500</v>
      </c>
      <c r="J2853" s="43">
        <f>J2852+Учет!E2853-E2853</f>
        <v>1150</v>
      </c>
      <c r="K2853" s="43">
        <f>K2852+Учет!F2853-F2853</f>
        <v>500000</v>
      </c>
      <c r="L2853" s="45">
        <f>Учет!I2853</f>
        <v>349526.07999999996</v>
      </c>
    </row>
    <row r="2854" spans="1:12" x14ac:dyDescent="0.25">
      <c r="A2854" s="48" t="str">
        <f>IF(Учет!A2854&lt;&gt;"",Учет!A2854,"")</f>
        <v/>
      </c>
      <c r="B2854" s="52">
        <f>IF(Учет!$O2854=Справочники!$F$2,Учет!$H2854,0)</f>
        <v>0</v>
      </c>
      <c r="C2854" s="52">
        <f>IF(Учет!$O2854=Справочники!$F$3,Учет!$H2854,0)</f>
        <v>0</v>
      </c>
      <c r="D2854" s="52">
        <f>IF(Учет!$O2854=Справочники!$F$4,Учет!$H2854,0)</f>
        <v>0</v>
      </c>
      <c r="E2854" s="52">
        <f>IF(Учет!$O2854=Справочники!$F$5,Учет!$H2854,0)</f>
        <v>0</v>
      </c>
      <c r="F2854" s="52">
        <f>IF(Учет!$O2854=Справочники!$F$6,Учет!$H2854,0)</f>
        <v>0</v>
      </c>
      <c r="G2854" s="43">
        <f>G2853+Учет!B2854-B2854</f>
        <v>-488978.92000000004</v>
      </c>
      <c r="H2854" s="43">
        <f>H2853+Учет!C2854-C2854</f>
        <v>336855</v>
      </c>
      <c r="I2854" s="43">
        <f>I2853+Учет!D2854-D2854</f>
        <v>500</v>
      </c>
      <c r="J2854" s="43">
        <f>J2853+Учет!E2854-E2854</f>
        <v>1150</v>
      </c>
      <c r="K2854" s="43">
        <f>K2853+Учет!F2854-F2854</f>
        <v>500000</v>
      </c>
      <c r="L2854" s="45">
        <f>Учет!I2854</f>
        <v>349526.07999999996</v>
      </c>
    </row>
    <row r="2855" spans="1:12" x14ac:dyDescent="0.25">
      <c r="A2855" s="48" t="str">
        <f>IF(Учет!A2855&lt;&gt;"",Учет!A2855,"")</f>
        <v/>
      </c>
      <c r="B2855" s="52">
        <f>IF(Учет!$O2855=Справочники!$F$2,Учет!$H2855,0)</f>
        <v>0</v>
      </c>
      <c r="C2855" s="52">
        <f>IF(Учет!$O2855=Справочники!$F$3,Учет!$H2855,0)</f>
        <v>0</v>
      </c>
      <c r="D2855" s="52">
        <f>IF(Учет!$O2855=Справочники!$F$4,Учет!$H2855,0)</f>
        <v>0</v>
      </c>
      <c r="E2855" s="52">
        <f>IF(Учет!$O2855=Справочники!$F$5,Учет!$H2855,0)</f>
        <v>0</v>
      </c>
      <c r="F2855" s="52">
        <f>IF(Учет!$O2855=Справочники!$F$6,Учет!$H2855,0)</f>
        <v>0</v>
      </c>
      <c r="G2855" s="43">
        <f>G2854+Учет!B2855-B2855</f>
        <v>-488978.92000000004</v>
      </c>
      <c r="H2855" s="43">
        <f>H2854+Учет!C2855-C2855</f>
        <v>336855</v>
      </c>
      <c r="I2855" s="43">
        <f>I2854+Учет!D2855-D2855</f>
        <v>500</v>
      </c>
      <c r="J2855" s="43">
        <f>J2854+Учет!E2855-E2855</f>
        <v>1150</v>
      </c>
      <c r="K2855" s="43">
        <f>K2854+Учет!F2855-F2855</f>
        <v>500000</v>
      </c>
      <c r="L2855" s="45">
        <f>Учет!I2855</f>
        <v>349526.07999999996</v>
      </c>
    </row>
    <row r="2856" spans="1:12" x14ac:dyDescent="0.25">
      <c r="A2856" s="48" t="str">
        <f>IF(Учет!A2856&lt;&gt;"",Учет!A2856,"")</f>
        <v/>
      </c>
      <c r="B2856" s="52">
        <f>IF(Учет!$O2856=Справочники!$F$2,Учет!$H2856,0)</f>
        <v>0</v>
      </c>
      <c r="C2856" s="52">
        <f>IF(Учет!$O2856=Справочники!$F$3,Учет!$H2856,0)</f>
        <v>0</v>
      </c>
      <c r="D2856" s="52">
        <f>IF(Учет!$O2856=Справочники!$F$4,Учет!$H2856,0)</f>
        <v>0</v>
      </c>
      <c r="E2856" s="52">
        <f>IF(Учет!$O2856=Справочники!$F$5,Учет!$H2856,0)</f>
        <v>0</v>
      </c>
      <c r="F2856" s="52">
        <f>IF(Учет!$O2856=Справочники!$F$6,Учет!$H2856,0)</f>
        <v>0</v>
      </c>
      <c r="G2856" s="43">
        <f>G2855+Учет!B2856-B2856</f>
        <v>-488978.92000000004</v>
      </c>
      <c r="H2856" s="43">
        <f>H2855+Учет!C2856-C2856</f>
        <v>336855</v>
      </c>
      <c r="I2856" s="43">
        <f>I2855+Учет!D2856-D2856</f>
        <v>500</v>
      </c>
      <c r="J2856" s="43">
        <f>J2855+Учет!E2856-E2856</f>
        <v>1150</v>
      </c>
      <c r="K2856" s="43">
        <f>K2855+Учет!F2856-F2856</f>
        <v>500000</v>
      </c>
      <c r="L2856" s="45">
        <f>Учет!I2856</f>
        <v>349526.07999999996</v>
      </c>
    </row>
    <row r="2857" spans="1:12" x14ac:dyDescent="0.25">
      <c r="A2857" s="48" t="str">
        <f>IF(Учет!A2857&lt;&gt;"",Учет!A2857,"")</f>
        <v/>
      </c>
      <c r="B2857" s="52">
        <f>IF(Учет!$O2857=Справочники!$F$2,Учет!$H2857,0)</f>
        <v>0</v>
      </c>
      <c r="C2857" s="52">
        <f>IF(Учет!$O2857=Справочники!$F$3,Учет!$H2857,0)</f>
        <v>0</v>
      </c>
      <c r="D2857" s="52">
        <f>IF(Учет!$O2857=Справочники!$F$4,Учет!$H2857,0)</f>
        <v>0</v>
      </c>
      <c r="E2857" s="52">
        <f>IF(Учет!$O2857=Справочники!$F$5,Учет!$H2857,0)</f>
        <v>0</v>
      </c>
      <c r="F2857" s="52">
        <f>IF(Учет!$O2857=Справочники!$F$6,Учет!$H2857,0)</f>
        <v>0</v>
      </c>
      <c r="G2857" s="43">
        <f>G2856+Учет!B2857-B2857</f>
        <v>-488978.92000000004</v>
      </c>
      <c r="H2857" s="43">
        <f>H2856+Учет!C2857-C2857</f>
        <v>336855</v>
      </c>
      <c r="I2857" s="43">
        <f>I2856+Учет!D2857-D2857</f>
        <v>500</v>
      </c>
      <c r="J2857" s="43">
        <f>J2856+Учет!E2857-E2857</f>
        <v>1150</v>
      </c>
      <c r="K2857" s="43">
        <f>K2856+Учет!F2857-F2857</f>
        <v>500000</v>
      </c>
      <c r="L2857" s="45">
        <f>Учет!I2857</f>
        <v>349526.07999999996</v>
      </c>
    </row>
    <row r="2858" spans="1:12" x14ac:dyDescent="0.25">
      <c r="A2858" s="48" t="str">
        <f>IF(Учет!A2858&lt;&gt;"",Учет!A2858,"")</f>
        <v/>
      </c>
      <c r="B2858" s="52">
        <f>IF(Учет!$O2858=Справочники!$F$2,Учет!$H2858,0)</f>
        <v>0</v>
      </c>
      <c r="C2858" s="52">
        <f>IF(Учет!$O2858=Справочники!$F$3,Учет!$H2858,0)</f>
        <v>0</v>
      </c>
      <c r="D2858" s="52">
        <f>IF(Учет!$O2858=Справочники!$F$4,Учет!$H2858,0)</f>
        <v>0</v>
      </c>
      <c r="E2858" s="52">
        <f>IF(Учет!$O2858=Справочники!$F$5,Учет!$H2858,0)</f>
        <v>0</v>
      </c>
      <c r="F2858" s="52">
        <f>IF(Учет!$O2858=Справочники!$F$6,Учет!$H2858,0)</f>
        <v>0</v>
      </c>
      <c r="G2858" s="43">
        <f>G2857+Учет!B2858-B2858</f>
        <v>-488978.92000000004</v>
      </c>
      <c r="H2858" s="43">
        <f>H2857+Учет!C2858-C2858</f>
        <v>336855</v>
      </c>
      <c r="I2858" s="43">
        <f>I2857+Учет!D2858-D2858</f>
        <v>500</v>
      </c>
      <c r="J2858" s="43">
        <f>J2857+Учет!E2858-E2858</f>
        <v>1150</v>
      </c>
      <c r="K2858" s="43">
        <f>K2857+Учет!F2858-F2858</f>
        <v>500000</v>
      </c>
      <c r="L2858" s="45">
        <f>Учет!I2858</f>
        <v>349526.07999999996</v>
      </c>
    </row>
    <row r="2859" spans="1:12" x14ac:dyDescent="0.25">
      <c r="A2859" s="48" t="str">
        <f>IF(Учет!A2859&lt;&gt;"",Учет!A2859,"")</f>
        <v/>
      </c>
      <c r="B2859" s="52">
        <f>IF(Учет!$O2859=Справочники!$F$2,Учет!$H2859,0)</f>
        <v>0</v>
      </c>
      <c r="C2859" s="52">
        <f>IF(Учет!$O2859=Справочники!$F$3,Учет!$H2859,0)</f>
        <v>0</v>
      </c>
      <c r="D2859" s="52">
        <f>IF(Учет!$O2859=Справочники!$F$4,Учет!$H2859,0)</f>
        <v>0</v>
      </c>
      <c r="E2859" s="52">
        <f>IF(Учет!$O2859=Справочники!$F$5,Учет!$H2859,0)</f>
        <v>0</v>
      </c>
      <c r="F2859" s="52">
        <f>IF(Учет!$O2859=Справочники!$F$6,Учет!$H2859,0)</f>
        <v>0</v>
      </c>
      <c r="G2859" s="43">
        <f>G2858+Учет!B2859-B2859</f>
        <v>-488978.92000000004</v>
      </c>
      <c r="H2859" s="43">
        <f>H2858+Учет!C2859-C2859</f>
        <v>336855</v>
      </c>
      <c r="I2859" s="43">
        <f>I2858+Учет!D2859-D2859</f>
        <v>500</v>
      </c>
      <c r="J2859" s="43">
        <f>J2858+Учет!E2859-E2859</f>
        <v>1150</v>
      </c>
      <c r="K2859" s="43">
        <f>K2858+Учет!F2859-F2859</f>
        <v>500000</v>
      </c>
      <c r="L2859" s="45">
        <f>Учет!I2859</f>
        <v>349526.07999999996</v>
      </c>
    </row>
    <row r="2860" spans="1:12" x14ac:dyDescent="0.25">
      <c r="A2860" s="48" t="str">
        <f>IF(Учет!A2860&lt;&gt;"",Учет!A2860,"")</f>
        <v/>
      </c>
      <c r="B2860" s="52">
        <f>IF(Учет!$O2860=Справочники!$F$2,Учет!$H2860,0)</f>
        <v>0</v>
      </c>
      <c r="C2860" s="52">
        <f>IF(Учет!$O2860=Справочники!$F$3,Учет!$H2860,0)</f>
        <v>0</v>
      </c>
      <c r="D2860" s="52">
        <f>IF(Учет!$O2860=Справочники!$F$4,Учет!$H2860,0)</f>
        <v>0</v>
      </c>
      <c r="E2860" s="52">
        <f>IF(Учет!$O2860=Справочники!$F$5,Учет!$H2860,0)</f>
        <v>0</v>
      </c>
      <c r="F2860" s="52">
        <f>IF(Учет!$O2860=Справочники!$F$6,Учет!$H2860,0)</f>
        <v>0</v>
      </c>
      <c r="G2860" s="43">
        <f>G2859+Учет!B2860-B2860</f>
        <v>-488978.92000000004</v>
      </c>
      <c r="H2860" s="43">
        <f>H2859+Учет!C2860-C2860</f>
        <v>336855</v>
      </c>
      <c r="I2860" s="43">
        <f>I2859+Учет!D2860-D2860</f>
        <v>500</v>
      </c>
      <c r="J2860" s="43">
        <f>J2859+Учет!E2860-E2860</f>
        <v>1150</v>
      </c>
      <c r="K2860" s="43">
        <f>K2859+Учет!F2860-F2860</f>
        <v>500000</v>
      </c>
      <c r="L2860" s="45">
        <f>Учет!I2860</f>
        <v>349526.07999999996</v>
      </c>
    </row>
    <row r="2861" spans="1:12" x14ac:dyDescent="0.25">
      <c r="A2861" s="48" t="str">
        <f>IF(Учет!A2861&lt;&gt;"",Учет!A2861,"")</f>
        <v/>
      </c>
      <c r="B2861" s="52">
        <f>IF(Учет!$O2861=Справочники!$F$2,Учет!$H2861,0)</f>
        <v>0</v>
      </c>
      <c r="C2861" s="52">
        <f>IF(Учет!$O2861=Справочники!$F$3,Учет!$H2861,0)</f>
        <v>0</v>
      </c>
      <c r="D2861" s="52">
        <f>IF(Учет!$O2861=Справочники!$F$4,Учет!$H2861,0)</f>
        <v>0</v>
      </c>
      <c r="E2861" s="52">
        <f>IF(Учет!$O2861=Справочники!$F$5,Учет!$H2861,0)</f>
        <v>0</v>
      </c>
      <c r="F2861" s="52">
        <f>IF(Учет!$O2861=Справочники!$F$6,Учет!$H2861,0)</f>
        <v>0</v>
      </c>
      <c r="G2861" s="43">
        <f>G2860+Учет!B2861-B2861</f>
        <v>-488978.92000000004</v>
      </c>
      <c r="H2861" s="43">
        <f>H2860+Учет!C2861-C2861</f>
        <v>336855</v>
      </c>
      <c r="I2861" s="43">
        <f>I2860+Учет!D2861-D2861</f>
        <v>500</v>
      </c>
      <c r="J2861" s="43">
        <f>J2860+Учет!E2861-E2861</f>
        <v>1150</v>
      </c>
      <c r="K2861" s="43">
        <f>K2860+Учет!F2861-F2861</f>
        <v>500000</v>
      </c>
      <c r="L2861" s="45">
        <f>Учет!I2861</f>
        <v>349526.07999999996</v>
      </c>
    </row>
    <row r="2862" spans="1:12" x14ac:dyDescent="0.25">
      <c r="A2862" s="48" t="str">
        <f>IF(Учет!A2862&lt;&gt;"",Учет!A2862,"")</f>
        <v/>
      </c>
      <c r="B2862" s="52">
        <f>IF(Учет!$O2862=Справочники!$F$2,Учет!$H2862,0)</f>
        <v>0</v>
      </c>
      <c r="C2862" s="52">
        <f>IF(Учет!$O2862=Справочники!$F$3,Учет!$H2862,0)</f>
        <v>0</v>
      </c>
      <c r="D2862" s="52">
        <f>IF(Учет!$O2862=Справочники!$F$4,Учет!$H2862,0)</f>
        <v>0</v>
      </c>
      <c r="E2862" s="52">
        <f>IF(Учет!$O2862=Справочники!$F$5,Учет!$H2862,0)</f>
        <v>0</v>
      </c>
      <c r="F2862" s="52">
        <f>IF(Учет!$O2862=Справочники!$F$6,Учет!$H2862,0)</f>
        <v>0</v>
      </c>
      <c r="G2862" s="43">
        <f>G2861+Учет!B2862-B2862</f>
        <v>-488978.92000000004</v>
      </c>
      <c r="H2862" s="43">
        <f>H2861+Учет!C2862-C2862</f>
        <v>336855</v>
      </c>
      <c r="I2862" s="43">
        <f>I2861+Учет!D2862-D2862</f>
        <v>500</v>
      </c>
      <c r="J2862" s="43">
        <f>J2861+Учет!E2862-E2862</f>
        <v>1150</v>
      </c>
      <c r="K2862" s="43">
        <f>K2861+Учет!F2862-F2862</f>
        <v>500000</v>
      </c>
      <c r="L2862" s="45">
        <f>Учет!I2862</f>
        <v>349526.07999999996</v>
      </c>
    </row>
    <row r="2863" spans="1:12" x14ac:dyDescent="0.25">
      <c r="A2863" s="48" t="str">
        <f>IF(Учет!A2863&lt;&gt;"",Учет!A2863,"")</f>
        <v/>
      </c>
      <c r="B2863" s="52">
        <f>IF(Учет!$O2863=Справочники!$F$2,Учет!$H2863,0)</f>
        <v>0</v>
      </c>
      <c r="C2863" s="52">
        <f>IF(Учет!$O2863=Справочники!$F$3,Учет!$H2863,0)</f>
        <v>0</v>
      </c>
      <c r="D2863" s="52">
        <f>IF(Учет!$O2863=Справочники!$F$4,Учет!$H2863,0)</f>
        <v>0</v>
      </c>
      <c r="E2863" s="52">
        <f>IF(Учет!$O2863=Справочники!$F$5,Учет!$H2863,0)</f>
        <v>0</v>
      </c>
      <c r="F2863" s="52">
        <f>IF(Учет!$O2863=Справочники!$F$6,Учет!$H2863,0)</f>
        <v>0</v>
      </c>
      <c r="G2863" s="43">
        <f>G2862+Учет!B2863-B2863</f>
        <v>-488978.92000000004</v>
      </c>
      <c r="H2863" s="43">
        <f>H2862+Учет!C2863-C2863</f>
        <v>336855</v>
      </c>
      <c r="I2863" s="43">
        <f>I2862+Учет!D2863-D2863</f>
        <v>500</v>
      </c>
      <c r="J2863" s="43">
        <f>J2862+Учет!E2863-E2863</f>
        <v>1150</v>
      </c>
      <c r="K2863" s="43">
        <f>K2862+Учет!F2863-F2863</f>
        <v>500000</v>
      </c>
      <c r="L2863" s="45">
        <f>Учет!I2863</f>
        <v>349526.07999999996</v>
      </c>
    </row>
    <row r="2864" spans="1:12" x14ac:dyDescent="0.25">
      <c r="A2864" s="48" t="str">
        <f>IF(Учет!A2864&lt;&gt;"",Учет!A2864,"")</f>
        <v/>
      </c>
      <c r="B2864" s="52">
        <f>IF(Учет!$O2864=Справочники!$F$2,Учет!$H2864,0)</f>
        <v>0</v>
      </c>
      <c r="C2864" s="52">
        <f>IF(Учет!$O2864=Справочники!$F$3,Учет!$H2864,0)</f>
        <v>0</v>
      </c>
      <c r="D2864" s="52">
        <f>IF(Учет!$O2864=Справочники!$F$4,Учет!$H2864,0)</f>
        <v>0</v>
      </c>
      <c r="E2864" s="52">
        <f>IF(Учет!$O2864=Справочники!$F$5,Учет!$H2864,0)</f>
        <v>0</v>
      </c>
      <c r="F2864" s="52">
        <f>IF(Учет!$O2864=Справочники!$F$6,Учет!$H2864,0)</f>
        <v>0</v>
      </c>
      <c r="G2864" s="43">
        <f>G2863+Учет!B2864-B2864</f>
        <v>-488978.92000000004</v>
      </c>
      <c r="H2864" s="43">
        <f>H2863+Учет!C2864-C2864</f>
        <v>336855</v>
      </c>
      <c r="I2864" s="43">
        <f>I2863+Учет!D2864-D2864</f>
        <v>500</v>
      </c>
      <c r="J2864" s="43">
        <f>J2863+Учет!E2864-E2864</f>
        <v>1150</v>
      </c>
      <c r="K2864" s="43">
        <f>K2863+Учет!F2864-F2864</f>
        <v>500000</v>
      </c>
      <c r="L2864" s="45">
        <f>Учет!I2864</f>
        <v>349526.07999999996</v>
      </c>
    </row>
    <row r="2865" spans="1:12" x14ac:dyDescent="0.25">
      <c r="A2865" s="48" t="str">
        <f>IF(Учет!A2865&lt;&gt;"",Учет!A2865,"")</f>
        <v/>
      </c>
      <c r="B2865" s="52">
        <f>IF(Учет!$O2865=Справочники!$F$2,Учет!$H2865,0)</f>
        <v>0</v>
      </c>
      <c r="C2865" s="52">
        <f>IF(Учет!$O2865=Справочники!$F$3,Учет!$H2865,0)</f>
        <v>0</v>
      </c>
      <c r="D2865" s="52">
        <f>IF(Учет!$O2865=Справочники!$F$4,Учет!$H2865,0)</f>
        <v>0</v>
      </c>
      <c r="E2865" s="52">
        <f>IF(Учет!$O2865=Справочники!$F$5,Учет!$H2865,0)</f>
        <v>0</v>
      </c>
      <c r="F2865" s="52">
        <f>IF(Учет!$O2865=Справочники!$F$6,Учет!$H2865,0)</f>
        <v>0</v>
      </c>
      <c r="G2865" s="43">
        <f>G2864+Учет!B2865-B2865</f>
        <v>-488978.92000000004</v>
      </c>
      <c r="H2865" s="43">
        <f>H2864+Учет!C2865-C2865</f>
        <v>336855</v>
      </c>
      <c r="I2865" s="43">
        <f>I2864+Учет!D2865-D2865</f>
        <v>500</v>
      </c>
      <c r="J2865" s="43">
        <f>J2864+Учет!E2865-E2865</f>
        <v>1150</v>
      </c>
      <c r="K2865" s="43">
        <f>K2864+Учет!F2865-F2865</f>
        <v>500000</v>
      </c>
      <c r="L2865" s="45">
        <f>Учет!I2865</f>
        <v>349526.07999999996</v>
      </c>
    </row>
    <row r="2866" spans="1:12" x14ac:dyDescent="0.25">
      <c r="A2866" s="48" t="str">
        <f>IF(Учет!A2866&lt;&gt;"",Учет!A2866,"")</f>
        <v/>
      </c>
      <c r="B2866" s="52">
        <f>IF(Учет!$O2866=Справочники!$F$2,Учет!$H2866,0)</f>
        <v>0</v>
      </c>
      <c r="C2866" s="52">
        <f>IF(Учет!$O2866=Справочники!$F$3,Учет!$H2866,0)</f>
        <v>0</v>
      </c>
      <c r="D2866" s="52">
        <f>IF(Учет!$O2866=Справочники!$F$4,Учет!$H2866,0)</f>
        <v>0</v>
      </c>
      <c r="E2866" s="52">
        <f>IF(Учет!$O2866=Справочники!$F$5,Учет!$H2866,0)</f>
        <v>0</v>
      </c>
      <c r="F2866" s="52">
        <f>IF(Учет!$O2866=Справочники!$F$6,Учет!$H2866,0)</f>
        <v>0</v>
      </c>
      <c r="G2866" s="43">
        <f>G2865+Учет!B2866-B2866</f>
        <v>-488978.92000000004</v>
      </c>
      <c r="H2866" s="43">
        <f>H2865+Учет!C2866-C2866</f>
        <v>336855</v>
      </c>
      <c r="I2866" s="43">
        <f>I2865+Учет!D2866-D2866</f>
        <v>500</v>
      </c>
      <c r="J2866" s="43">
        <f>J2865+Учет!E2866-E2866</f>
        <v>1150</v>
      </c>
      <c r="K2866" s="43">
        <f>K2865+Учет!F2866-F2866</f>
        <v>500000</v>
      </c>
      <c r="L2866" s="45">
        <f>Учет!I2866</f>
        <v>349526.07999999996</v>
      </c>
    </row>
    <row r="2867" spans="1:12" x14ac:dyDescent="0.25">
      <c r="A2867" s="48" t="str">
        <f>IF(Учет!A2867&lt;&gt;"",Учет!A2867,"")</f>
        <v/>
      </c>
      <c r="B2867" s="52">
        <f>IF(Учет!$O2867=Справочники!$F$2,Учет!$H2867,0)</f>
        <v>0</v>
      </c>
      <c r="C2867" s="52">
        <f>IF(Учет!$O2867=Справочники!$F$3,Учет!$H2867,0)</f>
        <v>0</v>
      </c>
      <c r="D2867" s="52">
        <f>IF(Учет!$O2867=Справочники!$F$4,Учет!$H2867,0)</f>
        <v>0</v>
      </c>
      <c r="E2867" s="52">
        <f>IF(Учет!$O2867=Справочники!$F$5,Учет!$H2867,0)</f>
        <v>0</v>
      </c>
      <c r="F2867" s="52">
        <f>IF(Учет!$O2867=Справочники!$F$6,Учет!$H2867,0)</f>
        <v>0</v>
      </c>
      <c r="G2867" s="43">
        <f>G2866+Учет!B2867-B2867</f>
        <v>-488978.92000000004</v>
      </c>
      <c r="H2867" s="43">
        <f>H2866+Учет!C2867-C2867</f>
        <v>336855</v>
      </c>
      <c r="I2867" s="43">
        <f>I2866+Учет!D2867-D2867</f>
        <v>500</v>
      </c>
      <c r="J2867" s="43">
        <f>J2866+Учет!E2867-E2867</f>
        <v>1150</v>
      </c>
      <c r="K2867" s="43">
        <f>K2866+Учет!F2867-F2867</f>
        <v>500000</v>
      </c>
      <c r="L2867" s="45">
        <f>Учет!I2867</f>
        <v>349526.07999999996</v>
      </c>
    </row>
    <row r="2868" spans="1:12" x14ac:dyDescent="0.25">
      <c r="A2868" s="48" t="str">
        <f>IF(Учет!A2868&lt;&gt;"",Учет!A2868,"")</f>
        <v/>
      </c>
      <c r="B2868" s="52">
        <f>IF(Учет!$O2868=Справочники!$F$2,Учет!$H2868,0)</f>
        <v>0</v>
      </c>
      <c r="C2868" s="52">
        <f>IF(Учет!$O2868=Справочники!$F$3,Учет!$H2868,0)</f>
        <v>0</v>
      </c>
      <c r="D2868" s="52">
        <f>IF(Учет!$O2868=Справочники!$F$4,Учет!$H2868,0)</f>
        <v>0</v>
      </c>
      <c r="E2868" s="52">
        <f>IF(Учет!$O2868=Справочники!$F$5,Учет!$H2868,0)</f>
        <v>0</v>
      </c>
      <c r="F2868" s="52">
        <f>IF(Учет!$O2868=Справочники!$F$6,Учет!$H2868,0)</f>
        <v>0</v>
      </c>
      <c r="G2868" s="43">
        <f>G2867+Учет!B2868-B2868</f>
        <v>-488978.92000000004</v>
      </c>
      <c r="H2868" s="43">
        <f>H2867+Учет!C2868-C2868</f>
        <v>336855</v>
      </c>
      <c r="I2868" s="43">
        <f>I2867+Учет!D2868-D2868</f>
        <v>500</v>
      </c>
      <c r="J2868" s="43">
        <f>J2867+Учет!E2868-E2868</f>
        <v>1150</v>
      </c>
      <c r="K2868" s="43">
        <f>K2867+Учет!F2868-F2868</f>
        <v>500000</v>
      </c>
      <c r="L2868" s="45">
        <f>Учет!I2868</f>
        <v>349526.07999999996</v>
      </c>
    </row>
    <row r="2869" spans="1:12" x14ac:dyDescent="0.25">
      <c r="A2869" s="48" t="str">
        <f>IF(Учет!A2869&lt;&gt;"",Учет!A2869,"")</f>
        <v/>
      </c>
      <c r="B2869" s="52">
        <f>IF(Учет!$O2869=Справочники!$F$2,Учет!$H2869,0)</f>
        <v>0</v>
      </c>
      <c r="C2869" s="52">
        <f>IF(Учет!$O2869=Справочники!$F$3,Учет!$H2869,0)</f>
        <v>0</v>
      </c>
      <c r="D2869" s="52">
        <f>IF(Учет!$O2869=Справочники!$F$4,Учет!$H2869,0)</f>
        <v>0</v>
      </c>
      <c r="E2869" s="52">
        <f>IF(Учет!$O2869=Справочники!$F$5,Учет!$H2869,0)</f>
        <v>0</v>
      </c>
      <c r="F2869" s="52">
        <f>IF(Учет!$O2869=Справочники!$F$6,Учет!$H2869,0)</f>
        <v>0</v>
      </c>
      <c r="G2869" s="43">
        <f>G2868+Учет!B2869-B2869</f>
        <v>-488978.92000000004</v>
      </c>
      <c r="H2869" s="43">
        <f>H2868+Учет!C2869-C2869</f>
        <v>336855</v>
      </c>
      <c r="I2869" s="43">
        <f>I2868+Учет!D2869-D2869</f>
        <v>500</v>
      </c>
      <c r="J2869" s="43">
        <f>J2868+Учет!E2869-E2869</f>
        <v>1150</v>
      </c>
      <c r="K2869" s="43">
        <f>K2868+Учет!F2869-F2869</f>
        <v>500000</v>
      </c>
      <c r="L2869" s="45">
        <f>Учет!I2869</f>
        <v>349526.07999999996</v>
      </c>
    </row>
    <row r="2870" spans="1:12" x14ac:dyDescent="0.25">
      <c r="A2870" s="48" t="str">
        <f>IF(Учет!A2870&lt;&gt;"",Учет!A2870,"")</f>
        <v/>
      </c>
      <c r="B2870" s="52">
        <f>IF(Учет!$O2870=Справочники!$F$2,Учет!$H2870,0)</f>
        <v>0</v>
      </c>
      <c r="C2870" s="52">
        <f>IF(Учет!$O2870=Справочники!$F$3,Учет!$H2870,0)</f>
        <v>0</v>
      </c>
      <c r="D2870" s="52">
        <f>IF(Учет!$O2870=Справочники!$F$4,Учет!$H2870,0)</f>
        <v>0</v>
      </c>
      <c r="E2870" s="52">
        <f>IF(Учет!$O2870=Справочники!$F$5,Учет!$H2870,0)</f>
        <v>0</v>
      </c>
      <c r="F2870" s="52">
        <f>IF(Учет!$O2870=Справочники!$F$6,Учет!$H2870,0)</f>
        <v>0</v>
      </c>
      <c r="G2870" s="43">
        <f>G2869+Учет!B2870-B2870</f>
        <v>-488978.92000000004</v>
      </c>
      <c r="H2870" s="43">
        <f>H2869+Учет!C2870-C2870</f>
        <v>336855</v>
      </c>
      <c r="I2870" s="43">
        <f>I2869+Учет!D2870-D2870</f>
        <v>500</v>
      </c>
      <c r="J2870" s="43">
        <f>J2869+Учет!E2870-E2870</f>
        <v>1150</v>
      </c>
      <c r="K2870" s="43">
        <f>K2869+Учет!F2870-F2870</f>
        <v>500000</v>
      </c>
      <c r="L2870" s="45">
        <f>Учет!I2870</f>
        <v>349526.07999999996</v>
      </c>
    </row>
    <row r="2871" spans="1:12" x14ac:dyDescent="0.25">
      <c r="A2871" s="48" t="str">
        <f>IF(Учет!A2871&lt;&gt;"",Учет!A2871,"")</f>
        <v/>
      </c>
      <c r="B2871" s="52">
        <f>IF(Учет!$O2871=Справочники!$F$2,Учет!$H2871,0)</f>
        <v>0</v>
      </c>
      <c r="C2871" s="52">
        <f>IF(Учет!$O2871=Справочники!$F$3,Учет!$H2871,0)</f>
        <v>0</v>
      </c>
      <c r="D2871" s="52">
        <f>IF(Учет!$O2871=Справочники!$F$4,Учет!$H2871,0)</f>
        <v>0</v>
      </c>
      <c r="E2871" s="52">
        <f>IF(Учет!$O2871=Справочники!$F$5,Учет!$H2871,0)</f>
        <v>0</v>
      </c>
      <c r="F2871" s="52">
        <f>IF(Учет!$O2871=Справочники!$F$6,Учет!$H2871,0)</f>
        <v>0</v>
      </c>
      <c r="G2871" s="43">
        <f>G2870+Учет!B2871-B2871</f>
        <v>-488978.92000000004</v>
      </c>
      <c r="H2871" s="43">
        <f>H2870+Учет!C2871-C2871</f>
        <v>336855</v>
      </c>
      <c r="I2871" s="43">
        <f>I2870+Учет!D2871-D2871</f>
        <v>500</v>
      </c>
      <c r="J2871" s="43">
        <f>J2870+Учет!E2871-E2871</f>
        <v>1150</v>
      </c>
      <c r="K2871" s="43">
        <f>K2870+Учет!F2871-F2871</f>
        <v>500000</v>
      </c>
      <c r="L2871" s="45">
        <f>Учет!I2871</f>
        <v>349526.07999999996</v>
      </c>
    </row>
    <row r="2872" spans="1:12" x14ac:dyDescent="0.25">
      <c r="A2872" s="48" t="str">
        <f>IF(Учет!A2872&lt;&gt;"",Учет!A2872,"")</f>
        <v/>
      </c>
      <c r="B2872" s="52">
        <f>IF(Учет!$O2872=Справочники!$F$2,Учет!$H2872,0)</f>
        <v>0</v>
      </c>
      <c r="C2872" s="52">
        <f>IF(Учет!$O2872=Справочники!$F$3,Учет!$H2872,0)</f>
        <v>0</v>
      </c>
      <c r="D2872" s="52">
        <f>IF(Учет!$O2872=Справочники!$F$4,Учет!$H2872,0)</f>
        <v>0</v>
      </c>
      <c r="E2872" s="52">
        <f>IF(Учет!$O2872=Справочники!$F$5,Учет!$H2872,0)</f>
        <v>0</v>
      </c>
      <c r="F2872" s="52">
        <f>IF(Учет!$O2872=Справочники!$F$6,Учет!$H2872,0)</f>
        <v>0</v>
      </c>
      <c r="G2872" s="43">
        <f>G2871+Учет!B2872-B2872</f>
        <v>-488978.92000000004</v>
      </c>
      <c r="H2872" s="43">
        <f>H2871+Учет!C2872-C2872</f>
        <v>336855</v>
      </c>
      <c r="I2872" s="43">
        <f>I2871+Учет!D2872-D2872</f>
        <v>500</v>
      </c>
      <c r="J2872" s="43">
        <f>J2871+Учет!E2872-E2872</f>
        <v>1150</v>
      </c>
      <c r="K2872" s="43">
        <f>K2871+Учет!F2872-F2872</f>
        <v>500000</v>
      </c>
      <c r="L2872" s="45">
        <f>Учет!I2872</f>
        <v>349526.07999999996</v>
      </c>
    </row>
    <row r="2873" spans="1:12" x14ac:dyDescent="0.25">
      <c r="A2873" s="48" t="str">
        <f>IF(Учет!A2873&lt;&gt;"",Учет!A2873,"")</f>
        <v/>
      </c>
      <c r="B2873" s="52">
        <f>IF(Учет!$O2873=Справочники!$F$2,Учет!$H2873,0)</f>
        <v>0</v>
      </c>
      <c r="C2873" s="52">
        <f>IF(Учет!$O2873=Справочники!$F$3,Учет!$H2873,0)</f>
        <v>0</v>
      </c>
      <c r="D2873" s="52">
        <f>IF(Учет!$O2873=Справочники!$F$4,Учет!$H2873,0)</f>
        <v>0</v>
      </c>
      <c r="E2873" s="52">
        <f>IF(Учет!$O2873=Справочники!$F$5,Учет!$H2873,0)</f>
        <v>0</v>
      </c>
      <c r="F2873" s="52">
        <f>IF(Учет!$O2873=Справочники!$F$6,Учет!$H2873,0)</f>
        <v>0</v>
      </c>
      <c r="G2873" s="43">
        <f>G2872+Учет!B2873-B2873</f>
        <v>-488978.92000000004</v>
      </c>
      <c r="H2873" s="43">
        <f>H2872+Учет!C2873-C2873</f>
        <v>336855</v>
      </c>
      <c r="I2873" s="43">
        <f>I2872+Учет!D2873-D2873</f>
        <v>500</v>
      </c>
      <c r="J2873" s="43">
        <f>J2872+Учет!E2873-E2873</f>
        <v>1150</v>
      </c>
      <c r="K2873" s="43">
        <f>K2872+Учет!F2873-F2873</f>
        <v>500000</v>
      </c>
      <c r="L2873" s="45">
        <f>Учет!I2873</f>
        <v>349526.07999999996</v>
      </c>
    </row>
    <row r="2874" spans="1:12" x14ac:dyDescent="0.25">
      <c r="A2874" s="48" t="str">
        <f>IF(Учет!A2874&lt;&gt;"",Учет!A2874,"")</f>
        <v/>
      </c>
      <c r="B2874" s="52">
        <f>IF(Учет!$O2874=Справочники!$F$2,Учет!$H2874,0)</f>
        <v>0</v>
      </c>
      <c r="C2874" s="52">
        <f>IF(Учет!$O2874=Справочники!$F$3,Учет!$H2874,0)</f>
        <v>0</v>
      </c>
      <c r="D2874" s="52">
        <f>IF(Учет!$O2874=Справочники!$F$4,Учет!$H2874,0)</f>
        <v>0</v>
      </c>
      <c r="E2874" s="52">
        <f>IF(Учет!$O2874=Справочники!$F$5,Учет!$H2874,0)</f>
        <v>0</v>
      </c>
      <c r="F2874" s="52">
        <f>IF(Учет!$O2874=Справочники!$F$6,Учет!$H2874,0)</f>
        <v>0</v>
      </c>
      <c r="G2874" s="43">
        <f>G2873+Учет!B2874-B2874</f>
        <v>-488978.92000000004</v>
      </c>
      <c r="H2874" s="43">
        <f>H2873+Учет!C2874-C2874</f>
        <v>336855</v>
      </c>
      <c r="I2874" s="43">
        <f>I2873+Учет!D2874-D2874</f>
        <v>500</v>
      </c>
      <c r="J2874" s="43">
        <f>J2873+Учет!E2874-E2874</f>
        <v>1150</v>
      </c>
      <c r="K2874" s="43">
        <f>K2873+Учет!F2874-F2874</f>
        <v>500000</v>
      </c>
      <c r="L2874" s="45">
        <f>Учет!I2874</f>
        <v>349526.07999999996</v>
      </c>
    </row>
    <row r="2875" spans="1:12" x14ac:dyDescent="0.25">
      <c r="A2875" s="48" t="str">
        <f>IF(Учет!A2875&lt;&gt;"",Учет!A2875,"")</f>
        <v/>
      </c>
      <c r="B2875" s="52">
        <f>IF(Учет!$O2875=Справочники!$F$2,Учет!$H2875,0)</f>
        <v>0</v>
      </c>
      <c r="C2875" s="52">
        <f>IF(Учет!$O2875=Справочники!$F$3,Учет!$H2875,0)</f>
        <v>0</v>
      </c>
      <c r="D2875" s="52">
        <f>IF(Учет!$O2875=Справочники!$F$4,Учет!$H2875,0)</f>
        <v>0</v>
      </c>
      <c r="E2875" s="52">
        <f>IF(Учет!$O2875=Справочники!$F$5,Учет!$H2875,0)</f>
        <v>0</v>
      </c>
      <c r="F2875" s="52">
        <f>IF(Учет!$O2875=Справочники!$F$6,Учет!$H2875,0)</f>
        <v>0</v>
      </c>
      <c r="G2875" s="43">
        <f>G2874+Учет!B2875-B2875</f>
        <v>-488978.92000000004</v>
      </c>
      <c r="H2875" s="43">
        <f>H2874+Учет!C2875-C2875</f>
        <v>336855</v>
      </c>
      <c r="I2875" s="43">
        <f>I2874+Учет!D2875-D2875</f>
        <v>500</v>
      </c>
      <c r="J2875" s="43">
        <f>J2874+Учет!E2875-E2875</f>
        <v>1150</v>
      </c>
      <c r="K2875" s="43">
        <f>K2874+Учет!F2875-F2875</f>
        <v>500000</v>
      </c>
      <c r="L2875" s="45">
        <f>Учет!I2875</f>
        <v>349526.07999999996</v>
      </c>
    </row>
    <row r="2876" spans="1:12" x14ac:dyDescent="0.25">
      <c r="A2876" s="48" t="str">
        <f>IF(Учет!A2876&lt;&gt;"",Учет!A2876,"")</f>
        <v/>
      </c>
      <c r="B2876" s="52">
        <f>IF(Учет!$O2876=Справочники!$F$2,Учет!$H2876,0)</f>
        <v>0</v>
      </c>
      <c r="C2876" s="52">
        <f>IF(Учет!$O2876=Справочники!$F$3,Учет!$H2876,0)</f>
        <v>0</v>
      </c>
      <c r="D2876" s="52">
        <f>IF(Учет!$O2876=Справочники!$F$4,Учет!$H2876,0)</f>
        <v>0</v>
      </c>
      <c r="E2876" s="52">
        <f>IF(Учет!$O2876=Справочники!$F$5,Учет!$H2876,0)</f>
        <v>0</v>
      </c>
      <c r="F2876" s="52">
        <f>IF(Учет!$O2876=Справочники!$F$6,Учет!$H2876,0)</f>
        <v>0</v>
      </c>
      <c r="G2876" s="43">
        <f>G2875+Учет!B2876-B2876</f>
        <v>-488978.92000000004</v>
      </c>
      <c r="H2876" s="43">
        <f>H2875+Учет!C2876-C2876</f>
        <v>336855</v>
      </c>
      <c r="I2876" s="43">
        <f>I2875+Учет!D2876-D2876</f>
        <v>500</v>
      </c>
      <c r="J2876" s="43">
        <f>J2875+Учет!E2876-E2876</f>
        <v>1150</v>
      </c>
      <c r="K2876" s="43">
        <f>K2875+Учет!F2876-F2876</f>
        <v>500000</v>
      </c>
      <c r="L2876" s="45">
        <f>Учет!I2876</f>
        <v>349526.07999999996</v>
      </c>
    </row>
    <row r="2877" spans="1:12" x14ac:dyDescent="0.25">
      <c r="A2877" s="48" t="str">
        <f>IF(Учет!A2877&lt;&gt;"",Учет!A2877,"")</f>
        <v/>
      </c>
      <c r="B2877" s="52">
        <f>IF(Учет!$O2877=Справочники!$F$2,Учет!$H2877,0)</f>
        <v>0</v>
      </c>
      <c r="C2877" s="52">
        <f>IF(Учет!$O2877=Справочники!$F$3,Учет!$H2877,0)</f>
        <v>0</v>
      </c>
      <c r="D2877" s="52">
        <f>IF(Учет!$O2877=Справочники!$F$4,Учет!$H2877,0)</f>
        <v>0</v>
      </c>
      <c r="E2877" s="52">
        <f>IF(Учет!$O2877=Справочники!$F$5,Учет!$H2877,0)</f>
        <v>0</v>
      </c>
      <c r="F2877" s="52">
        <f>IF(Учет!$O2877=Справочники!$F$6,Учет!$H2877,0)</f>
        <v>0</v>
      </c>
      <c r="G2877" s="43">
        <f>G2876+Учет!B2877-B2877</f>
        <v>-488978.92000000004</v>
      </c>
      <c r="H2877" s="43">
        <f>H2876+Учет!C2877-C2877</f>
        <v>336855</v>
      </c>
      <c r="I2877" s="43">
        <f>I2876+Учет!D2877-D2877</f>
        <v>500</v>
      </c>
      <c r="J2877" s="43">
        <f>J2876+Учет!E2877-E2877</f>
        <v>1150</v>
      </c>
      <c r="K2877" s="43">
        <f>K2876+Учет!F2877-F2877</f>
        <v>500000</v>
      </c>
      <c r="L2877" s="45">
        <f>Учет!I2877</f>
        <v>349526.07999999996</v>
      </c>
    </row>
    <row r="2878" spans="1:12" x14ac:dyDescent="0.25">
      <c r="A2878" s="48" t="str">
        <f>IF(Учет!A2878&lt;&gt;"",Учет!A2878,"")</f>
        <v/>
      </c>
      <c r="B2878" s="52">
        <f>IF(Учет!$O2878=Справочники!$F$2,Учет!$H2878,0)</f>
        <v>0</v>
      </c>
      <c r="C2878" s="52">
        <f>IF(Учет!$O2878=Справочники!$F$3,Учет!$H2878,0)</f>
        <v>0</v>
      </c>
      <c r="D2878" s="52">
        <f>IF(Учет!$O2878=Справочники!$F$4,Учет!$H2878,0)</f>
        <v>0</v>
      </c>
      <c r="E2878" s="52">
        <f>IF(Учет!$O2878=Справочники!$F$5,Учет!$H2878,0)</f>
        <v>0</v>
      </c>
      <c r="F2878" s="52">
        <f>IF(Учет!$O2878=Справочники!$F$6,Учет!$H2878,0)</f>
        <v>0</v>
      </c>
      <c r="G2878" s="43">
        <f>G2877+Учет!B2878-B2878</f>
        <v>-488978.92000000004</v>
      </c>
      <c r="H2878" s="43">
        <f>H2877+Учет!C2878-C2878</f>
        <v>336855</v>
      </c>
      <c r="I2878" s="43">
        <f>I2877+Учет!D2878-D2878</f>
        <v>500</v>
      </c>
      <c r="J2878" s="43">
        <f>J2877+Учет!E2878-E2878</f>
        <v>1150</v>
      </c>
      <c r="K2878" s="43">
        <f>K2877+Учет!F2878-F2878</f>
        <v>500000</v>
      </c>
      <c r="L2878" s="45">
        <f>Учет!I2878</f>
        <v>349526.07999999996</v>
      </c>
    </row>
    <row r="2879" spans="1:12" x14ac:dyDescent="0.25">
      <c r="A2879" s="48" t="str">
        <f>IF(Учет!A2879&lt;&gt;"",Учет!A2879,"")</f>
        <v/>
      </c>
      <c r="B2879" s="52">
        <f>IF(Учет!$O2879=Справочники!$F$2,Учет!$H2879,0)</f>
        <v>0</v>
      </c>
      <c r="C2879" s="52">
        <f>IF(Учет!$O2879=Справочники!$F$3,Учет!$H2879,0)</f>
        <v>0</v>
      </c>
      <c r="D2879" s="52">
        <f>IF(Учет!$O2879=Справочники!$F$4,Учет!$H2879,0)</f>
        <v>0</v>
      </c>
      <c r="E2879" s="52">
        <f>IF(Учет!$O2879=Справочники!$F$5,Учет!$H2879,0)</f>
        <v>0</v>
      </c>
      <c r="F2879" s="52">
        <f>IF(Учет!$O2879=Справочники!$F$6,Учет!$H2879,0)</f>
        <v>0</v>
      </c>
      <c r="G2879" s="43">
        <f>G2878+Учет!B2879-B2879</f>
        <v>-488978.92000000004</v>
      </c>
      <c r="H2879" s="43">
        <f>H2878+Учет!C2879-C2879</f>
        <v>336855</v>
      </c>
      <c r="I2879" s="43">
        <f>I2878+Учет!D2879-D2879</f>
        <v>500</v>
      </c>
      <c r="J2879" s="43">
        <f>J2878+Учет!E2879-E2879</f>
        <v>1150</v>
      </c>
      <c r="K2879" s="43">
        <f>K2878+Учет!F2879-F2879</f>
        <v>500000</v>
      </c>
      <c r="L2879" s="45">
        <f>Учет!I2879</f>
        <v>349526.07999999996</v>
      </c>
    </row>
    <row r="2880" spans="1:12" x14ac:dyDescent="0.25">
      <c r="A2880" s="48" t="str">
        <f>IF(Учет!A2880&lt;&gt;"",Учет!A2880,"")</f>
        <v/>
      </c>
      <c r="B2880" s="52">
        <f>IF(Учет!$O2880=Справочники!$F$2,Учет!$H2880,0)</f>
        <v>0</v>
      </c>
      <c r="C2880" s="52">
        <f>IF(Учет!$O2880=Справочники!$F$3,Учет!$H2880,0)</f>
        <v>0</v>
      </c>
      <c r="D2880" s="52">
        <f>IF(Учет!$O2880=Справочники!$F$4,Учет!$H2880,0)</f>
        <v>0</v>
      </c>
      <c r="E2880" s="52">
        <f>IF(Учет!$O2880=Справочники!$F$5,Учет!$H2880,0)</f>
        <v>0</v>
      </c>
      <c r="F2880" s="52">
        <f>IF(Учет!$O2880=Справочники!$F$6,Учет!$H2880,0)</f>
        <v>0</v>
      </c>
      <c r="G2880" s="43">
        <f>G2879+Учет!B2880-B2880</f>
        <v>-488978.92000000004</v>
      </c>
      <c r="H2880" s="43">
        <f>H2879+Учет!C2880-C2880</f>
        <v>336855</v>
      </c>
      <c r="I2880" s="43">
        <f>I2879+Учет!D2880-D2880</f>
        <v>500</v>
      </c>
      <c r="J2880" s="43">
        <f>J2879+Учет!E2880-E2880</f>
        <v>1150</v>
      </c>
      <c r="K2880" s="43">
        <f>K2879+Учет!F2880-F2880</f>
        <v>500000</v>
      </c>
      <c r="L2880" s="45">
        <f>Учет!I2880</f>
        <v>349526.07999999996</v>
      </c>
    </row>
    <row r="2881" spans="1:12" x14ac:dyDescent="0.25">
      <c r="A2881" s="48" t="str">
        <f>IF(Учет!A2881&lt;&gt;"",Учет!A2881,"")</f>
        <v/>
      </c>
      <c r="B2881" s="52">
        <f>IF(Учет!$O2881=Справочники!$F$2,Учет!$H2881,0)</f>
        <v>0</v>
      </c>
      <c r="C2881" s="52">
        <f>IF(Учет!$O2881=Справочники!$F$3,Учет!$H2881,0)</f>
        <v>0</v>
      </c>
      <c r="D2881" s="52">
        <f>IF(Учет!$O2881=Справочники!$F$4,Учет!$H2881,0)</f>
        <v>0</v>
      </c>
      <c r="E2881" s="52">
        <f>IF(Учет!$O2881=Справочники!$F$5,Учет!$H2881,0)</f>
        <v>0</v>
      </c>
      <c r="F2881" s="52">
        <f>IF(Учет!$O2881=Справочники!$F$6,Учет!$H2881,0)</f>
        <v>0</v>
      </c>
      <c r="G2881" s="43">
        <f>G2880+Учет!B2881-B2881</f>
        <v>-488978.92000000004</v>
      </c>
      <c r="H2881" s="43">
        <f>H2880+Учет!C2881-C2881</f>
        <v>336855</v>
      </c>
      <c r="I2881" s="43">
        <f>I2880+Учет!D2881-D2881</f>
        <v>500</v>
      </c>
      <c r="J2881" s="43">
        <f>J2880+Учет!E2881-E2881</f>
        <v>1150</v>
      </c>
      <c r="K2881" s="43">
        <f>K2880+Учет!F2881-F2881</f>
        <v>500000</v>
      </c>
      <c r="L2881" s="45">
        <f>Учет!I2881</f>
        <v>349526.07999999996</v>
      </c>
    </row>
    <row r="2882" spans="1:12" x14ac:dyDescent="0.25">
      <c r="A2882" s="48" t="str">
        <f>IF(Учет!A2882&lt;&gt;"",Учет!A2882,"")</f>
        <v/>
      </c>
      <c r="B2882" s="52">
        <f>IF(Учет!$O2882=Справочники!$F$2,Учет!$H2882,0)</f>
        <v>0</v>
      </c>
      <c r="C2882" s="52">
        <f>IF(Учет!$O2882=Справочники!$F$3,Учет!$H2882,0)</f>
        <v>0</v>
      </c>
      <c r="D2882" s="52">
        <f>IF(Учет!$O2882=Справочники!$F$4,Учет!$H2882,0)</f>
        <v>0</v>
      </c>
      <c r="E2882" s="52">
        <f>IF(Учет!$O2882=Справочники!$F$5,Учет!$H2882,0)</f>
        <v>0</v>
      </c>
      <c r="F2882" s="52">
        <f>IF(Учет!$O2882=Справочники!$F$6,Учет!$H2882,0)</f>
        <v>0</v>
      </c>
      <c r="G2882" s="43">
        <f>G2881+Учет!B2882-B2882</f>
        <v>-488978.92000000004</v>
      </c>
      <c r="H2882" s="43">
        <f>H2881+Учет!C2882-C2882</f>
        <v>336855</v>
      </c>
      <c r="I2882" s="43">
        <f>I2881+Учет!D2882-D2882</f>
        <v>500</v>
      </c>
      <c r="J2882" s="43">
        <f>J2881+Учет!E2882-E2882</f>
        <v>1150</v>
      </c>
      <c r="K2882" s="43">
        <f>K2881+Учет!F2882-F2882</f>
        <v>500000</v>
      </c>
      <c r="L2882" s="45">
        <f>Учет!I2882</f>
        <v>349526.07999999996</v>
      </c>
    </row>
    <row r="2883" spans="1:12" x14ac:dyDescent="0.25">
      <c r="A2883" s="48" t="str">
        <f>IF(Учет!A2883&lt;&gt;"",Учет!A2883,"")</f>
        <v/>
      </c>
      <c r="B2883" s="52">
        <f>IF(Учет!$O2883=Справочники!$F$2,Учет!$H2883,0)</f>
        <v>0</v>
      </c>
      <c r="C2883" s="52">
        <f>IF(Учет!$O2883=Справочники!$F$3,Учет!$H2883,0)</f>
        <v>0</v>
      </c>
      <c r="D2883" s="52">
        <f>IF(Учет!$O2883=Справочники!$F$4,Учет!$H2883,0)</f>
        <v>0</v>
      </c>
      <c r="E2883" s="52">
        <f>IF(Учет!$O2883=Справочники!$F$5,Учет!$H2883,0)</f>
        <v>0</v>
      </c>
      <c r="F2883" s="52">
        <f>IF(Учет!$O2883=Справочники!$F$6,Учет!$H2883,0)</f>
        <v>0</v>
      </c>
      <c r="G2883" s="43">
        <f>G2882+Учет!B2883-B2883</f>
        <v>-488978.92000000004</v>
      </c>
      <c r="H2883" s="43">
        <f>H2882+Учет!C2883-C2883</f>
        <v>336855</v>
      </c>
      <c r="I2883" s="43">
        <f>I2882+Учет!D2883-D2883</f>
        <v>500</v>
      </c>
      <c r="J2883" s="43">
        <f>J2882+Учет!E2883-E2883</f>
        <v>1150</v>
      </c>
      <c r="K2883" s="43">
        <f>K2882+Учет!F2883-F2883</f>
        <v>500000</v>
      </c>
      <c r="L2883" s="45">
        <f>Учет!I2883</f>
        <v>349526.07999999996</v>
      </c>
    </row>
    <row r="2884" spans="1:12" x14ac:dyDescent="0.25">
      <c r="A2884" s="48" t="str">
        <f>IF(Учет!A2884&lt;&gt;"",Учет!A2884,"")</f>
        <v/>
      </c>
      <c r="B2884" s="52">
        <f>IF(Учет!$O2884=Справочники!$F$2,Учет!$H2884,0)</f>
        <v>0</v>
      </c>
      <c r="C2884" s="52">
        <f>IF(Учет!$O2884=Справочники!$F$3,Учет!$H2884,0)</f>
        <v>0</v>
      </c>
      <c r="D2884" s="52">
        <f>IF(Учет!$O2884=Справочники!$F$4,Учет!$H2884,0)</f>
        <v>0</v>
      </c>
      <c r="E2884" s="52">
        <f>IF(Учет!$O2884=Справочники!$F$5,Учет!$H2884,0)</f>
        <v>0</v>
      </c>
      <c r="F2884" s="52">
        <f>IF(Учет!$O2884=Справочники!$F$6,Учет!$H2884,0)</f>
        <v>0</v>
      </c>
      <c r="G2884" s="43">
        <f>G2883+Учет!B2884-B2884</f>
        <v>-488978.92000000004</v>
      </c>
      <c r="H2884" s="43">
        <f>H2883+Учет!C2884-C2884</f>
        <v>336855</v>
      </c>
      <c r="I2884" s="43">
        <f>I2883+Учет!D2884-D2884</f>
        <v>500</v>
      </c>
      <c r="J2884" s="43">
        <f>J2883+Учет!E2884-E2884</f>
        <v>1150</v>
      </c>
      <c r="K2884" s="43">
        <f>K2883+Учет!F2884-F2884</f>
        <v>500000</v>
      </c>
      <c r="L2884" s="45">
        <f>Учет!I2884</f>
        <v>349526.07999999996</v>
      </c>
    </row>
    <row r="2885" spans="1:12" x14ac:dyDescent="0.25">
      <c r="A2885" s="48" t="str">
        <f>IF(Учет!A2885&lt;&gt;"",Учет!A2885,"")</f>
        <v/>
      </c>
      <c r="B2885" s="52">
        <f>IF(Учет!$O2885=Справочники!$F$2,Учет!$H2885,0)</f>
        <v>0</v>
      </c>
      <c r="C2885" s="52">
        <f>IF(Учет!$O2885=Справочники!$F$3,Учет!$H2885,0)</f>
        <v>0</v>
      </c>
      <c r="D2885" s="52">
        <f>IF(Учет!$O2885=Справочники!$F$4,Учет!$H2885,0)</f>
        <v>0</v>
      </c>
      <c r="E2885" s="52">
        <f>IF(Учет!$O2885=Справочники!$F$5,Учет!$H2885,0)</f>
        <v>0</v>
      </c>
      <c r="F2885" s="52">
        <f>IF(Учет!$O2885=Справочники!$F$6,Учет!$H2885,0)</f>
        <v>0</v>
      </c>
      <c r="G2885" s="43">
        <f>G2884+Учет!B2885-B2885</f>
        <v>-488978.92000000004</v>
      </c>
      <c r="H2885" s="43">
        <f>H2884+Учет!C2885-C2885</f>
        <v>336855</v>
      </c>
      <c r="I2885" s="43">
        <f>I2884+Учет!D2885-D2885</f>
        <v>500</v>
      </c>
      <c r="J2885" s="43">
        <f>J2884+Учет!E2885-E2885</f>
        <v>1150</v>
      </c>
      <c r="K2885" s="43">
        <f>K2884+Учет!F2885-F2885</f>
        <v>500000</v>
      </c>
      <c r="L2885" s="45">
        <f>Учет!I2885</f>
        <v>349526.07999999996</v>
      </c>
    </row>
    <row r="2886" spans="1:12" x14ac:dyDescent="0.25">
      <c r="A2886" s="48" t="str">
        <f>IF(Учет!A2886&lt;&gt;"",Учет!A2886,"")</f>
        <v/>
      </c>
      <c r="B2886" s="52">
        <f>IF(Учет!$O2886=Справочники!$F$2,Учет!$H2886,0)</f>
        <v>0</v>
      </c>
      <c r="C2886" s="52">
        <f>IF(Учет!$O2886=Справочники!$F$3,Учет!$H2886,0)</f>
        <v>0</v>
      </c>
      <c r="D2886" s="52">
        <f>IF(Учет!$O2886=Справочники!$F$4,Учет!$H2886,0)</f>
        <v>0</v>
      </c>
      <c r="E2886" s="52">
        <f>IF(Учет!$O2886=Справочники!$F$5,Учет!$H2886,0)</f>
        <v>0</v>
      </c>
      <c r="F2886" s="52">
        <f>IF(Учет!$O2886=Справочники!$F$6,Учет!$H2886,0)</f>
        <v>0</v>
      </c>
      <c r="G2886" s="43">
        <f>G2885+Учет!B2886-B2886</f>
        <v>-488978.92000000004</v>
      </c>
      <c r="H2886" s="43">
        <f>H2885+Учет!C2886-C2886</f>
        <v>336855</v>
      </c>
      <c r="I2886" s="43">
        <f>I2885+Учет!D2886-D2886</f>
        <v>500</v>
      </c>
      <c r="J2886" s="43">
        <f>J2885+Учет!E2886-E2886</f>
        <v>1150</v>
      </c>
      <c r="K2886" s="43">
        <f>K2885+Учет!F2886-F2886</f>
        <v>500000</v>
      </c>
      <c r="L2886" s="45">
        <f>Учет!I2886</f>
        <v>349526.07999999996</v>
      </c>
    </row>
    <row r="2887" spans="1:12" x14ac:dyDescent="0.25">
      <c r="A2887" s="48" t="str">
        <f>IF(Учет!A2887&lt;&gt;"",Учет!A2887,"")</f>
        <v/>
      </c>
      <c r="B2887" s="52">
        <f>IF(Учет!$O2887=Справочники!$F$2,Учет!$H2887,0)</f>
        <v>0</v>
      </c>
      <c r="C2887" s="52">
        <f>IF(Учет!$O2887=Справочники!$F$3,Учет!$H2887,0)</f>
        <v>0</v>
      </c>
      <c r="D2887" s="52">
        <f>IF(Учет!$O2887=Справочники!$F$4,Учет!$H2887,0)</f>
        <v>0</v>
      </c>
      <c r="E2887" s="52">
        <f>IF(Учет!$O2887=Справочники!$F$5,Учет!$H2887,0)</f>
        <v>0</v>
      </c>
      <c r="F2887" s="52">
        <f>IF(Учет!$O2887=Справочники!$F$6,Учет!$H2887,0)</f>
        <v>0</v>
      </c>
      <c r="G2887" s="43">
        <f>G2886+Учет!B2887-B2887</f>
        <v>-488978.92000000004</v>
      </c>
      <c r="H2887" s="43">
        <f>H2886+Учет!C2887-C2887</f>
        <v>336855</v>
      </c>
      <c r="I2887" s="43">
        <f>I2886+Учет!D2887-D2887</f>
        <v>500</v>
      </c>
      <c r="J2887" s="43">
        <f>J2886+Учет!E2887-E2887</f>
        <v>1150</v>
      </c>
      <c r="K2887" s="43">
        <f>K2886+Учет!F2887-F2887</f>
        <v>500000</v>
      </c>
      <c r="L2887" s="45">
        <f>Учет!I2887</f>
        <v>349526.07999999996</v>
      </c>
    </row>
    <row r="2888" spans="1:12" x14ac:dyDescent="0.25">
      <c r="A2888" s="48" t="str">
        <f>IF(Учет!A2888&lt;&gt;"",Учет!A2888,"")</f>
        <v/>
      </c>
      <c r="B2888" s="52">
        <f>IF(Учет!$O2888=Справочники!$F$2,Учет!$H2888,0)</f>
        <v>0</v>
      </c>
      <c r="C2888" s="52">
        <f>IF(Учет!$O2888=Справочники!$F$3,Учет!$H2888,0)</f>
        <v>0</v>
      </c>
      <c r="D2888" s="52">
        <f>IF(Учет!$O2888=Справочники!$F$4,Учет!$H2888,0)</f>
        <v>0</v>
      </c>
      <c r="E2888" s="52">
        <f>IF(Учет!$O2888=Справочники!$F$5,Учет!$H2888,0)</f>
        <v>0</v>
      </c>
      <c r="F2888" s="52">
        <f>IF(Учет!$O2888=Справочники!$F$6,Учет!$H2888,0)</f>
        <v>0</v>
      </c>
      <c r="G2888" s="43">
        <f>G2887+Учет!B2888-B2888</f>
        <v>-488978.92000000004</v>
      </c>
      <c r="H2888" s="43">
        <f>H2887+Учет!C2888-C2888</f>
        <v>336855</v>
      </c>
      <c r="I2888" s="43">
        <f>I2887+Учет!D2888-D2888</f>
        <v>500</v>
      </c>
      <c r="J2888" s="43">
        <f>J2887+Учет!E2888-E2888</f>
        <v>1150</v>
      </c>
      <c r="K2888" s="43">
        <f>K2887+Учет!F2888-F2888</f>
        <v>500000</v>
      </c>
      <c r="L2888" s="45">
        <f>Учет!I2888</f>
        <v>349526.07999999996</v>
      </c>
    </row>
    <row r="2889" spans="1:12" x14ac:dyDescent="0.25">
      <c r="A2889" s="48" t="str">
        <f>IF(Учет!A2889&lt;&gt;"",Учет!A2889,"")</f>
        <v/>
      </c>
      <c r="B2889" s="52">
        <f>IF(Учет!$O2889=Справочники!$F$2,Учет!$H2889,0)</f>
        <v>0</v>
      </c>
      <c r="C2889" s="52">
        <f>IF(Учет!$O2889=Справочники!$F$3,Учет!$H2889,0)</f>
        <v>0</v>
      </c>
      <c r="D2889" s="52">
        <f>IF(Учет!$O2889=Справочники!$F$4,Учет!$H2889,0)</f>
        <v>0</v>
      </c>
      <c r="E2889" s="52">
        <f>IF(Учет!$O2889=Справочники!$F$5,Учет!$H2889,0)</f>
        <v>0</v>
      </c>
      <c r="F2889" s="52">
        <f>IF(Учет!$O2889=Справочники!$F$6,Учет!$H2889,0)</f>
        <v>0</v>
      </c>
      <c r="G2889" s="43">
        <f>G2888+Учет!B2889-B2889</f>
        <v>-488978.92000000004</v>
      </c>
      <c r="H2889" s="43">
        <f>H2888+Учет!C2889-C2889</f>
        <v>336855</v>
      </c>
      <c r="I2889" s="43">
        <f>I2888+Учет!D2889-D2889</f>
        <v>500</v>
      </c>
      <c r="J2889" s="43">
        <f>J2888+Учет!E2889-E2889</f>
        <v>1150</v>
      </c>
      <c r="K2889" s="43">
        <f>K2888+Учет!F2889-F2889</f>
        <v>500000</v>
      </c>
      <c r="L2889" s="45">
        <f>Учет!I2889</f>
        <v>349526.07999999996</v>
      </c>
    </row>
    <row r="2890" spans="1:12" x14ac:dyDescent="0.25">
      <c r="A2890" s="48" t="str">
        <f>IF(Учет!A2890&lt;&gt;"",Учет!A2890,"")</f>
        <v/>
      </c>
      <c r="B2890" s="52">
        <f>IF(Учет!$O2890=Справочники!$F$2,Учет!$H2890,0)</f>
        <v>0</v>
      </c>
      <c r="C2890" s="52">
        <f>IF(Учет!$O2890=Справочники!$F$3,Учет!$H2890,0)</f>
        <v>0</v>
      </c>
      <c r="D2890" s="52">
        <f>IF(Учет!$O2890=Справочники!$F$4,Учет!$H2890,0)</f>
        <v>0</v>
      </c>
      <c r="E2890" s="52">
        <f>IF(Учет!$O2890=Справочники!$F$5,Учет!$H2890,0)</f>
        <v>0</v>
      </c>
      <c r="F2890" s="52">
        <f>IF(Учет!$O2890=Справочники!$F$6,Учет!$H2890,0)</f>
        <v>0</v>
      </c>
      <c r="G2890" s="43">
        <f>G2889+Учет!B2890-B2890</f>
        <v>-488978.92000000004</v>
      </c>
      <c r="H2890" s="43">
        <f>H2889+Учет!C2890-C2890</f>
        <v>336855</v>
      </c>
      <c r="I2890" s="43">
        <f>I2889+Учет!D2890-D2890</f>
        <v>500</v>
      </c>
      <c r="J2890" s="43">
        <f>J2889+Учет!E2890-E2890</f>
        <v>1150</v>
      </c>
      <c r="K2890" s="43">
        <f>K2889+Учет!F2890-F2890</f>
        <v>500000</v>
      </c>
      <c r="L2890" s="45">
        <f>Учет!I2890</f>
        <v>349526.07999999996</v>
      </c>
    </row>
    <row r="2891" spans="1:12" x14ac:dyDescent="0.25">
      <c r="A2891" s="48" t="str">
        <f>IF(Учет!A2891&lt;&gt;"",Учет!A2891,"")</f>
        <v/>
      </c>
      <c r="B2891" s="52">
        <f>IF(Учет!$O2891=Справочники!$F$2,Учет!$H2891,0)</f>
        <v>0</v>
      </c>
      <c r="C2891" s="52">
        <f>IF(Учет!$O2891=Справочники!$F$3,Учет!$H2891,0)</f>
        <v>0</v>
      </c>
      <c r="D2891" s="52">
        <f>IF(Учет!$O2891=Справочники!$F$4,Учет!$H2891,0)</f>
        <v>0</v>
      </c>
      <c r="E2891" s="52">
        <f>IF(Учет!$O2891=Справочники!$F$5,Учет!$H2891,0)</f>
        <v>0</v>
      </c>
      <c r="F2891" s="52">
        <f>IF(Учет!$O2891=Справочники!$F$6,Учет!$H2891,0)</f>
        <v>0</v>
      </c>
      <c r="G2891" s="43">
        <f>G2890+Учет!B2891-B2891</f>
        <v>-488978.92000000004</v>
      </c>
      <c r="H2891" s="43">
        <f>H2890+Учет!C2891-C2891</f>
        <v>336855</v>
      </c>
      <c r="I2891" s="43">
        <f>I2890+Учет!D2891-D2891</f>
        <v>500</v>
      </c>
      <c r="J2891" s="43">
        <f>J2890+Учет!E2891-E2891</f>
        <v>1150</v>
      </c>
      <c r="K2891" s="43">
        <f>K2890+Учет!F2891-F2891</f>
        <v>500000</v>
      </c>
      <c r="L2891" s="45">
        <f>Учет!I2891</f>
        <v>349526.07999999996</v>
      </c>
    </row>
    <row r="2892" spans="1:12" x14ac:dyDescent="0.25">
      <c r="A2892" s="48" t="str">
        <f>IF(Учет!A2892&lt;&gt;"",Учет!A2892,"")</f>
        <v/>
      </c>
      <c r="B2892" s="52">
        <f>IF(Учет!$O2892=Справочники!$F$2,Учет!$H2892,0)</f>
        <v>0</v>
      </c>
      <c r="C2892" s="52">
        <f>IF(Учет!$O2892=Справочники!$F$3,Учет!$H2892,0)</f>
        <v>0</v>
      </c>
      <c r="D2892" s="52">
        <f>IF(Учет!$O2892=Справочники!$F$4,Учет!$H2892,0)</f>
        <v>0</v>
      </c>
      <c r="E2892" s="52">
        <f>IF(Учет!$O2892=Справочники!$F$5,Учет!$H2892,0)</f>
        <v>0</v>
      </c>
      <c r="F2892" s="52">
        <f>IF(Учет!$O2892=Справочники!$F$6,Учет!$H2892,0)</f>
        <v>0</v>
      </c>
      <c r="G2892" s="43">
        <f>G2891+Учет!B2892-B2892</f>
        <v>-488978.92000000004</v>
      </c>
      <c r="H2892" s="43">
        <f>H2891+Учет!C2892-C2892</f>
        <v>336855</v>
      </c>
      <c r="I2892" s="43">
        <f>I2891+Учет!D2892-D2892</f>
        <v>500</v>
      </c>
      <c r="J2892" s="43">
        <f>J2891+Учет!E2892-E2892</f>
        <v>1150</v>
      </c>
      <c r="K2892" s="43">
        <f>K2891+Учет!F2892-F2892</f>
        <v>500000</v>
      </c>
      <c r="L2892" s="45">
        <f>Учет!I2892</f>
        <v>349526.07999999996</v>
      </c>
    </row>
    <row r="2893" spans="1:12" x14ac:dyDescent="0.25">
      <c r="A2893" s="48" t="str">
        <f>IF(Учет!A2893&lt;&gt;"",Учет!A2893,"")</f>
        <v/>
      </c>
      <c r="B2893" s="52">
        <f>IF(Учет!$O2893=Справочники!$F$2,Учет!$H2893,0)</f>
        <v>0</v>
      </c>
      <c r="C2893" s="52">
        <f>IF(Учет!$O2893=Справочники!$F$3,Учет!$H2893,0)</f>
        <v>0</v>
      </c>
      <c r="D2893" s="52">
        <f>IF(Учет!$O2893=Справочники!$F$4,Учет!$H2893,0)</f>
        <v>0</v>
      </c>
      <c r="E2893" s="52">
        <f>IF(Учет!$O2893=Справочники!$F$5,Учет!$H2893,0)</f>
        <v>0</v>
      </c>
      <c r="F2893" s="52">
        <f>IF(Учет!$O2893=Справочники!$F$6,Учет!$H2893,0)</f>
        <v>0</v>
      </c>
      <c r="G2893" s="43">
        <f>G2892+Учет!B2893-B2893</f>
        <v>-488978.92000000004</v>
      </c>
      <c r="H2893" s="43">
        <f>H2892+Учет!C2893-C2893</f>
        <v>336855</v>
      </c>
      <c r="I2893" s="43">
        <f>I2892+Учет!D2893-D2893</f>
        <v>500</v>
      </c>
      <c r="J2893" s="43">
        <f>J2892+Учет!E2893-E2893</f>
        <v>1150</v>
      </c>
      <c r="K2893" s="43">
        <f>K2892+Учет!F2893-F2893</f>
        <v>500000</v>
      </c>
      <c r="L2893" s="45">
        <f>Учет!I2893</f>
        <v>349526.07999999996</v>
      </c>
    </row>
    <row r="2894" spans="1:12" x14ac:dyDescent="0.25">
      <c r="A2894" s="48" t="str">
        <f>IF(Учет!A2894&lt;&gt;"",Учет!A2894,"")</f>
        <v/>
      </c>
      <c r="B2894" s="52">
        <f>IF(Учет!$O2894=Справочники!$F$2,Учет!$H2894,0)</f>
        <v>0</v>
      </c>
      <c r="C2894" s="52">
        <f>IF(Учет!$O2894=Справочники!$F$3,Учет!$H2894,0)</f>
        <v>0</v>
      </c>
      <c r="D2894" s="52">
        <f>IF(Учет!$O2894=Справочники!$F$4,Учет!$H2894,0)</f>
        <v>0</v>
      </c>
      <c r="E2894" s="52">
        <f>IF(Учет!$O2894=Справочники!$F$5,Учет!$H2894,0)</f>
        <v>0</v>
      </c>
      <c r="F2894" s="52">
        <f>IF(Учет!$O2894=Справочники!$F$6,Учет!$H2894,0)</f>
        <v>0</v>
      </c>
      <c r="G2894" s="43">
        <f>G2893+Учет!B2894-B2894</f>
        <v>-488978.92000000004</v>
      </c>
      <c r="H2894" s="43">
        <f>H2893+Учет!C2894-C2894</f>
        <v>336855</v>
      </c>
      <c r="I2894" s="43">
        <f>I2893+Учет!D2894-D2894</f>
        <v>500</v>
      </c>
      <c r="J2894" s="43">
        <f>J2893+Учет!E2894-E2894</f>
        <v>1150</v>
      </c>
      <c r="K2894" s="43">
        <f>K2893+Учет!F2894-F2894</f>
        <v>500000</v>
      </c>
      <c r="L2894" s="45">
        <f>Учет!I2894</f>
        <v>349526.07999999996</v>
      </c>
    </row>
    <row r="2895" spans="1:12" x14ac:dyDescent="0.25">
      <c r="A2895" s="48" t="str">
        <f>IF(Учет!A2895&lt;&gt;"",Учет!A2895,"")</f>
        <v/>
      </c>
      <c r="B2895" s="52">
        <f>IF(Учет!$O2895=Справочники!$F$2,Учет!$H2895,0)</f>
        <v>0</v>
      </c>
      <c r="C2895" s="52">
        <f>IF(Учет!$O2895=Справочники!$F$3,Учет!$H2895,0)</f>
        <v>0</v>
      </c>
      <c r="D2895" s="52">
        <f>IF(Учет!$O2895=Справочники!$F$4,Учет!$H2895,0)</f>
        <v>0</v>
      </c>
      <c r="E2895" s="52">
        <f>IF(Учет!$O2895=Справочники!$F$5,Учет!$H2895,0)</f>
        <v>0</v>
      </c>
      <c r="F2895" s="52">
        <f>IF(Учет!$O2895=Справочники!$F$6,Учет!$H2895,0)</f>
        <v>0</v>
      </c>
      <c r="G2895" s="43">
        <f>G2894+Учет!B2895-B2895</f>
        <v>-488978.92000000004</v>
      </c>
      <c r="H2895" s="43">
        <f>H2894+Учет!C2895-C2895</f>
        <v>336855</v>
      </c>
      <c r="I2895" s="43">
        <f>I2894+Учет!D2895-D2895</f>
        <v>500</v>
      </c>
      <c r="J2895" s="43">
        <f>J2894+Учет!E2895-E2895</f>
        <v>1150</v>
      </c>
      <c r="K2895" s="43">
        <f>K2894+Учет!F2895-F2895</f>
        <v>500000</v>
      </c>
      <c r="L2895" s="45">
        <f>Учет!I2895</f>
        <v>349526.07999999996</v>
      </c>
    </row>
    <row r="2896" spans="1:12" x14ac:dyDescent="0.25">
      <c r="A2896" s="48" t="str">
        <f>IF(Учет!A2896&lt;&gt;"",Учет!A2896,"")</f>
        <v/>
      </c>
      <c r="B2896" s="52">
        <f>IF(Учет!$O2896=Справочники!$F$2,Учет!$H2896,0)</f>
        <v>0</v>
      </c>
      <c r="C2896" s="52">
        <f>IF(Учет!$O2896=Справочники!$F$3,Учет!$H2896,0)</f>
        <v>0</v>
      </c>
      <c r="D2896" s="52">
        <f>IF(Учет!$O2896=Справочники!$F$4,Учет!$H2896,0)</f>
        <v>0</v>
      </c>
      <c r="E2896" s="52">
        <f>IF(Учет!$O2896=Справочники!$F$5,Учет!$H2896,0)</f>
        <v>0</v>
      </c>
      <c r="F2896" s="52">
        <f>IF(Учет!$O2896=Справочники!$F$6,Учет!$H2896,0)</f>
        <v>0</v>
      </c>
      <c r="G2896" s="43">
        <f>G2895+Учет!B2896-B2896</f>
        <v>-488978.92000000004</v>
      </c>
      <c r="H2896" s="43">
        <f>H2895+Учет!C2896-C2896</f>
        <v>336855</v>
      </c>
      <c r="I2896" s="43">
        <f>I2895+Учет!D2896-D2896</f>
        <v>500</v>
      </c>
      <c r="J2896" s="43">
        <f>J2895+Учет!E2896-E2896</f>
        <v>1150</v>
      </c>
      <c r="K2896" s="43">
        <f>K2895+Учет!F2896-F2896</f>
        <v>500000</v>
      </c>
      <c r="L2896" s="45">
        <f>Учет!I2896</f>
        <v>349526.07999999996</v>
      </c>
    </row>
    <row r="2897" spans="1:12" x14ac:dyDescent="0.25">
      <c r="A2897" s="48" t="str">
        <f>IF(Учет!A2897&lt;&gt;"",Учет!A2897,"")</f>
        <v/>
      </c>
      <c r="B2897" s="52">
        <f>IF(Учет!$O2897=Справочники!$F$2,Учет!$H2897,0)</f>
        <v>0</v>
      </c>
      <c r="C2897" s="52">
        <f>IF(Учет!$O2897=Справочники!$F$3,Учет!$H2897,0)</f>
        <v>0</v>
      </c>
      <c r="D2897" s="52">
        <f>IF(Учет!$O2897=Справочники!$F$4,Учет!$H2897,0)</f>
        <v>0</v>
      </c>
      <c r="E2897" s="52">
        <f>IF(Учет!$O2897=Справочники!$F$5,Учет!$H2897,0)</f>
        <v>0</v>
      </c>
      <c r="F2897" s="52">
        <f>IF(Учет!$O2897=Справочники!$F$6,Учет!$H2897,0)</f>
        <v>0</v>
      </c>
      <c r="G2897" s="43">
        <f>G2896+Учет!B2897-B2897</f>
        <v>-488978.92000000004</v>
      </c>
      <c r="H2897" s="43">
        <f>H2896+Учет!C2897-C2897</f>
        <v>336855</v>
      </c>
      <c r="I2897" s="43">
        <f>I2896+Учет!D2897-D2897</f>
        <v>500</v>
      </c>
      <c r="J2897" s="43">
        <f>J2896+Учет!E2897-E2897</f>
        <v>1150</v>
      </c>
      <c r="K2897" s="43">
        <f>K2896+Учет!F2897-F2897</f>
        <v>500000</v>
      </c>
      <c r="L2897" s="45">
        <f>Учет!I2897</f>
        <v>349526.07999999996</v>
      </c>
    </row>
    <row r="2898" spans="1:12" x14ac:dyDescent="0.25">
      <c r="A2898" s="48" t="str">
        <f>IF(Учет!A2898&lt;&gt;"",Учет!A2898,"")</f>
        <v/>
      </c>
      <c r="B2898" s="52">
        <f>IF(Учет!$O2898=Справочники!$F$2,Учет!$H2898,0)</f>
        <v>0</v>
      </c>
      <c r="C2898" s="52">
        <f>IF(Учет!$O2898=Справочники!$F$3,Учет!$H2898,0)</f>
        <v>0</v>
      </c>
      <c r="D2898" s="52">
        <f>IF(Учет!$O2898=Справочники!$F$4,Учет!$H2898,0)</f>
        <v>0</v>
      </c>
      <c r="E2898" s="52">
        <f>IF(Учет!$O2898=Справочники!$F$5,Учет!$H2898,0)</f>
        <v>0</v>
      </c>
      <c r="F2898" s="52">
        <f>IF(Учет!$O2898=Справочники!$F$6,Учет!$H2898,0)</f>
        <v>0</v>
      </c>
      <c r="G2898" s="43">
        <f>G2897+Учет!B2898-B2898</f>
        <v>-488978.92000000004</v>
      </c>
      <c r="H2898" s="43">
        <f>H2897+Учет!C2898-C2898</f>
        <v>336855</v>
      </c>
      <c r="I2898" s="43">
        <f>I2897+Учет!D2898-D2898</f>
        <v>500</v>
      </c>
      <c r="J2898" s="43">
        <f>J2897+Учет!E2898-E2898</f>
        <v>1150</v>
      </c>
      <c r="K2898" s="43">
        <f>K2897+Учет!F2898-F2898</f>
        <v>500000</v>
      </c>
      <c r="L2898" s="45">
        <f>Учет!I2898</f>
        <v>349526.07999999996</v>
      </c>
    </row>
    <row r="2899" spans="1:12" x14ac:dyDescent="0.25">
      <c r="A2899" s="48" t="str">
        <f>IF(Учет!A2899&lt;&gt;"",Учет!A2899,"")</f>
        <v/>
      </c>
      <c r="B2899" s="52">
        <f>IF(Учет!$O2899=Справочники!$F$2,Учет!$H2899,0)</f>
        <v>0</v>
      </c>
      <c r="C2899" s="52">
        <f>IF(Учет!$O2899=Справочники!$F$3,Учет!$H2899,0)</f>
        <v>0</v>
      </c>
      <c r="D2899" s="52">
        <f>IF(Учет!$O2899=Справочники!$F$4,Учет!$H2899,0)</f>
        <v>0</v>
      </c>
      <c r="E2899" s="52">
        <f>IF(Учет!$O2899=Справочники!$F$5,Учет!$H2899,0)</f>
        <v>0</v>
      </c>
      <c r="F2899" s="52">
        <f>IF(Учет!$O2899=Справочники!$F$6,Учет!$H2899,0)</f>
        <v>0</v>
      </c>
      <c r="G2899" s="43">
        <f>G2898+Учет!B2899-B2899</f>
        <v>-488978.92000000004</v>
      </c>
      <c r="H2899" s="43">
        <f>H2898+Учет!C2899-C2899</f>
        <v>336855</v>
      </c>
      <c r="I2899" s="43">
        <f>I2898+Учет!D2899-D2899</f>
        <v>500</v>
      </c>
      <c r="J2899" s="43">
        <f>J2898+Учет!E2899-E2899</f>
        <v>1150</v>
      </c>
      <c r="K2899" s="43">
        <f>K2898+Учет!F2899-F2899</f>
        <v>500000</v>
      </c>
      <c r="L2899" s="45">
        <f>Учет!I2899</f>
        <v>349526.07999999996</v>
      </c>
    </row>
    <row r="2900" spans="1:12" x14ac:dyDescent="0.25">
      <c r="A2900" s="48" t="str">
        <f>IF(Учет!A2900&lt;&gt;"",Учет!A2900,"")</f>
        <v/>
      </c>
      <c r="B2900" s="52">
        <f>IF(Учет!$O2900=Справочники!$F$2,Учет!$H2900,0)</f>
        <v>0</v>
      </c>
      <c r="C2900" s="52">
        <f>IF(Учет!$O2900=Справочники!$F$3,Учет!$H2900,0)</f>
        <v>0</v>
      </c>
      <c r="D2900" s="52">
        <f>IF(Учет!$O2900=Справочники!$F$4,Учет!$H2900,0)</f>
        <v>0</v>
      </c>
      <c r="E2900" s="52">
        <f>IF(Учет!$O2900=Справочники!$F$5,Учет!$H2900,0)</f>
        <v>0</v>
      </c>
      <c r="F2900" s="52">
        <f>IF(Учет!$O2900=Справочники!$F$6,Учет!$H2900,0)</f>
        <v>0</v>
      </c>
      <c r="G2900" s="43">
        <f>G2899+Учет!B2900-B2900</f>
        <v>-488978.92000000004</v>
      </c>
      <c r="H2900" s="43">
        <f>H2899+Учет!C2900-C2900</f>
        <v>336855</v>
      </c>
      <c r="I2900" s="43">
        <f>I2899+Учет!D2900-D2900</f>
        <v>500</v>
      </c>
      <c r="J2900" s="43">
        <f>J2899+Учет!E2900-E2900</f>
        <v>1150</v>
      </c>
      <c r="K2900" s="43">
        <f>K2899+Учет!F2900-F2900</f>
        <v>500000</v>
      </c>
      <c r="L2900" s="45">
        <f>Учет!I2900</f>
        <v>349526.07999999996</v>
      </c>
    </row>
    <row r="2901" spans="1:12" x14ac:dyDescent="0.25">
      <c r="A2901" s="48" t="str">
        <f>IF(Учет!A2901&lt;&gt;"",Учет!A2901,"")</f>
        <v/>
      </c>
      <c r="B2901" s="52">
        <f>IF(Учет!$O2901=Справочники!$F$2,Учет!$H2901,0)</f>
        <v>0</v>
      </c>
      <c r="C2901" s="52">
        <f>IF(Учет!$O2901=Справочники!$F$3,Учет!$H2901,0)</f>
        <v>0</v>
      </c>
      <c r="D2901" s="52">
        <f>IF(Учет!$O2901=Справочники!$F$4,Учет!$H2901,0)</f>
        <v>0</v>
      </c>
      <c r="E2901" s="52">
        <f>IF(Учет!$O2901=Справочники!$F$5,Учет!$H2901,0)</f>
        <v>0</v>
      </c>
      <c r="F2901" s="52">
        <f>IF(Учет!$O2901=Справочники!$F$6,Учет!$H2901,0)</f>
        <v>0</v>
      </c>
      <c r="G2901" s="43">
        <f>G2900+Учет!B2901-B2901</f>
        <v>-488978.92000000004</v>
      </c>
      <c r="H2901" s="43">
        <f>H2900+Учет!C2901-C2901</f>
        <v>336855</v>
      </c>
      <c r="I2901" s="43">
        <f>I2900+Учет!D2901-D2901</f>
        <v>500</v>
      </c>
      <c r="J2901" s="43">
        <f>J2900+Учет!E2901-E2901</f>
        <v>1150</v>
      </c>
      <c r="K2901" s="43">
        <f>K2900+Учет!F2901-F2901</f>
        <v>500000</v>
      </c>
      <c r="L2901" s="45">
        <f>Учет!I2901</f>
        <v>349526.07999999996</v>
      </c>
    </row>
    <row r="2902" spans="1:12" x14ac:dyDescent="0.25">
      <c r="A2902" s="48" t="str">
        <f>IF(Учет!A2902&lt;&gt;"",Учет!A2902,"")</f>
        <v/>
      </c>
      <c r="B2902" s="52">
        <f>IF(Учет!$O2902=Справочники!$F$2,Учет!$H2902,0)</f>
        <v>0</v>
      </c>
      <c r="C2902" s="52">
        <f>IF(Учет!$O2902=Справочники!$F$3,Учет!$H2902,0)</f>
        <v>0</v>
      </c>
      <c r="D2902" s="52">
        <f>IF(Учет!$O2902=Справочники!$F$4,Учет!$H2902,0)</f>
        <v>0</v>
      </c>
      <c r="E2902" s="52">
        <f>IF(Учет!$O2902=Справочники!$F$5,Учет!$H2902,0)</f>
        <v>0</v>
      </c>
      <c r="F2902" s="52">
        <f>IF(Учет!$O2902=Справочники!$F$6,Учет!$H2902,0)</f>
        <v>0</v>
      </c>
      <c r="G2902" s="43">
        <f>G2901+Учет!B2902-B2902</f>
        <v>-488978.92000000004</v>
      </c>
      <c r="H2902" s="43">
        <f>H2901+Учет!C2902-C2902</f>
        <v>336855</v>
      </c>
      <c r="I2902" s="43">
        <f>I2901+Учет!D2902-D2902</f>
        <v>500</v>
      </c>
      <c r="J2902" s="43">
        <f>J2901+Учет!E2902-E2902</f>
        <v>1150</v>
      </c>
      <c r="K2902" s="43">
        <f>K2901+Учет!F2902-F2902</f>
        <v>500000</v>
      </c>
      <c r="L2902" s="45">
        <f>Учет!I2902</f>
        <v>349526.07999999996</v>
      </c>
    </row>
    <row r="2903" spans="1:12" x14ac:dyDescent="0.25">
      <c r="A2903" s="48" t="str">
        <f>IF(Учет!A2903&lt;&gt;"",Учет!A2903,"")</f>
        <v/>
      </c>
      <c r="B2903" s="52">
        <f>IF(Учет!$O2903=Справочники!$F$2,Учет!$H2903,0)</f>
        <v>0</v>
      </c>
      <c r="C2903" s="52">
        <f>IF(Учет!$O2903=Справочники!$F$3,Учет!$H2903,0)</f>
        <v>0</v>
      </c>
      <c r="D2903" s="52">
        <f>IF(Учет!$O2903=Справочники!$F$4,Учет!$H2903,0)</f>
        <v>0</v>
      </c>
      <c r="E2903" s="52">
        <f>IF(Учет!$O2903=Справочники!$F$5,Учет!$H2903,0)</f>
        <v>0</v>
      </c>
      <c r="F2903" s="52">
        <f>IF(Учет!$O2903=Справочники!$F$6,Учет!$H2903,0)</f>
        <v>0</v>
      </c>
      <c r="G2903" s="43">
        <f>G2902+Учет!B2903-B2903</f>
        <v>-488978.92000000004</v>
      </c>
      <c r="H2903" s="43">
        <f>H2902+Учет!C2903-C2903</f>
        <v>336855</v>
      </c>
      <c r="I2903" s="43">
        <f>I2902+Учет!D2903-D2903</f>
        <v>500</v>
      </c>
      <c r="J2903" s="43">
        <f>J2902+Учет!E2903-E2903</f>
        <v>1150</v>
      </c>
      <c r="K2903" s="43">
        <f>K2902+Учет!F2903-F2903</f>
        <v>500000</v>
      </c>
      <c r="L2903" s="45">
        <f>Учет!I2903</f>
        <v>349526.07999999996</v>
      </c>
    </row>
    <row r="2904" spans="1:12" x14ac:dyDescent="0.25">
      <c r="A2904" s="48" t="str">
        <f>IF(Учет!A2904&lt;&gt;"",Учет!A2904,"")</f>
        <v/>
      </c>
      <c r="B2904" s="52">
        <f>IF(Учет!$O2904=Справочники!$F$2,Учет!$H2904,0)</f>
        <v>0</v>
      </c>
      <c r="C2904" s="52">
        <f>IF(Учет!$O2904=Справочники!$F$3,Учет!$H2904,0)</f>
        <v>0</v>
      </c>
      <c r="D2904" s="52">
        <f>IF(Учет!$O2904=Справочники!$F$4,Учет!$H2904,0)</f>
        <v>0</v>
      </c>
      <c r="E2904" s="52">
        <f>IF(Учет!$O2904=Справочники!$F$5,Учет!$H2904,0)</f>
        <v>0</v>
      </c>
      <c r="F2904" s="52">
        <f>IF(Учет!$O2904=Справочники!$F$6,Учет!$H2904,0)</f>
        <v>0</v>
      </c>
      <c r="G2904" s="43">
        <f>G2903+Учет!B2904-B2904</f>
        <v>-488978.92000000004</v>
      </c>
      <c r="H2904" s="43">
        <f>H2903+Учет!C2904-C2904</f>
        <v>336855</v>
      </c>
      <c r="I2904" s="43">
        <f>I2903+Учет!D2904-D2904</f>
        <v>500</v>
      </c>
      <c r="J2904" s="43">
        <f>J2903+Учет!E2904-E2904</f>
        <v>1150</v>
      </c>
      <c r="K2904" s="43">
        <f>K2903+Учет!F2904-F2904</f>
        <v>500000</v>
      </c>
      <c r="L2904" s="45">
        <f>Учет!I2904</f>
        <v>349526.07999999996</v>
      </c>
    </row>
    <row r="2905" spans="1:12" x14ac:dyDescent="0.25">
      <c r="A2905" s="48" t="str">
        <f>IF(Учет!A2905&lt;&gt;"",Учет!A2905,"")</f>
        <v/>
      </c>
      <c r="B2905" s="52">
        <f>IF(Учет!$O2905=Справочники!$F$2,Учет!$H2905,0)</f>
        <v>0</v>
      </c>
      <c r="C2905" s="52">
        <f>IF(Учет!$O2905=Справочники!$F$3,Учет!$H2905,0)</f>
        <v>0</v>
      </c>
      <c r="D2905" s="52">
        <f>IF(Учет!$O2905=Справочники!$F$4,Учет!$H2905,0)</f>
        <v>0</v>
      </c>
      <c r="E2905" s="52">
        <f>IF(Учет!$O2905=Справочники!$F$5,Учет!$H2905,0)</f>
        <v>0</v>
      </c>
      <c r="F2905" s="52">
        <f>IF(Учет!$O2905=Справочники!$F$6,Учет!$H2905,0)</f>
        <v>0</v>
      </c>
      <c r="G2905" s="43">
        <f>G2904+Учет!B2905-B2905</f>
        <v>-488978.92000000004</v>
      </c>
      <c r="H2905" s="43">
        <f>H2904+Учет!C2905-C2905</f>
        <v>336855</v>
      </c>
      <c r="I2905" s="43">
        <f>I2904+Учет!D2905-D2905</f>
        <v>500</v>
      </c>
      <c r="J2905" s="43">
        <f>J2904+Учет!E2905-E2905</f>
        <v>1150</v>
      </c>
      <c r="K2905" s="43">
        <f>K2904+Учет!F2905-F2905</f>
        <v>500000</v>
      </c>
      <c r="L2905" s="45">
        <f>Учет!I2905</f>
        <v>349526.07999999996</v>
      </c>
    </row>
    <row r="2906" spans="1:12" x14ac:dyDescent="0.25">
      <c r="A2906" s="48" t="str">
        <f>IF(Учет!A2906&lt;&gt;"",Учет!A2906,"")</f>
        <v/>
      </c>
      <c r="B2906" s="52">
        <f>IF(Учет!$O2906=Справочники!$F$2,Учет!$H2906,0)</f>
        <v>0</v>
      </c>
      <c r="C2906" s="52">
        <f>IF(Учет!$O2906=Справочники!$F$3,Учет!$H2906,0)</f>
        <v>0</v>
      </c>
      <c r="D2906" s="52">
        <f>IF(Учет!$O2906=Справочники!$F$4,Учет!$H2906,0)</f>
        <v>0</v>
      </c>
      <c r="E2906" s="52">
        <f>IF(Учет!$O2906=Справочники!$F$5,Учет!$H2906,0)</f>
        <v>0</v>
      </c>
      <c r="F2906" s="52">
        <f>IF(Учет!$O2906=Справочники!$F$6,Учет!$H2906,0)</f>
        <v>0</v>
      </c>
      <c r="G2906" s="43">
        <f>G2905+Учет!B2906-B2906</f>
        <v>-488978.92000000004</v>
      </c>
      <c r="H2906" s="43">
        <f>H2905+Учет!C2906-C2906</f>
        <v>336855</v>
      </c>
      <c r="I2906" s="43">
        <f>I2905+Учет!D2906-D2906</f>
        <v>500</v>
      </c>
      <c r="J2906" s="43">
        <f>J2905+Учет!E2906-E2906</f>
        <v>1150</v>
      </c>
      <c r="K2906" s="43">
        <f>K2905+Учет!F2906-F2906</f>
        <v>500000</v>
      </c>
      <c r="L2906" s="45">
        <f>Учет!I2906</f>
        <v>349526.07999999996</v>
      </c>
    </row>
    <row r="2907" spans="1:12" x14ac:dyDescent="0.25">
      <c r="A2907" s="48" t="str">
        <f>IF(Учет!A2907&lt;&gt;"",Учет!A2907,"")</f>
        <v/>
      </c>
      <c r="B2907" s="52">
        <f>IF(Учет!$O2907=Справочники!$F$2,Учет!$H2907,0)</f>
        <v>0</v>
      </c>
      <c r="C2907" s="52">
        <f>IF(Учет!$O2907=Справочники!$F$3,Учет!$H2907,0)</f>
        <v>0</v>
      </c>
      <c r="D2907" s="52">
        <f>IF(Учет!$O2907=Справочники!$F$4,Учет!$H2907,0)</f>
        <v>0</v>
      </c>
      <c r="E2907" s="52">
        <f>IF(Учет!$O2907=Справочники!$F$5,Учет!$H2907,0)</f>
        <v>0</v>
      </c>
      <c r="F2907" s="52">
        <f>IF(Учет!$O2907=Справочники!$F$6,Учет!$H2907,0)</f>
        <v>0</v>
      </c>
      <c r="G2907" s="43">
        <f>G2906+Учет!B2907-B2907</f>
        <v>-488978.92000000004</v>
      </c>
      <c r="H2907" s="43">
        <f>H2906+Учет!C2907-C2907</f>
        <v>336855</v>
      </c>
      <c r="I2907" s="43">
        <f>I2906+Учет!D2907-D2907</f>
        <v>500</v>
      </c>
      <c r="J2907" s="43">
        <f>J2906+Учет!E2907-E2907</f>
        <v>1150</v>
      </c>
      <c r="K2907" s="43">
        <f>K2906+Учет!F2907-F2907</f>
        <v>500000</v>
      </c>
      <c r="L2907" s="45">
        <f>Учет!I2907</f>
        <v>349526.07999999996</v>
      </c>
    </row>
    <row r="2908" spans="1:12" x14ac:dyDescent="0.25">
      <c r="A2908" s="48" t="str">
        <f>IF(Учет!A2908&lt;&gt;"",Учет!A2908,"")</f>
        <v/>
      </c>
      <c r="B2908" s="52">
        <f>IF(Учет!$O2908=Справочники!$F$2,Учет!$H2908,0)</f>
        <v>0</v>
      </c>
      <c r="C2908" s="52">
        <f>IF(Учет!$O2908=Справочники!$F$3,Учет!$H2908,0)</f>
        <v>0</v>
      </c>
      <c r="D2908" s="52">
        <f>IF(Учет!$O2908=Справочники!$F$4,Учет!$H2908,0)</f>
        <v>0</v>
      </c>
      <c r="E2908" s="52">
        <f>IF(Учет!$O2908=Справочники!$F$5,Учет!$H2908,0)</f>
        <v>0</v>
      </c>
      <c r="F2908" s="52">
        <f>IF(Учет!$O2908=Справочники!$F$6,Учет!$H2908,0)</f>
        <v>0</v>
      </c>
      <c r="G2908" s="43">
        <f>G2907+Учет!B2908-B2908</f>
        <v>-488978.92000000004</v>
      </c>
      <c r="H2908" s="43">
        <f>H2907+Учет!C2908-C2908</f>
        <v>336855</v>
      </c>
      <c r="I2908" s="43">
        <f>I2907+Учет!D2908-D2908</f>
        <v>500</v>
      </c>
      <c r="J2908" s="43">
        <f>J2907+Учет!E2908-E2908</f>
        <v>1150</v>
      </c>
      <c r="K2908" s="43">
        <f>K2907+Учет!F2908-F2908</f>
        <v>500000</v>
      </c>
      <c r="L2908" s="45">
        <f>Учет!I2908</f>
        <v>349526.07999999996</v>
      </c>
    </row>
    <row r="2909" spans="1:12" x14ac:dyDescent="0.25">
      <c r="A2909" s="48" t="str">
        <f>IF(Учет!A2909&lt;&gt;"",Учет!A2909,"")</f>
        <v/>
      </c>
      <c r="B2909" s="52">
        <f>IF(Учет!$O2909=Справочники!$F$2,Учет!$H2909,0)</f>
        <v>0</v>
      </c>
      <c r="C2909" s="52">
        <f>IF(Учет!$O2909=Справочники!$F$3,Учет!$H2909,0)</f>
        <v>0</v>
      </c>
      <c r="D2909" s="52">
        <f>IF(Учет!$O2909=Справочники!$F$4,Учет!$H2909,0)</f>
        <v>0</v>
      </c>
      <c r="E2909" s="52">
        <f>IF(Учет!$O2909=Справочники!$F$5,Учет!$H2909,0)</f>
        <v>0</v>
      </c>
      <c r="F2909" s="52">
        <f>IF(Учет!$O2909=Справочники!$F$6,Учет!$H2909,0)</f>
        <v>0</v>
      </c>
      <c r="G2909" s="43">
        <f>G2908+Учет!B2909-B2909</f>
        <v>-488978.92000000004</v>
      </c>
      <c r="H2909" s="43">
        <f>H2908+Учет!C2909-C2909</f>
        <v>336855</v>
      </c>
      <c r="I2909" s="43">
        <f>I2908+Учет!D2909-D2909</f>
        <v>500</v>
      </c>
      <c r="J2909" s="43">
        <f>J2908+Учет!E2909-E2909</f>
        <v>1150</v>
      </c>
      <c r="K2909" s="43">
        <f>K2908+Учет!F2909-F2909</f>
        <v>500000</v>
      </c>
      <c r="L2909" s="45">
        <f>Учет!I2909</f>
        <v>349526.07999999996</v>
      </c>
    </row>
    <row r="2910" spans="1:12" x14ac:dyDescent="0.25">
      <c r="A2910" s="48" t="str">
        <f>IF(Учет!A2910&lt;&gt;"",Учет!A2910,"")</f>
        <v/>
      </c>
      <c r="B2910" s="52">
        <f>IF(Учет!$O2910=Справочники!$F$2,Учет!$H2910,0)</f>
        <v>0</v>
      </c>
      <c r="C2910" s="52">
        <f>IF(Учет!$O2910=Справочники!$F$3,Учет!$H2910,0)</f>
        <v>0</v>
      </c>
      <c r="D2910" s="52">
        <f>IF(Учет!$O2910=Справочники!$F$4,Учет!$H2910,0)</f>
        <v>0</v>
      </c>
      <c r="E2910" s="52">
        <f>IF(Учет!$O2910=Справочники!$F$5,Учет!$H2910,0)</f>
        <v>0</v>
      </c>
      <c r="F2910" s="52">
        <f>IF(Учет!$O2910=Справочники!$F$6,Учет!$H2910,0)</f>
        <v>0</v>
      </c>
      <c r="G2910" s="43">
        <f>G2909+Учет!B2910-B2910</f>
        <v>-488978.92000000004</v>
      </c>
      <c r="H2910" s="43">
        <f>H2909+Учет!C2910-C2910</f>
        <v>336855</v>
      </c>
      <c r="I2910" s="43">
        <f>I2909+Учет!D2910-D2910</f>
        <v>500</v>
      </c>
      <c r="J2910" s="43">
        <f>J2909+Учет!E2910-E2910</f>
        <v>1150</v>
      </c>
      <c r="K2910" s="43">
        <f>K2909+Учет!F2910-F2910</f>
        <v>500000</v>
      </c>
      <c r="L2910" s="45">
        <f>Учет!I2910</f>
        <v>349526.07999999996</v>
      </c>
    </row>
    <row r="2911" spans="1:12" x14ac:dyDescent="0.25">
      <c r="A2911" s="48" t="str">
        <f>IF(Учет!A2911&lt;&gt;"",Учет!A2911,"")</f>
        <v/>
      </c>
      <c r="B2911" s="52">
        <f>IF(Учет!$O2911=Справочники!$F$2,Учет!$H2911,0)</f>
        <v>0</v>
      </c>
      <c r="C2911" s="52">
        <f>IF(Учет!$O2911=Справочники!$F$3,Учет!$H2911,0)</f>
        <v>0</v>
      </c>
      <c r="D2911" s="52">
        <f>IF(Учет!$O2911=Справочники!$F$4,Учет!$H2911,0)</f>
        <v>0</v>
      </c>
      <c r="E2911" s="52">
        <f>IF(Учет!$O2911=Справочники!$F$5,Учет!$H2911,0)</f>
        <v>0</v>
      </c>
      <c r="F2911" s="52">
        <f>IF(Учет!$O2911=Справочники!$F$6,Учет!$H2911,0)</f>
        <v>0</v>
      </c>
      <c r="G2911" s="43">
        <f>G2910+Учет!B2911-B2911</f>
        <v>-488978.92000000004</v>
      </c>
      <c r="H2911" s="43">
        <f>H2910+Учет!C2911-C2911</f>
        <v>336855</v>
      </c>
      <c r="I2911" s="43">
        <f>I2910+Учет!D2911-D2911</f>
        <v>500</v>
      </c>
      <c r="J2911" s="43">
        <f>J2910+Учет!E2911-E2911</f>
        <v>1150</v>
      </c>
      <c r="K2911" s="43">
        <f>K2910+Учет!F2911-F2911</f>
        <v>500000</v>
      </c>
      <c r="L2911" s="45">
        <f>Учет!I2911</f>
        <v>349526.07999999996</v>
      </c>
    </row>
    <row r="2912" spans="1:12" x14ac:dyDescent="0.25">
      <c r="A2912" s="48" t="str">
        <f>IF(Учет!A2912&lt;&gt;"",Учет!A2912,"")</f>
        <v/>
      </c>
      <c r="B2912" s="52">
        <f>IF(Учет!$O2912=Справочники!$F$2,Учет!$H2912,0)</f>
        <v>0</v>
      </c>
      <c r="C2912" s="52">
        <f>IF(Учет!$O2912=Справочники!$F$3,Учет!$H2912,0)</f>
        <v>0</v>
      </c>
      <c r="D2912" s="52">
        <f>IF(Учет!$O2912=Справочники!$F$4,Учет!$H2912,0)</f>
        <v>0</v>
      </c>
      <c r="E2912" s="52">
        <f>IF(Учет!$O2912=Справочники!$F$5,Учет!$H2912,0)</f>
        <v>0</v>
      </c>
      <c r="F2912" s="52">
        <f>IF(Учет!$O2912=Справочники!$F$6,Учет!$H2912,0)</f>
        <v>0</v>
      </c>
      <c r="G2912" s="43">
        <f>G2911+Учет!B2912-B2912</f>
        <v>-488978.92000000004</v>
      </c>
      <c r="H2912" s="43">
        <f>H2911+Учет!C2912-C2912</f>
        <v>336855</v>
      </c>
      <c r="I2912" s="43">
        <f>I2911+Учет!D2912-D2912</f>
        <v>500</v>
      </c>
      <c r="J2912" s="43">
        <f>J2911+Учет!E2912-E2912</f>
        <v>1150</v>
      </c>
      <c r="K2912" s="43">
        <f>K2911+Учет!F2912-F2912</f>
        <v>500000</v>
      </c>
      <c r="L2912" s="45">
        <f>Учет!I2912</f>
        <v>349526.07999999996</v>
      </c>
    </row>
    <row r="2913" spans="1:12" x14ac:dyDescent="0.25">
      <c r="A2913" s="48" t="str">
        <f>IF(Учет!A2913&lt;&gt;"",Учет!A2913,"")</f>
        <v/>
      </c>
      <c r="B2913" s="52">
        <f>IF(Учет!$O2913=Справочники!$F$2,Учет!$H2913,0)</f>
        <v>0</v>
      </c>
      <c r="C2913" s="52">
        <f>IF(Учет!$O2913=Справочники!$F$3,Учет!$H2913,0)</f>
        <v>0</v>
      </c>
      <c r="D2913" s="52">
        <f>IF(Учет!$O2913=Справочники!$F$4,Учет!$H2913,0)</f>
        <v>0</v>
      </c>
      <c r="E2913" s="52">
        <f>IF(Учет!$O2913=Справочники!$F$5,Учет!$H2913,0)</f>
        <v>0</v>
      </c>
      <c r="F2913" s="52">
        <f>IF(Учет!$O2913=Справочники!$F$6,Учет!$H2913,0)</f>
        <v>0</v>
      </c>
      <c r="G2913" s="43">
        <f>G2912+Учет!B2913-B2913</f>
        <v>-488978.92000000004</v>
      </c>
      <c r="H2913" s="43">
        <f>H2912+Учет!C2913-C2913</f>
        <v>336855</v>
      </c>
      <c r="I2913" s="43">
        <f>I2912+Учет!D2913-D2913</f>
        <v>500</v>
      </c>
      <c r="J2913" s="43">
        <f>J2912+Учет!E2913-E2913</f>
        <v>1150</v>
      </c>
      <c r="K2913" s="43">
        <f>K2912+Учет!F2913-F2913</f>
        <v>500000</v>
      </c>
      <c r="L2913" s="45">
        <f>Учет!I2913</f>
        <v>349526.07999999996</v>
      </c>
    </row>
    <row r="2914" spans="1:12" x14ac:dyDescent="0.25">
      <c r="A2914" s="48" t="str">
        <f>IF(Учет!A2914&lt;&gt;"",Учет!A2914,"")</f>
        <v/>
      </c>
      <c r="B2914" s="52">
        <f>IF(Учет!$O2914=Справочники!$F$2,Учет!$H2914,0)</f>
        <v>0</v>
      </c>
      <c r="C2914" s="52">
        <f>IF(Учет!$O2914=Справочники!$F$3,Учет!$H2914,0)</f>
        <v>0</v>
      </c>
      <c r="D2914" s="52">
        <f>IF(Учет!$O2914=Справочники!$F$4,Учет!$H2914,0)</f>
        <v>0</v>
      </c>
      <c r="E2914" s="52">
        <f>IF(Учет!$O2914=Справочники!$F$5,Учет!$H2914,0)</f>
        <v>0</v>
      </c>
      <c r="F2914" s="52">
        <f>IF(Учет!$O2914=Справочники!$F$6,Учет!$H2914,0)</f>
        <v>0</v>
      </c>
      <c r="G2914" s="43">
        <f>G2913+Учет!B2914-B2914</f>
        <v>-488978.92000000004</v>
      </c>
      <c r="H2914" s="43">
        <f>H2913+Учет!C2914-C2914</f>
        <v>336855</v>
      </c>
      <c r="I2914" s="43">
        <f>I2913+Учет!D2914-D2914</f>
        <v>500</v>
      </c>
      <c r="J2914" s="43">
        <f>J2913+Учет!E2914-E2914</f>
        <v>1150</v>
      </c>
      <c r="K2914" s="43">
        <f>K2913+Учет!F2914-F2914</f>
        <v>500000</v>
      </c>
      <c r="L2914" s="45">
        <f>Учет!I2914</f>
        <v>349526.07999999996</v>
      </c>
    </row>
    <row r="2915" spans="1:12" x14ac:dyDescent="0.25">
      <c r="A2915" s="48" t="str">
        <f>IF(Учет!A2915&lt;&gt;"",Учет!A2915,"")</f>
        <v/>
      </c>
      <c r="B2915" s="52">
        <f>IF(Учет!$O2915=Справочники!$F$2,Учет!$H2915,0)</f>
        <v>0</v>
      </c>
      <c r="C2915" s="52">
        <f>IF(Учет!$O2915=Справочники!$F$3,Учет!$H2915,0)</f>
        <v>0</v>
      </c>
      <c r="D2915" s="52">
        <f>IF(Учет!$O2915=Справочники!$F$4,Учет!$H2915,0)</f>
        <v>0</v>
      </c>
      <c r="E2915" s="52">
        <f>IF(Учет!$O2915=Справочники!$F$5,Учет!$H2915,0)</f>
        <v>0</v>
      </c>
      <c r="F2915" s="52">
        <f>IF(Учет!$O2915=Справочники!$F$6,Учет!$H2915,0)</f>
        <v>0</v>
      </c>
      <c r="G2915" s="43">
        <f>G2914+Учет!B2915-B2915</f>
        <v>-488978.92000000004</v>
      </c>
      <c r="H2915" s="43">
        <f>H2914+Учет!C2915-C2915</f>
        <v>336855</v>
      </c>
      <c r="I2915" s="43">
        <f>I2914+Учет!D2915-D2915</f>
        <v>500</v>
      </c>
      <c r="J2915" s="43">
        <f>J2914+Учет!E2915-E2915</f>
        <v>1150</v>
      </c>
      <c r="K2915" s="43">
        <f>K2914+Учет!F2915-F2915</f>
        <v>500000</v>
      </c>
      <c r="L2915" s="45">
        <f>Учет!I2915</f>
        <v>349526.07999999996</v>
      </c>
    </row>
    <row r="2916" spans="1:12" x14ac:dyDescent="0.25">
      <c r="A2916" s="48" t="str">
        <f>IF(Учет!A2916&lt;&gt;"",Учет!A2916,"")</f>
        <v/>
      </c>
      <c r="B2916" s="52">
        <f>IF(Учет!$O2916=Справочники!$F$2,Учет!$H2916,0)</f>
        <v>0</v>
      </c>
      <c r="C2916" s="52">
        <f>IF(Учет!$O2916=Справочники!$F$3,Учет!$H2916,0)</f>
        <v>0</v>
      </c>
      <c r="D2916" s="52">
        <f>IF(Учет!$O2916=Справочники!$F$4,Учет!$H2916,0)</f>
        <v>0</v>
      </c>
      <c r="E2916" s="52">
        <f>IF(Учет!$O2916=Справочники!$F$5,Учет!$H2916,0)</f>
        <v>0</v>
      </c>
      <c r="F2916" s="52">
        <f>IF(Учет!$O2916=Справочники!$F$6,Учет!$H2916,0)</f>
        <v>0</v>
      </c>
      <c r="G2916" s="43">
        <f>G2915+Учет!B2916-B2916</f>
        <v>-488978.92000000004</v>
      </c>
      <c r="H2916" s="43">
        <f>H2915+Учет!C2916-C2916</f>
        <v>336855</v>
      </c>
      <c r="I2916" s="43">
        <f>I2915+Учет!D2916-D2916</f>
        <v>500</v>
      </c>
      <c r="J2916" s="43">
        <f>J2915+Учет!E2916-E2916</f>
        <v>1150</v>
      </c>
      <c r="K2916" s="43">
        <f>K2915+Учет!F2916-F2916</f>
        <v>500000</v>
      </c>
      <c r="L2916" s="45">
        <f>Учет!I2916</f>
        <v>349526.07999999996</v>
      </c>
    </row>
    <row r="2917" spans="1:12" x14ac:dyDescent="0.25">
      <c r="A2917" s="48" t="str">
        <f>IF(Учет!A2917&lt;&gt;"",Учет!A2917,"")</f>
        <v/>
      </c>
      <c r="B2917" s="52">
        <f>IF(Учет!$O2917=Справочники!$F$2,Учет!$H2917,0)</f>
        <v>0</v>
      </c>
      <c r="C2917" s="52">
        <f>IF(Учет!$O2917=Справочники!$F$3,Учет!$H2917,0)</f>
        <v>0</v>
      </c>
      <c r="D2917" s="52">
        <f>IF(Учет!$O2917=Справочники!$F$4,Учет!$H2917,0)</f>
        <v>0</v>
      </c>
      <c r="E2917" s="52">
        <f>IF(Учет!$O2917=Справочники!$F$5,Учет!$H2917,0)</f>
        <v>0</v>
      </c>
      <c r="F2917" s="52">
        <f>IF(Учет!$O2917=Справочники!$F$6,Учет!$H2917,0)</f>
        <v>0</v>
      </c>
      <c r="G2917" s="43">
        <f>G2916+Учет!B2917-B2917</f>
        <v>-488978.92000000004</v>
      </c>
      <c r="H2917" s="43">
        <f>H2916+Учет!C2917-C2917</f>
        <v>336855</v>
      </c>
      <c r="I2917" s="43">
        <f>I2916+Учет!D2917-D2917</f>
        <v>500</v>
      </c>
      <c r="J2917" s="43">
        <f>J2916+Учет!E2917-E2917</f>
        <v>1150</v>
      </c>
      <c r="K2917" s="43">
        <f>K2916+Учет!F2917-F2917</f>
        <v>500000</v>
      </c>
      <c r="L2917" s="45">
        <f>Учет!I2917</f>
        <v>349526.07999999996</v>
      </c>
    </row>
    <row r="2918" spans="1:12" x14ac:dyDescent="0.25">
      <c r="A2918" s="48" t="str">
        <f>IF(Учет!A2918&lt;&gt;"",Учет!A2918,"")</f>
        <v/>
      </c>
      <c r="B2918" s="52">
        <f>IF(Учет!$O2918=Справочники!$F$2,Учет!$H2918,0)</f>
        <v>0</v>
      </c>
      <c r="C2918" s="52">
        <f>IF(Учет!$O2918=Справочники!$F$3,Учет!$H2918,0)</f>
        <v>0</v>
      </c>
      <c r="D2918" s="52">
        <f>IF(Учет!$O2918=Справочники!$F$4,Учет!$H2918,0)</f>
        <v>0</v>
      </c>
      <c r="E2918" s="52">
        <f>IF(Учет!$O2918=Справочники!$F$5,Учет!$H2918,0)</f>
        <v>0</v>
      </c>
      <c r="F2918" s="52">
        <f>IF(Учет!$O2918=Справочники!$F$6,Учет!$H2918,0)</f>
        <v>0</v>
      </c>
      <c r="G2918" s="43">
        <f>G2917+Учет!B2918-B2918</f>
        <v>-488978.92000000004</v>
      </c>
      <c r="H2918" s="43">
        <f>H2917+Учет!C2918-C2918</f>
        <v>336855</v>
      </c>
      <c r="I2918" s="43">
        <f>I2917+Учет!D2918-D2918</f>
        <v>500</v>
      </c>
      <c r="J2918" s="43">
        <f>J2917+Учет!E2918-E2918</f>
        <v>1150</v>
      </c>
      <c r="K2918" s="43">
        <f>K2917+Учет!F2918-F2918</f>
        <v>500000</v>
      </c>
      <c r="L2918" s="45">
        <f>Учет!I2918</f>
        <v>349526.07999999996</v>
      </c>
    </row>
    <row r="2919" spans="1:12" x14ac:dyDescent="0.25">
      <c r="A2919" s="48" t="str">
        <f>IF(Учет!A2919&lt;&gt;"",Учет!A2919,"")</f>
        <v/>
      </c>
      <c r="B2919" s="52">
        <f>IF(Учет!$O2919=Справочники!$F$2,Учет!$H2919,0)</f>
        <v>0</v>
      </c>
      <c r="C2919" s="52">
        <f>IF(Учет!$O2919=Справочники!$F$3,Учет!$H2919,0)</f>
        <v>0</v>
      </c>
      <c r="D2919" s="52">
        <f>IF(Учет!$O2919=Справочники!$F$4,Учет!$H2919,0)</f>
        <v>0</v>
      </c>
      <c r="E2919" s="52">
        <f>IF(Учет!$O2919=Справочники!$F$5,Учет!$H2919,0)</f>
        <v>0</v>
      </c>
      <c r="F2919" s="52">
        <f>IF(Учет!$O2919=Справочники!$F$6,Учет!$H2919,0)</f>
        <v>0</v>
      </c>
      <c r="G2919" s="43">
        <f>G2918+Учет!B2919-B2919</f>
        <v>-488978.92000000004</v>
      </c>
      <c r="H2919" s="43">
        <f>H2918+Учет!C2919-C2919</f>
        <v>336855</v>
      </c>
      <c r="I2919" s="43">
        <f>I2918+Учет!D2919-D2919</f>
        <v>500</v>
      </c>
      <c r="J2919" s="43">
        <f>J2918+Учет!E2919-E2919</f>
        <v>1150</v>
      </c>
      <c r="K2919" s="43">
        <f>K2918+Учет!F2919-F2919</f>
        <v>500000</v>
      </c>
      <c r="L2919" s="45">
        <f>Учет!I2919</f>
        <v>349526.07999999996</v>
      </c>
    </row>
    <row r="2920" spans="1:12" x14ac:dyDescent="0.25">
      <c r="A2920" s="48" t="str">
        <f>IF(Учет!A2920&lt;&gt;"",Учет!A2920,"")</f>
        <v/>
      </c>
      <c r="B2920" s="52">
        <f>IF(Учет!$O2920=Справочники!$F$2,Учет!$H2920,0)</f>
        <v>0</v>
      </c>
      <c r="C2920" s="52">
        <f>IF(Учет!$O2920=Справочники!$F$3,Учет!$H2920,0)</f>
        <v>0</v>
      </c>
      <c r="D2920" s="52">
        <f>IF(Учет!$O2920=Справочники!$F$4,Учет!$H2920,0)</f>
        <v>0</v>
      </c>
      <c r="E2920" s="52">
        <f>IF(Учет!$O2920=Справочники!$F$5,Учет!$H2920,0)</f>
        <v>0</v>
      </c>
      <c r="F2920" s="52">
        <f>IF(Учет!$O2920=Справочники!$F$6,Учет!$H2920,0)</f>
        <v>0</v>
      </c>
      <c r="G2920" s="43">
        <f>G2919+Учет!B2920-B2920</f>
        <v>-488978.92000000004</v>
      </c>
      <c r="H2920" s="43">
        <f>H2919+Учет!C2920-C2920</f>
        <v>336855</v>
      </c>
      <c r="I2920" s="43">
        <f>I2919+Учет!D2920-D2920</f>
        <v>500</v>
      </c>
      <c r="J2920" s="43">
        <f>J2919+Учет!E2920-E2920</f>
        <v>1150</v>
      </c>
      <c r="K2920" s="43">
        <f>K2919+Учет!F2920-F2920</f>
        <v>500000</v>
      </c>
      <c r="L2920" s="45">
        <f>Учет!I2920</f>
        <v>349526.07999999996</v>
      </c>
    </row>
    <row r="2921" spans="1:12" x14ac:dyDescent="0.25">
      <c r="A2921" s="48" t="str">
        <f>IF(Учет!A2921&lt;&gt;"",Учет!A2921,"")</f>
        <v/>
      </c>
      <c r="B2921" s="52">
        <f>IF(Учет!$O2921=Справочники!$F$2,Учет!$H2921,0)</f>
        <v>0</v>
      </c>
      <c r="C2921" s="52">
        <f>IF(Учет!$O2921=Справочники!$F$3,Учет!$H2921,0)</f>
        <v>0</v>
      </c>
      <c r="D2921" s="52">
        <f>IF(Учет!$O2921=Справочники!$F$4,Учет!$H2921,0)</f>
        <v>0</v>
      </c>
      <c r="E2921" s="52">
        <f>IF(Учет!$O2921=Справочники!$F$5,Учет!$H2921,0)</f>
        <v>0</v>
      </c>
      <c r="F2921" s="52">
        <f>IF(Учет!$O2921=Справочники!$F$6,Учет!$H2921,0)</f>
        <v>0</v>
      </c>
      <c r="G2921" s="43">
        <f>G2920+Учет!B2921-B2921</f>
        <v>-488978.92000000004</v>
      </c>
      <c r="H2921" s="43">
        <f>H2920+Учет!C2921-C2921</f>
        <v>336855</v>
      </c>
      <c r="I2921" s="43">
        <f>I2920+Учет!D2921-D2921</f>
        <v>500</v>
      </c>
      <c r="J2921" s="43">
        <f>J2920+Учет!E2921-E2921</f>
        <v>1150</v>
      </c>
      <c r="K2921" s="43">
        <f>K2920+Учет!F2921-F2921</f>
        <v>500000</v>
      </c>
      <c r="L2921" s="45">
        <f>Учет!I2921</f>
        <v>349526.07999999996</v>
      </c>
    </row>
    <row r="2922" spans="1:12" x14ac:dyDescent="0.25">
      <c r="A2922" s="48" t="str">
        <f>IF(Учет!A2922&lt;&gt;"",Учет!A2922,"")</f>
        <v/>
      </c>
      <c r="B2922" s="52">
        <f>IF(Учет!$O2922=Справочники!$F$2,Учет!$H2922,0)</f>
        <v>0</v>
      </c>
      <c r="C2922" s="52">
        <f>IF(Учет!$O2922=Справочники!$F$3,Учет!$H2922,0)</f>
        <v>0</v>
      </c>
      <c r="D2922" s="52">
        <f>IF(Учет!$O2922=Справочники!$F$4,Учет!$H2922,0)</f>
        <v>0</v>
      </c>
      <c r="E2922" s="52">
        <f>IF(Учет!$O2922=Справочники!$F$5,Учет!$H2922,0)</f>
        <v>0</v>
      </c>
      <c r="F2922" s="52">
        <f>IF(Учет!$O2922=Справочники!$F$6,Учет!$H2922,0)</f>
        <v>0</v>
      </c>
      <c r="G2922" s="43">
        <f>G2921+Учет!B2922-B2922</f>
        <v>-488978.92000000004</v>
      </c>
      <c r="H2922" s="43">
        <f>H2921+Учет!C2922-C2922</f>
        <v>336855</v>
      </c>
      <c r="I2922" s="43">
        <f>I2921+Учет!D2922-D2922</f>
        <v>500</v>
      </c>
      <c r="J2922" s="43">
        <f>J2921+Учет!E2922-E2922</f>
        <v>1150</v>
      </c>
      <c r="K2922" s="43">
        <f>K2921+Учет!F2922-F2922</f>
        <v>500000</v>
      </c>
      <c r="L2922" s="45">
        <f>Учет!I2922</f>
        <v>349526.07999999996</v>
      </c>
    </row>
    <row r="2923" spans="1:12" x14ac:dyDescent="0.25">
      <c r="A2923" s="48" t="str">
        <f>IF(Учет!A2923&lt;&gt;"",Учет!A2923,"")</f>
        <v/>
      </c>
      <c r="B2923" s="52">
        <f>IF(Учет!$O2923=Справочники!$F$2,Учет!$H2923,0)</f>
        <v>0</v>
      </c>
      <c r="C2923" s="52">
        <f>IF(Учет!$O2923=Справочники!$F$3,Учет!$H2923,0)</f>
        <v>0</v>
      </c>
      <c r="D2923" s="52">
        <f>IF(Учет!$O2923=Справочники!$F$4,Учет!$H2923,0)</f>
        <v>0</v>
      </c>
      <c r="E2923" s="52">
        <f>IF(Учет!$O2923=Справочники!$F$5,Учет!$H2923,0)</f>
        <v>0</v>
      </c>
      <c r="F2923" s="52">
        <f>IF(Учет!$O2923=Справочники!$F$6,Учет!$H2923,0)</f>
        <v>0</v>
      </c>
      <c r="G2923" s="43">
        <f>G2922+Учет!B2923-B2923</f>
        <v>-488978.92000000004</v>
      </c>
      <c r="H2923" s="43">
        <f>H2922+Учет!C2923-C2923</f>
        <v>336855</v>
      </c>
      <c r="I2923" s="43">
        <f>I2922+Учет!D2923-D2923</f>
        <v>500</v>
      </c>
      <c r="J2923" s="43">
        <f>J2922+Учет!E2923-E2923</f>
        <v>1150</v>
      </c>
      <c r="K2923" s="43">
        <f>K2922+Учет!F2923-F2923</f>
        <v>500000</v>
      </c>
      <c r="L2923" s="45">
        <f>Учет!I2923</f>
        <v>349526.07999999996</v>
      </c>
    </row>
    <row r="2924" spans="1:12" x14ac:dyDescent="0.25">
      <c r="A2924" s="48" t="str">
        <f>IF(Учет!A2924&lt;&gt;"",Учет!A2924,"")</f>
        <v/>
      </c>
      <c r="B2924" s="52">
        <f>IF(Учет!$O2924=Справочники!$F$2,Учет!$H2924,0)</f>
        <v>0</v>
      </c>
      <c r="C2924" s="52">
        <f>IF(Учет!$O2924=Справочники!$F$3,Учет!$H2924,0)</f>
        <v>0</v>
      </c>
      <c r="D2924" s="52">
        <f>IF(Учет!$O2924=Справочники!$F$4,Учет!$H2924,0)</f>
        <v>0</v>
      </c>
      <c r="E2924" s="52">
        <f>IF(Учет!$O2924=Справочники!$F$5,Учет!$H2924,0)</f>
        <v>0</v>
      </c>
      <c r="F2924" s="52">
        <f>IF(Учет!$O2924=Справочники!$F$6,Учет!$H2924,0)</f>
        <v>0</v>
      </c>
      <c r="G2924" s="43">
        <f>G2923+Учет!B2924-B2924</f>
        <v>-488978.92000000004</v>
      </c>
      <c r="H2924" s="43">
        <f>H2923+Учет!C2924-C2924</f>
        <v>336855</v>
      </c>
      <c r="I2924" s="43">
        <f>I2923+Учет!D2924-D2924</f>
        <v>500</v>
      </c>
      <c r="J2924" s="43">
        <f>J2923+Учет!E2924-E2924</f>
        <v>1150</v>
      </c>
      <c r="K2924" s="43">
        <f>K2923+Учет!F2924-F2924</f>
        <v>500000</v>
      </c>
      <c r="L2924" s="45">
        <f>Учет!I2924</f>
        <v>349526.07999999996</v>
      </c>
    </row>
    <row r="2925" spans="1:12" x14ac:dyDescent="0.25">
      <c r="A2925" s="48" t="str">
        <f>IF(Учет!A2925&lt;&gt;"",Учет!A2925,"")</f>
        <v/>
      </c>
      <c r="B2925" s="52">
        <f>IF(Учет!$O2925=Справочники!$F$2,Учет!$H2925,0)</f>
        <v>0</v>
      </c>
      <c r="C2925" s="52">
        <f>IF(Учет!$O2925=Справочники!$F$3,Учет!$H2925,0)</f>
        <v>0</v>
      </c>
      <c r="D2925" s="52">
        <f>IF(Учет!$O2925=Справочники!$F$4,Учет!$H2925,0)</f>
        <v>0</v>
      </c>
      <c r="E2925" s="52">
        <f>IF(Учет!$O2925=Справочники!$F$5,Учет!$H2925,0)</f>
        <v>0</v>
      </c>
      <c r="F2925" s="52">
        <f>IF(Учет!$O2925=Справочники!$F$6,Учет!$H2925,0)</f>
        <v>0</v>
      </c>
      <c r="G2925" s="43">
        <f>G2924+Учет!B2925-B2925</f>
        <v>-488978.92000000004</v>
      </c>
      <c r="H2925" s="43">
        <f>H2924+Учет!C2925-C2925</f>
        <v>336855</v>
      </c>
      <c r="I2925" s="43">
        <f>I2924+Учет!D2925-D2925</f>
        <v>500</v>
      </c>
      <c r="J2925" s="43">
        <f>J2924+Учет!E2925-E2925</f>
        <v>1150</v>
      </c>
      <c r="K2925" s="43">
        <f>K2924+Учет!F2925-F2925</f>
        <v>500000</v>
      </c>
      <c r="L2925" s="45">
        <f>Учет!I2925</f>
        <v>349526.07999999996</v>
      </c>
    </row>
    <row r="2926" spans="1:12" x14ac:dyDescent="0.25">
      <c r="A2926" s="48" t="str">
        <f>IF(Учет!A2926&lt;&gt;"",Учет!A2926,"")</f>
        <v/>
      </c>
      <c r="B2926" s="52">
        <f>IF(Учет!$O2926=Справочники!$F$2,Учет!$H2926,0)</f>
        <v>0</v>
      </c>
      <c r="C2926" s="52">
        <f>IF(Учет!$O2926=Справочники!$F$3,Учет!$H2926,0)</f>
        <v>0</v>
      </c>
      <c r="D2926" s="52">
        <f>IF(Учет!$O2926=Справочники!$F$4,Учет!$H2926,0)</f>
        <v>0</v>
      </c>
      <c r="E2926" s="52">
        <f>IF(Учет!$O2926=Справочники!$F$5,Учет!$H2926,0)</f>
        <v>0</v>
      </c>
      <c r="F2926" s="52">
        <f>IF(Учет!$O2926=Справочники!$F$6,Учет!$H2926,0)</f>
        <v>0</v>
      </c>
      <c r="G2926" s="43">
        <f>G2925+Учет!B2926-B2926</f>
        <v>-488978.92000000004</v>
      </c>
      <c r="H2926" s="43">
        <f>H2925+Учет!C2926-C2926</f>
        <v>336855</v>
      </c>
      <c r="I2926" s="43">
        <f>I2925+Учет!D2926-D2926</f>
        <v>500</v>
      </c>
      <c r="J2926" s="43">
        <f>J2925+Учет!E2926-E2926</f>
        <v>1150</v>
      </c>
      <c r="K2926" s="43">
        <f>K2925+Учет!F2926-F2926</f>
        <v>500000</v>
      </c>
      <c r="L2926" s="45">
        <f>Учет!I2926</f>
        <v>349526.07999999996</v>
      </c>
    </row>
    <row r="2927" spans="1:12" x14ac:dyDescent="0.25">
      <c r="A2927" s="48" t="str">
        <f>IF(Учет!A2927&lt;&gt;"",Учет!A2927,"")</f>
        <v/>
      </c>
      <c r="B2927" s="52">
        <f>IF(Учет!$O2927=Справочники!$F$2,Учет!$H2927,0)</f>
        <v>0</v>
      </c>
      <c r="C2927" s="52">
        <f>IF(Учет!$O2927=Справочники!$F$3,Учет!$H2927,0)</f>
        <v>0</v>
      </c>
      <c r="D2927" s="52">
        <f>IF(Учет!$O2927=Справочники!$F$4,Учет!$H2927,0)</f>
        <v>0</v>
      </c>
      <c r="E2927" s="52">
        <f>IF(Учет!$O2927=Справочники!$F$5,Учет!$H2927,0)</f>
        <v>0</v>
      </c>
      <c r="F2927" s="52">
        <f>IF(Учет!$O2927=Справочники!$F$6,Учет!$H2927,0)</f>
        <v>0</v>
      </c>
      <c r="G2927" s="43">
        <f>G2926+Учет!B2927-B2927</f>
        <v>-488978.92000000004</v>
      </c>
      <c r="H2927" s="43">
        <f>H2926+Учет!C2927-C2927</f>
        <v>336855</v>
      </c>
      <c r="I2927" s="43">
        <f>I2926+Учет!D2927-D2927</f>
        <v>500</v>
      </c>
      <c r="J2927" s="43">
        <f>J2926+Учет!E2927-E2927</f>
        <v>1150</v>
      </c>
      <c r="K2927" s="43">
        <f>K2926+Учет!F2927-F2927</f>
        <v>500000</v>
      </c>
      <c r="L2927" s="45">
        <f>Учет!I2927</f>
        <v>349526.07999999996</v>
      </c>
    </row>
    <row r="2928" spans="1:12" x14ac:dyDescent="0.25">
      <c r="A2928" s="48" t="str">
        <f>IF(Учет!A2928&lt;&gt;"",Учет!A2928,"")</f>
        <v/>
      </c>
      <c r="B2928" s="52">
        <f>IF(Учет!$O2928=Справочники!$F$2,Учет!$H2928,0)</f>
        <v>0</v>
      </c>
      <c r="C2928" s="52">
        <f>IF(Учет!$O2928=Справочники!$F$3,Учет!$H2928,0)</f>
        <v>0</v>
      </c>
      <c r="D2928" s="52">
        <f>IF(Учет!$O2928=Справочники!$F$4,Учет!$H2928,0)</f>
        <v>0</v>
      </c>
      <c r="E2928" s="52">
        <f>IF(Учет!$O2928=Справочники!$F$5,Учет!$H2928,0)</f>
        <v>0</v>
      </c>
      <c r="F2928" s="52">
        <f>IF(Учет!$O2928=Справочники!$F$6,Учет!$H2928,0)</f>
        <v>0</v>
      </c>
      <c r="G2928" s="43">
        <f>G2927+Учет!B2928-B2928</f>
        <v>-488978.92000000004</v>
      </c>
      <c r="H2928" s="43">
        <f>H2927+Учет!C2928-C2928</f>
        <v>336855</v>
      </c>
      <c r="I2928" s="43">
        <f>I2927+Учет!D2928-D2928</f>
        <v>500</v>
      </c>
      <c r="J2928" s="43">
        <f>J2927+Учет!E2928-E2928</f>
        <v>1150</v>
      </c>
      <c r="K2928" s="43">
        <f>K2927+Учет!F2928-F2928</f>
        <v>500000</v>
      </c>
      <c r="L2928" s="45">
        <f>Учет!I2928</f>
        <v>349526.07999999996</v>
      </c>
    </row>
    <row r="2929" spans="1:12" x14ac:dyDescent="0.25">
      <c r="A2929" s="48" t="str">
        <f>IF(Учет!A2929&lt;&gt;"",Учет!A2929,"")</f>
        <v/>
      </c>
      <c r="B2929" s="52">
        <f>IF(Учет!$O2929=Справочники!$F$2,Учет!$H2929,0)</f>
        <v>0</v>
      </c>
      <c r="C2929" s="52">
        <f>IF(Учет!$O2929=Справочники!$F$3,Учет!$H2929,0)</f>
        <v>0</v>
      </c>
      <c r="D2929" s="52">
        <f>IF(Учет!$O2929=Справочники!$F$4,Учет!$H2929,0)</f>
        <v>0</v>
      </c>
      <c r="E2929" s="52">
        <f>IF(Учет!$O2929=Справочники!$F$5,Учет!$H2929,0)</f>
        <v>0</v>
      </c>
      <c r="F2929" s="52">
        <f>IF(Учет!$O2929=Справочники!$F$6,Учет!$H2929,0)</f>
        <v>0</v>
      </c>
      <c r="G2929" s="43">
        <f>G2928+Учет!B2929-B2929</f>
        <v>-488978.92000000004</v>
      </c>
      <c r="H2929" s="43">
        <f>H2928+Учет!C2929-C2929</f>
        <v>336855</v>
      </c>
      <c r="I2929" s="43">
        <f>I2928+Учет!D2929-D2929</f>
        <v>500</v>
      </c>
      <c r="J2929" s="43">
        <f>J2928+Учет!E2929-E2929</f>
        <v>1150</v>
      </c>
      <c r="K2929" s="43">
        <f>K2928+Учет!F2929-F2929</f>
        <v>500000</v>
      </c>
      <c r="L2929" s="45">
        <f>Учет!I2929</f>
        <v>349526.07999999996</v>
      </c>
    </row>
    <row r="2930" spans="1:12" x14ac:dyDescent="0.25">
      <c r="A2930" s="48" t="str">
        <f>IF(Учет!A2930&lt;&gt;"",Учет!A2930,"")</f>
        <v/>
      </c>
      <c r="B2930" s="52">
        <f>IF(Учет!$O2930=Справочники!$F$2,Учет!$H2930,0)</f>
        <v>0</v>
      </c>
      <c r="C2930" s="52">
        <f>IF(Учет!$O2930=Справочники!$F$3,Учет!$H2930,0)</f>
        <v>0</v>
      </c>
      <c r="D2930" s="52">
        <f>IF(Учет!$O2930=Справочники!$F$4,Учет!$H2930,0)</f>
        <v>0</v>
      </c>
      <c r="E2930" s="52">
        <f>IF(Учет!$O2930=Справочники!$F$5,Учет!$H2930,0)</f>
        <v>0</v>
      </c>
      <c r="F2930" s="52">
        <f>IF(Учет!$O2930=Справочники!$F$6,Учет!$H2930,0)</f>
        <v>0</v>
      </c>
      <c r="G2930" s="43">
        <f>G2929+Учет!B2930-B2930</f>
        <v>-488978.92000000004</v>
      </c>
      <c r="H2930" s="43">
        <f>H2929+Учет!C2930-C2930</f>
        <v>336855</v>
      </c>
      <c r="I2930" s="43">
        <f>I2929+Учет!D2930-D2930</f>
        <v>500</v>
      </c>
      <c r="J2930" s="43">
        <f>J2929+Учет!E2930-E2930</f>
        <v>1150</v>
      </c>
      <c r="K2930" s="43">
        <f>K2929+Учет!F2930-F2930</f>
        <v>500000</v>
      </c>
      <c r="L2930" s="45">
        <f>Учет!I2930</f>
        <v>349526.07999999996</v>
      </c>
    </row>
    <row r="2931" spans="1:12" x14ac:dyDescent="0.25">
      <c r="A2931" s="48" t="str">
        <f>IF(Учет!A2931&lt;&gt;"",Учет!A2931,"")</f>
        <v/>
      </c>
      <c r="B2931" s="52">
        <f>IF(Учет!$O2931=Справочники!$F$2,Учет!$H2931,0)</f>
        <v>0</v>
      </c>
      <c r="C2931" s="52">
        <f>IF(Учет!$O2931=Справочники!$F$3,Учет!$H2931,0)</f>
        <v>0</v>
      </c>
      <c r="D2931" s="52">
        <f>IF(Учет!$O2931=Справочники!$F$4,Учет!$H2931,0)</f>
        <v>0</v>
      </c>
      <c r="E2931" s="52">
        <f>IF(Учет!$O2931=Справочники!$F$5,Учет!$H2931,0)</f>
        <v>0</v>
      </c>
      <c r="F2931" s="52">
        <f>IF(Учет!$O2931=Справочники!$F$6,Учет!$H2931,0)</f>
        <v>0</v>
      </c>
      <c r="G2931" s="43">
        <f>G2930+Учет!B2931-B2931</f>
        <v>-488978.92000000004</v>
      </c>
      <c r="H2931" s="43">
        <f>H2930+Учет!C2931-C2931</f>
        <v>336855</v>
      </c>
      <c r="I2931" s="43">
        <f>I2930+Учет!D2931-D2931</f>
        <v>500</v>
      </c>
      <c r="J2931" s="43">
        <f>J2930+Учет!E2931-E2931</f>
        <v>1150</v>
      </c>
      <c r="K2931" s="43">
        <f>K2930+Учет!F2931-F2931</f>
        <v>500000</v>
      </c>
      <c r="L2931" s="45">
        <f>Учет!I2931</f>
        <v>349526.07999999996</v>
      </c>
    </row>
    <row r="2932" spans="1:12" x14ac:dyDescent="0.25">
      <c r="A2932" s="48" t="str">
        <f>IF(Учет!A2932&lt;&gt;"",Учет!A2932,"")</f>
        <v/>
      </c>
      <c r="B2932" s="52">
        <f>IF(Учет!$O2932=Справочники!$F$2,Учет!$H2932,0)</f>
        <v>0</v>
      </c>
      <c r="C2932" s="52">
        <f>IF(Учет!$O2932=Справочники!$F$3,Учет!$H2932,0)</f>
        <v>0</v>
      </c>
      <c r="D2932" s="52">
        <f>IF(Учет!$O2932=Справочники!$F$4,Учет!$H2932,0)</f>
        <v>0</v>
      </c>
      <c r="E2932" s="52">
        <f>IF(Учет!$O2932=Справочники!$F$5,Учет!$H2932,0)</f>
        <v>0</v>
      </c>
      <c r="F2932" s="52">
        <f>IF(Учет!$O2932=Справочники!$F$6,Учет!$H2932,0)</f>
        <v>0</v>
      </c>
      <c r="G2932" s="43">
        <f>G2931+Учет!B2932-B2932</f>
        <v>-488978.92000000004</v>
      </c>
      <c r="H2932" s="43">
        <f>H2931+Учет!C2932-C2932</f>
        <v>336855</v>
      </c>
      <c r="I2932" s="43">
        <f>I2931+Учет!D2932-D2932</f>
        <v>500</v>
      </c>
      <c r="J2932" s="43">
        <f>J2931+Учет!E2932-E2932</f>
        <v>1150</v>
      </c>
      <c r="K2932" s="43">
        <f>K2931+Учет!F2932-F2932</f>
        <v>500000</v>
      </c>
      <c r="L2932" s="45">
        <f>Учет!I2932</f>
        <v>349526.07999999996</v>
      </c>
    </row>
    <row r="2933" spans="1:12" x14ac:dyDescent="0.25">
      <c r="A2933" s="48" t="str">
        <f>IF(Учет!A2933&lt;&gt;"",Учет!A2933,"")</f>
        <v/>
      </c>
      <c r="B2933" s="52">
        <f>IF(Учет!$O2933=Справочники!$F$2,Учет!$H2933,0)</f>
        <v>0</v>
      </c>
      <c r="C2933" s="52">
        <f>IF(Учет!$O2933=Справочники!$F$3,Учет!$H2933,0)</f>
        <v>0</v>
      </c>
      <c r="D2933" s="52">
        <f>IF(Учет!$O2933=Справочники!$F$4,Учет!$H2933,0)</f>
        <v>0</v>
      </c>
      <c r="E2933" s="52">
        <f>IF(Учет!$O2933=Справочники!$F$5,Учет!$H2933,0)</f>
        <v>0</v>
      </c>
      <c r="F2933" s="52">
        <f>IF(Учет!$O2933=Справочники!$F$6,Учет!$H2933,0)</f>
        <v>0</v>
      </c>
      <c r="G2933" s="43">
        <f>G2932+Учет!B2933-B2933</f>
        <v>-488978.92000000004</v>
      </c>
      <c r="H2933" s="43">
        <f>H2932+Учет!C2933-C2933</f>
        <v>336855</v>
      </c>
      <c r="I2933" s="43">
        <f>I2932+Учет!D2933-D2933</f>
        <v>500</v>
      </c>
      <c r="J2933" s="43">
        <f>J2932+Учет!E2933-E2933</f>
        <v>1150</v>
      </c>
      <c r="K2933" s="43">
        <f>K2932+Учет!F2933-F2933</f>
        <v>500000</v>
      </c>
      <c r="L2933" s="45">
        <f>Учет!I2933</f>
        <v>349526.07999999996</v>
      </c>
    </row>
    <row r="2934" spans="1:12" x14ac:dyDescent="0.25">
      <c r="A2934" s="48" t="str">
        <f>IF(Учет!A2934&lt;&gt;"",Учет!A2934,"")</f>
        <v/>
      </c>
      <c r="B2934" s="52">
        <f>IF(Учет!$O2934=Справочники!$F$2,Учет!$H2934,0)</f>
        <v>0</v>
      </c>
      <c r="C2934" s="52">
        <f>IF(Учет!$O2934=Справочники!$F$3,Учет!$H2934,0)</f>
        <v>0</v>
      </c>
      <c r="D2934" s="52">
        <f>IF(Учет!$O2934=Справочники!$F$4,Учет!$H2934,0)</f>
        <v>0</v>
      </c>
      <c r="E2934" s="52">
        <f>IF(Учет!$O2934=Справочники!$F$5,Учет!$H2934,0)</f>
        <v>0</v>
      </c>
      <c r="F2934" s="52">
        <f>IF(Учет!$O2934=Справочники!$F$6,Учет!$H2934,0)</f>
        <v>0</v>
      </c>
      <c r="G2934" s="43">
        <f>G2933+Учет!B2934-B2934</f>
        <v>-488978.92000000004</v>
      </c>
      <c r="H2934" s="43">
        <f>H2933+Учет!C2934-C2934</f>
        <v>336855</v>
      </c>
      <c r="I2934" s="43">
        <f>I2933+Учет!D2934-D2934</f>
        <v>500</v>
      </c>
      <c r="J2934" s="43">
        <f>J2933+Учет!E2934-E2934</f>
        <v>1150</v>
      </c>
      <c r="K2934" s="43">
        <f>K2933+Учет!F2934-F2934</f>
        <v>500000</v>
      </c>
      <c r="L2934" s="45">
        <f>Учет!I2934</f>
        <v>349526.07999999996</v>
      </c>
    </row>
    <row r="2935" spans="1:12" x14ac:dyDescent="0.25">
      <c r="A2935" s="48" t="str">
        <f>IF(Учет!A2935&lt;&gt;"",Учет!A2935,"")</f>
        <v/>
      </c>
      <c r="B2935" s="52">
        <f>IF(Учет!$O2935=Справочники!$F$2,Учет!$H2935,0)</f>
        <v>0</v>
      </c>
      <c r="C2935" s="52">
        <f>IF(Учет!$O2935=Справочники!$F$3,Учет!$H2935,0)</f>
        <v>0</v>
      </c>
      <c r="D2935" s="52">
        <f>IF(Учет!$O2935=Справочники!$F$4,Учет!$H2935,0)</f>
        <v>0</v>
      </c>
      <c r="E2935" s="52">
        <f>IF(Учет!$O2935=Справочники!$F$5,Учет!$H2935,0)</f>
        <v>0</v>
      </c>
      <c r="F2935" s="52">
        <f>IF(Учет!$O2935=Справочники!$F$6,Учет!$H2935,0)</f>
        <v>0</v>
      </c>
      <c r="G2935" s="43">
        <f>G2934+Учет!B2935-B2935</f>
        <v>-488978.92000000004</v>
      </c>
      <c r="H2935" s="43">
        <f>H2934+Учет!C2935-C2935</f>
        <v>336855</v>
      </c>
      <c r="I2935" s="43">
        <f>I2934+Учет!D2935-D2935</f>
        <v>500</v>
      </c>
      <c r="J2935" s="43">
        <f>J2934+Учет!E2935-E2935</f>
        <v>1150</v>
      </c>
      <c r="K2935" s="43">
        <f>K2934+Учет!F2935-F2935</f>
        <v>500000</v>
      </c>
      <c r="L2935" s="45">
        <f>Учет!I2935</f>
        <v>349526.07999999996</v>
      </c>
    </row>
    <row r="2936" spans="1:12" x14ac:dyDescent="0.25">
      <c r="A2936" s="48" t="str">
        <f>IF(Учет!A2936&lt;&gt;"",Учет!A2936,"")</f>
        <v/>
      </c>
      <c r="B2936" s="52">
        <f>IF(Учет!$O2936=Справочники!$F$2,Учет!$H2936,0)</f>
        <v>0</v>
      </c>
      <c r="C2936" s="52">
        <f>IF(Учет!$O2936=Справочники!$F$3,Учет!$H2936,0)</f>
        <v>0</v>
      </c>
      <c r="D2936" s="52">
        <f>IF(Учет!$O2936=Справочники!$F$4,Учет!$H2936,0)</f>
        <v>0</v>
      </c>
      <c r="E2936" s="52">
        <f>IF(Учет!$O2936=Справочники!$F$5,Учет!$H2936,0)</f>
        <v>0</v>
      </c>
      <c r="F2936" s="52">
        <f>IF(Учет!$O2936=Справочники!$F$6,Учет!$H2936,0)</f>
        <v>0</v>
      </c>
      <c r="G2936" s="43">
        <f>G2935+Учет!B2936-B2936</f>
        <v>-488978.92000000004</v>
      </c>
      <c r="H2936" s="43">
        <f>H2935+Учет!C2936-C2936</f>
        <v>336855</v>
      </c>
      <c r="I2936" s="43">
        <f>I2935+Учет!D2936-D2936</f>
        <v>500</v>
      </c>
      <c r="J2936" s="43">
        <f>J2935+Учет!E2936-E2936</f>
        <v>1150</v>
      </c>
      <c r="K2936" s="43">
        <f>K2935+Учет!F2936-F2936</f>
        <v>500000</v>
      </c>
      <c r="L2936" s="45">
        <f>Учет!I2936</f>
        <v>349526.07999999996</v>
      </c>
    </row>
    <row r="2937" spans="1:12" x14ac:dyDescent="0.25">
      <c r="A2937" s="48" t="str">
        <f>IF(Учет!A2937&lt;&gt;"",Учет!A2937,"")</f>
        <v/>
      </c>
      <c r="B2937" s="52">
        <f>IF(Учет!$O2937=Справочники!$F$2,Учет!$H2937,0)</f>
        <v>0</v>
      </c>
      <c r="C2937" s="52">
        <f>IF(Учет!$O2937=Справочники!$F$3,Учет!$H2937,0)</f>
        <v>0</v>
      </c>
      <c r="D2937" s="52">
        <f>IF(Учет!$O2937=Справочники!$F$4,Учет!$H2937,0)</f>
        <v>0</v>
      </c>
      <c r="E2937" s="52">
        <f>IF(Учет!$O2937=Справочники!$F$5,Учет!$H2937,0)</f>
        <v>0</v>
      </c>
      <c r="F2937" s="52">
        <f>IF(Учет!$O2937=Справочники!$F$6,Учет!$H2937,0)</f>
        <v>0</v>
      </c>
      <c r="G2937" s="43">
        <f>G2936+Учет!B2937-B2937</f>
        <v>-488978.92000000004</v>
      </c>
      <c r="H2937" s="43">
        <f>H2936+Учет!C2937-C2937</f>
        <v>336855</v>
      </c>
      <c r="I2937" s="43">
        <f>I2936+Учет!D2937-D2937</f>
        <v>500</v>
      </c>
      <c r="J2937" s="43">
        <f>J2936+Учет!E2937-E2937</f>
        <v>1150</v>
      </c>
      <c r="K2937" s="43">
        <f>K2936+Учет!F2937-F2937</f>
        <v>500000</v>
      </c>
      <c r="L2937" s="45">
        <f>Учет!I2937</f>
        <v>349526.07999999996</v>
      </c>
    </row>
    <row r="2938" spans="1:12" x14ac:dyDescent="0.25">
      <c r="A2938" s="48" t="str">
        <f>IF(Учет!A2938&lt;&gt;"",Учет!A2938,"")</f>
        <v/>
      </c>
      <c r="B2938" s="52">
        <f>IF(Учет!$O2938=Справочники!$F$2,Учет!$H2938,0)</f>
        <v>0</v>
      </c>
      <c r="C2938" s="52">
        <f>IF(Учет!$O2938=Справочники!$F$3,Учет!$H2938,0)</f>
        <v>0</v>
      </c>
      <c r="D2938" s="52">
        <f>IF(Учет!$O2938=Справочники!$F$4,Учет!$H2938,0)</f>
        <v>0</v>
      </c>
      <c r="E2938" s="52">
        <f>IF(Учет!$O2938=Справочники!$F$5,Учет!$H2938,0)</f>
        <v>0</v>
      </c>
      <c r="F2938" s="52">
        <f>IF(Учет!$O2938=Справочники!$F$6,Учет!$H2938,0)</f>
        <v>0</v>
      </c>
      <c r="G2938" s="43">
        <f>G2937+Учет!B2938-B2938</f>
        <v>-488978.92000000004</v>
      </c>
      <c r="H2938" s="43">
        <f>H2937+Учет!C2938-C2938</f>
        <v>336855</v>
      </c>
      <c r="I2938" s="43">
        <f>I2937+Учет!D2938-D2938</f>
        <v>500</v>
      </c>
      <c r="J2938" s="43">
        <f>J2937+Учет!E2938-E2938</f>
        <v>1150</v>
      </c>
      <c r="K2938" s="43">
        <f>K2937+Учет!F2938-F2938</f>
        <v>500000</v>
      </c>
      <c r="L2938" s="45">
        <f>Учет!I2938</f>
        <v>349526.07999999996</v>
      </c>
    </row>
    <row r="2939" spans="1:12" x14ac:dyDescent="0.25">
      <c r="A2939" s="48" t="str">
        <f>IF(Учет!A2939&lt;&gt;"",Учет!A2939,"")</f>
        <v/>
      </c>
      <c r="B2939" s="52">
        <f>IF(Учет!$O2939=Справочники!$F$2,Учет!$H2939,0)</f>
        <v>0</v>
      </c>
      <c r="C2939" s="52">
        <f>IF(Учет!$O2939=Справочники!$F$3,Учет!$H2939,0)</f>
        <v>0</v>
      </c>
      <c r="D2939" s="52">
        <f>IF(Учет!$O2939=Справочники!$F$4,Учет!$H2939,0)</f>
        <v>0</v>
      </c>
      <c r="E2939" s="52">
        <f>IF(Учет!$O2939=Справочники!$F$5,Учет!$H2939,0)</f>
        <v>0</v>
      </c>
      <c r="F2939" s="52">
        <f>IF(Учет!$O2939=Справочники!$F$6,Учет!$H2939,0)</f>
        <v>0</v>
      </c>
      <c r="G2939" s="43">
        <f>G2938+Учет!B2939-B2939</f>
        <v>-488978.92000000004</v>
      </c>
      <c r="H2939" s="43">
        <f>H2938+Учет!C2939-C2939</f>
        <v>336855</v>
      </c>
      <c r="I2939" s="43">
        <f>I2938+Учет!D2939-D2939</f>
        <v>500</v>
      </c>
      <c r="J2939" s="43">
        <f>J2938+Учет!E2939-E2939</f>
        <v>1150</v>
      </c>
      <c r="K2939" s="43">
        <f>K2938+Учет!F2939-F2939</f>
        <v>500000</v>
      </c>
      <c r="L2939" s="45">
        <f>Учет!I2939</f>
        <v>349526.07999999996</v>
      </c>
    </row>
    <row r="2940" spans="1:12" x14ac:dyDescent="0.25">
      <c r="A2940" s="48" t="str">
        <f>IF(Учет!A2940&lt;&gt;"",Учет!A2940,"")</f>
        <v/>
      </c>
      <c r="B2940" s="52">
        <f>IF(Учет!$O2940=Справочники!$F$2,Учет!$H2940,0)</f>
        <v>0</v>
      </c>
      <c r="C2940" s="52">
        <f>IF(Учет!$O2940=Справочники!$F$3,Учет!$H2940,0)</f>
        <v>0</v>
      </c>
      <c r="D2940" s="52">
        <f>IF(Учет!$O2940=Справочники!$F$4,Учет!$H2940,0)</f>
        <v>0</v>
      </c>
      <c r="E2940" s="52">
        <f>IF(Учет!$O2940=Справочники!$F$5,Учет!$H2940,0)</f>
        <v>0</v>
      </c>
      <c r="F2940" s="52">
        <f>IF(Учет!$O2940=Справочники!$F$6,Учет!$H2940,0)</f>
        <v>0</v>
      </c>
      <c r="G2940" s="43">
        <f>G2939+Учет!B2940-B2940</f>
        <v>-488978.92000000004</v>
      </c>
      <c r="H2940" s="43">
        <f>H2939+Учет!C2940-C2940</f>
        <v>336855</v>
      </c>
      <c r="I2940" s="43">
        <f>I2939+Учет!D2940-D2940</f>
        <v>500</v>
      </c>
      <c r="J2940" s="43">
        <f>J2939+Учет!E2940-E2940</f>
        <v>1150</v>
      </c>
      <c r="K2940" s="43">
        <f>K2939+Учет!F2940-F2940</f>
        <v>500000</v>
      </c>
      <c r="L2940" s="45">
        <f>Учет!I2940</f>
        <v>349526.07999999996</v>
      </c>
    </row>
    <row r="2941" spans="1:12" x14ac:dyDescent="0.25">
      <c r="A2941" s="48" t="str">
        <f>IF(Учет!A2941&lt;&gt;"",Учет!A2941,"")</f>
        <v/>
      </c>
      <c r="B2941" s="52">
        <f>IF(Учет!$O2941=Справочники!$F$2,Учет!$H2941,0)</f>
        <v>0</v>
      </c>
      <c r="C2941" s="52">
        <f>IF(Учет!$O2941=Справочники!$F$3,Учет!$H2941,0)</f>
        <v>0</v>
      </c>
      <c r="D2941" s="52">
        <f>IF(Учет!$O2941=Справочники!$F$4,Учет!$H2941,0)</f>
        <v>0</v>
      </c>
      <c r="E2941" s="52">
        <f>IF(Учет!$O2941=Справочники!$F$5,Учет!$H2941,0)</f>
        <v>0</v>
      </c>
      <c r="F2941" s="52">
        <f>IF(Учет!$O2941=Справочники!$F$6,Учет!$H2941,0)</f>
        <v>0</v>
      </c>
      <c r="G2941" s="43">
        <f>G2940+Учет!B2941-B2941</f>
        <v>-488978.92000000004</v>
      </c>
      <c r="H2941" s="43">
        <f>H2940+Учет!C2941-C2941</f>
        <v>336855</v>
      </c>
      <c r="I2941" s="43">
        <f>I2940+Учет!D2941-D2941</f>
        <v>500</v>
      </c>
      <c r="J2941" s="43">
        <f>J2940+Учет!E2941-E2941</f>
        <v>1150</v>
      </c>
      <c r="K2941" s="43">
        <f>K2940+Учет!F2941-F2941</f>
        <v>500000</v>
      </c>
      <c r="L2941" s="45">
        <f>Учет!I2941</f>
        <v>349526.07999999996</v>
      </c>
    </row>
    <row r="2942" spans="1:12" x14ac:dyDescent="0.25">
      <c r="A2942" s="48" t="str">
        <f>IF(Учет!A2942&lt;&gt;"",Учет!A2942,"")</f>
        <v/>
      </c>
      <c r="B2942" s="52">
        <f>IF(Учет!$O2942=Справочники!$F$2,Учет!$H2942,0)</f>
        <v>0</v>
      </c>
      <c r="C2942" s="52">
        <f>IF(Учет!$O2942=Справочники!$F$3,Учет!$H2942,0)</f>
        <v>0</v>
      </c>
      <c r="D2942" s="52">
        <f>IF(Учет!$O2942=Справочники!$F$4,Учет!$H2942,0)</f>
        <v>0</v>
      </c>
      <c r="E2942" s="52">
        <f>IF(Учет!$O2942=Справочники!$F$5,Учет!$H2942,0)</f>
        <v>0</v>
      </c>
      <c r="F2942" s="52">
        <f>IF(Учет!$O2942=Справочники!$F$6,Учет!$H2942,0)</f>
        <v>0</v>
      </c>
      <c r="G2942" s="43">
        <f>G2941+Учет!B2942-B2942</f>
        <v>-488978.92000000004</v>
      </c>
      <c r="H2942" s="43">
        <f>H2941+Учет!C2942-C2942</f>
        <v>336855</v>
      </c>
      <c r="I2942" s="43">
        <f>I2941+Учет!D2942-D2942</f>
        <v>500</v>
      </c>
      <c r="J2942" s="43">
        <f>J2941+Учет!E2942-E2942</f>
        <v>1150</v>
      </c>
      <c r="K2942" s="43">
        <f>K2941+Учет!F2942-F2942</f>
        <v>500000</v>
      </c>
      <c r="L2942" s="45">
        <f>Учет!I2942</f>
        <v>349526.07999999996</v>
      </c>
    </row>
    <row r="2943" spans="1:12" x14ac:dyDescent="0.25">
      <c r="A2943" s="48" t="str">
        <f>IF(Учет!A2943&lt;&gt;"",Учет!A2943,"")</f>
        <v/>
      </c>
      <c r="B2943" s="52">
        <f>IF(Учет!$O2943=Справочники!$F$2,Учет!$H2943,0)</f>
        <v>0</v>
      </c>
      <c r="C2943" s="52">
        <f>IF(Учет!$O2943=Справочники!$F$3,Учет!$H2943,0)</f>
        <v>0</v>
      </c>
      <c r="D2943" s="52">
        <f>IF(Учет!$O2943=Справочники!$F$4,Учет!$H2943,0)</f>
        <v>0</v>
      </c>
      <c r="E2943" s="52">
        <f>IF(Учет!$O2943=Справочники!$F$5,Учет!$H2943,0)</f>
        <v>0</v>
      </c>
      <c r="F2943" s="52">
        <f>IF(Учет!$O2943=Справочники!$F$6,Учет!$H2943,0)</f>
        <v>0</v>
      </c>
      <c r="G2943" s="43">
        <f>G2942+Учет!B2943-B2943</f>
        <v>-488978.92000000004</v>
      </c>
      <c r="H2943" s="43">
        <f>H2942+Учет!C2943-C2943</f>
        <v>336855</v>
      </c>
      <c r="I2943" s="43">
        <f>I2942+Учет!D2943-D2943</f>
        <v>500</v>
      </c>
      <c r="J2943" s="43">
        <f>J2942+Учет!E2943-E2943</f>
        <v>1150</v>
      </c>
      <c r="K2943" s="43">
        <f>K2942+Учет!F2943-F2943</f>
        <v>500000</v>
      </c>
      <c r="L2943" s="45">
        <f>Учет!I2943</f>
        <v>349526.07999999996</v>
      </c>
    </row>
    <row r="2944" spans="1:12" x14ac:dyDescent="0.25">
      <c r="A2944" s="48" t="str">
        <f>IF(Учет!A2944&lt;&gt;"",Учет!A2944,"")</f>
        <v/>
      </c>
      <c r="B2944" s="52">
        <f>IF(Учет!$O2944=Справочники!$F$2,Учет!$H2944,0)</f>
        <v>0</v>
      </c>
      <c r="C2944" s="52">
        <f>IF(Учет!$O2944=Справочники!$F$3,Учет!$H2944,0)</f>
        <v>0</v>
      </c>
      <c r="D2944" s="52">
        <f>IF(Учет!$O2944=Справочники!$F$4,Учет!$H2944,0)</f>
        <v>0</v>
      </c>
      <c r="E2944" s="52">
        <f>IF(Учет!$O2944=Справочники!$F$5,Учет!$H2944,0)</f>
        <v>0</v>
      </c>
      <c r="F2944" s="52">
        <f>IF(Учет!$O2944=Справочники!$F$6,Учет!$H2944,0)</f>
        <v>0</v>
      </c>
      <c r="G2944" s="43">
        <f>G2943+Учет!B2944-B2944</f>
        <v>-488978.92000000004</v>
      </c>
      <c r="H2944" s="43">
        <f>H2943+Учет!C2944-C2944</f>
        <v>336855</v>
      </c>
      <c r="I2944" s="43">
        <f>I2943+Учет!D2944-D2944</f>
        <v>500</v>
      </c>
      <c r="J2944" s="43">
        <f>J2943+Учет!E2944-E2944</f>
        <v>1150</v>
      </c>
      <c r="K2944" s="43">
        <f>K2943+Учет!F2944-F2944</f>
        <v>500000</v>
      </c>
      <c r="L2944" s="45">
        <f>Учет!I2944</f>
        <v>349526.07999999996</v>
      </c>
    </row>
    <row r="2945" spans="1:12" x14ac:dyDescent="0.25">
      <c r="A2945" s="48" t="str">
        <f>IF(Учет!A2945&lt;&gt;"",Учет!A2945,"")</f>
        <v/>
      </c>
      <c r="B2945" s="52">
        <f>IF(Учет!$O2945=Справочники!$F$2,Учет!$H2945,0)</f>
        <v>0</v>
      </c>
      <c r="C2945" s="52">
        <f>IF(Учет!$O2945=Справочники!$F$3,Учет!$H2945,0)</f>
        <v>0</v>
      </c>
      <c r="D2945" s="52">
        <f>IF(Учет!$O2945=Справочники!$F$4,Учет!$H2945,0)</f>
        <v>0</v>
      </c>
      <c r="E2945" s="52">
        <f>IF(Учет!$O2945=Справочники!$F$5,Учет!$H2945,0)</f>
        <v>0</v>
      </c>
      <c r="F2945" s="52">
        <f>IF(Учет!$O2945=Справочники!$F$6,Учет!$H2945,0)</f>
        <v>0</v>
      </c>
      <c r="G2945" s="43">
        <f>G2944+Учет!B2945-B2945</f>
        <v>-488978.92000000004</v>
      </c>
      <c r="H2945" s="43">
        <f>H2944+Учет!C2945-C2945</f>
        <v>336855</v>
      </c>
      <c r="I2945" s="43">
        <f>I2944+Учет!D2945-D2945</f>
        <v>500</v>
      </c>
      <c r="J2945" s="43">
        <f>J2944+Учет!E2945-E2945</f>
        <v>1150</v>
      </c>
      <c r="K2945" s="43">
        <f>K2944+Учет!F2945-F2945</f>
        <v>500000</v>
      </c>
      <c r="L2945" s="45">
        <f>Учет!I2945</f>
        <v>349526.07999999996</v>
      </c>
    </row>
    <row r="2946" spans="1:12" x14ac:dyDescent="0.25">
      <c r="A2946" s="48" t="str">
        <f>IF(Учет!A2946&lt;&gt;"",Учет!A2946,"")</f>
        <v/>
      </c>
      <c r="B2946" s="52">
        <f>IF(Учет!$O2946=Справочники!$F$2,Учет!$H2946,0)</f>
        <v>0</v>
      </c>
      <c r="C2946" s="52">
        <f>IF(Учет!$O2946=Справочники!$F$3,Учет!$H2946,0)</f>
        <v>0</v>
      </c>
      <c r="D2946" s="52">
        <f>IF(Учет!$O2946=Справочники!$F$4,Учет!$H2946,0)</f>
        <v>0</v>
      </c>
      <c r="E2946" s="52">
        <f>IF(Учет!$O2946=Справочники!$F$5,Учет!$H2946,0)</f>
        <v>0</v>
      </c>
      <c r="F2946" s="52">
        <f>IF(Учет!$O2946=Справочники!$F$6,Учет!$H2946,0)</f>
        <v>0</v>
      </c>
      <c r="G2946" s="43">
        <f>G2945+Учет!B2946-B2946</f>
        <v>-488978.92000000004</v>
      </c>
      <c r="H2946" s="43">
        <f>H2945+Учет!C2946-C2946</f>
        <v>336855</v>
      </c>
      <c r="I2946" s="43">
        <f>I2945+Учет!D2946-D2946</f>
        <v>500</v>
      </c>
      <c r="J2946" s="43">
        <f>J2945+Учет!E2946-E2946</f>
        <v>1150</v>
      </c>
      <c r="K2946" s="43">
        <f>K2945+Учет!F2946-F2946</f>
        <v>500000</v>
      </c>
      <c r="L2946" s="45">
        <f>Учет!I2946</f>
        <v>349526.07999999996</v>
      </c>
    </row>
    <row r="2947" spans="1:12" x14ac:dyDescent="0.25">
      <c r="A2947" s="48" t="str">
        <f>IF(Учет!A2947&lt;&gt;"",Учет!A2947,"")</f>
        <v/>
      </c>
      <c r="B2947" s="52">
        <f>IF(Учет!$O2947=Справочники!$F$2,Учет!$H2947,0)</f>
        <v>0</v>
      </c>
      <c r="C2947" s="52">
        <f>IF(Учет!$O2947=Справочники!$F$3,Учет!$H2947,0)</f>
        <v>0</v>
      </c>
      <c r="D2947" s="52">
        <f>IF(Учет!$O2947=Справочники!$F$4,Учет!$H2947,0)</f>
        <v>0</v>
      </c>
      <c r="E2947" s="52">
        <f>IF(Учет!$O2947=Справочники!$F$5,Учет!$H2947,0)</f>
        <v>0</v>
      </c>
      <c r="F2947" s="52">
        <f>IF(Учет!$O2947=Справочники!$F$6,Учет!$H2947,0)</f>
        <v>0</v>
      </c>
      <c r="G2947" s="43">
        <f>G2946+Учет!B2947-B2947</f>
        <v>-488978.92000000004</v>
      </c>
      <c r="H2947" s="43">
        <f>H2946+Учет!C2947-C2947</f>
        <v>336855</v>
      </c>
      <c r="I2947" s="43">
        <f>I2946+Учет!D2947-D2947</f>
        <v>500</v>
      </c>
      <c r="J2947" s="43">
        <f>J2946+Учет!E2947-E2947</f>
        <v>1150</v>
      </c>
      <c r="K2947" s="43">
        <f>K2946+Учет!F2947-F2947</f>
        <v>500000</v>
      </c>
      <c r="L2947" s="45">
        <f>Учет!I2947</f>
        <v>349526.07999999996</v>
      </c>
    </row>
    <row r="2948" spans="1:12" x14ac:dyDescent="0.25">
      <c r="A2948" s="48" t="str">
        <f>IF(Учет!A2948&lt;&gt;"",Учет!A2948,"")</f>
        <v/>
      </c>
      <c r="B2948" s="52">
        <f>IF(Учет!$O2948=Справочники!$F$2,Учет!$H2948,0)</f>
        <v>0</v>
      </c>
      <c r="C2948" s="52">
        <f>IF(Учет!$O2948=Справочники!$F$3,Учет!$H2948,0)</f>
        <v>0</v>
      </c>
      <c r="D2948" s="52">
        <f>IF(Учет!$O2948=Справочники!$F$4,Учет!$H2948,0)</f>
        <v>0</v>
      </c>
      <c r="E2948" s="52">
        <f>IF(Учет!$O2948=Справочники!$F$5,Учет!$H2948,0)</f>
        <v>0</v>
      </c>
      <c r="F2948" s="52">
        <f>IF(Учет!$O2948=Справочники!$F$6,Учет!$H2948,0)</f>
        <v>0</v>
      </c>
      <c r="G2948" s="43">
        <f>G2947+Учет!B2948-B2948</f>
        <v>-488978.92000000004</v>
      </c>
      <c r="H2948" s="43">
        <f>H2947+Учет!C2948-C2948</f>
        <v>336855</v>
      </c>
      <c r="I2948" s="43">
        <f>I2947+Учет!D2948-D2948</f>
        <v>500</v>
      </c>
      <c r="J2948" s="43">
        <f>J2947+Учет!E2948-E2948</f>
        <v>1150</v>
      </c>
      <c r="K2948" s="43">
        <f>K2947+Учет!F2948-F2948</f>
        <v>500000</v>
      </c>
      <c r="L2948" s="45">
        <f>Учет!I2948</f>
        <v>349526.07999999996</v>
      </c>
    </row>
    <row r="2949" spans="1:12" x14ac:dyDescent="0.25">
      <c r="A2949" s="48" t="str">
        <f>IF(Учет!A2949&lt;&gt;"",Учет!A2949,"")</f>
        <v/>
      </c>
      <c r="B2949" s="52">
        <f>IF(Учет!$O2949=Справочники!$F$2,Учет!$H2949,0)</f>
        <v>0</v>
      </c>
      <c r="C2949" s="52">
        <f>IF(Учет!$O2949=Справочники!$F$3,Учет!$H2949,0)</f>
        <v>0</v>
      </c>
      <c r="D2949" s="52">
        <f>IF(Учет!$O2949=Справочники!$F$4,Учет!$H2949,0)</f>
        <v>0</v>
      </c>
      <c r="E2949" s="52">
        <f>IF(Учет!$O2949=Справочники!$F$5,Учет!$H2949,0)</f>
        <v>0</v>
      </c>
      <c r="F2949" s="52">
        <f>IF(Учет!$O2949=Справочники!$F$6,Учет!$H2949,0)</f>
        <v>0</v>
      </c>
      <c r="G2949" s="43">
        <f>G2948+Учет!B2949-B2949</f>
        <v>-488978.92000000004</v>
      </c>
      <c r="H2949" s="43">
        <f>H2948+Учет!C2949-C2949</f>
        <v>336855</v>
      </c>
      <c r="I2949" s="43">
        <f>I2948+Учет!D2949-D2949</f>
        <v>500</v>
      </c>
      <c r="J2949" s="43">
        <f>J2948+Учет!E2949-E2949</f>
        <v>1150</v>
      </c>
      <c r="K2949" s="43">
        <f>K2948+Учет!F2949-F2949</f>
        <v>500000</v>
      </c>
      <c r="L2949" s="45">
        <f>Учет!I2949</f>
        <v>349526.07999999996</v>
      </c>
    </row>
    <row r="2950" spans="1:12" x14ac:dyDescent="0.25">
      <c r="A2950" s="48" t="str">
        <f>IF(Учет!A2950&lt;&gt;"",Учет!A2950,"")</f>
        <v/>
      </c>
      <c r="B2950" s="52">
        <f>IF(Учет!$O2950=Справочники!$F$2,Учет!$H2950,0)</f>
        <v>0</v>
      </c>
      <c r="C2950" s="52">
        <f>IF(Учет!$O2950=Справочники!$F$3,Учет!$H2950,0)</f>
        <v>0</v>
      </c>
      <c r="D2950" s="52">
        <f>IF(Учет!$O2950=Справочники!$F$4,Учет!$H2950,0)</f>
        <v>0</v>
      </c>
      <c r="E2950" s="52">
        <f>IF(Учет!$O2950=Справочники!$F$5,Учет!$H2950,0)</f>
        <v>0</v>
      </c>
      <c r="F2950" s="52">
        <f>IF(Учет!$O2950=Справочники!$F$6,Учет!$H2950,0)</f>
        <v>0</v>
      </c>
      <c r="G2950" s="43">
        <f>G2949+Учет!B2950-B2950</f>
        <v>-488978.92000000004</v>
      </c>
      <c r="H2950" s="43">
        <f>H2949+Учет!C2950-C2950</f>
        <v>336855</v>
      </c>
      <c r="I2950" s="43">
        <f>I2949+Учет!D2950-D2950</f>
        <v>500</v>
      </c>
      <c r="J2950" s="43">
        <f>J2949+Учет!E2950-E2950</f>
        <v>1150</v>
      </c>
      <c r="K2950" s="43">
        <f>K2949+Учет!F2950-F2950</f>
        <v>500000</v>
      </c>
      <c r="L2950" s="45">
        <f>Учет!I2950</f>
        <v>349526.07999999996</v>
      </c>
    </row>
    <row r="2951" spans="1:12" x14ac:dyDescent="0.25">
      <c r="A2951" s="48" t="str">
        <f>IF(Учет!A2951&lt;&gt;"",Учет!A2951,"")</f>
        <v/>
      </c>
      <c r="B2951" s="52">
        <f>IF(Учет!$O2951=Справочники!$F$2,Учет!$H2951,0)</f>
        <v>0</v>
      </c>
      <c r="C2951" s="52">
        <f>IF(Учет!$O2951=Справочники!$F$3,Учет!$H2951,0)</f>
        <v>0</v>
      </c>
      <c r="D2951" s="52">
        <f>IF(Учет!$O2951=Справочники!$F$4,Учет!$H2951,0)</f>
        <v>0</v>
      </c>
      <c r="E2951" s="52">
        <f>IF(Учет!$O2951=Справочники!$F$5,Учет!$H2951,0)</f>
        <v>0</v>
      </c>
      <c r="F2951" s="52">
        <f>IF(Учет!$O2951=Справочники!$F$6,Учет!$H2951,0)</f>
        <v>0</v>
      </c>
      <c r="G2951" s="43">
        <f>G2950+Учет!B2951-B2951</f>
        <v>-488978.92000000004</v>
      </c>
      <c r="H2951" s="43">
        <f>H2950+Учет!C2951-C2951</f>
        <v>336855</v>
      </c>
      <c r="I2951" s="43">
        <f>I2950+Учет!D2951-D2951</f>
        <v>500</v>
      </c>
      <c r="J2951" s="43">
        <f>J2950+Учет!E2951-E2951</f>
        <v>1150</v>
      </c>
      <c r="K2951" s="43">
        <f>K2950+Учет!F2951-F2951</f>
        <v>500000</v>
      </c>
      <c r="L2951" s="45">
        <f>Учет!I2951</f>
        <v>349526.07999999996</v>
      </c>
    </row>
    <row r="2952" spans="1:12" x14ac:dyDescent="0.25">
      <c r="A2952" s="48" t="str">
        <f>IF(Учет!A2952&lt;&gt;"",Учет!A2952,"")</f>
        <v/>
      </c>
      <c r="B2952" s="52">
        <f>IF(Учет!$O2952=Справочники!$F$2,Учет!$H2952,0)</f>
        <v>0</v>
      </c>
      <c r="C2952" s="52">
        <f>IF(Учет!$O2952=Справочники!$F$3,Учет!$H2952,0)</f>
        <v>0</v>
      </c>
      <c r="D2952" s="52">
        <f>IF(Учет!$O2952=Справочники!$F$4,Учет!$H2952,0)</f>
        <v>0</v>
      </c>
      <c r="E2952" s="52">
        <f>IF(Учет!$O2952=Справочники!$F$5,Учет!$H2952,0)</f>
        <v>0</v>
      </c>
      <c r="F2952" s="52">
        <f>IF(Учет!$O2952=Справочники!$F$6,Учет!$H2952,0)</f>
        <v>0</v>
      </c>
      <c r="G2952" s="43">
        <f>G2951+Учет!B2952-B2952</f>
        <v>-488978.92000000004</v>
      </c>
      <c r="H2952" s="43">
        <f>H2951+Учет!C2952-C2952</f>
        <v>336855</v>
      </c>
      <c r="I2952" s="43">
        <f>I2951+Учет!D2952-D2952</f>
        <v>500</v>
      </c>
      <c r="J2952" s="43">
        <f>J2951+Учет!E2952-E2952</f>
        <v>1150</v>
      </c>
      <c r="K2952" s="43">
        <f>K2951+Учет!F2952-F2952</f>
        <v>500000</v>
      </c>
      <c r="L2952" s="45">
        <f>Учет!I2952</f>
        <v>349526.07999999996</v>
      </c>
    </row>
    <row r="2953" spans="1:12" x14ac:dyDescent="0.25">
      <c r="A2953" s="48" t="str">
        <f>IF(Учет!A2953&lt;&gt;"",Учет!A2953,"")</f>
        <v/>
      </c>
      <c r="B2953" s="52">
        <f>IF(Учет!$O2953=Справочники!$F$2,Учет!$H2953,0)</f>
        <v>0</v>
      </c>
      <c r="C2953" s="52">
        <f>IF(Учет!$O2953=Справочники!$F$3,Учет!$H2953,0)</f>
        <v>0</v>
      </c>
      <c r="D2953" s="52">
        <f>IF(Учет!$O2953=Справочники!$F$4,Учет!$H2953,0)</f>
        <v>0</v>
      </c>
      <c r="E2953" s="52">
        <f>IF(Учет!$O2953=Справочники!$F$5,Учет!$H2953,0)</f>
        <v>0</v>
      </c>
      <c r="F2953" s="52">
        <f>IF(Учет!$O2953=Справочники!$F$6,Учет!$H2953,0)</f>
        <v>0</v>
      </c>
      <c r="G2953" s="43">
        <f>G2952+Учет!B2953-B2953</f>
        <v>-488978.92000000004</v>
      </c>
      <c r="H2953" s="43">
        <f>H2952+Учет!C2953-C2953</f>
        <v>336855</v>
      </c>
      <c r="I2953" s="43">
        <f>I2952+Учет!D2953-D2953</f>
        <v>500</v>
      </c>
      <c r="J2953" s="43">
        <f>J2952+Учет!E2953-E2953</f>
        <v>1150</v>
      </c>
      <c r="K2953" s="43">
        <f>K2952+Учет!F2953-F2953</f>
        <v>500000</v>
      </c>
      <c r="L2953" s="45">
        <f>Учет!I2953</f>
        <v>349526.07999999996</v>
      </c>
    </row>
    <row r="2954" spans="1:12" x14ac:dyDescent="0.25">
      <c r="A2954" s="48" t="str">
        <f>IF(Учет!A2954&lt;&gt;"",Учет!A2954,"")</f>
        <v/>
      </c>
      <c r="B2954" s="52">
        <f>IF(Учет!$O2954=Справочники!$F$2,Учет!$H2954,0)</f>
        <v>0</v>
      </c>
      <c r="C2954" s="52">
        <f>IF(Учет!$O2954=Справочники!$F$3,Учет!$H2954,0)</f>
        <v>0</v>
      </c>
      <c r="D2954" s="52">
        <f>IF(Учет!$O2954=Справочники!$F$4,Учет!$H2954,0)</f>
        <v>0</v>
      </c>
      <c r="E2954" s="52">
        <f>IF(Учет!$O2954=Справочники!$F$5,Учет!$H2954,0)</f>
        <v>0</v>
      </c>
      <c r="F2954" s="52">
        <f>IF(Учет!$O2954=Справочники!$F$6,Учет!$H2954,0)</f>
        <v>0</v>
      </c>
      <c r="G2954" s="43">
        <f>G2953+Учет!B2954-B2954</f>
        <v>-488978.92000000004</v>
      </c>
      <c r="H2954" s="43">
        <f>H2953+Учет!C2954-C2954</f>
        <v>336855</v>
      </c>
      <c r="I2954" s="43">
        <f>I2953+Учет!D2954-D2954</f>
        <v>500</v>
      </c>
      <c r="J2954" s="43">
        <f>J2953+Учет!E2954-E2954</f>
        <v>1150</v>
      </c>
      <c r="K2954" s="43">
        <f>K2953+Учет!F2954-F2954</f>
        <v>500000</v>
      </c>
      <c r="L2954" s="45">
        <f>Учет!I2954</f>
        <v>349526.07999999996</v>
      </c>
    </row>
    <row r="2955" spans="1:12" x14ac:dyDescent="0.25">
      <c r="A2955" s="48" t="str">
        <f>IF(Учет!A2955&lt;&gt;"",Учет!A2955,"")</f>
        <v/>
      </c>
      <c r="B2955" s="52">
        <f>IF(Учет!$O2955=Справочники!$F$2,Учет!$H2955,0)</f>
        <v>0</v>
      </c>
      <c r="C2955" s="52">
        <f>IF(Учет!$O2955=Справочники!$F$3,Учет!$H2955,0)</f>
        <v>0</v>
      </c>
      <c r="D2955" s="52">
        <f>IF(Учет!$O2955=Справочники!$F$4,Учет!$H2955,0)</f>
        <v>0</v>
      </c>
      <c r="E2955" s="52">
        <f>IF(Учет!$O2955=Справочники!$F$5,Учет!$H2955,0)</f>
        <v>0</v>
      </c>
      <c r="F2955" s="52">
        <f>IF(Учет!$O2955=Справочники!$F$6,Учет!$H2955,0)</f>
        <v>0</v>
      </c>
      <c r="G2955" s="43">
        <f>G2954+Учет!B2955-B2955</f>
        <v>-488978.92000000004</v>
      </c>
      <c r="H2955" s="43">
        <f>H2954+Учет!C2955-C2955</f>
        <v>336855</v>
      </c>
      <c r="I2955" s="43">
        <f>I2954+Учет!D2955-D2955</f>
        <v>500</v>
      </c>
      <c r="J2955" s="43">
        <f>J2954+Учет!E2955-E2955</f>
        <v>1150</v>
      </c>
      <c r="K2955" s="43">
        <f>K2954+Учет!F2955-F2955</f>
        <v>500000</v>
      </c>
      <c r="L2955" s="45">
        <f>Учет!I2955</f>
        <v>349526.07999999996</v>
      </c>
    </row>
    <row r="2956" spans="1:12" x14ac:dyDescent="0.25">
      <c r="A2956" s="48" t="str">
        <f>IF(Учет!A2956&lt;&gt;"",Учет!A2956,"")</f>
        <v/>
      </c>
      <c r="B2956" s="52">
        <f>IF(Учет!$O2956=Справочники!$F$2,Учет!$H2956,0)</f>
        <v>0</v>
      </c>
      <c r="C2956" s="52">
        <f>IF(Учет!$O2956=Справочники!$F$3,Учет!$H2956,0)</f>
        <v>0</v>
      </c>
      <c r="D2956" s="52">
        <f>IF(Учет!$O2956=Справочники!$F$4,Учет!$H2956,0)</f>
        <v>0</v>
      </c>
      <c r="E2956" s="52">
        <f>IF(Учет!$O2956=Справочники!$F$5,Учет!$H2956,0)</f>
        <v>0</v>
      </c>
      <c r="F2956" s="52">
        <f>IF(Учет!$O2956=Справочники!$F$6,Учет!$H2956,0)</f>
        <v>0</v>
      </c>
      <c r="G2956" s="43">
        <f>G2955+Учет!B2956-B2956</f>
        <v>-488978.92000000004</v>
      </c>
      <c r="H2956" s="43">
        <f>H2955+Учет!C2956-C2956</f>
        <v>336855</v>
      </c>
      <c r="I2956" s="43">
        <f>I2955+Учет!D2956-D2956</f>
        <v>500</v>
      </c>
      <c r="J2956" s="43">
        <f>J2955+Учет!E2956-E2956</f>
        <v>1150</v>
      </c>
      <c r="K2956" s="43">
        <f>K2955+Учет!F2956-F2956</f>
        <v>500000</v>
      </c>
      <c r="L2956" s="45">
        <f>Учет!I2956</f>
        <v>349526.07999999996</v>
      </c>
    </row>
    <row r="2957" spans="1:12" x14ac:dyDescent="0.25">
      <c r="A2957" s="48" t="str">
        <f>IF(Учет!A2957&lt;&gt;"",Учет!A2957,"")</f>
        <v/>
      </c>
      <c r="B2957" s="52">
        <f>IF(Учет!$O2957=Справочники!$F$2,Учет!$H2957,0)</f>
        <v>0</v>
      </c>
      <c r="C2957" s="52">
        <f>IF(Учет!$O2957=Справочники!$F$3,Учет!$H2957,0)</f>
        <v>0</v>
      </c>
      <c r="D2957" s="52">
        <f>IF(Учет!$O2957=Справочники!$F$4,Учет!$H2957,0)</f>
        <v>0</v>
      </c>
      <c r="E2957" s="52">
        <f>IF(Учет!$O2957=Справочники!$F$5,Учет!$H2957,0)</f>
        <v>0</v>
      </c>
      <c r="F2957" s="52">
        <f>IF(Учет!$O2957=Справочники!$F$6,Учет!$H2957,0)</f>
        <v>0</v>
      </c>
      <c r="G2957" s="43">
        <f>G2956+Учет!B2957-B2957</f>
        <v>-488978.92000000004</v>
      </c>
      <c r="H2957" s="43">
        <f>H2956+Учет!C2957-C2957</f>
        <v>336855</v>
      </c>
      <c r="I2957" s="43">
        <f>I2956+Учет!D2957-D2957</f>
        <v>500</v>
      </c>
      <c r="J2957" s="43">
        <f>J2956+Учет!E2957-E2957</f>
        <v>1150</v>
      </c>
      <c r="K2957" s="43">
        <f>K2956+Учет!F2957-F2957</f>
        <v>500000</v>
      </c>
      <c r="L2957" s="45">
        <f>Учет!I2957</f>
        <v>349526.07999999996</v>
      </c>
    </row>
    <row r="2958" spans="1:12" x14ac:dyDescent="0.25">
      <c r="A2958" s="48" t="str">
        <f>IF(Учет!A2958&lt;&gt;"",Учет!A2958,"")</f>
        <v/>
      </c>
      <c r="B2958" s="52">
        <f>IF(Учет!$O2958=Справочники!$F$2,Учет!$H2958,0)</f>
        <v>0</v>
      </c>
      <c r="C2958" s="52">
        <f>IF(Учет!$O2958=Справочники!$F$3,Учет!$H2958,0)</f>
        <v>0</v>
      </c>
      <c r="D2958" s="52">
        <f>IF(Учет!$O2958=Справочники!$F$4,Учет!$H2958,0)</f>
        <v>0</v>
      </c>
      <c r="E2958" s="52">
        <f>IF(Учет!$O2958=Справочники!$F$5,Учет!$H2958,0)</f>
        <v>0</v>
      </c>
      <c r="F2958" s="52">
        <f>IF(Учет!$O2958=Справочники!$F$6,Учет!$H2958,0)</f>
        <v>0</v>
      </c>
      <c r="G2958" s="43">
        <f>G2957+Учет!B2958-B2958</f>
        <v>-488978.92000000004</v>
      </c>
      <c r="H2958" s="43">
        <f>H2957+Учет!C2958-C2958</f>
        <v>336855</v>
      </c>
      <c r="I2958" s="43">
        <f>I2957+Учет!D2958-D2958</f>
        <v>500</v>
      </c>
      <c r="J2958" s="43">
        <f>J2957+Учет!E2958-E2958</f>
        <v>1150</v>
      </c>
      <c r="K2958" s="43">
        <f>K2957+Учет!F2958-F2958</f>
        <v>500000</v>
      </c>
      <c r="L2958" s="45">
        <f>Учет!I2958</f>
        <v>349526.07999999996</v>
      </c>
    </row>
    <row r="2959" spans="1:12" x14ac:dyDescent="0.25">
      <c r="A2959" s="48" t="str">
        <f>IF(Учет!A2959&lt;&gt;"",Учет!A2959,"")</f>
        <v/>
      </c>
      <c r="B2959" s="52">
        <f>IF(Учет!$O2959=Справочники!$F$2,Учет!$H2959,0)</f>
        <v>0</v>
      </c>
      <c r="C2959" s="52">
        <f>IF(Учет!$O2959=Справочники!$F$3,Учет!$H2959,0)</f>
        <v>0</v>
      </c>
      <c r="D2959" s="52">
        <f>IF(Учет!$O2959=Справочники!$F$4,Учет!$H2959,0)</f>
        <v>0</v>
      </c>
      <c r="E2959" s="52">
        <f>IF(Учет!$O2959=Справочники!$F$5,Учет!$H2959,0)</f>
        <v>0</v>
      </c>
      <c r="F2959" s="52">
        <f>IF(Учет!$O2959=Справочники!$F$6,Учет!$H2959,0)</f>
        <v>0</v>
      </c>
      <c r="G2959" s="43">
        <f>G2958+Учет!B2959-B2959</f>
        <v>-488978.92000000004</v>
      </c>
      <c r="H2959" s="43">
        <f>H2958+Учет!C2959-C2959</f>
        <v>336855</v>
      </c>
      <c r="I2959" s="43">
        <f>I2958+Учет!D2959-D2959</f>
        <v>500</v>
      </c>
      <c r="J2959" s="43">
        <f>J2958+Учет!E2959-E2959</f>
        <v>1150</v>
      </c>
      <c r="K2959" s="43">
        <f>K2958+Учет!F2959-F2959</f>
        <v>500000</v>
      </c>
      <c r="L2959" s="45">
        <f>Учет!I2959</f>
        <v>349526.07999999996</v>
      </c>
    </row>
    <row r="2960" spans="1:12" x14ac:dyDescent="0.25">
      <c r="A2960" s="48" t="str">
        <f>IF(Учет!A2960&lt;&gt;"",Учет!A2960,"")</f>
        <v/>
      </c>
      <c r="B2960" s="52">
        <f>IF(Учет!$O2960=Справочники!$F$2,Учет!$H2960,0)</f>
        <v>0</v>
      </c>
      <c r="C2960" s="52">
        <f>IF(Учет!$O2960=Справочники!$F$3,Учет!$H2960,0)</f>
        <v>0</v>
      </c>
      <c r="D2960" s="52">
        <f>IF(Учет!$O2960=Справочники!$F$4,Учет!$H2960,0)</f>
        <v>0</v>
      </c>
      <c r="E2960" s="52">
        <f>IF(Учет!$O2960=Справочники!$F$5,Учет!$H2960,0)</f>
        <v>0</v>
      </c>
      <c r="F2960" s="52">
        <f>IF(Учет!$O2960=Справочники!$F$6,Учет!$H2960,0)</f>
        <v>0</v>
      </c>
      <c r="G2960" s="43">
        <f>G2959+Учет!B2960-B2960</f>
        <v>-488978.92000000004</v>
      </c>
      <c r="H2960" s="43">
        <f>H2959+Учет!C2960-C2960</f>
        <v>336855</v>
      </c>
      <c r="I2960" s="43">
        <f>I2959+Учет!D2960-D2960</f>
        <v>500</v>
      </c>
      <c r="J2960" s="43">
        <f>J2959+Учет!E2960-E2960</f>
        <v>1150</v>
      </c>
      <c r="K2960" s="43">
        <f>K2959+Учет!F2960-F2960</f>
        <v>500000</v>
      </c>
      <c r="L2960" s="45">
        <f>Учет!I2960</f>
        <v>349526.07999999996</v>
      </c>
    </row>
    <row r="2961" spans="1:12" x14ac:dyDescent="0.25">
      <c r="A2961" s="48" t="str">
        <f>IF(Учет!A2961&lt;&gt;"",Учет!A2961,"")</f>
        <v/>
      </c>
      <c r="B2961" s="52">
        <f>IF(Учет!$O2961=Справочники!$F$2,Учет!$H2961,0)</f>
        <v>0</v>
      </c>
      <c r="C2961" s="52">
        <f>IF(Учет!$O2961=Справочники!$F$3,Учет!$H2961,0)</f>
        <v>0</v>
      </c>
      <c r="D2961" s="52">
        <f>IF(Учет!$O2961=Справочники!$F$4,Учет!$H2961,0)</f>
        <v>0</v>
      </c>
      <c r="E2961" s="52">
        <f>IF(Учет!$O2961=Справочники!$F$5,Учет!$H2961,0)</f>
        <v>0</v>
      </c>
      <c r="F2961" s="52">
        <f>IF(Учет!$O2961=Справочники!$F$6,Учет!$H2961,0)</f>
        <v>0</v>
      </c>
      <c r="G2961" s="43">
        <f>G2960+Учет!B2961-B2961</f>
        <v>-488978.92000000004</v>
      </c>
      <c r="H2961" s="43">
        <f>H2960+Учет!C2961-C2961</f>
        <v>336855</v>
      </c>
      <c r="I2961" s="43">
        <f>I2960+Учет!D2961-D2961</f>
        <v>500</v>
      </c>
      <c r="J2961" s="43">
        <f>J2960+Учет!E2961-E2961</f>
        <v>1150</v>
      </c>
      <c r="K2961" s="43">
        <f>K2960+Учет!F2961-F2961</f>
        <v>500000</v>
      </c>
      <c r="L2961" s="45">
        <f>Учет!I2961</f>
        <v>349526.07999999996</v>
      </c>
    </row>
    <row r="2962" spans="1:12" x14ac:dyDescent="0.25">
      <c r="A2962" s="48" t="str">
        <f>IF(Учет!A2962&lt;&gt;"",Учет!A2962,"")</f>
        <v/>
      </c>
      <c r="B2962" s="52">
        <f>IF(Учет!$O2962=Справочники!$F$2,Учет!$H2962,0)</f>
        <v>0</v>
      </c>
      <c r="C2962" s="52">
        <f>IF(Учет!$O2962=Справочники!$F$3,Учет!$H2962,0)</f>
        <v>0</v>
      </c>
      <c r="D2962" s="52">
        <f>IF(Учет!$O2962=Справочники!$F$4,Учет!$H2962,0)</f>
        <v>0</v>
      </c>
      <c r="E2962" s="52">
        <f>IF(Учет!$O2962=Справочники!$F$5,Учет!$H2962,0)</f>
        <v>0</v>
      </c>
      <c r="F2962" s="52">
        <f>IF(Учет!$O2962=Справочники!$F$6,Учет!$H2962,0)</f>
        <v>0</v>
      </c>
      <c r="G2962" s="43">
        <f>G2961+Учет!B2962-B2962</f>
        <v>-488978.92000000004</v>
      </c>
      <c r="H2962" s="43">
        <f>H2961+Учет!C2962-C2962</f>
        <v>336855</v>
      </c>
      <c r="I2962" s="43">
        <f>I2961+Учет!D2962-D2962</f>
        <v>500</v>
      </c>
      <c r="J2962" s="43">
        <f>J2961+Учет!E2962-E2962</f>
        <v>1150</v>
      </c>
      <c r="K2962" s="43">
        <f>K2961+Учет!F2962-F2962</f>
        <v>500000</v>
      </c>
      <c r="L2962" s="45">
        <f>Учет!I2962</f>
        <v>349526.07999999996</v>
      </c>
    </row>
    <row r="2963" spans="1:12" x14ac:dyDescent="0.25">
      <c r="A2963" s="48" t="str">
        <f>IF(Учет!A2963&lt;&gt;"",Учет!A2963,"")</f>
        <v/>
      </c>
      <c r="B2963" s="52">
        <f>IF(Учет!$O2963=Справочники!$F$2,Учет!$H2963,0)</f>
        <v>0</v>
      </c>
      <c r="C2963" s="52">
        <f>IF(Учет!$O2963=Справочники!$F$3,Учет!$H2963,0)</f>
        <v>0</v>
      </c>
      <c r="D2963" s="52">
        <f>IF(Учет!$O2963=Справочники!$F$4,Учет!$H2963,0)</f>
        <v>0</v>
      </c>
      <c r="E2963" s="52">
        <f>IF(Учет!$O2963=Справочники!$F$5,Учет!$H2963,0)</f>
        <v>0</v>
      </c>
      <c r="F2963" s="52">
        <f>IF(Учет!$O2963=Справочники!$F$6,Учет!$H2963,0)</f>
        <v>0</v>
      </c>
      <c r="G2963" s="43">
        <f>G2962+Учет!B2963-B2963</f>
        <v>-488978.92000000004</v>
      </c>
      <c r="H2963" s="43">
        <f>H2962+Учет!C2963-C2963</f>
        <v>336855</v>
      </c>
      <c r="I2963" s="43">
        <f>I2962+Учет!D2963-D2963</f>
        <v>500</v>
      </c>
      <c r="J2963" s="43">
        <f>J2962+Учет!E2963-E2963</f>
        <v>1150</v>
      </c>
      <c r="K2963" s="43">
        <f>K2962+Учет!F2963-F2963</f>
        <v>500000</v>
      </c>
      <c r="L2963" s="45">
        <f>Учет!I2963</f>
        <v>349526.07999999996</v>
      </c>
    </row>
    <row r="2964" spans="1:12" x14ac:dyDescent="0.25">
      <c r="A2964" s="48" t="str">
        <f>IF(Учет!A2964&lt;&gt;"",Учет!A2964,"")</f>
        <v/>
      </c>
      <c r="B2964" s="52">
        <f>IF(Учет!$O2964=Справочники!$F$2,Учет!$H2964,0)</f>
        <v>0</v>
      </c>
      <c r="C2964" s="52">
        <f>IF(Учет!$O2964=Справочники!$F$3,Учет!$H2964,0)</f>
        <v>0</v>
      </c>
      <c r="D2964" s="52">
        <f>IF(Учет!$O2964=Справочники!$F$4,Учет!$H2964,0)</f>
        <v>0</v>
      </c>
      <c r="E2964" s="52">
        <f>IF(Учет!$O2964=Справочники!$F$5,Учет!$H2964,0)</f>
        <v>0</v>
      </c>
      <c r="F2964" s="52">
        <f>IF(Учет!$O2964=Справочники!$F$6,Учет!$H2964,0)</f>
        <v>0</v>
      </c>
      <c r="G2964" s="43">
        <f>G2963+Учет!B2964-B2964</f>
        <v>-488978.92000000004</v>
      </c>
      <c r="H2964" s="43">
        <f>H2963+Учет!C2964-C2964</f>
        <v>336855</v>
      </c>
      <c r="I2964" s="43">
        <f>I2963+Учет!D2964-D2964</f>
        <v>500</v>
      </c>
      <c r="J2964" s="43">
        <f>J2963+Учет!E2964-E2964</f>
        <v>1150</v>
      </c>
      <c r="K2964" s="43">
        <f>K2963+Учет!F2964-F2964</f>
        <v>500000</v>
      </c>
      <c r="L2964" s="45">
        <f>Учет!I2964</f>
        <v>349526.07999999996</v>
      </c>
    </row>
    <row r="2965" spans="1:12" x14ac:dyDescent="0.25">
      <c r="A2965" s="48" t="str">
        <f>IF(Учет!A2965&lt;&gt;"",Учет!A2965,"")</f>
        <v/>
      </c>
      <c r="B2965" s="52">
        <f>IF(Учет!$O2965=Справочники!$F$2,Учет!$H2965,0)</f>
        <v>0</v>
      </c>
      <c r="C2965" s="52">
        <f>IF(Учет!$O2965=Справочники!$F$3,Учет!$H2965,0)</f>
        <v>0</v>
      </c>
      <c r="D2965" s="52">
        <f>IF(Учет!$O2965=Справочники!$F$4,Учет!$H2965,0)</f>
        <v>0</v>
      </c>
      <c r="E2965" s="52">
        <f>IF(Учет!$O2965=Справочники!$F$5,Учет!$H2965,0)</f>
        <v>0</v>
      </c>
      <c r="F2965" s="52">
        <f>IF(Учет!$O2965=Справочники!$F$6,Учет!$H2965,0)</f>
        <v>0</v>
      </c>
      <c r="G2965" s="43">
        <f>G2964+Учет!B2965-B2965</f>
        <v>-488978.92000000004</v>
      </c>
      <c r="H2965" s="43">
        <f>H2964+Учет!C2965-C2965</f>
        <v>336855</v>
      </c>
      <c r="I2965" s="43">
        <f>I2964+Учет!D2965-D2965</f>
        <v>500</v>
      </c>
      <c r="J2965" s="43">
        <f>J2964+Учет!E2965-E2965</f>
        <v>1150</v>
      </c>
      <c r="K2965" s="43">
        <f>K2964+Учет!F2965-F2965</f>
        <v>500000</v>
      </c>
      <c r="L2965" s="45">
        <f>Учет!I2965</f>
        <v>349526.07999999996</v>
      </c>
    </row>
    <row r="2966" spans="1:12" x14ac:dyDescent="0.25">
      <c r="A2966" s="48" t="str">
        <f>IF(Учет!A2966&lt;&gt;"",Учет!A2966,"")</f>
        <v/>
      </c>
      <c r="B2966" s="52">
        <f>IF(Учет!$O2966=Справочники!$F$2,Учет!$H2966,0)</f>
        <v>0</v>
      </c>
      <c r="C2966" s="52">
        <f>IF(Учет!$O2966=Справочники!$F$3,Учет!$H2966,0)</f>
        <v>0</v>
      </c>
      <c r="D2966" s="52">
        <f>IF(Учет!$O2966=Справочники!$F$4,Учет!$H2966,0)</f>
        <v>0</v>
      </c>
      <c r="E2966" s="52">
        <f>IF(Учет!$O2966=Справочники!$F$5,Учет!$H2966,0)</f>
        <v>0</v>
      </c>
      <c r="F2966" s="52">
        <f>IF(Учет!$O2966=Справочники!$F$6,Учет!$H2966,0)</f>
        <v>0</v>
      </c>
      <c r="G2966" s="43">
        <f>G2965+Учет!B2966-B2966</f>
        <v>-488978.92000000004</v>
      </c>
      <c r="H2966" s="43">
        <f>H2965+Учет!C2966-C2966</f>
        <v>336855</v>
      </c>
      <c r="I2966" s="43">
        <f>I2965+Учет!D2966-D2966</f>
        <v>500</v>
      </c>
      <c r="J2966" s="43">
        <f>J2965+Учет!E2966-E2966</f>
        <v>1150</v>
      </c>
      <c r="K2966" s="43">
        <f>K2965+Учет!F2966-F2966</f>
        <v>500000</v>
      </c>
      <c r="L2966" s="45">
        <f>Учет!I2966</f>
        <v>349526.07999999996</v>
      </c>
    </row>
    <row r="2967" spans="1:12" x14ac:dyDescent="0.25">
      <c r="A2967" s="48" t="str">
        <f>IF(Учет!A2967&lt;&gt;"",Учет!A2967,"")</f>
        <v/>
      </c>
      <c r="B2967" s="52">
        <f>IF(Учет!$O2967=Справочники!$F$2,Учет!$H2967,0)</f>
        <v>0</v>
      </c>
      <c r="C2967" s="52">
        <f>IF(Учет!$O2967=Справочники!$F$3,Учет!$H2967,0)</f>
        <v>0</v>
      </c>
      <c r="D2967" s="52">
        <f>IF(Учет!$O2967=Справочники!$F$4,Учет!$H2967,0)</f>
        <v>0</v>
      </c>
      <c r="E2967" s="52">
        <f>IF(Учет!$O2967=Справочники!$F$5,Учет!$H2967,0)</f>
        <v>0</v>
      </c>
      <c r="F2967" s="52">
        <f>IF(Учет!$O2967=Справочники!$F$6,Учет!$H2967,0)</f>
        <v>0</v>
      </c>
      <c r="G2967" s="43">
        <f>G2966+Учет!B2967-B2967</f>
        <v>-488978.92000000004</v>
      </c>
      <c r="H2967" s="43">
        <f>H2966+Учет!C2967-C2967</f>
        <v>336855</v>
      </c>
      <c r="I2967" s="43">
        <f>I2966+Учет!D2967-D2967</f>
        <v>500</v>
      </c>
      <c r="J2967" s="43">
        <f>J2966+Учет!E2967-E2967</f>
        <v>1150</v>
      </c>
      <c r="K2967" s="43">
        <f>K2966+Учет!F2967-F2967</f>
        <v>500000</v>
      </c>
      <c r="L2967" s="45">
        <f>Учет!I2967</f>
        <v>349526.07999999996</v>
      </c>
    </row>
    <row r="2968" spans="1:12" x14ac:dyDescent="0.25">
      <c r="A2968" s="48" t="str">
        <f>IF(Учет!A2968&lt;&gt;"",Учет!A2968,"")</f>
        <v/>
      </c>
      <c r="B2968" s="52">
        <f>IF(Учет!$O2968=Справочники!$F$2,Учет!$H2968,0)</f>
        <v>0</v>
      </c>
      <c r="C2968" s="52">
        <f>IF(Учет!$O2968=Справочники!$F$3,Учет!$H2968,0)</f>
        <v>0</v>
      </c>
      <c r="D2968" s="52">
        <f>IF(Учет!$O2968=Справочники!$F$4,Учет!$H2968,0)</f>
        <v>0</v>
      </c>
      <c r="E2968" s="52">
        <f>IF(Учет!$O2968=Справочники!$F$5,Учет!$H2968,0)</f>
        <v>0</v>
      </c>
      <c r="F2968" s="52">
        <f>IF(Учет!$O2968=Справочники!$F$6,Учет!$H2968,0)</f>
        <v>0</v>
      </c>
      <c r="G2968" s="43">
        <f>G2967+Учет!B2968-B2968</f>
        <v>-488978.92000000004</v>
      </c>
      <c r="H2968" s="43">
        <f>H2967+Учет!C2968-C2968</f>
        <v>336855</v>
      </c>
      <c r="I2968" s="43">
        <f>I2967+Учет!D2968-D2968</f>
        <v>500</v>
      </c>
      <c r="J2968" s="43">
        <f>J2967+Учет!E2968-E2968</f>
        <v>1150</v>
      </c>
      <c r="K2968" s="43">
        <f>K2967+Учет!F2968-F2968</f>
        <v>500000</v>
      </c>
      <c r="L2968" s="45">
        <f>Учет!I2968</f>
        <v>349526.07999999996</v>
      </c>
    </row>
    <row r="2969" spans="1:12" x14ac:dyDescent="0.25">
      <c r="A2969" s="48" t="str">
        <f>IF(Учет!A2969&lt;&gt;"",Учет!A2969,"")</f>
        <v/>
      </c>
      <c r="B2969" s="52">
        <f>IF(Учет!$O2969=Справочники!$F$2,Учет!$H2969,0)</f>
        <v>0</v>
      </c>
      <c r="C2969" s="52">
        <f>IF(Учет!$O2969=Справочники!$F$3,Учет!$H2969,0)</f>
        <v>0</v>
      </c>
      <c r="D2969" s="52">
        <f>IF(Учет!$O2969=Справочники!$F$4,Учет!$H2969,0)</f>
        <v>0</v>
      </c>
      <c r="E2969" s="52">
        <f>IF(Учет!$O2969=Справочники!$F$5,Учет!$H2969,0)</f>
        <v>0</v>
      </c>
      <c r="F2969" s="52">
        <f>IF(Учет!$O2969=Справочники!$F$6,Учет!$H2969,0)</f>
        <v>0</v>
      </c>
      <c r="G2969" s="43">
        <f>G2968+Учет!B2969-B2969</f>
        <v>-488978.92000000004</v>
      </c>
      <c r="H2969" s="43">
        <f>H2968+Учет!C2969-C2969</f>
        <v>336855</v>
      </c>
      <c r="I2969" s="43">
        <f>I2968+Учет!D2969-D2969</f>
        <v>500</v>
      </c>
      <c r="J2969" s="43">
        <f>J2968+Учет!E2969-E2969</f>
        <v>1150</v>
      </c>
      <c r="K2969" s="43">
        <f>K2968+Учет!F2969-F2969</f>
        <v>500000</v>
      </c>
      <c r="L2969" s="45">
        <f>Учет!I2969</f>
        <v>349526.07999999996</v>
      </c>
    </row>
    <row r="2970" spans="1:12" x14ac:dyDescent="0.25">
      <c r="A2970" s="48" t="str">
        <f>IF(Учет!A2970&lt;&gt;"",Учет!A2970,"")</f>
        <v/>
      </c>
      <c r="B2970" s="52">
        <f>IF(Учет!$O2970=Справочники!$F$2,Учет!$H2970,0)</f>
        <v>0</v>
      </c>
      <c r="C2970" s="52">
        <f>IF(Учет!$O2970=Справочники!$F$3,Учет!$H2970,0)</f>
        <v>0</v>
      </c>
      <c r="D2970" s="52">
        <f>IF(Учет!$O2970=Справочники!$F$4,Учет!$H2970,0)</f>
        <v>0</v>
      </c>
      <c r="E2970" s="52">
        <f>IF(Учет!$O2970=Справочники!$F$5,Учет!$H2970,0)</f>
        <v>0</v>
      </c>
      <c r="F2970" s="52">
        <f>IF(Учет!$O2970=Справочники!$F$6,Учет!$H2970,0)</f>
        <v>0</v>
      </c>
      <c r="G2970" s="43">
        <f>G2969+Учет!B2970-B2970</f>
        <v>-488978.92000000004</v>
      </c>
      <c r="H2970" s="43">
        <f>H2969+Учет!C2970-C2970</f>
        <v>336855</v>
      </c>
      <c r="I2970" s="43">
        <f>I2969+Учет!D2970-D2970</f>
        <v>500</v>
      </c>
      <c r="J2970" s="43">
        <f>J2969+Учет!E2970-E2970</f>
        <v>1150</v>
      </c>
      <c r="K2970" s="43">
        <f>K2969+Учет!F2970-F2970</f>
        <v>500000</v>
      </c>
      <c r="L2970" s="45">
        <f>Учет!I2970</f>
        <v>349526.07999999996</v>
      </c>
    </row>
    <row r="2971" spans="1:12" x14ac:dyDescent="0.25">
      <c r="A2971" s="48" t="str">
        <f>IF(Учет!A2971&lt;&gt;"",Учет!A2971,"")</f>
        <v/>
      </c>
      <c r="B2971" s="52">
        <f>IF(Учет!$O2971=Справочники!$F$2,Учет!$H2971,0)</f>
        <v>0</v>
      </c>
      <c r="C2971" s="52">
        <f>IF(Учет!$O2971=Справочники!$F$3,Учет!$H2971,0)</f>
        <v>0</v>
      </c>
      <c r="D2971" s="52">
        <f>IF(Учет!$O2971=Справочники!$F$4,Учет!$H2971,0)</f>
        <v>0</v>
      </c>
      <c r="E2971" s="52">
        <f>IF(Учет!$O2971=Справочники!$F$5,Учет!$H2971,0)</f>
        <v>0</v>
      </c>
      <c r="F2971" s="52">
        <f>IF(Учет!$O2971=Справочники!$F$6,Учет!$H2971,0)</f>
        <v>0</v>
      </c>
      <c r="G2971" s="43">
        <f>G2970+Учет!B2971-B2971</f>
        <v>-488978.92000000004</v>
      </c>
      <c r="H2971" s="43">
        <f>H2970+Учет!C2971-C2971</f>
        <v>336855</v>
      </c>
      <c r="I2971" s="43">
        <f>I2970+Учет!D2971-D2971</f>
        <v>500</v>
      </c>
      <c r="J2971" s="43">
        <f>J2970+Учет!E2971-E2971</f>
        <v>1150</v>
      </c>
      <c r="K2971" s="43">
        <f>K2970+Учет!F2971-F2971</f>
        <v>500000</v>
      </c>
      <c r="L2971" s="45">
        <f>Учет!I2971</f>
        <v>349526.07999999996</v>
      </c>
    </row>
    <row r="2972" spans="1:12" x14ac:dyDescent="0.25">
      <c r="A2972" s="48" t="str">
        <f>IF(Учет!A2972&lt;&gt;"",Учет!A2972,"")</f>
        <v/>
      </c>
      <c r="B2972" s="52">
        <f>IF(Учет!$O2972=Справочники!$F$2,Учет!$H2972,0)</f>
        <v>0</v>
      </c>
      <c r="C2972" s="52">
        <f>IF(Учет!$O2972=Справочники!$F$3,Учет!$H2972,0)</f>
        <v>0</v>
      </c>
      <c r="D2972" s="52">
        <f>IF(Учет!$O2972=Справочники!$F$4,Учет!$H2972,0)</f>
        <v>0</v>
      </c>
      <c r="E2972" s="52">
        <f>IF(Учет!$O2972=Справочники!$F$5,Учет!$H2972,0)</f>
        <v>0</v>
      </c>
      <c r="F2972" s="52">
        <f>IF(Учет!$O2972=Справочники!$F$6,Учет!$H2972,0)</f>
        <v>0</v>
      </c>
      <c r="G2972" s="43">
        <f>G2971+Учет!B2972-B2972</f>
        <v>-488978.92000000004</v>
      </c>
      <c r="H2972" s="43">
        <f>H2971+Учет!C2972-C2972</f>
        <v>336855</v>
      </c>
      <c r="I2972" s="43">
        <f>I2971+Учет!D2972-D2972</f>
        <v>500</v>
      </c>
      <c r="J2972" s="43">
        <f>J2971+Учет!E2972-E2972</f>
        <v>1150</v>
      </c>
      <c r="K2972" s="43">
        <f>K2971+Учет!F2972-F2972</f>
        <v>500000</v>
      </c>
      <c r="L2972" s="45">
        <f>Учет!I2972</f>
        <v>349526.07999999996</v>
      </c>
    </row>
    <row r="2973" spans="1:12" x14ac:dyDescent="0.25">
      <c r="A2973" s="48" t="str">
        <f>IF(Учет!A2973&lt;&gt;"",Учет!A2973,"")</f>
        <v/>
      </c>
      <c r="B2973" s="52">
        <f>IF(Учет!$O2973=Справочники!$F$2,Учет!$H2973,0)</f>
        <v>0</v>
      </c>
      <c r="C2973" s="52">
        <f>IF(Учет!$O2973=Справочники!$F$3,Учет!$H2973,0)</f>
        <v>0</v>
      </c>
      <c r="D2973" s="52">
        <f>IF(Учет!$O2973=Справочники!$F$4,Учет!$H2973,0)</f>
        <v>0</v>
      </c>
      <c r="E2973" s="52">
        <f>IF(Учет!$O2973=Справочники!$F$5,Учет!$H2973,0)</f>
        <v>0</v>
      </c>
      <c r="F2973" s="52">
        <f>IF(Учет!$O2973=Справочники!$F$6,Учет!$H2973,0)</f>
        <v>0</v>
      </c>
      <c r="G2973" s="43">
        <f>G2972+Учет!B2973-B2973</f>
        <v>-488978.92000000004</v>
      </c>
      <c r="H2973" s="43">
        <f>H2972+Учет!C2973-C2973</f>
        <v>336855</v>
      </c>
      <c r="I2973" s="43">
        <f>I2972+Учет!D2973-D2973</f>
        <v>500</v>
      </c>
      <c r="J2973" s="43">
        <f>J2972+Учет!E2973-E2973</f>
        <v>1150</v>
      </c>
      <c r="K2973" s="43">
        <f>K2972+Учет!F2973-F2973</f>
        <v>500000</v>
      </c>
      <c r="L2973" s="45">
        <f>Учет!I2973</f>
        <v>349526.07999999996</v>
      </c>
    </row>
    <row r="2974" spans="1:12" x14ac:dyDescent="0.25">
      <c r="A2974" s="48" t="str">
        <f>IF(Учет!A2974&lt;&gt;"",Учет!A2974,"")</f>
        <v/>
      </c>
      <c r="B2974" s="52">
        <f>IF(Учет!$O2974=Справочники!$F$2,Учет!$H2974,0)</f>
        <v>0</v>
      </c>
      <c r="C2974" s="52">
        <f>IF(Учет!$O2974=Справочники!$F$3,Учет!$H2974,0)</f>
        <v>0</v>
      </c>
      <c r="D2974" s="52">
        <f>IF(Учет!$O2974=Справочники!$F$4,Учет!$H2974,0)</f>
        <v>0</v>
      </c>
      <c r="E2974" s="52">
        <f>IF(Учет!$O2974=Справочники!$F$5,Учет!$H2974,0)</f>
        <v>0</v>
      </c>
      <c r="F2974" s="52">
        <f>IF(Учет!$O2974=Справочники!$F$6,Учет!$H2974,0)</f>
        <v>0</v>
      </c>
      <c r="G2974" s="43">
        <f>G2973+Учет!B2974-B2974</f>
        <v>-488978.92000000004</v>
      </c>
      <c r="H2974" s="43">
        <f>H2973+Учет!C2974-C2974</f>
        <v>336855</v>
      </c>
      <c r="I2974" s="43">
        <f>I2973+Учет!D2974-D2974</f>
        <v>500</v>
      </c>
      <c r="J2974" s="43">
        <f>J2973+Учет!E2974-E2974</f>
        <v>1150</v>
      </c>
      <c r="K2974" s="43">
        <f>K2973+Учет!F2974-F2974</f>
        <v>500000</v>
      </c>
      <c r="L2974" s="45">
        <f>Учет!I2974</f>
        <v>349526.07999999996</v>
      </c>
    </row>
    <row r="2975" spans="1:12" x14ac:dyDescent="0.25">
      <c r="A2975" s="48" t="str">
        <f>IF(Учет!A2975&lt;&gt;"",Учет!A2975,"")</f>
        <v/>
      </c>
      <c r="B2975" s="52">
        <f>IF(Учет!$O2975=Справочники!$F$2,Учет!$H2975,0)</f>
        <v>0</v>
      </c>
      <c r="C2975" s="52">
        <f>IF(Учет!$O2975=Справочники!$F$3,Учет!$H2975,0)</f>
        <v>0</v>
      </c>
      <c r="D2975" s="52">
        <f>IF(Учет!$O2975=Справочники!$F$4,Учет!$H2975,0)</f>
        <v>0</v>
      </c>
      <c r="E2975" s="52">
        <f>IF(Учет!$O2975=Справочники!$F$5,Учет!$H2975,0)</f>
        <v>0</v>
      </c>
      <c r="F2975" s="52">
        <f>IF(Учет!$O2975=Справочники!$F$6,Учет!$H2975,0)</f>
        <v>0</v>
      </c>
      <c r="G2975" s="43">
        <f>G2974+Учет!B2975-B2975</f>
        <v>-488978.92000000004</v>
      </c>
      <c r="H2975" s="43">
        <f>H2974+Учет!C2975-C2975</f>
        <v>336855</v>
      </c>
      <c r="I2975" s="43">
        <f>I2974+Учет!D2975-D2975</f>
        <v>500</v>
      </c>
      <c r="J2975" s="43">
        <f>J2974+Учет!E2975-E2975</f>
        <v>1150</v>
      </c>
      <c r="K2975" s="43">
        <f>K2974+Учет!F2975-F2975</f>
        <v>500000</v>
      </c>
      <c r="L2975" s="45">
        <f>Учет!I2975</f>
        <v>349526.07999999996</v>
      </c>
    </row>
    <row r="2976" spans="1:12" x14ac:dyDescent="0.25">
      <c r="A2976" s="48" t="str">
        <f>IF(Учет!A2976&lt;&gt;"",Учет!A2976,"")</f>
        <v/>
      </c>
      <c r="B2976" s="52">
        <f>IF(Учет!$O2976=Справочники!$F$2,Учет!$H2976,0)</f>
        <v>0</v>
      </c>
      <c r="C2976" s="52">
        <f>IF(Учет!$O2976=Справочники!$F$3,Учет!$H2976,0)</f>
        <v>0</v>
      </c>
      <c r="D2976" s="52">
        <f>IF(Учет!$O2976=Справочники!$F$4,Учет!$H2976,0)</f>
        <v>0</v>
      </c>
      <c r="E2976" s="52">
        <f>IF(Учет!$O2976=Справочники!$F$5,Учет!$H2976,0)</f>
        <v>0</v>
      </c>
      <c r="F2976" s="52">
        <f>IF(Учет!$O2976=Справочники!$F$6,Учет!$H2976,0)</f>
        <v>0</v>
      </c>
      <c r="G2976" s="43">
        <f>G2975+Учет!B2976-B2976</f>
        <v>-488978.92000000004</v>
      </c>
      <c r="H2976" s="43">
        <f>H2975+Учет!C2976-C2976</f>
        <v>336855</v>
      </c>
      <c r="I2976" s="43">
        <f>I2975+Учет!D2976-D2976</f>
        <v>500</v>
      </c>
      <c r="J2976" s="43">
        <f>J2975+Учет!E2976-E2976</f>
        <v>1150</v>
      </c>
      <c r="K2976" s="43">
        <f>K2975+Учет!F2976-F2976</f>
        <v>500000</v>
      </c>
      <c r="L2976" s="45">
        <f>Учет!I2976</f>
        <v>349526.07999999996</v>
      </c>
    </row>
    <row r="2977" spans="1:12" x14ac:dyDescent="0.25">
      <c r="A2977" s="48" t="str">
        <f>IF(Учет!A2977&lt;&gt;"",Учет!A2977,"")</f>
        <v/>
      </c>
      <c r="B2977" s="52">
        <f>IF(Учет!$O2977=Справочники!$F$2,Учет!$H2977,0)</f>
        <v>0</v>
      </c>
      <c r="C2977" s="52">
        <f>IF(Учет!$O2977=Справочники!$F$3,Учет!$H2977,0)</f>
        <v>0</v>
      </c>
      <c r="D2977" s="52">
        <f>IF(Учет!$O2977=Справочники!$F$4,Учет!$H2977,0)</f>
        <v>0</v>
      </c>
      <c r="E2977" s="52">
        <f>IF(Учет!$O2977=Справочники!$F$5,Учет!$H2977,0)</f>
        <v>0</v>
      </c>
      <c r="F2977" s="52">
        <f>IF(Учет!$O2977=Справочники!$F$6,Учет!$H2977,0)</f>
        <v>0</v>
      </c>
      <c r="G2977" s="43">
        <f>G2976+Учет!B2977-B2977</f>
        <v>-488978.92000000004</v>
      </c>
      <c r="H2977" s="43">
        <f>H2976+Учет!C2977-C2977</f>
        <v>336855</v>
      </c>
      <c r="I2977" s="43">
        <f>I2976+Учет!D2977-D2977</f>
        <v>500</v>
      </c>
      <c r="J2977" s="43">
        <f>J2976+Учет!E2977-E2977</f>
        <v>1150</v>
      </c>
      <c r="K2977" s="43">
        <f>K2976+Учет!F2977-F2977</f>
        <v>500000</v>
      </c>
      <c r="L2977" s="45">
        <f>Учет!I2977</f>
        <v>349526.07999999996</v>
      </c>
    </row>
    <row r="2978" spans="1:12" x14ac:dyDescent="0.25">
      <c r="A2978" s="48" t="str">
        <f>IF(Учет!A2978&lt;&gt;"",Учет!A2978,"")</f>
        <v/>
      </c>
      <c r="B2978" s="52">
        <f>IF(Учет!$O2978=Справочники!$F$2,Учет!$H2978,0)</f>
        <v>0</v>
      </c>
      <c r="C2978" s="52">
        <f>IF(Учет!$O2978=Справочники!$F$3,Учет!$H2978,0)</f>
        <v>0</v>
      </c>
      <c r="D2978" s="52">
        <f>IF(Учет!$O2978=Справочники!$F$4,Учет!$H2978,0)</f>
        <v>0</v>
      </c>
      <c r="E2978" s="52">
        <f>IF(Учет!$O2978=Справочники!$F$5,Учет!$H2978,0)</f>
        <v>0</v>
      </c>
      <c r="F2978" s="52">
        <f>IF(Учет!$O2978=Справочники!$F$6,Учет!$H2978,0)</f>
        <v>0</v>
      </c>
      <c r="G2978" s="43">
        <f>G2977+Учет!B2978-B2978</f>
        <v>-488978.92000000004</v>
      </c>
      <c r="H2978" s="43">
        <f>H2977+Учет!C2978-C2978</f>
        <v>336855</v>
      </c>
      <c r="I2978" s="43">
        <f>I2977+Учет!D2978-D2978</f>
        <v>500</v>
      </c>
      <c r="J2978" s="43">
        <f>J2977+Учет!E2978-E2978</f>
        <v>1150</v>
      </c>
      <c r="K2978" s="43">
        <f>K2977+Учет!F2978-F2978</f>
        <v>500000</v>
      </c>
      <c r="L2978" s="45">
        <f>Учет!I2978</f>
        <v>349526.07999999996</v>
      </c>
    </row>
    <row r="2979" spans="1:12" x14ac:dyDescent="0.25">
      <c r="A2979" s="48" t="str">
        <f>IF(Учет!A2979&lt;&gt;"",Учет!A2979,"")</f>
        <v/>
      </c>
      <c r="B2979" s="52">
        <f>IF(Учет!$O2979=Справочники!$F$2,Учет!$H2979,0)</f>
        <v>0</v>
      </c>
      <c r="C2979" s="52">
        <f>IF(Учет!$O2979=Справочники!$F$3,Учет!$H2979,0)</f>
        <v>0</v>
      </c>
      <c r="D2979" s="52">
        <f>IF(Учет!$O2979=Справочники!$F$4,Учет!$H2979,0)</f>
        <v>0</v>
      </c>
      <c r="E2979" s="52">
        <f>IF(Учет!$O2979=Справочники!$F$5,Учет!$H2979,0)</f>
        <v>0</v>
      </c>
      <c r="F2979" s="52">
        <f>IF(Учет!$O2979=Справочники!$F$6,Учет!$H2979,0)</f>
        <v>0</v>
      </c>
      <c r="G2979" s="43">
        <f>G2978+Учет!B2979-B2979</f>
        <v>-488978.92000000004</v>
      </c>
      <c r="H2979" s="43">
        <f>H2978+Учет!C2979-C2979</f>
        <v>336855</v>
      </c>
      <c r="I2979" s="43">
        <f>I2978+Учет!D2979-D2979</f>
        <v>500</v>
      </c>
      <c r="J2979" s="43">
        <f>J2978+Учет!E2979-E2979</f>
        <v>1150</v>
      </c>
      <c r="K2979" s="43">
        <f>K2978+Учет!F2979-F2979</f>
        <v>500000</v>
      </c>
      <c r="L2979" s="45">
        <f>Учет!I2979</f>
        <v>349526.07999999996</v>
      </c>
    </row>
    <row r="2980" spans="1:12" x14ac:dyDescent="0.25">
      <c r="A2980" s="48" t="str">
        <f>IF(Учет!A2980&lt;&gt;"",Учет!A2980,"")</f>
        <v/>
      </c>
      <c r="B2980" s="52">
        <f>IF(Учет!$O2980=Справочники!$F$2,Учет!$H2980,0)</f>
        <v>0</v>
      </c>
      <c r="C2980" s="52">
        <f>IF(Учет!$O2980=Справочники!$F$3,Учет!$H2980,0)</f>
        <v>0</v>
      </c>
      <c r="D2980" s="52">
        <f>IF(Учет!$O2980=Справочники!$F$4,Учет!$H2980,0)</f>
        <v>0</v>
      </c>
      <c r="E2980" s="52">
        <f>IF(Учет!$O2980=Справочники!$F$5,Учет!$H2980,0)</f>
        <v>0</v>
      </c>
      <c r="F2980" s="52">
        <f>IF(Учет!$O2980=Справочники!$F$6,Учет!$H2980,0)</f>
        <v>0</v>
      </c>
      <c r="G2980" s="43">
        <f>G2979+Учет!B2980-B2980</f>
        <v>-488978.92000000004</v>
      </c>
      <c r="H2980" s="43">
        <f>H2979+Учет!C2980-C2980</f>
        <v>336855</v>
      </c>
      <c r="I2980" s="43">
        <f>I2979+Учет!D2980-D2980</f>
        <v>500</v>
      </c>
      <c r="J2980" s="43">
        <f>J2979+Учет!E2980-E2980</f>
        <v>1150</v>
      </c>
      <c r="K2980" s="43">
        <f>K2979+Учет!F2980-F2980</f>
        <v>500000</v>
      </c>
      <c r="L2980" s="45">
        <f>Учет!I2980</f>
        <v>349526.07999999996</v>
      </c>
    </row>
    <row r="2981" spans="1:12" x14ac:dyDescent="0.25">
      <c r="A2981" s="48" t="str">
        <f>IF(Учет!A2981&lt;&gt;"",Учет!A2981,"")</f>
        <v/>
      </c>
      <c r="B2981" s="52">
        <f>IF(Учет!$O2981=Справочники!$F$2,Учет!$H2981,0)</f>
        <v>0</v>
      </c>
      <c r="C2981" s="52">
        <f>IF(Учет!$O2981=Справочники!$F$3,Учет!$H2981,0)</f>
        <v>0</v>
      </c>
      <c r="D2981" s="52">
        <f>IF(Учет!$O2981=Справочники!$F$4,Учет!$H2981,0)</f>
        <v>0</v>
      </c>
      <c r="E2981" s="52">
        <f>IF(Учет!$O2981=Справочники!$F$5,Учет!$H2981,0)</f>
        <v>0</v>
      </c>
      <c r="F2981" s="52">
        <f>IF(Учет!$O2981=Справочники!$F$6,Учет!$H2981,0)</f>
        <v>0</v>
      </c>
      <c r="G2981" s="43">
        <f>G2980+Учет!B2981-B2981</f>
        <v>-488978.92000000004</v>
      </c>
      <c r="H2981" s="43">
        <f>H2980+Учет!C2981-C2981</f>
        <v>336855</v>
      </c>
      <c r="I2981" s="43">
        <f>I2980+Учет!D2981-D2981</f>
        <v>500</v>
      </c>
      <c r="J2981" s="43">
        <f>J2980+Учет!E2981-E2981</f>
        <v>1150</v>
      </c>
      <c r="K2981" s="43">
        <f>K2980+Учет!F2981-F2981</f>
        <v>500000</v>
      </c>
      <c r="L2981" s="45">
        <f>Учет!I2981</f>
        <v>349526.07999999996</v>
      </c>
    </row>
    <row r="2982" spans="1:12" x14ac:dyDescent="0.25">
      <c r="A2982" s="48" t="str">
        <f>IF(Учет!A2982&lt;&gt;"",Учет!A2982,"")</f>
        <v/>
      </c>
      <c r="B2982" s="52">
        <f>IF(Учет!$O2982=Справочники!$F$2,Учет!$H2982,0)</f>
        <v>0</v>
      </c>
      <c r="C2982" s="52">
        <f>IF(Учет!$O2982=Справочники!$F$3,Учет!$H2982,0)</f>
        <v>0</v>
      </c>
      <c r="D2982" s="52">
        <f>IF(Учет!$O2982=Справочники!$F$4,Учет!$H2982,0)</f>
        <v>0</v>
      </c>
      <c r="E2982" s="52">
        <f>IF(Учет!$O2982=Справочники!$F$5,Учет!$H2982,0)</f>
        <v>0</v>
      </c>
      <c r="F2982" s="52">
        <f>IF(Учет!$O2982=Справочники!$F$6,Учет!$H2982,0)</f>
        <v>0</v>
      </c>
      <c r="G2982" s="43">
        <f>G2981+Учет!B2982-B2982</f>
        <v>-488978.92000000004</v>
      </c>
      <c r="H2982" s="43">
        <f>H2981+Учет!C2982-C2982</f>
        <v>336855</v>
      </c>
      <c r="I2982" s="43">
        <f>I2981+Учет!D2982-D2982</f>
        <v>500</v>
      </c>
      <c r="J2982" s="43">
        <f>J2981+Учет!E2982-E2982</f>
        <v>1150</v>
      </c>
      <c r="K2982" s="43">
        <f>K2981+Учет!F2982-F2982</f>
        <v>500000</v>
      </c>
      <c r="L2982" s="45">
        <f>Учет!I2982</f>
        <v>349526.07999999996</v>
      </c>
    </row>
    <row r="2983" spans="1:12" x14ac:dyDescent="0.25">
      <c r="A2983" s="48" t="str">
        <f>IF(Учет!A2983&lt;&gt;"",Учет!A2983,"")</f>
        <v/>
      </c>
      <c r="B2983" s="52">
        <f>IF(Учет!$O2983=Справочники!$F$2,Учет!$H2983,0)</f>
        <v>0</v>
      </c>
      <c r="C2983" s="52">
        <f>IF(Учет!$O2983=Справочники!$F$3,Учет!$H2983,0)</f>
        <v>0</v>
      </c>
      <c r="D2983" s="52">
        <f>IF(Учет!$O2983=Справочники!$F$4,Учет!$H2983,0)</f>
        <v>0</v>
      </c>
      <c r="E2983" s="52">
        <f>IF(Учет!$O2983=Справочники!$F$5,Учет!$H2983,0)</f>
        <v>0</v>
      </c>
      <c r="F2983" s="52">
        <f>IF(Учет!$O2983=Справочники!$F$6,Учет!$H2983,0)</f>
        <v>0</v>
      </c>
      <c r="G2983" s="43">
        <f>G2982+Учет!B2983-B2983</f>
        <v>-488978.92000000004</v>
      </c>
      <c r="H2983" s="43">
        <f>H2982+Учет!C2983-C2983</f>
        <v>336855</v>
      </c>
      <c r="I2983" s="43">
        <f>I2982+Учет!D2983-D2983</f>
        <v>500</v>
      </c>
      <c r="J2983" s="43">
        <f>J2982+Учет!E2983-E2983</f>
        <v>1150</v>
      </c>
      <c r="K2983" s="43">
        <f>K2982+Учет!F2983-F2983</f>
        <v>500000</v>
      </c>
      <c r="L2983" s="45">
        <f>Учет!I2983</f>
        <v>349526.07999999996</v>
      </c>
    </row>
    <row r="2984" spans="1:12" x14ac:dyDescent="0.25">
      <c r="A2984" s="48" t="str">
        <f>IF(Учет!A2984&lt;&gt;"",Учет!A2984,"")</f>
        <v/>
      </c>
      <c r="B2984" s="52">
        <f>IF(Учет!$O2984=Справочники!$F$2,Учет!$H2984,0)</f>
        <v>0</v>
      </c>
      <c r="C2984" s="52">
        <f>IF(Учет!$O2984=Справочники!$F$3,Учет!$H2984,0)</f>
        <v>0</v>
      </c>
      <c r="D2984" s="52">
        <f>IF(Учет!$O2984=Справочники!$F$4,Учет!$H2984,0)</f>
        <v>0</v>
      </c>
      <c r="E2984" s="52">
        <f>IF(Учет!$O2984=Справочники!$F$5,Учет!$H2984,0)</f>
        <v>0</v>
      </c>
      <c r="F2984" s="52">
        <f>IF(Учет!$O2984=Справочники!$F$6,Учет!$H2984,0)</f>
        <v>0</v>
      </c>
      <c r="G2984" s="43">
        <f>G2983+Учет!B2984-B2984</f>
        <v>-488978.92000000004</v>
      </c>
      <c r="H2984" s="43">
        <f>H2983+Учет!C2984-C2984</f>
        <v>336855</v>
      </c>
      <c r="I2984" s="43">
        <f>I2983+Учет!D2984-D2984</f>
        <v>500</v>
      </c>
      <c r="J2984" s="43">
        <f>J2983+Учет!E2984-E2984</f>
        <v>1150</v>
      </c>
      <c r="K2984" s="43">
        <f>K2983+Учет!F2984-F2984</f>
        <v>500000</v>
      </c>
      <c r="L2984" s="45">
        <f>Учет!I2984</f>
        <v>349526.07999999996</v>
      </c>
    </row>
    <row r="2985" spans="1:12" x14ac:dyDescent="0.25">
      <c r="A2985" s="48" t="str">
        <f>IF(Учет!A2985&lt;&gt;"",Учет!A2985,"")</f>
        <v/>
      </c>
      <c r="B2985" s="52">
        <f>IF(Учет!$O2985=Справочники!$F$2,Учет!$H2985,0)</f>
        <v>0</v>
      </c>
      <c r="C2985" s="52">
        <f>IF(Учет!$O2985=Справочники!$F$3,Учет!$H2985,0)</f>
        <v>0</v>
      </c>
      <c r="D2985" s="52">
        <f>IF(Учет!$O2985=Справочники!$F$4,Учет!$H2985,0)</f>
        <v>0</v>
      </c>
      <c r="E2985" s="52">
        <f>IF(Учет!$O2985=Справочники!$F$5,Учет!$H2985,0)</f>
        <v>0</v>
      </c>
      <c r="F2985" s="52">
        <f>IF(Учет!$O2985=Справочники!$F$6,Учет!$H2985,0)</f>
        <v>0</v>
      </c>
      <c r="G2985" s="43">
        <f>G2984+Учет!B2985-B2985</f>
        <v>-488978.92000000004</v>
      </c>
      <c r="H2985" s="43">
        <f>H2984+Учет!C2985-C2985</f>
        <v>336855</v>
      </c>
      <c r="I2985" s="43">
        <f>I2984+Учет!D2985-D2985</f>
        <v>500</v>
      </c>
      <c r="J2985" s="43">
        <f>J2984+Учет!E2985-E2985</f>
        <v>1150</v>
      </c>
      <c r="K2985" s="43">
        <f>K2984+Учет!F2985-F2985</f>
        <v>500000</v>
      </c>
      <c r="L2985" s="45">
        <f>Учет!I2985</f>
        <v>349526.07999999996</v>
      </c>
    </row>
    <row r="2986" spans="1:12" x14ac:dyDescent="0.25">
      <c r="A2986" s="48" t="str">
        <f>IF(Учет!A2986&lt;&gt;"",Учет!A2986,"")</f>
        <v/>
      </c>
      <c r="B2986" s="52">
        <f>IF(Учет!$O2986=Справочники!$F$2,Учет!$H2986,0)</f>
        <v>0</v>
      </c>
      <c r="C2986" s="52">
        <f>IF(Учет!$O2986=Справочники!$F$3,Учет!$H2986,0)</f>
        <v>0</v>
      </c>
      <c r="D2986" s="52">
        <f>IF(Учет!$O2986=Справочники!$F$4,Учет!$H2986,0)</f>
        <v>0</v>
      </c>
      <c r="E2986" s="52">
        <f>IF(Учет!$O2986=Справочники!$F$5,Учет!$H2986,0)</f>
        <v>0</v>
      </c>
      <c r="F2986" s="52">
        <f>IF(Учет!$O2986=Справочники!$F$6,Учет!$H2986,0)</f>
        <v>0</v>
      </c>
      <c r="G2986" s="43">
        <f>G2985+Учет!B2986-B2986</f>
        <v>-488978.92000000004</v>
      </c>
      <c r="H2986" s="43">
        <f>H2985+Учет!C2986-C2986</f>
        <v>336855</v>
      </c>
      <c r="I2986" s="43">
        <f>I2985+Учет!D2986-D2986</f>
        <v>500</v>
      </c>
      <c r="J2986" s="43">
        <f>J2985+Учет!E2986-E2986</f>
        <v>1150</v>
      </c>
      <c r="K2986" s="43">
        <f>K2985+Учет!F2986-F2986</f>
        <v>500000</v>
      </c>
      <c r="L2986" s="45">
        <f>Учет!I2986</f>
        <v>349526.07999999996</v>
      </c>
    </row>
    <row r="2987" spans="1:12" x14ac:dyDescent="0.25">
      <c r="A2987" s="48" t="str">
        <f>IF(Учет!A2987&lt;&gt;"",Учет!A2987,"")</f>
        <v/>
      </c>
      <c r="B2987" s="52">
        <f>IF(Учет!$O2987=Справочники!$F$2,Учет!$H2987,0)</f>
        <v>0</v>
      </c>
      <c r="C2987" s="52">
        <f>IF(Учет!$O2987=Справочники!$F$3,Учет!$H2987,0)</f>
        <v>0</v>
      </c>
      <c r="D2987" s="52">
        <f>IF(Учет!$O2987=Справочники!$F$4,Учет!$H2987,0)</f>
        <v>0</v>
      </c>
      <c r="E2987" s="52">
        <f>IF(Учет!$O2987=Справочники!$F$5,Учет!$H2987,0)</f>
        <v>0</v>
      </c>
      <c r="F2987" s="52">
        <f>IF(Учет!$O2987=Справочники!$F$6,Учет!$H2987,0)</f>
        <v>0</v>
      </c>
      <c r="G2987" s="43">
        <f>G2986+Учет!B2987-B2987</f>
        <v>-488978.92000000004</v>
      </c>
      <c r="H2987" s="43">
        <f>H2986+Учет!C2987-C2987</f>
        <v>336855</v>
      </c>
      <c r="I2987" s="43">
        <f>I2986+Учет!D2987-D2987</f>
        <v>500</v>
      </c>
      <c r="J2987" s="43">
        <f>J2986+Учет!E2987-E2987</f>
        <v>1150</v>
      </c>
      <c r="K2987" s="43">
        <f>K2986+Учет!F2987-F2987</f>
        <v>500000</v>
      </c>
      <c r="L2987" s="45">
        <f>Учет!I2987</f>
        <v>349526.07999999996</v>
      </c>
    </row>
    <row r="2988" spans="1:12" x14ac:dyDescent="0.25">
      <c r="A2988" s="48" t="str">
        <f>IF(Учет!A2988&lt;&gt;"",Учет!A2988,"")</f>
        <v/>
      </c>
      <c r="B2988" s="52">
        <f>IF(Учет!$O2988=Справочники!$F$2,Учет!$H2988,0)</f>
        <v>0</v>
      </c>
      <c r="C2988" s="52">
        <f>IF(Учет!$O2988=Справочники!$F$3,Учет!$H2988,0)</f>
        <v>0</v>
      </c>
      <c r="D2988" s="52">
        <f>IF(Учет!$O2988=Справочники!$F$4,Учет!$H2988,0)</f>
        <v>0</v>
      </c>
      <c r="E2988" s="52">
        <f>IF(Учет!$O2988=Справочники!$F$5,Учет!$H2988,0)</f>
        <v>0</v>
      </c>
      <c r="F2988" s="52">
        <f>IF(Учет!$O2988=Справочники!$F$6,Учет!$H2988,0)</f>
        <v>0</v>
      </c>
      <c r="G2988" s="43">
        <f>G2987+Учет!B2988-B2988</f>
        <v>-488978.92000000004</v>
      </c>
      <c r="H2988" s="43">
        <f>H2987+Учет!C2988-C2988</f>
        <v>336855</v>
      </c>
      <c r="I2988" s="43">
        <f>I2987+Учет!D2988-D2988</f>
        <v>500</v>
      </c>
      <c r="J2988" s="43">
        <f>J2987+Учет!E2988-E2988</f>
        <v>1150</v>
      </c>
      <c r="K2988" s="43">
        <f>K2987+Учет!F2988-F2988</f>
        <v>500000</v>
      </c>
      <c r="L2988" s="45">
        <f>Учет!I2988</f>
        <v>349526.07999999996</v>
      </c>
    </row>
    <row r="2989" spans="1:12" x14ac:dyDescent="0.25">
      <c r="A2989" s="48" t="str">
        <f>IF(Учет!A2989&lt;&gt;"",Учет!A2989,"")</f>
        <v/>
      </c>
      <c r="B2989" s="52">
        <f>IF(Учет!$O2989=Справочники!$F$2,Учет!$H2989,0)</f>
        <v>0</v>
      </c>
      <c r="C2989" s="52">
        <f>IF(Учет!$O2989=Справочники!$F$3,Учет!$H2989,0)</f>
        <v>0</v>
      </c>
      <c r="D2989" s="52">
        <f>IF(Учет!$O2989=Справочники!$F$4,Учет!$H2989,0)</f>
        <v>0</v>
      </c>
      <c r="E2989" s="52">
        <f>IF(Учет!$O2989=Справочники!$F$5,Учет!$H2989,0)</f>
        <v>0</v>
      </c>
      <c r="F2989" s="52">
        <f>IF(Учет!$O2989=Справочники!$F$6,Учет!$H2989,0)</f>
        <v>0</v>
      </c>
      <c r="G2989" s="43">
        <f>G2988+Учет!B2989-B2989</f>
        <v>-488978.92000000004</v>
      </c>
      <c r="H2989" s="43">
        <f>H2988+Учет!C2989-C2989</f>
        <v>336855</v>
      </c>
      <c r="I2989" s="43">
        <f>I2988+Учет!D2989-D2989</f>
        <v>500</v>
      </c>
      <c r="J2989" s="43">
        <f>J2988+Учет!E2989-E2989</f>
        <v>1150</v>
      </c>
      <c r="K2989" s="43">
        <f>K2988+Учет!F2989-F2989</f>
        <v>500000</v>
      </c>
      <c r="L2989" s="45">
        <f>Учет!I2989</f>
        <v>349526.07999999996</v>
      </c>
    </row>
    <row r="2990" spans="1:12" x14ac:dyDescent="0.25">
      <c r="A2990" s="48" t="str">
        <f>IF(Учет!A2990&lt;&gt;"",Учет!A2990,"")</f>
        <v/>
      </c>
      <c r="B2990" s="52">
        <f>IF(Учет!$O2990=Справочники!$F$2,Учет!$H2990,0)</f>
        <v>0</v>
      </c>
      <c r="C2990" s="52">
        <f>IF(Учет!$O2990=Справочники!$F$3,Учет!$H2990,0)</f>
        <v>0</v>
      </c>
      <c r="D2990" s="52">
        <f>IF(Учет!$O2990=Справочники!$F$4,Учет!$H2990,0)</f>
        <v>0</v>
      </c>
      <c r="E2990" s="52">
        <f>IF(Учет!$O2990=Справочники!$F$5,Учет!$H2990,0)</f>
        <v>0</v>
      </c>
      <c r="F2990" s="52">
        <f>IF(Учет!$O2990=Справочники!$F$6,Учет!$H2990,0)</f>
        <v>0</v>
      </c>
      <c r="G2990" s="43">
        <f>G2989+Учет!B2990-B2990</f>
        <v>-488978.92000000004</v>
      </c>
      <c r="H2990" s="43">
        <f>H2989+Учет!C2990-C2990</f>
        <v>336855</v>
      </c>
      <c r="I2990" s="43">
        <f>I2989+Учет!D2990-D2990</f>
        <v>500</v>
      </c>
      <c r="J2990" s="43">
        <f>J2989+Учет!E2990-E2990</f>
        <v>1150</v>
      </c>
      <c r="K2990" s="43">
        <f>K2989+Учет!F2990-F2990</f>
        <v>500000</v>
      </c>
      <c r="L2990" s="45">
        <f>Учет!I2990</f>
        <v>349526.07999999996</v>
      </c>
    </row>
    <row r="2991" spans="1:12" x14ac:dyDescent="0.25">
      <c r="A2991" s="48" t="str">
        <f>IF(Учет!A2991&lt;&gt;"",Учет!A2991,"")</f>
        <v/>
      </c>
      <c r="B2991" s="52">
        <f>IF(Учет!$O2991=Справочники!$F$2,Учет!$H2991,0)</f>
        <v>0</v>
      </c>
      <c r="C2991" s="52">
        <f>IF(Учет!$O2991=Справочники!$F$3,Учет!$H2991,0)</f>
        <v>0</v>
      </c>
      <c r="D2991" s="52">
        <f>IF(Учет!$O2991=Справочники!$F$4,Учет!$H2991,0)</f>
        <v>0</v>
      </c>
      <c r="E2991" s="52">
        <f>IF(Учет!$O2991=Справочники!$F$5,Учет!$H2991,0)</f>
        <v>0</v>
      </c>
      <c r="F2991" s="52">
        <f>IF(Учет!$O2991=Справочники!$F$6,Учет!$H2991,0)</f>
        <v>0</v>
      </c>
      <c r="G2991" s="43">
        <f>G2990+Учет!B2991-B2991</f>
        <v>-488978.92000000004</v>
      </c>
      <c r="H2991" s="43">
        <f>H2990+Учет!C2991-C2991</f>
        <v>336855</v>
      </c>
      <c r="I2991" s="43">
        <f>I2990+Учет!D2991-D2991</f>
        <v>500</v>
      </c>
      <c r="J2991" s="43">
        <f>J2990+Учет!E2991-E2991</f>
        <v>1150</v>
      </c>
      <c r="K2991" s="43">
        <f>K2990+Учет!F2991-F2991</f>
        <v>500000</v>
      </c>
      <c r="L2991" s="45">
        <f>Учет!I2991</f>
        <v>349526.07999999996</v>
      </c>
    </row>
    <row r="2992" spans="1:12" x14ac:dyDescent="0.25">
      <c r="A2992" s="48" t="str">
        <f>IF(Учет!A2992&lt;&gt;"",Учет!A2992,"")</f>
        <v/>
      </c>
      <c r="B2992" s="52">
        <f>IF(Учет!$O2992=Справочники!$F$2,Учет!$H2992,0)</f>
        <v>0</v>
      </c>
      <c r="C2992" s="52">
        <f>IF(Учет!$O2992=Справочники!$F$3,Учет!$H2992,0)</f>
        <v>0</v>
      </c>
      <c r="D2992" s="52">
        <f>IF(Учет!$O2992=Справочники!$F$4,Учет!$H2992,0)</f>
        <v>0</v>
      </c>
      <c r="E2992" s="52">
        <f>IF(Учет!$O2992=Справочники!$F$5,Учет!$H2992,0)</f>
        <v>0</v>
      </c>
      <c r="F2992" s="52">
        <f>IF(Учет!$O2992=Справочники!$F$6,Учет!$H2992,0)</f>
        <v>0</v>
      </c>
      <c r="G2992" s="43">
        <f>G2991+Учет!B2992-B2992</f>
        <v>-488978.92000000004</v>
      </c>
      <c r="H2992" s="43">
        <f>H2991+Учет!C2992-C2992</f>
        <v>336855</v>
      </c>
      <c r="I2992" s="43">
        <f>I2991+Учет!D2992-D2992</f>
        <v>500</v>
      </c>
      <c r="J2992" s="43">
        <f>J2991+Учет!E2992-E2992</f>
        <v>1150</v>
      </c>
      <c r="K2992" s="43">
        <f>K2991+Учет!F2992-F2992</f>
        <v>500000</v>
      </c>
      <c r="L2992" s="45">
        <f>Учет!I2992</f>
        <v>349526.07999999996</v>
      </c>
    </row>
    <row r="2993" spans="1:12" x14ac:dyDescent="0.25">
      <c r="A2993" s="48" t="str">
        <f>IF(Учет!A2993&lt;&gt;"",Учет!A2993,"")</f>
        <v/>
      </c>
      <c r="B2993" s="52">
        <f>IF(Учет!$O2993=Справочники!$F$2,Учет!$H2993,0)</f>
        <v>0</v>
      </c>
      <c r="C2993" s="52">
        <f>IF(Учет!$O2993=Справочники!$F$3,Учет!$H2993,0)</f>
        <v>0</v>
      </c>
      <c r="D2993" s="52">
        <f>IF(Учет!$O2993=Справочники!$F$4,Учет!$H2993,0)</f>
        <v>0</v>
      </c>
      <c r="E2993" s="52">
        <f>IF(Учет!$O2993=Справочники!$F$5,Учет!$H2993,0)</f>
        <v>0</v>
      </c>
      <c r="F2993" s="52">
        <f>IF(Учет!$O2993=Справочники!$F$6,Учет!$H2993,0)</f>
        <v>0</v>
      </c>
      <c r="G2993" s="43">
        <f>G2992+Учет!B2993-B2993</f>
        <v>-488978.92000000004</v>
      </c>
      <c r="H2993" s="43">
        <f>H2992+Учет!C2993-C2993</f>
        <v>336855</v>
      </c>
      <c r="I2993" s="43">
        <f>I2992+Учет!D2993-D2993</f>
        <v>500</v>
      </c>
      <c r="J2993" s="43">
        <f>J2992+Учет!E2993-E2993</f>
        <v>1150</v>
      </c>
      <c r="K2993" s="43">
        <f>K2992+Учет!F2993-F2993</f>
        <v>500000</v>
      </c>
      <c r="L2993" s="45">
        <f>Учет!I2993</f>
        <v>349526.07999999996</v>
      </c>
    </row>
    <row r="2994" spans="1:12" x14ac:dyDescent="0.25">
      <c r="A2994" s="48" t="str">
        <f>IF(Учет!A2994&lt;&gt;"",Учет!A2994,"")</f>
        <v/>
      </c>
      <c r="B2994" s="52">
        <f>IF(Учет!$O2994=Справочники!$F$2,Учет!$H2994,0)</f>
        <v>0</v>
      </c>
      <c r="C2994" s="52">
        <f>IF(Учет!$O2994=Справочники!$F$3,Учет!$H2994,0)</f>
        <v>0</v>
      </c>
      <c r="D2994" s="52">
        <f>IF(Учет!$O2994=Справочники!$F$4,Учет!$H2994,0)</f>
        <v>0</v>
      </c>
      <c r="E2994" s="52">
        <f>IF(Учет!$O2994=Справочники!$F$5,Учет!$H2994,0)</f>
        <v>0</v>
      </c>
      <c r="F2994" s="52">
        <f>IF(Учет!$O2994=Справочники!$F$6,Учет!$H2994,0)</f>
        <v>0</v>
      </c>
      <c r="G2994" s="43">
        <f>G2993+Учет!B2994-B2994</f>
        <v>-488978.92000000004</v>
      </c>
      <c r="H2994" s="43">
        <f>H2993+Учет!C2994-C2994</f>
        <v>336855</v>
      </c>
      <c r="I2994" s="43">
        <f>I2993+Учет!D2994-D2994</f>
        <v>500</v>
      </c>
      <c r="J2994" s="43">
        <f>J2993+Учет!E2994-E2994</f>
        <v>1150</v>
      </c>
      <c r="K2994" s="43">
        <f>K2993+Учет!F2994-F2994</f>
        <v>500000</v>
      </c>
      <c r="L2994" s="45">
        <f>Учет!I2994</f>
        <v>349526.07999999996</v>
      </c>
    </row>
    <row r="2995" spans="1:12" x14ac:dyDescent="0.25">
      <c r="A2995" s="48" t="str">
        <f>IF(Учет!A2995&lt;&gt;"",Учет!A2995,"")</f>
        <v/>
      </c>
      <c r="B2995" s="52">
        <f>IF(Учет!$O2995=Справочники!$F$2,Учет!$H2995,0)</f>
        <v>0</v>
      </c>
      <c r="C2995" s="52">
        <f>IF(Учет!$O2995=Справочники!$F$3,Учет!$H2995,0)</f>
        <v>0</v>
      </c>
      <c r="D2995" s="52">
        <f>IF(Учет!$O2995=Справочники!$F$4,Учет!$H2995,0)</f>
        <v>0</v>
      </c>
      <c r="E2995" s="52">
        <f>IF(Учет!$O2995=Справочники!$F$5,Учет!$H2995,0)</f>
        <v>0</v>
      </c>
      <c r="F2995" s="52">
        <f>IF(Учет!$O2995=Справочники!$F$6,Учет!$H2995,0)</f>
        <v>0</v>
      </c>
      <c r="G2995" s="43">
        <f>G2994+Учет!B2995-B2995</f>
        <v>-488978.92000000004</v>
      </c>
      <c r="H2995" s="43">
        <f>H2994+Учет!C2995-C2995</f>
        <v>336855</v>
      </c>
      <c r="I2995" s="43">
        <f>I2994+Учет!D2995-D2995</f>
        <v>500</v>
      </c>
      <c r="J2995" s="43">
        <f>J2994+Учет!E2995-E2995</f>
        <v>1150</v>
      </c>
      <c r="K2995" s="43">
        <f>K2994+Учет!F2995-F2995</f>
        <v>500000</v>
      </c>
      <c r="L2995" s="45">
        <f>Учет!I2995</f>
        <v>349526.07999999996</v>
      </c>
    </row>
    <row r="2996" spans="1:12" x14ac:dyDescent="0.25">
      <c r="A2996" s="48" t="str">
        <f>IF(Учет!A2996&lt;&gt;"",Учет!A2996,"")</f>
        <v/>
      </c>
      <c r="B2996" s="52">
        <f>IF(Учет!$O2996=Справочники!$F$2,Учет!$H2996,0)</f>
        <v>0</v>
      </c>
      <c r="C2996" s="52">
        <f>IF(Учет!$O2996=Справочники!$F$3,Учет!$H2996,0)</f>
        <v>0</v>
      </c>
      <c r="D2996" s="52">
        <f>IF(Учет!$O2996=Справочники!$F$4,Учет!$H2996,0)</f>
        <v>0</v>
      </c>
      <c r="E2996" s="52">
        <f>IF(Учет!$O2996=Справочники!$F$5,Учет!$H2996,0)</f>
        <v>0</v>
      </c>
      <c r="F2996" s="52">
        <f>IF(Учет!$O2996=Справочники!$F$6,Учет!$H2996,0)</f>
        <v>0</v>
      </c>
      <c r="G2996" s="43">
        <f>G2995+Учет!B2996-B2996</f>
        <v>-488978.92000000004</v>
      </c>
      <c r="H2996" s="43">
        <f>H2995+Учет!C2996-C2996</f>
        <v>336855</v>
      </c>
      <c r="I2996" s="43">
        <f>I2995+Учет!D2996-D2996</f>
        <v>500</v>
      </c>
      <c r="J2996" s="43">
        <f>J2995+Учет!E2996-E2996</f>
        <v>1150</v>
      </c>
      <c r="K2996" s="43">
        <f>K2995+Учет!F2996-F2996</f>
        <v>500000</v>
      </c>
      <c r="L2996" s="45">
        <f>Учет!I2996</f>
        <v>349526.07999999996</v>
      </c>
    </row>
    <row r="2997" spans="1:12" x14ac:dyDescent="0.25">
      <c r="A2997" s="48" t="str">
        <f>IF(Учет!A2997&lt;&gt;"",Учет!A2997,"")</f>
        <v/>
      </c>
      <c r="B2997" s="52">
        <f>IF(Учет!$O2997=Справочники!$F$2,Учет!$H2997,0)</f>
        <v>0</v>
      </c>
      <c r="C2997" s="52">
        <f>IF(Учет!$O2997=Справочники!$F$3,Учет!$H2997,0)</f>
        <v>0</v>
      </c>
      <c r="D2997" s="52">
        <f>IF(Учет!$O2997=Справочники!$F$4,Учет!$H2997,0)</f>
        <v>0</v>
      </c>
      <c r="E2997" s="52">
        <f>IF(Учет!$O2997=Справочники!$F$5,Учет!$H2997,0)</f>
        <v>0</v>
      </c>
      <c r="F2997" s="52">
        <f>IF(Учет!$O2997=Справочники!$F$6,Учет!$H2997,0)</f>
        <v>0</v>
      </c>
      <c r="G2997" s="43">
        <f>G2996+Учет!B2997-B2997</f>
        <v>-488978.92000000004</v>
      </c>
      <c r="H2997" s="43">
        <f>H2996+Учет!C2997-C2997</f>
        <v>336855</v>
      </c>
      <c r="I2997" s="43">
        <f>I2996+Учет!D2997-D2997</f>
        <v>500</v>
      </c>
      <c r="J2997" s="43">
        <f>J2996+Учет!E2997-E2997</f>
        <v>1150</v>
      </c>
      <c r="K2997" s="43">
        <f>K2996+Учет!F2997-F2997</f>
        <v>500000</v>
      </c>
      <c r="L2997" s="45">
        <f>Учет!I2997</f>
        <v>349526.07999999996</v>
      </c>
    </row>
    <row r="2998" spans="1:12" x14ac:dyDescent="0.25">
      <c r="A2998" s="48" t="str">
        <f>IF(Учет!A2998&lt;&gt;"",Учет!A2998,"")</f>
        <v/>
      </c>
      <c r="B2998" s="52">
        <f>IF(Учет!$O2998=Справочники!$F$2,Учет!$H2998,0)</f>
        <v>0</v>
      </c>
      <c r="C2998" s="52">
        <f>IF(Учет!$O2998=Справочники!$F$3,Учет!$H2998,0)</f>
        <v>0</v>
      </c>
      <c r="D2998" s="52">
        <f>IF(Учет!$O2998=Справочники!$F$4,Учет!$H2998,0)</f>
        <v>0</v>
      </c>
      <c r="E2998" s="52">
        <f>IF(Учет!$O2998=Справочники!$F$5,Учет!$H2998,0)</f>
        <v>0</v>
      </c>
      <c r="F2998" s="52">
        <f>IF(Учет!$O2998=Справочники!$F$6,Учет!$H2998,0)</f>
        <v>0</v>
      </c>
      <c r="G2998" s="43">
        <f>G2997+Учет!B2998-B2998</f>
        <v>-488978.92000000004</v>
      </c>
      <c r="H2998" s="43">
        <f>H2997+Учет!C2998-C2998</f>
        <v>336855</v>
      </c>
      <c r="I2998" s="43">
        <f>I2997+Учет!D2998-D2998</f>
        <v>500</v>
      </c>
      <c r="J2998" s="43">
        <f>J2997+Учет!E2998-E2998</f>
        <v>1150</v>
      </c>
      <c r="K2998" s="43">
        <f>K2997+Учет!F2998-F2998</f>
        <v>500000</v>
      </c>
      <c r="L2998" s="45">
        <f>Учет!I2998</f>
        <v>349526.07999999996</v>
      </c>
    </row>
    <row r="2999" spans="1:12" x14ac:dyDescent="0.25">
      <c r="A2999" s="48" t="str">
        <f>IF(Учет!A2999&lt;&gt;"",Учет!A2999,"")</f>
        <v/>
      </c>
      <c r="B2999" s="52">
        <f>IF(Учет!$O2999=Справочники!$F$2,Учет!$H2999,0)</f>
        <v>0</v>
      </c>
      <c r="C2999" s="52">
        <f>IF(Учет!$O2999=Справочники!$F$3,Учет!$H2999,0)</f>
        <v>0</v>
      </c>
      <c r="D2999" s="52">
        <f>IF(Учет!$O2999=Справочники!$F$4,Учет!$H2999,0)</f>
        <v>0</v>
      </c>
      <c r="E2999" s="52">
        <f>IF(Учет!$O2999=Справочники!$F$5,Учет!$H2999,0)</f>
        <v>0</v>
      </c>
      <c r="F2999" s="52">
        <f>IF(Учет!$O2999=Справочники!$F$6,Учет!$H2999,0)</f>
        <v>0</v>
      </c>
      <c r="G2999" s="43">
        <f>G2998+Учет!B2999-B2999</f>
        <v>-488978.92000000004</v>
      </c>
      <c r="H2999" s="43">
        <f>H2998+Учет!C2999-C2999</f>
        <v>336855</v>
      </c>
      <c r="I2999" s="43">
        <f>I2998+Учет!D2999-D2999</f>
        <v>500</v>
      </c>
      <c r="J2999" s="43">
        <f>J2998+Учет!E2999-E2999</f>
        <v>1150</v>
      </c>
      <c r="K2999" s="43">
        <f>K2998+Учет!F2999-F2999</f>
        <v>500000</v>
      </c>
      <c r="L2999" s="45">
        <f>Учет!I2999</f>
        <v>349526.07999999996</v>
      </c>
    </row>
    <row r="3000" spans="1:12" x14ac:dyDescent="0.25">
      <c r="A3000" s="48" t="str">
        <f>IF(Учет!A3000&lt;&gt;"",Учет!A3000,"")</f>
        <v/>
      </c>
      <c r="B3000" s="52">
        <f>IF(Учет!$O3000=Справочники!$F$2,Учет!$H3000,0)</f>
        <v>0</v>
      </c>
      <c r="C3000" s="52">
        <f>IF(Учет!$O3000=Справочники!$F$3,Учет!$H3000,0)</f>
        <v>0</v>
      </c>
      <c r="D3000" s="52">
        <f>IF(Учет!$O3000=Справочники!$F$4,Учет!$H3000,0)</f>
        <v>0</v>
      </c>
      <c r="E3000" s="52">
        <f>IF(Учет!$O3000=Справочники!$F$5,Учет!$H3000,0)</f>
        <v>0</v>
      </c>
      <c r="F3000" s="52">
        <f>IF(Учет!$O3000=Справочники!$F$6,Учет!$H3000,0)</f>
        <v>0</v>
      </c>
      <c r="G3000" s="43">
        <f>G2999+Учет!B3000-B3000</f>
        <v>-488978.92000000004</v>
      </c>
      <c r="H3000" s="43">
        <f>H2999+Учет!C3000-C3000</f>
        <v>336855</v>
      </c>
      <c r="I3000" s="43">
        <f>I2999+Учет!D3000-D3000</f>
        <v>500</v>
      </c>
      <c r="J3000" s="43">
        <f>J2999+Учет!E3000-E3000</f>
        <v>1150</v>
      </c>
      <c r="K3000" s="43">
        <f>K2999+Учет!F3000-F3000</f>
        <v>500000</v>
      </c>
      <c r="L3000" s="45">
        <f>Учет!I3000</f>
        <v>349526.07999999996</v>
      </c>
    </row>
    <row r="3001" spans="1:12" x14ac:dyDescent="0.25">
      <c r="A3001" s="48" t="str">
        <f>IF(Учет!A3001&lt;&gt;"",Учет!A3001,"")</f>
        <v/>
      </c>
      <c r="B3001" s="52">
        <f>IF(Учет!$O3001=Справочники!$F$2,Учет!$H3001,0)</f>
        <v>0</v>
      </c>
      <c r="C3001" s="52">
        <f>IF(Учет!$O3001=Справочники!$F$3,Учет!$H3001,0)</f>
        <v>0</v>
      </c>
      <c r="D3001" s="52">
        <f>IF(Учет!$O3001=Справочники!$F$4,Учет!$H3001,0)</f>
        <v>0</v>
      </c>
      <c r="E3001" s="52">
        <f>IF(Учет!$O3001=Справочники!$F$5,Учет!$H3001,0)</f>
        <v>0</v>
      </c>
      <c r="F3001" s="52">
        <f>IF(Учет!$O3001=Справочники!$F$6,Учет!$H3001,0)</f>
        <v>0</v>
      </c>
      <c r="G3001" s="43">
        <f>G3000+Учет!B3001-B3001</f>
        <v>-488978.92000000004</v>
      </c>
      <c r="H3001" s="43">
        <f>H3000+Учет!C3001-C3001</f>
        <v>336855</v>
      </c>
      <c r="I3001" s="43">
        <f>I3000+Учет!D3001-D3001</f>
        <v>500</v>
      </c>
      <c r="J3001" s="43">
        <f>J3000+Учет!E3001-E3001</f>
        <v>1150</v>
      </c>
      <c r="K3001" s="43">
        <f>K3000+Учет!F3001-F3001</f>
        <v>500000</v>
      </c>
      <c r="L3001" s="45">
        <f>Учет!I3001</f>
        <v>349526.07999999996</v>
      </c>
    </row>
    <row r="3002" spans="1:12" x14ac:dyDescent="0.25">
      <c r="A3002" s="48" t="str">
        <f>IF(Учет!A3002&lt;&gt;"",Учет!A3002,"")</f>
        <v/>
      </c>
      <c r="B3002" s="52">
        <f>IF(Учет!$O3002=Справочники!$F$2,Учет!$H3002,0)</f>
        <v>0</v>
      </c>
      <c r="C3002" s="52">
        <f>IF(Учет!$O3002=Справочники!$F$3,Учет!$H3002,0)</f>
        <v>0</v>
      </c>
      <c r="D3002" s="52">
        <f>IF(Учет!$O3002=Справочники!$F$4,Учет!$H3002,0)</f>
        <v>0</v>
      </c>
      <c r="E3002" s="52">
        <f>IF(Учет!$O3002=Справочники!$F$5,Учет!$H3002,0)</f>
        <v>0</v>
      </c>
      <c r="F3002" s="52">
        <f>IF(Учет!$O3002=Справочники!$F$6,Учет!$H3002,0)</f>
        <v>0</v>
      </c>
      <c r="G3002" s="43">
        <f>G3001+Учет!B3002-B3002</f>
        <v>-488978.92000000004</v>
      </c>
      <c r="H3002" s="43">
        <f>H3001+Учет!C3002-C3002</f>
        <v>336855</v>
      </c>
      <c r="I3002" s="43">
        <f>I3001+Учет!D3002-D3002</f>
        <v>500</v>
      </c>
      <c r="J3002" s="43">
        <f>J3001+Учет!E3002-E3002</f>
        <v>1150</v>
      </c>
      <c r="K3002" s="43">
        <f>K3001+Учет!F3002-F3002</f>
        <v>500000</v>
      </c>
      <c r="L3002" s="45">
        <f>Учет!I3002</f>
        <v>349526.07999999996</v>
      </c>
    </row>
    <row r="3003" spans="1:12" x14ac:dyDescent="0.25">
      <c r="A3003" s="48" t="str">
        <f>IF(Учет!A3003&lt;&gt;"",Учет!A3003,"")</f>
        <v/>
      </c>
      <c r="B3003" s="52">
        <f>IF(Учет!$O3003=Справочники!$F$2,Учет!$H3003,0)</f>
        <v>0</v>
      </c>
      <c r="C3003" s="52">
        <f>IF(Учет!$O3003=Справочники!$F$3,Учет!$H3003,0)</f>
        <v>0</v>
      </c>
      <c r="D3003" s="52">
        <f>IF(Учет!$O3003=Справочники!$F$4,Учет!$H3003,0)</f>
        <v>0</v>
      </c>
      <c r="E3003" s="52">
        <f>IF(Учет!$O3003=Справочники!$F$5,Учет!$H3003,0)</f>
        <v>0</v>
      </c>
      <c r="F3003" s="52">
        <f>IF(Учет!$O3003=Справочники!$F$6,Учет!$H3003,0)</f>
        <v>0</v>
      </c>
      <c r="G3003" s="43">
        <f>G3002+Учет!B3003-B3003</f>
        <v>-488978.92000000004</v>
      </c>
      <c r="H3003" s="43">
        <f>H3002+Учет!C3003-C3003</f>
        <v>336855</v>
      </c>
      <c r="I3003" s="43">
        <f>I3002+Учет!D3003-D3003</f>
        <v>500</v>
      </c>
      <c r="J3003" s="43">
        <f>J3002+Учет!E3003-E3003</f>
        <v>1150</v>
      </c>
      <c r="K3003" s="43">
        <f>K3002+Учет!F3003-F3003</f>
        <v>500000</v>
      </c>
      <c r="L3003" s="45">
        <f>Учет!I3003</f>
        <v>349526.07999999996</v>
      </c>
    </row>
    <row r="3004" spans="1:12" x14ac:dyDescent="0.25">
      <c r="A3004" s="48" t="str">
        <f>IF(Учет!A3004&lt;&gt;"",Учет!A3004,"")</f>
        <v/>
      </c>
      <c r="B3004" s="52">
        <f>IF(Учет!$O3004=Справочники!$F$2,Учет!$H3004,0)</f>
        <v>0</v>
      </c>
      <c r="C3004" s="52">
        <f>IF(Учет!$O3004=Справочники!$F$3,Учет!$H3004,0)</f>
        <v>0</v>
      </c>
      <c r="D3004" s="52">
        <f>IF(Учет!$O3004=Справочники!$F$4,Учет!$H3004,0)</f>
        <v>0</v>
      </c>
      <c r="E3004" s="52">
        <f>IF(Учет!$O3004=Справочники!$F$5,Учет!$H3004,0)</f>
        <v>0</v>
      </c>
      <c r="F3004" s="52">
        <f>IF(Учет!$O3004=Справочники!$F$6,Учет!$H3004,0)</f>
        <v>0</v>
      </c>
      <c r="G3004" s="43">
        <f>G3003+Учет!B3004-B3004</f>
        <v>-488978.92000000004</v>
      </c>
      <c r="H3004" s="43">
        <f>H3003+Учет!C3004-C3004</f>
        <v>336855</v>
      </c>
      <c r="I3004" s="43">
        <f>I3003+Учет!D3004-D3004</f>
        <v>500</v>
      </c>
      <c r="J3004" s="43">
        <f>J3003+Учет!E3004-E3004</f>
        <v>1150</v>
      </c>
      <c r="K3004" s="43">
        <f>K3003+Учет!F3004-F3004</f>
        <v>500000</v>
      </c>
      <c r="L3004" s="45">
        <f>Учет!I3004</f>
        <v>349526.07999999996</v>
      </c>
    </row>
    <row r="3005" spans="1:12" x14ac:dyDescent="0.25">
      <c r="A3005" s="48" t="str">
        <f>IF(Учет!A3005&lt;&gt;"",Учет!A3005,"")</f>
        <v/>
      </c>
      <c r="B3005" s="52">
        <f>IF(Учет!$O3005=Справочники!$F$2,Учет!$H3005,0)</f>
        <v>0</v>
      </c>
      <c r="C3005" s="52">
        <f>IF(Учет!$O3005=Справочники!$F$3,Учет!$H3005,0)</f>
        <v>0</v>
      </c>
      <c r="D3005" s="52">
        <f>IF(Учет!$O3005=Справочники!$F$4,Учет!$H3005,0)</f>
        <v>0</v>
      </c>
      <c r="E3005" s="52">
        <f>IF(Учет!$O3005=Справочники!$F$5,Учет!$H3005,0)</f>
        <v>0</v>
      </c>
      <c r="F3005" s="52">
        <f>IF(Учет!$O3005=Справочники!$F$6,Учет!$H3005,0)</f>
        <v>0</v>
      </c>
      <c r="G3005" s="43">
        <f>G3004+Учет!B3005-B3005</f>
        <v>-488978.92000000004</v>
      </c>
      <c r="H3005" s="43">
        <f>H3004+Учет!C3005-C3005</f>
        <v>336855</v>
      </c>
      <c r="I3005" s="43">
        <f>I3004+Учет!D3005-D3005</f>
        <v>500</v>
      </c>
      <c r="J3005" s="43">
        <f>J3004+Учет!E3005-E3005</f>
        <v>1150</v>
      </c>
      <c r="K3005" s="43">
        <f>K3004+Учет!F3005-F3005</f>
        <v>500000</v>
      </c>
      <c r="L3005" s="45">
        <f>Учет!I3005</f>
        <v>349526.07999999996</v>
      </c>
    </row>
    <row r="3006" spans="1:12" x14ac:dyDescent="0.25">
      <c r="A3006" s="48" t="str">
        <f>IF(Учет!A3006&lt;&gt;"",Учет!A3006,"")</f>
        <v/>
      </c>
      <c r="B3006" s="52">
        <f>IF(Учет!$O3006=Справочники!$F$2,Учет!$H3006,0)</f>
        <v>0</v>
      </c>
      <c r="C3006" s="52">
        <f>IF(Учет!$O3006=Справочники!$F$3,Учет!$H3006,0)</f>
        <v>0</v>
      </c>
      <c r="D3006" s="52">
        <f>IF(Учет!$O3006=Справочники!$F$4,Учет!$H3006,0)</f>
        <v>0</v>
      </c>
      <c r="E3006" s="52">
        <f>IF(Учет!$O3006=Справочники!$F$5,Учет!$H3006,0)</f>
        <v>0</v>
      </c>
      <c r="F3006" s="52">
        <f>IF(Учет!$O3006=Справочники!$F$6,Учет!$H3006,0)</f>
        <v>0</v>
      </c>
      <c r="G3006" s="43">
        <f>G3005+Учет!B3006-B3006</f>
        <v>-488978.92000000004</v>
      </c>
      <c r="H3006" s="43">
        <f>H3005+Учет!C3006-C3006</f>
        <v>336855</v>
      </c>
      <c r="I3006" s="43">
        <f>I3005+Учет!D3006-D3006</f>
        <v>500</v>
      </c>
      <c r="J3006" s="43">
        <f>J3005+Учет!E3006-E3006</f>
        <v>1150</v>
      </c>
      <c r="K3006" s="43">
        <f>K3005+Учет!F3006-F3006</f>
        <v>500000</v>
      </c>
      <c r="L3006" s="45">
        <f>Учет!I3006</f>
        <v>349526.07999999996</v>
      </c>
    </row>
    <row r="3007" spans="1:12" x14ac:dyDescent="0.25">
      <c r="A3007" s="48" t="str">
        <f>IF(Учет!A3007&lt;&gt;"",Учет!A3007,"")</f>
        <v/>
      </c>
      <c r="B3007" s="52">
        <f>IF(Учет!$O3007=Справочники!$F$2,Учет!$H3007,0)</f>
        <v>0</v>
      </c>
      <c r="C3007" s="52">
        <f>IF(Учет!$O3007=Справочники!$F$3,Учет!$H3007,0)</f>
        <v>0</v>
      </c>
      <c r="D3007" s="52">
        <f>IF(Учет!$O3007=Справочники!$F$4,Учет!$H3007,0)</f>
        <v>0</v>
      </c>
      <c r="E3007" s="52">
        <f>IF(Учет!$O3007=Справочники!$F$5,Учет!$H3007,0)</f>
        <v>0</v>
      </c>
      <c r="F3007" s="52">
        <f>IF(Учет!$O3007=Справочники!$F$6,Учет!$H3007,0)</f>
        <v>0</v>
      </c>
      <c r="G3007" s="43">
        <f>G3006+Учет!B3007-B3007</f>
        <v>-488978.92000000004</v>
      </c>
      <c r="H3007" s="43">
        <f>H3006+Учет!C3007-C3007</f>
        <v>336855</v>
      </c>
      <c r="I3007" s="43">
        <f>I3006+Учет!D3007-D3007</f>
        <v>500</v>
      </c>
      <c r="J3007" s="43">
        <f>J3006+Учет!E3007-E3007</f>
        <v>1150</v>
      </c>
      <c r="K3007" s="43">
        <f>K3006+Учет!F3007-F3007</f>
        <v>500000</v>
      </c>
      <c r="L3007" s="45">
        <f>Учет!I3007</f>
        <v>349526.07999999996</v>
      </c>
    </row>
    <row r="3008" spans="1:12" x14ac:dyDescent="0.25">
      <c r="A3008" s="48" t="str">
        <f>IF(Учет!A3008&lt;&gt;"",Учет!A3008,"")</f>
        <v/>
      </c>
      <c r="B3008" s="52">
        <f>IF(Учет!$O3008=Справочники!$F$2,Учет!$H3008,0)</f>
        <v>0</v>
      </c>
      <c r="C3008" s="52">
        <f>IF(Учет!$O3008=Справочники!$F$3,Учет!$H3008,0)</f>
        <v>0</v>
      </c>
      <c r="D3008" s="52">
        <f>IF(Учет!$O3008=Справочники!$F$4,Учет!$H3008,0)</f>
        <v>0</v>
      </c>
      <c r="E3008" s="52">
        <f>IF(Учет!$O3008=Справочники!$F$5,Учет!$H3008,0)</f>
        <v>0</v>
      </c>
      <c r="F3008" s="52">
        <f>IF(Учет!$O3008=Справочники!$F$6,Учет!$H3008,0)</f>
        <v>0</v>
      </c>
      <c r="G3008" s="43">
        <f>G3007+Учет!B3008-B3008</f>
        <v>-488978.92000000004</v>
      </c>
      <c r="H3008" s="43">
        <f>H3007+Учет!C3008-C3008</f>
        <v>336855</v>
      </c>
      <c r="I3008" s="43">
        <f>I3007+Учет!D3008-D3008</f>
        <v>500</v>
      </c>
      <c r="J3008" s="43">
        <f>J3007+Учет!E3008-E3008</f>
        <v>1150</v>
      </c>
      <c r="K3008" s="43">
        <f>K3007+Учет!F3008-F3008</f>
        <v>500000</v>
      </c>
      <c r="L3008" s="45">
        <f>Учет!I3008</f>
        <v>349526.07999999996</v>
      </c>
    </row>
    <row r="3009" spans="1:12" x14ac:dyDescent="0.25">
      <c r="A3009" s="48" t="str">
        <f>IF(Учет!A3009&lt;&gt;"",Учет!A3009,"")</f>
        <v/>
      </c>
      <c r="B3009" s="52">
        <f>IF(Учет!$O3009=Справочники!$F$2,Учет!$H3009,0)</f>
        <v>0</v>
      </c>
      <c r="C3009" s="52">
        <f>IF(Учет!$O3009=Справочники!$F$3,Учет!$H3009,0)</f>
        <v>0</v>
      </c>
      <c r="D3009" s="52">
        <f>IF(Учет!$O3009=Справочники!$F$4,Учет!$H3009,0)</f>
        <v>0</v>
      </c>
      <c r="E3009" s="52">
        <f>IF(Учет!$O3009=Справочники!$F$5,Учет!$H3009,0)</f>
        <v>0</v>
      </c>
      <c r="F3009" s="52">
        <f>IF(Учет!$O3009=Справочники!$F$6,Учет!$H3009,0)</f>
        <v>0</v>
      </c>
      <c r="G3009" s="43">
        <f>G3008+Учет!B3009-B3009</f>
        <v>-488978.92000000004</v>
      </c>
      <c r="H3009" s="43">
        <f>H3008+Учет!C3009-C3009</f>
        <v>336855</v>
      </c>
      <c r="I3009" s="43">
        <f>I3008+Учет!D3009-D3009</f>
        <v>500</v>
      </c>
      <c r="J3009" s="43">
        <f>J3008+Учет!E3009-E3009</f>
        <v>1150</v>
      </c>
      <c r="K3009" s="43">
        <f>K3008+Учет!F3009-F3009</f>
        <v>500000</v>
      </c>
      <c r="L3009" s="45">
        <f>Учет!I3009</f>
        <v>349526.07999999996</v>
      </c>
    </row>
    <row r="3010" spans="1:12" x14ac:dyDescent="0.25">
      <c r="A3010" s="48" t="str">
        <f>IF(Учет!A3010&lt;&gt;"",Учет!A3010,"")</f>
        <v/>
      </c>
      <c r="B3010" s="52">
        <f>IF(Учет!$O3010=Справочники!$F$2,Учет!$H3010,0)</f>
        <v>0</v>
      </c>
      <c r="C3010" s="52">
        <f>IF(Учет!$O3010=Справочники!$F$3,Учет!$H3010,0)</f>
        <v>0</v>
      </c>
      <c r="D3010" s="52">
        <f>IF(Учет!$O3010=Справочники!$F$4,Учет!$H3010,0)</f>
        <v>0</v>
      </c>
      <c r="E3010" s="52">
        <f>IF(Учет!$O3010=Справочники!$F$5,Учет!$H3010,0)</f>
        <v>0</v>
      </c>
      <c r="F3010" s="52">
        <f>IF(Учет!$O3010=Справочники!$F$6,Учет!$H3010,0)</f>
        <v>0</v>
      </c>
      <c r="G3010" s="43">
        <f>G3009+Учет!B3010-B3010</f>
        <v>-488978.92000000004</v>
      </c>
      <c r="H3010" s="43">
        <f>H3009+Учет!C3010-C3010</f>
        <v>336855</v>
      </c>
      <c r="I3010" s="43">
        <f>I3009+Учет!D3010-D3010</f>
        <v>500</v>
      </c>
      <c r="J3010" s="43">
        <f>J3009+Учет!E3010-E3010</f>
        <v>1150</v>
      </c>
      <c r="K3010" s="43">
        <f>K3009+Учет!F3010-F3010</f>
        <v>500000</v>
      </c>
      <c r="L3010" s="45">
        <f>Учет!I3010</f>
        <v>349526.07999999996</v>
      </c>
    </row>
    <row r="3011" spans="1:12" x14ac:dyDescent="0.25">
      <c r="A3011" s="48" t="str">
        <f>IF(Учет!A3011&lt;&gt;"",Учет!A3011,"")</f>
        <v/>
      </c>
      <c r="B3011" s="52">
        <f>IF(Учет!$O3011=Справочники!$F$2,Учет!$H3011,0)</f>
        <v>0</v>
      </c>
      <c r="C3011" s="52">
        <f>IF(Учет!$O3011=Справочники!$F$3,Учет!$H3011,0)</f>
        <v>0</v>
      </c>
      <c r="D3011" s="52">
        <f>IF(Учет!$O3011=Справочники!$F$4,Учет!$H3011,0)</f>
        <v>0</v>
      </c>
      <c r="E3011" s="52">
        <f>IF(Учет!$O3011=Справочники!$F$5,Учет!$H3011,0)</f>
        <v>0</v>
      </c>
      <c r="F3011" s="52">
        <f>IF(Учет!$O3011=Справочники!$F$6,Учет!$H3011,0)</f>
        <v>0</v>
      </c>
      <c r="G3011" s="43">
        <f>G3010+Учет!B3011-B3011</f>
        <v>-488978.92000000004</v>
      </c>
      <c r="H3011" s="43">
        <f>H3010+Учет!C3011-C3011</f>
        <v>336855</v>
      </c>
      <c r="I3011" s="43">
        <f>I3010+Учет!D3011-D3011</f>
        <v>500</v>
      </c>
      <c r="J3011" s="43">
        <f>J3010+Учет!E3011-E3011</f>
        <v>1150</v>
      </c>
      <c r="K3011" s="43">
        <f>K3010+Учет!F3011-F3011</f>
        <v>500000</v>
      </c>
      <c r="L3011" s="45">
        <f>Учет!I3011</f>
        <v>349526.07999999996</v>
      </c>
    </row>
    <row r="3012" spans="1:12" x14ac:dyDescent="0.25">
      <c r="A3012" s="48" t="str">
        <f>IF(Учет!A3012&lt;&gt;"",Учет!A3012,"")</f>
        <v/>
      </c>
      <c r="B3012" s="52">
        <f>IF(Учет!$O3012=Справочники!$F$2,Учет!$H3012,0)</f>
        <v>0</v>
      </c>
      <c r="C3012" s="52">
        <f>IF(Учет!$O3012=Справочники!$F$3,Учет!$H3012,0)</f>
        <v>0</v>
      </c>
      <c r="D3012" s="52">
        <f>IF(Учет!$O3012=Справочники!$F$4,Учет!$H3012,0)</f>
        <v>0</v>
      </c>
      <c r="E3012" s="52">
        <f>IF(Учет!$O3012=Справочники!$F$5,Учет!$H3012,0)</f>
        <v>0</v>
      </c>
      <c r="F3012" s="52">
        <f>IF(Учет!$O3012=Справочники!$F$6,Учет!$H3012,0)</f>
        <v>0</v>
      </c>
      <c r="G3012" s="43">
        <f>G3011+Учет!B3012-B3012</f>
        <v>-488978.92000000004</v>
      </c>
      <c r="H3012" s="43">
        <f>H3011+Учет!C3012-C3012</f>
        <v>336855</v>
      </c>
      <c r="I3012" s="43">
        <f>I3011+Учет!D3012-D3012</f>
        <v>500</v>
      </c>
      <c r="J3012" s="43">
        <f>J3011+Учет!E3012-E3012</f>
        <v>1150</v>
      </c>
      <c r="K3012" s="43">
        <f>K3011+Учет!F3012-F3012</f>
        <v>500000</v>
      </c>
      <c r="L3012" s="45">
        <f>Учет!I3012</f>
        <v>349526.07999999996</v>
      </c>
    </row>
    <row r="3013" spans="1:12" x14ac:dyDescent="0.25">
      <c r="A3013" s="48" t="str">
        <f>IF(Учет!A3013&lt;&gt;"",Учет!A3013,"")</f>
        <v/>
      </c>
      <c r="B3013" s="52">
        <f>IF(Учет!$O3013=Справочники!$F$2,Учет!$H3013,0)</f>
        <v>0</v>
      </c>
      <c r="C3013" s="52">
        <f>IF(Учет!$O3013=Справочники!$F$3,Учет!$H3013,0)</f>
        <v>0</v>
      </c>
      <c r="D3013" s="52">
        <f>IF(Учет!$O3013=Справочники!$F$4,Учет!$H3013,0)</f>
        <v>0</v>
      </c>
      <c r="E3013" s="52">
        <f>IF(Учет!$O3013=Справочники!$F$5,Учет!$H3013,0)</f>
        <v>0</v>
      </c>
      <c r="F3013" s="52">
        <f>IF(Учет!$O3013=Справочники!$F$6,Учет!$H3013,0)</f>
        <v>0</v>
      </c>
      <c r="G3013" s="43">
        <f>G3012+Учет!B3013-B3013</f>
        <v>-488978.92000000004</v>
      </c>
      <c r="H3013" s="43">
        <f>H3012+Учет!C3013-C3013</f>
        <v>336855</v>
      </c>
      <c r="I3013" s="43">
        <f>I3012+Учет!D3013-D3013</f>
        <v>500</v>
      </c>
      <c r="J3013" s="43">
        <f>J3012+Учет!E3013-E3013</f>
        <v>1150</v>
      </c>
      <c r="K3013" s="43">
        <f>K3012+Учет!F3013-F3013</f>
        <v>500000</v>
      </c>
      <c r="L3013" s="45">
        <f>Учет!I3013</f>
        <v>349526.07999999996</v>
      </c>
    </row>
    <row r="3014" spans="1:12" x14ac:dyDescent="0.25">
      <c r="A3014" s="48" t="str">
        <f>IF(Учет!A3014&lt;&gt;"",Учет!A3014,"")</f>
        <v/>
      </c>
      <c r="B3014" s="52">
        <f>IF(Учет!$O3014=Справочники!$F$2,Учет!$H3014,0)</f>
        <v>0</v>
      </c>
      <c r="C3014" s="52">
        <f>IF(Учет!$O3014=Справочники!$F$3,Учет!$H3014,0)</f>
        <v>0</v>
      </c>
      <c r="D3014" s="52">
        <f>IF(Учет!$O3014=Справочники!$F$4,Учет!$H3014,0)</f>
        <v>0</v>
      </c>
      <c r="E3014" s="52">
        <f>IF(Учет!$O3014=Справочники!$F$5,Учет!$H3014,0)</f>
        <v>0</v>
      </c>
      <c r="F3014" s="52">
        <f>IF(Учет!$O3014=Справочники!$F$6,Учет!$H3014,0)</f>
        <v>0</v>
      </c>
      <c r="G3014" s="43">
        <f>G3013+Учет!B3014-B3014</f>
        <v>-488978.92000000004</v>
      </c>
      <c r="H3014" s="43">
        <f>H3013+Учет!C3014-C3014</f>
        <v>336855</v>
      </c>
      <c r="I3014" s="43">
        <f>I3013+Учет!D3014-D3014</f>
        <v>500</v>
      </c>
      <c r="J3014" s="43">
        <f>J3013+Учет!E3014-E3014</f>
        <v>1150</v>
      </c>
      <c r="K3014" s="43">
        <f>K3013+Учет!F3014-F3014</f>
        <v>500000</v>
      </c>
      <c r="L3014" s="45">
        <f>Учет!I3014</f>
        <v>349526.07999999996</v>
      </c>
    </row>
    <row r="3015" spans="1:12" x14ac:dyDescent="0.25">
      <c r="A3015" s="48" t="str">
        <f>IF(Учет!A3015&lt;&gt;"",Учет!A3015,"")</f>
        <v/>
      </c>
      <c r="B3015" s="52">
        <f>IF(Учет!$O3015=Справочники!$F$2,Учет!$H3015,0)</f>
        <v>0</v>
      </c>
      <c r="C3015" s="52">
        <f>IF(Учет!$O3015=Справочники!$F$3,Учет!$H3015,0)</f>
        <v>0</v>
      </c>
      <c r="D3015" s="52">
        <f>IF(Учет!$O3015=Справочники!$F$4,Учет!$H3015,0)</f>
        <v>0</v>
      </c>
      <c r="E3015" s="52">
        <f>IF(Учет!$O3015=Справочники!$F$5,Учет!$H3015,0)</f>
        <v>0</v>
      </c>
      <c r="F3015" s="52">
        <f>IF(Учет!$O3015=Справочники!$F$6,Учет!$H3015,0)</f>
        <v>0</v>
      </c>
      <c r="G3015" s="43">
        <f>G3014+Учет!B3015-B3015</f>
        <v>-488978.92000000004</v>
      </c>
      <c r="H3015" s="43">
        <f>H3014+Учет!C3015-C3015</f>
        <v>336855</v>
      </c>
      <c r="I3015" s="43">
        <f>I3014+Учет!D3015-D3015</f>
        <v>500</v>
      </c>
      <c r="J3015" s="43">
        <f>J3014+Учет!E3015-E3015</f>
        <v>1150</v>
      </c>
      <c r="K3015" s="43">
        <f>K3014+Учет!F3015-F3015</f>
        <v>500000</v>
      </c>
      <c r="L3015" s="45">
        <f>Учет!I3015</f>
        <v>349526.07999999996</v>
      </c>
    </row>
    <row r="3016" spans="1:12" x14ac:dyDescent="0.25">
      <c r="A3016" s="48" t="str">
        <f>IF(Учет!A3016&lt;&gt;"",Учет!A3016,"")</f>
        <v/>
      </c>
      <c r="B3016" s="52">
        <f>IF(Учет!$O3016=Справочники!$F$2,Учет!$H3016,0)</f>
        <v>0</v>
      </c>
      <c r="C3016" s="52">
        <f>IF(Учет!$O3016=Справочники!$F$3,Учет!$H3016,0)</f>
        <v>0</v>
      </c>
      <c r="D3016" s="52">
        <f>IF(Учет!$O3016=Справочники!$F$4,Учет!$H3016,0)</f>
        <v>0</v>
      </c>
      <c r="E3016" s="52">
        <f>IF(Учет!$O3016=Справочники!$F$5,Учет!$H3016,0)</f>
        <v>0</v>
      </c>
      <c r="F3016" s="52">
        <f>IF(Учет!$O3016=Справочники!$F$6,Учет!$H3016,0)</f>
        <v>0</v>
      </c>
      <c r="G3016" s="43">
        <f>G3015+Учет!B3016-B3016</f>
        <v>-488978.92000000004</v>
      </c>
      <c r="H3016" s="43">
        <f>H3015+Учет!C3016-C3016</f>
        <v>336855</v>
      </c>
      <c r="I3016" s="43">
        <f>I3015+Учет!D3016-D3016</f>
        <v>500</v>
      </c>
      <c r="J3016" s="43">
        <f>J3015+Учет!E3016-E3016</f>
        <v>1150</v>
      </c>
      <c r="K3016" s="43">
        <f>K3015+Учет!F3016-F3016</f>
        <v>500000</v>
      </c>
      <c r="L3016" s="45">
        <f>Учет!I3016</f>
        <v>349526.07999999996</v>
      </c>
    </row>
    <row r="3017" spans="1:12" x14ac:dyDescent="0.25">
      <c r="A3017" s="48" t="str">
        <f>IF(Учет!A3017&lt;&gt;"",Учет!A3017,"")</f>
        <v/>
      </c>
      <c r="B3017" s="52">
        <f>IF(Учет!$O3017=Справочники!$F$2,Учет!$H3017,0)</f>
        <v>0</v>
      </c>
      <c r="C3017" s="52">
        <f>IF(Учет!$O3017=Справочники!$F$3,Учет!$H3017,0)</f>
        <v>0</v>
      </c>
      <c r="D3017" s="52">
        <f>IF(Учет!$O3017=Справочники!$F$4,Учет!$H3017,0)</f>
        <v>0</v>
      </c>
      <c r="E3017" s="52">
        <f>IF(Учет!$O3017=Справочники!$F$5,Учет!$H3017,0)</f>
        <v>0</v>
      </c>
      <c r="F3017" s="52">
        <f>IF(Учет!$O3017=Справочники!$F$6,Учет!$H3017,0)</f>
        <v>0</v>
      </c>
      <c r="G3017" s="43">
        <f>G3016+Учет!B3017-B3017</f>
        <v>-488978.92000000004</v>
      </c>
      <c r="H3017" s="43">
        <f>H3016+Учет!C3017-C3017</f>
        <v>336855</v>
      </c>
      <c r="I3017" s="43">
        <f>I3016+Учет!D3017-D3017</f>
        <v>500</v>
      </c>
      <c r="J3017" s="43">
        <f>J3016+Учет!E3017-E3017</f>
        <v>1150</v>
      </c>
      <c r="K3017" s="43">
        <f>K3016+Учет!F3017-F3017</f>
        <v>500000</v>
      </c>
      <c r="L3017" s="45">
        <f>Учет!I3017</f>
        <v>349526.07999999996</v>
      </c>
    </row>
    <row r="3018" spans="1:12" x14ac:dyDescent="0.25">
      <c r="A3018" s="48" t="str">
        <f>IF(Учет!A3018&lt;&gt;"",Учет!A3018,"")</f>
        <v/>
      </c>
      <c r="B3018" s="52">
        <f>IF(Учет!$O3018=Справочники!$F$2,Учет!$H3018,0)</f>
        <v>0</v>
      </c>
      <c r="C3018" s="52">
        <f>IF(Учет!$O3018=Справочники!$F$3,Учет!$H3018,0)</f>
        <v>0</v>
      </c>
      <c r="D3018" s="52">
        <f>IF(Учет!$O3018=Справочники!$F$4,Учет!$H3018,0)</f>
        <v>0</v>
      </c>
      <c r="E3018" s="52">
        <f>IF(Учет!$O3018=Справочники!$F$5,Учет!$H3018,0)</f>
        <v>0</v>
      </c>
      <c r="F3018" s="52">
        <f>IF(Учет!$O3018=Справочники!$F$6,Учет!$H3018,0)</f>
        <v>0</v>
      </c>
      <c r="G3018" s="43">
        <f>G3017+Учет!B3018-B3018</f>
        <v>-488978.92000000004</v>
      </c>
      <c r="H3018" s="43">
        <f>H3017+Учет!C3018-C3018</f>
        <v>336855</v>
      </c>
      <c r="I3018" s="43">
        <f>I3017+Учет!D3018-D3018</f>
        <v>500</v>
      </c>
      <c r="J3018" s="43">
        <f>J3017+Учет!E3018-E3018</f>
        <v>1150</v>
      </c>
      <c r="K3018" s="43">
        <f>K3017+Учет!F3018-F3018</f>
        <v>500000</v>
      </c>
      <c r="L3018" s="45">
        <f>Учет!I3018</f>
        <v>349526.07999999996</v>
      </c>
    </row>
    <row r="3019" spans="1:12" x14ac:dyDescent="0.25">
      <c r="A3019" s="48" t="str">
        <f>IF(Учет!A3019&lt;&gt;"",Учет!A3019,"")</f>
        <v/>
      </c>
      <c r="B3019" s="52">
        <f>IF(Учет!$O3019=Справочники!$F$2,Учет!$H3019,0)</f>
        <v>0</v>
      </c>
      <c r="C3019" s="52">
        <f>IF(Учет!$O3019=Справочники!$F$3,Учет!$H3019,0)</f>
        <v>0</v>
      </c>
      <c r="D3019" s="52">
        <f>IF(Учет!$O3019=Справочники!$F$4,Учет!$H3019,0)</f>
        <v>0</v>
      </c>
      <c r="E3019" s="52">
        <f>IF(Учет!$O3019=Справочники!$F$5,Учет!$H3019,0)</f>
        <v>0</v>
      </c>
      <c r="F3019" s="52">
        <f>IF(Учет!$O3019=Справочники!$F$6,Учет!$H3019,0)</f>
        <v>0</v>
      </c>
      <c r="G3019" s="43">
        <f>G3018+Учет!B3019-B3019</f>
        <v>-488978.92000000004</v>
      </c>
      <c r="H3019" s="43">
        <f>H3018+Учет!C3019-C3019</f>
        <v>336855</v>
      </c>
      <c r="I3019" s="43">
        <f>I3018+Учет!D3019-D3019</f>
        <v>500</v>
      </c>
      <c r="J3019" s="43">
        <f>J3018+Учет!E3019-E3019</f>
        <v>1150</v>
      </c>
      <c r="K3019" s="43">
        <f>K3018+Учет!F3019-F3019</f>
        <v>500000</v>
      </c>
      <c r="L3019" s="45">
        <f>Учет!I3019</f>
        <v>349526.07999999996</v>
      </c>
    </row>
    <row r="3020" spans="1:12" x14ac:dyDescent="0.25">
      <c r="A3020" s="48" t="str">
        <f>IF(Учет!A3020&lt;&gt;"",Учет!A3020,"")</f>
        <v/>
      </c>
      <c r="B3020" s="52">
        <f>IF(Учет!$O3020=Справочники!$F$2,Учет!$H3020,0)</f>
        <v>0</v>
      </c>
      <c r="C3020" s="52">
        <f>IF(Учет!$O3020=Справочники!$F$3,Учет!$H3020,0)</f>
        <v>0</v>
      </c>
      <c r="D3020" s="52">
        <f>IF(Учет!$O3020=Справочники!$F$4,Учет!$H3020,0)</f>
        <v>0</v>
      </c>
      <c r="E3020" s="52">
        <f>IF(Учет!$O3020=Справочники!$F$5,Учет!$H3020,0)</f>
        <v>0</v>
      </c>
      <c r="F3020" s="52">
        <f>IF(Учет!$O3020=Справочники!$F$6,Учет!$H3020,0)</f>
        <v>0</v>
      </c>
      <c r="G3020" s="43">
        <f>G3019+Учет!B3020-B3020</f>
        <v>-488978.92000000004</v>
      </c>
      <c r="H3020" s="43">
        <f>H3019+Учет!C3020-C3020</f>
        <v>336855</v>
      </c>
      <c r="I3020" s="43">
        <f>I3019+Учет!D3020-D3020</f>
        <v>500</v>
      </c>
      <c r="J3020" s="43">
        <f>J3019+Учет!E3020-E3020</f>
        <v>1150</v>
      </c>
      <c r="K3020" s="43">
        <f>K3019+Учет!F3020-F3020</f>
        <v>500000</v>
      </c>
      <c r="L3020" s="45">
        <f>Учет!I3020</f>
        <v>349526.07999999996</v>
      </c>
    </row>
    <row r="3021" spans="1:12" x14ac:dyDescent="0.25">
      <c r="A3021" s="48" t="str">
        <f>IF(Учет!A3021&lt;&gt;"",Учет!A3021,"")</f>
        <v/>
      </c>
      <c r="B3021" s="52">
        <f>IF(Учет!$O3021=Справочники!$F$2,Учет!$H3021,0)</f>
        <v>0</v>
      </c>
      <c r="C3021" s="52">
        <f>IF(Учет!$O3021=Справочники!$F$3,Учет!$H3021,0)</f>
        <v>0</v>
      </c>
      <c r="D3021" s="52">
        <f>IF(Учет!$O3021=Справочники!$F$4,Учет!$H3021,0)</f>
        <v>0</v>
      </c>
      <c r="E3021" s="52">
        <f>IF(Учет!$O3021=Справочники!$F$5,Учет!$H3021,0)</f>
        <v>0</v>
      </c>
      <c r="F3021" s="52">
        <f>IF(Учет!$O3021=Справочники!$F$6,Учет!$H3021,0)</f>
        <v>0</v>
      </c>
      <c r="G3021" s="43">
        <f>G3020+Учет!B3021-B3021</f>
        <v>-488978.92000000004</v>
      </c>
      <c r="H3021" s="43">
        <f>H3020+Учет!C3021-C3021</f>
        <v>336855</v>
      </c>
      <c r="I3021" s="43">
        <f>I3020+Учет!D3021-D3021</f>
        <v>500</v>
      </c>
      <c r="J3021" s="43">
        <f>J3020+Учет!E3021-E3021</f>
        <v>1150</v>
      </c>
      <c r="K3021" s="43">
        <f>K3020+Учет!F3021-F3021</f>
        <v>500000</v>
      </c>
      <c r="L3021" s="45">
        <f>Учет!I3021</f>
        <v>349526.07999999996</v>
      </c>
    </row>
    <row r="3022" spans="1:12" x14ac:dyDescent="0.25">
      <c r="A3022" s="48" t="str">
        <f>IF(Учет!A3022&lt;&gt;"",Учет!A3022,"")</f>
        <v/>
      </c>
      <c r="B3022" s="52">
        <f>IF(Учет!$O3022=Справочники!$F$2,Учет!$H3022,0)</f>
        <v>0</v>
      </c>
      <c r="C3022" s="52">
        <f>IF(Учет!$O3022=Справочники!$F$3,Учет!$H3022,0)</f>
        <v>0</v>
      </c>
      <c r="D3022" s="52">
        <f>IF(Учет!$O3022=Справочники!$F$4,Учет!$H3022,0)</f>
        <v>0</v>
      </c>
      <c r="E3022" s="52">
        <f>IF(Учет!$O3022=Справочники!$F$5,Учет!$H3022,0)</f>
        <v>0</v>
      </c>
      <c r="F3022" s="52">
        <f>IF(Учет!$O3022=Справочники!$F$6,Учет!$H3022,0)</f>
        <v>0</v>
      </c>
      <c r="G3022" s="43">
        <f>G3021+Учет!B3022-B3022</f>
        <v>-488978.92000000004</v>
      </c>
      <c r="H3022" s="43">
        <f>H3021+Учет!C3022-C3022</f>
        <v>336855</v>
      </c>
      <c r="I3022" s="43">
        <f>I3021+Учет!D3022-D3022</f>
        <v>500</v>
      </c>
      <c r="J3022" s="43">
        <f>J3021+Учет!E3022-E3022</f>
        <v>1150</v>
      </c>
      <c r="K3022" s="43">
        <f>K3021+Учет!F3022-F3022</f>
        <v>500000</v>
      </c>
      <c r="L3022" s="45">
        <f>Учет!I3022</f>
        <v>349526.07999999996</v>
      </c>
    </row>
    <row r="3023" spans="1:12" x14ac:dyDescent="0.25">
      <c r="A3023" s="48" t="str">
        <f>IF(Учет!A3023&lt;&gt;"",Учет!A3023,"")</f>
        <v/>
      </c>
      <c r="B3023" s="52">
        <f>IF(Учет!$O3023=Справочники!$F$2,Учет!$H3023,0)</f>
        <v>0</v>
      </c>
      <c r="C3023" s="52">
        <f>IF(Учет!$O3023=Справочники!$F$3,Учет!$H3023,0)</f>
        <v>0</v>
      </c>
      <c r="D3023" s="52">
        <f>IF(Учет!$O3023=Справочники!$F$4,Учет!$H3023,0)</f>
        <v>0</v>
      </c>
      <c r="E3023" s="52">
        <f>IF(Учет!$O3023=Справочники!$F$5,Учет!$H3023,0)</f>
        <v>0</v>
      </c>
      <c r="F3023" s="52">
        <f>IF(Учет!$O3023=Справочники!$F$6,Учет!$H3023,0)</f>
        <v>0</v>
      </c>
      <c r="G3023" s="43">
        <f>G3022+Учет!B3023-B3023</f>
        <v>-488978.92000000004</v>
      </c>
      <c r="H3023" s="43">
        <f>H3022+Учет!C3023-C3023</f>
        <v>336855</v>
      </c>
      <c r="I3023" s="43">
        <f>I3022+Учет!D3023-D3023</f>
        <v>500</v>
      </c>
      <c r="J3023" s="43">
        <f>J3022+Учет!E3023-E3023</f>
        <v>1150</v>
      </c>
      <c r="K3023" s="43">
        <f>K3022+Учет!F3023-F3023</f>
        <v>500000</v>
      </c>
      <c r="L3023" s="45">
        <f>Учет!I3023</f>
        <v>349526.07999999996</v>
      </c>
    </row>
    <row r="3024" spans="1:12" x14ac:dyDescent="0.25">
      <c r="A3024" s="48" t="str">
        <f>IF(Учет!A3024&lt;&gt;"",Учет!A3024,"")</f>
        <v/>
      </c>
      <c r="B3024" s="52">
        <f>IF(Учет!$O3024=Справочники!$F$2,Учет!$H3024,0)</f>
        <v>0</v>
      </c>
      <c r="C3024" s="52">
        <f>IF(Учет!$O3024=Справочники!$F$3,Учет!$H3024,0)</f>
        <v>0</v>
      </c>
      <c r="D3024" s="52">
        <f>IF(Учет!$O3024=Справочники!$F$4,Учет!$H3024,0)</f>
        <v>0</v>
      </c>
      <c r="E3024" s="52">
        <f>IF(Учет!$O3024=Справочники!$F$5,Учет!$H3024,0)</f>
        <v>0</v>
      </c>
      <c r="F3024" s="52">
        <f>IF(Учет!$O3024=Справочники!$F$6,Учет!$H3024,0)</f>
        <v>0</v>
      </c>
      <c r="G3024" s="43">
        <f>G3023+Учет!B3024-B3024</f>
        <v>-488978.92000000004</v>
      </c>
      <c r="H3024" s="43">
        <f>H3023+Учет!C3024-C3024</f>
        <v>336855</v>
      </c>
      <c r="I3024" s="43">
        <f>I3023+Учет!D3024-D3024</f>
        <v>500</v>
      </c>
      <c r="J3024" s="43">
        <f>J3023+Учет!E3024-E3024</f>
        <v>1150</v>
      </c>
      <c r="K3024" s="43">
        <f>K3023+Учет!F3024-F3024</f>
        <v>500000</v>
      </c>
      <c r="L3024" s="45">
        <f>Учет!I3024</f>
        <v>349526.07999999996</v>
      </c>
    </row>
    <row r="3025" spans="1:12" x14ac:dyDescent="0.25">
      <c r="A3025" s="48" t="str">
        <f>IF(Учет!A3025&lt;&gt;"",Учет!A3025,"")</f>
        <v/>
      </c>
      <c r="B3025" s="52">
        <f>IF(Учет!$O3025=Справочники!$F$2,Учет!$H3025,0)</f>
        <v>0</v>
      </c>
      <c r="C3025" s="52">
        <f>IF(Учет!$O3025=Справочники!$F$3,Учет!$H3025,0)</f>
        <v>0</v>
      </c>
      <c r="D3025" s="52">
        <f>IF(Учет!$O3025=Справочники!$F$4,Учет!$H3025,0)</f>
        <v>0</v>
      </c>
      <c r="E3025" s="52">
        <f>IF(Учет!$O3025=Справочники!$F$5,Учет!$H3025,0)</f>
        <v>0</v>
      </c>
      <c r="F3025" s="52">
        <f>IF(Учет!$O3025=Справочники!$F$6,Учет!$H3025,0)</f>
        <v>0</v>
      </c>
      <c r="G3025" s="43">
        <f>G3024+Учет!B3025-B3025</f>
        <v>-488978.92000000004</v>
      </c>
      <c r="H3025" s="43">
        <f>H3024+Учет!C3025-C3025</f>
        <v>336855</v>
      </c>
      <c r="I3025" s="43">
        <f>I3024+Учет!D3025-D3025</f>
        <v>500</v>
      </c>
      <c r="J3025" s="43">
        <f>J3024+Учет!E3025-E3025</f>
        <v>1150</v>
      </c>
      <c r="K3025" s="43">
        <f>K3024+Учет!F3025-F3025</f>
        <v>500000</v>
      </c>
      <c r="L3025" s="45">
        <f>Учет!I3025</f>
        <v>349526.07999999996</v>
      </c>
    </row>
    <row r="3026" spans="1:12" x14ac:dyDescent="0.25">
      <c r="A3026" s="48" t="str">
        <f>IF(Учет!A3026&lt;&gt;"",Учет!A3026,"")</f>
        <v/>
      </c>
      <c r="B3026" s="52">
        <f>IF(Учет!$O3026=Справочники!$F$2,Учет!$H3026,0)</f>
        <v>0</v>
      </c>
      <c r="C3026" s="52">
        <f>IF(Учет!$O3026=Справочники!$F$3,Учет!$H3026,0)</f>
        <v>0</v>
      </c>
      <c r="D3026" s="52">
        <f>IF(Учет!$O3026=Справочники!$F$4,Учет!$H3026,0)</f>
        <v>0</v>
      </c>
      <c r="E3026" s="52">
        <f>IF(Учет!$O3026=Справочники!$F$5,Учет!$H3026,0)</f>
        <v>0</v>
      </c>
      <c r="F3026" s="52">
        <f>IF(Учет!$O3026=Справочники!$F$6,Учет!$H3026,0)</f>
        <v>0</v>
      </c>
      <c r="G3026" s="43">
        <f>G3025+Учет!B3026-B3026</f>
        <v>-488978.92000000004</v>
      </c>
      <c r="H3026" s="43">
        <f>H3025+Учет!C3026-C3026</f>
        <v>336855</v>
      </c>
      <c r="I3026" s="43">
        <f>I3025+Учет!D3026-D3026</f>
        <v>500</v>
      </c>
      <c r="J3026" s="43">
        <f>J3025+Учет!E3026-E3026</f>
        <v>1150</v>
      </c>
      <c r="K3026" s="43">
        <f>K3025+Учет!F3026-F3026</f>
        <v>500000</v>
      </c>
      <c r="L3026" s="45">
        <f>Учет!I3026</f>
        <v>349526.07999999996</v>
      </c>
    </row>
    <row r="3027" spans="1:12" x14ac:dyDescent="0.25">
      <c r="A3027" s="48" t="str">
        <f>IF(Учет!A3027&lt;&gt;"",Учет!A3027,"")</f>
        <v/>
      </c>
      <c r="B3027" s="52">
        <f>IF(Учет!$O3027=Справочники!$F$2,Учет!$H3027,0)</f>
        <v>0</v>
      </c>
      <c r="C3027" s="52">
        <f>IF(Учет!$O3027=Справочники!$F$3,Учет!$H3027,0)</f>
        <v>0</v>
      </c>
      <c r="D3027" s="52">
        <f>IF(Учет!$O3027=Справочники!$F$4,Учет!$H3027,0)</f>
        <v>0</v>
      </c>
      <c r="E3027" s="52">
        <f>IF(Учет!$O3027=Справочники!$F$5,Учет!$H3027,0)</f>
        <v>0</v>
      </c>
      <c r="F3027" s="52">
        <f>IF(Учет!$O3027=Справочники!$F$6,Учет!$H3027,0)</f>
        <v>0</v>
      </c>
      <c r="G3027" s="43">
        <f>G3026+Учет!B3027-B3027</f>
        <v>-488978.92000000004</v>
      </c>
      <c r="H3027" s="43">
        <f>H3026+Учет!C3027-C3027</f>
        <v>336855</v>
      </c>
      <c r="I3027" s="43">
        <f>I3026+Учет!D3027-D3027</f>
        <v>500</v>
      </c>
      <c r="J3027" s="43">
        <f>J3026+Учет!E3027-E3027</f>
        <v>1150</v>
      </c>
      <c r="K3027" s="43">
        <f>K3026+Учет!F3027-F3027</f>
        <v>500000</v>
      </c>
      <c r="L3027" s="45">
        <f>Учет!I3027</f>
        <v>349526.07999999996</v>
      </c>
    </row>
    <row r="3028" spans="1:12" x14ac:dyDescent="0.25">
      <c r="A3028" s="48" t="str">
        <f>IF(Учет!A3028&lt;&gt;"",Учет!A3028,"")</f>
        <v/>
      </c>
      <c r="B3028" s="52">
        <f>IF(Учет!$O3028=Справочники!$F$2,Учет!$H3028,0)</f>
        <v>0</v>
      </c>
      <c r="C3028" s="52">
        <f>IF(Учет!$O3028=Справочники!$F$3,Учет!$H3028,0)</f>
        <v>0</v>
      </c>
      <c r="D3028" s="52">
        <f>IF(Учет!$O3028=Справочники!$F$4,Учет!$H3028,0)</f>
        <v>0</v>
      </c>
      <c r="E3028" s="52">
        <f>IF(Учет!$O3028=Справочники!$F$5,Учет!$H3028,0)</f>
        <v>0</v>
      </c>
      <c r="F3028" s="52">
        <f>IF(Учет!$O3028=Справочники!$F$6,Учет!$H3028,0)</f>
        <v>0</v>
      </c>
      <c r="G3028" s="43">
        <f>G3027+Учет!B3028-B3028</f>
        <v>-488978.92000000004</v>
      </c>
      <c r="H3028" s="43">
        <f>H3027+Учет!C3028-C3028</f>
        <v>336855</v>
      </c>
      <c r="I3028" s="43">
        <f>I3027+Учет!D3028-D3028</f>
        <v>500</v>
      </c>
      <c r="J3028" s="43">
        <f>J3027+Учет!E3028-E3028</f>
        <v>1150</v>
      </c>
      <c r="K3028" s="43">
        <f>K3027+Учет!F3028-F3028</f>
        <v>500000</v>
      </c>
      <c r="L3028" s="45">
        <f>Учет!I3028</f>
        <v>349526.07999999996</v>
      </c>
    </row>
    <row r="3029" spans="1:12" x14ac:dyDescent="0.25">
      <c r="A3029" s="48" t="str">
        <f>IF(Учет!A3029&lt;&gt;"",Учет!A3029,"")</f>
        <v/>
      </c>
      <c r="B3029" s="52">
        <f>IF(Учет!$O3029=Справочники!$F$2,Учет!$H3029,0)</f>
        <v>0</v>
      </c>
      <c r="C3029" s="52">
        <f>IF(Учет!$O3029=Справочники!$F$3,Учет!$H3029,0)</f>
        <v>0</v>
      </c>
      <c r="D3029" s="52">
        <f>IF(Учет!$O3029=Справочники!$F$4,Учет!$H3029,0)</f>
        <v>0</v>
      </c>
      <c r="E3029" s="52">
        <f>IF(Учет!$O3029=Справочники!$F$5,Учет!$H3029,0)</f>
        <v>0</v>
      </c>
      <c r="F3029" s="52">
        <f>IF(Учет!$O3029=Справочники!$F$6,Учет!$H3029,0)</f>
        <v>0</v>
      </c>
      <c r="G3029" s="43">
        <f>G3028+Учет!B3029-B3029</f>
        <v>-488978.92000000004</v>
      </c>
      <c r="H3029" s="43">
        <f>H3028+Учет!C3029-C3029</f>
        <v>336855</v>
      </c>
      <c r="I3029" s="43">
        <f>I3028+Учет!D3029-D3029</f>
        <v>500</v>
      </c>
      <c r="J3029" s="43">
        <f>J3028+Учет!E3029-E3029</f>
        <v>1150</v>
      </c>
      <c r="K3029" s="43">
        <f>K3028+Учет!F3029-F3029</f>
        <v>500000</v>
      </c>
      <c r="L3029" s="45">
        <f>Учет!I3029</f>
        <v>349526.07999999996</v>
      </c>
    </row>
    <row r="3030" spans="1:12" x14ac:dyDescent="0.25">
      <c r="A3030" s="48" t="str">
        <f>IF(Учет!A3030&lt;&gt;"",Учет!A3030,"")</f>
        <v/>
      </c>
      <c r="B3030" s="52">
        <f>IF(Учет!$O3030=Справочники!$F$2,Учет!$H3030,0)</f>
        <v>0</v>
      </c>
      <c r="C3030" s="52">
        <f>IF(Учет!$O3030=Справочники!$F$3,Учет!$H3030,0)</f>
        <v>0</v>
      </c>
      <c r="D3030" s="52">
        <f>IF(Учет!$O3030=Справочники!$F$4,Учет!$H3030,0)</f>
        <v>0</v>
      </c>
      <c r="E3030" s="52">
        <f>IF(Учет!$O3030=Справочники!$F$5,Учет!$H3030,0)</f>
        <v>0</v>
      </c>
      <c r="F3030" s="52">
        <f>IF(Учет!$O3030=Справочники!$F$6,Учет!$H3030,0)</f>
        <v>0</v>
      </c>
      <c r="G3030" s="43">
        <f>G3029+Учет!B3030-B3030</f>
        <v>-488978.92000000004</v>
      </c>
      <c r="H3030" s="43">
        <f>H3029+Учет!C3030-C3030</f>
        <v>336855</v>
      </c>
      <c r="I3030" s="43">
        <f>I3029+Учет!D3030-D3030</f>
        <v>500</v>
      </c>
      <c r="J3030" s="43">
        <f>J3029+Учет!E3030-E3030</f>
        <v>1150</v>
      </c>
      <c r="K3030" s="43">
        <f>K3029+Учет!F3030-F3030</f>
        <v>500000</v>
      </c>
      <c r="L3030" s="45">
        <f>Учет!I3030</f>
        <v>349526.07999999996</v>
      </c>
    </row>
    <row r="3031" spans="1:12" x14ac:dyDescent="0.25">
      <c r="A3031" s="48" t="str">
        <f>IF(Учет!A3031&lt;&gt;"",Учет!A3031,"")</f>
        <v/>
      </c>
      <c r="B3031" s="52">
        <f>IF(Учет!$O3031=Справочники!$F$2,Учет!$H3031,0)</f>
        <v>0</v>
      </c>
      <c r="C3031" s="52">
        <f>IF(Учет!$O3031=Справочники!$F$3,Учет!$H3031,0)</f>
        <v>0</v>
      </c>
      <c r="D3031" s="52">
        <f>IF(Учет!$O3031=Справочники!$F$4,Учет!$H3031,0)</f>
        <v>0</v>
      </c>
      <c r="E3031" s="52">
        <f>IF(Учет!$O3031=Справочники!$F$5,Учет!$H3031,0)</f>
        <v>0</v>
      </c>
      <c r="F3031" s="52">
        <f>IF(Учет!$O3031=Справочники!$F$6,Учет!$H3031,0)</f>
        <v>0</v>
      </c>
      <c r="G3031" s="43">
        <f>G3030+Учет!B3031-B3031</f>
        <v>-488978.92000000004</v>
      </c>
      <c r="H3031" s="43">
        <f>H3030+Учет!C3031-C3031</f>
        <v>336855</v>
      </c>
      <c r="I3031" s="43">
        <f>I3030+Учет!D3031-D3031</f>
        <v>500</v>
      </c>
      <c r="J3031" s="43">
        <f>J3030+Учет!E3031-E3031</f>
        <v>1150</v>
      </c>
      <c r="K3031" s="43">
        <f>K3030+Учет!F3031-F3031</f>
        <v>500000</v>
      </c>
      <c r="L3031" s="45">
        <f>Учет!I3031</f>
        <v>349526.07999999996</v>
      </c>
    </row>
    <row r="3032" spans="1:12" x14ac:dyDescent="0.25">
      <c r="A3032" s="48" t="str">
        <f>IF(Учет!A3032&lt;&gt;"",Учет!A3032,"")</f>
        <v/>
      </c>
      <c r="B3032" s="52">
        <f>IF(Учет!$O3032=Справочники!$F$2,Учет!$H3032,0)</f>
        <v>0</v>
      </c>
      <c r="C3032" s="52">
        <f>IF(Учет!$O3032=Справочники!$F$3,Учет!$H3032,0)</f>
        <v>0</v>
      </c>
      <c r="D3032" s="52">
        <f>IF(Учет!$O3032=Справочники!$F$4,Учет!$H3032,0)</f>
        <v>0</v>
      </c>
      <c r="E3032" s="52">
        <f>IF(Учет!$O3032=Справочники!$F$5,Учет!$H3032,0)</f>
        <v>0</v>
      </c>
      <c r="F3032" s="52">
        <f>IF(Учет!$O3032=Справочники!$F$6,Учет!$H3032,0)</f>
        <v>0</v>
      </c>
      <c r="G3032" s="43">
        <f>G3031+Учет!B3032-B3032</f>
        <v>-488978.92000000004</v>
      </c>
      <c r="H3032" s="43">
        <f>H3031+Учет!C3032-C3032</f>
        <v>336855</v>
      </c>
      <c r="I3032" s="43">
        <f>I3031+Учет!D3032-D3032</f>
        <v>500</v>
      </c>
      <c r="J3032" s="43">
        <f>J3031+Учет!E3032-E3032</f>
        <v>1150</v>
      </c>
      <c r="K3032" s="43">
        <f>K3031+Учет!F3032-F3032</f>
        <v>500000</v>
      </c>
      <c r="L3032" s="45">
        <f>Учет!I3032</f>
        <v>349526.07999999996</v>
      </c>
    </row>
    <row r="3033" spans="1:12" x14ac:dyDescent="0.25">
      <c r="A3033" s="48" t="str">
        <f>IF(Учет!A3033&lt;&gt;"",Учет!A3033,"")</f>
        <v/>
      </c>
      <c r="B3033" s="52">
        <f>IF(Учет!$O3033=Справочники!$F$2,Учет!$H3033,0)</f>
        <v>0</v>
      </c>
      <c r="C3033" s="52">
        <f>IF(Учет!$O3033=Справочники!$F$3,Учет!$H3033,0)</f>
        <v>0</v>
      </c>
      <c r="D3033" s="52">
        <f>IF(Учет!$O3033=Справочники!$F$4,Учет!$H3033,0)</f>
        <v>0</v>
      </c>
      <c r="E3033" s="52">
        <f>IF(Учет!$O3033=Справочники!$F$5,Учет!$H3033,0)</f>
        <v>0</v>
      </c>
      <c r="F3033" s="52">
        <f>IF(Учет!$O3033=Справочники!$F$6,Учет!$H3033,0)</f>
        <v>0</v>
      </c>
      <c r="G3033" s="43">
        <f>G3032+Учет!B3033-B3033</f>
        <v>-488978.92000000004</v>
      </c>
      <c r="H3033" s="43">
        <f>H3032+Учет!C3033-C3033</f>
        <v>336855</v>
      </c>
      <c r="I3033" s="43">
        <f>I3032+Учет!D3033-D3033</f>
        <v>500</v>
      </c>
      <c r="J3033" s="43">
        <f>J3032+Учет!E3033-E3033</f>
        <v>1150</v>
      </c>
      <c r="K3033" s="43">
        <f>K3032+Учет!F3033-F3033</f>
        <v>500000</v>
      </c>
      <c r="L3033" s="45">
        <f>Учет!I3033</f>
        <v>349526.07999999996</v>
      </c>
    </row>
    <row r="3034" spans="1:12" x14ac:dyDescent="0.25">
      <c r="A3034" s="48" t="str">
        <f>IF(Учет!A3034&lt;&gt;"",Учет!A3034,"")</f>
        <v/>
      </c>
      <c r="B3034" s="52">
        <f>IF(Учет!$O3034=Справочники!$F$2,Учет!$H3034,0)</f>
        <v>0</v>
      </c>
      <c r="C3034" s="52">
        <f>IF(Учет!$O3034=Справочники!$F$3,Учет!$H3034,0)</f>
        <v>0</v>
      </c>
      <c r="D3034" s="52">
        <f>IF(Учет!$O3034=Справочники!$F$4,Учет!$H3034,0)</f>
        <v>0</v>
      </c>
      <c r="E3034" s="52">
        <f>IF(Учет!$O3034=Справочники!$F$5,Учет!$H3034,0)</f>
        <v>0</v>
      </c>
      <c r="F3034" s="52">
        <f>IF(Учет!$O3034=Справочники!$F$6,Учет!$H3034,0)</f>
        <v>0</v>
      </c>
      <c r="G3034" s="43">
        <f>G3033+Учет!B3034-B3034</f>
        <v>-488978.92000000004</v>
      </c>
      <c r="H3034" s="43">
        <f>H3033+Учет!C3034-C3034</f>
        <v>336855</v>
      </c>
      <c r="I3034" s="43">
        <f>I3033+Учет!D3034-D3034</f>
        <v>500</v>
      </c>
      <c r="J3034" s="43">
        <f>J3033+Учет!E3034-E3034</f>
        <v>1150</v>
      </c>
      <c r="K3034" s="43">
        <f>K3033+Учет!F3034-F3034</f>
        <v>500000</v>
      </c>
      <c r="L3034" s="45">
        <f>Учет!I3034</f>
        <v>349526.07999999996</v>
      </c>
    </row>
    <row r="3035" spans="1:12" x14ac:dyDescent="0.25">
      <c r="A3035" s="48" t="str">
        <f>IF(Учет!A3035&lt;&gt;"",Учет!A3035,"")</f>
        <v/>
      </c>
      <c r="B3035" s="52">
        <f>IF(Учет!$O3035=Справочники!$F$2,Учет!$H3035,0)</f>
        <v>0</v>
      </c>
      <c r="C3035" s="52">
        <f>IF(Учет!$O3035=Справочники!$F$3,Учет!$H3035,0)</f>
        <v>0</v>
      </c>
      <c r="D3035" s="52">
        <f>IF(Учет!$O3035=Справочники!$F$4,Учет!$H3035,0)</f>
        <v>0</v>
      </c>
      <c r="E3035" s="52">
        <f>IF(Учет!$O3035=Справочники!$F$5,Учет!$H3035,0)</f>
        <v>0</v>
      </c>
      <c r="F3035" s="52">
        <f>IF(Учет!$O3035=Справочники!$F$6,Учет!$H3035,0)</f>
        <v>0</v>
      </c>
      <c r="G3035" s="43">
        <f>G3034+Учет!B3035-B3035</f>
        <v>-488978.92000000004</v>
      </c>
      <c r="H3035" s="43">
        <f>H3034+Учет!C3035-C3035</f>
        <v>336855</v>
      </c>
      <c r="I3035" s="43">
        <f>I3034+Учет!D3035-D3035</f>
        <v>500</v>
      </c>
      <c r="J3035" s="43">
        <f>J3034+Учет!E3035-E3035</f>
        <v>1150</v>
      </c>
      <c r="K3035" s="43">
        <f>K3034+Учет!F3035-F3035</f>
        <v>500000</v>
      </c>
      <c r="L3035" s="45">
        <f>Учет!I3035</f>
        <v>349526.07999999996</v>
      </c>
    </row>
    <row r="3036" spans="1:12" x14ac:dyDescent="0.25">
      <c r="A3036" s="48" t="str">
        <f>IF(Учет!A3036&lt;&gt;"",Учет!A3036,"")</f>
        <v/>
      </c>
      <c r="B3036" s="52">
        <f>IF(Учет!$O3036=Справочники!$F$2,Учет!$H3036,0)</f>
        <v>0</v>
      </c>
      <c r="C3036" s="52">
        <f>IF(Учет!$O3036=Справочники!$F$3,Учет!$H3036,0)</f>
        <v>0</v>
      </c>
      <c r="D3036" s="52">
        <f>IF(Учет!$O3036=Справочники!$F$4,Учет!$H3036,0)</f>
        <v>0</v>
      </c>
      <c r="E3036" s="52">
        <f>IF(Учет!$O3036=Справочники!$F$5,Учет!$H3036,0)</f>
        <v>0</v>
      </c>
      <c r="F3036" s="52">
        <f>IF(Учет!$O3036=Справочники!$F$6,Учет!$H3036,0)</f>
        <v>0</v>
      </c>
      <c r="G3036" s="43">
        <f>G3035+Учет!B3036-B3036</f>
        <v>-488978.92000000004</v>
      </c>
      <c r="H3036" s="43">
        <f>H3035+Учет!C3036-C3036</f>
        <v>336855</v>
      </c>
      <c r="I3036" s="43">
        <f>I3035+Учет!D3036-D3036</f>
        <v>500</v>
      </c>
      <c r="J3036" s="43">
        <f>J3035+Учет!E3036-E3036</f>
        <v>1150</v>
      </c>
      <c r="K3036" s="43">
        <f>K3035+Учет!F3036-F3036</f>
        <v>500000</v>
      </c>
      <c r="L3036" s="45">
        <f>Учет!I3036</f>
        <v>349526.07999999996</v>
      </c>
    </row>
    <row r="3037" spans="1:12" x14ac:dyDescent="0.25">
      <c r="A3037" s="48" t="str">
        <f>IF(Учет!A3037&lt;&gt;"",Учет!A3037,"")</f>
        <v/>
      </c>
      <c r="B3037" s="52">
        <f>IF(Учет!$O3037=Справочники!$F$2,Учет!$H3037,0)</f>
        <v>0</v>
      </c>
      <c r="C3037" s="52">
        <f>IF(Учет!$O3037=Справочники!$F$3,Учет!$H3037,0)</f>
        <v>0</v>
      </c>
      <c r="D3037" s="52">
        <f>IF(Учет!$O3037=Справочники!$F$4,Учет!$H3037,0)</f>
        <v>0</v>
      </c>
      <c r="E3037" s="52">
        <f>IF(Учет!$O3037=Справочники!$F$5,Учет!$H3037,0)</f>
        <v>0</v>
      </c>
      <c r="F3037" s="52">
        <f>IF(Учет!$O3037=Справочники!$F$6,Учет!$H3037,0)</f>
        <v>0</v>
      </c>
      <c r="G3037" s="43">
        <f>G3036+Учет!B3037-B3037</f>
        <v>-488978.92000000004</v>
      </c>
      <c r="H3037" s="43">
        <f>H3036+Учет!C3037-C3037</f>
        <v>336855</v>
      </c>
      <c r="I3037" s="43">
        <f>I3036+Учет!D3037-D3037</f>
        <v>500</v>
      </c>
      <c r="J3037" s="43">
        <f>J3036+Учет!E3037-E3037</f>
        <v>1150</v>
      </c>
      <c r="K3037" s="43">
        <f>K3036+Учет!F3037-F3037</f>
        <v>500000</v>
      </c>
      <c r="L3037" s="45">
        <f>Учет!I3037</f>
        <v>349526.07999999996</v>
      </c>
    </row>
    <row r="3038" spans="1:12" x14ac:dyDescent="0.25">
      <c r="A3038" s="48" t="str">
        <f>IF(Учет!A3038&lt;&gt;"",Учет!A3038,"")</f>
        <v/>
      </c>
      <c r="B3038" s="52">
        <f>IF(Учет!$O3038=Справочники!$F$2,Учет!$H3038,0)</f>
        <v>0</v>
      </c>
      <c r="C3038" s="52">
        <f>IF(Учет!$O3038=Справочники!$F$3,Учет!$H3038,0)</f>
        <v>0</v>
      </c>
      <c r="D3038" s="52">
        <f>IF(Учет!$O3038=Справочники!$F$4,Учет!$H3038,0)</f>
        <v>0</v>
      </c>
      <c r="E3038" s="52">
        <f>IF(Учет!$O3038=Справочники!$F$5,Учет!$H3038,0)</f>
        <v>0</v>
      </c>
      <c r="F3038" s="52">
        <f>IF(Учет!$O3038=Справочники!$F$6,Учет!$H3038,0)</f>
        <v>0</v>
      </c>
      <c r="G3038" s="43">
        <f>G3037+Учет!B3038-B3038</f>
        <v>-488978.92000000004</v>
      </c>
      <c r="H3038" s="43">
        <f>H3037+Учет!C3038-C3038</f>
        <v>336855</v>
      </c>
      <c r="I3038" s="43">
        <f>I3037+Учет!D3038-D3038</f>
        <v>500</v>
      </c>
      <c r="J3038" s="43">
        <f>J3037+Учет!E3038-E3038</f>
        <v>1150</v>
      </c>
      <c r="K3038" s="43">
        <f>K3037+Учет!F3038-F3038</f>
        <v>500000</v>
      </c>
      <c r="L3038" s="45">
        <f>Учет!I3038</f>
        <v>349526.07999999996</v>
      </c>
    </row>
    <row r="3039" spans="1:12" x14ac:dyDescent="0.25">
      <c r="A3039" s="48" t="str">
        <f>IF(Учет!A3039&lt;&gt;"",Учет!A3039,"")</f>
        <v/>
      </c>
      <c r="B3039" s="52">
        <f>IF(Учет!$O3039=Справочники!$F$2,Учет!$H3039,0)</f>
        <v>0</v>
      </c>
      <c r="C3039" s="52">
        <f>IF(Учет!$O3039=Справочники!$F$3,Учет!$H3039,0)</f>
        <v>0</v>
      </c>
      <c r="D3039" s="52">
        <f>IF(Учет!$O3039=Справочники!$F$4,Учет!$H3039,0)</f>
        <v>0</v>
      </c>
      <c r="E3039" s="52">
        <f>IF(Учет!$O3039=Справочники!$F$5,Учет!$H3039,0)</f>
        <v>0</v>
      </c>
      <c r="F3039" s="52">
        <f>IF(Учет!$O3039=Справочники!$F$6,Учет!$H3039,0)</f>
        <v>0</v>
      </c>
      <c r="G3039" s="43">
        <f>G3038+Учет!B3039-B3039</f>
        <v>-488978.92000000004</v>
      </c>
      <c r="H3039" s="43">
        <f>H3038+Учет!C3039-C3039</f>
        <v>336855</v>
      </c>
      <c r="I3039" s="43">
        <f>I3038+Учет!D3039-D3039</f>
        <v>500</v>
      </c>
      <c r="J3039" s="43">
        <f>J3038+Учет!E3039-E3039</f>
        <v>1150</v>
      </c>
      <c r="K3039" s="43">
        <f>K3038+Учет!F3039-F3039</f>
        <v>500000</v>
      </c>
      <c r="L3039" s="45">
        <f>Учет!I3039</f>
        <v>349526.07999999996</v>
      </c>
    </row>
    <row r="3040" spans="1:12" x14ac:dyDescent="0.25">
      <c r="A3040" s="48" t="str">
        <f>IF(Учет!A3040&lt;&gt;"",Учет!A3040,"")</f>
        <v/>
      </c>
      <c r="B3040" s="52">
        <f>IF(Учет!$O3040=Справочники!$F$2,Учет!$H3040,0)</f>
        <v>0</v>
      </c>
      <c r="C3040" s="52">
        <f>IF(Учет!$O3040=Справочники!$F$3,Учет!$H3040,0)</f>
        <v>0</v>
      </c>
      <c r="D3040" s="52">
        <f>IF(Учет!$O3040=Справочники!$F$4,Учет!$H3040,0)</f>
        <v>0</v>
      </c>
      <c r="E3040" s="52">
        <f>IF(Учет!$O3040=Справочники!$F$5,Учет!$H3040,0)</f>
        <v>0</v>
      </c>
      <c r="F3040" s="52">
        <f>IF(Учет!$O3040=Справочники!$F$6,Учет!$H3040,0)</f>
        <v>0</v>
      </c>
      <c r="G3040" s="43">
        <f>G3039+Учет!B3040-B3040</f>
        <v>-488978.92000000004</v>
      </c>
      <c r="H3040" s="43">
        <f>H3039+Учет!C3040-C3040</f>
        <v>336855</v>
      </c>
      <c r="I3040" s="43">
        <f>I3039+Учет!D3040-D3040</f>
        <v>500</v>
      </c>
      <c r="J3040" s="43">
        <f>J3039+Учет!E3040-E3040</f>
        <v>1150</v>
      </c>
      <c r="K3040" s="43">
        <f>K3039+Учет!F3040-F3040</f>
        <v>500000</v>
      </c>
      <c r="L3040" s="45">
        <f>Учет!I3040</f>
        <v>349526.07999999996</v>
      </c>
    </row>
    <row r="3041" spans="1:12" x14ac:dyDescent="0.25">
      <c r="A3041" s="48" t="str">
        <f>IF(Учет!A3041&lt;&gt;"",Учет!A3041,"")</f>
        <v/>
      </c>
      <c r="B3041" s="52">
        <f>IF(Учет!$O3041=Справочники!$F$2,Учет!$H3041,0)</f>
        <v>0</v>
      </c>
      <c r="C3041" s="52">
        <f>IF(Учет!$O3041=Справочники!$F$3,Учет!$H3041,0)</f>
        <v>0</v>
      </c>
      <c r="D3041" s="52">
        <f>IF(Учет!$O3041=Справочники!$F$4,Учет!$H3041,0)</f>
        <v>0</v>
      </c>
      <c r="E3041" s="52">
        <f>IF(Учет!$O3041=Справочники!$F$5,Учет!$H3041,0)</f>
        <v>0</v>
      </c>
      <c r="F3041" s="52">
        <f>IF(Учет!$O3041=Справочники!$F$6,Учет!$H3041,0)</f>
        <v>0</v>
      </c>
      <c r="G3041" s="43">
        <f>G3040+Учет!B3041-B3041</f>
        <v>-488978.92000000004</v>
      </c>
      <c r="H3041" s="43">
        <f>H3040+Учет!C3041-C3041</f>
        <v>336855</v>
      </c>
      <c r="I3041" s="43">
        <f>I3040+Учет!D3041-D3041</f>
        <v>500</v>
      </c>
      <c r="J3041" s="43">
        <f>J3040+Учет!E3041-E3041</f>
        <v>1150</v>
      </c>
      <c r="K3041" s="43">
        <f>K3040+Учет!F3041-F3041</f>
        <v>500000</v>
      </c>
      <c r="L3041" s="45">
        <f>Учет!I3041</f>
        <v>349526.07999999996</v>
      </c>
    </row>
    <row r="3042" spans="1:12" x14ac:dyDescent="0.25">
      <c r="A3042" s="48" t="str">
        <f>IF(Учет!A3042&lt;&gt;"",Учет!A3042,"")</f>
        <v/>
      </c>
      <c r="B3042" s="52">
        <f>IF(Учет!$O3042=Справочники!$F$2,Учет!$H3042,0)</f>
        <v>0</v>
      </c>
      <c r="C3042" s="52">
        <f>IF(Учет!$O3042=Справочники!$F$3,Учет!$H3042,0)</f>
        <v>0</v>
      </c>
      <c r="D3042" s="52">
        <f>IF(Учет!$O3042=Справочники!$F$4,Учет!$H3042,0)</f>
        <v>0</v>
      </c>
      <c r="E3042" s="52">
        <f>IF(Учет!$O3042=Справочники!$F$5,Учет!$H3042,0)</f>
        <v>0</v>
      </c>
      <c r="F3042" s="52">
        <f>IF(Учет!$O3042=Справочники!$F$6,Учет!$H3042,0)</f>
        <v>0</v>
      </c>
      <c r="G3042" s="43">
        <f>G3041+Учет!B3042-B3042</f>
        <v>-488978.92000000004</v>
      </c>
      <c r="H3042" s="43">
        <f>H3041+Учет!C3042-C3042</f>
        <v>336855</v>
      </c>
      <c r="I3042" s="43">
        <f>I3041+Учет!D3042-D3042</f>
        <v>500</v>
      </c>
      <c r="J3042" s="43">
        <f>J3041+Учет!E3042-E3042</f>
        <v>1150</v>
      </c>
      <c r="K3042" s="43">
        <f>K3041+Учет!F3042-F3042</f>
        <v>500000</v>
      </c>
      <c r="L3042" s="45">
        <f>Учет!I3042</f>
        <v>349526.07999999996</v>
      </c>
    </row>
    <row r="3043" spans="1:12" x14ac:dyDescent="0.25">
      <c r="A3043" s="48" t="str">
        <f>IF(Учет!A3043&lt;&gt;"",Учет!A3043,"")</f>
        <v/>
      </c>
      <c r="B3043" s="52">
        <f>IF(Учет!$O3043=Справочники!$F$2,Учет!$H3043,0)</f>
        <v>0</v>
      </c>
      <c r="C3043" s="52">
        <f>IF(Учет!$O3043=Справочники!$F$3,Учет!$H3043,0)</f>
        <v>0</v>
      </c>
      <c r="D3043" s="52">
        <f>IF(Учет!$O3043=Справочники!$F$4,Учет!$H3043,0)</f>
        <v>0</v>
      </c>
      <c r="E3043" s="52">
        <f>IF(Учет!$O3043=Справочники!$F$5,Учет!$H3043,0)</f>
        <v>0</v>
      </c>
      <c r="F3043" s="52">
        <f>IF(Учет!$O3043=Справочники!$F$6,Учет!$H3043,0)</f>
        <v>0</v>
      </c>
      <c r="G3043" s="43">
        <f>G3042+Учет!B3043-B3043</f>
        <v>-488978.92000000004</v>
      </c>
      <c r="H3043" s="43">
        <f>H3042+Учет!C3043-C3043</f>
        <v>336855</v>
      </c>
      <c r="I3043" s="43">
        <f>I3042+Учет!D3043-D3043</f>
        <v>500</v>
      </c>
      <c r="J3043" s="43">
        <f>J3042+Учет!E3043-E3043</f>
        <v>1150</v>
      </c>
      <c r="K3043" s="43">
        <f>K3042+Учет!F3043-F3043</f>
        <v>500000</v>
      </c>
      <c r="L3043" s="45">
        <f>Учет!I3043</f>
        <v>349526.07999999996</v>
      </c>
    </row>
    <row r="3044" spans="1:12" x14ac:dyDescent="0.25">
      <c r="A3044" s="48" t="str">
        <f>IF(Учет!A3044&lt;&gt;"",Учет!A3044,"")</f>
        <v/>
      </c>
      <c r="B3044" s="52">
        <f>IF(Учет!$O3044=Справочники!$F$2,Учет!$H3044,0)</f>
        <v>0</v>
      </c>
      <c r="C3044" s="52">
        <f>IF(Учет!$O3044=Справочники!$F$3,Учет!$H3044,0)</f>
        <v>0</v>
      </c>
      <c r="D3044" s="52">
        <f>IF(Учет!$O3044=Справочники!$F$4,Учет!$H3044,0)</f>
        <v>0</v>
      </c>
      <c r="E3044" s="52">
        <f>IF(Учет!$O3044=Справочники!$F$5,Учет!$H3044,0)</f>
        <v>0</v>
      </c>
      <c r="F3044" s="52">
        <f>IF(Учет!$O3044=Справочники!$F$6,Учет!$H3044,0)</f>
        <v>0</v>
      </c>
      <c r="G3044" s="43">
        <f>G3043+Учет!B3044-B3044</f>
        <v>-488978.92000000004</v>
      </c>
      <c r="H3044" s="43">
        <f>H3043+Учет!C3044-C3044</f>
        <v>336855</v>
      </c>
      <c r="I3044" s="43">
        <f>I3043+Учет!D3044-D3044</f>
        <v>500</v>
      </c>
      <c r="J3044" s="43">
        <f>J3043+Учет!E3044-E3044</f>
        <v>1150</v>
      </c>
      <c r="K3044" s="43">
        <f>K3043+Учет!F3044-F3044</f>
        <v>500000</v>
      </c>
      <c r="L3044" s="45">
        <f>Учет!I3044</f>
        <v>349526.07999999996</v>
      </c>
    </row>
    <row r="3045" spans="1:12" x14ac:dyDescent="0.25">
      <c r="A3045" s="48" t="str">
        <f>IF(Учет!A3045&lt;&gt;"",Учет!A3045,"")</f>
        <v/>
      </c>
      <c r="B3045" s="52">
        <f>IF(Учет!$O3045=Справочники!$F$2,Учет!$H3045,0)</f>
        <v>0</v>
      </c>
      <c r="C3045" s="52">
        <f>IF(Учет!$O3045=Справочники!$F$3,Учет!$H3045,0)</f>
        <v>0</v>
      </c>
      <c r="D3045" s="52">
        <f>IF(Учет!$O3045=Справочники!$F$4,Учет!$H3045,0)</f>
        <v>0</v>
      </c>
      <c r="E3045" s="52">
        <f>IF(Учет!$O3045=Справочники!$F$5,Учет!$H3045,0)</f>
        <v>0</v>
      </c>
      <c r="F3045" s="52">
        <f>IF(Учет!$O3045=Справочники!$F$6,Учет!$H3045,0)</f>
        <v>0</v>
      </c>
      <c r="G3045" s="43">
        <f>G3044+Учет!B3045-B3045</f>
        <v>-488978.92000000004</v>
      </c>
      <c r="H3045" s="43">
        <f>H3044+Учет!C3045-C3045</f>
        <v>336855</v>
      </c>
      <c r="I3045" s="43">
        <f>I3044+Учет!D3045-D3045</f>
        <v>500</v>
      </c>
      <c r="J3045" s="43">
        <f>J3044+Учет!E3045-E3045</f>
        <v>1150</v>
      </c>
      <c r="K3045" s="43">
        <f>K3044+Учет!F3045-F3045</f>
        <v>500000</v>
      </c>
      <c r="L3045" s="45">
        <f>Учет!I3045</f>
        <v>349526.07999999996</v>
      </c>
    </row>
    <row r="3046" spans="1:12" x14ac:dyDescent="0.25">
      <c r="A3046" s="48" t="str">
        <f>IF(Учет!A3046&lt;&gt;"",Учет!A3046,"")</f>
        <v/>
      </c>
      <c r="B3046" s="52">
        <f>IF(Учет!$O3046=Справочники!$F$2,Учет!$H3046,0)</f>
        <v>0</v>
      </c>
      <c r="C3046" s="52">
        <f>IF(Учет!$O3046=Справочники!$F$3,Учет!$H3046,0)</f>
        <v>0</v>
      </c>
      <c r="D3046" s="52">
        <f>IF(Учет!$O3046=Справочники!$F$4,Учет!$H3046,0)</f>
        <v>0</v>
      </c>
      <c r="E3046" s="52">
        <f>IF(Учет!$O3046=Справочники!$F$5,Учет!$H3046,0)</f>
        <v>0</v>
      </c>
      <c r="F3046" s="52">
        <f>IF(Учет!$O3046=Справочники!$F$6,Учет!$H3046,0)</f>
        <v>0</v>
      </c>
      <c r="G3046" s="43">
        <f>G3045+Учет!B3046-B3046</f>
        <v>-488978.92000000004</v>
      </c>
      <c r="H3046" s="43">
        <f>H3045+Учет!C3046-C3046</f>
        <v>336855</v>
      </c>
      <c r="I3046" s="43">
        <f>I3045+Учет!D3046-D3046</f>
        <v>500</v>
      </c>
      <c r="J3046" s="43">
        <f>J3045+Учет!E3046-E3046</f>
        <v>1150</v>
      </c>
      <c r="K3046" s="43">
        <f>K3045+Учет!F3046-F3046</f>
        <v>500000</v>
      </c>
      <c r="L3046" s="45">
        <f>Учет!I3046</f>
        <v>349526.07999999996</v>
      </c>
    </row>
    <row r="3047" spans="1:12" x14ac:dyDescent="0.25">
      <c r="A3047" s="48" t="str">
        <f>IF(Учет!A3047&lt;&gt;"",Учет!A3047,"")</f>
        <v/>
      </c>
      <c r="B3047" s="52">
        <f>IF(Учет!$O3047=Справочники!$F$2,Учет!$H3047,0)</f>
        <v>0</v>
      </c>
      <c r="C3047" s="52">
        <f>IF(Учет!$O3047=Справочники!$F$3,Учет!$H3047,0)</f>
        <v>0</v>
      </c>
      <c r="D3047" s="52">
        <f>IF(Учет!$O3047=Справочники!$F$4,Учет!$H3047,0)</f>
        <v>0</v>
      </c>
      <c r="E3047" s="52">
        <f>IF(Учет!$O3047=Справочники!$F$5,Учет!$H3047,0)</f>
        <v>0</v>
      </c>
      <c r="F3047" s="52">
        <f>IF(Учет!$O3047=Справочники!$F$6,Учет!$H3047,0)</f>
        <v>0</v>
      </c>
      <c r="G3047" s="43">
        <f>G3046+Учет!B3047-B3047</f>
        <v>-488978.92000000004</v>
      </c>
      <c r="H3047" s="43">
        <f>H3046+Учет!C3047-C3047</f>
        <v>336855</v>
      </c>
      <c r="I3047" s="43">
        <f>I3046+Учет!D3047-D3047</f>
        <v>500</v>
      </c>
      <c r="J3047" s="43">
        <f>J3046+Учет!E3047-E3047</f>
        <v>1150</v>
      </c>
      <c r="K3047" s="43">
        <f>K3046+Учет!F3047-F3047</f>
        <v>500000</v>
      </c>
      <c r="L3047" s="45">
        <f>Учет!I3047</f>
        <v>349526.07999999996</v>
      </c>
    </row>
    <row r="3048" spans="1:12" x14ac:dyDescent="0.25">
      <c r="A3048" s="48" t="str">
        <f>IF(Учет!A3048&lt;&gt;"",Учет!A3048,"")</f>
        <v/>
      </c>
      <c r="B3048" s="52">
        <f>IF(Учет!$O3048=Справочники!$F$2,Учет!$H3048,0)</f>
        <v>0</v>
      </c>
      <c r="C3048" s="52">
        <f>IF(Учет!$O3048=Справочники!$F$3,Учет!$H3048,0)</f>
        <v>0</v>
      </c>
      <c r="D3048" s="52">
        <f>IF(Учет!$O3048=Справочники!$F$4,Учет!$H3048,0)</f>
        <v>0</v>
      </c>
      <c r="E3048" s="52">
        <f>IF(Учет!$O3048=Справочники!$F$5,Учет!$H3048,0)</f>
        <v>0</v>
      </c>
      <c r="F3048" s="52">
        <f>IF(Учет!$O3048=Справочники!$F$6,Учет!$H3048,0)</f>
        <v>0</v>
      </c>
      <c r="G3048" s="43">
        <f>G3047+Учет!B3048-B3048</f>
        <v>-488978.92000000004</v>
      </c>
      <c r="H3048" s="43">
        <f>H3047+Учет!C3048-C3048</f>
        <v>336855</v>
      </c>
      <c r="I3048" s="43">
        <f>I3047+Учет!D3048-D3048</f>
        <v>500</v>
      </c>
      <c r="J3048" s="43">
        <f>J3047+Учет!E3048-E3048</f>
        <v>1150</v>
      </c>
      <c r="K3048" s="43">
        <f>K3047+Учет!F3048-F3048</f>
        <v>500000</v>
      </c>
      <c r="L3048" s="45">
        <f>Учет!I3048</f>
        <v>349526.07999999996</v>
      </c>
    </row>
    <row r="3049" spans="1:12" x14ac:dyDescent="0.25">
      <c r="A3049" s="48" t="str">
        <f>IF(Учет!A3049&lt;&gt;"",Учет!A3049,"")</f>
        <v/>
      </c>
      <c r="B3049" s="52">
        <f>IF(Учет!$O3049=Справочники!$F$2,Учет!$H3049,0)</f>
        <v>0</v>
      </c>
      <c r="C3049" s="52">
        <f>IF(Учет!$O3049=Справочники!$F$3,Учет!$H3049,0)</f>
        <v>0</v>
      </c>
      <c r="D3049" s="52">
        <f>IF(Учет!$O3049=Справочники!$F$4,Учет!$H3049,0)</f>
        <v>0</v>
      </c>
      <c r="E3049" s="52">
        <f>IF(Учет!$O3049=Справочники!$F$5,Учет!$H3049,0)</f>
        <v>0</v>
      </c>
      <c r="F3049" s="52">
        <f>IF(Учет!$O3049=Справочники!$F$6,Учет!$H3049,0)</f>
        <v>0</v>
      </c>
      <c r="G3049" s="43">
        <f>G3048+Учет!B3049-B3049</f>
        <v>-488978.92000000004</v>
      </c>
      <c r="H3049" s="43">
        <f>H3048+Учет!C3049-C3049</f>
        <v>336855</v>
      </c>
      <c r="I3049" s="43">
        <f>I3048+Учет!D3049-D3049</f>
        <v>500</v>
      </c>
      <c r="J3049" s="43">
        <f>J3048+Учет!E3049-E3049</f>
        <v>1150</v>
      </c>
      <c r="K3049" s="43">
        <f>K3048+Учет!F3049-F3049</f>
        <v>500000</v>
      </c>
      <c r="L3049" s="45">
        <f>Учет!I3049</f>
        <v>349526.07999999996</v>
      </c>
    </row>
    <row r="3050" spans="1:12" x14ac:dyDescent="0.25">
      <c r="A3050" s="48" t="str">
        <f>IF(Учет!A3050&lt;&gt;"",Учет!A3050,"")</f>
        <v/>
      </c>
      <c r="B3050" s="52">
        <f>IF(Учет!$O3050=Справочники!$F$2,Учет!$H3050,0)</f>
        <v>0</v>
      </c>
      <c r="C3050" s="52">
        <f>IF(Учет!$O3050=Справочники!$F$3,Учет!$H3050,0)</f>
        <v>0</v>
      </c>
      <c r="D3050" s="52">
        <f>IF(Учет!$O3050=Справочники!$F$4,Учет!$H3050,0)</f>
        <v>0</v>
      </c>
      <c r="E3050" s="52">
        <f>IF(Учет!$O3050=Справочники!$F$5,Учет!$H3050,0)</f>
        <v>0</v>
      </c>
      <c r="F3050" s="52">
        <f>IF(Учет!$O3050=Справочники!$F$6,Учет!$H3050,0)</f>
        <v>0</v>
      </c>
      <c r="G3050" s="43">
        <f>G3049+Учет!B3050-B3050</f>
        <v>-488978.92000000004</v>
      </c>
      <c r="H3050" s="43">
        <f>H3049+Учет!C3050-C3050</f>
        <v>336855</v>
      </c>
      <c r="I3050" s="43">
        <f>I3049+Учет!D3050-D3050</f>
        <v>500</v>
      </c>
      <c r="J3050" s="43">
        <f>J3049+Учет!E3050-E3050</f>
        <v>1150</v>
      </c>
      <c r="K3050" s="43">
        <f>K3049+Учет!F3050-F3050</f>
        <v>500000</v>
      </c>
      <c r="L3050" s="45">
        <f>Учет!I3050</f>
        <v>349526.07999999996</v>
      </c>
    </row>
    <row r="3051" spans="1:12" x14ac:dyDescent="0.25">
      <c r="A3051" s="48" t="str">
        <f>IF(Учет!A3051&lt;&gt;"",Учет!A3051,"")</f>
        <v/>
      </c>
      <c r="B3051" s="52">
        <f>IF(Учет!$O3051=Справочники!$F$2,Учет!$H3051,0)</f>
        <v>0</v>
      </c>
      <c r="C3051" s="52">
        <f>IF(Учет!$O3051=Справочники!$F$3,Учет!$H3051,0)</f>
        <v>0</v>
      </c>
      <c r="D3051" s="52">
        <f>IF(Учет!$O3051=Справочники!$F$4,Учет!$H3051,0)</f>
        <v>0</v>
      </c>
      <c r="E3051" s="52">
        <f>IF(Учет!$O3051=Справочники!$F$5,Учет!$H3051,0)</f>
        <v>0</v>
      </c>
      <c r="F3051" s="52">
        <f>IF(Учет!$O3051=Справочники!$F$6,Учет!$H3051,0)</f>
        <v>0</v>
      </c>
      <c r="G3051" s="43">
        <f>G3050+Учет!B3051-B3051</f>
        <v>-488978.92000000004</v>
      </c>
      <c r="H3051" s="43">
        <f>H3050+Учет!C3051-C3051</f>
        <v>336855</v>
      </c>
      <c r="I3051" s="43">
        <f>I3050+Учет!D3051-D3051</f>
        <v>500</v>
      </c>
      <c r="J3051" s="43">
        <f>J3050+Учет!E3051-E3051</f>
        <v>1150</v>
      </c>
      <c r="K3051" s="43">
        <f>K3050+Учет!F3051-F3051</f>
        <v>500000</v>
      </c>
      <c r="L3051" s="45">
        <f>Учет!I3051</f>
        <v>349526.07999999996</v>
      </c>
    </row>
    <row r="3052" spans="1:12" x14ac:dyDescent="0.25">
      <c r="A3052" s="48" t="str">
        <f>IF(Учет!A3052&lt;&gt;"",Учет!A3052,"")</f>
        <v/>
      </c>
      <c r="B3052" s="52">
        <f>IF(Учет!$O3052=Справочники!$F$2,Учет!$H3052,0)</f>
        <v>0</v>
      </c>
      <c r="C3052" s="52">
        <f>IF(Учет!$O3052=Справочники!$F$3,Учет!$H3052,0)</f>
        <v>0</v>
      </c>
      <c r="D3052" s="52">
        <f>IF(Учет!$O3052=Справочники!$F$4,Учет!$H3052,0)</f>
        <v>0</v>
      </c>
      <c r="E3052" s="52">
        <f>IF(Учет!$O3052=Справочники!$F$5,Учет!$H3052,0)</f>
        <v>0</v>
      </c>
      <c r="F3052" s="52">
        <f>IF(Учет!$O3052=Справочники!$F$6,Учет!$H3052,0)</f>
        <v>0</v>
      </c>
      <c r="G3052" s="43">
        <f>G3051+Учет!B3052-B3052</f>
        <v>-488978.92000000004</v>
      </c>
      <c r="H3052" s="43">
        <f>H3051+Учет!C3052-C3052</f>
        <v>336855</v>
      </c>
      <c r="I3052" s="43">
        <f>I3051+Учет!D3052-D3052</f>
        <v>500</v>
      </c>
      <c r="J3052" s="43">
        <f>J3051+Учет!E3052-E3052</f>
        <v>1150</v>
      </c>
      <c r="K3052" s="43">
        <f>K3051+Учет!F3052-F3052</f>
        <v>500000</v>
      </c>
      <c r="L3052" s="45">
        <f>Учет!I3052</f>
        <v>349526.07999999996</v>
      </c>
    </row>
    <row r="3053" spans="1:12" x14ac:dyDescent="0.25">
      <c r="A3053" s="48" t="str">
        <f>IF(Учет!A3053&lt;&gt;"",Учет!A3053,"")</f>
        <v/>
      </c>
      <c r="B3053" s="52">
        <f>IF(Учет!$O3053=Справочники!$F$2,Учет!$H3053,0)</f>
        <v>0</v>
      </c>
      <c r="C3053" s="52">
        <f>IF(Учет!$O3053=Справочники!$F$3,Учет!$H3053,0)</f>
        <v>0</v>
      </c>
      <c r="D3053" s="52">
        <f>IF(Учет!$O3053=Справочники!$F$4,Учет!$H3053,0)</f>
        <v>0</v>
      </c>
      <c r="E3053" s="52">
        <f>IF(Учет!$O3053=Справочники!$F$5,Учет!$H3053,0)</f>
        <v>0</v>
      </c>
      <c r="F3053" s="52">
        <f>IF(Учет!$O3053=Справочники!$F$6,Учет!$H3053,0)</f>
        <v>0</v>
      </c>
      <c r="G3053" s="43">
        <f>G3052+Учет!B3053-B3053</f>
        <v>-488978.92000000004</v>
      </c>
      <c r="H3053" s="43">
        <f>H3052+Учет!C3053-C3053</f>
        <v>336855</v>
      </c>
      <c r="I3053" s="43">
        <f>I3052+Учет!D3053-D3053</f>
        <v>500</v>
      </c>
      <c r="J3053" s="43">
        <f>J3052+Учет!E3053-E3053</f>
        <v>1150</v>
      </c>
      <c r="K3053" s="43">
        <f>K3052+Учет!F3053-F3053</f>
        <v>500000</v>
      </c>
      <c r="L3053" s="45">
        <f>Учет!I3053</f>
        <v>349526.07999999996</v>
      </c>
    </row>
    <row r="3054" spans="1:12" x14ac:dyDescent="0.25">
      <c r="A3054" s="48" t="str">
        <f>IF(Учет!A3054&lt;&gt;"",Учет!A3054,"")</f>
        <v/>
      </c>
      <c r="B3054" s="52">
        <f>IF(Учет!$O3054=Справочники!$F$2,Учет!$H3054,0)</f>
        <v>0</v>
      </c>
      <c r="C3054" s="52">
        <f>IF(Учет!$O3054=Справочники!$F$3,Учет!$H3054,0)</f>
        <v>0</v>
      </c>
      <c r="D3054" s="52">
        <f>IF(Учет!$O3054=Справочники!$F$4,Учет!$H3054,0)</f>
        <v>0</v>
      </c>
      <c r="E3054" s="52">
        <f>IF(Учет!$O3054=Справочники!$F$5,Учет!$H3054,0)</f>
        <v>0</v>
      </c>
      <c r="F3054" s="52">
        <f>IF(Учет!$O3054=Справочники!$F$6,Учет!$H3054,0)</f>
        <v>0</v>
      </c>
      <c r="G3054" s="43">
        <f>G3053+Учет!B3054-B3054</f>
        <v>-488978.92000000004</v>
      </c>
      <c r="H3054" s="43">
        <f>H3053+Учет!C3054-C3054</f>
        <v>336855</v>
      </c>
      <c r="I3054" s="43">
        <f>I3053+Учет!D3054-D3054</f>
        <v>500</v>
      </c>
      <c r="J3054" s="43">
        <f>J3053+Учет!E3054-E3054</f>
        <v>1150</v>
      </c>
      <c r="K3054" s="43">
        <f>K3053+Учет!F3054-F3054</f>
        <v>500000</v>
      </c>
      <c r="L3054" s="45">
        <f>Учет!I3054</f>
        <v>349526.07999999996</v>
      </c>
    </row>
    <row r="3055" spans="1:12" x14ac:dyDescent="0.25">
      <c r="A3055" s="48" t="str">
        <f>IF(Учет!A3055&lt;&gt;"",Учет!A3055,"")</f>
        <v/>
      </c>
      <c r="B3055" s="52">
        <f>IF(Учет!$O3055=Справочники!$F$2,Учет!$H3055,0)</f>
        <v>0</v>
      </c>
      <c r="C3055" s="52">
        <f>IF(Учет!$O3055=Справочники!$F$3,Учет!$H3055,0)</f>
        <v>0</v>
      </c>
      <c r="D3055" s="52">
        <f>IF(Учет!$O3055=Справочники!$F$4,Учет!$H3055,0)</f>
        <v>0</v>
      </c>
      <c r="E3055" s="52">
        <f>IF(Учет!$O3055=Справочники!$F$5,Учет!$H3055,0)</f>
        <v>0</v>
      </c>
      <c r="F3055" s="52">
        <f>IF(Учет!$O3055=Справочники!$F$6,Учет!$H3055,0)</f>
        <v>0</v>
      </c>
      <c r="G3055" s="43">
        <f>G3054+Учет!B3055-B3055</f>
        <v>-488978.92000000004</v>
      </c>
      <c r="H3055" s="43">
        <f>H3054+Учет!C3055-C3055</f>
        <v>336855</v>
      </c>
      <c r="I3055" s="43">
        <f>I3054+Учет!D3055-D3055</f>
        <v>500</v>
      </c>
      <c r="J3055" s="43">
        <f>J3054+Учет!E3055-E3055</f>
        <v>1150</v>
      </c>
      <c r="K3055" s="43">
        <f>K3054+Учет!F3055-F3055</f>
        <v>500000</v>
      </c>
      <c r="L3055" s="45">
        <f>Учет!I3055</f>
        <v>349526.07999999996</v>
      </c>
    </row>
    <row r="3056" spans="1:12" x14ac:dyDescent="0.25">
      <c r="A3056" s="48" t="str">
        <f>IF(Учет!A3056&lt;&gt;"",Учет!A3056,"")</f>
        <v/>
      </c>
      <c r="B3056" s="52">
        <f>IF(Учет!$O3056=Справочники!$F$2,Учет!$H3056,0)</f>
        <v>0</v>
      </c>
      <c r="C3056" s="52">
        <f>IF(Учет!$O3056=Справочники!$F$3,Учет!$H3056,0)</f>
        <v>0</v>
      </c>
      <c r="D3056" s="52">
        <f>IF(Учет!$O3056=Справочники!$F$4,Учет!$H3056,0)</f>
        <v>0</v>
      </c>
      <c r="E3056" s="52">
        <f>IF(Учет!$O3056=Справочники!$F$5,Учет!$H3056,0)</f>
        <v>0</v>
      </c>
      <c r="F3056" s="52">
        <f>IF(Учет!$O3056=Справочники!$F$6,Учет!$H3056,0)</f>
        <v>0</v>
      </c>
      <c r="G3056" s="43">
        <f>G3055+Учет!B3056-B3056</f>
        <v>-488978.92000000004</v>
      </c>
      <c r="H3056" s="43">
        <f>H3055+Учет!C3056-C3056</f>
        <v>336855</v>
      </c>
      <c r="I3056" s="43">
        <f>I3055+Учет!D3056-D3056</f>
        <v>500</v>
      </c>
      <c r="J3056" s="43">
        <f>J3055+Учет!E3056-E3056</f>
        <v>1150</v>
      </c>
      <c r="K3056" s="43">
        <f>K3055+Учет!F3056-F3056</f>
        <v>500000</v>
      </c>
      <c r="L3056" s="45">
        <f>Учет!I3056</f>
        <v>349526.07999999996</v>
      </c>
    </row>
    <row r="3057" spans="1:12" x14ac:dyDescent="0.25">
      <c r="A3057" s="48" t="str">
        <f>IF(Учет!A3057&lt;&gt;"",Учет!A3057,"")</f>
        <v/>
      </c>
      <c r="B3057" s="52">
        <f>IF(Учет!$O3057=Справочники!$F$2,Учет!$H3057,0)</f>
        <v>0</v>
      </c>
      <c r="C3057" s="52">
        <f>IF(Учет!$O3057=Справочники!$F$3,Учет!$H3057,0)</f>
        <v>0</v>
      </c>
      <c r="D3057" s="52">
        <f>IF(Учет!$O3057=Справочники!$F$4,Учет!$H3057,0)</f>
        <v>0</v>
      </c>
      <c r="E3057" s="52">
        <f>IF(Учет!$O3057=Справочники!$F$5,Учет!$H3057,0)</f>
        <v>0</v>
      </c>
      <c r="F3057" s="52">
        <f>IF(Учет!$O3057=Справочники!$F$6,Учет!$H3057,0)</f>
        <v>0</v>
      </c>
      <c r="G3057" s="43">
        <f>G3056+Учет!B3057-B3057</f>
        <v>-488978.92000000004</v>
      </c>
      <c r="H3057" s="43">
        <f>H3056+Учет!C3057-C3057</f>
        <v>336855</v>
      </c>
      <c r="I3057" s="43">
        <f>I3056+Учет!D3057-D3057</f>
        <v>500</v>
      </c>
      <c r="J3057" s="43">
        <f>J3056+Учет!E3057-E3057</f>
        <v>1150</v>
      </c>
      <c r="K3057" s="43">
        <f>K3056+Учет!F3057-F3057</f>
        <v>500000</v>
      </c>
      <c r="L3057" s="45">
        <f>Учет!I3057</f>
        <v>349526.07999999996</v>
      </c>
    </row>
    <row r="3058" spans="1:12" x14ac:dyDescent="0.25">
      <c r="A3058" s="48" t="str">
        <f>IF(Учет!A3058&lt;&gt;"",Учет!A3058,"")</f>
        <v/>
      </c>
      <c r="B3058" s="52">
        <f>IF(Учет!$O3058=Справочники!$F$2,Учет!$H3058,0)</f>
        <v>0</v>
      </c>
      <c r="C3058" s="52">
        <f>IF(Учет!$O3058=Справочники!$F$3,Учет!$H3058,0)</f>
        <v>0</v>
      </c>
      <c r="D3058" s="52">
        <f>IF(Учет!$O3058=Справочники!$F$4,Учет!$H3058,0)</f>
        <v>0</v>
      </c>
      <c r="E3058" s="52">
        <f>IF(Учет!$O3058=Справочники!$F$5,Учет!$H3058,0)</f>
        <v>0</v>
      </c>
      <c r="F3058" s="52">
        <f>IF(Учет!$O3058=Справочники!$F$6,Учет!$H3058,0)</f>
        <v>0</v>
      </c>
      <c r="G3058" s="43">
        <f>G3057+Учет!B3058-B3058</f>
        <v>-488978.92000000004</v>
      </c>
      <c r="H3058" s="43">
        <f>H3057+Учет!C3058-C3058</f>
        <v>336855</v>
      </c>
      <c r="I3058" s="43">
        <f>I3057+Учет!D3058-D3058</f>
        <v>500</v>
      </c>
      <c r="J3058" s="43">
        <f>J3057+Учет!E3058-E3058</f>
        <v>1150</v>
      </c>
      <c r="K3058" s="43">
        <f>K3057+Учет!F3058-F3058</f>
        <v>500000</v>
      </c>
      <c r="L3058" s="45">
        <f>Учет!I3058</f>
        <v>349526.07999999996</v>
      </c>
    </row>
    <row r="3059" spans="1:12" x14ac:dyDescent="0.25">
      <c r="A3059" s="48" t="str">
        <f>IF(Учет!A3059&lt;&gt;"",Учет!A3059,"")</f>
        <v/>
      </c>
      <c r="B3059" s="52">
        <f>IF(Учет!$O3059=Справочники!$F$2,Учет!$H3059,0)</f>
        <v>0</v>
      </c>
      <c r="C3059" s="52">
        <f>IF(Учет!$O3059=Справочники!$F$3,Учет!$H3059,0)</f>
        <v>0</v>
      </c>
      <c r="D3059" s="52">
        <f>IF(Учет!$O3059=Справочники!$F$4,Учет!$H3059,0)</f>
        <v>0</v>
      </c>
      <c r="E3059" s="52">
        <f>IF(Учет!$O3059=Справочники!$F$5,Учет!$H3059,0)</f>
        <v>0</v>
      </c>
      <c r="F3059" s="52">
        <f>IF(Учет!$O3059=Справочники!$F$6,Учет!$H3059,0)</f>
        <v>0</v>
      </c>
      <c r="G3059" s="43">
        <f>G3058+Учет!B3059-B3059</f>
        <v>-488978.92000000004</v>
      </c>
      <c r="H3059" s="43">
        <f>H3058+Учет!C3059-C3059</f>
        <v>336855</v>
      </c>
      <c r="I3059" s="43">
        <f>I3058+Учет!D3059-D3059</f>
        <v>500</v>
      </c>
      <c r="J3059" s="43">
        <f>J3058+Учет!E3059-E3059</f>
        <v>1150</v>
      </c>
      <c r="K3059" s="43">
        <f>K3058+Учет!F3059-F3059</f>
        <v>500000</v>
      </c>
      <c r="L3059" s="45">
        <f>Учет!I3059</f>
        <v>349526.07999999996</v>
      </c>
    </row>
    <row r="3060" spans="1:12" x14ac:dyDescent="0.25">
      <c r="A3060" s="48" t="str">
        <f>IF(Учет!A3060&lt;&gt;"",Учет!A3060,"")</f>
        <v/>
      </c>
      <c r="B3060" s="52">
        <f>IF(Учет!$O3060=Справочники!$F$2,Учет!$H3060,0)</f>
        <v>0</v>
      </c>
      <c r="C3060" s="52">
        <f>IF(Учет!$O3060=Справочники!$F$3,Учет!$H3060,0)</f>
        <v>0</v>
      </c>
      <c r="D3060" s="52">
        <f>IF(Учет!$O3060=Справочники!$F$4,Учет!$H3060,0)</f>
        <v>0</v>
      </c>
      <c r="E3060" s="52">
        <f>IF(Учет!$O3060=Справочники!$F$5,Учет!$H3060,0)</f>
        <v>0</v>
      </c>
      <c r="F3060" s="52">
        <f>IF(Учет!$O3060=Справочники!$F$6,Учет!$H3060,0)</f>
        <v>0</v>
      </c>
      <c r="G3060" s="43">
        <f>G3059+Учет!B3060-B3060</f>
        <v>-488978.92000000004</v>
      </c>
      <c r="H3060" s="43">
        <f>H3059+Учет!C3060-C3060</f>
        <v>336855</v>
      </c>
      <c r="I3060" s="43">
        <f>I3059+Учет!D3060-D3060</f>
        <v>500</v>
      </c>
      <c r="J3060" s="43">
        <f>J3059+Учет!E3060-E3060</f>
        <v>1150</v>
      </c>
      <c r="K3060" s="43">
        <f>K3059+Учет!F3060-F3060</f>
        <v>500000</v>
      </c>
      <c r="L3060" s="45">
        <f>Учет!I3060</f>
        <v>349526.07999999996</v>
      </c>
    </row>
    <row r="3061" spans="1:12" x14ac:dyDescent="0.25">
      <c r="A3061" s="48" t="str">
        <f>IF(Учет!A3061&lt;&gt;"",Учет!A3061,"")</f>
        <v/>
      </c>
      <c r="B3061" s="52">
        <f>IF(Учет!$O3061=Справочники!$F$2,Учет!$H3061,0)</f>
        <v>0</v>
      </c>
      <c r="C3061" s="52">
        <f>IF(Учет!$O3061=Справочники!$F$3,Учет!$H3061,0)</f>
        <v>0</v>
      </c>
      <c r="D3061" s="52">
        <f>IF(Учет!$O3061=Справочники!$F$4,Учет!$H3061,0)</f>
        <v>0</v>
      </c>
      <c r="E3061" s="52">
        <f>IF(Учет!$O3061=Справочники!$F$5,Учет!$H3061,0)</f>
        <v>0</v>
      </c>
      <c r="F3061" s="52">
        <f>IF(Учет!$O3061=Справочники!$F$6,Учет!$H3061,0)</f>
        <v>0</v>
      </c>
      <c r="G3061" s="43">
        <f>G3060+Учет!B3061-B3061</f>
        <v>-488978.92000000004</v>
      </c>
      <c r="H3061" s="43">
        <f>H3060+Учет!C3061-C3061</f>
        <v>336855</v>
      </c>
      <c r="I3061" s="43">
        <f>I3060+Учет!D3061-D3061</f>
        <v>500</v>
      </c>
      <c r="J3061" s="43">
        <f>J3060+Учет!E3061-E3061</f>
        <v>1150</v>
      </c>
      <c r="K3061" s="43">
        <f>K3060+Учет!F3061-F3061</f>
        <v>500000</v>
      </c>
      <c r="L3061" s="45">
        <f>Учет!I3061</f>
        <v>349526.07999999996</v>
      </c>
    </row>
    <row r="3062" spans="1:12" x14ac:dyDescent="0.25">
      <c r="A3062" s="48" t="str">
        <f>IF(Учет!A3062&lt;&gt;"",Учет!A3062,"")</f>
        <v/>
      </c>
      <c r="B3062" s="52">
        <f>IF(Учет!$O3062=Справочники!$F$2,Учет!$H3062,0)</f>
        <v>0</v>
      </c>
      <c r="C3062" s="52">
        <f>IF(Учет!$O3062=Справочники!$F$3,Учет!$H3062,0)</f>
        <v>0</v>
      </c>
      <c r="D3062" s="52">
        <f>IF(Учет!$O3062=Справочники!$F$4,Учет!$H3062,0)</f>
        <v>0</v>
      </c>
      <c r="E3062" s="52">
        <f>IF(Учет!$O3062=Справочники!$F$5,Учет!$H3062,0)</f>
        <v>0</v>
      </c>
      <c r="F3062" s="52">
        <f>IF(Учет!$O3062=Справочники!$F$6,Учет!$H3062,0)</f>
        <v>0</v>
      </c>
      <c r="G3062" s="43">
        <f>G3061+Учет!B3062-B3062</f>
        <v>-488978.92000000004</v>
      </c>
      <c r="H3062" s="43">
        <f>H3061+Учет!C3062-C3062</f>
        <v>336855</v>
      </c>
      <c r="I3062" s="43">
        <f>I3061+Учет!D3062-D3062</f>
        <v>500</v>
      </c>
      <c r="J3062" s="43">
        <f>J3061+Учет!E3062-E3062</f>
        <v>1150</v>
      </c>
      <c r="K3062" s="43">
        <f>K3061+Учет!F3062-F3062</f>
        <v>500000</v>
      </c>
      <c r="L3062" s="45">
        <f>Учет!I3062</f>
        <v>349526.07999999996</v>
      </c>
    </row>
    <row r="3063" spans="1:12" x14ac:dyDescent="0.25">
      <c r="A3063" s="48" t="str">
        <f>IF(Учет!A3063&lt;&gt;"",Учет!A3063,"")</f>
        <v/>
      </c>
      <c r="B3063" s="52">
        <f>IF(Учет!$O3063=Справочники!$F$2,Учет!$H3063,0)</f>
        <v>0</v>
      </c>
      <c r="C3063" s="52">
        <f>IF(Учет!$O3063=Справочники!$F$3,Учет!$H3063,0)</f>
        <v>0</v>
      </c>
      <c r="D3063" s="52">
        <f>IF(Учет!$O3063=Справочники!$F$4,Учет!$H3063,0)</f>
        <v>0</v>
      </c>
      <c r="E3063" s="52">
        <f>IF(Учет!$O3063=Справочники!$F$5,Учет!$H3063,0)</f>
        <v>0</v>
      </c>
      <c r="F3063" s="52">
        <f>IF(Учет!$O3063=Справочники!$F$6,Учет!$H3063,0)</f>
        <v>0</v>
      </c>
      <c r="G3063" s="43">
        <f>G3062+Учет!B3063-B3063</f>
        <v>-488978.92000000004</v>
      </c>
      <c r="H3063" s="43">
        <f>H3062+Учет!C3063-C3063</f>
        <v>336855</v>
      </c>
      <c r="I3063" s="43">
        <f>I3062+Учет!D3063-D3063</f>
        <v>500</v>
      </c>
      <c r="J3063" s="43">
        <f>J3062+Учет!E3063-E3063</f>
        <v>1150</v>
      </c>
      <c r="K3063" s="43">
        <f>K3062+Учет!F3063-F3063</f>
        <v>500000</v>
      </c>
      <c r="L3063" s="45">
        <f>Учет!I3063</f>
        <v>349526.07999999996</v>
      </c>
    </row>
    <row r="3064" spans="1:12" x14ac:dyDescent="0.25">
      <c r="A3064" s="48" t="str">
        <f>IF(Учет!A3064&lt;&gt;"",Учет!A3064,"")</f>
        <v/>
      </c>
      <c r="B3064" s="52">
        <f>IF(Учет!$O3064=Справочники!$F$2,Учет!$H3064,0)</f>
        <v>0</v>
      </c>
      <c r="C3064" s="52">
        <f>IF(Учет!$O3064=Справочники!$F$3,Учет!$H3064,0)</f>
        <v>0</v>
      </c>
      <c r="D3064" s="52">
        <f>IF(Учет!$O3064=Справочники!$F$4,Учет!$H3064,0)</f>
        <v>0</v>
      </c>
      <c r="E3064" s="52">
        <f>IF(Учет!$O3064=Справочники!$F$5,Учет!$H3064,0)</f>
        <v>0</v>
      </c>
      <c r="F3064" s="52">
        <f>IF(Учет!$O3064=Справочники!$F$6,Учет!$H3064,0)</f>
        <v>0</v>
      </c>
      <c r="G3064" s="43">
        <f>G3063+Учет!B3064-B3064</f>
        <v>-488978.92000000004</v>
      </c>
      <c r="H3064" s="43">
        <f>H3063+Учет!C3064-C3064</f>
        <v>336855</v>
      </c>
      <c r="I3064" s="43">
        <f>I3063+Учет!D3064-D3064</f>
        <v>500</v>
      </c>
      <c r="J3064" s="43">
        <f>J3063+Учет!E3064-E3064</f>
        <v>1150</v>
      </c>
      <c r="K3064" s="43">
        <f>K3063+Учет!F3064-F3064</f>
        <v>500000</v>
      </c>
      <c r="L3064" s="45">
        <f>Учет!I3064</f>
        <v>349526.07999999996</v>
      </c>
    </row>
    <row r="3065" spans="1:12" x14ac:dyDescent="0.25">
      <c r="A3065" s="48" t="str">
        <f>IF(Учет!A3065&lt;&gt;"",Учет!A3065,"")</f>
        <v/>
      </c>
      <c r="B3065" s="52">
        <f>IF(Учет!$O3065=Справочники!$F$2,Учет!$H3065,0)</f>
        <v>0</v>
      </c>
      <c r="C3065" s="52">
        <f>IF(Учет!$O3065=Справочники!$F$3,Учет!$H3065,0)</f>
        <v>0</v>
      </c>
      <c r="D3065" s="52">
        <f>IF(Учет!$O3065=Справочники!$F$4,Учет!$H3065,0)</f>
        <v>0</v>
      </c>
      <c r="E3065" s="52">
        <f>IF(Учет!$O3065=Справочники!$F$5,Учет!$H3065,0)</f>
        <v>0</v>
      </c>
      <c r="F3065" s="52">
        <f>IF(Учет!$O3065=Справочники!$F$6,Учет!$H3065,0)</f>
        <v>0</v>
      </c>
      <c r="G3065" s="43">
        <f>G3064+Учет!B3065-B3065</f>
        <v>-488978.92000000004</v>
      </c>
      <c r="H3065" s="43">
        <f>H3064+Учет!C3065-C3065</f>
        <v>336855</v>
      </c>
      <c r="I3065" s="43">
        <f>I3064+Учет!D3065-D3065</f>
        <v>500</v>
      </c>
      <c r="J3065" s="43">
        <f>J3064+Учет!E3065-E3065</f>
        <v>1150</v>
      </c>
      <c r="K3065" s="43">
        <f>K3064+Учет!F3065-F3065</f>
        <v>500000</v>
      </c>
      <c r="L3065" s="45">
        <f>Учет!I3065</f>
        <v>349526.07999999996</v>
      </c>
    </row>
    <row r="3066" spans="1:12" x14ac:dyDescent="0.25">
      <c r="A3066" s="48" t="str">
        <f>IF(Учет!A3066&lt;&gt;"",Учет!A3066,"")</f>
        <v/>
      </c>
      <c r="B3066" s="52">
        <f>IF(Учет!$O3066=Справочники!$F$2,Учет!$H3066,0)</f>
        <v>0</v>
      </c>
      <c r="C3066" s="52">
        <f>IF(Учет!$O3066=Справочники!$F$3,Учет!$H3066,0)</f>
        <v>0</v>
      </c>
      <c r="D3066" s="52">
        <f>IF(Учет!$O3066=Справочники!$F$4,Учет!$H3066,0)</f>
        <v>0</v>
      </c>
      <c r="E3066" s="52">
        <f>IF(Учет!$O3066=Справочники!$F$5,Учет!$H3066,0)</f>
        <v>0</v>
      </c>
      <c r="F3066" s="52">
        <f>IF(Учет!$O3066=Справочники!$F$6,Учет!$H3066,0)</f>
        <v>0</v>
      </c>
      <c r="G3066" s="43">
        <f>G3065+Учет!B3066-B3066</f>
        <v>-488978.92000000004</v>
      </c>
      <c r="H3066" s="43">
        <f>H3065+Учет!C3066-C3066</f>
        <v>336855</v>
      </c>
      <c r="I3066" s="43">
        <f>I3065+Учет!D3066-D3066</f>
        <v>500</v>
      </c>
      <c r="J3066" s="43">
        <f>J3065+Учет!E3066-E3066</f>
        <v>1150</v>
      </c>
      <c r="K3066" s="43">
        <f>K3065+Учет!F3066-F3066</f>
        <v>500000</v>
      </c>
      <c r="L3066" s="45">
        <f>Учет!I3066</f>
        <v>349526.07999999996</v>
      </c>
    </row>
    <row r="3067" spans="1:12" x14ac:dyDescent="0.25">
      <c r="A3067" s="48" t="str">
        <f>IF(Учет!A3067&lt;&gt;"",Учет!A3067,"")</f>
        <v/>
      </c>
      <c r="B3067" s="52">
        <f>IF(Учет!$O3067=Справочники!$F$2,Учет!$H3067,0)</f>
        <v>0</v>
      </c>
      <c r="C3067" s="52">
        <f>IF(Учет!$O3067=Справочники!$F$3,Учет!$H3067,0)</f>
        <v>0</v>
      </c>
      <c r="D3067" s="52">
        <f>IF(Учет!$O3067=Справочники!$F$4,Учет!$H3067,0)</f>
        <v>0</v>
      </c>
      <c r="E3067" s="52">
        <f>IF(Учет!$O3067=Справочники!$F$5,Учет!$H3067,0)</f>
        <v>0</v>
      </c>
      <c r="F3067" s="52">
        <f>IF(Учет!$O3067=Справочники!$F$6,Учет!$H3067,0)</f>
        <v>0</v>
      </c>
      <c r="G3067" s="43">
        <f>G3066+Учет!B3067-B3067</f>
        <v>-488978.92000000004</v>
      </c>
      <c r="H3067" s="43">
        <f>H3066+Учет!C3067-C3067</f>
        <v>336855</v>
      </c>
      <c r="I3067" s="43">
        <f>I3066+Учет!D3067-D3067</f>
        <v>500</v>
      </c>
      <c r="J3067" s="43">
        <f>J3066+Учет!E3067-E3067</f>
        <v>1150</v>
      </c>
      <c r="K3067" s="43">
        <f>K3066+Учет!F3067-F3067</f>
        <v>500000</v>
      </c>
      <c r="L3067" s="45">
        <f>Учет!I3067</f>
        <v>349526.07999999996</v>
      </c>
    </row>
    <row r="3068" spans="1:12" x14ac:dyDescent="0.25">
      <c r="A3068" s="48" t="str">
        <f>IF(Учет!A3068&lt;&gt;"",Учет!A3068,"")</f>
        <v/>
      </c>
      <c r="B3068" s="52">
        <f>IF(Учет!$O3068=Справочники!$F$2,Учет!$H3068,0)</f>
        <v>0</v>
      </c>
      <c r="C3068" s="52">
        <f>IF(Учет!$O3068=Справочники!$F$3,Учет!$H3068,0)</f>
        <v>0</v>
      </c>
      <c r="D3068" s="52">
        <f>IF(Учет!$O3068=Справочники!$F$4,Учет!$H3068,0)</f>
        <v>0</v>
      </c>
      <c r="E3068" s="52">
        <f>IF(Учет!$O3068=Справочники!$F$5,Учет!$H3068,0)</f>
        <v>0</v>
      </c>
      <c r="F3068" s="52">
        <f>IF(Учет!$O3068=Справочники!$F$6,Учет!$H3068,0)</f>
        <v>0</v>
      </c>
      <c r="G3068" s="43">
        <f>G3067+Учет!B3068-B3068</f>
        <v>-488978.92000000004</v>
      </c>
      <c r="H3068" s="43">
        <f>H3067+Учет!C3068-C3068</f>
        <v>336855</v>
      </c>
      <c r="I3068" s="43">
        <f>I3067+Учет!D3068-D3068</f>
        <v>500</v>
      </c>
      <c r="J3068" s="43">
        <f>J3067+Учет!E3068-E3068</f>
        <v>1150</v>
      </c>
      <c r="K3068" s="43">
        <f>K3067+Учет!F3068-F3068</f>
        <v>500000</v>
      </c>
      <c r="L3068" s="45">
        <f>Учет!I3068</f>
        <v>349526.07999999996</v>
      </c>
    </row>
    <row r="3069" spans="1:12" x14ac:dyDescent="0.25">
      <c r="A3069" s="48" t="str">
        <f>IF(Учет!A3069&lt;&gt;"",Учет!A3069,"")</f>
        <v/>
      </c>
      <c r="B3069" s="52">
        <f>IF(Учет!$O3069=Справочники!$F$2,Учет!$H3069,0)</f>
        <v>0</v>
      </c>
      <c r="C3069" s="52">
        <f>IF(Учет!$O3069=Справочники!$F$3,Учет!$H3069,0)</f>
        <v>0</v>
      </c>
      <c r="D3069" s="52">
        <f>IF(Учет!$O3069=Справочники!$F$4,Учет!$H3069,0)</f>
        <v>0</v>
      </c>
      <c r="E3069" s="52">
        <f>IF(Учет!$O3069=Справочники!$F$5,Учет!$H3069,0)</f>
        <v>0</v>
      </c>
      <c r="F3069" s="52">
        <f>IF(Учет!$O3069=Справочники!$F$6,Учет!$H3069,0)</f>
        <v>0</v>
      </c>
      <c r="G3069" s="43">
        <f>G3068+Учет!B3069-B3069</f>
        <v>-488978.92000000004</v>
      </c>
      <c r="H3069" s="43">
        <f>H3068+Учет!C3069-C3069</f>
        <v>336855</v>
      </c>
      <c r="I3069" s="43">
        <f>I3068+Учет!D3069-D3069</f>
        <v>500</v>
      </c>
      <c r="J3069" s="43">
        <f>J3068+Учет!E3069-E3069</f>
        <v>1150</v>
      </c>
      <c r="K3069" s="43">
        <f>K3068+Учет!F3069-F3069</f>
        <v>500000</v>
      </c>
      <c r="L3069" s="45">
        <f>Учет!I3069</f>
        <v>349526.07999999996</v>
      </c>
    </row>
    <row r="3070" spans="1:12" x14ac:dyDescent="0.25">
      <c r="A3070" s="48" t="str">
        <f>IF(Учет!A3070&lt;&gt;"",Учет!A3070,"")</f>
        <v/>
      </c>
      <c r="B3070" s="52">
        <f>IF(Учет!$O3070=Справочники!$F$2,Учет!$H3070,0)</f>
        <v>0</v>
      </c>
      <c r="C3070" s="52">
        <f>IF(Учет!$O3070=Справочники!$F$3,Учет!$H3070,0)</f>
        <v>0</v>
      </c>
      <c r="D3070" s="52">
        <f>IF(Учет!$O3070=Справочники!$F$4,Учет!$H3070,0)</f>
        <v>0</v>
      </c>
      <c r="E3070" s="52">
        <f>IF(Учет!$O3070=Справочники!$F$5,Учет!$H3070,0)</f>
        <v>0</v>
      </c>
      <c r="F3070" s="52">
        <f>IF(Учет!$O3070=Справочники!$F$6,Учет!$H3070,0)</f>
        <v>0</v>
      </c>
      <c r="G3070" s="43">
        <f>G3069+Учет!B3070-B3070</f>
        <v>-488978.92000000004</v>
      </c>
      <c r="H3070" s="43">
        <f>H3069+Учет!C3070-C3070</f>
        <v>336855</v>
      </c>
      <c r="I3070" s="43">
        <f>I3069+Учет!D3070-D3070</f>
        <v>500</v>
      </c>
      <c r="J3070" s="43">
        <f>J3069+Учет!E3070-E3070</f>
        <v>1150</v>
      </c>
      <c r="K3070" s="43">
        <f>K3069+Учет!F3070-F3070</f>
        <v>500000</v>
      </c>
      <c r="L3070" s="45">
        <f>Учет!I3070</f>
        <v>349526.07999999996</v>
      </c>
    </row>
    <row r="3071" spans="1:12" x14ac:dyDescent="0.25">
      <c r="A3071" s="48" t="str">
        <f>IF(Учет!A3071&lt;&gt;"",Учет!A3071,"")</f>
        <v/>
      </c>
      <c r="B3071" s="52">
        <f>IF(Учет!$O3071=Справочники!$F$2,Учет!$H3071,0)</f>
        <v>0</v>
      </c>
      <c r="C3071" s="52">
        <f>IF(Учет!$O3071=Справочники!$F$3,Учет!$H3071,0)</f>
        <v>0</v>
      </c>
      <c r="D3071" s="52">
        <f>IF(Учет!$O3071=Справочники!$F$4,Учет!$H3071,0)</f>
        <v>0</v>
      </c>
      <c r="E3071" s="52">
        <f>IF(Учет!$O3071=Справочники!$F$5,Учет!$H3071,0)</f>
        <v>0</v>
      </c>
      <c r="F3071" s="52">
        <f>IF(Учет!$O3071=Справочники!$F$6,Учет!$H3071,0)</f>
        <v>0</v>
      </c>
      <c r="G3071" s="43">
        <f>G3070+Учет!B3071-B3071</f>
        <v>-488978.92000000004</v>
      </c>
      <c r="H3071" s="43">
        <f>H3070+Учет!C3071-C3071</f>
        <v>336855</v>
      </c>
      <c r="I3071" s="43">
        <f>I3070+Учет!D3071-D3071</f>
        <v>500</v>
      </c>
      <c r="J3071" s="43">
        <f>J3070+Учет!E3071-E3071</f>
        <v>1150</v>
      </c>
      <c r="K3071" s="43">
        <f>K3070+Учет!F3071-F3071</f>
        <v>500000</v>
      </c>
      <c r="L3071" s="45">
        <f>Учет!I3071</f>
        <v>349526.07999999996</v>
      </c>
    </row>
    <row r="3072" spans="1:12" x14ac:dyDescent="0.25">
      <c r="A3072" s="48" t="str">
        <f>IF(Учет!A3072&lt;&gt;"",Учет!A3072,"")</f>
        <v/>
      </c>
      <c r="B3072" s="52">
        <f>IF(Учет!$O3072=Справочники!$F$2,Учет!$H3072,0)</f>
        <v>0</v>
      </c>
      <c r="C3072" s="52">
        <f>IF(Учет!$O3072=Справочники!$F$3,Учет!$H3072,0)</f>
        <v>0</v>
      </c>
      <c r="D3072" s="52">
        <f>IF(Учет!$O3072=Справочники!$F$4,Учет!$H3072,0)</f>
        <v>0</v>
      </c>
      <c r="E3072" s="52">
        <f>IF(Учет!$O3072=Справочники!$F$5,Учет!$H3072,0)</f>
        <v>0</v>
      </c>
      <c r="F3072" s="52">
        <f>IF(Учет!$O3072=Справочники!$F$6,Учет!$H3072,0)</f>
        <v>0</v>
      </c>
      <c r="G3072" s="43">
        <f>G3071+Учет!B3072-B3072</f>
        <v>-488978.92000000004</v>
      </c>
      <c r="H3072" s="43">
        <f>H3071+Учет!C3072-C3072</f>
        <v>336855</v>
      </c>
      <c r="I3072" s="43">
        <f>I3071+Учет!D3072-D3072</f>
        <v>500</v>
      </c>
      <c r="J3072" s="43">
        <f>J3071+Учет!E3072-E3072</f>
        <v>1150</v>
      </c>
      <c r="K3072" s="43">
        <f>K3071+Учет!F3072-F3072</f>
        <v>500000</v>
      </c>
      <c r="L3072" s="45">
        <f>Учет!I3072</f>
        <v>349526.07999999996</v>
      </c>
    </row>
    <row r="3073" spans="1:12" x14ac:dyDescent="0.25">
      <c r="A3073" s="48" t="str">
        <f>IF(Учет!A3073&lt;&gt;"",Учет!A3073,"")</f>
        <v/>
      </c>
      <c r="B3073" s="52">
        <f>IF(Учет!$O3073=Справочники!$F$2,Учет!$H3073,0)</f>
        <v>0</v>
      </c>
      <c r="C3073" s="52">
        <f>IF(Учет!$O3073=Справочники!$F$3,Учет!$H3073,0)</f>
        <v>0</v>
      </c>
      <c r="D3073" s="52">
        <f>IF(Учет!$O3073=Справочники!$F$4,Учет!$H3073,0)</f>
        <v>0</v>
      </c>
      <c r="E3073" s="52">
        <f>IF(Учет!$O3073=Справочники!$F$5,Учет!$H3073,0)</f>
        <v>0</v>
      </c>
      <c r="F3073" s="52">
        <f>IF(Учет!$O3073=Справочники!$F$6,Учет!$H3073,0)</f>
        <v>0</v>
      </c>
      <c r="G3073" s="43">
        <f>G3072+Учет!B3073-B3073</f>
        <v>-488978.92000000004</v>
      </c>
      <c r="H3073" s="43">
        <f>H3072+Учет!C3073-C3073</f>
        <v>336855</v>
      </c>
      <c r="I3073" s="43">
        <f>I3072+Учет!D3073-D3073</f>
        <v>500</v>
      </c>
      <c r="J3073" s="43">
        <f>J3072+Учет!E3073-E3073</f>
        <v>1150</v>
      </c>
      <c r="K3073" s="43">
        <f>K3072+Учет!F3073-F3073</f>
        <v>500000</v>
      </c>
      <c r="L3073" s="45">
        <f>Учет!I3073</f>
        <v>349526.07999999996</v>
      </c>
    </row>
    <row r="3074" spans="1:12" x14ac:dyDescent="0.25">
      <c r="A3074" s="48" t="str">
        <f>IF(Учет!A3074&lt;&gt;"",Учет!A3074,"")</f>
        <v/>
      </c>
      <c r="B3074" s="52">
        <f>IF(Учет!$O3074=Справочники!$F$2,Учет!$H3074,0)</f>
        <v>0</v>
      </c>
      <c r="C3074" s="52">
        <f>IF(Учет!$O3074=Справочники!$F$3,Учет!$H3074,0)</f>
        <v>0</v>
      </c>
      <c r="D3074" s="52">
        <f>IF(Учет!$O3074=Справочники!$F$4,Учет!$H3074,0)</f>
        <v>0</v>
      </c>
      <c r="E3074" s="52">
        <f>IF(Учет!$O3074=Справочники!$F$5,Учет!$H3074,0)</f>
        <v>0</v>
      </c>
      <c r="F3074" s="52">
        <f>IF(Учет!$O3074=Справочники!$F$6,Учет!$H3074,0)</f>
        <v>0</v>
      </c>
      <c r="G3074" s="43">
        <f>G3073+Учет!B3074-B3074</f>
        <v>-488978.92000000004</v>
      </c>
      <c r="H3074" s="43">
        <f>H3073+Учет!C3074-C3074</f>
        <v>336855</v>
      </c>
      <c r="I3074" s="43">
        <f>I3073+Учет!D3074-D3074</f>
        <v>500</v>
      </c>
      <c r="J3074" s="43">
        <f>J3073+Учет!E3074-E3074</f>
        <v>1150</v>
      </c>
      <c r="K3074" s="43">
        <f>K3073+Учет!F3074-F3074</f>
        <v>500000</v>
      </c>
      <c r="L3074" s="45">
        <f>Учет!I3074</f>
        <v>349526.07999999996</v>
      </c>
    </row>
    <row r="3075" spans="1:12" x14ac:dyDescent="0.25">
      <c r="A3075" s="48" t="str">
        <f>IF(Учет!A3075&lt;&gt;"",Учет!A3075,"")</f>
        <v/>
      </c>
      <c r="B3075" s="52">
        <f>IF(Учет!$O3075=Справочники!$F$2,Учет!$H3075,0)</f>
        <v>0</v>
      </c>
      <c r="C3075" s="52">
        <f>IF(Учет!$O3075=Справочники!$F$3,Учет!$H3075,0)</f>
        <v>0</v>
      </c>
      <c r="D3075" s="52">
        <f>IF(Учет!$O3075=Справочники!$F$4,Учет!$H3075,0)</f>
        <v>0</v>
      </c>
      <c r="E3075" s="52">
        <f>IF(Учет!$O3075=Справочники!$F$5,Учет!$H3075,0)</f>
        <v>0</v>
      </c>
      <c r="F3075" s="52">
        <f>IF(Учет!$O3075=Справочники!$F$6,Учет!$H3075,0)</f>
        <v>0</v>
      </c>
      <c r="G3075" s="43">
        <f>G3074+Учет!B3075-B3075</f>
        <v>-488978.92000000004</v>
      </c>
      <c r="H3075" s="43">
        <f>H3074+Учет!C3075-C3075</f>
        <v>336855</v>
      </c>
      <c r="I3075" s="43">
        <f>I3074+Учет!D3075-D3075</f>
        <v>500</v>
      </c>
      <c r="J3075" s="43">
        <f>J3074+Учет!E3075-E3075</f>
        <v>1150</v>
      </c>
      <c r="K3075" s="43">
        <f>K3074+Учет!F3075-F3075</f>
        <v>500000</v>
      </c>
      <c r="L3075" s="45">
        <f>Учет!I3075</f>
        <v>349526.07999999996</v>
      </c>
    </row>
    <row r="3076" spans="1:12" x14ac:dyDescent="0.25">
      <c r="A3076" s="48" t="str">
        <f>IF(Учет!A3076&lt;&gt;"",Учет!A3076,"")</f>
        <v/>
      </c>
      <c r="B3076" s="52">
        <f>IF(Учет!$O3076=Справочники!$F$2,Учет!$H3076,0)</f>
        <v>0</v>
      </c>
      <c r="C3076" s="52">
        <f>IF(Учет!$O3076=Справочники!$F$3,Учет!$H3076,0)</f>
        <v>0</v>
      </c>
      <c r="D3076" s="52">
        <f>IF(Учет!$O3076=Справочники!$F$4,Учет!$H3076,0)</f>
        <v>0</v>
      </c>
      <c r="E3076" s="52">
        <f>IF(Учет!$O3076=Справочники!$F$5,Учет!$H3076,0)</f>
        <v>0</v>
      </c>
      <c r="F3076" s="52">
        <f>IF(Учет!$O3076=Справочники!$F$6,Учет!$H3076,0)</f>
        <v>0</v>
      </c>
      <c r="G3076" s="43">
        <f>G3075+Учет!B3076-B3076</f>
        <v>-488978.92000000004</v>
      </c>
      <c r="H3076" s="43">
        <f>H3075+Учет!C3076-C3076</f>
        <v>336855</v>
      </c>
      <c r="I3076" s="43">
        <f>I3075+Учет!D3076-D3076</f>
        <v>500</v>
      </c>
      <c r="J3076" s="43">
        <f>J3075+Учет!E3076-E3076</f>
        <v>1150</v>
      </c>
      <c r="K3076" s="43">
        <f>K3075+Учет!F3076-F3076</f>
        <v>500000</v>
      </c>
      <c r="L3076" s="45">
        <f>Учет!I3076</f>
        <v>349526.07999999996</v>
      </c>
    </row>
    <row r="3077" spans="1:12" x14ac:dyDescent="0.25">
      <c r="A3077" s="48" t="str">
        <f>IF(Учет!A3077&lt;&gt;"",Учет!A3077,"")</f>
        <v/>
      </c>
      <c r="B3077" s="52">
        <f>IF(Учет!$O3077=Справочники!$F$2,Учет!$H3077,0)</f>
        <v>0</v>
      </c>
      <c r="C3077" s="52">
        <f>IF(Учет!$O3077=Справочники!$F$3,Учет!$H3077,0)</f>
        <v>0</v>
      </c>
      <c r="D3077" s="52">
        <f>IF(Учет!$O3077=Справочники!$F$4,Учет!$H3077,0)</f>
        <v>0</v>
      </c>
      <c r="E3077" s="52">
        <f>IF(Учет!$O3077=Справочники!$F$5,Учет!$H3077,0)</f>
        <v>0</v>
      </c>
      <c r="F3077" s="52">
        <f>IF(Учет!$O3077=Справочники!$F$6,Учет!$H3077,0)</f>
        <v>0</v>
      </c>
      <c r="G3077" s="43">
        <f>G3076+Учет!B3077-B3077</f>
        <v>-488978.92000000004</v>
      </c>
      <c r="H3077" s="43">
        <f>H3076+Учет!C3077-C3077</f>
        <v>336855</v>
      </c>
      <c r="I3077" s="43">
        <f>I3076+Учет!D3077-D3077</f>
        <v>500</v>
      </c>
      <c r="J3077" s="43">
        <f>J3076+Учет!E3077-E3077</f>
        <v>1150</v>
      </c>
      <c r="K3077" s="43">
        <f>K3076+Учет!F3077-F3077</f>
        <v>500000</v>
      </c>
      <c r="L3077" s="45">
        <f>Учет!I3077</f>
        <v>349526.07999999996</v>
      </c>
    </row>
    <row r="3078" spans="1:12" x14ac:dyDescent="0.25">
      <c r="A3078" s="48" t="str">
        <f>IF(Учет!A3078&lt;&gt;"",Учет!A3078,"")</f>
        <v/>
      </c>
      <c r="B3078" s="52">
        <f>IF(Учет!$O3078=Справочники!$F$2,Учет!$H3078,0)</f>
        <v>0</v>
      </c>
      <c r="C3078" s="52">
        <f>IF(Учет!$O3078=Справочники!$F$3,Учет!$H3078,0)</f>
        <v>0</v>
      </c>
      <c r="D3078" s="52">
        <f>IF(Учет!$O3078=Справочники!$F$4,Учет!$H3078,0)</f>
        <v>0</v>
      </c>
      <c r="E3078" s="52">
        <f>IF(Учет!$O3078=Справочники!$F$5,Учет!$H3078,0)</f>
        <v>0</v>
      </c>
      <c r="F3078" s="52">
        <f>IF(Учет!$O3078=Справочники!$F$6,Учет!$H3078,0)</f>
        <v>0</v>
      </c>
      <c r="G3078" s="43">
        <f>G3077+Учет!B3078-B3078</f>
        <v>-488978.92000000004</v>
      </c>
      <c r="H3078" s="43">
        <f>H3077+Учет!C3078-C3078</f>
        <v>336855</v>
      </c>
      <c r="I3078" s="43">
        <f>I3077+Учет!D3078-D3078</f>
        <v>500</v>
      </c>
      <c r="J3078" s="43">
        <f>J3077+Учет!E3078-E3078</f>
        <v>1150</v>
      </c>
      <c r="K3078" s="43">
        <f>K3077+Учет!F3078-F3078</f>
        <v>500000</v>
      </c>
      <c r="L3078" s="45">
        <f>Учет!I3078</f>
        <v>349526.07999999996</v>
      </c>
    </row>
    <row r="3079" spans="1:12" x14ac:dyDescent="0.25">
      <c r="A3079" s="48" t="str">
        <f>IF(Учет!A3079&lt;&gt;"",Учет!A3079,"")</f>
        <v/>
      </c>
      <c r="B3079" s="52">
        <f>IF(Учет!$O3079=Справочники!$F$2,Учет!$H3079,0)</f>
        <v>0</v>
      </c>
      <c r="C3079" s="52">
        <f>IF(Учет!$O3079=Справочники!$F$3,Учет!$H3079,0)</f>
        <v>0</v>
      </c>
      <c r="D3079" s="52">
        <f>IF(Учет!$O3079=Справочники!$F$4,Учет!$H3079,0)</f>
        <v>0</v>
      </c>
      <c r="E3079" s="52">
        <f>IF(Учет!$O3079=Справочники!$F$5,Учет!$H3079,0)</f>
        <v>0</v>
      </c>
      <c r="F3079" s="52">
        <f>IF(Учет!$O3079=Справочники!$F$6,Учет!$H3079,0)</f>
        <v>0</v>
      </c>
      <c r="G3079" s="43">
        <f>G3078+Учет!B3079-B3079</f>
        <v>-488978.92000000004</v>
      </c>
      <c r="H3079" s="43">
        <f>H3078+Учет!C3079-C3079</f>
        <v>336855</v>
      </c>
      <c r="I3079" s="43">
        <f>I3078+Учет!D3079-D3079</f>
        <v>500</v>
      </c>
      <c r="J3079" s="43">
        <f>J3078+Учет!E3079-E3079</f>
        <v>1150</v>
      </c>
      <c r="K3079" s="43">
        <f>K3078+Учет!F3079-F3079</f>
        <v>500000</v>
      </c>
      <c r="L3079" s="45">
        <f>Учет!I3079</f>
        <v>349526.07999999996</v>
      </c>
    </row>
    <row r="3080" spans="1:12" x14ac:dyDescent="0.25">
      <c r="A3080" s="48" t="str">
        <f>IF(Учет!A3080&lt;&gt;"",Учет!A3080,"")</f>
        <v/>
      </c>
      <c r="B3080" s="52">
        <f>IF(Учет!$O3080=Справочники!$F$2,Учет!$H3080,0)</f>
        <v>0</v>
      </c>
      <c r="C3080" s="52">
        <f>IF(Учет!$O3080=Справочники!$F$3,Учет!$H3080,0)</f>
        <v>0</v>
      </c>
      <c r="D3080" s="52">
        <f>IF(Учет!$O3080=Справочники!$F$4,Учет!$H3080,0)</f>
        <v>0</v>
      </c>
      <c r="E3080" s="52">
        <f>IF(Учет!$O3080=Справочники!$F$5,Учет!$H3080,0)</f>
        <v>0</v>
      </c>
      <c r="F3080" s="52">
        <f>IF(Учет!$O3080=Справочники!$F$6,Учет!$H3080,0)</f>
        <v>0</v>
      </c>
      <c r="G3080" s="43">
        <f>G3079+Учет!B3080-B3080</f>
        <v>-488978.92000000004</v>
      </c>
      <c r="H3080" s="43">
        <f>H3079+Учет!C3080-C3080</f>
        <v>336855</v>
      </c>
      <c r="I3080" s="43">
        <f>I3079+Учет!D3080-D3080</f>
        <v>500</v>
      </c>
      <c r="J3080" s="43">
        <f>J3079+Учет!E3080-E3080</f>
        <v>1150</v>
      </c>
      <c r="K3080" s="43">
        <f>K3079+Учет!F3080-F3080</f>
        <v>500000</v>
      </c>
      <c r="L3080" s="45">
        <f>Учет!I3080</f>
        <v>349526.07999999996</v>
      </c>
    </row>
    <row r="3081" spans="1:12" x14ac:dyDescent="0.25">
      <c r="A3081" s="48" t="str">
        <f>IF(Учет!A3081&lt;&gt;"",Учет!A3081,"")</f>
        <v/>
      </c>
      <c r="B3081" s="52">
        <f>IF(Учет!$O3081=Справочники!$F$2,Учет!$H3081,0)</f>
        <v>0</v>
      </c>
      <c r="C3081" s="52">
        <f>IF(Учет!$O3081=Справочники!$F$3,Учет!$H3081,0)</f>
        <v>0</v>
      </c>
      <c r="D3081" s="52">
        <f>IF(Учет!$O3081=Справочники!$F$4,Учет!$H3081,0)</f>
        <v>0</v>
      </c>
      <c r="E3081" s="52">
        <f>IF(Учет!$O3081=Справочники!$F$5,Учет!$H3081,0)</f>
        <v>0</v>
      </c>
      <c r="F3081" s="52">
        <f>IF(Учет!$O3081=Справочники!$F$6,Учет!$H3081,0)</f>
        <v>0</v>
      </c>
      <c r="G3081" s="43">
        <f>G3080+Учет!B3081-B3081</f>
        <v>-488978.92000000004</v>
      </c>
      <c r="H3081" s="43">
        <f>H3080+Учет!C3081-C3081</f>
        <v>336855</v>
      </c>
      <c r="I3081" s="43">
        <f>I3080+Учет!D3081-D3081</f>
        <v>500</v>
      </c>
      <c r="J3081" s="43">
        <f>J3080+Учет!E3081-E3081</f>
        <v>1150</v>
      </c>
      <c r="K3081" s="43">
        <f>K3080+Учет!F3081-F3081</f>
        <v>500000</v>
      </c>
      <c r="L3081" s="45">
        <f>Учет!I3081</f>
        <v>349526.07999999996</v>
      </c>
    </row>
    <row r="3082" spans="1:12" x14ac:dyDescent="0.25">
      <c r="A3082" s="48" t="str">
        <f>IF(Учет!A3082&lt;&gt;"",Учет!A3082,"")</f>
        <v/>
      </c>
      <c r="B3082" s="52">
        <f>IF(Учет!$O3082=Справочники!$F$2,Учет!$H3082,0)</f>
        <v>0</v>
      </c>
      <c r="C3082" s="52">
        <f>IF(Учет!$O3082=Справочники!$F$3,Учет!$H3082,0)</f>
        <v>0</v>
      </c>
      <c r="D3082" s="52">
        <f>IF(Учет!$O3082=Справочники!$F$4,Учет!$H3082,0)</f>
        <v>0</v>
      </c>
      <c r="E3082" s="52">
        <f>IF(Учет!$O3082=Справочники!$F$5,Учет!$H3082,0)</f>
        <v>0</v>
      </c>
      <c r="F3082" s="52">
        <f>IF(Учет!$O3082=Справочники!$F$6,Учет!$H3082,0)</f>
        <v>0</v>
      </c>
      <c r="G3082" s="43">
        <f>G3081+Учет!B3082-B3082</f>
        <v>-488978.92000000004</v>
      </c>
      <c r="H3082" s="43">
        <f>H3081+Учет!C3082-C3082</f>
        <v>336855</v>
      </c>
      <c r="I3082" s="43">
        <f>I3081+Учет!D3082-D3082</f>
        <v>500</v>
      </c>
      <c r="J3082" s="43">
        <f>J3081+Учет!E3082-E3082</f>
        <v>1150</v>
      </c>
      <c r="K3082" s="43">
        <f>K3081+Учет!F3082-F3082</f>
        <v>500000</v>
      </c>
      <c r="L3082" s="45">
        <f>Учет!I3082</f>
        <v>349526.07999999996</v>
      </c>
    </row>
    <row r="3083" spans="1:12" x14ac:dyDescent="0.25">
      <c r="A3083" s="48" t="str">
        <f>IF(Учет!A3083&lt;&gt;"",Учет!A3083,"")</f>
        <v/>
      </c>
      <c r="B3083" s="52">
        <f>IF(Учет!$O3083=Справочники!$F$2,Учет!$H3083,0)</f>
        <v>0</v>
      </c>
      <c r="C3083" s="52">
        <f>IF(Учет!$O3083=Справочники!$F$3,Учет!$H3083,0)</f>
        <v>0</v>
      </c>
      <c r="D3083" s="52">
        <f>IF(Учет!$O3083=Справочники!$F$4,Учет!$H3083,0)</f>
        <v>0</v>
      </c>
      <c r="E3083" s="52">
        <f>IF(Учет!$O3083=Справочники!$F$5,Учет!$H3083,0)</f>
        <v>0</v>
      </c>
      <c r="F3083" s="52">
        <f>IF(Учет!$O3083=Справочники!$F$6,Учет!$H3083,0)</f>
        <v>0</v>
      </c>
      <c r="G3083" s="43">
        <f>G3082+Учет!B3083-B3083</f>
        <v>-488978.92000000004</v>
      </c>
      <c r="H3083" s="43">
        <f>H3082+Учет!C3083-C3083</f>
        <v>336855</v>
      </c>
      <c r="I3083" s="43">
        <f>I3082+Учет!D3083-D3083</f>
        <v>500</v>
      </c>
      <c r="J3083" s="43">
        <f>J3082+Учет!E3083-E3083</f>
        <v>1150</v>
      </c>
      <c r="K3083" s="43">
        <f>K3082+Учет!F3083-F3083</f>
        <v>500000</v>
      </c>
      <c r="L3083" s="45">
        <f>Учет!I3083</f>
        <v>349526.07999999996</v>
      </c>
    </row>
    <row r="3084" spans="1:12" x14ac:dyDescent="0.25">
      <c r="A3084" s="48" t="str">
        <f>IF(Учет!A3084&lt;&gt;"",Учет!A3084,"")</f>
        <v/>
      </c>
      <c r="B3084" s="52">
        <f>IF(Учет!$O3084=Справочники!$F$2,Учет!$H3084,0)</f>
        <v>0</v>
      </c>
      <c r="C3084" s="52">
        <f>IF(Учет!$O3084=Справочники!$F$3,Учет!$H3084,0)</f>
        <v>0</v>
      </c>
      <c r="D3084" s="52">
        <f>IF(Учет!$O3084=Справочники!$F$4,Учет!$H3084,0)</f>
        <v>0</v>
      </c>
      <c r="E3084" s="52">
        <f>IF(Учет!$O3084=Справочники!$F$5,Учет!$H3084,0)</f>
        <v>0</v>
      </c>
      <c r="F3084" s="52">
        <f>IF(Учет!$O3084=Справочники!$F$6,Учет!$H3084,0)</f>
        <v>0</v>
      </c>
      <c r="G3084" s="43">
        <f>G3083+Учет!B3084-B3084</f>
        <v>-488978.92000000004</v>
      </c>
      <c r="H3084" s="43">
        <f>H3083+Учет!C3084-C3084</f>
        <v>336855</v>
      </c>
      <c r="I3084" s="43">
        <f>I3083+Учет!D3084-D3084</f>
        <v>500</v>
      </c>
      <c r="J3084" s="43">
        <f>J3083+Учет!E3084-E3084</f>
        <v>1150</v>
      </c>
      <c r="K3084" s="43">
        <f>K3083+Учет!F3084-F3084</f>
        <v>500000</v>
      </c>
      <c r="L3084" s="45">
        <f>Учет!I3084</f>
        <v>349526.07999999996</v>
      </c>
    </row>
    <row r="3085" spans="1:12" x14ac:dyDescent="0.25">
      <c r="A3085" s="48" t="str">
        <f>IF(Учет!A3085&lt;&gt;"",Учет!A3085,"")</f>
        <v/>
      </c>
      <c r="B3085" s="52">
        <f>IF(Учет!$O3085=Справочники!$F$2,Учет!$H3085,0)</f>
        <v>0</v>
      </c>
      <c r="C3085" s="52">
        <f>IF(Учет!$O3085=Справочники!$F$3,Учет!$H3085,0)</f>
        <v>0</v>
      </c>
      <c r="D3085" s="52">
        <f>IF(Учет!$O3085=Справочники!$F$4,Учет!$H3085,0)</f>
        <v>0</v>
      </c>
      <c r="E3085" s="52">
        <f>IF(Учет!$O3085=Справочники!$F$5,Учет!$H3085,0)</f>
        <v>0</v>
      </c>
      <c r="F3085" s="52">
        <f>IF(Учет!$O3085=Справочники!$F$6,Учет!$H3085,0)</f>
        <v>0</v>
      </c>
      <c r="G3085" s="43">
        <f>G3084+Учет!B3085-B3085</f>
        <v>-488978.92000000004</v>
      </c>
      <c r="H3085" s="43">
        <f>H3084+Учет!C3085-C3085</f>
        <v>336855</v>
      </c>
      <c r="I3085" s="43">
        <f>I3084+Учет!D3085-D3085</f>
        <v>500</v>
      </c>
      <c r="J3085" s="43">
        <f>J3084+Учет!E3085-E3085</f>
        <v>1150</v>
      </c>
      <c r="K3085" s="43">
        <f>K3084+Учет!F3085-F3085</f>
        <v>500000</v>
      </c>
      <c r="L3085" s="45">
        <f>Учет!I3085</f>
        <v>349526.07999999996</v>
      </c>
    </row>
    <row r="3086" spans="1:12" x14ac:dyDescent="0.25">
      <c r="A3086" s="48" t="str">
        <f>IF(Учет!A3086&lt;&gt;"",Учет!A3086,"")</f>
        <v/>
      </c>
      <c r="B3086" s="52">
        <f>IF(Учет!$O3086=Справочники!$F$2,Учет!$H3086,0)</f>
        <v>0</v>
      </c>
      <c r="C3086" s="52">
        <f>IF(Учет!$O3086=Справочники!$F$3,Учет!$H3086,0)</f>
        <v>0</v>
      </c>
      <c r="D3086" s="52">
        <f>IF(Учет!$O3086=Справочники!$F$4,Учет!$H3086,0)</f>
        <v>0</v>
      </c>
      <c r="E3086" s="52">
        <f>IF(Учет!$O3086=Справочники!$F$5,Учет!$H3086,0)</f>
        <v>0</v>
      </c>
      <c r="F3086" s="52">
        <f>IF(Учет!$O3086=Справочники!$F$6,Учет!$H3086,0)</f>
        <v>0</v>
      </c>
      <c r="G3086" s="43">
        <f>G3085+Учет!B3086-B3086</f>
        <v>-488978.92000000004</v>
      </c>
      <c r="H3086" s="43">
        <f>H3085+Учет!C3086-C3086</f>
        <v>336855</v>
      </c>
      <c r="I3086" s="43">
        <f>I3085+Учет!D3086-D3086</f>
        <v>500</v>
      </c>
      <c r="J3086" s="43">
        <f>J3085+Учет!E3086-E3086</f>
        <v>1150</v>
      </c>
      <c r="K3086" s="43">
        <f>K3085+Учет!F3086-F3086</f>
        <v>500000</v>
      </c>
      <c r="L3086" s="45">
        <f>Учет!I3086</f>
        <v>349526.07999999996</v>
      </c>
    </row>
    <row r="3087" spans="1:12" x14ac:dyDescent="0.25">
      <c r="A3087" s="48" t="str">
        <f>IF(Учет!A3087&lt;&gt;"",Учет!A3087,"")</f>
        <v/>
      </c>
      <c r="B3087" s="52">
        <f>IF(Учет!$O3087=Справочники!$F$2,Учет!$H3087,0)</f>
        <v>0</v>
      </c>
      <c r="C3087" s="52">
        <f>IF(Учет!$O3087=Справочники!$F$3,Учет!$H3087,0)</f>
        <v>0</v>
      </c>
      <c r="D3087" s="52">
        <f>IF(Учет!$O3087=Справочники!$F$4,Учет!$H3087,0)</f>
        <v>0</v>
      </c>
      <c r="E3087" s="52">
        <f>IF(Учет!$O3087=Справочники!$F$5,Учет!$H3087,0)</f>
        <v>0</v>
      </c>
      <c r="F3087" s="52">
        <f>IF(Учет!$O3087=Справочники!$F$6,Учет!$H3087,0)</f>
        <v>0</v>
      </c>
      <c r="G3087" s="43">
        <f>G3086+Учет!B3087-B3087</f>
        <v>-488978.92000000004</v>
      </c>
      <c r="H3087" s="43">
        <f>H3086+Учет!C3087-C3087</f>
        <v>336855</v>
      </c>
      <c r="I3087" s="43">
        <f>I3086+Учет!D3087-D3087</f>
        <v>500</v>
      </c>
      <c r="J3087" s="43">
        <f>J3086+Учет!E3087-E3087</f>
        <v>1150</v>
      </c>
      <c r="K3087" s="43">
        <f>K3086+Учет!F3087-F3087</f>
        <v>500000</v>
      </c>
      <c r="L3087" s="45">
        <f>Учет!I3087</f>
        <v>349526.07999999996</v>
      </c>
    </row>
    <row r="3088" spans="1:12" x14ac:dyDescent="0.25">
      <c r="A3088" s="48" t="str">
        <f>IF(Учет!A3088&lt;&gt;"",Учет!A3088,"")</f>
        <v/>
      </c>
      <c r="B3088" s="52">
        <f>IF(Учет!$O3088=Справочники!$F$2,Учет!$H3088,0)</f>
        <v>0</v>
      </c>
      <c r="C3088" s="52">
        <f>IF(Учет!$O3088=Справочники!$F$3,Учет!$H3088,0)</f>
        <v>0</v>
      </c>
      <c r="D3088" s="52">
        <f>IF(Учет!$O3088=Справочники!$F$4,Учет!$H3088,0)</f>
        <v>0</v>
      </c>
      <c r="E3088" s="52">
        <f>IF(Учет!$O3088=Справочники!$F$5,Учет!$H3088,0)</f>
        <v>0</v>
      </c>
      <c r="F3088" s="52">
        <f>IF(Учет!$O3088=Справочники!$F$6,Учет!$H3088,0)</f>
        <v>0</v>
      </c>
      <c r="G3088" s="43">
        <f>G3087+Учет!B3088-B3088</f>
        <v>-488978.92000000004</v>
      </c>
      <c r="H3088" s="43">
        <f>H3087+Учет!C3088-C3088</f>
        <v>336855</v>
      </c>
      <c r="I3088" s="43">
        <f>I3087+Учет!D3088-D3088</f>
        <v>500</v>
      </c>
      <c r="J3088" s="43">
        <f>J3087+Учет!E3088-E3088</f>
        <v>1150</v>
      </c>
      <c r="K3088" s="43">
        <f>K3087+Учет!F3088-F3088</f>
        <v>500000</v>
      </c>
      <c r="L3088" s="45">
        <f>Учет!I3088</f>
        <v>349526.07999999996</v>
      </c>
    </row>
    <row r="3089" spans="1:12" x14ac:dyDescent="0.25">
      <c r="A3089" s="48" t="str">
        <f>IF(Учет!A3089&lt;&gt;"",Учет!A3089,"")</f>
        <v/>
      </c>
      <c r="B3089" s="52">
        <f>IF(Учет!$O3089=Справочники!$F$2,Учет!$H3089,0)</f>
        <v>0</v>
      </c>
      <c r="C3089" s="52">
        <f>IF(Учет!$O3089=Справочники!$F$3,Учет!$H3089,0)</f>
        <v>0</v>
      </c>
      <c r="D3089" s="52">
        <f>IF(Учет!$O3089=Справочники!$F$4,Учет!$H3089,0)</f>
        <v>0</v>
      </c>
      <c r="E3089" s="52">
        <f>IF(Учет!$O3089=Справочники!$F$5,Учет!$H3089,0)</f>
        <v>0</v>
      </c>
      <c r="F3089" s="52">
        <f>IF(Учет!$O3089=Справочники!$F$6,Учет!$H3089,0)</f>
        <v>0</v>
      </c>
      <c r="G3089" s="43">
        <f>G3088+Учет!B3089-B3089</f>
        <v>-488978.92000000004</v>
      </c>
      <c r="H3089" s="43">
        <f>H3088+Учет!C3089-C3089</f>
        <v>336855</v>
      </c>
      <c r="I3089" s="43">
        <f>I3088+Учет!D3089-D3089</f>
        <v>500</v>
      </c>
      <c r="J3089" s="43">
        <f>J3088+Учет!E3089-E3089</f>
        <v>1150</v>
      </c>
      <c r="K3089" s="43">
        <f>K3088+Учет!F3089-F3089</f>
        <v>500000</v>
      </c>
      <c r="L3089" s="45">
        <f>Учет!I3089</f>
        <v>349526.07999999996</v>
      </c>
    </row>
    <row r="3090" spans="1:12" x14ac:dyDescent="0.25">
      <c r="A3090" s="48" t="str">
        <f>IF(Учет!A3090&lt;&gt;"",Учет!A3090,"")</f>
        <v/>
      </c>
      <c r="B3090" s="52">
        <f>IF(Учет!$O3090=Справочники!$F$2,Учет!$H3090,0)</f>
        <v>0</v>
      </c>
      <c r="C3090" s="52">
        <f>IF(Учет!$O3090=Справочники!$F$3,Учет!$H3090,0)</f>
        <v>0</v>
      </c>
      <c r="D3090" s="52">
        <f>IF(Учет!$O3090=Справочники!$F$4,Учет!$H3090,0)</f>
        <v>0</v>
      </c>
      <c r="E3090" s="52">
        <f>IF(Учет!$O3090=Справочники!$F$5,Учет!$H3090,0)</f>
        <v>0</v>
      </c>
      <c r="F3090" s="52">
        <f>IF(Учет!$O3090=Справочники!$F$6,Учет!$H3090,0)</f>
        <v>0</v>
      </c>
      <c r="G3090" s="43">
        <f>G3089+Учет!B3090-B3090</f>
        <v>-488978.92000000004</v>
      </c>
      <c r="H3090" s="43">
        <f>H3089+Учет!C3090-C3090</f>
        <v>336855</v>
      </c>
      <c r="I3090" s="43">
        <f>I3089+Учет!D3090-D3090</f>
        <v>500</v>
      </c>
      <c r="J3090" s="43">
        <f>J3089+Учет!E3090-E3090</f>
        <v>1150</v>
      </c>
      <c r="K3090" s="43">
        <f>K3089+Учет!F3090-F3090</f>
        <v>500000</v>
      </c>
      <c r="L3090" s="45">
        <f>Учет!I3090</f>
        <v>349526.07999999996</v>
      </c>
    </row>
    <row r="3091" spans="1:12" x14ac:dyDescent="0.25">
      <c r="A3091" s="48" t="str">
        <f>IF(Учет!A3091&lt;&gt;"",Учет!A3091,"")</f>
        <v/>
      </c>
      <c r="B3091" s="52">
        <f>IF(Учет!$O3091=Справочники!$F$2,Учет!$H3091,0)</f>
        <v>0</v>
      </c>
      <c r="C3091" s="52">
        <f>IF(Учет!$O3091=Справочники!$F$3,Учет!$H3091,0)</f>
        <v>0</v>
      </c>
      <c r="D3091" s="52">
        <f>IF(Учет!$O3091=Справочники!$F$4,Учет!$H3091,0)</f>
        <v>0</v>
      </c>
      <c r="E3091" s="52">
        <f>IF(Учет!$O3091=Справочники!$F$5,Учет!$H3091,0)</f>
        <v>0</v>
      </c>
      <c r="F3091" s="52">
        <f>IF(Учет!$O3091=Справочники!$F$6,Учет!$H3091,0)</f>
        <v>0</v>
      </c>
      <c r="G3091" s="43">
        <f>G3090+Учет!B3091-B3091</f>
        <v>-488978.92000000004</v>
      </c>
      <c r="H3091" s="43">
        <f>H3090+Учет!C3091-C3091</f>
        <v>336855</v>
      </c>
      <c r="I3091" s="43">
        <f>I3090+Учет!D3091-D3091</f>
        <v>500</v>
      </c>
      <c r="J3091" s="43">
        <f>J3090+Учет!E3091-E3091</f>
        <v>1150</v>
      </c>
      <c r="K3091" s="43">
        <f>K3090+Учет!F3091-F3091</f>
        <v>500000</v>
      </c>
      <c r="L3091" s="45">
        <f>Учет!I3091</f>
        <v>349526.07999999996</v>
      </c>
    </row>
    <row r="3092" spans="1:12" x14ac:dyDescent="0.25">
      <c r="A3092" s="48" t="str">
        <f>IF(Учет!A3092&lt;&gt;"",Учет!A3092,"")</f>
        <v/>
      </c>
      <c r="B3092" s="52">
        <f>IF(Учет!$O3092=Справочники!$F$2,Учет!$H3092,0)</f>
        <v>0</v>
      </c>
      <c r="C3092" s="52">
        <f>IF(Учет!$O3092=Справочники!$F$3,Учет!$H3092,0)</f>
        <v>0</v>
      </c>
      <c r="D3092" s="52">
        <f>IF(Учет!$O3092=Справочники!$F$4,Учет!$H3092,0)</f>
        <v>0</v>
      </c>
      <c r="E3092" s="52">
        <f>IF(Учет!$O3092=Справочники!$F$5,Учет!$H3092,0)</f>
        <v>0</v>
      </c>
      <c r="F3092" s="52">
        <f>IF(Учет!$O3092=Справочники!$F$6,Учет!$H3092,0)</f>
        <v>0</v>
      </c>
      <c r="G3092" s="43">
        <f>G3091+Учет!B3092-B3092</f>
        <v>-488978.92000000004</v>
      </c>
      <c r="H3092" s="43">
        <f>H3091+Учет!C3092-C3092</f>
        <v>336855</v>
      </c>
      <c r="I3092" s="43">
        <f>I3091+Учет!D3092-D3092</f>
        <v>500</v>
      </c>
      <c r="J3092" s="43">
        <f>J3091+Учет!E3092-E3092</f>
        <v>1150</v>
      </c>
      <c r="K3092" s="43">
        <f>K3091+Учет!F3092-F3092</f>
        <v>500000</v>
      </c>
      <c r="L3092" s="45">
        <f>Учет!I3092</f>
        <v>349526.07999999996</v>
      </c>
    </row>
    <row r="3093" spans="1:12" x14ac:dyDescent="0.25">
      <c r="A3093" s="48" t="str">
        <f>IF(Учет!A3093&lt;&gt;"",Учет!A3093,"")</f>
        <v/>
      </c>
      <c r="B3093" s="52">
        <f>IF(Учет!$O3093=Справочники!$F$2,Учет!$H3093,0)</f>
        <v>0</v>
      </c>
      <c r="C3093" s="52">
        <f>IF(Учет!$O3093=Справочники!$F$3,Учет!$H3093,0)</f>
        <v>0</v>
      </c>
      <c r="D3093" s="52">
        <f>IF(Учет!$O3093=Справочники!$F$4,Учет!$H3093,0)</f>
        <v>0</v>
      </c>
      <c r="E3093" s="52">
        <f>IF(Учет!$O3093=Справочники!$F$5,Учет!$H3093,0)</f>
        <v>0</v>
      </c>
      <c r="F3093" s="52">
        <f>IF(Учет!$O3093=Справочники!$F$6,Учет!$H3093,0)</f>
        <v>0</v>
      </c>
      <c r="G3093" s="43">
        <f>G3092+Учет!B3093-B3093</f>
        <v>-488978.92000000004</v>
      </c>
      <c r="H3093" s="43">
        <f>H3092+Учет!C3093-C3093</f>
        <v>336855</v>
      </c>
      <c r="I3093" s="43">
        <f>I3092+Учет!D3093-D3093</f>
        <v>500</v>
      </c>
      <c r="J3093" s="43">
        <f>J3092+Учет!E3093-E3093</f>
        <v>1150</v>
      </c>
      <c r="K3093" s="43">
        <f>K3092+Учет!F3093-F3093</f>
        <v>500000</v>
      </c>
      <c r="L3093" s="45">
        <f>Учет!I3093</f>
        <v>349526.07999999996</v>
      </c>
    </row>
    <row r="3094" spans="1:12" x14ac:dyDescent="0.25">
      <c r="A3094" s="48" t="str">
        <f>IF(Учет!A3094&lt;&gt;"",Учет!A3094,"")</f>
        <v/>
      </c>
      <c r="B3094" s="52">
        <f>IF(Учет!$O3094=Справочники!$F$2,Учет!$H3094,0)</f>
        <v>0</v>
      </c>
      <c r="C3094" s="52">
        <f>IF(Учет!$O3094=Справочники!$F$3,Учет!$H3094,0)</f>
        <v>0</v>
      </c>
      <c r="D3094" s="52">
        <f>IF(Учет!$O3094=Справочники!$F$4,Учет!$H3094,0)</f>
        <v>0</v>
      </c>
      <c r="E3094" s="52">
        <f>IF(Учет!$O3094=Справочники!$F$5,Учет!$H3094,0)</f>
        <v>0</v>
      </c>
      <c r="F3094" s="52">
        <f>IF(Учет!$O3094=Справочники!$F$6,Учет!$H3094,0)</f>
        <v>0</v>
      </c>
      <c r="G3094" s="43">
        <f>G3093+Учет!B3094-B3094</f>
        <v>-488978.92000000004</v>
      </c>
      <c r="H3094" s="43">
        <f>H3093+Учет!C3094-C3094</f>
        <v>336855</v>
      </c>
      <c r="I3094" s="43">
        <f>I3093+Учет!D3094-D3094</f>
        <v>500</v>
      </c>
      <c r="J3094" s="43">
        <f>J3093+Учет!E3094-E3094</f>
        <v>1150</v>
      </c>
      <c r="K3094" s="43">
        <f>K3093+Учет!F3094-F3094</f>
        <v>500000</v>
      </c>
      <c r="L3094" s="45">
        <f>Учет!I3094</f>
        <v>349526.07999999996</v>
      </c>
    </row>
    <row r="3095" spans="1:12" x14ac:dyDescent="0.25">
      <c r="A3095" s="48" t="str">
        <f>IF(Учет!A3095&lt;&gt;"",Учет!A3095,"")</f>
        <v/>
      </c>
      <c r="B3095" s="52">
        <f>IF(Учет!$O3095=Справочники!$F$2,Учет!$H3095,0)</f>
        <v>0</v>
      </c>
      <c r="C3095" s="52">
        <f>IF(Учет!$O3095=Справочники!$F$3,Учет!$H3095,0)</f>
        <v>0</v>
      </c>
      <c r="D3095" s="52">
        <f>IF(Учет!$O3095=Справочники!$F$4,Учет!$H3095,0)</f>
        <v>0</v>
      </c>
      <c r="E3095" s="52">
        <f>IF(Учет!$O3095=Справочники!$F$5,Учет!$H3095,0)</f>
        <v>0</v>
      </c>
      <c r="F3095" s="52">
        <f>IF(Учет!$O3095=Справочники!$F$6,Учет!$H3095,0)</f>
        <v>0</v>
      </c>
      <c r="G3095" s="43">
        <f>G3094+Учет!B3095-B3095</f>
        <v>-488978.92000000004</v>
      </c>
      <c r="H3095" s="43">
        <f>H3094+Учет!C3095-C3095</f>
        <v>336855</v>
      </c>
      <c r="I3095" s="43">
        <f>I3094+Учет!D3095-D3095</f>
        <v>500</v>
      </c>
      <c r="J3095" s="43">
        <f>J3094+Учет!E3095-E3095</f>
        <v>1150</v>
      </c>
      <c r="K3095" s="43">
        <f>K3094+Учет!F3095-F3095</f>
        <v>500000</v>
      </c>
      <c r="L3095" s="45">
        <f>Учет!I3095</f>
        <v>349526.07999999996</v>
      </c>
    </row>
    <row r="3096" spans="1:12" x14ac:dyDescent="0.25">
      <c r="A3096" s="48" t="str">
        <f>IF(Учет!A3096&lt;&gt;"",Учет!A3096,"")</f>
        <v/>
      </c>
      <c r="B3096" s="52">
        <f>IF(Учет!$O3096=Справочники!$F$2,Учет!$H3096,0)</f>
        <v>0</v>
      </c>
      <c r="C3096" s="52">
        <f>IF(Учет!$O3096=Справочники!$F$3,Учет!$H3096,0)</f>
        <v>0</v>
      </c>
      <c r="D3096" s="52">
        <f>IF(Учет!$O3096=Справочники!$F$4,Учет!$H3096,0)</f>
        <v>0</v>
      </c>
      <c r="E3096" s="52">
        <f>IF(Учет!$O3096=Справочники!$F$5,Учет!$H3096,0)</f>
        <v>0</v>
      </c>
      <c r="F3096" s="52">
        <f>IF(Учет!$O3096=Справочники!$F$6,Учет!$H3096,0)</f>
        <v>0</v>
      </c>
      <c r="G3096" s="43">
        <f>G3095+Учет!B3096-B3096</f>
        <v>-488978.92000000004</v>
      </c>
      <c r="H3096" s="43">
        <f>H3095+Учет!C3096-C3096</f>
        <v>336855</v>
      </c>
      <c r="I3096" s="43">
        <f>I3095+Учет!D3096-D3096</f>
        <v>500</v>
      </c>
      <c r="J3096" s="43">
        <f>J3095+Учет!E3096-E3096</f>
        <v>1150</v>
      </c>
      <c r="K3096" s="43">
        <f>K3095+Учет!F3096-F3096</f>
        <v>500000</v>
      </c>
      <c r="L3096" s="45">
        <f>Учет!I3096</f>
        <v>349526.07999999996</v>
      </c>
    </row>
    <row r="3097" spans="1:12" x14ac:dyDescent="0.25">
      <c r="A3097" s="48" t="str">
        <f>IF(Учет!A3097&lt;&gt;"",Учет!A3097,"")</f>
        <v/>
      </c>
      <c r="B3097" s="52">
        <f>IF(Учет!$O3097=Справочники!$F$2,Учет!$H3097,0)</f>
        <v>0</v>
      </c>
      <c r="C3097" s="52">
        <f>IF(Учет!$O3097=Справочники!$F$3,Учет!$H3097,0)</f>
        <v>0</v>
      </c>
      <c r="D3097" s="52">
        <f>IF(Учет!$O3097=Справочники!$F$4,Учет!$H3097,0)</f>
        <v>0</v>
      </c>
      <c r="E3097" s="52">
        <f>IF(Учет!$O3097=Справочники!$F$5,Учет!$H3097,0)</f>
        <v>0</v>
      </c>
      <c r="F3097" s="52">
        <f>IF(Учет!$O3097=Справочники!$F$6,Учет!$H3097,0)</f>
        <v>0</v>
      </c>
      <c r="G3097" s="43">
        <f>G3096+Учет!B3097-B3097</f>
        <v>-488978.92000000004</v>
      </c>
      <c r="H3097" s="43">
        <f>H3096+Учет!C3097-C3097</f>
        <v>336855</v>
      </c>
      <c r="I3097" s="43">
        <f>I3096+Учет!D3097-D3097</f>
        <v>500</v>
      </c>
      <c r="J3097" s="43">
        <f>J3096+Учет!E3097-E3097</f>
        <v>1150</v>
      </c>
      <c r="K3097" s="43">
        <f>K3096+Учет!F3097-F3097</f>
        <v>500000</v>
      </c>
      <c r="L3097" s="45">
        <f>Учет!I3097</f>
        <v>349526.07999999996</v>
      </c>
    </row>
    <row r="3098" spans="1:12" x14ac:dyDescent="0.25">
      <c r="A3098" s="48" t="str">
        <f>IF(Учет!A3098&lt;&gt;"",Учет!A3098,"")</f>
        <v/>
      </c>
      <c r="B3098" s="52">
        <f>IF(Учет!$O3098=Справочники!$F$2,Учет!$H3098,0)</f>
        <v>0</v>
      </c>
      <c r="C3098" s="52">
        <f>IF(Учет!$O3098=Справочники!$F$3,Учет!$H3098,0)</f>
        <v>0</v>
      </c>
      <c r="D3098" s="52">
        <f>IF(Учет!$O3098=Справочники!$F$4,Учет!$H3098,0)</f>
        <v>0</v>
      </c>
      <c r="E3098" s="52">
        <f>IF(Учет!$O3098=Справочники!$F$5,Учет!$H3098,0)</f>
        <v>0</v>
      </c>
      <c r="F3098" s="52">
        <f>IF(Учет!$O3098=Справочники!$F$6,Учет!$H3098,0)</f>
        <v>0</v>
      </c>
      <c r="G3098" s="43">
        <f>G3097+Учет!B3098-B3098</f>
        <v>-488978.92000000004</v>
      </c>
      <c r="H3098" s="43">
        <f>H3097+Учет!C3098-C3098</f>
        <v>336855</v>
      </c>
      <c r="I3098" s="43">
        <f>I3097+Учет!D3098-D3098</f>
        <v>500</v>
      </c>
      <c r="J3098" s="43">
        <f>J3097+Учет!E3098-E3098</f>
        <v>1150</v>
      </c>
      <c r="K3098" s="43">
        <f>K3097+Учет!F3098-F3098</f>
        <v>500000</v>
      </c>
      <c r="L3098" s="45">
        <f>Учет!I3098</f>
        <v>349526.07999999996</v>
      </c>
    </row>
    <row r="3099" spans="1:12" x14ac:dyDescent="0.25">
      <c r="A3099" s="48" t="str">
        <f>IF(Учет!A3099&lt;&gt;"",Учет!A3099,"")</f>
        <v/>
      </c>
      <c r="B3099" s="52">
        <f>IF(Учет!$O3099=Справочники!$F$2,Учет!$H3099,0)</f>
        <v>0</v>
      </c>
      <c r="C3099" s="52">
        <f>IF(Учет!$O3099=Справочники!$F$3,Учет!$H3099,0)</f>
        <v>0</v>
      </c>
      <c r="D3099" s="52">
        <f>IF(Учет!$O3099=Справочники!$F$4,Учет!$H3099,0)</f>
        <v>0</v>
      </c>
      <c r="E3099" s="52">
        <f>IF(Учет!$O3099=Справочники!$F$5,Учет!$H3099,0)</f>
        <v>0</v>
      </c>
      <c r="F3099" s="52">
        <f>IF(Учет!$O3099=Справочники!$F$6,Учет!$H3099,0)</f>
        <v>0</v>
      </c>
      <c r="G3099" s="43">
        <f>G3098+Учет!B3099-B3099</f>
        <v>-488978.92000000004</v>
      </c>
      <c r="H3099" s="43">
        <f>H3098+Учет!C3099-C3099</f>
        <v>336855</v>
      </c>
      <c r="I3099" s="43">
        <f>I3098+Учет!D3099-D3099</f>
        <v>500</v>
      </c>
      <c r="J3099" s="43">
        <f>J3098+Учет!E3099-E3099</f>
        <v>1150</v>
      </c>
      <c r="K3099" s="43">
        <f>K3098+Учет!F3099-F3099</f>
        <v>500000</v>
      </c>
      <c r="L3099" s="45">
        <f>Учет!I3099</f>
        <v>349526.07999999996</v>
      </c>
    </row>
    <row r="3100" spans="1:12" x14ac:dyDescent="0.25">
      <c r="A3100" s="48" t="str">
        <f>IF(Учет!A3100&lt;&gt;"",Учет!A3100,"")</f>
        <v/>
      </c>
      <c r="B3100" s="52">
        <f>IF(Учет!$O3100=Справочники!$F$2,Учет!$H3100,0)</f>
        <v>0</v>
      </c>
      <c r="C3100" s="52">
        <f>IF(Учет!$O3100=Справочники!$F$3,Учет!$H3100,0)</f>
        <v>0</v>
      </c>
      <c r="D3100" s="52">
        <f>IF(Учет!$O3100=Справочники!$F$4,Учет!$H3100,0)</f>
        <v>0</v>
      </c>
      <c r="E3100" s="52">
        <f>IF(Учет!$O3100=Справочники!$F$5,Учет!$H3100,0)</f>
        <v>0</v>
      </c>
      <c r="F3100" s="52">
        <f>IF(Учет!$O3100=Справочники!$F$6,Учет!$H3100,0)</f>
        <v>0</v>
      </c>
      <c r="G3100" s="43">
        <f>G3099+Учет!B3100-B3100</f>
        <v>-488978.92000000004</v>
      </c>
      <c r="H3100" s="43">
        <f>H3099+Учет!C3100-C3100</f>
        <v>336855</v>
      </c>
      <c r="I3100" s="43">
        <f>I3099+Учет!D3100-D3100</f>
        <v>500</v>
      </c>
      <c r="J3100" s="43">
        <f>J3099+Учет!E3100-E3100</f>
        <v>1150</v>
      </c>
      <c r="K3100" s="43">
        <f>K3099+Учет!F3100-F3100</f>
        <v>500000</v>
      </c>
      <c r="L3100" s="45">
        <f>Учет!I3100</f>
        <v>349526.07999999996</v>
      </c>
    </row>
    <row r="3101" spans="1:12" x14ac:dyDescent="0.25">
      <c r="A3101" s="48" t="str">
        <f>IF(Учет!A3101&lt;&gt;"",Учет!A3101,"")</f>
        <v/>
      </c>
      <c r="B3101" s="52">
        <f>IF(Учет!$O3101=Справочники!$F$2,Учет!$H3101,0)</f>
        <v>0</v>
      </c>
      <c r="C3101" s="52">
        <f>IF(Учет!$O3101=Справочники!$F$3,Учет!$H3101,0)</f>
        <v>0</v>
      </c>
      <c r="D3101" s="52">
        <f>IF(Учет!$O3101=Справочники!$F$4,Учет!$H3101,0)</f>
        <v>0</v>
      </c>
      <c r="E3101" s="52">
        <f>IF(Учет!$O3101=Справочники!$F$5,Учет!$H3101,0)</f>
        <v>0</v>
      </c>
      <c r="F3101" s="52">
        <f>IF(Учет!$O3101=Справочники!$F$6,Учет!$H3101,0)</f>
        <v>0</v>
      </c>
      <c r="G3101" s="43">
        <f>G3100+Учет!B3101-B3101</f>
        <v>-488978.92000000004</v>
      </c>
      <c r="H3101" s="43">
        <f>H3100+Учет!C3101-C3101</f>
        <v>336855</v>
      </c>
      <c r="I3101" s="43">
        <f>I3100+Учет!D3101-D3101</f>
        <v>500</v>
      </c>
      <c r="J3101" s="43">
        <f>J3100+Учет!E3101-E3101</f>
        <v>1150</v>
      </c>
      <c r="K3101" s="43">
        <f>K3100+Учет!F3101-F3101</f>
        <v>500000</v>
      </c>
      <c r="L3101" s="45">
        <f>Учет!I3101</f>
        <v>349526.07999999996</v>
      </c>
    </row>
    <row r="3102" spans="1:12" x14ac:dyDescent="0.25">
      <c r="A3102" s="48" t="str">
        <f>IF(Учет!A3102&lt;&gt;"",Учет!A3102,"")</f>
        <v/>
      </c>
      <c r="B3102" s="52">
        <f>IF(Учет!$O3102=Справочники!$F$2,Учет!$H3102,0)</f>
        <v>0</v>
      </c>
      <c r="C3102" s="52">
        <f>IF(Учет!$O3102=Справочники!$F$3,Учет!$H3102,0)</f>
        <v>0</v>
      </c>
      <c r="D3102" s="52">
        <f>IF(Учет!$O3102=Справочники!$F$4,Учет!$H3102,0)</f>
        <v>0</v>
      </c>
      <c r="E3102" s="52">
        <f>IF(Учет!$O3102=Справочники!$F$5,Учет!$H3102,0)</f>
        <v>0</v>
      </c>
      <c r="F3102" s="52">
        <f>IF(Учет!$O3102=Справочники!$F$6,Учет!$H3102,0)</f>
        <v>0</v>
      </c>
      <c r="G3102" s="43">
        <f>G3101+Учет!B3102-B3102</f>
        <v>-488978.92000000004</v>
      </c>
      <c r="H3102" s="43">
        <f>H3101+Учет!C3102-C3102</f>
        <v>336855</v>
      </c>
      <c r="I3102" s="43">
        <f>I3101+Учет!D3102-D3102</f>
        <v>500</v>
      </c>
      <c r="J3102" s="43">
        <f>J3101+Учет!E3102-E3102</f>
        <v>1150</v>
      </c>
      <c r="K3102" s="43">
        <f>K3101+Учет!F3102-F3102</f>
        <v>500000</v>
      </c>
      <c r="L3102" s="45">
        <f>Учет!I3102</f>
        <v>349526.07999999996</v>
      </c>
    </row>
    <row r="3103" spans="1:12" x14ac:dyDescent="0.25">
      <c r="A3103" s="48" t="str">
        <f>IF(Учет!A3103&lt;&gt;"",Учет!A3103,"")</f>
        <v/>
      </c>
      <c r="B3103" s="52">
        <f>IF(Учет!$O3103=Справочники!$F$2,Учет!$H3103,0)</f>
        <v>0</v>
      </c>
      <c r="C3103" s="52">
        <f>IF(Учет!$O3103=Справочники!$F$3,Учет!$H3103,0)</f>
        <v>0</v>
      </c>
      <c r="D3103" s="52">
        <f>IF(Учет!$O3103=Справочники!$F$4,Учет!$H3103,0)</f>
        <v>0</v>
      </c>
      <c r="E3103" s="52">
        <f>IF(Учет!$O3103=Справочники!$F$5,Учет!$H3103,0)</f>
        <v>0</v>
      </c>
      <c r="F3103" s="52">
        <f>IF(Учет!$O3103=Справочники!$F$6,Учет!$H3103,0)</f>
        <v>0</v>
      </c>
      <c r="G3103" s="43">
        <f>G3102+Учет!B3103-B3103</f>
        <v>-488978.92000000004</v>
      </c>
      <c r="H3103" s="43">
        <f>H3102+Учет!C3103-C3103</f>
        <v>336855</v>
      </c>
      <c r="I3103" s="43">
        <f>I3102+Учет!D3103-D3103</f>
        <v>500</v>
      </c>
      <c r="J3103" s="43">
        <f>J3102+Учет!E3103-E3103</f>
        <v>1150</v>
      </c>
      <c r="K3103" s="43">
        <f>K3102+Учет!F3103-F3103</f>
        <v>500000</v>
      </c>
      <c r="L3103" s="45">
        <f>Учет!I3103</f>
        <v>349526.07999999996</v>
      </c>
    </row>
    <row r="3104" spans="1:12" x14ac:dyDescent="0.25">
      <c r="A3104" s="48" t="str">
        <f>IF(Учет!A3104&lt;&gt;"",Учет!A3104,"")</f>
        <v/>
      </c>
      <c r="B3104" s="52">
        <f>IF(Учет!$O3104=Справочники!$F$2,Учет!$H3104,0)</f>
        <v>0</v>
      </c>
      <c r="C3104" s="52">
        <f>IF(Учет!$O3104=Справочники!$F$3,Учет!$H3104,0)</f>
        <v>0</v>
      </c>
      <c r="D3104" s="52">
        <f>IF(Учет!$O3104=Справочники!$F$4,Учет!$H3104,0)</f>
        <v>0</v>
      </c>
      <c r="E3104" s="52">
        <f>IF(Учет!$O3104=Справочники!$F$5,Учет!$H3104,0)</f>
        <v>0</v>
      </c>
      <c r="F3104" s="52">
        <f>IF(Учет!$O3104=Справочники!$F$6,Учет!$H3104,0)</f>
        <v>0</v>
      </c>
      <c r="G3104" s="43">
        <f>G3103+Учет!B3104-B3104</f>
        <v>-488978.92000000004</v>
      </c>
      <c r="H3104" s="43">
        <f>H3103+Учет!C3104-C3104</f>
        <v>336855</v>
      </c>
      <c r="I3104" s="43">
        <f>I3103+Учет!D3104-D3104</f>
        <v>500</v>
      </c>
      <c r="J3104" s="43">
        <f>J3103+Учет!E3104-E3104</f>
        <v>1150</v>
      </c>
      <c r="K3104" s="43">
        <f>K3103+Учет!F3104-F3104</f>
        <v>500000</v>
      </c>
      <c r="L3104" s="45">
        <f>Учет!I3104</f>
        <v>349526.07999999996</v>
      </c>
    </row>
    <row r="3105" spans="1:12" x14ac:dyDescent="0.25">
      <c r="A3105" s="48" t="str">
        <f>IF(Учет!A3105&lt;&gt;"",Учет!A3105,"")</f>
        <v/>
      </c>
      <c r="B3105" s="52">
        <f>IF(Учет!$O3105=Справочники!$F$2,Учет!$H3105,0)</f>
        <v>0</v>
      </c>
      <c r="C3105" s="52">
        <f>IF(Учет!$O3105=Справочники!$F$3,Учет!$H3105,0)</f>
        <v>0</v>
      </c>
      <c r="D3105" s="52">
        <f>IF(Учет!$O3105=Справочники!$F$4,Учет!$H3105,0)</f>
        <v>0</v>
      </c>
      <c r="E3105" s="52">
        <f>IF(Учет!$O3105=Справочники!$F$5,Учет!$H3105,0)</f>
        <v>0</v>
      </c>
      <c r="F3105" s="52">
        <f>IF(Учет!$O3105=Справочники!$F$6,Учет!$H3105,0)</f>
        <v>0</v>
      </c>
      <c r="G3105" s="43">
        <f>G3104+Учет!B3105-B3105</f>
        <v>-488978.92000000004</v>
      </c>
      <c r="H3105" s="43">
        <f>H3104+Учет!C3105-C3105</f>
        <v>336855</v>
      </c>
      <c r="I3105" s="43">
        <f>I3104+Учет!D3105-D3105</f>
        <v>500</v>
      </c>
      <c r="J3105" s="43">
        <f>J3104+Учет!E3105-E3105</f>
        <v>1150</v>
      </c>
      <c r="K3105" s="43">
        <f>K3104+Учет!F3105-F3105</f>
        <v>500000</v>
      </c>
      <c r="L3105" s="45">
        <f>Учет!I3105</f>
        <v>349526.07999999996</v>
      </c>
    </row>
    <row r="3106" spans="1:12" x14ac:dyDescent="0.25">
      <c r="A3106" s="48" t="str">
        <f>IF(Учет!A3106&lt;&gt;"",Учет!A3106,"")</f>
        <v/>
      </c>
      <c r="B3106" s="52">
        <f>IF(Учет!$O3106=Справочники!$F$2,Учет!$H3106,0)</f>
        <v>0</v>
      </c>
      <c r="C3106" s="52">
        <f>IF(Учет!$O3106=Справочники!$F$3,Учет!$H3106,0)</f>
        <v>0</v>
      </c>
      <c r="D3106" s="52">
        <f>IF(Учет!$O3106=Справочники!$F$4,Учет!$H3106,0)</f>
        <v>0</v>
      </c>
      <c r="E3106" s="52">
        <f>IF(Учет!$O3106=Справочники!$F$5,Учет!$H3106,0)</f>
        <v>0</v>
      </c>
      <c r="F3106" s="52">
        <f>IF(Учет!$O3106=Справочники!$F$6,Учет!$H3106,0)</f>
        <v>0</v>
      </c>
      <c r="G3106" s="43">
        <f>G3105+Учет!B3106-B3106</f>
        <v>-488978.92000000004</v>
      </c>
      <c r="H3106" s="43">
        <f>H3105+Учет!C3106-C3106</f>
        <v>336855</v>
      </c>
      <c r="I3106" s="43">
        <f>I3105+Учет!D3106-D3106</f>
        <v>500</v>
      </c>
      <c r="J3106" s="43">
        <f>J3105+Учет!E3106-E3106</f>
        <v>1150</v>
      </c>
      <c r="K3106" s="43">
        <f>K3105+Учет!F3106-F3106</f>
        <v>500000</v>
      </c>
      <c r="L3106" s="45">
        <f>Учет!I3106</f>
        <v>349526.07999999996</v>
      </c>
    </row>
    <row r="3107" spans="1:12" x14ac:dyDescent="0.25">
      <c r="A3107" s="48" t="str">
        <f>IF(Учет!A3107&lt;&gt;"",Учет!A3107,"")</f>
        <v/>
      </c>
      <c r="B3107" s="52">
        <f>IF(Учет!$O3107=Справочники!$F$2,Учет!$H3107,0)</f>
        <v>0</v>
      </c>
      <c r="C3107" s="52">
        <f>IF(Учет!$O3107=Справочники!$F$3,Учет!$H3107,0)</f>
        <v>0</v>
      </c>
      <c r="D3107" s="52">
        <f>IF(Учет!$O3107=Справочники!$F$4,Учет!$H3107,0)</f>
        <v>0</v>
      </c>
      <c r="E3107" s="52">
        <f>IF(Учет!$O3107=Справочники!$F$5,Учет!$H3107,0)</f>
        <v>0</v>
      </c>
      <c r="F3107" s="52">
        <f>IF(Учет!$O3107=Справочники!$F$6,Учет!$H3107,0)</f>
        <v>0</v>
      </c>
      <c r="G3107" s="43">
        <f>G3106+Учет!B3107-B3107</f>
        <v>-488978.92000000004</v>
      </c>
      <c r="H3107" s="43">
        <f>H3106+Учет!C3107-C3107</f>
        <v>336855</v>
      </c>
      <c r="I3107" s="43">
        <f>I3106+Учет!D3107-D3107</f>
        <v>500</v>
      </c>
      <c r="J3107" s="43">
        <f>J3106+Учет!E3107-E3107</f>
        <v>1150</v>
      </c>
      <c r="K3107" s="43">
        <f>K3106+Учет!F3107-F3107</f>
        <v>500000</v>
      </c>
      <c r="L3107" s="45">
        <f>Учет!I3107</f>
        <v>349526.07999999996</v>
      </c>
    </row>
    <row r="3108" spans="1:12" x14ac:dyDescent="0.25">
      <c r="A3108" s="48" t="str">
        <f>IF(Учет!A3108&lt;&gt;"",Учет!A3108,"")</f>
        <v/>
      </c>
      <c r="B3108" s="52">
        <f>IF(Учет!$O3108=Справочники!$F$2,Учет!$H3108,0)</f>
        <v>0</v>
      </c>
      <c r="C3108" s="52">
        <f>IF(Учет!$O3108=Справочники!$F$3,Учет!$H3108,0)</f>
        <v>0</v>
      </c>
      <c r="D3108" s="52">
        <f>IF(Учет!$O3108=Справочники!$F$4,Учет!$H3108,0)</f>
        <v>0</v>
      </c>
      <c r="E3108" s="52">
        <f>IF(Учет!$O3108=Справочники!$F$5,Учет!$H3108,0)</f>
        <v>0</v>
      </c>
      <c r="F3108" s="52">
        <f>IF(Учет!$O3108=Справочники!$F$6,Учет!$H3108,0)</f>
        <v>0</v>
      </c>
      <c r="G3108" s="43">
        <f>G3107+Учет!B3108-B3108</f>
        <v>-488978.92000000004</v>
      </c>
      <c r="H3108" s="43">
        <f>H3107+Учет!C3108-C3108</f>
        <v>336855</v>
      </c>
      <c r="I3108" s="43">
        <f>I3107+Учет!D3108-D3108</f>
        <v>500</v>
      </c>
      <c r="J3108" s="43">
        <f>J3107+Учет!E3108-E3108</f>
        <v>1150</v>
      </c>
      <c r="K3108" s="43">
        <f>K3107+Учет!F3108-F3108</f>
        <v>500000</v>
      </c>
      <c r="L3108" s="45">
        <f>Учет!I3108</f>
        <v>349526.07999999996</v>
      </c>
    </row>
    <row r="3109" spans="1:12" x14ac:dyDescent="0.25">
      <c r="A3109" s="48" t="str">
        <f>IF(Учет!A3109&lt;&gt;"",Учет!A3109,"")</f>
        <v/>
      </c>
      <c r="B3109" s="52">
        <f>IF(Учет!$O3109=Справочники!$F$2,Учет!$H3109,0)</f>
        <v>0</v>
      </c>
      <c r="C3109" s="52">
        <f>IF(Учет!$O3109=Справочники!$F$3,Учет!$H3109,0)</f>
        <v>0</v>
      </c>
      <c r="D3109" s="52">
        <f>IF(Учет!$O3109=Справочники!$F$4,Учет!$H3109,0)</f>
        <v>0</v>
      </c>
      <c r="E3109" s="52">
        <f>IF(Учет!$O3109=Справочники!$F$5,Учет!$H3109,0)</f>
        <v>0</v>
      </c>
      <c r="F3109" s="52">
        <f>IF(Учет!$O3109=Справочники!$F$6,Учет!$H3109,0)</f>
        <v>0</v>
      </c>
      <c r="G3109" s="43">
        <f>G3108+Учет!B3109-B3109</f>
        <v>-488978.92000000004</v>
      </c>
      <c r="H3109" s="43">
        <f>H3108+Учет!C3109-C3109</f>
        <v>336855</v>
      </c>
      <c r="I3109" s="43">
        <f>I3108+Учет!D3109-D3109</f>
        <v>500</v>
      </c>
      <c r="J3109" s="43">
        <f>J3108+Учет!E3109-E3109</f>
        <v>1150</v>
      </c>
      <c r="K3109" s="43">
        <f>K3108+Учет!F3109-F3109</f>
        <v>500000</v>
      </c>
      <c r="L3109" s="45">
        <f>Учет!I3109</f>
        <v>349526.07999999996</v>
      </c>
    </row>
    <row r="3110" spans="1:12" x14ac:dyDescent="0.25">
      <c r="A3110" s="48" t="str">
        <f>IF(Учет!A3110&lt;&gt;"",Учет!A3110,"")</f>
        <v/>
      </c>
      <c r="B3110" s="52">
        <f>IF(Учет!$O3110=Справочники!$F$2,Учет!$H3110,0)</f>
        <v>0</v>
      </c>
      <c r="C3110" s="52">
        <f>IF(Учет!$O3110=Справочники!$F$3,Учет!$H3110,0)</f>
        <v>0</v>
      </c>
      <c r="D3110" s="52">
        <f>IF(Учет!$O3110=Справочники!$F$4,Учет!$H3110,0)</f>
        <v>0</v>
      </c>
      <c r="E3110" s="52">
        <f>IF(Учет!$O3110=Справочники!$F$5,Учет!$H3110,0)</f>
        <v>0</v>
      </c>
      <c r="F3110" s="52">
        <f>IF(Учет!$O3110=Справочники!$F$6,Учет!$H3110,0)</f>
        <v>0</v>
      </c>
      <c r="G3110" s="43">
        <f>G3109+Учет!B3110-B3110</f>
        <v>-488978.92000000004</v>
      </c>
      <c r="H3110" s="43">
        <f>H3109+Учет!C3110-C3110</f>
        <v>336855</v>
      </c>
      <c r="I3110" s="43">
        <f>I3109+Учет!D3110-D3110</f>
        <v>500</v>
      </c>
      <c r="J3110" s="43">
        <f>J3109+Учет!E3110-E3110</f>
        <v>1150</v>
      </c>
      <c r="K3110" s="43">
        <f>K3109+Учет!F3110-F3110</f>
        <v>500000</v>
      </c>
      <c r="L3110" s="45">
        <f>Учет!I3110</f>
        <v>349526.07999999996</v>
      </c>
    </row>
    <row r="3111" spans="1:12" x14ac:dyDescent="0.25">
      <c r="A3111" s="48" t="str">
        <f>IF(Учет!A3111&lt;&gt;"",Учет!A3111,"")</f>
        <v/>
      </c>
      <c r="B3111" s="52">
        <f>IF(Учет!$O3111=Справочники!$F$2,Учет!$H3111,0)</f>
        <v>0</v>
      </c>
      <c r="C3111" s="52">
        <f>IF(Учет!$O3111=Справочники!$F$3,Учет!$H3111,0)</f>
        <v>0</v>
      </c>
      <c r="D3111" s="52">
        <f>IF(Учет!$O3111=Справочники!$F$4,Учет!$H3111,0)</f>
        <v>0</v>
      </c>
      <c r="E3111" s="52">
        <f>IF(Учет!$O3111=Справочники!$F$5,Учет!$H3111,0)</f>
        <v>0</v>
      </c>
      <c r="F3111" s="52">
        <f>IF(Учет!$O3111=Справочники!$F$6,Учет!$H3111,0)</f>
        <v>0</v>
      </c>
      <c r="G3111" s="43">
        <f>G3110+Учет!B3111-B3111</f>
        <v>-488978.92000000004</v>
      </c>
      <c r="H3111" s="43">
        <f>H3110+Учет!C3111-C3111</f>
        <v>336855</v>
      </c>
      <c r="I3111" s="43">
        <f>I3110+Учет!D3111-D3111</f>
        <v>500</v>
      </c>
      <c r="J3111" s="43">
        <f>J3110+Учет!E3111-E3111</f>
        <v>1150</v>
      </c>
      <c r="K3111" s="43">
        <f>K3110+Учет!F3111-F3111</f>
        <v>500000</v>
      </c>
      <c r="L3111" s="45">
        <f>Учет!I3111</f>
        <v>349526.07999999996</v>
      </c>
    </row>
    <row r="3112" spans="1:12" x14ac:dyDescent="0.25">
      <c r="A3112" s="48" t="str">
        <f>IF(Учет!A3112&lt;&gt;"",Учет!A3112,"")</f>
        <v/>
      </c>
      <c r="B3112" s="52">
        <f>IF(Учет!$O3112=Справочники!$F$2,Учет!$H3112,0)</f>
        <v>0</v>
      </c>
      <c r="C3112" s="52">
        <f>IF(Учет!$O3112=Справочники!$F$3,Учет!$H3112,0)</f>
        <v>0</v>
      </c>
      <c r="D3112" s="52">
        <f>IF(Учет!$O3112=Справочники!$F$4,Учет!$H3112,0)</f>
        <v>0</v>
      </c>
      <c r="E3112" s="52">
        <f>IF(Учет!$O3112=Справочники!$F$5,Учет!$H3112,0)</f>
        <v>0</v>
      </c>
      <c r="F3112" s="52">
        <f>IF(Учет!$O3112=Справочники!$F$6,Учет!$H3112,0)</f>
        <v>0</v>
      </c>
      <c r="G3112" s="43">
        <f>G3111+Учет!B3112-B3112</f>
        <v>-488978.92000000004</v>
      </c>
      <c r="H3112" s="43">
        <f>H3111+Учет!C3112-C3112</f>
        <v>336855</v>
      </c>
      <c r="I3112" s="43">
        <f>I3111+Учет!D3112-D3112</f>
        <v>500</v>
      </c>
      <c r="J3112" s="43">
        <f>J3111+Учет!E3112-E3112</f>
        <v>1150</v>
      </c>
      <c r="K3112" s="43">
        <f>K3111+Учет!F3112-F3112</f>
        <v>500000</v>
      </c>
      <c r="L3112" s="45">
        <f>Учет!I3112</f>
        <v>349526.07999999996</v>
      </c>
    </row>
    <row r="3113" spans="1:12" x14ac:dyDescent="0.25">
      <c r="A3113" s="48" t="str">
        <f>IF(Учет!A3113&lt;&gt;"",Учет!A3113,"")</f>
        <v/>
      </c>
      <c r="B3113" s="52">
        <f>IF(Учет!$O3113=Справочники!$F$2,Учет!$H3113,0)</f>
        <v>0</v>
      </c>
      <c r="C3113" s="52">
        <f>IF(Учет!$O3113=Справочники!$F$3,Учет!$H3113,0)</f>
        <v>0</v>
      </c>
      <c r="D3113" s="52">
        <f>IF(Учет!$O3113=Справочники!$F$4,Учет!$H3113,0)</f>
        <v>0</v>
      </c>
      <c r="E3113" s="52">
        <f>IF(Учет!$O3113=Справочники!$F$5,Учет!$H3113,0)</f>
        <v>0</v>
      </c>
      <c r="F3113" s="52">
        <f>IF(Учет!$O3113=Справочники!$F$6,Учет!$H3113,0)</f>
        <v>0</v>
      </c>
      <c r="G3113" s="43">
        <f>G3112+Учет!B3113-B3113</f>
        <v>-488978.92000000004</v>
      </c>
      <c r="H3113" s="43">
        <f>H3112+Учет!C3113-C3113</f>
        <v>336855</v>
      </c>
      <c r="I3113" s="43">
        <f>I3112+Учет!D3113-D3113</f>
        <v>500</v>
      </c>
      <c r="J3113" s="43">
        <f>J3112+Учет!E3113-E3113</f>
        <v>1150</v>
      </c>
      <c r="K3113" s="43">
        <f>K3112+Учет!F3113-F3113</f>
        <v>500000</v>
      </c>
      <c r="L3113" s="45">
        <f>Учет!I3113</f>
        <v>349526.07999999996</v>
      </c>
    </row>
    <row r="3114" spans="1:12" x14ac:dyDescent="0.25">
      <c r="A3114" s="48" t="str">
        <f>IF(Учет!A3114&lt;&gt;"",Учет!A3114,"")</f>
        <v/>
      </c>
      <c r="B3114" s="52">
        <f>IF(Учет!$O3114=Справочники!$F$2,Учет!$H3114,0)</f>
        <v>0</v>
      </c>
      <c r="C3114" s="52">
        <f>IF(Учет!$O3114=Справочники!$F$3,Учет!$H3114,0)</f>
        <v>0</v>
      </c>
      <c r="D3114" s="52">
        <f>IF(Учет!$O3114=Справочники!$F$4,Учет!$H3114,0)</f>
        <v>0</v>
      </c>
      <c r="E3114" s="52">
        <f>IF(Учет!$O3114=Справочники!$F$5,Учет!$H3114,0)</f>
        <v>0</v>
      </c>
      <c r="F3114" s="52">
        <f>IF(Учет!$O3114=Справочники!$F$6,Учет!$H3114,0)</f>
        <v>0</v>
      </c>
      <c r="G3114" s="43">
        <f>G3113+Учет!B3114-B3114</f>
        <v>-488978.92000000004</v>
      </c>
      <c r="H3114" s="43">
        <f>H3113+Учет!C3114-C3114</f>
        <v>336855</v>
      </c>
      <c r="I3114" s="43">
        <f>I3113+Учет!D3114-D3114</f>
        <v>500</v>
      </c>
      <c r="J3114" s="43">
        <f>J3113+Учет!E3114-E3114</f>
        <v>1150</v>
      </c>
      <c r="K3114" s="43">
        <f>K3113+Учет!F3114-F3114</f>
        <v>500000</v>
      </c>
      <c r="L3114" s="45">
        <f>Учет!I3114</f>
        <v>349526.07999999996</v>
      </c>
    </row>
    <row r="3115" spans="1:12" x14ac:dyDescent="0.25">
      <c r="A3115" s="48" t="str">
        <f>IF(Учет!A3115&lt;&gt;"",Учет!A3115,"")</f>
        <v/>
      </c>
      <c r="B3115" s="52">
        <f>IF(Учет!$O3115=Справочники!$F$2,Учет!$H3115,0)</f>
        <v>0</v>
      </c>
      <c r="C3115" s="52">
        <f>IF(Учет!$O3115=Справочники!$F$3,Учет!$H3115,0)</f>
        <v>0</v>
      </c>
      <c r="D3115" s="52">
        <f>IF(Учет!$O3115=Справочники!$F$4,Учет!$H3115,0)</f>
        <v>0</v>
      </c>
      <c r="E3115" s="52">
        <f>IF(Учет!$O3115=Справочники!$F$5,Учет!$H3115,0)</f>
        <v>0</v>
      </c>
      <c r="F3115" s="52">
        <f>IF(Учет!$O3115=Справочники!$F$6,Учет!$H3115,0)</f>
        <v>0</v>
      </c>
      <c r="G3115" s="43">
        <f>G3114+Учет!B3115-B3115</f>
        <v>-488978.92000000004</v>
      </c>
      <c r="H3115" s="43">
        <f>H3114+Учет!C3115-C3115</f>
        <v>336855</v>
      </c>
      <c r="I3115" s="43">
        <f>I3114+Учет!D3115-D3115</f>
        <v>500</v>
      </c>
      <c r="J3115" s="43">
        <f>J3114+Учет!E3115-E3115</f>
        <v>1150</v>
      </c>
      <c r="K3115" s="43">
        <f>K3114+Учет!F3115-F3115</f>
        <v>500000</v>
      </c>
      <c r="L3115" s="45">
        <f>Учет!I3115</f>
        <v>349526.07999999996</v>
      </c>
    </row>
    <row r="3116" spans="1:12" x14ac:dyDescent="0.25">
      <c r="A3116" s="48" t="str">
        <f>IF(Учет!A3116&lt;&gt;"",Учет!A3116,"")</f>
        <v/>
      </c>
      <c r="B3116" s="52">
        <f>IF(Учет!$O3116=Справочники!$F$2,Учет!$H3116,0)</f>
        <v>0</v>
      </c>
      <c r="C3116" s="52">
        <f>IF(Учет!$O3116=Справочники!$F$3,Учет!$H3116,0)</f>
        <v>0</v>
      </c>
      <c r="D3116" s="52">
        <f>IF(Учет!$O3116=Справочники!$F$4,Учет!$H3116,0)</f>
        <v>0</v>
      </c>
      <c r="E3116" s="52">
        <f>IF(Учет!$O3116=Справочники!$F$5,Учет!$H3116,0)</f>
        <v>0</v>
      </c>
      <c r="F3116" s="52">
        <f>IF(Учет!$O3116=Справочники!$F$6,Учет!$H3116,0)</f>
        <v>0</v>
      </c>
      <c r="G3116" s="43">
        <f>G3115+Учет!B3116-B3116</f>
        <v>-488978.92000000004</v>
      </c>
      <c r="H3116" s="43">
        <f>H3115+Учет!C3116-C3116</f>
        <v>336855</v>
      </c>
      <c r="I3116" s="43">
        <f>I3115+Учет!D3116-D3116</f>
        <v>500</v>
      </c>
      <c r="J3116" s="43">
        <f>J3115+Учет!E3116-E3116</f>
        <v>1150</v>
      </c>
      <c r="K3116" s="43">
        <f>K3115+Учет!F3116-F3116</f>
        <v>500000</v>
      </c>
      <c r="L3116" s="45">
        <f>Учет!I3116</f>
        <v>349526.07999999996</v>
      </c>
    </row>
    <row r="3117" spans="1:12" x14ac:dyDescent="0.25">
      <c r="A3117" s="48" t="str">
        <f>IF(Учет!A3117&lt;&gt;"",Учет!A3117,"")</f>
        <v/>
      </c>
      <c r="B3117" s="52">
        <f>IF(Учет!$O3117=Справочники!$F$2,Учет!$H3117,0)</f>
        <v>0</v>
      </c>
      <c r="C3117" s="52">
        <f>IF(Учет!$O3117=Справочники!$F$3,Учет!$H3117,0)</f>
        <v>0</v>
      </c>
      <c r="D3117" s="52">
        <f>IF(Учет!$O3117=Справочники!$F$4,Учет!$H3117,0)</f>
        <v>0</v>
      </c>
      <c r="E3117" s="52">
        <f>IF(Учет!$O3117=Справочники!$F$5,Учет!$H3117,0)</f>
        <v>0</v>
      </c>
      <c r="F3117" s="52">
        <f>IF(Учет!$O3117=Справочники!$F$6,Учет!$H3117,0)</f>
        <v>0</v>
      </c>
      <c r="G3117" s="43">
        <f>G3116+Учет!B3117-B3117</f>
        <v>-488978.92000000004</v>
      </c>
      <c r="H3117" s="43">
        <f>H3116+Учет!C3117-C3117</f>
        <v>336855</v>
      </c>
      <c r="I3117" s="43">
        <f>I3116+Учет!D3117-D3117</f>
        <v>500</v>
      </c>
      <c r="J3117" s="43">
        <f>J3116+Учет!E3117-E3117</f>
        <v>1150</v>
      </c>
      <c r="K3117" s="43">
        <f>K3116+Учет!F3117-F3117</f>
        <v>500000</v>
      </c>
      <c r="L3117" s="45">
        <f>Учет!I3117</f>
        <v>349526.07999999996</v>
      </c>
    </row>
    <row r="3118" spans="1:12" x14ac:dyDescent="0.25">
      <c r="A3118" s="48" t="str">
        <f>IF(Учет!A3118&lt;&gt;"",Учет!A3118,"")</f>
        <v/>
      </c>
      <c r="B3118" s="52">
        <f>IF(Учет!$O3118=Справочники!$F$2,Учет!$H3118,0)</f>
        <v>0</v>
      </c>
      <c r="C3118" s="52">
        <f>IF(Учет!$O3118=Справочники!$F$3,Учет!$H3118,0)</f>
        <v>0</v>
      </c>
      <c r="D3118" s="52">
        <f>IF(Учет!$O3118=Справочники!$F$4,Учет!$H3118,0)</f>
        <v>0</v>
      </c>
      <c r="E3118" s="52">
        <f>IF(Учет!$O3118=Справочники!$F$5,Учет!$H3118,0)</f>
        <v>0</v>
      </c>
      <c r="F3118" s="52">
        <f>IF(Учет!$O3118=Справочники!$F$6,Учет!$H3118,0)</f>
        <v>0</v>
      </c>
      <c r="G3118" s="43">
        <f>G3117+Учет!B3118-B3118</f>
        <v>-488978.92000000004</v>
      </c>
      <c r="H3118" s="43">
        <f>H3117+Учет!C3118-C3118</f>
        <v>336855</v>
      </c>
      <c r="I3118" s="43">
        <f>I3117+Учет!D3118-D3118</f>
        <v>500</v>
      </c>
      <c r="J3118" s="43">
        <f>J3117+Учет!E3118-E3118</f>
        <v>1150</v>
      </c>
      <c r="K3118" s="43">
        <f>K3117+Учет!F3118-F3118</f>
        <v>500000</v>
      </c>
      <c r="L3118" s="45">
        <f>Учет!I3118</f>
        <v>349526.07999999996</v>
      </c>
    </row>
    <row r="3119" spans="1:12" x14ac:dyDescent="0.25">
      <c r="A3119" s="48" t="str">
        <f>IF(Учет!A3119&lt;&gt;"",Учет!A3119,"")</f>
        <v/>
      </c>
      <c r="B3119" s="52">
        <f>IF(Учет!$O3119=Справочники!$F$2,Учет!$H3119,0)</f>
        <v>0</v>
      </c>
      <c r="C3119" s="52">
        <f>IF(Учет!$O3119=Справочники!$F$3,Учет!$H3119,0)</f>
        <v>0</v>
      </c>
      <c r="D3119" s="52">
        <f>IF(Учет!$O3119=Справочники!$F$4,Учет!$H3119,0)</f>
        <v>0</v>
      </c>
      <c r="E3119" s="52">
        <f>IF(Учет!$O3119=Справочники!$F$5,Учет!$H3119,0)</f>
        <v>0</v>
      </c>
      <c r="F3119" s="52">
        <f>IF(Учет!$O3119=Справочники!$F$6,Учет!$H3119,0)</f>
        <v>0</v>
      </c>
      <c r="G3119" s="43">
        <f>G3118+Учет!B3119-B3119</f>
        <v>-488978.92000000004</v>
      </c>
      <c r="H3119" s="43">
        <f>H3118+Учет!C3119-C3119</f>
        <v>336855</v>
      </c>
      <c r="I3119" s="43">
        <f>I3118+Учет!D3119-D3119</f>
        <v>500</v>
      </c>
      <c r="J3119" s="43">
        <f>J3118+Учет!E3119-E3119</f>
        <v>1150</v>
      </c>
      <c r="K3119" s="43">
        <f>K3118+Учет!F3119-F3119</f>
        <v>500000</v>
      </c>
      <c r="L3119" s="45">
        <f>Учет!I3119</f>
        <v>349526.07999999996</v>
      </c>
    </row>
    <row r="3120" spans="1:12" x14ac:dyDescent="0.25">
      <c r="A3120" s="48" t="str">
        <f>IF(Учет!A3120&lt;&gt;"",Учет!A3120,"")</f>
        <v/>
      </c>
      <c r="B3120" s="52">
        <f>IF(Учет!$O3120=Справочники!$F$2,Учет!$H3120,0)</f>
        <v>0</v>
      </c>
      <c r="C3120" s="52">
        <f>IF(Учет!$O3120=Справочники!$F$3,Учет!$H3120,0)</f>
        <v>0</v>
      </c>
      <c r="D3120" s="52">
        <f>IF(Учет!$O3120=Справочники!$F$4,Учет!$H3120,0)</f>
        <v>0</v>
      </c>
      <c r="E3120" s="52">
        <f>IF(Учет!$O3120=Справочники!$F$5,Учет!$H3120,0)</f>
        <v>0</v>
      </c>
      <c r="F3120" s="52">
        <f>IF(Учет!$O3120=Справочники!$F$6,Учет!$H3120,0)</f>
        <v>0</v>
      </c>
      <c r="G3120" s="43">
        <f>G3119+Учет!B3120-B3120</f>
        <v>-488978.92000000004</v>
      </c>
      <c r="H3120" s="43">
        <f>H3119+Учет!C3120-C3120</f>
        <v>336855</v>
      </c>
      <c r="I3120" s="43">
        <f>I3119+Учет!D3120-D3120</f>
        <v>500</v>
      </c>
      <c r="J3120" s="43">
        <f>J3119+Учет!E3120-E3120</f>
        <v>1150</v>
      </c>
      <c r="K3120" s="43">
        <f>K3119+Учет!F3120-F3120</f>
        <v>500000</v>
      </c>
      <c r="L3120" s="45">
        <f>Учет!I3120</f>
        <v>349526.07999999996</v>
      </c>
    </row>
    <row r="3121" spans="1:12" x14ac:dyDescent="0.25">
      <c r="A3121" s="48" t="str">
        <f>IF(Учет!A3121&lt;&gt;"",Учет!A3121,"")</f>
        <v/>
      </c>
      <c r="B3121" s="52">
        <f>IF(Учет!$O3121=Справочники!$F$2,Учет!$H3121,0)</f>
        <v>0</v>
      </c>
      <c r="C3121" s="52">
        <f>IF(Учет!$O3121=Справочники!$F$3,Учет!$H3121,0)</f>
        <v>0</v>
      </c>
      <c r="D3121" s="52">
        <f>IF(Учет!$O3121=Справочники!$F$4,Учет!$H3121,0)</f>
        <v>0</v>
      </c>
      <c r="E3121" s="52">
        <f>IF(Учет!$O3121=Справочники!$F$5,Учет!$H3121,0)</f>
        <v>0</v>
      </c>
      <c r="F3121" s="52">
        <f>IF(Учет!$O3121=Справочники!$F$6,Учет!$H3121,0)</f>
        <v>0</v>
      </c>
      <c r="G3121" s="43">
        <f>G3120+Учет!B3121-B3121</f>
        <v>-488978.92000000004</v>
      </c>
      <c r="H3121" s="43">
        <f>H3120+Учет!C3121-C3121</f>
        <v>336855</v>
      </c>
      <c r="I3121" s="43">
        <f>I3120+Учет!D3121-D3121</f>
        <v>500</v>
      </c>
      <c r="J3121" s="43">
        <f>J3120+Учет!E3121-E3121</f>
        <v>1150</v>
      </c>
      <c r="K3121" s="43">
        <f>K3120+Учет!F3121-F3121</f>
        <v>500000</v>
      </c>
      <c r="L3121" s="45">
        <f>Учет!I3121</f>
        <v>349526.07999999996</v>
      </c>
    </row>
    <row r="3122" spans="1:12" x14ac:dyDescent="0.25">
      <c r="A3122" s="48" t="str">
        <f>IF(Учет!A3122&lt;&gt;"",Учет!A3122,"")</f>
        <v/>
      </c>
      <c r="B3122" s="52">
        <f>IF(Учет!$O3122=Справочники!$F$2,Учет!$H3122,0)</f>
        <v>0</v>
      </c>
      <c r="C3122" s="52">
        <f>IF(Учет!$O3122=Справочники!$F$3,Учет!$H3122,0)</f>
        <v>0</v>
      </c>
      <c r="D3122" s="52">
        <f>IF(Учет!$O3122=Справочники!$F$4,Учет!$H3122,0)</f>
        <v>0</v>
      </c>
      <c r="E3122" s="52">
        <f>IF(Учет!$O3122=Справочники!$F$5,Учет!$H3122,0)</f>
        <v>0</v>
      </c>
      <c r="F3122" s="52">
        <f>IF(Учет!$O3122=Справочники!$F$6,Учет!$H3122,0)</f>
        <v>0</v>
      </c>
      <c r="G3122" s="43">
        <f>G3121+Учет!B3122-B3122</f>
        <v>-488978.92000000004</v>
      </c>
      <c r="H3122" s="43">
        <f>H3121+Учет!C3122-C3122</f>
        <v>336855</v>
      </c>
      <c r="I3122" s="43">
        <f>I3121+Учет!D3122-D3122</f>
        <v>500</v>
      </c>
      <c r="J3122" s="43">
        <f>J3121+Учет!E3122-E3122</f>
        <v>1150</v>
      </c>
      <c r="K3122" s="43">
        <f>K3121+Учет!F3122-F3122</f>
        <v>500000</v>
      </c>
      <c r="L3122" s="45">
        <f>Учет!I3122</f>
        <v>349526.07999999996</v>
      </c>
    </row>
    <row r="3123" spans="1:12" x14ac:dyDescent="0.25">
      <c r="A3123" s="48" t="str">
        <f>IF(Учет!A3123&lt;&gt;"",Учет!A3123,"")</f>
        <v/>
      </c>
      <c r="B3123" s="52">
        <f>IF(Учет!$O3123=Справочники!$F$2,Учет!$H3123,0)</f>
        <v>0</v>
      </c>
      <c r="C3123" s="52">
        <f>IF(Учет!$O3123=Справочники!$F$3,Учет!$H3123,0)</f>
        <v>0</v>
      </c>
      <c r="D3123" s="52">
        <f>IF(Учет!$O3123=Справочники!$F$4,Учет!$H3123,0)</f>
        <v>0</v>
      </c>
      <c r="E3123" s="52">
        <f>IF(Учет!$O3123=Справочники!$F$5,Учет!$H3123,0)</f>
        <v>0</v>
      </c>
      <c r="F3123" s="52">
        <f>IF(Учет!$O3123=Справочники!$F$6,Учет!$H3123,0)</f>
        <v>0</v>
      </c>
      <c r="G3123" s="43">
        <f>G3122+Учет!B3123-B3123</f>
        <v>-488978.92000000004</v>
      </c>
      <c r="H3123" s="43">
        <f>H3122+Учет!C3123-C3123</f>
        <v>336855</v>
      </c>
      <c r="I3123" s="43">
        <f>I3122+Учет!D3123-D3123</f>
        <v>500</v>
      </c>
      <c r="J3123" s="43">
        <f>J3122+Учет!E3123-E3123</f>
        <v>1150</v>
      </c>
      <c r="K3123" s="43">
        <f>K3122+Учет!F3123-F3123</f>
        <v>500000</v>
      </c>
      <c r="L3123" s="45">
        <f>Учет!I3123</f>
        <v>349526.07999999996</v>
      </c>
    </row>
    <row r="3124" spans="1:12" x14ac:dyDescent="0.25">
      <c r="A3124" s="48" t="str">
        <f>IF(Учет!A3124&lt;&gt;"",Учет!A3124,"")</f>
        <v/>
      </c>
      <c r="B3124" s="52">
        <f>IF(Учет!$O3124=Справочники!$F$2,Учет!$H3124,0)</f>
        <v>0</v>
      </c>
      <c r="C3124" s="52">
        <f>IF(Учет!$O3124=Справочники!$F$3,Учет!$H3124,0)</f>
        <v>0</v>
      </c>
      <c r="D3124" s="52">
        <f>IF(Учет!$O3124=Справочники!$F$4,Учет!$H3124,0)</f>
        <v>0</v>
      </c>
      <c r="E3124" s="52">
        <f>IF(Учет!$O3124=Справочники!$F$5,Учет!$H3124,0)</f>
        <v>0</v>
      </c>
      <c r="F3124" s="52">
        <f>IF(Учет!$O3124=Справочники!$F$6,Учет!$H3124,0)</f>
        <v>0</v>
      </c>
      <c r="G3124" s="43">
        <f>G3123+Учет!B3124-B3124</f>
        <v>-488978.92000000004</v>
      </c>
      <c r="H3124" s="43">
        <f>H3123+Учет!C3124-C3124</f>
        <v>336855</v>
      </c>
      <c r="I3124" s="43">
        <f>I3123+Учет!D3124-D3124</f>
        <v>500</v>
      </c>
      <c r="J3124" s="43">
        <f>J3123+Учет!E3124-E3124</f>
        <v>1150</v>
      </c>
      <c r="K3124" s="43">
        <f>K3123+Учет!F3124-F3124</f>
        <v>500000</v>
      </c>
      <c r="L3124" s="45">
        <f>Учет!I3124</f>
        <v>349526.07999999996</v>
      </c>
    </row>
    <row r="3125" spans="1:12" x14ac:dyDescent="0.25">
      <c r="A3125" s="48" t="str">
        <f>IF(Учет!A3125&lt;&gt;"",Учет!A3125,"")</f>
        <v/>
      </c>
      <c r="B3125" s="52">
        <f>IF(Учет!$O3125=Справочники!$F$2,Учет!$H3125,0)</f>
        <v>0</v>
      </c>
      <c r="C3125" s="52">
        <f>IF(Учет!$O3125=Справочники!$F$3,Учет!$H3125,0)</f>
        <v>0</v>
      </c>
      <c r="D3125" s="52">
        <f>IF(Учет!$O3125=Справочники!$F$4,Учет!$H3125,0)</f>
        <v>0</v>
      </c>
      <c r="E3125" s="52">
        <f>IF(Учет!$O3125=Справочники!$F$5,Учет!$H3125,0)</f>
        <v>0</v>
      </c>
      <c r="F3125" s="52">
        <f>IF(Учет!$O3125=Справочники!$F$6,Учет!$H3125,0)</f>
        <v>0</v>
      </c>
      <c r="G3125" s="43">
        <f>G3124+Учет!B3125-B3125</f>
        <v>-488978.92000000004</v>
      </c>
      <c r="H3125" s="43">
        <f>H3124+Учет!C3125-C3125</f>
        <v>336855</v>
      </c>
      <c r="I3125" s="43">
        <f>I3124+Учет!D3125-D3125</f>
        <v>500</v>
      </c>
      <c r="J3125" s="43">
        <f>J3124+Учет!E3125-E3125</f>
        <v>1150</v>
      </c>
      <c r="K3125" s="43">
        <f>K3124+Учет!F3125-F3125</f>
        <v>500000</v>
      </c>
      <c r="L3125" s="45">
        <f>Учет!I3125</f>
        <v>349526.07999999996</v>
      </c>
    </row>
    <row r="3126" spans="1:12" x14ac:dyDescent="0.25">
      <c r="A3126" s="48" t="str">
        <f>IF(Учет!A3126&lt;&gt;"",Учет!A3126,"")</f>
        <v/>
      </c>
      <c r="B3126" s="52">
        <f>IF(Учет!$O3126=Справочники!$F$2,Учет!$H3126,0)</f>
        <v>0</v>
      </c>
      <c r="C3126" s="52">
        <f>IF(Учет!$O3126=Справочники!$F$3,Учет!$H3126,0)</f>
        <v>0</v>
      </c>
      <c r="D3126" s="52">
        <f>IF(Учет!$O3126=Справочники!$F$4,Учет!$H3126,0)</f>
        <v>0</v>
      </c>
      <c r="E3126" s="52">
        <f>IF(Учет!$O3126=Справочники!$F$5,Учет!$H3126,0)</f>
        <v>0</v>
      </c>
      <c r="F3126" s="52">
        <f>IF(Учет!$O3126=Справочники!$F$6,Учет!$H3126,0)</f>
        <v>0</v>
      </c>
      <c r="G3126" s="43">
        <f>G3125+Учет!B3126-B3126</f>
        <v>-488978.92000000004</v>
      </c>
      <c r="H3126" s="43">
        <f>H3125+Учет!C3126-C3126</f>
        <v>336855</v>
      </c>
      <c r="I3126" s="43">
        <f>I3125+Учет!D3126-D3126</f>
        <v>500</v>
      </c>
      <c r="J3126" s="43">
        <f>J3125+Учет!E3126-E3126</f>
        <v>1150</v>
      </c>
      <c r="K3126" s="43">
        <f>K3125+Учет!F3126-F3126</f>
        <v>500000</v>
      </c>
      <c r="L3126" s="45">
        <f>Учет!I3126</f>
        <v>349526.07999999996</v>
      </c>
    </row>
    <row r="3127" spans="1:12" x14ac:dyDescent="0.25">
      <c r="A3127" s="48" t="str">
        <f>IF(Учет!A3127&lt;&gt;"",Учет!A3127,"")</f>
        <v/>
      </c>
      <c r="B3127" s="52">
        <f>IF(Учет!$O3127=Справочники!$F$2,Учет!$H3127,0)</f>
        <v>0</v>
      </c>
      <c r="C3127" s="52">
        <f>IF(Учет!$O3127=Справочники!$F$3,Учет!$H3127,0)</f>
        <v>0</v>
      </c>
      <c r="D3127" s="52">
        <f>IF(Учет!$O3127=Справочники!$F$4,Учет!$H3127,0)</f>
        <v>0</v>
      </c>
      <c r="E3127" s="52">
        <f>IF(Учет!$O3127=Справочники!$F$5,Учет!$H3127,0)</f>
        <v>0</v>
      </c>
      <c r="F3127" s="52">
        <f>IF(Учет!$O3127=Справочники!$F$6,Учет!$H3127,0)</f>
        <v>0</v>
      </c>
      <c r="G3127" s="43">
        <f>G3126+Учет!B3127-B3127</f>
        <v>-488978.92000000004</v>
      </c>
      <c r="H3127" s="43">
        <f>H3126+Учет!C3127-C3127</f>
        <v>336855</v>
      </c>
      <c r="I3127" s="43">
        <f>I3126+Учет!D3127-D3127</f>
        <v>500</v>
      </c>
      <c r="J3127" s="43">
        <f>J3126+Учет!E3127-E3127</f>
        <v>1150</v>
      </c>
      <c r="K3127" s="43">
        <f>K3126+Учет!F3127-F3127</f>
        <v>500000</v>
      </c>
      <c r="L3127" s="45">
        <f>Учет!I3127</f>
        <v>349526.07999999996</v>
      </c>
    </row>
    <row r="3128" spans="1:12" x14ac:dyDescent="0.25">
      <c r="A3128" s="48" t="str">
        <f>IF(Учет!A3128&lt;&gt;"",Учет!A3128,"")</f>
        <v/>
      </c>
      <c r="B3128" s="52">
        <f>IF(Учет!$O3128=Справочники!$F$2,Учет!$H3128,0)</f>
        <v>0</v>
      </c>
      <c r="C3128" s="52">
        <f>IF(Учет!$O3128=Справочники!$F$3,Учет!$H3128,0)</f>
        <v>0</v>
      </c>
      <c r="D3128" s="52">
        <f>IF(Учет!$O3128=Справочники!$F$4,Учет!$H3128,0)</f>
        <v>0</v>
      </c>
      <c r="E3128" s="52">
        <f>IF(Учет!$O3128=Справочники!$F$5,Учет!$H3128,0)</f>
        <v>0</v>
      </c>
      <c r="F3128" s="52">
        <f>IF(Учет!$O3128=Справочники!$F$6,Учет!$H3128,0)</f>
        <v>0</v>
      </c>
      <c r="G3128" s="43">
        <f>G3127+Учет!B3128-B3128</f>
        <v>-488978.92000000004</v>
      </c>
      <c r="H3128" s="43">
        <f>H3127+Учет!C3128-C3128</f>
        <v>336855</v>
      </c>
      <c r="I3128" s="43">
        <f>I3127+Учет!D3128-D3128</f>
        <v>500</v>
      </c>
      <c r="J3128" s="43">
        <f>J3127+Учет!E3128-E3128</f>
        <v>1150</v>
      </c>
      <c r="K3128" s="43">
        <f>K3127+Учет!F3128-F3128</f>
        <v>500000</v>
      </c>
      <c r="L3128" s="45">
        <f>Учет!I3128</f>
        <v>349526.07999999996</v>
      </c>
    </row>
    <row r="3129" spans="1:12" x14ac:dyDescent="0.25">
      <c r="A3129" s="48" t="str">
        <f>IF(Учет!A3129&lt;&gt;"",Учет!A3129,"")</f>
        <v/>
      </c>
      <c r="B3129" s="52">
        <f>IF(Учет!$O3129=Справочники!$F$2,Учет!$H3129,0)</f>
        <v>0</v>
      </c>
      <c r="C3129" s="52">
        <f>IF(Учет!$O3129=Справочники!$F$3,Учет!$H3129,0)</f>
        <v>0</v>
      </c>
      <c r="D3129" s="52">
        <f>IF(Учет!$O3129=Справочники!$F$4,Учет!$H3129,0)</f>
        <v>0</v>
      </c>
      <c r="E3129" s="52">
        <f>IF(Учет!$O3129=Справочники!$F$5,Учет!$H3129,0)</f>
        <v>0</v>
      </c>
      <c r="F3129" s="52">
        <f>IF(Учет!$O3129=Справочники!$F$6,Учет!$H3129,0)</f>
        <v>0</v>
      </c>
      <c r="G3129" s="43">
        <f>G3128+Учет!B3129-B3129</f>
        <v>-488978.92000000004</v>
      </c>
      <c r="H3129" s="43">
        <f>H3128+Учет!C3129-C3129</f>
        <v>336855</v>
      </c>
      <c r="I3129" s="43">
        <f>I3128+Учет!D3129-D3129</f>
        <v>500</v>
      </c>
      <c r="J3129" s="43">
        <f>J3128+Учет!E3129-E3129</f>
        <v>1150</v>
      </c>
      <c r="K3129" s="43">
        <f>K3128+Учет!F3129-F3129</f>
        <v>500000</v>
      </c>
      <c r="L3129" s="45">
        <f>Учет!I3129</f>
        <v>349526.07999999996</v>
      </c>
    </row>
    <row r="3130" spans="1:12" x14ac:dyDescent="0.25">
      <c r="A3130" s="48" t="str">
        <f>IF(Учет!A3130&lt;&gt;"",Учет!A3130,"")</f>
        <v/>
      </c>
      <c r="B3130" s="52">
        <f>IF(Учет!$O3130=Справочники!$F$2,Учет!$H3130,0)</f>
        <v>0</v>
      </c>
      <c r="C3130" s="52">
        <f>IF(Учет!$O3130=Справочники!$F$3,Учет!$H3130,0)</f>
        <v>0</v>
      </c>
      <c r="D3130" s="52">
        <f>IF(Учет!$O3130=Справочники!$F$4,Учет!$H3130,0)</f>
        <v>0</v>
      </c>
      <c r="E3130" s="52">
        <f>IF(Учет!$O3130=Справочники!$F$5,Учет!$H3130,0)</f>
        <v>0</v>
      </c>
      <c r="F3130" s="52">
        <f>IF(Учет!$O3130=Справочники!$F$6,Учет!$H3130,0)</f>
        <v>0</v>
      </c>
      <c r="G3130" s="43">
        <f>G3129+Учет!B3130-B3130</f>
        <v>-488978.92000000004</v>
      </c>
      <c r="H3130" s="43">
        <f>H3129+Учет!C3130-C3130</f>
        <v>336855</v>
      </c>
      <c r="I3130" s="43">
        <f>I3129+Учет!D3130-D3130</f>
        <v>500</v>
      </c>
      <c r="J3130" s="43">
        <f>J3129+Учет!E3130-E3130</f>
        <v>1150</v>
      </c>
      <c r="K3130" s="43">
        <f>K3129+Учет!F3130-F3130</f>
        <v>500000</v>
      </c>
      <c r="L3130" s="45">
        <f>Учет!I3130</f>
        <v>349526.07999999996</v>
      </c>
    </row>
    <row r="3131" spans="1:12" x14ac:dyDescent="0.25">
      <c r="A3131" s="48" t="str">
        <f>IF(Учет!A3131&lt;&gt;"",Учет!A3131,"")</f>
        <v/>
      </c>
      <c r="B3131" s="52">
        <f>IF(Учет!$O3131=Справочники!$F$2,Учет!$H3131,0)</f>
        <v>0</v>
      </c>
      <c r="C3131" s="52">
        <f>IF(Учет!$O3131=Справочники!$F$3,Учет!$H3131,0)</f>
        <v>0</v>
      </c>
      <c r="D3131" s="52">
        <f>IF(Учет!$O3131=Справочники!$F$4,Учет!$H3131,0)</f>
        <v>0</v>
      </c>
      <c r="E3131" s="52">
        <f>IF(Учет!$O3131=Справочники!$F$5,Учет!$H3131,0)</f>
        <v>0</v>
      </c>
      <c r="F3131" s="52">
        <f>IF(Учет!$O3131=Справочники!$F$6,Учет!$H3131,0)</f>
        <v>0</v>
      </c>
      <c r="G3131" s="43">
        <f>G3130+Учет!B3131-B3131</f>
        <v>-488978.92000000004</v>
      </c>
      <c r="H3131" s="43">
        <f>H3130+Учет!C3131-C3131</f>
        <v>336855</v>
      </c>
      <c r="I3131" s="43">
        <f>I3130+Учет!D3131-D3131</f>
        <v>500</v>
      </c>
      <c r="J3131" s="43">
        <f>J3130+Учет!E3131-E3131</f>
        <v>1150</v>
      </c>
      <c r="K3131" s="43">
        <f>K3130+Учет!F3131-F3131</f>
        <v>500000</v>
      </c>
      <c r="L3131" s="45">
        <f>Учет!I3131</f>
        <v>349526.07999999996</v>
      </c>
    </row>
    <row r="3132" spans="1:12" x14ac:dyDescent="0.25">
      <c r="A3132" s="48" t="str">
        <f>IF(Учет!A3132&lt;&gt;"",Учет!A3132,"")</f>
        <v/>
      </c>
      <c r="B3132" s="52">
        <f>IF(Учет!$O3132=Справочники!$F$2,Учет!$H3132,0)</f>
        <v>0</v>
      </c>
      <c r="C3132" s="52">
        <f>IF(Учет!$O3132=Справочники!$F$3,Учет!$H3132,0)</f>
        <v>0</v>
      </c>
      <c r="D3132" s="52">
        <f>IF(Учет!$O3132=Справочники!$F$4,Учет!$H3132,0)</f>
        <v>0</v>
      </c>
      <c r="E3132" s="52">
        <f>IF(Учет!$O3132=Справочники!$F$5,Учет!$H3132,0)</f>
        <v>0</v>
      </c>
      <c r="F3132" s="52">
        <f>IF(Учет!$O3132=Справочники!$F$6,Учет!$H3132,0)</f>
        <v>0</v>
      </c>
      <c r="G3132" s="43">
        <f>G3131+Учет!B3132-B3132</f>
        <v>-488978.92000000004</v>
      </c>
      <c r="H3132" s="43">
        <f>H3131+Учет!C3132-C3132</f>
        <v>336855</v>
      </c>
      <c r="I3132" s="43">
        <f>I3131+Учет!D3132-D3132</f>
        <v>500</v>
      </c>
      <c r="J3132" s="43">
        <f>J3131+Учет!E3132-E3132</f>
        <v>1150</v>
      </c>
      <c r="K3132" s="43">
        <f>K3131+Учет!F3132-F3132</f>
        <v>500000</v>
      </c>
      <c r="L3132" s="45">
        <f>Учет!I3132</f>
        <v>349526.07999999996</v>
      </c>
    </row>
    <row r="3133" spans="1:12" x14ac:dyDescent="0.25">
      <c r="A3133" s="48" t="str">
        <f>IF(Учет!A3133&lt;&gt;"",Учет!A3133,"")</f>
        <v/>
      </c>
      <c r="B3133" s="52">
        <f>IF(Учет!$O3133=Справочники!$F$2,Учет!$H3133,0)</f>
        <v>0</v>
      </c>
      <c r="C3133" s="52">
        <f>IF(Учет!$O3133=Справочники!$F$3,Учет!$H3133,0)</f>
        <v>0</v>
      </c>
      <c r="D3133" s="52">
        <f>IF(Учет!$O3133=Справочники!$F$4,Учет!$H3133,0)</f>
        <v>0</v>
      </c>
      <c r="E3133" s="52">
        <f>IF(Учет!$O3133=Справочники!$F$5,Учет!$H3133,0)</f>
        <v>0</v>
      </c>
      <c r="F3133" s="52">
        <f>IF(Учет!$O3133=Справочники!$F$6,Учет!$H3133,0)</f>
        <v>0</v>
      </c>
      <c r="G3133" s="43">
        <f>G3132+Учет!B3133-B3133</f>
        <v>-488978.92000000004</v>
      </c>
      <c r="H3133" s="43">
        <f>H3132+Учет!C3133-C3133</f>
        <v>336855</v>
      </c>
      <c r="I3133" s="43">
        <f>I3132+Учет!D3133-D3133</f>
        <v>500</v>
      </c>
      <c r="J3133" s="43">
        <f>J3132+Учет!E3133-E3133</f>
        <v>1150</v>
      </c>
      <c r="K3133" s="43">
        <f>K3132+Учет!F3133-F3133</f>
        <v>500000</v>
      </c>
      <c r="L3133" s="45">
        <f>Учет!I3133</f>
        <v>349526.07999999996</v>
      </c>
    </row>
    <row r="3134" spans="1:12" x14ac:dyDescent="0.25">
      <c r="A3134" s="48" t="str">
        <f>IF(Учет!A3134&lt;&gt;"",Учет!A3134,"")</f>
        <v/>
      </c>
      <c r="B3134" s="52">
        <f>IF(Учет!$O3134=Справочники!$F$2,Учет!$H3134,0)</f>
        <v>0</v>
      </c>
      <c r="C3134" s="52">
        <f>IF(Учет!$O3134=Справочники!$F$3,Учет!$H3134,0)</f>
        <v>0</v>
      </c>
      <c r="D3134" s="52">
        <f>IF(Учет!$O3134=Справочники!$F$4,Учет!$H3134,0)</f>
        <v>0</v>
      </c>
      <c r="E3134" s="52">
        <f>IF(Учет!$O3134=Справочники!$F$5,Учет!$H3134,0)</f>
        <v>0</v>
      </c>
      <c r="F3134" s="52">
        <f>IF(Учет!$O3134=Справочники!$F$6,Учет!$H3134,0)</f>
        <v>0</v>
      </c>
      <c r="G3134" s="43">
        <f>G3133+Учет!B3134-B3134</f>
        <v>-488978.92000000004</v>
      </c>
      <c r="H3134" s="43">
        <f>H3133+Учет!C3134-C3134</f>
        <v>336855</v>
      </c>
      <c r="I3134" s="43">
        <f>I3133+Учет!D3134-D3134</f>
        <v>500</v>
      </c>
      <c r="J3134" s="43">
        <f>J3133+Учет!E3134-E3134</f>
        <v>1150</v>
      </c>
      <c r="K3134" s="43">
        <f>K3133+Учет!F3134-F3134</f>
        <v>500000</v>
      </c>
      <c r="L3134" s="45">
        <f>Учет!I3134</f>
        <v>349526.07999999996</v>
      </c>
    </row>
    <row r="3135" spans="1:12" x14ac:dyDescent="0.25">
      <c r="A3135" s="48" t="str">
        <f>IF(Учет!A3135&lt;&gt;"",Учет!A3135,"")</f>
        <v/>
      </c>
      <c r="B3135" s="52">
        <f>IF(Учет!$O3135=Справочники!$F$2,Учет!$H3135,0)</f>
        <v>0</v>
      </c>
      <c r="C3135" s="52">
        <f>IF(Учет!$O3135=Справочники!$F$3,Учет!$H3135,0)</f>
        <v>0</v>
      </c>
      <c r="D3135" s="52">
        <f>IF(Учет!$O3135=Справочники!$F$4,Учет!$H3135,0)</f>
        <v>0</v>
      </c>
      <c r="E3135" s="52">
        <f>IF(Учет!$O3135=Справочники!$F$5,Учет!$H3135,0)</f>
        <v>0</v>
      </c>
      <c r="F3135" s="52">
        <f>IF(Учет!$O3135=Справочники!$F$6,Учет!$H3135,0)</f>
        <v>0</v>
      </c>
      <c r="G3135" s="43">
        <f>G3134+Учет!B3135-B3135</f>
        <v>-488978.92000000004</v>
      </c>
      <c r="H3135" s="43">
        <f>H3134+Учет!C3135-C3135</f>
        <v>336855</v>
      </c>
      <c r="I3135" s="43">
        <f>I3134+Учет!D3135-D3135</f>
        <v>500</v>
      </c>
      <c r="J3135" s="43">
        <f>J3134+Учет!E3135-E3135</f>
        <v>1150</v>
      </c>
      <c r="K3135" s="43">
        <f>K3134+Учет!F3135-F3135</f>
        <v>500000</v>
      </c>
      <c r="L3135" s="45">
        <f>Учет!I3135</f>
        <v>349526.07999999996</v>
      </c>
    </row>
    <row r="3136" spans="1:12" x14ac:dyDescent="0.25">
      <c r="A3136" s="48" t="str">
        <f>IF(Учет!A3136&lt;&gt;"",Учет!A3136,"")</f>
        <v/>
      </c>
      <c r="B3136" s="52">
        <f>IF(Учет!$O3136=Справочники!$F$2,Учет!$H3136,0)</f>
        <v>0</v>
      </c>
      <c r="C3136" s="52">
        <f>IF(Учет!$O3136=Справочники!$F$3,Учет!$H3136,0)</f>
        <v>0</v>
      </c>
      <c r="D3136" s="52">
        <f>IF(Учет!$O3136=Справочники!$F$4,Учет!$H3136,0)</f>
        <v>0</v>
      </c>
      <c r="E3136" s="52">
        <f>IF(Учет!$O3136=Справочники!$F$5,Учет!$H3136,0)</f>
        <v>0</v>
      </c>
      <c r="F3136" s="52">
        <f>IF(Учет!$O3136=Справочники!$F$6,Учет!$H3136,0)</f>
        <v>0</v>
      </c>
      <c r="G3136" s="43">
        <f>G3135+Учет!B3136-B3136</f>
        <v>-488978.92000000004</v>
      </c>
      <c r="H3136" s="43">
        <f>H3135+Учет!C3136-C3136</f>
        <v>336855</v>
      </c>
      <c r="I3136" s="43">
        <f>I3135+Учет!D3136-D3136</f>
        <v>500</v>
      </c>
      <c r="J3136" s="43">
        <f>J3135+Учет!E3136-E3136</f>
        <v>1150</v>
      </c>
      <c r="K3136" s="43">
        <f>K3135+Учет!F3136-F3136</f>
        <v>500000</v>
      </c>
      <c r="L3136" s="45">
        <f>Учет!I3136</f>
        <v>349526.07999999996</v>
      </c>
    </row>
    <row r="3137" spans="1:12" x14ac:dyDescent="0.25">
      <c r="A3137" s="48" t="str">
        <f>IF(Учет!A3137&lt;&gt;"",Учет!A3137,"")</f>
        <v/>
      </c>
      <c r="B3137" s="52">
        <f>IF(Учет!$O3137=Справочники!$F$2,Учет!$H3137,0)</f>
        <v>0</v>
      </c>
      <c r="C3137" s="52">
        <f>IF(Учет!$O3137=Справочники!$F$3,Учет!$H3137,0)</f>
        <v>0</v>
      </c>
      <c r="D3137" s="52">
        <f>IF(Учет!$O3137=Справочники!$F$4,Учет!$H3137,0)</f>
        <v>0</v>
      </c>
      <c r="E3137" s="52">
        <f>IF(Учет!$O3137=Справочники!$F$5,Учет!$H3137,0)</f>
        <v>0</v>
      </c>
      <c r="F3137" s="52">
        <f>IF(Учет!$O3137=Справочники!$F$6,Учет!$H3137,0)</f>
        <v>0</v>
      </c>
      <c r="G3137" s="43">
        <f>G3136+Учет!B3137-B3137</f>
        <v>-488978.92000000004</v>
      </c>
      <c r="H3137" s="43">
        <f>H3136+Учет!C3137-C3137</f>
        <v>336855</v>
      </c>
      <c r="I3137" s="43">
        <f>I3136+Учет!D3137-D3137</f>
        <v>500</v>
      </c>
      <c r="J3137" s="43">
        <f>J3136+Учет!E3137-E3137</f>
        <v>1150</v>
      </c>
      <c r="K3137" s="43">
        <f>K3136+Учет!F3137-F3137</f>
        <v>500000</v>
      </c>
      <c r="L3137" s="45">
        <f>Учет!I3137</f>
        <v>349526.07999999996</v>
      </c>
    </row>
    <row r="3138" spans="1:12" x14ac:dyDescent="0.25">
      <c r="A3138" s="48" t="str">
        <f>IF(Учет!A3138&lt;&gt;"",Учет!A3138,"")</f>
        <v/>
      </c>
      <c r="B3138" s="52">
        <f>IF(Учет!$O3138=Справочники!$F$2,Учет!$H3138,0)</f>
        <v>0</v>
      </c>
      <c r="C3138" s="52">
        <f>IF(Учет!$O3138=Справочники!$F$3,Учет!$H3138,0)</f>
        <v>0</v>
      </c>
      <c r="D3138" s="52">
        <f>IF(Учет!$O3138=Справочники!$F$4,Учет!$H3138,0)</f>
        <v>0</v>
      </c>
      <c r="E3138" s="52">
        <f>IF(Учет!$O3138=Справочники!$F$5,Учет!$H3138,0)</f>
        <v>0</v>
      </c>
      <c r="F3138" s="52">
        <f>IF(Учет!$O3138=Справочники!$F$6,Учет!$H3138,0)</f>
        <v>0</v>
      </c>
      <c r="G3138" s="43">
        <f>G3137+Учет!B3138-B3138</f>
        <v>-488978.92000000004</v>
      </c>
      <c r="H3138" s="43">
        <f>H3137+Учет!C3138-C3138</f>
        <v>336855</v>
      </c>
      <c r="I3138" s="43">
        <f>I3137+Учет!D3138-D3138</f>
        <v>500</v>
      </c>
      <c r="J3138" s="43">
        <f>J3137+Учет!E3138-E3138</f>
        <v>1150</v>
      </c>
      <c r="K3138" s="43">
        <f>K3137+Учет!F3138-F3138</f>
        <v>500000</v>
      </c>
      <c r="L3138" s="45">
        <f>Учет!I3138</f>
        <v>349526.07999999996</v>
      </c>
    </row>
    <row r="3139" spans="1:12" x14ac:dyDescent="0.25">
      <c r="A3139" s="48" t="str">
        <f>IF(Учет!A3139&lt;&gt;"",Учет!A3139,"")</f>
        <v/>
      </c>
      <c r="B3139" s="52">
        <f>IF(Учет!$O3139=Справочники!$F$2,Учет!$H3139,0)</f>
        <v>0</v>
      </c>
      <c r="C3139" s="52">
        <f>IF(Учет!$O3139=Справочники!$F$3,Учет!$H3139,0)</f>
        <v>0</v>
      </c>
      <c r="D3139" s="52">
        <f>IF(Учет!$O3139=Справочники!$F$4,Учет!$H3139,0)</f>
        <v>0</v>
      </c>
      <c r="E3139" s="52">
        <f>IF(Учет!$O3139=Справочники!$F$5,Учет!$H3139,0)</f>
        <v>0</v>
      </c>
      <c r="F3139" s="52">
        <f>IF(Учет!$O3139=Справочники!$F$6,Учет!$H3139,0)</f>
        <v>0</v>
      </c>
      <c r="G3139" s="43">
        <f>G3138+Учет!B3139-B3139</f>
        <v>-488978.92000000004</v>
      </c>
      <c r="H3139" s="43">
        <f>H3138+Учет!C3139-C3139</f>
        <v>336855</v>
      </c>
      <c r="I3139" s="43">
        <f>I3138+Учет!D3139-D3139</f>
        <v>500</v>
      </c>
      <c r="J3139" s="43">
        <f>J3138+Учет!E3139-E3139</f>
        <v>1150</v>
      </c>
      <c r="K3139" s="43">
        <f>K3138+Учет!F3139-F3139</f>
        <v>500000</v>
      </c>
      <c r="L3139" s="45">
        <f>Учет!I3139</f>
        <v>349526.07999999996</v>
      </c>
    </row>
    <row r="3140" spans="1:12" x14ac:dyDescent="0.25">
      <c r="A3140" s="48" t="str">
        <f>IF(Учет!A3140&lt;&gt;"",Учет!A3140,"")</f>
        <v/>
      </c>
      <c r="B3140" s="52">
        <f>IF(Учет!$O3140=Справочники!$F$2,Учет!$H3140,0)</f>
        <v>0</v>
      </c>
      <c r="C3140" s="52">
        <f>IF(Учет!$O3140=Справочники!$F$3,Учет!$H3140,0)</f>
        <v>0</v>
      </c>
      <c r="D3140" s="52">
        <f>IF(Учет!$O3140=Справочники!$F$4,Учет!$H3140,0)</f>
        <v>0</v>
      </c>
      <c r="E3140" s="52">
        <f>IF(Учет!$O3140=Справочники!$F$5,Учет!$H3140,0)</f>
        <v>0</v>
      </c>
      <c r="F3140" s="52">
        <f>IF(Учет!$O3140=Справочники!$F$6,Учет!$H3140,0)</f>
        <v>0</v>
      </c>
      <c r="G3140" s="43">
        <f>G3139+Учет!B3140-B3140</f>
        <v>-488978.92000000004</v>
      </c>
      <c r="H3140" s="43">
        <f>H3139+Учет!C3140-C3140</f>
        <v>336855</v>
      </c>
      <c r="I3140" s="43">
        <f>I3139+Учет!D3140-D3140</f>
        <v>500</v>
      </c>
      <c r="J3140" s="43">
        <f>J3139+Учет!E3140-E3140</f>
        <v>1150</v>
      </c>
      <c r="K3140" s="43">
        <f>K3139+Учет!F3140-F3140</f>
        <v>500000</v>
      </c>
      <c r="L3140" s="45">
        <f>Учет!I3140</f>
        <v>349526.07999999996</v>
      </c>
    </row>
    <row r="3141" spans="1:12" x14ac:dyDescent="0.25">
      <c r="A3141" s="48" t="str">
        <f>IF(Учет!A3141&lt;&gt;"",Учет!A3141,"")</f>
        <v/>
      </c>
      <c r="B3141" s="52">
        <f>IF(Учет!$O3141=Справочники!$F$2,Учет!$H3141,0)</f>
        <v>0</v>
      </c>
      <c r="C3141" s="52">
        <f>IF(Учет!$O3141=Справочники!$F$3,Учет!$H3141,0)</f>
        <v>0</v>
      </c>
      <c r="D3141" s="52">
        <f>IF(Учет!$O3141=Справочники!$F$4,Учет!$H3141,0)</f>
        <v>0</v>
      </c>
      <c r="E3141" s="52">
        <f>IF(Учет!$O3141=Справочники!$F$5,Учет!$H3141,0)</f>
        <v>0</v>
      </c>
      <c r="F3141" s="52">
        <f>IF(Учет!$O3141=Справочники!$F$6,Учет!$H3141,0)</f>
        <v>0</v>
      </c>
      <c r="G3141" s="43">
        <f>G3140+Учет!B3141-B3141</f>
        <v>-488978.92000000004</v>
      </c>
      <c r="H3141" s="43">
        <f>H3140+Учет!C3141-C3141</f>
        <v>336855</v>
      </c>
      <c r="I3141" s="43">
        <f>I3140+Учет!D3141-D3141</f>
        <v>500</v>
      </c>
      <c r="J3141" s="43">
        <f>J3140+Учет!E3141-E3141</f>
        <v>1150</v>
      </c>
      <c r="K3141" s="43">
        <f>K3140+Учет!F3141-F3141</f>
        <v>500000</v>
      </c>
      <c r="L3141" s="45">
        <f>Учет!I3141</f>
        <v>349526.07999999996</v>
      </c>
    </row>
    <row r="3142" spans="1:12" x14ac:dyDescent="0.25">
      <c r="A3142" s="48" t="str">
        <f>IF(Учет!A3142&lt;&gt;"",Учет!A3142,"")</f>
        <v/>
      </c>
      <c r="B3142" s="52">
        <f>IF(Учет!$O3142=Справочники!$F$2,Учет!$H3142,0)</f>
        <v>0</v>
      </c>
      <c r="C3142" s="52">
        <f>IF(Учет!$O3142=Справочники!$F$3,Учет!$H3142,0)</f>
        <v>0</v>
      </c>
      <c r="D3142" s="52">
        <f>IF(Учет!$O3142=Справочники!$F$4,Учет!$H3142,0)</f>
        <v>0</v>
      </c>
      <c r="E3142" s="52">
        <f>IF(Учет!$O3142=Справочники!$F$5,Учет!$H3142,0)</f>
        <v>0</v>
      </c>
      <c r="F3142" s="52">
        <f>IF(Учет!$O3142=Справочники!$F$6,Учет!$H3142,0)</f>
        <v>0</v>
      </c>
      <c r="G3142" s="43">
        <f>G3141+Учет!B3142-B3142</f>
        <v>-488978.92000000004</v>
      </c>
      <c r="H3142" s="43">
        <f>H3141+Учет!C3142-C3142</f>
        <v>336855</v>
      </c>
      <c r="I3142" s="43">
        <f>I3141+Учет!D3142-D3142</f>
        <v>500</v>
      </c>
      <c r="J3142" s="43">
        <f>J3141+Учет!E3142-E3142</f>
        <v>1150</v>
      </c>
      <c r="K3142" s="43">
        <f>K3141+Учет!F3142-F3142</f>
        <v>500000</v>
      </c>
      <c r="L3142" s="45">
        <f>Учет!I3142</f>
        <v>349526.07999999996</v>
      </c>
    </row>
    <row r="3143" spans="1:12" x14ac:dyDescent="0.25">
      <c r="A3143" s="48" t="str">
        <f>IF(Учет!A3143&lt;&gt;"",Учет!A3143,"")</f>
        <v/>
      </c>
      <c r="B3143" s="52">
        <f>IF(Учет!$O3143=Справочники!$F$2,Учет!$H3143,0)</f>
        <v>0</v>
      </c>
      <c r="C3143" s="52">
        <f>IF(Учет!$O3143=Справочники!$F$3,Учет!$H3143,0)</f>
        <v>0</v>
      </c>
      <c r="D3143" s="52">
        <f>IF(Учет!$O3143=Справочники!$F$4,Учет!$H3143,0)</f>
        <v>0</v>
      </c>
      <c r="E3143" s="52">
        <f>IF(Учет!$O3143=Справочники!$F$5,Учет!$H3143,0)</f>
        <v>0</v>
      </c>
      <c r="F3143" s="52">
        <f>IF(Учет!$O3143=Справочники!$F$6,Учет!$H3143,0)</f>
        <v>0</v>
      </c>
      <c r="G3143" s="43">
        <f>G3142+Учет!B3143-B3143</f>
        <v>-488978.92000000004</v>
      </c>
      <c r="H3143" s="43">
        <f>H3142+Учет!C3143-C3143</f>
        <v>336855</v>
      </c>
      <c r="I3143" s="43">
        <f>I3142+Учет!D3143-D3143</f>
        <v>500</v>
      </c>
      <c r="J3143" s="43">
        <f>J3142+Учет!E3143-E3143</f>
        <v>1150</v>
      </c>
      <c r="K3143" s="43">
        <f>K3142+Учет!F3143-F3143</f>
        <v>500000</v>
      </c>
      <c r="L3143" s="45">
        <f>Учет!I3143</f>
        <v>349526.07999999996</v>
      </c>
    </row>
    <row r="3144" spans="1:12" x14ac:dyDescent="0.25">
      <c r="A3144" s="48" t="str">
        <f>IF(Учет!A3144&lt;&gt;"",Учет!A3144,"")</f>
        <v/>
      </c>
      <c r="B3144" s="52">
        <f>IF(Учет!$O3144=Справочники!$F$2,Учет!$H3144,0)</f>
        <v>0</v>
      </c>
      <c r="C3144" s="52">
        <f>IF(Учет!$O3144=Справочники!$F$3,Учет!$H3144,0)</f>
        <v>0</v>
      </c>
      <c r="D3144" s="52">
        <f>IF(Учет!$O3144=Справочники!$F$4,Учет!$H3144,0)</f>
        <v>0</v>
      </c>
      <c r="E3144" s="52">
        <f>IF(Учет!$O3144=Справочники!$F$5,Учет!$H3144,0)</f>
        <v>0</v>
      </c>
      <c r="F3144" s="52">
        <f>IF(Учет!$O3144=Справочники!$F$6,Учет!$H3144,0)</f>
        <v>0</v>
      </c>
      <c r="G3144" s="43">
        <f>G3143+Учет!B3144-B3144</f>
        <v>-488978.92000000004</v>
      </c>
      <c r="H3144" s="43">
        <f>H3143+Учет!C3144-C3144</f>
        <v>336855</v>
      </c>
      <c r="I3144" s="43">
        <f>I3143+Учет!D3144-D3144</f>
        <v>500</v>
      </c>
      <c r="J3144" s="43">
        <f>J3143+Учет!E3144-E3144</f>
        <v>1150</v>
      </c>
      <c r="K3144" s="43">
        <f>K3143+Учет!F3144-F3144</f>
        <v>500000</v>
      </c>
      <c r="L3144" s="45">
        <f>Учет!I3144</f>
        <v>349526.07999999996</v>
      </c>
    </row>
    <row r="3145" spans="1:12" x14ac:dyDescent="0.25">
      <c r="A3145" s="48" t="str">
        <f>IF(Учет!A3145&lt;&gt;"",Учет!A3145,"")</f>
        <v/>
      </c>
      <c r="B3145" s="52">
        <f>IF(Учет!$O3145=Справочники!$F$2,Учет!$H3145,0)</f>
        <v>0</v>
      </c>
      <c r="C3145" s="52">
        <f>IF(Учет!$O3145=Справочники!$F$3,Учет!$H3145,0)</f>
        <v>0</v>
      </c>
      <c r="D3145" s="52">
        <f>IF(Учет!$O3145=Справочники!$F$4,Учет!$H3145,0)</f>
        <v>0</v>
      </c>
      <c r="E3145" s="52">
        <f>IF(Учет!$O3145=Справочники!$F$5,Учет!$H3145,0)</f>
        <v>0</v>
      </c>
      <c r="F3145" s="52">
        <f>IF(Учет!$O3145=Справочники!$F$6,Учет!$H3145,0)</f>
        <v>0</v>
      </c>
      <c r="G3145" s="43">
        <f>G3144+Учет!B3145-B3145</f>
        <v>-488978.92000000004</v>
      </c>
      <c r="H3145" s="43">
        <f>H3144+Учет!C3145-C3145</f>
        <v>336855</v>
      </c>
      <c r="I3145" s="43">
        <f>I3144+Учет!D3145-D3145</f>
        <v>500</v>
      </c>
      <c r="J3145" s="43">
        <f>J3144+Учет!E3145-E3145</f>
        <v>1150</v>
      </c>
      <c r="K3145" s="43">
        <f>K3144+Учет!F3145-F3145</f>
        <v>500000</v>
      </c>
      <c r="L3145" s="45">
        <f>Учет!I3145</f>
        <v>349526.07999999996</v>
      </c>
    </row>
    <row r="3146" spans="1:12" x14ac:dyDescent="0.25">
      <c r="A3146" s="48" t="str">
        <f>IF(Учет!A3146&lt;&gt;"",Учет!A3146,"")</f>
        <v/>
      </c>
      <c r="B3146" s="52">
        <f>IF(Учет!$O3146=Справочники!$F$2,Учет!$H3146,0)</f>
        <v>0</v>
      </c>
      <c r="C3146" s="52">
        <f>IF(Учет!$O3146=Справочники!$F$3,Учет!$H3146,0)</f>
        <v>0</v>
      </c>
      <c r="D3146" s="52">
        <f>IF(Учет!$O3146=Справочники!$F$4,Учет!$H3146,0)</f>
        <v>0</v>
      </c>
      <c r="E3146" s="52">
        <f>IF(Учет!$O3146=Справочники!$F$5,Учет!$H3146,0)</f>
        <v>0</v>
      </c>
      <c r="F3146" s="52">
        <f>IF(Учет!$O3146=Справочники!$F$6,Учет!$H3146,0)</f>
        <v>0</v>
      </c>
      <c r="G3146" s="43">
        <f>G3145+Учет!B3146-B3146</f>
        <v>-488978.92000000004</v>
      </c>
      <c r="H3146" s="43">
        <f>H3145+Учет!C3146-C3146</f>
        <v>336855</v>
      </c>
      <c r="I3146" s="43">
        <f>I3145+Учет!D3146-D3146</f>
        <v>500</v>
      </c>
      <c r="J3146" s="43">
        <f>J3145+Учет!E3146-E3146</f>
        <v>1150</v>
      </c>
      <c r="K3146" s="43">
        <f>K3145+Учет!F3146-F3146</f>
        <v>500000</v>
      </c>
      <c r="L3146" s="45">
        <f>Учет!I3146</f>
        <v>349526.07999999996</v>
      </c>
    </row>
    <row r="3147" spans="1:12" x14ac:dyDescent="0.25">
      <c r="A3147" s="48" t="str">
        <f>IF(Учет!A3147&lt;&gt;"",Учет!A3147,"")</f>
        <v/>
      </c>
      <c r="B3147" s="52">
        <f>IF(Учет!$O3147=Справочники!$F$2,Учет!$H3147,0)</f>
        <v>0</v>
      </c>
      <c r="C3147" s="52">
        <f>IF(Учет!$O3147=Справочники!$F$3,Учет!$H3147,0)</f>
        <v>0</v>
      </c>
      <c r="D3147" s="52">
        <f>IF(Учет!$O3147=Справочники!$F$4,Учет!$H3147,0)</f>
        <v>0</v>
      </c>
      <c r="E3147" s="52">
        <f>IF(Учет!$O3147=Справочники!$F$5,Учет!$H3147,0)</f>
        <v>0</v>
      </c>
      <c r="F3147" s="52">
        <f>IF(Учет!$O3147=Справочники!$F$6,Учет!$H3147,0)</f>
        <v>0</v>
      </c>
      <c r="G3147" s="43">
        <f>G3146+Учет!B3147-B3147</f>
        <v>-488978.92000000004</v>
      </c>
      <c r="H3147" s="43">
        <f>H3146+Учет!C3147-C3147</f>
        <v>336855</v>
      </c>
      <c r="I3147" s="43">
        <f>I3146+Учет!D3147-D3147</f>
        <v>500</v>
      </c>
      <c r="J3147" s="43">
        <f>J3146+Учет!E3147-E3147</f>
        <v>1150</v>
      </c>
      <c r="K3147" s="43">
        <f>K3146+Учет!F3147-F3147</f>
        <v>500000</v>
      </c>
      <c r="L3147" s="45">
        <f>Учет!I3147</f>
        <v>349526.07999999996</v>
      </c>
    </row>
    <row r="3148" spans="1:12" x14ac:dyDescent="0.25">
      <c r="A3148" s="48" t="str">
        <f>IF(Учет!A3148&lt;&gt;"",Учет!A3148,"")</f>
        <v/>
      </c>
      <c r="B3148" s="52">
        <f>IF(Учет!$O3148=Справочники!$F$2,Учет!$H3148,0)</f>
        <v>0</v>
      </c>
      <c r="C3148" s="52">
        <f>IF(Учет!$O3148=Справочники!$F$3,Учет!$H3148,0)</f>
        <v>0</v>
      </c>
      <c r="D3148" s="52">
        <f>IF(Учет!$O3148=Справочники!$F$4,Учет!$H3148,0)</f>
        <v>0</v>
      </c>
      <c r="E3148" s="52">
        <f>IF(Учет!$O3148=Справочники!$F$5,Учет!$H3148,0)</f>
        <v>0</v>
      </c>
      <c r="F3148" s="52">
        <f>IF(Учет!$O3148=Справочники!$F$6,Учет!$H3148,0)</f>
        <v>0</v>
      </c>
      <c r="G3148" s="43">
        <f>G3147+Учет!B3148-B3148</f>
        <v>-488978.92000000004</v>
      </c>
      <c r="H3148" s="43">
        <f>H3147+Учет!C3148-C3148</f>
        <v>336855</v>
      </c>
      <c r="I3148" s="43">
        <f>I3147+Учет!D3148-D3148</f>
        <v>500</v>
      </c>
      <c r="J3148" s="43">
        <f>J3147+Учет!E3148-E3148</f>
        <v>1150</v>
      </c>
      <c r="K3148" s="43">
        <f>K3147+Учет!F3148-F3148</f>
        <v>500000</v>
      </c>
      <c r="L3148" s="45">
        <f>Учет!I3148</f>
        <v>349526.07999999996</v>
      </c>
    </row>
    <row r="3149" spans="1:12" x14ac:dyDescent="0.25">
      <c r="A3149" s="48" t="str">
        <f>IF(Учет!A3149&lt;&gt;"",Учет!A3149,"")</f>
        <v/>
      </c>
      <c r="B3149" s="52">
        <f>IF(Учет!$O3149=Справочники!$F$2,Учет!$H3149,0)</f>
        <v>0</v>
      </c>
      <c r="C3149" s="52">
        <f>IF(Учет!$O3149=Справочники!$F$3,Учет!$H3149,0)</f>
        <v>0</v>
      </c>
      <c r="D3149" s="52">
        <f>IF(Учет!$O3149=Справочники!$F$4,Учет!$H3149,0)</f>
        <v>0</v>
      </c>
      <c r="E3149" s="52">
        <f>IF(Учет!$O3149=Справочники!$F$5,Учет!$H3149,0)</f>
        <v>0</v>
      </c>
      <c r="F3149" s="52">
        <f>IF(Учет!$O3149=Справочники!$F$6,Учет!$H3149,0)</f>
        <v>0</v>
      </c>
      <c r="G3149" s="43">
        <f>G3148+Учет!B3149-B3149</f>
        <v>-488978.92000000004</v>
      </c>
      <c r="H3149" s="43">
        <f>H3148+Учет!C3149-C3149</f>
        <v>336855</v>
      </c>
      <c r="I3149" s="43">
        <f>I3148+Учет!D3149-D3149</f>
        <v>500</v>
      </c>
      <c r="J3149" s="43">
        <f>J3148+Учет!E3149-E3149</f>
        <v>1150</v>
      </c>
      <c r="K3149" s="43">
        <f>K3148+Учет!F3149-F3149</f>
        <v>500000</v>
      </c>
      <c r="L3149" s="45">
        <f>Учет!I3149</f>
        <v>349526.07999999996</v>
      </c>
    </row>
    <row r="3150" spans="1:12" x14ac:dyDescent="0.25">
      <c r="A3150" s="48" t="str">
        <f>IF(Учет!A3150&lt;&gt;"",Учет!A3150,"")</f>
        <v/>
      </c>
      <c r="B3150" s="52">
        <f>IF(Учет!$O3150=Справочники!$F$2,Учет!$H3150,0)</f>
        <v>0</v>
      </c>
      <c r="C3150" s="52">
        <f>IF(Учет!$O3150=Справочники!$F$3,Учет!$H3150,0)</f>
        <v>0</v>
      </c>
      <c r="D3150" s="52">
        <f>IF(Учет!$O3150=Справочники!$F$4,Учет!$H3150,0)</f>
        <v>0</v>
      </c>
      <c r="E3150" s="52">
        <f>IF(Учет!$O3150=Справочники!$F$5,Учет!$H3150,0)</f>
        <v>0</v>
      </c>
      <c r="F3150" s="52">
        <f>IF(Учет!$O3150=Справочники!$F$6,Учет!$H3150,0)</f>
        <v>0</v>
      </c>
      <c r="G3150" s="43">
        <f>G3149+Учет!B3150-B3150</f>
        <v>-488978.92000000004</v>
      </c>
      <c r="H3150" s="43">
        <f>H3149+Учет!C3150-C3150</f>
        <v>336855</v>
      </c>
      <c r="I3150" s="43">
        <f>I3149+Учет!D3150-D3150</f>
        <v>500</v>
      </c>
      <c r="J3150" s="43">
        <f>J3149+Учет!E3150-E3150</f>
        <v>1150</v>
      </c>
      <c r="K3150" s="43">
        <f>K3149+Учет!F3150-F3150</f>
        <v>500000</v>
      </c>
      <c r="L3150" s="45">
        <f>Учет!I3150</f>
        <v>349526.07999999996</v>
      </c>
    </row>
    <row r="3151" spans="1:12" x14ac:dyDescent="0.25">
      <c r="A3151" s="48" t="str">
        <f>IF(Учет!A3151&lt;&gt;"",Учет!A3151,"")</f>
        <v/>
      </c>
      <c r="B3151" s="52">
        <f>IF(Учет!$O3151=Справочники!$F$2,Учет!$H3151,0)</f>
        <v>0</v>
      </c>
      <c r="C3151" s="52">
        <f>IF(Учет!$O3151=Справочники!$F$3,Учет!$H3151,0)</f>
        <v>0</v>
      </c>
      <c r="D3151" s="52">
        <f>IF(Учет!$O3151=Справочники!$F$4,Учет!$H3151,0)</f>
        <v>0</v>
      </c>
      <c r="E3151" s="52">
        <f>IF(Учет!$O3151=Справочники!$F$5,Учет!$H3151,0)</f>
        <v>0</v>
      </c>
      <c r="F3151" s="52">
        <f>IF(Учет!$O3151=Справочники!$F$6,Учет!$H3151,0)</f>
        <v>0</v>
      </c>
      <c r="G3151" s="43">
        <f>G3150+Учет!B3151-B3151</f>
        <v>-488978.92000000004</v>
      </c>
      <c r="H3151" s="43">
        <f>H3150+Учет!C3151-C3151</f>
        <v>336855</v>
      </c>
      <c r="I3151" s="43">
        <f>I3150+Учет!D3151-D3151</f>
        <v>500</v>
      </c>
      <c r="J3151" s="43">
        <f>J3150+Учет!E3151-E3151</f>
        <v>1150</v>
      </c>
      <c r="K3151" s="43">
        <f>K3150+Учет!F3151-F3151</f>
        <v>500000</v>
      </c>
      <c r="L3151" s="45">
        <f>Учет!I3151</f>
        <v>349526.07999999996</v>
      </c>
    </row>
    <row r="3152" spans="1:12" x14ac:dyDescent="0.25">
      <c r="A3152" s="48" t="str">
        <f>IF(Учет!A3152&lt;&gt;"",Учет!A3152,"")</f>
        <v/>
      </c>
      <c r="B3152" s="52">
        <f>IF(Учет!$O3152=Справочники!$F$2,Учет!$H3152,0)</f>
        <v>0</v>
      </c>
      <c r="C3152" s="52">
        <f>IF(Учет!$O3152=Справочники!$F$3,Учет!$H3152,0)</f>
        <v>0</v>
      </c>
      <c r="D3152" s="52">
        <f>IF(Учет!$O3152=Справочники!$F$4,Учет!$H3152,0)</f>
        <v>0</v>
      </c>
      <c r="E3152" s="52">
        <f>IF(Учет!$O3152=Справочники!$F$5,Учет!$H3152,0)</f>
        <v>0</v>
      </c>
      <c r="F3152" s="52">
        <f>IF(Учет!$O3152=Справочники!$F$6,Учет!$H3152,0)</f>
        <v>0</v>
      </c>
      <c r="G3152" s="43">
        <f>G3151+Учет!B3152-B3152</f>
        <v>-488978.92000000004</v>
      </c>
      <c r="H3152" s="43">
        <f>H3151+Учет!C3152-C3152</f>
        <v>336855</v>
      </c>
      <c r="I3152" s="43">
        <f>I3151+Учет!D3152-D3152</f>
        <v>500</v>
      </c>
      <c r="J3152" s="43">
        <f>J3151+Учет!E3152-E3152</f>
        <v>1150</v>
      </c>
      <c r="K3152" s="43">
        <f>K3151+Учет!F3152-F3152</f>
        <v>500000</v>
      </c>
      <c r="L3152" s="45">
        <f>Учет!I3152</f>
        <v>349526.07999999996</v>
      </c>
    </row>
    <row r="3153" spans="1:12" x14ac:dyDescent="0.25">
      <c r="A3153" s="48" t="str">
        <f>IF(Учет!A3153&lt;&gt;"",Учет!A3153,"")</f>
        <v/>
      </c>
      <c r="B3153" s="52">
        <f>IF(Учет!$O3153=Справочники!$F$2,Учет!$H3153,0)</f>
        <v>0</v>
      </c>
      <c r="C3153" s="52">
        <f>IF(Учет!$O3153=Справочники!$F$3,Учет!$H3153,0)</f>
        <v>0</v>
      </c>
      <c r="D3153" s="52">
        <f>IF(Учет!$O3153=Справочники!$F$4,Учет!$H3153,0)</f>
        <v>0</v>
      </c>
      <c r="E3153" s="52">
        <f>IF(Учет!$O3153=Справочники!$F$5,Учет!$H3153,0)</f>
        <v>0</v>
      </c>
      <c r="F3153" s="52">
        <f>IF(Учет!$O3153=Справочники!$F$6,Учет!$H3153,0)</f>
        <v>0</v>
      </c>
      <c r="G3153" s="43">
        <f>G3152+Учет!B3153-B3153</f>
        <v>-488978.92000000004</v>
      </c>
      <c r="H3153" s="43">
        <f>H3152+Учет!C3153-C3153</f>
        <v>336855</v>
      </c>
      <c r="I3153" s="43">
        <f>I3152+Учет!D3153-D3153</f>
        <v>500</v>
      </c>
      <c r="J3153" s="43">
        <f>J3152+Учет!E3153-E3153</f>
        <v>1150</v>
      </c>
      <c r="K3153" s="43">
        <f>K3152+Учет!F3153-F3153</f>
        <v>500000</v>
      </c>
      <c r="L3153" s="45">
        <f>Учет!I3153</f>
        <v>349526.07999999996</v>
      </c>
    </row>
    <row r="3154" spans="1:12" x14ac:dyDescent="0.25">
      <c r="A3154" s="48" t="str">
        <f>IF(Учет!A3154&lt;&gt;"",Учет!A3154,"")</f>
        <v/>
      </c>
      <c r="B3154" s="52">
        <f>IF(Учет!$O3154=Справочники!$F$2,Учет!$H3154,0)</f>
        <v>0</v>
      </c>
      <c r="C3154" s="52">
        <f>IF(Учет!$O3154=Справочники!$F$3,Учет!$H3154,0)</f>
        <v>0</v>
      </c>
      <c r="D3154" s="52">
        <f>IF(Учет!$O3154=Справочники!$F$4,Учет!$H3154,0)</f>
        <v>0</v>
      </c>
      <c r="E3154" s="52">
        <f>IF(Учет!$O3154=Справочники!$F$5,Учет!$H3154,0)</f>
        <v>0</v>
      </c>
      <c r="F3154" s="52">
        <f>IF(Учет!$O3154=Справочники!$F$6,Учет!$H3154,0)</f>
        <v>0</v>
      </c>
      <c r="G3154" s="43">
        <f>G3153+Учет!B3154-B3154</f>
        <v>-488978.92000000004</v>
      </c>
      <c r="H3154" s="43">
        <f>H3153+Учет!C3154-C3154</f>
        <v>336855</v>
      </c>
      <c r="I3154" s="43">
        <f>I3153+Учет!D3154-D3154</f>
        <v>500</v>
      </c>
      <c r="J3154" s="43">
        <f>J3153+Учет!E3154-E3154</f>
        <v>1150</v>
      </c>
      <c r="K3154" s="43">
        <f>K3153+Учет!F3154-F3154</f>
        <v>500000</v>
      </c>
      <c r="L3154" s="45">
        <f>Учет!I3154</f>
        <v>349526.07999999996</v>
      </c>
    </row>
    <row r="3155" spans="1:12" x14ac:dyDescent="0.25">
      <c r="A3155" s="48" t="str">
        <f>IF(Учет!A3155&lt;&gt;"",Учет!A3155,"")</f>
        <v/>
      </c>
      <c r="B3155" s="52">
        <f>IF(Учет!$O3155=Справочники!$F$2,Учет!$H3155,0)</f>
        <v>0</v>
      </c>
      <c r="C3155" s="52">
        <f>IF(Учет!$O3155=Справочники!$F$3,Учет!$H3155,0)</f>
        <v>0</v>
      </c>
      <c r="D3155" s="52">
        <f>IF(Учет!$O3155=Справочники!$F$4,Учет!$H3155,0)</f>
        <v>0</v>
      </c>
      <c r="E3155" s="52">
        <f>IF(Учет!$O3155=Справочники!$F$5,Учет!$H3155,0)</f>
        <v>0</v>
      </c>
      <c r="F3155" s="52">
        <f>IF(Учет!$O3155=Справочники!$F$6,Учет!$H3155,0)</f>
        <v>0</v>
      </c>
      <c r="G3155" s="43">
        <f>G3154+Учет!B3155-B3155</f>
        <v>-488978.92000000004</v>
      </c>
      <c r="H3155" s="43">
        <f>H3154+Учет!C3155-C3155</f>
        <v>336855</v>
      </c>
      <c r="I3155" s="43">
        <f>I3154+Учет!D3155-D3155</f>
        <v>500</v>
      </c>
      <c r="J3155" s="43">
        <f>J3154+Учет!E3155-E3155</f>
        <v>1150</v>
      </c>
      <c r="K3155" s="43">
        <f>K3154+Учет!F3155-F3155</f>
        <v>500000</v>
      </c>
      <c r="L3155" s="45">
        <f>Учет!I3155</f>
        <v>349526.07999999996</v>
      </c>
    </row>
    <row r="3156" spans="1:12" x14ac:dyDescent="0.25">
      <c r="A3156" s="48" t="str">
        <f>IF(Учет!A3156&lt;&gt;"",Учет!A3156,"")</f>
        <v/>
      </c>
      <c r="B3156" s="52">
        <f>IF(Учет!$O3156=Справочники!$F$2,Учет!$H3156,0)</f>
        <v>0</v>
      </c>
      <c r="C3156" s="52">
        <f>IF(Учет!$O3156=Справочники!$F$3,Учет!$H3156,0)</f>
        <v>0</v>
      </c>
      <c r="D3156" s="52">
        <f>IF(Учет!$O3156=Справочники!$F$4,Учет!$H3156,0)</f>
        <v>0</v>
      </c>
      <c r="E3156" s="52">
        <f>IF(Учет!$O3156=Справочники!$F$5,Учет!$H3156,0)</f>
        <v>0</v>
      </c>
      <c r="F3156" s="52">
        <f>IF(Учет!$O3156=Справочники!$F$6,Учет!$H3156,0)</f>
        <v>0</v>
      </c>
      <c r="G3156" s="43">
        <f>G3155+Учет!B3156-B3156</f>
        <v>-488978.92000000004</v>
      </c>
      <c r="H3156" s="43">
        <f>H3155+Учет!C3156-C3156</f>
        <v>336855</v>
      </c>
      <c r="I3156" s="43">
        <f>I3155+Учет!D3156-D3156</f>
        <v>500</v>
      </c>
      <c r="J3156" s="43">
        <f>J3155+Учет!E3156-E3156</f>
        <v>1150</v>
      </c>
      <c r="K3156" s="43">
        <f>K3155+Учет!F3156-F3156</f>
        <v>500000</v>
      </c>
      <c r="L3156" s="45">
        <f>Учет!I3156</f>
        <v>349526.07999999996</v>
      </c>
    </row>
    <row r="3157" spans="1:12" x14ac:dyDescent="0.25">
      <c r="A3157" s="48" t="str">
        <f>IF(Учет!A3157&lt;&gt;"",Учет!A3157,"")</f>
        <v/>
      </c>
      <c r="B3157" s="52">
        <f>IF(Учет!$O3157=Справочники!$F$2,Учет!$H3157,0)</f>
        <v>0</v>
      </c>
      <c r="C3157" s="52">
        <f>IF(Учет!$O3157=Справочники!$F$3,Учет!$H3157,0)</f>
        <v>0</v>
      </c>
      <c r="D3157" s="52">
        <f>IF(Учет!$O3157=Справочники!$F$4,Учет!$H3157,0)</f>
        <v>0</v>
      </c>
      <c r="E3157" s="52">
        <f>IF(Учет!$O3157=Справочники!$F$5,Учет!$H3157,0)</f>
        <v>0</v>
      </c>
      <c r="F3157" s="52">
        <f>IF(Учет!$O3157=Справочники!$F$6,Учет!$H3157,0)</f>
        <v>0</v>
      </c>
      <c r="G3157" s="43">
        <f>G3156+Учет!B3157-B3157</f>
        <v>-488978.92000000004</v>
      </c>
      <c r="H3157" s="43">
        <f>H3156+Учет!C3157-C3157</f>
        <v>336855</v>
      </c>
      <c r="I3157" s="43">
        <f>I3156+Учет!D3157-D3157</f>
        <v>500</v>
      </c>
      <c r="J3157" s="43">
        <f>J3156+Учет!E3157-E3157</f>
        <v>1150</v>
      </c>
      <c r="K3157" s="43">
        <f>K3156+Учет!F3157-F3157</f>
        <v>500000</v>
      </c>
      <c r="L3157" s="45">
        <f>Учет!I3157</f>
        <v>349526.07999999996</v>
      </c>
    </row>
    <row r="3158" spans="1:12" x14ac:dyDescent="0.25">
      <c r="A3158" s="48" t="str">
        <f>IF(Учет!A3158&lt;&gt;"",Учет!A3158,"")</f>
        <v/>
      </c>
      <c r="B3158" s="52">
        <f>IF(Учет!$O3158=Справочники!$F$2,Учет!$H3158,0)</f>
        <v>0</v>
      </c>
      <c r="C3158" s="52">
        <f>IF(Учет!$O3158=Справочники!$F$3,Учет!$H3158,0)</f>
        <v>0</v>
      </c>
      <c r="D3158" s="52">
        <f>IF(Учет!$O3158=Справочники!$F$4,Учет!$H3158,0)</f>
        <v>0</v>
      </c>
      <c r="E3158" s="52">
        <f>IF(Учет!$O3158=Справочники!$F$5,Учет!$H3158,0)</f>
        <v>0</v>
      </c>
      <c r="F3158" s="52">
        <f>IF(Учет!$O3158=Справочники!$F$6,Учет!$H3158,0)</f>
        <v>0</v>
      </c>
      <c r="G3158" s="43">
        <f>G3157+Учет!B3158-B3158</f>
        <v>-488978.92000000004</v>
      </c>
      <c r="H3158" s="43">
        <f>H3157+Учет!C3158-C3158</f>
        <v>336855</v>
      </c>
      <c r="I3158" s="43">
        <f>I3157+Учет!D3158-D3158</f>
        <v>500</v>
      </c>
      <c r="J3158" s="43">
        <f>J3157+Учет!E3158-E3158</f>
        <v>1150</v>
      </c>
      <c r="K3158" s="43">
        <f>K3157+Учет!F3158-F3158</f>
        <v>500000</v>
      </c>
      <c r="L3158" s="45">
        <f>Учет!I3158</f>
        <v>349526.07999999996</v>
      </c>
    </row>
    <row r="3159" spans="1:12" x14ac:dyDescent="0.25">
      <c r="A3159" s="48" t="str">
        <f>IF(Учет!A3159&lt;&gt;"",Учет!A3159,"")</f>
        <v/>
      </c>
      <c r="B3159" s="52">
        <f>IF(Учет!$O3159=Справочники!$F$2,Учет!$H3159,0)</f>
        <v>0</v>
      </c>
      <c r="C3159" s="52">
        <f>IF(Учет!$O3159=Справочники!$F$3,Учет!$H3159,0)</f>
        <v>0</v>
      </c>
      <c r="D3159" s="52">
        <f>IF(Учет!$O3159=Справочники!$F$4,Учет!$H3159,0)</f>
        <v>0</v>
      </c>
      <c r="E3159" s="52">
        <f>IF(Учет!$O3159=Справочники!$F$5,Учет!$H3159,0)</f>
        <v>0</v>
      </c>
      <c r="F3159" s="52">
        <f>IF(Учет!$O3159=Справочники!$F$6,Учет!$H3159,0)</f>
        <v>0</v>
      </c>
      <c r="G3159" s="43">
        <f>G3158+Учет!B3159-B3159</f>
        <v>-488978.92000000004</v>
      </c>
      <c r="H3159" s="43">
        <f>H3158+Учет!C3159-C3159</f>
        <v>336855</v>
      </c>
      <c r="I3159" s="43">
        <f>I3158+Учет!D3159-D3159</f>
        <v>500</v>
      </c>
      <c r="J3159" s="43">
        <f>J3158+Учет!E3159-E3159</f>
        <v>1150</v>
      </c>
      <c r="K3159" s="43">
        <f>K3158+Учет!F3159-F3159</f>
        <v>500000</v>
      </c>
      <c r="L3159" s="45">
        <f>Учет!I3159</f>
        <v>349526.07999999996</v>
      </c>
    </row>
    <row r="3160" spans="1:12" x14ac:dyDescent="0.25">
      <c r="A3160" s="48" t="str">
        <f>IF(Учет!A3160&lt;&gt;"",Учет!A3160,"")</f>
        <v/>
      </c>
      <c r="B3160" s="52">
        <f>IF(Учет!$O3160=Справочники!$F$2,Учет!$H3160,0)</f>
        <v>0</v>
      </c>
      <c r="C3160" s="52">
        <f>IF(Учет!$O3160=Справочники!$F$3,Учет!$H3160,0)</f>
        <v>0</v>
      </c>
      <c r="D3160" s="52">
        <f>IF(Учет!$O3160=Справочники!$F$4,Учет!$H3160,0)</f>
        <v>0</v>
      </c>
      <c r="E3160" s="52">
        <f>IF(Учет!$O3160=Справочники!$F$5,Учет!$H3160,0)</f>
        <v>0</v>
      </c>
      <c r="F3160" s="52">
        <f>IF(Учет!$O3160=Справочники!$F$6,Учет!$H3160,0)</f>
        <v>0</v>
      </c>
      <c r="G3160" s="43">
        <f>G3159+Учет!B3160-B3160</f>
        <v>-488978.92000000004</v>
      </c>
      <c r="H3160" s="43">
        <f>H3159+Учет!C3160-C3160</f>
        <v>336855</v>
      </c>
      <c r="I3160" s="43">
        <f>I3159+Учет!D3160-D3160</f>
        <v>500</v>
      </c>
      <c r="J3160" s="43">
        <f>J3159+Учет!E3160-E3160</f>
        <v>1150</v>
      </c>
      <c r="K3160" s="43">
        <f>K3159+Учет!F3160-F3160</f>
        <v>500000</v>
      </c>
      <c r="L3160" s="45">
        <f>Учет!I3160</f>
        <v>349526.07999999996</v>
      </c>
    </row>
    <row r="3161" spans="1:12" x14ac:dyDescent="0.25">
      <c r="A3161" s="48" t="str">
        <f>IF(Учет!A3161&lt;&gt;"",Учет!A3161,"")</f>
        <v/>
      </c>
      <c r="B3161" s="52">
        <f>IF(Учет!$O3161=Справочники!$F$2,Учет!$H3161,0)</f>
        <v>0</v>
      </c>
      <c r="C3161" s="52">
        <f>IF(Учет!$O3161=Справочники!$F$3,Учет!$H3161,0)</f>
        <v>0</v>
      </c>
      <c r="D3161" s="52">
        <f>IF(Учет!$O3161=Справочники!$F$4,Учет!$H3161,0)</f>
        <v>0</v>
      </c>
      <c r="E3161" s="52">
        <f>IF(Учет!$O3161=Справочники!$F$5,Учет!$H3161,0)</f>
        <v>0</v>
      </c>
      <c r="F3161" s="52">
        <f>IF(Учет!$O3161=Справочники!$F$6,Учет!$H3161,0)</f>
        <v>0</v>
      </c>
      <c r="G3161" s="43">
        <f>G3160+Учет!B3161-B3161</f>
        <v>-488978.92000000004</v>
      </c>
      <c r="H3161" s="43">
        <f>H3160+Учет!C3161-C3161</f>
        <v>336855</v>
      </c>
      <c r="I3161" s="43">
        <f>I3160+Учет!D3161-D3161</f>
        <v>500</v>
      </c>
      <c r="J3161" s="43">
        <f>J3160+Учет!E3161-E3161</f>
        <v>1150</v>
      </c>
      <c r="K3161" s="43">
        <f>K3160+Учет!F3161-F3161</f>
        <v>500000</v>
      </c>
      <c r="L3161" s="45">
        <f>Учет!I3161</f>
        <v>349526.07999999996</v>
      </c>
    </row>
    <row r="3162" spans="1:12" x14ac:dyDescent="0.25">
      <c r="A3162" s="48" t="str">
        <f>IF(Учет!A3162&lt;&gt;"",Учет!A3162,"")</f>
        <v/>
      </c>
      <c r="B3162" s="52">
        <f>IF(Учет!$O3162=Справочники!$F$2,Учет!$H3162,0)</f>
        <v>0</v>
      </c>
      <c r="C3162" s="52">
        <f>IF(Учет!$O3162=Справочники!$F$3,Учет!$H3162,0)</f>
        <v>0</v>
      </c>
      <c r="D3162" s="52">
        <f>IF(Учет!$O3162=Справочники!$F$4,Учет!$H3162,0)</f>
        <v>0</v>
      </c>
      <c r="E3162" s="52">
        <f>IF(Учет!$O3162=Справочники!$F$5,Учет!$H3162,0)</f>
        <v>0</v>
      </c>
      <c r="F3162" s="52">
        <f>IF(Учет!$O3162=Справочники!$F$6,Учет!$H3162,0)</f>
        <v>0</v>
      </c>
      <c r="G3162" s="43">
        <f>G3161+Учет!B3162-B3162</f>
        <v>-488978.92000000004</v>
      </c>
      <c r="H3162" s="43">
        <f>H3161+Учет!C3162-C3162</f>
        <v>336855</v>
      </c>
      <c r="I3162" s="43">
        <f>I3161+Учет!D3162-D3162</f>
        <v>500</v>
      </c>
      <c r="J3162" s="43">
        <f>J3161+Учет!E3162-E3162</f>
        <v>1150</v>
      </c>
      <c r="K3162" s="43">
        <f>K3161+Учет!F3162-F3162</f>
        <v>500000</v>
      </c>
      <c r="L3162" s="45">
        <f>Учет!I3162</f>
        <v>349526.07999999996</v>
      </c>
    </row>
    <row r="3163" spans="1:12" x14ac:dyDescent="0.25">
      <c r="A3163" s="48" t="str">
        <f>IF(Учет!A3163&lt;&gt;"",Учет!A3163,"")</f>
        <v/>
      </c>
      <c r="B3163" s="52">
        <f>IF(Учет!$O3163=Справочники!$F$2,Учет!$H3163,0)</f>
        <v>0</v>
      </c>
      <c r="C3163" s="52">
        <f>IF(Учет!$O3163=Справочники!$F$3,Учет!$H3163,0)</f>
        <v>0</v>
      </c>
      <c r="D3163" s="52">
        <f>IF(Учет!$O3163=Справочники!$F$4,Учет!$H3163,0)</f>
        <v>0</v>
      </c>
      <c r="E3163" s="52">
        <f>IF(Учет!$O3163=Справочники!$F$5,Учет!$H3163,0)</f>
        <v>0</v>
      </c>
      <c r="F3163" s="52">
        <f>IF(Учет!$O3163=Справочники!$F$6,Учет!$H3163,0)</f>
        <v>0</v>
      </c>
      <c r="G3163" s="43">
        <f>G3162+Учет!B3163-B3163</f>
        <v>-488978.92000000004</v>
      </c>
      <c r="H3163" s="43">
        <f>H3162+Учет!C3163-C3163</f>
        <v>336855</v>
      </c>
      <c r="I3163" s="43">
        <f>I3162+Учет!D3163-D3163</f>
        <v>500</v>
      </c>
      <c r="J3163" s="43">
        <f>J3162+Учет!E3163-E3163</f>
        <v>1150</v>
      </c>
      <c r="K3163" s="43">
        <f>K3162+Учет!F3163-F3163</f>
        <v>500000</v>
      </c>
      <c r="L3163" s="45">
        <f>Учет!I3163</f>
        <v>349526.07999999996</v>
      </c>
    </row>
    <row r="3164" spans="1:12" x14ac:dyDescent="0.25">
      <c r="A3164" s="48" t="str">
        <f>IF(Учет!A3164&lt;&gt;"",Учет!A3164,"")</f>
        <v/>
      </c>
      <c r="B3164" s="52">
        <f>IF(Учет!$O3164=Справочники!$F$2,Учет!$H3164,0)</f>
        <v>0</v>
      </c>
      <c r="C3164" s="52">
        <f>IF(Учет!$O3164=Справочники!$F$3,Учет!$H3164,0)</f>
        <v>0</v>
      </c>
      <c r="D3164" s="52">
        <f>IF(Учет!$O3164=Справочники!$F$4,Учет!$H3164,0)</f>
        <v>0</v>
      </c>
      <c r="E3164" s="52">
        <f>IF(Учет!$O3164=Справочники!$F$5,Учет!$H3164,0)</f>
        <v>0</v>
      </c>
      <c r="F3164" s="52">
        <f>IF(Учет!$O3164=Справочники!$F$6,Учет!$H3164,0)</f>
        <v>0</v>
      </c>
      <c r="G3164" s="43">
        <f>G3163+Учет!B3164-B3164</f>
        <v>-488978.92000000004</v>
      </c>
      <c r="H3164" s="43">
        <f>H3163+Учет!C3164-C3164</f>
        <v>336855</v>
      </c>
      <c r="I3164" s="43">
        <f>I3163+Учет!D3164-D3164</f>
        <v>500</v>
      </c>
      <c r="J3164" s="43">
        <f>J3163+Учет!E3164-E3164</f>
        <v>1150</v>
      </c>
      <c r="K3164" s="43">
        <f>K3163+Учет!F3164-F3164</f>
        <v>500000</v>
      </c>
      <c r="L3164" s="45">
        <f>Учет!I3164</f>
        <v>349526.07999999996</v>
      </c>
    </row>
    <row r="3165" spans="1:12" x14ac:dyDescent="0.25">
      <c r="A3165" s="48" t="str">
        <f>IF(Учет!A3165&lt;&gt;"",Учет!A3165,"")</f>
        <v/>
      </c>
      <c r="B3165" s="52">
        <f>IF(Учет!$O3165=Справочники!$F$2,Учет!$H3165,0)</f>
        <v>0</v>
      </c>
      <c r="C3165" s="52">
        <f>IF(Учет!$O3165=Справочники!$F$3,Учет!$H3165,0)</f>
        <v>0</v>
      </c>
      <c r="D3165" s="52">
        <f>IF(Учет!$O3165=Справочники!$F$4,Учет!$H3165,0)</f>
        <v>0</v>
      </c>
      <c r="E3165" s="52">
        <f>IF(Учет!$O3165=Справочники!$F$5,Учет!$H3165,0)</f>
        <v>0</v>
      </c>
      <c r="F3165" s="52">
        <f>IF(Учет!$O3165=Справочники!$F$6,Учет!$H3165,0)</f>
        <v>0</v>
      </c>
      <c r="G3165" s="43">
        <f>G3164+Учет!B3165-B3165</f>
        <v>-488978.92000000004</v>
      </c>
      <c r="H3165" s="43">
        <f>H3164+Учет!C3165-C3165</f>
        <v>336855</v>
      </c>
      <c r="I3165" s="43">
        <f>I3164+Учет!D3165-D3165</f>
        <v>500</v>
      </c>
      <c r="J3165" s="43">
        <f>J3164+Учет!E3165-E3165</f>
        <v>1150</v>
      </c>
      <c r="K3165" s="43">
        <f>K3164+Учет!F3165-F3165</f>
        <v>500000</v>
      </c>
      <c r="L3165" s="45">
        <f>Учет!I3165</f>
        <v>349526.07999999996</v>
      </c>
    </row>
    <row r="3166" spans="1:12" x14ac:dyDescent="0.25">
      <c r="A3166" s="48" t="str">
        <f>IF(Учет!A3166&lt;&gt;"",Учет!A3166,"")</f>
        <v/>
      </c>
      <c r="B3166" s="52">
        <f>IF(Учет!$O3166=Справочники!$F$2,Учет!$H3166,0)</f>
        <v>0</v>
      </c>
      <c r="C3166" s="52">
        <f>IF(Учет!$O3166=Справочники!$F$3,Учет!$H3166,0)</f>
        <v>0</v>
      </c>
      <c r="D3166" s="52">
        <f>IF(Учет!$O3166=Справочники!$F$4,Учет!$H3166,0)</f>
        <v>0</v>
      </c>
      <c r="E3166" s="52">
        <f>IF(Учет!$O3166=Справочники!$F$5,Учет!$H3166,0)</f>
        <v>0</v>
      </c>
      <c r="F3166" s="52">
        <f>IF(Учет!$O3166=Справочники!$F$6,Учет!$H3166,0)</f>
        <v>0</v>
      </c>
      <c r="G3166" s="43">
        <f>G3165+Учет!B3166-B3166</f>
        <v>-488978.92000000004</v>
      </c>
      <c r="H3166" s="43">
        <f>H3165+Учет!C3166-C3166</f>
        <v>336855</v>
      </c>
      <c r="I3166" s="43">
        <f>I3165+Учет!D3166-D3166</f>
        <v>500</v>
      </c>
      <c r="J3166" s="43">
        <f>J3165+Учет!E3166-E3166</f>
        <v>1150</v>
      </c>
      <c r="K3166" s="43">
        <f>K3165+Учет!F3166-F3166</f>
        <v>500000</v>
      </c>
      <c r="L3166" s="45">
        <f>Учет!I3166</f>
        <v>349526.07999999996</v>
      </c>
    </row>
    <row r="3167" spans="1:12" x14ac:dyDescent="0.25">
      <c r="A3167" s="48" t="str">
        <f>IF(Учет!A3167&lt;&gt;"",Учет!A3167,"")</f>
        <v/>
      </c>
      <c r="B3167" s="52">
        <f>IF(Учет!$O3167=Справочники!$F$2,Учет!$H3167,0)</f>
        <v>0</v>
      </c>
      <c r="C3167" s="52">
        <f>IF(Учет!$O3167=Справочники!$F$3,Учет!$H3167,0)</f>
        <v>0</v>
      </c>
      <c r="D3167" s="52">
        <f>IF(Учет!$O3167=Справочники!$F$4,Учет!$H3167,0)</f>
        <v>0</v>
      </c>
      <c r="E3167" s="52">
        <f>IF(Учет!$O3167=Справочники!$F$5,Учет!$H3167,0)</f>
        <v>0</v>
      </c>
      <c r="F3167" s="52">
        <f>IF(Учет!$O3167=Справочники!$F$6,Учет!$H3167,0)</f>
        <v>0</v>
      </c>
      <c r="G3167" s="43">
        <f>G3166+Учет!B3167-B3167</f>
        <v>-488978.92000000004</v>
      </c>
      <c r="H3167" s="43">
        <f>H3166+Учет!C3167-C3167</f>
        <v>336855</v>
      </c>
      <c r="I3167" s="43">
        <f>I3166+Учет!D3167-D3167</f>
        <v>500</v>
      </c>
      <c r="J3167" s="43">
        <f>J3166+Учет!E3167-E3167</f>
        <v>1150</v>
      </c>
      <c r="K3167" s="43">
        <f>K3166+Учет!F3167-F3167</f>
        <v>500000</v>
      </c>
      <c r="L3167" s="45">
        <f>Учет!I3167</f>
        <v>349526.07999999996</v>
      </c>
    </row>
    <row r="3168" spans="1:12" x14ac:dyDescent="0.25">
      <c r="A3168" s="48" t="str">
        <f>IF(Учет!A3168&lt;&gt;"",Учет!A3168,"")</f>
        <v/>
      </c>
      <c r="B3168" s="52">
        <f>IF(Учет!$O3168=Справочники!$F$2,Учет!$H3168,0)</f>
        <v>0</v>
      </c>
      <c r="C3168" s="52">
        <f>IF(Учет!$O3168=Справочники!$F$3,Учет!$H3168,0)</f>
        <v>0</v>
      </c>
      <c r="D3168" s="52">
        <f>IF(Учет!$O3168=Справочники!$F$4,Учет!$H3168,0)</f>
        <v>0</v>
      </c>
      <c r="E3168" s="52">
        <f>IF(Учет!$O3168=Справочники!$F$5,Учет!$H3168,0)</f>
        <v>0</v>
      </c>
      <c r="F3168" s="52">
        <f>IF(Учет!$O3168=Справочники!$F$6,Учет!$H3168,0)</f>
        <v>0</v>
      </c>
      <c r="G3168" s="43">
        <f>G3167+Учет!B3168-B3168</f>
        <v>-488978.92000000004</v>
      </c>
      <c r="H3168" s="43">
        <f>H3167+Учет!C3168-C3168</f>
        <v>336855</v>
      </c>
      <c r="I3168" s="43">
        <f>I3167+Учет!D3168-D3168</f>
        <v>500</v>
      </c>
      <c r="J3168" s="43">
        <f>J3167+Учет!E3168-E3168</f>
        <v>1150</v>
      </c>
      <c r="K3168" s="43">
        <f>K3167+Учет!F3168-F3168</f>
        <v>500000</v>
      </c>
      <c r="L3168" s="45">
        <f>Учет!I3168</f>
        <v>349526.07999999996</v>
      </c>
    </row>
    <row r="3169" spans="1:12" x14ac:dyDescent="0.25">
      <c r="A3169" s="48" t="str">
        <f>IF(Учет!A3169&lt;&gt;"",Учет!A3169,"")</f>
        <v/>
      </c>
      <c r="B3169" s="52">
        <f>IF(Учет!$O3169=Справочники!$F$2,Учет!$H3169,0)</f>
        <v>0</v>
      </c>
      <c r="C3169" s="52">
        <f>IF(Учет!$O3169=Справочники!$F$3,Учет!$H3169,0)</f>
        <v>0</v>
      </c>
      <c r="D3169" s="52">
        <f>IF(Учет!$O3169=Справочники!$F$4,Учет!$H3169,0)</f>
        <v>0</v>
      </c>
      <c r="E3169" s="52">
        <f>IF(Учет!$O3169=Справочники!$F$5,Учет!$H3169,0)</f>
        <v>0</v>
      </c>
      <c r="F3169" s="52">
        <f>IF(Учет!$O3169=Справочники!$F$6,Учет!$H3169,0)</f>
        <v>0</v>
      </c>
      <c r="G3169" s="43">
        <f>G3168+Учет!B3169-B3169</f>
        <v>-488978.92000000004</v>
      </c>
      <c r="H3169" s="43">
        <f>H3168+Учет!C3169-C3169</f>
        <v>336855</v>
      </c>
      <c r="I3169" s="43">
        <f>I3168+Учет!D3169-D3169</f>
        <v>500</v>
      </c>
      <c r="J3169" s="43">
        <f>J3168+Учет!E3169-E3169</f>
        <v>1150</v>
      </c>
      <c r="K3169" s="43">
        <f>K3168+Учет!F3169-F3169</f>
        <v>500000</v>
      </c>
      <c r="L3169" s="45">
        <f>Учет!I3169</f>
        <v>349526.07999999996</v>
      </c>
    </row>
    <row r="3170" spans="1:12" x14ac:dyDescent="0.25">
      <c r="A3170" s="48" t="str">
        <f>IF(Учет!A3170&lt;&gt;"",Учет!A3170,"")</f>
        <v/>
      </c>
      <c r="B3170" s="52">
        <f>IF(Учет!$O3170=Справочники!$F$2,Учет!$H3170,0)</f>
        <v>0</v>
      </c>
      <c r="C3170" s="52">
        <f>IF(Учет!$O3170=Справочники!$F$3,Учет!$H3170,0)</f>
        <v>0</v>
      </c>
      <c r="D3170" s="52">
        <f>IF(Учет!$O3170=Справочники!$F$4,Учет!$H3170,0)</f>
        <v>0</v>
      </c>
      <c r="E3170" s="52">
        <f>IF(Учет!$O3170=Справочники!$F$5,Учет!$H3170,0)</f>
        <v>0</v>
      </c>
      <c r="F3170" s="52">
        <f>IF(Учет!$O3170=Справочники!$F$6,Учет!$H3170,0)</f>
        <v>0</v>
      </c>
      <c r="G3170" s="43">
        <f>G3169+Учет!B3170-B3170</f>
        <v>-488978.92000000004</v>
      </c>
      <c r="H3170" s="43">
        <f>H3169+Учет!C3170-C3170</f>
        <v>336855</v>
      </c>
      <c r="I3170" s="43">
        <f>I3169+Учет!D3170-D3170</f>
        <v>500</v>
      </c>
      <c r="J3170" s="43">
        <f>J3169+Учет!E3170-E3170</f>
        <v>1150</v>
      </c>
      <c r="K3170" s="43">
        <f>K3169+Учет!F3170-F3170</f>
        <v>500000</v>
      </c>
      <c r="L3170" s="45">
        <f>Учет!I3170</f>
        <v>349526.07999999996</v>
      </c>
    </row>
    <row r="3171" spans="1:12" x14ac:dyDescent="0.25">
      <c r="A3171" s="48" t="str">
        <f>IF(Учет!A3171&lt;&gt;"",Учет!A3171,"")</f>
        <v/>
      </c>
      <c r="B3171" s="52">
        <f>IF(Учет!$O3171=Справочники!$F$2,Учет!$H3171,0)</f>
        <v>0</v>
      </c>
      <c r="C3171" s="52">
        <f>IF(Учет!$O3171=Справочники!$F$3,Учет!$H3171,0)</f>
        <v>0</v>
      </c>
      <c r="D3171" s="52">
        <f>IF(Учет!$O3171=Справочники!$F$4,Учет!$H3171,0)</f>
        <v>0</v>
      </c>
      <c r="E3171" s="52">
        <f>IF(Учет!$O3171=Справочники!$F$5,Учет!$H3171,0)</f>
        <v>0</v>
      </c>
      <c r="F3171" s="52">
        <f>IF(Учет!$O3171=Справочники!$F$6,Учет!$H3171,0)</f>
        <v>0</v>
      </c>
      <c r="G3171" s="43">
        <f>G3170+Учет!B3171-B3171</f>
        <v>-488978.92000000004</v>
      </c>
      <c r="H3171" s="43">
        <f>H3170+Учет!C3171-C3171</f>
        <v>336855</v>
      </c>
      <c r="I3171" s="43">
        <f>I3170+Учет!D3171-D3171</f>
        <v>500</v>
      </c>
      <c r="J3171" s="43">
        <f>J3170+Учет!E3171-E3171</f>
        <v>1150</v>
      </c>
      <c r="K3171" s="43">
        <f>K3170+Учет!F3171-F3171</f>
        <v>500000</v>
      </c>
      <c r="L3171" s="45">
        <f>Учет!I3171</f>
        <v>349526.07999999996</v>
      </c>
    </row>
    <row r="3172" spans="1:12" x14ac:dyDescent="0.25">
      <c r="A3172" s="48" t="str">
        <f>IF(Учет!A3172&lt;&gt;"",Учет!A3172,"")</f>
        <v/>
      </c>
      <c r="B3172" s="52">
        <f>IF(Учет!$O3172=Справочники!$F$2,Учет!$H3172,0)</f>
        <v>0</v>
      </c>
      <c r="C3172" s="52">
        <f>IF(Учет!$O3172=Справочники!$F$3,Учет!$H3172,0)</f>
        <v>0</v>
      </c>
      <c r="D3172" s="52">
        <f>IF(Учет!$O3172=Справочники!$F$4,Учет!$H3172,0)</f>
        <v>0</v>
      </c>
      <c r="E3172" s="52">
        <f>IF(Учет!$O3172=Справочники!$F$5,Учет!$H3172,0)</f>
        <v>0</v>
      </c>
      <c r="F3172" s="52">
        <f>IF(Учет!$O3172=Справочники!$F$6,Учет!$H3172,0)</f>
        <v>0</v>
      </c>
      <c r="G3172" s="43">
        <f>G3171+Учет!B3172-B3172</f>
        <v>-488978.92000000004</v>
      </c>
      <c r="H3172" s="43">
        <f>H3171+Учет!C3172-C3172</f>
        <v>336855</v>
      </c>
      <c r="I3172" s="43">
        <f>I3171+Учет!D3172-D3172</f>
        <v>500</v>
      </c>
      <c r="J3172" s="43">
        <f>J3171+Учет!E3172-E3172</f>
        <v>1150</v>
      </c>
      <c r="K3172" s="43">
        <f>K3171+Учет!F3172-F3172</f>
        <v>500000</v>
      </c>
      <c r="L3172" s="45">
        <f>Учет!I3172</f>
        <v>349526.07999999996</v>
      </c>
    </row>
    <row r="3173" spans="1:12" x14ac:dyDescent="0.25">
      <c r="A3173" s="48" t="str">
        <f>IF(Учет!A3173&lt;&gt;"",Учет!A3173,"")</f>
        <v/>
      </c>
      <c r="B3173" s="52">
        <f>IF(Учет!$O3173=Справочники!$F$2,Учет!$H3173,0)</f>
        <v>0</v>
      </c>
      <c r="C3173" s="52">
        <f>IF(Учет!$O3173=Справочники!$F$3,Учет!$H3173,0)</f>
        <v>0</v>
      </c>
      <c r="D3173" s="52">
        <f>IF(Учет!$O3173=Справочники!$F$4,Учет!$H3173,0)</f>
        <v>0</v>
      </c>
      <c r="E3173" s="52">
        <f>IF(Учет!$O3173=Справочники!$F$5,Учет!$H3173,0)</f>
        <v>0</v>
      </c>
      <c r="F3173" s="52">
        <f>IF(Учет!$O3173=Справочники!$F$6,Учет!$H3173,0)</f>
        <v>0</v>
      </c>
      <c r="G3173" s="43">
        <f>G3172+Учет!B3173-B3173</f>
        <v>-488978.92000000004</v>
      </c>
      <c r="H3173" s="43">
        <f>H3172+Учет!C3173-C3173</f>
        <v>336855</v>
      </c>
      <c r="I3173" s="43">
        <f>I3172+Учет!D3173-D3173</f>
        <v>500</v>
      </c>
      <c r="J3173" s="43">
        <f>J3172+Учет!E3173-E3173</f>
        <v>1150</v>
      </c>
      <c r="K3173" s="43">
        <f>K3172+Учет!F3173-F3173</f>
        <v>500000</v>
      </c>
      <c r="L3173" s="45">
        <f>Учет!I3173</f>
        <v>349526.07999999996</v>
      </c>
    </row>
    <row r="3174" spans="1:12" x14ac:dyDescent="0.25">
      <c r="A3174" s="48" t="str">
        <f>IF(Учет!A3174&lt;&gt;"",Учет!A3174,"")</f>
        <v/>
      </c>
      <c r="B3174" s="52">
        <f>IF(Учет!$O3174=Справочники!$F$2,Учет!$H3174,0)</f>
        <v>0</v>
      </c>
      <c r="C3174" s="52">
        <f>IF(Учет!$O3174=Справочники!$F$3,Учет!$H3174,0)</f>
        <v>0</v>
      </c>
      <c r="D3174" s="52">
        <f>IF(Учет!$O3174=Справочники!$F$4,Учет!$H3174,0)</f>
        <v>0</v>
      </c>
      <c r="E3174" s="52">
        <f>IF(Учет!$O3174=Справочники!$F$5,Учет!$H3174,0)</f>
        <v>0</v>
      </c>
      <c r="F3174" s="52">
        <f>IF(Учет!$O3174=Справочники!$F$6,Учет!$H3174,0)</f>
        <v>0</v>
      </c>
      <c r="G3174" s="43">
        <f>G3173+Учет!B3174-B3174</f>
        <v>-488978.92000000004</v>
      </c>
      <c r="H3174" s="43">
        <f>H3173+Учет!C3174-C3174</f>
        <v>336855</v>
      </c>
      <c r="I3174" s="43">
        <f>I3173+Учет!D3174-D3174</f>
        <v>500</v>
      </c>
      <c r="J3174" s="43">
        <f>J3173+Учет!E3174-E3174</f>
        <v>1150</v>
      </c>
      <c r="K3174" s="43">
        <f>K3173+Учет!F3174-F3174</f>
        <v>500000</v>
      </c>
      <c r="L3174" s="45">
        <f>Учет!I3174</f>
        <v>349526.07999999996</v>
      </c>
    </row>
    <row r="3175" spans="1:12" x14ac:dyDescent="0.25">
      <c r="A3175" s="48" t="str">
        <f>IF(Учет!A3175&lt;&gt;"",Учет!A3175,"")</f>
        <v/>
      </c>
      <c r="B3175" s="52">
        <f>IF(Учет!$O3175=Справочники!$F$2,Учет!$H3175,0)</f>
        <v>0</v>
      </c>
      <c r="C3175" s="52">
        <f>IF(Учет!$O3175=Справочники!$F$3,Учет!$H3175,0)</f>
        <v>0</v>
      </c>
      <c r="D3175" s="52">
        <f>IF(Учет!$O3175=Справочники!$F$4,Учет!$H3175,0)</f>
        <v>0</v>
      </c>
      <c r="E3175" s="52">
        <f>IF(Учет!$O3175=Справочники!$F$5,Учет!$H3175,0)</f>
        <v>0</v>
      </c>
      <c r="F3175" s="52">
        <f>IF(Учет!$O3175=Справочники!$F$6,Учет!$H3175,0)</f>
        <v>0</v>
      </c>
      <c r="G3175" s="43">
        <f>G3174+Учет!B3175-B3175</f>
        <v>-488978.92000000004</v>
      </c>
      <c r="H3175" s="43">
        <f>H3174+Учет!C3175-C3175</f>
        <v>336855</v>
      </c>
      <c r="I3175" s="43">
        <f>I3174+Учет!D3175-D3175</f>
        <v>500</v>
      </c>
      <c r="J3175" s="43">
        <f>J3174+Учет!E3175-E3175</f>
        <v>1150</v>
      </c>
      <c r="K3175" s="43">
        <f>K3174+Учет!F3175-F3175</f>
        <v>500000</v>
      </c>
      <c r="L3175" s="45">
        <f>Учет!I3175</f>
        <v>349526.07999999996</v>
      </c>
    </row>
    <row r="3176" spans="1:12" x14ac:dyDescent="0.25">
      <c r="A3176" s="48" t="str">
        <f>IF(Учет!A3176&lt;&gt;"",Учет!A3176,"")</f>
        <v/>
      </c>
      <c r="B3176" s="52">
        <f>IF(Учет!$O3176=Справочники!$F$2,Учет!$H3176,0)</f>
        <v>0</v>
      </c>
      <c r="C3176" s="52">
        <f>IF(Учет!$O3176=Справочники!$F$3,Учет!$H3176,0)</f>
        <v>0</v>
      </c>
      <c r="D3176" s="52">
        <f>IF(Учет!$O3176=Справочники!$F$4,Учет!$H3176,0)</f>
        <v>0</v>
      </c>
      <c r="E3176" s="52">
        <f>IF(Учет!$O3176=Справочники!$F$5,Учет!$H3176,0)</f>
        <v>0</v>
      </c>
      <c r="F3176" s="52">
        <f>IF(Учет!$O3176=Справочники!$F$6,Учет!$H3176,0)</f>
        <v>0</v>
      </c>
      <c r="G3176" s="43">
        <f>G3175+Учет!B3176-B3176</f>
        <v>-488978.92000000004</v>
      </c>
      <c r="H3176" s="43">
        <f>H3175+Учет!C3176-C3176</f>
        <v>336855</v>
      </c>
      <c r="I3176" s="43">
        <f>I3175+Учет!D3176-D3176</f>
        <v>500</v>
      </c>
      <c r="J3176" s="43">
        <f>J3175+Учет!E3176-E3176</f>
        <v>1150</v>
      </c>
      <c r="K3176" s="43">
        <f>K3175+Учет!F3176-F3176</f>
        <v>500000</v>
      </c>
      <c r="L3176" s="45">
        <f>Учет!I3176</f>
        <v>349526.07999999996</v>
      </c>
    </row>
    <row r="3177" spans="1:12" x14ac:dyDescent="0.25">
      <c r="A3177" s="48" t="str">
        <f>IF(Учет!A3177&lt;&gt;"",Учет!A3177,"")</f>
        <v/>
      </c>
      <c r="B3177" s="52">
        <f>IF(Учет!$O3177=Справочники!$F$2,Учет!$H3177,0)</f>
        <v>0</v>
      </c>
      <c r="C3177" s="52">
        <f>IF(Учет!$O3177=Справочники!$F$3,Учет!$H3177,0)</f>
        <v>0</v>
      </c>
      <c r="D3177" s="52">
        <f>IF(Учет!$O3177=Справочники!$F$4,Учет!$H3177,0)</f>
        <v>0</v>
      </c>
      <c r="E3177" s="52">
        <f>IF(Учет!$O3177=Справочники!$F$5,Учет!$H3177,0)</f>
        <v>0</v>
      </c>
      <c r="F3177" s="52">
        <f>IF(Учет!$O3177=Справочники!$F$6,Учет!$H3177,0)</f>
        <v>0</v>
      </c>
      <c r="G3177" s="43">
        <f>G3176+Учет!B3177-B3177</f>
        <v>-488978.92000000004</v>
      </c>
      <c r="H3177" s="43">
        <f>H3176+Учет!C3177-C3177</f>
        <v>336855</v>
      </c>
      <c r="I3177" s="43">
        <f>I3176+Учет!D3177-D3177</f>
        <v>500</v>
      </c>
      <c r="J3177" s="43">
        <f>J3176+Учет!E3177-E3177</f>
        <v>1150</v>
      </c>
      <c r="K3177" s="43">
        <f>K3176+Учет!F3177-F3177</f>
        <v>500000</v>
      </c>
      <c r="L3177" s="45">
        <f>Учет!I3177</f>
        <v>349526.07999999996</v>
      </c>
    </row>
    <row r="3178" spans="1:12" x14ac:dyDescent="0.25">
      <c r="A3178" s="48" t="str">
        <f>IF(Учет!A3178&lt;&gt;"",Учет!A3178,"")</f>
        <v/>
      </c>
      <c r="B3178" s="52">
        <f>IF(Учет!$O3178=Справочники!$F$2,Учет!$H3178,0)</f>
        <v>0</v>
      </c>
      <c r="C3178" s="52">
        <f>IF(Учет!$O3178=Справочники!$F$3,Учет!$H3178,0)</f>
        <v>0</v>
      </c>
      <c r="D3178" s="52">
        <f>IF(Учет!$O3178=Справочники!$F$4,Учет!$H3178,0)</f>
        <v>0</v>
      </c>
      <c r="E3178" s="52">
        <f>IF(Учет!$O3178=Справочники!$F$5,Учет!$H3178,0)</f>
        <v>0</v>
      </c>
      <c r="F3178" s="52">
        <f>IF(Учет!$O3178=Справочники!$F$6,Учет!$H3178,0)</f>
        <v>0</v>
      </c>
      <c r="G3178" s="43">
        <f>G3177+Учет!B3178-B3178</f>
        <v>-488978.92000000004</v>
      </c>
      <c r="H3178" s="43">
        <f>H3177+Учет!C3178-C3178</f>
        <v>336855</v>
      </c>
      <c r="I3178" s="43">
        <f>I3177+Учет!D3178-D3178</f>
        <v>500</v>
      </c>
      <c r="J3178" s="43">
        <f>J3177+Учет!E3178-E3178</f>
        <v>1150</v>
      </c>
      <c r="K3178" s="43">
        <f>K3177+Учет!F3178-F3178</f>
        <v>500000</v>
      </c>
      <c r="L3178" s="45">
        <f>Учет!I3178</f>
        <v>349526.07999999996</v>
      </c>
    </row>
    <row r="3179" spans="1:12" x14ac:dyDescent="0.25">
      <c r="A3179" s="48" t="str">
        <f>IF(Учет!A3179&lt;&gt;"",Учет!A3179,"")</f>
        <v/>
      </c>
      <c r="B3179" s="52">
        <f>IF(Учет!$O3179=Справочники!$F$2,Учет!$H3179,0)</f>
        <v>0</v>
      </c>
      <c r="C3179" s="52">
        <f>IF(Учет!$O3179=Справочники!$F$3,Учет!$H3179,0)</f>
        <v>0</v>
      </c>
      <c r="D3179" s="52">
        <f>IF(Учет!$O3179=Справочники!$F$4,Учет!$H3179,0)</f>
        <v>0</v>
      </c>
      <c r="E3179" s="52">
        <f>IF(Учет!$O3179=Справочники!$F$5,Учет!$H3179,0)</f>
        <v>0</v>
      </c>
      <c r="F3179" s="52">
        <f>IF(Учет!$O3179=Справочники!$F$6,Учет!$H3179,0)</f>
        <v>0</v>
      </c>
      <c r="G3179" s="43">
        <f>G3178+Учет!B3179-B3179</f>
        <v>-488978.92000000004</v>
      </c>
      <c r="H3179" s="43">
        <f>H3178+Учет!C3179-C3179</f>
        <v>336855</v>
      </c>
      <c r="I3179" s="43">
        <f>I3178+Учет!D3179-D3179</f>
        <v>500</v>
      </c>
      <c r="J3179" s="43">
        <f>J3178+Учет!E3179-E3179</f>
        <v>1150</v>
      </c>
      <c r="K3179" s="43">
        <f>K3178+Учет!F3179-F3179</f>
        <v>500000</v>
      </c>
      <c r="L3179" s="45">
        <f>Учет!I3179</f>
        <v>349526.07999999996</v>
      </c>
    </row>
    <row r="3180" spans="1:12" x14ac:dyDescent="0.25">
      <c r="A3180" s="48" t="str">
        <f>IF(Учет!A3180&lt;&gt;"",Учет!A3180,"")</f>
        <v/>
      </c>
      <c r="B3180" s="52">
        <f>IF(Учет!$O3180=Справочники!$F$2,Учет!$H3180,0)</f>
        <v>0</v>
      </c>
      <c r="C3180" s="52">
        <f>IF(Учет!$O3180=Справочники!$F$3,Учет!$H3180,0)</f>
        <v>0</v>
      </c>
      <c r="D3180" s="52">
        <f>IF(Учет!$O3180=Справочники!$F$4,Учет!$H3180,0)</f>
        <v>0</v>
      </c>
      <c r="E3180" s="52">
        <f>IF(Учет!$O3180=Справочники!$F$5,Учет!$H3180,0)</f>
        <v>0</v>
      </c>
      <c r="F3180" s="52">
        <f>IF(Учет!$O3180=Справочники!$F$6,Учет!$H3180,0)</f>
        <v>0</v>
      </c>
      <c r="G3180" s="43">
        <f>G3179+Учет!B3180-B3180</f>
        <v>-488978.92000000004</v>
      </c>
      <c r="H3180" s="43">
        <f>H3179+Учет!C3180-C3180</f>
        <v>336855</v>
      </c>
      <c r="I3180" s="43">
        <f>I3179+Учет!D3180-D3180</f>
        <v>500</v>
      </c>
      <c r="J3180" s="43">
        <f>J3179+Учет!E3180-E3180</f>
        <v>1150</v>
      </c>
      <c r="K3180" s="43">
        <f>K3179+Учет!F3180-F3180</f>
        <v>500000</v>
      </c>
      <c r="L3180" s="45">
        <f>Учет!I3180</f>
        <v>349526.07999999996</v>
      </c>
    </row>
    <row r="3181" spans="1:12" x14ac:dyDescent="0.25">
      <c r="A3181" s="48" t="str">
        <f>IF(Учет!A3181&lt;&gt;"",Учет!A3181,"")</f>
        <v/>
      </c>
      <c r="B3181" s="52">
        <f>IF(Учет!$O3181=Справочники!$F$2,Учет!$H3181,0)</f>
        <v>0</v>
      </c>
      <c r="C3181" s="52">
        <f>IF(Учет!$O3181=Справочники!$F$3,Учет!$H3181,0)</f>
        <v>0</v>
      </c>
      <c r="D3181" s="52">
        <f>IF(Учет!$O3181=Справочники!$F$4,Учет!$H3181,0)</f>
        <v>0</v>
      </c>
      <c r="E3181" s="52">
        <f>IF(Учет!$O3181=Справочники!$F$5,Учет!$H3181,0)</f>
        <v>0</v>
      </c>
      <c r="F3181" s="52">
        <f>IF(Учет!$O3181=Справочники!$F$6,Учет!$H3181,0)</f>
        <v>0</v>
      </c>
      <c r="G3181" s="43">
        <f>G3180+Учет!B3181-B3181</f>
        <v>-488978.92000000004</v>
      </c>
      <c r="H3181" s="43">
        <f>H3180+Учет!C3181-C3181</f>
        <v>336855</v>
      </c>
      <c r="I3181" s="43">
        <f>I3180+Учет!D3181-D3181</f>
        <v>500</v>
      </c>
      <c r="J3181" s="43">
        <f>J3180+Учет!E3181-E3181</f>
        <v>1150</v>
      </c>
      <c r="K3181" s="43">
        <f>K3180+Учет!F3181-F3181</f>
        <v>500000</v>
      </c>
      <c r="L3181" s="45">
        <f>Учет!I3181</f>
        <v>349526.07999999996</v>
      </c>
    </row>
    <row r="3182" spans="1:12" x14ac:dyDescent="0.25">
      <c r="A3182" s="48" t="str">
        <f>IF(Учет!A3182&lt;&gt;"",Учет!A3182,"")</f>
        <v/>
      </c>
      <c r="B3182" s="52">
        <f>IF(Учет!$O3182=Справочники!$F$2,Учет!$H3182,0)</f>
        <v>0</v>
      </c>
      <c r="C3182" s="52">
        <f>IF(Учет!$O3182=Справочники!$F$3,Учет!$H3182,0)</f>
        <v>0</v>
      </c>
      <c r="D3182" s="52">
        <f>IF(Учет!$O3182=Справочники!$F$4,Учет!$H3182,0)</f>
        <v>0</v>
      </c>
      <c r="E3182" s="52">
        <f>IF(Учет!$O3182=Справочники!$F$5,Учет!$H3182,0)</f>
        <v>0</v>
      </c>
      <c r="F3182" s="52">
        <f>IF(Учет!$O3182=Справочники!$F$6,Учет!$H3182,0)</f>
        <v>0</v>
      </c>
      <c r="G3182" s="43">
        <f>G3181+Учет!B3182-B3182</f>
        <v>-488978.92000000004</v>
      </c>
      <c r="H3182" s="43">
        <f>H3181+Учет!C3182-C3182</f>
        <v>336855</v>
      </c>
      <c r="I3182" s="43">
        <f>I3181+Учет!D3182-D3182</f>
        <v>500</v>
      </c>
      <c r="J3182" s="43">
        <f>J3181+Учет!E3182-E3182</f>
        <v>1150</v>
      </c>
      <c r="K3182" s="43">
        <f>K3181+Учет!F3182-F3182</f>
        <v>500000</v>
      </c>
      <c r="L3182" s="45">
        <f>Учет!I3182</f>
        <v>349526.07999999996</v>
      </c>
    </row>
    <row r="3183" spans="1:12" x14ac:dyDescent="0.25">
      <c r="A3183" s="48" t="str">
        <f>IF(Учет!A3183&lt;&gt;"",Учет!A3183,"")</f>
        <v/>
      </c>
      <c r="B3183" s="52">
        <f>IF(Учет!$O3183=Справочники!$F$2,Учет!$H3183,0)</f>
        <v>0</v>
      </c>
      <c r="C3183" s="52">
        <f>IF(Учет!$O3183=Справочники!$F$3,Учет!$H3183,0)</f>
        <v>0</v>
      </c>
      <c r="D3183" s="52">
        <f>IF(Учет!$O3183=Справочники!$F$4,Учет!$H3183,0)</f>
        <v>0</v>
      </c>
      <c r="E3183" s="52">
        <f>IF(Учет!$O3183=Справочники!$F$5,Учет!$H3183,0)</f>
        <v>0</v>
      </c>
      <c r="F3183" s="52">
        <f>IF(Учет!$O3183=Справочники!$F$6,Учет!$H3183,0)</f>
        <v>0</v>
      </c>
      <c r="G3183" s="43">
        <f>G3182+Учет!B3183-B3183</f>
        <v>-488978.92000000004</v>
      </c>
      <c r="H3183" s="43">
        <f>H3182+Учет!C3183-C3183</f>
        <v>336855</v>
      </c>
      <c r="I3183" s="43">
        <f>I3182+Учет!D3183-D3183</f>
        <v>500</v>
      </c>
      <c r="J3183" s="43">
        <f>J3182+Учет!E3183-E3183</f>
        <v>1150</v>
      </c>
      <c r="K3183" s="43">
        <f>K3182+Учет!F3183-F3183</f>
        <v>500000</v>
      </c>
      <c r="L3183" s="45">
        <f>Учет!I3183</f>
        <v>349526.07999999996</v>
      </c>
    </row>
    <row r="3184" spans="1:12" x14ac:dyDescent="0.25">
      <c r="A3184" s="48" t="str">
        <f>IF(Учет!A3184&lt;&gt;"",Учет!A3184,"")</f>
        <v/>
      </c>
      <c r="B3184" s="52">
        <f>IF(Учет!$O3184=Справочники!$F$2,Учет!$H3184,0)</f>
        <v>0</v>
      </c>
      <c r="C3184" s="52">
        <f>IF(Учет!$O3184=Справочники!$F$3,Учет!$H3184,0)</f>
        <v>0</v>
      </c>
      <c r="D3184" s="52">
        <f>IF(Учет!$O3184=Справочники!$F$4,Учет!$H3184,0)</f>
        <v>0</v>
      </c>
      <c r="E3184" s="52">
        <f>IF(Учет!$O3184=Справочники!$F$5,Учет!$H3184,0)</f>
        <v>0</v>
      </c>
      <c r="F3184" s="52">
        <f>IF(Учет!$O3184=Справочники!$F$6,Учет!$H3184,0)</f>
        <v>0</v>
      </c>
      <c r="G3184" s="43">
        <f>G3183+Учет!B3184-B3184</f>
        <v>-488978.92000000004</v>
      </c>
      <c r="H3184" s="43">
        <f>H3183+Учет!C3184-C3184</f>
        <v>336855</v>
      </c>
      <c r="I3184" s="43">
        <f>I3183+Учет!D3184-D3184</f>
        <v>500</v>
      </c>
      <c r="J3184" s="43">
        <f>J3183+Учет!E3184-E3184</f>
        <v>1150</v>
      </c>
      <c r="K3184" s="43">
        <f>K3183+Учет!F3184-F3184</f>
        <v>500000</v>
      </c>
      <c r="L3184" s="45">
        <f>Учет!I3184</f>
        <v>349526.07999999996</v>
      </c>
    </row>
    <row r="3185" spans="1:12" x14ac:dyDescent="0.25">
      <c r="A3185" s="48" t="str">
        <f>IF(Учет!A3185&lt;&gt;"",Учет!A3185,"")</f>
        <v/>
      </c>
      <c r="B3185" s="52">
        <f>IF(Учет!$O3185=Справочники!$F$2,Учет!$H3185,0)</f>
        <v>0</v>
      </c>
      <c r="C3185" s="52">
        <f>IF(Учет!$O3185=Справочники!$F$3,Учет!$H3185,0)</f>
        <v>0</v>
      </c>
      <c r="D3185" s="52">
        <f>IF(Учет!$O3185=Справочники!$F$4,Учет!$H3185,0)</f>
        <v>0</v>
      </c>
      <c r="E3185" s="52">
        <f>IF(Учет!$O3185=Справочники!$F$5,Учет!$H3185,0)</f>
        <v>0</v>
      </c>
      <c r="F3185" s="52">
        <f>IF(Учет!$O3185=Справочники!$F$6,Учет!$H3185,0)</f>
        <v>0</v>
      </c>
      <c r="G3185" s="43">
        <f>G3184+Учет!B3185-B3185</f>
        <v>-488978.92000000004</v>
      </c>
      <c r="H3185" s="43">
        <f>H3184+Учет!C3185-C3185</f>
        <v>336855</v>
      </c>
      <c r="I3185" s="43">
        <f>I3184+Учет!D3185-D3185</f>
        <v>500</v>
      </c>
      <c r="J3185" s="43">
        <f>J3184+Учет!E3185-E3185</f>
        <v>1150</v>
      </c>
      <c r="K3185" s="43">
        <f>K3184+Учет!F3185-F3185</f>
        <v>500000</v>
      </c>
      <c r="L3185" s="45">
        <f>Учет!I3185</f>
        <v>349526.07999999996</v>
      </c>
    </row>
    <row r="3186" spans="1:12" x14ac:dyDescent="0.25">
      <c r="A3186" s="48" t="str">
        <f>IF(Учет!A3186&lt;&gt;"",Учет!A3186,"")</f>
        <v/>
      </c>
      <c r="B3186" s="52">
        <f>IF(Учет!$O3186=Справочники!$F$2,Учет!$H3186,0)</f>
        <v>0</v>
      </c>
      <c r="C3186" s="52">
        <f>IF(Учет!$O3186=Справочники!$F$3,Учет!$H3186,0)</f>
        <v>0</v>
      </c>
      <c r="D3186" s="52">
        <f>IF(Учет!$O3186=Справочники!$F$4,Учет!$H3186,0)</f>
        <v>0</v>
      </c>
      <c r="E3186" s="52">
        <f>IF(Учет!$O3186=Справочники!$F$5,Учет!$H3186,0)</f>
        <v>0</v>
      </c>
      <c r="F3186" s="52">
        <f>IF(Учет!$O3186=Справочники!$F$6,Учет!$H3186,0)</f>
        <v>0</v>
      </c>
      <c r="G3186" s="43">
        <f>G3185+Учет!B3186-B3186</f>
        <v>-488978.92000000004</v>
      </c>
      <c r="H3186" s="43">
        <f>H3185+Учет!C3186-C3186</f>
        <v>336855</v>
      </c>
      <c r="I3186" s="43">
        <f>I3185+Учет!D3186-D3186</f>
        <v>500</v>
      </c>
      <c r="J3186" s="43">
        <f>J3185+Учет!E3186-E3186</f>
        <v>1150</v>
      </c>
      <c r="K3186" s="43">
        <f>K3185+Учет!F3186-F3186</f>
        <v>500000</v>
      </c>
      <c r="L3186" s="45">
        <f>Учет!I3186</f>
        <v>349526.07999999996</v>
      </c>
    </row>
    <row r="3187" spans="1:12" x14ac:dyDescent="0.25">
      <c r="A3187" s="48" t="str">
        <f>IF(Учет!A3187&lt;&gt;"",Учет!A3187,"")</f>
        <v/>
      </c>
      <c r="B3187" s="52">
        <f>IF(Учет!$O3187=Справочники!$F$2,Учет!$H3187,0)</f>
        <v>0</v>
      </c>
      <c r="C3187" s="52">
        <f>IF(Учет!$O3187=Справочники!$F$3,Учет!$H3187,0)</f>
        <v>0</v>
      </c>
      <c r="D3187" s="52">
        <f>IF(Учет!$O3187=Справочники!$F$4,Учет!$H3187,0)</f>
        <v>0</v>
      </c>
      <c r="E3187" s="52">
        <f>IF(Учет!$O3187=Справочники!$F$5,Учет!$H3187,0)</f>
        <v>0</v>
      </c>
      <c r="F3187" s="52">
        <f>IF(Учет!$O3187=Справочники!$F$6,Учет!$H3187,0)</f>
        <v>0</v>
      </c>
      <c r="G3187" s="43">
        <f>G3186+Учет!B3187-B3187</f>
        <v>-488978.92000000004</v>
      </c>
      <c r="H3187" s="43">
        <f>H3186+Учет!C3187-C3187</f>
        <v>336855</v>
      </c>
      <c r="I3187" s="43">
        <f>I3186+Учет!D3187-D3187</f>
        <v>500</v>
      </c>
      <c r="J3187" s="43">
        <f>J3186+Учет!E3187-E3187</f>
        <v>1150</v>
      </c>
      <c r="K3187" s="43">
        <f>K3186+Учет!F3187-F3187</f>
        <v>500000</v>
      </c>
      <c r="L3187" s="45">
        <f>Учет!I3187</f>
        <v>349526.07999999996</v>
      </c>
    </row>
    <row r="3188" spans="1:12" x14ac:dyDescent="0.25">
      <c r="A3188" s="48" t="str">
        <f>IF(Учет!A3188&lt;&gt;"",Учет!A3188,"")</f>
        <v/>
      </c>
      <c r="B3188" s="52">
        <f>IF(Учет!$O3188=Справочники!$F$2,Учет!$H3188,0)</f>
        <v>0</v>
      </c>
      <c r="C3188" s="52">
        <f>IF(Учет!$O3188=Справочники!$F$3,Учет!$H3188,0)</f>
        <v>0</v>
      </c>
      <c r="D3188" s="52">
        <f>IF(Учет!$O3188=Справочники!$F$4,Учет!$H3188,0)</f>
        <v>0</v>
      </c>
      <c r="E3188" s="52">
        <f>IF(Учет!$O3188=Справочники!$F$5,Учет!$H3188,0)</f>
        <v>0</v>
      </c>
      <c r="F3188" s="52">
        <f>IF(Учет!$O3188=Справочники!$F$6,Учет!$H3188,0)</f>
        <v>0</v>
      </c>
      <c r="G3188" s="43">
        <f>G3187+Учет!B3188-B3188</f>
        <v>-488978.92000000004</v>
      </c>
      <c r="H3188" s="43">
        <f>H3187+Учет!C3188-C3188</f>
        <v>336855</v>
      </c>
      <c r="I3188" s="43">
        <f>I3187+Учет!D3188-D3188</f>
        <v>500</v>
      </c>
      <c r="J3188" s="43">
        <f>J3187+Учет!E3188-E3188</f>
        <v>1150</v>
      </c>
      <c r="K3188" s="43">
        <f>K3187+Учет!F3188-F3188</f>
        <v>500000</v>
      </c>
      <c r="L3188" s="45">
        <f>Учет!I3188</f>
        <v>349526.07999999996</v>
      </c>
    </row>
    <row r="3189" spans="1:12" x14ac:dyDescent="0.25">
      <c r="A3189" s="48" t="str">
        <f>IF(Учет!A3189&lt;&gt;"",Учет!A3189,"")</f>
        <v/>
      </c>
      <c r="B3189" s="52">
        <f>IF(Учет!$O3189=Справочники!$F$2,Учет!$H3189,0)</f>
        <v>0</v>
      </c>
      <c r="C3189" s="52">
        <f>IF(Учет!$O3189=Справочники!$F$3,Учет!$H3189,0)</f>
        <v>0</v>
      </c>
      <c r="D3189" s="52">
        <f>IF(Учет!$O3189=Справочники!$F$4,Учет!$H3189,0)</f>
        <v>0</v>
      </c>
      <c r="E3189" s="52">
        <f>IF(Учет!$O3189=Справочники!$F$5,Учет!$H3189,0)</f>
        <v>0</v>
      </c>
      <c r="F3189" s="52">
        <f>IF(Учет!$O3189=Справочники!$F$6,Учет!$H3189,0)</f>
        <v>0</v>
      </c>
      <c r="G3189" s="43">
        <f>G3188+Учет!B3189-B3189</f>
        <v>-488978.92000000004</v>
      </c>
      <c r="H3189" s="43">
        <f>H3188+Учет!C3189-C3189</f>
        <v>336855</v>
      </c>
      <c r="I3189" s="43">
        <f>I3188+Учет!D3189-D3189</f>
        <v>500</v>
      </c>
      <c r="J3189" s="43">
        <f>J3188+Учет!E3189-E3189</f>
        <v>1150</v>
      </c>
      <c r="K3189" s="43">
        <f>K3188+Учет!F3189-F3189</f>
        <v>500000</v>
      </c>
      <c r="L3189" s="45">
        <f>Учет!I3189</f>
        <v>349526.07999999996</v>
      </c>
    </row>
    <row r="3190" spans="1:12" x14ac:dyDescent="0.25">
      <c r="A3190" s="48" t="str">
        <f>IF(Учет!A3190&lt;&gt;"",Учет!A3190,"")</f>
        <v/>
      </c>
      <c r="B3190" s="52">
        <f>IF(Учет!$O3190=Справочники!$F$2,Учет!$H3190,0)</f>
        <v>0</v>
      </c>
      <c r="C3190" s="52">
        <f>IF(Учет!$O3190=Справочники!$F$3,Учет!$H3190,0)</f>
        <v>0</v>
      </c>
      <c r="D3190" s="52">
        <f>IF(Учет!$O3190=Справочники!$F$4,Учет!$H3190,0)</f>
        <v>0</v>
      </c>
      <c r="E3190" s="52">
        <f>IF(Учет!$O3190=Справочники!$F$5,Учет!$H3190,0)</f>
        <v>0</v>
      </c>
      <c r="F3190" s="52">
        <f>IF(Учет!$O3190=Справочники!$F$6,Учет!$H3190,0)</f>
        <v>0</v>
      </c>
      <c r="G3190" s="43">
        <f>G3189+Учет!B3190-B3190</f>
        <v>-488978.92000000004</v>
      </c>
      <c r="H3190" s="43">
        <f>H3189+Учет!C3190-C3190</f>
        <v>336855</v>
      </c>
      <c r="I3190" s="43">
        <f>I3189+Учет!D3190-D3190</f>
        <v>500</v>
      </c>
      <c r="J3190" s="43">
        <f>J3189+Учет!E3190-E3190</f>
        <v>1150</v>
      </c>
      <c r="K3190" s="43">
        <f>K3189+Учет!F3190-F3190</f>
        <v>500000</v>
      </c>
      <c r="L3190" s="45">
        <f>Учет!I3190</f>
        <v>349526.07999999996</v>
      </c>
    </row>
    <row r="3191" spans="1:12" x14ac:dyDescent="0.25">
      <c r="A3191" s="48" t="str">
        <f>IF(Учет!A3191&lt;&gt;"",Учет!A3191,"")</f>
        <v/>
      </c>
      <c r="B3191" s="52">
        <f>IF(Учет!$O3191=Справочники!$F$2,Учет!$H3191,0)</f>
        <v>0</v>
      </c>
      <c r="C3191" s="52">
        <f>IF(Учет!$O3191=Справочники!$F$3,Учет!$H3191,0)</f>
        <v>0</v>
      </c>
      <c r="D3191" s="52">
        <f>IF(Учет!$O3191=Справочники!$F$4,Учет!$H3191,0)</f>
        <v>0</v>
      </c>
      <c r="E3191" s="52">
        <f>IF(Учет!$O3191=Справочники!$F$5,Учет!$H3191,0)</f>
        <v>0</v>
      </c>
      <c r="F3191" s="52">
        <f>IF(Учет!$O3191=Справочники!$F$6,Учет!$H3191,0)</f>
        <v>0</v>
      </c>
      <c r="G3191" s="43">
        <f>G3190+Учет!B3191-B3191</f>
        <v>-488978.92000000004</v>
      </c>
      <c r="H3191" s="43">
        <f>H3190+Учет!C3191-C3191</f>
        <v>336855</v>
      </c>
      <c r="I3191" s="43">
        <f>I3190+Учет!D3191-D3191</f>
        <v>500</v>
      </c>
      <c r="J3191" s="43">
        <f>J3190+Учет!E3191-E3191</f>
        <v>1150</v>
      </c>
      <c r="K3191" s="43">
        <f>K3190+Учет!F3191-F3191</f>
        <v>500000</v>
      </c>
      <c r="L3191" s="45">
        <f>Учет!I3191</f>
        <v>349526.07999999996</v>
      </c>
    </row>
    <row r="3192" spans="1:12" x14ac:dyDescent="0.25">
      <c r="A3192" s="48" t="str">
        <f>IF(Учет!A3192&lt;&gt;"",Учет!A3192,"")</f>
        <v/>
      </c>
      <c r="B3192" s="52">
        <f>IF(Учет!$O3192=Справочники!$F$2,Учет!$H3192,0)</f>
        <v>0</v>
      </c>
      <c r="C3192" s="52">
        <f>IF(Учет!$O3192=Справочники!$F$3,Учет!$H3192,0)</f>
        <v>0</v>
      </c>
      <c r="D3192" s="52">
        <f>IF(Учет!$O3192=Справочники!$F$4,Учет!$H3192,0)</f>
        <v>0</v>
      </c>
      <c r="E3192" s="52">
        <f>IF(Учет!$O3192=Справочники!$F$5,Учет!$H3192,0)</f>
        <v>0</v>
      </c>
      <c r="F3192" s="52">
        <f>IF(Учет!$O3192=Справочники!$F$6,Учет!$H3192,0)</f>
        <v>0</v>
      </c>
      <c r="G3192" s="43">
        <f>G3191+Учет!B3192-B3192</f>
        <v>-488978.92000000004</v>
      </c>
      <c r="H3192" s="43">
        <f>H3191+Учет!C3192-C3192</f>
        <v>336855</v>
      </c>
      <c r="I3192" s="43">
        <f>I3191+Учет!D3192-D3192</f>
        <v>500</v>
      </c>
      <c r="J3192" s="43">
        <f>J3191+Учет!E3192-E3192</f>
        <v>1150</v>
      </c>
      <c r="K3192" s="43">
        <f>K3191+Учет!F3192-F3192</f>
        <v>500000</v>
      </c>
      <c r="L3192" s="45">
        <f>Учет!I3192</f>
        <v>349526.07999999996</v>
      </c>
    </row>
    <row r="3193" spans="1:12" x14ac:dyDescent="0.25">
      <c r="A3193" s="48" t="str">
        <f>IF(Учет!A3193&lt;&gt;"",Учет!A3193,"")</f>
        <v/>
      </c>
      <c r="B3193" s="52">
        <f>IF(Учет!$O3193=Справочники!$F$2,Учет!$H3193,0)</f>
        <v>0</v>
      </c>
      <c r="C3193" s="52">
        <f>IF(Учет!$O3193=Справочники!$F$3,Учет!$H3193,0)</f>
        <v>0</v>
      </c>
      <c r="D3193" s="52">
        <f>IF(Учет!$O3193=Справочники!$F$4,Учет!$H3193,0)</f>
        <v>0</v>
      </c>
      <c r="E3193" s="52">
        <f>IF(Учет!$O3193=Справочники!$F$5,Учет!$H3193,0)</f>
        <v>0</v>
      </c>
      <c r="F3193" s="52">
        <f>IF(Учет!$O3193=Справочники!$F$6,Учет!$H3193,0)</f>
        <v>0</v>
      </c>
      <c r="G3193" s="43">
        <f>G3192+Учет!B3193-B3193</f>
        <v>-488978.92000000004</v>
      </c>
      <c r="H3193" s="43">
        <f>H3192+Учет!C3193-C3193</f>
        <v>336855</v>
      </c>
      <c r="I3193" s="43">
        <f>I3192+Учет!D3193-D3193</f>
        <v>500</v>
      </c>
      <c r="J3193" s="43">
        <f>J3192+Учет!E3193-E3193</f>
        <v>1150</v>
      </c>
      <c r="K3193" s="43">
        <f>K3192+Учет!F3193-F3193</f>
        <v>500000</v>
      </c>
      <c r="L3193" s="45">
        <f>Учет!I3193</f>
        <v>349526.07999999996</v>
      </c>
    </row>
    <row r="3194" spans="1:12" x14ac:dyDescent="0.25">
      <c r="A3194" s="48" t="str">
        <f>IF(Учет!A3194&lt;&gt;"",Учет!A3194,"")</f>
        <v/>
      </c>
      <c r="B3194" s="52">
        <f>IF(Учет!$O3194=Справочники!$F$2,Учет!$H3194,0)</f>
        <v>0</v>
      </c>
      <c r="C3194" s="52">
        <f>IF(Учет!$O3194=Справочники!$F$3,Учет!$H3194,0)</f>
        <v>0</v>
      </c>
      <c r="D3194" s="52">
        <f>IF(Учет!$O3194=Справочники!$F$4,Учет!$H3194,0)</f>
        <v>0</v>
      </c>
      <c r="E3194" s="52">
        <f>IF(Учет!$O3194=Справочники!$F$5,Учет!$H3194,0)</f>
        <v>0</v>
      </c>
      <c r="F3194" s="52">
        <f>IF(Учет!$O3194=Справочники!$F$6,Учет!$H3194,0)</f>
        <v>0</v>
      </c>
      <c r="G3194" s="43">
        <f>G3193+Учет!B3194-B3194</f>
        <v>-488978.92000000004</v>
      </c>
      <c r="H3194" s="43">
        <f>H3193+Учет!C3194-C3194</f>
        <v>336855</v>
      </c>
      <c r="I3194" s="43">
        <f>I3193+Учет!D3194-D3194</f>
        <v>500</v>
      </c>
      <c r="J3194" s="43">
        <f>J3193+Учет!E3194-E3194</f>
        <v>1150</v>
      </c>
      <c r="K3194" s="43">
        <f>K3193+Учет!F3194-F3194</f>
        <v>500000</v>
      </c>
      <c r="L3194" s="45">
        <f>Учет!I3194</f>
        <v>349526.07999999996</v>
      </c>
    </row>
    <row r="3195" spans="1:12" x14ac:dyDescent="0.25">
      <c r="A3195" s="48" t="str">
        <f>IF(Учет!A3195&lt;&gt;"",Учет!A3195,"")</f>
        <v/>
      </c>
      <c r="B3195" s="52">
        <f>IF(Учет!$O3195=Справочники!$F$2,Учет!$H3195,0)</f>
        <v>0</v>
      </c>
      <c r="C3195" s="52">
        <f>IF(Учет!$O3195=Справочники!$F$3,Учет!$H3195,0)</f>
        <v>0</v>
      </c>
      <c r="D3195" s="52">
        <f>IF(Учет!$O3195=Справочники!$F$4,Учет!$H3195,0)</f>
        <v>0</v>
      </c>
      <c r="E3195" s="52">
        <f>IF(Учет!$O3195=Справочники!$F$5,Учет!$H3195,0)</f>
        <v>0</v>
      </c>
      <c r="F3195" s="52">
        <f>IF(Учет!$O3195=Справочники!$F$6,Учет!$H3195,0)</f>
        <v>0</v>
      </c>
      <c r="G3195" s="43">
        <f>G3194+Учет!B3195-B3195</f>
        <v>-488978.92000000004</v>
      </c>
      <c r="H3195" s="43">
        <f>H3194+Учет!C3195-C3195</f>
        <v>336855</v>
      </c>
      <c r="I3195" s="43">
        <f>I3194+Учет!D3195-D3195</f>
        <v>500</v>
      </c>
      <c r="J3195" s="43">
        <f>J3194+Учет!E3195-E3195</f>
        <v>1150</v>
      </c>
      <c r="K3195" s="43">
        <f>K3194+Учет!F3195-F3195</f>
        <v>500000</v>
      </c>
      <c r="L3195" s="45">
        <f>Учет!I3195</f>
        <v>349526.07999999996</v>
      </c>
    </row>
    <row r="3196" spans="1:12" x14ac:dyDescent="0.25">
      <c r="A3196" s="48" t="str">
        <f>IF(Учет!A3196&lt;&gt;"",Учет!A3196,"")</f>
        <v/>
      </c>
      <c r="B3196" s="52">
        <f>IF(Учет!$O3196=Справочники!$F$2,Учет!$H3196,0)</f>
        <v>0</v>
      </c>
      <c r="C3196" s="52">
        <f>IF(Учет!$O3196=Справочники!$F$3,Учет!$H3196,0)</f>
        <v>0</v>
      </c>
      <c r="D3196" s="52">
        <f>IF(Учет!$O3196=Справочники!$F$4,Учет!$H3196,0)</f>
        <v>0</v>
      </c>
      <c r="E3196" s="52">
        <f>IF(Учет!$O3196=Справочники!$F$5,Учет!$H3196,0)</f>
        <v>0</v>
      </c>
      <c r="F3196" s="52">
        <f>IF(Учет!$O3196=Справочники!$F$6,Учет!$H3196,0)</f>
        <v>0</v>
      </c>
      <c r="G3196" s="43">
        <f>G3195+Учет!B3196-B3196</f>
        <v>-488978.92000000004</v>
      </c>
      <c r="H3196" s="43">
        <f>H3195+Учет!C3196-C3196</f>
        <v>336855</v>
      </c>
      <c r="I3196" s="43">
        <f>I3195+Учет!D3196-D3196</f>
        <v>500</v>
      </c>
      <c r="J3196" s="43">
        <f>J3195+Учет!E3196-E3196</f>
        <v>1150</v>
      </c>
      <c r="K3196" s="43">
        <f>K3195+Учет!F3196-F3196</f>
        <v>500000</v>
      </c>
      <c r="L3196" s="45">
        <f>Учет!I3196</f>
        <v>349526.07999999996</v>
      </c>
    </row>
    <row r="3197" spans="1:12" x14ac:dyDescent="0.25">
      <c r="A3197" s="48" t="str">
        <f>IF(Учет!A3197&lt;&gt;"",Учет!A3197,"")</f>
        <v/>
      </c>
      <c r="B3197" s="52">
        <f>IF(Учет!$O3197=Справочники!$F$2,Учет!$H3197,0)</f>
        <v>0</v>
      </c>
      <c r="C3197" s="52">
        <f>IF(Учет!$O3197=Справочники!$F$3,Учет!$H3197,0)</f>
        <v>0</v>
      </c>
      <c r="D3197" s="52">
        <f>IF(Учет!$O3197=Справочники!$F$4,Учет!$H3197,0)</f>
        <v>0</v>
      </c>
      <c r="E3197" s="52">
        <f>IF(Учет!$O3197=Справочники!$F$5,Учет!$H3197,0)</f>
        <v>0</v>
      </c>
      <c r="F3197" s="52">
        <f>IF(Учет!$O3197=Справочники!$F$6,Учет!$H3197,0)</f>
        <v>0</v>
      </c>
      <c r="G3197" s="43">
        <f>G3196+Учет!B3197-B3197</f>
        <v>-488978.92000000004</v>
      </c>
      <c r="H3197" s="43">
        <f>H3196+Учет!C3197-C3197</f>
        <v>336855</v>
      </c>
      <c r="I3197" s="43">
        <f>I3196+Учет!D3197-D3197</f>
        <v>500</v>
      </c>
      <c r="J3197" s="43">
        <f>J3196+Учет!E3197-E3197</f>
        <v>1150</v>
      </c>
      <c r="K3197" s="43">
        <f>K3196+Учет!F3197-F3197</f>
        <v>500000</v>
      </c>
      <c r="L3197" s="45">
        <f>Учет!I3197</f>
        <v>349526.07999999996</v>
      </c>
    </row>
    <row r="3198" spans="1:12" x14ac:dyDescent="0.25">
      <c r="A3198" s="48" t="str">
        <f>IF(Учет!A3198&lt;&gt;"",Учет!A3198,"")</f>
        <v/>
      </c>
      <c r="B3198" s="52">
        <f>IF(Учет!$O3198=Справочники!$F$2,Учет!$H3198,0)</f>
        <v>0</v>
      </c>
      <c r="C3198" s="52">
        <f>IF(Учет!$O3198=Справочники!$F$3,Учет!$H3198,0)</f>
        <v>0</v>
      </c>
      <c r="D3198" s="52">
        <f>IF(Учет!$O3198=Справочники!$F$4,Учет!$H3198,0)</f>
        <v>0</v>
      </c>
      <c r="E3198" s="52">
        <f>IF(Учет!$O3198=Справочники!$F$5,Учет!$H3198,0)</f>
        <v>0</v>
      </c>
      <c r="F3198" s="52">
        <f>IF(Учет!$O3198=Справочники!$F$6,Учет!$H3198,0)</f>
        <v>0</v>
      </c>
      <c r="G3198" s="43">
        <f>G3197+Учет!B3198-B3198</f>
        <v>-488978.92000000004</v>
      </c>
      <c r="H3198" s="43">
        <f>H3197+Учет!C3198-C3198</f>
        <v>336855</v>
      </c>
      <c r="I3198" s="43">
        <f>I3197+Учет!D3198-D3198</f>
        <v>500</v>
      </c>
      <c r="J3198" s="43">
        <f>J3197+Учет!E3198-E3198</f>
        <v>1150</v>
      </c>
      <c r="K3198" s="43">
        <f>K3197+Учет!F3198-F3198</f>
        <v>500000</v>
      </c>
      <c r="L3198" s="45">
        <f>Учет!I3198</f>
        <v>349526.07999999996</v>
      </c>
    </row>
    <row r="3199" spans="1:12" x14ac:dyDescent="0.25">
      <c r="A3199" s="48" t="str">
        <f>IF(Учет!A3199&lt;&gt;"",Учет!A3199,"")</f>
        <v/>
      </c>
      <c r="B3199" s="52">
        <f>IF(Учет!$O3199=Справочники!$F$2,Учет!$H3199,0)</f>
        <v>0</v>
      </c>
      <c r="C3199" s="52">
        <f>IF(Учет!$O3199=Справочники!$F$3,Учет!$H3199,0)</f>
        <v>0</v>
      </c>
      <c r="D3199" s="52">
        <f>IF(Учет!$O3199=Справочники!$F$4,Учет!$H3199,0)</f>
        <v>0</v>
      </c>
      <c r="E3199" s="52">
        <f>IF(Учет!$O3199=Справочники!$F$5,Учет!$H3199,0)</f>
        <v>0</v>
      </c>
      <c r="F3199" s="52">
        <f>IF(Учет!$O3199=Справочники!$F$6,Учет!$H3199,0)</f>
        <v>0</v>
      </c>
      <c r="G3199" s="43">
        <f>G3198+Учет!B3199-B3199</f>
        <v>-488978.92000000004</v>
      </c>
      <c r="H3199" s="43">
        <f>H3198+Учет!C3199-C3199</f>
        <v>336855</v>
      </c>
      <c r="I3199" s="43">
        <f>I3198+Учет!D3199-D3199</f>
        <v>500</v>
      </c>
      <c r="J3199" s="43">
        <f>J3198+Учет!E3199-E3199</f>
        <v>1150</v>
      </c>
      <c r="K3199" s="43">
        <f>K3198+Учет!F3199-F3199</f>
        <v>500000</v>
      </c>
      <c r="L3199" s="45">
        <f>Учет!I3199</f>
        <v>349526.07999999996</v>
      </c>
    </row>
    <row r="3200" spans="1:12" x14ac:dyDescent="0.25">
      <c r="A3200" s="48" t="str">
        <f>IF(Учет!A3200&lt;&gt;"",Учет!A3200,"")</f>
        <v/>
      </c>
      <c r="B3200" s="52">
        <f>IF(Учет!$O3200=Справочники!$F$2,Учет!$H3200,0)</f>
        <v>0</v>
      </c>
      <c r="C3200" s="52">
        <f>IF(Учет!$O3200=Справочники!$F$3,Учет!$H3200,0)</f>
        <v>0</v>
      </c>
      <c r="D3200" s="52">
        <f>IF(Учет!$O3200=Справочники!$F$4,Учет!$H3200,0)</f>
        <v>0</v>
      </c>
      <c r="E3200" s="52">
        <f>IF(Учет!$O3200=Справочники!$F$5,Учет!$H3200,0)</f>
        <v>0</v>
      </c>
      <c r="F3200" s="52">
        <f>IF(Учет!$O3200=Справочники!$F$6,Учет!$H3200,0)</f>
        <v>0</v>
      </c>
      <c r="G3200" s="43">
        <f>G3199+Учет!B3200-B3200</f>
        <v>-488978.92000000004</v>
      </c>
      <c r="H3200" s="43">
        <f>H3199+Учет!C3200-C3200</f>
        <v>336855</v>
      </c>
      <c r="I3200" s="43">
        <f>I3199+Учет!D3200-D3200</f>
        <v>500</v>
      </c>
      <c r="J3200" s="43">
        <f>J3199+Учет!E3200-E3200</f>
        <v>1150</v>
      </c>
      <c r="K3200" s="43">
        <f>K3199+Учет!F3200-F3200</f>
        <v>500000</v>
      </c>
      <c r="L3200" s="45">
        <f>Учет!I3200</f>
        <v>349526.07999999996</v>
      </c>
    </row>
    <row r="3201" spans="1:12" x14ac:dyDescent="0.25">
      <c r="A3201" s="48" t="str">
        <f>IF(Учет!A3201&lt;&gt;"",Учет!A3201,"")</f>
        <v/>
      </c>
      <c r="B3201" s="52">
        <f>IF(Учет!$O3201=Справочники!$F$2,Учет!$H3201,0)</f>
        <v>0</v>
      </c>
      <c r="C3201" s="52">
        <f>IF(Учет!$O3201=Справочники!$F$3,Учет!$H3201,0)</f>
        <v>0</v>
      </c>
      <c r="D3201" s="52">
        <f>IF(Учет!$O3201=Справочники!$F$4,Учет!$H3201,0)</f>
        <v>0</v>
      </c>
      <c r="E3201" s="52">
        <f>IF(Учет!$O3201=Справочники!$F$5,Учет!$H3201,0)</f>
        <v>0</v>
      </c>
      <c r="F3201" s="52">
        <f>IF(Учет!$O3201=Справочники!$F$6,Учет!$H3201,0)</f>
        <v>0</v>
      </c>
      <c r="G3201" s="43">
        <f>G3200+Учет!B3201-B3201</f>
        <v>-488978.92000000004</v>
      </c>
      <c r="H3201" s="43">
        <f>H3200+Учет!C3201-C3201</f>
        <v>336855</v>
      </c>
      <c r="I3201" s="43">
        <f>I3200+Учет!D3201-D3201</f>
        <v>500</v>
      </c>
      <c r="J3201" s="43">
        <f>J3200+Учет!E3201-E3201</f>
        <v>1150</v>
      </c>
      <c r="K3201" s="43">
        <f>K3200+Учет!F3201-F3201</f>
        <v>500000</v>
      </c>
      <c r="L3201" s="45">
        <f>Учет!I3201</f>
        <v>349526.07999999996</v>
      </c>
    </row>
    <row r="3202" spans="1:12" x14ac:dyDescent="0.25">
      <c r="A3202" s="48" t="str">
        <f>IF(Учет!A3202&lt;&gt;"",Учет!A3202,"")</f>
        <v/>
      </c>
      <c r="B3202" s="52">
        <f>IF(Учет!$O3202=Справочники!$F$2,Учет!$H3202,0)</f>
        <v>0</v>
      </c>
      <c r="C3202" s="52">
        <f>IF(Учет!$O3202=Справочники!$F$3,Учет!$H3202,0)</f>
        <v>0</v>
      </c>
      <c r="D3202" s="52">
        <f>IF(Учет!$O3202=Справочники!$F$4,Учет!$H3202,0)</f>
        <v>0</v>
      </c>
      <c r="E3202" s="52">
        <f>IF(Учет!$O3202=Справочники!$F$5,Учет!$H3202,0)</f>
        <v>0</v>
      </c>
      <c r="F3202" s="52">
        <f>IF(Учет!$O3202=Справочники!$F$6,Учет!$H3202,0)</f>
        <v>0</v>
      </c>
      <c r="G3202" s="43">
        <f>G3201+Учет!B3202-B3202</f>
        <v>-488978.92000000004</v>
      </c>
      <c r="H3202" s="43">
        <f>H3201+Учет!C3202-C3202</f>
        <v>336855</v>
      </c>
      <c r="I3202" s="43">
        <f>I3201+Учет!D3202-D3202</f>
        <v>500</v>
      </c>
      <c r="J3202" s="43">
        <f>J3201+Учет!E3202-E3202</f>
        <v>1150</v>
      </c>
      <c r="K3202" s="43">
        <f>K3201+Учет!F3202-F3202</f>
        <v>500000</v>
      </c>
      <c r="L3202" s="45">
        <f>Учет!I3202</f>
        <v>349526.07999999996</v>
      </c>
    </row>
    <row r="3203" spans="1:12" x14ac:dyDescent="0.25">
      <c r="A3203" s="48" t="str">
        <f>IF(Учет!A3203&lt;&gt;"",Учет!A3203,"")</f>
        <v/>
      </c>
      <c r="B3203" s="52">
        <f>IF(Учет!$O3203=Справочники!$F$2,Учет!$H3203,0)</f>
        <v>0</v>
      </c>
      <c r="C3203" s="52">
        <f>IF(Учет!$O3203=Справочники!$F$3,Учет!$H3203,0)</f>
        <v>0</v>
      </c>
      <c r="D3203" s="52">
        <f>IF(Учет!$O3203=Справочники!$F$4,Учет!$H3203,0)</f>
        <v>0</v>
      </c>
      <c r="E3203" s="52">
        <f>IF(Учет!$O3203=Справочники!$F$5,Учет!$H3203,0)</f>
        <v>0</v>
      </c>
      <c r="F3203" s="52">
        <f>IF(Учет!$O3203=Справочники!$F$6,Учет!$H3203,0)</f>
        <v>0</v>
      </c>
      <c r="G3203" s="43">
        <f>G3202+Учет!B3203-B3203</f>
        <v>-488978.92000000004</v>
      </c>
      <c r="H3203" s="43">
        <f>H3202+Учет!C3203-C3203</f>
        <v>336855</v>
      </c>
      <c r="I3203" s="43">
        <f>I3202+Учет!D3203-D3203</f>
        <v>500</v>
      </c>
      <c r="J3203" s="43">
        <f>J3202+Учет!E3203-E3203</f>
        <v>1150</v>
      </c>
      <c r="K3203" s="43">
        <f>K3202+Учет!F3203-F3203</f>
        <v>500000</v>
      </c>
      <c r="L3203" s="45">
        <f>Учет!I3203</f>
        <v>349526.07999999996</v>
      </c>
    </row>
    <row r="3204" spans="1:12" x14ac:dyDescent="0.25">
      <c r="A3204" s="48" t="str">
        <f>IF(Учет!A3204&lt;&gt;"",Учет!A3204,"")</f>
        <v/>
      </c>
      <c r="B3204" s="52">
        <f>IF(Учет!$O3204=Справочники!$F$2,Учет!$H3204,0)</f>
        <v>0</v>
      </c>
      <c r="C3204" s="52">
        <f>IF(Учет!$O3204=Справочники!$F$3,Учет!$H3204,0)</f>
        <v>0</v>
      </c>
      <c r="D3204" s="52">
        <f>IF(Учет!$O3204=Справочники!$F$4,Учет!$H3204,0)</f>
        <v>0</v>
      </c>
      <c r="E3204" s="52">
        <f>IF(Учет!$O3204=Справочники!$F$5,Учет!$H3204,0)</f>
        <v>0</v>
      </c>
      <c r="F3204" s="52">
        <f>IF(Учет!$O3204=Справочники!$F$6,Учет!$H3204,0)</f>
        <v>0</v>
      </c>
      <c r="G3204" s="43">
        <f>G3203+Учет!B3204-B3204</f>
        <v>-488978.92000000004</v>
      </c>
      <c r="H3204" s="43">
        <f>H3203+Учет!C3204-C3204</f>
        <v>336855</v>
      </c>
      <c r="I3204" s="43">
        <f>I3203+Учет!D3204-D3204</f>
        <v>500</v>
      </c>
      <c r="J3204" s="43">
        <f>J3203+Учет!E3204-E3204</f>
        <v>1150</v>
      </c>
      <c r="K3204" s="43">
        <f>K3203+Учет!F3204-F3204</f>
        <v>500000</v>
      </c>
      <c r="L3204" s="45">
        <f>Учет!I3204</f>
        <v>349526.07999999996</v>
      </c>
    </row>
    <row r="3205" spans="1:12" x14ac:dyDescent="0.25">
      <c r="A3205" s="48" t="str">
        <f>IF(Учет!A3205&lt;&gt;"",Учет!A3205,"")</f>
        <v/>
      </c>
      <c r="B3205" s="52">
        <f>IF(Учет!$O3205=Справочники!$F$2,Учет!$H3205,0)</f>
        <v>0</v>
      </c>
      <c r="C3205" s="52">
        <f>IF(Учет!$O3205=Справочники!$F$3,Учет!$H3205,0)</f>
        <v>0</v>
      </c>
      <c r="D3205" s="52">
        <f>IF(Учет!$O3205=Справочники!$F$4,Учет!$H3205,0)</f>
        <v>0</v>
      </c>
      <c r="E3205" s="52">
        <f>IF(Учет!$O3205=Справочники!$F$5,Учет!$H3205,0)</f>
        <v>0</v>
      </c>
      <c r="F3205" s="52">
        <f>IF(Учет!$O3205=Справочники!$F$6,Учет!$H3205,0)</f>
        <v>0</v>
      </c>
      <c r="G3205" s="43">
        <f>G3204+Учет!B3205-B3205</f>
        <v>-488978.92000000004</v>
      </c>
      <c r="H3205" s="43">
        <f>H3204+Учет!C3205-C3205</f>
        <v>336855</v>
      </c>
      <c r="I3205" s="43">
        <f>I3204+Учет!D3205-D3205</f>
        <v>500</v>
      </c>
      <c r="J3205" s="43">
        <f>J3204+Учет!E3205-E3205</f>
        <v>1150</v>
      </c>
      <c r="K3205" s="43">
        <f>K3204+Учет!F3205-F3205</f>
        <v>500000</v>
      </c>
      <c r="L3205" s="45">
        <f>Учет!I3205</f>
        <v>349526.07999999996</v>
      </c>
    </row>
    <row r="3206" spans="1:12" x14ac:dyDescent="0.25">
      <c r="A3206" s="48" t="str">
        <f>IF(Учет!A3206&lt;&gt;"",Учет!A3206,"")</f>
        <v/>
      </c>
      <c r="B3206" s="52">
        <f>IF(Учет!$O3206=Справочники!$F$2,Учет!$H3206,0)</f>
        <v>0</v>
      </c>
      <c r="C3206" s="52">
        <f>IF(Учет!$O3206=Справочники!$F$3,Учет!$H3206,0)</f>
        <v>0</v>
      </c>
      <c r="D3206" s="52">
        <f>IF(Учет!$O3206=Справочники!$F$4,Учет!$H3206,0)</f>
        <v>0</v>
      </c>
      <c r="E3206" s="52">
        <f>IF(Учет!$O3206=Справочники!$F$5,Учет!$H3206,0)</f>
        <v>0</v>
      </c>
      <c r="F3206" s="52">
        <f>IF(Учет!$O3206=Справочники!$F$6,Учет!$H3206,0)</f>
        <v>0</v>
      </c>
      <c r="G3206" s="43">
        <f>G3205+Учет!B3206-B3206</f>
        <v>-488978.92000000004</v>
      </c>
      <c r="H3206" s="43">
        <f>H3205+Учет!C3206-C3206</f>
        <v>336855</v>
      </c>
      <c r="I3206" s="43">
        <f>I3205+Учет!D3206-D3206</f>
        <v>500</v>
      </c>
      <c r="J3206" s="43">
        <f>J3205+Учет!E3206-E3206</f>
        <v>1150</v>
      </c>
      <c r="K3206" s="43">
        <f>K3205+Учет!F3206-F3206</f>
        <v>500000</v>
      </c>
      <c r="L3206" s="45">
        <f>Учет!I3206</f>
        <v>349526.07999999996</v>
      </c>
    </row>
    <row r="3207" spans="1:12" x14ac:dyDescent="0.25">
      <c r="A3207" s="48" t="str">
        <f>IF(Учет!A3207&lt;&gt;"",Учет!A3207,"")</f>
        <v/>
      </c>
      <c r="B3207" s="52">
        <f>IF(Учет!$O3207=Справочники!$F$2,Учет!$H3207,0)</f>
        <v>0</v>
      </c>
      <c r="C3207" s="52">
        <f>IF(Учет!$O3207=Справочники!$F$3,Учет!$H3207,0)</f>
        <v>0</v>
      </c>
      <c r="D3207" s="52">
        <f>IF(Учет!$O3207=Справочники!$F$4,Учет!$H3207,0)</f>
        <v>0</v>
      </c>
      <c r="E3207" s="52">
        <f>IF(Учет!$O3207=Справочники!$F$5,Учет!$H3207,0)</f>
        <v>0</v>
      </c>
      <c r="F3207" s="52">
        <f>IF(Учет!$O3207=Справочники!$F$6,Учет!$H3207,0)</f>
        <v>0</v>
      </c>
      <c r="G3207" s="43">
        <f>G3206+Учет!B3207-B3207</f>
        <v>-488978.92000000004</v>
      </c>
      <c r="H3207" s="43">
        <f>H3206+Учет!C3207-C3207</f>
        <v>336855</v>
      </c>
      <c r="I3207" s="43">
        <f>I3206+Учет!D3207-D3207</f>
        <v>500</v>
      </c>
      <c r="J3207" s="43">
        <f>J3206+Учет!E3207-E3207</f>
        <v>1150</v>
      </c>
      <c r="K3207" s="43">
        <f>K3206+Учет!F3207-F3207</f>
        <v>500000</v>
      </c>
      <c r="L3207" s="45">
        <f>Учет!I3207</f>
        <v>349526.07999999996</v>
      </c>
    </row>
    <row r="3208" spans="1:12" x14ac:dyDescent="0.25">
      <c r="A3208" s="48" t="str">
        <f>IF(Учет!A3208&lt;&gt;"",Учет!A3208,"")</f>
        <v/>
      </c>
      <c r="B3208" s="52">
        <f>IF(Учет!$O3208=Справочники!$F$2,Учет!$H3208,0)</f>
        <v>0</v>
      </c>
      <c r="C3208" s="52">
        <f>IF(Учет!$O3208=Справочники!$F$3,Учет!$H3208,0)</f>
        <v>0</v>
      </c>
      <c r="D3208" s="52">
        <f>IF(Учет!$O3208=Справочники!$F$4,Учет!$H3208,0)</f>
        <v>0</v>
      </c>
      <c r="E3208" s="52">
        <f>IF(Учет!$O3208=Справочники!$F$5,Учет!$H3208,0)</f>
        <v>0</v>
      </c>
      <c r="F3208" s="52">
        <f>IF(Учет!$O3208=Справочники!$F$6,Учет!$H3208,0)</f>
        <v>0</v>
      </c>
      <c r="G3208" s="43">
        <f>G3207+Учет!B3208-B3208</f>
        <v>-488978.92000000004</v>
      </c>
      <c r="H3208" s="43">
        <f>H3207+Учет!C3208-C3208</f>
        <v>336855</v>
      </c>
      <c r="I3208" s="43">
        <f>I3207+Учет!D3208-D3208</f>
        <v>500</v>
      </c>
      <c r="J3208" s="43">
        <f>J3207+Учет!E3208-E3208</f>
        <v>1150</v>
      </c>
      <c r="K3208" s="43">
        <f>K3207+Учет!F3208-F3208</f>
        <v>500000</v>
      </c>
      <c r="L3208" s="45">
        <f>Учет!I3208</f>
        <v>349526.07999999996</v>
      </c>
    </row>
    <row r="3209" spans="1:12" x14ac:dyDescent="0.25">
      <c r="A3209" s="48" t="str">
        <f>IF(Учет!A3209&lt;&gt;"",Учет!A3209,"")</f>
        <v/>
      </c>
      <c r="B3209" s="52">
        <f>IF(Учет!$O3209=Справочники!$F$2,Учет!$H3209,0)</f>
        <v>0</v>
      </c>
      <c r="C3209" s="52">
        <f>IF(Учет!$O3209=Справочники!$F$3,Учет!$H3209,0)</f>
        <v>0</v>
      </c>
      <c r="D3209" s="52">
        <f>IF(Учет!$O3209=Справочники!$F$4,Учет!$H3209,0)</f>
        <v>0</v>
      </c>
      <c r="E3209" s="52">
        <f>IF(Учет!$O3209=Справочники!$F$5,Учет!$H3209,0)</f>
        <v>0</v>
      </c>
      <c r="F3209" s="52">
        <f>IF(Учет!$O3209=Справочники!$F$6,Учет!$H3209,0)</f>
        <v>0</v>
      </c>
      <c r="G3209" s="43">
        <f>G3208+Учет!B3209-B3209</f>
        <v>-488978.92000000004</v>
      </c>
      <c r="H3209" s="43">
        <f>H3208+Учет!C3209-C3209</f>
        <v>336855</v>
      </c>
      <c r="I3209" s="43">
        <f>I3208+Учет!D3209-D3209</f>
        <v>500</v>
      </c>
      <c r="J3209" s="43">
        <f>J3208+Учет!E3209-E3209</f>
        <v>1150</v>
      </c>
      <c r="K3209" s="43">
        <f>K3208+Учет!F3209-F3209</f>
        <v>500000</v>
      </c>
      <c r="L3209" s="45">
        <f>Учет!I3209</f>
        <v>349526.07999999996</v>
      </c>
    </row>
    <row r="3210" spans="1:12" x14ac:dyDescent="0.25">
      <c r="A3210" s="48" t="str">
        <f>IF(Учет!A3210&lt;&gt;"",Учет!A3210,"")</f>
        <v/>
      </c>
      <c r="B3210" s="52">
        <f>IF(Учет!$O3210=Справочники!$F$2,Учет!$H3210,0)</f>
        <v>0</v>
      </c>
      <c r="C3210" s="52">
        <f>IF(Учет!$O3210=Справочники!$F$3,Учет!$H3210,0)</f>
        <v>0</v>
      </c>
      <c r="D3210" s="52">
        <f>IF(Учет!$O3210=Справочники!$F$4,Учет!$H3210,0)</f>
        <v>0</v>
      </c>
      <c r="E3210" s="52">
        <f>IF(Учет!$O3210=Справочники!$F$5,Учет!$H3210,0)</f>
        <v>0</v>
      </c>
      <c r="F3210" s="52">
        <f>IF(Учет!$O3210=Справочники!$F$6,Учет!$H3210,0)</f>
        <v>0</v>
      </c>
      <c r="G3210" s="43">
        <f>G3209+Учет!B3210-B3210</f>
        <v>-488978.92000000004</v>
      </c>
      <c r="H3210" s="43">
        <f>H3209+Учет!C3210-C3210</f>
        <v>336855</v>
      </c>
      <c r="I3210" s="43">
        <f>I3209+Учет!D3210-D3210</f>
        <v>500</v>
      </c>
      <c r="J3210" s="43">
        <f>J3209+Учет!E3210-E3210</f>
        <v>1150</v>
      </c>
      <c r="K3210" s="43">
        <f>K3209+Учет!F3210-F3210</f>
        <v>500000</v>
      </c>
      <c r="L3210" s="45">
        <f>Учет!I3210</f>
        <v>349526.07999999996</v>
      </c>
    </row>
    <row r="3211" spans="1:12" x14ac:dyDescent="0.25">
      <c r="A3211" s="48" t="str">
        <f>IF(Учет!A3211&lt;&gt;"",Учет!A3211,"")</f>
        <v/>
      </c>
      <c r="B3211" s="52">
        <f>IF(Учет!$O3211=Справочники!$F$2,Учет!$H3211,0)</f>
        <v>0</v>
      </c>
      <c r="C3211" s="52">
        <f>IF(Учет!$O3211=Справочники!$F$3,Учет!$H3211,0)</f>
        <v>0</v>
      </c>
      <c r="D3211" s="52">
        <f>IF(Учет!$O3211=Справочники!$F$4,Учет!$H3211,0)</f>
        <v>0</v>
      </c>
      <c r="E3211" s="52">
        <f>IF(Учет!$O3211=Справочники!$F$5,Учет!$H3211,0)</f>
        <v>0</v>
      </c>
      <c r="F3211" s="52">
        <f>IF(Учет!$O3211=Справочники!$F$6,Учет!$H3211,0)</f>
        <v>0</v>
      </c>
      <c r="G3211" s="43">
        <f>G3210+Учет!B3211-B3211</f>
        <v>-488978.92000000004</v>
      </c>
      <c r="H3211" s="43">
        <f>H3210+Учет!C3211-C3211</f>
        <v>336855</v>
      </c>
      <c r="I3211" s="43">
        <f>I3210+Учет!D3211-D3211</f>
        <v>500</v>
      </c>
      <c r="J3211" s="43">
        <f>J3210+Учет!E3211-E3211</f>
        <v>1150</v>
      </c>
      <c r="K3211" s="43">
        <f>K3210+Учет!F3211-F3211</f>
        <v>500000</v>
      </c>
      <c r="L3211" s="45">
        <f>Учет!I3211</f>
        <v>349526.07999999996</v>
      </c>
    </row>
    <row r="3212" spans="1:12" x14ac:dyDescent="0.25">
      <c r="A3212" s="48" t="str">
        <f>IF(Учет!A3212&lt;&gt;"",Учет!A3212,"")</f>
        <v/>
      </c>
      <c r="B3212" s="52">
        <f>IF(Учет!$O3212=Справочники!$F$2,Учет!$H3212,0)</f>
        <v>0</v>
      </c>
      <c r="C3212" s="52">
        <f>IF(Учет!$O3212=Справочники!$F$3,Учет!$H3212,0)</f>
        <v>0</v>
      </c>
      <c r="D3212" s="52">
        <f>IF(Учет!$O3212=Справочники!$F$4,Учет!$H3212,0)</f>
        <v>0</v>
      </c>
      <c r="E3212" s="52">
        <f>IF(Учет!$O3212=Справочники!$F$5,Учет!$H3212,0)</f>
        <v>0</v>
      </c>
      <c r="F3212" s="52">
        <f>IF(Учет!$O3212=Справочники!$F$6,Учет!$H3212,0)</f>
        <v>0</v>
      </c>
      <c r="G3212" s="43">
        <f>G3211+Учет!B3212-B3212</f>
        <v>-488978.92000000004</v>
      </c>
      <c r="H3212" s="43">
        <f>H3211+Учет!C3212-C3212</f>
        <v>336855</v>
      </c>
      <c r="I3212" s="43">
        <f>I3211+Учет!D3212-D3212</f>
        <v>500</v>
      </c>
      <c r="J3212" s="43">
        <f>J3211+Учет!E3212-E3212</f>
        <v>1150</v>
      </c>
      <c r="K3212" s="43">
        <f>K3211+Учет!F3212-F3212</f>
        <v>500000</v>
      </c>
      <c r="L3212" s="45">
        <f>Учет!I3212</f>
        <v>349526.07999999996</v>
      </c>
    </row>
    <row r="3213" spans="1:12" x14ac:dyDescent="0.25">
      <c r="A3213" s="48" t="str">
        <f>IF(Учет!A3213&lt;&gt;"",Учет!A3213,"")</f>
        <v/>
      </c>
      <c r="B3213" s="52">
        <f>IF(Учет!$O3213=Справочники!$F$2,Учет!$H3213,0)</f>
        <v>0</v>
      </c>
      <c r="C3213" s="52">
        <f>IF(Учет!$O3213=Справочники!$F$3,Учет!$H3213,0)</f>
        <v>0</v>
      </c>
      <c r="D3213" s="52">
        <f>IF(Учет!$O3213=Справочники!$F$4,Учет!$H3213,0)</f>
        <v>0</v>
      </c>
      <c r="E3213" s="52">
        <f>IF(Учет!$O3213=Справочники!$F$5,Учет!$H3213,0)</f>
        <v>0</v>
      </c>
      <c r="F3213" s="52">
        <f>IF(Учет!$O3213=Справочники!$F$6,Учет!$H3213,0)</f>
        <v>0</v>
      </c>
      <c r="G3213" s="43">
        <f>G3212+Учет!B3213-B3213</f>
        <v>-488978.92000000004</v>
      </c>
      <c r="H3213" s="43">
        <f>H3212+Учет!C3213-C3213</f>
        <v>336855</v>
      </c>
      <c r="I3213" s="43">
        <f>I3212+Учет!D3213-D3213</f>
        <v>500</v>
      </c>
      <c r="J3213" s="43">
        <f>J3212+Учет!E3213-E3213</f>
        <v>1150</v>
      </c>
      <c r="K3213" s="43">
        <f>K3212+Учет!F3213-F3213</f>
        <v>500000</v>
      </c>
      <c r="L3213" s="45">
        <f>Учет!I3213</f>
        <v>349526.07999999996</v>
      </c>
    </row>
    <row r="3214" spans="1:12" x14ac:dyDescent="0.25">
      <c r="A3214" s="48" t="str">
        <f>IF(Учет!A3214&lt;&gt;"",Учет!A3214,"")</f>
        <v/>
      </c>
      <c r="B3214" s="52">
        <f>IF(Учет!$O3214=Справочники!$F$2,Учет!$H3214,0)</f>
        <v>0</v>
      </c>
      <c r="C3214" s="52">
        <f>IF(Учет!$O3214=Справочники!$F$3,Учет!$H3214,0)</f>
        <v>0</v>
      </c>
      <c r="D3214" s="52">
        <f>IF(Учет!$O3214=Справочники!$F$4,Учет!$H3214,0)</f>
        <v>0</v>
      </c>
      <c r="E3214" s="52">
        <f>IF(Учет!$O3214=Справочники!$F$5,Учет!$H3214,0)</f>
        <v>0</v>
      </c>
      <c r="F3214" s="52">
        <f>IF(Учет!$O3214=Справочники!$F$6,Учет!$H3214,0)</f>
        <v>0</v>
      </c>
      <c r="G3214" s="43">
        <f>G3213+Учет!B3214-B3214</f>
        <v>-488978.92000000004</v>
      </c>
      <c r="H3214" s="43">
        <f>H3213+Учет!C3214-C3214</f>
        <v>336855</v>
      </c>
      <c r="I3214" s="43">
        <f>I3213+Учет!D3214-D3214</f>
        <v>500</v>
      </c>
      <c r="J3214" s="43">
        <f>J3213+Учет!E3214-E3214</f>
        <v>1150</v>
      </c>
      <c r="K3214" s="43">
        <f>K3213+Учет!F3214-F3214</f>
        <v>500000</v>
      </c>
      <c r="L3214" s="45">
        <f>Учет!I3214</f>
        <v>349526.07999999996</v>
      </c>
    </row>
    <row r="3215" spans="1:12" x14ac:dyDescent="0.25">
      <c r="A3215" s="48" t="str">
        <f>IF(Учет!A3215&lt;&gt;"",Учет!A3215,"")</f>
        <v/>
      </c>
      <c r="B3215" s="52">
        <f>IF(Учет!$O3215=Справочники!$F$2,Учет!$H3215,0)</f>
        <v>0</v>
      </c>
      <c r="C3215" s="52">
        <f>IF(Учет!$O3215=Справочники!$F$3,Учет!$H3215,0)</f>
        <v>0</v>
      </c>
      <c r="D3215" s="52">
        <f>IF(Учет!$O3215=Справочники!$F$4,Учет!$H3215,0)</f>
        <v>0</v>
      </c>
      <c r="E3215" s="52">
        <f>IF(Учет!$O3215=Справочники!$F$5,Учет!$H3215,0)</f>
        <v>0</v>
      </c>
      <c r="F3215" s="52">
        <f>IF(Учет!$O3215=Справочники!$F$6,Учет!$H3215,0)</f>
        <v>0</v>
      </c>
      <c r="G3215" s="43">
        <f>G3214+Учет!B3215-B3215</f>
        <v>-488978.92000000004</v>
      </c>
      <c r="H3215" s="43">
        <f>H3214+Учет!C3215-C3215</f>
        <v>336855</v>
      </c>
      <c r="I3215" s="43">
        <f>I3214+Учет!D3215-D3215</f>
        <v>500</v>
      </c>
      <c r="J3215" s="43">
        <f>J3214+Учет!E3215-E3215</f>
        <v>1150</v>
      </c>
      <c r="K3215" s="43">
        <f>K3214+Учет!F3215-F3215</f>
        <v>500000</v>
      </c>
      <c r="L3215" s="45">
        <f>Учет!I3215</f>
        <v>349526.07999999996</v>
      </c>
    </row>
    <row r="3216" spans="1:12" x14ac:dyDescent="0.25">
      <c r="A3216" s="48" t="str">
        <f>IF(Учет!A3216&lt;&gt;"",Учет!A3216,"")</f>
        <v/>
      </c>
      <c r="B3216" s="52">
        <f>IF(Учет!$O3216=Справочники!$F$2,Учет!$H3216,0)</f>
        <v>0</v>
      </c>
      <c r="C3216" s="52">
        <f>IF(Учет!$O3216=Справочники!$F$3,Учет!$H3216,0)</f>
        <v>0</v>
      </c>
      <c r="D3216" s="52">
        <f>IF(Учет!$O3216=Справочники!$F$4,Учет!$H3216,0)</f>
        <v>0</v>
      </c>
      <c r="E3216" s="52">
        <f>IF(Учет!$O3216=Справочники!$F$5,Учет!$H3216,0)</f>
        <v>0</v>
      </c>
      <c r="F3216" s="52">
        <f>IF(Учет!$O3216=Справочники!$F$6,Учет!$H3216,0)</f>
        <v>0</v>
      </c>
      <c r="G3216" s="43">
        <f>G3215+Учет!B3216-B3216</f>
        <v>-488978.92000000004</v>
      </c>
      <c r="H3216" s="43">
        <f>H3215+Учет!C3216-C3216</f>
        <v>336855</v>
      </c>
      <c r="I3216" s="43">
        <f>I3215+Учет!D3216-D3216</f>
        <v>500</v>
      </c>
      <c r="J3216" s="43">
        <f>J3215+Учет!E3216-E3216</f>
        <v>1150</v>
      </c>
      <c r="K3216" s="43">
        <f>K3215+Учет!F3216-F3216</f>
        <v>500000</v>
      </c>
      <c r="L3216" s="45">
        <f>Учет!I3216</f>
        <v>349526.07999999996</v>
      </c>
    </row>
    <row r="3217" spans="1:12" x14ac:dyDescent="0.25">
      <c r="A3217" s="48" t="str">
        <f>IF(Учет!A3217&lt;&gt;"",Учет!A3217,"")</f>
        <v/>
      </c>
      <c r="B3217" s="52">
        <f>IF(Учет!$O3217=Справочники!$F$2,Учет!$H3217,0)</f>
        <v>0</v>
      </c>
      <c r="C3217" s="52">
        <f>IF(Учет!$O3217=Справочники!$F$3,Учет!$H3217,0)</f>
        <v>0</v>
      </c>
      <c r="D3217" s="52">
        <f>IF(Учет!$O3217=Справочники!$F$4,Учет!$H3217,0)</f>
        <v>0</v>
      </c>
      <c r="E3217" s="52">
        <f>IF(Учет!$O3217=Справочники!$F$5,Учет!$H3217,0)</f>
        <v>0</v>
      </c>
      <c r="F3217" s="52">
        <f>IF(Учет!$O3217=Справочники!$F$6,Учет!$H3217,0)</f>
        <v>0</v>
      </c>
      <c r="G3217" s="43">
        <f>G3216+Учет!B3217-B3217</f>
        <v>-488978.92000000004</v>
      </c>
      <c r="H3217" s="43">
        <f>H3216+Учет!C3217-C3217</f>
        <v>336855</v>
      </c>
      <c r="I3217" s="43">
        <f>I3216+Учет!D3217-D3217</f>
        <v>500</v>
      </c>
      <c r="J3217" s="43">
        <f>J3216+Учет!E3217-E3217</f>
        <v>1150</v>
      </c>
      <c r="K3217" s="43">
        <f>K3216+Учет!F3217-F3217</f>
        <v>500000</v>
      </c>
      <c r="L3217" s="45">
        <f>Учет!I3217</f>
        <v>349526.07999999996</v>
      </c>
    </row>
    <row r="3218" spans="1:12" x14ac:dyDescent="0.25">
      <c r="A3218" s="48" t="str">
        <f>IF(Учет!A3218&lt;&gt;"",Учет!A3218,"")</f>
        <v/>
      </c>
      <c r="B3218" s="52">
        <f>IF(Учет!$O3218=Справочники!$F$2,Учет!$H3218,0)</f>
        <v>0</v>
      </c>
      <c r="C3218" s="52">
        <f>IF(Учет!$O3218=Справочники!$F$3,Учет!$H3218,0)</f>
        <v>0</v>
      </c>
      <c r="D3218" s="52">
        <f>IF(Учет!$O3218=Справочники!$F$4,Учет!$H3218,0)</f>
        <v>0</v>
      </c>
      <c r="E3218" s="52">
        <f>IF(Учет!$O3218=Справочники!$F$5,Учет!$H3218,0)</f>
        <v>0</v>
      </c>
      <c r="F3218" s="52">
        <f>IF(Учет!$O3218=Справочники!$F$6,Учет!$H3218,0)</f>
        <v>0</v>
      </c>
      <c r="G3218" s="43">
        <f>G3217+Учет!B3218-B3218</f>
        <v>-488978.92000000004</v>
      </c>
      <c r="H3218" s="43">
        <f>H3217+Учет!C3218-C3218</f>
        <v>336855</v>
      </c>
      <c r="I3218" s="43">
        <f>I3217+Учет!D3218-D3218</f>
        <v>500</v>
      </c>
      <c r="J3218" s="43">
        <f>J3217+Учет!E3218-E3218</f>
        <v>1150</v>
      </c>
      <c r="K3218" s="43">
        <f>K3217+Учет!F3218-F3218</f>
        <v>500000</v>
      </c>
      <c r="L3218" s="45">
        <f>Учет!I3218</f>
        <v>349526.07999999996</v>
      </c>
    </row>
    <row r="3219" spans="1:12" x14ac:dyDescent="0.25">
      <c r="A3219" s="48" t="str">
        <f>IF(Учет!A3219&lt;&gt;"",Учет!A3219,"")</f>
        <v/>
      </c>
      <c r="B3219" s="52">
        <f>IF(Учет!$O3219=Справочники!$F$2,Учет!$H3219,0)</f>
        <v>0</v>
      </c>
      <c r="C3219" s="52">
        <f>IF(Учет!$O3219=Справочники!$F$3,Учет!$H3219,0)</f>
        <v>0</v>
      </c>
      <c r="D3219" s="52">
        <f>IF(Учет!$O3219=Справочники!$F$4,Учет!$H3219,0)</f>
        <v>0</v>
      </c>
      <c r="E3219" s="52">
        <f>IF(Учет!$O3219=Справочники!$F$5,Учет!$H3219,0)</f>
        <v>0</v>
      </c>
      <c r="F3219" s="52">
        <f>IF(Учет!$O3219=Справочники!$F$6,Учет!$H3219,0)</f>
        <v>0</v>
      </c>
      <c r="G3219" s="43">
        <f>G3218+Учет!B3219-B3219</f>
        <v>-488978.92000000004</v>
      </c>
      <c r="H3219" s="43">
        <f>H3218+Учет!C3219-C3219</f>
        <v>336855</v>
      </c>
      <c r="I3219" s="43">
        <f>I3218+Учет!D3219-D3219</f>
        <v>500</v>
      </c>
      <c r="J3219" s="43">
        <f>J3218+Учет!E3219-E3219</f>
        <v>1150</v>
      </c>
      <c r="K3219" s="43">
        <f>K3218+Учет!F3219-F3219</f>
        <v>500000</v>
      </c>
      <c r="L3219" s="45">
        <f>Учет!I3219</f>
        <v>349526.07999999996</v>
      </c>
    </row>
    <row r="3220" spans="1:12" x14ac:dyDescent="0.25">
      <c r="A3220" s="48" t="str">
        <f>IF(Учет!A3220&lt;&gt;"",Учет!A3220,"")</f>
        <v/>
      </c>
      <c r="B3220" s="52">
        <f>IF(Учет!$O3220=Справочники!$F$2,Учет!$H3220,0)</f>
        <v>0</v>
      </c>
      <c r="C3220" s="52">
        <f>IF(Учет!$O3220=Справочники!$F$3,Учет!$H3220,0)</f>
        <v>0</v>
      </c>
      <c r="D3220" s="52">
        <f>IF(Учет!$O3220=Справочники!$F$4,Учет!$H3220,0)</f>
        <v>0</v>
      </c>
      <c r="E3220" s="52">
        <f>IF(Учет!$O3220=Справочники!$F$5,Учет!$H3220,0)</f>
        <v>0</v>
      </c>
      <c r="F3220" s="52">
        <f>IF(Учет!$O3220=Справочники!$F$6,Учет!$H3220,0)</f>
        <v>0</v>
      </c>
      <c r="G3220" s="43">
        <f>G3219+Учет!B3220-B3220</f>
        <v>-488978.92000000004</v>
      </c>
      <c r="H3220" s="43">
        <f>H3219+Учет!C3220-C3220</f>
        <v>336855</v>
      </c>
      <c r="I3220" s="43">
        <f>I3219+Учет!D3220-D3220</f>
        <v>500</v>
      </c>
      <c r="J3220" s="43">
        <f>J3219+Учет!E3220-E3220</f>
        <v>1150</v>
      </c>
      <c r="K3220" s="43">
        <f>K3219+Учет!F3220-F3220</f>
        <v>500000</v>
      </c>
      <c r="L3220" s="45">
        <f>Учет!I3220</f>
        <v>349526.07999999996</v>
      </c>
    </row>
    <row r="3221" spans="1:12" x14ac:dyDescent="0.25">
      <c r="A3221" s="48" t="str">
        <f>IF(Учет!A3221&lt;&gt;"",Учет!A3221,"")</f>
        <v/>
      </c>
      <c r="B3221" s="52">
        <f>IF(Учет!$O3221=Справочники!$F$2,Учет!$H3221,0)</f>
        <v>0</v>
      </c>
      <c r="C3221" s="52">
        <f>IF(Учет!$O3221=Справочники!$F$3,Учет!$H3221,0)</f>
        <v>0</v>
      </c>
      <c r="D3221" s="52">
        <f>IF(Учет!$O3221=Справочники!$F$4,Учет!$H3221,0)</f>
        <v>0</v>
      </c>
      <c r="E3221" s="52">
        <f>IF(Учет!$O3221=Справочники!$F$5,Учет!$H3221,0)</f>
        <v>0</v>
      </c>
      <c r="F3221" s="52">
        <f>IF(Учет!$O3221=Справочники!$F$6,Учет!$H3221,0)</f>
        <v>0</v>
      </c>
      <c r="G3221" s="43">
        <f>G3220+Учет!B3221-B3221</f>
        <v>-488978.92000000004</v>
      </c>
      <c r="H3221" s="43">
        <f>H3220+Учет!C3221-C3221</f>
        <v>336855</v>
      </c>
      <c r="I3221" s="43">
        <f>I3220+Учет!D3221-D3221</f>
        <v>500</v>
      </c>
      <c r="J3221" s="43">
        <f>J3220+Учет!E3221-E3221</f>
        <v>1150</v>
      </c>
      <c r="K3221" s="43">
        <f>K3220+Учет!F3221-F3221</f>
        <v>500000</v>
      </c>
      <c r="L3221" s="45">
        <f>Учет!I3221</f>
        <v>349526.07999999996</v>
      </c>
    </row>
    <row r="3222" spans="1:12" x14ac:dyDescent="0.25">
      <c r="A3222" s="48" t="str">
        <f>IF(Учет!A3222&lt;&gt;"",Учет!A3222,"")</f>
        <v/>
      </c>
      <c r="B3222" s="52">
        <f>IF(Учет!$O3222=Справочники!$F$2,Учет!$H3222,0)</f>
        <v>0</v>
      </c>
      <c r="C3222" s="52">
        <f>IF(Учет!$O3222=Справочники!$F$3,Учет!$H3222,0)</f>
        <v>0</v>
      </c>
      <c r="D3222" s="52">
        <f>IF(Учет!$O3222=Справочники!$F$4,Учет!$H3222,0)</f>
        <v>0</v>
      </c>
      <c r="E3222" s="52">
        <f>IF(Учет!$O3222=Справочники!$F$5,Учет!$H3222,0)</f>
        <v>0</v>
      </c>
      <c r="F3222" s="52">
        <f>IF(Учет!$O3222=Справочники!$F$6,Учет!$H3222,0)</f>
        <v>0</v>
      </c>
      <c r="G3222" s="43">
        <f>G3221+Учет!B3222-B3222</f>
        <v>-488978.92000000004</v>
      </c>
      <c r="H3222" s="43">
        <f>H3221+Учет!C3222-C3222</f>
        <v>336855</v>
      </c>
      <c r="I3222" s="43">
        <f>I3221+Учет!D3222-D3222</f>
        <v>500</v>
      </c>
      <c r="J3222" s="43">
        <f>J3221+Учет!E3222-E3222</f>
        <v>1150</v>
      </c>
      <c r="K3222" s="43">
        <f>K3221+Учет!F3222-F3222</f>
        <v>500000</v>
      </c>
      <c r="L3222" s="45">
        <f>Учет!I3222</f>
        <v>349526.07999999996</v>
      </c>
    </row>
    <row r="3223" spans="1:12" x14ac:dyDescent="0.25">
      <c r="A3223" s="48" t="str">
        <f>IF(Учет!A3223&lt;&gt;"",Учет!A3223,"")</f>
        <v/>
      </c>
      <c r="B3223" s="52">
        <f>IF(Учет!$O3223=Справочники!$F$2,Учет!$H3223,0)</f>
        <v>0</v>
      </c>
      <c r="C3223" s="52">
        <f>IF(Учет!$O3223=Справочники!$F$3,Учет!$H3223,0)</f>
        <v>0</v>
      </c>
      <c r="D3223" s="52">
        <f>IF(Учет!$O3223=Справочники!$F$4,Учет!$H3223,0)</f>
        <v>0</v>
      </c>
      <c r="E3223" s="52">
        <f>IF(Учет!$O3223=Справочники!$F$5,Учет!$H3223,0)</f>
        <v>0</v>
      </c>
      <c r="F3223" s="52">
        <f>IF(Учет!$O3223=Справочники!$F$6,Учет!$H3223,0)</f>
        <v>0</v>
      </c>
      <c r="G3223" s="43">
        <f>G3222+Учет!B3223-B3223</f>
        <v>-488978.92000000004</v>
      </c>
      <c r="H3223" s="43">
        <f>H3222+Учет!C3223-C3223</f>
        <v>336855</v>
      </c>
      <c r="I3223" s="43">
        <f>I3222+Учет!D3223-D3223</f>
        <v>500</v>
      </c>
      <c r="J3223" s="43">
        <f>J3222+Учет!E3223-E3223</f>
        <v>1150</v>
      </c>
      <c r="K3223" s="43">
        <f>K3222+Учет!F3223-F3223</f>
        <v>500000</v>
      </c>
      <c r="L3223" s="45">
        <f>Учет!I3223</f>
        <v>349526.07999999996</v>
      </c>
    </row>
    <row r="3224" spans="1:12" x14ac:dyDescent="0.25">
      <c r="A3224" s="48" t="str">
        <f>IF(Учет!A3224&lt;&gt;"",Учет!A3224,"")</f>
        <v/>
      </c>
      <c r="B3224" s="52">
        <f>IF(Учет!$O3224=Справочники!$F$2,Учет!$H3224,0)</f>
        <v>0</v>
      </c>
      <c r="C3224" s="52">
        <f>IF(Учет!$O3224=Справочники!$F$3,Учет!$H3224,0)</f>
        <v>0</v>
      </c>
      <c r="D3224" s="52">
        <f>IF(Учет!$O3224=Справочники!$F$4,Учет!$H3224,0)</f>
        <v>0</v>
      </c>
      <c r="E3224" s="52">
        <f>IF(Учет!$O3224=Справочники!$F$5,Учет!$H3224,0)</f>
        <v>0</v>
      </c>
      <c r="F3224" s="52">
        <f>IF(Учет!$O3224=Справочники!$F$6,Учет!$H3224,0)</f>
        <v>0</v>
      </c>
      <c r="G3224" s="43">
        <f>G3223+Учет!B3224-B3224</f>
        <v>-488978.92000000004</v>
      </c>
      <c r="H3224" s="43">
        <f>H3223+Учет!C3224-C3224</f>
        <v>336855</v>
      </c>
      <c r="I3224" s="43">
        <f>I3223+Учет!D3224-D3224</f>
        <v>500</v>
      </c>
      <c r="J3224" s="43">
        <f>J3223+Учет!E3224-E3224</f>
        <v>1150</v>
      </c>
      <c r="K3224" s="43">
        <f>K3223+Учет!F3224-F3224</f>
        <v>500000</v>
      </c>
      <c r="L3224" s="45">
        <f>Учет!I3224</f>
        <v>349526.07999999996</v>
      </c>
    </row>
    <row r="3225" spans="1:12" x14ac:dyDescent="0.25">
      <c r="A3225" s="48" t="str">
        <f>IF(Учет!A3225&lt;&gt;"",Учет!A3225,"")</f>
        <v/>
      </c>
      <c r="B3225" s="52">
        <f>IF(Учет!$O3225=Справочники!$F$2,Учет!$H3225,0)</f>
        <v>0</v>
      </c>
      <c r="C3225" s="52">
        <f>IF(Учет!$O3225=Справочники!$F$3,Учет!$H3225,0)</f>
        <v>0</v>
      </c>
      <c r="D3225" s="52">
        <f>IF(Учет!$O3225=Справочники!$F$4,Учет!$H3225,0)</f>
        <v>0</v>
      </c>
      <c r="E3225" s="52">
        <f>IF(Учет!$O3225=Справочники!$F$5,Учет!$H3225,0)</f>
        <v>0</v>
      </c>
      <c r="F3225" s="52">
        <f>IF(Учет!$O3225=Справочники!$F$6,Учет!$H3225,0)</f>
        <v>0</v>
      </c>
      <c r="G3225" s="43">
        <f>G3224+Учет!B3225-B3225</f>
        <v>-488978.92000000004</v>
      </c>
      <c r="H3225" s="43">
        <f>H3224+Учет!C3225-C3225</f>
        <v>336855</v>
      </c>
      <c r="I3225" s="43">
        <f>I3224+Учет!D3225-D3225</f>
        <v>500</v>
      </c>
      <c r="J3225" s="43">
        <f>J3224+Учет!E3225-E3225</f>
        <v>1150</v>
      </c>
      <c r="K3225" s="43">
        <f>K3224+Учет!F3225-F3225</f>
        <v>500000</v>
      </c>
      <c r="L3225" s="45">
        <f>Учет!I3225</f>
        <v>349526.07999999996</v>
      </c>
    </row>
    <row r="3226" spans="1:12" x14ac:dyDescent="0.25">
      <c r="A3226" s="48" t="str">
        <f>IF(Учет!A3226&lt;&gt;"",Учет!A3226,"")</f>
        <v/>
      </c>
      <c r="B3226" s="52">
        <f>IF(Учет!$O3226=Справочники!$F$2,Учет!$H3226,0)</f>
        <v>0</v>
      </c>
      <c r="C3226" s="52">
        <f>IF(Учет!$O3226=Справочники!$F$3,Учет!$H3226,0)</f>
        <v>0</v>
      </c>
      <c r="D3226" s="52">
        <f>IF(Учет!$O3226=Справочники!$F$4,Учет!$H3226,0)</f>
        <v>0</v>
      </c>
      <c r="E3226" s="52">
        <f>IF(Учет!$O3226=Справочники!$F$5,Учет!$H3226,0)</f>
        <v>0</v>
      </c>
      <c r="F3226" s="52">
        <f>IF(Учет!$O3226=Справочники!$F$6,Учет!$H3226,0)</f>
        <v>0</v>
      </c>
      <c r="G3226" s="43">
        <f>G3225+Учет!B3226-B3226</f>
        <v>-488978.92000000004</v>
      </c>
      <c r="H3226" s="43">
        <f>H3225+Учет!C3226-C3226</f>
        <v>336855</v>
      </c>
      <c r="I3226" s="43">
        <f>I3225+Учет!D3226-D3226</f>
        <v>500</v>
      </c>
      <c r="J3226" s="43">
        <f>J3225+Учет!E3226-E3226</f>
        <v>1150</v>
      </c>
      <c r="K3226" s="43">
        <f>K3225+Учет!F3226-F3226</f>
        <v>500000</v>
      </c>
      <c r="L3226" s="45">
        <f>Учет!I3226</f>
        <v>349526.07999999996</v>
      </c>
    </row>
    <row r="3227" spans="1:12" x14ac:dyDescent="0.25">
      <c r="A3227" s="48" t="str">
        <f>IF(Учет!A3227&lt;&gt;"",Учет!A3227,"")</f>
        <v/>
      </c>
      <c r="B3227" s="52">
        <f>IF(Учет!$O3227=Справочники!$F$2,Учет!$H3227,0)</f>
        <v>0</v>
      </c>
      <c r="C3227" s="52">
        <f>IF(Учет!$O3227=Справочники!$F$3,Учет!$H3227,0)</f>
        <v>0</v>
      </c>
      <c r="D3227" s="52">
        <f>IF(Учет!$O3227=Справочники!$F$4,Учет!$H3227,0)</f>
        <v>0</v>
      </c>
      <c r="E3227" s="52">
        <f>IF(Учет!$O3227=Справочники!$F$5,Учет!$H3227,0)</f>
        <v>0</v>
      </c>
      <c r="F3227" s="52">
        <f>IF(Учет!$O3227=Справочники!$F$6,Учет!$H3227,0)</f>
        <v>0</v>
      </c>
      <c r="G3227" s="43">
        <f>G3226+Учет!B3227-B3227</f>
        <v>-488978.92000000004</v>
      </c>
      <c r="H3227" s="43">
        <f>H3226+Учет!C3227-C3227</f>
        <v>336855</v>
      </c>
      <c r="I3227" s="43">
        <f>I3226+Учет!D3227-D3227</f>
        <v>500</v>
      </c>
      <c r="J3227" s="43">
        <f>J3226+Учет!E3227-E3227</f>
        <v>1150</v>
      </c>
      <c r="K3227" s="43">
        <f>K3226+Учет!F3227-F3227</f>
        <v>500000</v>
      </c>
      <c r="L3227" s="45">
        <f>Учет!I3227</f>
        <v>349526.07999999996</v>
      </c>
    </row>
    <row r="3228" spans="1:12" x14ac:dyDescent="0.25">
      <c r="A3228" s="48" t="str">
        <f>IF(Учет!A3228&lt;&gt;"",Учет!A3228,"")</f>
        <v/>
      </c>
      <c r="B3228" s="52">
        <f>IF(Учет!$O3228=Справочники!$F$2,Учет!$H3228,0)</f>
        <v>0</v>
      </c>
      <c r="C3228" s="52">
        <f>IF(Учет!$O3228=Справочники!$F$3,Учет!$H3228,0)</f>
        <v>0</v>
      </c>
      <c r="D3228" s="52">
        <f>IF(Учет!$O3228=Справочники!$F$4,Учет!$H3228,0)</f>
        <v>0</v>
      </c>
      <c r="E3228" s="52">
        <f>IF(Учет!$O3228=Справочники!$F$5,Учет!$H3228,0)</f>
        <v>0</v>
      </c>
      <c r="F3228" s="52">
        <f>IF(Учет!$O3228=Справочники!$F$6,Учет!$H3228,0)</f>
        <v>0</v>
      </c>
      <c r="G3228" s="43">
        <f>G3227+Учет!B3228-B3228</f>
        <v>-488978.92000000004</v>
      </c>
      <c r="H3228" s="43">
        <f>H3227+Учет!C3228-C3228</f>
        <v>336855</v>
      </c>
      <c r="I3228" s="43">
        <f>I3227+Учет!D3228-D3228</f>
        <v>500</v>
      </c>
      <c r="J3228" s="43">
        <f>J3227+Учет!E3228-E3228</f>
        <v>1150</v>
      </c>
      <c r="K3228" s="43">
        <f>K3227+Учет!F3228-F3228</f>
        <v>500000</v>
      </c>
      <c r="L3228" s="45">
        <f>Учет!I3228</f>
        <v>349526.07999999996</v>
      </c>
    </row>
    <row r="3229" spans="1:12" x14ac:dyDescent="0.25">
      <c r="A3229" s="48" t="str">
        <f>IF(Учет!A3229&lt;&gt;"",Учет!A3229,"")</f>
        <v/>
      </c>
      <c r="B3229" s="52">
        <f>IF(Учет!$O3229=Справочники!$F$2,Учет!$H3229,0)</f>
        <v>0</v>
      </c>
      <c r="C3229" s="52">
        <f>IF(Учет!$O3229=Справочники!$F$3,Учет!$H3229,0)</f>
        <v>0</v>
      </c>
      <c r="D3229" s="52">
        <f>IF(Учет!$O3229=Справочники!$F$4,Учет!$H3229,0)</f>
        <v>0</v>
      </c>
      <c r="E3229" s="52">
        <f>IF(Учет!$O3229=Справочники!$F$5,Учет!$H3229,0)</f>
        <v>0</v>
      </c>
      <c r="F3229" s="52">
        <f>IF(Учет!$O3229=Справочники!$F$6,Учет!$H3229,0)</f>
        <v>0</v>
      </c>
      <c r="G3229" s="43">
        <f>G3228+Учет!B3229-B3229</f>
        <v>-488978.92000000004</v>
      </c>
      <c r="H3229" s="43">
        <f>H3228+Учет!C3229-C3229</f>
        <v>336855</v>
      </c>
      <c r="I3229" s="43">
        <f>I3228+Учет!D3229-D3229</f>
        <v>500</v>
      </c>
      <c r="J3229" s="43">
        <f>J3228+Учет!E3229-E3229</f>
        <v>1150</v>
      </c>
      <c r="K3229" s="43">
        <f>K3228+Учет!F3229-F3229</f>
        <v>500000</v>
      </c>
      <c r="L3229" s="45">
        <f>Учет!I3229</f>
        <v>349526.07999999996</v>
      </c>
    </row>
    <row r="3230" spans="1:12" x14ac:dyDescent="0.25">
      <c r="A3230" s="48" t="str">
        <f>IF(Учет!A3230&lt;&gt;"",Учет!A3230,"")</f>
        <v/>
      </c>
      <c r="B3230" s="52">
        <f>IF(Учет!$O3230=Справочники!$F$2,Учет!$H3230,0)</f>
        <v>0</v>
      </c>
      <c r="C3230" s="52">
        <f>IF(Учет!$O3230=Справочники!$F$3,Учет!$H3230,0)</f>
        <v>0</v>
      </c>
      <c r="D3230" s="52">
        <f>IF(Учет!$O3230=Справочники!$F$4,Учет!$H3230,0)</f>
        <v>0</v>
      </c>
      <c r="E3230" s="52">
        <f>IF(Учет!$O3230=Справочники!$F$5,Учет!$H3230,0)</f>
        <v>0</v>
      </c>
      <c r="F3230" s="52">
        <f>IF(Учет!$O3230=Справочники!$F$6,Учет!$H3230,0)</f>
        <v>0</v>
      </c>
      <c r="G3230" s="43">
        <f>G3229+Учет!B3230-B3230</f>
        <v>-488978.92000000004</v>
      </c>
      <c r="H3230" s="43">
        <f>H3229+Учет!C3230-C3230</f>
        <v>336855</v>
      </c>
      <c r="I3230" s="43">
        <f>I3229+Учет!D3230-D3230</f>
        <v>500</v>
      </c>
      <c r="J3230" s="43">
        <f>J3229+Учет!E3230-E3230</f>
        <v>1150</v>
      </c>
      <c r="K3230" s="43">
        <f>K3229+Учет!F3230-F3230</f>
        <v>500000</v>
      </c>
      <c r="L3230" s="45">
        <f>Учет!I3230</f>
        <v>349526.07999999996</v>
      </c>
    </row>
    <row r="3231" spans="1:12" x14ac:dyDescent="0.25">
      <c r="A3231" s="48" t="str">
        <f>IF(Учет!A3231&lt;&gt;"",Учет!A3231,"")</f>
        <v/>
      </c>
      <c r="B3231" s="52">
        <f>IF(Учет!$O3231=Справочники!$F$2,Учет!$H3231,0)</f>
        <v>0</v>
      </c>
      <c r="C3231" s="52">
        <f>IF(Учет!$O3231=Справочники!$F$3,Учет!$H3231,0)</f>
        <v>0</v>
      </c>
      <c r="D3231" s="52">
        <f>IF(Учет!$O3231=Справочники!$F$4,Учет!$H3231,0)</f>
        <v>0</v>
      </c>
      <c r="E3231" s="52">
        <f>IF(Учет!$O3231=Справочники!$F$5,Учет!$H3231,0)</f>
        <v>0</v>
      </c>
      <c r="F3231" s="52">
        <f>IF(Учет!$O3231=Справочники!$F$6,Учет!$H3231,0)</f>
        <v>0</v>
      </c>
      <c r="G3231" s="43">
        <f>G3230+Учет!B3231-B3231</f>
        <v>-488978.92000000004</v>
      </c>
      <c r="H3231" s="43">
        <f>H3230+Учет!C3231-C3231</f>
        <v>336855</v>
      </c>
      <c r="I3231" s="43">
        <f>I3230+Учет!D3231-D3231</f>
        <v>500</v>
      </c>
      <c r="J3231" s="43">
        <f>J3230+Учет!E3231-E3231</f>
        <v>1150</v>
      </c>
      <c r="K3231" s="43">
        <f>K3230+Учет!F3231-F3231</f>
        <v>500000</v>
      </c>
      <c r="L3231" s="45">
        <f>Учет!I3231</f>
        <v>349526.07999999996</v>
      </c>
    </row>
    <row r="3232" spans="1:12" x14ac:dyDescent="0.25">
      <c r="A3232" s="48" t="str">
        <f>IF(Учет!A3232&lt;&gt;"",Учет!A3232,"")</f>
        <v/>
      </c>
      <c r="B3232" s="52">
        <f>IF(Учет!$O3232=Справочники!$F$2,Учет!$H3232,0)</f>
        <v>0</v>
      </c>
      <c r="C3232" s="52">
        <f>IF(Учет!$O3232=Справочники!$F$3,Учет!$H3232,0)</f>
        <v>0</v>
      </c>
      <c r="D3232" s="52">
        <f>IF(Учет!$O3232=Справочники!$F$4,Учет!$H3232,0)</f>
        <v>0</v>
      </c>
      <c r="E3232" s="52">
        <f>IF(Учет!$O3232=Справочники!$F$5,Учет!$H3232,0)</f>
        <v>0</v>
      </c>
      <c r="F3232" s="52">
        <f>IF(Учет!$O3232=Справочники!$F$6,Учет!$H3232,0)</f>
        <v>0</v>
      </c>
      <c r="G3232" s="43">
        <f>G3231+Учет!B3232-B3232</f>
        <v>-488978.92000000004</v>
      </c>
      <c r="H3232" s="43">
        <f>H3231+Учет!C3232-C3232</f>
        <v>336855</v>
      </c>
      <c r="I3232" s="43">
        <f>I3231+Учет!D3232-D3232</f>
        <v>500</v>
      </c>
      <c r="J3232" s="43">
        <f>J3231+Учет!E3232-E3232</f>
        <v>1150</v>
      </c>
      <c r="K3232" s="43">
        <f>K3231+Учет!F3232-F3232</f>
        <v>500000</v>
      </c>
      <c r="L3232" s="45">
        <f>Учет!I3232</f>
        <v>349526.07999999996</v>
      </c>
    </row>
    <row r="3233" spans="1:12" x14ac:dyDescent="0.25">
      <c r="A3233" s="48" t="str">
        <f>IF(Учет!A3233&lt;&gt;"",Учет!A3233,"")</f>
        <v/>
      </c>
      <c r="B3233" s="52">
        <f>IF(Учет!$O3233=Справочники!$F$2,Учет!$H3233,0)</f>
        <v>0</v>
      </c>
      <c r="C3233" s="52">
        <f>IF(Учет!$O3233=Справочники!$F$3,Учет!$H3233,0)</f>
        <v>0</v>
      </c>
      <c r="D3233" s="52">
        <f>IF(Учет!$O3233=Справочники!$F$4,Учет!$H3233,0)</f>
        <v>0</v>
      </c>
      <c r="E3233" s="52">
        <f>IF(Учет!$O3233=Справочники!$F$5,Учет!$H3233,0)</f>
        <v>0</v>
      </c>
      <c r="F3233" s="52">
        <f>IF(Учет!$O3233=Справочники!$F$6,Учет!$H3233,0)</f>
        <v>0</v>
      </c>
      <c r="G3233" s="43">
        <f>G3232+Учет!B3233-B3233</f>
        <v>-488978.92000000004</v>
      </c>
      <c r="H3233" s="43">
        <f>H3232+Учет!C3233-C3233</f>
        <v>336855</v>
      </c>
      <c r="I3233" s="43">
        <f>I3232+Учет!D3233-D3233</f>
        <v>500</v>
      </c>
      <c r="J3233" s="43">
        <f>J3232+Учет!E3233-E3233</f>
        <v>1150</v>
      </c>
      <c r="K3233" s="43">
        <f>K3232+Учет!F3233-F3233</f>
        <v>500000</v>
      </c>
      <c r="L3233" s="45">
        <f>Учет!I3233</f>
        <v>349526.07999999996</v>
      </c>
    </row>
    <row r="3234" spans="1:12" x14ac:dyDescent="0.25">
      <c r="A3234" s="48" t="str">
        <f>IF(Учет!A3234&lt;&gt;"",Учет!A3234,"")</f>
        <v/>
      </c>
      <c r="B3234" s="52">
        <f>IF(Учет!$O3234=Справочники!$F$2,Учет!$H3234,0)</f>
        <v>0</v>
      </c>
      <c r="C3234" s="52">
        <f>IF(Учет!$O3234=Справочники!$F$3,Учет!$H3234,0)</f>
        <v>0</v>
      </c>
      <c r="D3234" s="52">
        <f>IF(Учет!$O3234=Справочники!$F$4,Учет!$H3234,0)</f>
        <v>0</v>
      </c>
      <c r="E3234" s="52">
        <f>IF(Учет!$O3234=Справочники!$F$5,Учет!$H3234,0)</f>
        <v>0</v>
      </c>
      <c r="F3234" s="52">
        <f>IF(Учет!$O3234=Справочники!$F$6,Учет!$H3234,0)</f>
        <v>0</v>
      </c>
      <c r="G3234" s="43">
        <f>G3233+Учет!B3234-B3234</f>
        <v>-488978.92000000004</v>
      </c>
      <c r="H3234" s="43">
        <f>H3233+Учет!C3234-C3234</f>
        <v>336855</v>
      </c>
      <c r="I3234" s="43">
        <f>I3233+Учет!D3234-D3234</f>
        <v>500</v>
      </c>
      <c r="J3234" s="43">
        <f>J3233+Учет!E3234-E3234</f>
        <v>1150</v>
      </c>
      <c r="K3234" s="43">
        <f>K3233+Учет!F3234-F3234</f>
        <v>500000</v>
      </c>
      <c r="L3234" s="45">
        <f>Учет!I3234</f>
        <v>349526.07999999996</v>
      </c>
    </row>
    <row r="3235" spans="1:12" x14ac:dyDescent="0.25">
      <c r="A3235" s="48" t="str">
        <f>IF(Учет!A3235&lt;&gt;"",Учет!A3235,"")</f>
        <v/>
      </c>
      <c r="B3235" s="52">
        <f>IF(Учет!$O3235=Справочники!$F$2,Учет!$H3235,0)</f>
        <v>0</v>
      </c>
      <c r="C3235" s="52">
        <f>IF(Учет!$O3235=Справочники!$F$3,Учет!$H3235,0)</f>
        <v>0</v>
      </c>
      <c r="D3235" s="52">
        <f>IF(Учет!$O3235=Справочники!$F$4,Учет!$H3235,0)</f>
        <v>0</v>
      </c>
      <c r="E3235" s="52">
        <f>IF(Учет!$O3235=Справочники!$F$5,Учет!$H3235,0)</f>
        <v>0</v>
      </c>
      <c r="F3235" s="52">
        <f>IF(Учет!$O3235=Справочники!$F$6,Учет!$H3235,0)</f>
        <v>0</v>
      </c>
      <c r="G3235" s="43">
        <f>G3234+Учет!B3235-B3235</f>
        <v>-488978.92000000004</v>
      </c>
      <c r="H3235" s="43">
        <f>H3234+Учет!C3235-C3235</f>
        <v>336855</v>
      </c>
      <c r="I3235" s="43">
        <f>I3234+Учет!D3235-D3235</f>
        <v>500</v>
      </c>
      <c r="J3235" s="43">
        <f>J3234+Учет!E3235-E3235</f>
        <v>1150</v>
      </c>
      <c r="K3235" s="43">
        <f>K3234+Учет!F3235-F3235</f>
        <v>500000</v>
      </c>
      <c r="L3235" s="45">
        <f>Учет!I3235</f>
        <v>349526.07999999996</v>
      </c>
    </row>
    <row r="3236" spans="1:12" x14ac:dyDescent="0.25">
      <c r="A3236" s="48" t="str">
        <f>IF(Учет!A3236&lt;&gt;"",Учет!A3236,"")</f>
        <v/>
      </c>
      <c r="B3236" s="52">
        <f>IF(Учет!$O3236=Справочники!$F$2,Учет!$H3236,0)</f>
        <v>0</v>
      </c>
      <c r="C3236" s="52">
        <f>IF(Учет!$O3236=Справочники!$F$3,Учет!$H3236,0)</f>
        <v>0</v>
      </c>
      <c r="D3236" s="52">
        <f>IF(Учет!$O3236=Справочники!$F$4,Учет!$H3236,0)</f>
        <v>0</v>
      </c>
      <c r="E3236" s="52">
        <f>IF(Учет!$O3236=Справочники!$F$5,Учет!$H3236,0)</f>
        <v>0</v>
      </c>
      <c r="F3236" s="52">
        <f>IF(Учет!$O3236=Справочники!$F$6,Учет!$H3236,0)</f>
        <v>0</v>
      </c>
      <c r="G3236" s="43">
        <f>G3235+Учет!B3236-B3236</f>
        <v>-488978.92000000004</v>
      </c>
      <c r="H3236" s="43">
        <f>H3235+Учет!C3236-C3236</f>
        <v>336855</v>
      </c>
      <c r="I3236" s="43">
        <f>I3235+Учет!D3236-D3236</f>
        <v>500</v>
      </c>
      <c r="J3236" s="43">
        <f>J3235+Учет!E3236-E3236</f>
        <v>1150</v>
      </c>
      <c r="K3236" s="43">
        <f>K3235+Учет!F3236-F3236</f>
        <v>500000</v>
      </c>
      <c r="L3236" s="45">
        <f>Учет!I3236</f>
        <v>349526.07999999996</v>
      </c>
    </row>
    <row r="3237" spans="1:12" x14ac:dyDescent="0.25">
      <c r="A3237" s="48" t="str">
        <f>IF(Учет!A3237&lt;&gt;"",Учет!A3237,"")</f>
        <v/>
      </c>
      <c r="B3237" s="52">
        <f>IF(Учет!$O3237=Справочники!$F$2,Учет!$H3237,0)</f>
        <v>0</v>
      </c>
      <c r="C3237" s="52">
        <f>IF(Учет!$O3237=Справочники!$F$3,Учет!$H3237,0)</f>
        <v>0</v>
      </c>
      <c r="D3237" s="52">
        <f>IF(Учет!$O3237=Справочники!$F$4,Учет!$H3237,0)</f>
        <v>0</v>
      </c>
      <c r="E3237" s="52">
        <f>IF(Учет!$O3237=Справочники!$F$5,Учет!$H3237,0)</f>
        <v>0</v>
      </c>
      <c r="F3237" s="52">
        <f>IF(Учет!$O3237=Справочники!$F$6,Учет!$H3237,0)</f>
        <v>0</v>
      </c>
      <c r="G3237" s="43">
        <f>G3236+Учет!B3237-B3237</f>
        <v>-488978.92000000004</v>
      </c>
      <c r="H3237" s="43">
        <f>H3236+Учет!C3237-C3237</f>
        <v>336855</v>
      </c>
      <c r="I3237" s="43">
        <f>I3236+Учет!D3237-D3237</f>
        <v>500</v>
      </c>
      <c r="J3237" s="43">
        <f>J3236+Учет!E3237-E3237</f>
        <v>1150</v>
      </c>
      <c r="K3237" s="43">
        <f>K3236+Учет!F3237-F3237</f>
        <v>500000</v>
      </c>
      <c r="L3237" s="45">
        <f>Учет!I3237</f>
        <v>349526.07999999996</v>
      </c>
    </row>
    <row r="3238" spans="1:12" x14ac:dyDescent="0.25">
      <c r="A3238" s="48" t="str">
        <f>IF(Учет!A3238&lt;&gt;"",Учет!A3238,"")</f>
        <v/>
      </c>
      <c r="B3238" s="52">
        <f>IF(Учет!$O3238=Справочники!$F$2,Учет!$H3238,0)</f>
        <v>0</v>
      </c>
      <c r="C3238" s="52">
        <f>IF(Учет!$O3238=Справочники!$F$3,Учет!$H3238,0)</f>
        <v>0</v>
      </c>
      <c r="D3238" s="52">
        <f>IF(Учет!$O3238=Справочники!$F$4,Учет!$H3238,0)</f>
        <v>0</v>
      </c>
      <c r="E3238" s="52">
        <f>IF(Учет!$O3238=Справочники!$F$5,Учет!$H3238,0)</f>
        <v>0</v>
      </c>
      <c r="F3238" s="52">
        <f>IF(Учет!$O3238=Справочники!$F$6,Учет!$H3238,0)</f>
        <v>0</v>
      </c>
      <c r="G3238" s="43">
        <f>G3237+Учет!B3238-B3238</f>
        <v>-488978.92000000004</v>
      </c>
      <c r="H3238" s="43">
        <f>H3237+Учет!C3238-C3238</f>
        <v>336855</v>
      </c>
      <c r="I3238" s="43">
        <f>I3237+Учет!D3238-D3238</f>
        <v>500</v>
      </c>
      <c r="J3238" s="43">
        <f>J3237+Учет!E3238-E3238</f>
        <v>1150</v>
      </c>
      <c r="K3238" s="43">
        <f>K3237+Учет!F3238-F3238</f>
        <v>500000</v>
      </c>
      <c r="L3238" s="45">
        <f>Учет!I3238</f>
        <v>349526.07999999996</v>
      </c>
    </row>
    <row r="3239" spans="1:12" x14ac:dyDescent="0.25">
      <c r="A3239" s="48" t="str">
        <f>IF(Учет!A3239&lt;&gt;"",Учет!A3239,"")</f>
        <v/>
      </c>
      <c r="B3239" s="52">
        <f>IF(Учет!$O3239=Справочники!$F$2,Учет!$H3239,0)</f>
        <v>0</v>
      </c>
      <c r="C3239" s="52">
        <f>IF(Учет!$O3239=Справочники!$F$3,Учет!$H3239,0)</f>
        <v>0</v>
      </c>
      <c r="D3239" s="52">
        <f>IF(Учет!$O3239=Справочники!$F$4,Учет!$H3239,0)</f>
        <v>0</v>
      </c>
      <c r="E3239" s="52">
        <f>IF(Учет!$O3239=Справочники!$F$5,Учет!$H3239,0)</f>
        <v>0</v>
      </c>
      <c r="F3239" s="52">
        <f>IF(Учет!$O3239=Справочники!$F$6,Учет!$H3239,0)</f>
        <v>0</v>
      </c>
      <c r="G3239" s="43">
        <f>G3238+Учет!B3239-B3239</f>
        <v>-488978.92000000004</v>
      </c>
      <c r="H3239" s="43">
        <f>H3238+Учет!C3239-C3239</f>
        <v>336855</v>
      </c>
      <c r="I3239" s="43">
        <f>I3238+Учет!D3239-D3239</f>
        <v>500</v>
      </c>
      <c r="J3239" s="43">
        <f>J3238+Учет!E3239-E3239</f>
        <v>1150</v>
      </c>
      <c r="K3239" s="43">
        <f>K3238+Учет!F3239-F3239</f>
        <v>500000</v>
      </c>
      <c r="L3239" s="45">
        <f>Учет!I3239</f>
        <v>349526.07999999996</v>
      </c>
    </row>
    <row r="3240" spans="1:12" x14ac:dyDescent="0.25">
      <c r="A3240" s="48" t="str">
        <f>IF(Учет!A3240&lt;&gt;"",Учет!A3240,"")</f>
        <v/>
      </c>
      <c r="B3240" s="52">
        <f>IF(Учет!$O3240=Справочники!$F$2,Учет!$H3240,0)</f>
        <v>0</v>
      </c>
      <c r="C3240" s="52">
        <f>IF(Учет!$O3240=Справочники!$F$3,Учет!$H3240,0)</f>
        <v>0</v>
      </c>
      <c r="D3240" s="52">
        <f>IF(Учет!$O3240=Справочники!$F$4,Учет!$H3240,0)</f>
        <v>0</v>
      </c>
      <c r="E3240" s="52">
        <f>IF(Учет!$O3240=Справочники!$F$5,Учет!$H3240,0)</f>
        <v>0</v>
      </c>
      <c r="F3240" s="52">
        <f>IF(Учет!$O3240=Справочники!$F$6,Учет!$H3240,0)</f>
        <v>0</v>
      </c>
      <c r="G3240" s="43">
        <f>G3239+Учет!B3240-B3240</f>
        <v>-488978.92000000004</v>
      </c>
      <c r="H3240" s="43">
        <f>H3239+Учет!C3240-C3240</f>
        <v>336855</v>
      </c>
      <c r="I3240" s="43">
        <f>I3239+Учет!D3240-D3240</f>
        <v>500</v>
      </c>
      <c r="J3240" s="43">
        <f>J3239+Учет!E3240-E3240</f>
        <v>1150</v>
      </c>
      <c r="K3240" s="43">
        <f>K3239+Учет!F3240-F3240</f>
        <v>500000</v>
      </c>
      <c r="L3240" s="45">
        <f>Учет!I3240</f>
        <v>349526.07999999996</v>
      </c>
    </row>
    <row r="3241" spans="1:12" x14ac:dyDescent="0.25">
      <c r="A3241" s="48" t="str">
        <f>IF(Учет!A3241&lt;&gt;"",Учет!A3241,"")</f>
        <v/>
      </c>
      <c r="B3241" s="52">
        <f>IF(Учет!$O3241=Справочники!$F$2,Учет!$H3241,0)</f>
        <v>0</v>
      </c>
      <c r="C3241" s="52">
        <f>IF(Учет!$O3241=Справочники!$F$3,Учет!$H3241,0)</f>
        <v>0</v>
      </c>
      <c r="D3241" s="52">
        <f>IF(Учет!$O3241=Справочники!$F$4,Учет!$H3241,0)</f>
        <v>0</v>
      </c>
      <c r="E3241" s="52">
        <f>IF(Учет!$O3241=Справочники!$F$5,Учет!$H3241,0)</f>
        <v>0</v>
      </c>
      <c r="F3241" s="52">
        <f>IF(Учет!$O3241=Справочники!$F$6,Учет!$H3241,0)</f>
        <v>0</v>
      </c>
      <c r="G3241" s="43">
        <f>G3240+Учет!B3241-B3241</f>
        <v>-488978.92000000004</v>
      </c>
      <c r="H3241" s="43">
        <f>H3240+Учет!C3241-C3241</f>
        <v>336855</v>
      </c>
      <c r="I3241" s="43">
        <f>I3240+Учет!D3241-D3241</f>
        <v>500</v>
      </c>
      <c r="J3241" s="43">
        <f>J3240+Учет!E3241-E3241</f>
        <v>1150</v>
      </c>
      <c r="K3241" s="43">
        <f>K3240+Учет!F3241-F3241</f>
        <v>500000</v>
      </c>
      <c r="L3241" s="45">
        <f>Учет!I3241</f>
        <v>349526.07999999996</v>
      </c>
    </row>
    <row r="3242" spans="1:12" x14ac:dyDescent="0.25">
      <c r="A3242" s="48" t="str">
        <f>IF(Учет!A3242&lt;&gt;"",Учет!A3242,"")</f>
        <v/>
      </c>
      <c r="B3242" s="52">
        <f>IF(Учет!$O3242=Справочники!$F$2,Учет!$H3242,0)</f>
        <v>0</v>
      </c>
      <c r="C3242" s="52">
        <f>IF(Учет!$O3242=Справочники!$F$3,Учет!$H3242,0)</f>
        <v>0</v>
      </c>
      <c r="D3242" s="52">
        <f>IF(Учет!$O3242=Справочники!$F$4,Учет!$H3242,0)</f>
        <v>0</v>
      </c>
      <c r="E3242" s="52">
        <f>IF(Учет!$O3242=Справочники!$F$5,Учет!$H3242,0)</f>
        <v>0</v>
      </c>
      <c r="F3242" s="52">
        <f>IF(Учет!$O3242=Справочники!$F$6,Учет!$H3242,0)</f>
        <v>0</v>
      </c>
      <c r="G3242" s="43">
        <f>G3241+Учет!B3242-B3242</f>
        <v>-488978.92000000004</v>
      </c>
      <c r="H3242" s="43">
        <f>H3241+Учет!C3242-C3242</f>
        <v>336855</v>
      </c>
      <c r="I3242" s="43">
        <f>I3241+Учет!D3242-D3242</f>
        <v>500</v>
      </c>
      <c r="J3242" s="43">
        <f>J3241+Учет!E3242-E3242</f>
        <v>1150</v>
      </c>
      <c r="K3242" s="43">
        <f>K3241+Учет!F3242-F3242</f>
        <v>500000</v>
      </c>
      <c r="L3242" s="45">
        <f>Учет!I3242</f>
        <v>349526.07999999996</v>
      </c>
    </row>
    <row r="3243" spans="1:12" x14ac:dyDescent="0.25">
      <c r="A3243" s="48" t="str">
        <f>IF(Учет!A3243&lt;&gt;"",Учет!A3243,"")</f>
        <v/>
      </c>
      <c r="B3243" s="52">
        <f>IF(Учет!$O3243=Справочники!$F$2,Учет!$H3243,0)</f>
        <v>0</v>
      </c>
      <c r="C3243" s="52">
        <f>IF(Учет!$O3243=Справочники!$F$3,Учет!$H3243,0)</f>
        <v>0</v>
      </c>
      <c r="D3243" s="52">
        <f>IF(Учет!$O3243=Справочники!$F$4,Учет!$H3243,0)</f>
        <v>0</v>
      </c>
      <c r="E3243" s="52">
        <f>IF(Учет!$O3243=Справочники!$F$5,Учет!$H3243,0)</f>
        <v>0</v>
      </c>
      <c r="F3243" s="52">
        <f>IF(Учет!$O3243=Справочники!$F$6,Учет!$H3243,0)</f>
        <v>0</v>
      </c>
      <c r="G3243" s="43">
        <f>G3242+Учет!B3243-B3243</f>
        <v>-488978.92000000004</v>
      </c>
      <c r="H3243" s="43">
        <f>H3242+Учет!C3243-C3243</f>
        <v>336855</v>
      </c>
      <c r="I3243" s="43">
        <f>I3242+Учет!D3243-D3243</f>
        <v>500</v>
      </c>
      <c r="J3243" s="43">
        <f>J3242+Учет!E3243-E3243</f>
        <v>1150</v>
      </c>
      <c r="K3243" s="43">
        <f>K3242+Учет!F3243-F3243</f>
        <v>500000</v>
      </c>
      <c r="L3243" s="45">
        <f>Учет!I3243</f>
        <v>349526.07999999996</v>
      </c>
    </row>
    <row r="3244" spans="1:12" x14ac:dyDescent="0.25">
      <c r="A3244" s="48" t="str">
        <f>IF(Учет!A3244&lt;&gt;"",Учет!A3244,"")</f>
        <v/>
      </c>
      <c r="B3244" s="52">
        <f>IF(Учет!$O3244=Справочники!$F$2,Учет!$H3244,0)</f>
        <v>0</v>
      </c>
      <c r="C3244" s="52">
        <f>IF(Учет!$O3244=Справочники!$F$3,Учет!$H3244,0)</f>
        <v>0</v>
      </c>
      <c r="D3244" s="52">
        <f>IF(Учет!$O3244=Справочники!$F$4,Учет!$H3244,0)</f>
        <v>0</v>
      </c>
      <c r="E3244" s="52">
        <f>IF(Учет!$O3244=Справочники!$F$5,Учет!$H3244,0)</f>
        <v>0</v>
      </c>
      <c r="F3244" s="52">
        <f>IF(Учет!$O3244=Справочники!$F$6,Учет!$H3244,0)</f>
        <v>0</v>
      </c>
      <c r="G3244" s="43">
        <f>G3243+Учет!B3244-B3244</f>
        <v>-488978.92000000004</v>
      </c>
      <c r="H3244" s="43">
        <f>H3243+Учет!C3244-C3244</f>
        <v>336855</v>
      </c>
      <c r="I3244" s="43">
        <f>I3243+Учет!D3244-D3244</f>
        <v>500</v>
      </c>
      <c r="J3244" s="43">
        <f>J3243+Учет!E3244-E3244</f>
        <v>1150</v>
      </c>
      <c r="K3244" s="43">
        <f>K3243+Учет!F3244-F3244</f>
        <v>500000</v>
      </c>
      <c r="L3244" s="45">
        <f>Учет!I3244</f>
        <v>349526.07999999996</v>
      </c>
    </row>
    <row r="3245" spans="1:12" x14ac:dyDescent="0.25">
      <c r="A3245" s="48" t="str">
        <f>IF(Учет!A3245&lt;&gt;"",Учет!A3245,"")</f>
        <v/>
      </c>
      <c r="B3245" s="52">
        <f>IF(Учет!$O3245=Справочники!$F$2,Учет!$H3245,0)</f>
        <v>0</v>
      </c>
      <c r="C3245" s="52">
        <f>IF(Учет!$O3245=Справочники!$F$3,Учет!$H3245,0)</f>
        <v>0</v>
      </c>
      <c r="D3245" s="52">
        <f>IF(Учет!$O3245=Справочники!$F$4,Учет!$H3245,0)</f>
        <v>0</v>
      </c>
      <c r="E3245" s="52">
        <f>IF(Учет!$O3245=Справочники!$F$5,Учет!$H3245,0)</f>
        <v>0</v>
      </c>
      <c r="F3245" s="52">
        <f>IF(Учет!$O3245=Справочники!$F$6,Учет!$H3245,0)</f>
        <v>0</v>
      </c>
      <c r="G3245" s="43">
        <f>G3244+Учет!B3245-B3245</f>
        <v>-488978.92000000004</v>
      </c>
      <c r="H3245" s="43">
        <f>H3244+Учет!C3245-C3245</f>
        <v>336855</v>
      </c>
      <c r="I3245" s="43">
        <f>I3244+Учет!D3245-D3245</f>
        <v>500</v>
      </c>
      <c r="J3245" s="43">
        <f>J3244+Учет!E3245-E3245</f>
        <v>1150</v>
      </c>
      <c r="K3245" s="43">
        <f>K3244+Учет!F3245-F3245</f>
        <v>500000</v>
      </c>
      <c r="L3245" s="45">
        <f>Учет!I3245</f>
        <v>349526.07999999996</v>
      </c>
    </row>
    <row r="3246" spans="1:12" x14ac:dyDescent="0.25">
      <c r="A3246" s="48" t="str">
        <f>IF(Учет!A3246&lt;&gt;"",Учет!A3246,"")</f>
        <v/>
      </c>
      <c r="B3246" s="52">
        <f>IF(Учет!$O3246=Справочники!$F$2,Учет!$H3246,0)</f>
        <v>0</v>
      </c>
      <c r="C3246" s="52">
        <f>IF(Учет!$O3246=Справочники!$F$3,Учет!$H3246,0)</f>
        <v>0</v>
      </c>
      <c r="D3246" s="52">
        <f>IF(Учет!$O3246=Справочники!$F$4,Учет!$H3246,0)</f>
        <v>0</v>
      </c>
      <c r="E3246" s="52">
        <f>IF(Учет!$O3246=Справочники!$F$5,Учет!$H3246,0)</f>
        <v>0</v>
      </c>
      <c r="F3246" s="52">
        <f>IF(Учет!$O3246=Справочники!$F$6,Учет!$H3246,0)</f>
        <v>0</v>
      </c>
      <c r="G3246" s="43">
        <f>G3245+Учет!B3246-B3246</f>
        <v>-488978.92000000004</v>
      </c>
      <c r="H3246" s="43">
        <f>H3245+Учет!C3246-C3246</f>
        <v>336855</v>
      </c>
      <c r="I3246" s="43">
        <f>I3245+Учет!D3246-D3246</f>
        <v>500</v>
      </c>
      <c r="J3246" s="43">
        <f>J3245+Учет!E3246-E3246</f>
        <v>1150</v>
      </c>
      <c r="K3246" s="43">
        <f>K3245+Учет!F3246-F3246</f>
        <v>500000</v>
      </c>
      <c r="L3246" s="45">
        <f>Учет!I3246</f>
        <v>349526.07999999996</v>
      </c>
    </row>
    <row r="3247" spans="1:12" x14ac:dyDescent="0.25">
      <c r="A3247" s="48" t="str">
        <f>IF(Учет!A3247&lt;&gt;"",Учет!A3247,"")</f>
        <v/>
      </c>
      <c r="B3247" s="52">
        <f>IF(Учет!$O3247=Справочники!$F$2,Учет!$H3247,0)</f>
        <v>0</v>
      </c>
      <c r="C3247" s="52">
        <f>IF(Учет!$O3247=Справочники!$F$3,Учет!$H3247,0)</f>
        <v>0</v>
      </c>
      <c r="D3247" s="52">
        <f>IF(Учет!$O3247=Справочники!$F$4,Учет!$H3247,0)</f>
        <v>0</v>
      </c>
      <c r="E3247" s="52">
        <f>IF(Учет!$O3247=Справочники!$F$5,Учет!$H3247,0)</f>
        <v>0</v>
      </c>
      <c r="F3247" s="52">
        <f>IF(Учет!$O3247=Справочники!$F$6,Учет!$H3247,0)</f>
        <v>0</v>
      </c>
      <c r="G3247" s="43">
        <f>G3246+Учет!B3247-B3247</f>
        <v>-488978.92000000004</v>
      </c>
      <c r="H3247" s="43">
        <f>H3246+Учет!C3247-C3247</f>
        <v>336855</v>
      </c>
      <c r="I3247" s="43">
        <f>I3246+Учет!D3247-D3247</f>
        <v>500</v>
      </c>
      <c r="J3247" s="43">
        <f>J3246+Учет!E3247-E3247</f>
        <v>1150</v>
      </c>
      <c r="K3247" s="43">
        <f>K3246+Учет!F3247-F3247</f>
        <v>500000</v>
      </c>
      <c r="L3247" s="45">
        <f>Учет!I3247</f>
        <v>349526.07999999996</v>
      </c>
    </row>
    <row r="3248" spans="1:12" x14ac:dyDescent="0.25">
      <c r="A3248" s="48" t="str">
        <f>IF(Учет!A3248&lt;&gt;"",Учет!A3248,"")</f>
        <v/>
      </c>
      <c r="B3248" s="52">
        <f>IF(Учет!$O3248=Справочники!$F$2,Учет!$H3248,0)</f>
        <v>0</v>
      </c>
      <c r="C3248" s="52">
        <f>IF(Учет!$O3248=Справочники!$F$3,Учет!$H3248,0)</f>
        <v>0</v>
      </c>
      <c r="D3248" s="52">
        <f>IF(Учет!$O3248=Справочники!$F$4,Учет!$H3248,0)</f>
        <v>0</v>
      </c>
      <c r="E3248" s="52">
        <f>IF(Учет!$O3248=Справочники!$F$5,Учет!$H3248,0)</f>
        <v>0</v>
      </c>
      <c r="F3248" s="52">
        <f>IF(Учет!$O3248=Справочники!$F$6,Учет!$H3248,0)</f>
        <v>0</v>
      </c>
      <c r="G3248" s="43">
        <f>G3247+Учет!B3248-B3248</f>
        <v>-488978.92000000004</v>
      </c>
      <c r="H3248" s="43">
        <f>H3247+Учет!C3248-C3248</f>
        <v>336855</v>
      </c>
      <c r="I3248" s="43">
        <f>I3247+Учет!D3248-D3248</f>
        <v>500</v>
      </c>
      <c r="J3248" s="43">
        <f>J3247+Учет!E3248-E3248</f>
        <v>1150</v>
      </c>
      <c r="K3248" s="43">
        <f>K3247+Учет!F3248-F3248</f>
        <v>500000</v>
      </c>
      <c r="L3248" s="45">
        <f>Учет!I3248</f>
        <v>349526.07999999996</v>
      </c>
    </row>
    <row r="3249" spans="1:12" x14ac:dyDescent="0.25">
      <c r="A3249" s="48" t="str">
        <f>IF(Учет!A3249&lt;&gt;"",Учет!A3249,"")</f>
        <v/>
      </c>
      <c r="B3249" s="52">
        <f>IF(Учет!$O3249=Справочники!$F$2,Учет!$H3249,0)</f>
        <v>0</v>
      </c>
      <c r="C3249" s="52">
        <f>IF(Учет!$O3249=Справочники!$F$3,Учет!$H3249,0)</f>
        <v>0</v>
      </c>
      <c r="D3249" s="52">
        <f>IF(Учет!$O3249=Справочники!$F$4,Учет!$H3249,0)</f>
        <v>0</v>
      </c>
      <c r="E3249" s="52">
        <f>IF(Учет!$O3249=Справочники!$F$5,Учет!$H3249,0)</f>
        <v>0</v>
      </c>
      <c r="F3249" s="52">
        <f>IF(Учет!$O3249=Справочники!$F$6,Учет!$H3249,0)</f>
        <v>0</v>
      </c>
      <c r="G3249" s="43">
        <f>G3248+Учет!B3249-B3249</f>
        <v>-488978.92000000004</v>
      </c>
      <c r="H3249" s="43">
        <f>H3248+Учет!C3249-C3249</f>
        <v>336855</v>
      </c>
      <c r="I3249" s="43">
        <f>I3248+Учет!D3249-D3249</f>
        <v>500</v>
      </c>
      <c r="J3249" s="43">
        <f>J3248+Учет!E3249-E3249</f>
        <v>1150</v>
      </c>
      <c r="K3249" s="43">
        <f>K3248+Учет!F3249-F3249</f>
        <v>500000</v>
      </c>
      <c r="L3249" s="45">
        <f>Учет!I3249</f>
        <v>349526.07999999996</v>
      </c>
    </row>
    <row r="3250" spans="1:12" x14ac:dyDescent="0.25">
      <c r="A3250" s="48" t="str">
        <f>IF(Учет!A3250&lt;&gt;"",Учет!A3250,"")</f>
        <v/>
      </c>
      <c r="B3250" s="52">
        <f>IF(Учет!$O3250=Справочники!$F$2,Учет!$H3250,0)</f>
        <v>0</v>
      </c>
      <c r="C3250" s="52">
        <f>IF(Учет!$O3250=Справочники!$F$3,Учет!$H3250,0)</f>
        <v>0</v>
      </c>
      <c r="D3250" s="52">
        <f>IF(Учет!$O3250=Справочники!$F$4,Учет!$H3250,0)</f>
        <v>0</v>
      </c>
      <c r="E3250" s="52">
        <f>IF(Учет!$O3250=Справочники!$F$5,Учет!$H3250,0)</f>
        <v>0</v>
      </c>
      <c r="F3250" s="52">
        <f>IF(Учет!$O3250=Справочники!$F$6,Учет!$H3250,0)</f>
        <v>0</v>
      </c>
      <c r="G3250" s="43">
        <f>G3249+Учет!B3250-B3250</f>
        <v>-488978.92000000004</v>
      </c>
      <c r="H3250" s="43">
        <f>H3249+Учет!C3250-C3250</f>
        <v>336855</v>
      </c>
      <c r="I3250" s="43">
        <f>I3249+Учет!D3250-D3250</f>
        <v>500</v>
      </c>
      <c r="J3250" s="43">
        <f>J3249+Учет!E3250-E3250</f>
        <v>1150</v>
      </c>
      <c r="K3250" s="43">
        <f>K3249+Учет!F3250-F3250</f>
        <v>500000</v>
      </c>
      <c r="L3250" s="45">
        <f>Учет!I3250</f>
        <v>349526.07999999996</v>
      </c>
    </row>
    <row r="3251" spans="1:12" x14ac:dyDescent="0.25">
      <c r="A3251" s="48" t="str">
        <f>IF(Учет!A3251&lt;&gt;"",Учет!A3251,"")</f>
        <v/>
      </c>
      <c r="B3251" s="52">
        <f>IF(Учет!$O3251=Справочники!$F$2,Учет!$H3251,0)</f>
        <v>0</v>
      </c>
      <c r="C3251" s="52">
        <f>IF(Учет!$O3251=Справочники!$F$3,Учет!$H3251,0)</f>
        <v>0</v>
      </c>
      <c r="D3251" s="52">
        <f>IF(Учет!$O3251=Справочники!$F$4,Учет!$H3251,0)</f>
        <v>0</v>
      </c>
      <c r="E3251" s="52">
        <f>IF(Учет!$O3251=Справочники!$F$5,Учет!$H3251,0)</f>
        <v>0</v>
      </c>
      <c r="F3251" s="52">
        <f>IF(Учет!$O3251=Справочники!$F$6,Учет!$H3251,0)</f>
        <v>0</v>
      </c>
      <c r="G3251" s="43">
        <f>G3250+Учет!B3251-B3251</f>
        <v>-488978.92000000004</v>
      </c>
      <c r="H3251" s="43">
        <f>H3250+Учет!C3251-C3251</f>
        <v>336855</v>
      </c>
      <c r="I3251" s="43">
        <f>I3250+Учет!D3251-D3251</f>
        <v>500</v>
      </c>
      <c r="J3251" s="43">
        <f>J3250+Учет!E3251-E3251</f>
        <v>1150</v>
      </c>
      <c r="K3251" s="43">
        <f>K3250+Учет!F3251-F3251</f>
        <v>500000</v>
      </c>
      <c r="L3251" s="45">
        <f>Учет!I3251</f>
        <v>349526.07999999996</v>
      </c>
    </row>
    <row r="3252" spans="1:12" x14ac:dyDescent="0.25">
      <c r="A3252" s="48" t="str">
        <f>IF(Учет!A3252&lt;&gt;"",Учет!A3252,"")</f>
        <v/>
      </c>
      <c r="B3252" s="52">
        <f>IF(Учет!$O3252=Справочники!$F$2,Учет!$H3252,0)</f>
        <v>0</v>
      </c>
      <c r="C3252" s="52">
        <f>IF(Учет!$O3252=Справочники!$F$3,Учет!$H3252,0)</f>
        <v>0</v>
      </c>
      <c r="D3252" s="52">
        <f>IF(Учет!$O3252=Справочники!$F$4,Учет!$H3252,0)</f>
        <v>0</v>
      </c>
      <c r="E3252" s="52">
        <f>IF(Учет!$O3252=Справочники!$F$5,Учет!$H3252,0)</f>
        <v>0</v>
      </c>
      <c r="F3252" s="52">
        <f>IF(Учет!$O3252=Справочники!$F$6,Учет!$H3252,0)</f>
        <v>0</v>
      </c>
      <c r="G3252" s="43">
        <f>G3251+Учет!B3252-B3252</f>
        <v>-488978.92000000004</v>
      </c>
      <c r="H3252" s="43">
        <f>H3251+Учет!C3252-C3252</f>
        <v>336855</v>
      </c>
      <c r="I3252" s="43">
        <f>I3251+Учет!D3252-D3252</f>
        <v>500</v>
      </c>
      <c r="J3252" s="43">
        <f>J3251+Учет!E3252-E3252</f>
        <v>1150</v>
      </c>
      <c r="K3252" s="43">
        <f>K3251+Учет!F3252-F3252</f>
        <v>500000</v>
      </c>
      <c r="L3252" s="45">
        <f>Учет!I3252</f>
        <v>349526.07999999996</v>
      </c>
    </row>
    <row r="3253" spans="1:12" x14ac:dyDescent="0.25">
      <c r="A3253" s="48" t="str">
        <f>IF(Учет!A3253&lt;&gt;"",Учет!A3253,"")</f>
        <v/>
      </c>
      <c r="B3253" s="52">
        <f>IF(Учет!$O3253=Справочники!$F$2,Учет!$H3253,0)</f>
        <v>0</v>
      </c>
      <c r="C3253" s="52">
        <f>IF(Учет!$O3253=Справочники!$F$3,Учет!$H3253,0)</f>
        <v>0</v>
      </c>
      <c r="D3253" s="52">
        <f>IF(Учет!$O3253=Справочники!$F$4,Учет!$H3253,0)</f>
        <v>0</v>
      </c>
      <c r="E3253" s="52">
        <f>IF(Учет!$O3253=Справочники!$F$5,Учет!$H3253,0)</f>
        <v>0</v>
      </c>
      <c r="F3253" s="52">
        <f>IF(Учет!$O3253=Справочники!$F$6,Учет!$H3253,0)</f>
        <v>0</v>
      </c>
      <c r="G3253" s="43">
        <f>G3252+Учет!B3253-B3253</f>
        <v>-488978.92000000004</v>
      </c>
      <c r="H3253" s="43">
        <f>H3252+Учет!C3253-C3253</f>
        <v>336855</v>
      </c>
      <c r="I3253" s="43">
        <f>I3252+Учет!D3253-D3253</f>
        <v>500</v>
      </c>
      <c r="J3253" s="43">
        <f>J3252+Учет!E3253-E3253</f>
        <v>1150</v>
      </c>
      <c r="K3253" s="43">
        <f>K3252+Учет!F3253-F3253</f>
        <v>500000</v>
      </c>
      <c r="L3253" s="45">
        <f>Учет!I3253</f>
        <v>349526.07999999996</v>
      </c>
    </row>
    <row r="3254" spans="1:12" x14ac:dyDescent="0.25">
      <c r="A3254" s="48" t="str">
        <f>IF(Учет!A3254&lt;&gt;"",Учет!A3254,"")</f>
        <v/>
      </c>
      <c r="B3254" s="52">
        <f>IF(Учет!$O3254=Справочники!$F$2,Учет!$H3254,0)</f>
        <v>0</v>
      </c>
      <c r="C3254" s="52">
        <f>IF(Учет!$O3254=Справочники!$F$3,Учет!$H3254,0)</f>
        <v>0</v>
      </c>
      <c r="D3254" s="52">
        <f>IF(Учет!$O3254=Справочники!$F$4,Учет!$H3254,0)</f>
        <v>0</v>
      </c>
      <c r="E3254" s="52">
        <f>IF(Учет!$O3254=Справочники!$F$5,Учет!$H3254,0)</f>
        <v>0</v>
      </c>
      <c r="F3254" s="52">
        <f>IF(Учет!$O3254=Справочники!$F$6,Учет!$H3254,0)</f>
        <v>0</v>
      </c>
      <c r="G3254" s="43">
        <f>G3253+Учет!B3254-B3254</f>
        <v>-488978.92000000004</v>
      </c>
      <c r="H3254" s="43">
        <f>H3253+Учет!C3254-C3254</f>
        <v>336855</v>
      </c>
      <c r="I3254" s="43">
        <f>I3253+Учет!D3254-D3254</f>
        <v>500</v>
      </c>
      <c r="J3254" s="43">
        <f>J3253+Учет!E3254-E3254</f>
        <v>1150</v>
      </c>
      <c r="K3254" s="43">
        <f>K3253+Учет!F3254-F3254</f>
        <v>500000</v>
      </c>
      <c r="L3254" s="45">
        <f>Учет!I3254</f>
        <v>349526.07999999996</v>
      </c>
    </row>
    <row r="3255" spans="1:12" x14ac:dyDescent="0.25">
      <c r="A3255" s="48" t="str">
        <f>IF(Учет!A3255&lt;&gt;"",Учет!A3255,"")</f>
        <v/>
      </c>
      <c r="B3255" s="52">
        <f>IF(Учет!$O3255=Справочники!$F$2,Учет!$H3255,0)</f>
        <v>0</v>
      </c>
      <c r="C3255" s="52">
        <f>IF(Учет!$O3255=Справочники!$F$3,Учет!$H3255,0)</f>
        <v>0</v>
      </c>
      <c r="D3255" s="52">
        <f>IF(Учет!$O3255=Справочники!$F$4,Учет!$H3255,0)</f>
        <v>0</v>
      </c>
      <c r="E3255" s="52">
        <f>IF(Учет!$O3255=Справочники!$F$5,Учет!$H3255,0)</f>
        <v>0</v>
      </c>
      <c r="F3255" s="52">
        <f>IF(Учет!$O3255=Справочники!$F$6,Учет!$H3255,0)</f>
        <v>0</v>
      </c>
      <c r="G3255" s="43">
        <f>G3254+Учет!B3255-B3255</f>
        <v>-488978.92000000004</v>
      </c>
      <c r="H3255" s="43">
        <f>H3254+Учет!C3255-C3255</f>
        <v>336855</v>
      </c>
      <c r="I3255" s="43">
        <f>I3254+Учет!D3255-D3255</f>
        <v>500</v>
      </c>
      <c r="J3255" s="43">
        <f>J3254+Учет!E3255-E3255</f>
        <v>1150</v>
      </c>
      <c r="K3255" s="43">
        <f>K3254+Учет!F3255-F3255</f>
        <v>500000</v>
      </c>
      <c r="L3255" s="45">
        <f>Учет!I3255</f>
        <v>349526.07999999996</v>
      </c>
    </row>
    <row r="3256" spans="1:12" x14ac:dyDescent="0.25">
      <c r="A3256" s="48" t="str">
        <f>IF(Учет!A3256&lt;&gt;"",Учет!A3256,"")</f>
        <v/>
      </c>
      <c r="B3256" s="52">
        <f>IF(Учет!$O3256=Справочники!$F$2,Учет!$H3256,0)</f>
        <v>0</v>
      </c>
      <c r="C3256" s="52">
        <f>IF(Учет!$O3256=Справочники!$F$3,Учет!$H3256,0)</f>
        <v>0</v>
      </c>
      <c r="D3256" s="52">
        <f>IF(Учет!$O3256=Справочники!$F$4,Учет!$H3256,0)</f>
        <v>0</v>
      </c>
      <c r="E3256" s="52">
        <f>IF(Учет!$O3256=Справочники!$F$5,Учет!$H3256,0)</f>
        <v>0</v>
      </c>
      <c r="F3256" s="52">
        <f>IF(Учет!$O3256=Справочники!$F$6,Учет!$H3256,0)</f>
        <v>0</v>
      </c>
      <c r="G3256" s="43">
        <f>G3255+Учет!B3256-B3256</f>
        <v>-488978.92000000004</v>
      </c>
      <c r="H3256" s="43">
        <f>H3255+Учет!C3256-C3256</f>
        <v>336855</v>
      </c>
      <c r="I3256" s="43">
        <f>I3255+Учет!D3256-D3256</f>
        <v>500</v>
      </c>
      <c r="J3256" s="43">
        <f>J3255+Учет!E3256-E3256</f>
        <v>1150</v>
      </c>
      <c r="K3256" s="43">
        <f>K3255+Учет!F3256-F3256</f>
        <v>500000</v>
      </c>
      <c r="L3256" s="45">
        <f>Учет!I3256</f>
        <v>349526.07999999996</v>
      </c>
    </row>
    <row r="3257" spans="1:12" x14ac:dyDescent="0.25">
      <c r="A3257" s="48" t="str">
        <f>IF(Учет!A3257&lt;&gt;"",Учет!A3257,"")</f>
        <v/>
      </c>
      <c r="B3257" s="52">
        <f>IF(Учет!$O3257=Справочники!$F$2,Учет!$H3257,0)</f>
        <v>0</v>
      </c>
      <c r="C3257" s="52">
        <f>IF(Учет!$O3257=Справочники!$F$3,Учет!$H3257,0)</f>
        <v>0</v>
      </c>
      <c r="D3257" s="52">
        <f>IF(Учет!$O3257=Справочники!$F$4,Учет!$H3257,0)</f>
        <v>0</v>
      </c>
      <c r="E3257" s="52">
        <f>IF(Учет!$O3257=Справочники!$F$5,Учет!$H3257,0)</f>
        <v>0</v>
      </c>
      <c r="F3257" s="52">
        <f>IF(Учет!$O3257=Справочники!$F$6,Учет!$H3257,0)</f>
        <v>0</v>
      </c>
      <c r="G3257" s="43">
        <f>G3256+Учет!B3257-B3257</f>
        <v>-488978.92000000004</v>
      </c>
      <c r="H3257" s="43">
        <f>H3256+Учет!C3257-C3257</f>
        <v>336855</v>
      </c>
      <c r="I3257" s="43">
        <f>I3256+Учет!D3257-D3257</f>
        <v>500</v>
      </c>
      <c r="J3257" s="43">
        <f>J3256+Учет!E3257-E3257</f>
        <v>1150</v>
      </c>
      <c r="K3257" s="43">
        <f>K3256+Учет!F3257-F3257</f>
        <v>500000</v>
      </c>
      <c r="L3257" s="45">
        <f>Учет!I3257</f>
        <v>349526.07999999996</v>
      </c>
    </row>
    <row r="3258" spans="1:12" x14ac:dyDescent="0.25">
      <c r="A3258" s="48" t="str">
        <f>IF(Учет!A3258&lt;&gt;"",Учет!A3258,"")</f>
        <v/>
      </c>
      <c r="B3258" s="52">
        <f>IF(Учет!$O3258=Справочники!$F$2,Учет!$H3258,0)</f>
        <v>0</v>
      </c>
      <c r="C3258" s="52">
        <f>IF(Учет!$O3258=Справочники!$F$3,Учет!$H3258,0)</f>
        <v>0</v>
      </c>
      <c r="D3258" s="52">
        <f>IF(Учет!$O3258=Справочники!$F$4,Учет!$H3258,0)</f>
        <v>0</v>
      </c>
      <c r="E3258" s="52">
        <f>IF(Учет!$O3258=Справочники!$F$5,Учет!$H3258,0)</f>
        <v>0</v>
      </c>
      <c r="F3258" s="52">
        <f>IF(Учет!$O3258=Справочники!$F$6,Учет!$H3258,0)</f>
        <v>0</v>
      </c>
      <c r="G3258" s="43">
        <f>G3257+Учет!B3258-B3258</f>
        <v>-488978.92000000004</v>
      </c>
      <c r="H3258" s="43">
        <f>H3257+Учет!C3258-C3258</f>
        <v>336855</v>
      </c>
      <c r="I3258" s="43">
        <f>I3257+Учет!D3258-D3258</f>
        <v>500</v>
      </c>
      <c r="J3258" s="43">
        <f>J3257+Учет!E3258-E3258</f>
        <v>1150</v>
      </c>
      <c r="K3258" s="43">
        <f>K3257+Учет!F3258-F3258</f>
        <v>500000</v>
      </c>
      <c r="L3258" s="45">
        <f>Учет!I3258</f>
        <v>349526.07999999996</v>
      </c>
    </row>
    <row r="3259" spans="1:12" x14ac:dyDescent="0.25">
      <c r="A3259" s="48" t="str">
        <f>IF(Учет!A3259&lt;&gt;"",Учет!A3259,"")</f>
        <v/>
      </c>
      <c r="B3259" s="52">
        <f>IF(Учет!$O3259=Справочники!$F$2,Учет!$H3259,0)</f>
        <v>0</v>
      </c>
      <c r="C3259" s="52">
        <f>IF(Учет!$O3259=Справочники!$F$3,Учет!$H3259,0)</f>
        <v>0</v>
      </c>
      <c r="D3259" s="52">
        <f>IF(Учет!$O3259=Справочники!$F$4,Учет!$H3259,0)</f>
        <v>0</v>
      </c>
      <c r="E3259" s="52">
        <f>IF(Учет!$O3259=Справочники!$F$5,Учет!$H3259,0)</f>
        <v>0</v>
      </c>
      <c r="F3259" s="52">
        <f>IF(Учет!$O3259=Справочники!$F$6,Учет!$H3259,0)</f>
        <v>0</v>
      </c>
      <c r="G3259" s="43">
        <f>G3258+Учет!B3259-B3259</f>
        <v>-488978.92000000004</v>
      </c>
      <c r="H3259" s="43">
        <f>H3258+Учет!C3259-C3259</f>
        <v>336855</v>
      </c>
      <c r="I3259" s="43">
        <f>I3258+Учет!D3259-D3259</f>
        <v>500</v>
      </c>
      <c r="J3259" s="43">
        <f>J3258+Учет!E3259-E3259</f>
        <v>1150</v>
      </c>
      <c r="K3259" s="43">
        <f>K3258+Учет!F3259-F3259</f>
        <v>500000</v>
      </c>
      <c r="L3259" s="45">
        <f>Учет!I3259</f>
        <v>349526.07999999996</v>
      </c>
    </row>
    <row r="3260" spans="1:12" x14ac:dyDescent="0.25">
      <c r="A3260" s="48" t="str">
        <f>IF(Учет!A3260&lt;&gt;"",Учет!A3260,"")</f>
        <v/>
      </c>
      <c r="B3260" s="52">
        <f>IF(Учет!$O3260=Справочники!$F$2,Учет!$H3260,0)</f>
        <v>0</v>
      </c>
      <c r="C3260" s="52">
        <f>IF(Учет!$O3260=Справочники!$F$3,Учет!$H3260,0)</f>
        <v>0</v>
      </c>
      <c r="D3260" s="52">
        <f>IF(Учет!$O3260=Справочники!$F$4,Учет!$H3260,0)</f>
        <v>0</v>
      </c>
      <c r="E3260" s="52">
        <f>IF(Учет!$O3260=Справочники!$F$5,Учет!$H3260,0)</f>
        <v>0</v>
      </c>
      <c r="F3260" s="52">
        <f>IF(Учет!$O3260=Справочники!$F$6,Учет!$H3260,0)</f>
        <v>0</v>
      </c>
      <c r="G3260" s="43">
        <f>G3259+Учет!B3260-B3260</f>
        <v>-488978.92000000004</v>
      </c>
      <c r="H3260" s="43">
        <f>H3259+Учет!C3260-C3260</f>
        <v>336855</v>
      </c>
      <c r="I3260" s="43">
        <f>I3259+Учет!D3260-D3260</f>
        <v>500</v>
      </c>
      <c r="J3260" s="43">
        <f>J3259+Учет!E3260-E3260</f>
        <v>1150</v>
      </c>
      <c r="K3260" s="43">
        <f>K3259+Учет!F3260-F3260</f>
        <v>500000</v>
      </c>
      <c r="L3260" s="45">
        <f>Учет!I3260</f>
        <v>349526.07999999996</v>
      </c>
    </row>
    <row r="3261" spans="1:12" x14ac:dyDescent="0.25">
      <c r="A3261" s="48" t="str">
        <f>IF(Учет!A3261&lt;&gt;"",Учет!A3261,"")</f>
        <v/>
      </c>
      <c r="B3261" s="52">
        <f>IF(Учет!$O3261=Справочники!$F$2,Учет!$H3261,0)</f>
        <v>0</v>
      </c>
      <c r="C3261" s="52">
        <f>IF(Учет!$O3261=Справочники!$F$3,Учет!$H3261,0)</f>
        <v>0</v>
      </c>
      <c r="D3261" s="52">
        <f>IF(Учет!$O3261=Справочники!$F$4,Учет!$H3261,0)</f>
        <v>0</v>
      </c>
      <c r="E3261" s="52">
        <f>IF(Учет!$O3261=Справочники!$F$5,Учет!$H3261,0)</f>
        <v>0</v>
      </c>
      <c r="F3261" s="52">
        <f>IF(Учет!$O3261=Справочники!$F$6,Учет!$H3261,0)</f>
        <v>0</v>
      </c>
      <c r="G3261" s="43">
        <f>G3260+Учет!B3261-B3261</f>
        <v>-488978.92000000004</v>
      </c>
      <c r="H3261" s="43">
        <f>H3260+Учет!C3261-C3261</f>
        <v>336855</v>
      </c>
      <c r="I3261" s="43">
        <f>I3260+Учет!D3261-D3261</f>
        <v>500</v>
      </c>
      <c r="J3261" s="43">
        <f>J3260+Учет!E3261-E3261</f>
        <v>1150</v>
      </c>
      <c r="K3261" s="43">
        <f>K3260+Учет!F3261-F3261</f>
        <v>500000</v>
      </c>
      <c r="L3261" s="45">
        <f>Учет!I3261</f>
        <v>349526.07999999996</v>
      </c>
    </row>
    <row r="3262" spans="1:12" x14ac:dyDescent="0.25">
      <c r="A3262" s="48" t="str">
        <f>IF(Учет!A3262&lt;&gt;"",Учет!A3262,"")</f>
        <v/>
      </c>
      <c r="B3262" s="52">
        <f>IF(Учет!$O3262=Справочники!$F$2,Учет!$H3262,0)</f>
        <v>0</v>
      </c>
      <c r="C3262" s="52">
        <f>IF(Учет!$O3262=Справочники!$F$3,Учет!$H3262,0)</f>
        <v>0</v>
      </c>
      <c r="D3262" s="52">
        <f>IF(Учет!$O3262=Справочники!$F$4,Учет!$H3262,0)</f>
        <v>0</v>
      </c>
      <c r="E3262" s="52">
        <f>IF(Учет!$O3262=Справочники!$F$5,Учет!$H3262,0)</f>
        <v>0</v>
      </c>
      <c r="F3262" s="52">
        <f>IF(Учет!$O3262=Справочники!$F$6,Учет!$H3262,0)</f>
        <v>0</v>
      </c>
      <c r="G3262" s="43">
        <f>G3261+Учет!B3262-B3262</f>
        <v>-488978.92000000004</v>
      </c>
      <c r="H3262" s="43">
        <f>H3261+Учет!C3262-C3262</f>
        <v>336855</v>
      </c>
      <c r="I3262" s="43">
        <f>I3261+Учет!D3262-D3262</f>
        <v>500</v>
      </c>
      <c r="J3262" s="43">
        <f>J3261+Учет!E3262-E3262</f>
        <v>1150</v>
      </c>
      <c r="K3262" s="43">
        <f>K3261+Учет!F3262-F3262</f>
        <v>500000</v>
      </c>
      <c r="L3262" s="45">
        <f>Учет!I3262</f>
        <v>349526.07999999996</v>
      </c>
    </row>
    <row r="3263" spans="1:12" x14ac:dyDescent="0.25">
      <c r="A3263" s="48" t="str">
        <f>IF(Учет!A3263&lt;&gt;"",Учет!A3263,"")</f>
        <v/>
      </c>
      <c r="B3263" s="52">
        <f>IF(Учет!$O3263=Справочники!$F$2,Учет!$H3263,0)</f>
        <v>0</v>
      </c>
      <c r="C3263" s="52">
        <f>IF(Учет!$O3263=Справочники!$F$3,Учет!$H3263,0)</f>
        <v>0</v>
      </c>
      <c r="D3263" s="52">
        <f>IF(Учет!$O3263=Справочники!$F$4,Учет!$H3263,0)</f>
        <v>0</v>
      </c>
      <c r="E3263" s="52">
        <f>IF(Учет!$O3263=Справочники!$F$5,Учет!$H3263,0)</f>
        <v>0</v>
      </c>
      <c r="F3263" s="52">
        <f>IF(Учет!$O3263=Справочники!$F$6,Учет!$H3263,0)</f>
        <v>0</v>
      </c>
      <c r="G3263" s="43">
        <f>G3262+Учет!B3263-B3263</f>
        <v>-488978.92000000004</v>
      </c>
      <c r="H3263" s="43">
        <f>H3262+Учет!C3263-C3263</f>
        <v>336855</v>
      </c>
      <c r="I3263" s="43">
        <f>I3262+Учет!D3263-D3263</f>
        <v>500</v>
      </c>
      <c r="J3263" s="43">
        <f>J3262+Учет!E3263-E3263</f>
        <v>1150</v>
      </c>
      <c r="K3263" s="43">
        <f>K3262+Учет!F3263-F3263</f>
        <v>500000</v>
      </c>
      <c r="L3263" s="45">
        <f>Учет!I3263</f>
        <v>349526.07999999996</v>
      </c>
    </row>
    <row r="3264" spans="1:12" x14ac:dyDescent="0.25">
      <c r="A3264" s="48" t="str">
        <f>IF(Учет!A3264&lt;&gt;"",Учет!A3264,"")</f>
        <v/>
      </c>
      <c r="B3264" s="52">
        <f>IF(Учет!$O3264=Справочники!$F$2,Учет!$H3264,0)</f>
        <v>0</v>
      </c>
      <c r="C3264" s="52">
        <f>IF(Учет!$O3264=Справочники!$F$3,Учет!$H3264,0)</f>
        <v>0</v>
      </c>
      <c r="D3264" s="52">
        <f>IF(Учет!$O3264=Справочники!$F$4,Учет!$H3264,0)</f>
        <v>0</v>
      </c>
      <c r="E3264" s="52">
        <f>IF(Учет!$O3264=Справочники!$F$5,Учет!$H3264,0)</f>
        <v>0</v>
      </c>
      <c r="F3264" s="52">
        <f>IF(Учет!$O3264=Справочники!$F$6,Учет!$H3264,0)</f>
        <v>0</v>
      </c>
      <c r="G3264" s="43">
        <f>G3263+Учет!B3264-B3264</f>
        <v>-488978.92000000004</v>
      </c>
      <c r="H3264" s="43">
        <f>H3263+Учет!C3264-C3264</f>
        <v>336855</v>
      </c>
      <c r="I3264" s="43">
        <f>I3263+Учет!D3264-D3264</f>
        <v>500</v>
      </c>
      <c r="J3264" s="43">
        <f>J3263+Учет!E3264-E3264</f>
        <v>1150</v>
      </c>
      <c r="K3264" s="43">
        <f>K3263+Учет!F3264-F3264</f>
        <v>500000</v>
      </c>
      <c r="L3264" s="45">
        <f>Учет!I3264</f>
        <v>349526.07999999996</v>
      </c>
    </row>
    <row r="3265" spans="1:12" x14ac:dyDescent="0.25">
      <c r="A3265" s="48" t="str">
        <f>IF(Учет!A3265&lt;&gt;"",Учет!A3265,"")</f>
        <v/>
      </c>
      <c r="B3265" s="52">
        <f>IF(Учет!$O3265=Справочники!$F$2,Учет!$H3265,0)</f>
        <v>0</v>
      </c>
      <c r="C3265" s="52">
        <f>IF(Учет!$O3265=Справочники!$F$3,Учет!$H3265,0)</f>
        <v>0</v>
      </c>
      <c r="D3265" s="52">
        <f>IF(Учет!$O3265=Справочники!$F$4,Учет!$H3265,0)</f>
        <v>0</v>
      </c>
      <c r="E3265" s="52">
        <f>IF(Учет!$O3265=Справочники!$F$5,Учет!$H3265,0)</f>
        <v>0</v>
      </c>
      <c r="F3265" s="52">
        <f>IF(Учет!$O3265=Справочники!$F$6,Учет!$H3265,0)</f>
        <v>0</v>
      </c>
      <c r="G3265" s="43">
        <f>G3264+Учет!B3265-B3265</f>
        <v>-488978.92000000004</v>
      </c>
      <c r="H3265" s="43">
        <f>H3264+Учет!C3265-C3265</f>
        <v>336855</v>
      </c>
      <c r="I3265" s="43">
        <f>I3264+Учет!D3265-D3265</f>
        <v>500</v>
      </c>
      <c r="J3265" s="43">
        <f>J3264+Учет!E3265-E3265</f>
        <v>1150</v>
      </c>
      <c r="K3265" s="43">
        <f>K3264+Учет!F3265-F3265</f>
        <v>500000</v>
      </c>
      <c r="L3265" s="45">
        <f>Учет!I3265</f>
        <v>349526.07999999996</v>
      </c>
    </row>
    <row r="3266" spans="1:12" x14ac:dyDescent="0.25">
      <c r="A3266" s="48" t="str">
        <f>IF(Учет!A3266&lt;&gt;"",Учет!A3266,"")</f>
        <v/>
      </c>
      <c r="B3266" s="52">
        <f>IF(Учет!$O3266=Справочники!$F$2,Учет!$H3266,0)</f>
        <v>0</v>
      </c>
      <c r="C3266" s="52">
        <f>IF(Учет!$O3266=Справочники!$F$3,Учет!$H3266,0)</f>
        <v>0</v>
      </c>
      <c r="D3266" s="52">
        <f>IF(Учет!$O3266=Справочники!$F$4,Учет!$H3266,0)</f>
        <v>0</v>
      </c>
      <c r="E3266" s="52">
        <f>IF(Учет!$O3266=Справочники!$F$5,Учет!$H3266,0)</f>
        <v>0</v>
      </c>
      <c r="F3266" s="52">
        <f>IF(Учет!$O3266=Справочники!$F$6,Учет!$H3266,0)</f>
        <v>0</v>
      </c>
      <c r="G3266" s="43">
        <f>G3265+Учет!B3266-B3266</f>
        <v>-488978.92000000004</v>
      </c>
      <c r="H3266" s="43">
        <f>H3265+Учет!C3266-C3266</f>
        <v>336855</v>
      </c>
      <c r="I3266" s="43">
        <f>I3265+Учет!D3266-D3266</f>
        <v>500</v>
      </c>
      <c r="J3266" s="43">
        <f>J3265+Учет!E3266-E3266</f>
        <v>1150</v>
      </c>
      <c r="K3266" s="43">
        <f>K3265+Учет!F3266-F3266</f>
        <v>500000</v>
      </c>
      <c r="L3266" s="45">
        <f>Учет!I3266</f>
        <v>349526.07999999996</v>
      </c>
    </row>
    <row r="3267" spans="1:12" x14ac:dyDescent="0.25">
      <c r="A3267" s="48" t="str">
        <f>IF(Учет!A3267&lt;&gt;"",Учет!A3267,"")</f>
        <v/>
      </c>
      <c r="B3267" s="52">
        <f>IF(Учет!$O3267=Справочники!$F$2,Учет!$H3267,0)</f>
        <v>0</v>
      </c>
      <c r="C3267" s="52">
        <f>IF(Учет!$O3267=Справочники!$F$3,Учет!$H3267,0)</f>
        <v>0</v>
      </c>
      <c r="D3267" s="52">
        <f>IF(Учет!$O3267=Справочники!$F$4,Учет!$H3267,0)</f>
        <v>0</v>
      </c>
      <c r="E3267" s="52">
        <f>IF(Учет!$O3267=Справочники!$F$5,Учет!$H3267,0)</f>
        <v>0</v>
      </c>
      <c r="F3267" s="52">
        <f>IF(Учет!$O3267=Справочники!$F$6,Учет!$H3267,0)</f>
        <v>0</v>
      </c>
      <c r="G3267" s="43">
        <f>G3266+Учет!B3267-B3267</f>
        <v>-488978.92000000004</v>
      </c>
      <c r="H3267" s="43">
        <f>H3266+Учет!C3267-C3267</f>
        <v>336855</v>
      </c>
      <c r="I3267" s="43">
        <f>I3266+Учет!D3267-D3267</f>
        <v>500</v>
      </c>
      <c r="J3267" s="43">
        <f>J3266+Учет!E3267-E3267</f>
        <v>1150</v>
      </c>
      <c r="K3267" s="43">
        <f>K3266+Учет!F3267-F3267</f>
        <v>500000</v>
      </c>
      <c r="L3267" s="45">
        <f>Учет!I3267</f>
        <v>349526.07999999996</v>
      </c>
    </row>
    <row r="3268" spans="1:12" x14ac:dyDescent="0.25">
      <c r="A3268" s="48" t="str">
        <f>IF(Учет!A3268&lt;&gt;"",Учет!A3268,"")</f>
        <v/>
      </c>
      <c r="B3268" s="52">
        <f>IF(Учет!$O3268=Справочники!$F$2,Учет!$H3268,0)</f>
        <v>0</v>
      </c>
      <c r="C3268" s="52">
        <f>IF(Учет!$O3268=Справочники!$F$3,Учет!$H3268,0)</f>
        <v>0</v>
      </c>
      <c r="D3268" s="52">
        <f>IF(Учет!$O3268=Справочники!$F$4,Учет!$H3268,0)</f>
        <v>0</v>
      </c>
      <c r="E3268" s="52">
        <f>IF(Учет!$O3268=Справочники!$F$5,Учет!$H3268,0)</f>
        <v>0</v>
      </c>
      <c r="F3268" s="52">
        <f>IF(Учет!$O3268=Справочники!$F$6,Учет!$H3268,0)</f>
        <v>0</v>
      </c>
      <c r="G3268" s="43">
        <f>G3267+Учет!B3268-B3268</f>
        <v>-488978.92000000004</v>
      </c>
      <c r="H3268" s="43">
        <f>H3267+Учет!C3268-C3268</f>
        <v>336855</v>
      </c>
      <c r="I3268" s="43">
        <f>I3267+Учет!D3268-D3268</f>
        <v>500</v>
      </c>
      <c r="J3268" s="43">
        <f>J3267+Учет!E3268-E3268</f>
        <v>1150</v>
      </c>
      <c r="K3268" s="43">
        <f>K3267+Учет!F3268-F3268</f>
        <v>500000</v>
      </c>
      <c r="L3268" s="45">
        <f>Учет!I3268</f>
        <v>349526.07999999996</v>
      </c>
    </row>
    <row r="3269" spans="1:12" x14ac:dyDescent="0.25">
      <c r="A3269" s="48" t="str">
        <f>IF(Учет!A3269&lt;&gt;"",Учет!A3269,"")</f>
        <v/>
      </c>
      <c r="B3269" s="52">
        <f>IF(Учет!$O3269=Справочники!$F$2,Учет!$H3269,0)</f>
        <v>0</v>
      </c>
      <c r="C3269" s="52">
        <f>IF(Учет!$O3269=Справочники!$F$3,Учет!$H3269,0)</f>
        <v>0</v>
      </c>
      <c r="D3269" s="52">
        <f>IF(Учет!$O3269=Справочники!$F$4,Учет!$H3269,0)</f>
        <v>0</v>
      </c>
      <c r="E3269" s="52">
        <f>IF(Учет!$O3269=Справочники!$F$5,Учет!$H3269,0)</f>
        <v>0</v>
      </c>
      <c r="F3269" s="52">
        <f>IF(Учет!$O3269=Справочники!$F$6,Учет!$H3269,0)</f>
        <v>0</v>
      </c>
      <c r="G3269" s="43">
        <f>G3268+Учет!B3269-B3269</f>
        <v>-488978.92000000004</v>
      </c>
      <c r="H3269" s="43">
        <f>H3268+Учет!C3269-C3269</f>
        <v>336855</v>
      </c>
      <c r="I3269" s="43">
        <f>I3268+Учет!D3269-D3269</f>
        <v>500</v>
      </c>
      <c r="J3269" s="43">
        <f>J3268+Учет!E3269-E3269</f>
        <v>1150</v>
      </c>
      <c r="K3269" s="43">
        <f>K3268+Учет!F3269-F3269</f>
        <v>500000</v>
      </c>
      <c r="L3269" s="45">
        <f>Учет!I3269</f>
        <v>349526.07999999996</v>
      </c>
    </row>
    <row r="3270" spans="1:12" x14ac:dyDescent="0.25">
      <c r="A3270" s="48" t="str">
        <f>IF(Учет!A3270&lt;&gt;"",Учет!A3270,"")</f>
        <v/>
      </c>
      <c r="B3270" s="52">
        <f>IF(Учет!$O3270=Справочники!$F$2,Учет!$H3270,0)</f>
        <v>0</v>
      </c>
      <c r="C3270" s="52">
        <f>IF(Учет!$O3270=Справочники!$F$3,Учет!$H3270,0)</f>
        <v>0</v>
      </c>
      <c r="D3270" s="52">
        <f>IF(Учет!$O3270=Справочники!$F$4,Учет!$H3270,0)</f>
        <v>0</v>
      </c>
      <c r="E3270" s="52">
        <f>IF(Учет!$O3270=Справочники!$F$5,Учет!$H3270,0)</f>
        <v>0</v>
      </c>
      <c r="F3270" s="52">
        <f>IF(Учет!$O3270=Справочники!$F$6,Учет!$H3270,0)</f>
        <v>0</v>
      </c>
      <c r="G3270" s="43">
        <f>G3269+Учет!B3270-B3270</f>
        <v>-488978.92000000004</v>
      </c>
      <c r="H3270" s="43">
        <f>H3269+Учет!C3270-C3270</f>
        <v>336855</v>
      </c>
      <c r="I3270" s="43">
        <f>I3269+Учет!D3270-D3270</f>
        <v>500</v>
      </c>
      <c r="J3270" s="43">
        <f>J3269+Учет!E3270-E3270</f>
        <v>1150</v>
      </c>
      <c r="K3270" s="43">
        <f>K3269+Учет!F3270-F3270</f>
        <v>500000</v>
      </c>
      <c r="L3270" s="45">
        <f>Учет!I3270</f>
        <v>349526.07999999996</v>
      </c>
    </row>
    <row r="3271" spans="1:12" x14ac:dyDescent="0.25">
      <c r="A3271" s="48" t="str">
        <f>IF(Учет!A3271&lt;&gt;"",Учет!A3271,"")</f>
        <v/>
      </c>
      <c r="B3271" s="52">
        <f>IF(Учет!$O3271=Справочники!$F$2,Учет!$H3271,0)</f>
        <v>0</v>
      </c>
      <c r="C3271" s="52">
        <f>IF(Учет!$O3271=Справочники!$F$3,Учет!$H3271,0)</f>
        <v>0</v>
      </c>
      <c r="D3271" s="52">
        <f>IF(Учет!$O3271=Справочники!$F$4,Учет!$H3271,0)</f>
        <v>0</v>
      </c>
      <c r="E3271" s="52">
        <f>IF(Учет!$O3271=Справочники!$F$5,Учет!$H3271,0)</f>
        <v>0</v>
      </c>
      <c r="F3271" s="52">
        <f>IF(Учет!$O3271=Справочники!$F$6,Учет!$H3271,0)</f>
        <v>0</v>
      </c>
      <c r="G3271" s="43">
        <f>G3270+Учет!B3271-B3271</f>
        <v>-488978.92000000004</v>
      </c>
      <c r="H3271" s="43">
        <f>H3270+Учет!C3271-C3271</f>
        <v>336855</v>
      </c>
      <c r="I3271" s="43">
        <f>I3270+Учет!D3271-D3271</f>
        <v>500</v>
      </c>
      <c r="J3271" s="43">
        <f>J3270+Учет!E3271-E3271</f>
        <v>1150</v>
      </c>
      <c r="K3271" s="43">
        <f>K3270+Учет!F3271-F3271</f>
        <v>500000</v>
      </c>
      <c r="L3271" s="45">
        <f>Учет!I3271</f>
        <v>349526.07999999996</v>
      </c>
    </row>
    <row r="3272" spans="1:12" x14ac:dyDescent="0.25">
      <c r="A3272" s="48" t="str">
        <f>IF(Учет!A3272&lt;&gt;"",Учет!A3272,"")</f>
        <v/>
      </c>
      <c r="B3272" s="52">
        <f>IF(Учет!$O3272=Справочники!$F$2,Учет!$H3272,0)</f>
        <v>0</v>
      </c>
      <c r="C3272" s="52">
        <f>IF(Учет!$O3272=Справочники!$F$3,Учет!$H3272,0)</f>
        <v>0</v>
      </c>
      <c r="D3272" s="52">
        <f>IF(Учет!$O3272=Справочники!$F$4,Учет!$H3272,0)</f>
        <v>0</v>
      </c>
      <c r="E3272" s="52">
        <f>IF(Учет!$O3272=Справочники!$F$5,Учет!$H3272,0)</f>
        <v>0</v>
      </c>
      <c r="F3272" s="52">
        <f>IF(Учет!$O3272=Справочники!$F$6,Учет!$H3272,0)</f>
        <v>0</v>
      </c>
      <c r="G3272" s="43">
        <f>G3271+Учет!B3272-B3272</f>
        <v>-488978.92000000004</v>
      </c>
      <c r="H3272" s="43">
        <f>H3271+Учет!C3272-C3272</f>
        <v>336855</v>
      </c>
      <c r="I3272" s="43">
        <f>I3271+Учет!D3272-D3272</f>
        <v>500</v>
      </c>
      <c r="J3272" s="43">
        <f>J3271+Учет!E3272-E3272</f>
        <v>1150</v>
      </c>
      <c r="K3272" s="43">
        <f>K3271+Учет!F3272-F3272</f>
        <v>500000</v>
      </c>
      <c r="L3272" s="45">
        <f>Учет!I3272</f>
        <v>349526.07999999996</v>
      </c>
    </row>
    <row r="3273" spans="1:12" x14ac:dyDescent="0.25">
      <c r="A3273" s="48" t="str">
        <f>IF(Учет!A3273&lt;&gt;"",Учет!A3273,"")</f>
        <v/>
      </c>
      <c r="B3273" s="52">
        <f>IF(Учет!$O3273=Справочники!$F$2,Учет!$H3273,0)</f>
        <v>0</v>
      </c>
      <c r="C3273" s="52">
        <f>IF(Учет!$O3273=Справочники!$F$3,Учет!$H3273,0)</f>
        <v>0</v>
      </c>
      <c r="D3273" s="52">
        <f>IF(Учет!$O3273=Справочники!$F$4,Учет!$H3273,0)</f>
        <v>0</v>
      </c>
      <c r="E3273" s="52">
        <f>IF(Учет!$O3273=Справочники!$F$5,Учет!$H3273,0)</f>
        <v>0</v>
      </c>
      <c r="F3273" s="52">
        <f>IF(Учет!$O3273=Справочники!$F$6,Учет!$H3273,0)</f>
        <v>0</v>
      </c>
      <c r="G3273" s="43">
        <f>G3272+Учет!B3273-B3273</f>
        <v>-488978.92000000004</v>
      </c>
      <c r="H3273" s="43">
        <f>H3272+Учет!C3273-C3273</f>
        <v>336855</v>
      </c>
      <c r="I3273" s="43">
        <f>I3272+Учет!D3273-D3273</f>
        <v>500</v>
      </c>
      <c r="J3273" s="43">
        <f>J3272+Учет!E3273-E3273</f>
        <v>1150</v>
      </c>
      <c r="K3273" s="43">
        <f>K3272+Учет!F3273-F3273</f>
        <v>500000</v>
      </c>
      <c r="L3273" s="45">
        <f>Учет!I3273</f>
        <v>349526.07999999996</v>
      </c>
    </row>
    <row r="3274" spans="1:12" x14ac:dyDescent="0.25">
      <c r="A3274" s="48" t="str">
        <f>IF(Учет!A3274&lt;&gt;"",Учет!A3274,"")</f>
        <v/>
      </c>
      <c r="B3274" s="52">
        <f>IF(Учет!$O3274=Справочники!$F$2,Учет!$H3274,0)</f>
        <v>0</v>
      </c>
      <c r="C3274" s="52">
        <f>IF(Учет!$O3274=Справочники!$F$3,Учет!$H3274,0)</f>
        <v>0</v>
      </c>
      <c r="D3274" s="52">
        <f>IF(Учет!$O3274=Справочники!$F$4,Учет!$H3274,0)</f>
        <v>0</v>
      </c>
      <c r="E3274" s="52">
        <f>IF(Учет!$O3274=Справочники!$F$5,Учет!$H3274,0)</f>
        <v>0</v>
      </c>
      <c r="F3274" s="52">
        <f>IF(Учет!$O3274=Справочники!$F$6,Учет!$H3274,0)</f>
        <v>0</v>
      </c>
      <c r="G3274" s="43">
        <f>G3273+Учет!B3274-B3274</f>
        <v>-488978.92000000004</v>
      </c>
      <c r="H3274" s="43">
        <f>H3273+Учет!C3274-C3274</f>
        <v>336855</v>
      </c>
      <c r="I3274" s="43">
        <f>I3273+Учет!D3274-D3274</f>
        <v>500</v>
      </c>
      <c r="J3274" s="43">
        <f>J3273+Учет!E3274-E3274</f>
        <v>1150</v>
      </c>
      <c r="K3274" s="43">
        <f>K3273+Учет!F3274-F3274</f>
        <v>500000</v>
      </c>
      <c r="L3274" s="45">
        <f>Учет!I3274</f>
        <v>349526.07999999996</v>
      </c>
    </row>
    <row r="3275" spans="1:12" x14ac:dyDescent="0.25">
      <c r="A3275" s="48" t="str">
        <f>IF(Учет!A3275&lt;&gt;"",Учет!A3275,"")</f>
        <v/>
      </c>
      <c r="B3275" s="52">
        <f>IF(Учет!$O3275=Справочники!$F$2,Учет!$H3275,0)</f>
        <v>0</v>
      </c>
      <c r="C3275" s="52">
        <f>IF(Учет!$O3275=Справочники!$F$3,Учет!$H3275,0)</f>
        <v>0</v>
      </c>
      <c r="D3275" s="52">
        <f>IF(Учет!$O3275=Справочники!$F$4,Учет!$H3275,0)</f>
        <v>0</v>
      </c>
      <c r="E3275" s="52">
        <f>IF(Учет!$O3275=Справочники!$F$5,Учет!$H3275,0)</f>
        <v>0</v>
      </c>
      <c r="F3275" s="52">
        <f>IF(Учет!$O3275=Справочники!$F$6,Учет!$H3275,0)</f>
        <v>0</v>
      </c>
      <c r="G3275" s="43">
        <f>G3274+Учет!B3275-B3275</f>
        <v>-488978.92000000004</v>
      </c>
      <c r="H3275" s="43">
        <f>H3274+Учет!C3275-C3275</f>
        <v>336855</v>
      </c>
      <c r="I3275" s="43">
        <f>I3274+Учет!D3275-D3275</f>
        <v>500</v>
      </c>
      <c r="J3275" s="43">
        <f>J3274+Учет!E3275-E3275</f>
        <v>1150</v>
      </c>
      <c r="K3275" s="43">
        <f>K3274+Учет!F3275-F3275</f>
        <v>500000</v>
      </c>
      <c r="L3275" s="45">
        <f>Учет!I3275</f>
        <v>349526.07999999996</v>
      </c>
    </row>
    <row r="3276" spans="1:12" x14ac:dyDescent="0.25">
      <c r="A3276" s="48" t="str">
        <f>IF(Учет!A3276&lt;&gt;"",Учет!A3276,"")</f>
        <v/>
      </c>
      <c r="B3276" s="52">
        <f>IF(Учет!$O3276=Справочники!$F$2,Учет!$H3276,0)</f>
        <v>0</v>
      </c>
      <c r="C3276" s="52">
        <f>IF(Учет!$O3276=Справочники!$F$3,Учет!$H3276,0)</f>
        <v>0</v>
      </c>
      <c r="D3276" s="52">
        <f>IF(Учет!$O3276=Справочники!$F$4,Учет!$H3276,0)</f>
        <v>0</v>
      </c>
      <c r="E3276" s="52">
        <f>IF(Учет!$O3276=Справочники!$F$5,Учет!$H3276,0)</f>
        <v>0</v>
      </c>
      <c r="F3276" s="52">
        <f>IF(Учет!$O3276=Справочники!$F$6,Учет!$H3276,0)</f>
        <v>0</v>
      </c>
      <c r="G3276" s="43">
        <f>G3275+Учет!B3276-B3276</f>
        <v>-488978.92000000004</v>
      </c>
      <c r="H3276" s="43">
        <f>H3275+Учет!C3276-C3276</f>
        <v>336855</v>
      </c>
      <c r="I3276" s="43">
        <f>I3275+Учет!D3276-D3276</f>
        <v>500</v>
      </c>
      <c r="J3276" s="43">
        <f>J3275+Учет!E3276-E3276</f>
        <v>1150</v>
      </c>
      <c r="K3276" s="43">
        <f>K3275+Учет!F3276-F3276</f>
        <v>500000</v>
      </c>
      <c r="L3276" s="45">
        <f>Учет!I3276</f>
        <v>349526.07999999996</v>
      </c>
    </row>
    <row r="3277" spans="1:12" x14ac:dyDescent="0.25">
      <c r="A3277" s="48" t="str">
        <f>IF(Учет!A3277&lt;&gt;"",Учет!A3277,"")</f>
        <v/>
      </c>
      <c r="B3277" s="52">
        <f>IF(Учет!$O3277=Справочники!$F$2,Учет!$H3277,0)</f>
        <v>0</v>
      </c>
      <c r="C3277" s="52">
        <f>IF(Учет!$O3277=Справочники!$F$3,Учет!$H3277,0)</f>
        <v>0</v>
      </c>
      <c r="D3277" s="52">
        <f>IF(Учет!$O3277=Справочники!$F$4,Учет!$H3277,0)</f>
        <v>0</v>
      </c>
      <c r="E3277" s="52">
        <f>IF(Учет!$O3277=Справочники!$F$5,Учет!$H3277,0)</f>
        <v>0</v>
      </c>
      <c r="F3277" s="52">
        <f>IF(Учет!$O3277=Справочники!$F$6,Учет!$H3277,0)</f>
        <v>0</v>
      </c>
      <c r="G3277" s="43">
        <f>G3276+Учет!B3277-B3277</f>
        <v>-488978.92000000004</v>
      </c>
      <c r="H3277" s="43">
        <f>H3276+Учет!C3277-C3277</f>
        <v>336855</v>
      </c>
      <c r="I3277" s="43">
        <f>I3276+Учет!D3277-D3277</f>
        <v>500</v>
      </c>
      <c r="J3277" s="43">
        <f>J3276+Учет!E3277-E3277</f>
        <v>1150</v>
      </c>
      <c r="K3277" s="43">
        <f>K3276+Учет!F3277-F3277</f>
        <v>500000</v>
      </c>
      <c r="L3277" s="45">
        <f>Учет!I3277</f>
        <v>349526.07999999996</v>
      </c>
    </row>
    <row r="3278" spans="1:12" x14ac:dyDescent="0.25">
      <c r="A3278" s="48" t="str">
        <f>IF(Учет!A3278&lt;&gt;"",Учет!A3278,"")</f>
        <v/>
      </c>
      <c r="B3278" s="52">
        <f>IF(Учет!$O3278=Справочники!$F$2,Учет!$H3278,0)</f>
        <v>0</v>
      </c>
      <c r="C3278" s="52">
        <f>IF(Учет!$O3278=Справочники!$F$3,Учет!$H3278,0)</f>
        <v>0</v>
      </c>
      <c r="D3278" s="52">
        <f>IF(Учет!$O3278=Справочники!$F$4,Учет!$H3278,0)</f>
        <v>0</v>
      </c>
      <c r="E3278" s="52">
        <f>IF(Учет!$O3278=Справочники!$F$5,Учет!$H3278,0)</f>
        <v>0</v>
      </c>
      <c r="F3278" s="52">
        <f>IF(Учет!$O3278=Справочники!$F$6,Учет!$H3278,0)</f>
        <v>0</v>
      </c>
      <c r="G3278" s="43">
        <f>G3277+Учет!B3278-B3278</f>
        <v>-488978.92000000004</v>
      </c>
      <c r="H3278" s="43">
        <f>H3277+Учет!C3278-C3278</f>
        <v>336855</v>
      </c>
      <c r="I3278" s="43">
        <f>I3277+Учет!D3278-D3278</f>
        <v>500</v>
      </c>
      <c r="J3278" s="43">
        <f>J3277+Учет!E3278-E3278</f>
        <v>1150</v>
      </c>
      <c r="K3278" s="43">
        <f>K3277+Учет!F3278-F3278</f>
        <v>500000</v>
      </c>
      <c r="L3278" s="45">
        <f>Учет!I3278</f>
        <v>349526.07999999996</v>
      </c>
    </row>
    <row r="3279" spans="1:12" x14ac:dyDescent="0.25">
      <c r="A3279" s="48" t="str">
        <f>IF(Учет!A3279&lt;&gt;"",Учет!A3279,"")</f>
        <v/>
      </c>
      <c r="B3279" s="52">
        <f>IF(Учет!$O3279=Справочники!$F$2,Учет!$H3279,0)</f>
        <v>0</v>
      </c>
      <c r="C3279" s="52">
        <f>IF(Учет!$O3279=Справочники!$F$3,Учет!$H3279,0)</f>
        <v>0</v>
      </c>
      <c r="D3279" s="52">
        <f>IF(Учет!$O3279=Справочники!$F$4,Учет!$H3279,0)</f>
        <v>0</v>
      </c>
      <c r="E3279" s="52">
        <f>IF(Учет!$O3279=Справочники!$F$5,Учет!$H3279,0)</f>
        <v>0</v>
      </c>
      <c r="F3279" s="52">
        <f>IF(Учет!$O3279=Справочники!$F$6,Учет!$H3279,0)</f>
        <v>0</v>
      </c>
      <c r="G3279" s="43">
        <f>G3278+Учет!B3279-B3279</f>
        <v>-488978.92000000004</v>
      </c>
      <c r="H3279" s="43">
        <f>H3278+Учет!C3279-C3279</f>
        <v>336855</v>
      </c>
      <c r="I3279" s="43">
        <f>I3278+Учет!D3279-D3279</f>
        <v>500</v>
      </c>
      <c r="J3279" s="43">
        <f>J3278+Учет!E3279-E3279</f>
        <v>1150</v>
      </c>
      <c r="K3279" s="43">
        <f>K3278+Учет!F3279-F3279</f>
        <v>500000</v>
      </c>
      <c r="L3279" s="45">
        <f>Учет!I3279</f>
        <v>349526.07999999996</v>
      </c>
    </row>
    <row r="3280" spans="1:12" x14ac:dyDescent="0.25">
      <c r="A3280" s="48" t="str">
        <f>IF(Учет!A3280&lt;&gt;"",Учет!A3280,"")</f>
        <v/>
      </c>
      <c r="B3280" s="52">
        <f>IF(Учет!$O3280=Справочники!$F$2,Учет!$H3280,0)</f>
        <v>0</v>
      </c>
      <c r="C3280" s="52">
        <f>IF(Учет!$O3280=Справочники!$F$3,Учет!$H3280,0)</f>
        <v>0</v>
      </c>
      <c r="D3280" s="52">
        <f>IF(Учет!$O3280=Справочники!$F$4,Учет!$H3280,0)</f>
        <v>0</v>
      </c>
      <c r="E3280" s="52">
        <f>IF(Учет!$O3280=Справочники!$F$5,Учет!$H3280,0)</f>
        <v>0</v>
      </c>
      <c r="F3280" s="52">
        <f>IF(Учет!$O3280=Справочники!$F$6,Учет!$H3280,0)</f>
        <v>0</v>
      </c>
      <c r="G3280" s="43">
        <f>G3279+Учет!B3280-B3280</f>
        <v>-488978.92000000004</v>
      </c>
      <c r="H3280" s="43">
        <f>H3279+Учет!C3280-C3280</f>
        <v>336855</v>
      </c>
      <c r="I3280" s="43">
        <f>I3279+Учет!D3280-D3280</f>
        <v>500</v>
      </c>
      <c r="J3280" s="43">
        <f>J3279+Учет!E3280-E3280</f>
        <v>1150</v>
      </c>
      <c r="K3280" s="43">
        <f>K3279+Учет!F3280-F3280</f>
        <v>500000</v>
      </c>
      <c r="L3280" s="45">
        <f>Учет!I3280</f>
        <v>349526.07999999996</v>
      </c>
    </row>
    <row r="3281" spans="1:12" x14ac:dyDescent="0.25">
      <c r="A3281" s="48" t="str">
        <f>IF(Учет!A3281&lt;&gt;"",Учет!A3281,"")</f>
        <v/>
      </c>
      <c r="B3281" s="52">
        <f>IF(Учет!$O3281=Справочники!$F$2,Учет!$H3281,0)</f>
        <v>0</v>
      </c>
      <c r="C3281" s="52">
        <f>IF(Учет!$O3281=Справочники!$F$3,Учет!$H3281,0)</f>
        <v>0</v>
      </c>
      <c r="D3281" s="52">
        <f>IF(Учет!$O3281=Справочники!$F$4,Учет!$H3281,0)</f>
        <v>0</v>
      </c>
      <c r="E3281" s="52">
        <f>IF(Учет!$O3281=Справочники!$F$5,Учет!$H3281,0)</f>
        <v>0</v>
      </c>
      <c r="F3281" s="52">
        <f>IF(Учет!$O3281=Справочники!$F$6,Учет!$H3281,0)</f>
        <v>0</v>
      </c>
      <c r="G3281" s="43">
        <f>G3280+Учет!B3281-B3281</f>
        <v>-488978.92000000004</v>
      </c>
      <c r="H3281" s="43">
        <f>H3280+Учет!C3281-C3281</f>
        <v>336855</v>
      </c>
      <c r="I3281" s="43">
        <f>I3280+Учет!D3281-D3281</f>
        <v>500</v>
      </c>
      <c r="J3281" s="43">
        <f>J3280+Учет!E3281-E3281</f>
        <v>1150</v>
      </c>
      <c r="K3281" s="43">
        <f>K3280+Учет!F3281-F3281</f>
        <v>500000</v>
      </c>
      <c r="L3281" s="45">
        <f>Учет!I3281</f>
        <v>349526.07999999996</v>
      </c>
    </row>
    <row r="3282" spans="1:12" x14ac:dyDescent="0.25">
      <c r="A3282" s="48" t="str">
        <f>IF(Учет!A3282&lt;&gt;"",Учет!A3282,"")</f>
        <v/>
      </c>
      <c r="B3282" s="52">
        <f>IF(Учет!$O3282=Справочники!$F$2,Учет!$H3282,0)</f>
        <v>0</v>
      </c>
      <c r="C3282" s="52">
        <f>IF(Учет!$O3282=Справочники!$F$3,Учет!$H3282,0)</f>
        <v>0</v>
      </c>
      <c r="D3282" s="52">
        <f>IF(Учет!$O3282=Справочники!$F$4,Учет!$H3282,0)</f>
        <v>0</v>
      </c>
      <c r="E3282" s="52">
        <f>IF(Учет!$O3282=Справочники!$F$5,Учет!$H3282,0)</f>
        <v>0</v>
      </c>
      <c r="F3282" s="52">
        <f>IF(Учет!$O3282=Справочники!$F$6,Учет!$H3282,0)</f>
        <v>0</v>
      </c>
      <c r="G3282" s="43">
        <f>G3281+Учет!B3282-B3282</f>
        <v>-488978.92000000004</v>
      </c>
      <c r="H3282" s="43">
        <f>H3281+Учет!C3282-C3282</f>
        <v>336855</v>
      </c>
      <c r="I3282" s="43">
        <f>I3281+Учет!D3282-D3282</f>
        <v>500</v>
      </c>
      <c r="J3282" s="43">
        <f>J3281+Учет!E3282-E3282</f>
        <v>1150</v>
      </c>
      <c r="K3282" s="43">
        <f>K3281+Учет!F3282-F3282</f>
        <v>500000</v>
      </c>
      <c r="L3282" s="45">
        <f>Учет!I3282</f>
        <v>349526.07999999996</v>
      </c>
    </row>
    <row r="3283" spans="1:12" x14ac:dyDescent="0.25">
      <c r="A3283" s="48" t="str">
        <f>IF(Учет!A3283&lt;&gt;"",Учет!A3283,"")</f>
        <v/>
      </c>
      <c r="B3283" s="52">
        <f>IF(Учет!$O3283=Справочники!$F$2,Учет!$H3283,0)</f>
        <v>0</v>
      </c>
      <c r="C3283" s="52">
        <f>IF(Учет!$O3283=Справочники!$F$3,Учет!$H3283,0)</f>
        <v>0</v>
      </c>
      <c r="D3283" s="52">
        <f>IF(Учет!$O3283=Справочники!$F$4,Учет!$H3283,0)</f>
        <v>0</v>
      </c>
      <c r="E3283" s="52">
        <f>IF(Учет!$O3283=Справочники!$F$5,Учет!$H3283,0)</f>
        <v>0</v>
      </c>
      <c r="F3283" s="52">
        <f>IF(Учет!$O3283=Справочники!$F$6,Учет!$H3283,0)</f>
        <v>0</v>
      </c>
      <c r="G3283" s="43">
        <f>G3282+Учет!B3283-B3283</f>
        <v>-488978.92000000004</v>
      </c>
      <c r="H3283" s="43">
        <f>H3282+Учет!C3283-C3283</f>
        <v>336855</v>
      </c>
      <c r="I3283" s="43">
        <f>I3282+Учет!D3283-D3283</f>
        <v>500</v>
      </c>
      <c r="J3283" s="43">
        <f>J3282+Учет!E3283-E3283</f>
        <v>1150</v>
      </c>
      <c r="K3283" s="43">
        <f>K3282+Учет!F3283-F3283</f>
        <v>500000</v>
      </c>
      <c r="L3283" s="45">
        <f>Учет!I3283</f>
        <v>349526.07999999996</v>
      </c>
    </row>
    <row r="3284" spans="1:12" x14ac:dyDescent="0.25">
      <c r="A3284" s="48" t="str">
        <f>IF(Учет!A3284&lt;&gt;"",Учет!A3284,"")</f>
        <v/>
      </c>
      <c r="B3284" s="52">
        <f>IF(Учет!$O3284=Справочники!$F$2,Учет!$H3284,0)</f>
        <v>0</v>
      </c>
      <c r="C3284" s="52">
        <f>IF(Учет!$O3284=Справочники!$F$3,Учет!$H3284,0)</f>
        <v>0</v>
      </c>
      <c r="D3284" s="52">
        <f>IF(Учет!$O3284=Справочники!$F$4,Учет!$H3284,0)</f>
        <v>0</v>
      </c>
      <c r="E3284" s="52">
        <f>IF(Учет!$O3284=Справочники!$F$5,Учет!$H3284,0)</f>
        <v>0</v>
      </c>
      <c r="F3284" s="52">
        <f>IF(Учет!$O3284=Справочники!$F$6,Учет!$H3284,0)</f>
        <v>0</v>
      </c>
      <c r="G3284" s="43">
        <f>G3283+Учет!B3284-B3284</f>
        <v>-488978.92000000004</v>
      </c>
      <c r="H3284" s="43">
        <f>H3283+Учет!C3284-C3284</f>
        <v>336855</v>
      </c>
      <c r="I3284" s="43">
        <f>I3283+Учет!D3284-D3284</f>
        <v>500</v>
      </c>
      <c r="J3284" s="43">
        <f>J3283+Учет!E3284-E3284</f>
        <v>1150</v>
      </c>
      <c r="K3284" s="43">
        <f>K3283+Учет!F3284-F3284</f>
        <v>500000</v>
      </c>
      <c r="L3284" s="45">
        <f>Учет!I3284</f>
        <v>349526.07999999996</v>
      </c>
    </row>
    <row r="3285" spans="1:12" x14ac:dyDescent="0.25">
      <c r="A3285" s="48" t="str">
        <f>IF(Учет!A3285&lt;&gt;"",Учет!A3285,"")</f>
        <v/>
      </c>
      <c r="B3285" s="52">
        <f>IF(Учет!$O3285=Справочники!$F$2,Учет!$H3285,0)</f>
        <v>0</v>
      </c>
      <c r="C3285" s="52">
        <f>IF(Учет!$O3285=Справочники!$F$3,Учет!$H3285,0)</f>
        <v>0</v>
      </c>
      <c r="D3285" s="52">
        <f>IF(Учет!$O3285=Справочники!$F$4,Учет!$H3285,0)</f>
        <v>0</v>
      </c>
      <c r="E3285" s="52">
        <f>IF(Учет!$O3285=Справочники!$F$5,Учет!$H3285,0)</f>
        <v>0</v>
      </c>
      <c r="F3285" s="52">
        <f>IF(Учет!$O3285=Справочники!$F$6,Учет!$H3285,0)</f>
        <v>0</v>
      </c>
      <c r="G3285" s="43">
        <f>G3284+Учет!B3285-B3285</f>
        <v>-488978.92000000004</v>
      </c>
      <c r="H3285" s="43">
        <f>H3284+Учет!C3285-C3285</f>
        <v>336855</v>
      </c>
      <c r="I3285" s="43">
        <f>I3284+Учет!D3285-D3285</f>
        <v>500</v>
      </c>
      <c r="J3285" s="43">
        <f>J3284+Учет!E3285-E3285</f>
        <v>1150</v>
      </c>
      <c r="K3285" s="43">
        <f>K3284+Учет!F3285-F3285</f>
        <v>500000</v>
      </c>
      <c r="L3285" s="45">
        <f>Учет!I3285</f>
        <v>349526.07999999996</v>
      </c>
    </row>
    <row r="3286" spans="1:12" x14ac:dyDescent="0.25">
      <c r="A3286" s="48" t="str">
        <f>IF(Учет!A3286&lt;&gt;"",Учет!A3286,"")</f>
        <v/>
      </c>
      <c r="B3286" s="52">
        <f>IF(Учет!$O3286=Справочники!$F$2,Учет!$H3286,0)</f>
        <v>0</v>
      </c>
      <c r="C3286" s="52">
        <f>IF(Учет!$O3286=Справочники!$F$3,Учет!$H3286,0)</f>
        <v>0</v>
      </c>
      <c r="D3286" s="52">
        <f>IF(Учет!$O3286=Справочники!$F$4,Учет!$H3286,0)</f>
        <v>0</v>
      </c>
      <c r="E3286" s="52">
        <f>IF(Учет!$O3286=Справочники!$F$5,Учет!$H3286,0)</f>
        <v>0</v>
      </c>
      <c r="F3286" s="52">
        <f>IF(Учет!$O3286=Справочники!$F$6,Учет!$H3286,0)</f>
        <v>0</v>
      </c>
      <c r="G3286" s="43">
        <f>G3285+Учет!B3286-B3286</f>
        <v>-488978.92000000004</v>
      </c>
      <c r="H3286" s="43">
        <f>H3285+Учет!C3286-C3286</f>
        <v>336855</v>
      </c>
      <c r="I3286" s="43">
        <f>I3285+Учет!D3286-D3286</f>
        <v>500</v>
      </c>
      <c r="J3286" s="43">
        <f>J3285+Учет!E3286-E3286</f>
        <v>1150</v>
      </c>
      <c r="K3286" s="43">
        <f>K3285+Учет!F3286-F3286</f>
        <v>500000</v>
      </c>
      <c r="L3286" s="45">
        <f>Учет!I3286</f>
        <v>349526.07999999996</v>
      </c>
    </row>
    <row r="3287" spans="1:12" x14ac:dyDescent="0.25">
      <c r="A3287" s="48" t="str">
        <f>IF(Учет!A3287&lt;&gt;"",Учет!A3287,"")</f>
        <v/>
      </c>
      <c r="B3287" s="52">
        <f>IF(Учет!$O3287=Справочники!$F$2,Учет!$H3287,0)</f>
        <v>0</v>
      </c>
      <c r="C3287" s="52">
        <f>IF(Учет!$O3287=Справочники!$F$3,Учет!$H3287,0)</f>
        <v>0</v>
      </c>
      <c r="D3287" s="52">
        <f>IF(Учет!$O3287=Справочники!$F$4,Учет!$H3287,0)</f>
        <v>0</v>
      </c>
      <c r="E3287" s="52">
        <f>IF(Учет!$O3287=Справочники!$F$5,Учет!$H3287,0)</f>
        <v>0</v>
      </c>
      <c r="F3287" s="52">
        <f>IF(Учет!$O3287=Справочники!$F$6,Учет!$H3287,0)</f>
        <v>0</v>
      </c>
      <c r="G3287" s="43">
        <f>G3286+Учет!B3287-B3287</f>
        <v>-488978.92000000004</v>
      </c>
      <c r="H3287" s="43">
        <f>H3286+Учет!C3287-C3287</f>
        <v>336855</v>
      </c>
      <c r="I3287" s="43">
        <f>I3286+Учет!D3287-D3287</f>
        <v>500</v>
      </c>
      <c r="J3287" s="43">
        <f>J3286+Учет!E3287-E3287</f>
        <v>1150</v>
      </c>
      <c r="K3287" s="43">
        <f>K3286+Учет!F3287-F3287</f>
        <v>500000</v>
      </c>
      <c r="L3287" s="45">
        <f>Учет!I3287</f>
        <v>349526.07999999996</v>
      </c>
    </row>
    <row r="3288" spans="1:12" x14ac:dyDescent="0.25">
      <c r="A3288" s="48" t="str">
        <f>IF(Учет!A3288&lt;&gt;"",Учет!A3288,"")</f>
        <v/>
      </c>
      <c r="B3288" s="52">
        <f>IF(Учет!$O3288=Справочники!$F$2,Учет!$H3288,0)</f>
        <v>0</v>
      </c>
      <c r="C3288" s="52">
        <f>IF(Учет!$O3288=Справочники!$F$3,Учет!$H3288,0)</f>
        <v>0</v>
      </c>
      <c r="D3288" s="52">
        <f>IF(Учет!$O3288=Справочники!$F$4,Учет!$H3288,0)</f>
        <v>0</v>
      </c>
      <c r="E3288" s="52">
        <f>IF(Учет!$O3288=Справочники!$F$5,Учет!$H3288,0)</f>
        <v>0</v>
      </c>
      <c r="F3288" s="52">
        <f>IF(Учет!$O3288=Справочники!$F$6,Учет!$H3288,0)</f>
        <v>0</v>
      </c>
      <c r="G3288" s="43">
        <f>G3287+Учет!B3288-B3288</f>
        <v>-488978.92000000004</v>
      </c>
      <c r="H3288" s="43">
        <f>H3287+Учет!C3288-C3288</f>
        <v>336855</v>
      </c>
      <c r="I3288" s="43">
        <f>I3287+Учет!D3288-D3288</f>
        <v>500</v>
      </c>
      <c r="J3288" s="43">
        <f>J3287+Учет!E3288-E3288</f>
        <v>1150</v>
      </c>
      <c r="K3288" s="43">
        <f>K3287+Учет!F3288-F3288</f>
        <v>500000</v>
      </c>
      <c r="L3288" s="45">
        <f>Учет!I3288</f>
        <v>349526.07999999996</v>
      </c>
    </row>
    <row r="3289" spans="1:12" x14ac:dyDescent="0.25">
      <c r="A3289" s="48" t="str">
        <f>IF(Учет!A3289&lt;&gt;"",Учет!A3289,"")</f>
        <v/>
      </c>
      <c r="B3289" s="52">
        <f>IF(Учет!$O3289=Справочники!$F$2,Учет!$H3289,0)</f>
        <v>0</v>
      </c>
      <c r="C3289" s="52">
        <f>IF(Учет!$O3289=Справочники!$F$3,Учет!$H3289,0)</f>
        <v>0</v>
      </c>
      <c r="D3289" s="52">
        <f>IF(Учет!$O3289=Справочники!$F$4,Учет!$H3289,0)</f>
        <v>0</v>
      </c>
      <c r="E3289" s="52">
        <f>IF(Учет!$O3289=Справочники!$F$5,Учет!$H3289,0)</f>
        <v>0</v>
      </c>
      <c r="F3289" s="52">
        <f>IF(Учет!$O3289=Справочники!$F$6,Учет!$H3289,0)</f>
        <v>0</v>
      </c>
      <c r="G3289" s="43">
        <f>G3288+Учет!B3289-B3289</f>
        <v>-488978.92000000004</v>
      </c>
      <c r="H3289" s="43">
        <f>H3288+Учет!C3289-C3289</f>
        <v>336855</v>
      </c>
      <c r="I3289" s="43">
        <f>I3288+Учет!D3289-D3289</f>
        <v>500</v>
      </c>
      <c r="J3289" s="43">
        <f>J3288+Учет!E3289-E3289</f>
        <v>1150</v>
      </c>
      <c r="K3289" s="43">
        <f>K3288+Учет!F3289-F3289</f>
        <v>500000</v>
      </c>
      <c r="L3289" s="45">
        <f>Учет!I3289</f>
        <v>349526.07999999996</v>
      </c>
    </row>
    <row r="3290" spans="1:12" x14ac:dyDescent="0.25">
      <c r="A3290" s="48" t="str">
        <f>IF(Учет!A3290&lt;&gt;"",Учет!A3290,"")</f>
        <v/>
      </c>
      <c r="B3290" s="52">
        <f>IF(Учет!$O3290=Справочники!$F$2,Учет!$H3290,0)</f>
        <v>0</v>
      </c>
      <c r="C3290" s="52">
        <f>IF(Учет!$O3290=Справочники!$F$3,Учет!$H3290,0)</f>
        <v>0</v>
      </c>
      <c r="D3290" s="52">
        <f>IF(Учет!$O3290=Справочники!$F$4,Учет!$H3290,0)</f>
        <v>0</v>
      </c>
      <c r="E3290" s="52">
        <f>IF(Учет!$O3290=Справочники!$F$5,Учет!$H3290,0)</f>
        <v>0</v>
      </c>
      <c r="F3290" s="52">
        <f>IF(Учет!$O3290=Справочники!$F$6,Учет!$H3290,0)</f>
        <v>0</v>
      </c>
      <c r="G3290" s="43">
        <f>G3289+Учет!B3290-B3290</f>
        <v>-488978.92000000004</v>
      </c>
      <c r="H3290" s="43">
        <f>H3289+Учет!C3290-C3290</f>
        <v>336855</v>
      </c>
      <c r="I3290" s="43">
        <f>I3289+Учет!D3290-D3290</f>
        <v>500</v>
      </c>
      <c r="J3290" s="43">
        <f>J3289+Учет!E3290-E3290</f>
        <v>1150</v>
      </c>
      <c r="K3290" s="43">
        <f>K3289+Учет!F3290-F3290</f>
        <v>500000</v>
      </c>
      <c r="L3290" s="45">
        <f>Учет!I3290</f>
        <v>349526.07999999996</v>
      </c>
    </row>
    <row r="3291" spans="1:12" x14ac:dyDescent="0.25">
      <c r="A3291" s="48" t="str">
        <f>IF(Учет!A3291&lt;&gt;"",Учет!A3291,"")</f>
        <v/>
      </c>
      <c r="B3291" s="52">
        <f>IF(Учет!$O3291=Справочники!$F$2,Учет!$H3291,0)</f>
        <v>0</v>
      </c>
      <c r="C3291" s="52">
        <f>IF(Учет!$O3291=Справочники!$F$3,Учет!$H3291,0)</f>
        <v>0</v>
      </c>
      <c r="D3291" s="52">
        <f>IF(Учет!$O3291=Справочники!$F$4,Учет!$H3291,0)</f>
        <v>0</v>
      </c>
      <c r="E3291" s="52">
        <f>IF(Учет!$O3291=Справочники!$F$5,Учет!$H3291,0)</f>
        <v>0</v>
      </c>
      <c r="F3291" s="52">
        <f>IF(Учет!$O3291=Справочники!$F$6,Учет!$H3291,0)</f>
        <v>0</v>
      </c>
      <c r="G3291" s="43">
        <f>G3290+Учет!B3291-B3291</f>
        <v>-488978.92000000004</v>
      </c>
      <c r="H3291" s="43">
        <f>H3290+Учет!C3291-C3291</f>
        <v>336855</v>
      </c>
      <c r="I3291" s="43">
        <f>I3290+Учет!D3291-D3291</f>
        <v>500</v>
      </c>
      <c r="J3291" s="43">
        <f>J3290+Учет!E3291-E3291</f>
        <v>1150</v>
      </c>
      <c r="K3291" s="43">
        <f>K3290+Учет!F3291-F3291</f>
        <v>500000</v>
      </c>
      <c r="L3291" s="45">
        <f>Учет!I3291</f>
        <v>349526.07999999996</v>
      </c>
    </row>
    <row r="3292" spans="1:12" x14ac:dyDescent="0.25">
      <c r="A3292" s="48" t="str">
        <f>IF(Учет!A3292&lt;&gt;"",Учет!A3292,"")</f>
        <v/>
      </c>
      <c r="B3292" s="52">
        <f>IF(Учет!$O3292=Справочники!$F$2,Учет!$H3292,0)</f>
        <v>0</v>
      </c>
      <c r="C3292" s="52">
        <f>IF(Учет!$O3292=Справочники!$F$3,Учет!$H3292,0)</f>
        <v>0</v>
      </c>
      <c r="D3292" s="52">
        <f>IF(Учет!$O3292=Справочники!$F$4,Учет!$H3292,0)</f>
        <v>0</v>
      </c>
      <c r="E3292" s="52">
        <f>IF(Учет!$O3292=Справочники!$F$5,Учет!$H3292,0)</f>
        <v>0</v>
      </c>
      <c r="F3292" s="52">
        <f>IF(Учет!$O3292=Справочники!$F$6,Учет!$H3292,0)</f>
        <v>0</v>
      </c>
      <c r="G3292" s="43">
        <f>G3291+Учет!B3292-B3292</f>
        <v>-488978.92000000004</v>
      </c>
      <c r="H3292" s="43">
        <f>H3291+Учет!C3292-C3292</f>
        <v>336855</v>
      </c>
      <c r="I3292" s="43">
        <f>I3291+Учет!D3292-D3292</f>
        <v>500</v>
      </c>
      <c r="J3292" s="43">
        <f>J3291+Учет!E3292-E3292</f>
        <v>1150</v>
      </c>
      <c r="K3292" s="43">
        <f>K3291+Учет!F3292-F3292</f>
        <v>500000</v>
      </c>
      <c r="L3292" s="45">
        <f>Учет!I3292</f>
        <v>349526.07999999996</v>
      </c>
    </row>
    <row r="3293" spans="1:12" x14ac:dyDescent="0.25">
      <c r="A3293" s="48" t="str">
        <f>IF(Учет!A3293&lt;&gt;"",Учет!A3293,"")</f>
        <v/>
      </c>
      <c r="B3293" s="52">
        <f>IF(Учет!$O3293=Справочники!$F$2,Учет!$H3293,0)</f>
        <v>0</v>
      </c>
      <c r="C3293" s="52">
        <f>IF(Учет!$O3293=Справочники!$F$3,Учет!$H3293,0)</f>
        <v>0</v>
      </c>
      <c r="D3293" s="52">
        <f>IF(Учет!$O3293=Справочники!$F$4,Учет!$H3293,0)</f>
        <v>0</v>
      </c>
      <c r="E3293" s="52">
        <f>IF(Учет!$O3293=Справочники!$F$5,Учет!$H3293,0)</f>
        <v>0</v>
      </c>
      <c r="F3293" s="52">
        <f>IF(Учет!$O3293=Справочники!$F$6,Учет!$H3293,0)</f>
        <v>0</v>
      </c>
      <c r="G3293" s="43">
        <f>G3292+Учет!B3293-B3293</f>
        <v>-488978.92000000004</v>
      </c>
      <c r="H3293" s="43">
        <f>H3292+Учет!C3293-C3293</f>
        <v>336855</v>
      </c>
      <c r="I3293" s="43">
        <f>I3292+Учет!D3293-D3293</f>
        <v>500</v>
      </c>
      <c r="J3293" s="43">
        <f>J3292+Учет!E3293-E3293</f>
        <v>1150</v>
      </c>
      <c r="K3293" s="43">
        <f>K3292+Учет!F3293-F3293</f>
        <v>500000</v>
      </c>
      <c r="L3293" s="45">
        <f>Учет!I3293</f>
        <v>349526.07999999996</v>
      </c>
    </row>
    <row r="3294" spans="1:12" x14ac:dyDescent="0.25">
      <c r="A3294" s="48" t="str">
        <f>IF(Учет!A3294&lt;&gt;"",Учет!A3294,"")</f>
        <v/>
      </c>
      <c r="B3294" s="52">
        <f>IF(Учет!$O3294=Справочники!$F$2,Учет!$H3294,0)</f>
        <v>0</v>
      </c>
      <c r="C3294" s="52">
        <f>IF(Учет!$O3294=Справочники!$F$3,Учет!$H3294,0)</f>
        <v>0</v>
      </c>
      <c r="D3294" s="52">
        <f>IF(Учет!$O3294=Справочники!$F$4,Учет!$H3294,0)</f>
        <v>0</v>
      </c>
      <c r="E3294" s="52">
        <f>IF(Учет!$O3294=Справочники!$F$5,Учет!$H3294,0)</f>
        <v>0</v>
      </c>
      <c r="F3294" s="52">
        <f>IF(Учет!$O3294=Справочники!$F$6,Учет!$H3294,0)</f>
        <v>0</v>
      </c>
      <c r="G3294" s="43">
        <f>G3293+Учет!B3294-B3294</f>
        <v>-488978.92000000004</v>
      </c>
      <c r="H3294" s="43">
        <f>H3293+Учет!C3294-C3294</f>
        <v>336855</v>
      </c>
      <c r="I3294" s="43">
        <f>I3293+Учет!D3294-D3294</f>
        <v>500</v>
      </c>
      <c r="J3294" s="43">
        <f>J3293+Учет!E3294-E3294</f>
        <v>1150</v>
      </c>
      <c r="K3294" s="43">
        <f>K3293+Учет!F3294-F3294</f>
        <v>500000</v>
      </c>
      <c r="L3294" s="45">
        <f>Учет!I3294</f>
        <v>349526.07999999996</v>
      </c>
    </row>
    <row r="3295" spans="1:12" x14ac:dyDescent="0.25">
      <c r="A3295" s="48" t="str">
        <f>IF(Учет!A3295&lt;&gt;"",Учет!A3295,"")</f>
        <v/>
      </c>
      <c r="B3295" s="52">
        <f>IF(Учет!$O3295=Справочники!$F$2,Учет!$H3295,0)</f>
        <v>0</v>
      </c>
      <c r="C3295" s="52">
        <f>IF(Учет!$O3295=Справочники!$F$3,Учет!$H3295,0)</f>
        <v>0</v>
      </c>
      <c r="D3295" s="52">
        <f>IF(Учет!$O3295=Справочники!$F$4,Учет!$H3295,0)</f>
        <v>0</v>
      </c>
      <c r="E3295" s="52">
        <f>IF(Учет!$O3295=Справочники!$F$5,Учет!$H3295,0)</f>
        <v>0</v>
      </c>
      <c r="F3295" s="52">
        <f>IF(Учет!$O3295=Справочники!$F$6,Учет!$H3295,0)</f>
        <v>0</v>
      </c>
      <c r="G3295" s="43">
        <f>G3294+Учет!B3295-B3295</f>
        <v>-488978.92000000004</v>
      </c>
      <c r="H3295" s="43">
        <f>H3294+Учет!C3295-C3295</f>
        <v>336855</v>
      </c>
      <c r="I3295" s="43">
        <f>I3294+Учет!D3295-D3295</f>
        <v>500</v>
      </c>
      <c r="J3295" s="43">
        <f>J3294+Учет!E3295-E3295</f>
        <v>1150</v>
      </c>
      <c r="K3295" s="43">
        <f>K3294+Учет!F3295-F3295</f>
        <v>500000</v>
      </c>
      <c r="L3295" s="45">
        <f>Учет!I3295</f>
        <v>349526.07999999996</v>
      </c>
    </row>
    <row r="3296" spans="1:12" x14ac:dyDescent="0.25">
      <c r="A3296" s="48" t="str">
        <f>IF(Учет!A3296&lt;&gt;"",Учет!A3296,"")</f>
        <v/>
      </c>
      <c r="B3296" s="52">
        <f>IF(Учет!$O3296=Справочники!$F$2,Учет!$H3296,0)</f>
        <v>0</v>
      </c>
      <c r="C3296" s="52">
        <f>IF(Учет!$O3296=Справочники!$F$3,Учет!$H3296,0)</f>
        <v>0</v>
      </c>
      <c r="D3296" s="52">
        <f>IF(Учет!$O3296=Справочники!$F$4,Учет!$H3296,0)</f>
        <v>0</v>
      </c>
      <c r="E3296" s="52">
        <f>IF(Учет!$O3296=Справочники!$F$5,Учет!$H3296,0)</f>
        <v>0</v>
      </c>
      <c r="F3296" s="52">
        <f>IF(Учет!$O3296=Справочники!$F$6,Учет!$H3296,0)</f>
        <v>0</v>
      </c>
      <c r="G3296" s="43">
        <f>G3295+Учет!B3296-B3296</f>
        <v>-488978.92000000004</v>
      </c>
      <c r="H3296" s="43">
        <f>H3295+Учет!C3296-C3296</f>
        <v>336855</v>
      </c>
      <c r="I3296" s="43">
        <f>I3295+Учет!D3296-D3296</f>
        <v>500</v>
      </c>
      <c r="J3296" s="43">
        <f>J3295+Учет!E3296-E3296</f>
        <v>1150</v>
      </c>
      <c r="K3296" s="43">
        <f>K3295+Учет!F3296-F3296</f>
        <v>500000</v>
      </c>
      <c r="L3296" s="45">
        <f>Учет!I3296</f>
        <v>349526.07999999996</v>
      </c>
    </row>
    <row r="3297" spans="1:12" x14ac:dyDescent="0.25">
      <c r="A3297" s="48" t="str">
        <f>IF(Учет!A3297&lt;&gt;"",Учет!A3297,"")</f>
        <v/>
      </c>
      <c r="B3297" s="52">
        <f>IF(Учет!$O3297=Справочники!$F$2,Учет!$H3297,0)</f>
        <v>0</v>
      </c>
      <c r="C3297" s="52">
        <f>IF(Учет!$O3297=Справочники!$F$3,Учет!$H3297,0)</f>
        <v>0</v>
      </c>
      <c r="D3297" s="52">
        <f>IF(Учет!$O3297=Справочники!$F$4,Учет!$H3297,0)</f>
        <v>0</v>
      </c>
      <c r="E3297" s="52">
        <f>IF(Учет!$O3297=Справочники!$F$5,Учет!$H3297,0)</f>
        <v>0</v>
      </c>
      <c r="F3297" s="52">
        <f>IF(Учет!$O3297=Справочники!$F$6,Учет!$H3297,0)</f>
        <v>0</v>
      </c>
      <c r="G3297" s="43">
        <f>G3296+Учет!B3297-B3297</f>
        <v>-488978.92000000004</v>
      </c>
      <c r="H3297" s="43">
        <f>H3296+Учет!C3297-C3297</f>
        <v>336855</v>
      </c>
      <c r="I3297" s="43">
        <f>I3296+Учет!D3297-D3297</f>
        <v>500</v>
      </c>
      <c r="J3297" s="43">
        <f>J3296+Учет!E3297-E3297</f>
        <v>1150</v>
      </c>
      <c r="K3297" s="43">
        <f>K3296+Учет!F3297-F3297</f>
        <v>500000</v>
      </c>
      <c r="L3297" s="45">
        <f>Учет!I3297</f>
        <v>349526.07999999996</v>
      </c>
    </row>
    <row r="3298" spans="1:12" x14ac:dyDescent="0.25">
      <c r="A3298" s="48" t="str">
        <f>IF(Учет!A3298&lt;&gt;"",Учет!A3298,"")</f>
        <v/>
      </c>
      <c r="B3298" s="52">
        <f>IF(Учет!$O3298=Справочники!$F$2,Учет!$H3298,0)</f>
        <v>0</v>
      </c>
      <c r="C3298" s="52">
        <f>IF(Учет!$O3298=Справочники!$F$3,Учет!$H3298,0)</f>
        <v>0</v>
      </c>
      <c r="D3298" s="52">
        <f>IF(Учет!$O3298=Справочники!$F$4,Учет!$H3298,0)</f>
        <v>0</v>
      </c>
      <c r="E3298" s="52">
        <f>IF(Учет!$O3298=Справочники!$F$5,Учет!$H3298,0)</f>
        <v>0</v>
      </c>
      <c r="F3298" s="52">
        <f>IF(Учет!$O3298=Справочники!$F$6,Учет!$H3298,0)</f>
        <v>0</v>
      </c>
      <c r="G3298" s="43">
        <f>G3297+Учет!B3298-B3298</f>
        <v>-488978.92000000004</v>
      </c>
      <c r="H3298" s="43">
        <f>H3297+Учет!C3298-C3298</f>
        <v>336855</v>
      </c>
      <c r="I3298" s="43">
        <f>I3297+Учет!D3298-D3298</f>
        <v>500</v>
      </c>
      <c r="J3298" s="43">
        <f>J3297+Учет!E3298-E3298</f>
        <v>1150</v>
      </c>
      <c r="K3298" s="43">
        <f>K3297+Учет!F3298-F3298</f>
        <v>500000</v>
      </c>
      <c r="L3298" s="45">
        <f>Учет!I3298</f>
        <v>349526.07999999996</v>
      </c>
    </row>
    <row r="3299" spans="1:12" x14ac:dyDescent="0.25">
      <c r="A3299" s="48" t="str">
        <f>IF(Учет!A3299&lt;&gt;"",Учет!A3299,"")</f>
        <v/>
      </c>
      <c r="B3299" s="52">
        <f>IF(Учет!$O3299=Справочники!$F$2,Учет!$H3299,0)</f>
        <v>0</v>
      </c>
      <c r="C3299" s="52">
        <f>IF(Учет!$O3299=Справочники!$F$3,Учет!$H3299,0)</f>
        <v>0</v>
      </c>
      <c r="D3299" s="52">
        <f>IF(Учет!$O3299=Справочники!$F$4,Учет!$H3299,0)</f>
        <v>0</v>
      </c>
      <c r="E3299" s="52">
        <f>IF(Учет!$O3299=Справочники!$F$5,Учет!$H3299,0)</f>
        <v>0</v>
      </c>
      <c r="F3299" s="52">
        <f>IF(Учет!$O3299=Справочники!$F$6,Учет!$H3299,0)</f>
        <v>0</v>
      </c>
      <c r="G3299" s="43">
        <f>G3298+Учет!B3299-B3299</f>
        <v>-488978.92000000004</v>
      </c>
      <c r="H3299" s="43">
        <f>H3298+Учет!C3299-C3299</f>
        <v>336855</v>
      </c>
      <c r="I3299" s="43">
        <f>I3298+Учет!D3299-D3299</f>
        <v>500</v>
      </c>
      <c r="J3299" s="43">
        <f>J3298+Учет!E3299-E3299</f>
        <v>1150</v>
      </c>
      <c r="K3299" s="43">
        <f>K3298+Учет!F3299-F3299</f>
        <v>500000</v>
      </c>
      <c r="L3299" s="45">
        <f>Учет!I3299</f>
        <v>349526.07999999996</v>
      </c>
    </row>
    <row r="3300" spans="1:12" x14ac:dyDescent="0.25">
      <c r="A3300" s="48" t="str">
        <f>IF(Учет!A3300&lt;&gt;"",Учет!A3300,"")</f>
        <v/>
      </c>
      <c r="B3300" s="52">
        <f>IF(Учет!$O3300=Справочники!$F$2,Учет!$H3300,0)</f>
        <v>0</v>
      </c>
      <c r="C3300" s="52">
        <f>IF(Учет!$O3300=Справочники!$F$3,Учет!$H3300,0)</f>
        <v>0</v>
      </c>
      <c r="D3300" s="52">
        <f>IF(Учет!$O3300=Справочники!$F$4,Учет!$H3300,0)</f>
        <v>0</v>
      </c>
      <c r="E3300" s="52">
        <f>IF(Учет!$O3300=Справочники!$F$5,Учет!$H3300,0)</f>
        <v>0</v>
      </c>
      <c r="F3300" s="52">
        <f>IF(Учет!$O3300=Справочники!$F$6,Учет!$H3300,0)</f>
        <v>0</v>
      </c>
      <c r="G3300" s="43">
        <f>G3299+Учет!B3300-B3300</f>
        <v>-488978.92000000004</v>
      </c>
      <c r="H3300" s="43">
        <f>H3299+Учет!C3300-C3300</f>
        <v>336855</v>
      </c>
      <c r="I3300" s="43">
        <f>I3299+Учет!D3300-D3300</f>
        <v>500</v>
      </c>
      <c r="J3300" s="43">
        <f>J3299+Учет!E3300-E3300</f>
        <v>1150</v>
      </c>
      <c r="K3300" s="43">
        <f>K3299+Учет!F3300-F3300</f>
        <v>500000</v>
      </c>
      <c r="L3300" s="45">
        <f>Учет!I3300</f>
        <v>349526.07999999996</v>
      </c>
    </row>
    <row r="3301" spans="1:12" x14ac:dyDescent="0.25">
      <c r="A3301" s="48" t="str">
        <f>IF(Учет!A3301&lt;&gt;"",Учет!A3301,"")</f>
        <v/>
      </c>
      <c r="B3301" s="52">
        <f>IF(Учет!$O3301=Справочники!$F$2,Учет!$H3301,0)</f>
        <v>0</v>
      </c>
      <c r="C3301" s="52">
        <f>IF(Учет!$O3301=Справочники!$F$3,Учет!$H3301,0)</f>
        <v>0</v>
      </c>
      <c r="D3301" s="52">
        <f>IF(Учет!$O3301=Справочники!$F$4,Учет!$H3301,0)</f>
        <v>0</v>
      </c>
      <c r="E3301" s="52">
        <f>IF(Учет!$O3301=Справочники!$F$5,Учет!$H3301,0)</f>
        <v>0</v>
      </c>
      <c r="F3301" s="52">
        <f>IF(Учет!$O3301=Справочники!$F$6,Учет!$H3301,0)</f>
        <v>0</v>
      </c>
      <c r="G3301" s="43">
        <f>G3300+Учет!B3301-B3301</f>
        <v>-488978.92000000004</v>
      </c>
      <c r="H3301" s="43">
        <f>H3300+Учет!C3301-C3301</f>
        <v>336855</v>
      </c>
      <c r="I3301" s="43">
        <f>I3300+Учет!D3301-D3301</f>
        <v>500</v>
      </c>
      <c r="J3301" s="43">
        <f>J3300+Учет!E3301-E3301</f>
        <v>1150</v>
      </c>
      <c r="K3301" s="43">
        <f>K3300+Учет!F3301-F3301</f>
        <v>500000</v>
      </c>
      <c r="L3301" s="45">
        <f>Учет!I3301</f>
        <v>349526.07999999996</v>
      </c>
    </row>
    <row r="3302" spans="1:12" x14ac:dyDescent="0.25">
      <c r="A3302" s="48" t="str">
        <f>IF(Учет!A3302&lt;&gt;"",Учет!A3302,"")</f>
        <v/>
      </c>
      <c r="B3302" s="52">
        <f>IF(Учет!$O3302=Справочники!$F$2,Учет!$H3302,0)</f>
        <v>0</v>
      </c>
      <c r="C3302" s="52">
        <f>IF(Учет!$O3302=Справочники!$F$3,Учет!$H3302,0)</f>
        <v>0</v>
      </c>
      <c r="D3302" s="52">
        <f>IF(Учет!$O3302=Справочники!$F$4,Учет!$H3302,0)</f>
        <v>0</v>
      </c>
      <c r="E3302" s="52">
        <f>IF(Учет!$O3302=Справочники!$F$5,Учет!$H3302,0)</f>
        <v>0</v>
      </c>
      <c r="F3302" s="52">
        <f>IF(Учет!$O3302=Справочники!$F$6,Учет!$H3302,0)</f>
        <v>0</v>
      </c>
      <c r="G3302" s="43">
        <f>G3301+Учет!B3302-B3302</f>
        <v>-488978.92000000004</v>
      </c>
      <c r="H3302" s="43">
        <f>H3301+Учет!C3302-C3302</f>
        <v>336855</v>
      </c>
      <c r="I3302" s="43">
        <f>I3301+Учет!D3302-D3302</f>
        <v>500</v>
      </c>
      <c r="J3302" s="43">
        <f>J3301+Учет!E3302-E3302</f>
        <v>1150</v>
      </c>
      <c r="K3302" s="43">
        <f>K3301+Учет!F3302-F3302</f>
        <v>500000</v>
      </c>
      <c r="L3302" s="45">
        <f>Учет!I3302</f>
        <v>349526.07999999996</v>
      </c>
    </row>
    <row r="3303" spans="1:12" x14ac:dyDescent="0.25">
      <c r="A3303" s="48" t="str">
        <f>IF(Учет!A3303&lt;&gt;"",Учет!A3303,"")</f>
        <v/>
      </c>
      <c r="B3303" s="52">
        <f>IF(Учет!$O3303=Справочники!$F$2,Учет!$H3303,0)</f>
        <v>0</v>
      </c>
      <c r="C3303" s="52">
        <f>IF(Учет!$O3303=Справочники!$F$3,Учет!$H3303,0)</f>
        <v>0</v>
      </c>
      <c r="D3303" s="52">
        <f>IF(Учет!$O3303=Справочники!$F$4,Учет!$H3303,0)</f>
        <v>0</v>
      </c>
      <c r="E3303" s="52">
        <f>IF(Учет!$O3303=Справочники!$F$5,Учет!$H3303,0)</f>
        <v>0</v>
      </c>
      <c r="F3303" s="52">
        <f>IF(Учет!$O3303=Справочники!$F$6,Учет!$H3303,0)</f>
        <v>0</v>
      </c>
      <c r="G3303" s="43">
        <f>G3302+Учет!B3303-B3303</f>
        <v>-488978.92000000004</v>
      </c>
      <c r="H3303" s="43">
        <f>H3302+Учет!C3303-C3303</f>
        <v>336855</v>
      </c>
      <c r="I3303" s="43">
        <f>I3302+Учет!D3303-D3303</f>
        <v>500</v>
      </c>
      <c r="J3303" s="43">
        <f>J3302+Учет!E3303-E3303</f>
        <v>1150</v>
      </c>
      <c r="K3303" s="43">
        <f>K3302+Учет!F3303-F3303</f>
        <v>500000</v>
      </c>
      <c r="L3303" s="45">
        <f>Учет!I3303</f>
        <v>349526.07999999996</v>
      </c>
    </row>
    <row r="3304" spans="1:12" x14ac:dyDescent="0.25">
      <c r="A3304" s="48" t="str">
        <f>IF(Учет!A3304&lt;&gt;"",Учет!A3304,"")</f>
        <v/>
      </c>
      <c r="B3304" s="52">
        <f>IF(Учет!$O3304=Справочники!$F$2,Учет!$H3304,0)</f>
        <v>0</v>
      </c>
      <c r="C3304" s="52">
        <f>IF(Учет!$O3304=Справочники!$F$3,Учет!$H3304,0)</f>
        <v>0</v>
      </c>
      <c r="D3304" s="52">
        <f>IF(Учет!$O3304=Справочники!$F$4,Учет!$H3304,0)</f>
        <v>0</v>
      </c>
      <c r="E3304" s="52">
        <f>IF(Учет!$O3304=Справочники!$F$5,Учет!$H3304,0)</f>
        <v>0</v>
      </c>
      <c r="F3304" s="52">
        <f>IF(Учет!$O3304=Справочники!$F$6,Учет!$H3304,0)</f>
        <v>0</v>
      </c>
      <c r="G3304" s="43">
        <f>G3303+Учет!B3304-B3304</f>
        <v>-488978.92000000004</v>
      </c>
      <c r="H3304" s="43">
        <f>H3303+Учет!C3304-C3304</f>
        <v>336855</v>
      </c>
      <c r="I3304" s="43">
        <f>I3303+Учет!D3304-D3304</f>
        <v>500</v>
      </c>
      <c r="J3304" s="43">
        <f>J3303+Учет!E3304-E3304</f>
        <v>1150</v>
      </c>
      <c r="K3304" s="43">
        <f>K3303+Учет!F3304-F3304</f>
        <v>500000</v>
      </c>
      <c r="L3304" s="45">
        <f>Учет!I3304</f>
        <v>349526.07999999996</v>
      </c>
    </row>
    <row r="3305" spans="1:12" x14ac:dyDescent="0.25">
      <c r="A3305" s="48" t="str">
        <f>IF(Учет!A3305&lt;&gt;"",Учет!A3305,"")</f>
        <v/>
      </c>
      <c r="B3305" s="52">
        <f>IF(Учет!$O3305=Справочники!$F$2,Учет!$H3305,0)</f>
        <v>0</v>
      </c>
      <c r="C3305" s="52">
        <f>IF(Учет!$O3305=Справочники!$F$3,Учет!$H3305,0)</f>
        <v>0</v>
      </c>
      <c r="D3305" s="52">
        <f>IF(Учет!$O3305=Справочники!$F$4,Учет!$H3305,0)</f>
        <v>0</v>
      </c>
      <c r="E3305" s="52">
        <f>IF(Учет!$O3305=Справочники!$F$5,Учет!$H3305,0)</f>
        <v>0</v>
      </c>
      <c r="F3305" s="52">
        <f>IF(Учет!$O3305=Справочники!$F$6,Учет!$H3305,0)</f>
        <v>0</v>
      </c>
      <c r="G3305" s="43">
        <f>G3304+Учет!B3305-B3305</f>
        <v>-488978.92000000004</v>
      </c>
      <c r="H3305" s="43">
        <f>H3304+Учет!C3305-C3305</f>
        <v>336855</v>
      </c>
      <c r="I3305" s="43">
        <f>I3304+Учет!D3305-D3305</f>
        <v>500</v>
      </c>
      <c r="J3305" s="43">
        <f>J3304+Учет!E3305-E3305</f>
        <v>1150</v>
      </c>
      <c r="K3305" s="43">
        <f>K3304+Учет!F3305-F3305</f>
        <v>500000</v>
      </c>
      <c r="L3305" s="45">
        <f>Учет!I3305</f>
        <v>349526.07999999996</v>
      </c>
    </row>
    <row r="3306" spans="1:12" x14ac:dyDescent="0.25">
      <c r="A3306" s="48" t="str">
        <f>IF(Учет!A3306&lt;&gt;"",Учет!A3306,"")</f>
        <v/>
      </c>
      <c r="B3306" s="52">
        <f>IF(Учет!$O3306=Справочники!$F$2,Учет!$H3306,0)</f>
        <v>0</v>
      </c>
      <c r="C3306" s="52">
        <f>IF(Учет!$O3306=Справочники!$F$3,Учет!$H3306,0)</f>
        <v>0</v>
      </c>
      <c r="D3306" s="52">
        <f>IF(Учет!$O3306=Справочники!$F$4,Учет!$H3306,0)</f>
        <v>0</v>
      </c>
      <c r="E3306" s="52">
        <f>IF(Учет!$O3306=Справочники!$F$5,Учет!$H3306,0)</f>
        <v>0</v>
      </c>
      <c r="F3306" s="52">
        <f>IF(Учет!$O3306=Справочники!$F$6,Учет!$H3306,0)</f>
        <v>0</v>
      </c>
      <c r="G3306" s="43">
        <f>G3305+Учет!B3306-B3306</f>
        <v>-488978.92000000004</v>
      </c>
      <c r="H3306" s="43">
        <f>H3305+Учет!C3306-C3306</f>
        <v>336855</v>
      </c>
      <c r="I3306" s="43">
        <f>I3305+Учет!D3306-D3306</f>
        <v>500</v>
      </c>
      <c r="J3306" s="43">
        <f>J3305+Учет!E3306-E3306</f>
        <v>1150</v>
      </c>
      <c r="K3306" s="43">
        <f>K3305+Учет!F3306-F3306</f>
        <v>500000</v>
      </c>
      <c r="L3306" s="45">
        <f>Учет!I3306</f>
        <v>349526.07999999996</v>
      </c>
    </row>
    <row r="3307" spans="1:12" x14ac:dyDescent="0.25">
      <c r="A3307" s="48" t="str">
        <f>IF(Учет!A3307&lt;&gt;"",Учет!A3307,"")</f>
        <v/>
      </c>
      <c r="B3307" s="52">
        <f>IF(Учет!$O3307=Справочники!$F$2,Учет!$H3307,0)</f>
        <v>0</v>
      </c>
      <c r="C3307" s="52">
        <f>IF(Учет!$O3307=Справочники!$F$3,Учет!$H3307,0)</f>
        <v>0</v>
      </c>
      <c r="D3307" s="52">
        <f>IF(Учет!$O3307=Справочники!$F$4,Учет!$H3307,0)</f>
        <v>0</v>
      </c>
      <c r="E3307" s="52">
        <f>IF(Учет!$O3307=Справочники!$F$5,Учет!$H3307,0)</f>
        <v>0</v>
      </c>
      <c r="F3307" s="52">
        <f>IF(Учет!$O3307=Справочники!$F$6,Учет!$H3307,0)</f>
        <v>0</v>
      </c>
      <c r="G3307" s="43">
        <f>G3306+Учет!B3307-B3307</f>
        <v>-488978.92000000004</v>
      </c>
      <c r="H3307" s="43">
        <f>H3306+Учет!C3307-C3307</f>
        <v>336855</v>
      </c>
      <c r="I3307" s="43">
        <f>I3306+Учет!D3307-D3307</f>
        <v>500</v>
      </c>
      <c r="J3307" s="43">
        <f>J3306+Учет!E3307-E3307</f>
        <v>1150</v>
      </c>
      <c r="K3307" s="43">
        <f>K3306+Учет!F3307-F3307</f>
        <v>500000</v>
      </c>
      <c r="L3307" s="45">
        <f>Учет!I3307</f>
        <v>349526.07999999996</v>
      </c>
    </row>
    <row r="3308" spans="1:12" x14ac:dyDescent="0.25">
      <c r="A3308" s="48" t="str">
        <f>IF(Учет!A3308&lt;&gt;"",Учет!A3308,"")</f>
        <v/>
      </c>
      <c r="B3308" s="52">
        <f>IF(Учет!$O3308=Справочники!$F$2,Учет!$H3308,0)</f>
        <v>0</v>
      </c>
      <c r="C3308" s="52">
        <f>IF(Учет!$O3308=Справочники!$F$3,Учет!$H3308,0)</f>
        <v>0</v>
      </c>
      <c r="D3308" s="52">
        <f>IF(Учет!$O3308=Справочники!$F$4,Учет!$H3308,0)</f>
        <v>0</v>
      </c>
      <c r="E3308" s="52">
        <f>IF(Учет!$O3308=Справочники!$F$5,Учет!$H3308,0)</f>
        <v>0</v>
      </c>
      <c r="F3308" s="52">
        <f>IF(Учет!$O3308=Справочники!$F$6,Учет!$H3308,0)</f>
        <v>0</v>
      </c>
      <c r="G3308" s="43">
        <f>G3307+Учет!B3308-B3308</f>
        <v>-488978.92000000004</v>
      </c>
      <c r="H3308" s="43">
        <f>H3307+Учет!C3308-C3308</f>
        <v>336855</v>
      </c>
      <c r="I3308" s="43">
        <f>I3307+Учет!D3308-D3308</f>
        <v>500</v>
      </c>
      <c r="J3308" s="43">
        <f>J3307+Учет!E3308-E3308</f>
        <v>1150</v>
      </c>
      <c r="K3308" s="43">
        <f>K3307+Учет!F3308-F3308</f>
        <v>500000</v>
      </c>
      <c r="L3308" s="45">
        <f>Учет!I3308</f>
        <v>349526.07999999996</v>
      </c>
    </row>
    <row r="3309" spans="1:12" x14ac:dyDescent="0.25">
      <c r="A3309" s="48" t="str">
        <f>IF(Учет!A3309&lt;&gt;"",Учет!A3309,"")</f>
        <v/>
      </c>
      <c r="B3309" s="52">
        <f>IF(Учет!$O3309=Справочники!$F$2,Учет!$H3309,0)</f>
        <v>0</v>
      </c>
      <c r="C3309" s="52">
        <f>IF(Учет!$O3309=Справочники!$F$3,Учет!$H3309,0)</f>
        <v>0</v>
      </c>
      <c r="D3309" s="52">
        <f>IF(Учет!$O3309=Справочники!$F$4,Учет!$H3309,0)</f>
        <v>0</v>
      </c>
      <c r="E3309" s="52">
        <f>IF(Учет!$O3309=Справочники!$F$5,Учет!$H3309,0)</f>
        <v>0</v>
      </c>
      <c r="F3309" s="52">
        <f>IF(Учет!$O3309=Справочники!$F$6,Учет!$H3309,0)</f>
        <v>0</v>
      </c>
      <c r="G3309" s="43">
        <f>G3308+Учет!B3309-B3309</f>
        <v>-488978.92000000004</v>
      </c>
      <c r="H3309" s="43">
        <f>H3308+Учет!C3309-C3309</f>
        <v>336855</v>
      </c>
      <c r="I3309" s="43">
        <f>I3308+Учет!D3309-D3309</f>
        <v>500</v>
      </c>
      <c r="J3309" s="43">
        <f>J3308+Учет!E3309-E3309</f>
        <v>1150</v>
      </c>
      <c r="K3309" s="43">
        <f>K3308+Учет!F3309-F3309</f>
        <v>500000</v>
      </c>
      <c r="L3309" s="45">
        <f>Учет!I3309</f>
        <v>349526.07999999996</v>
      </c>
    </row>
    <row r="3310" spans="1:12" x14ac:dyDescent="0.25">
      <c r="A3310" s="48" t="str">
        <f>IF(Учет!A3310&lt;&gt;"",Учет!A3310,"")</f>
        <v/>
      </c>
      <c r="B3310" s="52">
        <f>IF(Учет!$O3310=Справочники!$F$2,Учет!$H3310,0)</f>
        <v>0</v>
      </c>
      <c r="C3310" s="52">
        <f>IF(Учет!$O3310=Справочники!$F$3,Учет!$H3310,0)</f>
        <v>0</v>
      </c>
      <c r="D3310" s="52">
        <f>IF(Учет!$O3310=Справочники!$F$4,Учет!$H3310,0)</f>
        <v>0</v>
      </c>
      <c r="E3310" s="52">
        <f>IF(Учет!$O3310=Справочники!$F$5,Учет!$H3310,0)</f>
        <v>0</v>
      </c>
      <c r="F3310" s="52">
        <f>IF(Учет!$O3310=Справочники!$F$6,Учет!$H3310,0)</f>
        <v>0</v>
      </c>
      <c r="G3310" s="43">
        <f>G3309+Учет!B3310-B3310</f>
        <v>-488978.92000000004</v>
      </c>
      <c r="H3310" s="43">
        <f>H3309+Учет!C3310-C3310</f>
        <v>336855</v>
      </c>
      <c r="I3310" s="43">
        <f>I3309+Учет!D3310-D3310</f>
        <v>500</v>
      </c>
      <c r="J3310" s="43">
        <f>J3309+Учет!E3310-E3310</f>
        <v>1150</v>
      </c>
      <c r="K3310" s="43">
        <f>K3309+Учет!F3310-F3310</f>
        <v>500000</v>
      </c>
      <c r="L3310" s="45">
        <f>Учет!I3310</f>
        <v>349526.07999999996</v>
      </c>
    </row>
    <row r="3311" spans="1:12" x14ac:dyDescent="0.25">
      <c r="A3311" s="48" t="str">
        <f>IF(Учет!A3311&lt;&gt;"",Учет!A3311,"")</f>
        <v/>
      </c>
      <c r="B3311" s="52">
        <f>IF(Учет!$O3311=Справочники!$F$2,Учет!$H3311,0)</f>
        <v>0</v>
      </c>
      <c r="C3311" s="52">
        <f>IF(Учет!$O3311=Справочники!$F$3,Учет!$H3311,0)</f>
        <v>0</v>
      </c>
      <c r="D3311" s="52">
        <f>IF(Учет!$O3311=Справочники!$F$4,Учет!$H3311,0)</f>
        <v>0</v>
      </c>
      <c r="E3311" s="52">
        <f>IF(Учет!$O3311=Справочники!$F$5,Учет!$H3311,0)</f>
        <v>0</v>
      </c>
      <c r="F3311" s="52">
        <f>IF(Учет!$O3311=Справочники!$F$6,Учет!$H3311,0)</f>
        <v>0</v>
      </c>
      <c r="G3311" s="43">
        <f>G3310+Учет!B3311-B3311</f>
        <v>-488978.92000000004</v>
      </c>
      <c r="H3311" s="43">
        <f>H3310+Учет!C3311-C3311</f>
        <v>336855</v>
      </c>
      <c r="I3311" s="43">
        <f>I3310+Учет!D3311-D3311</f>
        <v>500</v>
      </c>
      <c r="J3311" s="43">
        <f>J3310+Учет!E3311-E3311</f>
        <v>1150</v>
      </c>
      <c r="K3311" s="43">
        <f>K3310+Учет!F3311-F3311</f>
        <v>500000</v>
      </c>
      <c r="L3311" s="45">
        <f>Учет!I3311</f>
        <v>349526.07999999996</v>
      </c>
    </row>
    <row r="3312" spans="1:12" x14ac:dyDescent="0.25">
      <c r="A3312" s="48" t="str">
        <f>IF(Учет!A3312&lt;&gt;"",Учет!A3312,"")</f>
        <v/>
      </c>
      <c r="B3312" s="52">
        <f>IF(Учет!$O3312=Справочники!$F$2,Учет!$H3312,0)</f>
        <v>0</v>
      </c>
      <c r="C3312" s="52">
        <f>IF(Учет!$O3312=Справочники!$F$3,Учет!$H3312,0)</f>
        <v>0</v>
      </c>
      <c r="D3312" s="52">
        <f>IF(Учет!$O3312=Справочники!$F$4,Учет!$H3312,0)</f>
        <v>0</v>
      </c>
      <c r="E3312" s="52">
        <f>IF(Учет!$O3312=Справочники!$F$5,Учет!$H3312,0)</f>
        <v>0</v>
      </c>
      <c r="F3312" s="52">
        <f>IF(Учет!$O3312=Справочники!$F$6,Учет!$H3312,0)</f>
        <v>0</v>
      </c>
      <c r="G3312" s="43">
        <f>G3311+Учет!B3312-B3312</f>
        <v>-488978.92000000004</v>
      </c>
      <c r="H3312" s="43">
        <f>H3311+Учет!C3312-C3312</f>
        <v>336855</v>
      </c>
      <c r="I3312" s="43">
        <f>I3311+Учет!D3312-D3312</f>
        <v>500</v>
      </c>
      <c r="J3312" s="43">
        <f>J3311+Учет!E3312-E3312</f>
        <v>1150</v>
      </c>
      <c r="K3312" s="43">
        <f>K3311+Учет!F3312-F3312</f>
        <v>500000</v>
      </c>
      <c r="L3312" s="45">
        <f>Учет!I3312</f>
        <v>349526.07999999996</v>
      </c>
    </row>
    <row r="3313" spans="1:12" x14ac:dyDescent="0.25">
      <c r="A3313" s="48" t="str">
        <f>IF(Учет!A3313&lt;&gt;"",Учет!A3313,"")</f>
        <v/>
      </c>
      <c r="B3313" s="52">
        <f>IF(Учет!$O3313=Справочники!$F$2,Учет!$H3313,0)</f>
        <v>0</v>
      </c>
      <c r="C3313" s="52">
        <f>IF(Учет!$O3313=Справочники!$F$3,Учет!$H3313,0)</f>
        <v>0</v>
      </c>
      <c r="D3313" s="52">
        <f>IF(Учет!$O3313=Справочники!$F$4,Учет!$H3313,0)</f>
        <v>0</v>
      </c>
      <c r="E3313" s="52">
        <f>IF(Учет!$O3313=Справочники!$F$5,Учет!$H3313,0)</f>
        <v>0</v>
      </c>
      <c r="F3313" s="52">
        <f>IF(Учет!$O3313=Справочники!$F$6,Учет!$H3313,0)</f>
        <v>0</v>
      </c>
      <c r="G3313" s="43">
        <f>G3312+Учет!B3313-B3313</f>
        <v>-488978.92000000004</v>
      </c>
      <c r="H3313" s="43">
        <f>H3312+Учет!C3313-C3313</f>
        <v>336855</v>
      </c>
      <c r="I3313" s="43">
        <f>I3312+Учет!D3313-D3313</f>
        <v>500</v>
      </c>
      <c r="J3313" s="43">
        <f>J3312+Учет!E3313-E3313</f>
        <v>1150</v>
      </c>
      <c r="K3313" s="43">
        <f>K3312+Учет!F3313-F3313</f>
        <v>500000</v>
      </c>
      <c r="L3313" s="45">
        <f>Учет!I3313</f>
        <v>349526.07999999996</v>
      </c>
    </row>
    <row r="3314" spans="1:12" x14ac:dyDescent="0.25">
      <c r="A3314" s="48" t="str">
        <f>IF(Учет!A3314&lt;&gt;"",Учет!A3314,"")</f>
        <v/>
      </c>
      <c r="B3314" s="52">
        <f>IF(Учет!$O3314=Справочники!$F$2,Учет!$H3314,0)</f>
        <v>0</v>
      </c>
      <c r="C3314" s="52">
        <f>IF(Учет!$O3314=Справочники!$F$3,Учет!$H3314,0)</f>
        <v>0</v>
      </c>
      <c r="D3314" s="52">
        <f>IF(Учет!$O3314=Справочники!$F$4,Учет!$H3314,0)</f>
        <v>0</v>
      </c>
      <c r="E3314" s="52">
        <f>IF(Учет!$O3314=Справочники!$F$5,Учет!$H3314,0)</f>
        <v>0</v>
      </c>
      <c r="F3314" s="52">
        <f>IF(Учет!$O3314=Справочники!$F$6,Учет!$H3314,0)</f>
        <v>0</v>
      </c>
      <c r="G3314" s="43">
        <f>G3313+Учет!B3314-B3314</f>
        <v>-488978.92000000004</v>
      </c>
      <c r="H3314" s="43">
        <f>H3313+Учет!C3314-C3314</f>
        <v>336855</v>
      </c>
      <c r="I3314" s="43">
        <f>I3313+Учет!D3314-D3314</f>
        <v>500</v>
      </c>
      <c r="J3314" s="43">
        <f>J3313+Учет!E3314-E3314</f>
        <v>1150</v>
      </c>
      <c r="K3314" s="43">
        <f>K3313+Учет!F3314-F3314</f>
        <v>500000</v>
      </c>
      <c r="L3314" s="45">
        <f>Учет!I3314</f>
        <v>349526.07999999996</v>
      </c>
    </row>
    <row r="3315" spans="1:12" x14ac:dyDescent="0.25">
      <c r="A3315" s="48" t="str">
        <f>IF(Учет!A3315&lt;&gt;"",Учет!A3315,"")</f>
        <v/>
      </c>
      <c r="B3315" s="52">
        <f>IF(Учет!$O3315=Справочники!$F$2,Учет!$H3315,0)</f>
        <v>0</v>
      </c>
      <c r="C3315" s="52">
        <f>IF(Учет!$O3315=Справочники!$F$3,Учет!$H3315,0)</f>
        <v>0</v>
      </c>
      <c r="D3315" s="52">
        <f>IF(Учет!$O3315=Справочники!$F$4,Учет!$H3315,0)</f>
        <v>0</v>
      </c>
      <c r="E3315" s="52">
        <f>IF(Учет!$O3315=Справочники!$F$5,Учет!$H3315,0)</f>
        <v>0</v>
      </c>
      <c r="F3315" s="52">
        <f>IF(Учет!$O3315=Справочники!$F$6,Учет!$H3315,0)</f>
        <v>0</v>
      </c>
      <c r="G3315" s="43">
        <f>G3314+Учет!B3315-B3315</f>
        <v>-488978.92000000004</v>
      </c>
      <c r="H3315" s="43">
        <f>H3314+Учет!C3315-C3315</f>
        <v>336855</v>
      </c>
      <c r="I3315" s="43">
        <f>I3314+Учет!D3315-D3315</f>
        <v>500</v>
      </c>
      <c r="J3315" s="43">
        <f>J3314+Учет!E3315-E3315</f>
        <v>1150</v>
      </c>
      <c r="K3315" s="43">
        <f>K3314+Учет!F3315-F3315</f>
        <v>500000</v>
      </c>
      <c r="L3315" s="45">
        <f>Учет!I3315</f>
        <v>349526.07999999996</v>
      </c>
    </row>
    <row r="3316" spans="1:12" x14ac:dyDescent="0.25">
      <c r="A3316" s="48" t="str">
        <f>IF(Учет!A3316&lt;&gt;"",Учет!A3316,"")</f>
        <v/>
      </c>
      <c r="B3316" s="52">
        <f>IF(Учет!$O3316=Справочники!$F$2,Учет!$H3316,0)</f>
        <v>0</v>
      </c>
      <c r="C3316" s="52">
        <f>IF(Учет!$O3316=Справочники!$F$3,Учет!$H3316,0)</f>
        <v>0</v>
      </c>
      <c r="D3316" s="52">
        <f>IF(Учет!$O3316=Справочники!$F$4,Учет!$H3316,0)</f>
        <v>0</v>
      </c>
      <c r="E3316" s="52">
        <f>IF(Учет!$O3316=Справочники!$F$5,Учет!$H3316,0)</f>
        <v>0</v>
      </c>
      <c r="F3316" s="52">
        <f>IF(Учет!$O3316=Справочники!$F$6,Учет!$H3316,0)</f>
        <v>0</v>
      </c>
      <c r="G3316" s="43">
        <f>G3315+Учет!B3316-B3316</f>
        <v>-488978.92000000004</v>
      </c>
      <c r="H3316" s="43">
        <f>H3315+Учет!C3316-C3316</f>
        <v>336855</v>
      </c>
      <c r="I3316" s="43">
        <f>I3315+Учет!D3316-D3316</f>
        <v>500</v>
      </c>
      <c r="J3316" s="43">
        <f>J3315+Учет!E3316-E3316</f>
        <v>1150</v>
      </c>
      <c r="K3316" s="43">
        <f>K3315+Учет!F3316-F3316</f>
        <v>500000</v>
      </c>
      <c r="L3316" s="45">
        <f>Учет!I3316</f>
        <v>349526.07999999996</v>
      </c>
    </row>
    <row r="3317" spans="1:12" x14ac:dyDescent="0.25">
      <c r="A3317" s="48" t="str">
        <f>IF(Учет!A3317&lt;&gt;"",Учет!A3317,"")</f>
        <v/>
      </c>
      <c r="B3317" s="52">
        <f>IF(Учет!$O3317=Справочники!$F$2,Учет!$H3317,0)</f>
        <v>0</v>
      </c>
      <c r="C3317" s="52">
        <f>IF(Учет!$O3317=Справочники!$F$3,Учет!$H3317,0)</f>
        <v>0</v>
      </c>
      <c r="D3317" s="52">
        <f>IF(Учет!$O3317=Справочники!$F$4,Учет!$H3317,0)</f>
        <v>0</v>
      </c>
      <c r="E3317" s="52">
        <f>IF(Учет!$O3317=Справочники!$F$5,Учет!$H3317,0)</f>
        <v>0</v>
      </c>
      <c r="F3317" s="52">
        <f>IF(Учет!$O3317=Справочники!$F$6,Учет!$H3317,0)</f>
        <v>0</v>
      </c>
      <c r="G3317" s="43">
        <f>G3316+Учет!B3317-B3317</f>
        <v>-488978.92000000004</v>
      </c>
      <c r="H3317" s="43">
        <f>H3316+Учет!C3317-C3317</f>
        <v>336855</v>
      </c>
      <c r="I3317" s="43">
        <f>I3316+Учет!D3317-D3317</f>
        <v>500</v>
      </c>
      <c r="J3317" s="43">
        <f>J3316+Учет!E3317-E3317</f>
        <v>1150</v>
      </c>
      <c r="K3317" s="43">
        <f>K3316+Учет!F3317-F3317</f>
        <v>500000</v>
      </c>
      <c r="L3317" s="45">
        <f>Учет!I3317</f>
        <v>349526.07999999996</v>
      </c>
    </row>
    <row r="3318" spans="1:12" x14ac:dyDescent="0.25">
      <c r="A3318" s="48" t="str">
        <f>IF(Учет!A3318&lt;&gt;"",Учет!A3318,"")</f>
        <v/>
      </c>
      <c r="B3318" s="52">
        <f>IF(Учет!$O3318=Справочники!$F$2,Учет!$H3318,0)</f>
        <v>0</v>
      </c>
      <c r="C3318" s="52">
        <f>IF(Учет!$O3318=Справочники!$F$3,Учет!$H3318,0)</f>
        <v>0</v>
      </c>
      <c r="D3318" s="52">
        <f>IF(Учет!$O3318=Справочники!$F$4,Учет!$H3318,0)</f>
        <v>0</v>
      </c>
      <c r="E3318" s="52">
        <f>IF(Учет!$O3318=Справочники!$F$5,Учет!$H3318,0)</f>
        <v>0</v>
      </c>
      <c r="F3318" s="52">
        <f>IF(Учет!$O3318=Справочники!$F$6,Учет!$H3318,0)</f>
        <v>0</v>
      </c>
      <c r="G3318" s="43">
        <f>G3317+Учет!B3318-B3318</f>
        <v>-488978.92000000004</v>
      </c>
      <c r="H3318" s="43">
        <f>H3317+Учет!C3318-C3318</f>
        <v>336855</v>
      </c>
      <c r="I3318" s="43">
        <f>I3317+Учет!D3318-D3318</f>
        <v>500</v>
      </c>
      <c r="J3318" s="43">
        <f>J3317+Учет!E3318-E3318</f>
        <v>1150</v>
      </c>
      <c r="K3318" s="43">
        <f>K3317+Учет!F3318-F3318</f>
        <v>500000</v>
      </c>
      <c r="L3318" s="45">
        <f>Учет!I3318</f>
        <v>349526.07999999996</v>
      </c>
    </row>
    <row r="3319" spans="1:12" x14ac:dyDescent="0.25">
      <c r="A3319" s="48" t="str">
        <f>IF(Учет!A3319&lt;&gt;"",Учет!A3319,"")</f>
        <v/>
      </c>
      <c r="B3319" s="52">
        <f>IF(Учет!$O3319=Справочники!$F$2,Учет!$H3319,0)</f>
        <v>0</v>
      </c>
      <c r="C3319" s="52">
        <f>IF(Учет!$O3319=Справочники!$F$3,Учет!$H3319,0)</f>
        <v>0</v>
      </c>
      <c r="D3319" s="52">
        <f>IF(Учет!$O3319=Справочники!$F$4,Учет!$H3319,0)</f>
        <v>0</v>
      </c>
      <c r="E3319" s="52">
        <f>IF(Учет!$O3319=Справочники!$F$5,Учет!$H3319,0)</f>
        <v>0</v>
      </c>
      <c r="F3319" s="52">
        <f>IF(Учет!$O3319=Справочники!$F$6,Учет!$H3319,0)</f>
        <v>0</v>
      </c>
      <c r="G3319" s="43">
        <f>G3318+Учет!B3319-B3319</f>
        <v>-488978.92000000004</v>
      </c>
      <c r="H3319" s="43">
        <f>H3318+Учет!C3319-C3319</f>
        <v>336855</v>
      </c>
      <c r="I3319" s="43">
        <f>I3318+Учет!D3319-D3319</f>
        <v>500</v>
      </c>
      <c r="J3319" s="43">
        <f>J3318+Учет!E3319-E3319</f>
        <v>1150</v>
      </c>
      <c r="K3319" s="43">
        <f>K3318+Учет!F3319-F3319</f>
        <v>500000</v>
      </c>
      <c r="L3319" s="45">
        <f>Учет!I3319</f>
        <v>349526.07999999996</v>
      </c>
    </row>
    <row r="3320" spans="1:12" x14ac:dyDescent="0.25">
      <c r="A3320" s="48" t="str">
        <f>IF(Учет!A3320&lt;&gt;"",Учет!A3320,"")</f>
        <v/>
      </c>
      <c r="B3320" s="52">
        <f>IF(Учет!$O3320=Справочники!$F$2,Учет!$H3320,0)</f>
        <v>0</v>
      </c>
      <c r="C3320" s="52">
        <f>IF(Учет!$O3320=Справочники!$F$3,Учет!$H3320,0)</f>
        <v>0</v>
      </c>
      <c r="D3320" s="52">
        <f>IF(Учет!$O3320=Справочники!$F$4,Учет!$H3320,0)</f>
        <v>0</v>
      </c>
      <c r="E3320" s="52">
        <f>IF(Учет!$O3320=Справочники!$F$5,Учет!$H3320,0)</f>
        <v>0</v>
      </c>
      <c r="F3320" s="52">
        <f>IF(Учет!$O3320=Справочники!$F$6,Учет!$H3320,0)</f>
        <v>0</v>
      </c>
      <c r="G3320" s="43">
        <f>G3319+Учет!B3320-B3320</f>
        <v>-488978.92000000004</v>
      </c>
      <c r="H3320" s="43">
        <f>H3319+Учет!C3320-C3320</f>
        <v>336855</v>
      </c>
      <c r="I3320" s="43">
        <f>I3319+Учет!D3320-D3320</f>
        <v>500</v>
      </c>
      <c r="J3320" s="43">
        <f>J3319+Учет!E3320-E3320</f>
        <v>1150</v>
      </c>
      <c r="K3320" s="43">
        <f>K3319+Учет!F3320-F3320</f>
        <v>500000</v>
      </c>
      <c r="L3320" s="45">
        <f>Учет!I3320</f>
        <v>349526.07999999996</v>
      </c>
    </row>
    <row r="3321" spans="1:12" x14ac:dyDescent="0.25">
      <c r="A3321" s="48" t="str">
        <f>IF(Учет!A3321&lt;&gt;"",Учет!A3321,"")</f>
        <v/>
      </c>
      <c r="B3321" s="52">
        <f>IF(Учет!$O3321=Справочники!$F$2,Учет!$H3321,0)</f>
        <v>0</v>
      </c>
      <c r="C3321" s="52">
        <f>IF(Учет!$O3321=Справочники!$F$3,Учет!$H3321,0)</f>
        <v>0</v>
      </c>
      <c r="D3321" s="52">
        <f>IF(Учет!$O3321=Справочники!$F$4,Учет!$H3321,0)</f>
        <v>0</v>
      </c>
      <c r="E3321" s="52">
        <f>IF(Учет!$O3321=Справочники!$F$5,Учет!$H3321,0)</f>
        <v>0</v>
      </c>
      <c r="F3321" s="52">
        <f>IF(Учет!$O3321=Справочники!$F$6,Учет!$H3321,0)</f>
        <v>0</v>
      </c>
      <c r="G3321" s="43">
        <f>G3320+Учет!B3321-B3321</f>
        <v>-488978.92000000004</v>
      </c>
      <c r="H3321" s="43">
        <f>H3320+Учет!C3321-C3321</f>
        <v>336855</v>
      </c>
      <c r="I3321" s="43">
        <f>I3320+Учет!D3321-D3321</f>
        <v>500</v>
      </c>
      <c r="J3321" s="43">
        <f>J3320+Учет!E3321-E3321</f>
        <v>1150</v>
      </c>
      <c r="K3321" s="43">
        <f>K3320+Учет!F3321-F3321</f>
        <v>500000</v>
      </c>
      <c r="L3321" s="45">
        <f>Учет!I3321</f>
        <v>349526.07999999996</v>
      </c>
    </row>
    <row r="3322" spans="1:12" x14ac:dyDescent="0.25">
      <c r="A3322" s="48" t="str">
        <f>IF(Учет!A3322&lt;&gt;"",Учет!A3322,"")</f>
        <v/>
      </c>
      <c r="B3322" s="52">
        <f>IF(Учет!$O3322=Справочники!$F$2,Учет!$H3322,0)</f>
        <v>0</v>
      </c>
      <c r="C3322" s="52">
        <f>IF(Учет!$O3322=Справочники!$F$3,Учет!$H3322,0)</f>
        <v>0</v>
      </c>
      <c r="D3322" s="52">
        <f>IF(Учет!$O3322=Справочники!$F$4,Учет!$H3322,0)</f>
        <v>0</v>
      </c>
      <c r="E3322" s="52">
        <f>IF(Учет!$O3322=Справочники!$F$5,Учет!$H3322,0)</f>
        <v>0</v>
      </c>
      <c r="F3322" s="52">
        <f>IF(Учет!$O3322=Справочники!$F$6,Учет!$H3322,0)</f>
        <v>0</v>
      </c>
      <c r="G3322" s="43">
        <f>G3321+Учет!B3322-B3322</f>
        <v>-488978.92000000004</v>
      </c>
      <c r="H3322" s="43">
        <f>H3321+Учет!C3322-C3322</f>
        <v>336855</v>
      </c>
      <c r="I3322" s="43">
        <f>I3321+Учет!D3322-D3322</f>
        <v>500</v>
      </c>
      <c r="J3322" s="43">
        <f>J3321+Учет!E3322-E3322</f>
        <v>1150</v>
      </c>
      <c r="K3322" s="43">
        <f>K3321+Учет!F3322-F3322</f>
        <v>500000</v>
      </c>
      <c r="L3322" s="45">
        <f>Учет!I3322</f>
        <v>349526.07999999996</v>
      </c>
    </row>
    <row r="3323" spans="1:12" x14ac:dyDescent="0.25">
      <c r="A3323" s="48" t="str">
        <f>IF(Учет!A3323&lt;&gt;"",Учет!A3323,"")</f>
        <v/>
      </c>
      <c r="B3323" s="52">
        <f>IF(Учет!$O3323=Справочники!$F$2,Учет!$H3323,0)</f>
        <v>0</v>
      </c>
      <c r="C3323" s="52">
        <f>IF(Учет!$O3323=Справочники!$F$3,Учет!$H3323,0)</f>
        <v>0</v>
      </c>
      <c r="D3323" s="52">
        <f>IF(Учет!$O3323=Справочники!$F$4,Учет!$H3323,0)</f>
        <v>0</v>
      </c>
      <c r="E3323" s="52">
        <f>IF(Учет!$O3323=Справочники!$F$5,Учет!$H3323,0)</f>
        <v>0</v>
      </c>
      <c r="F3323" s="52">
        <f>IF(Учет!$O3323=Справочники!$F$6,Учет!$H3323,0)</f>
        <v>0</v>
      </c>
      <c r="G3323" s="43">
        <f>G3322+Учет!B3323-B3323</f>
        <v>-488978.92000000004</v>
      </c>
      <c r="H3323" s="43">
        <f>H3322+Учет!C3323-C3323</f>
        <v>336855</v>
      </c>
      <c r="I3323" s="43">
        <f>I3322+Учет!D3323-D3323</f>
        <v>500</v>
      </c>
      <c r="J3323" s="43">
        <f>J3322+Учет!E3323-E3323</f>
        <v>1150</v>
      </c>
      <c r="K3323" s="43">
        <f>K3322+Учет!F3323-F3323</f>
        <v>500000</v>
      </c>
      <c r="L3323" s="45">
        <f>Учет!I3323</f>
        <v>349526.07999999996</v>
      </c>
    </row>
    <row r="3324" spans="1:12" x14ac:dyDescent="0.25">
      <c r="A3324" s="48" t="str">
        <f>IF(Учет!A3324&lt;&gt;"",Учет!A3324,"")</f>
        <v/>
      </c>
      <c r="B3324" s="52">
        <f>IF(Учет!$O3324=Справочники!$F$2,Учет!$H3324,0)</f>
        <v>0</v>
      </c>
      <c r="C3324" s="52">
        <f>IF(Учет!$O3324=Справочники!$F$3,Учет!$H3324,0)</f>
        <v>0</v>
      </c>
      <c r="D3324" s="52">
        <f>IF(Учет!$O3324=Справочники!$F$4,Учет!$H3324,0)</f>
        <v>0</v>
      </c>
      <c r="E3324" s="52">
        <f>IF(Учет!$O3324=Справочники!$F$5,Учет!$H3324,0)</f>
        <v>0</v>
      </c>
      <c r="F3324" s="52">
        <f>IF(Учет!$O3324=Справочники!$F$6,Учет!$H3324,0)</f>
        <v>0</v>
      </c>
      <c r="G3324" s="43">
        <f>G3323+Учет!B3324-B3324</f>
        <v>-488978.92000000004</v>
      </c>
      <c r="H3324" s="43">
        <f>H3323+Учет!C3324-C3324</f>
        <v>336855</v>
      </c>
      <c r="I3324" s="43">
        <f>I3323+Учет!D3324-D3324</f>
        <v>500</v>
      </c>
      <c r="J3324" s="43">
        <f>J3323+Учет!E3324-E3324</f>
        <v>1150</v>
      </c>
      <c r="K3324" s="43">
        <f>K3323+Учет!F3324-F3324</f>
        <v>500000</v>
      </c>
      <c r="L3324" s="45">
        <f>Учет!I3324</f>
        <v>349526.07999999996</v>
      </c>
    </row>
    <row r="3325" spans="1:12" x14ac:dyDescent="0.25">
      <c r="A3325" s="48" t="str">
        <f>IF(Учет!A3325&lt;&gt;"",Учет!A3325,"")</f>
        <v/>
      </c>
      <c r="B3325" s="52">
        <f>IF(Учет!$O3325=Справочники!$F$2,Учет!$H3325,0)</f>
        <v>0</v>
      </c>
      <c r="C3325" s="52">
        <f>IF(Учет!$O3325=Справочники!$F$3,Учет!$H3325,0)</f>
        <v>0</v>
      </c>
      <c r="D3325" s="52">
        <f>IF(Учет!$O3325=Справочники!$F$4,Учет!$H3325,0)</f>
        <v>0</v>
      </c>
      <c r="E3325" s="52">
        <f>IF(Учет!$O3325=Справочники!$F$5,Учет!$H3325,0)</f>
        <v>0</v>
      </c>
      <c r="F3325" s="52">
        <f>IF(Учет!$O3325=Справочники!$F$6,Учет!$H3325,0)</f>
        <v>0</v>
      </c>
      <c r="G3325" s="43">
        <f>G3324+Учет!B3325-B3325</f>
        <v>-488978.92000000004</v>
      </c>
      <c r="H3325" s="43">
        <f>H3324+Учет!C3325-C3325</f>
        <v>336855</v>
      </c>
      <c r="I3325" s="43">
        <f>I3324+Учет!D3325-D3325</f>
        <v>500</v>
      </c>
      <c r="J3325" s="43">
        <f>J3324+Учет!E3325-E3325</f>
        <v>1150</v>
      </c>
      <c r="K3325" s="43">
        <f>K3324+Учет!F3325-F3325</f>
        <v>500000</v>
      </c>
      <c r="L3325" s="45">
        <f>Учет!I3325</f>
        <v>349526.07999999996</v>
      </c>
    </row>
    <row r="3326" spans="1:12" x14ac:dyDescent="0.25">
      <c r="A3326" s="48" t="str">
        <f>IF(Учет!A3326&lt;&gt;"",Учет!A3326,"")</f>
        <v/>
      </c>
      <c r="B3326" s="52">
        <f>IF(Учет!$O3326=Справочники!$F$2,Учет!$H3326,0)</f>
        <v>0</v>
      </c>
      <c r="C3326" s="52">
        <f>IF(Учет!$O3326=Справочники!$F$3,Учет!$H3326,0)</f>
        <v>0</v>
      </c>
      <c r="D3326" s="52">
        <f>IF(Учет!$O3326=Справочники!$F$4,Учет!$H3326,0)</f>
        <v>0</v>
      </c>
      <c r="E3326" s="52">
        <f>IF(Учет!$O3326=Справочники!$F$5,Учет!$H3326,0)</f>
        <v>0</v>
      </c>
      <c r="F3326" s="52">
        <f>IF(Учет!$O3326=Справочники!$F$6,Учет!$H3326,0)</f>
        <v>0</v>
      </c>
      <c r="G3326" s="43">
        <f>G3325+Учет!B3326-B3326</f>
        <v>-488978.92000000004</v>
      </c>
      <c r="H3326" s="43">
        <f>H3325+Учет!C3326-C3326</f>
        <v>336855</v>
      </c>
      <c r="I3326" s="43">
        <f>I3325+Учет!D3326-D3326</f>
        <v>500</v>
      </c>
      <c r="J3326" s="43">
        <f>J3325+Учет!E3326-E3326</f>
        <v>1150</v>
      </c>
      <c r="K3326" s="43">
        <f>K3325+Учет!F3326-F3326</f>
        <v>500000</v>
      </c>
      <c r="L3326" s="45">
        <f>Учет!I3326</f>
        <v>349526.07999999996</v>
      </c>
    </row>
    <row r="3327" spans="1:12" x14ac:dyDescent="0.25">
      <c r="A3327" s="48" t="str">
        <f>IF(Учет!A3327&lt;&gt;"",Учет!A3327,"")</f>
        <v/>
      </c>
      <c r="B3327" s="52">
        <f>IF(Учет!$O3327=Справочники!$F$2,Учет!$H3327,0)</f>
        <v>0</v>
      </c>
      <c r="C3327" s="52">
        <f>IF(Учет!$O3327=Справочники!$F$3,Учет!$H3327,0)</f>
        <v>0</v>
      </c>
      <c r="D3327" s="52">
        <f>IF(Учет!$O3327=Справочники!$F$4,Учет!$H3327,0)</f>
        <v>0</v>
      </c>
      <c r="E3327" s="52">
        <f>IF(Учет!$O3327=Справочники!$F$5,Учет!$H3327,0)</f>
        <v>0</v>
      </c>
      <c r="F3327" s="52">
        <f>IF(Учет!$O3327=Справочники!$F$6,Учет!$H3327,0)</f>
        <v>0</v>
      </c>
      <c r="G3327" s="43">
        <f>G3326+Учет!B3327-B3327</f>
        <v>-488978.92000000004</v>
      </c>
      <c r="H3327" s="43">
        <f>H3326+Учет!C3327-C3327</f>
        <v>336855</v>
      </c>
      <c r="I3327" s="43">
        <f>I3326+Учет!D3327-D3327</f>
        <v>500</v>
      </c>
      <c r="J3327" s="43">
        <f>J3326+Учет!E3327-E3327</f>
        <v>1150</v>
      </c>
      <c r="K3327" s="43">
        <f>K3326+Учет!F3327-F3327</f>
        <v>500000</v>
      </c>
      <c r="L3327" s="45">
        <f>Учет!I3327</f>
        <v>349526.07999999996</v>
      </c>
    </row>
    <row r="3328" spans="1:12" x14ac:dyDescent="0.25">
      <c r="A3328" s="48" t="str">
        <f>IF(Учет!A3328&lt;&gt;"",Учет!A3328,"")</f>
        <v/>
      </c>
      <c r="B3328" s="52">
        <f>IF(Учет!$O3328=Справочники!$F$2,Учет!$H3328,0)</f>
        <v>0</v>
      </c>
      <c r="C3328" s="52">
        <f>IF(Учет!$O3328=Справочники!$F$3,Учет!$H3328,0)</f>
        <v>0</v>
      </c>
      <c r="D3328" s="52">
        <f>IF(Учет!$O3328=Справочники!$F$4,Учет!$H3328,0)</f>
        <v>0</v>
      </c>
      <c r="E3328" s="52">
        <f>IF(Учет!$O3328=Справочники!$F$5,Учет!$H3328,0)</f>
        <v>0</v>
      </c>
      <c r="F3328" s="52">
        <f>IF(Учет!$O3328=Справочники!$F$6,Учет!$H3328,0)</f>
        <v>0</v>
      </c>
      <c r="G3328" s="43">
        <f>G3327+Учет!B3328-B3328</f>
        <v>-488978.92000000004</v>
      </c>
      <c r="H3328" s="43">
        <f>H3327+Учет!C3328-C3328</f>
        <v>336855</v>
      </c>
      <c r="I3328" s="43">
        <f>I3327+Учет!D3328-D3328</f>
        <v>500</v>
      </c>
      <c r="J3328" s="43">
        <f>J3327+Учет!E3328-E3328</f>
        <v>1150</v>
      </c>
      <c r="K3328" s="43">
        <f>K3327+Учет!F3328-F3328</f>
        <v>500000</v>
      </c>
      <c r="L3328" s="45">
        <f>Учет!I3328</f>
        <v>349526.07999999996</v>
      </c>
    </row>
    <row r="3329" spans="1:12" x14ac:dyDescent="0.25">
      <c r="A3329" s="48" t="str">
        <f>IF(Учет!A3329&lt;&gt;"",Учет!A3329,"")</f>
        <v/>
      </c>
      <c r="B3329" s="52">
        <f>IF(Учет!$O3329=Справочники!$F$2,Учет!$H3329,0)</f>
        <v>0</v>
      </c>
      <c r="C3329" s="52">
        <f>IF(Учет!$O3329=Справочники!$F$3,Учет!$H3329,0)</f>
        <v>0</v>
      </c>
      <c r="D3329" s="52">
        <f>IF(Учет!$O3329=Справочники!$F$4,Учет!$H3329,0)</f>
        <v>0</v>
      </c>
      <c r="E3329" s="52">
        <f>IF(Учет!$O3329=Справочники!$F$5,Учет!$H3329,0)</f>
        <v>0</v>
      </c>
      <c r="F3329" s="52">
        <f>IF(Учет!$O3329=Справочники!$F$6,Учет!$H3329,0)</f>
        <v>0</v>
      </c>
      <c r="G3329" s="43">
        <f>G3328+Учет!B3329-B3329</f>
        <v>-488978.92000000004</v>
      </c>
      <c r="H3329" s="43">
        <f>H3328+Учет!C3329-C3329</f>
        <v>336855</v>
      </c>
      <c r="I3329" s="43">
        <f>I3328+Учет!D3329-D3329</f>
        <v>500</v>
      </c>
      <c r="J3329" s="43">
        <f>J3328+Учет!E3329-E3329</f>
        <v>1150</v>
      </c>
      <c r="K3329" s="43">
        <f>K3328+Учет!F3329-F3329</f>
        <v>500000</v>
      </c>
      <c r="L3329" s="45">
        <f>Учет!I3329</f>
        <v>349526.07999999996</v>
      </c>
    </row>
    <row r="3330" spans="1:12" x14ac:dyDescent="0.25">
      <c r="A3330" s="48" t="str">
        <f>IF(Учет!A3330&lt;&gt;"",Учет!A3330,"")</f>
        <v/>
      </c>
      <c r="B3330" s="52">
        <f>IF(Учет!$O3330=Справочники!$F$2,Учет!$H3330,0)</f>
        <v>0</v>
      </c>
      <c r="C3330" s="52">
        <f>IF(Учет!$O3330=Справочники!$F$3,Учет!$H3330,0)</f>
        <v>0</v>
      </c>
      <c r="D3330" s="52">
        <f>IF(Учет!$O3330=Справочники!$F$4,Учет!$H3330,0)</f>
        <v>0</v>
      </c>
      <c r="E3330" s="52">
        <f>IF(Учет!$O3330=Справочники!$F$5,Учет!$H3330,0)</f>
        <v>0</v>
      </c>
      <c r="F3330" s="52">
        <f>IF(Учет!$O3330=Справочники!$F$6,Учет!$H3330,0)</f>
        <v>0</v>
      </c>
      <c r="G3330" s="43">
        <f>G3329+Учет!B3330-B3330</f>
        <v>-488978.92000000004</v>
      </c>
      <c r="H3330" s="43">
        <f>H3329+Учет!C3330-C3330</f>
        <v>336855</v>
      </c>
      <c r="I3330" s="43">
        <f>I3329+Учет!D3330-D3330</f>
        <v>500</v>
      </c>
      <c r="J3330" s="43">
        <f>J3329+Учет!E3330-E3330</f>
        <v>1150</v>
      </c>
      <c r="K3330" s="43">
        <f>K3329+Учет!F3330-F3330</f>
        <v>500000</v>
      </c>
      <c r="L3330" s="45">
        <f>Учет!I3330</f>
        <v>349526.07999999996</v>
      </c>
    </row>
    <row r="3331" spans="1:12" x14ac:dyDescent="0.25">
      <c r="A3331" s="48" t="str">
        <f>IF(Учет!A3331&lt;&gt;"",Учет!A3331,"")</f>
        <v/>
      </c>
      <c r="B3331" s="52">
        <f>IF(Учет!$O3331=Справочники!$F$2,Учет!$H3331,0)</f>
        <v>0</v>
      </c>
      <c r="C3331" s="52">
        <f>IF(Учет!$O3331=Справочники!$F$3,Учет!$H3331,0)</f>
        <v>0</v>
      </c>
      <c r="D3331" s="52">
        <f>IF(Учет!$O3331=Справочники!$F$4,Учет!$H3331,0)</f>
        <v>0</v>
      </c>
      <c r="E3331" s="52">
        <f>IF(Учет!$O3331=Справочники!$F$5,Учет!$H3331,0)</f>
        <v>0</v>
      </c>
      <c r="F3331" s="52">
        <f>IF(Учет!$O3331=Справочники!$F$6,Учет!$H3331,0)</f>
        <v>0</v>
      </c>
      <c r="G3331" s="43">
        <f>G3330+Учет!B3331-B3331</f>
        <v>-488978.92000000004</v>
      </c>
      <c r="H3331" s="43">
        <f>H3330+Учет!C3331-C3331</f>
        <v>336855</v>
      </c>
      <c r="I3331" s="43">
        <f>I3330+Учет!D3331-D3331</f>
        <v>500</v>
      </c>
      <c r="J3331" s="43">
        <f>J3330+Учет!E3331-E3331</f>
        <v>1150</v>
      </c>
      <c r="K3331" s="43">
        <f>K3330+Учет!F3331-F3331</f>
        <v>500000</v>
      </c>
      <c r="L3331" s="45">
        <f>Учет!I3331</f>
        <v>349526.07999999996</v>
      </c>
    </row>
    <row r="3332" spans="1:12" x14ac:dyDescent="0.25">
      <c r="A3332" s="48" t="str">
        <f>IF(Учет!A3332&lt;&gt;"",Учет!A3332,"")</f>
        <v/>
      </c>
      <c r="B3332" s="52">
        <f>IF(Учет!$O3332=Справочники!$F$2,Учет!$H3332,0)</f>
        <v>0</v>
      </c>
      <c r="C3332" s="52">
        <f>IF(Учет!$O3332=Справочники!$F$3,Учет!$H3332,0)</f>
        <v>0</v>
      </c>
      <c r="D3332" s="52">
        <f>IF(Учет!$O3332=Справочники!$F$4,Учет!$H3332,0)</f>
        <v>0</v>
      </c>
      <c r="E3332" s="52">
        <f>IF(Учет!$O3332=Справочники!$F$5,Учет!$H3332,0)</f>
        <v>0</v>
      </c>
      <c r="F3332" s="52">
        <f>IF(Учет!$O3332=Справочники!$F$6,Учет!$H3332,0)</f>
        <v>0</v>
      </c>
      <c r="G3332" s="43">
        <f>G3331+Учет!B3332-B3332</f>
        <v>-488978.92000000004</v>
      </c>
      <c r="H3332" s="43">
        <f>H3331+Учет!C3332-C3332</f>
        <v>336855</v>
      </c>
      <c r="I3332" s="43">
        <f>I3331+Учет!D3332-D3332</f>
        <v>500</v>
      </c>
      <c r="J3332" s="43">
        <f>J3331+Учет!E3332-E3332</f>
        <v>1150</v>
      </c>
      <c r="K3332" s="43">
        <f>K3331+Учет!F3332-F3332</f>
        <v>500000</v>
      </c>
      <c r="L3332" s="45">
        <f>Учет!I3332</f>
        <v>349526.07999999996</v>
      </c>
    </row>
    <row r="3333" spans="1:12" x14ac:dyDescent="0.25">
      <c r="A3333" s="48" t="str">
        <f>IF(Учет!A3333&lt;&gt;"",Учет!A3333,"")</f>
        <v/>
      </c>
      <c r="B3333" s="52">
        <f>IF(Учет!$O3333=Справочники!$F$2,Учет!$H3333,0)</f>
        <v>0</v>
      </c>
      <c r="C3333" s="52">
        <f>IF(Учет!$O3333=Справочники!$F$3,Учет!$H3333,0)</f>
        <v>0</v>
      </c>
      <c r="D3333" s="52">
        <f>IF(Учет!$O3333=Справочники!$F$4,Учет!$H3333,0)</f>
        <v>0</v>
      </c>
      <c r="E3333" s="52">
        <f>IF(Учет!$O3333=Справочники!$F$5,Учет!$H3333,0)</f>
        <v>0</v>
      </c>
      <c r="F3333" s="52">
        <f>IF(Учет!$O3333=Справочники!$F$6,Учет!$H3333,0)</f>
        <v>0</v>
      </c>
      <c r="G3333" s="43">
        <f>G3332+Учет!B3333-B3333</f>
        <v>-488978.92000000004</v>
      </c>
      <c r="H3333" s="43">
        <f>H3332+Учет!C3333-C3333</f>
        <v>336855</v>
      </c>
      <c r="I3333" s="43">
        <f>I3332+Учет!D3333-D3333</f>
        <v>500</v>
      </c>
      <c r="J3333" s="43">
        <f>J3332+Учет!E3333-E3333</f>
        <v>1150</v>
      </c>
      <c r="K3333" s="43">
        <f>K3332+Учет!F3333-F3333</f>
        <v>500000</v>
      </c>
      <c r="L3333" s="45">
        <f>Учет!I3333</f>
        <v>349526.07999999996</v>
      </c>
    </row>
    <row r="3334" spans="1:12" x14ac:dyDescent="0.25">
      <c r="A3334" s="48" t="str">
        <f>IF(Учет!A3334&lt;&gt;"",Учет!A3334,"")</f>
        <v/>
      </c>
      <c r="B3334" s="52">
        <f>IF(Учет!$O3334=Справочники!$F$2,Учет!$H3334,0)</f>
        <v>0</v>
      </c>
      <c r="C3334" s="52">
        <f>IF(Учет!$O3334=Справочники!$F$3,Учет!$H3334,0)</f>
        <v>0</v>
      </c>
      <c r="D3334" s="52">
        <f>IF(Учет!$O3334=Справочники!$F$4,Учет!$H3334,0)</f>
        <v>0</v>
      </c>
      <c r="E3334" s="52">
        <f>IF(Учет!$O3334=Справочники!$F$5,Учет!$H3334,0)</f>
        <v>0</v>
      </c>
      <c r="F3334" s="52">
        <f>IF(Учет!$O3334=Справочники!$F$6,Учет!$H3334,0)</f>
        <v>0</v>
      </c>
      <c r="G3334" s="43">
        <f>G3333+Учет!B3334-B3334</f>
        <v>-488978.92000000004</v>
      </c>
      <c r="H3334" s="43">
        <f>H3333+Учет!C3334-C3334</f>
        <v>336855</v>
      </c>
      <c r="I3334" s="43">
        <f>I3333+Учет!D3334-D3334</f>
        <v>500</v>
      </c>
      <c r="J3334" s="43">
        <f>J3333+Учет!E3334-E3334</f>
        <v>1150</v>
      </c>
      <c r="K3334" s="43">
        <f>K3333+Учет!F3334-F3334</f>
        <v>500000</v>
      </c>
      <c r="L3334" s="45">
        <f>Учет!I3334</f>
        <v>349526.07999999996</v>
      </c>
    </row>
    <row r="3335" spans="1:12" x14ac:dyDescent="0.25">
      <c r="A3335" s="48" t="str">
        <f>IF(Учет!A3335&lt;&gt;"",Учет!A3335,"")</f>
        <v/>
      </c>
      <c r="B3335" s="52">
        <f>IF(Учет!$O3335=Справочники!$F$2,Учет!$H3335,0)</f>
        <v>0</v>
      </c>
      <c r="C3335" s="52">
        <f>IF(Учет!$O3335=Справочники!$F$3,Учет!$H3335,0)</f>
        <v>0</v>
      </c>
      <c r="D3335" s="52">
        <f>IF(Учет!$O3335=Справочники!$F$4,Учет!$H3335,0)</f>
        <v>0</v>
      </c>
      <c r="E3335" s="52">
        <f>IF(Учет!$O3335=Справочники!$F$5,Учет!$H3335,0)</f>
        <v>0</v>
      </c>
      <c r="F3335" s="52">
        <f>IF(Учет!$O3335=Справочники!$F$6,Учет!$H3335,0)</f>
        <v>0</v>
      </c>
      <c r="G3335" s="43">
        <f>G3334+Учет!B3335-B3335</f>
        <v>-488978.92000000004</v>
      </c>
      <c r="H3335" s="43">
        <f>H3334+Учет!C3335-C3335</f>
        <v>336855</v>
      </c>
      <c r="I3335" s="43">
        <f>I3334+Учет!D3335-D3335</f>
        <v>500</v>
      </c>
      <c r="J3335" s="43">
        <f>J3334+Учет!E3335-E3335</f>
        <v>1150</v>
      </c>
      <c r="K3335" s="43">
        <f>K3334+Учет!F3335-F3335</f>
        <v>500000</v>
      </c>
      <c r="L3335" s="45">
        <f>Учет!I3335</f>
        <v>349526.07999999996</v>
      </c>
    </row>
    <row r="3336" spans="1:12" x14ac:dyDescent="0.25">
      <c r="A3336" s="48" t="str">
        <f>IF(Учет!A3336&lt;&gt;"",Учет!A3336,"")</f>
        <v/>
      </c>
      <c r="B3336" s="52">
        <f>IF(Учет!$O3336=Справочники!$F$2,Учет!$H3336,0)</f>
        <v>0</v>
      </c>
      <c r="C3336" s="52">
        <f>IF(Учет!$O3336=Справочники!$F$3,Учет!$H3336,0)</f>
        <v>0</v>
      </c>
      <c r="D3336" s="52">
        <f>IF(Учет!$O3336=Справочники!$F$4,Учет!$H3336,0)</f>
        <v>0</v>
      </c>
      <c r="E3336" s="52">
        <f>IF(Учет!$O3336=Справочники!$F$5,Учет!$H3336,0)</f>
        <v>0</v>
      </c>
      <c r="F3336" s="52">
        <f>IF(Учет!$O3336=Справочники!$F$6,Учет!$H3336,0)</f>
        <v>0</v>
      </c>
      <c r="G3336" s="43">
        <f>G3335+Учет!B3336-B3336</f>
        <v>-488978.92000000004</v>
      </c>
      <c r="H3336" s="43">
        <f>H3335+Учет!C3336-C3336</f>
        <v>336855</v>
      </c>
      <c r="I3336" s="43">
        <f>I3335+Учет!D3336-D3336</f>
        <v>500</v>
      </c>
      <c r="J3336" s="43">
        <f>J3335+Учет!E3336-E3336</f>
        <v>1150</v>
      </c>
      <c r="K3336" s="43">
        <f>K3335+Учет!F3336-F3336</f>
        <v>500000</v>
      </c>
      <c r="L3336" s="45">
        <f>Учет!I3336</f>
        <v>349526.07999999996</v>
      </c>
    </row>
    <row r="3337" spans="1:12" x14ac:dyDescent="0.25">
      <c r="A3337" s="48" t="str">
        <f>IF(Учет!A3337&lt;&gt;"",Учет!A3337,"")</f>
        <v/>
      </c>
      <c r="B3337" s="52">
        <f>IF(Учет!$O3337=Справочники!$F$2,Учет!$H3337,0)</f>
        <v>0</v>
      </c>
      <c r="C3337" s="52">
        <f>IF(Учет!$O3337=Справочники!$F$3,Учет!$H3337,0)</f>
        <v>0</v>
      </c>
      <c r="D3337" s="52">
        <f>IF(Учет!$O3337=Справочники!$F$4,Учет!$H3337,0)</f>
        <v>0</v>
      </c>
      <c r="E3337" s="52">
        <f>IF(Учет!$O3337=Справочники!$F$5,Учет!$H3337,0)</f>
        <v>0</v>
      </c>
      <c r="F3337" s="52">
        <f>IF(Учет!$O3337=Справочники!$F$6,Учет!$H3337,0)</f>
        <v>0</v>
      </c>
      <c r="G3337" s="43">
        <f>G3336+Учет!B3337-B3337</f>
        <v>-488978.92000000004</v>
      </c>
      <c r="H3337" s="43">
        <f>H3336+Учет!C3337-C3337</f>
        <v>336855</v>
      </c>
      <c r="I3337" s="43">
        <f>I3336+Учет!D3337-D3337</f>
        <v>500</v>
      </c>
      <c r="J3337" s="43">
        <f>J3336+Учет!E3337-E3337</f>
        <v>1150</v>
      </c>
      <c r="K3337" s="43">
        <f>K3336+Учет!F3337-F3337</f>
        <v>500000</v>
      </c>
      <c r="L3337" s="45">
        <f>Учет!I3337</f>
        <v>349526.07999999996</v>
      </c>
    </row>
    <row r="3338" spans="1:12" x14ac:dyDescent="0.25">
      <c r="A3338" s="48" t="str">
        <f>IF(Учет!A3338&lt;&gt;"",Учет!A3338,"")</f>
        <v/>
      </c>
      <c r="B3338" s="52">
        <f>IF(Учет!$O3338=Справочники!$F$2,Учет!$H3338,0)</f>
        <v>0</v>
      </c>
      <c r="C3338" s="52">
        <f>IF(Учет!$O3338=Справочники!$F$3,Учет!$H3338,0)</f>
        <v>0</v>
      </c>
      <c r="D3338" s="52">
        <f>IF(Учет!$O3338=Справочники!$F$4,Учет!$H3338,0)</f>
        <v>0</v>
      </c>
      <c r="E3338" s="52">
        <f>IF(Учет!$O3338=Справочники!$F$5,Учет!$H3338,0)</f>
        <v>0</v>
      </c>
      <c r="F3338" s="52">
        <f>IF(Учет!$O3338=Справочники!$F$6,Учет!$H3338,0)</f>
        <v>0</v>
      </c>
      <c r="G3338" s="43">
        <f>G3337+Учет!B3338-B3338</f>
        <v>-488978.92000000004</v>
      </c>
      <c r="H3338" s="43">
        <f>H3337+Учет!C3338-C3338</f>
        <v>336855</v>
      </c>
      <c r="I3338" s="43">
        <f>I3337+Учет!D3338-D3338</f>
        <v>500</v>
      </c>
      <c r="J3338" s="43">
        <f>J3337+Учет!E3338-E3338</f>
        <v>1150</v>
      </c>
      <c r="K3338" s="43">
        <f>K3337+Учет!F3338-F3338</f>
        <v>500000</v>
      </c>
      <c r="L3338" s="45">
        <f>Учет!I3338</f>
        <v>349526.07999999996</v>
      </c>
    </row>
    <row r="3339" spans="1:12" x14ac:dyDescent="0.25">
      <c r="A3339" s="48" t="str">
        <f>IF(Учет!A3339&lt;&gt;"",Учет!A3339,"")</f>
        <v/>
      </c>
      <c r="B3339" s="52">
        <f>IF(Учет!$O3339=Справочники!$F$2,Учет!$H3339,0)</f>
        <v>0</v>
      </c>
      <c r="C3339" s="52">
        <f>IF(Учет!$O3339=Справочники!$F$3,Учет!$H3339,0)</f>
        <v>0</v>
      </c>
      <c r="D3339" s="52">
        <f>IF(Учет!$O3339=Справочники!$F$4,Учет!$H3339,0)</f>
        <v>0</v>
      </c>
      <c r="E3339" s="52">
        <f>IF(Учет!$O3339=Справочники!$F$5,Учет!$H3339,0)</f>
        <v>0</v>
      </c>
      <c r="F3339" s="52">
        <f>IF(Учет!$O3339=Справочники!$F$6,Учет!$H3339,0)</f>
        <v>0</v>
      </c>
      <c r="G3339" s="43">
        <f>G3338+Учет!B3339-B3339</f>
        <v>-488978.92000000004</v>
      </c>
      <c r="H3339" s="43">
        <f>H3338+Учет!C3339-C3339</f>
        <v>336855</v>
      </c>
      <c r="I3339" s="43">
        <f>I3338+Учет!D3339-D3339</f>
        <v>500</v>
      </c>
      <c r="J3339" s="43">
        <f>J3338+Учет!E3339-E3339</f>
        <v>1150</v>
      </c>
      <c r="K3339" s="43">
        <f>K3338+Учет!F3339-F3339</f>
        <v>500000</v>
      </c>
      <c r="L3339" s="45">
        <f>Учет!I3339</f>
        <v>349526.07999999996</v>
      </c>
    </row>
    <row r="3340" spans="1:12" x14ac:dyDescent="0.25">
      <c r="A3340" s="48" t="str">
        <f>IF(Учет!A3340&lt;&gt;"",Учет!A3340,"")</f>
        <v/>
      </c>
      <c r="B3340" s="52">
        <f>IF(Учет!$O3340=Справочники!$F$2,Учет!$H3340,0)</f>
        <v>0</v>
      </c>
      <c r="C3340" s="52">
        <f>IF(Учет!$O3340=Справочники!$F$3,Учет!$H3340,0)</f>
        <v>0</v>
      </c>
      <c r="D3340" s="52">
        <f>IF(Учет!$O3340=Справочники!$F$4,Учет!$H3340,0)</f>
        <v>0</v>
      </c>
      <c r="E3340" s="52">
        <f>IF(Учет!$O3340=Справочники!$F$5,Учет!$H3340,0)</f>
        <v>0</v>
      </c>
      <c r="F3340" s="52">
        <f>IF(Учет!$O3340=Справочники!$F$6,Учет!$H3340,0)</f>
        <v>0</v>
      </c>
      <c r="G3340" s="43">
        <f>G3339+Учет!B3340-B3340</f>
        <v>-488978.92000000004</v>
      </c>
      <c r="H3340" s="43">
        <f>H3339+Учет!C3340-C3340</f>
        <v>336855</v>
      </c>
      <c r="I3340" s="43">
        <f>I3339+Учет!D3340-D3340</f>
        <v>500</v>
      </c>
      <c r="J3340" s="43">
        <f>J3339+Учет!E3340-E3340</f>
        <v>1150</v>
      </c>
      <c r="K3340" s="43">
        <f>K3339+Учет!F3340-F3340</f>
        <v>500000</v>
      </c>
      <c r="L3340" s="45">
        <f>Учет!I3340</f>
        <v>349526.07999999996</v>
      </c>
    </row>
    <row r="3341" spans="1:12" x14ac:dyDescent="0.25">
      <c r="A3341" s="48" t="str">
        <f>IF(Учет!A3341&lt;&gt;"",Учет!A3341,"")</f>
        <v/>
      </c>
      <c r="B3341" s="52">
        <f>IF(Учет!$O3341=Справочники!$F$2,Учет!$H3341,0)</f>
        <v>0</v>
      </c>
      <c r="C3341" s="52">
        <f>IF(Учет!$O3341=Справочники!$F$3,Учет!$H3341,0)</f>
        <v>0</v>
      </c>
      <c r="D3341" s="52">
        <f>IF(Учет!$O3341=Справочники!$F$4,Учет!$H3341,0)</f>
        <v>0</v>
      </c>
      <c r="E3341" s="52">
        <f>IF(Учет!$O3341=Справочники!$F$5,Учет!$H3341,0)</f>
        <v>0</v>
      </c>
      <c r="F3341" s="52">
        <f>IF(Учет!$O3341=Справочники!$F$6,Учет!$H3341,0)</f>
        <v>0</v>
      </c>
      <c r="G3341" s="43">
        <f>G3340+Учет!B3341-B3341</f>
        <v>-488978.92000000004</v>
      </c>
      <c r="H3341" s="43">
        <f>H3340+Учет!C3341-C3341</f>
        <v>336855</v>
      </c>
      <c r="I3341" s="43">
        <f>I3340+Учет!D3341-D3341</f>
        <v>500</v>
      </c>
      <c r="J3341" s="43">
        <f>J3340+Учет!E3341-E3341</f>
        <v>1150</v>
      </c>
      <c r="K3341" s="43">
        <f>K3340+Учет!F3341-F3341</f>
        <v>500000</v>
      </c>
      <c r="L3341" s="45">
        <f>Учет!I3341</f>
        <v>349526.07999999996</v>
      </c>
    </row>
    <row r="3342" spans="1:12" x14ac:dyDescent="0.25">
      <c r="A3342" s="48" t="str">
        <f>IF(Учет!A3342&lt;&gt;"",Учет!A3342,"")</f>
        <v/>
      </c>
      <c r="B3342" s="52">
        <f>IF(Учет!$O3342=Справочники!$F$2,Учет!$H3342,0)</f>
        <v>0</v>
      </c>
      <c r="C3342" s="52">
        <f>IF(Учет!$O3342=Справочники!$F$3,Учет!$H3342,0)</f>
        <v>0</v>
      </c>
      <c r="D3342" s="52">
        <f>IF(Учет!$O3342=Справочники!$F$4,Учет!$H3342,0)</f>
        <v>0</v>
      </c>
      <c r="E3342" s="52">
        <f>IF(Учет!$O3342=Справочники!$F$5,Учет!$H3342,0)</f>
        <v>0</v>
      </c>
      <c r="F3342" s="52">
        <f>IF(Учет!$O3342=Справочники!$F$6,Учет!$H3342,0)</f>
        <v>0</v>
      </c>
      <c r="G3342" s="43">
        <f>G3341+Учет!B3342-B3342</f>
        <v>-488978.92000000004</v>
      </c>
      <c r="H3342" s="43">
        <f>H3341+Учет!C3342-C3342</f>
        <v>336855</v>
      </c>
      <c r="I3342" s="43">
        <f>I3341+Учет!D3342-D3342</f>
        <v>500</v>
      </c>
      <c r="J3342" s="43">
        <f>J3341+Учет!E3342-E3342</f>
        <v>1150</v>
      </c>
      <c r="K3342" s="43">
        <f>K3341+Учет!F3342-F3342</f>
        <v>500000</v>
      </c>
      <c r="L3342" s="45">
        <f>Учет!I3342</f>
        <v>349526.07999999996</v>
      </c>
    </row>
    <row r="3343" spans="1:12" x14ac:dyDescent="0.25">
      <c r="A3343" s="48" t="str">
        <f>IF(Учет!A3343&lt;&gt;"",Учет!A3343,"")</f>
        <v/>
      </c>
      <c r="B3343" s="52">
        <f>IF(Учет!$O3343=Справочники!$F$2,Учет!$H3343,0)</f>
        <v>0</v>
      </c>
      <c r="C3343" s="52">
        <f>IF(Учет!$O3343=Справочники!$F$3,Учет!$H3343,0)</f>
        <v>0</v>
      </c>
      <c r="D3343" s="52">
        <f>IF(Учет!$O3343=Справочники!$F$4,Учет!$H3343,0)</f>
        <v>0</v>
      </c>
      <c r="E3343" s="52">
        <f>IF(Учет!$O3343=Справочники!$F$5,Учет!$H3343,0)</f>
        <v>0</v>
      </c>
      <c r="F3343" s="52">
        <f>IF(Учет!$O3343=Справочники!$F$6,Учет!$H3343,0)</f>
        <v>0</v>
      </c>
      <c r="G3343" s="43">
        <f>G3342+Учет!B3343-B3343</f>
        <v>-488978.92000000004</v>
      </c>
      <c r="H3343" s="43">
        <f>H3342+Учет!C3343-C3343</f>
        <v>336855</v>
      </c>
      <c r="I3343" s="43">
        <f>I3342+Учет!D3343-D3343</f>
        <v>500</v>
      </c>
      <c r="J3343" s="43">
        <f>J3342+Учет!E3343-E3343</f>
        <v>1150</v>
      </c>
      <c r="K3343" s="43">
        <f>K3342+Учет!F3343-F3343</f>
        <v>500000</v>
      </c>
      <c r="L3343" s="45">
        <f>Учет!I3343</f>
        <v>349526.07999999996</v>
      </c>
    </row>
    <row r="3344" spans="1:12" x14ac:dyDescent="0.25">
      <c r="A3344" s="48" t="str">
        <f>IF(Учет!A3344&lt;&gt;"",Учет!A3344,"")</f>
        <v/>
      </c>
      <c r="B3344" s="52">
        <f>IF(Учет!$O3344=Справочники!$F$2,Учет!$H3344,0)</f>
        <v>0</v>
      </c>
      <c r="C3344" s="52">
        <f>IF(Учет!$O3344=Справочники!$F$3,Учет!$H3344,0)</f>
        <v>0</v>
      </c>
      <c r="D3344" s="52">
        <f>IF(Учет!$O3344=Справочники!$F$4,Учет!$H3344,0)</f>
        <v>0</v>
      </c>
      <c r="E3344" s="52">
        <f>IF(Учет!$O3344=Справочники!$F$5,Учет!$H3344,0)</f>
        <v>0</v>
      </c>
      <c r="F3344" s="52">
        <f>IF(Учет!$O3344=Справочники!$F$6,Учет!$H3344,0)</f>
        <v>0</v>
      </c>
      <c r="G3344" s="43">
        <f>G3343+Учет!B3344-B3344</f>
        <v>-488978.92000000004</v>
      </c>
      <c r="H3344" s="43">
        <f>H3343+Учет!C3344-C3344</f>
        <v>336855</v>
      </c>
      <c r="I3344" s="43">
        <f>I3343+Учет!D3344-D3344</f>
        <v>500</v>
      </c>
      <c r="J3344" s="43">
        <f>J3343+Учет!E3344-E3344</f>
        <v>1150</v>
      </c>
      <c r="K3344" s="43">
        <f>K3343+Учет!F3344-F3344</f>
        <v>500000</v>
      </c>
      <c r="L3344" s="45">
        <f>Учет!I3344</f>
        <v>349526.07999999996</v>
      </c>
    </row>
    <row r="3345" spans="1:12" x14ac:dyDescent="0.25">
      <c r="A3345" s="48" t="str">
        <f>IF(Учет!A3345&lt;&gt;"",Учет!A3345,"")</f>
        <v/>
      </c>
      <c r="B3345" s="52">
        <f>IF(Учет!$O3345=Справочники!$F$2,Учет!$H3345,0)</f>
        <v>0</v>
      </c>
      <c r="C3345" s="52">
        <f>IF(Учет!$O3345=Справочники!$F$3,Учет!$H3345,0)</f>
        <v>0</v>
      </c>
      <c r="D3345" s="52">
        <f>IF(Учет!$O3345=Справочники!$F$4,Учет!$H3345,0)</f>
        <v>0</v>
      </c>
      <c r="E3345" s="52">
        <f>IF(Учет!$O3345=Справочники!$F$5,Учет!$H3345,0)</f>
        <v>0</v>
      </c>
      <c r="F3345" s="52">
        <f>IF(Учет!$O3345=Справочники!$F$6,Учет!$H3345,0)</f>
        <v>0</v>
      </c>
      <c r="G3345" s="43">
        <f>G3344+Учет!B3345-B3345</f>
        <v>-488978.92000000004</v>
      </c>
      <c r="H3345" s="43">
        <f>H3344+Учет!C3345-C3345</f>
        <v>336855</v>
      </c>
      <c r="I3345" s="43">
        <f>I3344+Учет!D3345-D3345</f>
        <v>500</v>
      </c>
      <c r="J3345" s="43">
        <f>J3344+Учет!E3345-E3345</f>
        <v>1150</v>
      </c>
      <c r="K3345" s="43">
        <f>K3344+Учет!F3345-F3345</f>
        <v>500000</v>
      </c>
      <c r="L3345" s="45">
        <f>Учет!I3345</f>
        <v>349526.07999999996</v>
      </c>
    </row>
    <row r="3346" spans="1:12" x14ac:dyDescent="0.25">
      <c r="A3346" s="48" t="str">
        <f>IF(Учет!A3346&lt;&gt;"",Учет!A3346,"")</f>
        <v/>
      </c>
      <c r="B3346" s="52">
        <f>IF(Учет!$O3346=Справочники!$F$2,Учет!$H3346,0)</f>
        <v>0</v>
      </c>
      <c r="C3346" s="52">
        <f>IF(Учет!$O3346=Справочники!$F$3,Учет!$H3346,0)</f>
        <v>0</v>
      </c>
      <c r="D3346" s="52">
        <f>IF(Учет!$O3346=Справочники!$F$4,Учет!$H3346,0)</f>
        <v>0</v>
      </c>
      <c r="E3346" s="52">
        <f>IF(Учет!$O3346=Справочники!$F$5,Учет!$H3346,0)</f>
        <v>0</v>
      </c>
      <c r="F3346" s="52">
        <f>IF(Учет!$O3346=Справочники!$F$6,Учет!$H3346,0)</f>
        <v>0</v>
      </c>
      <c r="G3346" s="43">
        <f>G3345+Учет!B3346-B3346</f>
        <v>-488978.92000000004</v>
      </c>
      <c r="H3346" s="43">
        <f>H3345+Учет!C3346-C3346</f>
        <v>336855</v>
      </c>
      <c r="I3346" s="43">
        <f>I3345+Учет!D3346-D3346</f>
        <v>500</v>
      </c>
      <c r="J3346" s="43">
        <f>J3345+Учет!E3346-E3346</f>
        <v>1150</v>
      </c>
      <c r="K3346" s="43">
        <f>K3345+Учет!F3346-F3346</f>
        <v>500000</v>
      </c>
      <c r="L3346" s="45">
        <f>Учет!I3346</f>
        <v>349526.07999999996</v>
      </c>
    </row>
    <row r="3347" spans="1:12" x14ac:dyDescent="0.25">
      <c r="A3347" s="48" t="str">
        <f>IF(Учет!A3347&lt;&gt;"",Учет!A3347,"")</f>
        <v/>
      </c>
      <c r="B3347" s="52">
        <f>IF(Учет!$O3347=Справочники!$F$2,Учет!$H3347,0)</f>
        <v>0</v>
      </c>
      <c r="C3347" s="52">
        <f>IF(Учет!$O3347=Справочники!$F$3,Учет!$H3347,0)</f>
        <v>0</v>
      </c>
      <c r="D3347" s="52">
        <f>IF(Учет!$O3347=Справочники!$F$4,Учет!$H3347,0)</f>
        <v>0</v>
      </c>
      <c r="E3347" s="52">
        <f>IF(Учет!$O3347=Справочники!$F$5,Учет!$H3347,0)</f>
        <v>0</v>
      </c>
      <c r="F3347" s="52">
        <f>IF(Учет!$O3347=Справочники!$F$6,Учет!$H3347,0)</f>
        <v>0</v>
      </c>
      <c r="G3347" s="43">
        <f>G3346+Учет!B3347-B3347</f>
        <v>-488978.92000000004</v>
      </c>
      <c r="H3347" s="43">
        <f>H3346+Учет!C3347-C3347</f>
        <v>336855</v>
      </c>
      <c r="I3347" s="43">
        <f>I3346+Учет!D3347-D3347</f>
        <v>500</v>
      </c>
      <c r="J3347" s="43">
        <f>J3346+Учет!E3347-E3347</f>
        <v>1150</v>
      </c>
      <c r="K3347" s="43">
        <f>K3346+Учет!F3347-F3347</f>
        <v>500000</v>
      </c>
      <c r="L3347" s="45">
        <f>Учет!I3347</f>
        <v>349526.07999999996</v>
      </c>
    </row>
    <row r="3348" spans="1:12" x14ac:dyDescent="0.25">
      <c r="A3348" s="48" t="str">
        <f>IF(Учет!A3348&lt;&gt;"",Учет!A3348,"")</f>
        <v/>
      </c>
      <c r="B3348" s="52">
        <f>IF(Учет!$O3348=Справочники!$F$2,Учет!$H3348,0)</f>
        <v>0</v>
      </c>
      <c r="C3348" s="52">
        <f>IF(Учет!$O3348=Справочники!$F$3,Учет!$H3348,0)</f>
        <v>0</v>
      </c>
      <c r="D3348" s="52">
        <f>IF(Учет!$O3348=Справочники!$F$4,Учет!$H3348,0)</f>
        <v>0</v>
      </c>
      <c r="E3348" s="52">
        <f>IF(Учет!$O3348=Справочники!$F$5,Учет!$H3348,0)</f>
        <v>0</v>
      </c>
      <c r="F3348" s="52">
        <f>IF(Учет!$O3348=Справочники!$F$6,Учет!$H3348,0)</f>
        <v>0</v>
      </c>
      <c r="G3348" s="43">
        <f>G3347+Учет!B3348-B3348</f>
        <v>-488978.92000000004</v>
      </c>
      <c r="H3348" s="43">
        <f>H3347+Учет!C3348-C3348</f>
        <v>336855</v>
      </c>
      <c r="I3348" s="43">
        <f>I3347+Учет!D3348-D3348</f>
        <v>500</v>
      </c>
      <c r="J3348" s="43">
        <f>J3347+Учет!E3348-E3348</f>
        <v>1150</v>
      </c>
      <c r="K3348" s="43">
        <f>K3347+Учет!F3348-F3348</f>
        <v>500000</v>
      </c>
      <c r="L3348" s="45">
        <f>Учет!I3348</f>
        <v>349526.07999999996</v>
      </c>
    </row>
    <row r="3349" spans="1:12" x14ac:dyDescent="0.25">
      <c r="A3349" s="48" t="str">
        <f>IF(Учет!A3349&lt;&gt;"",Учет!A3349,"")</f>
        <v/>
      </c>
      <c r="B3349" s="52">
        <f>IF(Учет!$O3349=Справочники!$F$2,Учет!$H3349,0)</f>
        <v>0</v>
      </c>
      <c r="C3349" s="52">
        <f>IF(Учет!$O3349=Справочники!$F$3,Учет!$H3349,0)</f>
        <v>0</v>
      </c>
      <c r="D3349" s="52">
        <f>IF(Учет!$O3349=Справочники!$F$4,Учет!$H3349,0)</f>
        <v>0</v>
      </c>
      <c r="E3349" s="52">
        <f>IF(Учет!$O3349=Справочники!$F$5,Учет!$H3349,0)</f>
        <v>0</v>
      </c>
      <c r="F3349" s="52">
        <f>IF(Учет!$O3349=Справочники!$F$6,Учет!$H3349,0)</f>
        <v>0</v>
      </c>
      <c r="G3349" s="43">
        <f>G3348+Учет!B3349-B3349</f>
        <v>-488978.92000000004</v>
      </c>
      <c r="H3349" s="43">
        <f>H3348+Учет!C3349-C3349</f>
        <v>336855</v>
      </c>
      <c r="I3349" s="43">
        <f>I3348+Учет!D3349-D3349</f>
        <v>500</v>
      </c>
      <c r="J3349" s="43">
        <f>J3348+Учет!E3349-E3349</f>
        <v>1150</v>
      </c>
      <c r="K3349" s="43">
        <f>K3348+Учет!F3349-F3349</f>
        <v>500000</v>
      </c>
      <c r="L3349" s="45">
        <f>Учет!I3349</f>
        <v>349526.07999999996</v>
      </c>
    </row>
    <row r="3350" spans="1:12" x14ac:dyDescent="0.25">
      <c r="A3350" s="48" t="str">
        <f>IF(Учет!A3350&lt;&gt;"",Учет!A3350,"")</f>
        <v/>
      </c>
      <c r="B3350" s="52">
        <f>IF(Учет!$O3350=Справочники!$F$2,Учет!$H3350,0)</f>
        <v>0</v>
      </c>
      <c r="C3350" s="52">
        <f>IF(Учет!$O3350=Справочники!$F$3,Учет!$H3350,0)</f>
        <v>0</v>
      </c>
      <c r="D3350" s="52">
        <f>IF(Учет!$O3350=Справочники!$F$4,Учет!$H3350,0)</f>
        <v>0</v>
      </c>
      <c r="E3350" s="52">
        <f>IF(Учет!$O3350=Справочники!$F$5,Учет!$H3350,0)</f>
        <v>0</v>
      </c>
      <c r="F3350" s="52">
        <f>IF(Учет!$O3350=Справочники!$F$6,Учет!$H3350,0)</f>
        <v>0</v>
      </c>
      <c r="G3350" s="43">
        <f>G3349+Учет!B3350-B3350</f>
        <v>-488978.92000000004</v>
      </c>
      <c r="H3350" s="43">
        <f>H3349+Учет!C3350-C3350</f>
        <v>336855</v>
      </c>
      <c r="I3350" s="43">
        <f>I3349+Учет!D3350-D3350</f>
        <v>500</v>
      </c>
      <c r="J3350" s="43">
        <f>J3349+Учет!E3350-E3350</f>
        <v>1150</v>
      </c>
      <c r="K3350" s="43">
        <f>K3349+Учет!F3350-F3350</f>
        <v>500000</v>
      </c>
      <c r="L3350" s="45">
        <f>Учет!I3350</f>
        <v>349526.07999999996</v>
      </c>
    </row>
    <row r="3351" spans="1:12" x14ac:dyDescent="0.25">
      <c r="A3351" s="48" t="str">
        <f>IF(Учет!A3351&lt;&gt;"",Учет!A3351,"")</f>
        <v/>
      </c>
      <c r="B3351" s="52">
        <f>IF(Учет!$O3351=Справочники!$F$2,Учет!$H3351,0)</f>
        <v>0</v>
      </c>
      <c r="C3351" s="52">
        <f>IF(Учет!$O3351=Справочники!$F$3,Учет!$H3351,0)</f>
        <v>0</v>
      </c>
      <c r="D3351" s="52">
        <f>IF(Учет!$O3351=Справочники!$F$4,Учет!$H3351,0)</f>
        <v>0</v>
      </c>
      <c r="E3351" s="52">
        <f>IF(Учет!$O3351=Справочники!$F$5,Учет!$H3351,0)</f>
        <v>0</v>
      </c>
      <c r="F3351" s="52">
        <f>IF(Учет!$O3351=Справочники!$F$6,Учет!$H3351,0)</f>
        <v>0</v>
      </c>
      <c r="G3351" s="43">
        <f>G3350+Учет!B3351-B3351</f>
        <v>-488978.92000000004</v>
      </c>
      <c r="H3351" s="43">
        <f>H3350+Учет!C3351-C3351</f>
        <v>336855</v>
      </c>
      <c r="I3351" s="43">
        <f>I3350+Учет!D3351-D3351</f>
        <v>500</v>
      </c>
      <c r="J3351" s="43">
        <f>J3350+Учет!E3351-E3351</f>
        <v>1150</v>
      </c>
      <c r="K3351" s="43">
        <f>K3350+Учет!F3351-F3351</f>
        <v>500000</v>
      </c>
      <c r="L3351" s="45">
        <f>Учет!I3351</f>
        <v>349526.07999999996</v>
      </c>
    </row>
    <row r="3352" spans="1:12" x14ac:dyDescent="0.25">
      <c r="A3352" s="48" t="str">
        <f>IF(Учет!A3352&lt;&gt;"",Учет!A3352,"")</f>
        <v/>
      </c>
      <c r="B3352" s="52">
        <f>IF(Учет!$O3352=Справочники!$F$2,Учет!$H3352,0)</f>
        <v>0</v>
      </c>
      <c r="C3352" s="52">
        <f>IF(Учет!$O3352=Справочники!$F$3,Учет!$H3352,0)</f>
        <v>0</v>
      </c>
      <c r="D3352" s="52">
        <f>IF(Учет!$O3352=Справочники!$F$4,Учет!$H3352,0)</f>
        <v>0</v>
      </c>
      <c r="E3352" s="52">
        <f>IF(Учет!$O3352=Справочники!$F$5,Учет!$H3352,0)</f>
        <v>0</v>
      </c>
      <c r="F3352" s="52">
        <f>IF(Учет!$O3352=Справочники!$F$6,Учет!$H3352,0)</f>
        <v>0</v>
      </c>
      <c r="G3352" s="43">
        <f>G3351+Учет!B3352-B3352</f>
        <v>-488978.92000000004</v>
      </c>
      <c r="H3352" s="43">
        <f>H3351+Учет!C3352-C3352</f>
        <v>336855</v>
      </c>
      <c r="I3352" s="43">
        <f>I3351+Учет!D3352-D3352</f>
        <v>500</v>
      </c>
      <c r="J3352" s="43">
        <f>J3351+Учет!E3352-E3352</f>
        <v>1150</v>
      </c>
      <c r="K3352" s="43">
        <f>K3351+Учет!F3352-F3352</f>
        <v>500000</v>
      </c>
      <c r="L3352" s="45">
        <f>Учет!I3352</f>
        <v>349526.07999999996</v>
      </c>
    </row>
    <row r="3353" spans="1:12" x14ac:dyDescent="0.25">
      <c r="A3353" s="48" t="str">
        <f>IF(Учет!A3353&lt;&gt;"",Учет!A3353,"")</f>
        <v/>
      </c>
      <c r="B3353" s="52">
        <f>IF(Учет!$O3353=Справочники!$F$2,Учет!$H3353,0)</f>
        <v>0</v>
      </c>
      <c r="C3353" s="52">
        <f>IF(Учет!$O3353=Справочники!$F$3,Учет!$H3353,0)</f>
        <v>0</v>
      </c>
      <c r="D3353" s="52">
        <f>IF(Учет!$O3353=Справочники!$F$4,Учет!$H3353,0)</f>
        <v>0</v>
      </c>
      <c r="E3353" s="52">
        <f>IF(Учет!$O3353=Справочники!$F$5,Учет!$H3353,0)</f>
        <v>0</v>
      </c>
      <c r="F3353" s="52">
        <f>IF(Учет!$O3353=Справочники!$F$6,Учет!$H3353,0)</f>
        <v>0</v>
      </c>
      <c r="G3353" s="43">
        <f>G3352+Учет!B3353-B3353</f>
        <v>-488978.92000000004</v>
      </c>
      <c r="H3353" s="43">
        <f>H3352+Учет!C3353-C3353</f>
        <v>336855</v>
      </c>
      <c r="I3353" s="43">
        <f>I3352+Учет!D3353-D3353</f>
        <v>500</v>
      </c>
      <c r="J3353" s="43">
        <f>J3352+Учет!E3353-E3353</f>
        <v>1150</v>
      </c>
      <c r="K3353" s="43">
        <f>K3352+Учет!F3353-F3353</f>
        <v>500000</v>
      </c>
      <c r="L3353" s="45">
        <f>Учет!I3353</f>
        <v>349526.07999999996</v>
      </c>
    </row>
    <row r="3354" spans="1:12" x14ac:dyDescent="0.25">
      <c r="A3354" s="48" t="str">
        <f>IF(Учет!A3354&lt;&gt;"",Учет!A3354,"")</f>
        <v/>
      </c>
      <c r="B3354" s="52">
        <f>IF(Учет!$O3354=Справочники!$F$2,Учет!$H3354,0)</f>
        <v>0</v>
      </c>
      <c r="C3354" s="52">
        <f>IF(Учет!$O3354=Справочники!$F$3,Учет!$H3354,0)</f>
        <v>0</v>
      </c>
      <c r="D3354" s="52">
        <f>IF(Учет!$O3354=Справочники!$F$4,Учет!$H3354,0)</f>
        <v>0</v>
      </c>
      <c r="E3354" s="52">
        <f>IF(Учет!$O3354=Справочники!$F$5,Учет!$H3354,0)</f>
        <v>0</v>
      </c>
      <c r="F3354" s="52">
        <f>IF(Учет!$O3354=Справочники!$F$6,Учет!$H3354,0)</f>
        <v>0</v>
      </c>
      <c r="G3354" s="43">
        <f>G3353+Учет!B3354-B3354</f>
        <v>-488978.92000000004</v>
      </c>
      <c r="H3354" s="43">
        <f>H3353+Учет!C3354-C3354</f>
        <v>336855</v>
      </c>
      <c r="I3354" s="43">
        <f>I3353+Учет!D3354-D3354</f>
        <v>500</v>
      </c>
      <c r="J3354" s="43">
        <f>J3353+Учет!E3354-E3354</f>
        <v>1150</v>
      </c>
      <c r="K3354" s="43">
        <f>K3353+Учет!F3354-F3354</f>
        <v>500000</v>
      </c>
      <c r="L3354" s="45">
        <f>Учет!I3354</f>
        <v>349526.07999999996</v>
      </c>
    </row>
    <row r="3355" spans="1:12" x14ac:dyDescent="0.25">
      <c r="A3355" s="48" t="str">
        <f>IF(Учет!A3355&lt;&gt;"",Учет!A3355,"")</f>
        <v/>
      </c>
      <c r="B3355" s="52">
        <f>IF(Учет!$O3355=Справочники!$F$2,Учет!$H3355,0)</f>
        <v>0</v>
      </c>
      <c r="C3355" s="52">
        <f>IF(Учет!$O3355=Справочники!$F$3,Учет!$H3355,0)</f>
        <v>0</v>
      </c>
      <c r="D3355" s="52">
        <f>IF(Учет!$O3355=Справочники!$F$4,Учет!$H3355,0)</f>
        <v>0</v>
      </c>
      <c r="E3355" s="52">
        <f>IF(Учет!$O3355=Справочники!$F$5,Учет!$H3355,0)</f>
        <v>0</v>
      </c>
      <c r="F3355" s="52">
        <f>IF(Учет!$O3355=Справочники!$F$6,Учет!$H3355,0)</f>
        <v>0</v>
      </c>
      <c r="G3355" s="43">
        <f>G3354+Учет!B3355-B3355</f>
        <v>-488978.92000000004</v>
      </c>
      <c r="H3355" s="43">
        <f>H3354+Учет!C3355-C3355</f>
        <v>336855</v>
      </c>
      <c r="I3355" s="43">
        <f>I3354+Учет!D3355-D3355</f>
        <v>500</v>
      </c>
      <c r="J3355" s="43">
        <f>J3354+Учет!E3355-E3355</f>
        <v>1150</v>
      </c>
      <c r="K3355" s="43">
        <f>K3354+Учет!F3355-F3355</f>
        <v>500000</v>
      </c>
      <c r="L3355" s="45">
        <f>Учет!I3355</f>
        <v>349526.07999999996</v>
      </c>
    </row>
    <row r="3356" spans="1:12" x14ac:dyDescent="0.25">
      <c r="A3356" s="48" t="str">
        <f>IF(Учет!A3356&lt;&gt;"",Учет!A3356,"")</f>
        <v/>
      </c>
      <c r="B3356" s="52">
        <f>IF(Учет!$O3356=Справочники!$F$2,Учет!$H3356,0)</f>
        <v>0</v>
      </c>
      <c r="C3356" s="52">
        <f>IF(Учет!$O3356=Справочники!$F$3,Учет!$H3356,0)</f>
        <v>0</v>
      </c>
      <c r="D3356" s="52">
        <f>IF(Учет!$O3356=Справочники!$F$4,Учет!$H3356,0)</f>
        <v>0</v>
      </c>
      <c r="E3356" s="52">
        <f>IF(Учет!$O3356=Справочники!$F$5,Учет!$H3356,0)</f>
        <v>0</v>
      </c>
      <c r="F3356" s="52">
        <f>IF(Учет!$O3356=Справочники!$F$6,Учет!$H3356,0)</f>
        <v>0</v>
      </c>
      <c r="G3356" s="43">
        <f>G3355+Учет!B3356-B3356</f>
        <v>-488978.92000000004</v>
      </c>
      <c r="H3356" s="43">
        <f>H3355+Учет!C3356-C3356</f>
        <v>336855</v>
      </c>
      <c r="I3356" s="43">
        <f>I3355+Учет!D3356-D3356</f>
        <v>500</v>
      </c>
      <c r="J3356" s="43">
        <f>J3355+Учет!E3356-E3356</f>
        <v>1150</v>
      </c>
      <c r="K3356" s="43">
        <f>K3355+Учет!F3356-F3356</f>
        <v>500000</v>
      </c>
      <c r="L3356" s="45">
        <f>Учет!I3356</f>
        <v>349526.07999999996</v>
      </c>
    </row>
    <row r="3357" spans="1:12" x14ac:dyDescent="0.25">
      <c r="A3357" s="48" t="str">
        <f>IF(Учет!A3357&lt;&gt;"",Учет!A3357,"")</f>
        <v/>
      </c>
      <c r="B3357" s="52">
        <f>IF(Учет!$O3357=Справочники!$F$2,Учет!$H3357,0)</f>
        <v>0</v>
      </c>
      <c r="C3357" s="52">
        <f>IF(Учет!$O3357=Справочники!$F$3,Учет!$H3357,0)</f>
        <v>0</v>
      </c>
      <c r="D3357" s="52">
        <f>IF(Учет!$O3357=Справочники!$F$4,Учет!$H3357,0)</f>
        <v>0</v>
      </c>
      <c r="E3357" s="52">
        <f>IF(Учет!$O3357=Справочники!$F$5,Учет!$H3357,0)</f>
        <v>0</v>
      </c>
      <c r="F3357" s="52">
        <f>IF(Учет!$O3357=Справочники!$F$6,Учет!$H3357,0)</f>
        <v>0</v>
      </c>
      <c r="G3357" s="43">
        <f>G3356+Учет!B3357-B3357</f>
        <v>-488978.92000000004</v>
      </c>
      <c r="H3357" s="43">
        <f>H3356+Учет!C3357-C3357</f>
        <v>336855</v>
      </c>
      <c r="I3357" s="43">
        <f>I3356+Учет!D3357-D3357</f>
        <v>500</v>
      </c>
      <c r="J3357" s="43">
        <f>J3356+Учет!E3357-E3357</f>
        <v>1150</v>
      </c>
      <c r="K3357" s="43">
        <f>K3356+Учет!F3357-F3357</f>
        <v>500000</v>
      </c>
      <c r="L3357" s="45">
        <f>Учет!I3357</f>
        <v>349526.07999999996</v>
      </c>
    </row>
    <row r="3358" spans="1:12" x14ac:dyDescent="0.25">
      <c r="A3358" s="48" t="str">
        <f>IF(Учет!A3358&lt;&gt;"",Учет!A3358,"")</f>
        <v/>
      </c>
      <c r="B3358" s="52">
        <f>IF(Учет!$O3358=Справочники!$F$2,Учет!$H3358,0)</f>
        <v>0</v>
      </c>
      <c r="C3358" s="52">
        <f>IF(Учет!$O3358=Справочники!$F$3,Учет!$H3358,0)</f>
        <v>0</v>
      </c>
      <c r="D3358" s="52">
        <f>IF(Учет!$O3358=Справочники!$F$4,Учет!$H3358,0)</f>
        <v>0</v>
      </c>
      <c r="E3358" s="52">
        <f>IF(Учет!$O3358=Справочники!$F$5,Учет!$H3358,0)</f>
        <v>0</v>
      </c>
      <c r="F3358" s="52">
        <f>IF(Учет!$O3358=Справочники!$F$6,Учет!$H3358,0)</f>
        <v>0</v>
      </c>
      <c r="G3358" s="43">
        <f>G3357+Учет!B3358-B3358</f>
        <v>-488978.92000000004</v>
      </c>
      <c r="H3358" s="43">
        <f>H3357+Учет!C3358-C3358</f>
        <v>336855</v>
      </c>
      <c r="I3358" s="43">
        <f>I3357+Учет!D3358-D3358</f>
        <v>500</v>
      </c>
      <c r="J3358" s="43">
        <f>J3357+Учет!E3358-E3358</f>
        <v>1150</v>
      </c>
      <c r="K3358" s="43">
        <f>K3357+Учет!F3358-F3358</f>
        <v>500000</v>
      </c>
      <c r="L3358" s="45">
        <f>Учет!I3358</f>
        <v>349526.07999999996</v>
      </c>
    </row>
    <row r="3359" spans="1:12" x14ac:dyDescent="0.25">
      <c r="A3359" s="48" t="str">
        <f>IF(Учет!A3359&lt;&gt;"",Учет!A3359,"")</f>
        <v/>
      </c>
      <c r="B3359" s="52">
        <f>IF(Учет!$O3359=Справочники!$F$2,Учет!$H3359,0)</f>
        <v>0</v>
      </c>
      <c r="C3359" s="52">
        <f>IF(Учет!$O3359=Справочники!$F$3,Учет!$H3359,0)</f>
        <v>0</v>
      </c>
      <c r="D3359" s="52">
        <f>IF(Учет!$O3359=Справочники!$F$4,Учет!$H3359,0)</f>
        <v>0</v>
      </c>
      <c r="E3359" s="52">
        <f>IF(Учет!$O3359=Справочники!$F$5,Учет!$H3359,0)</f>
        <v>0</v>
      </c>
      <c r="F3359" s="52">
        <f>IF(Учет!$O3359=Справочники!$F$6,Учет!$H3359,0)</f>
        <v>0</v>
      </c>
      <c r="G3359" s="43">
        <f>G3358+Учет!B3359-B3359</f>
        <v>-488978.92000000004</v>
      </c>
      <c r="H3359" s="43">
        <f>H3358+Учет!C3359-C3359</f>
        <v>336855</v>
      </c>
      <c r="I3359" s="43">
        <f>I3358+Учет!D3359-D3359</f>
        <v>500</v>
      </c>
      <c r="J3359" s="43">
        <f>J3358+Учет!E3359-E3359</f>
        <v>1150</v>
      </c>
      <c r="K3359" s="43">
        <f>K3358+Учет!F3359-F3359</f>
        <v>500000</v>
      </c>
      <c r="L3359" s="45">
        <f>Учет!I3359</f>
        <v>349526.07999999996</v>
      </c>
    </row>
    <row r="3360" spans="1:12" x14ac:dyDescent="0.25">
      <c r="A3360" s="48" t="str">
        <f>IF(Учет!A3360&lt;&gt;"",Учет!A3360,"")</f>
        <v/>
      </c>
      <c r="B3360" s="52">
        <f>IF(Учет!$O3360=Справочники!$F$2,Учет!$H3360,0)</f>
        <v>0</v>
      </c>
      <c r="C3360" s="52">
        <f>IF(Учет!$O3360=Справочники!$F$3,Учет!$H3360,0)</f>
        <v>0</v>
      </c>
      <c r="D3360" s="52">
        <f>IF(Учет!$O3360=Справочники!$F$4,Учет!$H3360,0)</f>
        <v>0</v>
      </c>
      <c r="E3360" s="52">
        <f>IF(Учет!$O3360=Справочники!$F$5,Учет!$H3360,0)</f>
        <v>0</v>
      </c>
      <c r="F3360" s="52">
        <f>IF(Учет!$O3360=Справочники!$F$6,Учет!$H3360,0)</f>
        <v>0</v>
      </c>
      <c r="G3360" s="43">
        <f>G3359+Учет!B3360-B3360</f>
        <v>-488978.92000000004</v>
      </c>
      <c r="H3360" s="43">
        <f>H3359+Учет!C3360-C3360</f>
        <v>336855</v>
      </c>
      <c r="I3360" s="43">
        <f>I3359+Учет!D3360-D3360</f>
        <v>500</v>
      </c>
      <c r="J3360" s="43">
        <f>J3359+Учет!E3360-E3360</f>
        <v>1150</v>
      </c>
      <c r="K3360" s="43">
        <f>K3359+Учет!F3360-F3360</f>
        <v>500000</v>
      </c>
      <c r="L3360" s="45">
        <f>Учет!I3360</f>
        <v>349526.07999999996</v>
      </c>
    </row>
    <row r="3361" spans="1:12" x14ac:dyDescent="0.25">
      <c r="A3361" s="48" t="str">
        <f>IF(Учет!A3361&lt;&gt;"",Учет!A3361,"")</f>
        <v/>
      </c>
      <c r="B3361" s="52">
        <f>IF(Учет!$O3361=Справочники!$F$2,Учет!$H3361,0)</f>
        <v>0</v>
      </c>
      <c r="C3361" s="52">
        <f>IF(Учет!$O3361=Справочники!$F$3,Учет!$H3361,0)</f>
        <v>0</v>
      </c>
      <c r="D3361" s="52">
        <f>IF(Учет!$O3361=Справочники!$F$4,Учет!$H3361,0)</f>
        <v>0</v>
      </c>
      <c r="E3361" s="52">
        <f>IF(Учет!$O3361=Справочники!$F$5,Учет!$H3361,0)</f>
        <v>0</v>
      </c>
      <c r="F3361" s="52">
        <f>IF(Учет!$O3361=Справочники!$F$6,Учет!$H3361,0)</f>
        <v>0</v>
      </c>
      <c r="G3361" s="43">
        <f>G3360+Учет!B3361-B3361</f>
        <v>-488978.92000000004</v>
      </c>
      <c r="H3361" s="43">
        <f>H3360+Учет!C3361-C3361</f>
        <v>336855</v>
      </c>
      <c r="I3361" s="43">
        <f>I3360+Учет!D3361-D3361</f>
        <v>500</v>
      </c>
      <c r="J3361" s="43">
        <f>J3360+Учет!E3361-E3361</f>
        <v>1150</v>
      </c>
      <c r="K3361" s="43">
        <f>K3360+Учет!F3361-F3361</f>
        <v>500000</v>
      </c>
      <c r="L3361" s="45">
        <f>Учет!I3361</f>
        <v>349526.07999999996</v>
      </c>
    </row>
    <row r="3362" spans="1:12" x14ac:dyDescent="0.25">
      <c r="A3362" s="48" t="str">
        <f>IF(Учет!A3362&lt;&gt;"",Учет!A3362,"")</f>
        <v/>
      </c>
      <c r="B3362" s="52">
        <f>IF(Учет!$O3362=Справочники!$F$2,Учет!$H3362,0)</f>
        <v>0</v>
      </c>
      <c r="C3362" s="52">
        <f>IF(Учет!$O3362=Справочники!$F$3,Учет!$H3362,0)</f>
        <v>0</v>
      </c>
      <c r="D3362" s="52">
        <f>IF(Учет!$O3362=Справочники!$F$4,Учет!$H3362,0)</f>
        <v>0</v>
      </c>
      <c r="E3362" s="52">
        <f>IF(Учет!$O3362=Справочники!$F$5,Учет!$H3362,0)</f>
        <v>0</v>
      </c>
      <c r="F3362" s="52">
        <f>IF(Учет!$O3362=Справочники!$F$6,Учет!$H3362,0)</f>
        <v>0</v>
      </c>
      <c r="G3362" s="43">
        <f>G3361+Учет!B3362-B3362</f>
        <v>-488978.92000000004</v>
      </c>
      <c r="H3362" s="43">
        <f>H3361+Учет!C3362-C3362</f>
        <v>336855</v>
      </c>
      <c r="I3362" s="43">
        <f>I3361+Учет!D3362-D3362</f>
        <v>500</v>
      </c>
      <c r="J3362" s="43">
        <f>J3361+Учет!E3362-E3362</f>
        <v>1150</v>
      </c>
      <c r="K3362" s="43">
        <f>K3361+Учет!F3362-F3362</f>
        <v>500000</v>
      </c>
      <c r="L3362" s="45">
        <f>Учет!I3362</f>
        <v>349526.07999999996</v>
      </c>
    </row>
    <row r="3363" spans="1:12" x14ac:dyDescent="0.25">
      <c r="A3363" s="48" t="str">
        <f>IF(Учет!A3363&lt;&gt;"",Учет!A3363,"")</f>
        <v/>
      </c>
      <c r="B3363" s="52">
        <f>IF(Учет!$O3363=Справочники!$F$2,Учет!$H3363,0)</f>
        <v>0</v>
      </c>
      <c r="C3363" s="52">
        <f>IF(Учет!$O3363=Справочники!$F$3,Учет!$H3363,0)</f>
        <v>0</v>
      </c>
      <c r="D3363" s="52">
        <f>IF(Учет!$O3363=Справочники!$F$4,Учет!$H3363,0)</f>
        <v>0</v>
      </c>
      <c r="E3363" s="52">
        <f>IF(Учет!$O3363=Справочники!$F$5,Учет!$H3363,0)</f>
        <v>0</v>
      </c>
      <c r="F3363" s="52">
        <f>IF(Учет!$O3363=Справочники!$F$6,Учет!$H3363,0)</f>
        <v>0</v>
      </c>
      <c r="G3363" s="43">
        <f>G3362+Учет!B3363-B3363</f>
        <v>-488978.92000000004</v>
      </c>
      <c r="H3363" s="43">
        <f>H3362+Учет!C3363-C3363</f>
        <v>336855</v>
      </c>
      <c r="I3363" s="43">
        <f>I3362+Учет!D3363-D3363</f>
        <v>500</v>
      </c>
      <c r="J3363" s="43">
        <f>J3362+Учет!E3363-E3363</f>
        <v>1150</v>
      </c>
      <c r="K3363" s="43">
        <f>K3362+Учет!F3363-F3363</f>
        <v>500000</v>
      </c>
      <c r="L3363" s="45">
        <f>Учет!I3363</f>
        <v>349526.07999999996</v>
      </c>
    </row>
    <row r="3364" spans="1:12" x14ac:dyDescent="0.25">
      <c r="A3364" s="48" t="str">
        <f>IF(Учет!A3364&lt;&gt;"",Учет!A3364,"")</f>
        <v/>
      </c>
      <c r="B3364" s="52">
        <f>IF(Учет!$O3364=Справочники!$F$2,Учет!$H3364,0)</f>
        <v>0</v>
      </c>
      <c r="C3364" s="52">
        <f>IF(Учет!$O3364=Справочники!$F$3,Учет!$H3364,0)</f>
        <v>0</v>
      </c>
      <c r="D3364" s="52">
        <f>IF(Учет!$O3364=Справочники!$F$4,Учет!$H3364,0)</f>
        <v>0</v>
      </c>
      <c r="E3364" s="52">
        <f>IF(Учет!$O3364=Справочники!$F$5,Учет!$H3364,0)</f>
        <v>0</v>
      </c>
      <c r="F3364" s="52">
        <f>IF(Учет!$O3364=Справочники!$F$6,Учет!$H3364,0)</f>
        <v>0</v>
      </c>
      <c r="G3364" s="43">
        <f>G3363+Учет!B3364-B3364</f>
        <v>-488978.92000000004</v>
      </c>
      <c r="H3364" s="43">
        <f>H3363+Учет!C3364-C3364</f>
        <v>336855</v>
      </c>
      <c r="I3364" s="43">
        <f>I3363+Учет!D3364-D3364</f>
        <v>500</v>
      </c>
      <c r="J3364" s="43">
        <f>J3363+Учет!E3364-E3364</f>
        <v>1150</v>
      </c>
      <c r="K3364" s="43">
        <f>K3363+Учет!F3364-F3364</f>
        <v>500000</v>
      </c>
      <c r="L3364" s="45">
        <f>Учет!I3364</f>
        <v>349526.07999999996</v>
      </c>
    </row>
    <row r="3365" spans="1:12" x14ac:dyDescent="0.25">
      <c r="A3365" s="48" t="str">
        <f>IF(Учет!A3365&lt;&gt;"",Учет!A3365,"")</f>
        <v/>
      </c>
      <c r="B3365" s="52">
        <f>IF(Учет!$O3365=Справочники!$F$2,Учет!$H3365,0)</f>
        <v>0</v>
      </c>
      <c r="C3365" s="52">
        <f>IF(Учет!$O3365=Справочники!$F$3,Учет!$H3365,0)</f>
        <v>0</v>
      </c>
      <c r="D3365" s="52">
        <f>IF(Учет!$O3365=Справочники!$F$4,Учет!$H3365,0)</f>
        <v>0</v>
      </c>
      <c r="E3365" s="52">
        <f>IF(Учет!$O3365=Справочники!$F$5,Учет!$H3365,0)</f>
        <v>0</v>
      </c>
      <c r="F3365" s="52">
        <f>IF(Учет!$O3365=Справочники!$F$6,Учет!$H3365,0)</f>
        <v>0</v>
      </c>
      <c r="G3365" s="43">
        <f>G3364+Учет!B3365-B3365</f>
        <v>-488978.92000000004</v>
      </c>
      <c r="H3365" s="43">
        <f>H3364+Учет!C3365-C3365</f>
        <v>336855</v>
      </c>
      <c r="I3365" s="43">
        <f>I3364+Учет!D3365-D3365</f>
        <v>500</v>
      </c>
      <c r="J3365" s="43">
        <f>J3364+Учет!E3365-E3365</f>
        <v>1150</v>
      </c>
      <c r="K3365" s="43">
        <f>K3364+Учет!F3365-F3365</f>
        <v>500000</v>
      </c>
      <c r="L3365" s="45">
        <f>Учет!I3365</f>
        <v>349526.07999999996</v>
      </c>
    </row>
    <row r="3366" spans="1:12" x14ac:dyDescent="0.25">
      <c r="A3366" s="48" t="str">
        <f>IF(Учет!A3366&lt;&gt;"",Учет!A3366,"")</f>
        <v/>
      </c>
      <c r="B3366" s="52">
        <f>IF(Учет!$O3366=Справочники!$F$2,Учет!$H3366,0)</f>
        <v>0</v>
      </c>
      <c r="C3366" s="52">
        <f>IF(Учет!$O3366=Справочники!$F$3,Учет!$H3366,0)</f>
        <v>0</v>
      </c>
      <c r="D3366" s="52">
        <f>IF(Учет!$O3366=Справочники!$F$4,Учет!$H3366,0)</f>
        <v>0</v>
      </c>
      <c r="E3366" s="52">
        <f>IF(Учет!$O3366=Справочники!$F$5,Учет!$H3366,0)</f>
        <v>0</v>
      </c>
      <c r="F3366" s="52">
        <f>IF(Учет!$O3366=Справочники!$F$6,Учет!$H3366,0)</f>
        <v>0</v>
      </c>
      <c r="G3366" s="43">
        <f>G3365+Учет!B3366-B3366</f>
        <v>-488978.92000000004</v>
      </c>
      <c r="H3366" s="43">
        <f>H3365+Учет!C3366-C3366</f>
        <v>336855</v>
      </c>
      <c r="I3366" s="43">
        <f>I3365+Учет!D3366-D3366</f>
        <v>500</v>
      </c>
      <c r="J3366" s="43">
        <f>J3365+Учет!E3366-E3366</f>
        <v>1150</v>
      </c>
      <c r="K3366" s="43">
        <f>K3365+Учет!F3366-F3366</f>
        <v>500000</v>
      </c>
      <c r="L3366" s="45">
        <f>Учет!I3366</f>
        <v>349526.07999999996</v>
      </c>
    </row>
    <row r="3367" spans="1:12" x14ac:dyDescent="0.25">
      <c r="A3367" s="48" t="str">
        <f>IF(Учет!A3367&lt;&gt;"",Учет!A3367,"")</f>
        <v/>
      </c>
      <c r="B3367" s="52">
        <f>IF(Учет!$O3367=Справочники!$F$2,Учет!$H3367,0)</f>
        <v>0</v>
      </c>
      <c r="C3367" s="52">
        <f>IF(Учет!$O3367=Справочники!$F$3,Учет!$H3367,0)</f>
        <v>0</v>
      </c>
      <c r="D3367" s="52">
        <f>IF(Учет!$O3367=Справочники!$F$4,Учет!$H3367,0)</f>
        <v>0</v>
      </c>
      <c r="E3367" s="52">
        <f>IF(Учет!$O3367=Справочники!$F$5,Учет!$H3367,0)</f>
        <v>0</v>
      </c>
      <c r="F3367" s="52">
        <f>IF(Учет!$O3367=Справочники!$F$6,Учет!$H3367,0)</f>
        <v>0</v>
      </c>
      <c r="G3367" s="43">
        <f>G3366+Учет!B3367-B3367</f>
        <v>-488978.92000000004</v>
      </c>
      <c r="H3367" s="43">
        <f>H3366+Учет!C3367-C3367</f>
        <v>336855</v>
      </c>
      <c r="I3367" s="43">
        <f>I3366+Учет!D3367-D3367</f>
        <v>500</v>
      </c>
      <c r="J3367" s="43">
        <f>J3366+Учет!E3367-E3367</f>
        <v>1150</v>
      </c>
      <c r="K3367" s="43">
        <f>K3366+Учет!F3367-F3367</f>
        <v>500000</v>
      </c>
      <c r="L3367" s="45">
        <f>Учет!I3367</f>
        <v>349526.07999999996</v>
      </c>
    </row>
    <row r="3368" spans="1:12" x14ac:dyDescent="0.25">
      <c r="A3368" s="48" t="str">
        <f>IF(Учет!A3368&lt;&gt;"",Учет!A3368,"")</f>
        <v/>
      </c>
      <c r="B3368" s="52">
        <f>IF(Учет!$O3368=Справочники!$F$2,Учет!$H3368,0)</f>
        <v>0</v>
      </c>
      <c r="C3368" s="52">
        <f>IF(Учет!$O3368=Справочники!$F$3,Учет!$H3368,0)</f>
        <v>0</v>
      </c>
      <c r="D3368" s="52">
        <f>IF(Учет!$O3368=Справочники!$F$4,Учет!$H3368,0)</f>
        <v>0</v>
      </c>
      <c r="E3368" s="52">
        <f>IF(Учет!$O3368=Справочники!$F$5,Учет!$H3368,0)</f>
        <v>0</v>
      </c>
      <c r="F3368" s="52">
        <f>IF(Учет!$O3368=Справочники!$F$6,Учет!$H3368,0)</f>
        <v>0</v>
      </c>
      <c r="G3368" s="43">
        <f>G3367+Учет!B3368-B3368</f>
        <v>-488978.92000000004</v>
      </c>
      <c r="H3368" s="43">
        <f>H3367+Учет!C3368-C3368</f>
        <v>336855</v>
      </c>
      <c r="I3368" s="43">
        <f>I3367+Учет!D3368-D3368</f>
        <v>500</v>
      </c>
      <c r="J3368" s="43">
        <f>J3367+Учет!E3368-E3368</f>
        <v>1150</v>
      </c>
      <c r="K3368" s="43">
        <f>K3367+Учет!F3368-F3368</f>
        <v>500000</v>
      </c>
      <c r="L3368" s="45">
        <f>Учет!I3368</f>
        <v>349526.07999999996</v>
      </c>
    </row>
    <row r="3369" spans="1:12" x14ac:dyDescent="0.25">
      <c r="A3369" s="48" t="str">
        <f>IF(Учет!A3369&lt;&gt;"",Учет!A3369,"")</f>
        <v/>
      </c>
      <c r="B3369" s="52">
        <f>IF(Учет!$O3369=Справочники!$F$2,Учет!$H3369,0)</f>
        <v>0</v>
      </c>
      <c r="C3369" s="52">
        <f>IF(Учет!$O3369=Справочники!$F$3,Учет!$H3369,0)</f>
        <v>0</v>
      </c>
      <c r="D3369" s="52">
        <f>IF(Учет!$O3369=Справочники!$F$4,Учет!$H3369,0)</f>
        <v>0</v>
      </c>
      <c r="E3369" s="52">
        <f>IF(Учет!$O3369=Справочники!$F$5,Учет!$H3369,0)</f>
        <v>0</v>
      </c>
      <c r="F3369" s="52">
        <f>IF(Учет!$O3369=Справочники!$F$6,Учет!$H3369,0)</f>
        <v>0</v>
      </c>
      <c r="G3369" s="43">
        <f>G3368+Учет!B3369-B3369</f>
        <v>-488978.92000000004</v>
      </c>
      <c r="H3369" s="43">
        <f>H3368+Учет!C3369-C3369</f>
        <v>336855</v>
      </c>
      <c r="I3369" s="43">
        <f>I3368+Учет!D3369-D3369</f>
        <v>500</v>
      </c>
      <c r="J3369" s="43">
        <f>J3368+Учет!E3369-E3369</f>
        <v>1150</v>
      </c>
      <c r="K3369" s="43">
        <f>K3368+Учет!F3369-F3369</f>
        <v>500000</v>
      </c>
      <c r="L3369" s="45">
        <f>Учет!I3369</f>
        <v>349526.07999999996</v>
      </c>
    </row>
    <row r="3370" spans="1:12" x14ac:dyDescent="0.25">
      <c r="A3370" s="48" t="str">
        <f>IF(Учет!A3370&lt;&gt;"",Учет!A3370,"")</f>
        <v/>
      </c>
      <c r="B3370" s="52">
        <f>IF(Учет!$O3370=Справочники!$F$2,Учет!$H3370,0)</f>
        <v>0</v>
      </c>
      <c r="C3370" s="52">
        <f>IF(Учет!$O3370=Справочники!$F$3,Учет!$H3370,0)</f>
        <v>0</v>
      </c>
      <c r="D3370" s="52">
        <f>IF(Учет!$O3370=Справочники!$F$4,Учет!$H3370,0)</f>
        <v>0</v>
      </c>
      <c r="E3370" s="52">
        <f>IF(Учет!$O3370=Справочники!$F$5,Учет!$H3370,0)</f>
        <v>0</v>
      </c>
      <c r="F3370" s="52">
        <f>IF(Учет!$O3370=Справочники!$F$6,Учет!$H3370,0)</f>
        <v>0</v>
      </c>
      <c r="G3370" s="43">
        <f>G3369+Учет!B3370-B3370</f>
        <v>-488978.92000000004</v>
      </c>
      <c r="H3370" s="43">
        <f>H3369+Учет!C3370-C3370</f>
        <v>336855</v>
      </c>
      <c r="I3370" s="43">
        <f>I3369+Учет!D3370-D3370</f>
        <v>500</v>
      </c>
      <c r="J3370" s="43">
        <f>J3369+Учет!E3370-E3370</f>
        <v>1150</v>
      </c>
      <c r="K3370" s="43">
        <f>K3369+Учет!F3370-F3370</f>
        <v>500000</v>
      </c>
      <c r="L3370" s="45">
        <f>Учет!I3370</f>
        <v>349526.07999999996</v>
      </c>
    </row>
    <row r="3371" spans="1:12" x14ac:dyDescent="0.25">
      <c r="A3371" s="48" t="str">
        <f>IF(Учет!A3371&lt;&gt;"",Учет!A3371,"")</f>
        <v/>
      </c>
      <c r="B3371" s="52">
        <f>IF(Учет!$O3371=Справочники!$F$2,Учет!$H3371,0)</f>
        <v>0</v>
      </c>
      <c r="C3371" s="52">
        <f>IF(Учет!$O3371=Справочники!$F$3,Учет!$H3371,0)</f>
        <v>0</v>
      </c>
      <c r="D3371" s="52">
        <f>IF(Учет!$O3371=Справочники!$F$4,Учет!$H3371,0)</f>
        <v>0</v>
      </c>
      <c r="E3371" s="52">
        <f>IF(Учет!$O3371=Справочники!$F$5,Учет!$H3371,0)</f>
        <v>0</v>
      </c>
      <c r="F3371" s="52">
        <f>IF(Учет!$O3371=Справочники!$F$6,Учет!$H3371,0)</f>
        <v>0</v>
      </c>
      <c r="G3371" s="43">
        <f>G3370+Учет!B3371-B3371</f>
        <v>-488978.92000000004</v>
      </c>
      <c r="H3371" s="43">
        <f>H3370+Учет!C3371-C3371</f>
        <v>336855</v>
      </c>
      <c r="I3371" s="43">
        <f>I3370+Учет!D3371-D3371</f>
        <v>500</v>
      </c>
      <c r="J3371" s="43">
        <f>J3370+Учет!E3371-E3371</f>
        <v>1150</v>
      </c>
      <c r="K3371" s="43">
        <f>K3370+Учет!F3371-F3371</f>
        <v>500000</v>
      </c>
      <c r="L3371" s="45">
        <f>Учет!I3371</f>
        <v>349526.07999999996</v>
      </c>
    </row>
    <row r="3372" spans="1:12" x14ac:dyDescent="0.25">
      <c r="A3372" s="48" t="str">
        <f>IF(Учет!A3372&lt;&gt;"",Учет!A3372,"")</f>
        <v/>
      </c>
      <c r="B3372" s="52">
        <f>IF(Учет!$O3372=Справочники!$F$2,Учет!$H3372,0)</f>
        <v>0</v>
      </c>
      <c r="C3372" s="52">
        <f>IF(Учет!$O3372=Справочники!$F$3,Учет!$H3372,0)</f>
        <v>0</v>
      </c>
      <c r="D3372" s="52">
        <f>IF(Учет!$O3372=Справочники!$F$4,Учет!$H3372,0)</f>
        <v>0</v>
      </c>
      <c r="E3372" s="52">
        <f>IF(Учет!$O3372=Справочники!$F$5,Учет!$H3372,0)</f>
        <v>0</v>
      </c>
      <c r="F3372" s="52">
        <f>IF(Учет!$O3372=Справочники!$F$6,Учет!$H3372,0)</f>
        <v>0</v>
      </c>
      <c r="G3372" s="43">
        <f>G3371+Учет!B3372-B3372</f>
        <v>-488978.92000000004</v>
      </c>
      <c r="H3372" s="43">
        <f>H3371+Учет!C3372-C3372</f>
        <v>336855</v>
      </c>
      <c r="I3372" s="43">
        <f>I3371+Учет!D3372-D3372</f>
        <v>500</v>
      </c>
      <c r="J3372" s="43">
        <f>J3371+Учет!E3372-E3372</f>
        <v>1150</v>
      </c>
      <c r="K3372" s="43">
        <f>K3371+Учет!F3372-F3372</f>
        <v>500000</v>
      </c>
      <c r="L3372" s="45">
        <f>Учет!I3372</f>
        <v>349526.07999999996</v>
      </c>
    </row>
    <row r="3373" spans="1:12" x14ac:dyDescent="0.25">
      <c r="A3373" s="48" t="str">
        <f>IF(Учет!A3373&lt;&gt;"",Учет!A3373,"")</f>
        <v/>
      </c>
      <c r="B3373" s="52">
        <f>IF(Учет!$O3373=Справочники!$F$2,Учет!$H3373,0)</f>
        <v>0</v>
      </c>
      <c r="C3373" s="52">
        <f>IF(Учет!$O3373=Справочники!$F$3,Учет!$H3373,0)</f>
        <v>0</v>
      </c>
      <c r="D3373" s="52">
        <f>IF(Учет!$O3373=Справочники!$F$4,Учет!$H3373,0)</f>
        <v>0</v>
      </c>
      <c r="E3373" s="52">
        <f>IF(Учет!$O3373=Справочники!$F$5,Учет!$H3373,0)</f>
        <v>0</v>
      </c>
      <c r="F3373" s="52">
        <f>IF(Учет!$O3373=Справочники!$F$6,Учет!$H3373,0)</f>
        <v>0</v>
      </c>
      <c r="G3373" s="43">
        <f>G3372+Учет!B3373-B3373</f>
        <v>-488978.92000000004</v>
      </c>
      <c r="H3373" s="43">
        <f>H3372+Учет!C3373-C3373</f>
        <v>336855</v>
      </c>
      <c r="I3373" s="43">
        <f>I3372+Учет!D3373-D3373</f>
        <v>500</v>
      </c>
      <c r="J3373" s="43">
        <f>J3372+Учет!E3373-E3373</f>
        <v>1150</v>
      </c>
      <c r="K3373" s="43">
        <f>K3372+Учет!F3373-F3373</f>
        <v>500000</v>
      </c>
      <c r="L3373" s="45">
        <f>Учет!I3373</f>
        <v>349526.07999999996</v>
      </c>
    </row>
    <row r="3374" spans="1:12" x14ac:dyDescent="0.25">
      <c r="A3374" s="48" t="str">
        <f>IF(Учет!A3374&lt;&gt;"",Учет!A3374,"")</f>
        <v/>
      </c>
      <c r="B3374" s="52">
        <f>IF(Учет!$O3374=Справочники!$F$2,Учет!$H3374,0)</f>
        <v>0</v>
      </c>
      <c r="C3374" s="52">
        <f>IF(Учет!$O3374=Справочники!$F$3,Учет!$H3374,0)</f>
        <v>0</v>
      </c>
      <c r="D3374" s="52">
        <f>IF(Учет!$O3374=Справочники!$F$4,Учет!$H3374,0)</f>
        <v>0</v>
      </c>
      <c r="E3374" s="52">
        <f>IF(Учет!$O3374=Справочники!$F$5,Учет!$H3374,0)</f>
        <v>0</v>
      </c>
      <c r="F3374" s="52">
        <f>IF(Учет!$O3374=Справочники!$F$6,Учет!$H3374,0)</f>
        <v>0</v>
      </c>
      <c r="G3374" s="43">
        <f>G3373+Учет!B3374-B3374</f>
        <v>-488978.92000000004</v>
      </c>
      <c r="H3374" s="43">
        <f>H3373+Учет!C3374-C3374</f>
        <v>336855</v>
      </c>
      <c r="I3374" s="43">
        <f>I3373+Учет!D3374-D3374</f>
        <v>500</v>
      </c>
      <c r="J3374" s="43">
        <f>J3373+Учет!E3374-E3374</f>
        <v>1150</v>
      </c>
      <c r="K3374" s="43">
        <f>K3373+Учет!F3374-F3374</f>
        <v>500000</v>
      </c>
      <c r="L3374" s="45">
        <f>Учет!I3374</f>
        <v>349526.07999999996</v>
      </c>
    </row>
    <row r="3375" spans="1:12" x14ac:dyDescent="0.25">
      <c r="A3375" s="48" t="str">
        <f>IF(Учет!A3375&lt;&gt;"",Учет!A3375,"")</f>
        <v/>
      </c>
      <c r="B3375" s="52">
        <f>IF(Учет!$O3375=Справочники!$F$2,Учет!$H3375,0)</f>
        <v>0</v>
      </c>
      <c r="C3375" s="52">
        <f>IF(Учет!$O3375=Справочники!$F$3,Учет!$H3375,0)</f>
        <v>0</v>
      </c>
      <c r="D3375" s="52">
        <f>IF(Учет!$O3375=Справочники!$F$4,Учет!$H3375,0)</f>
        <v>0</v>
      </c>
      <c r="E3375" s="52">
        <f>IF(Учет!$O3375=Справочники!$F$5,Учет!$H3375,0)</f>
        <v>0</v>
      </c>
      <c r="F3375" s="52">
        <f>IF(Учет!$O3375=Справочники!$F$6,Учет!$H3375,0)</f>
        <v>0</v>
      </c>
      <c r="G3375" s="43">
        <f>G3374+Учет!B3375-B3375</f>
        <v>-488978.92000000004</v>
      </c>
      <c r="H3375" s="43">
        <f>H3374+Учет!C3375-C3375</f>
        <v>336855</v>
      </c>
      <c r="I3375" s="43">
        <f>I3374+Учет!D3375-D3375</f>
        <v>500</v>
      </c>
      <c r="J3375" s="43">
        <f>J3374+Учет!E3375-E3375</f>
        <v>1150</v>
      </c>
      <c r="K3375" s="43">
        <f>K3374+Учет!F3375-F3375</f>
        <v>500000</v>
      </c>
      <c r="L3375" s="45">
        <f>Учет!I3375</f>
        <v>349526.07999999996</v>
      </c>
    </row>
    <row r="3376" spans="1:12" x14ac:dyDescent="0.25">
      <c r="A3376" s="48" t="str">
        <f>IF(Учет!A3376&lt;&gt;"",Учет!A3376,"")</f>
        <v/>
      </c>
      <c r="B3376" s="52">
        <f>IF(Учет!$O3376=Справочники!$F$2,Учет!$H3376,0)</f>
        <v>0</v>
      </c>
      <c r="C3376" s="52">
        <f>IF(Учет!$O3376=Справочники!$F$3,Учет!$H3376,0)</f>
        <v>0</v>
      </c>
      <c r="D3376" s="52">
        <f>IF(Учет!$O3376=Справочники!$F$4,Учет!$H3376,0)</f>
        <v>0</v>
      </c>
      <c r="E3376" s="52">
        <f>IF(Учет!$O3376=Справочники!$F$5,Учет!$H3376,0)</f>
        <v>0</v>
      </c>
      <c r="F3376" s="52">
        <f>IF(Учет!$O3376=Справочники!$F$6,Учет!$H3376,0)</f>
        <v>0</v>
      </c>
      <c r="G3376" s="43">
        <f>G3375+Учет!B3376-B3376</f>
        <v>-488978.92000000004</v>
      </c>
      <c r="H3376" s="43">
        <f>H3375+Учет!C3376-C3376</f>
        <v>336855</v>
      </c>
      <c r="I3376" s="43">
        <f>I3375+Учет!D3376-D3376</f>
        <v>500</v>
      </c>
      <c r="J3376" s="43">
        <f>J3375+Учет!E3376-E3376</f>
        <v>1150</v>
      </c>
      <c r="K3376" s="43">
        <f>K3375+Учет!F3376-F3376</f>
        <v>500000</v>
      </c>
      <c r="L3376" s="45">
        <f>Учет!I3376</f>
        <v>349526.07999999996</v>
      </c>
    </row>
    <row r="3377" spans="1:12" x14ac:dyDescent="0.25">
      <c r="A3377" s="48" t="str">
        <f>IF(Учет!A3377&lt;&gt;"",Учет!A3377,"")</f>
        <v/>
      </c>
      <c r="B3377" s="52">
        <f>IF(Учет!$O3377=Справочники!$F$2,Учет!$H3377,0)</f>
        <v>0</v>
      </c>
      <c r="C3377" s="52">
        <f>IF(Учет!$O3377=Справочники!$F$3,Учет!$H3377,0)</f>
        <v>0</v>
      </c>
      <c r="D3377" s="52">
        <f>IF(Учет!$O3377=Справочники!$F$4,Учет!$H3377,0)</f>
        <v>0</v>
      </c>
      <c r="E3377" s="52">
        <f>IF(Учет!$O3377=Справочники!$F$5,Учет!$H3377,0)</f>
        <v>0</v>
      </c>
      <c r="F3377" s="52">
        <f>IF(Учет!$O3377=Справочники!$F$6,Учет!$H3377,0)</f>
        <v>0</v>
      </c>
      <c r="G3377" s="43">
        <f>G3376+Учет!B3377-B3377</f>
        <v>-488978.92000000004</v>
      </c>
      <c r="H3377" s="43">
        <f>H3376+Учет!C3377-C3377</f>
        <v>336855</v>
      </c>
      <c r="I3377" s="43">
        <f>I3376+Учет!D3377-D3377</f>
        <v>500</v>
      </c>
      <c r="J3377" s="43">
        <f>J3376+Учет!E3377-E3377</f>
        <v>1150</v>
      </c>
      <c r="K3377" s="43">
        <f>K3376+Учет!F3377-F3377</f>
        <v>500000</v>
      </c>
      <c r="L3377" s="45">
        <f>Учет!I3377</f>
        <v>349526.07999999996</v>
      </c>
    </row>
    <row r="3378" spans="1:12" x14ac:dyDescent="0.25">
      <c r="A3378" s="48" t="str">
        <f>IF(Учет!A3378&lt;&gt;"",Учет!A3378,"")</f>
        <v/>
      </c>
      <c r="B3378" s="52">
        <f>IF(Учет!$O3378=Справочники!$F$2,Учет!$H3378,0)</f>
        <v>0</v>
      </c>
      <c r="C3378" s="52">
        <f>IF(Учет!$O3378=Справочники!$F$3,Учет!$H3378,0)</f>
        <v>0</v>
      </c>
      <c r="D3378" s="52">
        <f>IF(Учет!$O3378=Справочники!$F$4,Учет!$H3378,0)</f>
        <v>0</v>
      </c>
      <c r="E3378" s="52">
        <f>IF(Учет!$O3378=Справочники!$F$5,Учет!$H3378,0)</f>
        <v>0</v>
      </c>
      <c r="F3378" s="52">
        <f>IF(Учет!$O3378=Справочники!$F$6,Учет!$H3378,0)</f>
        <v>0</v>
      </c>
      <c r="G3378" s="43">
        <f>G3377+Учет!B3378-B3378</f>
        <v>-488978.92000000004</v>
      </c>
      <c r="H3378" s="43">
        <f>H3377+Учет!C3378-C3378</f>
        <v>336855</v>
      </c>
      <c r="I3378" s="43">
        <f>I3377+Учет!D3378-D3378</f>
        <v>500</v>
      </c>
      <c r="J3378" s="43">
        <f>J3377+Учет!E3378-E3378</f>
        <v>1150</v>
      </c>
      <c r="K3378" s="43">
        <f>K3377+Учет!F3378-F3378</f>
        <v>500000</v>
      </c>
      <c r="L3378" s="45">
        <f>Учет!I3378</f>
        <v>349526.07999999996</v>
      </c>
    </row>
    <row r="3379" spans="1:12" x14ac:dyDescent="0.25">
      <c r="A3379" s="48" t="str">
        <f>IF(Учет!A3379&lt;&gt;"",Учет!A3379,"")</f>
        <v/>
      </c>
      <c r="B3379" s="52">
        <f>IF(Учет!$O3379=Справочники!$F$2,Учет!$H3379,0)</f>
        <v>0</v>
      </c>
      <c r="C3379" s="52">
        <f>IF(Учет!$O3379=Справочники!$F$3,Учет!$H3379,0)</f>
        <v>0</v>
      </c>
      <c r="D3379" s="52">
        <f>IF(Учет!$O3379=Справочники!$F$4,Учет!$H3379,0)</f>
        <v>0</v>
      </c>
      <c r="E3379" s="52">
        <f>IF(Учет!$O3379=Справочники!$F$5,Учет!$H3379,0)</f>
        <v>0</v>
      </c>
      <c r="F3379" s="52">
        <f>IF(Учет!$O3379=Справочники!$F$6,Учет!$H3379,0)</f>
        <v>0</v>
      </c>
      <c r="G3379" s="43">
        <f>G3378+Учет!B3379-B3379</f>
        <v>-488978.92000000004</v>
      </c>
      <c r="H3379" s="43">
        <f>H3378+Учет!C3379-C3379</f>
        <v>336855</v>
      </c>
      <c r="I3379" s="43">
        <f>I3378+Учет!D3379-D3379</f>
        <v>500</v>
      </c>
      <c r="J3379" s="43">
        <f>J3378+Учет!E3379-E3379</f>
        <v>1150</v>
      </c>
      <c r="K3379" s="43">
        <f>K3378+Учет!F3379-F3379</f>
        <v>500000</v>
      </c>
      <c r="L3379" s="45">
        <f>Учет!I3379</f>
        <v>349526.07999999996</v>
      </c>
    </row>
    <row r="3380" spans="1:12" x14ac:dyDescent="0.25">
      <c r="A3380" s="48" t="str">
        <f>IF(Учет!A3380&lt;&gt;"",Учет!A3380,"")</f>
        <v/>
      </c>
      <c r="B3380" s="52">
        <f>IF(Учет!$O3380=Справочники!$F$2,Учет!$H3380,0)</f>
        <v>0</v>
      </c>
      <c r="C3380" s="52">
        <f>IF(Учет!$O3380=Справочники!$F$3,Учет!$H3380,0)</f>
        <v>0</v>
      </c>
      <c r="D3380" s="52">
        <f>IF(Учет!$O3380=Справочники!$F$4,Учет!$H3380,0)</f>
        <v>0</v>
      </c>
      <c r="E3380" s="52">
        <f>IF(Учет!$O3380=Справочники!$F$5,Учет!$H3380,0)</f>
        <v>0</v>
      </c>
      <c r="F3380" s="52">
        <f>IF(Учет!$O3380=Справочники!$F$6,Учет!$H3380,0)</f>
        <v>0</v>
      </c>
      <c r="G3380" s="43">
        <f>G3379+Учет!B3380-B3380</f>
        <v>-488978.92000000004</v>
      </c>
      <c r="H3380" s="43">
        <f>H3379+Учет!C3380-C3380</f>
        <v>336855</v>
      </c>
      <c r="I3380" s="43">
        <f>I3379+Учет!D3380-D3380</f>
        <v>500</v>
      </c>
      <c r="J3380" s="43">
        <f>J3379+Учет!E3380-E3380</f>
        <v>1150</v>
      </c>
      <c r="K3380" s="43">
        <f>K3379+Учет!F3380-F3380</f>
        <v>500000</v>
      </c>
      <c r="L3380" s="45">
        <f>Учет!I3380</f>
        <v>349526.07999999996</v>
      </c>
    </row>
    <row r="3381" spans="1:12" x14ac:dyDescent="0.25">
      <c r="A3381" s="48" t="str">
        <f>IF(Учет!A3381&lt;&gt;"",Учет!A3381,"")</f>
        <v/>
      </c>
      <c r="B3381" s="52">
        <f>IF(Учет!$O3381=Справочники!$F$2,Учет!$H3381,0)</f>
        <v>0</v>
      </c>
      <c r="C3381" s="52">
        <f>IF(Учет!$O3381=Справочники!$F$3,Учет!$H3381,0)</f>
        <v>0</v>
      </c>
      <c r="D3381" s="52">
        <f>IF(Учет!$O3381=Справочники!$F$4,Учет!$H3381,0)</f>
        <v>0</v>
      </c>
      <c r="E3381" s="52">
        <f>IF(Учет!$O3381=Справочники!$F$5,Учет!$H3381,0)</f>
        <v>0</v>
      </c>
      <c r="F3381" s="52">
        <f>IF(Учет!$O3381=Справочники!$F$6,Учет!$H3381,0)</f>
        <v>0</v>
      </c>
      <c r="G3381" s="43">
        <f>G3380+Учет!B3381-B3381</f>
        <v>-488978.92000000004</v>
      </c>
      <c r="H3381" s="43">
        <f>H3380+Учет!C3381-C3381</f>
        <v>336855</v>
      </c>
      <c r="I3381" s="43">
        <f>I3380+Учет!D3381-D3381</f>
        <v>500</v>
      </c>
      <c r="J3381" s="43">
        <f>J3380+Учет!E3381-E3381</f>
        <v>1150</v>
      </c>
      <c r="K3381" s="43">
        <f>K3380+Учет!F3381-F3381</f>
        <v>500000</v>
      </c>
      <c r="L3381" s="45">
        <f>Учет!I3381</f>
        <v>349526.07999999996</v>
      </c>
    </row>
    <row r="3382" spans="1:12" x14ac:dyDescent="0.25">
      <c r="A3382" s="48" t="str">
        <f>IF(Учет!A3382&lt;&gt;"",Учет!A3382,"")</f>
        <v/>
      </c>
      <c r="B3382" s="52">
        <f>IF(Учет!$O3382=Справочники!$F$2,Учет!$H3382,0)</f>
        <v>0</v>
      </c>
      <c r="C3382" s="52">
        <f>IF(Учет!$O3382=Справочники!$F$3,Учет!$H3382,0)</f>
        <v>0</v>
      </c>
      <c r="D3382" s="52">
        <f>IF(Учет!$O3382=Справочники!$F$4,Учет!$H3382,0)</f>
        <v>0</v>
      </c>
      <c r="E3382" s="52">
        <f>IF(Учет!$O3382=Справочники!$F$5,Учет!$H3382,0)</f>
        <v>0</v>
      </c>
      <c r="F3382" s="52">
        <f>IF(Учет!$O3382=Справочники!$F$6,Учет!$H3382,0)</f>
        <v>0</v>
      </c>
      <c r="G3382" s="43">
        <f>G3381+Учет!B3382-B3382</f>
        <v>-488978.92000000004</v>
      </c>
      <c r="H3382" s="43">
        <f>H3381+Учет!C3382-C3382</f>
        <v>336855</v>
      </c>
      <c r="I3382" s="43">
        <f>I3381+Учет!D3382-D3382</f>
        <v>500</v>
      </c>
      <c r="J3382" s="43">
        <f>J3381+Учет!E3382-E3382</f>
        <v>1150</v>
      </c>
      <c r="K3382" s="43">
        <f>K3381+Учет!F3382-F3382</f>
        <v>500000</v>
      </c>
      <c r="L3382" s="45">
        <f>Учет!I3382</f>
        <v>349526.07999999996</v>
      </c>
    </row>
    <row r="3383" spans="1:12" x14ac:dyDescent="0.25">
      <c r="A3383" s="48" t="str">
        <f>IF(Учет!A3383&lt;&gt;"",Учет!A3383,"")</f>
        <v/>
      </c>
      <c r="B3383" s="52">
        <f>IF(Учет!$O3383=Справочники!$F$2,Учет!$H3383,0)</f>
        <v>0</v>
      </c>
      <c r="C3383" s="52">
        <f>IF(Учет!$O3383=Справочники!$F$3,Учет!$H3383,0)</f>
        <v>0</v>
      </c>
      <c r="D3383" s="52">
        <f>IF(Учет!$O3383=Справочники!$F$4,Учет!$H3383,0)</f>
        <v>0</v>
      </c>
      <c r="E3383" s="52">
        <f>IF(Учет!$O3383=Справочники!$F$5,Учет!$H3383,0)</f>
        <v>0</v>
      </c>
      <c r="F3383" s="52">
        <f>IF(Учет!$O3383=Справочники!$F$6,Учет!$H3383,0)</f>
        <v>0</v>
      </c>
      <c r="G3383" s="43">
        <f>G3382+Учет!B3383-B3383</f>
        <v>-488978.92000000004</v>
      </c>
      <c r="H3383" s="43">
        <f>H3382+Учет!C3383-C3383</f>
        <v>336855</v>
      </c>
      <c r="I3383" s="43">
        <f>I3382+Учет!D3383-D3383</f>
        <v>500</v>
      </c>
      <c r="J3383" s="43">
        <f>J3382+Учет!E3383-E3383</f>
        <v>1150</v>
      </c>
      <c r="K3383" s="43">
        <f>K3382+Учет!F3383-F3383</f>
        <v>500000</v>
      </c>
      <c r="L3383" s="45">
        <f>Учет!I3383</f>
        <v>349526.07999999996</v>
      </c>
    </row>
    <row r="3384" spans="1:12" x14ac:dyDescent="0.25">
      <c r="A3384" s="48" t="str">
        <f>IF(Учет!A3384&lt;&gt;"",Учет!A3384,"")</f>
        <v/>
      </c>
      <c r="B3384" s="52">
        <f>IF(Учет!$O3384=Справочники!$F$2,Учет!$H3384,0)</f>
        <v>0</v>
      </c>
      <c r="C3384" s="52">
        <f>IF(Учет!$O3384=Справочники!$F$3,Учет!$H3384,0)</f>
        <v>0</v>
      </c>
      <c r="D3384" s="52">
        <f>IF(Учет!$O3384=Справочники!$F$4,Учет!$H3384,0)</f>
        <v>0</v>
      </c>
      <c r="E3384" s="52">
        <f>IF(Учет!$O3384=Справочники!$F$5,Учет!$H3384,0)</f>
        <v>0</v>
      </c>
      <c r="F3384" s="52">
        <f>IF(Учет!$O3384=Справочники!$F$6,Учет!$H3384,0)</f>
        <v>0</v>
      </c>
      <c r="G3384" s="43">
        <f>G3383+Учет!B3384-B3384</f>
        <v>-488978.92000000004</v>
      </c>
      <c r="H3384" s="43">
        <f>H3383+Учет!C3384-C3384</f>
        <v>336855</v>
      </c>
      <c r="I3384" s="43">
        <f>I3383+Учет!D3384-D3384</f>
        <v>500</v>
      </c>
      <c r="J3384" s="43">
        <f>J3383+Учет!E3384-E3384</f>
        <v>1150</v>
      </c>
      <c r="K3384" s="43">
        <f>K3383+Учет!F3384-F3384</f>
        <v>500000</v>
      </c>
      <c r="L3384" s="45">
        <f>Учет!I3384</f>
        <v>349526.07999999996</v>
      </c>
    </row>
    <row r="3385" spans="1:12" x14ac:dyDescent="0.25">
      <c r="A3385" s="48" t="str">
        <f>IF(Учет!A3385&lt;&gt;"",Учет!A3385,"")</f>
        <v/>
      </c>
      <c r="B3385" s="52">
        <f>IF(Учет!$O3385=Справочники!$F$2,Учет!$H3385,0)</f>
        <v>0</v>
      </c>
      <c r="C3385" s="52">
        <f>IF(Учет!$O3385=Справочники!$F$3,Учет!$H3385,0)</f>
        <v>0</v>
      </c>
      <c r="D3385" s="52">
        <f>IF(Учет!$O3385=Справочники!$F$4,Учет!$H3385,0)</f>
        <v>0</v>
      </c>
      <c r="E3385" s="52">
        <f>IF(Учет!$O3385=Справочники!$F$5,Учет!$H3385,0)</f>
        <v>0</v>
      </c>
      <c r="F3385" s="52">
        <f>IF(Учет!$O3385=Справочники!$F$6,Учет!$H3385,0)</f>
        <v>0</v>
      </c>
      <c r="G3385" s="43">
        <f>G3384+Учет!B3385-B3385</f>
        <v>-488978.92000000004</v>
      </c>
      <c r="H3385" s="43">
        <f>H3384+Учет!C3385-C3385</f>
        <v>336855</v>
      </c>
      <c r="I3385" s="43">
        <f>I3384+Учет!D3385-D3385</f>
        <v>500</v>
      </c>
      <c r="J3385" s="43">
        <f>J3384+Учет!E3385-E3385</f>
        <v>1150</v>
      </c>
      <c r="K3385" s="43">
        <f>K3384+Учет!F3385-F3385</f>
        <v>500000</v>
      </c>
      <c r="L3385" s="45">
        <f>Учет!I3385</f>
        <v>349526.07999999996</v>
      </c>
    </row>
    <row r="3386" spans="1:12" x14ac:dyDescent="0.25">
      <c r="A3386" s="48" t="str">
        <f>IF(Учет!A3386&lt;&gt;"",Учет!A3386,"")</f>
        <v/>
      </c>
      <c r="B3386" s="52">
        <f>IF(Учет!$O3386=Справочники!$F$2,Учет!$H3386,0)</f>
        <v>0</v>
      </c>
      <c r="C3386" s="52">
        <f>IF(Учет!$O3386=Справочники!$F$3,Учет!$H3386,0)</f>
        <v>0</v>
      </c>
      <c r="D3386" s="52">
        <f>IF(Учет!$O3386=Справочники!$F$4,Учет!$H3386,0)</f>
        <v>0</v>
      </c>
      <c r="E3386" s="52">
        <f>IF(Учет!$O3386=Справочники!$F$5,Учет!$H3386,0)</f>
        <v>0</v>
      </c>
      <c r="F3386" s="52">
        <f>IF(Учет!$O3386=Справочники!$F$6,Учет!$H3386,0)</f>
        <v>0</v>
      </c>
      <c r="G3386" s="43">
        <f>G3385+Учет!B3386-B3386</f>
        <v>-488978.92000000004</v>
      </c>
      <c r="H3386" s="43">
        <f>H3385+Учет!C3386-C3386</f>
        <v>336855</v>
      </c>
      <c r="I3386" s="43">
        <f>I3385+Учет!D3386-D3386</f>
        <v>500</v>
      </c>
      <c r="J3386" s="43">
        <f>J3385+Учет!E3386-E3386</f>
        <v>1150</v>
      </c>
      <c r="K3386" s="43">
        <f>K3385+Учет!F3386-F3386</f>
        <v>500000</v>
      </c>
      <c r="L3386" s="45">
        <f>Учет!I3386</f>
        <v>349526.07999999996</v>
      </c>
    </row>
    <row r="3387" spans="1:12" x14ac:dyDescent="0.25">
      <c r="A3387" s="48" t="str">
        <f>IF(Учет!A3387&lt;&gt;"",Учет!A3387,"")</f>
        <v/>
      </c>
      <c r="B3387" s="52">
        <f>IF(Учет!$O3387=Справочники!$F$2,Учет!$H3387,0)</f>
        <v>0</v>
      </c>
      <c r="C3387" s="52">
        <f>IF(Учет!$O3387=Справочники!$F$3,Учет!$H3387,0)</f>
        <v>0</v>
      </c>
      <c r="D3387" s="52">
        <f>IF(Учет!$O3387=Справочники!$F$4,Учет!$H3387,0)</f>
        <v>0</v>
      </c>
      <c r="E3387" s="52">
        <f>IF(Учет!$O3387=Справочники!$F$5,Учет!$H3387,0)</f>
        <v>0</v>
      </c>
      <c r="F3387" s="52">
        <f>IF(Учет!$O3387=Справочники!$F$6,Учет!$H3387,0)</f>
        <v>0</v>
      </c>
      <c r="G3387" s="43">
        <f>G3386+Учет!B3387-B3387</f>
        <v>-488978.92000000004</v>
      </c>
      <c r="H3387" s="43">
        <f>H3386+Учет!C3387-C3387</f>
        <v>336855</v>
      </c>
      <c r="I3387" s="43">
        <f>I3386+Учет!D3387-D3387</f>
        <v>500</v>
      </c>
      <c r="J3387" s="43">
        <f>J3386+Учет!E3387-E3387</f>
        <v>1150</v>
      </c>
      <c r="K3387" s="43">
        <f>K3386+Учет!F3387-F3387</f>
        <v>500000</v>
      </c>
      <c r="L3387" s="45">
        <f>Учет!I3387</f>
        <v>349526.07999999996</v>
      </c>
    </row>
    <row r="3388" spans="1:12" x14ac:dyDescent="0.25">
      <c r="A3388" s="48" t="str">
        <f>IF(Учет!A3388&lt;&gt;"",Учет!A3388,"")</f>
        <v/>
      </c>
      <c r="B3388" s="52">
        <f>IF(Учет!$O3388=Справочники!$F$2,Учет!$H3388,0)</f>
        <v>0</v>
      </c>
      <c r="C3388" s="52">
        <f>IF(Учет!$O3388=Справочники!$F$3,Учет!$H3388,0)</f>
        <v>0</v>
      </c>
      <c r="D3388" s="52">
        <f>IF(Учет!$O3388=Справочники!$F$4,Учет!$H3388,0)</f>
        <v>0</v>
      </c>
      <c r="E3388" s="52">
        <f>IF(Учет!$O3388=Справочники!$F$5,Учет!$H3388,0)</f>
        <v>0</v>
      </c>
      <c r="F3388" s="52">
        <f>IF(Учет!$O3388=Справочники!$F$6,Учет!$H3388,0)</f>
        <v>0</v>
      </c>
      <c r="G3388" s="43">
        <f>G3387+Учет!B3388-B3388</f>
        <v>-488978.92000000004</v>
      </c>
      <c r="H3388" s="43">
        <f>H3387+Учет!C3388-C3388</f>
        <v>336855</v>
      </c>
      <c r="I3388" s="43">
        <f>I3387+Учет!D3388-D3388</f>
        <v>500</v>
      </c>
      <c r="J3388" s="43">
        <f>J3387+Учет!E3388-E3388</f>
        <v>1150</v>
      </c>
      <c r="K3388" s="43">
        <f>K3387+Учет!F3388-F3388</f>
        <v>500000</v>
      </c>
      <c r="L3388" s="45">
        <f>Учет!I3388</f>
        <v>349526.07999999996</v>
      </c>
    </row>
    <row r="3389" spans="1:12" x14ac:dyDescent="0.25">
      <c r="A3389" s="48" t="str">
        <f>IF(Учет!A3389&lt;&gt;"",Учет!A3389,"")</f>
        <v/>
      </c>
      <c r="B3389" s="52">
        <f>IF(Учет!$O3389=Справочники!$F$2,Учет!$H3389,0)</f>
        <v>0</v>
      </c>
      <c r="C3389" s="52">
        <f>IF(Учет!$O3389=Справочники!$F$3,Учет!$H3389,0)</f>
        <v>0</v>
      </c>
      <c r="D3389" s="52">
        <f>IF(Учет!$O3389=Справочники!$F$4,Учет!$H3389,0)</f>
        <v>0</v>
      </c>
      <c r="E3389" s="52">
        <f>IF(Учет!$O3389=Справочники!$F$5,Учет!$H3389,0)</f>
        <v>0</v>
      </c>
      <c r="F3389" s="52">
        <f>IF(Учет!$O3389=Справочники!$F$6,Учет!$H3389,0)</f>
        <v>0</v>
      </c>
      <c r="G3389" s="43">
        <f>G3388+Учет!B3389-B3389</f>
        <v>-488978.92000000004</v>
      </c>
      <c r="H3389" s="43">
        <f>H3388+Учет!C3389-C3389</f>
        <v>336855</v>
      </c>
      <c r="I3389" s="43">
        <f>I3388+Учет!D3389-D3389</f>
        <v>500</v>
      </c>
      <c r="J3389" s="43">
        <f>J3388+Учет!E3389-E3389</f>
        <v>1150</v>
      </c>
      <c r="K3389" s="43">
        <f>K3388+Учет!F3389-F3389</f>
        <v>500000</v>
      </c>
      <c r="L3389" s="45">
        <f>Учет!I3389</f>
        <v>349526.07999999996</v>
      </c>
    </row>
    <row r="3390" spans="1:12" x14ac:dyDescent="0.25">
      <c r="A3390" s="48" t="str">
        <f>IF(Учет!A3390&lt;&gt;"",Учет!A3390,"")</f>
        <v/>
      </c>
      <c r="B3390" s="52">
        <f>IF(Учет!$O3390=Справочники!$F$2,Учет!$H3390,0)</f>
        <v>0</v>
      </c>
      <c r="C3390" s="52">
        <f>IF(Учет!$O3390=Справочники!$F$3,Учет!$H3390,0)</f>
        <v>0</v>
      </c>
      <c r="D3390" s="52">
        <f>IF(Учет!$O3390=Справочники!$F$4,Учет!$H3390,0)</f>
        <v>0</v>
      </c>
      <c r="E3390" s="52">
        <f>IF(Учет!$O3390=Справочники!$F$5,Учет!$H3390,0)</f>
        <v>0</v>
      </c>
      <c r="F3390" s="52">
        <f>IF(Учет!$O3390=Справочники!$F$6,Учет!$H3390,0)</f>
        <v>0</v>
      </c>
      <c r="G3390" s="43">
        <f>G3389+Учет!B3390-B3390</f>
        <v>-488978.92000000004</v>
      </c>
      <c r="H3390" s="43">
        <f>H3389+Учет!C3390-C3390</f>
        <v>336855</v>
      </c>
      <c r="I3390" s="43">
        <f>I3389+Учет!D3390-D3390</f>
        <v>500</v>
      </c>
      <c r="J3390" s="43">
        <f>J3389+Учет!E3390-E3390</f>
        <v>1150</v>
      </c>
      <c r="K3390" s="43">
        <f>K3389+Учет!F3390-F3390</f>
        <v>500000</v>
      </c>
      <c r="L3390" s="45">
        <f>Учет!I3390</f>
        <v>349526.07999999996</v>
      </c>
    </row>
    <row r="3391" spans="1:12" x14ac:dyDescent="0.25">
      <c r="A3391" s="48" t="str">
        <f>IF(Учет!A3391&lt;&gt;"",Учет!A3391,"")</f>
        <v/>
      </c>
      <c r="B3391" s="52">
        <f>IF(Учет!$O3391=Справочники!$F$2,Учет!$H3391,0)</f>
        <v>0</v>
      </c>
      <c r="C3391" s="52">
        <f>IF(Учет!$O3391=Справочники!$F$3,Учет!$H3391,0)</f>
        <v>0</v>
      </c>
      <c r="D3391" s="52">
        <f>IF(Учет!$O3391=Справочники!$F$4,Учет!$H3391,0)</f>
        <v>0</v>
      </c>
      <c r="E3391" s="52">
        <f>IF(Учет!$O3391=Справочники!$F$5,Учет!$H3391,0)</f>
        <v>0</v>
      </c>
      <c r="F3391" s="52">
        <f>IF(Учет!$O3391=Справочники!$F$6,Учет!$H3391,0)</f>
        <v>0</v>
      </c>
      <c r="G3391" s="43">
        <f>G3390+Учет!B3391-B3391</f>
        <v>-488978.92000000004</v>
      </c>
      <c r="H3391" s="43">
        <f>H3390+Учет!C3391-C3391</f>
        <v>336855</v>
      </c>
      <c r="I3391" s="43">
        <f>I3390+Учет!D3391-D3391</f>
        <v>500</v>
      </c>
      <c r="J3391" s="43">
        <f>J3390+Учет!E3391-E3391</f>
        <v>1150</v>
      </c>
      <c r="K3391" s="43">
        <f>K3390+Учет!F3391-F3391</f>
        <v>500000</v>
      </c>
      <c r="L3391" s="45">
        <f>Учет!I3391</f>
        <v>349526.07999999996</v>
      </c>
    </row>
    <row r="3392" spans="1:12" x14ac:dyDescent="0.25">
      <c r="A3392" s="48" t="str">
        <f>IF(Учет!A3392&lt;&gt;"",Учет!A3392,"")</f>
        <v/>
      </c>
      <c r="B3392" s="52">
        <f>IF(Учет!$O3392=Справочники!$F$2,Учет!$H3392,0)</f>
        <v>0</v>
      </c>
      <c r="C3392" s="52">
        <f>IF(Учет!$O3392=Справочники!$F$3,Учет!$H3392,0)</f>
        <v>0</v>
      </c>
      <c r="D3392" s="52">
        <f>IF(Учет!$O3392=Справочники!$F$4,Учет!$H3392,0)</f>
        <v>0</v>
      </c>
      <c r="E3392" s="52">
        <f>IF(Учет!$O3392=Справочники!$F$5,Учет!$H3392,0)</f>
        <v>0</v>
      </c>
      <c r="F3392" s="52">
        <f>IF(Учет!$O3392=Справочники!$F$6,Учет!$H3392,0)</f>
        <v>0</v>
      </c>
      <c r="G3392" s="43">
        <f>G3391+Учет!B3392-B3392</f>
        <v>-488978.92000000004</v>
      </c>
      <c r="H3392" s="43">
        <f>H3391+Учет!C3392-C3392</f>
        <v>336855</v>
      </c>
      <c r="I3392" s="43">
        <f>I3391+Учет!D3392-D3392</f>
        <v>500</v>
      </c>
      <c r="J3392" s="43">
        <f>J3391+Учет!E3392-E3392</f>
        <v>1150</v>
      </c>
      <c r="K3392" s="43">
        <f>K3391+Учет!F3392-F3392</f>
        <v>500000</v>
      </c>
      <c r="L3392" s="45">
        <f>Учет!I3392</f>
        <v>349526.07999999996</v>
      </c>
    </row>
    <row r="3393" spans="1:12" x14ac:dyDescent="0.25">
      <c r="A3393" s="48" t="str">
        <f>IF(Учет!A3393&lt;&gt;"",Учет!A3393,"")</f>
        <v/>
      </c>
      <c r="B3393" s="52">
        <f>IF(Учет!$O3393=Справочники!$F$2,Учет!$H3393,0)</f>
        <v>0</v>
      </c>
      <c r="C3393" s="52">
        <f>IF(Учет!$O3393=Справочники!$F$3,Учет!$H3393,0)</f>
        <v>0</v>
      </c>
      <c r="D3393" s="52">
        <f>IF(Учет!$O3393=Справочники!$F$4,Учет!$H3393,0)</f>
        <v>0</v>
      </c>
      <c r="E3393" s="52">
        <f>IF(Учет!$O3393=Справочники!$F$5,Учет!$H3393,0)</f>
        <v>0</v>
      </c>
      <c r="F3393" s="52">
        <f>IF(Учет!$O3393=Справочники!$F$6,Учет!$H3393,0)</f>
        <v>0</v>
      </c>
      <c r="G3393" s="43">
        <f>G3392+Учет!B3393-B3393</f>
        <v>-488978.92000000004</v>
      </c>
      <c r="H3393" s="43">
        <f>H3392+Учет!C3393-C3393</f>
        <v>336855</v>
      </c>
      <c r="I3393" s="43">
        <f>I3392+Учет!D3393-D3393</f>
        <v>500</v>
      </c>
      <c r="J3393" s="43">
        <f>J3392+Учет!E3393-E3393</f>
        <v>1150</v>
      </c>
      <c r="K3393" s="43">
        <f>K3392+Учет!F3393-F3393</f>
        <v>500000</v>
      </c>
      <c r="L3393" s="45">
        <f>Учет!I3393</f>
        <v>349526.07999999996</v>
      </c>
    </row>
    <row r="3394" spans="1:12" x14ac:dyDescent="0.25">
      <c r="A3394" s="48" t="str">
        <f>IF(Учет!A3394&lt;&gt;"",Учет!A3394,"")</f>
        <v/>
      </c>
      <c r="B3394" s="52">
        <f>IF(Учет!$O3394=Справочники!$F$2,Учет!$H3394,0)</f>
        <v>0</v>
      </c>
      <c r="C3394" s="52">
        <f>IF(Учет!$O3394=Справочники!$F$3,Учет!$H3394,0)</f>
        <v>0</v>
      </c>
      <c r="D3394" s="52">
        <f>IF(Учет!$O3394=Справочники!$F$4,Учет!$H3394,0)</f>
        <v>0</v>
      </c>
      <c r="E3394" s="52">
        <f>IF(Учет!$O3394=Справочники!$F$5,Учет!$H3394,0)</f>
        <v>0</v>
      </c>
      <c r="F3394" s="52">
        <f>IF(Учет!$O3394=Справочники!$F$6,Учет!$H3394,0)</f>
        <v>0</v>
      </c>
      <c r="G3394" s="43">
        <f>G3393+Учет!B3394-B3394</f>
        <v>-488978.92000000004</v>
      </c>
      <c r="H3394" s="43">
        <f>H3393+Учет!C3394-C3394</f>
        <v>336855</v>
      </c>
      <c r="I3394" s="43">
        <f>I3393+Учет!D3394-D3394</f>
        <v>500</v>
      </c>
      <c r="J3394" s="43">
        <f>J3393+Учет!E3394-E3394</f>
        <v>1150</v>
      </c>
      <c r="K3394" s="43">
        <f>K3393+Учет!F3394-F3394</f>
        <v>500000</v>
      </c>
      <c r="L3394" s="45">
        <f>Учет!I3394</f>
        <v>349526.07999999996</v>
      </c>
    </row>
    <row r="3395" spans="1:12" x14ac:dyDescent="0.25">
      <c r="A3395" s="48" t="str">
        <f>IF(Учет!A3395&lt;&gt;"",Учет!A3395,"")</f>
        <v/>
      </c>
      <c r="B3395" s="52">
        <f>IF(Учет!$O3395=Справочники!$F$2,Учет!$H3395,0)</f>
        <v>0</v>
      </c>
      <c r="C3395" s="52">
        <f>IF(Учет!$O3395=Справочники!$F$3,Учет!$H3395,0)</f>
        <v>0</v>
      </c>
      <c r="D3395" s="52">
        <f>IF(Учет!$O3395=Справочники!$F$4,Учет!$H3395,0)</f>
        <v>0</v>
      </c>
      <c r="E3395" s="52">
        <f>IF(Учет!$O3395=Справочники!$F$5,Учет!$H3395,0)</f>
        <v>0</v>
      </c>
      <c r="F3395" s="52">
        <f>IF(Учет!$O3395=Справочники!$F$6,Учет!$H3395,0)</f>
        <v>0</v>
      </c>
      <c r="G3395" s="43">
        <f>G3394+Учет!B3395-B3395</f>
        <v>-488978.92000000004</v>
      </c>
      <c r="H3395" s="43">
        <f>H3394+Учет!C3395-C3395</f>
        <v>336855</v>
      </c>
      <c r="I3395" s="43">
        <f>I3394+Учет!D3395-D3395</f>
        <v>500</v>
      </c>
      <c r="J3395" s="43">
        <f>J3394+Учет!E3395-E3395</f>
        <v>1150</v>
      </c>
      <c r="K3395" s="43">
        <f>K3394+Учет!F3395-F3395</f>
        <v>500000</v>
      </c>
      <c r="L3395" s="45">
        <f>Учет!I3395</f>
        <v>349526.07999999996</v>
      </c>
    </row>
    <row r="3396" spans="1:12" x14ac:dyDescent="0.25">
      <c r="A3396" s="48" t="str">
        <f>IF(Учет!A3396&lt;&gt;"",Учет!A3396,"")</f>
        <v/>
      </c>
      <c r="B3396" s="52">
        <f>IF(Учет!$O3396=Справочники!$F$2,Учет!$H3396,0)</f>
        <v>0</v>
      </c>
      <c r="C3396" s="52">
        <f>IF(Учет!$O3396=Справочники!$F$3,Учет!$H3396,0)</f>
        <v>0</v>
      </c>
      <c r="D3396" s="52">
        <f>IF(Учет!$O3396=Справочники!$F$4,Учет!$H3396,0)</f>
        <v>0</v>
      </c>
      <c r="E3396" s="52">
        <f>IF(Учет!$O3396=Справочники!$F$5,Учет!$H3396,0)</f>
        <v>0</v>
      </c>
      <c r="F3396" s="52">
        <f>IF(Учет!$O3396=Справочники!$F$6,Учет!$H3396,0)</f>
        <v>0</v>
      </c>
      <c r="G3396" s="43">
        <f>G3395+Учет!B3396-B3396</f>
        <v>-488978.92000000004</v>
      </c>
      <c r="H3396" s="43">
        <f>H3395+Учет!C3396-C3396</f>
        <v>336855</v>
      </c>
      <c r="I3396" s="43">
        <f>I3395+Учет!D3396-D3396</f>
        <v>500</v>
      </c>
      <c r="J3396" s="43">
        <f>J3395+Учет!E3396-E3396</f>
        <v>1150</v>
      </c>
      <c r="K3396" s="43">
        <f>K3395+Учет!F3396-F3396</f>
        <v>500000</v>
      </c>
      <c r="L3396" s="45">
        <f>Учет!I3396</f>
        <v>349526.07999999996</v>
      </c>
    </row>
    <row r="3397" spans="1:12" x14ac:dyDescent="0.25">
      <c r="A3397" s="48" t="str">
        <f>IF(Учет!A3397&lt;&gt;"",Учет!A3397,"")</f>
        <v/>
      </c>
      <c r="B3397" s="52">
        <f>IF(Учет!$O3397=Справочники!$F$2,Учет!$H3397,0)</f>
        <v>0</v>
      </c>
      <c r="C3397" s="52">
        <f>IF(Учет!$O3397=Справочники!$F$3,Учет!$H3397,0)</f>
        <v>0</v>
      </c>
      <c r="D3397" s="52">
        <f>IF(Учет!$O3397=Справочники!$F$4,Учет!$H3397,0)</f>
        <v>0</v>
      </c>
      <c r="E3397" s="52">
        <f>IF(Учет!$O3397=Справочники!$F$5,Учет!$H3397,0)</f>
        <v>0</v>
      </c>
      <c r="F3397" s="52">
        <f>IF(Учет!$O3397=Справочники!$F$6,Учет!$H3397,0)</f>
        <v>0</v>
      </c>
      <c r="G3397" s="43">
        <f>G3396+Учет!B3397-B3397</f>
        <v>-488978.92000000004</v>
      </c>
      <c r="H3397" s="43">
        <f>H3396+Учет!C3397-C3397</f>
        <v>336855</v>
      </c>
      <c r="I3397" s="43">
        <f>I3396+Учет!D3397-D3397</f>
        <v>500</v>
      </c>
      <c r="J3397" s="43">
        <f>J3396+Учет!E3397-E3397</f>
        <v>1150</v>
      </c>
      <c r="K3397" s="43">
        <f>K3396+Учет!F3397-F3397</f>
        <v>500000</v>
      </c>
      <c r="L3397" s="45">
        <f>Учет!I3397</f>
        <v>349526.07999999996</v>
      </c>
    </row>
    <row r="3398" spans="1:12" x14ac:dyDescent="0.25">
      <c r="A3398" s="48" t="str">
        <f>IF(Учет!A3398&lt;&gt;"",Учет!A3398,"")</f>
        <v/>
      </c>
      <c r="B3398" s="52">
        <f>IF(Учет!$O3398=Справочники!$F$2,Учет!$H3398,0)</f>
        <v>0</v>
      </c>
      <c r="C3398" s="52">
        <f>IF(Учет!$O3398=Справочники!$F$3,Учет!$H3398,0)</f>
        <v>0</v>
      </c>
      <c r="D3398" s="52">
        <f>IF(Учет!$O3398=Справочники!$F$4,Учет!$H3398,0)</f>
        <v>0</v>
      </c>
      <c r="E3398" s="52">
        <f>IF(Учет!$O3398=Справочники!$F$5,Учет!$H3398,0)</f>
        <v>0</v>
      </c>
      <c r="F3398" s="52">
        <f>IF(Учет!$O3398=Справочники!$F$6,Учет!$H3398,0)</f>
        <v>0</v>
      </c>
      <c r="G3398" s="43">
        <f>G3397+Учет!B3398-B3398</f>
        <v>-488978.92000000004</v>
      </c>
      <c r="H3398" s="43">
        <f>H3397+Учет!C3398-C3398</f>
        <v>336855</v>
      </c>
      <c r="I3398" s="43">
        <f>I3397+Учет!D3398-D3398</f>
        <v>500</v>
      </c>
      <c r="J3398" s="43">
        <f>J3397+Учет!E3398-E3398</f>
        <v>1150</v>
      </c>
      <c r="K3398" s="43">
        <f>K3397+Учет!F3398-F3398</f>
        <v>500000</v>
      </c>
      <c r="L3398" s="45">
        <f>Учет!I3398</f>
        <v>349526.07999999996</v>
      </c>
    </row>
    <row r="3399" spans="1:12" x14ac:dyDescent="0.25">
      <c r="A3399" s="48" t="str">
        <f>IF(Учет!A3399&lt;&gt;"",Учет!A3399,"")</f>
        <v/>
      </c>
      <c r="B3399" s="52">
        <f>IF(Учет!$O3399=Справочники!$F$2,Учет!$H3399,0)</f>
        <v>0</v>
      </c>
      <c r="C3399" s="52">
        <f>IF(Учет!$O3399=Справочники!$F$3,Учет!$H3399,0)</f>
        <v>0</v>
      </c>
      <c r="D3399" s="52">
        <f>IF(Учет!$O3399=Справочники!$F$4,Учет!$H3399,0)</f>
        <v>0</v>
      </c>
      <c r="E3399" s="52">
        <f>IF(Учет!$O3399=Справочники!$F$5,Учет!$H3399,0)</f>
        <v>0</v>
      </c>
      <c r="F3399" s="52">
        <f>IF(Учет!$O3399=Справочники!$F$6,Учет!$H3399,0)</f>
        <v>0</v>
      </c>
      <c r="G3399" s="43">
        <f>G3398+Учет!B3399-B3399</f>
        <v>-488978.92000000004</v>
      </c>
      <c r="H3399" s="43">
        <f>H3398+Учет!C3399-C3399</f>
        <v>336855</v>
      </c>
      <c r="I3399" s="43">
        <f>I3398+Учет!D3399-D3399</f>
        <v>500</v>
      </c>
      <c r="J3399" s="43">
        <f>J3398+Учет!E3399-E3399</f>
        <v>1150</v>
      </c>
      <c r="K3399" s="43">
        <f>K3398+Учет!F3399-F3399</f>
        <v>500000</v>
      </c>
      <c r="L3399" s="45">
        <f>Учет!I3399</f>
        <v>349526.07999999996</v>
      </c>
    </row>
    <row r="3400" spans="1:12" x14ac:dyDescent="0.25">
      <c r="A3400" s="48" t="str">
        <f>IF(Учет!A3400&lt;&gt;"",Учет!A3400,"")</f>
        <v/>
      </c>
      <c r="B3400" s="52">
        <f>IF(Учет!$O3400=Справочники!$F$2,Учет!$H3400,0)</f>
        <v>0</v>
      </c>
      <c r="C3400" s="52">
        <f>IF(Учет!$O3400=Справочники!$F$3,Учет!$H3400,0)</f>
        <v>0</v>
      </c>
      <c r="D3400" s="52">
        <f>IF(Учет!$O3400=Справочники!$F$4,Учет!$H3400,0)</f>
        <v>0</v>
      </c>
      <c r="E3400" s="52">
        <f>IF(Учет!$O3400=Справочники!$F$5,Учет!$H3400,0)</f>
        <v>0</v>
      </c>
      <c r="F3400" s="52">
        <f>IF(Учет!$O3400=Справочники!$F$6,Учет!$H3400,0)</f>
        <v>0</v>
      </c>
      <c r="G3400" s="43">
        <f>G3399+Учет!B3400-B3400</f>
        <v>-488978.92000000004</v>
      </c>
      <c r="H3400" s="43">
        <f>H3399+Учет!C3400-C3400</f>
        <v>336855</v>
      </c>
      <c r="I3400" s="43">
        <f>I3399+Учет!D3400-D3400</f>
        <v>500</v>
      </c>
      <c r="J3400" s="43">
        <f>J3399+Учет!E3400-E3400</f>
        <v>1150</v>
      </c>
      <c r="K3400" s="43">
        <f>K3399+Учет!F3400-F3400</f>
        <v>500000</v>
      </c>
      <c r="L3400" s="45">
        <f>Учет!I3400</f>
        <v>349526.07999999996</v>
      </c>
    </row>
    <row r="3401" spans="1:12" x14ac:dyDescent="0.25">
      <c r="A3401" s="48" t="str">
        <f>IF(Учет!A3401&lt;&gt;"",Учет!A3401,"")</f>
        <v/>
      </c>
      <c r="B3401" s="52">
        <f>IF(Учет!$O3401=Справочники!$F$2,Учет!$H3401,0)</f>
        <v>0</v>
      </c>
      <c r="C3401" s="52">
        <f>IF(Учет!$O3401=Справочники!$F$3,Учет!$H3401,0)</f>
        <v>0</v>
      </c>
      <c r="D3401" s="52">
        <f>IF(Учет!$O3401=Справочники!$F$4,Учет!$H3401,0)</f>
        <v>0</v>
      </c>
      <c r="E3401" s="52">
        <f>IF(Учет!$O3401=Справочники!$F$5,Учет!$H3401,0)</f>
        <v>0</v>
      </c>
      <c r="F3401" s="52">
        <f>IF(Учет!$O3401=Справочники!$F$6,Учет!$H3401,0)</f>
        <v>0</v>
      </c>
      <c r="G3401" s="43">
        <f>G3400+Учет!B3401-B3401</f>
        <v>-488978.92000000004</v>
      </c>
      <c r="H3401" s="43">
        <f>H3400+Учет!C3401-C3401</f>
        <v>336855</v>
      </c>
      <c r="I3401" s="43">
        <f>I3400+Учет!D3401-D3401</f>
        <v>500</v>
      </c>
      <c r="J3401" s="43">
        <f>J3400+Учет!E3401-E3401</f>
        <v>1150</v>
      </c>
      <c r="K3401" s="43">
        <f>K3400+Учет!F3401-F3401</f>
        <v>500000</v>
      </c>
      <c r="L3401" s="45">
        <f>Учет!I3401</f>
        <v>349526.07999999996</v>
      </c>
    </row>
    <row r="3402" spans="1:12" x14ac:dyDescent="0.25">
      <c r="A3402" s="48" t="str">
        <f>IF(Учет!A3402&lt;&gt;"",Учет!A3402,"")</f>
        <v/>
      </c>
      <c r="B3402" s="52">
        <f>IF(Учет!$O3402=Справочники!$F$2,Учет!$H3402,0)</f>
        <v>0</v>
      </c>
      <c r="C3402" s="52">
        <f>IF(Учет!$O3402=Справочники!$F$3,Учет!$H3402,0)</f>
        <v>0</v>
      </c>
      <c r="D3402" s="52">
        <f>IF(Учет!$O3402=Справочники!$F$4,Учет!$H3402,0)</f>
        <v>0</v>
      </c>
      <c r="E3402" s="52">
        <f>IF(Учет!$O3402=Справочники!$F$5,Учет!$H3402,0)</f>
        <v>0</v>
      </c>
      <c r="F3402" s="52">
        <f>IF(Учет!$O3402=Справочники!$F$6,Учет!$H3402,0)</f>
        <v>0</v>
      </c>
      <c r="G3402" s="43">
        <f>G3401+Учет!B3402-B3402</f>
        <v>-488978.92000000004</v>
      </c>
      <c r="H3402" s="43">
        <f>H3401+Учет!C3402-C3402</f>
        <v>336855</v>
      </c>
      <c r="I3402" s="43">
        <f>I3401+Учет!D3402-D3402</f>
        <v>500</v>
      </c>
      <c r="J3402" s="43">
        <f>J3401+Учет!E3402-E3402</f>
        <v>1150</v>
      </c>
      <c r="K3402" s="43">
        <f>K3401+Учет!F3402-F3402</f>
        <v>500000</v>
      </c>
      <c r="L3402" s="45">
        <f>Учет!I3402</f>
        <v>349526.07999999996</v>
      </c>
    </row>
    <row r="3403" spans="1:12" x14ac:dyDescent="0.25">
      <c r="A3403" s="48" t="str">
        <f>IF(Учет!A3403&lt;&gt;"",Учет!A3403,"")</f>
        <v/>
      </c>
      <c r="B3403" s="52">
        <f>IF(Учет!$O3403=Справочники!$F$2,Учет!$H3403,0)</f>
        <v>0</v>
      </c>
      <c r="C3403" s="52">
        <f>IF(Учет!$O3403=Справочники!$F$3,Учет!$H3403,0)</f>
        <v>0</v>
      </c>
      <c r="D3403" s="52">
        <f>IF(Учет!$O3403=Справочники!$F$4,Учет!$H3403,0)</f>
        <v>0</v>
      </c>
      <c r="E3403" s="52">
        <f>IF(Учет!$O3403=Справочники!$F$5,Учет!$H3403,0)</f>
        <v>0</v>
      </c>
      <c r="F3403" s="52">
        <f>IF(Учет!$O3403=Справочники!$F$6,Учет!$H3403,0)</f>
        <v>0</v>
      </c>
      <c r="G3403" s="43">
        <f>G3402+Учет!B3403-B3403</f>
        <v>-488978.92000000004</v>
      </c>
      <c r="H3403" s="43">
        <f>H3402+Учет!C3403-C3403</f>
        <v>336855</v>
      </c>
      <c r="I3403" s="43">
        <f>I3402+Учет!D3403-D3403</f>
        <v>500</v>
      </c>
      <c r="J3403" s="43">
        <f>J3402+Учет!E3403-E3403</f>
        <v>1150</v>
      </c>
      <c r="K3403" s="43">
        <f>K3402+Учет!F3403-F3403</f>
        <v>500000</v>
      </c>
      <c r="L3403" s="45">
        <f>Учет!I3403</f>
        <v>349526.07999999996</v>
      </c>
    </row>
    <row r="3404" spans="1:12" x14ac:dyDescent="0.25">
      <c r="A3404" s="48" t="str">
        <f>IF(Учет!A3404&lt;&gt;"",Учет!A3404,"")</f>
        <v/>
      </c>
      <c r="B3404" s="52">
        <f>IF(Учет!$O3404=Справочники!$F$2,Учет!$H3404,0)</f>
        <v>0</v>
      </c>
      <c r="C3404" s="52">
        <f>IF(Учет!$O3404=Справочники!$F$3,Учет!$H3404,0)</f>
        <v>0</v>
      </c>
      <c r="D3404" s="52">
        <f>IF(Учет!$O3404=Справочники!$F$4,Учет!$H3404,0)</f>
        <v>0</v>
      </c>
      <c r="E3404" s="52">
        <f>IF(Учет!$O3404=Справочники!$F$5,Учет!$H3404,0)</f>
        <v>0</v>
      </c>
      <c r="F3404" s="52">
        <f>IF(Учет!$O3404=Справочники!$F$6,Учет!$H3404,0)</f>
        <v>0</v>
      </c>
      <c r="G3404" s="43">
        <f>G3403+Учет!B3404-B3404</f>
        <v>-488978.92000000004</v>
      </c>
      <c r="H3404" s="43">
        <f>H3403+Учет!C3404-C3404</f>
        <v>336855</v>
      </c>
      <c r="I3404" s="43">
        <f>I3403+Учет!D3404-D3404</f>
        <v>500</v>
      </c>
      <c r="J3404" s="43">
        <f>J3403+Учет!E3404-E3404</f>
        <v>1150</v>
      </c>
      <c r="K3404" s="43">
        <f>K3403+Учет!F3404-F3404</f>
        <v>500000</v>
      </c>
      <c r="L3404" s="45">
        <f>Учет!I3404</f>
        <v>349526.07999999996</v>
      </c>
    </row>
    <row r="3405" spans="1:12" x14ac:dyDescent="0.25">
      <c r="A3405" s="48" t="str">
        <f>IF(Учет!A3405&lt;&gt;"",Учет!A3405,"")</f>
        <v/>
      </c>
      <c r="B3405" s="52">
        <f>IF(Учет!$O3405=Справочники!$F$2,Учет!$H3405,0)</f>
        <v>0</v>
      </c>
      <c r="C3405" s="52">
        <f>IF(Учет!$O3405=Справочники!$F$3,Учет!$H3405,0)</f>
        <v>0</v>
      </c>
      <c r="D3405" s="52">
        <f>IF(Учет!$O3405=Справочники!$F$4,Учет!$H3405,0)</f>
        <v>0</v>
      </c>
      <c r="E3405" s="52">
        <f>IF(Учет!$O3405=Справочники!$F$5,Учет!$H3405,0)</f>
        <v>0</v>
      </c>
      <c r="F3405" s="52">
        <f>IF(Учет!$O3405=Справочники!$F$6,Учет!$H3405,0)</f>
        <v>0</v>
      </c>
      <c r="G3405" s="43">
        <f>G3404+Учет!B3405-B3405</f>
        <v>-488978.92000000004</v>
      </c>
      <c r="H3405" s="43">
        <f>H3404+Учет!C3405-C3405</f>
        <v>336855</v>
      </c>
      <c r="I3405" s="43">
        <f>I3404+Учет!D3405-D3405</f>
        <v>500</v>
      </c>
      <c r="J3405" s="43">
        <f>J3404+Учет!E3405-E3405</f>
        <v>1150</v>
      </c>
      <c r="K3405" s="43">
        <f>K3404+Учет!F3405-F3405</f>
        <v>500000</v>
      </c>
      <c r="L3405" s="45">
        <f>Учет!I3405</f>
        <v>349526.07999999996</v>
      </c>
    </row>
    <row r="3406" spans="1:12" x14ac:dyDescent="0.25">
      <c r="A3406" s="48" t="str">
        <f>IF(Учет!A3406&lt;&gt;"",Учет!A3406,"")</f>
        <v/>
      </c>
      <c r="B3406" s="52">
        <f>IF(Учет!$O3406=Справочники!$F$2,Учет!$H3406,0)</f>
        <v>0</v>
      </c>
      <c r="C3406" s="52">
        <f>IF(Учет!$O3406=Справочники!$F$3,Учет!$H3406,0)</f>
        <v>0</v>
      </c>
      <c r="D3406" s="52">
        <f>IF(Учет!$O3406=Справочники!$F$4,Учет!$H3406,0)</f>
        <v>0</v>
      </c>
      <c r="E3406" s="52">
        <f>IF(Учет!$O3406=Справочники!$F$5,Учет!$H3406,0)</f>
        <v>0</v>
      </c>
      <c r="F3406" s="52">
        <f>IF(Учет!$O3406=Справочники!$F$6,Учет!$H3406,0)</f>
        <v>0</v>
      </c>
      <c r="G3406" s="43">
        <f>G3405+Учет!B3406-B3406</f>
        <v>-488978.92000000004</v>
      </c>
      <c r="H3406" s="43">
        <f>H3405+Учет!C3406-C3406</f>
        <v>336855</v>
      </c>
      <c r="I3406" s="43">
        <f>I3405+Учет!D3406-D3406</f>
        <v>500</v>
      </c>
      <c r="J3406" s="43">
        <f>J3405+Учет!E3406-E3406</f>
        <v>1150</v>
      </c>
      <c r="K3406" s="43">
        <f>K3405+Учет!F3406-F3406</f>
        <v>500000</v>
      </c>
      <c r="L3406" s="45">
        <f>Учет!I3406</f>
        <v>349526.07999999996</v>
      </c>
    </row>
    <row r="3407" spans="1:12" x14ac:dyDescent="0.25">
      <c r="A3407" s="48" t="str">
        <f>IF(Учет!A3407&lt;&gt;"",Учет!A3407,"")</f>
        <v/>
      </c>
      <c r="B3407" s="52">
        <f>IF(Учет!$O3407=Справочники!$F$2,Учет!$H3407,0)</f>
        <v>0</v>
      </c>
      <c r="C3407" s="52">
        <f>IF(Учет!$O3407=Справочники!$F$3,Учет!$H3407,0)</f>
        <v>0</v>
      </c>
      <c r="D3407" s="52">
        <f>IF(Учет!$O3407=Справочники!$F$4,Учет!$H3407,0)</f>
        <v>0</v>
      </c>
      <c r="E3407" s="52">
        <f>IF(Учет!$O3407=Справочники!$F$5,Учет!$H3407,0)</f>
        <v>0</v>
      </c>
      <c r="F3407" s="52">
        <f>IF(Учет!$O3407=Справочники!$F$6,Учет!$H3407,0)</f>
        <v>0</v>
      </c>
      <c r="G3407" s="43">
        <f>G3406+Учет!B3407-B3407</f>
        <v>-488978.92000000004</v>
      </c>
      <c r="H3407" s="43">
        <f>H3406+Учет!C3407-C3407</f>
        <v>336855</v>
      </c>
      <c r="I3407" s="43">
        <f>I3406+Учет!D3407-D3407</f>
        <v>500</v>
      </c>
      <c r="J3407" s="43">
        <f>J3406+Учет!E3407-E3407</f>
        <v>1150</v>
      </c>
      <c r="K3407" s="43">
        <f>K3406+Учет!F3407-F3407</f>
        <v>500000</v>
      </c>
      <c r="L3407" s="45">
        <f>Учет!I3407</f>
        <v>349526.07999999996</v>
      </c>
    </row>
    <row r="3408" spans="1:12" x14ac:dyDescent="0.25">
      <c r="A3408" s="48" t="str">
        <f>IF(Учет!A3408&lt;&gt;"",Учет!A3408,"")</f>
        <v/>
      </c>
      <c r="B3408" s="52">
        <f>IF(Учет!$O3408=Справочники!$F$2,Учет!$H3408,0)</f>
        <v>0</v>
      </c>
      <c r="C3408" s="52">
        <f>IF(Учет!$O3408=Справочники!$F$3,Учет!$H3408,0)</f>
        <v>0</v>
      </c>
      <c r="D3408" s="52">
        <f>IF(Учет!$O3408=Справочники!$F$4,Учет!$H3408,0)</f>
        <v>0</v>
      </c>
      <c r="E3408" s="52">
        <f>IF(Учет!$O3408=Справочники!$F$5,Учет!$H3408,0)</f>
        <v>0</v>
      </c>
      <c r="F3408" s="52">
        <f>IF(Учет!$O3408=Справочники!$F$6,Учет!$H3408,0)</f>
        <v>0</v>
      </c>
      <c r="G3408" s="43">
        <f>G3407+Учет!B3408-B3408</f>
        <v>-488978.92000000004</v>
      </c>
      <c r="H3408" s="43">
        <f>H3407+Учет!C3408-C3408</f>
        <v>336855</v>
      </c>
      <c r="I3408" s="43">
        <f>I3407+Учет!D3408-D3408</f>
        <v>500</v>
      </c>
      <c r="J3408" s="43">
        <f>J3407+Учет!E3408-E3408</f>
        <v>1150</v>
      </c>
      <c r="K3408" s="43">
        <f>K3407+Учет!F3408-F3408</f>
        <v>500000</v>
      </c>
      <c r="L3408" s="45">
        <f>Учет!I3408</f>
        <v>349526.07999999996</v>
      </c>
    </row>
    <row r="3409" spans="1:12" x14ac:dyDescent="0.25">
      <c r="A3409" s="48" t="str">
        <f>IF(Учет!A3409&lt;&gt;"",Учет!A3409,"")</f>
        <v/>
      </c>
      <c r="B3409" s="52">
        <f>IF(Учет!$O3409=Справочники!$F$2,Учет!$H3409,0)</f>
        <v>0</v>
      </c>
      <c r="C3409" s="52">
        <f>IF(Учет!$O3409=Справочники!$F$3,Учет!$H3409,0)</f>
        <v>0</v>
      </c>
      <c r="D3409" s="52">
        <f>IF(Учет!$O3409=Справочники!$F$4,Учет!$H3409,0)</f>
        <v>0</v>
      </c>
      <c r="E3409" s="52">
        <f>IF(Учет!$O3409=Справочники!$F$5,Учет!$H3409,0)</f>
        <v>0</v>
      </c>
      <c r="F3409" s="52">
        <f>IF(Учет!$O3409=Справочники!$F$6,Учет!$H3409,0)</f>
        <v>0</v>
      </c>
      <c r="G3409" s="43">
        <f>G3408+Учет!B3409-B3409</f>
        <v>-488978.92000000004</v>
      </c>
      <c r="H3409" s="43">
        <f>H3408+Учет!C3409-C3409</f>
        <v>336855</v>
      </c>
      <c r="I3409" s="43">
        <f>I3408+Учет!D3409-D3409</f>
        <v>500</v>
      </c>
      <c r="J3409" s="43">
        <f>J3408+Учет!E3409-E3409</f>
        <v>1150</v>
      </c>
      <c r="K3409" s="43">
        <f>K3408+Учет!F3409-F3409</f>
        <v>500000</v>
      </c>
      <c r="L3409" s="45">
        <f>Учет!I3409</f>
        <v>349526.07999999996</v>
      </c>
    </row>
    <row r="3410" spans="1:12" x14ac:dyDescent="0.25">
      <c r="A3410" s="48" t="str">
        <f>IF(Учет!A3410&lt;&gt;"",Учет!A3410,"")</f>
        <v/>
      </c>
      <c r="B3410" s="52">
        <f>IF(Учет!$O3410=Справочники!$F$2,Учет!$H3410,0)</f>
        <v>0</v>
      </c>
      <c r="C3410" s="52">
        <f>IF(Учет!$O3410=Справочники!$F$3,Учет!$H3410,0)</f>
        <v>0</v>
      </c>
      <c r="D3410" s="52">
        <f>IF(Учет!$O3410=Справочники!$F$4,Учет!$H3410,0)</f>
        <v>0</v>
      </c>
      <c r="E3410" s="52">
        <f>IF(Учет!$O3410=Справочники!$F$5,Учет!$H3410,0)</f>
        <v>0</v>
      </c>
      <c r="F3410" s="52">
        <f>IF(Учет!$O3410=Справочники!$F$6,Учет!$H3410,0)</f>
        <v>0</v>
      </c>
      <c r="G3410" s="43">
        <f>G3409+Учет!B3410-B3410</f>
        <v>-488978.92000000004</v>
      </c>
      <c r="H3410" s="43">
        <f>H3409+Учет!C3410-C3410</f>
        <v>336855</v>
      </c>
      <c r="I3410" s="43">
        <f>I3409+Учет!D3410-D3410</f>
        <v>500</v>
      </c>
      <c r="J3410" s="43">
        <f>J3409+Учет!E3410-E3410</f>
        <v>1150</v>
      </c>
      <c r="K3410" s="43">
        <f>K3409+Учет!F3410-F3410</f>
        <v>500000</v>
      </c>
      <c r="L3410" s="45">
        <f>Учет!I3410</f>
        <v>349526.07999999996</v>
      </c>
    </row>
    <row r="3411" spans="1:12" x14ac:dyDescent="0.25">
      <c r="A3411" s="48" t="str">
        <f>IF(Учет!A3411&lt;&gt;"",Учет!A3411,"")</f>
        <v/>
      </c>
      <c r="B3411" s="52">
        <f>IF(Учет!$O3411=Справочники!$F$2,Учет!$H3411,0)</f>
        <v>0</v>
      </c>
      <c r="C3411" s="52">
        <f>IF(Учет!$O3411=Справочники!$F$3,Учет!$H3411,0)</f>
        <v>0</v>
      </c>
      <c r="D3411" s="52">
        <f>IF(Учет!$O3411=Справочники!$F$4,Учет!$H3411,0)</f>
        <v>0</v>
      </c>
      <c r="E3411" s="52">
        <f>IF(Учет!$O3411=Справочники!$F$5,Учет!$H3411,0)</f>
        <v>0</v>
      </c>
      <c r="F3411" s="52">
        <f>IF(Учет!$O3411=Справочники!$F$6,Учет!$H3411,0)</f>
        <v>0</v>
      </c>
      <c r="G3411" s="43">
        <f>G3410+Учет!B3411-B3411</f>
        <v>-488978.92000000004</v>
      </c>
      <c r="H3411" s="43">
        <f>H3410+Учет!C3411-C3411</f>
        <v>336855</v>
      </c>
      <c r="I3411" s="43">
        <f>I3410+Учет!D3411-D3411</f>
        <v>500</v>
      </c>
      <c r="J3411" s="43">
        <f>J3410+Учет!E3411-E3411</f>
        <v>1150</v>
      </c>
      <c r="K3411" s="43">
        <f>K3410+Учет!F3411-F3411</f>
        <v>500000</v>
      </c>
      <c r="L3411" s="45">
        <f>Учет!I3411</f>
        <v>349526.07999999996</v>
      </c>
    </row>
    <row r="3412" spans="1:12" x14ac:dyDescent="0.25">
      <c r="A3412" s="48" t="str">
        <f>IF(Учет!A3412&lt;&gt;"",Учет!A3412,"")</f>
        <v/>
      </c>
      <c r="B3412" s="52">
        <f>IF(Учет!$O3412=Справочники!$F$2,Учет!$H3412,0)</f>
        <v>0</v>
      </c>
      <c r="C3412" s="52">
        <f>IF(Учет!$O3412=Справочники!$F$3,Учет!$H3412,0)</f>
        <v>0</v>
      </c>
      <c r="D3412" s="52">
        <f>IF(Учет!$O3412=Справочники!$F$4,Учет!$H3412,0)</f>
        <v>0</v>
      </c>
      <c r="E3412" s="52">
        <f>IF(Учет!$O3412=Справочники!$F$5,Учет!$H3412,0)</f>
        <v>0</v>
      </c>
      <c r="F3412" s="52">
        <f>IF(Учет!$O3412=Справочники!$F$6,Учет!$H3412,0)</f>
        <v>0</v>
      </c>
      <c r="G3412" s="43">
        <f>G3411+Учет!B3412-B3412</f>
        <v>-488978.92000000004</v>
      </c>
      <c r="H3412" s="43">
        <f>H3411+Учет!C3412-C3412</f>
        <v>336855</v>
      </c>
      <c r="I3412" s="43">
        <f>I3411+Учет!D3412-D3412</f>
        <v>500</v>
      </c>
      <c r="J3412" s="43">
        <f>J3411+Учет!E3412-E3412</f>
        <v>1150</v>
      </c>
      <c r="K3412" s="43">
        <f>K3411+Учет!F3412-F3412</f>
        <v>500000</v>
      </c>
      <c r="L3412" s="45">
        <f>Учет!I3412</f>
        <v>349526.07999999996</v>
      </c>
    </row>
    <row r="3413" spans="1:12" x14ac:dyDescent="0.25">
      <c r="A3413" s="48" t="str">
        <f>IF(Учет!A3413&lt;&gt;"",Учет!A3413,"")</f>
        <v/>
      </c>
      <c r="B3413" s="52">
        <f>IF(Учет!$O3413=Справочники!$F$2,Учет!$H3413,0)</f>
        <v>0</v>
      </c>
      <c r="C3413" s="52">
        <f>IF(Учет!$O3413=Справочники!$F$3,Учет!$H3413,0)</f>
        <v>0</v>
      </c>
      <c r="D3413" s="52">
        <f>IF(Учет!$O3413=Справочники!$F$4,Учет!$H3413,0)</f>
        <v>0</v>
      </c>
      <c r="E3413" s="52">
        <f>IF(Учет!$O3413=Справочники!$F$5,Учет!$H3413,0)</f>
        <v>0</v>
      </c>
      <c r="F3413" s="52">
        <f>IF(Учет!$O3413=Справочники!$F$6,Учет!$H3413,0)</f>
        <v>0</v>
      </c>
      <c r="G3413" s="43">
        <f>G3412+Учет!B3413-B3413</f>
        <v>-488978.92000000004</v>
      </c>
      <c r="H3413" s="43">
        <f>H3412+Учет!C3413-C3413</f>
        <v>336855</v>
      </c>
      <c r="I3413" s="43">
        <f>I3412+Учет!D3413-D3413</f>
        <v>500</v>
      </c>
      <c r="J3413" s="43">
        <f>J3412+Учет!E3413-E3413</f>
        <v>1150</v>
      </c>
      <c r="K3413" s="43">
        <f>K3412+Учет!F3413-F3413</f>
        <v>500000</v>
      </c>
      <c r="L3413" s="45">
        <f>Учет!I3413</f>
        <v>349526.07999999996</v>
      </c>
    </row>
    <row r="3414" spans="1:12" x14ac:dyDescent="0.25">
      <c r="A3414" s="48" t="str">
        <f>IF(Учет!A3414&lt;&gt;"",Учет!A3414,"")</f>
        <v/>
      </c>
      <c r="B3414" s="52">
        <f>IF(Учет!$O3414=Справочники!$F$2,Учет!$H3414,0)</f>
        <v>0</v>
      </c>
      <c r="C3414" s="52">
        <f>IF(Учет!$O3414=Справочники!$F$3,Учет!$H3414,0)</f>
        <v>0</v>
      </c>
      <c r="D3414" s="52">
        <f>IF(Учет!$O3414=Справочники!$F$4,Учет!$H3414,0)</f>
        <v>0</v>
      </c>
      <c r="E3414" s="52">
        <f>IF(Учет!$O3414=Справочники!$F$5,Учет!$H3414,0)</f>
        <v>0</v>
      </c>
      <c r="F3414" s="52">
        <f>IF(Учет!$O3414=Справочники!$F$6,Учет!$H3414,0)</f>
        <v>0</v>
      </c>
      <c r="G3414" s="43">
        <f>G3413+Учет!B3414-B3414</f>
        <v>-488978.92000000004</v>
      </c>
      <c r="H3414" s="43">
        <f>H3413+Учет!C3414-C3414</f>
        <v>336855</v>
      </c>
      <c r="I3414" s="43">
        <f>I3413+Учет!D3414-D3414</f>
        <v>500</v>
      </c>
      <c r="J3414" s="43">
        <f>J3413+Учет!E3414-E3414</f>
        <v>1150</v>
      </c>
      <c r="K3414" s="43">
        <f>K3413+Учет!F3414-F3414</f>
        <v>500000</v>
      </c>
      <c r="L3414" s="45">
        <f>Учет!I3414</f>
        <v>349526.07999999996</v>
      </c>
    </row>
    <row r="3415" spans="1:12" x14ac:dyDescent="0.25">
      <c r="A3415" s="48" t="str">
        <f>IF(Учет!A3415&lt;&gt;"",Учет!A3415,"")</f>
        <v/>
      </c>
      <c r="B3415" s="52">
        <f>IF(Учет!$O3415=Справочники!$F$2,Учет!$H3415,0)</f>
        <v>0</v>
      </c>
      <c r="C3415" s="52">
        <f>IF(Учет!$O3415=Справочники!$F$3,Учет!$H3415,0)</f>
        <v>0</v>
      </c>
      <c r="D3415" s="52">
        <f>IF(Учет!$O3415=Справочники!$F$4,Учет!$H3415,0)</f>
        <v>0</v>
      </c>
      <c r="E3415" s="52">
        <f>IF(Учет!$O3415=Справочники!$F$5,Учет!$H3415,0)</f>
        <v>0</v>
      </c>
      <c r="F3415" s="52">
        <f>IF(Учет!$O3415=Справочники!$F$6,Учет!$H3415,0)</f>
        <v>0</v>
      </c>
      <c r="G3415" s="43">
        <f>G3414+Учет!B3415-B3415</f>
        <v>-488978.92000000004</v>
      </c>
      <c r="H3415" s="43">
        <f>H3414+Учет!C3415-C3415</f>
        <v>336855</v>
      </c>
      <c r="I3415" s="43">
        <f>I3414+Учет!D3415-D3415</f>
        <v>500</v>
      </c>
      <c r="J3415" s="43">
        <f>J3414+Учет!E3415-E3415</f>
        <v>1150</v>
      </c>
      <c r="K3415" s="43">
        <f>K3414+Учет!F3415-F3415</f>
        <v>500000</v>
      </c>
      <c r="L3415" s="45">
        <f>Учет!I3415</f>
        <v>349526.07999999996</v>
      </c>
    </row>
    <row r="3416" spans="1:12" x14ac:dyDescent="0.25">
      <c r="A3416" s="48" t="str">
        <f>IF(Учет!A3416&lt;&gt;"",Учет!A3416,"")</f>
        <v/>
      </c>
      <c r="B3416" s="52">
        <f>IF(Учет!$O3416=Справочники!$F$2,Учет!$H3416,0)</f>
        <v>0</v>
      </c>
      <c r="C3416" s="52">
        <f>IF(Учет!$O3416=Справочники!$F$3,Учет!$H3416,0)</f>
        <v>0</v>
      </c>
      <c r="D3416" s="52">
        <f>IF(Учет!$O3416=Справочники!$F$4,Учет!$H3416,0)</f>
        <v>0</v>
      </c>
      <c r="E3416" s="52">
        <f>IF(Учет!$O3416=Справочники!$F$5,Учет!$H3416,0)</f>
        <v>0</v>
      </c>
      <c r="F3416" s="52">
        <f>IF(Учет!$O3416=Справочники!$F$6,Учет!$H3416,0)</f>
        <v>0</v>
      </c>
      <c r="G3416" s="43">
        <f>G3415+Учет!B3416-B3416</f>
        <v>-488978.92000000004</v>
      </c>
      <c r="H3416" s="43">
        <f>H3415+Учет!C3416-C3416</f>
        <v>336855</v>
      </c>
      <c r="I3416" s="43">
        <f>I3415+Учет!D3416-D3416</f>
        <v>500</v>
      </c>
      <c r="J3416" s="43">
        <f>J3415+Учет!E3416-E3416</f>
        <v>1150</v>
      </c>
      <c r="K3416" s="43">
        <f>K3415+Учет!F3416-F3416</f>
        <v>500000</v>
      </c>
      <c r="L3416" s="45">
        <f>Учет!I3416</f>
        <v>349526.07999999996</v>
      </c>
    </row>
    <row r="3417" spans="1:12" x14ac:dyDescent="0.25">
      <c r="A3417" s="48" t="str">
        <f>IF(Учет!A3417&lt;&gt;"",Учет!A3417,"")</f>
        <v/>
      </c>
      <c r="B3417" s="52">
        <f>IF(Учет!$O3417=Справочники!$F$2,Учет!$H3417,0)</f>
        <v>0</v>
      </c>
      <c r="C3417" s="52">
        <f>IF(Учет!$O3417=Справочники!$F$3,Учет!$H3417,0)</f>
        <v>0</v>
      </c>
      <c r="D3417" s="52">
        <f>IF(Учет!$O3417=Справочники!$F$4,Учет!$H3417,0)</f>
        <v>0</v>
      </c>
      <c r="E3417" s="52">
        <f>IF(Учет!$O3417=Справочники!$F$5,Учет!$H3417,0)</f>
        <v>0</v>
      </c>
      <c r="F3417" s="52">
        <f>IF(Учет!$O3417=Справочники!$F$6,Учет!$H3417,0)</f>
        <v>0</v>
      </c>
      <c r="G3417" s="43">
        <f>G3416+Учет!B3417-B3417</f>
        <v>-488978.92000000004</v>
      </c>
      <c r="H3417" s="43">
        <f>H3416+Учет!C3417-C3417</f>
        <v>336855</v>
      </c>
      <c r="I3417" s="43">
        <f>I3416+Учет!D3417-D3417</f>
        <v>500</v>
      </c>
      <c r="J3417" s="43">
        <f>J3416+Учет!E3417-E3417</f>
        <v>1150</v>
      </c>
      <c r="K3417" s="43">
        <f>K3416+Учет!F3417-F3417</f>
        <v>500000</v>
      </c>
      <c r="L3417" s="45">
        <f>Учет!I3417</f>
        <v>349526.07999999996</v>
      </c>
    </row>
    <row r="3418" spans="1:12" x14ac:dyDescent="0.25">
      <c r="A3418" s="48" t="str">
        <f>IF(Учет!A3418&lt;&gt;"",Учет!A3418,"")</f>
        <v/>
      </c>
      <c r="B3418" s="52">
        <f>IF(Учет!$O3418=Справочники!$F$2,Учет!$H3418,0)</f>
        <v>0</v>
      </c>
      <c r="C3418" s="52">
        <f>IF(Учет!$O3418=Справочники!$F$3,Учет!$H3418,0)</f>
        <v>0</v>
      </c>
      <c r="D3418" s="52">
        <f>IF(Учет!$O3418=Справочники!$F$4,Учет!$H3418,0)</f>
        <v>0</v>
      </c>
      <c r="E3418" s="52">
        <f>IF(Учет!$O3418=Справочники!$F$5,Учет!$H3418,0)</f>
        <v>0</v>
      </c>
      <c r="F3418" s="52">
        <f>IF(Учет!$O3418=Справочники!$F$6,Учет!$H3418,0)</f>
        <v>0</v>
      </c>
      <c r="G3418" s="43">
        <f>G3417+Учет!B3418-B3418</f>
        <v>-488978.92000000004</v>
      </c>
      <c r="H3418" s="43">
        <f>H3417+Учет!C3418-C3418</f>
        <v>336855</v>
      </c>
      <c r="I3418" s="43">
        <f>I3417+Учет!D3418-D3418</f>
        <v>500</v>
      </c>
      <c r="J3418" s="43">
        <f>J3417+Учет!E3418-E3418</f>
        <v>1150</v>
      </c>
      <c r="K3418" s="43">
        <f>K3417+Учет!F3418-F3418</f>
        <v>500000</v>
      </c>
      <c r="L3418" s="45">
        <f>Учет!I3418</f>
        <v>349526.07999999996</v>
      </c>
    </row>
    <row r="3419" spans="1:12" x14ac:dyDescent="0.25">
      <c r="A3419" s="48" t="str">
        <f>IF(Учет!A3419&lt;&gt;"",Учет!A3419,"")</f>
        <v/>
      </c>
      <c r="B3419" s="52">
        <f>IF(Учет!$O3419=Справочники!$F$2,Учет!$H3419,0)</f>
        <v>0</v>
      </c>
      <c r="C3419" s="52">
        <f>IF(Учет!$O3419=Справочники!$F$3,Учет!$H3419,0)</f>
        <v>0</v>
      </c>
      <c r="D3419" s="52">
        <f>IF(Учет!$O3419=Справочники!$F$4,Учет!$H3419,0)</f>
        <v>0</v>
      </c>
      <c r="E3419" s="52">
        <f>IF(Учет!$O3419=Справочники!$F$5,Учет!$H3419,0)</f>
        <v>0</v>
      </c>
      <c r="F3419" s="52">
        <f>IF(Учет!$O3419=Справочники!$F$6,Учет!$H3419,0)</f>
        <v>0</v>
      </c>
      <c r="G3419" s="43">
        <f>G3418+Учет!B3419-B3419</f>
        <v>-488978.92000000004</v>
      </c>
      <c r="H3419" s="43">
        <f>H3418+Учет!C3419-C3419</f>
        <v>336855</v>
      </c>
      <c r="I3419" s="43">
        <f>I3418+Учет!D3419-D3419</f>
        <v>500</v>
      </c>
      <c r="J3419" s="43">
        <f>J3418+Учет!E3419-E3419</f>
        <v>1150</v>
      </c>
      <c r="K3419" s="43">
        <f>K3418+Учет!F3419-F3419</f>
        <v>500000</v>
      </c>
      <c r="L3419" s="45">
        <f>Учет!I3419</f>
        <v>349526.07999999996</v>
      </c>
    </row>
    <row r="3420" spans="1:12" x14ac:dyDescent="0.25">
      <c r="A3420" s="48" t="str">
        <f>IF(Учет!A3420&lt;&gt;"",Учет!A3420,"")</f>
        <v/>
      </c>
      <c r="B3420" s="52">
        <f>IF(Учет!$O3420=Справочники!$F$2,Учет!$H3420,0)</f>
        <v>0</v>
      </c>
      <c r="C3420" s="52">
        <f>IF(Учет!$O3420=Справочники!$F$3,Учет!$H3420,0)</f>
        <v>0</v>
      </c>
      <c r="D3420" s="52">
        <f>IF(Учет!$O3420=Справочники!$F$4,Учет!$H3420,0)</f>
        <v>0</v>
      </c>
      <c r="E3420" s="52">
        <f>IF(Учет!$O3420=Справочники!$F$5,Учет!$H3420,0)</f>
        <v>0</v>
      </c>
      <c r="F3420" s="52">
        <f>IF(Учет!$O3420=Справочники!$F$6,Учет!$H3420,0)</f>
        <v>0</v>
      </c>
      <c r="G3420" s="43">
        <f>G3419+Учет!B3420-B3420</f>
        <v>-488978.92000000004</v>
      </c>
      <c r="H3420" s="43">
        <f>H3419+Учет!C3420-C3420</f>
        <v>336855</v>
      </c>
      <c r="I3420" s="43">
        <f>I3419+Учет!D3420-D3420</f>
        <v>500</v>
      </c>
      <c r="J3420" s="43">
        <f>J3419+Учет!E3420-E3420</f>
        <v>1150</v>
      </c>
      <c r="K3420" s="43">
        <f>K3419+Учет!F3420-F3420</f>
        <v>500000</v>
      </c>
      <c r="L3420" s="45">
        <f>Учет!I3420</f>
        <v>349526.07999999996</v>
      </c>
    </row>
    <row r="3421" spans="1:12" x14ac:dyDescent="0.25">
      <c r="A3421" s="48" t="str">
        <f>IF(Учет!A3421&lt;&gt;"",Учет!A3421,"")</f>
        <v/>
      </c>
      <c r="B3421" s="52">
        <f>IF(Учет!$O3421=Справочники!$F$2,Учет!$H3421,0)</f>
        <v>0</v>
      </c>
      <c r="C3421" s="52">
        <f>IF(Учет!$O3421=Справочники!$F$3,Учет!$H3421,0)</f>
        <v>0</v>
      </c>
      <c r="D3421" s="52">
        <f>IF(Учет!$O3421=Справочники!$F$4,Учет!$H3421,0)</f>
        <v>0</v>
      </c>
      <c r="E3421" s="52">
        <f>IF(Учет!$O3421=Справочники!$F$5,Учет!$H3421,0)</f>
        <v>0</v>
      </c>
      <c r="F3421" s="52">
        <f>IF(Учет!$O3421=Справочники!$F$6,Учет!$H3421,0)</f>
        <v>0</v>
      </c>
      <c r="G3421" s="43">
        <f>G3420+Учет!B3421-B3421</f>
        <v>-488978.92000000004</v>
      </c>
      <c r="H3421" s="43">
        <f>H3420+Учет!C3421-C3421</f>
        <v>336855</v>
      </c>
      <c r="I3421" s="43">
        <f>I3420+Учет!D3421-D3421</f>
        <v>500</v>
      </c>
      <c r="J3421" s="43">
        <f>J3420+Учет!E3421-E3421</f>
        <v>1150</v>
      </c>
      <c r="K3421" s="43">
        <f>K3420+Учет!F3421-F3421</f>
        <v>500000</v>
      </c>
      <c r="L3421" s="45">
        <f>Учет!I3421</f>
        <v>349526.07999999996</v>
      </c>
    </row>
    <row r="3422" spans="1:12" x14ac:dyDescent="0.25">
      <c r="A3422" s="48" t="str">
        <f>IF(Учет!A3422&lt;&gt;"",Учет!A3422,"")</f>
        <v/>
      </c>
      <c r="B3422" s="52">
        <f>IF(Учет!$O3422=Справочники!$F$2,Учет!$H3422,0)</f>
        <v>0</v>
      </c>
      <c r="C3422" s="52">
        <f>IF(Учет!$O3422=Справочники!$F$3,Учет!$H3422,0)</f>
        <v>0</v>
      </c>
      <c r="D3422" s="52">
        <f>IF(Учет!$O3422=Справочники!$F$4,Учет!$H3422,0)</f>
        <v>0</v>
      </c>
      <c r="E3422" s="52">
        <f>IF(Учет!$O3422=Справочники!$F$5,Учет!$H3422,0)</f>
        <v>0</v>
      </c>
      <c r="F3422" s="52">
        <f>IF(Учет!$O3422=Справочники!$F$6,Учет!$H3422,0)</f>
        <v>0</v>
      </c>
      <c r="G3422" s="43">
        <f>G3421+Учет!B3422-B3422</f>
        <v>-488978.92000000004</v>
      </c>
      <c r="H3422" s="43">
        <f>H3421+Учет!C3422-C3422</f>
        <v>336855</v>
      </c>
      <c r="I3422" s="43">
        <f>I3421+Учет!D3422-D3422</f>
        <v>500</v>
      </c>
      <c r="J3422" s="43">
        <f>J3421+Учет!E3422-E3422</f>
        <v>1150</v>
      </c>
      <c r="K3422" s="43">
        <f>K3421+Учет!F3422-F3422</f>
        <v>500000</v>
      </c>
      <c r="L3422" s="45">
        <f>Учет!I3422</f>
        <v>349526.07999999996</v>
      </c>
    </row>
    <row r="3423" spans="1:12" x14ac:dyDescent="0.25">
      <c r="A3423" s="48" t="str">
        <f>IF(Учет!A3423&lt;&gt;"",Учет!A3423,"")</f>
        <v/>
      </c>
      <c r="B3423" s="52">
        <f>IF(Учет!$O3423=Справочники!$F$2,Учет!$H3423,0)</f>
        <v>0</v>
      </c>
      <c r="C3423" s="52">
        <f>IF(Учет!$O3423=Справочники!$F$3,Учет!$H3423,0)</f>
        <v>0</v>
      </c>
      <c r="D3423" s="52">
        <f>IF(Учет!$O3423=Справочники!$F$4,Учет!$H3423,0)</f>
        <v>0</v>
      </c>
      <c r="E3423" s="52">
        <f>IF(Учет!$O3423=Справочники!$F$5,Учет!$H3423,0)</f>
        <v>0</v>
      </c>
      <c r="F3423" s="52">
        <f>IF(Учет!$O3423=Справочники!$F$6,Учет!$H3423,0)</f>
        <v>0</v>
      </c>
      <c r="G3423" s="43">
        <f>G3422+Учет!B3423-B3423</f>
        <v>-488978.92000000004</v>
      </c>
      <c r="H3423" s="43">
        <f>H3422+Учет!C3423-C3423</f>
        <v>336855</v>
      </c>
      <c r="I3423" s="43">
        <f>I3422+Учет!D3423-D3423</f>
        <v>500</v>
      </c>
      <c r="J3423" s="43">
        <f>J3422+Учет!E3423-E3423</f>
        <v>1150</v>
      </c>
      <c r="K3423" s="43">
        <f>K3422+Учет!F3423-F3423</f>
        <v>500000</v>
      </c>
      <c r="L3423" s="45">
        <f>Учет!I3423</f>
        <v>349526.07999999996</v>
      </c>
    </row>
    <row r="3424" spans="1:12" x14ac:dyDescent="0.25">
      <c r="A3424" s="48" t="str">
        <f>IF(Учет!A3424&lt;&gt;"",Учет!A3424,"")</f>
        <v/>
      </c>
      <c r="B3424" s="52">
        <f>IF(Учет!$O3424=Справочники!$F$2,Учет!$H3424,0)</f>
        <v>0</v>
      </c>
      <c r="C3424" s="52">
        <f>IF(Учет!$O3424=Справочники!$F$3,Учет!$H3424,0)</f>
        <v>0</v>
      </c>
      <c r="D3424" s="52">
        <f>IF(Учет!$O3424=Справочники!$F$4,Учет!$H3424,0)</f>
        <v>0</v>
      </c>
      <c r="E3424" s="52">
        <f>IF(Учет!$O3424=Справочники!$F$5,Учет!$H3424,0)</f>
        <v>0</v>
      </c>
      <c r="F3424" s="52">
        <f>IF(Учет!$O3424=Справочники!$F$6,Учет!$H3424,0)</f>
        <v>0</v>
      </c>
      <c r="G3424" s="43">
        <f>G3423+Учет!B3424-B3424</f>
        <v>-488978.92000000004</v>
      </c>
      <c r="H3424" s="43">
        <f>H3423+Учет!C3424-C3424</f>
        <v>336855</v>
      </c>
      <c r="I3424" s="43">
        <f>I3423+Учет!D3424-D3424</f>
        <v>500</v>
      </c>
      <c r="J3424" s="43">
        <f>J3423+Учет!E3424-E3424</f>
        <v>1150</v>
      </c>
      <c r="K3424" s="43">
        <f>K3423+Учет!F3424-F3424</f>
        <v>500000</v>
      </c>
      <c r="L3424" s="45">
        <f>Учет!I3424</f>
        <v>349526.07999999996</v>
      </c>
    </row>
    <row r="3425" spans="1:12" x14ac:dyDescent="0.25">
      <c r="A3425" s="48" t="str">
        <f>IF(Учет!A3425&lt;&gt;"",Учет!A3425,"")</f>
        <v/>
      </c>
      <c r="B3425" s="52">
        <f>IF(Учет!$O3425=Справочники!$F$2,Учет!$H3425,0)</f>
        <v>0</v>
      </c>
      <c r="C3425" s="52">
        <f>IF(Учет!$O3425=Справочники!$F$3,Учет!$H3425,0)</f>
        <v>0</v>
      </c>
      <c r="D3425" s="52">
        <f>IF(Учет!$O3425=Справочники!$F$4,Учет!$H3425,0)</f>
        <v>0</v>
      </c>
      <c r="E3425" s="52">
        <f>IF(Учет!$O3425=Справочники!$F$5,Учет!$H3425,0)</f>
        <v>0</v>
      </c>
      <c r="F3425" s="52">
        <f>IF(Учет!$O3425=Справочники!$F$6,Учет!$H3425,0)</f>
        <v>0</v>
      </c>
      <c r="G3425" s="43">
        <f>G3424+Учет!B3425-B3425</f>
        <v>-488978.92000000004</v>
      </c>
      <c r="H3425" s="43">
        <f>H3424+Учет!C3425-C3425</f>
        <v>336855</v>
      </c>
      <c r="I3425" s="43">
        <f>I3424+Учет!D3425-D3425</f>
        <v>500</v>
      </c>
      <c r="J3425" s="43">
        <f>J3424+Учет!E3425-E3425</f>
        <v>1150</v>
      </c>
      <c r="K3425" s="43">
        <f>K3424+Учет!F3425-F3425</f>
        <v>500000</v>
      </c>
      <c r="L3425" s="45">
        <f>Учет!I3425</f>
        <v>349526.07999999996</v>
      </c>
    </row>
    <row r="3426" spans="1:12" x14ac:dyDescent="0.25">
      <c r="A3426" s="48" t="str">
        <f>IF(Учет!A3426&lt;&gt;"",Учет!A3426,"")</f>
        <v/>
      </c>
      <c r="B3426" s="52">
        <f>IF(Учет!$O3426=Справочники!$F$2,Учет!$H3426,0)</f>
        <v>0</v>
      </c>
      <c r="C3426" s="52">
        <f>IF(Учет!$O3426=Справочники!$F$3,Учет!$H3426,0)</f>
        <v>0</v>
      </c>
      <c r="D3426" s="52">
        <f>IF(Учет!$O3426=Справочники!$F$4,Учет!$H3426,0)</f>
        <v>0</v>
      </c>
      <c r="E3426" s="52">
        <f>IF(Учет!$O3426=Справочники!$F$5,Учет!$H3426,0)</f>
        <v>0</v>
      </c>
      <c r="F3426" s="52">
        <f>IF(Учет!$O3426=Справочники!$F$6,Учет!$H3426,0)</f>
        <v>0</v>
      </c>
      <c r="G3426" s="43">
        <f>G3425+Учет!B3426-B3426</f>
        <v>-488978.92000000004</v>
      </c>
      <c r="H3426" s="43">
        <f>H3425+Учет!C3426-C3426</f>
        <v>336855</v>
      </c>
      <c r="I3426" s="43">
        <f>I3425+Учет!D3426-D3426</f>
        <v>500</v>
      </c>
      <c r="J3426" s="43">
        <f>J3425+Учет!E3426-E3426</f>
        <v>1150</v>
      </c>
      <c r="K3426" s="43">
        <f>K3425+Учет!F3426-F3426</f>
        <v>500000</v>
      </c>
      <c r="L3426" s="45">
        <f>Учет!I3426</f>
        <v>349526.07999999996</v>
      </c>
    </row>
    <row r="3427" spans="1:12" x14ac:dyDescent="0.25">
      <c r="A3427" s="48" t="str">
        <f>IF(Учет!A3427&lt;&gt;"",Учет!A3427,"")</f>
        <v/>
      </c>
      <c r="B3427" s="52">
        <f>IF(Учет!$O3427=Справочники!$F$2,Учет!$H3427,0)</f>
        <v>0</v>
      </c>
      <c r="C3427" s="52">
        <f>IF(Учет!$O3427=Справочники!$F$3,Учет!$H3427,0)</f>
        <v>0</v>
      </c>
      <c r="D3427" s="52">
        <f>IF(Учет!$O3427=Справочники!$F$4,Учет!$H3427,0)</f>
        <v>0</v>
      </c>
      <c r="E3427" s="52">
        <f>IF(Учет!$O3427=Справочники!$F$5,Учет!$H3427,0)</f>
        <v>0</v>
      </c>
      <c r="F3427" s="52">
        <f>IF(Учет!$O3427=Справочники!$F$6,Учет!$H3427,0)</f>
        <v>0</v>
      </c>
      <c r="G3427" s="43">
        <f>G3426+Учет!B3427-B3427</f>
        <v>-488978.92000000004</v>
      </c>
      <c r="H3427" s="43">
        <f>H3426+Учет!C3427-C3427</f>
        <v>336855</v>
      </c>
      <c r="I3427" s="43">
        <f>I3426+Учет!D3427-D3427</f>
        <v>500</v>
      </c>
      <c r="J3427" s="43">
        <f>J3426+Учет!E3427-E3427</f>
        <v>1150</v>
      </c>
      <c r="K3427" s="43">
        <f>K3426+Учет!F3427-F3427</f>
        <v>500000</v>
      </c>
      <c r="L3427" s="45">
        <f>Учет!I3427</f>
        <v>349526.07999999996</v>
      </c>
    </row>
    <row r="3428" spans="1:12" x14ac:dyDescent="0.25">
      <c r="A3428" s="48" t="str">
        <f>IF(Учет!A3428&lt;&gt;"",Учет!A3428,"")</f>
        <v/>
      </c>
      <c r="B3428" s="52">
        <f>IF(Учет!$O3428=Справочники!$F$2,Учет!$H3428,0)</f>
        <v>0</v>
      </c>
      <c r="C3428" s="52">
        <f>IF(Учет!$O3428=Справочники!$F$3,Учет!$H3428,0)</f>
        <v>0</v>
      </c>
      <c r="D3428" s="52">
        <f>IF(Учет!$O3428=Справочники!$F$4,Учет!$H3428,0)</f>
        <v>0</v>
      </c>
      <c r="E3428" s="52">
        <f>IF(Учет!$O3428=Справочники!$F$5,Учет!$H3428,0)</f>
        <v>0</v>
      </c>
      <c r="F3428" s="52">
        <f>IF(Учет!$O3428=Справочники!$F$6,Учет!$H3428,0)</f>
        <v>0</v>
      </c>
      <c r="G3428" s="43">
        <f>G3427+Учет!B3428-B3428</f>
        <v>-488978.92000000004</v>
      </c>
      <c r="H3428" s="43">
        <f>H3427+Учет!C3428-C3428</f>
        <v>336855</v>
      </c>
      <c r="I3428" s="43">
        <f>I3427+Учет!D3428-D3428</f>
        <v>500</v>
      </c>
      <c r="J3428" s="43">
        <f>J3427+Учет!E3428-E3428</f>
        <v>1150</v>
      </c>
      <c r="K3428" s="43">
        <f>K3427+Учет!F3428-F3428</f>
        <v>500000</v>
      </c>
      <c r="L3428" s="45">
        <f>Учет!I3428</f>
        <v>349526.07999999996</v>
      </c>
    </row>
    <row r="3429" spans="1:12" x14ac:dyDescent="0.25">
      <c r="A3429" s="48" t="str">
        <f>IF(Учет!A3429&lt;&gt;"",Учет!A3429,"")</f>
        <v/>
      </c>
      <c r="B3429" s="52">
        <f>IF(Учет!$O3429=Справочники!$F$2,Учет!$H3429,0)</f>
        <v>0</v>
      </c>
      <c r="C3429" s="52">
        <f>IF(Учет!$O3429=Справочники!$F$3,Учет!$H3429,0)</f>
        <v>0</v>
      </c>
      <c r="D3429" s="52">
        <f>IF(Учет!$O3429=Справочники!$F$4,Учет!$H3429,0)</f>
        <v>0</v>
      </c>
      <c r="E3429" s="52">
        <f>IF(Учет!$O3429=Справочники!$F$5,Учет!$H3429,0)</f>
        <v>0</v>
      </c>
      <c r="F3429" s="52">
        <f>IF(Учет!$O3429=Справочники!$F$6,Учет!$H3429,0)</f>
        <v>0</v>
      </c>
      <c r="G3429" s="43">
        <f>G3428+Учет!B3429-B3429</f>
        <v>-488978.92000000004</v>
      </c>
      <c r="H3429" s="43">
        <f>H3428+Учет!C3429-C3429</f>
        <v>336855</v>
      </c>
      <c r="I3429" s="43">
        <f>I3428+Учет!D3429-D3429</f>
        <v>500</v>
      </c>
      <c r="J3429" s="43">
        <f>J3428+Учет!E3429-E3429</f>
        <v>1150</v>
      </c>
      <c r="K3429" s="43">
        <f>K3428+Учет!F3429-F3429</f>
        <v>500000</v>
      </c>
      <c r="L3429" s="45">
        <f>Учет!I3429</f>
        <v>349526.07999999996</v>
      </c>
    </row>
    <row r="3430" spans="1:12" x14ac:dyDescent="0.25">
      <c r="A3430" s="48" t="str">
        <f>IF(Учет!A3430&lt;&gt;"",Учет!A3430,"")</f>
        <v/>
      </c>
      <c r="B3430" s="52">
        <f>IF(Учет!$O3430=Справочники!$F$2,Учет!$H3430,0)</f>
        <v>0</v>
      </c>
      <c r="C3430" s="52">
        <f>IF(Учет!$O3430=Справочники!$F$3,Учет!$H3430,0)</f>
        <v>0</v>
      </c>
      <c r="D3430" s="52">
        <f>IF(Учет!$O3430=Справочники!$F$4,Учет!$H3430,0)</f>
        <v>0</v>
      </c>
      <c r="E3430" s="52">
        <f>IF(Учет!$O3430=Справочники!$F$5,Учет!$H3430,0)</f>
        <v>0</v>
      </c>
      <c r="F3430" s="52">
        <f>IF(Учет!$O3430=Справочники!$F$6,Учет!$H3430,0)</f>
        <v>0</v>
      </c>
      <c r="G3430" s="43">
        <f>G3429+Учет!B3430-B3430</f>
        <v>-488978.92000000004</v>
      </c>
      <c r="H3430" s="43">
        <f>H3429+Учет!C3430-C3430</f>
        <v>336855</v>
      </c>
      <c r="I3430" s="43">
        <f>I3429+Учет!D3430-D3430</f>
        <v>500</v>
      </c>
      <c r="J3430" s="43">
        <f>J3429+Учет!E3430-E3430</f>
        <v>1150</v>
      </c>
      <c r="K3430" s="43">
        <f>K3429+Учет!F3430-F3430</f>
        <v>500000</v>
      </c>
      <c r="L3430" s="45">
        <f>Учет!I3430</f>
        <v>349526.07999999996</v>
      </c>
    </row>
    <row r="3431" spans="1:12" x14ac:dyDescent="0.25">
      <c r="A3431" s="48" t="str">
        <f>IF(Учет!A3431&lt;&gt;"",Учет!A3431,"")</f>
        <v/>
      </c>
      <c r="B3431" s="52">
        <f>IF(Учет!$O3431=Справочники!$F$2,Учет!$H3431,0)</f>
        <v>0</v>
      </c>
      <c r="C3431" s="52">
        <f>IF(Учет!$O3431=Справочники!$F$3,Учет!$H3431,0)</f>
        <v>0</v>
      </c>
      <c r="D3431" s="52">
        <f>IF(Учет!$O3431=Справочники!$F$4,Учет!$H3431,0)</f>
        <v>0</v>
      </c>
      <c r="E3431" s="52">
        <f>IF(Учет!$O3431=Справочники!$F$5,Учет!$H3431,0)</f>
        <v>0</v>
      </c>
      <c r="F3431" s="52">
        <f>IF(Учет!$O3431=Справочники!$F$6,Учет!$H3431,0)</f>
        <v>0</v>
      </c>
      <c r="G3431" s="43">
        <f>G3430+Учет!B3431-B3431</f>
        <v>-488978.92000000004</v>
      </c>
      <c r="H3431" s="43">
        <f>H3430+Учет!C3431-C3431</f>
        <v>336855</v>
      </c>
      <c r="I3431" s="43">
        <f>I3430+Учет!D3431-D3431</f>
        <v>500</v>
      </c>
      <c r="J3431" s="43">
        <f>J3430+Учет!E3431-E3431</f>
        <v>1150</v>
      </c>
      <c r="K3431" s="43">
        <f>K3430+Учет!F3431-F3431</f>
        <v>500000</v>
      </c>
      <c r="L3431" s="45">
        <f>Учет!I3431</f>
        <v>349526.07999999996</v>
      </c>
    </row>
    <row r="3432" spans="1:12" x14ac:dyDescent="0.25">
      <c r="A3432" s="48" t="str">
        <f>IF(Учет!A3432&lt;&gt;"",Учет!A3432,"")</f>
        <v/>
      </c>
      <c r="B3432" s="52">
        <f>IF(Учет!$O3432=Справочники!$F$2,Учет!$H3432,0)</f>
        <v>0</v>
      </c>
      <c r="C3432" s="52">
        <f>IF(Учет!$O3432=Справочники!$F$3,Учет!$H3432,0)</f>
        <v>0</v>
      </c>
      <c r="D3432" s="52">
        <f>IF(Учет!$O3432=Справочники!$F$4,Учет!$H3432,0)</f>
        <v>0</v>
      </c>
      <c r="E3432" s="52">
        <f>IF(Учет!$O3432=Справочники!$F$5,Учет!$H3432,0)</f>
        <v>0</v>
      </c>
      <c r="F3432" s="52">
        <f>IF(Учет!$O3432=Справочники!$F$6,Учет!$H3432,0)</f>
        <v>0</v>
      </c>
      <c r="G3432" s="43">
        <f>G3431+Учет!B3432-B3432</f>
        <v>-488978.92000000004</v>
      </c>
      <c r="H3432" s="43">
        <f>H3431+Учет!C3432-C3432</f>
        <v>336855</v>
      </c>
      <c r="I3432" s="43">
        <f>I3431+Учет!D3432-D3432</f>
        <v>500</v>
      </c>
      <c r="J3432" s="43">
        <f>J3431+Учет!E3432-E3432</f>
        <v>1150</v>
      </c>
      <c r="K3432" s="43">
        <f>K3431+Учет!F3432-F3432</f>
        <v>500000</v>
      </c>
      <c r="L3432" s="45">
        <f>Учет!I3432</f>
        <v>349526.07999999996</v>
      </c>
    </row>
    <row r="3433" spans="1:12" x14ac:dyDescent="0.25">
      <c r="A3433" s="48" t="str">
        <f>IF(Учет!A3433&lt;&gt;"",Учет!A3433,"")</f>
        <v/>
      </c>
      <c r="B3433" s="52">
        <f>IF(Учет!$O3433=Справочники!$F$2,Учет!$H3433,0)</f>
        <v>0</v>
      </c>
      <c r="C3433" s="52">
        <f>IF(Учет!$O3433=Справочники!$F$3,Учет!$H3433,0)</f>
        <v>0</v>
      </c>
      <c r="D3433" s="52">
        <f>IF(Учет!$O3433=Справочники!$F$4,Учет!$H3433,0)</f>
        <v>0</v>
      </c>
      <c r="E3433" s="52">
        <f>IF(Учет!$O3433=Справочники!$F$5,Учет!$H3433,0)</f>
        <v>0</v>
      </c>
      <c r="F3433" s="52">
        <f>IF(Учет!$O3433=Справочники!$F$6,Учет!$H3433,0)</f>
        <v>0</v>
      </c>
      <c r="G3433" s="43">
        <f>G3432+Учет!B3433-B3433</f>
        <v>-488978.92000000004</v>
      </c>
      <c r="H3433" s="43">
        <f>H3432+Учет!C3433-C3433</f>
        <v>336855</v>
      </c>
      <c r="I3433" s="43">
        <f>I3432+Учет!D3433-D3433</f>
        <v>500</v>
      </c>
      <c r="J3433" s="43">
        <f>J3432+Учет!E3433-E3433</f>
        <v>1150</v>
      </c>
      <c r="K3433" s="43">
        <f>K3432+Учет!F3433-F3433</f>
        <v>500000</v>
      </c>
      <c r="L3433" s="45">
        <f>Учет!I3433</f>
        <v>349526.07999999996</v>
      </c>
    </row>
    <row r="3434" spans="1:12" x14ac:dyDescent="0.25">
      <c r="A3434" s="48" t="str">
        <f>IF(Учет!A3434&lt;&gt;"",Учет!A3434,"")</f>
        <v/>
      </c>
      <c r="B3434" s="52">
        <f>IF(Учет!$O3434=Справочники!$F$2,Учет!$H3434,0)</f>
        <v>0</v>
      </c>
      <c r="C3434" s="52">
        <f>IF(Учет!$O3434=Справочники!$F$3,Учет!$H3434,0)</f>
        <v>0</v>
      </c>
      <c r="D3434" s="52">
        <f>IF(Учет!$O3434=Справочники!$F$4,Учет!$H3434,0)</f>
        <v>0</v>
      </c>
      <c r="E3434" s="52">
        <f>IF(Учет!$O3434=Справочники!$F$5,Учет!$H3434,0)</f>
        <v>0</v>
      </c>
      <c r="F3434" s="52">
        <f>IF(Учет!$O3434=Справочники!$F$6,Учет!$H3434,0)</f>
        <v>0</v>
      </c>
      <c r="G3434" s="43">
        <f>G3433+Учет!B3434-B3434</f>
        <v>-488978.92000000004</v>
      </c>
      <c r="H3434" s="43">
        <f>H3433+Учет!C3434-C3434</f>
        <v>336855</v>
      </c>
      <c r="I3434" s="43">
        <f>I3433+Учет!D3434-D3434</f>
        <v>500</v>
      </c>
      <c r="J3434" s="43">
        <f>J3433+Учет!E3434-E3434</f>
        <v>1150</v>
      </c>
      <c r="K3434" s="43">
        <f>K3433+Учет!F3434-F3434</f>
        <v>500000</v>
      </c>
      <c r="L3434" s="45">
        <f>Учет!I3434</f>
        <v>349526.07999999996</v>
      </c>
    </row>
    <row r="3435" spans="1:12" x14ac:dyDescent="0.25">
      <c r="A3435" s="48" t="str">
        <f>IF(Учет!A3435&lt;&gt;"",Учет!A3435,"")</f>
        <v/>
      </c>
      <c r="B3435" s="52">
        <f>IF(Учет!$O3435=Справочники!$F$2,Учет!$H3435,0)</f>
        <v>0</v>
      </c>
      <c r="C3435" s="52">
        <f>IF(Учет!$O3435=Справочники!$F$3,Учет!$H3435,0)</f>
        <v>0</v>
      </c>
      <c r="D3435" s="52">
        <f>IF(Учет!$O3435=Справочники!$F$4,Учет!$H3435,0)</f>
        <v>0</v>
      </c>
      <c r="E3435" s="52">
        <f>IF(Учет!$O3435=Справочники!$F$5,Учет!$H3435,0)</f>
        <v>0</v>
      </c>
      <c r="F3435" s="52">
        <f>IF(Учет!$O3435=Справочники!$F$6,Учет!$H3435,0)</f>
        <v>0</v>
      </c>
      <c r="G3435" s="43">
        <f>G3434+Учет!B3435-B3435</f>
        <v>-488978.92000000004</v>
      </c>
      <c r="H3435" s="43">
        <f>H3434+Учет!C3435-C3435</f>
        <v>336855</v>
      </c>
      <c r="I3435" s="43">
        <f>I3434+Учет!D3435-D3435</f>
        <v>500</v>
      </c>
      <c r="J3435" s="43">
        <f>J3434+Учет!E3435-E3435</f>
        <v>1150</v>
      </c>
      <c r="K3435" s="43">
        <f>K3434+Учет!F3435-F3435</f>
        <v>500000</v>
      </c>
      <c r="L3435" s="45">
        <f>Учет!I3435</f>
        <v>349526.07999999996</v>
      </c>
    </row>
    <row r="3436" spans="1:12" x14ac:dyDescent="0.25">
      <c r="A3436" s="48" t="str">
        <f>IF(Учет!A3436&lt;&gt;"",Учет!A3436,"")</f>
        <v/>
      </c>
      <c r="B3436" s="52">
        <f>IF(Учет!$O3436=Справочники!$F$2,Учет!$H3436,0)</f>
        <v>0</v>
      </c>
      <c r="C3436" s="52">
        <f>IF(Учет!$O3436=Справочники!$F$3,Учет!$H3436,0)</f>
        <v>0</v>
      </c>
      <c r="D3436" s="52">
        <f>IF(Учет!$O3436=Справочники!$F$4,Учет!$H3436,0)</f>
        <v>0</v>
      </c>
      <c r="E3436" s="52">
        <f>IF(Учет!$O3436=Справочники!$F$5,Учет!$H3436,0)</f>
        <v>0</v>
      </c>
      <c r="F3436" s="52">
        <f>IF(Учет!$O3436=Справочники!$F$6,Учет!$H3436,0)</f>
        <v>0</v>
      </c>
      <c r="G3436" s="43">
        <f>G3435+Учет!B3436-B3436</f>
        <v>-488978.92000000004</v>
      </c>
      <c r="H3436" s="43">
        <f>H3435+Учет!C3436-C3436</f>
        <v>336855</v>
      </c>
      <c r="I3436" s="43">
        <f>I3435+Учет!D3436-D3436</f>
        <v>500</v>
      </c>
      <c r="J3436" s="43">
        <f>J3435+Учет!E3436-E3436</f>
        <v>1150</v>
      </c>
      <c r="K3436" s="43">
        <f>K3435+Учет!F3436-F3436</f>
        <v>500000</v>
      </c>
      <c r="L3436" s="45">
        <f>Учет!I3436</f>
        <v>349526.07999999996</v>
      </c>
    </row>
    <row r="3437" spans="1:12" x14ac:dyDescent="0.25">
      <c r="A3437" s="48" t="str">
        <f>IF(Учет!A3437&lt;&gt;"",Учет!A3437,"")</f>
        <v/>
      </c>
      <c r="B3437" s="52">
        <f>IF(Учет!$O3437=Справочники!$F$2,Учет!$H3437,0)</f>
        <v>0</v>
      </c>
      <c r="C3437" s="52">
        <f>IF(Учет!$O3437=Справочники!$F$3,Учет!$H3437,0)</f>
        <v>0</v>
      </c>
      <c r="D3437" s="52">
        <f>IF(Учет!$O3437=Справочники!$F$4,Учет!$H3437,0)</f>
        <v>0</v>
      </c>
      <c r="E3437" s="52">
        <f>IF(Учет!$O3437=Справочники!$F$5,Учет!$H3437,0)</f>
        <v>0</v>
      </c>
      <c r="F3437" s="52">
        <f>IF(Учет!$O3437=Справочники!$F$6,Учет!$H3437,0)</f>
        <v>0</v>
      </c>
      <c r="G3437" s="43">
        <f>G3436+Учет!B3437-B3437</f>
        <v>-488978.92000000004</v>
      </c>
      <c r="H3437" s="43">
        <f>H3436+Учет!C3437-C3437</f>
        <v>336855</v>
      </c>
      <c r="I3437" s="43">
        <f>I3436+Учет!D3437-D3437</f>
        <v>500</v>
      </c>
      <c r="J3437" s="43">
        <f>J3436+Учет!E3437-E3437</f>
        <v>1150</v>
      </c>
      <c r="K3437" s="43">
        <f>K3436+Учет!F3437-F3437</f>
        <v>500000</v>
      </c>
      <c r="L3437" s="45">
        <f>Учет!I3437</f>
        <v>349526.07999999996</v>
      </c>
    </row>
    <row r="3438" spans="1:12" x14ac:dyDescent="0.25">
      <c r="A3438" s="48" t="str">
        <f>IF(Учет!A3438&lt;&gt;"",Учет!A3438,"")</f>
        <v/>
      </c>
      <c r="B3438" s="52">
        <f>IF(Учет!$O3438=Справочники!$F$2,Учет!$H3438,0)</f>
        <v>0</v>
      </c>
      <c r="C3438" s="52">
        <f>IF(Учет!$O3438=Справочники!$F$3,Учет!$H3438,0)</f>
        <v>0</v>
      </c>
      <c r="D3438" s="52">
        <f>IF(Учет!$O3438=Справочники!$F$4,Учет!$H3438,0)</f>
        <v>0</v>
      </c>
      <c r="E3438" s="52">
        <f>IF(Учет!$O3438=Справочники!$F$5,Учет!$H3438,0)</f>
        <v>0</v>
      </c>
      <c r="F3438" s="52">
        <f>IF(Учет!$O3438=Справочники!$F$6,Учет!$H3438,0)</f>
        <v>0</v>
      </c>
      <c r="G3438" s="43">
        <f>G3437+Учет!B3438-B3438</f>
        <v>-488978.92000000004</v>
      </c>
      <c r="H3438" s="43">
        <f>H3437+Учет!C3438-C3438</f>
        <v>336855</v>
      </c>
      <c r="I3438" s="43">
        <f>I3437+Учет!D3438-D3438</f>
        <v>500</v>
      </c>
      <c r="J3438" s="43">
        <f>J3437+Учет!E3438-E3438</f>
        <v>1150</v>
      </c>
      <c r="K3438" s="43">
        <f>K3437+Учет!F3438-F3438</f>
        <v>500000</v>
      </c>
      <c r="L3438" s="45">
        <f>Учет!I3438</f>
        <v>349526.07999999996</v>
      </c>
    </row>
    <row r="3439" spans="1:12" x14ac:dyDescent="0.25">
      <c r="A3439" s="48" t="str">
        <f>IF(Учет!A3439&lt;&gt;"",Учет!A3439,"")</f>
        <v/>
      </c>
      <c r="B3439" s="52">
        <f>IF(Учет!$O3439=Справочники!$F$2,Учет!$H3439,0)</f>
        <v>0</v>
      </c>
      <c r="C3439" s="52">
        <f>IF(Учет!$O3439=Справочники!$F$3,Учет!$H3439,0)</f>
        <v>0</v>
      </c>
      <c r="D3439" s="52">
        <f>IF(Учет!$O3439=Справочники!$F$4,Учет!$H3439,0)</f>
        <v>0</v>
      </c>
      <c r="E3439" s="52">
        <f>IF(Учет!$O3439=Справочники!$F$5,Учет!$H3439,0)</f>
        <v>0</v>
      </c>
      <c r="F3439" s="52">
        <f>IF(Учет!$O3439=Справочники!$F$6,Учет!$H3439,0)</f>
        <v>0</v>
      </c>
      <c r="G3439" s="43">
        <f>G3438+Учет!B3439-B3439</f>
        <v>-488978.92000000004</v>
      </c>
      <c r="H3439" s="43">
        <f>H3438+Учет!C3439-C3439</f>
        <v>336855</v>
      </c>
      <c r="I3439" s="43">
        <f>I3438+Учет!D3439-D3439</f>
        <v>500</v>
      </c>
      <c r="J3439" s="43">
        <f>J3438+Учет!E3439-E3439</f>
        <v>1150</v>
      </c>
      <c r="K3439" s="43">
        <f>K3438+Учет!F3439-F3439</f>
        <v>500000</v>
      </c>
      <c r="L3439" s="45">
        <f>Учет!I3439</f>
        <v>349526.07999999996</v>
      </c>
    </row>
    <row r="3440" spans="1:12" x14ac:dyDescent="0.25">
      <c r="A3440" s="48" t="str">
        <f>IF(Учет!A3440&lt;&gt;"",Учет!A3440,"")</f>
        <v/>
      </c>
      <c r="B3440" s="52">
        <f>IF(Учет!$O3440=Справочники!$F$2,Учет!$H3440,0)</f>
        <v>0</v>
      </c>
      <c r="C3440" s="52">
        <f>IF(Учет!$O3440=Справочники!$F$3,Учет!$H3440,0)</f>
        <v>0</v>
      </c>
      <c r="D3440" s="52">
        <f>IF(Учет!$O3440=Справочники!$F$4,Учет!$H3440,0)</f>
        <v>0</v>
      </c>
      <c r="E3440" s="52">
        <f>IF(Учет!$O3440=Справочники!$F$5,Учет!$H3440,0)</f>
        <v>0</v>
      </c>
      <c r="F3440" s="52">
        <f>IF(Учет!$O3440=Справочники!$F$6,Учет!$H3440,0)</f>
        <v>0</v>
      </c>
      <c r="G3440" s="43">
        <f>G3439+Учет!B3440-B3440</f>
        <v>-488978.92000000004</v>
      </c>
      <c r="H3440" s="43">
        <f>H3439+Учет!C3440-C3440</f>
        <v>336855</v>
      </c>
      <c r="I3440" s="43">
        <f>I3439+Учет!D3440-D3440</f>
        <v>500</v>
      </c>
      <c r="J3440" s="43">
        <f>J3439+Учет!E3440-E3440</f>
        <v>1150</v>
      </c>
      <c r="K3440" s="43">
        <f>K3439+Учет!F3440-F3440</f>
        <v>500000</v>
      </c>
      <c r="L3440" s="45">
        <f>Учет!I3440</f>
        <v>349526.07999999996</v>
      </c>
    </row>
    <row r="3441" spans="1:12" x14ac:dyDescent="0.25">
      <c r="A3441" s="48" t="str">
        <f>IF(Учет!A3441&lt;&gt;"",Учет!A3441,"")</f>
        <v/>
      </c>
      <c r="B3441" s="52">
        <f>IF(Учет!$O3441=Справочники!$F$2,Учет!$H3441,0)</f>
        <v>0</v>
      </c>
      <c r="C3441" s="52">
        <f>IF(Учет!$O3441=Справочники!$F$3,Учет!$H3441,0)</f>
        <v>0</v>
      </c>
      <c r="D3441" s="52">
        <f>IF(Учет!$O3441=Справочники!$F$4,Учет!$H3441,0)</f>
        <v>0</v>
      </c>
      <c r="E3441" s="52">
        <f>IF(Учет!$O3441=Справочники!$F$5,Учет!$H3441,0)</f>
        <v>0</v>
      </c>
      <c r="F3441" s="52">
        <f>IF(Учет!$O3441=Справочники!$F$6,Учет!$H3441,0)</f>
        <v>0</v>
      </c>
      <c r="G3441" s="43">
        <f>G3440+Учет!B3441-B3441</f>
        <v>-488978.92000000004</v>
      </c>
      <c r="H3441" s="43">
        <f>H3440+Учет!C3441-C3441</f>
        <v>336855</v>
      </c>
      <c r="I3441" s="43">
        <f>I3440+Учет!D3441-D3441</f>
        <v>500</v>
      </c>
      <c r="J3441" s="43">
        <f>J3440+Учет!E3441-E3441</f>
        <v>1150</v>
      </c>
      <c r="K3441" s="43">
        <f>K3440+Учет!F3441-F3441</f>
        <v>500000</v>
      </c>
      <c r="L3441" s="45">
        <f>Учет!I3441</f>
        <v>349526.07999999996</v>
      </c>
    </row>
    <row r="3442" spans="1:12" x14ac:dyDescent="0.25">
      <c r="A3442" s="48" t="str">
        <f>IF(Учет!A3442&lt;&gt;"",Учет!A3442,"")</f>
        <v/>
      </c>
      <c r="B3442" s="52">
        <f>IF(Учет!$O3442=Справочники!$F$2,Учет!$H3442,0)</f>
        <v>0</v>
      </c>
      <c r="C3442" s="52">
        <f>IF(Учет!$O3442=Справочники!$F$3,Учет!$H3442,0)</f>
        <v>0</v>
      </c>
      <c r="D3442" s="52">
        <f>IF(Учет!$O3442=Справочники!$F$4,Учет!$H3442,0)</f>
        <v>0</v>
      </c>
      <c r="E3442" s="52">
        <f>IF(Учет!$O3442=Справочники!$F$5,Учет!$H3442,0)</f>
        <v>0</v>
      </c>
      <c r="F3442" s="52">
        <f>IF(Учет!$O3442=Справочники!$F$6,Учет!$H3442,0)</f>
        <v>0</v>
      </c>
      <c r="G3442" s="43">
        <f>G3441+Учет!B3442-B3442</f>
        <v>-488978.92000000004</v>
      </c>
      <c r="H3442" s="43">
        <f>H3441+Учет!C3442-C3442</f>
        <v>336855</v>
      </c>
      <c r="I3442" s="43">
        <f>I3441+Учет!D3442-D3442</f>
        <v>500</v>
      </c>
      <c r="J3442" s="43">
        <f>J3441+Учет!E3442-E3442</f>
        <v>1150</v>
      </c>
      <c r="K3442" s="43">
        <f>K3441+Учет!F3442-F3442</f>
        <v>500000</v>
      </c>
      <c r="L3442" s="45">
        <f>Учет!I3442</f>
        <v>349526.07999999996</v>
      </c>
    </row>
    <row r="3443" spans="1:12" x14ac:dyDescent="0.25">
      <c r="A3443" s="48" t="str">
        <f>IF(Учет!A3443&lt;&gt;"",Учет!A3443,"")</f>
        <v/>
      </c>
      <c r="B3443" s="52">
        <f>IF(Учет!$O3443=Справочники!$F$2,Учет!$H3443,0)</f>
        <v>0</v>
      </c>
      <c r="C3443" s="52">
        <f>IF(Учет!$O3443=Справочники!$F$3,Учет!$H3443,0)</f>
        <v>0</v>
      </c>
      <c r="D3443" s="52">
        <f>IF(Учет!$O3443=Справочники!$F$4,Учет!$H3443,0)</f>
        <v>0</v>
      </c>
      <c r="E3443" s="52">
        <f>IF(Учет!$O3443=Справочники!$F$5,Учет!$H3443,0)</f>
        <v>0</v>
      </c>
      <c r="F3443" s="52">
        <f>IF(Учет!$O3443=Справочники!$F$6,Учет!$H3443,0)</f>
        <v>0</v>
      </c>
      <c r="G3443" s="43">
        <f>G3442+Учет!B3443-B3443</f>
        <v>-488978.92000000004</v>
      </c>
      <c r="H3443" s="43">
        <f>H3442+Учет!C3443-C3443</f>
        <v>336855</v>
      </c>
      <c r="I3443" s="43">
        <f>I3442+Учет!D3443-D3443</f>
        <v>500</v>
      </c>
      <c r="J3443" s="43">
        <f>J3442+Учет!E3443-E3443</f>
        <v>1150</v>
      </c>
      <c r="K3443" s="43">
        <f>K3442+Учет!F3443-F3443</f>
        <v>500000</v>
      </c>
      <c r="L3443" s="45">
        <f>Учет!I3443</f>
        <v>349526.07999999996</v>
      </c>
    </row>
    <row r="3444" spans="1:12" x14ac:dyDescent="0.25">
      <c r="A3444" s="48" t="str">
        <f>IF(Учет!A3444&lt;&gt;"",Учет!A3444,"")</f>
        <v/>
      </c>
      <c r="B3444" s="52">
        <f>IF(Учет!$O3444=Справочники!$F$2,Учет!$H3444,0)</f>
        <v>0</v>
      </c>
      <c r="C3444" s="52">
        <f>IF(Учет!$O3444=Справочники!$F$3,Учет!$H3444,0)</f>
        <v>0</v>
      </c>
      <c r="D3444" s="52">
        <f>IF(Учет!$O3444=Справочники!$F$4,Учет!$H3444,0)</f>
        <v>0</v>
      </c>
      <c r="E3444" s="52">
        <f>IF(Учет!$O3444=Справочники!$F$5,Учет!$H3444,0)</f>
        <v>0</v>
      </c>
      <c r="F3444" s="52">
        <f>IF(Учет!$O3444=Справочники!$F$6,Учет!$H3444,0)</f>
        <v>0</v>
      </c>
      <c r="G3444" s="43">
        <f>G3443+Учет!B3444-B3444</f>
        <v>-488978.92000000004</v>
      </c>
      <c r="H3444" s="43">
        <f>H3443+Учет!C3444-C3444</f>
        <v>336855</v>
      </c>
      <c r="I3444" s="43">
        <f>I3443+Учет!D3444-D3444</f>
        <v>500</v>
      </c>
      <c r="J3444" s="43">
        <f>J3443+Учет!E3444-E3444</f>
        <v>1150</v>
      </c>
      <c r="K3444" s="43">
        <f>K3443+Учет!F3444-F3444</f>
        <v>500000</v>
      </c>
      <c r="L3444" s="45">
        <f>Учет!I3444</f>
        <v>349526.07999999996</v>
      </c>
    </row>
    <row r="3445" spans="1:12" x14ac:dyDescent="0.25">
      <c r="A3445" s="48" t="str">
        <f>IF(Учет!A3445&lt;&gt;"",Учет!A3445,"")</f>
        <v/>
      </c>
      <c r="B3445" s="52">
        <f>IF(Учет!$O3445=Справочники!$F$2,Учет!$H3445,0)</f>
        <v>0</v>
      </c>
      <c r="C3445" s="52">
        <f>IF(Учет!$O3445=Справочники!$F$3,Учет!$H3445,0)</f>
        <v>0</v>
      </c>
      <c r="D3445" s="52">
        <f>IF(Учет!$O3445=Справочники!$F$4,Учет!$H3445,0)</f>
        <v>0</v>
      </c>
      <c r="E3445" s="52">
        <f>IF(Учет!$O3445=Справочники!$F$5,Учет!$H3445,0)</f>
        <v>0</v>
      </c>
      <c r="F3445" s="52">
        <f>IF(Учет!$O3445=Справочники!$F$6,Учет!$H3445,0)</f>
        <v>0</v>
      </c>
      <c r="G3445" s="43">
        <f>G3444+Учет!B3445-B3445</f>
        <v>-488978.92000000004</v>
      </c>
      <c r="H3445" s="43">
        <f>H3444+Учет!C3445-C3445</f>
        <v>336855</v>
      </c>
      <c r="I3445" s="43">
        <f>I3444+Учет!D3445-D3445</f>
        <v>500</v>
      </c>
      <c r="J3445" s="43">
        <f>J3444+Учет!E3445-E3445</f>
        <v>1150</v>
      </c>
      <c r="K3445" s="43">
        <f>K3444+Учет!F3445-F3445</f>
        <v>500000</v>
      </c>
      <c r="L3445" s="45">
        <f>Учет!I3445</f>
        <v>349526.07999999996</v>
      </c>
    </row>
    <row r="3446" spans="1:12" x14ac:dyDescent="0.25">
      <c r="A3446" s="48" t="str">
        <f>IF(Учет!A3446&lt;&gt;"",Учет!A3446,"")</f>
        <v/>
      </c>
      <c r="B3446" s="52">
        <f>IF(Учет!$O3446=Справочники!$F$2,Учет!$H3446,0)</f>
        <v>0</v>
      </c>
      <c r="C3446" s="52">
        <f>IF(Учет!$O3446=Справочники!$F$3,Учет!$H3446,0)</f>
        <v>0</v>
      </c>
      <c r="D3446" s="52">
        <f>IF(Учет!$O3446=Справочники!$F$4,Учет!$H3446,0)</f>
        <v>0</v>
      </c>
      <c r="E3446" s="52">
        <f>IF(Учет!$O3446=Справочники!$F$5,Учет!$H3446,0)</f>
        <v>0</v>
      </c>
      <c r="F3446" s="52">
        <f>IF(Учет!$O3446=Справочники!$F$6,Учет!$H3446,0)</f>
        <v>0</v>
      </c>
      <c r="G3446" s="43">
        <f>G3445+Учет!B3446-B3446</f>
        <v>-488978.92000000004</v>
      </c>
      <c r="H3446" s="43">
        <f>H3445+Учет!C3446-C3446</f>
        <v>336855</v>
      </c>
      <c r="I3446" s="43">
        <f>I3445+Учет!D3446-D3446</f>
        <v>500</v>
      </c>
      <c r="J3446" s="43">
        <f>J3445+Учет!E3446-E3446</f>
        <v>1150</v>
      </c>
      <c r="K3446" s="43">
        <f>K3445+Учет!F3446-F3446</f>
        <v>500000</v>
      </c>
      <c r="L3446" s="45">
        <f>Учет!I3446</f>
        <v>349526.07999999996</v>
      </c>
    </row>
    <row r="3447" spans="1:12" x14ac:dyDescent="0.25">
      <c r="A3447" s="48" t="str">
        <f>IF(Учет!A3447&lt;&gt;"",Учет!A3447,"")</f>
        <v/>
      </c>
      <c r="B3447" s="52">
        <f>IF(Учет!$O3447=Справочники!$F$2,Учет!$H3447,0)</f>
        <v>0</v>
      </c>
      <c r="C3447" s="52">
        <f>IF(Учет!$O3447=Справочники!$F$3,Учет!$H3447,0)</f>
        <v>0</v>
      </c>
      <c r="D3447" s="52">
        <f>IF(Учет!$O3447=Справочники!$F$4,Учет!$H3447,0)</f>
        <v>0</v>
      </c>
      <c r="E3447" s="52">
        <f>IF(Учет!$O3447=Справочники!$F$5,Учет!$H3447,0)</f>
        <v>0</v>
      </c>
      <c r="F3447" s="52">
        <f>IF(Учет!$O3447=Справочники!$F$6,Учет!$H3447,0)</f>
        <v>0</v>
      </c>
      <c r="G3447" s="43">
        <f>G3446+Учет!B3447-B3447</f>
        <v>-488978.92000000004</v>
      </c>
      <c r="H3447" s="43">
        <f>H3446+Учет!C3447-C3447</f>
        <v>336855</v>
      </c>
      <c r="I3447" s="43">
        <f>I3446+Учет!D3447-D3447</f>
        <v>500</v>
      </c>
      <c r="J3447" s="43">
        <f>J3446+Учет!E3447-E3447</f>
        <v>1150</v>
      </c>
      <c r="K3447" s="43">
        <f>K3446+Учет!F3447-F3447</f>
        <v>500000</v>
      </c>
      <c r="L3447" s="45">
        <f>Учет!I3447</f>
        <v>349526.07999999996</v>
      </c>
    </row>
    <row r="3448" spans="1:12" x14ac:dyDescent="0.25">
      <c r="A3448" s="48" t="str">
        <f>IF(Учет!A3448&lt;&gt;"",Учет!A3448,"")</f>
        <v/>
      </c>
      <c r="B3448" s="52">
        <f>IF(Учет!$O3448=Справочники!$F$2,Учет!$H3448,0)</f>
        <v>0</v>
      </c>
      <c r="C3448" s="52">
        <f>IF(Учет!$O3448=Справочники!$F$3,Учет!$H3448,0)</f>
        <v>0</v>
      </c>
      <c r="D3448" s="52">
        <f>IF(Учет!$O3448=Справочники!$F$4,Учет!$H3448,0)</f>
        <v>0</v>
      </c>
      <c r="E3448" s="52">
        <f>IF(Учет!$O3448=Справочники!$F$5,Учет!$H3448,0)</f>
        <v>0</v>
      </c>
      <c r="F3448" s="52">
        <f>IF(Учет!$O3448=Справочники!$F$6,Учет!$H3448,0)</f>
        <v>0</v>
      </c>
      <c r="G3448" s="43">
        <f>G3447+Учет!B3448-B3448</f>
        <v>-488978.92000000004</v>
      </c>
      <c r="H3448" s="43">
        <f>H3447+Учет!C3448-C3448</f>
        <v>336855</v>
      </c>
      <c r="I3448" s="43">
        <f>I3447+Учет!D3448-D3448</f>
        <v>500</v>
      </c>
      <c r="J3448" s="43">
        <f>J3447+Учет!E3448-E3448</f>
        <v>1150</v>
      </c>
      <c r="K3448" s="43">
        <f>K3447+Учет!F3448-F3448</f>
        <v>500000</v>
      </c>
      <c r="L3448" s="45">
        <f>Учет!I3448</f>
        <v>349526.07999999996</v>
      </c>
    </row>
    <row r="3449" spans="1:12" x14ac:dyDescent="0.25">
      <c r="A3449" s="48" t="str">
        <f>IF(Учет!A3449&lt;&gt;"",Учет!A3449,"")</f>
        <v/>
      </c>
      <c r="B3449" s="52">
        <f>IF(Учет!$O3449=Справочники!$F$2,Учет!$H3449,0)</f>
        <v>0</v>
      </c>
      <c r="C3449" s="52">
        <f>IF(Учет!$O3449=Справочники!$F$3,Учет!$H3449,0)</f>
        <v>0</v>
      </c>
      <c r="D3449" s="52">
        <f>IF(Учет!$O3449=Справочники!$F$4,Учет!$H3449,0)</f>
        <v>0</v>
      </c>
      <c r="E3449" s="52">
        <f>IF(Учет!$O3449=Справочники!$F$5,Учет!$H3449,0)</f>
        <v>0</v>
      </c>
      <c r="F3449" s="52">
        <f>IF(Учет!$O3449=Справочники!$F$6,Учет!$H3449,0)</f>
        <v>0</v>
      </c>
      <c r="G3449" s="43">
        <f>G3448+Учет!B3449-B3449</f>
        <v>-488978.92000000004</v>
      </c>
      <c r="H3449" s="43">
        <f>H3448+Учет!C3449-C3449</f>
        <v>336855</v>
      </c>
      <c r="I3449" s="43">
        <f>I3448+Учет!D3449-D3449</f>
        <v>500</v>
      </c>
      <c r="J3449" s="43">
        <f>J3448+Учет!E3449-E3449</f>
        <v>1150</v>
      </c>
      <c r="K3449" s="43">
        <f>K3448+Учет!F3449-F3449</f>
        <v>500000</v>
      </c>
      <c r="L3449" s="45">
        <f>Учет!I3449</f>
        <v>349526.07999999996</v>
      </c>
    </row>
    <row r="3450" spans="1:12" x14ac:dyDescent="0.25">
      <c r="A3450" s="48" t="str">
        <f>IF(Учет!A3450&lt;&gt;"",Учет!A3450,"")</f>
        <v/>
      </c>
      <c r="B3450" s="52">
        <f>IF(Учет!$O3450=Справочники!$F$2,Учет!$H3450,0)</f>
        <v>0</v>
      </c>
      <c r="C3450" s="52">
        <f>IF(Учет!$O3450=Справочники!$F$3,Учет!$H3450,0)</f>
        <v>0</v>
      </c>
      <c r="D3450" s="52">
        <f>IF(Учет!$O3450=Справочники!$F$4,Учет!$H3450,0)</f>
        <v>0</v>
      </c>
      <c r="E3450" s="52">
        <f>IF(Учет!$O3450=Справочники!$F$5,Учет!$H3450,0)</f>
        <v>0</v>
      </c>
      <c r="F3450" s="52">
        <f>IF(Учет!$O3450=Справочники!$F$6,Учет!$H3450,0)</f>
        <v>0</v>
      </c>
      <c r="G3450" s="43">
        <f>G3449+Учет!B3450-B3450</f>
        <v>-488978.92000000004</v>
      </c>
      <c r="H3450" s="43">
        <f>H3449+Учет!C3450-C3450</f>
        <v>336855</v>
      </c>
      <c r="I3450" s="43">
        <f>I3449+Учет!D3450-D3450</f>
        <v>500</v>
      </c>
      <c r="J3450" s="43">
        <f>J3449+Учет!E3450-E3450</f>
        <v>1150</v>
      </c>
      <c r="K3450" s="43">
        <f>K3449+Учет!F3450-F3450</f>
        <v>500000</v>
      </c>
      <c r="L3450" s="45">
        <f>Учет!I3450</f>
        <v>349526.07999999996</v>
      </c>
    </row>
    <row r="3451" spans="1:12" x14ac:dyDescent="0.25">
      <c r="A3451" s="48" t="str">
        <f>IF(Учет!A3451&lt;&gt;"",Учет!A3451,"")</f>
        <v/>
      </c>
      <c r="B3451" s="52">
        <f>IF(Учет!$O3451=Справочники!$F$2,Учет!$H3451,0)</f>
        <v>0</v>
      </c>
      <c r="C3451" s="52">
        <f>IF(Учет!$O3451=Справочники!$F$3,Учет!$H3451,0)</f>
        <v>0</v>
      </c>
      <c r="D3451" s="52">
        <f>IF(Учет!$O3451=Справочники!$F$4,Учет!$H3451,0)</f>
        <v>0</v>
      </c>
      <c r="E3451" s="52">
        <f>IF(Учет!$O3451=Справочники!$F$5,Учет!$H3451,0)</f>
        <v>0</v>
      </c>
      <c r="F3451" s="52">
        <f>IF(Учет!$O3451=Справочники!$F$6,Учет!$H3451,0)</f>
        <v>0</v>
      </c>
      <c r="G3451" s="43">
        <f>G3450+Учет!B3451-B3451</f>
        <v>-488978.92000000004</v>
      </c>
      <c r="H3451" s="43">
        <f>H3450+Учет!C3451-C3451</f>
        <v>336855</v>
      </c>
      <c r="I3451" s="43">
        <f>I3450+Учет!D3451-D3451</f>
        <v>500</v>
      </c>
      <c r="J3451" s="43">
        <f>J3450+Учет!E3451-E3451</f>
        <v>1150</v>
      </c>
      <c r="K3451" s="43">
        <f>K3450+Учет!F3451-F3451</f>
        <v>500000</v>
      </c>
      <c r="L3451" s="45">
        <f>Учет!I3451</f>
        <v>349526.07999999996</v>
      </c>
    </row>
    <row r="3452" spans="1:12" x14ac:dyDescent="0.25">
      <c r="A3452" s="48" t="str">
        <f>IF(Учет!A3452&lt;&gt;"",Учет!A3452,"")</f>
        <v/>
      </c>
      <c r="B3452" s="52">
        <f>IF(Учет!$O3452=Справочники!$F$2,Учет!$H3452,0)</f>
        <v>0</v>
      </c>
      <c r="C3452" s="52">
        <f>IF(Учет!$O3452=Справочники!$F$3,Учет!$H3452,0)</f>
        <v>0</v>
      </c>
      <c r="D3452" s="52">
        <f>IF(Учет!$O3452=Справочники!$F$4,Учет!$H3452,0)</f>
        <v>0</v>
      </c>
      <c r="E3452" s="52">
        <f>IF(Учет!$O3452=Справочники!$F$5,Учет!$H3452,0)</f>
        <v>0</v>
      </c>
      <c r="F3452" s="52">
        <f>IF(Учет!$O3452=Справочники!$F$6,Учет!$H3452,0)</f>
        <v>0</v>
      </c>
      <c r="G3452" s="43">
        <f>G3451+Учет!B3452-B3452</f>
        <v>-488978.92000000004</v>
      </c>
      <c r="H3452" s="43">
        <f>H3451+Учет!C3452-C3452</f>
        <v>336855</v>
      </c>
      <c r="I3452" s="43">
        <f>I3451+Учет!D3452-D3452</f>
        <v>500</v>
      </c>
      <c r="J3452" s="43">
        <f>J3451+Учет!E3452-E3452</f>
        <v>1150</v>
      </c>
      <c r="K3452" s="43">
        <f>K3451+Учет!F3452-F3452</f>
        <v>500000</v>
      </c>
      <c r="L3452" s="45">
        <f>Учет!I3452</f>
        <v>349526.07999999996</v>
      </c>
    </row>
    <row r="3453" spans="1:12" x14ac:dyDescent="0.25">
      <c r="A3453" s="48" t="str">
        <f>IF(Учет!A3453&lt;&gt;"",Учет!A3453,"")</f>
        <v/>
      </c>
      <c r="B3453" s="52">
        <f>IF(Учет!$O3453=Справочники!$F$2,Учет!$H3453,0)</f>
        <v>0</v>
      </c>
      <c r="C3453" s="52">
        <f>IF(Учет!$O3453=Справочники!$F$3,Учет!$H3453,0)</f>
        <v>0</v>
      </c>
      <c r="D3453" s="52">
        <f>IF(Учет!$O3453=Справочники!$F$4,Учет!$H3453,0)</f>
        <v>0</v>
      </c>
      <c r="E3453" s="52">
        <f>IF(Учет!$O3453=Справочники!$F$5,Учет!$H3453,0)</f>
        <v>0</v>
      </c>
      <c r="F3453" s="52">
        <f>IF(Учет!$O3453=Справочники!$F$6,Учет!$H3453,0)</f>
        <v>0</v>
      </c>
      <c r="G3453" s="43">
        <f>G3452+Учет!B3453-B3453</f>
        <v>-488978.92000000004</v>
      </c>
      <c r="H3453" s="43">
        <f>H3452+Учет!C3453-C3453</f>
        <v>336855</v>
      </c>
      <c r="I3453" s="43">
        <f>I3452+Учет!D3453-D3453</f>
        <v>500</v>
      </c>
      <c r="J3453" s="43">
        <f>J3452+Учет!E3453-E3453</f>
        <v>1150</v>
      </c>
      <c r="K3453" s="43">
        <f>K3452+Учет!F3453-F3453</f>
        <v>500000</v>
      </c>
      <c r="L3453" s="45">
        <f>Учет!I3453</f>
        <v>349526.07999999996</v>
      </c>
    </row>
    <row r="3454" spans="1:12" x14ac:dyDescent="0.25">
      <c r="A3454" s="48" t="str">
        <f>IF(Учет!A3454&lt;&gt;"",Учет!A3454,"")</f>
        <v/>
      </c>
      <c r="B3454" s="52">
        <f>IF(Учет!$O3454=Справочники!$F$2,Учет!$H3454,0)</f>
        <v>0</v>
      </c>
      <c r="C3454" s="52">
        <f>IF(Учет!$O3454=Справочники!$F$3,Учет!$H3454,0)</f>
        <v>0</v>
      </c>
      <c r="D3454" s="52">
        <f>IF(Учет!$O3454=Справочники!$F$4,Учет!$H3454,0)</f>
        <v>0</v>
      </c>
      <c r="E3454" s="52">
        <f>IF(Учет!$O3454=Справочники!$F$5,Учет!$H3454,0)</f>
        <v>0</v>
      </c>
      <c r="F3454" s="52">
        <f>IF(Учет!$O3454=Справочники!$F$6,Учет!$H3454,0)</f>
        <v>0</v>
      </c>
      <c r="G3454" s="43">
        <f>G3453+Учет!B3454-B3454</f>
        <v>-488978.92000000004</v>
      </c>
      <c r="H3454" s="43">
        <f>H3453+Учет!C3454-C3454</f>
        <v>336855</v>
      </c>
      <c r="I3454" s="43">
        <f>I3453+Учет!D3454-D3454</f>
        <v>500</v>
      </c>
      <c r="J3454" s="43">
        <f>J3453+Учет!E3454-E3454</f>
        <v>1150</v>
      </c>
      <c r="K3454" s="43">
        <f>K3453+Учет!F3454-F3454</f>
        <v>500000</v>
      </c>
      <c r="L3454" s="45">
        <f>Учет!I3454</f>
        <v>349526.07999999996</v>
      </c>
    </row>
    <row r="3455" spans="1:12" x14ac:dyDescent="0.25">
      <c r="A3455" s="48" t="str">
        <f>IF(Учет!A3455&lt;&gt;"",Учет!A3455,"")</f>
        <v/>
      </c>
      <c r="B3455" s="52">
        <f>IF(Учет!$O3455=Справочники!$F$2,Учет!$H3455,0)</f>
        <v>0</v>
      </c>
      <c r="C3455" s="52">
        <f>IF(Учет!$O3455=Справочники!$F$3,Учет!$H3455,0)</f>
        <v>0</v>
      </c>
      <c r="D3455" s="52">
        <f>IF(Учет!$O3455=Справочники!$F$4,Учет!$H3455,0)</f>
        <v>0</v>
      </c>
      <c r="E3455" s="52">
        <f>IF(Учет!$O3455=Справочники!$F$5,Учет!$H3455,0)</f>
        <v>0</v>
      </c>
      <c r="F3455" s="52">
        <f>IF(Учет!$O3455=Справочники!$F$6,Учет!$H3455,0)</f>
        <v>0</v>
      </c>
      <c r="G3455" s="43">
        <f>G3454+Учет!B3455-B3455</f>
        <v>-488978.92000000004</v>
      </c>
      <c r="H3455" s="43">
        <f>H3454+Учет!C3455-C3455</f>
        <v>336855</v>
      </c>
      <c r="I3455" s="43">
        <f>I3454+Учет!D3455-D3455</f>
        <v>500</v>
      </c>
      <c r="J3455" s="43">
        <f>J3454+Учет!E3455-E3455</f>
        <v>1150</v>
      </c>
      <c r="K3455" s="43">
        <f>K3454+Учет!F3455-F3455</f>
        <v>500000</v>
      </c>
      <c r="L3455" s="45">
        <f>Учет!I3455</f>
        <v>349526.07999999996</v>
      </c>
    </row>
    <row r="3456" spans="1:12" x14ac:dyDescent="0.25">
      <c r="A3456" s="48" t="str">
        <f>IF(Учет!A3456&lt;&gt;"",Учет!A3456,"")</f>
        <v/>
      </c>
      <c r="B3456" s="52">
        <f>IF(Учет!$O3456=Справочники!$F$2,Учет!$H3456,0)</f>
        <v>0</v>
      </c>
      <c r="C3456" s="52">
        <f>IF(Учет!$O3456=Справочники!$F$3,Учет!$H3456,0)</f>
        <v>0</v>
      </c>
      <c r="D3456" s="52">
        <f>IF(Учет!$O3456=Справочники!$F$4,Учет!$H3456,0)</f>
        <v>0</v>
      </c>
      <c r="E3456" s="52">
        <f>IF(Учет!$O3456=Справочники!$F$5,Учет!$H3456,0)</f>
        <v>0</v>
      </c>
      <c r="F3456" s="52">
        <f>IF(Учет!$O3456=Справочники!$F$6,Учет!$H3456,0)</f>
        <v>0</v>
      </c>
      <c r="G3456" s="43">
        <f>G3455+Учет!B3456-B3456</f>
        <v>-488978.92000000004</v>
      </c>
      <c r="H3456" s="43">
        <f>H3455+Учет!C3456-C3456</f>
        <v>336855</v>
      </c>
      <c r="I3456" s="43">
        <f>I3455+Учет!D3456-D3456</f>
        <v>500</v>
      </c>
      <c r="J3456" s="43">
        <f>J3455+Учет!E3456-E3456</f>
        <v>1150</v>
      </c>
      <c r="K3456" s="43">
        <f>K3455+Учет!F3456-F3456</f>
        <v>500000</v>
      </c>
      <c r="L3456" s="45">
        <f>Учет!I3456</f>
        <v>349526.07999999996</v>
      </c>
    </row>
    <row r="3457" spans="1:12" x14ac:dyDescent="0.25">
      <c r="A3457" s="48" t="str">
        <f>IF(Учет!A3457&lt;&gt;"",Учет!A3457,"")</f>
        <v/>
      </c>
      <c r="B3457" s="52">
        <f>IF(Учет!$O3457=Справочники!$F$2,Учет!$H3457,0)</f>
        <v>0</v>
      </c>
      <c r="C3457" s="52">
        <f>IF(Учет!$O3457=Справочники!$F$3,Учет!$H3457,0)</f>
        <v>0</v>
      </c>
      <c r="D3457" s="52">
        <f>IF(Учет!$O3457=Справочники!$F$4,Учет!$H3457,0)</f>
        <v>0</v>
      </c>
      <c r="E3457" s="52">
        <f>IF(Учет!$O3457=Справочники!$F$5,Учет!$H3457,0)</f>
        <v>0</v>
      </c>
      <c r="F3457" s="52">
        <f>IF(Учет!$O3457=Справочники!$F$6,Учет!$H3457,0)</f>
        <v>0</v>
      </c>
      <c r="G3457" s="43">
        <f>G3456+Учет!B3457-B3457</f>
        <v>-488978.92000000004</v>
      </c>
      <c r="H3457" s="43">
        <f>H3456+Учет!C3457-C3457</f>
        <v>336855</v>
      </c>
      <c r="I3457" s="43">
        <f>I3456+Учет!D3457-D3457</f>
        <v>500</v>
      </c>
      <c r="J3457" s="43">
        <f>J3456+Учет!E3457-E3457</f>
        <v>1150</v>
      </c>
      <c r="K3457" s="43">
        <f>K3456+Учет!F3457-F3457</f>
        <v>500000</v>
      </c>
      <c r="L3457" s="45">
        <f>Учет!I3457</f>
        <v>349526.07999999996</v>
      </c>
    </row>
    <row r="3458" spans="1:12" x14ac:dyDescent="0.25">
      <c r="A3458" s="48" t="str">
        <f>IF(Учет!A3458&lt;&gt;"",Учет!A3458,"")</f>
        <v/>
      </c>
      <c r="B3458" s="52">
        <f>IF(Учет!$O3458=Справочники!$F$2,Учет!$H3458,0)</f>
        <v>0</v>
      </c>
      <c r="C3458" s="52">
        <f>IF(Учет!$O3458=Справочники!$F$3,Учет!$H3458,0)</f>
        <v>0</v>
      </c>
      <c r="D3458" s="52">
        <f>IF(Учет!$O3458=Справочники!$F$4,Учет!$H3458,0)</f>
        <v>0</v>
      </c>
      <c r="E3458" s="52">
        <f>IF(Учет!$O3458=Справочники!$F$5,Учет!$H3458,0)</f>
        <v>0</v>
      </c>
      <c r="F3458" s="52">
        <f>IF(Учет!$O3458=Справочники!$F$6,Учет!$H3458,0)</f>
        <v>0</v>
      </c>
      <c r="G3458" s="43">
        <f>G3457+Учет!B3458-B3458</f>
        <v>-488978.92000000004</v>
      </c>
      <c r="H3458" s="43">
        <f>H3457+Учет!C3458-C3458</f>
        <v>336855</v>
      </c>
      <c r="I3458" s="43">
        <f>I3457+Учет!D3458-D3458</f>
        <v>500</v>
      </c>
      <c r="J3458" s="43">
        <f>J3457+Учет!E3458-E3458</f>
        <v>1150</v>
      </c>
      <c r="K3458" s="43">
        <f>K3457+Учет!F3458-F3458</f>
        <v>500000</v>
      </c>
      <c r="L3458" s="45">
        <f>Учет!I3458</f>
        <v>349526.07999999996</v>
      </c>
    </row>
    <row r="3459" spans="1:12" x14ac:dyDescent="0.25">
      <c r="A3459" s="48" t="str">
        <f>IF(Учет!A3459&lt;&gt;"",Учет!A3459,"")</f>
        <v/>
      </c>
      <c r="B3459" s="52">
        <f>IF(Учет!$O3459=Справочники!$F$2,Учет!$H3459,0)</f>
        <v>0</v>
      </c>
      <c r="C3459" s="52">
        <f>IF(Учет!$O3459=Справочники!$F$3,Учет!$H3459,0)</f>
        <v>0</v>
      </c>
      <c r="D3459" s="52">
        <f>IF(Учет!$O3459=Справочники!$F$4,Учет!$H3459,0)</f>
        <v>0</v>
      </c>
      <c r="E3459" s="52">
        <f>IF(Учет!$O3459=Справочники!$F$5,Учет!$H3459,0)</f>
        <v>0</v>
      </c>
      <c r="F3459" s="52">
        <f>IF(Учет!$O3459=Справочники!$F$6,Учет!$H3459,0)</f>
        <v>0</v>
      </c>
      <c r="G3459" s="43">
        <f>G3458+Учет!B3459-B3459</f>
        <v>-488978.92000000004</v>
      </c>
      <c r="H3459" s="43">
        <f>H3458+Учет!C3459-C3459</f>
        <v>336855</v>
      </c>
      <c r="I3459" s="43">
        <f>I3458+Учет!D3459-D3459</f>
        <v>500</v>
      </c>
      <c r="J3459" s="43">
        <f>J3458+Учет!E3459-E3459</f>
        <v>1150</v>
      </c>
      <c r="K3459" s="43">
        <f>K3458+Учет!F3459-F3459</f>
        <v>500000</v>
      </c>
      <c r="L3459" s="45">
        <f>Учет!I3459</f>
        <v>349526.07999999996</v>
      </c>
    </row>
    <row r="3460" spans="1:12" x14ac:dyDescent="0.25">
      <c r="A3460" s="48" t="str">
        <f>IF(Учет!A3460&lt;&gt;"",Учет!A3460,"")</f>
        <v/>
      </c>
      <c r="B3460" s="52">
        <f>IF(Учет!$O3460=Справочники!$F$2,Учет!$H3460,0)</f>
        <v>0</v>
      </c>
      <c r="C3460" s="52">
        <f>IF(Учет!$O3460=Справочники!$F$3,Учет!$H3460,0)</f>
        <v>0</v>
      </c>
      <c r="D3460" s="52">
        <f>IF(Учет!$O3460=Справочники!$F$4,Учет!$H3460,0)</f>
        <v>0</v>
      </c>
      <c r="E3460" s="52">
        <f>IF(Учет!$O3460=Справочники!$F$5,Учет!$H3460,0)</f>
        <v>0</v>
      </c>
      <c r="F3460" s="52">
        <f>IF(Учет!$O3460=Справочники!$F$6,Учет!$H3460,0)</f>
        <v>0</v>
      </c>
      <c r="G3460" s="43">
        <f>G3459+Учет!B3460-B3460</f>
        <v>-488978.92000000004</v>
      </c>
      <c r="H3460" s="43">
        <f>H3459+Учет!C3460-C3460</f>
        <v>336855</v>
      </c>
      <c r="I3460" s="43">
        <f>I3459+Учет!D3460-D3460</f>
        <v>500</v>
      </c>
      <c r="J3460" s="43">
        <f>J3459+Учет!E3460-E3460</f>
        <v>1150</v>
      </c>
      <c r="K3460" s="43">
        <f>K3459+Учет!F3460-F3460</f>
        <v>500000</v>
      </c>
      <c r="L3460" s="45">
        <f>Учет!I3460</f>
        <v>349526.07999999996</v>
      </c>
    </row>
    <row r="3461" spans="1:12" x14ac:dyDescent="0.25">
      <c r="A3461" s="48" t="str">
        <f>IF(Учет!A3461&lt;&gt;"",Учет!A3461,"")</f>
        <v/>
      </c>
      <c r="B3461" s="52">
        <f>IF(Учет!$O3461=Справочники!$F$2,Учет!$H3461,0)</f>
        <v>0</v>
      </c>
      <c r="C3461" s="52">
        <f>IF(Учет!$O3461=Справочники!$F$3,Учет!$H3461,0)</f>
        <v>0</v>
      </c>
      <c r="D3461" s="52">
        <f>IF(Учет!$O3461=Справочники!$F$4,Учет!$H3461,0)</f>
        <v>0</v>
      </c>
      <c r="E3461" s="52">
        <f>IF(Учет!$O3461=Справочники!$F$5,Учет!$H3461,0)</f>
        <v>0</v>
      </c>
      <c r="F3461" s="52">
        <f>IF(Учет!$O3461=Справочники!$F$6,Учет!$H3461,0)</f>
        <v>0</v>
      </c>
      <c r="G3461" s="43">
        <f>G3460+Учет!B3461-B3461</f>
        <v>-488978.92000000004</v>
      </c>
      <c r="H3461" s="43">
        <f>H3460+Учет!C3461-C3461</f>
        <v>336855</v>
      </c>
      <c r="I3461" s="43">
        <f>I3460+Учет!D3461-D3461</f>
        <v>500</v>
      </c>
      <c r="J3461" s="43">
        <f>J3460+Учет!E3461-E3461</f>
        <v>1150</v>
      </c>
      <c r="K3461" s="43">
        <f>K3460+Учет!F3461-F3461</f>
        <v>500000</v>
      </c>
      <c r="L3461" s="45">
        <f>Учет!I3461</f>
        <v>349526.07999999996</v>
      </c>
    </row>
    <row r="3462" spans="1:12" x14ac:dyDescent="0.25">
      <c r="A3462" s="48" t="str">
        <f>IF(Учет!A3462&lt;&gt;"",Учет!A3462,"")</f>
        <v/>
      </c>
      <c r="B3462" s="52">
        <f>IF(Учет!$O3462=Справочники!$F$2,Учет!$H3462,0)</f>
        <v>0</v>
      </c>
      <c r="C3462" s="52">
        <f>IF(Учет!$O3462=Справочники!$F$3,Учет!$H3462,0)</f>
        <v>0</v>
      </c>
      <c r="D3462" s="52">
        <f>IF(Учет!$O3462=Справочники!$F$4,Учет!$H3462,0)</f>
        <v>0</v>
      </c>
      <c r="E3462" s="52">
        <f>IF(Учет!$O3462=Справочники!$F$5,Учет!$H3462,0)</f>
        <v>0</v>
      </c>
      <c r="F3462" s="52">
        <f>IF(Учет!$O3462=Справочники!$F$6,Учет!$H3462,0)</f>
        <v>0</v>
      </c>
      <c r="G3462" s="43">
        <f>G3461+Учет!B3462-B3462</f>
        <v>-488978.92000000004</v>
      </c>
      <c r="H3462" s="43">
        <f>H3461+Учет!C3462-C3462</f>
        <v>336855</v>
      </c>
      <c r="I3462" s="43">
        <f>I3461+Учет!D3462-D3462</f>
        <v>500</v>
      </c>
      <c r="J3462" s="43">
        <f>J3461+Учет!E3462-E3462</f>
        <v>1150</v>
      </c>
      <c r="K3462" s="43">
        <f>K3461+Учет!F3462-F3462</f>
        <v>500000</v>
      </c>
      <c r="L3462" s="45">
        <f>Учет!I3462</f>
        <v>349526.07999999996</v>
      </c>
    </row>
    <row r="3463" spans="1:12" x14ac:dyDescent="0.25">
      <c r="A3463" s="48" t="str">
        <f>IF(Учет!A3463&lt;&gt;"",Учет!A3463,"")</f>
        <v/>
      </c>
      <c r="B3463" s="52">
        <f>IF(Учет!$O3463=Справочники!$F$2,Учет!$H3463,0)</f>
        <v>0</v>
      </c>
      <c r="C3463" s="52">
        <f>IF(Учет!$O3463=Справочники!$F$3,Учет!$H3463,0)</f>
        <v>0</v>
      </c>
      <c r="D3463" s="52">
        <f>IF(Учет!$O3463=Справочники!$F$4,Учет!$H3463,0)</f>
        <v>0</v>
      </c>
      <c r="E3463" s="52">
        <f>IF(Учет!$O3463=Справочники!$F$5,Учет!$H3463,0)</f>
        <v>0</v>
      </c>
      <c r="F3463" s="52">
        <f>IF(Учет!$O3463=Справочники!$F$6,Учет!$H3463,0)</f>
        <v>0</v>
      </c>
      <c r="G3463" s="43">
        <f>G3462+Учет!B3463-B3463</f>
        <v>-488978.92000000004</v>
      </c>
      <c r="H3463" s="43">
        <f>H3462+Учет!C3463-C3463</f>
        <v>336855</v>
      </c>
      <c r="I3463" s="43">
        <f>I3462+Учет!D3463-D3463</f>
        <v>500</v>
      </c>
      <c r="J3463" s="43">
        <f>J3462+Учет!E3463-E3463</f>
        <v>1150</v>
      </c>
      <c r="K3463" s="43">
        <f>K3462+Учет!F3463-F3463</f>
        <v>500000</v>
      </c>
      <c r="L3463" s="45">
        <f>Учет!I3463</f>
        <v>349526.07999999996</v>
      </c>
    </row>
    <row r="3464" spans="1:12" x14ac:dyDescent="0.25">
      <c r="A3464" s="48" t="str">
        <f>IF(Учет!A3464&lt;&gt;"",Учет!A3464,"")</f>
        <v/>
      </c>
      <c r="B3464" s="52">
        <f>IF(Учет!$O3464=Справочники!$F$2,Учет!$H3464,0)</f>
        <v>0</v>
      </c>
      <c r="C3464" s="52">
        <f>IF(Учет!$O3464=Справочники!$F$3,Учет!$H3464,0)</f>
        <v>0</v>
      </c>
      <c r="D3464" s="52">
        <f>IF(Учет!$O3464=Справочники!$F$4,Учет!$H3464,0)</f>
        <v>0</v>
      </c>
      <c r="E3464" s="52">
        <f>IF(Учет!$O3464=Справочники!$F$5,Учет!$H3464,0)</f>
        <v>0</v>
      </c>
      <c r="F3464" s="52">
        <f>IF(Учет!$O3464=Справочники!$F$6,Учет!$H3464,0)</f>
        <v>0</v>
      </c>
      <c r="G3464" s="43">
        <f>G3463+Учет!B3464-B3464</f>
        <v>-488978.92000000004</v>
      </c>
      <c r="H3464" s="43">
        <f>H3463+Учет!C3464-C3464</f>
        <v>336855</v>
      </c>
      <c r="I3464" s="43">
        <f>I3463+Учет!D3464-D3464</f>
        <v>500</v>
      </c>
      <c r="J3464" s="43">
        <f>J3463+Учет!E3464-E3464</f>
        <v>1150</v>
      </c>
      <c r="K3464" s="43">
        <f>K3463+Учет!F3464-F3464</f>
        <v>500000</v>
      </c>
      <c r="L3464" s="45">
        <f>Учет!I3464</f>
        <v>349526.07999999996</v>
      </c>
    </row>
    <row r="3465" spans="1:12" x14ac:dyDescent="0.25">
      <c r="A3465" s="48" t="str">
        <f>IF(Учет!A3465&lt;&gt;"",Учет!A3465,"")</f>
        <v/>
      </c>
      <c r="B3465" s="52">
        <f>IF(Учет!$O3465=Справочники!$F$2,Учет!$H3465,0)</f>
        <v>0</v>
      </c>
      <c r="C3465" s="52">
        <f>IF(Учет!$O3465=Справочники!$F$3,Учет!$H3465,0)</f>
        <v>0</v>
      </c>
      <c r="D3465" s="52">
        <f>IF(Учет!$O3465=Справочники!$F$4,Учет!$H3465,0)</f>
        <v>0</v>
      </c>
      <c r="E3465" s="52">
        <f>IF(Учет!$O3465=Справочники!$F$5,Учет!$H3465,0)</f>
        <v>0</v>
      </c>
      <c r="F3465" s="52">
        <f>IF(Учет!$O3465=Справочники!$F$6,Учет!$H3465,0)</f>
        <v>0</v>
      </c>
      <c r="G3465" s="43">
        <f>G3464+Учет!B3465-B3465</f>
        <v>-488978.92000000004</v>
      </c>
      <c r="H3465" s="43">
        <f>H3464+Учет!C3465-C3465</f>
        <v>336855</v>
      </c>
      <c r="I3465" s="43">
        <f>I3464+Учет!D3465-D3465</f>
        <v>500</v>
      </c>
      <c r="J3465" s="43">
        <f>J3464+Учет!E3465-E3465</f>
        <v>1150</v>
      </c>
      <c r="K3465" s="43">
        <f>K3464+Учет!F3465-F3465</f>
        <v>500000</v>
      </c>
      <c r="L3465" s="45">
        <f>Учет!I3465</f>
        <v>349526.07999999996</v>
      </c>
    </row>
    <row r="3466" spans="1:12" x14ac:dyDescent="0.25">
      <c r="A3466" s="48" t="str">
        <f>IF(Учет!A3466&lt;&gt;"",Учет!A3466,"")</f>
        <v/>
      </c>
      <c r="B3466" s="52">
        <f>IF(Учет!$O3466=Справочники!$F$2,Учет!$H3466,0)</f>
        <v>0</v>
      </c>
      <c r="C3466" s="52">
        <f>IF(Учет!$O3466=Справочники!$F$3,Учет!$H3466,0)</f>
        <v>0</v>
      </c>
      <c r="D3466" s="52">
        <f>IF(Учет!$O3466=Справочники!$F$4,Учет!$H3466,0)</f>
        <v>0</v>
      </c>
      <c r="E3466" s="52">
        <f>IF(Учет!$O3466=Справочники!$F$5,Учет!$H3466,0)</f>
        <v>0</v>
      </c>
      <c r="F3466" s="52">
        <f>IF(Учет!$O3466=Справочники!$F$6,Учет!$H3466,0)</f>
        <v>0</v>
      </c>
      <c r="G3466" s="43">
        <f>G3465+Учет!B3466-B3466</f>
        <v>-488978.92000000004</v>
      </c>
      <c r="H3466" s="43">
        <f>H3465+Учет!C3466-C3466</f>
        <v>336855</v>
      </c>
      <c r="I3466" s="43">
        <f>I3465+Учет!D3466-D3466</f>
        <v>500</v>
      </c>
      <c r="J3466" s="43">
        <f>J3465+Учет!E3466-E3466</f>
        <v>1150</v>
      </c>
      <c r="K3466" s="43">
        <f>K3465+Учет!F3466-F3466</f>
        <v>500000</v>
      </c>
      <c r="L3466" s="45">
        <f>Учет!I3466</f>
        <v>349526.07999999996</v>
      </c>
    </row>
    <row r="3467" spans="1:12" x14ac:dyDescent="0.25">
      <c r="A3467" s="48" t="str">
        <f>IF(Учет!A3467&lt;&gt;"",Учет!A3467,"")</f>
        <v/>
      </c>
      <c r="B3467" s="52">
        <f>IF(Учет!$O3467=Справочники!$F$2,Учет!$H3467,0)</f>
        <v>0</v>
      </c>
      <c r="C3467" s="52">
        <f>IF(Учет!$O3467=Справочники!$F$3,Учет!$H3467,0)</f>
        <v>0</v>
      </c>
      <c r="D3467" s="52">
        <f>IF(Учет!$O3467=Справочники!$F$4,Учет!$H3467,0)</f>
        <v>0</v>
      </c>
      <c r="E3467" s="52">
        <f>IF(Учет!$O3467=Справочники!$F$5,Учет!$H3467,0)</f>
        <v>0</v>
      </c>
      <c r="F3467" s="52">
        <f>IF(Учет!$O3467=Справочники!$F$6,Учет!$H3467,0)</f>
        <v>0</v>
      </c>
      <c r="G3467" s="43">
        <f>G3466+Учет!B3467-B3467</f>
        <v>-488978.92000000004</v>
      </c>
      <c r="H3467" s="43">
        <f>H3466+Учет!C3467-C3467</f>
        <v>336855</v>
      </c>
      <c r="I3467" s="43">
        <f>I3466+Учет!D3467-D3467</f>
        <v>500</v>
      </c>
      <c r="J3467" s="43">
        <f>J3466+Учет!E3467-E3467</f>
        <v>1150</v>
      </c>
      <c r="K3467" s="43">
        <f>K3466+Учет!F3467-F3467</f>
        <v>500000</v>
      </c>
      <c r="L3467" s="45">
        <f>Учет!I3467</f>
        <v>349526.07999999996</v>
      </c>
    </row>
    <row r="3468" spans="1:12" x14ac:dyDescent="0.25">
      <c r="A3468" s="48" t="str">
        <f>IF(Учет!A3468&lt;&gt;"",Учет!A3468,"")</f>
        <v/>
      </c>
      <c r="B3468" s="52">
        <f>IF(Учет!$O3468=Справочники!$F$2,Учет!$H3468,0)</f>
        <v>0</v>
      </c>
      <c r="C3468" s="52">
        <f>IF(Учет!$O3468=Справочники!$F$3,Учет!$H3468,0)</f>
        <v>0</v>
      </c>
      <c r="D3468" s="52">
        <f>IF(Учет!$O3468=Справочники!$F$4,Учет!$H3468,0)</f>
        <v>0</v>
      </c>
      <c r="E3468" s="52">
        <f>IF(Учет!$O3468=Справочники!$F$5,Учет!$H3468,0)</f>
        <v>0</v>
      </c>
      <c r="F3468" s="52">
        <f>IF(Учет!$O3468=Справочники!$F$6,Учет!$H3468,0)</f>
        <v>0</v>
      </c>
      <c r="G3468" s="43">
        <f>G3467+Учет!B3468-B3468</f>
        <v>-488978.92000000004</v>
      </c>
      <c r="H3468" s="43">
        <f>H3467+Учет!C3468-C3468</f>
        <v>336855</v>
      </c>
      <c r="I3468" s="43">
        <f>I3467+Учет!D3468-D3468</f>
        <v>500</v>
      </c>
      <c r="J3468" s="43">
        <f>J3467+Учет!E3468-E3468</f>
        <v>1150</v>
      </c>
      <c r="K3468" s="43">
        <f>K3467+Учет!F3468-F3468</f>
        <v>500000</v>
      </c>
      <c r="L3468" s="45">
        <f>Учет!I3468</f>
        <v>349526.07999999996</v>
      </c>
    </row>
    <row r="3469" spans="1:12" x14ac:dyDescent="0.25">
      <c r="A3469" s="48" t="str">
        <f>IF(Учет!A3469&lt;&gt;"",Учет!A3469,"")</f>
        <v/>
      </c>
      <c r="B3469" s="52">
        <f>IF(Учет!$O3469=Справочники!$F$2,Учет!$H3469,0)</f>
        <v>0</v>
      </c>
      <c r="C3469" s="52">
        <f>IF(Учет!$O3469=Справочники!$F$3,Учет!$H3469,0)</f>
        <v>0</v>
      </c>
      <c r="D3469" s="52">
        <f>IF(Учет!$O3469=Справочники!$F$4,Учет!$H3469,0)</f>
        <v>0</v>
      </c>
      <c r="E3469" s="52">
        <f>IF(Учет!$O3469=Справочники!$F$5,Учет!$H3469,0)</f>
        <v>0</v>
      </c>
      <c r="F3469" s="52">
        <f>IF(Учет!$O3469=Справочники!$F$6,Учет!$H3469,0)</f>
        <v>0</v>
      </c>
      <c r="G3469" s="43">
        <f>G3468+Учет!B3469-B3469</f>
        <v>-488978.92000000004</v>
      </c>
      <c r="H3469" s="43">
        <f>H3468+Учет!C3469-C3469</f>
        <v>336855</v>
      </c>
      <c r="I3469" s="43">
        <f>I3468+Учет!D3469-D3469</f>
        <v>500</v>
      </c>
      <c r="J3469" s="43">
        <f>J3468+Учет!E3469-E3469</f>
        <v>1150</v>
      </c>
      <c r="K3469" s="43">
        <f>K3468+Учет!F3469-F3469</f>
        <v>500000</v>
      </c>
      <c r="L3469" s="45">
        <f>Учет!I3469</f>
        <v>349526.07999999996</v>
      </c>
    </row>
    <row r="3470" spans="1:12" x14ac:dyDescent="0.25">
      <c r="A3470" s="48" t="str">
        <f>IF(Учет!A3470&lt;&gt;"",Учет!A3470,"")</f>
        <v/>
      </c>
      <c r="B3470" s="52">
        <f>IF(Учет!$O3470=Справочники!$F$2,Учет!$H3470,0)</f>
        <v>0</v>
      </c>
      <c r="C3470" s="52">
        <f>IF(Учет!$O3470=Справочники!$F$3,Учет!$H3470,0)</f>
        <v>0</v>
      </c>
      <c r="D3470" s="52">
        <f>IF(Учет!$O3470=Справочники!$F$4,Учет!$H3470,0)</f>
        <v>0</v>
      </c>
      <c r="E3470" s="52">
        <f>IF(Учет!$O3470=Справочники!$F$5,Учет!$H3470,0)</f>
        <v>0</v>
      </c>
      <c r="F3470" s="52">
        <f>IF(Учет!$O3470=Справочники!$F$6,Учет!$H3470,0)</f>
        <v>0</v>
      </c>
      <c r="G3470" s="43">
        <f>G3469+Учет!B3470-B3470</f>
        <v>-488978.92000000004</v>
      </c>
      <c r="H3470" s="43">
        <f>H3469+Учет!C3470-C3470</f>
        <v>336855</v>
      </c>
      <c r="I3470" s="43">
        <f>I3469+Учет!D3470-D3470</f>
        <v>500</v>
      </c>
      <c r="J3470" s="43">
        <f>J3469+Учет!E3470-E3470</f>
        <v>1150</v>
      </c>
      <c r="K3470" s="43">
        <f>K3469+Учет!F3470-F3470</f>
        <v>500000</v>
      </c>
      <c r="L3470" s="45">
        <f>Учет!I3470</f>
        <v>349526.07999999996</v>
      </c>
    </row>
    <row r="3471" spans="1:12" x14ac:dyDescent="0.25">
      <c r="A3471" s="48" t="str">
        <f>IF(Учет!A3471&lt;&gt;"",Учет!A3471,"")</f>
        <v/>
      </c>
      <c r="B3471" s="52">
        <f>IF(Учет!$O3471=Справочники!$F$2,Учет!$H3471,0)</f>
        <v>0</v>
      </c>
      <c r="C3471" s="52">
        <f>IF(Учет!$O3471=Справочники!$F$3,Учет!$H3471,0)</f>
        <v>0</v>
      </c>
      <c r="D3471" s="52">
        <f>IF(Учет!$O3471=Справочники!$F$4,Учет!$H3471,0)</f>
        <v>0</v>
      </c>
      <c r="E3471" s="52">
        <f>IF(Учет!$O3471=Справочники!$F$5,Учет!$H3471,0)</f>
        <v>0</v>
      </c>
      <c r="F3471" s="52">
        <f>IF(Учет!$O3471=Справочники!$F$6,Учет!$H3471,0)</f>
        <v>0</v>
      </c>
      <c r="G3471" s="43">
        <f>G3470+Учет!B3471-B3471</f>
        <v>-488978.92000000004</v>
      </c>
      <c r="H3471" s="43">
        <f>H3470+Учет!C3471-C3471</f>
        <v>336855</v>
      </c>
      <c r="I3471" s="43">
        <f>I3470+Учет!D3471-D3471</f>
        <v>500</v>
      </c>
      <c r="J3471" s="43">
        <f>J3470+Учет!E3471-E3471</f>
        <v>1150</v>
      </c>
      <c r="K3471" s="43">
        <f>K3470+Учет!F3471-F3471</f>
        <v>500000</v>
      </c>
      <c r="L3471" s="45">
        <f>Учет!I3471</f>
        <v>349526.07999999996</v>
      </c>
    </row>
    <row r="3472" spans="1:12" x14ac:dyDescent="0.25">
      <c r="A3472" s="48" t="str">
        <f>IF(Учет!A3472&lt;&gt;"",Учет!A3472,"")</f>
        <v/>
      </c>
      <c r="B3472" s="52">
        <f>IF(Учет!$O3472=Справочники!$F$2,Учет!$H3472,0)</f>
        <v>0</v>
      </c>
      <c r="C3472" s="52">
        <f>IF(Учет!$O3472=Справочники!$F$3,Учет!$H3472,0)</f>
        <v>0</v>
      </c>
      <c r="D3472" s="52">
        <f>IF(Учет!$O3472=Справочники!$F$4,Учет!$H3472,0)</f>
        <v>0</v>
      </c>
      <c r="E3472" s="52">
        <f>IF(Учет!$O3472=Справочники!$F$5,Учет!$H3472,0)</f>
        <v>0</v>
      </c>
      <c r="F3472" s="52">
        <f>IF(Учет!$O3472=Справочники!$F$6,Учет!$H3472,0)</f>
        <v>0</v>
      </c>
      <c r="G3472" s="43">
        <f>G3471+Учет!B3472-B3472</f>
        <v>-488978.92000000004</v>
      </c>
      <c r="H3472" s="43">
        <f>H3471+Учет!C3472-C3472</f>
        <v>336855</v>
      </c>
      <c r="I3472" s="43">
        <f>I3471+Учет!D3472-D3472</f>
        <v>500</v>
      </c>
      <c r="J3472" s="43">
        <f>J3471+Учет!E3472-E3472</f>
        <v>1150</v>
      </c>
      <c r="K3472" s="43">
        <f>K3471+Учет!F3472-F3472</f>
        <v>500000</v>
      </c>
      <c r="L3472" s="45">
        <f>Учет!I3472</f>
        <v>349526.07999999996</v>
      </c>
    </row>
    <row r="3473" spans="1:12" x14ac:dyDescent="0.25">
      <c r="A3473" s="48" t="str">
        <f>IF(Учет!A3473&lt;&gt;"",Учет!A3473,"")</f>
        <v/>
      </c>
      <c r="B3473" s="52">
        <f>IF(Учет!$O3473=Справочники!$F$2,Учет!$H3473,0)</f>
        <v>0</v>
      </c>
      <c r="C3473" s="52">
        <f>IF(Учет!$O3473=Справочники!$F$3,Учет!$H3473,0)</f>
        <v>0</v>
      </c>
      <c r="D3473" s="52">
        <f>IF(Учет!$O3473=Справочники!$F$4,Учет!$H3473,0)</f>
        <v>0</v>
      </c>
      <c r="E3473" s="52">
        <f>IF(Учет!$O3473=Справочники!$F$5,Учет!$H3473,0)</f>
        <v>0</v>
      </c>
      <c r="F3473" s="52">
        <f>IF(Учет!$O3473=Справочники!$F$6,Учет!$H3473,0)</f>
        <v>0</v>
      </c>
      <c r="G3473" s="43">
        <f>G3472+Учет!B3473-B3473</f>
        <v>-488978.92000000004</v>
      </c>
      <c r="H3473" s="43">
        <f>H3472+Учет!C3473-C3473</f>
        <v>336855</v>
      </c>
      <c r="I3473" s="43">
        <f>I3472+Учет!D3473-D3473</f>
        <v>500</v>
      </c>
      <c r="J3473" s="43">
        <f>J3472+Учет!E3473-E3473</f>
        <v>1150</v>
      </c>
      <c r="K3473" s="43">
        <f>K3472+Учет!F3473-F3473</f>
        <v>500000</v>
      </c>
      <c r="L3473" s="45">
        <f>Учет!I3473</f>
        <v>349526.07999999996</v>
      </c>
    </row>
    <row r="3474" spans="1:12" x14ac:dyDescent="0.25">
      <c r="A3474" s="48" t="str">
        <f>IF(Учет!A3474&lt;&gt;"",Учет!A3474,"")</f>
        <v/>
      </c>
      <c r="B3474" s="52">
        <f>IF(Учет!$O3474=Справочники!$F$2,Учет!$H3474,0)</f>
        <v>0</v>
      </c>
      <c r="C3474" s="52">
        <f>IF(Учет!$O3474=Справочники!$F$3,Учет!$H3474,0)</f>
        <v>0</v>
      </c>
      <c r="D3474" s="52">
        <f>IF(Учет!$O3474=Справочники!$F$4,Учет!$H3474,0)</f>
        <v>0</v>
      </c>
      <c r="E3474" s="52">
        <f>IF(Учет!$O3474=Справочники!$F$5,Учет!$H3474,0)</f>
        <v>0</v>
      </c>
      <c r="F3474" s="52">
        <f>IF(Учет!$O3474=Справочники!$F$6,Учет!$H3474,0)</f>
        <v>0</v>
      </c>
      <c r="G3474" s="43">
        <f>G3473+Учет!B3474-B3474</f>
        <v>-488978.92000000004</v>
      </c>
      <c r="H3474" s="43">
        <f>H3473+Учет!C3474-C3474</f>
        <v>336855</v>
      </c>
      <c r="I3474" s="43">
        <f>I3473+Учет!D3474-D3474</f>
        <v>500</v>
      </c>
      <c r="J3474" s="43">
        <f>J3473+Учет!E3474-E3474</f>
        <v>1150</v>
      </c>
      <c r="K3474" s="43">
        <f>K3473+Учет!F3474-F3474</f>
        <v>500000</v>
      </c>
      <c r="L3474" s="45">
        <f>Учет!I3474</f>
        <v>349526.07999999996</v>
      </c>
    </row>
    <row r="3475" spans="1:12" x14ac:dyDescent="0.25">
      <c r="A3475" s="48" t="str">
        <f>IF(Учет!A3475&lt;&gt;"",Учет!A3475,"")</f>
        <v/>
      </c>
      <c r="B3475" s="52">
        <f>IF(Учет!$O3475=Справочники!$F$2,Учет!$H3475,0)</f>
        <v>0</v>
      </c>
      <c r="C3475" s="52">
        <f>IF(Учет!$O3475=Справочники!$F$3,Учет!$H3475,0)</f>
        <v>0</v>
      </c>
      <c r="D3475" s="52">
        <f>IF(Учет!$O3475=Справочники!$F$4,Учет!$H3475,0)</f>
        <v>0</v>
      </c>
      <c r="E3475" s="52">
        <f>IF(Учет!$O3475=Справочники!$F$5,Учет!$H3475,0)</f>
        <v>0</v>
      </c>
      <c r="F3475" s="52">
        <f>IF(Учет!$O3475=Справочники!$F$6,Учет!$H3475,0)</f>
        <v>0</v>
      </c>
      <c r="G3475" s="43">
        <f>G3474+Учет!B3475-B3475</f>
        <v>-488978.92000000004</v>
      </c>
      <c r="H3475" s="43">
        <f>H3474+Учет!C3475-C3475</f>
        <v>336855</v>
      </c>
      <c r="I3475" s="43">
        <f>I3474+Учет!D3475-D3475</f>
        <v>500</v>
      </c>
      <c r="J3475" s="43">
        <f>J3474+Учет!E3475-E3475</f>
        <v>1150</v>
      </c>
      <c r="K3475" s="43">
        <f>K3474+Учет!F3475-F3475</f>
        <v>500000</v>
      </c>
      <c r="L3475" s="45">
        <f>Учет!I3475</f>
        <v>349526.07999999996</v>
      </c>
    </row>
    <row r="3476" spans="1:12" x14ac:dyDescent="0.25">
      <c r="A3476" s="48" t="str">
        <f>IF(Учет!A3476&lt;&gt;"",Учет!A3476,"")</f>
        <v/>
      </c>
      <c r="B3476" s="52">
        <f>IF(Учет!$O3476=Справочники!$F$2,Учет!$H3476,0)</f>
        <v>0</v>
      </c>
      <c r="C3476" s="52">
        <f>IF(Учет!$O3476=Справочники!$F$3,Учет!$H3476,0)</f>
        <v>0</v>
      </c>
      <c r="D3476" s="52">
        <f>IF(Учет!$O3476=Справочники!$F$4,Учет!$H3476,0)</f>
        <v>0</v>
      </c>
      <c r="E3476" s="52">
        <f>IF(Учет!$O3476=Справочники!$F$5,Учет!$H3476,0)</f>
        <v>0</v>
      </c>
      <c r="F3476" s="52">
        <f>IF(Учет!$O3476=Справочники!$F$6,Учет!$H3476,0)</f>
        <v>0</v>
      </c>
      <c r="G3476" s="43">
        <f>G3475+Учет!B3476-B3476</f>
        <v>-488978.92000000004</v>
      </c>
      <c r="H3476" s="43">
        <f>H3475+Учет!C3476-C3476</f>
        <v>336855</v>
      </c>
      <c r="I3476" s="43">
        <f>I3475+Учет!D3476-D3476</f>
        <v>500</v>
      </c>
      <c r="J3476" s="43">
        <f>J3475+Учет!E3476-E3476</f>
        <v>1150</v>
      </c>
      <c r="K3476" s="43">
        <f>K3475+Учет!F3476-F3476</f>
        <v>500000</v>
      </c>
      <c r="L3476" s="45">
        <f>Учет!I3476</f>
        <v>349526.07999999996</v>
      </c>
    </row>
    <row r="3477" spans="1:12" x14ac:dyDescent="0.25">
      <c r="A3477" s="48" t="str">
        <f>IF(Учет!A3477&lt;&gt;"",Учет!A3477,"")</f>
        <v/>
      </c>
      <c r="B3477" s="52">
        <f>IF(Учет!$O3477=Справочники!$F$2,Учет!$H3477,0)</f>
        <v>0</v>
      </c>
      <c r="C3477" s="52">
        <f>IF(Учет!$O3477=Справочники!$F$3,Учет!$H3477,0)</f>
        <v>0</v>
      </c>
      <c r="D3477" s="52">
        <f>IF(Учет!$O3477=Справочники!$F$4,Учет!$H3477,0)</f>
        <v>0</v>
      </c>
      <c r="E3477" s="52">
        <f>IF(Учет!$O3477=Справочники!$F$5,Учет!$H3477,0)</f>
        <v>0</v>
      </c>
      <c r="F3477" s="52">
        <f>IF(Учет!$O3477=Справочники!$F$6,Учет!$H3477,0)</f>
        <v>0</v>
      </c>
      <c r="G3477" s="43">
        <f>G3476+Учет!B3477-B3477</f>
        <v>-488978.92000000004</v>
      </c>
      <c r="H3477" s="43">
        <f>H3476+Учет!C3477-C3477</f>
        <v>336855</v>
      </c>
      <c r="I3477" s="43">
        <f>I3476+Учет!D3477-D3477</f>
        <v>500</v>
      </c>
      <c r="J3477" s="43">
        <f>J3476+Учет!E3477-E3477</f>
        <v>1150</v>
      </c>
      <c r="K3477" s="43">
        <f>K3476+Учет!F3477-F3477</f>
        <v>500000</v>
      </c>
      <c r="L3477" s="45">
        <f>Учет!I3477</f>
        <v>349526.07999999996</v>
      </c>
    </row>
    <row r="3478" spans="1:12" x14ac:dyDescent="0.25">
      <c r="A3478" s="48" t="str">
        <f>IF(Учет!A3478&lt;&gt;"",Учет!A3478,"")</f>
        <v/>
      </c>
      <c r="B3478" s="52">
        <f>IF(Учет!$O3478=Справочники!$F$2,Учет!$H3478,0)</f>
        <v>0</v>
      </c>
      <c r="C3478" s="52">
        <f>IF(Учет!$O3478=Справочники!$F$3,Учет!$H3478,0)</f>
        <v>0</v>
      </c>
      <c r="D3478" s="52">
        <f>IF(Учет!$O3478=Справочники!$F$4,Учет!$H3478,0)</f>
        <v>0</v>
      </c>
      <c r="E3478" s="52">
        <f>IF(Учет!$O3478=Справочники!$F$5,Учет!$H3478,0)</f>
        <v>0</v>
      </c>
      <c r="F3478" s="52">
        <f>IF(Учет!$O3478=Справочники!$F$6,Учет!$H3478,0)</f>
        <v>0</v>
      </c>
      <c r="G3478" s="43">
        <f>G3477+Учет!B3478-B3478</f>
        <v>-488978.92000000004</v>
      </c>
      <c r="H3478" s="43">
        <f>H3477+Учет!C3478-C3478</f>
        <v>336855</v>
      </c>
      <c r="I3478" s="43">
        <f>I3477+Учет!D3478-D3478</f>
        <v>500</v>
      </c>
      <c r="J3478" s="43">
        <f>J3477+Учет!E3478-E3478</f>
        <v>1150</v>
      </c>
      <c r="K3478" s="43">
        <f>K3477+Учет!F3478-F3478</f>
        <v>500000</v>
      </c>
      <c r="L3478" s="45">
        <f>Учет!I3478</f>
        <v>349526.07999999996</v>
      </c>
    </row>
    <row r="3479" spans="1:12" x14ac:dyDescent="0.25">
      <c r="A3479" s="48" t="str">
        <f>IF(Учет!A3479&lt;&gt;"",Учет!A3479,"")</f>
        <v/>
      </c>
      <c r="B3479" s="52">
        <f>IF(Учет!$O3479=Справочники!$F$2,Учет!$H3479,0)</f>
        <v>0</v>
      </c>
      <c r="C3479" s="52">
        <f>IF(Учет!$O3479=Справочники!$F$3,Учет!$H3479,0)</f>
        <v>0</v>
      </c>
      <c r="D3479" s="52">
        <f>IF(Учет!$O3479=Справочники!$F$4,Учет!$H3479,0)</f>
        <v>0</v>
      </c>
      <c r="E3479" s="52">
        <f>IF(Учет!$O3479=Справочники!$F$5,Учет!$H3479,0)</f>
        <v>0</v>
      </c>
      <c r="F3479" s="52">
        <f>IF(Учет!$O3479=Справочники!$F$6,Учет!$H3479,0)</f>
        <v>0</v>
      </c>
      <c r="G3479" s="43">
        <f>G3478+Учет!B3479-B3479</f>
        <v>-488978.92000000004</v>
      </c>
      <c r="H3479" s="43">
        <f>H3478+Учет!C3479-C3479</f>
        <v>336855</v>
      </c>
      <c r="I3479" s="43">
        <f>I3478+Учет!D3479-D3479</f>
        <v>500</v>
      </c>
      <c r="J3479" s="43">
        <f>J3478+Учет!E3479-E3479</f>
        <v>1150</v>
      </c>
      <c r="K3479" s="43">
        <f>K3478+Учет!F3479-F3479</f>
        <v>500000</v>
      </c>
      <c r="L3479" s="45">
        <f>Учет!I3479</f>
        <v>349526.07999999996</v>
      </c>
    </row>
    <row r="3480" spans="1:12" x14ac:dyDescent="0.25">
      <c r="A3480" s="48" t="str">
        <f>IF(Учет!A3480&lt;&gt;"",Учет!A3480,"")</f>
        <v/>
      </c>
      <c r="B3480" s="52">
        <f>IF(Учет!$O3480=Справочники!$F$2,Учет!$H3480,0)</f>
        <v>0</v>
      </c>
      <c r="C3480" s="52">
        <f>IF(Учет!$O3480=Справочники!$F$3,Учет!$H3480,0)</f>
        <v>0</v>
      </c>
      <c r="D3480" s="52">
        <f>IF(Учет!$O3480=Справочники!$F$4,Учет!$H3480,0)</f>
        <v>0</v>
      </c>
      <c r="E3480" s="52">
        <f>IF(Учет!$O3480=Справочники!$F$5,Учет!$H3480,0)</f>
        <v>0</v>
      </c>
      <c r="F3480" s="52">
        <f>IF(Учет!$O3480=Справочники!$F$6,Учет!$H3480,0)</f>
        <v>0</v>
      </c>
      <c r="G3480" s="43">
        <f>G3479+Учет!B3480-B3480</f>
        <v>-488978.92000000004</v>
      </c>
      <c r="H3480" s="43">
        <f>H3479+Учет!C3480-C3480</f>
        <v>336855</v>
      </c>
      <c r="I3480" s="43">
        <f>I3479+Учет!D3480-D3480</f>
        <v>500</v>
      </c>
      <c r="J3480" s="43">
        <f>J3479+Учет!E3480-E3480</f>
        <v>1150</v>
      </c>
      <c r="K3480" s="43">
        <f>K3479+Учет!F3480-F3480</f>
        <v>500000</v>
      </c>
      <c r="L3480" s="45">
        <f>Учет!I3480</f>
        <v>349526.07999999996</v>
      </c>
    </row>
    <row r="3481" spans="1:12" x14ac:dyDescent="0.25">
      <c r="A3481" s="48" t="str">
        <f>IF(Учет!A3481&lt;&gt;"",Учет!A3481,"")</f>
        <v/>
      </c>
      <c r="B3481" s="52">
        <f>IF(Учет!$O3481=Справочники!$F$2,Учет!$H3481,0)</f>
        <v>0</v>
      </c>
      <c r="C3481" s="52">
        <f>IF(Учет!$O3481=Справочники!$F$3,Учет!$H3481,0)</f>
        <v>0</v>
      </c>
      <c r="D3481" s="52">
        <f>IF(Учет!$O3481=Справочники!$F$4,Учет!$H3481,0)</f>
        <v>0</v>
      </c>
      <c r="E3481" s="52">
        <f>IF(Учет!$O3481=Справочники!$F$5,Учет!$H3481,0)</f>
        <v>0</v>
      </c>
      <c r="F3481" s="52">
        <f>IF(Учет!$O3481=Справочники!$F$6,Учет!$H3481,0)</f>
        <v>0</v>
      </c>
      <c r="G3481" s="43">
        <f>G3480+Учет!B3481-B3481</f>
        <v>-488978.92000000004</v>
      </c>
      <c r="H3481" s="43">
        <f>H3480+Учет!C3481-C3481</f>
        <v>336855</v>
      </c>
      <c r="I3481" s="43">
        <f>I3480+Учет!D3481-D3481</f>
        <v>500</v>
      </c>
      <c r="J3481" s="43">
        <f>J3480+Учет!E3481-E3481</f>
        <v>1150</v>
      </c>
      <c r="K3481" s="43">
        <f>K3480+Учет!F3481-F3481</f>
        <v>500000</v>
      </c>
      <c r="L3481" s="45">
        <f>Учет!I3481</f>
        <v>349526.07999999996</v>
      </c>
    </row>
    <row r="3482" spans="1:12" x14ac:dyDescent="0.25">
      <c r="A3482" s="48" t="str">
        <f>IF(Учет!A3482&lt;&gt;"",Учет!A3482,"")</f>
        <v/>
      </c>
      <c r="B3482" s="52">
        <f>IF(Учет!$O3482=Справочники!$F$2,Учет!$H3482,0)</f>
        <v>0</v>
      </c>
      <c r="C3482" s="52">
        <f>IF(Учет!$O3482=Справочники!$F$3,Учет!$H3482,0)</f>
        <v>0</v>
      </c>
      <c r="D3482" s="52">
        <f>IF(Учет!$O3482=Справочники!$F$4,Учет!$H3482,0)</f>
        <v>0</v>
      </c>
      <c r="E3482" s="52">
        <f>IF(Учет!$O3482=Справочники!$F$5,Учет!$H3482,0)</f>
        <v>0</v>
      </c>
      <c r="F3482" s="52">
        <f>IF(Учет!$O3482=Справочники!$F$6,Учет!$H3482,0)</f>
        <v>0</v>
      </c>
      <c r="G3482" s="43">
        <f>G3481+Учет!B3482-B3482</f>
        <v>-488978.92000000004</v>
      </c>
      <c r="H3482" s="43">
        <f>H3481+Учет!C3482-C3482</f>
        <v>336855</v>
      </c>
      <c r="I3482" s="43">
        <f>I3481+Учет!D3482-D3482</f>
        <v>500</v>
      </c>
      <c r="J3482" s="43">
        <f>J3481+Учет!E3482-E3482</f>
        <v>1150</v>
      </c>
      <c r="K3482" s="43">
        <f>K3481+Учет!F3482-F3482</f>
        <v>500000</v>
      </c>
      <c r="L3482" s="45">
        <f>Учет!I3482</f>
        <v>349526.07999999996</v>
      </c>
    </row>
    <row r="3483" spans="1:12" x14ac:dyDescent="0.25">
      <c r="A3483" s="48" t="str">
        <f>IF(Учет!A3483&lt;&gt;"",Учет!A3483,"")</f>
        <v/>
      </c>
      <c r="B3483" s="52">
        <f>IF(Учет!$O3483=Справочники!$F$2,Учет!$H3483,0)</f>
        <v>0</v>
      </c>
      <c r="C3483" s="52">
        <f>IF(Учет!$O3483=Справочники!$F$3,Учет!$H3483,0)</f>
        <v>0</v>
      </c>
      <c r="D3483" s="52">
        <f>IF(Учет!$O3483=Справочники!$F$4,Учет!$H3483,0)</f>
        <v>0</v>
      </c>
      <c r="E3483" s="52">
        <f>IF(Учет!$O3483=Справочники!$F$5,Учет!$H3483,0)</f>
        <v>0</v>
      </c>
      <c r="F3483" s="52">
        <f>IF(Учет!$O3483=Справочники!$F$6,Учет!$H3483,0)</f>
        <v>0</v>
      </c>
      <c r="G3483" s="43">
        <f>G3482+Учет!B3483-B3483</f>
        <v>-488978.92000000004</v>
      </c>
      <c r="H3483" s="43">
        <f>H3482+Учет!C3483-C3483</f>
        <v>336855</v>
      </c>
      <c r="I3483" s="43">
        <f>I3482+Учет!D3483-D3483</f>
        <v>500</v>
      </c>
      <c r="J3483" s="43">
        <f>J3482+Учет!E3483-E3483</f>
        <v>1150</v>
      </c>
      <c r="K3483" s="43">
        <f>K3482+Учет!F3483-F3483</f>
        <v>500000</v>
      </c>
      <c r="L3483" s="45">
        <f>Учет!I3483</f>
        <v>349526.07999999996</v>
      </c>
    </row>
    <row r="3484" spans="1:12" x14ac:dyDescent="0.25">
      <c r="A3484" s="48" t="str">
        <f>IF(Учет!A3484&lt;&gt;"",Учет!A3484,"")</f>
        <v/>
      </c>
      <c r="B3484" s="52">
        <f>IF(Учет!$O3484=Справочники!$F$2,Учет!$H3484,0)</f>
        <v>0</v>
      </c>
      <c r="C3484" s="52">
        <f>IF(Учет!$O3484=Справочники!$F$3,Учет!$H3484,0)</f>
        <v>0</v>
      </c>
      <c r="D3484" s="52">
        <f>IF(Учет!$O3484=Справочники!$F$4,Учет!$H3484,0)</f>
        <v>0</v>
      </c>
      <c r="E3484" s="52">
        <f>IF(Учет!$O3484=Справочники!$F$5,Учет!$H3484,0)</f>
        <v>0</v>
      </c>
      <c r="F3484" s="52">
        <f>IF(Учет!$O3484=Справочники!$F$6,Учет!$H3484,0)</f>
        <v>0</v>
      </c>
      <c r="G3484" s="43">
        <f>G3483+Учет!B3484-B3484</f>
        <v>-488978.92000000004</v>
      </c>
      <c r="H3484" s="43">
        <f>H3483+Учет!C3484-C3484</f>
        <v>336855</v>
      </c>
      <c r="I3484" s="43">
        <f>I3483+Учет!D3484-D3484</f>
        <v>500</v>
      </c>
      <c r="J3484" s="43">
        <f>J3483+Учет!E3484-E3484</f>
        <v>1150</v>
      </c>
      <c r="K3484" s="43">
        <f>K3483+Учет!F3484-F3484</f>
        <v>500000</v>
      </c>
      <c r="L3484" s="45">
        <f>Учет!I3484</f>
        <v>349526.07999999996</v>
      </c>
    </row>
    <row r="3485" spans="1:12" x14ac:dyDescent="0.25">
      <c r="A3485" s="48" t="str">
        <f>IF(Учет!A3485&lt;&gt;"",Учет!A3485,"")</f>
        <v/>
      </c>
      <c r="B3485" s="52">
        <f>IF(Учет!$O3485=Справочники!$F$2,Учет!$H3485,0)</f>
        <v>0</v>
      </c>
      <c r="C3485" s="52">
        <f>IF(Учет!$O3485=Справочники!$F$3,Учет!$H3485,0)</f>
        <v>0</v>
      </c>
      <c r="D3485" s="52">
        <f>IF(Учет!$O3485=Справочники!$F$4,Учет!$H3485,0)</f>
        <v>0</v>
      </c>
      <c r="E3485" s="52">
        <f>IF(Учет!$O3485=Справочники!$F$5,Учет!$H3485,0)</f>
        <v>0</v>
      </c>
      <c r="F3485" s="52">
        <f>IF(Учет!$O3485=Справочники!$F$6,Учет!$H3485,0)</f>
        <v>0</v>
      </c>
      <c r="G3485" s="43">
        <f>G3484+Учет!B3485-B3485</f>
        <v>-488978.92000000004</v>
      </c>
      <c r="H3485" s="43">
        <f>H3484+Учет!C3485-C3485</f>
        <v>336855</v>
      </c>
      <c r="I3485" s="43">
        <f>I3484+Учет!D3485-D3485</f>
        <v>500</v>
      </c>
      <c r="J3485" s="43">
        <f>J3484+Учет!E3485-E3485</f>
        <v>1150</v>
      </c>
      <c r="K3485" s="43">
        <f>K3484+Учет!F3485-F3485</f>
        <v>500000</v>
      </c>
      <c r="L3485" s="45">
        <f>Учет!I3485</f>
        <v>349526.07999999996</v>
      </c>
    </row>
    <row r="3486" spans="1:12" x14ac:dyDescent="0.25">
      <c r="A3486" s="48" t="str">
        <f>IF(Учет!A3486&lt;&gt;"",Учет!A3486,"")</f>
        <v/>
      </c>
      <c r="B3486" s="52">
        <f>IF(Учет!$O3486=Справочники!$F$2,Учет!$H3486,0)</f>
        <v>0</v>
      </c>
      <c r="C3486" s="52">
        <f>IF(Учет!$O3486=Справочники!$F$3,Учет!$H3486,0)</f>
        <v>0</v>
      </c>
      <c r="D3486" s="52">
        <f>IF(Учет!$O3486=Справочники!$F$4,Учет!$H3486,0)</f>
        <v>0</v>
      </c>
      <c r="E3486" s="52">
        <f>IF(Учет!$O3486=Справочники!$F$5,Учет!$H3486,0)</f>
        <v>0</v>
      </c>
      <c r="F3486" s="52">
        <f>IF(Учет!$O3486=Справочники!$F$6,Учет!$H3486,0)</f>
        <v>0</v>
      </c>
      <c r="G3486" s="43">
        <f>G3485+Учет!B3486-B3486</f>
        <v>-488978.92000000004</v>
      </c>
      <c r="H3486" s="43">
        <f>H3485+Учет!C3486-C3486</f>
        <v>336855</v>
      </c>
      <c r="I3486" s="43">
        <f>I3485+Учет!D3486-D3486</f>
        <v>500</v>
      </c>
      <c r="J3486" s="43">
        <f>J3485+Учет!E3486-E3486</f>
        <v>1150</v>
      </c>
      <c r="K3486" s="43">
        <f>K3485+Учет!F3486-F3486</f>
        <v>500000</v>
      </c>
      <c r="L3486" s="45">
        <f>Учет!I3486</f>
        <v>349526.07999999996</v>
      </c>
    </row>
    <row r="3487" spans="1:12" x14ac:dyDescent="0.25">
      <c r="A3487" s="48" t="str">
        <f>IF(Учет!A3487&lt;&gt;"",Учет!A3487,"")</f>
        <v/>
      </c>
      <c r="B3487" s="52">
        <f>IF(Учет!$O3487=Справочники!$F$2,Учет!$H3487,0)</f>
        <v>0</v>
      </c>
      <c r="C3487" s="52">
        <f>IF(Учет!$O3487=Справочники!$F$3,Учет!$H3487,0)</f>
        <v>0</v>
      </c>
      <c r="D3487" s="52">
        <f>IF(Учет!$O3487=Справочники!$F$4,Учет!$H3487,0)</f>
        <v>0</v>
      </c>
      <c r="E3487" s="52">
        <f>IF(Учет!$O3487=Справочники!$F$5,Учет!$H3487,0)</f>
        <v>0</v>
      </c>
      <c r="F3487" s="52">
        <f>IF(Учет!$O3487=Справочники!$F$6,Учет!$H3487,0)</f>
        <v>0</v>
      </c>
      <c r="G3487" s="43">
        <f>G3486+Учет!B3487-B3487</f>
        <v>-488978.92000000004</v>
      </c>
      <c r="H3487" s="43">
        <f>H3486+Учет!C3487-C3487</f>
        <v>336855</v>
      </c>
      <c r="I3487" s="43">
        <f>I3486+Учет!D3487-D3487</f>
        <v>500</v>
      </c>
      <c r="J3487" s="43">
        <f>J3486+Учет!E3487-E3487</f>
        <v>1150</v>
      </c>
      <c r="K3487" s="43">
        <f>K3486+Учет!F3487-F3487</f>
        <v>500000</v>
      </c>
      <c r="L3487" s="45">
        <f>Учет!I3487</f>
        <v>349526.07999999996</v>
      </c>
    </row>
    <row r="3488" spans="1:12" x14ac:dyDescent="0.25">
      <c r="A3488" s="48" t="str">
        <f>IF(Учет!A3488&lt;&gt;"",Учет!A3488,"")</f>
        <v/>
      </c>
      <c r="B3488" s="52">
        <f>IF(Учет!$O3488=Справочники!$F$2,Учет!$H3488,0)</f>
        <v>0</v>
      </c>
      <c r="C3488" s="52">
        <f>IF(Учет!$O3488=Справочники!$F$3,Учет!$H3488,0)</f>
        <v>0</v>
      </c>
      <c r="D3488" s="52">
        <f>IF(Учет!$O3488=Справочники!$F$4,Учет!$H3488,0)</f>
        <v>0</v>
      </c>
      <c r="E3488" s="52">
        <f>IF(Учет!$O3488=Справочники!$F$5,Учет!$H3488,0)</f>
        <v>0</v>
      </c>
      <c r="F3488" s="52">
        <f>IF(Учет!$O3488=Справочники!$F$6,Учет!$H3488,0)</f>
        <v>0</v>
      </c>
      <c r="G3488" s="43">
        <f>G3487+Учет!B3488-B3488</f>
        <v>-488978.92000000004</v>
      </c>
      <c r="H3488" s="43">
        <f>H3487+Учет!C3488-C3488</f>
        <v>336855</v>
      </c>
      <c r="I3488" s="43">
        <f>I3487+Учет!D3488-D3488</f>
        <v>500</v>
      </c>
      <c r="J3488" s="43">
        <f>J3487+Учет!E3488-E3488</f>
        <v>1150</v>
      </c>
      <c r="K3488" s="43">
        <f>K3487+Учет!F3488-F3488</f>
        <v>500000</v>
      </c>
      <c r="L3488" s="45">
        <f>Учет!I3488</f>
        <v>349526.07999999996</v>
      </c>
    </row>
    <row r="3489" spans="1:12" x14ac:dyDescent="0.25">
      <c r="A3489" s="48" t="str">
        <f>IF(Учет!A3489&lt;&gt;"",Учет!A3489,"")</f>
        <v/>
      </c>
      <c r="B3489" s="52">
        <f>IF(Учет!$O3489=Справочники!$F$2,Учет!$H3489,0)</f>
        <v>0</v>
      </c>
      <c r="C3489" s="52">
        <f>IF(Учет!$O3489=Справочники!$F$3,Учет!$H3489,0)</f>
        <v>0</v>
      </c>
      <c r="D3489" s="52">
        <f>IF(Учет!$O3489=Справочники!$F$4,Учет!$H3489,0)</f>
        <v>0</v>
      </c>
      <c r="E3489" s="52">
        <f>IF(Учет!$O3489=Справочники!$F$5,Учет!$H3489,0)</f>
        <v>0</v>
      </c>
      <c r="F3489" s="52">
        <f>IF(Учет!$O3489=Справочники!$F$6,Учет!$H3489,0)</f>
        <v>0</v>
      </c>
      <c r="G3489" s="43">
        <f>G3488+Учет!B3489-B3489</f>
        <v>-488978.92000000004</v>
      </c>
      <c r="H3489" s="43">
        <f>H3488+Учет!C3489-C3489</f>
        <v>336855</v>
      </c>
      <c r="I3489" s="43">
        <f>I3488+Учет!D3489-D3489</f>
        <v>500</v>
      </c>
      <c r="J3489" s="43">
        <f>J3488+Учет!E3489-E3489</f>
        <v>1150</v>
      </c>
      <c r="K3489" s="43">
        <f>K3488+Учет!F3489-F3489</f>
        <v>500000</v>
      </c>
      <c r="L3489" s="45">
        <f>Учет!I3489</f>
        <v>349526.07999999996</v>
      </c>
    </row>
    <row r="3490" spans="1:12" x14ac:dyDescent="0.25">
      <c r="A3490" s="48" t="str">
        <f>IF(Учет!A3490&lt;&gt;"",Учет!A3490,"")</f>
        <v/>
      </c>
      <c r="B3490" s="52">
        <f>IF(Учет!$O3490=Справочники!$F$2,Учет!$H3490,0)</f>
        <v>0</v>
      </c>
      <c r="C3490" s="52">
        <f>IF(Учет!$O3490=Справочники!$F$3,Учет!$H3490,0)</f>
        <v>0</v>
      </c>
      <c r="D3490" s="52">
        <f>IF(Учет!$O3490=Справочники!$F$4,Учет!$H3490,0)</f>
        <v>0</v>
      </c>
      <c r="E3490" s="52">
        <f>IF(Учет!$O3490=Справочники!$F$5,Учет!$H3490,0)</f>
        <v>0</v>
      </c>
      <c r="F3490" s="52">
        <f>IF(Учет!$O3490=Справочники!$F$6,Учет!$H3490,0)</f>
        <v>0</v>
      </c>
      <c r="G3490" s="43">
        <f>G3489+Учет!B3490-B3490</f>
        <v>-488978.92000000004</v>
      </c>
      <c r="H3490" s="43">
        <f>H3489+Учет!C3490-C3490</f>
        <v>336855</v>
      </c>
      <c r="I3490" s="43">
        <f>I3489+Учет!D3490-D3490</f>
        <v>500</v>
      </c>
      <c r="J3490" s="43">
        <f>J3489+Учет!E3490-E3490</f>
        <v>1150</v>
      </c>
      <c r="K3490" s="43">
        <f>K3489+Учет!F3490-F3490</f>
        <v>500000</v>
      </c>
      <c r="L3490" s="45">
        <f>Учет!I3490</f>
        <v>349526.07999999996</v>
      </c>
    </row>
    <row r="3491" spans="1:12" x14ac:dyDescent="0.25">
      <c r="A3491" s="48" t="str">
        <f>IF(Учет!A3491&lt;&gt;"",Учет!A3491,"")</f>
        <v/>
      </c>
      <c r="B3491" s="52">
        <f>IF(Учет!$O3491=Справочники!$F$2,Учет!$H3491,0)</f>
        <v>0</v>
      </c>
      <c r="C3491" s="52">
        <f>IF(Учет!$O3491=Справочники!$F$3,Учет!$H3491,0)</f>
        <v>0</v>
      </c>
      <c r="D3491" s="52">
        <f>IF(Учет!$O3491=Справочники!$F$4,Учет!$H3491,0)</f>
        <v>0</v>
      </c>
      <c r="E3491" s="52">
        <f>IF(Учет!$O3491=Справочники!$F$5,Учет!$H3491,0)</f>
        <v>0</v>
      </c>
      <c r="F3491" s="52">
        <f>IF(Учет!$O3491=Справочники!$F$6,Учет!$H3491,0)</f>
        <v>0</v>
      </c>
      <c r="G3491" s="43">
        <f>G3490+Учет!B3491-B3491</f>
        <v>-488978.92000000004</v>
      </c>
      <c r="H3491" s="43">
        <f>H3490+Учет!C3491-C3491</f>
        <v>336855</v>
      </c>
      <c r="I3491" s="43">
        <f>I3490+Учет!D3491-D3491</f>
        <v>500</v>
      </c>
      <c r="J3491" s="43">
        <f>J3490+Учет!E3491-E3491</f>
        <v>1150</v>
      </c>
      <c r="K3491" s="43">
        <f>K3490+Учет!F3491-F3491</f>
        <v>500000</v>
      </c>
      <c r="L3491" s="45">
        <f>Учет!I3491</f>
        <v>349526.07999999996</v>
      </c>
    </row>
    <row r="3492" spans="1:12" x14ac:dyDescent="0.25">
      <c r="A3492" s="48" t="str">
        <f>IF(Учет!A3492&lt;&gt;"",Учет!A3492,"")</f>
        <v/>
      </c>
      <c r="B3492" s="52">
        <f>IF(Учет!$O3492=Справочники!$F$2,Учет!$H3492,0)</f>
        <v>0</v>
      </c>
      <c r="C3492" s="52">
        <f>IF(Учет!$O3492=Справочники!$F$3,Учет!$H3492,0)</f>
        <v>0</v>
      </c>
      <c r="D3492" s="52">
        <f>IF(Учет!$O3492=Справочники!$F$4,Учет!$H3492,0)</f>
        <v>0</v>
      </c>
      <c r="E3492" s="52">
        <f>IF(Учет!$O3492=Справочники!$F$5,Учет!$H3492,0)</f>
        <v>0</v>
      </c>
      <c r="F3492" s="52">
        <f>IF(Учет!$O3492=Справочники!$F$6,Учет!$H3492,0)</f>
        <v>0</v>
      </c>
      <c r="G3492" s="43">
        <f>G3491+Учет!B3492-B3492</f>
        <v>-488978.92000000004</v>
      </c>
      <c r="H3492" s="43">
        <f>H3491+Учет!C3492-C3492</f>
        <v>336855</v>
      </c>
      <c r="I3492" s="43">
        <f>I3491+Учет!D3492-D3492</f>
        <v>500</v>
      </c>
      <c r="J3492" s="43">
        <f>J3491+Учет!E3492-E3492</f>
        <v>1150</v>
      </c>
      <c r="K3492" s="43">
        <f>K3491+Учет!F3492-F3492</f>
        <v>500000</v>
      </c>
      <c r="L3492" s="45">
        <f>Учет!I3492</f>
        <v>349526.07999999996</v>
      </c>
    </row>
    <row r="3493" spans="1:12" x14ac:dyDescent="0.25">
      <c r="A3493" s="48" t="str">
        <f>IF(Учет!A3493&lt;&gt;"",Учет!A3493,"")</f>
        <v/>
      </c>
      <c r="B3493" s="52">
        <f>IF(Учет!$O3493=Справочники!$F$2,Учет!$H3493,0)</f>
        <v>0</v>
      </c>
      <c r="C3493" s="52">
        <f>IF(Учет!$O3493=Справочники!$F$3,Учет!$H3493,0)</f>
        <v>0</v>
      </c>
      <c r="D3493" s="52">
        <f>IF(Учет!$O3493=Справочники!$F$4,Учет!$H3493,0)</f>
        <v>0</v>
      </c>
      <c r="E3493" s="52">
        <f>IF(Учет!$O3493=Справочники!$F$5,Учет!$H3493,0)</f>
        <v>0</v>
      </c>
      <c r="F3493" s="52">
        <f>IF(Учет!$O3493=Справочники!$F$6,Учет!$H3493,0)</f>
        <v>0</v>
      </c>
      <c r="G3493" s="43">
        <f>G3492+Учет!B3493-B3493</f>
        <v>-488978.92000000004</v>
      </c>
      <c r="H3493" s="43">
        <f>H3492+Учет!C3493-C3493</f>
        <v>336855</v>
      </c>
      <c r="I3493" s="43">
        <f>I3492+Учет!D3493-D3493</f>
        <v>500</v>
      </c>
      <c r="J3493" s="43">
        <f>J3492+Учет!E3493-E3493</f>
        <v>1150</v>
      </c>
      <c r="K3493" s="43">
        <f>K3492+Учет!F3493-F3493</f>
        <v>500000</v>
      </c>
      <c r="L3493" s="45">
        <f>Учет!I3493</f>
        <v>349526.07999999996</v>
      </c>
    </row>
    <row r="3494" spans="1:12" x14ac:dyDescent="0.25">
      <c r="A3494" s="48" t="str">
        <f>IF(Учет!A3494&lt;&gt;"",Учет!A3494,"")</f>
        <v/>
      </c>
      <c r="B3494" s="52">
        <f>IF(Учет!$O3494=Справочники!$F$2,Учет!$H3494,0)</f>
        <v>0</v>
      </c>
      <c r="C3494" s="52">
        <f>IF(Учет!$O3494=Справочники!$F$3,Учет!$H3494,0)</f>
        <v>0</v>
      </c>
      <c r="D3494" s="52">
        <f>IF(Учет!$O3494=Справочники!$F$4,Учет!$H3494,0)</f>
        <v>0</v>
      </c>
      <c r="E3494" s="52">
        <f>IF(Учет!$O3494=Справочники!$F$5,Учет!$H3494,0)</f>
        <v>0</v>
      </c>
      <c r="F3494" s="52">
        <f>IF(Учет!$O3494=Справочники!$F$6,Учет!$H3494,0)</f>
        <v>0</v>
      </c>
      <c r="G3494" s="43">
        <f>G3493+Учет!B3494-B3494</f>
        <v>-488978.92000000004</v>
      </c>
      <c r="H3494" s="43">
        <f>H3493+Учет!C3494-C3494</f>
        <v>336855</v>
      </c>
      <c r="I3494" s="43">
        <f>I3493+Учет!D3494-D3494</f>
        <v>500</v>
      </c>
      <c r="J3494" s="43">
        <f>J3493+Учет!E3494-E3494</f>
        <v>1150</v>
      </c>
      <c r="K3494" s="43">
        <f>K3493+Учет!F3494-F3494</f>
        <v>500000</v>
      </c>
      <c r="L3494" s="45">
        <f>Учет!I3494</f>
        <v>349526.07999999996</v>
      </c>
    </row>
    <row r="3495" spans="1:12" x14ac:dyDescent="0.25">
      <c r="A3495" s="48" t="str">
        <f>IF(Учет!A3495&lt;&gt;"",Учет!A3495,"")</f>
        <v/>
      </c>
      <c r="B3495" s="52">
        <f>IF(Учет!$O3495=Справочники!$F$2,Учет!$H3495,0)</f>
        <v>0</v>
      </c>
      <c r="C3495" s="52">
        <f>IF(Учет!$O3495=Справочники!$F$3,Учет!$H3495,0)</f>
        <v>0</v>
      </c>
      <c r="D3495" s="52">
        <f>IF(Учет!$O3495=Справочники!$F$4,Учет!$H3495,0)</f>
        <v>0</v>
      </c>
      <c r="E3495" s="52">
        <f>IF(Учет!$O3495=Справочники!$F$5,Учет!$H3495,0)</f>
        <v>0</v>
      </c>
      <c r="F3495" s="52">
        <f>IF(Учет!$O3495=Справочники!$F$6,Учет!$H3495,0)</f>
        <v>0</v>
      </c>
      <c r="G3495" s="43">
        <f>G3494+Учет!B3495-B3495</f>
        <v>-488978.92000000004</v>
      </c>
      <c r="H3495" s="43">
        <f>H3494+Учет!C3495-C3495</f>
        <v>336855</v>
      </c>
      <c r="I3495" s="43">
        <f>I3494+Учет!D3495-D3495</f>
        <v>500</v>
      </c>
      <c r="J3495" s="43">
        <f>J3494+Учет!E3495-E3495</f>
        <v>1150</v>
      </c>
      <c r="K3495" s="43">
        <f>K3494+Учет!F3495-F3495</f>
        <v>500000</v>
      </c>
      <c r="L3495" s="45">
        <f>Учет!I3495</f>
        <v>349526.07999999996</v>
      </c>
    </row>
    <row r="3496" spans="1:12" x14ac:dyDescent="0.25">
      <c r="A3496" s="48" t="str">
        <f>IF(Учет!A3496&lt;&gt;"",Учет!A3496,"")</f>
        <v/>
      </c>
      <c r="B3496" s="52">
        <f>IF(Учет!$O3496=Справочники!$F$2,Учет!$H3496,0)</f>
        <v>0</v>
      </c>
      <c r="C3496" s="52">
        <f>IF(Учет!$O3496=Справочники!$F$3,Учет!$H3496,0)</f>
        <v>0</v>
      </c>
      <c r="D3496" s="52">
        <f>IF(Учет!$O3496=Справочники!$F$4,Учет!$H3496,0)</f>
        <v>0</v>
      </c>
      <c r="E3496" s="52">
        <f>IF(Учет!$O3496=Справочники!$F$5,Учет!$H3496,0)</f>
        <v>0</v>
      </c>
      <c r="F3496" s="52">
        <f>IF(Учет!$O3496=Справочники!$F$6,Учет!$H3496,0)</f>
        <v>0</v>
      </c>
      <c r="G3496" s="43">
        <f>G3495+Учет!B3496-B3496</f>
        <v>-488978.92000000004</v>
      </c>
      <c r="H3496" s="43">
        <f>H3495+Учет!C3496-C3496</f>
        <v>336855</v>
      </c>
      <c r="I3496" s="43">
        <f>I3495+Учет!D3496-D3496</f>
        <v>500</v>
      </c>
      <c r="J3496" s="43">
        <f>J3495+Учет!E3496-E3496</f>
        <v>1150</v>
      </c>
      <c r="K3496" s="43">
        <f>K3495+Учет!F3496-F3496</f>
        <v>500000</v>
      </c>
      <c r="L3496" s="45">
        <f>Учет!I3496</f>
        <v>349526.07999999996</v>
      </c>
    </row>
    <row r="3497" spans="1:12" x14ac:dyDescent="0.25">
      <c r="A3497" s="48" t="str">
        <f>IF(Учет!A3497&lt;&gt;"",Учет!A3497,"")</f>
        <v/>
      </c>
      <c r="B3497" s="52">
        <f>IF(Учет!$O3497=Справочники!$F$2,Учет!$H3497,0)</f>
        <v>0</v>
      </c>
      <c r="C3497" s="52">
        <f>IF(Учет!$O3497=Справочники!$F$3,Учет!$H3497,0)</f>
        <v>0</v>
      </c>
      <c r="D3497" s="52">
        <f>IF(Учет!$O3497=Справочники!$F$4,Учет!$H3497,0)</f>
        <v>0</v>
      </c>
      <c r="E3497" s="52">
        <f>IF(Учет!$O3497=Справочники!$F$5,Учет!$H3497,0)</f>
        <v>0</v>
      </c>
      <c r="F3497" s="52">
        <f>IF(Учет!$O3497=Справочники!$F$6,Учет!$H3497,0)</f>
        <v>0</v>
      </c>
      <c r="G3497" s="43">
        <f>G3496+Учет!B3497-B3497</f>
        <v>-488978.92000000004</v>
      </c>
      <c r="H3497" s="43">
        <f>H3496+Учет!C3497-C3497</f>
        <v>336855</v>
      </c>
      <c r="I3497" s="43">
        <f>I3496+Учет!D3497-D3497</f>
        <v>500</v>
      </c>
      <c r="J3497" s="43">
        <f>J3496+Учет!E3497-E3497</f>
        <v>1150</v>
      </c>
      <c r="K3497" s="43">
        <f>K3496+Учет!F3497-F3497</f>
        <v>500000</v>
      </c>
      <c r="L3497" s="45">
        <f>Учет!I3497</f>
        <v>349526.07999999996</v>
      </c>
    </row>
    <row r="3498" spans="1:12" x14ac:dyDescent="0.25">
      <c r="A3498" s="48" t="str">
        <f>IF(Учет!A3498&lt;&gt;"",Учет!A3498,"")</f>
        <v/>
      </c>
      <c r="B3498" s="52">
        <f>IF(Учет!$O3498=Справочники!$F$2,Учет!$H3498,0)</f>
        <v>0</v>
      </c>
      <c r="C3498" s="52">
        <f>IF(Учет!$O3498=Справочники!$F$3,Учет!$H3498,0)</f>
        <v>0</v>
      </c>
      <c r="D3498" s="52">
        <f>IF(Учет!$O3498=Справочники!$F$4,Учет!$H3498,0)</f>
        <v>0</v>
      </c>
      <c r="E3498" s="52">
        <f>IF(Учет!$O3498=Справочники!$F$5,Учет!$H3498,0)</f>
        <v>0</v>
      </c>
      <c r="F3498" s="52">
        <f>IF(Учет!$O3498=Справочники!$F$6,Учет!$H3498,0)</f>
        <v>0</v>
      </c>
      <c r="G3498" s="43">
        <f>G3497+Учет!B3498-B3498</f>
        <v>-488978.92000000004</v>
      </c>
      <c r="H3498" s="43">
        <f>H3497+Учет!C3498-C3498</f>
        <v>336855</v>
      </c>
      <c r="I3498" s="43">
        <f>I3497+Учет!D3498-D3498</f>
        <v>500</v>
      </c>
      <c r="J3498" s="43">
        <f>J3497+Учет!E3498-E3498</f>
        <v>1150</v>
      </c>
      <c r="K3498" s="43">
        <f>K3497+Учет!F3498-F3498</f>
        <v>500000</v>
      </c>
      <c r="L3498" s="45">
        <f>Учет!I3498</f>
        <v>349526.07999999996</v>
      </c>
    </row>
    <row r="3499" spans="1:12" x14ac:dyDescent="0.25">
      <c r="A3499" s="48" t="str">
        <f>IF(Учет!A3499&lt;&gt;"",Учет!A3499,"")</f>
        <v/>
      </c>
      <c r="B3499" s="52">
        <f>IF(Учет!$O3499=Справочники!$F$2,Учет!$H3499,0)</f>
        <v>0</v>
      </c>
      <c r="C3499" s="52">
        <f>IF(Учет!$O3499=Справочники!$F$3,Учет!$H3499,0)</f>
        <v>0</v>
      </c>
      <c r="D3499" s="52">
        <f>IF(Учет!$O3499=Справочники!$F$4,Учет!$H3499,0)</f>
        <v>0</v>
      </c>
      <c r="E3499" s="52">
        <f>IF(Учет!$O3499=Справочники!$F$5,Учет!$H3499,0)</f>
        <v>0</v>
      </c>
      <c r="F3499" s="52">
        <f>IF(Учет!$O3499=Справочники!$F$6,Учет!$H3499,0)</f>
        <v>0</v>
      </c>
      <c r="G3499" s="43">
        <f>G3498+Учет!B3499-B3499</f>
        <v>-488978.92000000004</v>
      </c>
      <c r="H3499" s="43">
        <f>H3498+Учет!C3499-C3499</f>
        <v>336855</v>
      </c>
      <c r="I3499" s="43">
        <f>I3498+Учет!D3499-D3499</f>
        <v>500</v>
      </c>
      <c r="J3499" s="43">
        <f>J3498+Учет!E3499-E3499</f>
        <v>1150</v>
      </c>
      <c r="K3499" s="43">
        <f>K3498+Учет!F3499-F3499</f>
        <v>500000</v>
      </c>
      <c r="L3499" s="45">
        <f>Учет!I3499</f>
        <v>349526.07999999996</v>
      </c>
    </row>
    <row r="3500" spans="1:12" x14ac:dyDescent="0.25">
      <c r="A3500" s="48" t="str">
        <f>IF(Учет!A3500&lt;&gt;"",Учет!A3500,"")</f>
        <v/>
      </c>
      <c r="B3500" s="52">
        <f>IF(Учет!$O3500=Справочники!$F$2,Учет!$H3500,0)</f>
        <v>0</v>
      </c>
      <c r="C3500" s="52">
        <f>IF(Учет!$O3500=Справочники!$F$3,Учет!$H3500,0)</f>
        <v>0</v>
      </c>
      <c r="D3500" s="52">
        <f>IF(Учет!$O3500=Справочники!$F$4,Учет!$H3500,0)</f>
        <v>0</v>
      </c>
      <c r="E3500" s="52">
        <f>IF(Учет!$O3500=Справочники!$F$5,Учет!$H3500,0)</f>
        <v>0</v>
      </c>
      <c r="F3500" s="52">
        <f>IF(Учет!$O3500=Справочники!$F$6,Учет!$H3500,0)</f>
        <v>0</v>
      </c>
      <c r="G3500" s="43">
        <f>G3499+Учет!B3500-B3500</f>
        <v>-488978.92000000004</v>
      </c>
      <c r="H3500" s="43">
        <f>H3499+Учет!C3500-C3500</f>
        <v>336855</v>
      </c>
      <c r="I3500" s="43">
        <f>I3499+Учет!D3500-D3500</f>
        <v>500</v>
      </c>
      <c r="J3500" s="43">
        <f>J3499+Учет!E3500-E3500</f>
        <v>1150</v>
      </c>
      <c r="K3500" s="43">
        <f>K3499+Учет!F3500-F3500</f>
        <v>500000</v>
      </c>
      <c r="L3500" s="45">
        <f>Учет!I3500</f>
        <v>349526.07999999996</v>
      </c>
    </row>
    <row r="3501" spans="1:12" x14ac:dyDescent="0.25">
      <c r="A3501" s="48" t="str">
        <f>IF(Учет!A3501&lt;&gt;"",Учет!A3501,"")</f>
        <v/>
      </c>
      <c r="B3501" s="52">
        <f>IF(Учет!$O3501=Справочники!$F$2,Учет!$H3501,0)</f>
        <v>0</v>
      </c>
      <c r="C3501" s="52">
        <f>IF(Учет!$O3501=Справочники!$F$3,Учет!$H3501,0)</f>
        <v>0</v>
      </c>
      <c r="D3501" s="52">
        <f>IF(Учет!$O3501=Справочники!$F$4,Учет!$H3501,0)</f>
        <v>0</v>
      </c>
      <c r="E3501" s="52">
        <f>IF(Учет!$O3501=Справочники!$F$5,Учет!$H3501,0)</f>
        <v>0</v>
      </c>
      <c r="F3501" s="52">
        <f>IF(Учет!$O3501=Справочники!$F$6,Учет!$H3501,0)</f>
        <v>0</v>
      </c>
      <c r="G3501" s="43">
        <f>G3500+Учет!B3501-B3501</f>
        <v>-488978.92000000004</v>
      </c>
      <c r="H3501" s="43">
        <f>H3500+Учет!C3501-C3501</f>
        <v>336855</v>
      </c>
      <c r="I3501" s="43">
        <f>I3500+Учет!D3501-D3501</f>
        <v>500</v>
      </c>
      <c r="J3501" s="43">
        <f>J3500+Учет!E3501-E3501</f>
        <v>1150</v>
      </c>
      <c r="K3501" s="43">
        <f>K3500+Учет!F3501-F3501</f>
        <v>500000</v>
      </c>
      <c r="L3501" s="45">
        <f>Учет!I3501</f>
        <v>349526.07999999996</v>
      </c>
    </row>
    <row r="3502" spans="1:12" x14ac:dyDescent="0.25">
      <c r="A3502" s="48" t="str">
        <f>IF(Учет!A3502&lt;&gt;"",Учет!A3502,"")</f>
        <v/>
      </c>
      <c r="B3502" s="52">
        <f>IF(Учет!$O3502=Справочники!$F$2,Учет!$H3502,0)</f>
        <v>0</v>
      </c>
      <c r="C3502" s="52">
        <f>IF(Учет!$O3502=Справочники!$F$3,Учет!$H3502,0)</f>
        <v>0</v>
      </c>
      <c r="D3502" s="52">
        <f>IF(Учет!$O3502=Справочники!$F$4,Учет!$H3502,0)</f>
        <v>0</v>
      </c>
      <c r="E3502" s="52">
        <f>IF(Учет!$O3502=Справочники!$F$5,Учет!$H3502,0)</f>
        <v>0</v>
      </c>
      <c r="F3502" s="52">
        <f>IF(Учет!$O3502=Справочники!$F$6,Учет!$H3502,0)</f>
        <v>0</v>
      </c>
      <c r="G3502" s="43">
        <f>G3501+Учет!B3502-B3502</f>
        <v>-488978.92000000004</v>
      </c>
      <c r="H3502" s="43">
        <f>H3501+Учет!C3502-C3502</f>
        <v>336855</v>
      </c>
      <c r="I3502" s="43">
        <f>I3501+Учет!D3502-D3502</f>
        <v>500</v>
      </c>
      <c r="J3502" s="43">
        <f>J3501+Учет!E3502-E3502</f>
        <v>1150</v>
      </c>
      <c r="K3502" s="43">
        <f>K3501+Учет!F3502-F3502</f>
        <v>500000</v>
      </c>
      <c r="L3502" s="45">
        <f>Учет!I3502</f>
        <v>349526.07999999996</v>
      </c>
    </row>
    <row r="3503" spans="1:12" x14ac:dyDescent="0.25">
      <c r="A3503" s="48" t="str">
        <f>IF(Учет!A3503&lt;&gt;"",Учет!A3503,"")</f>
        <v/>
      </c>
      <c r="B3503" s="52">
        <f>IF(Учет!$O3503=Справочники!$F$2,Учет!$H3503,0)</f>
        <v>0</v>
      </c>
      <c r="C3503" s="52">
        <f>IF(Учет!$O3503=Справочники!$F$3,Учет!$H3503,0)</f>
        <v>0</v>
      </c>
      <c r="D3503" s="52">
        <f>IF(Учет!$O3503=Справочники!$F$4,Учет!$H3503,0)</f>
        <v>0</v>
      </c>
      <c r="E3503" s="52">
        <f>IF(Учет!$O3503=Справочники!$F$5,Учет!$H3503,0)</f>
        <v>0</v>
      </c>
      <c r="F3503" s="52">
        <f>IF(Учет!$O3503=Справочники!$F$6,Учет!$H3503,0)</f>
        <v>0</v>
      </c>
      <c r="G3503" s="43">
        <f>G3502+Учет!B3503-B3503</f>
        <v>-488978.92000000004</v>
      </c>
      <c r="H3503" s="43">
        <f>H3502+Учет!C3503-C3503</f>
        <v>336855</v>
      </c>
      <c r="I3503" s="43">
        <f>I3502+Учет!D3503-D3503</f>
        <v>500</v>
      </c>
      <c r="J3503" s="43">
        <f>J3502+Учет!E3503-E3503</f>
        <v>1150</v>
      </c>
      <c r="K3503" s="43">
        <f>K3502+Учет!F3503-F3503</f>
        <v>500000</v>
      </c>
      <c r="L3503" s="45">
        <f>Учет!I3503</f>
        <v>349526.07999999996</v>
      </c>
    </row>
    <row r="3504" spans="1:12" x14ac:dyDescent="0.25">
      <c r="A3504" s="48" t="str">
        <f>IF(Учет!A3504&lt;&gt;"",Учет!A3504,"")</f>
        <v/>
      </c>
      <c r="B3504" s="52">
        <f>IF(Учет!$O3504=Справочники!$F$2,Учет!$H3504,0)</f>
        <v>0</v>
      </c>
      <c r="C3504" s="52">
        <f>IF(Учет!$O3504=Справочники!$F$3,Учет!$H3504,0)</f>
        <v>0</v>
      </c>
      <c r="D3504" s="52">
        <f>IF(Учет!$O3504=Справочники!$F$4,Учет!$H3504,0)</f>
        <v>0</v>
      </c>
      <c r="E3504" s="52">
        <f>IF(Учет!$O3504=Справочники!$F$5,Учет!$H3504,0)</f>
        <v>0</v>
      </c>
      <c r="F3504" s="52">
        <f>IF(Учет!$O3504=Справочники!$F$6,Учет!$H3504,0)</f>
        <v>0</v>
      </c>
      <c r="G3504" s="43">
        <f>G3503+Учет!B3504-B3504</f>
        <v>-488978.92000000004</v>
      </c>
      <c r="H3504" s="43">
        <f>H3503+Учет!C3504-C3504</f>
        <v>336855</v>
      </c>
      <c r="I3504" s="43">
        <f>I3503+Учет!D3504-D3504</f>
        <v>500</v>
      </c>
      <c r="J3504" s="43">
        <f>J3503+Учет!E3504-E3504</f>
        <v>1150</v>
      </c>
      <c r="K3504" s="43">
        <f>K3503+Учет!F3504-F3504</f>
        <v>500000</v>
      </c>
      <c r="L3504" s="45">
        <f>Учет!I3504</f>
        <v>349526.07999999996</v>
      </c>
    </row>
    <row r="3505" spans="1:12" x14ac:dyDescent="0.25">
      <c r="A3505" s="48" t="str">
        <f>IF(Учет!A3505&lt;&gt;"",Учет!A3505,"")</f>
        <v/>
      </c>
      <c r="B3505" s="52">
        <f>IF(Учет!$O3505=Справочники!$F$2,Учет!$H3505,0)</f>
        <v>0</v>
      </c>
      <c r="C3505" s="52">
        <f>IF(Учет!$O3505=Справочники!$F$3,Учет!$H3505,0)</f>
        <v>0</v>
      </c>
      <c r="D3505" s="52">
        <f>IF(Учет!$O3505=Справочники!$F$4,Учет!$H3505,0)</f>
        <v>0</v>
      </c>
      <c r="E3505" s="52">
        <f>IF(Учет!$O3505=Справочники!$F$5,Учет!$H3505,0)</f>
        <v>0</v>
      </c>
      <c r="F3505" s="52">
        <f>IF(Учет!$O3505=Справочники!$F$6,Учет!$H3505,0)</f>
        <v>0</v>
      </c>
      <c r="G3505" s="43">
        <f>G3504+Учет!B3505-B3505</f>
        <v>-488978.92000000004</v>
      </c>
      <c r="H3505" s="43">
        <f>H3504+Учет!C3505-C3505</f>
        <v>336855</v>
      </c>
      <c r="I3505" s="43">
        <f>I3504+Учет!D3505-D3505</f>
        <v>500</v>
      </c>
      <c r="J3505" s="43">
        <f>J3504+Учет!E3505-E3505</f>
        <v>1150</v>
      </c>
      <c r="K3505" s="43">
        <f>K3504+Учет!F3505-F3505</f>
        <v>500000</v>
      </c>
      <c r="L3505" s="45">
        <f>Учет!I3505</f>
        <v>0</v>
      </c>
    </row>
    <row r="3506" spans="1:12" x14ac:dyDescent="0.25">
      <c r="A3506" s="48" t="str">
        <f>IF(Учет!A3506&lt;&gt;"",Учет!A3506,"")</f>
        <v/>
      </c>
      <c r="B3506" s="52">
        <f>IF(Учет!$O3506=Справочники!$F$2,Учет!$H3506,0)</f>
        <v>0</v>
      </c>
      <c r="C3506" s="52">
        <f>IF(Учет!$O3506=Справочники!$F$3,Учет!$H3506,0)</f>
        <v>0</v>
      </c>
      <c r="D3506" s="52">
        <f>IF(Учет!$O3506=Справочники!$F$4,Учет!$H3506,0)</f>
        <v>0</v>
      </c>
      <c r="E3506" s="52">
        <f>IF(Учет!$O3506=Справочники!$F$5,Учет!$H3506,0)</f>
        <v>0</v>
      </c>
      <c r="F3506" s="52">
        <f>IF(Учет!$O3506=Справочники!$F$6,Учет!$H3506,0)</f>
        <v>0</v>
      </c>
      <c r="G3506" s="43">
        <f>G3505+Учет!B3506-B3506</f>
        <v>-488978.92000000004</v>
      </c>
      <c r="H3506" s="43">
        <f>H3505+Учет!C3506-C3506</f>
        <v>336855</v>
      </c>
      <c r="I3506" s="43">
        <f>I3505+Учет!D3506-D3506</f>
        <v>500</v>
      </c>
      <c r="J3506" s="43">
        <f>J3505+Учет!E3506-E3506</f>
        <v>1150</v>
      </c>
      <c r="K3506" s="43">
        <f>K3505+Учет!F3506-F3506</f>
        <v>500000</v>
      </c>
      <c r="L3506" s="45">
        <f>Учет!I3506</f>
        <v>0</v>
      </c>
    </row>
    <row r="3507" spans="1:12" x14ac:dyDescent="0.25">
      <c r="A3507" s="48" t="str">
        <f>IF(Учет!A3507&lt;&gt;"",Учет!A3507,"")</f>
        <v/>
      </c>
      <c r="B3507" s="52">
        <f>IF(Учет!$O3507=Справочники!$F$2,Учет!$H3507,0)</f>
        <v>0</v>
      </c>
      <c r="C3507" s="52">
        <f>IF(Учет!$O3507=Справочники!$F$3,Учет!$H3507,0)</f>
        <v>0</v>
      </c>
      <c r="D3507" s="52">
        <f>IF(Учет!$O3507=Справочники!$F$4,Учет!$H3507,0)</f>
        <v>0</v>
      </c>
      <c r="E3507" s="52">
        <f>IF(Учет!$O3507=Справочники!$F$5,Учет!$H3507,0)</f>
        <v>0</v>
      </c>
      <c r="F3507" s="52">
        <f>IF(Учет!$O3507=Справочники!$F$6,Учет!$H3507,0)</f>
        <v>0</v>
      </c>
      <c r="G3507" s="43">
        <f>G3506+Учет!B3507-B3507</f>
        <v>-488978.92000000004</v>
      </c>
      <c r="H3507" s="43">
        <f>H3506+Учет!C3507-C3507</f>
        <v>336855</v>
      </c>
      <c r="I3507" s="43">
        <f>I3506+Учет!D3507-D3507</f>
        <v>500</v>
      </c>
      <c r="J3507" s="43">
        <f>J3506+Учет!E3507-E3507</f>
        <v>1150</v>
      </c>
      <c r="K3507" s="43">
        <f>K3506+Учет!F3507-F3507</f>
        <v>500000</v>
      </c>
      <c r="L3507" s="45">
        <f>Учет!I3507</f>
        <v>0</v>
      </c>
    </row>
  </sheetData>
  <autoFilter ref="A1:K3374" xr:uid="{00000000-0009-0000-0000-000002000000}"/>
  <printOptions horizontalCentered="1"/>
  <pageMargins left="0.31496062992125984" right="0.31496062992125984" top="0.35433070866141736" bottom="0.74803149606299213" header="0.31496062992125984" footer="0.31496062992125984"/>
  <pageSetup paperSize="9" scale="53" fitToHeight="100" orientation="portrait" blackAndWhite="1" horizontalDpi="200" verticalDpi="200" r:id="rId1"/>
  <headerFooter>
    <oddFooter>&amp;L&amp;A&amp;C&amp;D&amp;Rстр.&amp;P из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B1:AB300"/>
  <sheetViews>
    <sheetView showGridLines="0" zoomScale="90" zoomScaleNormal="90" workbookViewId="0">
      <pane ySplit="4" topLeftCell="A5" activePane="bottomLeft" state="frozen"/>
      <selection pane="bottomLeft" activeCell="D27" sqref="D27"/>
    </sheetView>
  </sheetViews>
  <sheetFormatPr defaultRowHeight="15" x14ac:dyDescent="0.25"/>
  <cols>
    <col min="1" max="1" width="1.85546875" customWidth="1"/>
    <col min="3" max="3" width="20.140625" customWidth="1"/>
    <col min="4" max="4" width="15.28515625" customWidth="1"/>
    <col min="5" max="6" width="4" customWidth="1"/>
    <col min="8" max="8" width="12.140625" customWidth="1"/>
    <col min="9" max="9" width="12.28515625" customWidth="1"/>
    <col min="10" max="10" width="16" customWidth="1"/>
    <col min="11" max="11" width="13.5703125" customWidth="1"/>
    <col min="12" max="12" width="13.42578125" customWidth="1"/>
    <col min="13" max="13" width="3.7109375" customWidth="1"/>
    <col min="14" max="14" width="4" customWidth="1"/>
    <col min="15" max="15" width="9.140625" style="34"/>
    <col min="16" max="16" width="12.140625" style="34" customWidth="1"/>
    <col min="17" max="17" width="9.28515625" style="34" customWidth="1"/>
    <col min="18" max="18" width="13.5703125" style="34" customWidth="1"/>
    <col min="19" max="23" width="14.28515625" style="34" customWidth="1"/>
    <col min="24" max="24" width="2.85546875" customWidth="1"/>
    <col min="26" max="26" width="12.140625" customWidth="1"/>
    <col min="27" max="27" width="12.28515625" customWidth="1"/>
    <col min="28" max="28" width="16" customWidth="1"/>
    <col min="29" max="33" width="14" customWidth="1"/>
    <col min="34" max="34" width="3.7109375" customWidth="1"/>
  </cols>
  <sheetData>
    <row r="1" spans="2:28" s="54" customFormat="1" ht="15.75" x14ac:dyDescent="0.25">
      <c r="B1" s="54" t="s">
        <v>59</v>
      </c>
      <c r="G1" s="54" t="s">
        <v>103</v>
      </c>
      <c r="O1" s="54" t="s">
        <v>60</v>
      </c>
      <c r="Y1" s="54" t="s">
        <v>61</v>
      </c>
    </row>
    <row r="2" spans="2:28" ht="9" customHeight="1" x14ac:dyDescent="0.25"/>
    <row r="3" spans="2:28" ht="9" customHeight="1" x14ac:dyDescent="0.25"/>
    <row r="4" spans="2:28" x14ac:dyDescent="0.25">
      <c r="B4" s="7" t="s">
        <v>4</v>
      </c>
      <c r="G4" s="7" t="s">
        <v>4</v>
      </c>
      <c r="H4" s="7" t="s">
        <v>1</v>
      </c>
      <c r="I4" s="7" t="s">
        <v>2</v>
      </c>
      <c r="J4" s="7" t="s">
        <v>9</v>
      </c>
      <c r="O4" s="35" t="s">
        <v>4</v>
      </c>
      <c r="P4" s="35" t="s">
        <v>1</v>
      </c>
      <c r="Q4" s="35" t="s">
        <v>2</v>
      </c>
      <c r="R4" s="35" t="s">
        <v>9</v>
      </c>
      <c r="S4"/>
      <c r="T4"/>
      <c r="U4"/>
      <c r="V4"/>
      <c r="W4"/>
      <c r="Y4" s="7" t="s">
        <v>4</v>
      </c>
      <c r="Z4" s="7" t="s">
        <v>1</v>
      </c>
      <c r="AA4" s="7" t="s">
        <v>2</v>
      </c>
      <c r="AB4" s="7" t="s">
        <v>9</v>
      </c>
    </row>
    <row r="5" spans="2:28" x14ac:dyDescent="0.25">
      <c r="B5" s="90">
        <v>45140</v>
      </c>
      <c r="E5" s="9"/>
      <c r="G5" s="8" t="s">
        <v>5</v>
      </c>
      <c r="H5" s="8" t="s">
        <v>5</v>
      </c>
      <c r="I5" s="8" t="s">
        <v>5</v>
      </c>
      <c r="J5" s="8" t="s">
        <v>5</v>
      </c>
      <c r="O5" s="8" t="s">
        <v>5</v>
      </c>
      <c r="P5" s="8" t="s">
        <v>5</v>
      </c>
      <c r="Q5" s="8" t="s">
        <v>5</v>
      </c>
      <c r="R5" s="8" t="s">
        <v>5</v>
      </c>
      <c r="S5"/>
      <c r="T5"/>
      <c r="U5"/>
      <c r="V5"/>
      <c r="W5"/>
      <c r="Y5" s="8" t="s">
        <v>5</v>
      </c>
      <c r="Z5" s="8" t="s">
        <v>5</v>
      </c>
      <c r="AA5" s="8" t="s">
        <v>5</v>
      </c>
      <c r="AB5" s="8" t="s">
        <v>5</v>
      </c>
    </row>
    <row r="6" spans="2:28" x14ac:dyDescent="0.25">
      <c r="B6" s="90">
        <v>45141</v>
      </c>
      <c r="E6" s="9"/>
      <c r="G6" s="8" t="s">
        <v>25</v>
      </c>
      <c r="O6" s="8" t="s">
        <v>25</v>
      </c>
      <c r="P6"/>
      <c r="Q6"/>
      <c r="R6"/>
      <c r="S6"/>
      <c r="T6"/>
      <c r="U6"/>
      <c r="V6"/>
      <c r="W6"/>
      <c r="Y6" s="8" t="s">
        <v>25</v>
      </c>
    </row>
    <row r="7" spans="2:28" x14ac:dyDescent="0.25">
      <c r="B7" s="90">
        <v>45142</v>
      </c>
      <c r="E7" s="9"/>
      <c r="G7" s="91">
        <v>45140</v>
      </c>
      <c r="H7" s="8" t="s">
        <v>10</v>
      </c>
      <c r="I7" s="8" t="s">
        <v>5</v>
      </c>
      <c r="J7" s="8" t="s">
        <v>10</v>
      </c>
      <c r="O7" s="91">
        <v>45140</v>
      </c>
      <c r="P7" s="8" t="s">
        <v>10</v>
      </c>
      <c r="Q7" s="8" t="s">
        <v>5</v>
      </c>
      <c r="R7" s="8" t="s">
        <v>10</v>
      </c>
      <c r="S7"/>
      <c r="T7"/>
      <c r="U7"/>
      <c r="V7"/>
      <c r="W7"/>
      <c r="Y7" s="91">
        <v>45140</v>
      </c>
      <c r="Z7" s="8" t="s">
        <v>10</v>
      </c>
      <c r="AA7" s="8" t="s">
        <v>5</v>
      </c>
      <c r="AB7" s="8" t="s">
        <v>10</v>
      </c>
    </row>
    <row r="8" spans="2:28" x14ac:dyDescent="0.25">
      <c r="B8" s="90">
        <v>45143</v>
      </c>
      <c r="E8" s="9"/>
      <c r="G8" s="8" t="s">
        <v>233</v>
      </c>
      <c r="O8" s="8" t="s">
        <v>233</v>
      </c>
      <c r="P8"/>
      <c r="Q8"/>
      <c r="R8"/>
      <c r="S8"/>
      <c r="T8"/>
      <c r="U8"/>
      <c r="V8"/>
      <c r="W8"/>
      <c r="Y8" s="8" t="s">
        <v>233</v>
      </c>
    </row>
    <row r="9" spans="2:28" x14ac:dyDescent="0.25">
      <c r="B9" s="90">
        <v>45146</v>
      </c>
      <c r="E9" s="9"/>
      <c r="G9" s="91">
        <v>45141</v>
      </c>
      <c r="H9" s="8" t="s">
        <v>11</v>
      </c>
      <c r="I9" s="8" t="s">
        <v>21</v>
      </c>
      <c r="J9" s="8" t="s">
        <v>139</v>
      </c>
      <c r="O9" s="91">
        <v>45141</v>
      </c>
      <c r="P9" s="8" t="s">
        <v>11</v>
      </c>
      <c r="Q9" s="8" t="s">
        <v>21</v>
      </c>
      <c r="R9" s="8" t="s">
        <v>139</v>
      </c>
      <c r="S9"/>
      <c r="T9"/>
      <c r="U9"/>
      <c r="V9"/>
      <c r="W9"/>
      <c r="Y9" s="91">
        <v>45141</v>
      </c>
      <c r="Z9" s="8" t="s">
        <v>11</v>
      </c>
      <c r="AA9" s="8" t="s">
        <v>21</v>
      </c>
      <c r="AB9" s="8" t="s">
        <v>139</v>
      </c>
    </row>
    <row r="10" spans="2:28" x14ac:dyDescent="0.25">
      <c r="B10" s="90">
        <v>45147</v>
      </c>
      <c r="E10" s="9"/>
      <c r="J10" s="8" t="s">
        <v>151</v>
      </c>
      <c r="O10"/>
      <c r="P10"/>
      <c r="Q10"/>
      <c r="R10" s="8" t="s">
        <v>151</v>
      </c>
      <c r="S10"/>
      <c r="T10"/>
      <c r="U10"/>
      <c r="V10"/>
      <c r="W10"/>
      <c r="AB10" s="8" t="s">
        <v>151</v>
      </c>
    </row>
    <row r="11" spans="2:28" x14ac:dyDescent="0.25">
      <c r="B11" s="90">
        <v>45148</v>
      </c>
      <c r="E11" s="9"/>
      <c r="H11" s="8" t="s">
        <v>22</v>
      </c>
      <c r="I11" s="8" t="s">
        <v>5</v>
      </c>
      <c r="J11" s="8" t="s">
        <v>141</v>
      </c>
      <c r="O11"/>
      <c r="P11" s="8" t="s">
        <v>22</v>
      </c>
      <c r="Q11" s="8" t="s">
        <v>5</v>
      </c>
      <c r="R11" s="8" t="s">
        <v>141</v>
      </c>
      <c r="S11"/>
      <c r="T11"/>
      <c r="U11"/>
      <c r="V11"/>
      <c r="W11"/>
      <c r="Z11" s="8" t="s">
        <v>12</v>
      </c>
      <c r="AA11" s="8" t="s">
        <v>21</v>
      </c>
      <c r="AB11" s="8" t="s">
        <v>140</v>
      </c>
    </row>
    <row r="12" spans="2:28" x14ac:dyDescent="0.25">
      <c r="B12" s="90">
        <v>45149</v>
      </c>
      <c r="E12" s="9"/>
      <c r="H12" s="8" t="s">
        <v>18</v>
      </c>
      <c r="I12" s="8" t="s">
        <v>21</v>
      </c>
      <c r="J12" s="8" t="s">
        <v>18</v>
      </c>
      <c r="O12"/>
      <c r="P12" s="8" t="s">
        <v>18</v>
      </c>
      <c r="Q12" s="8" t="s">
        <v>70</v>
      </c>
      <c r="R12" s="8" t="s">
        <v>139</v>
      </c>
      <c r="S12"/>
      <c r="T12"/>
      <c r="U12"/>
      <c r="V12"/>
      <c r="W12"/>
      <c r="Z12" s="8" t="s">
        <v>18</v>
      </c>
      <c r="AA12" s="8" t="s">
        <v>21</v>
      </c>
      <c r="AB12" s="8" t="s">
        <v>18</v>
      </c>
    </row>
    <row r="13" spans="2:28" x14ac:dyDescent="0.25">
      <c r="B13" s="90">
        <v>45152</v>
      </c>
      <c r="E13" s="9"/>
      <c r="I13" s="8" t="s">
        <v>70</v>
      </c>
      <c r="J13" s="8" t="s">
        <v>139</v>
      </c>
      <c r="O13"/>
      <c r="P13"/>
      <c r="Q13" s="8" t="s">
        <v>21</v>
      </c>
      <c r="R13" s="8" t="s">
        <v>18</v>
      </c>
      <c r="S13"/>
      <c r="T13"/>
      <c r="U13"/>
      <c r="V13"/>
      <c r="W13"/>
      <c r="AA13" s="8" t="s">
        <v>70</v>
      </c>
      <c r="AB13" s="8" t="s">
        <v>139</v>
      </c>
    </row>
    <row r="14" spans="2:28" x14ac:dyDescent="0.25">
      <c r="B14" s="90">
        <v>45153</v>
      </c>
      <c r="E14" s="9"/>
      <c r="H14" s="8" t="s">
        <v>12</v>
      </c>
      <c r="I14" s="8" t="s">
        <v>21</v>
      </c>
      <c r="J14" s="8" t="s">
        <v>140</v>
      </c>
      <c r="O14"/>
      <c r="P14" s="8" t="s">
        <v>12</v>
      </c>
      <c r="Q14" s="8" t="s">
        <v>21</v>
      </c>
      <c r="R14" s="8" t="s">
        <v>140</v>
      </c>
      <c r="S14"/>
      <c r="T14"/>
      <c r="U14"/>
      <c r="V14"/>
      <c r="W14"/>
      <c r="Z14" s="8" t="s">
        <v>22</v>
      </c>
      <c r="AA14" s="8" t="s">
        <v>5</v>
      </c>
      <c r="AB14" s="8" t="s">
        <v>141</v>
      </c>
    </row>
    <row r="15" spans="2:28" x14ac:dyDescent="0.25">
      <c r="B15" s="90">
        <v>45154</v>
      </c>
      <c r="E15" s="9"/>
      <c r="H15" s="8" t="s">
        <v>16</v>
      </c>
      <c r="I15" s="8" t="s">
        <v>21</v>
      </c>
      <c r="J15" s="8" t="s">
        <v>18</v>
      </c>
      <c r="O15"/>
      <c r="P15" s="8" t="s">
        <v>16</v>
      </c>
      <c r="Q15" s="8" t="s">
        <v>21</v>
      </c>
      <c r="R15" s="8" t="s">
        <v>18</v>
      </c>
      <c r="S15"/>
      <c r="T15"/>
      <c r="U15"/>
      <c r="V15"/>
      <c r="W15"/>
      <c r="Z15" s="8" t="s">
        <v>16</v>
      </c>
      <c r="AA15" s="8" t="s">
        <v>21</v>
      </c>
      <c r="AB15" s="8" t="s">
        <v>18</v>
      </c>
    </row>
    <row r="16" spans="2:28" x14ac:dyDescent="0.25">
      <c r="B16" s="90">
        <v>45155</v>
      </c>
      <c r="E16" s="9"/>
      <c r="G16" s="8" t="s">
        <v>234</v>
      </c>
      <c r="O16" s="8" t="s">
        <v>234</v>
      </c>
      <c r="P16"/>
      <c r="Q16"/>
      <c r="R16"/>
      <c r="S16"/>
      <c r="T16"/>
      <c r="U16"/>
      <c r="V16"/>
      <c r="W16"/>
      <c r="Y16" s="8" t="s">
        <v>234</v>
      </c>
    </row>
    <row r="17" spans="2:28" x14ac:dyDescent="0.25">
      <c r="B17" s="90">
        <v>45156</v>
      </c>
      <c r="E17" s="9"/>
      <c r="G17" s="91">
        <v>45142</v>
      </c>
      <c r="H17" s="8" t="s">
        <v>11</v>
      </c>
      <c r="I17" s="8" t="s">
        <v>5</v>
      </c>
      <c r="J17" s="8" t="s">
        <v>141</v>
      </c>
      <c r="O17" s="91">
        <v>45142</v>
      </c>
      <c r="P17" s="8" t="s">
        <v>11</v>
      </c>
      <c r="Q17" s="8" t="s">
        <v>21</v>
      </c>
      <c r="R17" s="8" t="s">
        <v>140</v>
      </c>
      <c r="S17"/>
      <c r="T17"/>
      <c r="U17"/>
      <c r="V17"/>
      <c r="W17"/>
      <c r="Y17" s="91">
        <v>45142</v>
      </c>
      <c r="Z17" s="8" t="s">
        <v>5</v>
      </c>
      <c r="AA17" s="8" t="s">
        <v>5</v>
      </c>
      <c r="AB17" s="8" t="s">
        <v>140</v>
      </c>
    </row>
    <row r="18" spans="2:28" x14ac:dyDescent="0.25">
      <c r="B18" s="90">
        <v>45157</v>
      </c>
      <c r="E18" s="9"/>
      <c r="I18" s="8" t="s">
        <v>21</v>
      </c>
      <c r="J18" s="8" t="s">
        <v>140</v>
      </c>
      <c r="O18"/>
      <c r="P18"/>
      <c r="Q18"/>
      <c r="R18" s="8" t="s">
        <v>18</v>
      </c>
      <c r="S18"/>
      <c r="T18"/>
      <c r="U18"/>
      <c r="V18"/>
      <c r="W18"/>
      <c r="AA18" s="8" t="s">
        <v>70</v>
      </c>
      <c r="AB18" s="8" t="s">
        <v>156</v>
      </c>
    </row>
    <row r="19" spans="2:28" x14ac:dyDescent="0.25">
      <c r="B19" s="90">
        <v>45158</v>
      </c>
      <c r="E19" s="9"/>
      <c r="J19" s="8" t="s">
        <v>18</v>
      </c>
      <c r="O19"/>
      <c r="P19"/>
      <c r="Q19" s="8" t="s">
        <v>5</v>
      </c>
      <c r="R19" s="8" t="s">
        <v>141</v>
      </c>
      <c r="S19"/>
      <c r="T19"/>
      <c r="U19"/>
      <c r="V19"/>
      <c r="W19"/>
      <c r="Z19" s="8" t="s">
        <v>11</v>
      </c>
      <c r="AA19" s="8" t="s">
        <v>5</v>
      </c>
      <c r="AB19" s="8" t="s">
        <v>141</v>
      </c>
    </row>
    <row r="20" spans="2:28" x14ac:dyDescent="0.25">
      <c r="B20" s="90">
        <v>45159</v>
      </c>
      <c r="E20" s="9"/>
      <c r="H20" s="8" t="s">
        <v>18</v>
      </c>
      <c r="I20" s="8" t="s">
        <v>5</v>
      </c>
      <c r="J20" s="8" t="s">
        <v>139</v>
      </c>
      <c r="O20"/>
      <c r="P20" s="8" t="s">
        <v>18</v>
      </c>
      <c r="Q20" s="8" t="s">
        <v>70</v>
      </c>
      <c r="R20" s="8" t="s">
        <v>18</v>
      </c>
      <c r="S20"/>
      <c r="T20"/>
      <c r="U20"/>
      <c r="V20"/>
      <c r="W20"/>
      <c r="AA20" s="8" t="s">
        <v>21</v>
      </c>
      <c r="AB20" s="8" t="s">
        <v>140</v>
      </c>
    </row>
    <row r="21" spans="2:28" x14ac:dyDescent="0.25">
      <c r="B21" s="90">
        <v>45160</v>
      </c>
      <c r="E21" s="9"/>
      <c r="J21" s="8" t="s">
        <v>140</v>
      </c>
      <c r="O21"/>
      <c r="P21"/>
      <c r="Q21" s="8" t="s">
        <v>5</v>
      </c>
      <c r="R21" s="8" t="s">
        <v>139</v>
      </c>
      <c r="S21"/>
      <c r="T21"/>
      <c r="U21"/>
      <c r="V21"/>
      <c r="W21"/>
      <c r="AB21" s="8" t="s">
        <v>18</v>
      </c>
    </row>
    <row r="22" spans="2:28" x14ac:dyDescent="0.25">
      <c r="B22" s="90">
        <v>45161</v>
      </c>
      <c r="E22" s="9"/>
      <c r="I22" s="8" t="s">
        <v>70</v>
      </c>
      <c r="J22" s="8" t="s">
        <v>18</v>
      </c>
      <c r="O22"/>
      <c r="P22"/>
      <c r="Q22"/>
      <c r="R22" s="8" t="s">
        <v>140</v>
      </c>
      <c r="S22"/>
      <c r="T22"/>
      <c r="U22"/>
      <c r="V22"/>
      <c r="W22"/>
      <c r="Z22" s="8" t="s">
        <v>18</v>
      </c>
      <c r="AA22" s="8" t="s">
        <v>5</v>
      </c>
      <c r="AB22" s="8" t="s">
        <v>139</v>
      </c>
    </row>
    <row r="23" spans="2:28" x14ac:dyDescent="0.25">
      <c r="B23" t="s">
        <v>5</v>
      </c>
      <c r="E23" s="9"/>
      <c r="H23" s="8" t="s">
        <v>32</v>
      </c>
      <c r="I23" s="8" t="s">
        <v>5</v>
      </c>
      <c r="J23" s="8" t="s">
        <v>141</v>
      </c>
      <c r="O23"/>
      <c r="P23" s="8" t="s">
        <v>32</v>
      </c>
      <c r="Q23" s="8" t="s">
        <v>5</v>
      </c>
      <c r="R23" s="8" t="s">
        <v>141</v>
      </c>
      <c r="S23"/>
      <c r="T23"/>
      <c r="U23"/>
      <c r="V23"/>
      <c r="W23"/>
      <c r="AB23" s="8" t="s">
        <v>140</v>
      </c>
    </row>
    <row r="24" spans="2:28" x14ac:dyDescent="0.25">
      <c r="B24" t="s">
        <v>6</v>
      </c>
      <c r="E24" s="9"/>
      <c r="H24" s="8" t="s">
        <v>5</v>
      </c>
      <c r="I24" s="8" t="s">
        <v>5</v>
      </c>
      <c r="J24" s="8" t="s">
        <v>140</v>
      </c>
      <c r="O24"/>
      <c r="P24" s="8" t="s">
        <v>5</v>
      </c>
      <c r="Q24" s="8" t="s">
        <v>70</v>
      </c>
      <c r="R24" s="8" t="s">
        <v>156</v>
      </c>
      <c r="S24"/>
      <c r="T24"/>
      <c r="U24"/>
      <c r="V24"/>
      <c r="W24"/>
      <c r="AA24" s="8" t="s">
        <v>70</v>
      </c>
      <c r="AB24" s="8" t="s">
        <v>18</v>
      </c>
    </row>
    <row r="25" spans="2:28" x14ac:dyDescent="0.25">
      <c r="E25" s="9"/>
      <c r="I25" s="8" t="s">
        <v>70</v>
      </c>
      <c r="J25" s="8" t="s">
        <v>156</v>
      </c>
      <c r="O25"/>
      <c r="P25"/>
      <c r="Q25" s="8" t="s">
        <v>5</v>
      </c>
      <c r="R25" s="8" t="s">
        <v>140</v>
      </c>
      <c r="S25"/>
      <c r="T25"/>
      <c r="U25"/>
      <c r="V25"/>
      <c r="W25"/>
      <c r="Z25" s="8" t="s">
        <v>32</v>
      </c>
      <c r="AA25" s="8" t="s">
        <v>5</v>
      </c>
      <c r="AB25" s="8" t="s">
        <v>141</v>
      </c>
    </row>
    <row r="26" spans="2:28" x14ac:dyDescent="0.25">
      <c r="E26" s="9"/>
      <c r="G26" s="8" t="s">
        <v>235</v>
      </c>
      <c r="O26" s="8" t="s">
        <v>235</v>
      </c>
      <c r="P26"/>
      <c r="Q26"/>
      <c r="R26"/>
      <c r="S26"/>
      <c r="T26"/>
      <c r="U26"/>
      <c r="V26"/>
      <c r="W26"/>
      <c r="Y26" s="8" t="s">
        <v>235</v>
      </c>
    </row>
    <row r="27" spans="2:28" x14ac:dyDescent="0.25">
      <c r="E27" s="9"/>
      <c r="G27" s="91">
        <v>45143</v>
      </c>
      <c r="H27" s="8" t="s">
        <v>12</v>
      </c>
      <c r="I27" s="8" t="s">
        <v>5</v>
      </c>
      <c r="J27" s="8" t="s">
        <v>18</v>
      </c>
      <c r="O27" s="91">
        <v>45143</v>
      </c>
      <c r="P27" s="8" t="s">
        <v>12</v>
      </c>
      <c r="Q27" s="8" t="s">
        <v>5</v>
      </c>
      <c r="R27" s="8" t="s">
        <v>18</v>
      </c>
      <c r="S27"/>
      <c r="T27"/>
      <c r="U27"/>
      <c r="V27"/>
      <c r="W27"/>
      <c r="Y27" s="91">
        <v>45143</v>
      </c>
      <c r="Z27" s="8" t="s">
        <v>5</v>
      </c>
      <c r="AA27" s="8" t="s">
        <v>19</v>
      </c>
      <c r="AB27" s="8" t="s">
        <v>156</v>
      </c>
    </row>
    <row r="28" spans="2:28" x14ac:dyDescent="0.25">
      <c r="E28" s="9"/>
      <c r="H28" s="8" t="s">
        <v>13</v>
      </c>
      <c r="I28" s="8" t="s">
        <v>36</v>
      </c>
      <c r="J28" s="8" t="s">
        <v>141</v>
      </c>
      <c r="O28"/>
      <c r="P28" s="8" t="s">
        <v>13</v>
      </c>
      <c r="Q28" s="8" t="s">
        <v>36</v>
      </c>
      <c r="R28" s="8" t="s">
        <v>141</v>
      </c>
      <c r="S28"/>
      <c r="T28"/>
      <c r="U28"/>
      <c r="V28"/>
      <c r="W28"/>
      <c r="AA28" s="8" t="s">
        <v>5</v>
      </c>
      <c r="AB28" s="8" t="s">
        <v>18</v>
      </c>
    </row>
    <row r="29" spans="2:28" x14ac:dyDescent="0.25">
      <c r="E29" s="9"/>
      <c r="H29" s="8" t="s">
        <v>32</v>
      </c>
      <c r="I29" s="8" t="s">
        <v>5</v>
      </c>
      <c r="J29" s="8" t="s">
        <v>141</v>
      </c>
      <c r="O29"/>
      <c r="P29" s="8" t="s">
        <v>32</v>
      </c>
      <c r="Q29" s="8" t="s">
        <v>5</v>
      </c>
      <c r="R29" s="8" t="s">
        <v>141</v>
      </c>
      <c r="S29"/>
      <c r="T29"/>
      <c r="U29"/>
      <c r="V29"/>
      <c r="W29"/>
      <c r="AA29" s="8" t="s">
        <v>21</v>
      </c>
      <c r="AB29" s="8" t="s">
        <v>140</v>
      </c>
    </row>
    <row r="30" spans="2:28" x14ac:dyDescent="0.25">
      <c r="E30" s="9"/>
      <c r="H30" s="8" t="s">
        <v>41</v>
      </c>
      <c r="I30" s="8" t="s">
        <v>5</v>
      </c>
      <c r="J30" s="8" t="s">
        <v>18</v>
      </c>
      <c r="O30"/>
      <c r="P30" s="8" t="s">
        <v>41</v>
      </c>
      <c r="Q30" s="8" t="s">
        <v>5</v>
      </c>
      <c r="R30" s="8" t="s">
        <v>18</v>
      </c>
      <c r="S30"/>
      <c r="T30"/>
      <c r="U30"/>
      <c r="V30"/>
      <c r="W30"/>
      <c r="AB30" s="8" t="s">
        <v>151</v>
      </c>
    </row>
    <row r="31" spans="2:28" x14ac:dyDescent="0.25">
      <c r="E31" s="9"/>
      <c r="H31" s="8" t="s">
        <v>5</v>
      </c>
      <c r="I31" s="8" t="s">
        <v>19</v>
      </c>
      <c r="J31" s="8" t="s">
        <v>156</v>
      </c>
      <c r="O31"/>
      <c r="P31" s="8" t="s">
        <v>5</v>
      </c>
      <c r="Q31" s="8" t="s">
        <v>21</v>
      </c>
      <c r="R31" s="8" t="s">
        <v>140</v>
      </c>
      <c r="S31"/>
      <c r="T31"/>
      <c r="U31"/>
      <c r="V31"/>
      <c r="W31"/>
      <c r="AA31" s="8" t="s">
        <v>20</v>
      </c>
      <c r="AB31" s="8" t="s">
        <v>140</v>
      </c>
    </row>
    <row r="32" spans="2:28" x14ac:dyDescent="0.25">
      <c r="E32" s="9"/>
      <c r="I32" s="8" t="s">
        <v>5</v>
      </c>
      <c r="J32" s="8" t="s">
        <v>18</v>
      </c>
      <c r="O32"/>
      <c r="P32"/>
      <c r="Q32"/>
      <c r="R32" s="8" t="s">
        <v>151</v>
      </c>
      <c r="S32"/>
      <c r="T32"/>
      <c r="U32"/>
      <c r="V32"/>
      <c r="W32"/>
      <c r="AB32" s="8" t="s">
        <v>18</v>
      </c>
    </row>
    <row r="33" spans="5:28" x14ac:dyDescent="0.25">
      <c r="E33" s="9"/>
      <c r="I33" s="8" t="s">
        <v>21</v>
      </c>
      <c r="J33" s="8" t="s">
        <v>140</v>
      </c>
      <c r="O33"/>
      <c r="P33"/>
      <c r="Q33" s="8" t="s">
        <v>19</v>
      </c>
      <c r="R33" s="8" t="s">
        <v>156</v>
      </c>
      <c r="S33"/>
      <c r="T33"/>
      <c r="U33"/>
      <c r="V33"/>
      <c r="W33"/>
      <c r="Z33" s="8" t="s">
        <v>12</v>
      </c>
      <c r="AA33" s="8" t="s">
        <v>5</v>
      </c>
      <c r="AB33" s="8" t="s">
        <v>18</v>
      </c>
    </row>
    <row r="34" spans="5:28" x14ac:dyDescent="0.25">
      <c r="E34" s="9"/>
      <c r="J34" s="8" t="s">
        <v>151</v>
      </c>
      <c r="O34"/>
      <c r="P34"/>
      <c r="Q34" s="8" t="s">
        <v>20</v>
      </c>
      <c r="R34" s="8" t="s">
        <v>140</v>
      </c>
      <c r="S34"/>
      <c r="T34"/>
      <c r="U34"/>
      <c r="V34"/>
      <c r="W34"/>
      <c r="Z34" s="8" t="s">
        <v>32</v>
      </c>
      <c r="AA34" s="8" t="s">
        <v>5</v>
      </c>
      <c r="AB34" s="8" t="s">
        <v>141</v>
      </c>
    </row>
    <row r="35" spans="5:28" x14ac:dyDescent="0.25">
      <c r="E35" s="9"/>
      <c r="I35" s="8" t="s">
        <v>20</v>
      </c>
      <c r="J35" s="8" t="s">
        <v>140</v>
      </c>
      <c r="O35"/>
      <c r="P35"/>
      <c r="Q35"/>
      <c r="R35" s="8" t="s">
        <v>18</v>
      </c>
      <c r="S35"/>
      <c r="T35"/>
      <c r="U35"/>
      <c r="V35"/>
      <c r="W35"/>
      <c r="Z35" s="8" t="s">
        <v>41</v>
      </c>
      <c r="AA35" s="8" t="s">
        <v>5</v>
      </c>
      <c r="AB35" s="8" t="s">
        <v>18</v>
      </c>
    </row>
    <row r="36" spans="5:28" x14ac:dyDescent="0.25">
      <c r="E36" s="9"/>
      <c r="J36" s="8" t="s">
        <v>18</v>
      </c>
      <c r="O36"/>
      <c r="P36"/>
      <c r="Q36" s="8" t="s">
        <v>5</v>
      </c>
      <c r="R36" s="8" t="s">
        <v>18</v>
      </c>
      <c r="S36"/>
      <c r="T36"/>
      <c r="U36"/>
      <c r="V36"/>
      <c r="W36"/>
      <c r="Z36" s="8" t="s">
        <v>13</v>
      </c>
      <c r="AA36" s="8" t="s">
        <v>36</v>
      </c>
      <c r="AB36" s="8" t="s">
        <v>141</v>
      </c>
    </row>
    <row r="37" spans="5:28" x14ac:dyDescent="0.25">
      <c r="E37" s="9"/>
      <c r="G37" s="8" t="s">
        <v>236</v>
      </c>
      <c r="O37" s="8" t="s">
        <v>236</v>
      </c>
      <c r="P37"/>
      <c r="Q37"/>
      <c r="R37"/>
      <c r="S37"/>
      <c r="T37"/>
      <c r="U37"/>
      <c r="V37"/>
      <c r="W37"/>
      <c r="Y37" s="8" t="s">
        <v>236</v>
      </c>
    </row>
    <row r="38" spans="5:28" x14ac:dyDescent="0.25">
      <c r="E38" s="9"/>
      <c r="G38" s="91">
        <v>45146</v>
      </c>
      <c r="H38" s="8" t="s">
        <v>11</v>
      </c>
      <c r="I38" s="8" t="s">
        <v>19</v>
      </c>
      <c r="J38" s="8" t="s">
        <v>139</v>
      </c>
      <c r="O38" s="91">
        <v>45146</v>
      </c>
      <c r="P38" s="8" t="s">
        <v>11</v>
      </c>
      <c r="Q38" s="8" t="s">
        <v>21</v>
      </c>
      <c r="R38" s="8" t="s">
        <v>18</v>
      </c>
      <c r="S38"/>
      <c r="T38"/>
      <c r="U38"/>
      <c r="V38"/>
      <c r="W38"/>
      <c r="Y38" s="91">
        <v>45146</v>
      </c>
      <c r="Z38" s="8" t="s">
        <v>5</v>
      </c>
      <c r="AA38" s="8" t="s">
        <v>19</v>
      </c>
      <c r="AB38" s="8" t="s">
        <v>156</v>
      </c>
    </row>
    <row r="39" spans="5:28" x14ac:dyDescent="0.25">
      <c r="E39" s="9"/>
      <c r="I39" s="8" t="s">
        <v>21</v>
      </c>
      <c r="J39" s="8" t="s">
        <v>18</v>
      </c>
      <c r="O39"/>
      <c r="P39"/>
      <c r="Q39" s="8" t="s">
        <v>19</v>
      </c>
      <c r="R39" s="8" t="s">
        <v>139</v>
      </c>
      <c r="S39"/>
      <c r="T39"/>
      <c r="U39"/>
      <c r="V39"/>
      <c r="W39"/>
      <c r="Z39" s="8" t="s">
        <v>11</v>
      </c>
      <c r="AA39" s="8" t="s">
        <v>19</v>
      </c>
      <c r="AB39" s="8" t="s">
        <v>139</v>
      </c>
    </row>
    <row r="40" spans="5:28" x14ac:dyDescent="0.25">
      <c r="E40" s="9"/>
      <c r="H40" s="8" t="s">
        <v>18</v>
      </c>
      <c r="I40" s="8" t="s">
        <v>70</v>
      </c>
      <c r="J40" s="8" t="s">
        <v>18</v>
      </c>
      <c r="O40"/>
      <c r="P40" s="8" t="s">
        <v>18</v>
      </c>
      <c r="Q40" s="8" t="s">
        <v>70</v>
      </c>
      <c r="R40" s="8" t="s">
        <v>18</v>
      </c>
      <c r="S40"/>
      <c r="T40"/>
      <c r="U40"/>
      <c r="V40"/>
      <c r="W40"/>
      <c r="AA40" s="8" t="s">
        <v>21</v>
      </c>
      <c r="AB40" s="8" t="s">
        <v>18</v>
      </c>
    </row>
    <row r="41" spans="5:28" x14ac:dyDescent="0.25">
      <c r="E41" s="9"/>
      <c r="H41" s="8" t="s">
        <v>13</v>
      </c>
      <c r="I41" s="8" t="s">
        <v>21</v>
      </c>
      <c r="J41" s="8" t="s">
        <v>141</v>
      </c>
      <c r="O41"/>
      <c r="P41" s="8" t="s">
        <v>13</v>
      </c>
      <c r="Q41" s="8" t="s">
        <v>21</v>
      </c>
      <c r="R41" s="8" t="s">
        <v>141</v>
      </c>
      <c r="S41"/>
      <c r="T41"/>
      <c r="U41"/>
      <c r="V41"/>
      <c r="W41"/>
      <c r="Z41" s="8" t="s">
        <v>18</v>
      </c>
      <c r="AA41" s="8" t="s">
        <v>70</v>
      </c>
      <c r="AB41" s="8" t="s">
        <v>18</v>
      </c>
    </row>
    <row r="42" spans="5:28" x14ac:dyDescent="0.25">
      <c r="E42" s="9"/>
      <c r="H42" s="8" t="s">
        <v>5</v>
      </c>
      <c r="I42" s="8" t="s">
        <v>19</v>
      </c>
      <c r="J42" s="8" t="s">
        <v>156</v>
      </c>
      <c r="O42"/>
      <c r="P42" s="8" t="s">
        <v>5</v>
      </c>
      <c r="Q42" s="8" t="s">
        <v>19</v>
      </c>
      <c r="R42" s="8" t="s">
        <v>156</v>
      </c>
      <c r="S42"/>
      <c r="T42"/>
      <c r="U42"/>
      <c r="V42"/>
      <c r="W42"/>
      <c r="Z42" s="8" t="s">
        <v>13</v>
      </c>
      <c r="AA42" s="8" t="s">
        <v>21</v>
      </c>
      <c r="AB42" s="8" t="s">
        <v>141</v>
      </c>
    </row>
    <row r="43" spans="5:28" x14ac:dyDescent="0.25">
      <c r="E43" s="9"/>
      <c r="G43" s="8" t="s">
        <v>237</v>
      </c>
      <c r="O43" s="8" t="s">
        <v>237</v>
      </c>
      <c r="P43"/>
      <c r="Q43"/>
      <c r="R43"/>
      <c r="S43"/>
      <c r="T43"/>
      <c r="U43"/>
      <c r="V43"/>
      <c r="W43"/>
      <c r="Y43" s="8" t="s">
        <v>237</v>
      </c>
    </row>
    <row r="44" spans="5:28" x14ac:dyDescent="0.25">
      <c r="E44" s="9"/>
      <c r="G44" s="91">
        <v>45147</v>
      </c>
      <c r="H44" s="8" t="s">
        <v>11</v>
      </c>
      <c r="I44" s="8" t="s">
        <v>5</v>
      </c>
      <c r="J44" s="8" t="s">
        <v>141</v>
      </c>
      <c r="O44" s="91">
        <v>45147</v>
      </c>
      <c r="P44" s="8" t="s">
        <v>11</v>
      </c>
      <c r="Q44" s="8" t="s">
        <v>5</v>
      </c>
      <c r="R44" s="8" t="s">
        <v>141</v>
      </c>
      <c r="S44"/>
      <c r="T44"/>
      <c r="U44"/>
      <c r="V44"/>
      <c r="W44"/>
      <c r="Y44" s="91">
        <v>45147</v>
      </c>
      <c r="Z44" s="8" t="s">
        <v>11</v>
      </c>
      <c r="AA44" s="8" t="s">
        <v>5</v>
      </c>
      <c r="AB44" s="8" t="s">
        <v>141</v>
      </c>
    </row>
    <row r="45" spans="5:28" x14ac:dyDescent="0.25">
      <c r="E45" s="9"/>
      <c r="H45" s="8" t="s">
        <v>14</v>
      </c>
      <c r="I45" s="8" t="s">
        <v>5</v>
      </c>
      <c r="J45" s="8" t="s">
        <v>141</v>
      </c>
      <c r="O45"/>
      <c r="P45" s="8" t="s">
        <v>14</v>
      </c>
      <c r="Q45" s="8" t="s">
        <v>5</v>
      </c>
      <c r="R45" s="8" t="s">
        <v>141</v>
      </c>
      <c r="S45"/>
      <c r="T45"/>
      <c r="U45"/>
      <c r="V45"/>
      <c r="W45"/>
      <c r="Z45" s="8" t="s">
        <v>12</v>
      </c>
      <c r="AA45" s="8" t="s">
        <v>70</v>
      </c>
      <c r="AB45" s="8" t="s">
        <v>139</v>
      </c>
    </row>
    <row r="46" spans="5:28" x14ac:dyDescent="0.25">
      <c r="E46" s="9"/>
      <c r="H46" s="8" t="s">
        <v>12</v>
      </c>
      <c r="I46" s="8" t="s">
        <v>70</v>
      </c>
      <c r="J46" s="8" t="s">
        <v>139</v>
      </c>
      <c r="O46"/>
      <c r="P46" s="8" t="s">
        <v>12</v>
      </c>
      <c r="Q46" s="8" t="s">
        <v>70</v>
      </c>
      <c r="R46" s="8" t="s">
        <v>139</v>
      </c>
      <c r="S46"/>
      <c r="T46"/>
      <c r="U46"/>
      <c r="V46"/>
      <c r="W46"/>
      <c r="Z46" s="8" t="s">
        <v>16</v>
      </c>
      <c r="AA46" s="8" t="s">
        <v>21</v>
      </c>
      <c r="AB46" s="8" t="s">
        <v>18</v>
      </c>
    </row>
    <row r="47" spans="5:28" x14ac:dyDescent="0.25">
      <c r="E47" s="9"/>
      <c r="H47" s="8" t="s">
        <v>16</v>
      </c>
      <c r="I47" s="8" t="s">
        <v>21</v>
      </c>
      <c r="J47" s="8" t="s">
        <v>18</v>
      </c>
      <c r="O47"/>
      <c r="P47" s="8" t="s">
        <v>16</v>
      </c>
      <c r="Q47" s="8" t="s">
        <v>21</v>
      </c>
      <c r="R47" s="8" t="s">
        <v>18</v>
      </c>
      <c r="S47"/>
      <c r="T47"/>
      <c r="U47"/>
      <c r="V47"/>
      <c r="W47"/>
      <c r="Z47" s="8" t="s">
        <v>14</v>
      </c>
      <c r="AA47" s="8" t="s">
        <v>5</v>
      </c>
      <c r="AB47" s="8" t="s">
        <v>141</v>
      </c>
    </row>
    <row r="48" spans="5:28" x14ac:dyDescent="0.25">
      <c r="E48" s="9"/>
      <c r="H48" s="8" t="s">
        <v>17</v>
      </c>
      <c r="I48" s="8" t="s">
        <v>21</v>
      </c>
      <c r="J48" s="8" t="s">
        <v>18</v>
      </c>
      <c r="O48"/>
      <c r="P48" s="8" t="s">
        <v>17</v>
      </c>
      <c r="Q48" s="8" t="s">
        <v>21</v>
      </c>
      <c r="R48" s="8" t="s">
        <v>18</v>
      </c>
      <c r="S48"/>
      <c r="T48"/>
      <c r="U48"/>
      <c r="V48"/>
      <c r="W48"/>
      <c r="Z48" s="8" t="s">
        <v>17</v>
      </c>
      <c r="AA48" s="8" t="s">
        <v>21</v>
      </c>
      <c r="AB48" s="8" t="s">
        <v>18</v>
      </c>
    </row>
    <row r="49" spans="5:28" x14ac:dyDescent="0.25">
      <c r="E49" s="9"/>
      <c r="G49" s="8" t="s">
        <v>238</v>
      </c>
      <c r="O49" s="8" t="s">
        <v>238</v>
      </c>
      <c r="P49"/>
      <c r="Q49"/>
      <c r="R49"/>
      <c r="S49"/>
      <c r="T49"/>
      <c r="U49"/>
      <c r="V49"/>
      <c r="W49"/>
      <c r="Y49" s="8" t="s">
        <v>238</v>
      </c>
    </row>
    <row r="50" spans="5:28" x14ac:dyDescent="0.25">
      <c r="E50" s="9"/>
      <c r="G50" s="91">
        <v>45148</v>
      </c>
      <c r="H50" s="8" t="s">
        <v>18</v>
      </c>
      <c r="I50" s="8" t="s">
        <v>5</v>
      </c>
      <c r="J50" s="8" t="s">
        <v>18</v>
      </c>
      <c r="O50" s="91">
        <v>45148</v>
      </c>
      <c r="P50" s="8" t="s">
        <v>18</v>
      </c>
      <c r="Q50" s="8" t="s">
        <v>5</v>
      </c>
      <c r="R50" s="8" t="s">
        <v>18</v>
      </c>
      <c r="S50"/>
      <c r="T50"/>
      <c r="U50"/>
      <c r="V50"/>
      <c r="W50"/>
      <c r="Y50" s="91">
        <v>45148</v>
      </c>
      <c r="Z50" s="8" t="s">
        <v>5</v>
      </c>
      <c r="AA50" s="8" t="s">
        <v>5</v>
      </c>
      <c r="AB50" s="8" t="s">
        <v>18</v>
      </c>
    </row>
    <row r="51" spans="5:28" x14ac:dyDescent="0.25">
      <c r="E51" s="9"/>
      <c r="H51" s="8" t="s">
        <v>66</v>
      </c>
      <c r="I51" s="8" t="s">
        <v>5</v>
      </c>
      <c r="J51" s="8" t="s">
        <v>18</v>
      </c>
      <c r="O51"/>
      <c r="P51" s="8" t="s">
        <v>66</v>
      </c>
      <c r="Q51" s="8" t="s">
        <v>5</v>
      </c>
      <c r="R51" s="8" t="s">
        <v>18</v>
      </c>
      <c r="S51"/>
      <c r="T51"/>
      <c r="U51"/>
      <c r="V51"/>
      <c r="W51"/>
      <c r="Z51" s="8" t="s">
        <v>18</v>
      </c>
      <c r="AA51" s="8" t="s">
        <v>5</v>
      </c>
      <c r="AB51" s="8" t="s">
        <v>18</v>
      </c>
    </row>
    <row r="52" spans="5:28" x14ac:dyDescent="0.25">
      <c r="E52" s="9"/>
      <c r="H52" s="8" t="s">
        <v>41</v>
      </c>
      <c r="I52" s="8" t="s">
        <v>5</v>
      </c>
      <c r="J52" s="8" t="s">
        <v>139</v>
      </c>
      <c r="O52"/>
      <c r="P52" s="8" t="s">
        <v>41</v>
      </c>
      <c r="Q52" s="8" t="s">
        <v>5</v>
      </c>
      <c r="R52" s="8" t="s">
        <v>139</v>
      </c>
      <c r="S52"/>
      <c r="T52"/>
      <c r="U52"/>
      <c r="V52"/>
      <c r="W52"/>
      <c r="Z52" s="8" t="s">
        <v>41</v>
      </c>
      <c r="AA52" s="8" t="s">
        <v>5</v>
      </c>
      <c r="AB52" s="8" t="s">
        <v>139</v>
      </c>
    </row>
    <row r="53" spans="5:28" x14ac:dyDescent="0.25">
      <c r="E53" s="9"/>
      <c r="H53" s="8" t="s">
        <v>5</v>
      </c>
      <c r="I53" s="8" t="s">
        <v>5</v>
      </c>
      <c r="J53" s="8" t="s">
        <v>18</v>
      </c>
      <c r="O53"/>
      <c r="P53" s="8" t="s">
        <v>5</v>
      </c>
      <c r="Q53" s="8" t="s">
        <v>5</v>
      </c>
      <c r="R53" s="8" t="s">
        <v>18</v>
      </c>
      <c r="S53"/>
      <c r="T53"/>
      <c r="U53"/>
      <c r="V53"/>
      <c r="W53"/>
      <c r="Z53" s="8" t="s">
        <v>66</v>
      </c>
      <c r="AA53" s="8" t="s">
        <v>5</v>
      </c>
      <c r="AB53" s="8" t="s">
        <v>18</v>
      </c>
    </row>
    <row r="54" spans="5:28" x14ac:dyDescent="0.25">
      <c r="E54" s="9"/>
      <c r="G54" s="8" t="s">
        <v>239</v>
      </c>
      <c r="O54" s="8" t="s">
        <v>239</v>
      </c>
      <c r="P54"/>
      <c r="Q54"/>
      <c r="R54"/>
      <c r="S54"/>
      <c r="T54"/>
      <c r="U54"/>
      <c r="V54"/>
      <c r="W54"/>
      <c r="Y54" s="8" t="s">
        <v>239</v>
      </c>
    </row>
    <row r="55" spans="5:28" x14ac:dyDescent="0.25">
      <c r="E55" s="9"/>
      <c r="G55" s="91">
        <v>45149</v>
      </c>
      <c r="H55" s="8" t="s">
        <v>11</v>
      </c>
      <c r="I55" s="8" t="s">
        <v>21</v>
      </c>
      <c r="J55" s="8" t="s">
        <v>140</v>
      </c>
      <c r="O55" s="91">
        <v>45149</v>
      </c>
      <c r="P55" s="8" t="s">
        <v>11</v>
      </c>
      <c r="Q55" s="8" t="s">
        <v>21</v>
      </c>
      <c r="R55" s="8" t="s">
        <v>140</v>
      </c>
      <c r="S55"/>
      <c r="T55"/>
      <c r="U55"/>
      <c r="V55"/>
      <c r="W55"/>
      <c r="Y55" s="91">
        <v>45149</v>
      </c>
      <c r="Z55" s="8" t="s">
        <v>11</v>
      </c>
      <c r="AA55" s="8" t="s">
        <v>21</v>
      </c>
      <c r="AB55" s="8" t="s">
        <v>140</v>
      </c>
    </row>
    <row r="56" spans="5:28" x14ac:dyDescent="0.25">
      <c r="E56" s="9"/>
      <c r="H56" s="8" t="s">
        <v>14</v>
      </c>
      <c r="I56" s="8" t="s">
        <v>5</v>
      </c>
      <c r="J56" s="8" t="s">
        <v>18</v>
      </c>
      <c r="O56"/>
      <c r="P56" s="8" t="s">
        <v>14</v>
      </c>
      <c r="Q56" s="8" t="s">
        <v>5</v>
      </c>
      <c r="R56" s="8" t="s">
        <v>18</v>
      </c>
      <c r="S56"/>
      <c r="T56"/>
      <c r="U56"/>
      <c r="V56"/>
      <c r="W56"/>
      <c r="Z56" s="8" t="s">
        <v>18</v>
      </c>
      <c r="AA56" s="8" t="s">
        <v>5</v>
      </c>
      <c r="AB56" s="8" t="s">
        <v>139</v>
      </c>
    </row>
    <row r="57" spans="5:28" x14ac:dyDescent="0.25">
      <c r="E57" s="9"/>
      <c r="H57" s="8" t="s">
        <v>18</v>
      </c>
      <c r="I57" s="8" t="s">
        <v>5</v>
      </c>
      <c r="J57" s="8" t="s">
        <v>139</v>
      </c>
      <c r="O57"/>
      <c r="P57" s="8" t="s">
        <v>18</v>
      </c>
      <c r="Q57" s="8" t="s">
        <v>5</v>
      </c>
      <c r="R57" s="8" t="s">
        <v>139</v>
      </c>
      <c r="S57"/>
      <c r="T57"/>
      <c r="U57"/>
      <c r="V57"/>
      <c r="W57"/>
      <c r="Z57" s="8" t="s">
        <v>13</v>
      </c>
      <c r="AA57" s="8" t="s">
        <v>21</v>
      </c>
      <c r="AB57" s="8" t="s">
        <v>141</v>
      </c>
    </row>
    <row r="58" spans="5:28" x14ac:dyDescent="0.25">
      <c r="E58" s="9"/>
      <c r="H58" s="8" t="s">
        <v>15</v>
      </c>
      <c r="I58" s="8" t="s">
        <v>5</v>
      </c>
      <c r="J58" s="8" t="s">
        <v>18</v>
      </c>
      <c r="O58"/>
      <c r="P58" s="8" t="s">
        <v>15</v>
      </c>
      <c r="Q58" s="8" t="s">
        <v>5</v>
      </c>
      <c r="R58" s="8" t="s">
        <v>18</v>
      </c>
      <c r="S58"/>
      <c r="T58"/>
      <c r="U58"/>
      <c r="V58"/>
      <c r="W58"/>
      <c r="Z58" s="8" t="s">
        <v>14</v>
      </c>
      <c r="AA58" s="8" t="s">
        <v>5</v>
      </c>
      <c r="AB58" s="8" t="s">
        <v>18</v>
      </c>
    </row>
    <row r="59" spans="5:28" x14ac:dyDescent="0.25">
      <c r="E59" s="9"/>
      <c r="H59" s="8" t="s">
        <v>13</v>
      </c>
      <c r="I59" s="8" t="s">
        <v>21</v>
      </c>
      <c r="J59" s="8" t="s">
        <v>141</v>
      </c>
      <c r="O59"/>
      <c r="P59" s="8" t="s">
        <v>13</v>
      </c>
      <c r="Q59" s="8" t="s">
        <v>21</v>
      </c>
      <c r="R59" s="8" t="s">
        <v>141</v>
      </c>
      <c r="S59"/>
      <c r="T59"/>
      <c r="U59"/>
      <c r="V59"/>
      <c r="W59"/>
      <c r="Z59" s="8" t="s">
        <v>15</v>
      </c>
      <c r="AA59" s="8" t="s">
        <v>5</v>
      </c>
      <c r="AB59" s="8" t="s">
        <v>18</v>
      </c>
    </row>
    <row r="60" spans="5:28" x14ac:dyDescent="0.25">
      <c r="E60" s="9"/>
      <c r="G60" s="8" t="s">
        <v>240</v>
      </c>
      <c r="O60" s="8" t="s">
        <v>240</v>
      </c>
      <c r="P60"/>
      <c r="Q60"/>
      <c r="R60"/>
      <c r="S60"/>
      <c r="T60"/>
      <c r="U60"/>
      <c r="V60"/>
      <c r="W60"/>
      <c r="Y60" s="8" t="s">
        <v>240</v>
      </c>
    </row>
    <row r="61" spans="5:28" x14ac:dyDescent="0.25">
      <c r="G61" s="91">
        <v>45152</v>
      </c>
      <c r="H61" s="8" t="s">
        <v>18</v>
      </c>
      <c r="I61" s="8" t="s">
        <v>5</v>
      </c>
      <c r="J61" s="8" t="s">
        <v>140</v>
      </c>
      <c r="O61" s="91">
        <v>45152</v>
      </c>
      <c r="P61" s="8" t="s">
        <v>18</v>
      </c>
      <c r="Q61" s="8" t="s">
        <v>5</v>
      </c>
      <c r="R61" s="8" t="s">
        <v>140</v>
      </c>
      <c r="S61"/>
      <c r="T61"/>
      <c r="U61"/>
      <c r="V61"/>
      <c r="W61"/>
      <c r="Y61" s="91">
        <v>45152</v>
      </c>
      <c r="Z61" s="8" t="s">
        <v>5</v>
      </c>
      <c r="AA61" s="8" t="s">
        <v>36</v>
      </c>
      <c r="AB61" s="8" t="s">
        <v>139</v>
      </c>
    </row>
    <row r="62" spans="5:28" x14ac:dyDescent="0.25">
      <c r="H62" s="8" t="s">
        <v>5</v>
      </c>
      <c r="I62" s="8" t="s">
        <v>36</v>
      </c>
      <c r="J62" s="8" t="s">
        <v>139</v>
      </c>
      <c r="O62"/>
      <c r="P62" s="8" t="s">
        <v>5</v>
      </c>
      <c r="Q62" s="8" t="s">
        <v>36</v>
      </c>
      <c r="R62" s="8" t="s">
        <v>139</v>
      </c>
      <c r="S62"/>
      <c r="T62"/>
      <c r="U62"/>
      <c r="V62"/>
      <c r="W62"/>
      <c r="AA62" s="8" t="s">
        <v>5</v>
      </c>
      <c r="AB62" s="8" t="s">
        <v>18</v>
      </c>
    </row>
    <row r="63" spans="5:28" x14ac:dyDescent="0.25">
      <c r="I63" s="8" t="s">
        <v>5</v>
      </c>
      <c r="J63" s="8" t="s">
        <v>18</v>
      </c>
      <c r="O63"/>
      <c r="P63"/>
      <c r="Q63" s="8" t="s">
        <v>5</v>
      </c>
      <c r="R63" s="8" t="s">
        <v>18</v>
      </c>
      <c r="S63"/>
      <c r="T63"/>
      <c r="U63"/>
      <c r="V63"/>
      <c r="W63"/>
      <c r="Z63" s="8" t="s">
        <v>18</v>
      </c>
      <c r="AA63" s="8" t="s">
        <v>5</v>
      </c>
      <c r="AB63" s="8" t="s">
        <v>140</v>
      </c>
    </row>
    <row r="64" spans="5:28" x14ac:dyDescent="0.25">
      <c r="G64" s="8" t="s">
        <v>241</v>
      </c>
      <c r="O64" s="8" t="s">
        <v>241</v>
      </c>
      <c r="P64"/>
      <c r="Q64"/>
      <c r="R64"/>
      <c r="S64"/>
      <c r="T64"/>
      <c r="U64"/>
      <c r="V64"/>
      <c r="W64"/>
      <c r="Y64" s="8" t="s">
        <v>241</v>
      </c>
    </row>
    <row r="65" spans="7:28" x14ac:dyDescent="0.25">
      <c r="G65" s="91">
        <v>45153</v>
      </c>
      <c r="H65" s="8" t="s">
        <v>12</v>
      </c>
      <c r="I65" s="8" t="s">
        <v>5</v>
      </c>
      <c r="J65" s="8" t="s">
        <v>139</v>
      </c>
      <c r="O65" s="91">
        <v>45153</v>
      </c>
      <c r="P65" s="8" t="s">
        <v>12</v>
      </c>
      <c r="Q65" s="8" t="s">
        <v>5</v>
      </c>
      <c r="R65" s="8" t="s">
        <v>139</v>
      </c>
      <c r="S65"/>
      <c r="T65"/>
      <c r="U65"/>
      <c r="V65"/>
      <c r="W65"/>
      <c r="Y65" s="91">
        <v>45153</v>
      </c>
      <c r="Z65" s="8" t="s">
        <v>5</v>
      </c>
      <c r="AA65" s="8" t="s">
        <v>70</v>
      </c>
      <c r="AB65" s="8" t="s">
        <v>139</v>
      </c>
    </row>
    <row r="66" spans="7:28" x14ac:dyDescent="0.25">
      <c r="H66" s="8" t="s">
        <v>67</v>
      </c>
      <c r="I66" s="8" t="s">
        <v>21</v>
      </c>
      <c r="J66" s="8" t="s">
        <v>140</v>
      </c>
      <c r="O66"/>
      <c r="P66" s="8" t="s">
        <v>67</v>
      </c>
      <c r="Q66" s="8" t="s">
        <v>21</v>
      </c>
      <c r="R66" s="8" t="s">
        <v>140</v>
      </c>
      <c r="S66"/>
      <c r="T66"/>
      <c r="U66"/>
      <c r="V66"/>
      <c r="W66"/>
      <c r="Z66" s="8" t="s">
        <v>12</v>
      </c>
      <c r="AA66" s="8" t="s">
        <v>5</v>
      </c>
      <c r="AB66" s="8" t="s">
        <v>139</v>
      </c>
    </row>
    <row r="67" spans="7:28" x14ac:dyDescent="0.25">
      <c r="H67" s="8" t="s">
        <v>5</v>
      </c>
      <c r="I67" s="8" t="s">
        <v>70</v>
      </c>
      <c r="J67" s="8" t="s">
        <v>139</v>
      </c>
      <c r="O67"/>
      <c r="P67" s="8" t="s">
        <v>5</v>
      </c>
      <c r="Q67" s="8" t="s">
        <v>70</v>
      </c>
      <c r="R67" s="8" t="s">
        <v>139</v>
      </c>
      <c r="S67"/>
      <c r="T67"/>
      <c r="U67"/>
      <c r="V67"/>
      <c r="W67"/>
      <c r="Z67" s="8" t="s">
        <v>67</v>
      </c>
      <c r="AA67" s="8" t="s">
        <v>21</v>
      </c>
      <c r="AB67" s="8" t="s">
        <v>140</v>
      </c>
    </row>
    <row r="68" spans="7:28" x14ac:dyDescent="0.25">
      <c r="G68" s="8" t="s">
        <v>242</v>
      </c>
      <c r="O68" s="8" t="s">
        <v>242</v>
      </c>
      <c r="P68"/>
      <c r="Q68"/>
      <c r="R68"/>
      <c r="S68"/>
      <c r="T68"/>
      <c r="U68"/>
      <c r="V68"/>
      <c r="W68"/>
      <c r="Y68" s="8" t="s">
        <v>242</v>
      </c>
    </row>
    <row r="69" spans="7:28" x14ac:dyDescent="0.25">
      <c r="G69" s="91">
        <v>45154</v>
      </c>
      <c r="H69" s="8" t="s">
        <v>11</v>
      </c>
      <c r="I69" s="8" t="s">
        <v>21</v>
      </c>
      <c r="J69" s="8" t="s">
        <v>139</v>
      </c>
      <c r="O69" s="91">
        <v>45154</v>
      </c>
      <c r="P69" s="8" t="s">
        <v>11</v>
      </c>
      <c r="Q69" s="8" t="s">
        <v>21</v>
      </c>
      <c r="R69" s="8" t="s">
        <v>139</v>
      </c>
      <c r="S69"/>
      <c r="T69"/>
      <c r="U69"/>
      <c r="V69"/>
      <c r="W69"/>
      <c r="Y69" s="91">
        <v>45154</v>
      </c>
      <c r="Z69" s="8" t="s">
        <v>11</v>
      </c>
      <c r="AA69" s="8" t="s">
        <v>21</v>
      </c>
      <c r="AB69" s="8" t="s">
        <v>139</v>
      </c>
    </row>
    <row r="70" spans="7:28" x14ac:dyDescent="0.25">
      <c r="J70" s="8" t="s">
        <v>140</v>
      </c>
      <c r="O70"/>
      <c r="P70"/>
      <c r="Q70"/>
      <c r="R70" s="8" t="s">
        <v>140</v>
      </c>
      <c r="S70"/>
      <c r="T70"/>
      <c r="U70"/>
      <c r="V70"/>
      <c r="W70"/>
      <c r="AB70" s="8" t="s">
        <v>140</v>
      </c>
    </row>
    <row r="71" spans="7:28" x14ac:dyDescent="0.25">
      <c r="G71" s="8" t="s">
        <v>243</v>
      </c>
      <c r="O71" s="8" t="s">
        <v>243</v>
      </c>
      <c r="P71"/>
      <c r="Q71"/>
      <c r="R71"/>
      <c r="S71"/>
      <c r="T71"/>
      <c r="U71"/>
      <c r="V71"/>
      <c r="W71"/>
      <c r="Y71" s="8" t="s">
        <v>243</v>
      </c>
    </row>
    <row r="72" spans="7:28" x14ac:dyDescent="0.25">
      <c r="G72" s="91">
        <v>45155</v>
      </c>
      <c r="H72" s="8" t="s">
        <v>11</v>
      </c>
      <c r="I72" s="8" t="s">
        <v>21</v>
      </c>
      <c r="J72" s="8" t="s">
        <v>140</v>
      </c>
      <c r="O72" s="91">
        <v>45155</v>
      </c>
      <c r="P72" s="8" t="s">
        <v>11</v>
      </c>
      <c r="Q72" s="8" t="s">
        <v>70</v>
      </c>
      <c r="R72" s="8" t="s">
        <v>18</v>
      </c>
      <c r="S72"/>
      <c r="T72"/>
      <c r="U72"/>
      <c r="V72"/>
      <c r="W72"/>
      <c r="Y72" s="91">
        <v>45155</v>
      </c>
      <c r="Z72" s="8" t="s">
        <v>5</v>
      </c>
      <c r="AA72" s="8" t="s">
        <v>70</v>
      </c>
      <c r="AB72" s="8" t="s">
        <v>140</v>
      </c>
    </row>
    <row r="73" spans="7:28" x14ac:dyDescent="0.25">
      <c r="I73" s="8" t="s">
        <v>70</v>
      </c>
      <c r="J73" s="8" t="s">
        <v>18</v>
      </c>
      <c r="O73"/>
      <c r="P73"/>
      <c r="Q73" s="8" t="s">
        <v>21</v>
      </c>
      <c r="R73" s="8" t="s">
        <v>140</v>
      </c>
      <c r="S73"/>
      <c r="T73"/>
      <c r="U73"/>
      <c r="V73"/>
      <c r="W73"/>
      <c r="Z73" s="8" t="s">
        <v>11</v>
      </c>
      <c r="AA73" s="8" t="s">
        <v>21</v>
      </c>
      <c r="AB73" s="8" t="s">
        <v>140</v>
      </c>
    </row>
    <row r="74" spans="7:28" x14ac:dyDescent="0.25">
      <c r="H74" s="8" t="s">
        <v>18</v>
      </c>
      <c r="I74" s="8" t="s">
        <v>70</v>
      </c>
      <c r="J74" s="8" t="s">
        <v>18</v>
      </c>
      <c r="O74"/>
      <c r="P74" s="8" t="s">
        <v>18</v>
      </c>
      <c r="Q74" s="8" t="s">
        <v>70</v>
      </c>
      <c r="R74" s="8" t="s">
        <v>18</v>
      </c>
      <c r="S74"/>
      <c r="T74"/>
      <c r="U74"/>
      <c r="V74"/>
      <c r="W74"/>
      <c r="AA74" s="8" t="s">
        <v>70</v>
      </c>
      <c r="AB74" s="8" t="s">
        <v>18</v>
      </c>
    </row>
    <row r="75" spans="7:28" x14ac:dyDescent="0.25">
      <c r="H75" s="8" t="s">
        <v>68</v>
      </c>
      <c r="I75" s="8" t="s">
        <v>5</v>
      </c>
      <c r="J75" s="8" t="s">
        <v>141</v>
      </c>
      <c r="O75"/>
      <c r="P75" s="8" t="s">
        <v>68</v>
      </c>
      <c r="Q75" s="8" t="s">
        <v>5</v>
      </c>
      <c r="R75" s="8" t="s">
        <v>141</v>
      </c>
      <c r="S75"/>
      <c r="T75"/>
      <c r="U75"/>
      <c r="V75"/>
      <c r="W75"/>
      <c r="Z75" s="8" t="s">
        <v>18</v>
      </c>
      <c r="AA75" s="8" t="s">
        <v>70</v>
      </c>
      <c r="AB75" s="8" t="s">
        <v>18</v>
      </c>
    </row>
    <row r="76" spans="7:28" x14ac:dyDescent="0.25">
      <c r="H76" s="8" t="s">
        <v>67</v>
      </c>
      <c r="I76" s="8" t="s">
        <v>21</v>
      </c>
      <c r="J76" s="8" t="s">
        <v>139</v>
      </c>
      <c r="O76"/>
      <c r="P76" s="8" t="s">
        <v>67</v>
      </c>
      <c r="Q76" s="8" t="s">
        <v>21</v>
      </c>
      <c r="R76" s="8" t="s">
        <v>139</v>
      </c>
      <c r="S76"/>
      <c r="T76"/>
      <c r="U76"/>
      <c r="V76"/>
      <c r="W76"/>
      <c r="Z76" s="8" t="s">
        <v>67</v>
      </c>
      <c r="AA76" s="8" t="s">
        <v>21</v>
      </c>
      <c r="AB76" s="8" t="s">
        <v>139</v>
      </c>
    </row>
    <row r="77" spans="7:28" x14ac:dyDescent="0.25">
      <c r="H77" s="8" t="s">
        <v>5</v>
      </c>
      <c r="I77" s="8" t="s">
        <v>70</v>
      </c>
      <c r="J77" s="8" t="s">
        <v>140</v>
      </c>
      <c r="O77"/>
      <c r="P77" s="8" t="s">
        <v>5</v>
      </c>
      <c r="Q77" s="8" t="s">
        <v>70</v>
      </c>
      <c r="R77" s="8" t="s">
        <v>140</v>
      </c>
      <c r="S77"/>
      <c r="T77"/>
      <c r="U77"/>
      <c r="V77"/>
      <c r="W77"/>
      <c r="Z77" s="8" t="s">
        <v>68</v>
      </c>
      <c r="AA77" s="8" t="s">
        <v>5</v>
      </c>
      <c r="AB77" s="8" t="s">
        <v>141</v>
      </c>
    </row>
    <row r="78" spans="7:28" x14ac:dyDescent="0.25">
      <c r="G78" s="8" t="s">
        <v>244</v>
      </c>
      <c r="O78" s="8" t="s">
        <v>244</v>
      </c>
      <c r="P78"/>
      <c r="Q78"/>
      <c r="R78"/>
      <c r="S78"/>
      <c r="T78"/>
      <c r="U78"/>
      <c r="V78"/>
      <c r="W78"/>
      <c r="Y78" s="8" t="s">
        <v>244</v>
      </c>
    </row>
    <row r="79" spans="7:28" x14ac:dyDescent="0.25">
      <c r="G79" s="91">
        <v>45156</v>
      </c>
      <c r="H79" s="8" t="s">
        <v>11</v>
      </c>
      <c r="I79" s="8" t="s">
        <v>21</v>
      </c>
      <c r="J79" s="8" t="s">
        <v>18</v>
      </c>
      <c r="O79" s="91">
        <v>45156</v>
      </c>
      <c r="P79" s="8" t="s">
        <v>11</v>
      </c>
      <c r="Q79" s="8" t="s">
        <v>21</v>
      </c>
      <c r="R79" s="8" t="s">
        <v>18</v>
      </c>
      <c r="S79"/>
      <c r="T79"/>
      <c r="U79"/>
      <c r="V79"/>
      <c r="W79"/>
      <c r="Y79" s="91">
        <v>45156</v>
      </c>
      <c r="Z79" s="8" t="s">
        <v>5</v>
      </c>
      <c r="AA79" s="8" t="s">
        <v>5</v>
      </c>
      <c r="AB79" s="8" t="s">
        <v>139</v>
      </c>
    </row>
    <row r="80" spans="7:28" x14ac:dyDescent="0.25">
      <c r="H80" s="8" t="s">
        <v>5</v>
      </c>
      <c r="I80" s="8" t="s">
        <v>5</v>
      </c>
      <c r="J80" s="8" t="s">
        <v>139</v>
      </c>
      <c r="O80"/>
      <c r="P80" s="8" t="s">
        <v>5</v>
      </c>
      <c r="Q80" s="8" t="s">
        <v>5</v>
      </c>
      <c r="R80" s="8" t="s">
        <v>139</v>
      </c>
      <c r="S80"/>
      <c r="T80"/>
      <c r="U80"/>
      <c r="V80"/>
      <c r="W80"/>
      <c r="Z80" s="8" t="s">
        <v>11</v>
      </c>
      <c r="AA80" s="8" t="s">
        <v>21</v>
      </c>
      <c r="AB80" s="8" t="s">
        <v>18</v>
      </c>
    </row>
    <row r="81" spans="7:28" x14ac:dyDescent="0.25">
      <c r="G81" s="8" t="s">
        <v>245</v>
      </c>
      <c r="O81" s="8" t="s">
        <v>245</v>
      </c>
      <c r="P81"/>
      <c r="Q81"/>
      <c r="R81"/>
      <c r="S81"/>
      <c r="T81"/>
      <c r="U81"/>
      <c r="V81"/>
      <c r="W81"/>
      <c r="Y81" s="8" t="s">
        <v>245</v>
      </c>
    </row>
    <row r="82" spans="7:28" x14ac:dyDescent="0.25">
      <c r="G82" s="91">
        <v>45157</v>
      </c>
      <c r="H82" s="8" t="s">
        <v>12</v>
      </c>
      <c r="I82" s="8" t="s">
        <v>5</v>
      </c>
      <c r="J82" s="8" t="s">
        <v>18</v>
      </c>
      <c r="O82" s="91">
        <v>45157</v>
      </c>
      <c r="P82" s="8" t="s">
        <v>12</v>
      </c>
      <c r="Q82" s="8" t="s">
        <v>5</v>
      </c>
      <c r="R82" s="8" t="s">
        <v>18</v>
      </c>
      <c r="S82"/>
      <c r="T82"/>
      <c r="U82"/>
      <c r="V82"/>
      <c r="W82"/>
      <c r="Y82" s="91">
        <v>45157</v>
      </c>
      <c r="Z82" s="8" t="s">
        <v>5</v>
      </c>
      <c r="AA82" s="8" t="s">
        <v>5</v>
      </c>
      <c r="AB82" s="8" t="s">
        <v>18</v>
      </c>
    </row>
    <row r="83" spans="7:28" x14ac:dyDescent="0.25">
      <c r="H83" s="8" t="s">
        <v>5</v>
      </c>
      <c r="I83" s="8" t="s">
        <v>5</v>
      </c>
      <c r="J83" s="8" t="s">
        <v>18</v>
      </c>
      <c r="O83"/>
      <c r="P83" s="8" t="s">
        <v>5</v>
      </c>
      <c r="Q83" s="8" t="s">
        <v>5</v>
      </c>
      <c r="R83" s="8" t="s">
        <v>18</v>
      </c>
      <c r="S83"/>
      <c r="T83"/>
      <c r="U83"/>
      <c r="V83"/>
      <c r="W83"/>
      <c r="Z83" s="8" t="s">
        <v>12</v>
      </c>
      <c r="AA83" s="8" t="s">
        <v>5</v>
      </c>
      <c r="AB83" s="8" t="s">
        <v>18</v>
      </c>
    </row>
    <row r="84" spans="7:28" x14ac:dyDescent="0.25">
      <c r="G84" s="8" t="s">
        <v>246</v>
      </c>
      <c r="O84" s="8" t="s">
        <v>246</v>
      </c>
      <c r="P84"/>
      <c r="Q84"/>
      <c r="R84"/>
      <c r="S84"/>
      <c r="T84"/>
      <c r="U84"/>
      <c r="V84"/>
      <c r="W84"/>
      <c r="Y84" s="8" t="s">
        <v>246</v>
      </c>
    </row>
    <row r="85" spans="7:28" x14ac:dyDescent="0.25">
      <c r="G85" s="91">
        <v>45158</v>
      </c>
      <c r="H85" s="8" t="s">
        <v>69</v>
      </c>
      <c r="I85" s="8" t="s">
        <v>5</v>
      </c>
      <c r="J85" s="8" t="s">
        <v>18</v>
      </c>
      <c r="O85" s="91">
        <v>45158</v>
      </c>
      <c r="P85" s="8" t="s">
        <v>69</v>
      </c>
      <c r="Q85" s="8" t="s">
        <v>5</v>
      </c>
      <c r="R85" s="8" t="s">
        <v>18</v>
      </c>
      <c r="S85"/>
      <c r="T85"/>
      <c r="U85"/>
      <c r="V85"/>
      <c r="W85"/>
      <c r="Y85" s="91">
        <v>45158</v>
      </c>
      <c r="Z85" s="8" t="s">
        <v>69</v>
      </c>
      <c r="AA85" s="8" t="s">
        <v>5</v>
      </c>
      <c r="AB85" s="8" t="s">
        <v>18</v>
      </c>
    </row>
    <row r="86" spans="7:28" x14ac:dyDescent="0.25">
      <c r="G86" s="8" t="s">
        <v>247</v>
      </c>
      <c r="O86" s="8" t="s">
        <v>247</v>
      </c>
      <c r="P86"/>
      <c r="Q86"/>
      <c r="R86"/>
      <c r="S86"/>
      <c r="T86"/>
      <c r="U86"/>
      <c r="V86"/>
      <c r="W86"/>
      <c r="Y86" s="8" t="s">
        <v>247</v>
      </c>
    </row>
    <row r="87" spans="7:28" x14ac:dyDescent="0.25">
      <c r="G87" s="91">
        <v>45159</v>
      </c>
      <c r="H87" s="8" t="s">
        <v>18</v>
      </c>
      <c r="I87" s="8" t="s">
        <v>21</v>
      </c>
      <c r="J87" s="8" t="s">
        <v>18</v>
      </c>
      <c r="O87" s="91">
        <v>45159</v>
      </c>
      <c r="P87" s="8" t="s">
        <v>18</v>
      </c>
      <c r="Q87" s="8" t="s">
        <v>21</v>
      </c>
      <c r="R87" s="8" t="s">
        <v>18</v>
      </c>
      <c r="S87"/>
      <c r="T87"/>
      <c r="U87"/>
      <c r="V87"/>
      <c r="W87"/>
      <c r="Y87" s="91">
        <v>45159</v>
      </c>
      <c r="Z87" s="8" t="s">
        <v>5</v>
      </c>
      <c r="AA87" s="8" t="s">
        <v>121</v>
      </c>
      <c r="AB87" s="8" t="s">
        <v>157</v>
      </c>
    </row>
    <row r="88" spans="7:28" x14ac:dyDescent="0.25">
      <c r="H88" s="8" t="s">
        <v>69</v>
      </c>
      <c r="I88" s="8" t="s">
        <v>121</v>
      </c>
      <c r="J88" s="8" t="s">
        <v>139</v>
      </c>
      <c r="O88"/>
      <c r="P88" s="8" t="s">
        <v>69</v>
      </c>
      <c r="Q88" s="8" t="s">
        <v>121</v>
      </c>
      <c r="R88" s="8" t="s">
        <v>139</v>
      </c>
      <c r="S88"/>
      <c r="T88"/>
      <c r="U88"/>
      <c r="V88"/>
      <c r="W88"/>
      <c r="Z88" s="8" t="s">
        <v>18</v>
      </c>
      <c r="AA88" s="8" t="s">
        <v>21</v>
      </c>
      <c r="AB88" s="8" t="s">
        <v>18</v>
      </c>
    </row>
    <row r="89" spans="7:28" x14ac:dyDescent="0.25">
      <c r="H89" s="8" t="s">
        <v>13</v>
      </c>
      <c r="I89" s="8" t="s">
        <v>5</v>
      </c>
      <c r="J89" s="8" t="s">
        <v>155</v>
      </c>
      <c r="O89"/>
      <c r="P89" s="8" t="s">
        <v>13</v>
      </c>
      <c r="Q89" s="8" t="s">
        <v>70</v>
      </c>
      <c r="R89" s="8" t="s">
        <v>155</v>
      </c>
      <c r="S89"/>
      <c r="T89"/>
      <c r="U89"/>
      <c r="V89"/>
      <c r="W89"/>
      <c r="Z89" s="8" t="s">
        <v>32</v>
      </c>
      <c r="AA89" s="8" t="s">
        <v>121</v>
      </c>
      <c r="AB89" s="8" t="s">
        <v>139</v>
      </c>
    </row>
    <row r="90" spans="7:28" x14ac:dyDescent="0.25">
      <c r="I90" s="8" t="s">
        <v>70</v>
      </c>
      <c r="J90" s="8" t="s">
        <v>155</v>
      </c>
      <c r="O90"/>
      <c r="P90"/>
      <c r="Q90" s="8" t="s">
        <v>5</v>
      </c>
      <c r="R90" s="8" t="s">
        <v>155</v>
      </c>
      <c r="S90"/>
      <c r="T90"/>
      <c r="U90"/>
      <c r="V90"/>
      <c r="W90"/>
      <c r="Z90" s="8" t="s">
        <v>13</v>
      </c>
      <c r="AA90" s="8" t="s">
        <v>5</v>
      </c>
      <c r="AB90" s="8" t="s">
        <v>155</v>
      </c>
    </row>
    <row r="91" spans="7:28" x14ac:dyDescent="0.25">
      <c r="H91" s="8" t="s">
        <v>32</v>
      </c>
      <c r="I91" s="8" t="s">
        <v>121</v>
      </c>
      <c r="J91" s="8" t="s">
        <v>139</v>
      </c>
      <c r="O91"/>
      <c r="P91" s="8" t="s">
        <v>32</v>
      </c>
      <c r="Q91" s="8" t="s">
        <v>121</v>
      </c>
      <c r="R91" s="8" t="s">
        <v>139</v>
      </c>
      <c r="S91"/>
      <c r="T91"/>
      <c r="U91"/>
      <c r="V91"/>
      <c r="W91"/>
      <c r="AA91" s="8" t="s">
        <v>70</v>
      </c>
      <c r="AB91" s="8" t="s">
        <v>155</v>
      </c>
    </row>
    <row r="92" spans="7:28" x14ac:dyDescent="0.25">
      <c r="H92" s="8" t="s">
        <v>5</v>
      </c>
      <c r="I92" s="8" t="s">
        <v>121</v>
      </c>
      <c r="J92" s="8" t="s">
        <v>157</v>
      </c>
      <c r="O92"/>
      <c r="P92" s="8" t="s">
        <v>5</v>
      </c>
      <c r="Q92" s="8" t="s">
        <v>121</v>
      </c>
      <c r="R92" s="8" t="s">
        <v>157</v>
      </c>
      <c r="S92"/>
      <c r="T92"/>
      <c r="U92"/>
      <c r="V92"/>
      <c r="W92"/>
      <c r="Z92" s="8" t="s">
        <v>69</v>
      </c>
      <c r="AA92" s="8" t="s">
        <v>121</v>
      </c>
      <c r="AB92" s="8" t="s">
        <v>139</v>
      </c>
    </row>
    <row r="93" spans="7:28" x14ac:dyDescent="0.25">
      <c r="G93" s="8" t="s">
        <v>248</v>
      </c>
      <c r="O93" s="8" t="s">
        <v>248</v>
      </c>
      <c r="P93"/>
      <c r="Q93"/>
      <c r="R93"/>
      <c r="S93"/>
      <c r="T93"/>
      <c r="U93"/>
      <c r="V93"/>
      <c r="W93"/>
      <c r="Y93" s="8" t="s">
        <v>248</v>
      </c>
    </row>
    <row r="94" spans="7:28" x14ac:dyDescent="0.25">
      <c r="G94" s="91">
        <v>45160</v>
      </c>
      <c r="H94" s="8" t="s">
        <v>11</v>
      </c>
      <c r="I94" s="8" t="s">
        <v>20</v>
      </c>
      <c r="J94" s="8" t="s">
        <v>140</v>
      </c>
      <c r="O94" s="91">
        <v>45160</v>
      </c>
      <c r="P94" s="8" t="s">
        <v>11</v>
      </c>
      <c r="Q94" s="8" t="s">
        <v>20</v>
      </c>
      <c r="R94" s="8" t="s">
        <v>140</v>
      </c>
      <c r="S94"/>
      <c r="T94"/>
      <c r="U94"/>
      <c r="V94"/>
      <c r="W94"/>
      <c r="Y94" s="91">
        <v>45160</v>
      </c>
      <c r="Z94" s="8" t="s">
        <v>11</v>
      </c>
      <c r="AA94" s="8" t="s">
        <v>20</v>
      </c>
      <c r="AB94" s="8" t="s">
        <v>140</v>
      </c>
    </row>
    <row r="95" spans="7:28" x14ac:dyDescent="0.25">
      <c r="H95" s="8" t="s">
        <v>18</v>
      </c>
      <c r="I95" s="8" t="s">
        <v>70</v>
      </c>
      <c r="J95" s="8" t="s">
        <v>18</v>
      </c>
      <c r="O95"/>
      <c r="P95" s="8" t="s">
        <v>18</v>
      </c>
      <c r="Q95" s="8" t="s">
        <v>70</v>
      </c>
      <c r="R95" s="8" t="s">
        <v>18</v>
      </c>
      <c r="S95"/>
      <c r="T95"/>
      <c r="U95"/>
      <c r="V95"/>
      <c r="W95"/>
      <c r="Z95" s="8" t="s">
        <v>18</v>
      </c>
      <c r="AA95" s="8" t="s">
        <v>70</v>
      </c>
      <c r="AB95" s="8" t="s">
        <v>18</v>
      </c>
    </row>
    <row r="96" spans="7:28" x14ac:dyDescent="0.25">
      <c r="G96" s="8" t="s">
        <v>249</v>
      </c>
      <c r="O96" s="8" t="s">
        <v>249</v>
      </c>
      <c r="P96"/>
      <c r="Q96"/>
      <c r="R96"/>
      <c r="S96"/>
      <c r="T96"/>
      <c r="U96"/>
      <c r="V96"/>
      <c r="W96"/>
      <c r="Y96" s="8" t="s">
        <v>249</v>
      </c>
    </row>
    <row r="97" spans="7:28" x14ac:dyDescent="0.25">
      <c r="G97" s="91">
        <v>45161</v>
      </c>
      <c r="H97" s="8" t="s">
        <v>11</v>
      </c>
      <c r="I97" s="8" t="s">
        <v>21</v>
      </c>
      <c r="J97" s="8" t="s">
        <v>139</v>
      </c>
      <c r="O97" s="91">
        <v>45161</v>
      </c>
      <c r="P97" s="8" t="s">
        <v>11</v>
      </c>
      <c r="Q97" s="8" t="s">
        <v>21</v>
      </c>
      <c r="R97" s="8" t="s">
        <v>139</v>
      </c>
      <c r="S97"/>
      <c r="T97"/>
      <c r="U97"/>
      <c r="V97"/>
      <c r="W97"/>
      <c r="Y97" s="91">
        <v>45161</v>
      </c>
      <c r="Z97" s="8" t="s">
        <v>5</v>
      </c>
      <c r="AA97" s="8" t="s">
        <v>20</v>
      </c>
      <c r="AB97" s="8" t="s">
        <v>18</v>
      </c>
    </row>
    <row r="98" spans="7:28" x14ac:dyDescent="0.25">
      <c r="J98" s="8" t="s">
        <v>140</v>
      </c>
      <c r="O98"/>
      <c r="P98"/>
      <c r="Q98"/>
      <c r="R98" s="8" t="s">
        <v>140</v>
      </c>
      <c r="S98"/>
      <c r="T98"/>
      <c r="U98"/>
      <c r="V98"/>
      <c r="W98"/>
      <c r="Z98" s="8" t="s">
        <v>11</v>
      </c>
      <c r="AA98" s="8" t="s">
        <v>21</v>
      </c>
      <c r="AB98" s="8" t="s">
        <v>139</v>
      </c>
    </row>
    <row r="99" spans="7:28" x14ac:dyDescent="0.25">
      <c r="J99" s="8" t="s">
        <v>151</v>
      </c>
      <c r="O99"/>
      <c r="P99"/>
      <c r="Q99"/>
      <c r="R99" s="8" t="s">
        <v>151</v>
      </c>
      <c r="S99"/>
      <c r="T99"/>
      <c r="U99"/>
      <c r="V99"/>
      <c r="W99"/>
      <c r="AB99" s="8" t="s">
        <v>140</v>
      </c>
    </row>
    <row r="100" spans="7:28" x14ac:dyDescent="0.25">
      <c r="H100" s="8" t="s">
        <v>22</v>
      </c>
      <c r="I100" s="8" t="s">
        <v>21</v>
      </c>
      <c r="J100" s="8" t="s">
        <v>139</v>
      </c>
      <c r="O100"/>
      <c r="P100" s="8" t="s">
        <v>22</v>
      </c>
      <c r="Q100" s="8" t="s">
        <v>21</v>
      </c>
      <c r="R100" s="8" t="s">
        <v>139</v>
      </c>
      <c r="S100"/>
      <c r="T100"/>
      <c r="U100"/>
      <c r="V100"/>
      <c r="W100"/>
      <c r="AB100" s="8" t="s">
        <v>151</v>
      </c>
    </row>
    <row r="101" spans="7:28" x14ac:dyDescent="0.25">
      <c r="J101" s="8" t="s">
        <v>140</v>
      </c>
      <c r="O101"/>
      <c r="P101"/>
      <c r="Q101"/>
      <c r="R101" s="8" t="s">
        <v>140</v>
      </c>
      <c r="S101"/>
      <c r="T101"/>
      <c r="U101"/>
      <c r="V101"/>
      <c r="W101"/>
      <c r="Z101" s="8" t="s">
        <v>12</v>
      </c>
      <c r="AA101" s="8" t="s">
        <v>20</v>
      </c>
      <c r="AB101" s="8" t="s">
        <v>18</v>
      </c>
    </row>
    <row r="102" spans="7:28" x14ac:dyDescent="0.25">
      <c r="J102" s="8" t="s">
        <v>154</v>
      </c>
      <c r="O102"/>
      <c r="P102"/>
      <c r="Q102"/>
      <c r="R102" s="8" t="s">
        <v>154</v>
      </c>
      <c r="S102"/>
      <c r="T102"/>
      <c r="U102"/>
      <c r="V102"/>
      <c r="W102"/>
      <c r="Z102" s="8" t="s">
        <v>18</v>
      </c>
      <c r="AA102" s="8" t="s">
        <v>21</v>
      </c>
      <c r="AB102" s="8" t="s">
        <v>18</v>
      </c>
    </row>
    <row r="103" spans="7:28" x14ac:dyDescent="0.25">
      <c r="H103" s="8" t="s">
        <v>14</v>
      </c>
      <c r="I103" s="8" t="s">
        <v>20</v>
      </c>
      <c r="J103" s="8" t="s">
        <v>18</v>
      </c>
      <c r="O103"/>
      <c r="P103" s="8" t="s">
        <v>14</v>
      </c>
      <c r="Q103" s="8" t="s">
        <v>20</v>
      </c>
      <c r="R103" s="8" t="s">
        <v>18</v>
      </c>
      <c r="S103"/>
      <c r="T103"/>
      <c r="U103"/>
      <c r="V103"/>
      <c r="W103"/>
      <c r="Z103" s="8" t="s">
        <v>22</v>
      </c>
      <c r="AA103" s="8" t="s">
        <v>21</v>
      </c>
      <c r="AB103" s="8" t="s">
        <v>139</v>
      </c>
    </row>
    <row r="104" spans="7:28" x14ac:dyDescent="0.25">
      <c r="H104" s="8" t="s">
        <v>18</v>
      </c>
      <c r="I104" s="8" t="s">
        <v>21</v>
      </c>
      <c r="J104" s="8" t="s">
        <v>18</v>
      </c>
      <c r="O104"/>
      <c r="P104" s="8" t="s">
        <v>18</v>
      </c>
      <c r="Q104" s="8" t="s">
        <v>21</v>
      </c>
      <c r="R104" s="8" t="s">
        <v>18</v>
      </c>
      <c r="S104"/>
      <c r="T104"/>
      <c r="U104"/>
      <c r="V104"/>
      <c r="W104"/>
      <c r="AB104" s="8" t="s">
        <v>140</v>
      </c>
    </row>
    <row r="105" spans="7:28" x14ac:dyDescent="0.25">
      <c r="H105" s="8" t="s">
        <v>12</v>
      </c>
      <c r="I105" s="8" t="s">
        <v>20</v>
      </c>
      <c r="J105" s="8" t="s">
        <v>18</v>
      </c>
      <c r="O105"/>
      <c r="P105" s="8" t="s">
        <v>12</v>
      </c>
      <c r="Q105" s="8" t="s">
        <v>20</v>
      </c>
      <c r="R105" s="8" t="s">
        <v>18</v>
      </c>
      <c r="S105"/>
      <c r="T105"/>
      <c r="U105"/>
      <c r="V105"/>
      <c r="W105"/>
      <c r="AB105" s="8" t="s">
        <v>154</v>
      </c>
    </row>
    <row r="106" spans="7:28" x14ac:dyDescent="0.25">
      <c r="H106" s="8" t="s">
        <v>67</v>
      </c>
      <c r="I106" s="8" t="s">
        <v>130</v>
      </c>
      <c r="J106" s="8" t="s">
        <v>140</v>
      </c>
      <c r="O106"/>
      <c r="P106" s="8" t="s">
        <v>67</v>
      </c>
      <c r="Q106" s="8" t="s">
        <v>130</v>
      </c>
      <c r="R106" s="8" t="s">
        <v>140</v>
      </c>
      <c r="S106"/>
      <c r="T106"/>
      <c r="U106"/>
      <c r="V106"/>
      <c r="W106"/>
      <c r="Z106" s="8" t="s">
        <v>14</v>
      </c>
      <c r="AA106" s="8" t="s">
        <v>20</v>
      </c>
      <c r="AB106" s="8" t="s">
        <v>18</v>
      </c>
    </row>
    <row r="107" spans="7:28" x14ac:dyDescent="0.25">
      <c r="H107" s="8" t="s">
        <v>5</v>
      </c>
      <c r="I107" s="8" t="s">
        <v>20</v>
      </c>
      <c r="J107" s="8" t="s">
        <v>18</v>
      </c>
      <c r="O107"/>
      <c r="P107" s="8" t="s">
        <v>5</v>
      </c>
      <c r="Q107" s="8" t="s">
        <v>20</v>
      </c>
      <c r="R107" s="8" t="s">
        <v>18</v>
      </c>
      <c r="S107"/>
      <c r="T107"/>
      <c r="U107"/>
      <c r="V107"/>
      <c r="W107"/>
      <c r="Z107" s="8" t="s">
        <v>67</v>
      </c>
      <c r="AA107" s="8" t="s">
        <v>130</v>
      </c>
      <c r="AB107" s="8" t="s">
        <v>140</v>
      </c>
    </row>
    <row r="108" spans="7:28" x14ac:dyDescent="0.25">
      <c r="G108" s="8" t="s">
        <v>250</v>
      </c>
      <c r="O108" s="8" t="s">
        <v>250</v>
      </c>
      <c r="P108"/>
      <c r="Q108"/>
      <c r="R108"/>
      <c r="S108"/>
      <c r="T108"/>
      <c r="U108"/>
      <c r="V108"/>
      <c r="W108"/>
      <c r="Y108" s="8" t="s">
        <v>250</v>
      </c>
    </row>
    <row r="109" spans="7:28" x14ac:dyDescent="0.25">
      <c r="G109" s="8" t="s">
        <v>6</v>
      </c>
      <c r="O109" s="36" t="s">
        <v>6</v>
      </c>
      <c r="S109"/>
      <c r="T109"/>
      <c r="U109"/>
      <c r="V109"/>
      <c r="W109"/>
      <c r="Y109" s="8" t="s">
        <v>6</v>
      </c>
    </row>
    <row r="110" spans="7:28" x14ac:dyDescent="0.25">
      <c r="O110"/>
      <c r="P110"/>
      <c r="Q110"/>
      <c r="R110"/>
      <c r="S110"/>
      <c r="T110"/>
      <c r="U110"/>
      <c r="V110"/>
      <c r="W110"/>
    </row>
    <row r="111" spans="7:28" x14ac:dyDescent="0.25">
      <c r="O111"/>
      <c r="P111"/>
      <c r="Q111"/>
      <c r="R111"/>
      <c r="S111"/>
      <c r="T111"/>
      <c r="U111"/>
      <c r="V111"/>
      <c r="W111"/>
    </row>
    <row r="112" spans="7:28" x14ac:dyDescent="0.25">
      <c r="O112"/>
      <c r="P112"/>
      <c r="Q112"/>
      <c r="R112"/>
      <c r="S112"/>
      <c r="T112"/>
      <c r="U112"/>
      <c r="V112"/>
      <c r="W112"/>
    </row>
    <row r="113" spans="15:23" x14ac:dyDescent="0.25">
      <c r="O113"/>
      <c r="P113"/>
      <c r="Q113"/>
      <c r="R113"/>
      <c r="S113"/>
      <c r="T113"/>
      <c r="U113"/>
      <c r="V113"/>
      <c r="W113"/>
    </row>
    <row r="114" spans="15:23" x14ac:dyDescent="0.25">
      <c r="O114"/>
      <c r="P114"/>
      <c r="Q114"/>
      <c r="R114"/>
      <c r="S114"/>
      <c r="T114"/>
      <c r="U114"/>
      <c r="V114"/>
      <c r="W114"/>
    </row>
    <row r="115" spans="15:23" x14ac:dyDescent="0.25">
      <c r="O115"/>
      <c r="P115"/>
      <c r="Q115"/>
      <c r="R115"/>
      <c r="S115"/>
      <c r="T115"/>
      <c r="U115"/>
      <c r="V115"/>
      <c r="W115"/>
    </row>
    <row r="116" spans="15:23" x14ac:dyDescent="0.25">
      <c r="O116"/>
      <c r="P116"/>
      <c r="Q116"/>
      <c r="R116"/>
      <c r="S116"/>
      <c r="T116"/>
      <c r="U116"/>
      <c r="V116"/>
      <c r="W116"/>
    </row>
    <row r="117" spans="15:23" x14ac:dyDescent="0.25">
      <c r="O117"/>
      <c r="P117"/>
      <c r="Q117"/>
      <c r="R117"/>
      <c r="S117"/>
      <c r="T117"/>
      <c r="U117"/>
      <c r="V117"/>
      <c r="W117"/>
    </row>
    <row r="118" spans="15:23" x14ac:dyDescent="0.25">
      <c r="O118"/>
      <c r="P118"/>
      <c r="Q118"/>
      <c r="R118"/>
      <c r="S118"/>
      <c r="T118"/>
      <c r="U118"/>
      <c r="V118"/>
    </row>
    <row r="119" spans="15:23" x14ac:dyDescent="0.25">
      <c r="O119"/>
      <c r="P119"/>
      <c r="Q119"/>
      <c r="R119"/>
      <c r="S119"/>
      <c r="T119"/>
      <c r="U119"/>
      <c r="V119"/>
    </row>
    <row r="120" spans="15:23" x14ac:dyDescent="0.25">
      <c r="O120"/>
      <c r="P120"/>
      <c r="Q120"/>
      <c r="R120"/>
      <c r="S120"/>
      <c r="T120"/>
      <c r="U120"/>
      <c r="V120"/>
    </row>
    <row r="121" spans="15:23" x14ac:dyDescent="0.25">
      <c r="O121"/>
      <c r="P121"/>
      <c r="Q121"/>
      <c r="R121"/>
      <c r="S121"/>
      <c r="T121"/>
      <c r="U121"/>
      <c r="V121"/>
    </row>
    <row r="122" spans="15:23" x14ac:dyDescent="0.25">
      <c r="O122"/>
      <c r="P122"/>
      <c r="Q122"/>
      <c r="R122"/>
      <c r="S122"/>
      <c r="T122"/>
      <c r="U122"/>
      <c r="V122"/>
    </row>
    <row r="123" spans="15:23" x14ac:dyDescent="0.25">
      <c r="O123"/>
      <c r="P123"/>
      <c r="Q123"/>
      <c r="R123"/>
      <c r="S123"/>
      <c r="T123"/>
      <c r="U123"/>
      <c r="V123"/>
    </row>
    <row r="124" spans="15:23" x14ac:dyDescent="0.25">
      <c r="O124"/>
      <c r="P124"/>
      <c r="Q124"/>
      <c r="R124"/>
      <c r="S124"/>
      <c r="T124"/>
      <c r="U124"/>
      <c r="V124"/>
    </row>
    <row r="125" spans="15:23" x14ac:dyDescent="0.25">
      <c r="O125"/>
      <c r="P125"/>
      <c r="Q125"/>
      <c r="R125"/>
      <c r="S125"/>
      <c r="T125"/>
      <c r="U125"/>
      <c r="V125"/>
    </row>
    <row r="126" spans="15:23" x14ac:dyDescent="0.25">
      <c r="O126"/>
      <c r="P126"/>
      <c r="Q126"/>
      <c r="R126"/>
      <c r="S126"/>
      <c r="T126"/>
      <c r="U126"/>
      <c r="V126"/>
    </row>
    <row r="127" spans="15:23" x14ac:dyDescent="0.25">
      <c r="O127"/>
      <c r="P127"/>
      <c r="Q127"/>
      <c r="R127"/>
      <c r="S127"/>
      <c r="T127"/>
      <c r="U127"/>
      <c r="V127"/>
    </row>
    <row r="128" spans="15:23" x14ac:dyDescent="0.25">
      <c r="O128"/>
      <c r="P128"/>
      <c r="Q128"/>
      <c r="R128"/>
      <c r="S128"/>
      <c r="T128"/>
      <c r="U128"/>
      <c r="V128"/>
    </row>
    <row r="129" spans="15:22" x14ac:dyDescent="0.25">
      <c r="O129"/>
      <c r="P129"/>
      <c r="Q129"/>
      <c r="R129"/>
      <c r="S129"/>
      <c r="T129"/>
      <c r="U129"/>
      <c r="V129"/>
    </row>
    <row r="130" spans="15:22" x14ac:dyDescent="0.25">
      <c r="O130"/>
      <c r="P130"/>
      <c r="Q130"/>
      <c r="R130"/>
      <c r="S130"/>
      <c r="T130"/>
      <c r="U130"/>
      <c r="V130"/>
    </row>
    <row r="131" spans="15:22" x14ac:dyDescent="0.25">
      <c r="O131"/>
      <c r="P131"/>
      <c r="Q131"/>
      <c r="R131"/>
      <c r="S131"/>
      <c r="T131"/>
      <c r="U131"/>
      <c r="V131"/>
    </row>
    <row r="132" spans="15:22" x14ac:dyDescent="0.25">
      <c r="O132"/>
      <c r="P132"/>
      <c r="Q132"/>
      <c r="R132"/>
      <c r="S132"/>
      <c r="T132"/>
      <c r="U132"/>
      <c r="V132"/>
    </row>
    <row r="133" spans="15:22" x14ac:dyDescent="0.25">
      <c r="O133"/>
      <c r="P133"/>
      <c r="Q133"/>
      <c r="R133"/>
      <c r="S133"/>
      <c r="T133"/>
      <c r="U133"/>
      <c r="V133"/>
    </row>
    <row r="134" spans="15:22" x14ac:dyDescent="0.25">
      <c r="O134"/>
      <c r="P134"/>
      <c r="Q134"/>
      <c r="R134"/>
      <c r="S134"/>
      <c r="T134"/>
      <c r="U134"/>
      <c r="V134"/>
    </row>
    <row r="135" spans="15:22" x14ac:dyDescent="0.25">
      <c r="O135"/>
      <c r="P135"/>
      <c r="Q135"/>
      <c r="R135"/>
      <c r="S135"/>
      <c r="T135"/>
      <c r="U135"/>
      <c r="V135"/>
    </row>
    <row r="136" spans="15:22" x14ac:dyDescent="0.25">
      <c r="O136"/>
      <c r="P136"/>
      <c r="Q136"/>
      <c r="R136"/>
      <c r="S136"/>
      <c r="T136"/>
      <c r="U136"/>
      <c r="V136"/>
    </row>
    <row r="137" spans="15:22" x14ac:dyDescent="0.25">
      <c r="O137"/>
      <c r="P137"/>
      <c r="Q137"/>
      <c r="R137"/>
      <c r="S137"/>
      <c r="T137"/>
      <c r="U137"/>
      <c r="V137"/>
    </row>
    <row r="138" spans="15:22" x14ac:dyDescent="0.25">
      <c r="O138"/>
      <c r="P138"/>
      <c r="Q138"/>
      <c r="R138"/>
      <c r="S138"/>
      <c r="T138"/>
      <c r="U138"/>
      <c r="V138"/>
    </row>
    <row r="139" spans="15:22" x14ac:dyDescent="0.25">
      <c r="O139"/>
      <c r="P139"/>
      <c r="Q139"/>
      <c r="R139"/>
      <c r="S139"/>
      <c r="T139"/>
      <c r="U139"/>
      <c r="V139"/>
    </row>
    <row r="140" spans="15:22" x14ac:dyDescent="0.25">
      <c r="O140"/>
      <c r="P140"/>
      <c r="Q140"/>
      <c r="R140"/>
      <c r="S140"/>
      <c r="T140"/>
      <c r="U140"/>
      <c r="V140"/>
    </row>
    <row r="141" spans="15:22" x14ac:dyDescent="0.25">
      <c r="O141"/>
      <c r="P141"/>
      <c r="Q141"/>
      <c r="R141"/>
      <c r="S141"/>
      <c r="T141"/>
      <c r="U141"/>
      <c r="V141"/>
    </row>
    <row r="142" spans="15:22" x14ac:dyDescent="0.25">
      <c r="O142"/>
      <c r="P142"/>
      <c r="Q142"/>
      <c r="R142"/>
      <c r="S142"/>
      <c r="T142"/>
      <c r="U142"/>
      <c r="V142"/>
    </row>
    <row r="143" spans="15:22" x14ac:dyDescent="0.25">
      <c r="O143"/>
      <c r="P143"/>
      <c r="Q143"/>
      <c r="R143"/>
      <c r="S143"/>
      <c r="T143"/>
      <c r="U143"/>
      <c r="V143"/>
    </row>
    <row r="144" spans="15:22" x14ac:dyDescent="0.25">
      <c r="O144"/>
      <c r="P144"/>
      <c r="Q144"/>
      <c r="R144"/>
      <c r="S144"/>
      <c r="T144"/>
      <c r="U144"/>
      <c r="V144"/>
    </row>
    <row r="145" spans="15:22" x14ac:dyDescent="0.25">
      <c r="O145"/>
      <c r="P145"/>
      <c r="Q145"/>
      <c r="R145"/>
      <c r="S145"/>
      <c r="T145"/>
      <c r="U145"/>
      <c r="V145"/>
    </row>
    <row r="146" spans="15:22" x14ac:dyDescent="0.25">
      <c r="O146"/>
      <c r="P146"/>
      <c r="Q146"/>
      <c r="R146"/>
      <c r="S146"/>
      <c r="T146"/>
      <c r="U146"/>
      <c r="V146"/>
    </row>
    <row r="147" spans="15:22" x14ac:dyDescent="0.25">
      <c r="O147"/>
      <c r="P147"/>
      <c r="Q147"/>
      <c r="R147"/>
      <c r="S147"/>
      <c r="T147"/>
      <c r="U147"/>
      <c r="V147"/>
    </row>
    <row r="148" spans="15:22" x14ac:dyDescent="0.25">
      <c r="O148"/>
      <c r="P148"/>
      <c r="Q148"/>
      <c r="R148"/>
      <c r="S148"/>
      <c r="T148"/>
      <c r="U148"/>
      <c r="V148"/>
    </row>
    <row r="149" spans="15:22" x14ac:dyDescent="0.25">
      <c r="O149"/>
      <c r="P149"/>
      <c r="Q149"/>
      <c r="R149"/>
      <c r="S149"/>
      <c r="T149"/>
      <c r="U149"/>
      <c r="V149"/>
    </row>
    <row r="150" spans="15:22" x14ac:dyDescent="0.25">
      <c r="O150"/>
      <c r="P150"/>
      <c r="Q150"/>
      <c r="R150"/>
      <c r="S150"/>
      <c r="T150"/>
      <c r="U150"/>
      <c r="V150"/>
    </row>
    <row r="151" spans="15:22" x14ac:dyDescent="0.25">
      <c r="O151"/>
      <c r="P151"/>
      <c r="Q151"/>
      <c r="R151"/>
      <c r="S151"/>
      <c r="T151"/>
      <c r="U151"/>
      <c r="V151"/>
    </row>
    <row r="152" spans="15:22" x14ac:dyDescent="0.25">
      <c r="O152"/>
      <c r="P152"/>
      <c r="Q152"/>
      <c r="R152"/>
      <c r="S152"/>
      <c r="T152"/>
      <c r="U152"/>
      <c r="V152"/>
    </row>
    <row r="153" spans="15:22" x14ac:dyDescent="0.25">
      <c r="O153"/>
      <c r="P153"/>
      <c r="Q153"/>
      <c r="R153"/>
      <c r="S153"/>
      <c r="T153"/>
      <c r="U153"/>
      <c r="V153"/>
    </row>
    <row r="154" spans="15:22" x14ac:dyDescent="0.25">
      <c r="O154"/>
      <c r="P154"/>
      <c r="Q154"/>
      <c r="R154"/>
      <c r="S154"/>
      <c r="T154"/>
      <c r="U154"/>
      <c r="V154"/>
    </row>
    <row r="155" spans="15:22" x14ac:dyDescent="0.25">
      <c r="O155"/>
      <c r="P155"/>
      <c r="Q155"/>
      <c r="R155"/>
      <c r="S155"/>
      <c r="T155"/>
      <c r="U155"/>
      <c r="V155"/>
    </row>
    <row r="156" spans="15:22" x14ac:dyDescent="0.25">
      <c r="O156"/>
      <c r="P156"/>
      <c r="Q156"/>
      <c r="R156"/>
      <c r="S156"/>
      <c r="T156"/>
      <c r="U156"/>
    </row>
    <row r="157" spans="15:22" x14ac:dyDescent="0.25">
      <c r="O157"/>
      <c r="P157"/>
      <c r="Q157"/>
      <c r="R157"/>
      <c r="S157"/>
      <c r="T157"/>
      <c r="U157"/>
    </row>
    <row r="158" spans="15:22" x14ac:dyDescent="0.25">
      <c r="O158"/>
      <c r="P158"/>
      <c r="Q158"/>
      <c r="R158"/>
      <c r="S158"/>
      <c r="T158"/>
      <c r="U158"/>
    </row>
    <row r="159" spans="15:22" x14ac:dyDescent="0.25">
      <c r="O159"/>
      <c r="P159"/>
      <c r="Q159"/>
      <c r="R159"/>
      <c r="S159"/>
      <c r="T159"/>
      <c r="U159"/>
    </row>
    <row r="160" spans="15:22" x14ac:dyDescent="0.25">
      <c r="O160"/>
      <c r="P160"/>
      <c r="Q160"/>
      <c r="R160"/>
      <c r="S160"/>
      <c r="T160"/>
      <c r="U160"/>
    </row>
    <row r="161" spans="15:21" x14ac:dyDescent="0.25">
      <c r="O161"/>
      <c r="P161"/>
      <c r="Q161"/>
      <c r="R161"/>
      <c r="S161"/>
      <c r="T161"/>
      <c r="U161"/>
    </row>
    <row r="162" spans="15:21" x14ac:dyDescent="0.25">
      <c r="O162"/>
      <c r="P162"/>
      <c r="Q162"/>
      <c r="R162"/>
      <c r="S162"/>
      <c r="T162"/>
      <c r="U162"/>
    </row>
    <row r="163" spans="15:21" x14ac:dyDescent="0.25">
      <c r="O163"/>
      <c r="P163"/>
      <c r="Q163"/>
      <c r="R163"/>
      <c r="S163"/>
      <c r="T163"/>
      <c r="U163"/>
    </row>
    <row r="164" spans="15:21" x14ac:dyDescent="0.25">
      <c r="O164"/>
      <c r="P164"/>
      <c r="Q164"/>
      <c r="R164"/>
      <c r="S164"/>
      <c r="T164"/>
      <c r="U164"/>
    </row>
    <row r="165" spans="15:21" x14ac:dyDescent="0.25">
      <c r="O165"/>
      <c r="P165"/>
      <c r="Q165"/>
      <c r="R165"/>
      <c r="S165"/>
      <c r="T165"/>
      <c r="U165"/>
    </row>
    <row r="166" spans="15:21" x14ac:dyDescent="0.25">
      <c r="O166"/>
      <c r="P166"/>
      <c r="Q166"/>
      <c r="R166"/>
      <c r="S166"/>
      <c r="T166"/>
      <c r="U166"/>
    </row>
    <row r="167" spans="15:21" x14ac:dyDescent="0.25">
      <c r="O167"/>
      <c r="P167"/>
      <c r="Q167"/>
      <c r="R167"/>
      <c r="S167"/>
      <c r="T167"/>
      <c r="U167"/>
    </row>
    <row r="168" spans="15:21" x14ac:dyDescent="0.25">
      <c r="O168"/>
      <c r="P168"/>
      <c r="Q168"/>
      <c r="R168"/>
      <c r="S168"/>
      <c r="T168"/>
      <c r="U168"/>
    </row>
    <row r="169" spans="15:21" x14ac:dyDescent="0.25">
      <c r="O169"/>
      <c r="P169"/>
      <c r="Q169"/>
      <c r="R169"/>
      <c r="S169"/>
      <c r="T169"/>
      <c r="U169"/>
    </row>
    <row r="170" spans="15:21" x14ac:dyDescent="0.25">
      <c r="O170"/>
      <c r="P170"/>
      <c r="Q170"/>
      <c r="R170"/>
      <c r="S170"/>
      <c r="T170"/>
      <c r="U170"/>
    </row>
    <row r="171" spans="15:21" x14ac:dyDescent="0.25">
      <c r="O171"/>
      <c r="P171"/>
      <c r="Q171"/>
      <c r="R171"/>
      <c r="S171"/>
      <c r="T171"/>
      <c r="U171"/>
    </row>
    <row r="172" spans="15:21" x14ac:dyDescent="0.25">
      <c r="O172"/>
      <c r="P172"/>
      <c r="Q172"/>
      <c r="R172"/>
      <c r="S172"/>
      <c r="T172"/>
      <c r="U172"/>
    </row>
    <row r="173" spans="15:21" x14ac:dyDescent="0.25">
      <c r="O173"/>
      <c r="P173"/>
      <c r="Q173"/>
      <c r="R173"/>
      <c r="S173"/>
      <c r="T173"/>
      <c r="U173"/>
    </row>
    <row r="174" spans="15:21" x14ac:dyDescent="0.25">
      <c r="O174"/>
      <c r="P174"/>
      <c r="Q174"/>
      <c r="R174"/>
      <c r="S174"/>
      <c r="T174"/>
      <c r="U174"/>
    </row>
    <row r="175" spans="15:21" x14ac:dyDescent="0.25">
      <c r="O175"/>
      <c r="P175"/>
      <c r="Q175"/>
      <c r="R175"/>
      <c r="S175"/>
      <c r="T175"/>
      <c r="U175"/>
    </row>
    <row r="176" spans="15:21" x14ac:dyDescent="0.25">
      <c r="O176"/>
      <c r="P176"/>
      <c r="Q176"/>
      <c r="R176"/>
      <c r="S176"/>
      <c r="T176"/>
      <c r="U176"/>
    </row>
    <row r="177" spans="15:21" x14ac:dyDescent="0.25">
      <c r="O177"/>
      <c r="P177"/>
      <c r="Q177"/>
      <c r="R177"/>
      <c r="S177"/>
      <c r="T177"/>
      <c r="U177"/>
    </row>
    <row r="178" spans="15:21" x14ac:dyDescent="0.25">
      <c r="O178"/>
      <c r="P178"/>
      <c r="Q178"/>
      <c r="R178"/>
      <c r="S178"/>
      <c r="T178"/>
      <c r="U178"/>
    </row>
    <row r="179" spans="15:21" x14ac:dyDescent="0.25">
      <c r="O179"/>
      <c r="P179"/>
      <c r="Q179"/>
      <c r="R179"/>
      <c r="S179"/>
      <c r="T179"/>
      <c r="U179"/>
    </row>
    <row r="180" spans="15:21" x14ac:dyDescent="0.25">
      <c r="O180"/>
      <c r="P180"/>
      <c r="Q180"/>
      <c r="R180"/>
      <c r="S180"/>
      <c r="T180"/>
      <c r="U180"/>
    </row>
    <row r="181" spans="15:21" x14ac:dyDescent="0.25">
      <c r="O181"/>
      <c r="P181"/>
      <c r="Q181"/>
      <c r="R181"/>
      <c r="S181"/>
      <c r="T181"/>
      <c r="U181"/>
    </row>
    <row r="182" spans="15:21" x14ac:dyDescent="0.25">
      <c r="O182"/>
      <c r="P182"/>
      <c r="Q182"/>
      <c r="R182"/>
      <c r="S182"/>
      <c r="T182"/>
      <c r="U182"/>
    </row>
    <row r="183" spans="15:21" x14ac:dyDescent="0.25">
      <c r="O183"/>
      <c r="P183"/>
      <c r="Q183"/>
      <c r="R183"/>
      <c r="S183"/>
      <c r="T183"/>
      <c r="U183"/>
    </row>
    <row r="184" spans="15:21" x14ac:dyDescent="0.25">
      <c r="O184"/>
      <c r="P184"/>
      <c r="Q184"/>
      <c r="R184"/>
      <c r="S184"/>
      <c r="T184"/>
      <c r="U184"/>
    </row>
    <row r="185" spans="15:21" x14ac:dyDescent="0.25">
      <c r="O185"/>
      <c r="P185"/>
      <c r="Q185"/>
      <c r="R185"/>
      <c r="S185"/>
      <c r="T185"/>
      <c r="U185"/>
    </row>
    <row r="186" spans="15:21" x14ac:dyDescent="0.25">
      <c r="O186"/>
      <c r="P186"/>
      <c r="Q186"/>
      <c r="R186"/>
      <c r="S186"/>
      <c r="T186"/>
      <c r="U186"/>
    </row>
    <row r="187" spans="15:21" x14ac:dyDescent="0.25">
      <c r="O187"/>
      <c r="P187"/>
      <c r="Q187"/>
      <c r="R187"/>
      <c r="S187"/>
      <c r="T187"/>
      <c r="U187"/>
    </row>
    <row r="188" spans="15:21" x14ac:dyDescent="0.25">
      <c r="O188"/>
      <c r="P188"/>
      <c r="Q188"/>
      <c r="R188"/>
      <c r="S188"/>
      <c r="T188"/>
      <c r="U188"/>
    </row>
    <row r="189" spans="15:21" x14ac:dyDescent="0.25">
      <c r="O189"/>
      <c r="P189"/>
      <c r="Q189"/>
      <c r="R189"/>
      <c r="S189"/>
      <c r="T189"/>
      <c r="U189"/>
    </row>
    <row r="190" spans="15:21" x14ac:dyDescent="0.25">
      <c r="O190"/>
      <c r="P190"/>
      <c r="Q190"/>
      <c r="R190"/>
      <c r="S190"/>
      <c r="T190"/>
      <c r="U190"/>
    </row>
    <row r="191" spans="15:21" x14ac:dyDescent="0.25">
      <c r="O191"/>
      <c r="P191"/>
      <c r="Q191"/>
      <c r="R191"/>
      <c r="S191"/>
      <c r="T191"/>
      <c r="U191"/>
    </row>
    <row r="192" spans="15:21" x14ac:dyDescent="0.25">
      <c r="O192"/>
      <c r="P192"/>
      <c r="Q192"/>
      <c r="R192"/>
      <c r="S192"/>
      <c r="T192"/>
      <c r="U192"/>
    </row>
    <row r="193" spans="15:21" x14ac:dyDescent="0.25">
      <c r="O193"/>
      <c r="P193"/>
      <c r="Q193"/>
      <c r="R193"/>
      <c r="S193"/>
      <c r="T193"/>
      <c r="U193"/>
    </row>
    <row r="194" spans="15:21" x14ac:dyDescent="0.25">
      <c r="O194"/>
      <c r="P194"/>
      <c r="Q194"/>
      <c r="R194"/>
      <c r="S194"/>
      <c r="T194"/>
      <c r="U194"/>
    </row>
    <row r="195" spans="15:21" x14ac:dyDescent="0.25">
      <c r="O195"/>
      <c r="P195"/>
      <c r="Q195"/>
      <c r="R195"/>
      <c r="S195"/>
      <c r="T195"/>
      <c r="U195"/>
    </row>
    <row r="196" spans="15:21" x14ac:dyDescent="0.25">
      <c r="O196"/>
      <c r="P196"/>
      <c r="Q196"/>
      <c r="R196"/>
      <c r="S196"/>
      <c r="T196"/>
      <c r="U196"/>
    </row>
    <row r="197" spans="15:21" x14ac:dyDescent="0.25">
      <c r="O197"/>
      <c r="P197"/>
      <c r="Q197"/>
      <c r="R197"/>
      <c r="S197"/>
      <c r="T197"/>
      <c r="U197"/>
    </row>
    <row r="198" spans="15:21" x14ac:dyDescent="0.25">
      <c r="O198"/>
      <c r="P198"/>
      <c r="Q198"/>
      <c r="R198"/>
      <c r="S198"/>
      <c r="T198"/>
      <c r="U198"/>
    </row>
    <row r="199" spans="15:21" x14ac:dyDescent="0.25">
      <c r="O199"/>
      <c r="P199"/>
      <c r="Q199"/>
      <c r="R199"/>
      <c r="S199"/>
      <c r="T199"/>
      <c r="U199"/>
    </row>
    <row r="200" spans="15:21" x14ac:dyDescent="0.25">
      <c r="O200"/>
      <c r="P200"/>
      <c r="Q200"/>
      <c r="R200"/>
      <c r="S200"/>
      <c r="T200"/>
      <c r="U200"/>
    </row>
    <row r="201" spans="15:21" x14ac:dyDescent="0.25">
      <c r="O201"/>
      <c r="P201"/>
      <c r="Q201"/>
      <c r="R201"/>
      <c r="S201"/>
      <c r="T201"/>
      <c r="U201"/>
    </row>
    <row r="202" spans="15:21" x14ac:dyDescent="0.25">
      <c r="O202"/>
      <c r="P202"/>
      <c r="Q202"/>
      <c r="R202"/>
      <c r="S202"/>
      <c r="T202"/>
      <c r="U202"/>
    </row>
    <row r="203" spans="15:21" x14ac:dyDescent="0.25">
      <c r="O203"/>
      <c r="P203"/>
      <c r="Q203"/>
      <c r="R203"/>
      <c r="S203"/>
      <c r="T203"/>
      <c r="U203"/>
    </row>
    <row r="204" spans="15:21" x14ac:dyDescent="0.25">
      <c r="O204"/>
      <c r="P204"/>
      <c r="Q204"/>
      <c r="R204"/>
      <c r="S204"/>
      <c r="T204"/>
      <c r="U204"/>
    </row>
    <row r="205" spans="15:21" x14ac:dyDescent="0.25">
      <c r="O205"/>
      <c r="P205"/>
      <c r="Q205"/>
      <c r="R205"/>
      <c r="S205"/>
      <c r="T205"/>
      <c r="U205"/>
    </row>
    <row r="206" spans="15:21" x14ac:dyDescent="0.25">
      <c r="O206"/>
      <c r="P206"/>
      <c r="Q206"/>
      <c r="R206"/>
      <c r="S206"/>
      <c r="T206"/>
      <c r="U206"/>
    </row>
    <row r="207" spans="15:21" x14ac:dyDescent="0.25">
      <c r="O207"/>
      <c r="P207"/>
      <c r="Q207"/>
      <c r="R207"/>
      <c r="S207"/>
      <c r="T207"/>
      <c r="U207"/>
    </row>
    <row r="208" spans="15:21" x14ac:dyDescent="0.25">
      <c r="O208"/>
      <c r="P208"/>
      <c r="Q208"/>
      <c r="R208"/>
      <c r="S208"/>
      <c r="T208"/>
      <c r="U208"/>
    </row>
    <row r="209" spans="15:21" x14ac:dyDescent="0.25">
      <c r="O209"/>
      <c r="P209"/>
      <c r="Q209"/>
      <c r="R209"/>
      <c r="S209"/>
      <c r="T209"/>
      <c r="U209"/>
    </row>
    <row r="210" spans="15:21" x14ac:dyDescent="0.25">
      <c r="O210"/>
      <c r="P210"/>
      <c r="Q210"/>
      <c r="R210"/>
      <c r="S210"/>
      <c r="T210"/>
      <c r="U210"/>
    </row>
    <row r="211" spans="15:21" x14ac:dyDescent="0.25">
      <c r="O211"/>
      <c r="P211"/>
      <c r="Q211"/>
      <c r="R211"/>
      <c r="S211"/>
      <c r="T211"/>
      <c r="U211"/>
    </row>
    <row r="212" spans="15:21" x14ac:dyDescent="0.25">
      <c r="O212"/>
      <c r="P212"/>
      <c r="Q212"/>
      <c r="R212"/>
      <c r="S212"/>
      <c r="T212"/>
      <c r="U212"/>
    </row>
    <row r="213" spans="15:21" x14ac:dyDescent="0.25">
      <c r="O213"/>
      <c r="P213"/>
      <c r="Q213"/>
      <c r="R213"/>
      <c r="S213"/>
      <c r="T213"/>
      <c r="U213"/>
    </row>
    <row r="214" spans="15:21" x14ac:dyDescent="0.25">
      <c r="O214"/>
      <c r="P214"/>
      <c r="Q214"/>
      <c r="R214"/>
      <c r="S214"/>
      <c r="T214"/>
      <c r="U214"/>
    </row>
    <row r="215" spans="15:21" x14ac:dyDescent="0.25">
      <c r="O215"/>
      <c r="P215"/>
      <c r="Q215"/>
      <c r="R215"/>
      <c r="S215"/>
      <c r="T215"/>
      <c r="U215"/>
    </row>
    <row r="216" spans="15:21" x14ac:dyDescent="0.25">
      <c r="O216"/>
      <c r="P216"/>
      <c r="Q216"/>
      <c r="R216"/>
      <c r="S216"/>
      <c r="T216"/>
      <c r="U216"/>
    </row>
    <row r="217" spans="15:21" x14ac:dyDescent="0.25">
      <c r="O217"/>
      <c r="P217"/>
      <c r="Q217"/>
      <c r="R217"/>
      <c r="S217"/>
      <c r="T217"/>
      <c r="U217"/>
    </row>
    <row r="218" spans="15:21" x14ac:dyDescent="0.25">
      <c r="O218"/>
      <c r="P218"/>
      <c r="Q218"/>
      <c r="R218"/>
      <c r="S218"/>
      <c r="T218"/>
      <c r="U218"/>
    </row>
    <row r="219" spans="15:21" x14ac:dyDescent="0.25">
      <c r="O219"/>
      <c r="P219"/>
      <c r="Q219"/>
      <c r="R219"/>
      <c r="S219"/>
      <c r="T219"/>
      <c r="U219"/>
    </row>
    <row r="220" spans="15:21" x14ac:dyDescent="0.25">
      <c r="O220"/>
      <c r="P220"/>
      <c r="Q220"/>
      <c r="R220"/>
      <c r="S220"/>
      <c r="T220"/>
      <c r="U220"/>
    </row>
    <row r="221" spans="15:21" x14ac:dyDescent="0.25">
      <c r="O221"/>
      <c r="P221"/>
      <c r="Q221"/>
      <c r="R221"/>
      <c r="S221"/>
      <c r="T221"/>
      <c r="U221"/>
    </row>
    <row r="222" spans="15:21" x14ac:dyDescent="0.25">
      <c r="O222"/>
      <c r="P222"/>
      <c r="Q222"/>
      <c r="R222"/>
      <c r="S222"/>
      <c r="T222"/>
      <c r="U222"/>
    </row>
    <row r="223" spans="15:21" x14ac:dyDescent="0.25">
      <c r="O223"/>
      <c r="P223"/>
      <c r="Q223"/>
      <c r="R223"/>
      <c r="S223"/>
      <c r="T223"/>
      <c r="U223"/>
    </row>
    <row r="224" spans="15:21" x14ac:dyDescent="0.25">
      <c r="O224"/>
      <c r="P224"/>
      <c r="Q224"/>
      <c r="R224"/>
      <c r="S224"/>
      <c r="T224"/>
      <c r="U224"/>
    </row>
    <row r="225" spans="15:21" x14ac:dyDescent="0.25">
      <c r="O225"/>
      <c r="P225"/>
      <c r="Q225"/>
      <c r="R225"/>
      <c r="S225"/>
      <c r="T225"/>
      <c r="U225"/>
    </row>
    <row r="226" spans="15:21" x14ac:dyDescent="0.25">
      <c r="O226"/>
      <c r="P226"/>
      <c r="Q226"/>
      <c r="R226"/>
      <c r="S226"/>
      <c r="T226"/>
      <c r="U226"/>
    </row>
    <row r="227" spans="15:21" x14ac:dyDescent="0.25">
      <c r="O227"/>
      <c r="P227"/>
      <c r="Q227"/>
      <c r="R227"/>
      <c r="S227"/>
      <c r="T227"/>
    </row>
    <row r="228" spans="15:21" x14ac:dyDescent="0.25">
      <c r="O228"/>
      <c r="P228"/>
      <c r="Q228"/>
      <c r="R228"/>
      <c r="S228"/>
      <c r="T228"/>
    </row>
    <row r="229" spans="15:21" x14ac:dyDescent="0.25">
      <c r="O229"/>
      <c r="P229"/>
      <c r="Q229"/>
      <c r="R229"/>
      <c r="S229"/>
      <c r="T229"/>
    </row>
    <row r="230" spans="15:21" x14ac:dyDescent="0.25">
      <c r="O230"/>
      <c r="P230"/>
      <c r="Q230"/>
      <c r="R230"/>
      <c r="S230"/>
      <c r="T230"/>
    </row>
    <row r="231" spans="15:21" x14ac:dyDescent="0.25">
      <c r="O231"/>
      <c r="P231"/>
      <c r="Q231"/>
      <c r="R231"/>
      <c r="S231"/>
      <c r="T231"/>
    </row>
    <row r="232" spans="15:21" x14ac:dyDescent="0.25">
      <c r="O232"/>
      <c r="P232"/>
      <c r="Q232"/>
      <c r="R232"/>
      <c r="S232"/>
      <c r="T232"/>
    </row>
    <row r="233" spans="15:21" x14ac:dyDescent="0.25">
      <c r="O233"/>
      <c r="P233"/>
      <c r="Q233"/>
      <c r="R233"/>
      <c r="S233"/>
      <c r="T233"/>
    </row>
    <row r="234" spans="15:21" x14ac:dyDescent="0.25">
      <c r="O234"/>
      <c r="P234"/>
      <c r="Q234"/>
      <c r="R234"/>
      <c r="S234"/>
      <c r="T234"/>
    </row>
    <row r="235" spans="15:21" x14ac:dyDescent="0.25">
      <c r="O235"/>
      <c r="P235"/>
      <c r="Q235"/>
      <c r="R235"/>
      <c r="S235"/>
      <c r="T235"/>
    </row>
    <row r="236" spans="15:21" x14ac:dyDescent="0.25">
      <c r="O236"/>
      <c r="P236"/>
      <c r="Q236"/>
      <c r="R236"/>
      <c r="S236"/>
      <c r="T236"/>
    </row>
    <row r="237" spans="15:21" x14ac:dyDescent="0.25">
      <c r="O237"/>
      <c r="P237"/>
      <c r="Q237"/>
      <c r="R237"/>
      <c r="S237"/>
      <c r="T237"/>
    </row>
    <row r="238" spans="15:21" x14ac:dyDescent="0.25">
      <c r="O238"/>
      <c r="P238"/>
      <c r="Q238"/>
      <c r="R238"/>
      <c r="S238"/>
      <c r="T238"/>
    </row>
    <row r="239" spans="15:21" x14ac:dyDescent="0.25">
      <c r="O239"/>
      <c r="P239"/>
      <c r="Q239"/>
      <c r="R239"/>
      <c r="S239"/>
      <c r="T239"/>
    </row>
    <row r="240" spans="15:21" x14ac:dyDescent="0.25">
      <c r="O240"/>
      <c r="P240"/>
      <c r="Q240"/>
      <c r="R240"/>
      <c r="S240"/>
      <c r="T240"/>
    </row>
    <row r="241" spans="15:20" x14ac:dyDescent="0.25">
      <c r="O241"/>
      <c r="P241"/>
      <c r="Q241"/>
      <c r="R241"/>
      <c r="S241"/>
      <c r="T241"/>
    </row>
    <row r="242" spans="15:20" x14ac:dyDescent="0.25">
      <c r="O242"/>
      <c r="P242"/>
      <c r="Q242"/>
      <c r="R242"/>
      <c r="S242"/>
      <c r="T242"/>
    </row>
    <row r="243" spans="15:20" x14ac:dyDescent="0.25">
      <c r="O243"/>
      <c r="P243"/>
      <c r="Q243"/>
      <c r="R243"/>
      <c r="S243"/>
      <c r="T243"/>
    </row>
    <row r="244" spans="15:20" x14ac:dyDescent="0.25">
      <c r="O244"/>
      <c r="P244"/>
      <c r="Q244"/>
      <c r="R244"/>
      <c r="S244"/>
      <c r="T244"/>
    </row>
    <row r="245" spans="15:20" x14ac:dyDescent="0.25">
      <c r="O245"/>
      <c r="P245"/>
      <c r="Q245"/>
      <c r="R245"/>
      <c r="S245"/>
      <c r="T245"/>
    </row>
    <row r="246" spans="15:20" x14ac:dyDescent="0.25">
      <c r="O246"/>
      <c r="P246"/>
      <c r="Q246"/>
      <c r="R246"/>
      <c r="S246"/>
      <c r="T246"/>
    </row>
    <row r="247" spans="15:20" x14ac:dyDescent="0.25">
      <c r="O247"/>
      <c r="P247"/>
      <c r="Q247"/>
      <c r="R247"/>
      <c r="S247"/>
      <c r="T247"/>
    </row>
    <row r="248" spans="15:20" x14ac:dyDescent="0.25">
      <c r="O248"/>
      <c r="P248"/>
      <c r="Q248"/>
      <c r="R248"/>
      <c r="S248"/>
      <c r="T248"/>
    </row>
    <row r="249" spans="15:20" x14ac:dyDescent="0.25">
      <c r="O249"/>
      <c r="P249"/>
      <c r="Q249"/>
      <c r="R249"/>
      <c r="S249"/>
      <c r="T249"/>
    </row>
    <row r="250" spans="15:20" x14ac:dyDescent="0.25">
      <c r="O250"/>
      <c r="P250"/>
      <c r="Q250"/>
      <c r="R250"/>
      <c r="S250"/>
      <c r="T250"/>
    </row>
    <row r="251" spans="15:20" x14ac:dyDescent="0.25">
      <c r="O251"/>
      <c r="P251"/>
      <c r="Q251"/>
      <c r="R251"/>
      <c r="S251"/>
      <c r="T251"/>
    </row>
    <row r="252" spans="15:20" x14ac:dyDescent="0.25">
      <c r="O252"/>
      <c r="P252"/>
      <c r="Q252"/>
      <c r="R252"/>
      <c r="S252"/>
      <c r="T252"/>
    </row>
    <row r="253" spans="15:20" x14ac:dyDescent="0.25">
      <c r="O253"/>
      <c r="P253"/>
      <c r="Q253"/>
      <c r="R253"/>
      <c r="S253"/>
      <c r="T253"/>
    </row>
    <row r="254" spans="15:20" x14ac:dyDescent="0.25">
      <c r="O254"/>
      <c r="P254"/>
      <c r="Q254"/>
      <c r="R254"/>
      <c r="S254"/>
      <c r="T254"/>
    </row>
    <row r="255" spans="15:20" x14ac:dyDescent="0.25">
      <c r="O255"/>
      <c r="P255"/>
      <c r="Q255"/>
      <c r="R255"/>
      <c r="S255"/>
      <c r="T255"/>
    </row>
    <row r="256" spans="15:20" x14ac:dyDescent="0.25">
      <c r="O256"/>
      <c r="P256"/>
      <c r="Q256"/>
      <c r="R256"/>
      <c r="S256"/>
      <c r="T256"/>
    </row>
    <row r="257" spans="15:20" x14ac:dyDescent="0.25">
      <c r="O257"/>
      <c r="P257"/>
      <c r="Q257"/>
      <c r="R257"/>
      <c r="S257"/>
      <c r="T257"/>
    </row>
    <row r="258" spans="15:20" x14ac:dyDescent="0.25">
      <c r="O258"/>
      <c r="P258"/>
      <c r="Q258"/>
      <c r="R258"/>
      <c r="S258"/>
      <c r="T258"/>
    </row>
    <row r="259" spans="15:20" x14ac:dyDescent="0.25">
      <c r="O259"/>
      <c r="P259"/>
      <c r="Q259"/>
      <c r="R259"/>
      <c r="S259"/>
      <c r="T259"/>
    </row>
    <row r="260" spans="15:20" x14ac:dyDescent="0.25">
      <c r="O260"/>
      <c r="P260"/>
      <c r="Q260"/>
      <c r="R260"/>
      <c r="S260"/>
      <c r="T260"/>
    </row>
    <row r="261" spans="15:20" x14ac:dyDescent="0.25">
      <c r="O261"/>
      <c r="P261"/>
      <c r="Q261"/>
      <c r="R261"/>
      <c r="S261"/>
      <c r="T261"/>
    </row>
    <row r="262" spans="15:20" x14ac:dyDescent="0.25">
      <c r="O262"/>
      <c r="P262"/>
      <c r="Q262"/>
      <c r="R262"/>
      <c r="S262"/>
      <c r="T262"/>
    </row>
    <row r="263" spans="15:20" x14ac:dyDescent="0.25">
      <c r="O263"/>
      <c r="P263"/>
      <c r="Q263"/>
      <c r="R263"/>
      <c r="S263"/>
      <c r="T263"/>
    </row>
    <row r="264" spans="15:20" x14ac:dyDescent="0.25">
      <c r="O264"/>
      <c r="P264"/>
      <c r="Q264"/>
      <c r="R264"/>
      <c r="S264"/>
      <c r="T264"/>
    </row>
    <row r="265" spans="15:20" x14ac:dyDescent="0.25">
      <c r="O265"/>
      <c r="P265"/>
      <c r="Q265"/>
      <c r="R265"/>
      <c r="S265"/>
      <c r="T265"/>
    </row>
    <row r="266" spans="15:20" x14ac:dyDescent="0.25">
      <c r="O266"/>
      <c r="P266"/>
      <c r="Q266"/>
      <c r="R266"/>
      <c r="S266"/>
      <c r="T266"/>
    </row>
    <row r="267" spans="15:20" x14ac:dyDescent="0.25">
      <c r="O267"/>
      <c r="P267"/>
      <c r="Q267"/>
      <c r="R267"/>
      <c r="S267"/>
      <c r="T267"/>
    </row>
    <row r="268" spans="15:20" x14ac:dyDescent="0.25">
      <c r="O268"/>
      <c r="P268"/>
      <c r="Q268"/>
      <c r="R268"/>
      <c r="S268"/>
      <c r="T268"/>
    </row>
    <row r="269" spans="15:20" x14ac:dyDescent="0.25">
      <c r="O269"/>
      <c r="P269"/>
      <c r="Q269"/>
      <c r="R269"/>
      <c r="S269"/>
      <c r="T269"/>
    </row>
    <row r="270" spans="15:20" x14ac:dyDescent="0.25">
      <c r="O270"/>
      <c r="P270"/>
      <c r="Q270"/>
      <c r="R270"/>
      <c r="S270"/>
      <c r="T270"/>
    </row>
    <row r="271" spans="15:20" x14ac:dyDescent="0.25">
      <c r="O271"/>
      <c r="P271"/>
      <c r="Q271"/>
      <c r="R271"/>
      <c r="S271"/>
      <c r="T271"/>
    </row>
    <row r="272" spans="15:20" x14ac:dyDescent="0.25">
      <c r="O272"/>
      <c r="P272"/>
      <c r="Q272"/>
      <c r="R272"/>
      <c r="S272"/>
      <c r="T272"/>
    </row>
    <row r="273" spans="15:20" x14ac:dyDescent="0.25">
      <c r="O273"/>
      <c r="P273"/>
      <c r="Q273"/>
      <c r="R273"/>
      <c r="S273"/>
      <c r="T273"/>
    </row>
    <row r="274" spans="15:20" x14ac:dyDescent="0.25">
      <c r="O274"/>
      <c r="P274"/>
      <c r="Q274"/>
      <c r="R274"/>
      <c r="S274"/>
      <c r="T274"/>
    </row>
    <row r="275" spans="15:20" x14ac:dyDescent="0.25">
      <c r="O275"/>
      <c r="P275"/>
      <c r="Q275"/>
      <c r="R275"/>
      <c r="S275"/>
      <c r="T275"/>
    </row>
    <row r="276" spans="15:20" x14ac:dyDescent="0.25">
      <c r="O276"/>
      <c r="P276"/>
      <c r="Q276"/>
      <c r="R276"/>
      <c r="S276"/>
      <c r="T276"/>
    </row>
    <row r="277" spans="15:20" x14ac:dyDescent="0.25">
      <c r="O277"/>
      <c r="P277"/>
      <c r="Q277"/>
      <c r="R277"/>
      <c r="S277"/>
      <c r="T277"/>
    </row>
    <row r="278" spans="15:20" x14ac:dyDescent="0.25">
      <c r="O278"/>
      <c r="P278"/>
      <c r="Q278"/>
      <c r="R278"/>
      <c r="S278"/>
      <c r="T278"/>
    </row>
    <row r="279" spans="15:20" x14ac:dyDescent="0.25">
      <c r="O279"/>
      <c r="P279"/>
      <c r="Q279"/>
      <c r="R279"/>
      <c r="S279"/>
      <c r="T279"/>
    </row>
    <row r="280" spans="15:20" x14ac:dyDescent="0.25">
      <c r="O280"/>
      <c r="P280"/>
      <c r="Q280"/>
      <c r="R280"/>
      <c r="S280"/>
      <c r="T280"/>
    </row>
    <row r="281" spans="15:20" x14ac:dyDescent="0.25">
      <c r="O281"/>
      <c r="P281"/>
      <c r="Q281"/>
      <c r="R281"/>
      <c r="S281"/>
      <c r="T281"/>
    </row>
    <row r="282" spans="15:20" x14ac:dyDescent="0.25">
      <c r="O282"/>
      <c r="P282"/>
      <c r="Q282"/>
      <c r="R282"/>
      <c r="S282"/>
      <c r="T282"/>
    </row>
    <row r="283" spans="15:20" x14ac:dyDescent="0.25">
      <c r="O283"/>
      <c r="P283"/>
      <c r="Q283"/>
      <c r="R283"/>
      <c r="S283"/>
      <c r="T283"/>
    </row>
    <row r="284" spans="15:20" x14ac:dyDescent="0.25">
      <c r="O284"/>
      <c r="P284"/>
      <c r="Q284"/>
      <c r="R284"/>
      <c r="S284"/>
      <c r="T284"/>
    </row>
    <row r="285" spans="15:20" x14ac:dyDescent="0.25">
      <c r="O285"/>
      <c r="P285"/>
      <c r="Q285"/>
      <c r="R285"/>
      <c r="S285"/>
      <c r="T285"/>
    </row>
    <row r="286" spans="15:20" x14ac:dyDescent="0.25">
      <c r="O286"/>
      <c r="P286"/>
      <c r="Q286"/>
      <c r="R286"/>
      <c r="S286"/>
      <c r="T286"/>
    </row>
    <row r="287" spans="15:20" x14ac:dyDescent="0.25">
      <c r="O287"/>
      <c r="P287"/>
      <c r="Q287"/>
      <c r="R287"/>
      <c r="S287"/>
      <c r="T287"/>
    </row>
    <row r="288" spans="15:20" x14ac:dyDescent="0.25">
      <c r="O288"/>
      <c r="P288"/>
      <c r="Q288"/>
      <c r="R288"/>
      <c r="S288"/>
      <c r="T288"/>
    </row>
    <row r="289" spans="15:20" x14ac:dyDescent="0.25">
      <c r="O289"/>
      <c r="P289"/>
      <c r="Q289"/>
      <c r="R289"/>
      <c r="S289"/>
      <c r="T289"/>
    </row>
    <row r="290" spans="15:20" x14ac:dyDescent="0.25">
      <c r="O290"/>
      <c r="P290"/>
      <c r="Q290"/>
      <c r="R290"/>
      <c r="S290"/>
      <c r="T290"/>
    </row>
    <row r="291" spans="15:20" x14ac:dyDescent="0.25">
      <c r="O291"/>
      <c r="P291"/>
      <c r="Q291"/>
      <c r="R291"/>
      <c r="S291"/>
      <c r="T291"/>
    </row>
    <row r="292" spans="15:20" x14ac:dyDescent="0.25">
      <c r="O292"/>
      <c r="P292"/>
      <c r="Q292"/>
      <c r="R292"/>
      <c r="S292"/>
      <c r="T292"/>
    </row>
    <row r="293" spans="15:20" x14ac:dyDescent="0.25">
      <c r="O293"/>
      <c r="P293"/>
      <c r="Q293"/>
      <c r="R293"/>
      <c r="S293"/>
      <c r="T293"/>
    </row>
    <row r="294" spans="15:20" x14ac:dyDescent="0.25">
      <c r="O294"/>
      <c r="P294"/>
      <c r="Q294"/>
      <c r="R294"/>
      <c r="S294"/>
      <c r="T294"/>
    </row>
    <row r="295" spans="15:20" x14ac:dyDescent="0.25">
      <c r="O295"/>
      <c r="P295"/>
      <c r="Q295"/>
      <c r="R295"/>
      <c r="S295"/>
      <c r="T295"/>
    </row>
    <row r="296" spans="15:20" x14ac:dyDescent="0.25">
      <c r="O296"/>
      <c r="P296"/>
      <c r="Q296"/>
      <c r="R296"/>
      <c r="S296"/>
      <c r="T296"/>
    </row>
    <row r="297" spans="15:20" x14ac:dyDescent="0.25">
      <c r="O297"/>
      <c r="P297"/>
      <c r="Q297"/>
      <c r="R297"/>
      <c r="S297"/>
      <c r="T297"/>
    </row>
    <row r="298" spans="15:20" x14ac:dyDescent="0.25">
      <c r="O298"/>
      <c r="P298"/>
      <c r="Q298"/>
      <c r="R298"/>
      <c r="S298"/>
      <c r="T298"/>
    </row>
    <row r="299" spans="15:20" x14ac:dyDescent="0.25">
      <c r="O299"/>
      <c r="P299"/>
      <c r="Q299"/>
      <c r="R299"/>
      <c r="S299"/>
      <c r="T299"/>
    </row>
    <row r="300" spans="15:20" x14ac:dyDescent="0.25">
      <c r="O300"/>
      <c r="P300"/>
      <c r="Q300"/>
      <c r="R300"/>
      <c r="S300"/>
      <c r="T300"/>
    </row>
  </sheetData>
  <printOptions horizontalCentered="1"/>
  <pageMargins left="0.11811023622047245" right="0.11811023622047245" top="0.35433070866141736" bottom="0.55118110236220474" header="0.31496062992125984" footer="0.31496062992125984"/>
  <pageSetup paperSize="9" scale="80" fitToHeight="10" orientation="portrait" horizontalDpi="200" verticalDpi="200" r:id="rId5"/>
  <colBreaks count="3" manualBreakCount="3">
    <brk id="5" max="1048575" man="1"/>
    <brk id="13" max="1048575" man="1"/>
    <brk id="24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B1:E114"/>
  <sheetViews>
    <sheetView showGridLines="0" zoomScale="90" zoomScaleNormal="90" workbookViewId="0">
      <pane ySplit="4" topLeftCell="A56" activePane="bottomLeft" state="frozen"/>
      <selection pane="bottomLeft" activeCell="E80" sqref="E80"/>
    </sheetView>
  </sheetViews>
  <sheetFormatPr defaultRowHeight="15" x14ac:dyDescent="0.25"/>
  <cols>
    <col min="1" max="1" width="2.85546875" customWidth="1"/>
    <col min="2" max="2" width="17.5703125" customWidth="1"/>
    <col min="3" max="3" width="16.28515625" style="13" customWidth="1"/>
    <col min="4" max="4" width="16.5703125" customWidth="1"/>
    <col min="5" max="5" width="16.28515625" customWidth="1"/>
    <col min="6" max="6" width="17.5703125" customWidth="1"/>
    <col min="7" max="7" width="15.28515625" customWidth="1"/>
  </cols>
  <sheetData>
    <row r="1" spans="2:5" ht="18.75" x14ac:dyDescent="0.3">
      <c r="B1" s="31" t="s">
        <v>40</v>
      </c>
      <c r="D1" s="11" t="s">
        <v>7</v>
      </c>
      <c r="E1" s="12">
        <f ca="1">TODAY()</f>
        <v>45167</v>
      </c>
    </row>
    <row r="2" spans="2:5" ht="9.75" customHeight="1" x14ac:dyDescent="0.25"/>
    <row r="3" spans="2:5" ht="9.75" customHeight="1" x14ac:dyDescent="0.25"/>
    <row r="4" spans="2:5" x14ac:dyDescent="0.25">
      <c r="B4" s="7" t="s">
        <v>4</v>
      </c>
      <c r="C4" s="14" t="s">
        <v>0</v>
      </c>
    </row>
    <row r="5" spans="2:5" x14ac:dyDescent="0.25">
      <c r="B5" t="s">
        <v>11</v>
      </c>
      <c r="C5" s="90">
        <v>45141</v>
      </c>
    </row>
    <row r="6" spans="2:5" x14ac:dyDescent="0.25">
      <c r="C6" s="90">
        <v>45142</v>
      </c>
    </row>
    <row r="7" spans="2:5" x14ac:dyDescent="0.25">
      <c r="C7" s="90">
        <v>45146</v>
      </c>
    </row>
    <row r="8" spans="2:5" x14ac:dyDescent="0.25">
      <c r="C8" s="90">
        <v>45147</v>
      </c>
    </row>
    <row r="9" spans="2:5" x14ac:dyDescent="0.25">
      <c r="C9" s="90">
        <v>45149</v>
      </c>
    </row>
    <row r="10" spans="2:5" x14ac:dyDescent="0.25">
      <c r="C10" s="90">
        <v>45154</v>
      </c>
    </row>
    <row r="11" spans="2:5" x14ac:dyDescent="0.25">
      <c r="C11" s="90">
        <v>45155</v>
      </c>
    </row>
    <row r="12" spans="2:5" x14ac:dyDescent="0.25">
      <c r="C12" s="90">
        <v>45156</v>
      </c>
    </row>
    <row r="13" spans="2:5" x14ac:dyDescent="0.25">
      <c r="C13" s="90">
        <v>45160</v>
      </c>
    </row>
    <row r="14" spans="2:5" x14ac:dyDescent="0.25">
      <c r="C14" s="90">
        <v>45161</v>
      </c>
    </row>
    <row r="15" spans="2:5" x14ac:dyDescent="0.25">
      <c r="B15" t="s">
        <v>50</v>
      </c>
      <c r="C15"/>
    </row>
    <row r="16" spans="2:5" x14ac:dyDescent="0.25">
      <c r="B16" t="s">
        <v>22</v>
      </c>
      <c r="C16" s="90">
        <v>45141</v>
      </c>
    </row>
    <row r="17" spans="2:3" x14ac:dyDescent="0.25">
      <c r="C17" s="90">
        <v>45161</v>
      </c>
    </row>
    <row r="18" spans="2:3" x14ac:dyDescent="0.25">
      <c r="B18" t="s">
        <v>96</v>
      </c>
      <c r="C18"/>
    </row>
    <row r="19" spans="2:3" x14ac:dyDescent="0.25">
      <c r="B19" t="s">
        <v>14</v>
      </c>
      <c r="C19" s="90">
        <v>45147</v>
      </c>
    </row>
    <row r="20" spans="2:3" x14ac:dyDescent="0.25">
      <c r="C20" s="90">
        <v>45149</v>
      </c>
    </row>
    <row r="21" spans="2:3" x14ac:dyDescent="0.25">
      <c r="C21" s="90">
        <v>45161</v>
      </c>
    </row>
    <row r="22" spans="2:3" x14ac:dyDescent="0.25">
      <c r="B22" t="s">
        <v>51</v>
      </c>
      <c r="C22"/>
    </row>
    <row r="23" spans="2:3" x14ac:dyDescent="0.25">
      <c r="B23" t="s">
        <v>18</v>
      </c>
      <c r="C23" s="90">
        <v>45141</v>
      </c>
    </row>
    <row r="24" spans="2:3" x14ac:dyDescent="0.25">
      <c r="C24" s="90">
        <v>45142</v>
      </c>
    </row>
    <row r="25" spans="2:3" x14ac:dyDescent="0.25">
      <c r="C25" s="90">
        <v>45146</v>
      </c>
    </row>
    <row r="26" spans="2:3" x14ac:dyDescent="0.25">
      <c r="C26" s="90">
        <v>45148</v>
      </c>
    </row>
    <row r="27" spans="2:3" x14ac:dyDescent="0.25">
      <c r="C27" s="90">
        <v>45149</v>
      </c>
    </row>
    <row r="28" spans="2:3" x14ac:dyDescent="0.25">
      <c r="C28" s="90">
        <v>45152</v>
      </c>
    </row>
    <row r="29" spans="2:3" x14ac:dyDescent="0.25">
      <c r="C29" s="90">
        <v>45155</v>
      </c>
    </row>
    <row r="30" spans="2:3" x14ac:dyDescent="0.25">
      <c r="C30" s="90">
        <v>45159</v>
      </c>
    </row>
    <row r="31" spans="2:3" x14ac:dyDescent="0.25">
      <c r="C31" s="90">
        <v>45160</v>
      </c>
    </row>
    <row r="32" spans="2:3" x14ac:dyDescent="0.25">
      <c r="C32" s="90">
        <v>45161</v>
      </c>
    </row>
    <row r="33" spans="2:3" x14ac:dyDescent="0.25">
      <c r="B33" t="s">
        <v>97</v>
      </c>
      <c r="C33"/>
    </row>
    <row r="34" spans="2:3" x14ac:dyDescent="0.25">
      <c r="B34" t="s">
        <v>15</v>
      </c>
      <c r="C34" s="90">
        <v>45149</v>
      </c>
    </row>
    <row r="35" spans="2:3" x14ac:dyDescent="0.25">
      <c r="B35" t="s">
        <v>52</v>
      </c>
      <c r="C35"/>
    </row>
    <row r="36" spans="2:3" x14ac:dyDescent="0.25">
      <c r="B36" t="s">
        <v>12</v>
      </c>
      <c r="C36" s="90">
        <v>45141</v>
      </c>
    </row>
    <row r="37" spans="2:3" x14ac:dyDescent="0.25">
      <c r="C37" s="90">
        <v>45143</v>
      </c>
    </row>
    <row r="38" spans="2:3" x14ac:dyDescent="0.25">
      <c r="C38" s="90">
        <v>45147</v>
      </c>
    </row>
    <row r="39" spans="2:3" x14ac:dyDescent="0.25">
      <c r="C39" s="90">
        <v>45153</v>
      </c>
    </row>
    <row r="40" spans="2:3" x14ac:dyDescent="0.25">
      <c r="C40" s="90">
        <v>45157</v>
      </c>
    </row>
    <row r="41" spans="2:3" x14ac:dyDescent="0.25">
      <c r="C41" s="90">
        <v>45161</v>
      </c>
    </row>
    <row r="42" spans="2:3" x14ac:dyDescent="0.25">
      <c r="B42" t="s">
        <v>53</v>
      </c>
      <c r="C42"/>
    </row>
    <row r="43" spans="2:3" x14ac:dyDescent="0.25">
      <c r="B43" t="s">
        <v>69</v>
      </c>
      <c r="C43" s="90">
        <v>45158</v>
      </c>
    </row>
    <row r="44" spans="2:3" x14ac:dyDescent="0.25">
      <c r="C44" s="90">
        <v>45159</v>
      </c>
    </row>
    <row r="45" spans="2:3" x14ac:dyDescent="0.25">
      <c r="B45" t="s">
        <v>98</v>
      </c>
      <c r="C45"/>
    </row>
    <row r="46" spans="2:3" x14ac:dyDescent="0.25">
      <c r="B46" t="s">
        <v>68</v>
      </c>
      <c r="C46" s="90">
        <v>45155</v>
      </c>
    </row>
    <row r="47" spans="2:3" x14ac:dyDescent="0.25">
      <c r="B47" t="s">
        <v>99</v>
      </c>
      <c r="C47"/>
    </row>
    <row r="48" spans="2:3" x14ac:dyDescent="0.25">
      <c r="B48" t="s">
        <v>13</v>
      </c>
      <c r="C48" s="90">
        <v>45143</v>
      </c>
    </row>
    <row r="49" spans="2:3" x14ac:dyDescent="0.25">
      <c r="C49" s="90">
        <v>45146</v>
      </c>
    </row>
    <row r="50" spans="2:3" x14ac:dyDescent="0.25">
      <c r="C50" s="90">
        <v>45149</v>
      </c>
    </row>
    <row r="51" spans="2:3" x14ac:dyDescent="0.25">
      <c r="C51" s="90">
        <v>45159</v>
      </c>
    </row>
    <row r="52" spans="2:3" x14ac:dyDescent="0.25">
      <c r="B52" t="s">
        <v>54</v>
      </c>
      <c r="C52"/>
    </row>
    <row r="53" spans="2:3" x14ac:dyDescent="0.25">
      <c r="B53" t="s">
        <v>66</v>
      </c>
      <c r="C53" s="90">
        <v>45148</v>
      </c>
    </row>
    <row r="54" spans="2:3" x14ac:dyDescent="0.25">
      <c r="B54" t="s">
        <v>100</v>
      </c>
      <c r="C54"/>
    </row>
    <row r="55" spans="2:3" x14ac:dyDescent="0.25">
      <c r="B55" t="s">
        <v>67</v>
      </c>
      <c r="C55" s="90">
        <v>45153</v>
      </c>
    </row>
    <row r="56" spans="2:3" x14ac:dyDescent="0.25">
      <c r="C56" s="90">
        <v>45155</v>
      </c>
    </row>
    <row r="57" spans="2:3" x14ac:dyDescent="0.25">
      <c r="C57" s="90">
        <v>45161</v>
      </c>
    </row>
    <row r="58" spans="2:3" x14ac:dyDescent="0.25">
      <c r="B58" t="s">
        <v>101</v>
      </c>
      <c r="C58"/>
    </row>
    <row r="59" spans="2:3" x14ac:dyDescent="0.25">
      <c r="B59" t="s">
        <v>32</v>
      </c>
      <c r="C59" s="90">
        <v>45142</v>
      </c>
    </row>
    <row r="60" spans="2:3" x14ac:dyDescent="0.25">
      <c r="C60" s="90">
        <v>45143</v>
      </c>
    </row>
    <row r="61" spans="2:3" x14ac:dyDescent="0.25">
      <c r="C61" s="90">
        <v>45159</v>
      </c>
    </row>
    <row r="62" spans="2:3" x14ac:dyDescent="0.25">
      <c r="B62" t="s">
        <v>102</v>
      </c>
      <c r="C62"/>
    </row>
    <row r="63" spans="2:3" x14ac:dyDescent="0.25">
      <c r="B63" t="s">
        <v>10</v>
      </c>
      <c r="C63" s="90">
        <v>45140</v>
      </c>
    </row>
    <row r="64" spans="2:3" x14ac:dyDescent="0.25">
      <c r="B64" t="s">
        <v>55</v>
      </c>
      <c r="C64"/>
    </row>
    <row r="65" spans="2:3" x14ac:dyDescent="0.25">
      <c r="B65" t="s">
        <v>41</v>
      </c>
      <c r="C65" s="90">
        <v>45143</v>
      </c>
    </row>
    <row r="66" spans="2:3" x14ac:dyDescent="0.25">
      <c r="C66" s="90">
        <v>45148</v>
      </c>
    </row>
    <row r="67" spans="2:3" x14ac:dyDescent="0.25">
      <c r="B67" t="s">
        <v>56</v>
      </c>
      <c r="C67"/>
    </row>
    <row r="68" spans="2:3" x14ac:dyDescent="0.25">
      <c r="B68" t="s">
        <v>16</v>
      </c>
      <c r="C68" s="90">
        <v>45141</v>
      </c>
    </row>
    <row r="69" spans="2:3" x14ac:dyDescent="0.25">
      <c r="C69" s="90">
        <v>45147</v>
      </c>
    </row>
    <row r="70" spans="2:3" x14ac:dyDescent="0.25">
      <c r="B70" t="s">
        <v>57</v>
      </c>
      <c r="C70"/>
    </row>
    <row r="71" spans="2:3" x14ac:dyDescent="0.25">
      <c r="B71" t="s">
        <v>17</v>
      </c>
      <c r="C71" s="90">
        <v>45147</v>
      </c>
    </row>
    <row r="72" spans="2:3" x14ac:dyDescent="0.25">
      <c r="B72" t="s">
        <v>58</v>
      </c>
      <c r="C72"/>
    </row>
    <row r="73" spans="2:3" x14ac:dyDescent="0.25">
      <c r="B73" t="s">
        <v>5</v>
      </c>
      <c r="C73" s="90">
        <v>45142</v>
      </c>
    </row>
    <row r="74" spans="2:3" x14ac:dyDescent="0.25">
      <c r="C74" s="90">
        <v>45143</v>
      </c>
    </row>
    <row r="75" spans="2:3" x14ac:dyDescent="0.25">
      <c r="C75" s="90">
        <v>45146</v>
      </c>
    </row>
    <row r="76" spans="2:3" x14ac:dyDescent="0.25">
      <c r="C76" s="90">
        <v>45148</v>
      </c>
    </row>
    <row r="77" spans="2:3" x14ac:dyDescent="0.25">
      <c r="C77" s="90">
        <v>45152</v>
      </c>
    </row>
    <row r="78" spans="2:3" x14ac:dyDescent="0.25">
      <c r="C78" s="90">
        <v>45153</v>
      </c>
    </row>
    <row r="79" spans="2:3" x14ac:dyDescent="0.25">
      <c r="C79" s="90">
        <v>45155</v>
      </c>
    </row>
    <row r="80" spans="2:3" x14ac:dyDescent="0.25">
      <c r="C80" s="90">
        <v>45156</v>
      </c>
    </row>
    <row r="81" spans="2:3" x14ac:dyDescent="0.25">
      <c r="C81" s="90">
        <v>45157</v>
      </c>
    </row>
    <row r="82" spans="2:3" x14ac:dyDescent="0.25">
      <c r="C82" s="90">
        <v>45159</v>
      </c>
    </row>
    <row r="83" spans="2:3" x14ac:dyDescent="0.25">
      <c r="C83" s="90">
        <v>45161</v>
      </c>
    </row>
    <row r="84" spans="2:3" x14ac:dyDescent="0.25">
      <c r="C84" t="s">
        <v>5</v>
      </c>
    </row>
    <row r="85" spans="2:3" x14ac:dyDescent="0.25">
      <c r="B85" t="s">
        <v>25</v>
      </c>
      <c r="C85"/>
    </row>
    <row r="86" spans="2:3" x14ac:dyDescent="0.25">
      <c r="B86" s="13" t="s">
        <v>6</v>
      </c>
    </row>
    <row r="87" spans="2:3" x14ac:dyDescent="0.25">
      <c r="C87"/>
    </row>
    <row r="88" spans="2:3" x14ac:dyDescent="0.25">
      <c r="C88"/>
    </row>
    <row r="89" spans="2:3" x14ac:dyDescent="0.25">
      <c r="C89"/>
    </row>
    <row r="90" spans="2:3" x14ac:dyDescent="0.25">
      <c r="C90"/>
    </row>
    <row r="91" spans="2:3" x14ac:dyDescent="0.25">
      <c r="C91"/>
    </row>
    <row r="92" spans="2:3" x14ac:dyDescent="0.25">
      <c r="C92"/>
    </row>
    <row r="93" spans="2:3" x14ac:dyDescent="0.25">
      <c r="C93"/>
    </row>
    <row r="94" spans="2:3" x14ac:dyDescent="0.25">
      <c r="C94"/>
    </row>
    <row r="95" spans="2:3" x14ac:dyDescent="0.25">
      <c r="C95"/>
    </row>
    <row r="96" spans="2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portrait" blackAndWhite="1" r:id="rId2"/>
  <headerFooter>
    <oddFooter>&amp;L&amp;A&amp;C&amp;D&amp;Rстр.&amp;P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>
    <pageSetUpPr fitToPage="1"/>
  </sheetPr>
  <dimension ref="B1:E23"/>
  <sheetViews>
    <sheetView showGridLines="0" workbookViewId="0">
      <selection activeCell="D31" sqref="D31"/>
    </sheetView>
  </sheetViews>
  <sheetFormatPr defaultRowHeight="15" x14ac:dyDescent="0.25"/>
  <cols>
    <col min="1" max="1" width="2.85546875" customWidth="1"/>
    <col min="2" max="2" width="13" customWidth="1"/>
    <col min="3" max="3" width="20.7109375" customWidth="1"/>
    <col min="4" max="6" width="13.42578125" customWidth="1"/>
  </cols>
  <sheetData>
    <row r="1" spans="2:5" ht="21" x14ac:dyDescent="0.35">
      <c r="B1" s="10" t="s">
        <v>8</v>
      </c>
      <c r="C1" s="30"/>
      <c r="D1" s="11" t="s">
        <v>39</v>
      </c>
      <c r="E1" s="12">
        <f ca="1">TODAY()</f>
        <v>45167</v>
      </c>
    </row>
    <row r="2" spans="2:5" ht="15.75" customHeight="1" x14ac:dyDescent="0.25">
      <c r="C2" s="13"/>
    </row>
    <row r="3" spans="2:5" ht="15.75" customHeight="1" x14ac:dyDescent="0.25">
      <c r="B3" s="7" t="s">
        <v>1</v>
      </c>
      <c r="C3" t="s">
        <v>5</v>
      </c>
    </row>
    <row r="4" spans="2:5" ht="15.75" customHeight="1" x14ac:dyDescent="0.25">
      <c r="C4" s="13"/>
    </row>
    <row r="5" spans="2:5" x14ac:dyDescent="0.25">
      <c r="B5" s="14" t="s">
        <v>4</v>
      </c>
      <c r="C5" s="7" t="s">
        <v>9</v>
      </c>
      <c r="D5" t="s">
        <v>38</v>
      </c>
    </row>
    <row r="6" spans="2:5" x14ac:dyDescent="0.25">
      <c r="B6" s="91">
        <v>45142</v>
      </c>
      <c r="C6" s="8" t="s">
        <v>140</v>
      </c>
      <c r="D6" s="9" t="e">
        <v>#NAME?</v>
      </c>
    </row>
    <row r="7" spans="2:5" x14ac:dyDescent="0.25">
      <c r="C7" s="8" t="s">
        <v>156</v>
      </c>
      <c r="D7" s="9" t="e">
        <v>#NAME?</v>
      </c>
    </row>
    <row r="8" spans="2:5" x14ac:dyDescent="0.25">
      <c r="B8" s="91">
        <v>45143</v>
      </c>
      <c r="C8" s="8" t="s">
        <v>140</v>
      </c>
      <c r="D8" s="9" t="e">
        <v>#NAME?</v>
      </c>
    </row>
    <row r="9" spans="2:5" x14ac:dyDescent="0.25">
      <c r="C9" s="8" t="s">
        <v>18</v>
      </c>
      <c r="D9" s="9" t="e">
        <v>#NAME?</v>
      </c>
    </row>
    <row r="10" spans="2:5" x14ac:dyDescent="0.25">
      <c r="C10" s="8" t="s">
        <v>151</v>
      </c>
      <c r="D10" s="9" t="e">
        <v>#NAME?</v>
      </c>
    </row>
    <row r="11" spans="2:5" x14ac:dyDescent="0.25">
      <c r="C11" s="8" t="s">
        <v>156</v>
      </c>
      <c r="D11" s="9" t="e">
        <v>#NAME?</v>
      </c>
    </row>
    <row r="12" spans="2:5" x14ac:dyDescent="0.25">
      <c r="B12" s="91">
        <v>45146</v>
      </c>
      <c r="C12" s="8" t="s">
        <v>156</v>
      </c>
      <c r="D12" s="9" t="e">
        <v>#NAME?</v>
      </c>
    </row>
    <row r="13" spans="2:5" x14ac:dyDescent="0.25">
      <c r="B13" s="91">
        <v>45148</v>
      </c>
      <c r="C13" s="8" t="s">
        <v>18</v>
      </c>
      <c r="D13" s="9" t="e">
        <v>#NAME?</v>
      </c>
    </row>
    <row r="14" spans="2:5" x14ac:dyDescent="0.25">
      <c r="B14" s="91">
        <v>45152</v>
      </c>
      <c r="C14" s="8" t="s">
        <v>139</v>
      </c>
      <c r="D14" s="9" t="e">
        <v>#NAME?</v>
      </c>
    </row>
    <row r="15" spans="2:5" x14ac:dyDescent="0.25">
      <c r="C15" s="8" t="s">
        <v>18</v>
      </c>
      <c r="D15" s="9" t="e">
        <v>#NAME?</v>
      </c>
    </row>
    <row r="16" spans="2:5" x14ac:dyDescent="0.25">
      <c r="B16" s="91">
        <v>45153</v>
      </c>
      <c r="C16" s="8" t="s">
        <v>139</v>
      </c>
      <c r="D16" s="9" t="e">
        <v>#NAME?</v>
      </c>
    </row>
    <row r="17" spans="2:4" x14ac:dyDescent="0.25">
      <c r="B17" s="91">
        <v>45155</v>
      </c>
      <c r="C17" s="8" t="s">
        <v>140</v>
      </c>
      <c r="D17" s="9" t="e">
        <v>#NAME?</v>
      </c>
    </row>
    <row r="18" spans="2:4" x14ac:dyDescent="0.25">
      <c r="B18" s="91">
        <v>45156</v>
      </c>
      <c r="C18" s="8" t="s">
        <v>139</v>
      </c>
      <c r="D18" s="9" t="e">
        <v>#NAME?</v>
      </c>
    </row>
    <row r="19" spans="2:4" x14ac:dyDescent="0.25">
      <c r="B19" s="91">
        <v>45157</v>
      </c>
      <c r="C19" s="8" t="s">
        <v>18</v>
      </c>
      <c r="D19" s="9" t="e">
        <v>#NAME?</v>
      </c>
    </row>
    <row r="20" spans="2:4" x14ac:dyDescent="0.25">
      <c r="B20" s="91">
        <v>45159</v>
      </c>
      <c r="C20" s="8" t="s">
        <v>157</v>
      </c>
      <c r="D20" s="9" t="e">
        <v>#NAME?</v>
      </c>
    </row>
    <row r="21" spans="2:4" x14ac:dyDescent="0.25">
      <c r="B21" s="91">
        <v>45161</v>
      </c>
      <c r="C21" s="8" t="s">
        <v>18</v>
      </c>
      <c r="D21" s="9" t="e">
        <v>#NAME?</v>
      </c>
    </row>
    <row r="22" spans="2:4" x14ac:dyDescent="0.25">
      <c r="B22" s="8" t="s">
        <v>5</v>
      </c>
      <c r="C22" s="8" t="s">
        <v>5</v>
      </c>
      <c r="D22" s="9" t="e">
        <v>#NAME?</v>
      </c>
    </row>
    <row r="23" spans="2:4" x14ac:dyDescent="0.25">
      <c r="B23" s="15" t="s">
        <v>6</v>
      </c>
      <c r="C23" s="13"/>
      <c r="D23" s="9" t="e">
        <v>#NAME?</v>
      </c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10" orientation="portrait" blackAndWhite="1" r:id="rId2"/>
  <headerFooter>
    <oddFooter>&amp;C&amp;A&amp;R&amp;D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>
    <pageSetUpPr fitToPage="1"/>
  </sheetPr>
  <dimension ref="B1:F32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2.85546875" customWidth="1"/>
    <col min="2" max="2" width="15.28515625" customWidth="1"/>
    <col min="3" max="3" width="26.5703125" style="13" customWidth="1"/>
    <col min="4" max="8" width="15" customWidth="1"/>
    <col min="9" max="13" width="14.28515625" customWidth="1"/>
  </cols>
  <sheetData>
    <row r="1" spans="2:6" ht="21" x14ac:dyDescent="0.35">
      <c r="B1" s="10" t="s">
        <v>26</v>
      </c>
      <c r="E1" s="11" t="s">
        <v>7</v>
      </c>
      <c r="F1" s="12">
        <f ca="1">TODAY()</f>
        <v>45167</v>
      </c>
    </row>
    <row r="2" spans="2:6" ht="17.25" customHeight="1" x14ac:dyDescent="0.25">
      <c r="B2" s="7" t="s">
        <v>2</v>
      </c>
      <c r="C2" t="s">
        <v>19</v>
      </c>
    </row>
    <row r="3" spans="2:6" ht="17.25" customHeight="1" x14ac:dyDescent="0.25"/>
    <row r="4" spans="2:6" x14ac:dyDescent="0.25">
      <c r="B4" s="14" t="s">
        <v>4</v>
      </c>
      <c r="C4" s="7" t="s">
        <v>9</v>
      </c>
      <c r="D4" s="7" t="s">
        <v>3</v>
      </c>
    </row>
    <row r="5" spans="2:6" x14ac:dyDescent="0.25">
      <c r="B5" s="91">
        <v>45143</v>
      </c>
      <c r="C5" s="8" t="s">
        <v>156</v>
      </c>
      <c r="D5" s="8" t="s">
        <v>5</v>
      </c>
    </row>
    <row r="6" spans="2:6" x14ac:dyDescent="0.25">
      <c r="B6" s="91">
        <v>45146</v>
      </c>
      <c r="C6" s="8" t="s">
        <v>139</v>
      </c>
      <c r="D6" s="8" t="s">
        <v>5</v>
      </c>
    </row>
    <row r="7" spans="2:6" x14ac:dyDescent="0.25">
      <c r="C7" s="8" t="s">
        <v>156</v>
      </c>
      <c r="D7" s="8" t="s">
        <v>5</v>
      </c>
    </row>
    <row r="8" spans="2:6" x14ac:dyDescent="0.25">
      <c r="B8" s="15" t="s">
        <v>6</v>
      </c>
      <c r="D8" s="13"/>
    </row>
    <row r="9" spans="2:6" x14ac:dyDescent="0.25">
      <c r="C9"/>
    </row>
    <row r="10" spans="2:6" x14ac:dyDescent="0.25">
      <c r="C10"/>
    </row>
    <row r="11" spans="2:6" x14ac:dyDescent="0.25">
      <c r="C11"/>
    </row>
    <row r="12" spans="2:6" x14ac:dyDescent="0.25">
      <c r="C12"/>
    </row>
    <row r="13" spans="2:6" x14ac:dyDescent="0.25">
      <c r="C13"/>
    </row>
    <row r="14" spans="2:6" x14ac:dyDescent="0.25">
      <c r="C14"/>
    </row>
    <row r="15" spans="2:6" x14ac:dyDescent="0.25">
      <c r="C15"/>
    </row>
    <row r="16" spans="2:6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</sheetData>
  <printOptions horizontalCentered="1"/>
  <pageMargins left="0.31496062992125984" right="0.31496062992125984" top="0.74803149606299213" bottom="0.74803149606299213" header="0.31496062992125984" footer="0.31496062992125984"/>
  <pageSetup paperSize="9" fitToHeight="20" orientation="landscape" blackAndWhite="1" r:id="rId2"/>
  <headerFooter>
    <oddFooter>&amp;L&amp;A&amp;C&amp;D&amp;Rстр.&amp;P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B1:U67"/>
  <sheetViews>
    <sheetView showGridLines="0" workbookViewId="0">
      <selection activeCell="E29" sqref="E29"/>
    </sheetView>
  </sheetViews>
  <sheetFormatPr defaultRowHeight="15" x14ac:dyDescent="0.25"/>
  <cols>
    <col min="1" max="1" width="2.7109375" customWidth="1"/>
    <col min="2" max="2" width="14.28515625" customWidth="1"/>
    <col min="3" max="3" width="18.28515625" customWidth="1"/>
    <col min="4" max="4" width="16.42578125" customWidth="1"/>
    <col min="5" max="5" width="18.42578125" customWidth="1"/>
    <col min="6" max="6" width="13.140625" customWidth="1"/>
    <col min="7" max="7" width="11" customWidth="1"/>
    <col min="8" max="9" width="4.140625" customWidth="1"/>
    <col min="10" max="10" width="15.140625" customWidth="1"/>
    <col min="11" max="11" width="17.140625" customWidth="1"/>
    <col min="12" max="12" width="14.5703125" customWidth="1"/>
    <col min="13" max="13" width="12.28515625" customWidth="1"/>
    <col min="14" max="14" width="18.7109375" customWidth="1"/>
    <col min="15" max="16" width="3.28515625" customWidth="1"/>
    <col min="17" max="17" width="18.5703125" customWidth="1"/>
    <col min="18" max="18" width="20.42578125" customWidth="1"/>
    <col min="19" max="19" width="12.7109375" customWidth="1"/>
    <col min="20" max="20" width="12.140625" customWidth="1"/>
    <col min="21" max="21" width="13.42578125" customWidth="1"/>
  </cols>
  <sheetData>
    <row r="1" spans="2:21" s="31" customFormat="1" ht="18.75" x14ac:dyDescent="0.3">
      <c r="B1" s="31" t="s">
        <v>161</v>
      </c>
      <c r="J1" s="31" t="s">
        <v>162</v>
      </c>
      <c r="Q1" s="31" t="s">
        <v>163</v>
      </c>
    </row>
    <row r="3" spans="2:21" x14ac:dyDescent="0.25">
      <c r="B3" s="7" t="s">
        <v>9</v>
      </c>
      <c r="C3" t="s">
        <v>18</v>
      </c>
      <c r="J3" s="7" t="s">
        <v>9</v>
      </c>
      <c r="K3" t="s">
        <v>18</v>
      </c>
      <c r="Q3" s="7" t="s">
        <v>9</v>
      </c>
      <c r="R3" t="s">
        <v>18</v>
      </c>
    </row>
    <row r="5" spans="2:21" x14ac:dyDescent="0.25">
      <c r="B5" s="7" t="s">
        <v>4</v>
      </c>
      <c r="C5" s="7" t="s">
        <v>201</v>
      </c>
      <c r="D5" s="7" t="s">
        <v>1</v>
      </c>
      <c r="E5" s="7" t="s">
        <v>3</v>
      </c>
      <c r="F5" s="7" t="s">
        <v>0</v>
      </c>
      <c r="G5" t="s">
        <v>206</v>
      </c>
      <c r="J5" s="7" t="s">
        <v>4</v>
      </c>
      <c r="K5" s="7" t="s">
        <v>1</v>
      </c>
      <c r="L5" s="7" t="s">
        <v>3</v>
      </c>
      <c r="M5" s="7" t="s">
        <v>0</v>
      </c>
      <c r="N5" t="s">
        <v>206</v>
      </c>
      <c r="Q5" s="7" t="s">
        <v>4</v>
      </c>
      <c r="R5" s="7" t="s">
        <v>201</v>
      </c>
      <c r="S5" s="7" t="s">
        <v>3</v>
      </c>
      <c r="T5" s="7" t="s">
        <v>0</v>
      </c>
      <c r="U5" t="s">
        <v>206</v>
      </c>
    </row>
    <row r="6" spans="2:21" x14ac:dyDescent="0.25">
      <c r="B6" s="8" t="s">
        <v>70</v>
      </c>
      <c r="C6" s="8" t="s">
        <v>184</v>
      </c>
      <c r="D6" s="8" t="s">
        <v>18</v>
      </c>
      <c r="E6" s="8" t="s">
        <v>123</v>
      </c>
      <c r="F6" s="91">
        <v>45160</v>
      </c>
      <c r="G6" s="9">
        <v>2000</v>
      </c>
      <c r="H6" s="9"/>
      <c r="J6" s="8" t="s">
        <v>195</v>
      </c>
      <c r="K6" s="8" t="s">
        <v>66</v>
      </c>
      <c r="L6" s="8" t="s">
        <v>94</v>
      </c>
      <c r="M6" s="91">
        <v>45148</v>
      </c>
      <c r="N6" s="9">
        <v>5000</v>
      </c>
      <c r="O6" s="9"/>
      <c r="Q6" s="8" t="s">
        <v>11</v>
      </c>
      <c r="R6" s="8" t="s">
        <v>185</v>
      </c>
      <c r="S6" s="8" t="s">
        <v>90</v>
      </c>
      <c r="T6" s="91">
        <v>45142</v>
      </c>
      <c r="U6" s="9">
        <v>6000</v>
      </c>
    </row>
    <row r="7" spans="2:21" x14ac:dyDescent="0.25">
      <c r="E7" s="8" t="s">
        <v>5</v>
      </c>
      <c r="F7" s="91">
        <v>45142</v>
      </c>
      <c r="G7" s="9">
        <v>200000</v>
      </c>
      <c r="H7" s="9"/>
      <c r="J7" s="8" t="s">
        <v>207</v>
      </c>
      <c r="N7" s="9">
        <v>5000</v>
      </c>
      <c r="O7" s="9"/>
      <c r="R7" s="8" t="s">
        <v>190</v>
      </c>
      <c r="S7" s="8" t="s">
        <v>95</v>
      </c>
      <c r="T7" s="91">
        <v>45156</v>
      </c>
      <c r="U7" s="9">
        <v>60000</v>
      </c>
    </row>
    <row r="8" spans="2:21" x14ac:dyDescent="0.25">
      <c r="F8" s="91">
        <v>45146</v>
      </c>
      <c r="G8" s="9">
        <v>1000</v>
      </c>
      <c r="H8" s="9"/>
      <c r="J8" s="8" t="s">
        <v>193</v>
      </c>
      <c r="K8" s="8" t="s">
        <v>5</v>
      </c>
      <c r="L8" s="8" t="s">
        <v>5</v>
      </c>
      <c r="M8" s="91">
        <v>45148</v>
      </c>
      <c r="N8" s="9">
        <v>10000</v>
      </c>
      <c r="O8" s="9"/>
      <c r="S8" s="8" t="s">
        <v>5</v>
      </c>
      <c r="T8" s="91">
        <v>45146</v>
      </c>
      <c r="U8" s="9">
        <v>20000</v>
      </c>
    </row>
    <row r="9" spans="2:21" x14ac:dyDescent="0.25">
      <c r="F9" s="91">
        <v>45155</v>
      </c>
      <c r="G9" s="9">
        <v>2200</v>
      </c>
      <c r="H9" s="9"/>
      <c r="J9" s="8" t="s">
        <v>208</v>
      </c>
      <c r="N9" s="9">
        <v>10000</v>
      </c>
      <c r="O9" s="9"/>
      <c r="R9" s="8" t="s">
        <v>196</v>
      </c>
      <c r="S9" s="8" t="s">
        <v>5</v>
      </c>
      <c r="T9" s="91">
        <v>45155</v>
      </c>
      <c r="U9" s="9">
        <v>47258</v>
      </c>
    </row>
    <row r="10" spans="2:21" x14ac:dyDescent="0.25">
      <c r="C10" s="8" t="s">
        <v>196</v>
      </c>
      <c r="D10" s="8" t="s">
        <v>11</v>
      </c>
      <c r="E10" s="8" t="s">
        <v>5</v>
      </c>
      <c r="F10" s="91">
        <v>45155</v>
      </c>
      <c r="G10" s="9">
        <v>47258</v>
      </c>
      <c r="H10" s="9"/>
      <c r="J10" s="8" t="s">
        <v>184</v>
      </c>
      <c r="K10" s="8" t="s">
        <v>18</v>
      </c>
      <c r="L10" s="8" t="s">
        <v>123</v>
      </c>
      <c r="M10" s="91">
        <v>45160</v>
      </c>
      <c r="N10" s="9">
        <v>2000</v>
      </c>
      <c r="O10" s="9"/>
      <c r="Q10" s="8" t="s">
        <v>50</v>
      </c>
      <c r="U10" s="9">
        <v>133258</v>
      </c>
    </row>
    <row r="11" spans="2:21" x14ac:dyDescent="0.25">
      <c r="B11" s="8" t="s">
        <v>158</v>
      </c>
      <c r="G11" s="9">
        <v>252458</v>
      </c>
      <c r="H11" s="9"/>
      <c r="L11" s="8" t="s">
        <v>5</v>
      </c>
      <c r="M11" s="91">
        <v>45142</v>
      </c>
      <c r="N11" s="9">
        <v>200000</v>
      </c>
      <c r="O11" s="9"/>
      <c r="Q11" s="8" t="s">
        <v>14</v>
      </c>
      <c r="R11" s="8" t="s">
        <v>197</v>
      </c>
      <c r="S11" s="8" t="s">
        <v>5</v>
      </c>
      <c r="T11" s="91">
        <v>45149</v>
      </c>
      <c r="U11" s="9">
        <v>10000</v>
      </c>
    </row>
    <row r="12" spans="2:21" x14ac:dyDescent="0.25">
      <c r="B12" s="8" t="s">
        <v>21</v>
      </c>
      <c r="C12" s="8" t="s">
        <v>182</v>
      </c>
      <c r="D12" s="8" t="s">
        <v>18</v>
      </c>
      <c r="E12" s="8" t="s">
        <v>5</v>
      </c>
      <c r="F12" s="91">
        <v>45141</v>
      </c>
      <c r="G12" s="9">
        <v>17000</v>
      </c>
      <c r="H12" s="9"/>
      <c r="M12" s="91">
        <v>45146</v>
      </c>
      <c r="N12" s="9">
        <v>1000</v>
      </c>
      <c r="O12" s="9"/>
      <c r="T12" s="91">
        <v>45161</v>
      </c>
      <c r="U12" s="9">
        <v>10000</v>
      </c>
    </row>
    <row r="13" spans="2:21" x14ac:dyDescent="0.25">
      <c r="F13" s="91">
        <v>45159</v>
      </c>
      <c r="G13" s="9">
        <v>10000</v>
      </c>
      <c r="H13" s="9"/>
      <c r="M13" s="91">
        <v>45155</v>
      </c>
      <c r="N13" s="9">
        <v>2200</v>
      </c>
      <c r="O13" s="9"/>
      <c r="Q13" s="8" t="s">
        <v>51</v>
      </c>
      <c r="U13" s="9">
        <v>20000</v>
      </c>
    </row>
    <row r="14" spans="2:21" x14ac:dyDescent="0.25">
      <c r="F14" s="91">
        <v>45161</v>
      </c>
      <c r="G14" s="9">
        <v>30000</v>
      </c>
      <c r="H14" s="9"/>
      <c r="J14" s="8" t="s">
        <v>209</v>
      </c>
      <c r="N14" s="9">
        <v>205200</v>
      </c>
      <c r="O14" s="9"/>
      <c r="Q14" s="8" t="s">
        <v>18</v>
      </c>
      <c r="R14" s="8" t="s">
        <v>184</v>
      </c>
      <c r="S14" s="8" t="s">
        <v>123</v>
      </c>
      <c r="T14" s="91">
        <v>45160</v>
      </c>
      <c r="U14" s="9">
        <v>2000</v>
      </c>
    </row>
    <row r="15" spans="2:21" x14ac:dyDescent="0.25">
      <c r="C15" s="8" t="s">
        <v>183</v>
      </c>
      <c r="D15" s="8" t="s">
        <v>16</v>
      </c>
      <c r="E15" s="8" t="s">
        <v>5</v>
      </c>
      <c r="F15" s="91">
        <v>45141</v>
      </c>
      <c r="G15" s="9">
        <v>2000</v>
      </c>
      <c r="H15" s="9"/>
      <c r="J15" s="8" t="s">
        <v>182</v>
      </c>
      <c r="K15" s="8" t="s">
        <v>18</v>
      </c>
      <c r="L15" s="8" t="s">
        <v>5</v>
      </c>
      <c r="M15" s="91">
        <v>45141</v>
      </c>
      <c r="N15" s="9">
        <v>17000</v>
      </c>
      <c r="O15" s="9"/>
      <c r="S15" s="8" t="s">
        <v>5</v>
      </c>
      <c r="T15" s="91">
        <v>45142</v>
      </c>
      <c r="U15" s="9">
        <v>200000</v>
      </c>
    </row>
    <row r="16" spans="2:21" x14ac:dyDescent="0.25">
      <c r="F16" s="91">
        <v>45147</v>
      </c>
      <c r="G16" s="9">
        <v>158800</v>
      </c>
      <c r="H16" s="9"/>
      <c r="M16" s="91">
        <v>45159</v>
      </c>
      <c r="N16" s="9">
        <v>10000</v>
      </c>
      <c r="O16" s="9"/>
      <c r="T16" s="91">
        <v>45146</v>
      </c>
      <c r="U16" s="9">
        <v>1000</v>
      </c>
    </row>
    <row r="17" spans="2:21" x14ac:dyDescent="0.25">
      <c r="C17" s="8" t="s">
        <v>191</v>
      </c>
      <c r="D17" s="8" t="s">
        <v>17</v>
      </c>
      <c r="E17" s="8" t="s">
        <v>5</v>
      </c>
      <c r="F17" s="91">
        <v>45147</v>
      </c>
      <c r="G17" s="9">
        <v>100000</v>
      </c>
      <c r="H17" s="9"/>
      <c r="M17" s="91">
        <v>45161</v>
      </c>
      <c r="N17" s="9">
        <v>30000</v>
      </c>
      <c r="O17" s="9"/>
      <c r="T17" s="91">
        <v>45155</v>
      </c>
      <c r="U17" s="9">
        <v>2200</v>
      </c>
    </row>
    <row r="18" spans="2:21" x14ac:dyDescent="0.25">
      <c r="C18" s="8" t="s">
        <v>185</v>
      </c>
      <c r="D18" s="8" t="s">
        <v>11</v>
      </c>
      <c r="E18" s="8" t="s">
        <v>90</v>
      </c>
      <c r="F18" s="91">
        <v>45142</v>
      </c>
      <c r="G18" s="9">
        <v>6000</v>
      </c>
      <c r="H18" s="9"/>
      <c r="J18" s="8" t="s">
        <v>210</v>
      </c>
      <c r="N18" s="9">
        <v>57000</v>
      </c>
      <c r="O18" s="9"/>
      <c r="R18" s="8" t="s">
        <v>182</v>
      </c>
      <c r="S18" s="8" t="s">
        <v>5</v>
      </c>
      <c r="T18" s="91">
        <v>45141</v>
      </c>
      <c r="U18" s="9">
        <v>17000</v>
      </c>
    </row>
    <row r="19" spans="2:21" x14ac:dyDescent="0.25">
      <c r="C19" s="8" t="s">
        <v>190</v>
      </c>
      <c r="D19" s="8" t="s">
        <v>11</v>
      </c>
      <c r="E19" s="8" t="s">
        <v>95</v>
      </c>
      <c r="F19" s="91">
        <v>45156</v>
      </c>
      <c r="G19" s="9">
        <v>60000</v>
      </c>
      <c r="H19" s="9"/>
      <c r="J19" s="8" t="s">
        <v>183</v>
      </c>
      <c r="K19" s="8" t="s">
        <v>16</v>
      </c>
      <c r="L19" s="8" t="s">
        <v>5</v>
      </c>
      <c r="M19" s="91">
        <v>45141</v>
      </c>
      <c r="N19" s="9">
        <v>2000</v>
      </c>
      <c r="O19" s="9"/>
      <c r="T19" s="91">
        <v>45159</v>
      </c>
      <c r="U19" s="9">
        <v>10000</v>
      </c>
    </row>
    <row r="20" spans="2:21" x14ac:dyDescent="0.25">
      <c r="E20" s="8" t="s">
        <v>5</v>
      </c>
      <c r="F20" s="91">
        <v>45146</v>
      </c>
      <c r="G20" s="9">
        <v>20000</v>
      </c>
      <c r="H20" s="9"/>
      <c r="M20" s="91">
        <v>45147</v>
      </c>
      <c r="N20" s="9">
        <v>158800</v>
      </c>
      <c r="O20" s="9"/>
      <c r="T20" s="91">
        <v>45161</v>
      </c>
      <c r="U20" s="9">
        <v>30000</v>
      </c>
    </row>
    <row r="21" spans="2:21" x14ac:dyDescent="0.25">
      <c r="B21" s="8" t="s">
        <v>159</v>
      </c>
      <c r="G21" s="9">
        <v>403800</v>
      </c>
      <c r="H21" s="9"/>
      <c r="J21" s="8" t="s">
        <v>211</v>
      </c>
      <c r="N21" s="9">
        <v>160800</v>
      </c>
      <c r="O21" s="9"/>
      <c r="R21" s="8" t="s">
        <v>189</v>
      </c>
      <c r="S21" s="8" t="s">
        <v>5</v>
      </c>
      <c r="T21" s="91">
        <v>45148</v>
      </c>
      <c r="U21" s="9">
        <v>10000</v>
      </c>
    </row>
    <row r="22" spans="2:21" x14ac:dyDescent="0.25">
      <c r="B22" s="8" t="s">
        <v>20</v>
      </c>
      <c r="C22" s="8" t="s">
        <v>197</v>
      </c>
      <c r="D22" s="8" t="s">
        <v>14</v>
      </c>
      <c r="E22" s="8" t="s">
        <v>5</v>
      </c>
      <c r="F22" s="91">
        <v>45161</v>
      </c>
      <c r="G22" s="9">
        <v>10000</v>
      </c>
      <c r="H22" s="9"/>
      <c r="J22" s="8" t="s">
        <v>191</v>
      </c>
      <c r="K22" s="8" t="s">
        <v>17</v>
      </c>
      <c r="L22" s="8" t="s">
        <v>5</v>
      </c>
      <c r="M22" s="91">
        <v>45147</v>
      </c>
      <c r="N22" s="9">
        <v>100000</v>
      </c>
      <c r="O22" s="9"/>
      <c r="Q22" s="8" t="s">
        <v>97</v>
      </c>
      <c r="U22" s="9">
        <v>272200</v>
      </c>
    </row>
    <row r="23" spans="2:21" x14ac:dyDescent="0.25">
      <c r="C23" s="8" t="s">
        <v>187</v>
      </c>
      <c r="D23" s="8" t="s">
        <v>5</v>
      </c>
      <c r="E23" s="8" t="s">
        <v>5</v>
      </c>
      <c r="F23" s="91">
        <v>45161</v>
      </c>
      <c r="G23" s="9">
        <v>2000</v>
      </c>
      <c r="H23" s="9"/>
      <c r="J23" s="8" t="s">
        <v>212</v>
      </c>
      <c r="N23" s="9">
        <v>100000</v>
      </c>
      <c r="O23" s="9"/>
      <c r="Q23" s="8" t="s">
        <v>15</v>
      </c>
      <c r="R23" s="8" t="s">
        <v>196</v>
      </c>
      <c r="S23" s="8" t="s">
        <v>5</v>
      </c>
      <c r="T23" s="91">
        <v>45149</v>
      </c>
      <c r="U23" s="9">
        <v>25000</v>
      </c>
    </row>
    <row r="24" spans="2:21" x14ac:dyDescent="0.25">
      <c r="C24" s="8" t="s">
        <v>200</v>
      </c>
      <c r="D24" s="8" t="s">
        <v>12</v>
      </c>
      <c r="E24" s="8" t="s">
        <v>5</v>
      </c>
      <c r="F24" s="91">
        <v>45161</v>
      </c>
      <c r="G24" s="9">
        <v>10000</v>
      </c>
      <c r="H24" s="9"/>
      <c r="J24" s="8" t="s">
        <v>185</v>
      </c>
      <c r="K24" s="8" t="s">
        <v>11</v>
      </c>
      <c r="L24" s="8" t="s">
        <v>90</v>
      </c>
      <c r="M24" s="91">
        <v>45142</v>
      </c>
      <c r="N24" s="9">
        <v>6000</v>
      </c>
      <c r="O24" s="9"/>
      <c r="Q24" s="8" t="s">
        <v>52</v>
      </c>
      <c r="U24" s="9">
        <v>25000</v>
      </c>
    </row>
    <row r="25" spans="2:21" x14ac:dyDescent="0.25">
      <c r="C25" s="8" t="s">
        <v>189</v>
      </c>
      <c r="D25" s="8" t="s">
        <v>5</v>
      </c>
      <c r="E25" s="8" t="s">
        <v>5</v>
      </c>
      <c r="F25" s="91">
        <v>45143</v>
      </c>
      <c r="G25" s="9">
        <v>1500</v>
      </c>
      <c r="H25" s="9"/>
      <c r="J25" s="8" t="s">
        <v>213</v>
      </c>
      <c r="N25" s="9">
        <v>6000</v>
      </c>
      <c r="O25" s="9"/>
      <c r="Q25" s="8" t="s">
        <v>12</v>
      </c>
      <c r="R25" s="8" t="s">
        <v>198</v>
      </c>
      <c r="S25" s="8" t="s">
        <v>24</v>
      </c>
      <c r="T25" s="91">
        <v>45157</v>
      </c>
      <c r="U25" s="9">
        <v>20000</v>
      </c>
    </row>
    <row r="26" spans="2:21" x14ac:dyDescent="0.25">
      <c r="B26" s="8" t="s">
        <v>160</v>
      </c>
      <c r="G26" s="9">
        <v>23500</v>
      </c>
      <c r="H26" s="9"/>
      <c r="J26" s="8" t="s">
        <v>197</v>
      </c>
      <c r="K26" s="8" t="s">
        <v>14</v>
      </c>
      <c r="L26" s="8" t="s">
        <v>5</v>
      </c>
      <c r="M26" s="91">
        <v>45149</v>
      </c>
      <c r="N26" s="9">
        <v>10000</v>
      </c>
      <c r="O26" s="9"/>
      <c r="R26" s="8" t="s">
        <v>188</v>
      </c>
      <c r="S26" s="8" t="s">
        <v>24</v>
      </c>
      <c r="T26" s="91">
        <v>45143</v>
      </c>
      <c r="U26" s="9">
        <v>26000</v>
      </c>
    </row>
    <row r="27" spans="2:21" x14ac:dyDescent="0.25">
      <c r="B27" s="8" t="s">
        <v>5</v>
      </c>
      <c r="C27" s="8" t="s">
        <v>195</v>
      </c>
      <c r="D27" s="8" t="s">
        <v>66</v>
      </c>
      <c r="E27" s="8" t="s">
        <v>94</v>
      </c>
      <c r="F27" s="91">
        <v>45148</v>
      </c>
      <c r="G27" s="9">
        <v>5000</v>
      </c>
      <c r="H27" s="9"/>
      <c r="M27" s="91">
        <v>45161</v>
      </c>
      <c r="N27" s="9">
        <v>10000</v>
      </c>
      <c r="O27" s="9"/>
      <c r="R27" s="8" t="s">
        <v>200</v>
      </c>
      <c r="S27" s="8" t="s">
        <v>5</v>
      </c>
      <c r="T27" s="91">
        <v>45161</v>
      </c>
      <c r="U27" s="9">
        <v>10000</v>
      </c>
    </row>
    <row r="28" spans="2:21" x14ac:dyDescent="0.25">
      <c r="C28" s="8" t="s">
        <v>193</v>
      </c>
      <c r="D28" s="8" t="s">
        <v>5</v>
      </c>
      <c r="E28" s="8" t="s">
        <v>5</v>
      </c>
      <c r="F28" s="91">
        <v>45148</v>
      </c>
      <c r="G28" s="9">
        <v>10000</v>
      </c>
      <c r="H28" s="9"/>
      <c r="J28" s="8" t="s">
        <v>214</v>
      </c>
      <c r="N28" s="9">
        <v>20000</v>
      </c>
      <c r="O28" s="9"/>
      <c r="Q28" s="8" t="s">
        <v>53</v>
      </c>
      <c r="U28" s="9">
        <v>56000</v>
      </c>
    </row>
    <row r="29" spans="2:21" x14ac:dyDescent="0.25">
      <c r="C29" s="8" t="s">
        <v>197</v>
      </c>
      <c r="D29" s="8" t="s">
        <v>14</v>
      </c>
      <c r="E29" s="8" t="s">
        <v>5</v>
      </c>
      <c r="F29" s="91">
        <v>45149</v>
      </c>
      <c r="G29" s="9">
        <v>10000</v>
      </c>
      <c r="H29" s="9"/>
      <c r="J29" s="8" t="s">
        <v>187</v>
      </c>
      <c r="K29" s="8" t="s">
        <v>41</v>
      </c>
      <c r="L29" s="8" t="s">
        <v>91</v>
      </c>
      <c r="M29" s="91">
        <v>45143</v>
      </c>
      <c r="N29" s="9">
        <v>30000</v>
      </c>
      <c r="O29" s="9"/>
      <c r="Q29" s="8" t="s">
        <v>69</v>
      </c>
      <c r="R29" s="8" t="s">
        <v>186</v>
      </c>
      <c r="S29" s="8" t="s">
        <v>5</v>
      </c>
      <c r="T29" s="91">
        <v>45158</v>
      </c>
      <c r="U29" s="9">
        <v>5000</v>
      </c>
    </row>
    <row r="30" spans="2:21" x14ac:dyDescent="0.25">
      <c r="C30" s="8" t="s">
        <v>187</v>
      </c>
      <c r="D30" s="8" t="s">
        <v>41</v>
      </c>
      <c r="E30" s="8" t="s">
        <v>91</v>
      </c>
      <c r="F30" s="91">
        <v>45143</v>
      </c>
      <c r="G30" s="9">
        <v>30000</v>
      </c>
      <c r="H30" s="9"/>
      <c r="K30" s="8" t="s">
        <v>5</v>
      </c>
      <c r="L30" s="8" t="s">
        <v>5</v>
      </c>
      <c r="M30" s="91">
        <v>45161</v>
      </c>
      <c r="N30" s="9">
        <v>2000</v>
      </c>
      <c r="O30" s="9"/>
      <c r="Q30" s="8" t="s">
        <v>98</v>
      </c>
      <c r="U30" s="9">
        <v>5000</v>
      </c>
    </row>
    <row r="31" spans="2:21" x14ac:dyDescent="0.25">
      <c r="C31" s="8" t="s">
        <v>192</v>
      </c>
      <c r="D31" s="8" t="s">
        <v>5</v>
      </c>
      <c r="E31" s="8" t="s">
        <v>93</v>
      </c>
      <c r="F31" s="91">
        <v>45148</v>
      </c>
      <c r="G31" s="9">
        <v>3000</v>
      </c>
      <c r="H31" s="9"/>
      <c r="J31" s="8" t="s">
        <v>215</v>
      </c>
      <c r="N31" s="9">
        <v>32000</v>
      </c>
      <c r="O31" s="9"/>
      <c r="Q31" s="8" t="s">
        <v>66</v>
      </c>
      <c r="R31" s="8" t="s">
        <v>195</v>
      </c>
      <c r="S31" s="8" t="s">
        <v>94</v>
      </c>
      <c r="T31" s="91">
        <v>45148</v>
      </c>
      <c r="U31" s="9">
        <v>5000</v>
      </c>
    </row>
    <row r="32" spans="2:21" x14ac:dyDescent="0.25">
      <c r="E32" s="8" t="s">
        <v>5</v>
      </c>
      <c r="F32" s="91">
        <v>45157</v>
      </c>
      <c r="G32" s="9">
        <v>30000</v>
      </c>
      <c r="H32" s="9"/>
      <c r="J32" s="8" t="s">
        <v>192</v>
      </c>
      <c r="K32" s="8" t="s">
        <v>5</v>
      </c>
      <c r="L32" s="8" t="s">
        <v>93</v>
      </c>
      <c r="M32" s="91">
        <v>45148</v>
      </c>
      <c r="N32" s="9">
        <v>3000</v>
      </c>
      <c r="O32" s="9"/>
      <c r="Q32" s="8" t="s">
        <v>100</v>
      </c>
      <c r="U32" s="9">
        <v>5000</v>
      </c>
    </row>
    <row r="33" spans="2:21" x14ac:dyDescent="0.25">
      <c r="C33" s="8" t="s">
        <v>199</v>
      </c>
      <c r="D33" s="8" t="s">
        <v>5</v>
      </c>
      <c r="E33" s="8" t="s">
        <v>5</v>
      </c>
      <c r="F33" s="91">
        <v>45157</v>
      </c>
      <c r="G33" s="9">
        <v>4000</v>
      </c>
      <c r="H33" s="9"/>
      <c r="L33" s="8" t="s">
        <v>5</v>
      </c>
      <c r="M33" s="91">
        <v>45157</v>
      </c>
      <c r="N33" s="9">
        <v>30000</v>
      </c>
      <c r="O33" s="9"/>
      <c r="Q33" s="8" t="s">
        <v>41</v>
      </c>
      <c r="R33" s="8" t="s">
        <v>187</v>
      </c>
      <c r="S33" s="8" t="s">
        <v>91</v>
      </c>
      <c r="T33" s="91">
        <v>45143</v>
      </c>
      <c r="U33" s="9">
        <v>30000</v>
      </c>
    </row>
    <row r="34" spans="2:21" x14ac:dyDescent="0.25">
      <c r="C34" s="8" t="s">
        <v>196</v>
      </c>
      <c r="D34" s="8" t="s">
        <v>15</v>
      </c>
      <c r="E34" s="8" t="s">
        <v>5</v>
      </c>
      <c r="F34" s="91">
        <v>45149</v>
      </c>
      <c r="G34" s="9">
        <v>25000</v>
      </c>
      <c r="H34" s="9"/>
      <c r="J34" s="8" t="s">
        <v>216</v>
      </c>
      <c r="N34" s="9">
        <v>33000</v>
      </c>
      <c r="O34" s="9"/>
      <c r="Q34" s="8" t="s">
        <v>56</v>
      </c>
      <c r="U34" s="9">
        <v>30000</v>
      </c>
    </row>
    <row r="35" spans="2:21" x14ac:dyDescent="0.25">
      <c r="C35" s="8" t="s">
        <v>198</v>
      </c>
      <c r="D35" s="8" t="s">
        <v>12</v>
      </c>
      <c r="E35" s="8" t="s">
        <v>24</v>
      </c>
      <c r="F35" s="91">
        <v>45157</v>
      </c>
      <c r="G35" s="9">
        <v>20000</v>
      </c>
      <c r="H35" s="9"/>
      <c r="J35" s="8" t="s">
        <v>190</v>
      </c>
      <c r="K35" s="8" t="s">
        <v>11</v>
      </c>
      <c r="L35" s="8" t="s">
        <v>95</v>
      </c>
      <c r="M35" s="91">
        <v>45156</v>
      </c>
      <c r="N35" s="9">
        <v>60000</v>
      </c>
      <c r="O35" s="9"/>
      <c r="Q35" s="8" t="s">
        <v>16</v>
      </c>
      <c r="R35" s="8" t="s">
        <v>183</v>
      </c>
      <c r="S35" s="8" t="s">
        <v>5</v>
      </c>
      <c r="T35" s="91">
        <v>45141</v>
      </c>
      <c r="U35" s="9">
        <v>2000</v>
      </c>
    </row>
    <row r="36" spans="2:21" x14ac:dyDescent="0.25">
      <c r="C36" s="8" t="s">
        <v>188</v>
      </c>
      <c r="D36" s="8" t="s">
        <v>12</v>
      </c>
      <c r="E36" s="8" t="s">
        <v>24</v>
      </c>
      <c r="F36" s="91">
        <v>45143</v>
      </c>
      <c r="G36" s="9">
        <v>26000</v>
      </c>
      <c r="H36" s="9"/>
      <c r="L36" s="8" t="s">
        <v>5</v>
      </c>
      <c r="M36" s="91">
        <v>45146</v>
      </c>
      <c r="N36" s="9">
        <v>20000</v>
      </c>
      <c r="O36" s="9"/>
      <c r="T36" s="91">
        <v>45147</v>
      </c>
      <c r="U36" s="9">
        <v>158800</v>
      </c>
    </row>
    <row r="37" spans="2:21" x14ac:dyDescent="0.25">
      <c r="C37" s="8" t="s">
        <v>194</v>
      </c>
      <c r="D37" s="8" t="s">
        <v>5</v>
      </c>
      <c r="E37" s="8" t="s">
        <v>5</v>
      </c>
      <c r="F37" s="91">
        <v>45148</v>
      </c>
      <c r="G37" s="9">
        <v>250000</v>
      </c>
      <c r="H37" s="9"/>
      <c r="J37" s="8" t="s">
        <v>217</v>
      </c>
      <c r="N37" s="9">
        <v>80000</v>
      </c>
      <c r="O37" s="9"/>
      <c r="Q37" s="8" t="s">
        <v>57</v>
      </c>
      <c r="U37" s="9">
        <v>160800</v>
      </c>
    </row>
    <row r="38" spans="2:21" x14ac:dyDescent="0.25">
      <c r="C38" s="8" t="s">
        <v>189</v>
      </c>
      <c r="D38" s="8" t="s">
        <v>18</v>
      </c>
      <c r="E38" s="8" t="s">
        <v>5</v>
      </c>
      <c r="F38" s="91">
        <v>45148</v>
      </c>
      <c r="G38" s="9">
        <v>10000</v>
      </c>
      <c r="H38" s="9"/>
      <c r="J38" s="8" t="s">
        <v>199</v>
      </c>
      <c r="K38" s="8" t="s">
        <v>5</v>
      </c>
      <c r="L38" s="8" t="s">
        <v>5</v>
      </c>
      <c r="M38" s="91">
        <v>45157</v>
      </c>
      <c r="N38" s="9">
        <v>4000</v>
      </c>
      <c r="O38" s="9"/>
      <c r="Q38" s="8" t="s">
        <v>17</v>
      </c>
      <c r="R38" s="8" t="s">
        <v>191</v>
      </c>
      <c r="S38" s="8" t="s">
        <v>5</v>
      </c>
      <c r="T38" s="91">
        <v>45147</v>
      </c>
      <c r="U38" s="9">
        <v>100000</v>
      </c>
    </row>
    <row r="39" spans="2:21" x14ac:dyDescent="0.25">
      <c r="C39" s="8" t="s">
        <v>186</v>
      </c>
      <c r="D39" s="8" t="s">
        <v>69</v>
      </c>
      <c r="E39" s="8" t="s">
        <v>5</v>
      </c>
      <c r="F39" s="91">
        <v>45158</v>
      </c>
      <c r="G39" s="9">
        <v>5000</v>
      </c>
      <c r="H39" s="9"/>
      <c r="J39" s="8" t="s">
        <v>218</v>
      </c>
      <c r="N39" s="9">
        <v>4000</v>
      </c>
      <c r="O39" s="9"/>
      <c r="Q39" s="8" t="s">
        <v>58</v>
      </c>
      <c r="U39" s="9">
        <v>100000</v>
      </c>
    </row>
    <row r="40" spans="2:21" x14ac:dyDescent="0.25">
      <c r="D40" s="8" t="s">
        <v>5</v>
      </c>
      <c r="E40" s="8" t="s">
        <v>5</v>
      </c>
      <c r="F40" s="91">
        <v>45143</v>
      </c>
      <c r="G40" s="9">
        <v>7000</v>
      </c>
      <c r="H40" s="9"/>
      <c r="J40" s="8" t="s">
        <v>196</v>
      </c>
      <c r="K40" s="8" t="s">
        <v>11</v>
      </c>
      <c r="L40" s="8" t="s">
        <v>5</v>
      </c>
      <c r="M40" s="91">
        <v>45155</v>
      </c>
      <c r="N40" s="9">
        <v>47258</v>
      </c>
      <c r="Q40" s="8" t="s">
        <v>5</v>
      </c>
      <c r="R40" s="8" t="s">
        <v>193</v>
      </c>
      <c r="S40" s="8" t="s">
        <v>5</v>
      </c>
      <c r="T40" s="91">
        <v>45148</v>
      </c>
      <c r="U40" s="9">
        <v>10000</v>
      </c>
    </row>
    <row r="41" spans="2:21" x14ac:dyDescent="0.25">
      <c r="F41" s="91">
        <v>45152</v>
      </c>
      <c r="G41" s="9">
        <v>10000</v>
      </c>
      <c r="H41" s="9"/>
      <c r="K41" s="8" t="s">
        <v>15</v>
      </c>
      <c r="L41" s="8" t="s">
        <v>5</v>
      </c>
      <c r="M41" s="91">
        <v>45149</v>
      </c>
      <c r="N41" s="9">
        <v>25000</v>
      </c>
      <c r="R41" s="8" t="s">
        <v>187</v>
      </c>
      <c r="S41" s="8" t="s">
        <v>5</v>
      </c>
      <c r="T41" s="91">
        <v>45161</v>
      </c>
      <c r="U41" s="9">
        <v>2000</v>
      </c>
    </row>
    <row r="42" spans="2:21" x14ac:dyDescent="0.25">
      <c r="B42" s="8" t="s">
        <v>25</v>
      </c>
      <c r="G42" s="9">
        <v>445000</v>
      </c>
      <c r="H42" s="9"/>
      <c r="J42" s="8" t="s">
        <v>219</v>
      </c>
      <c r="N42" s="9">
        <v>72258</v>
      </c>
      <c r="R42" s="8" t="s">
        <v>192</v>
      </c>
      <c r="S42" s="8" t="s">
        <v>93</v>
      </c>
      <c r="T42" s="91">
        <v>45148</v>
      </c>
      <c r="U42" s="9">
        <v>3000</v>
      </c>
    </row>
    <row r="43" spans="2:21" x14ac:dyDescent="0.25">
      <c r="B43" s="8" t="s">
        <v>6</v>
      </c>
      <c r="G43" s="9">
        <v>1124758</v>
      </c>
      <c r="H43" s="9"/>
      <c r="J43" s="8" t="s">
        <v>198</v>
      </c>
      <c r="K43" s="8" t="s">
        <v>12</v>
      </c>
      <c r="L43" s="8" t="s">
        <v>24</v>
      </c>
      <c r="M43" s="91">
        <v>45157</v>
      </c>
      <c r="N43" s="9">
        <v>20000</v>
      </c>
      <c r="S43" s="8" t="s">
        <v>5</v>
      </c>
      <c r="T43" s="91">
        <v>45157</v>
      </c>
      <c r="U43" s="9">
        <v>30000</v>
      </c>
    </row>
    <row r="44" spans="2:21" x14ac:dyDescent="0.25">
      <c r="J44" s="8" t="s">
        <v>220</v>
      </c>
      <c r="N44" s="9">
        <v>20000</v>
      </c>
      <c r="R44" s="8" t="s">
        <v>199</v>
      </c>
      <c r="S44" s="8" t="s">
        <v>5</v>
      </c>
      <c r="T44" s="91">
        <v>45157</v>
      </c>
      <c r="U44" s="9">
        <v>4000</v>
      </c>
    </row>
    <row r="45" spans="2:21" x14ac:dyDescent="0.25">
      <c r="J45" s="8" t="s">
        <v>188</v>
      </c>
      <c r="K45" s="8" t="s">
        <v>12</v>
      </c>
      <c r="L45" s="8" t="s">
        <v>24</v>
      </c>
      <c r="M45" s="91">
        <v>45143</v>
      </c>
      <c r="N45" s="9">
        <v>26000</v>
      </c>
      <c r="R45" s="8" t="s">
        <v>194</v>
      </c>
      <c r="S45" s="8" t="s">
        <v>5</v>
      </c>
      <c r="T45" s="91">
        <v>45148</v>
      </c>
      <c r="U45" s="9">
        <v>250000</v>
      </c>
    </row>
    <row r="46" spans="2:21" x14ac:dyDescent="0.25">
      <c r="J46" s="8" t="s">
        <v>221</v>
      </c>
      <c r="N46" s="9">
        <v>26000</v>
      </c>
      <c r="R46" s="8" t="s">
        <v>189</v>
      </c>
      <c r="S46" s="8" t="s">
        <v>5</v>
      </c>
      <c r="T46" s="91">
        <v>45143</v>
      </c>
      <c r="U46" s="9">
        <v>1500</v>
      </c>
    </row>
    <row r="47" spans="2:21" x14ac:dyDescent="0.25">
      <c r="J47" s="8" t="s">
        <v>200</v>
      </c>
      <c r="K47" s="8" t="s">
        <v>12</v>
      </c>
      <c r="L47" s="8" t="s">
        <v>5</v>
      </c>
      <c r="M47" s="91">
        <v>45161</v>
      </c>
      <c r="N47" s="9">
        <v>10000</v>
      </c>
      <c r="R47" s="8" t="s">
        <v>186</v>
      </c>
      <c r="S47" s="8" t="s">
        <v>5</v>
      </c>
      <c r="T47" s="91">
        <v>45143</v>
      </c>
      <c r="U47" s="9">
        <v>7000</v>
      </c>
    </row>
    <row r="48" spans="2:21" x14ac:dyDescent="0.25">
      <c r="J48" s="8" t="s">
        <v>222</v>
      </c>
      <c r="N48" s="9">
        <v>10000</v>
      </c>
      <c r="T48" s="91">
        <v>45152</v>
      </c>
      <c r="U48" s="9">
        <v>10000</v>
      </c>
    </row>
    <row r="49" spans="10:21" x14ac:dyDescent="0.25">
      <c r="J49" s="8" t="s">
        <v>194</v>
      </c>
      <c r="K49" s="8" t="s">
        <v>5</v>
      </c>
      <c r="L49" s="8" t="s">
        <v>5</v>
      </c>
      <c r="M49" s="91">
        <v>45148</v>
      </c>
      <c r="N49" s="9">
        <v>250000</v>
      </c>
      <c r="Q49" s="8" t="s">
        <v>25</v>
      </c>
      <c r="U49" s="9">
        <v>317500</v>
      </c>
    </row>
    <row r="50" spans="10:21" x14ac:dyDescent="0.25">
      <c r="J50" s="8" t="s">
        <v>223</v>
      </c>
      <c r="N50" s="9">
        <v>250000</v>
      </c>
      <c r="Q50" s="8" t="s">
        <v>6</v>
      </c>
      <c r="U50" s="9">
        <v>1124758</v>
      </c>
    </row>
    <row r="51" spans="10:21" x14ac:dyDescent="0.25">
      <c r="J51" s="8" t="s">
        <v>189</v>
      </c>
      <c r="K51" s="8" t="s">
        <v>18</v>
      </c>
      <c r="L51" s="8" t="s">
        <v>5</v>
      </c>
      <c r="M51" s="91">
        <v>45148</v>
      </c>
      <c r="N51" s="9">
        <v>10000</v>
      </c>
    </row>
    <row r="52" spans="10:21" x14ac:dyDescent="0.25">
      <c r="K52" s="8" t="s">
        <v>5</v>
      </c>
      <c r="L52" s="8" t="s">
        <v>5</v>
      </c>
      <c r="M52" s="91">
        <v>45143</v>
      </c>
      <c r="N52" s="9">
        <v>1500</v>
      </c>
    </row>
    <row r="53" spans="10:21" x14ac:dyDescent="0.25">
      <c r="J53" s="8" t="s">
        <v>224</v>
      </c>
      <c r="N53" s="9">
        <v>11500</v>
      </c>
    </row>
    <row r="54" spans="10:21" x14ac:dyDescent="0.25">
      <c r="J54" s="8" t="s">
        <v>186</v>
      </c>
      <c r="K54" s="8" t="s">
        <v>69</v>
      </c>
      <c r="L54" s="8" t="s">
        <v>5</v>
      </c>
      <c r="M54" s="91">
        <v>45158</v>
      </c>
      <c r="N54" s="9">
        <v>5000</v>
      </c>
    </row>
    <row r="55" spans="10:21" x14ac:dyDescent="0.25">
      <c r="K55" s="8" t="s">
        <v>5</v>
      </c>
      <c r="L55" s="8" t="s">
        <v>5</v>
      </c>
      <c r="M55" s="91">
        <v>45143</v>
      </c>
      <c r="N55" s="9">
        <v>7000</v>
      </c>
    </row>
    <row r="56" spans="10:21" x14ac:dyDescent="0.25">
      <c r="M56" s="91">
        <v>45152</v>
      </c>
      <c r="N56" s="9">
        <v>10000</v>
      </c>
    </row>
    <row r="57" spans="10:21" x14ac:dyDescent="0.25">
      <c r="J57" s="8" t="s">
        <v>225</v>
      </c>
      <c r="N57" s="9">
        <v>22000</v>
      </c>
    </row>
    <row r="58" spans="10:21" x14ac:dyDescent="0.25">
      <c r="J58" s="8" t="s">
        <v>6</v>
      </c>
      <c r="N58" s="9">
        <v>1124758</v>
      </c>
    </row>
    <row r="65" spans="7:8" x14ac:dyDescent="0.25">
      <c r="G65" s="9"/>
      <c r="H65" s="9"/>
    </row>
    <row r="66" spans="7:8" x14ac:dyDescent="0.25">
      <c r="G66" s="9"/>
      <c r="H66" s="9"/>
    </row>
    <row r="67" spans="7:8" x14ac:dyDescent="0.25">
      <c r="G67" s="9"/>
      <c r="H67" s="9"/>
    </row>
  </sheetData>
  <printOptions horizontalCentered="1"/>
  <pageMargins left="0.31496062992125984" right="0.31496062992125984" top="0.55118110236220474" bottom="0.55118110236220474" header="0.31496062992125984" footer="0.31496062992125984"/>
  <pageSetup paperSize="9" scale="90" orientation="portrait" blackAndWhite="1" horizontalDpi="200" verticalDpi="200" r:id="rId4"/>
  <colBreaks count="2" manualBreakCount="2">
    <brk id="8" max="1048575" man="1"/>
    <brk id="1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0A0-CEF4-4A19-8B7C-5D00AF197835}">
  <sheetPr codeName="Лист10"/>
  <dimension ref="A1:L16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2" sqref="H22"/>
    </sheetView>
  </sheetViews>
  <sheetFormatPr defaultRowHeight="15" x14ac:dyDescent="0.25"/>
  <cols>
    <col min="1" max="1" width="5.28515625" style="8" customWidth="1"/>
    <col min="2" max="2" width="22" customWidth="1"/>
    <col min="3" max="3" width="13" customWidth="1"/>
    <col min="4" max="4" width="19.28515625" customWidth="1"/>
    <col min="5" max="5" width="21.42578125" customWidth="1"/>
    <col min="6" max="6" width="13.28515625" style="85" customWidth="1"/>
    <col min="7" max="7" width="14" style="86" customWidth="1"/>
    <col min="8" max="8" width="14.140625" customWidth="1"/>
    <col min="9" max="9" width="22.140625" style="96" customWidth="1"/>
  </cols>
  <sheetData>
    <row r="1" spans="1:12" s="95" customFormat="1" ht="32.25" customHeight="1" x14ac:dyDescent="0.25">
      <c r="A1" s="92" t="s">
        <v>177</v>
      </c>
      <c r="B1" s="92" t="s">
        <v>178</v>
      </c>
      <c r="C1" s="92" t="s">
        <v>179</v>
      </c>
      <c r="D1" s="92" t="s">
        <v>1</v>
      </c>
      <c r="E1" s="92" t="s">
        <v>3</v>
      </c>
      <c r="F1" s="93" t="s">
        <v>0</v>
      </c>
      <c r="G1" s="94" t="s">
        <v>202</v>
      </c>
      <c r="H1" s="92" t="s">
        <v>203</v>
      </c>
      <c r="I1" s="93" t="s">
        <v>204</v>
      </c>
      <c r="L1"/>
    </row>
    <row r="2" spans="1:12" x14ac:dyDescent="0.25">
      <c r="A2" s="8">
        <v>1</v>
      </c>
      <c r="B2" t="s">
        <v>192</v>
      </c>
      <c r="E2" t="s">
        <v>93</v>
      </c>
      <c r="F2" s="85">
        <v>45148</v>
      </c>
      <c r="G2" s="86">
        <v>3000</v>
      </c>
      <c r="H2" t="s">
        <v>45</v>
      </c>
      <c r="I2" s="96">
        <v>45167</v>
      </c>
    </row>
    <row r="3" spans="1:12" x14ac:dyDescent="0.25">
      <c r="A3" s="8">
        <v>2</v>
      </c>
      <c r="B3" t="s">
        <v>193</v>
      </c>
      <c r="F3" s="85">
        <v>45148</v>
      </c>
      <c r="G3" s="86">
        <v>10000</v>
      </c>
      <c r="H3" t="s">
        <v>45</v>
      </c>
      <c r="I3" s="96">
        <v>45167</v>
      </c>
    </row>
    <row r="4" spans="1:12" x14ac:dyDescent="0.25">
      <c r="A4" s="8">
        <v>3</v>
      </c>
      <c r="B4" t="s">
        <v>194</v>
      </c>
      <c r="F4" s="85">
        <v>45148</v>
      </c>
      <c r="G4" s="86">
        <v>250000</v>
      </c>
      <c r="H4" t="s">
        <v>45</v>
      </c>
      <c r="I4" s="96">
        <v>45167</v>
      </c>
    </row>
    <row r="5" spans="1:12" x14ac:dyDescent="0.25">
      <c r="A5" s="8">
        <v>4</v>
      </c>
      <c r="B5" t="s">
        <v>195</v>
      </c>
      <c r="D5" t="s">
        <v>66</v>
      </c>
      <c r="E5" t="s">
        <v>94</v>
      </c>
      <c r="F5" s="85">
        <v>45148</v>
      </c>
      <c r="G5" s="86">
        <v>5000</v>
      </c>
      <c r="H5" t="s">
        <v>64</v>
      </c>
      <c r="I5" s="96">
        <v>45167</v>
      </c>
    </row>
    <row r="6" spans="1:12" x14ac:dyDescent="0.25">
      <c r="A6" s="8">
        <v>5</v>
      </c>
      <c r="B6" t="s">
        <v>189</v>
      </c>
      <c r="D6" t="s">
        <v>18</v>
      </c>
      <c r="F6" s="85">
        <v>45148</v>
      </c>
      <c r="G6" s="86">
        <v>10000</v>
      </c>
      <c r="H6" t="s">
        <v>64</v>
      </c>
      <c r="I6" s="96">
        <v>45167</v>
      </c>
    </row>
    <row r="7" spans="1:12" x14ac:dyDescent="0.25">
      <c r="A7" s="8">
        <v>6</v>
      </c>
      <c r="B7" t="s">
        <v>196</v>
      </c>
      <c r="D7" t="s">
        <v>15</v>
      </c>
      <c r="F7" s="85">
        <v>45149</v>
      </c>
      <c r="G7" s="86">
        <v>25000</v>
      </c>
      <c r="H7" t="s">
        <v>45</v>
      </c>
      <c r="I7" s="96">
        <v>45167</v>
      </c>
    </row>
    <row r="8" spans="1:12" x14ac:dyDescent="0.25">
      <c r="A8" s="8">
        <v>7</v>
      </c>
      <c r="B8" t="s">
        <v>197</v>
      </c>
      <c r="D8" t="s">
        <v>14</v>
      </c>
      <c r="F8" s="85">
        <v>45149</v>
      </c>
      <c r="G8" s="86">
        <v>10000</v>
      </c>
      <c r="H8" t="s">
        <v>45</v>
      </c>
      <c r="I8" s="96">
        <v>45167</v>
      </c>
    </row>
    <row r="9" spans="1:12" x14ac:dyDescent="0.25">
      <c r="A9" s="8">
        <v>8</v>
      </c>
      <c r="B9" t="s">
        <v>186</v>
      </c>
      <c r="F9" s="85">
        <v>45152</v>
      </c>
      <c r="G9" s="86">
        <v>10000</v>
      </c>
      <c r="H9" t="s">
        <v>45</v>
      </c>
      <c r="I9" s="96">
        <v>45167</v>
      </c>
    </row>
    <row r="10" spans="1:12" x14ac:dyDescent="0.25">
      <c r="A10" s="8">
        <v>9</v>
      </c>
      <c r="B10" t="s">
        <v>196</v>
      </c>
      <c r="C10" t="s">
        <v>70</v>
      </c>
      <c r="D10" t="s">
        <v>11</v>
      </c>
      <c r="F10" s="85">
        <v>45155</v>
      </c>
      <c r="G10" s="86">
        <v>47258</v>
      </c>
      <c r="H10" t="s">
        <v>45</v>
      </c>
      <c r="I10" s="96">
        <v>45167</v>
      </c>
    </row>
    <row r="11" spans="1:12" x14ac:dyDescent="0.25">
      <c r="A11" s="8">
        <v>10</v>
      </c>
      <c r="B11" t="s">
        <v>184</v>
      </c>
      <c r="C11" t="s">
        <v>70</v>
      </c>
      <c r="D11" t="s">
        <v>18</v>
      </c>
      <c r="F11" s="85">
        <v>45155</v>
      </c>
      <c r="G11" s="86">
        <v>2200</v>
      </c>
      <c r="H11" t="s">
        <v>65</v>
      </c>
      <c r="I11" s="96">
        <v>45167</v>
      </c>
    </row>
    <row r="12" spans="1:12" x14ac:dyDescent="0.25">
      <c r="A12" s="8">
        <v>11</v>
      </c>
      <c r="B12" t="s">
        <v>190</v>
      </c>
      <c r="C12" t="s">
        <v>21</v>
      </c>
      <c r="D12" t="s">
        <v>11</v>
      </c>
      <c r="E12" t="s">
        <v>95</v>
      </c>
      <c r="F12" s="85">
        <v>45156</v>
      </c>
      <c r="G12" s="86">
        <v>60000</v>
      </c>
      <c r="H12" t="s">
        <v>45</v>
      </c>
      <c r="I12" s="96">
        <v>45167</v>
      </c>
    </row>
    <row r="13" spans="1:12" x14ac:dyDescent="0.25">
      <c r="A13" s="8">
        <v>12</v>
      </c>
      <c r="B13" t="s">
        <v>198</v>
      </c>
      <c r="D13" t="s">
        <v>12</v>
      </c>
      <c r="E13" t="s">
        <v>24</v>
      </c>
      <c r="F13" s="85">
        <v>45157</v>
      </c>
      <c r="G13" s="86">
        <v>20000</v>
      </c>
      <c r="H13" t="s">
        <v>45</v>
      </c>
      <c r="I13" s="96">
        <v>45167</v>
      </c>
    </row>
    <row r="14" spans="1:12" x14ac:dyDescent="0.25">
      <c r="A14" s="8">
        <v>13</v>
      </c>
      <c r="B14" t="s">
        <v>199</v>
      </c>
      <c r="F14" s="85">
        <v>45157</v>
      </c>
      <c r="G14" s="86">
        <v>4000</v>
      </c>
      <c r="H14" t="s">
        <v>45</v>
      </c>
      <c r="I14" s="96">
        <v>45167</v>
      </c>
    </row>
    <row r="15" spans="1:12" x14ac:dyDescent="0.25">
      <c r="A15" s="8">
        <v>14</v>
      </c>
      <c r="B15" t="s">
        <v>192</v>
      </c>
      <c r="F15" s="85">
        <v>45157</v>
      </c>
      <c r="G15" s="86">
        <v>30000</v>
      </c>
      <c r="H15" t="s">
        <v>45</v>
      </c>
      <c r="I15" s="96">
        <v>45167</v>
      </c>
    </row>
    <row r="16" spans="1:12" x14ac:dyDescent="0.25">
      <c r="A16" s="8">
        <v>15</v>
      </c>
      <c r="B16" t="s">
        <v>186</v>
      </c>
      <c r="D16" t="s">
        <v>69</v>
      </c>
      <c r="F16" s="85">
        <v>45158</v>
      </c>
      <c r="G16" s="86">
        <v>5000</v>
      </c>
      <c r="H16" t="s">
        <v>45</v>
      </c>
      <c r="I16" s="96">
        <v>45167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K246"/>
  <sheetViews>
    <sheetView zoomScaleNormal="100" workbookViewId="0">
      <selection activeCell="D38" sqref="D38"/>
    </sheetView>
  </sheetViews>
  <sheetFormatPr defaultRowHeight="15" x14ac:dyDescent="0.25"/>
  <cols>
    <col min="1" max="1" width="4.5703125" customWidth="1"/>
    <col min="2" max="2" width="18" customWidth="1"/>
    <col min="3" max="3" width="4.7109375" customWidth="1"/>
    <col min="4" max="4" width="19.7109375" customWidth="1"/>
    <col min="5" max="5" width="6.140625" customWidth="1"/>
    <col min="6" max="6" width="18.140625" customWidth="1"/>
    <col min="7" max="7" width="4.7109375" customWidth="1"/>
    <col min="8" max="8" width="19" customWidth="1"/>
  </cols>
  <sheetData>
    <row r="1" spans="1:11" x14ac:dyDescent="0.25">
      <c r="A1" t="s">
        <v>44</v>
      </c>
      <c r="B1" t="s">
        <v>42</v>
      </c>
      <c r="D1" t="s">
        <v>43</v>
      </c>
      <c r="F1" t="s">
        <v>47</v>
      </c>
      <c r="H1" s="62" t="s">
        <v>9</v>
      </c>
      <c r="K1" s="40" t="s">
        <v>62</v>
      </c>
    </row>
    <row r="2" spans="1:11" x14ac:dyDescent="0.25">
      <c r="A2">
        <v>2</v>
      </c>
      <c r="B2" t="s">
        <v>11</v>
      </c>
      <c r="D2" t="s">
        <v>70</v>
      </c>
      <c r="F2" t="s">
        <v>45</v>
      </c>
      <c r="H2" s="62" t="s">
        <v>154</v>
      </c>
    </row>
    <row r="3" spans="1:11" x14ac:dyDescent="0.25">
      <c r="A3">
        <v>3</v>
      </c>
      <c r="B3" t="s">
        <v>14</v>
      </c>
      <c r="D3" t="s">
        <v>21</v>
      </c>
      <c r="F3" t="s">
        <v>63</v>
      </c>
      <c r="H3" s="62" t="s">
        <v>151</v>
      </c>
    </row>
    <row r="4" spans="1:11" x14ac:dyDescent="0.25">
      <c r="A4">
        <v>4</v>
      </c>
      <c r="B4" t="s">
        <v>18</v>
      </c>
      <c r="D4" t="s">
        <v>37</v>
      </c>
      <c r="F4" t="s">
        <v>64</v>
      </c>
      <c r="H4" s="63" t="s">
        <v>9</v>
      </c>
    </row>
    <row r="5" spans="1:11" x14ac:dyDescent="0.25">
      <c r="A5">
        <v>5</v>
      </c>
      <c r="B5" t="s">
        <v>15</v>
      </c>
      <c r="D5" t="s">
        <v>36</v>
      </c>
      <c r="F5" t="s">
        <v>65</v>
      </c>
      <c r="H5" s="62" t="s">
        <v>142</v>
      </c>
    </row>
    <row r="6" spans="1:11" x14ac:dyDescent="0.25">
      <c r="A6">
        <v>6</v>
      </c>
      <c r="B6" t="s">
        <v>12</v>
      </c>
      <c r="D6" t="s">
        <v>19</v>
      </c>
      <c r="F6" t="s">
        <v>46</v>
      </c>
      <c r="H6" s="63" t="s">
        <v>157</v>
      </c>
    </row>
    <row r="7" spans="1:11" x14ac:dyDescent="0.25">
      <c r="A7">
        <v>7</v>
      </c>
      <c r="B7" t="s">
        <v>13</v>
      </c>
      <c r="D7" t="s">
        <v>20</v>
      </c>
      <c r="H7" s="62" t="s">
        <v>18</v>
      </c>
    </row>
    <row r="8" spans="1:11" x14ac:dyDescent="0.25">
      <c r="A8">
        <v>8</v>
      </c>
      <c r="B8" t="s">
        <v>32</v>
      </c>
      <c r="D8" t="s">
        <v>121</v>
      </c>
      <c r="H8" s="62" t="s">
        <v>140</v>
      </c>
    </row>
    <row r="9" spans="1:11" x14ac:dyDescent="0.25">
      <c r="A9">
        <v>9</v>
      </c>
      <c r="B9" t="s">
        <v>16</v>
      </c>
      <c r="D9" t="s">
        <v>130</v>
      </c>
      <c r="H9" s="62" t="s">
        <v>155</v>
      </c>
    </row>
    <row r="10" spans="1:11" x14ac:dyDescent="0.25">
      <c r="A10">
        <v>10</v>
      </c>
      <c r="B10" t="s">
        <v>17</v>
      </c>
      <c r="H10" s="62" t="s">
        <v>141</v>
      </c>
    </row>
    <row r="11" spans="1:11" x14ac:dyDescent="0.25">
      <c r="A11">
        <v>11</v>
      </c>
      <c r="B11" t="s">
        <v>41</v>
      </c>
      <c r="H11" s="62" t="s">
        <v>139</v>
      </c>
    </row>
    <row r="12" spans="1:11" x14ac:dyDescent="0.25">
      <c r="A12">
        <v>12</v>
      </c>
      <c r="B12" t="s">
        <v>22</v>
      </c>
    </row>
    <row r="13" spans="1:11" x14ac:dyDescent="0.25">
      <c r="A13">
        <v>13</v>
      </c>
      <c r="B13" t="s">
        <v>66</v>
      </c>
    </row>
    <row r="14" spans="1:11" x14ac:dyDescent="0.25">
      <c r="A14">
        <v>14</v>
      </c>
      <c r="B14" t="s">
        <v>67</v>
      </c>
    </row>
    <row r="15" spans="1:11" x14ac:dyDescent="0.25">
      <c r="A15">
        <v>15</v>
      </c>
      <c r="B15" t="s">
        <v>68</v>
      </c>
    </row>
    <row r="16" spans="1:11" x14ac:dyDescent="0.25">
      <c r="A16">
        <v>16</v>
      </c>
      <c r="B16" t="s">
        <v>69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</sheetData>
  <sortState xmlns:xlrd2="http://schemas.microsoft.com/office/spreadsheetml/2017/richdata2" ref="Q1:Q12">
    <sortCondition ref="Q1:Q12"/>
  </sortState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D24A41-8DD9-4997-BCCA-E42A2720D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Обложка</vt:lpstr>
      <vt:lpstr>Учет</vt:lpstr>
      <vt:lpstr>Остатки</vt:lpstr>
      <vt:lpstr>Движение ДС</vt:lpstr>
      <vt:lpstr>Итоги по всем объектам</vt:lpstr>
      <vt:lpstr>Итог по объекту</vt:lpstr>
      <vt:lpstr>Итоги по получателю</vt:lpstr>
      <vt:lpstr>ЗП</vt:lpstr>
      <vt:lpstr>ЗП подробно</vt:lpstr>
      <vt:lpstr>Справочники</vt:lpstr>
      <vt:lpstr>Остатки!Заголовки_для_печати</vt:lpstr>
      <vt:lpstr>Учет!Заголовки_для_печати</vt:lpstr>
      <vt:lpstr>Учет!Область_печати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Рутковская Ольга Александровна</dc:creator>
  <cp:lastModifiedBy>Рутковская Ольга Александровна</cp:lastModifiedBy>
  <cp:lastPrinted>2023-08-29T07:50:07Z</cp:lastPrinted>
  <dcterms:created xsi:type="dcterms:W3CDTF">2023-08-16T11:26:14Z</dcterms:created>
  <dcterms:modified xsi:type="dcterms:W3CDTF">2023-08-29T08:19:36Z</dcterms:modified>
</cp:coreProperties>
</file>